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Projects\open_spin_lauch\documents\calculations\"/>
    </mc:Choice>
  </mc:AlternateContent>
  <xr:revisionPtr revIDLastSave="0" documentId="13_ncr:1_{FA0D59E2-963C-43A1-A353-FD9D121961E7}" xr6:coauthVersionLast="47" xr6:coauthVersionMax="47" xr10:uidLastSave="{00000000-0000-0000-0000-000000000000}"/>
  <bookViews>
    <workbookView xWindow="-110" yWindow="-110" windowWidth="25820" windowHeight="15500" xr2:uid="{702068C3-7A62-4CAD-8ED5-C8846BDEF959}"/>
  </bookViews>
  <sheets>
    <sheet name="Main" sheetId="4" r:id="rId1"/>
    <sheet name="Kinematics2" sheetId="7" r:id="rId2"/>
    <sheet name="Kinetics" sheetId="3" r:id="rId3"/>
    <sheet name="Materials" sheetId="5" r:id="rId4"/>
    <sheet name="Cost Estimation" sheetId="6" r:id="rId5"/>
    <sheet name="Kinematics_deprecated" sheetId="1" r:id="rId6"/>
  </sheets>
  <definedNames>
    <definedName name="Material">Table1[Material]</definedName>
    <definedName name="Material_Density">Table1[Material Density '[kg/m^3']]</definedName>
    <definedName name="Shear_Modulus_Gpa">Table1[Shear Modulus '[Gpa']]</definedName>
    <definedName name="solver_adj" localSheetId="1" hidden="1">Kinematics2!$B$18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Kinematics2!$B$18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Kinematics2!$W$3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200</definedName>
    <definedName name="solver_ver" localSheetId="1" hidden="1">3</definedName>
    <definedName name="tIt">OFFSET(Tabelle2[[#Headers],[t '[s']]],1,0,Kinematics2!$W$2,1)</definedName>
    <definedName name="VxIt">OFFSET(Tabelle2[[#Headers],[vx]],1,0,Kinematics2!$W$2,1)</definedName>
    <definedName name="VyIt">OFFSET(Tabelle2[[#Headers],[vy]],1,0,Kinematics2!$W$2,1)</definedName>
    <definedName name="X">OFFSET(Kinematics_deprecated!$G$2,1,0,Kinematics_deprecated!$K$2-1,1)</definedName>
    <definedName name="XIt">OFFSET(Tabelle2[[#Headers],[x]],1,0,Kinematics2!$W$2,1)</definedName>
    <definedName name="Y">OFFSET(Kinematics_deprecated!$H$2,1,0,Kinematics_deprecated!$K$2-1,1)</definedName>
    <definedName name="Yield_Strenght__Mpa">Table1[Yield Strenght '[Mpa']]</definedName>
    <definedName name="YIt">OFFSET(Tabelle2[[#Headers],[y]],1,0,Kinematics2!$W$2,1)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7" l="1"/>
  <c r="B27" i="7"/>
  <c r="B22" i="7"/>
  <c r="B26" i="7"/>
  <c r="T3" i="7"/>
  <c r="B17" i="7"/>
  <c r="B3" i="7"/>
  <c r="B2" i="7"/>
  <c r="B6" i="3"/>
  <c r="B9" i="7"/>
  <c r="B2" i="1"/>
  <c r="F4" i="7"/>
  <c r="F5" i="7" s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F278" i="7" s="1"/>
  <c r="F279" i="7" s="1"/>
  <c r="F280" i="7" s="1"/>
  <c r="F281" i="7" s="1"/>
  <c r="F282" i="7" s="1"/>
  <c r="F283" i="7" s="1"/>
  <c r="F284" i="7" s="1"/>
  <c r="F285" i="7" s="1"/>
  <c r="F286" i="7" s="1"/>
  <c r="F287" i="7" s="1"/>
  <c r="F288" i="7" s="1"/>
  <c r="F289" i="7" s="1"/>
  <c r="F290" i="7" s="1"/>
  <c r="F291" i="7" s="1"/>
  <c r="F292" i="7" s="1"/>
  <c r="F293" i="7" s="1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F322" i="7" s="1"/>
  <c r="F323" i="7" s="1"/>
  <c r="F324" i="7" s="1"/>
  <c r="F325" i="7" s="1"/>
  <c r="F326" i="7" s="1"/>
  <c r="F327" i="7" s="1"/>
  <c r="F328" i="7" s="1"/>
  <c r="F329" i="7" s="1"/>
  <c r="F330" i="7" s="1"/>
  <c r="F331" i="7" s="1"/>
  <c r="F332" i="7" s="1"/>
  <c r="F333" i="7" s="1"/>
  <c r="F334" i="7" s="1"/>
  <c r="F335" i="7" s="1"/>
  <c r="F336" i="7" s="1"/>
  <c r="F337" i="7" s="1"/>
  <c r="F338" i="7" s="1"/>
  <c r="F339" i="7" s="1"/>
  <c r="F340" i="7" s="1"/>
  <c r="F341" i="7" s="1"/>
  <c r="F342" i="7" s="1"/>
  <c r="F343" i="7" s="1"/>
  <c r="F344" i="7" s="1"/>
  <c r="F345" i="7" s="1"/>
  <c r="F346" i="7" s="1"/>
  <c r="F347" i="7" s="1"/>
  <c r="F348" i="7" s="1"/>
  <c r="F349" i="7" s="1"/>
  <c r="F350" i="7" s="1"/>
  <c r="F351" i="7" s="1"/>
  <c r="F352" i="7" s="1"/>
  <c r="F353" i="7" s="1"/>
  <c r="F354" i="7" s="1"/>
  <c r="F355" i="7" s="1"/>
  <c r="F356" i="7" s="1"/>
  <c r="F357" i="7" s="1"/>
  <c r="F358" i="7" s="1"/>
  <c r="F359" i="7" s="1"/>
  <c r="F360" i="7" s="1"/>
  <c r="F361" i="7" s="1"/>
  <c r="F362" i="7" s="1"/>
  <c r="F363" i="7" s="1"/>
  <c r="F364" i="7" s="1"/>
  <c r="F365" i="7" s="1"/>
  <c r="F366" i="7" s="1"/>
  <c r="F367" i="7" s="1"/>
  <c r="F368" i="7" s="1"/>
  <c r="F369" i="7" s="1"/>
  <c r="F370" i="7" s="1"/>
  <c r="F371" i="7" s="1"/>
  <c r="F372" i="7" s="1"/>
  <c r="F373" i="7" s="1"/>
  <c r="F374" i="7" s="1"/>
  <c r="F375" i="7" s="1"/>
  <c r="F376" i="7" s="1"/>
  <c r="F377" i="7" s="1"/>
  <c r="F378" i="7" s="1"/>
  <c r="F379" i="7" s="1"/>
  <c r="F380" i="7" s="1"/>
  <c r="F381" i="7" s="1"/>
  <c r="F382" i="7" s="1"/>
  <c r="F383" i="7" s="1"/>
  <c r="F384" i="7" s="1"/>
  <c r="F385" i="7" s="1"/>
  <c r="F386" i="7" s="1"/>
  <c r="F387" i="7" s="1"/>
  <c r="F388" i="7" s="1"/>
  <c r="F389" i="7" s="1"/>
  <c r="F390" i="7" s="1"/>
  <c r="F391" i="7" s="1"/>
  <c r="F392" i="7" s="1"/>
  <c r="F393" i="7" s="1"/>
  <c r="F394" i="7" s="1"/>
  <c r="F395" i="7" s="1"/>
  <c r="F396" i="7" s="1"/>
  <c r="F397" i="7" s="1"/>
  <c r="F398" i="7" s="1"/>
  <c r="F399" i="7" s="1"/>
  <c r="F400" i="7" s="1"/>
  <c r="F401" i="7" s="1"/>
  <c r="F402" i="7" s="1"/>
  <c r="F403" i="7" s="1"/>
  <c r="F404" i="7" s="1"/>
  <c r="F405" i="7" s="1"/>
  <c r="F406" i="7" s="1"/>
  <c r="F407" i="7" s="1"/>
  <c r="F408" i="7" s="1"/>
  <c r="F409" i="7" s="1"/>
  <c r="F410" i="7" s="1"/>
  <c r="F411" i="7" s="1"/>
  <c r="F412" i="7" s="1"/>
  <c r="F413" i="7" s="1"/>
  <c r="F414" i="7" s="1"/>
  <c r="F415" i="7" s="1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F501" i="7" s="1"/>
  <c r="F502" i="7" s="1"/>
  <c r="F503" i="7" s="1"/>
  <c r="F504" i="7" s="1"/>
  <c r="F505" i="7" s="1"/>
  <c r="F506" i="7" s="1"/>
  <c r="F507" i="7" s="1"/>
  <c r="F508" i="7" s="1"/>
  <c r="F509" i="7" s="1"/>
  <c r="F510" i="7" s="1"/>
  <c r="F511" i="7" s="1"/>
  <c r="F512" i="7" s="1"/>
  <c r="F513" i="7" s="1"/>
  <c r="F514" i="7" s="1"/>
  <c r="F515" i="7" s="1"/>
  <c r="F516" i="7" s="1"/>
  <c r="F517" i="7" s="1"/>
  <c r="F518" i="7" s="1"/>
  <c r="F519" i="7" s="1"/>
  <c r="F520" i="7" s="1"/>
  <c r="F521" i="7" s="1"/>
  <c r="F522" i="7" s="1"/>
  <c r="F523" i="7" s="1"/>
  <c r="F524" i="7" s="1"/>
  <c r="F525" i="7" s="1"/>
  <c r="F526" i="7" s="1"/>
  <c r="F527" i="7" s="1"/>
  <c r="F528" i="7" s="1"/>
  <c r="F529" i="7" s="1"/>
  <c r="F530" i="7" s="1"/>
  <c r="F531" i="7" s="1"/>
  <c r="F532" i="7" s="1"/>
  <c r="F533" i="7" s="1"/>
  <c r="F534" i="7" s="1"/>
  <c r="F535" i="7" s="1"/>
  <c r="F536" i="7" s="1"/>
  <c r="F537" i="7" s="1"/>
  <c r="F538" i="7" s="1"/>
  <c r="F539" i="7" s="1"/>
  <c r="F540" i="7" s="1"/>
  <c r="F541" i="7" s="1"/>
  <c r="F542" i="7" s="1"/>
  <c r="F543" i="7" s="1"/>
  <c r="F544" i="7" s="1"/>
  <c r="F545" i="7" s="1"/>
  <c r="F546" i="7" s="1"/>
  <c r="F547" i="7" s="1"/>
  <c r="F548" i="7" s="1"/>
  <c r="F549" i="7" s="1"/>
  <c r="F550" i="7" s="1"/>
  <c r="F551" i="7" s="1"/>
  <c r="F552" i="7" s="1"/>
  <c r="F553" i="7" s="1"/>
  <c r="F554" i="7" s="1"/>
  <c r="F555" i="7" s="1"/>
  <c r="F556" i="7" s="1"/>
  <c r="F557" i="7" s="1"/>
  <c r="F558" i="7" s="1"/>
  <c r="F559" i="7" s="1"/>
  <c r="F560" i="7" s="1"/>
  <c r="F561" i="7" s="1"/>
  <c r="F562" i="7" s="1"/>
  <c r="F563" i="7" s="1"/>
  <c r="F564" i="7" s="1"/>
  <c r="F565" i="7" s="1"/>
  <c r="F566" i="7" s="1"/>
  <c r="F567" i="7" s="1"/>
  <c r="F568" i="7" s="1"/>
  <c r="F569" i="7" s="1"/>
  <c r="F570" i="7" s="1"/>
  <c r="F571" i="7" s="1"/>
  <c r="F572" i="7" s="1"/>
  <c r="F573" i="7" s="1"/>
  <c r="F574" i="7" s="1"/>
  <c r="F575" i="7" s="1"/>
  <c r="F576" i="7" s="1"/>
  <c r="F577" i="7" s="1"/>
  <c r="F578" i="7" s="1"/>
  <c r="F579" i="7" s="1"/>
  <c r="F580" i="7" s="1"/>
  <c r="F581" i="7" s="1"/>
  <c r="F582" i="7" s="1"/>
  <c r="F583" i="7" s="1"/>
  <c r="F584" i="7" s="1"/>
  <c r="F585" i="7" s="1"/>
  <c r="F586" i="7" s="1"/>
  <c r="F587" i="7" s="1"/>
  <c r="F588" i="7" s="1"/>
  <c r="F589" i="7" s="1"/>
  <c r="F590" i="7" s="1"/>
  <c r="F591" i="7" s="1"/>
  <c r="F592" i="7" s="1"/>
  <c r="F593" i="7" s="1"/>
  <c r="F594" i="7" s="1"/>
  <c r="F595" i="7" s="1"/>
  <c r="F596" i="7" s="1"/>
  <c r="F597" i="7" s="1"/>
  <c r="F598" i="7" s="1"/>
  <c r="F599" i="7" s="1"/>
  <c r="F600" i="7" s="1"/>
  <c r="F601" i="7" s="1"/>
  <c r="F602" i="7" s="1"/>
  <c r="F603" i="7" s="1"/>
  <c r="F604" i="7" s="1"/>
  <c r="F605" i="7" s="1"/>
  <c r="F606" i="7" s="1"/>
  <c r="F607" i="7" s="1"/>
  <c r="F608" i="7" s="1"/>
  <c r="F609" i="7" s="1"/>
  <c r="F610" i="7" s="1"/>
  <c r="F611" i="7" s="1"/>
  <c r="F612" i="7" s="1"/>
  <c r="F613" i="7" s="1"/>
  <c r="F614" i="7" s="1"/>
  <c r="F615" i="7" s="1"/>
  <c r="F616" i="7" s="1"/>
  <c r="F617" i="7" s="1"/>
  <c r="F618" i="7" s="1"/>
  <c r="F619" i="7" s="1"/>
  <c r="F620" i="7" s="1"/>
  <c r="F621" i="7" s="1"/>
  <c r="F622" i="7" s="1"/>
  <c r="F623" i="7" s="1"/>
  <c r="F624" i="7" s="1"/>
  <c r="F625" i="7" s="1"/>
  <c r="F626" i="7" s="1"/>
  <c r="F627" i="7" s="1"/>
  <c r="F628" i="7" s="1"/>
  <c r="F629" i="7" s="1"/>
  <c r="F630" i="7" s="1"/>
  <c r="F631" i="7" s="1"/>
  <c r="F632" i="7" s="1"/>
  <c r="F633" i="7" s="1"/>
  <c r="F634" i="7" s="1"/>
  <c r="F635" i="7" s="1"/>
  <c r="F636" i="7" s="1"/>
  <c r="F637" i="7" s="1"/>
  <c r="F638" i="7" s="1"/>
  <c r="F639" i="7" s="1"/>
  <c r="F640" i="7" s="1"/>
  <c r="F641" i="7" s="1"/>
  <c r="F642" i="7" s="1"/>
  <c r="F643" i="7" s="1"/>
  <c r="F644" i="7" s="1"/>
  <c r="F645" i="7" s="1"/>
  <c r="F646" i="7" s="1"/>
  <c r="F647" i="7" s="1"/>
  <c r="F648" i="7" s="1"/>
  <c r="F649" i="7" s="1"/>
  <c r="F650" i="7" s="1"/>
  <c r="F651" i="7" s="1"/>
  <c r="F652" i="7" s="1"/>
  <c r="F653" i="7" s="1"/>
  <c r="F654" i="7" s="1"/>
  <c r="F655" i="7" s="1"/>
  <c r="F656" i="7" s="1"/>
  <c r="F657" i="7" s="1"/>
  <c r="F658" i="7" s="1"/>
  <c r="F659" i="7" s="1"/>
  <c r="F660" i="7" s="1"/>
  <c r="F661" i="7" s="1"/>
  <c r="F662" i="7" s="1"/>
  <c r="F663" i="7" s="1"/>
  <c r="F664" i="7" s="1"/>
  <c r="F665" i="7" s="1"/>
  <c r="F666" i="7" s="1"/>
  <c r="F667" i="7" s="1"/>
  <c r="F668" i="7" s="1"/>
  <c r="F669" i="7" s="1"/>
  <c r="F670" i="7" s="1"/>
  <c r="F671" i="7" s="1"/>
  <c r="F672" i="7" s="1"/>
  <c r="F673" i="7" s="1"/>
  <c r="F674" i="7" s="1"/>
  <c r="F675" i="7" s="1"/>
  <c r="F676" i="7" s="1"/>
  <c r="F677" i="7" s="1"/>
  <c r="F678" i="7" s="1"/>
  <c r="F679" i="7" s="1"/>
  <c r="F680" i="7" s="1"/>
  <c r="F681" i="7" s="1"/>
  <c r="F682" i="7" s="1"/>
  <c r="F683" i="7" s="1"/>
  <c r="F684" i="7" s="1"/>
  <c r="F685" i="7" s="1"/>
  <c r="F686" i="7" s="1"/>
  <c r="F687" i="7" s="1"/>
  <c r="F688" i="7" s="1"/>
  <c r="F689" i="7" s="1"/>
  <c r="F690" i="7" s="1"/>
  <c r="F691" i="7" s="1"/>
  <c r="F692" i="7" s="1"/>
  <c r="F693" i="7" s="1"/>
  <c r="F694" i="7" s="1"/>
  <c r="F695" i="7" s="1"/>
  <c r="F696" i="7" s="1"/>
  <c r="F697" i="7" s="1"/>
  <c r="F698" i="7" s="1"/>
  <c r="F699" i="7" s="1"/>
  <c r="F700" i="7" s="1"/>
  <c r="F701" i="7" s="1"/>
  <c r="F702" i="7" s="1"/>
  <c r="F703" i="7" s="1"/>
  <c r="F704" i="7" s="1"/>
  <c r="F705" i="7" s="1"/>
  <c r="F706" i="7" s="1"/>
  <c r="F707" i="7" s="1"/>
  <c r="F708" i="7" s="1"/>
  <c r="F709" i="7" s="1"/>
  <c r="F710" i="7" s="1"/>
  <c r="F711" i="7" s="1"/>
  <c r="F712" i="7" s="1"/>
  <c r="F713" i="7" s="1"/>
  <c r="F714" i="7" s="1"/>
  <c r="F715" i="7" s="1"/>
  <c r="F716" i="7" s="1"/>
  <c r="F717" i="7" s="1"/>
  <c r="F718" i="7" s="1"/>
  <c r="F719" i="7" s="1"/>
  <c r="F720" i="7" s="1"/>
  <c r="F721" i="7" s="1"/>
  <c r="F722" i="7" s="1"/>
  <c r="F723" i="7" s="1"/>
  <c r="F724" i="7" s="1"/>
  <c r="F725" i="7" s="1"/>
  <c r="F726" i="7" s="1"/>
  <c r="F727" i="7" s="1"/>
  <c r="F728" i="7" s="1"/>
  <c r="F729" i="7" s="1"/>
  <c r="F730" i="7" s="1"/>
  <c r="F731" i="7" s="1"/>
  <c r="F732" i="7" s="1"/>
  <c r="F733" i="7" s="1"/>
  <c r="F734" i="7" s="1"/>
  <c r="F735" i="7" s="1"/>
  <c r="F736" i="7" s="1"/>
  <c r="F737" i="7" s="1"/>
  <c r="F738" i="7" s="1"/>
  <c r="F739" i="7" s="1"/>
  <c r="F740" i="7" s="1"/>
  <c r="F741" i="7" s="1"/>
  <c r="F742" i="7" s="1"/>
  <c r="F743" i="7" s="1"/>
  <c r="F744" i="7" s="1"/>
  <c r="F745" i="7" s="1"/>
  <c r="F746" i="7" s="1"/>
  <c r="F747" i="7" s="1"/>
  <c r="F748" i="7" s="1"/>
  <c r="F749" i="7" s="1"/>
  <c r="F750" i="7" s="1"/>
  <c r="F751" i="7" s="1"/>
  <c r="F752" i="7" s="1"/>
  <c r="F753" i="7" s="1"/>
  <c r="F754" i="7" s="1"/>
  <c r="F755" i="7" s="1"/>
  <c r="F756" i="7" s="1"/>
  <c r="F757" i="7" s="1"/>
  <c r="F758" i="7" s="1"/>
  <c r="F759" i="7" s="1"/>
  <c r="F760" i="7" s="1"/>
  <c r="F761" i="7" s="1"/>
  <c r="F762" i="7" s="1"/>
  <c r="F763" i="7" s="1"/>
  <c r="F764" i="7" s="1"/>
  <c r="F765" i="7" s="1"/>
  <c r="F766" i="7" s="1"/>
  <c r="F767" i="7" s="1"/>
  <c r="F768" i="7" s="1"/>
  <c r="F769" i="7" s="1"/>
  <c r="F770" i="7" s="1"/>
  <c r="F771" i="7" s="1"/>
  <c r="F772" i="7" s="1"/>
  <c r="F773" i="7" s="1"/>
  <c r="F774" i="7" s="1"/>
  <c r="F775" i="7" s="1"/>
  <c r="F776" i="7" s="1"/>
  <c r="F777" i="7" s="1"/>
  <c r="F778" i="7" s="1"/>
  <c r="F779" i="7" s="1"/>
  <c r="F780" i="7" s="1"/>
  <c r="F781" i="7" s="1"/>
  <c r="F782" i="7" s="1"/>
  <c r="F783" i="7" s="1"/>
  <c r="F784" i="7" s="1"/>
  <c r="F785" i="7" s="1"/>
  <c r="F786" i="7" s="1"/>
  <c r="F787" i="7" s="1"/>
  <c r="F788" i="7" s="1"/>
  <c r="F789" i="7" s="1"/>
  <c r="F790" i="7" s="1"/>
  <c r="F791" i="7" s="1"/>
  <c r="F792" i="7" s="1"/>
  <c r="F793" i="7" s="1"/>
  <c r="F794" i="7" s="1"/>
  <c r="F795" i="7" s="1"/>
  <c r="F796" i="7" s="1"/>
  <c r="F797" i="7" s="1"/>
  <c r="F798" i="7" s="1"/>
  <c r="F799" i="7" s="1"/>
  <c r="F800" i="7" s="1"/>
  <c r="F801" i="7" s="1"/>
  <c r="F802" i="7" s="1"/>
  <c r="F803" i="7" s="1"/>
  <c r="F804" i="7" s="1"/>
  <c r="F805" i="7" s="1"/>
  <c r="F806" i="7" s="1"/>
  <c r="F807" i="7" s="1"/>
  <c r="F808" i="7" s="1"/>
  <c r="F809" i="7" s="1"/>
  <c r="F810" i="7" s="1"/>
  <c r="F811" i="7" s="1"/>
  <c r="F812" i="7" s="1"/>
  <c r="F813" i="7" s="1"/>
  <c r="F814" i="7" s="1"/>
  <c r="F815" i="7" s="1"/>
  <c r="F816" i="7" s="1"/>
  <c r="F817" i="7" s="1"/>
  <c r="F818" i="7" s="1"/>
  <c r="F819" i="7" s="1"/>
  <c r="F820" i="7" s="1"/>
  <c r="F821" i="7" s="1"/>
  <c r="F822" i="7" s="1"/>
  <c r="F823" i="7" s="1"/>
  <c r="F824" i="7" s="1"/>
  <c r="F825" i="7" s="1"/>
  <c r="F826" i="7" s="1"/>
  <c r="F827" i="7" s="1"/>
  <c r="F828" i="7" s="1"/>
  <c r="F829" i="7" s="1"/>
  <c r="F830" i="7" s="1"/>
  <c r="F831" i="7" s="1"/>
  <c r="F832" i="7" s="1"/>
  <c r="F833" i="7" s="1"/>
  <c r="F834" i="7" s="1"/>
  <c r="F835" i="7" s="1"/>
  <c r="F836" i="7" s="1"/>
  <c r="F837" i="7" s="1"/>
  <c r="F838" i="7" s="1"/>
  <c r="F839" i="7" s="1"/>
  <c r="F840" i="7" s="1"/>
  <c r="F841" i="7" s="1"/>
  <c r="F842" i="7" s="1"/>
  <c r="F843" i="7" s="1"/>
  <c r="F844" i="7" s="1"/>
  <c r="F845" i="7" s="1"/>
  <c r="F846" i="7" s="1"/>
  <c r="F847" i="7" s="1"/>
  <c r="F848" i="7" s="1"/>
  <c r="F849" i="7" s="1"/>
  <c r="F850" i="7" s="1"/>
  <c r="F851" i="7" s="1"/>
  <c r="F852" i="7" s="1"/>
  <c r="F853" i="7" s="1"/>
  <c r="F854" i="7" s="1"/>
  <c r="F855" i="7" s="1"/>
  <c r="F856" i="7" s="1"/>
  <c r="F857" i="7" s="1"/>
  <c r="F858" i="7" s="1"/>
  <c r="F859" i="7" s="1"/>
  <c r="F860" i="7" s="1"/>
  <c r="F861" i="7" s="1"/>
  <c r="F862" i="7" s="1"/>
  <c r="F863" i="7" s="1"/>
  <c r="F864" i="7" s="1"/>
  <c r="F865" i="7" s="1"/>
  <c r="F866" i="7" s="1"/>
  <c r="F867" i="7" s="1"/>
  <c r="F868" i="7" s="1"/>
  <c r="F869" i="7" s="1"/>
  <c r="F870" i="7" s="1"/>
  <c r="F871" i="7" s="1"/>
  <c r="F872" i="7" s="1"/>
  <c r="F873" i="7" s="1"/>
  <c r="F874" i="7" s="1"/>
  <c r="F875" i="7" s="1"/>
  <c r="F876" i="7" s="1"/>
  <c r="F877" i="7" s="1"/>
  <c r="F878" i="7" s="1"/>
  <c r="F879" i="7" s="1"/>
  <c r="F880" i="7" s="1"/>
  <c r="F881" i="7" s="1"/>
  <c r="F882" i="7" s="1"/>
  <c r="F883" i="7" s="1"/>
  <c r="F884" i="7" s="1"/>
  <c r="F885" i="7" s="1"/>
  <c r="F886" i="7" s="1"/>
  <c r="F887" i="7" s="1"/>
  <c r="F888" i="7" s="1"/>
  <c r="F889" i="7" s="1"/>
  <c r="F890" i="7" s="1"/>
  <c r="F891" i="7" s="1"/>
  <c r="F892" i="7" s="1"/>
  <c r="F893" i="7" s="1"/>
  <c r="F894" i="7" s="1"/>
  <c r="F895" i="7" s="1"/>
  <c r="F896" i="7" s="1"/>
  <c r="F897" i="7" s="1"/>
  <c r="F898" i="7" s="1"/>
  <c r="F899" i="7" s="1"/>
  <c r="F900" i="7" s="1"/>
  <c r="F901" i="7" s="1"/>
  <c r="F902" i="7" s="1"/>
  <c r="F903" i="7" s="1"/>
  <c r="F904" i="7" s="1"/>
  <c r="F905" i="7" s="1"/>
  <c r="F906" i="7" s="1"/>
  <c r="F907" i="7" s="1"/>
  <c r="F908" i="7" s="1"/>
  <c r="F909" i="7" s="1"/>
  <c r="F910" i="7" s="1"/>
  <c r="F911" i="7" s="1"/>
  <c r="F912" i="7" s="1"/>
  <c r="F913" i="7" s="1"/>
  <c r="F914" i="7" s="1"/>
  <c r="F915" i="7" s="1"/>
  <c r="F916" i="7" s="1"/>
  <c r="F917" i="7" s="1"/>
  <c r="F918" i="7" s="1"/>
  <c r="F919" i="7" s="1"/>
  <c r="F920" i="7" s="1"/>
  <c r="F921" i="7" s="1"/>
  <c r="F922" i="7" s="1"/>
  <c r="F923" i="7" s="1"/>
  <c r="F924" i="7" s="1"/>
  <c r="F925" i="7" s="1"/>
  <c r="F926" i="7" s="1"/>
  <c r="F927" i="7" s="1"/>
  <c r="F928" i="7" s="1"/>
  <c r="F929" i="7" s="1"/>
  <c r="F930" i="7" s="1"/>
  <c r="F931" i="7" s="1"/>
  <c r="F932" i="7" s="1"/>
  <c r="F933" i="7" s="1"/>
  <c r="F934" i="7" s="1"/>
  <c r="F935" i="7" s="1"/>
  <c r="F936" i="7" s="1"/>
  <c r="F937" i="7" s="1"/>
  <c r="F938" i="7" s="1"/>
  <c r="F939" i="7" s="1"/>
  <c r="F940" i="7" s="1"/>
  <c r="F941" i="7" s="1"/>
  <c r="F942" i="7" s="1"/>
  <c r="F943" i="7" s="1"/>
  <c r="F944" i="7" s="1"/>
  <c r="F945" i="7" s="1"/>
  <c r="F946" i="7" s="1"/>
  <c r="F947" i="7" s="1"/>
  <c r="F948" i="7" s="1"/>
  <c r="F949" i="7" s="1"/>
  <c r="F950" i="7" s="1"/>
  <c r="F951" i="7" s="1"/>
  <c r="F952" i="7" s="1"/>
  <c r="F953" i="7" s="1"/>
  <c r="F954" i="7" s="1"/>
  <c r="F955" i="7" s="1"/>
  <c r="F956" i="7" s="1"/>
  <c r="F957" i="7" s="1"/>
  <c r="F958" i="7" s="1"/>
  <c r="F959" i="7" s="1"/>
  <c r="F960" i="7" s="1"/>
  <c r="F961" i="7" s="1"/>
  <c r="F962" i="7" s="1"/>
  <c r="F963" i="7" s="1"/>
  <c r="F964" i="7" s="1"/>
  <c r="F965" i="7" s="1"/>
  <c r="F966" i="7" s="1"/>
  <c r="F967" i="7" s="1"/>
  <c r="F968" i="7" s="1"/>
  <c r="F969" i="7" s="1"/>
  <c r="F970" i="7" s="1"/>
  <c r="F971" i="7" s="1"/>
  <c r="F972" i="7" s="1"/>
  <c r="F973" i="7" s="1"/>
  <c r="F974" i="7" s="1"/>
  <c r="F975" i="7" s="1"/>
  <c r="F976" i="7" s="1"/>
  <c r="F977" i="7" s="1"/>
  <c r="F978" i="7" s="1"/>
  <c r="F979" i="7" s="1"/>
  <c r="F980" i="7" s="1"/>
  <c r="F981" i="7" s="1"/>
  <c r="F982" i="7" s="1"/>
  <c r="F983" i="7" s="1"/>
  <c r="F984" i="7" s="1"/>
  <c r="F985" i="7" s="1"/>
  <c r="F986" i="7" s="1"/>
  <c r="F987" i="7" s="1"/>
  <c r="F988" i="7" s="1"/>
  <c r="F989" i="7" s="1"/>
  <c r="F990" i="7" s="1"/>
  <c r="F991" i="7" s="1"/>
  <c r="F992" i="7" s="1"/>
  <c r="F993" i="7" s="1"/>
  <c r="F994" i="7" s="1"/>
  <c r="F995" i="7" s="1"/>
  <c r="F996" i="7" s="1"/>
  <c r="F997" i="7" s="1"/>
  <c r="F998" i="7" s="1"/>
  <c r="F999" i="7" s="1"/>
  <c r="F1000" i="7" s="1"/>
  <c r="F1001" i="7" s="1"/>
  <c r="F1002" i="7" s="1"/>
  <c r="F1003" i="7" s="1"/>
  <c r="F1004" i="7" s="1"/>
  <c r="F1005" i="7" s="1"/>
  <c r="F1006" i="7" s="1"/>
  <c r="F1007" i="7" s="1"/>
  <c r="F1008" i="7" s="1"/>
  <c r="F1009" i="7" s="1"/>
  <c r="F1010" i="7" s="1"/>
  <c r="F1011" i="7" s="1"/>
  <c r="F1012" i="7" s="1"/>
  <c r="F1013" i="7" s="1"/>
  <c r="F1014" i="7" s="1"/>
  <c r="F1015" i="7" s="1"/>
  <c r="F1016" i="7" s="1"/>
  <c r="F1017" i="7" s="1"/>
  <c r="F1018" i="7" s="1"/>
  <c r="F1019" i="7" s="1"/>
  <c r="F1020" i="7" s="1"/>
  <c r="F1021" i="7" s="1"/>
  <c r="F1022" i="7" s="1"/>
  <c r="F1023" i="7" s="1"/>
  <c r="F1024" i="7" s="1"/>
  <c r="F1025" i="7" s="1"/>
  <c r="F1026" i="7" s="1"/>
  <c r="F1027" i="7" s="1"/>
  <c r="F1028" i="7" s="1"/>
  <c r="F1029" i="7" s="1"/>
  <c r="F1030" i="7" s="1"/>
  <c r="F1031" i="7" s="1"/>
  <c r="F1032" i="7" s="1"/>
  <c r="F1033" i="7" s="1"/>
  <c r="F1034" i="7" s="1"/>
  <c r="F1035" i="7" s="1"/>
  <c r="F1036" i="7" s="1"/>
  <c r="F1037" i="7" s="1"/>
  <c r="F1038" i="7" s="1"/>
  <c r="F1039" i="7" s="1"/>
  <c r="F1040" i="7" s="1"/>
  <c r="F1041" i="7" s="1"/>
  <c r="F1042" i="7" s="1"/>
  <c r="F1043" i="7" s="1"/>
  <c r="F1044" i="7" s="1"/>
  <c r="F1045" i="7" s="1"/>
  <c r="F1046" i="7" s="1"/>
  <c r="F1047" i="7" s="1"/>
  <c r="F1048" i="7" s="1"/>
  <c r="F1049" i="7" s="1"/>
  <c r="F1050" i="7" s="1"/>
  <c r="F1051" i="7" s="1"/>
  <c r="F1052" i="7" s="1"/>
  <c r="F1053" i="7" s="1"/>
  <c r="F1054" i="7" s="1"/>
  <c r="F1055" i="7" s="1"/>
  <c r="F1056" i="7" s="1"/>
  <c r="F1057" i="7" s="1"/>
  <c r="F1058" i="7" s="1"/>
  <c r="F1059" i="7" s="1"/>
  <c r="F1060" i="7" s="1"/>
  <c r="F1061" i="7" s="1"/>
  <c r="F1062" i="7" s="1"/>
  <c r="F1063" i="7" s="1"/>
  <c r="F1064" i="7" s="1"/>
  <c r="F1065" i="7" s="1"/>
  <c r="F1066" i="7" s="1"/>
  <c r="F1067" i="7" s="1"/>
  <c r="F1068" i="7" s="1"/>
  <c r="F1069" i="7" s="1"/>
  <c r="F1070" i="7" s="1"/>
  <c r="F1071" i="7" s="1"/>
  <c r="F1072" i="7" s="1"/>
  <c r="F1073" i="7" s="1"/>
  <c r="F1074" i="7" s="1"/>
  <c r="F1075" i="7" s="1"/>
  <c r="F1076" i="7" s="1"/>
  <c r="F1077" i="7" s="1"/>
  <c r="F1078" i="7" s="1"/>
  <c r="F1079" i="7" s="1"/>
  <c r="F1080" i="7" s="1"/>
  <c r="F1081" i="7" s="1"/>
  <c r="F1082" i="7" s="1"/>
  <c r="F1083" i="7" s="1"/>
  <c r="F1084" i="7" s="1"/>
  <c r="F1085" i="7" s="1"/>
  <c r="F1086" i="7" s="1"/>
  <c r="F1087" i="7" s="1"/>
  <c r="F1088" i="7" s="1"/>
  <c r="F1089" i="7" s="1"/>
  <c r="F1090" i="7" s="1"/>
  <c r="F1091" i="7" s="1"/>
  <c r="F1092" i="7" s="1"/>
  <c r="F1093" i="7" s="1"/>
  <c r="F1094" i="7" s="1"/>
  <c r="F1095" i="7" s="1"/>
  <c r="F1096" i="7" s="1"/>
  <c r="F1097" i="7" s="1"/>
  <c r="F1098" i="7" s="1"/>
  <c r="F1099" i="7" s="1"/>
  <c r="F1100" i="7" s="1"/>
  <c r="F1101" i="7" s="1"/>
  <c r="F1102" i="7" s="1"/>
  <c r="F1103" i="7" s="1"/>
  <c r="F1104" i="7" s="1"/>
  <c r="F1105" i="7" s="1"/>
  <c r="F1106" i="7" s="1"/>
  <c r="F1107" i="7" s="1"/>
  <c r="F1108" i="7" s="1"/>
  <c r="F1109" i="7" s="1"/>
  <c r="F1110" i="7" s="1"/>
  <c r="F1111" i="7" s="1"/>
  <c r="F1112" i="7" s="1"/>
  <c r="F1113" i="7" s="1"/>
  <c r="F1114" i="7" s="1"/>
  <c r="F1115" i="7" s="1"/>
  <c r="F1116" i="7" s="1"/>
  <c r="F1117" i="7" s="1"/>
  <c r="F1118" i="7" s="1"/>
  <c r="F1119" i="7" s="1"/>
  <c r="F1120" i="7" s="1"/>
  <c r="F1121" i="7" s="1"/>
  <c r="F1122" i="7" s="1"/>
  <c r="F1123" i="7" s="1"/>
  <c r="F1124" i="7" s="1"/>
  <c r="F1125" i="7" s="1"/>
  <c r="F1126" i="7" s="1"/>
  <c r="F1127" i="7" s="1"/>
  <c r="F1128" i="7" s="1"/>
  <c r="F1129" i="7" s="1"/>
  <c r="F1130" i="7" s="1"/>
  <c r="F1131" i="7" s="1"/>
  <c r="F1132" i="7" s="1"/>
  <c r="F1133" i="7" s="1"/>
  <c r="F1134" i="7" s="1"/>
  <c r="F1135" i="7" s="1"/>
  <c r="F1136" i="7" s="1"/>
  <c r="F1137" i="7" s="1"/>
  <c r="F1138" i="7" s="1"/>
  <c r="F1139" i="7" s="1"/>
  <c r="F1140" i="7" s="1"/>
  <c r="F1141" i="7" s="1"/>
  <c r="F1142" i="7" s="1"/>
  <c r="F1143" i="7" s="1"/>
  <c r="F1144" i="7" s="1"/>
  <c r="F1145" i="7" s="1"/>
  <c r="F1146" i="7" s="1"/>
  <c r="F1147" i="7" s="1"/>
  <c r="F1148" i="7" s="1"/>
  <c r="F1149" i="7" s="1"/>
  <c r="F1150" i="7" s="1"/>
  <c r="F1151" i="7" s="1"/>
  <c r="F1152" i="7" s="1"/>
  <c r="F1153" i="7" s="1"/>
  <c r="F1154" i="7" s="1"/>
  <c r="F1155" i="7" s="1"/>
  <c r="F1156" i="7" s="1"/>
  <c r="F1157" i="7" s="1"/>
  <c r="F1158" i="7" s="1"/>
  <c r="F1159" i="7" s="1"/>
  <c r="F1160" i="7" s="1"/>
  <c r="F1161" i="7" s="1"/>
  <c r="F1162" i="7" s="1"/>
  <c r="F1163" i="7" s="1"/>
  <c r="F1164" i="7" s="1"/>
  <c r="F1165" i="7" s="1"/>
  <c r="F1166" i="7" s="1"/>
  <c r="F1167" i="7" s="1"/>
  <c r="F1168" i="7" s="1"/>
  <c r="F1169" i="7" s="1"/>
  <c r="F1170" i="7" s="1"/>
  <c r="F1171" i="7" s="1"/>
  <c r="F1172" i="7" s="1"/>
  <c r="F1173" i="7" s="1"/>
  <c r="F1174" i="7" s="1"/>
  <c r="F1175" i="7" s="1"/>
  <c r="F1176" i="7" s="1"/>
  <c r="F1177" i="7" s="1"/>
  <c r="F1178" i="7" s="1"/>
  <c r="F1179" i="7" s="1"/>
  <c r="F1180" i="7" s="1"/>
  <c r="F1181" i="7" s="1"/>
  <c r="F1182" i="7" s="1"/>
  <c r="F1183" i="7" s="1"/>
  <c r="F1184" i="7" s="1"/>
  <c r="F1185" i="7" s="1"/>
  <c r="F1186" i="7" s="1"/>
  <c r="F1187" i="7" s="1"/>
  <c r="F1188" i="7" s="1"/>
  <c r="F1189" i="7" s="1"/>
  <c r="F1190" i="7" s="1"/>
  <c r="F1191" i="7" s="1"/>
  <c r="F1192" i="7" s="1"/>
  <c r="F1193" i="7" s="1"/>
  <c r="F1194" i="7" s="1"/>
  <c r="F1195" i="7" s="1"/>
  <c r="F1196" i="7" s="1"/>
  <c r="F1197" i="7" s="1"/>
  <c r="F1198" i="7" s="1"/>
  <c r="F1199" i="7" s="1"/>
  <c r="F1200" i="7" s="1"/>
  <c r="F1201" i="7" s="1"/>
  <c r="F1202" i="7" s="1"/>
  <c r="F1203" i="7" s="1"/>
  <c r="F1204" i="7" s="1"/>
  <c r="F1205" i="7" s="1"/>
  <c r="F1206" i="7" s="1"/>
  <c r="F1207" i="7" s="1"/>
  <c r="F1208" i="7" s="1"/>
  <c r="F1209" i="7" s="1"/>
  <c r="F1210" i="7" s="1"/>
  <c r="F1211" i="7" s="1"/>
  <c r="F1212" i="7" s="1"/>
  <c r="F1213" i="7" s="1"/>
  <c r="F1214" i="7" s="1"/>
  <c r="F1215" i="7" s="1"/>
  <c r="F1216" i="7" s="1"/>
  <c r="F1217" i="7" s="1"/>
  <c r="F1218" i="7" s="1"/>
  <c r="F1219" i="7" s="1"/>
  <c r="F1220" i="7" s="1"/>
  <c r="F1221" i="7" s="1"/>
  <c r="F1222" i="7" s="1"/>
  <c r="F1223" i="7" s="1"/>
  <c r="F1224" i="7" s="1"/>
  <c r="F1225" i="7" s="1"/>
  <c r="F1226" i="7" s="1"/>
  <c r="F1227" i="7" s="1"/>
  <c r="F1228" i="7" s="1"/>
  <c r="F1229" i="7" s="1"/>
  <c r="F1230" i="7" s="1"/>
  <c r="F1231" i="7" s="1"/>
  <c r="F1232" i="7" s="1"/>
  <c r="F1233" i="7" s="1"/>
  <c r="F1234" i="7" s="1"/>
  <c r="F1235" i="7" s="1"/>
  <c r="F1236" i="7" s="1"/>
  <c r="F1237" i="7" s="1"/>
  <c r="F1238" i="7" s="1"/>
  <c r="F1239" i="7" s="1"/>
  <c r="F1240" i="7" s="1"/>
  <c r="F1241" i="7" s="1"/>
  <c r="F1242" i="7" s="1"/>
  <c r="F1243" i="7" s="1"/>
  <c r="F1244" i="7" s="1"/>
  <c r="F1245" i="7" s="1"/>
  <c r="F1246" i="7" s="1"/>
  <c r="F1247" i="7" s="1"/>
  <c r="F1248" i="7" s="1"/>
  <c r="F1249" i="7" s="1"/>
  <c r="F1250" i="7" s="1"/>
  <c r="F1251" i="7" s="1"/>
  <c r="F1252" i="7" s="1"/>
  <c r="F1253" i="7" s="1"/>
  <c r="F1254" i="7" s="1"/>
  <c r="F1255" i="7" s="1"/>
  <c r="F1256" i="7" s="1"/>
  <c r="F1257" i="7" s="1"/>
  <c r="F1258" i="7" s="1"/>
  <c r="F1259" i="7" s="1"/>
  <c r="F1260" i="7" s="1"/>
  <c r="F1261" i="7" s="1"/>
  <c r="F1262" i="7" s="1"/>
  <c r="F1263" i="7" s="1"/>
  <c r="F1264" i="7" s="1"/>
  <c r="F1265" i="7" s="1"/>
  <c r="F1266" i="7" s="1"/>
  <c r="F1267" i="7" s="1"/>
  <c r="F1268" i="7" s="1"/>
  <c r="F1269" i="7" s="1"/>
  <c r="F1270" i="7" s="1"/>
  <c r="F1271" i="7" s="1"/>
  <c r="F1272" i="7" s="1"/>
  <c r="F1273" i="7" s="1"/>
  <c r="F1274" i="7" s="1"/>
  <c r="F1275" i="7" s="1"/>
  <c r="F1276" i="7" s="1"/>
  <c r="F1277" i="7" s="1"/>
  <c r="F1278" i="7" s="1"/>
  <c r="F1279" i="7" s="1"/>
  <c r="F1280" i="7" s="1"/>
  <c r="F1281" i="7" s="1"/>
  <c r="F1282" i="7" s="1"/>
  <c r="F1283" i="7" s="1"/>
  <c r="F1284" i="7" s="1"/>
  <c r="F1285" i="7" s="1"/>
  <c r="F1286" i="7" s="1"/>
  <c r="F1287" i="7" s="1"/>
  <c r="F1288" i="7" s="1"/>
  <c r="F1289" i="7" s="1"/>
  <c r="F1290" i="7" s="1"/>
  <c r="F1291" i="7" s="1"/>
  <c r="F1292" i="7" s="1"/>
  <c r="F1293" i="7" s="1"/>
  <c r="F1294" i="7" s="1"/>
  <c r="F1295" i="7" s="1"/>
  <c r="F1296" i="7" s="1"/>
  <c r="F1297" i="7" s="1"/>
  <c r="F1298" i="7" s="1"/>
  <c r="F1299" i="7" s="1"/>
  <c r="F1300" i="7" s="1"/>
  <c r="F1301" i="7" s="1"/>
  <c r="F1302" i="7" s="1"/>
  <c r="F1303" i="7" s="1"/>
  <c r="F1304" i="7" s="1"/>
  <c r="F1305" i="7" s="1"/>
  <c r="F1306" i="7" s="1"/>
  <c r="F1307" i="7" s="1"/>
  <c r="F1308" i="7" s="1"/>
  <c r="F1309" i="7" s="1"/>
  <c r="F1310" i="7" s="1"/>
  <c r="F1311" i="7" s="1"/>
  <c r="F1312" i="7" s="1"/>
  <c r="F1313" i="7" s="1"/>
  <c r="F1314" i="7" s="1"/>
  <c r="F1315" i="7" s="1"/>
  <c r="F1316" i="7" s="1"/>
  <c r="F1317" i="7" s="1"/>
  <c r="F1318" i="7" s="1"/>
  <c r="F1319" i="7" s="1"/>
  <c r="F1320" i="7" s="1"/>
  <c r="F1321" i="7" s="1"/>
  <c r="F1322" i="7" s="1"/>
  <c r="F1323" i="7" s="1"/>
  <c r="F1324" i="7" s="1"/>
  <c r="F1325" i="7" s="1"/>
  <c r="F1326" i="7" s="1"/>
  <c r="F1327" i="7" s="1"/>
  <c r="F1328" i="7" s="1"/>
  <c r="F1329" i="7" s="1"/>
  <c r="F1330" i="7" s="1"/>
  <c r="F1331" i="7" s="1"/>
  <c r="F1332" i="7" s="1"/>
  <c r="F1333" i="7" s="1"/>
  <c r="F1334" i="7" s="1"/>
  <c r="F1335" i="7" s="1"/>
  <c r="F1336" i="7" s="1"/>
  <c r="F1337" i="7" s="1"/>
  <c r="F1338" i="7" s="1"/>
  <c r="F1339" i="7" s="1"/>
  <c r="F1340" i="7" s="1"/>
  <c r="F1341" i="7" s="1"/>
  <c r="F1342" i="7" s="1"/>
  <c r="F1343" i="7" s="1"/>
  <c r="F1344" i="7" s="1"/>
  <c r="F1345" i="7" s="1"/>
  <c r="F1346" i="7" s="1"/>
  <c r="F1347" i="7" s="1"/>
  <c r="F1348" i="7" s="1"/>
  <c r="F1349" i="7" s="1"/>
  <c r="F1350" i="7" s="1"/>
  <c r="F1351" i="7" s="1"/>
  <c r="F1352" i="7" s="1"/>
  <c r="F1353" i="7" s="1"/>
  <c r="F1354" i="7" s="1"/>
  <c r="F1355" i="7" s="1"/>
  <c r="F1356" i="7" s="1"/>
  <c r="F1357" i="7" s="1"/>
  <c r="F1358" i="7" s="1"/>
  <c r="F1359" i="7" s="1"/>
  <c r="F1360" i="7" s="1"/>
  <c r="F1361" i="7" s="1"/>
  <c r="F1362" i="7" s="1"/>
  <c r="F1363" i="7" s="1"/>
  <c r="F1364" i="7" s="1"/>
  <c r="F1365" i="7" s="1"/>
  <c r="F1366" i="7" s="1"/>
  <c r="F1367" i="7" s="1"/>
  <c r="F1368" i="7" s="1"/>
  <c r="F1369" i="7" s="1"/>
  <c r="F1370" i="7" s="1"/>
  <c r="F1371" i="7" s="1"/>
  <c r="F1372" i="7" s="1"/>
  <c r="F1373" i="7" s="1"/>
  <c r="F1374" i="7" s="1"/>
  <c r="F1375" i="7" s="1"/>
  <c r="F1376" i="7" s="1"/>
  <c r="F1377" i="7" s="1"/>
  <c r="F1378" i="7" s="1"/>
  <c r="F1379" i="7" s="1"/>
  <c r="F1380" i="7" s="1"/>
  <c r="F1381" i="7" s="1"/>
  <c r="F1382" i="7" s="1"/>
  <c r="F1383" i="7" s="1"/>
  <c r="F1384" i="7" s="1"/>
  <c r="F1385" i="7" s="1"/>
  <c r="F1386" i="7" s="1"/>
  <c r="F1387" i="7" s="1"/>
  <c r="F1388" i="7" s="1"/>
  <c r="F1389" i="7" s="1"/>
  <c r="F1390" i="7" s="1"/>
  <c r="F1391" i="7" s="1"/>
  <c r="F1392" i="7" s="1"/>
  <c r="F1393" i="7" s="1"/>
  <c r="F1394" i="7" s="1"/>
  <c r="F1395" i="7" s="1"/>
  <c r="F1396" i="7" s="1"/>
  <c r="F1397" i="7" s="1"/>
  <c r="F1398" i="7" s="1"/>
  <c r="F1399" i="7" s="1"/>
  <c r="F1400" i="7" s="1"/>
  <c r="F1401" i="7" s="1"/>
  <c r="F1402" i="7" s="1"/>
  <c r="F1403" i="7" s="1"/>
  <c r="F1404" i="7" s="1"/>
  <c r="F1405" i="7" s="1"/>
  <c r="F1406" i="7" s="1"/>
  <c r="F1407" i="7" s="1"/>
  <c r="F1408" i="7" s="1"/>
  <c r="F1409" i="7" s="1"/>
  <c r="F1410" i="7" s="1"/>
  <c r="F1411" i="7" s="1"/>
  <c r="F1412" i="7" s="1"/>
  <c r="F1413" i="7" s="1"/>
  <c r="F1414" i="7" s="1"/>
  <c r="F1415" i="7" s="1"/>
  <c r="F1416" i="7" s="1"/>
  <c r="F1417" i="7" s="1"/>
  <c r="F1418" i="7" s="1"/>
  <c r="F1419" i="7" s="1"/>
  <c r="F1420" i="7" s="1"/>
  <c r="F1421" i="7" s="1"/>
  <c r="F1422" i="7" s="1"/>
  <c r="F1423" i="7" s="1"/>
  <c r="F1424" i="7" s="1"/>
  <c r="F1425" i="7" s="1"/>
  <c r="F1426" i="7" s="1"/>
  <c r="F1427" i="7" s="1"/>
  <c r="F1428" i="7" s="1"/>
  <c r="F1429" i="7" s="1"/>
  <c r="F1430" i="7" s="1"/>
  <c r="F1431" i="7" s="1"/>
  <c r="F1432" i="7" s="1"/>
  <c r="F1433" i="7" s="1"/>
  <c r="F1434" i="7" s="1"/>
  <c r="F1435" i="7" s="1"/>
  <c r="F1436" i="7" s="1"/>
  <c r="F1437" i="7" s="1"/>
  <c r="F1438" i="7" s="1"/>
  <c r="F1439" i="7" s="1"/>
  <c r="F1440" i="7" s="1"/>
  <c r="F1441" i="7" s="1"/>
  <c r="F1442" i="7" s="1"/>
  <c r="F1443" i="7" s="1"/>
  <c r="F1444" i="7" s="1"/>
  <c r="F1445" i="7" s="1"/>
  <c r="F1446" i="7" s="1"/>
  <c r="F1447" i="7" s="1"/>
  <c r="F1448" i="7" s="1"/>
  <c r="F1449" i="7" s="1"/>
  <c r="F1450" i="7" s="1"/>
  <c r="F1451" i="7" s="1"/>
  <c r="F1452" i="7" s="1"/>
  <c r="F1453" i="7" s="1"/>
  <c r="F1454" i="7" s="1"/>
  <c r="F1455" i="7" s="1"/>
  <c r="F1456" i="7" s="1"/>
  <c r="F1457" i="7" s="1"/>
  <c r="F1458" i="7" s="1"/>
  <c r="F1459" i="7" s="1"/>
  <c r="F1460" i="7" s="1"/>
  <c r="F1461" i="7" s="1"/>
  <c r="F1462" i="7" s="1"/>
  <c r="F1463" i="7" s="1"/>
  <c r="F1464" i="7" s="1"/>
  <c r="F1465" i="7" s="1"/>
  <c r="F1466" i="7" s="1"/>
  <c r="F1467" i="7" s="1"/>
  <c r="F1468" i="7" s="1"/>
  <c r="F1469" i="7" s="1"/>
  <c r="F1470" i="7" s="1"/>
  <c r="F1471" i="7" s="1"/>
  <c r="F1472" i="7" s="1"/>
  <c r="F1473" i="7" s="1"/>
  <c r="F1474" i="7" s="1"/>
  <c r="F1475" i="7" s="1"/>
  <c r="F1476" i="7" s="1"/>
  <c r="F1477" i="7" s="1"/>
  <c r="F1478" i="7" s="1"/>
  <c r="F1479" i="7" s="1"/>
  <c r="F1480" i="7" s="1"/>
  <c r="F1481" i="7" s="1"/>
  <c r="F1482" i="7" s="1"/>
  <c r="F1483" i="7" s="1"/>
  <c r="F1484" i="7" s="1"/>
  <c r="F1485" i="7" s="1"/>
  <c r="F1486" i="7" s="1"/>
  <c r="F1487" i="7" s="1"/>
  <c r="F1488" i="7" s="1"/>
  <c r="F1489" i="7" s="1"/>
  <c r="F1490" i="7" s="1"/>
  <c r="F1491" i="7" s="1"/>
  <c r="F1492" i="7" s="1"/>
  <c r="F1493" i="7" s="1"/>
  <c r="F1494" i="7" s="1"/>
  <c r="F1495" i="7" s="1"/>
  <c r="F1496" i="7" s="1"/>
  <c r="F1497" i="7" s="1"/>
  <c r="F1498" i="7" s="1"/>
  <c r="F1499" i="7" s="1"/>
  <c r="F1500" i="7" s="1"/>
  <c r="F1501" i="7" s="1"/>
  <c r="F1502" i="7" s="1"/>
  <c r="F1503" i="7" s="1"/>
  <c r="F1504" i="7" s="1"/>
  <c r="F1505" i="7" s="1"/>
  <c r="F1506" i="7" s="1"/>
  <c r="F1507" i="7" s="1"/>
  <c r="F1508" i="7" s="1"/>
  <c r="F1509" i="7" s="1"/>
  <c r="F1510" i="7" s="1"/>
  <c r="F1511" i="7" s="1"/>
  <c r="F1512" i="7" s="1"/>
  <c r="F1513" i="7" s="1"/>
  <c r="F1514" i="7" s="1"/>
  <c r="F1515" i="7" s="1"/>
  <c r="F1516" i="7" s="1"/>
  <c r="F1517" i="7" s="1"/>
  <c r="F1518" i="7" s="1"/>
  <c r="F1519" i="7" s="1"/>
  <c r="F1520" i="7" s="1"/>
  <c r="F1521" i="7" s="1"/>
  <c r="F1522" i="7" s="1"/>
  <c r="F1523" i="7" s="1"/>
  <c r="F1524" i="7" s="1"/>
  <c r="F1525" i="7" s="1"/>
  <c r="F1526" i="7" s="1"/>
  <c r="F1527" i="7" s="1"/>
  <c r="F1528" i="7" s="1"/>
  <c r="F1529" i="7" s="1"/>
  <c r="F1530" i="7" s="1"/>
  <c r="F1531" i="7" s="1"/>
  <c r="F1532" i="7" s="1"/>
  <c r="F1533" i="7" s="1"/>
  <c r="F1534" i="7" s="1"/>
  <c r="F1535" i="7" s="1"/>
  <c r="F1536" i="7" s="1"/>
  <c r="F1537" i="7" s="1"/>
  <c r="F1538" i="7" s="1"/>
  <c r="F1539" i="7" s="1"/>
  <c r="F1540" i="7" s="1"/>
  <c r="F1541" i="7" s="1"/>
  <c r="F1542" i="7" s="1"/>
  <c r="F1543" i="7" s="1"/>
  <c r="F1544" i="7" s="1"/>
  <c r="F1545" i="7" s="1"/>
  <c r="F1546" i="7" s="1"/>
  <c r="F1547" i="7" s="1"/>
  <c r="F1548" i="7" s="1"/>
  <c r="F1549" i="7" s="1"/>
  <c r="F1550" i="7" s="1"/>
  <c r="F1551" i="7" s="1"/>
  <c r="F1552" i="7" s="1"/>
  <c r="F1553" i="7" s="1"/>
  <c r="F1554" i="7" s="1"/>
  <c r="F1555" i="7" s="1"/>
  <c r="F1556" i="7" s="1"/>
  <c r="F1557" i="7" s="1"/>
  <c r="F1558" i="7" s="1"/>
  <c r="F1559" i="7" s="1"/>
  <c r="F1560" i="7" s="1"/>
  <c r="F1561" i="7" s="1"/>
  <c r="F1562" i="7" s="1"/>
  <c r="F1563" i="7" s="1"/>
  <c r="F1564" i="7" s="1"/>
  <c r="F1565" i="7" s="1"/>
  <c r="F1566" i="7" s="1"/>
  <c r="F1567" i="7" s="1"/>
  <c r="F1568" i="7" s="1"/>
  <c r="F1569" i="7" s="1"/>
  <c r="F1570" i="7" s="1"/>
  <c r="F1571" i="7" s="1"/>
  <c r="F1572" i="7" s="1"/>
  <c r="F1573" i="7" s="1"/>
  <c r="F1574" i="7" s="1"/>
  <c r="F1575" i="7" s="1"/>
  <c r="F1576" i="7" s="1"/>
  <c r="F1577" i="7" s="1"/>
  <c r="F1578" i="7" s="1"/>
  <c r="F1579" i="7" s="1"/>
  <c r="F1580" i="7" s="1"/>
  <c r="F1581" i="7" s="1"/>
  <c r="B6" i="7"/>
  <c r="B7" i="7"/>
  <c r="B8" i="7"/>
  <c r="B5" i="7"/>
  <c r="B4" i="7"/>
  <c r="B129" i="4"/>
  <c r="B128" i="4"/>
  <c r="B5" i="3"/>
  <c r="B117" i="4" a="1"/>
  <c r="B117" i="4" s="1"/>
  <c r="B113" i="4" a="1"/>
  <c r="B113" i="4" s="1"/>
  <c r="B56" i="4"/>
  <c r="B3" i="3"/>
  <c r="B4" i="3"/>
  <c r="B2" i="3"/>
  <c r="B3" i="1"/>
  <c r="B12" i="1" s="1"/>
  <c r="B87" i="4" a="1"/>
  <c r="B87" i="4" s="1"/>
  <c r="B49" i="4"/>
  <c r="B53" i="4"/>
  <c r="B54" i="4" s="1"/>
  <c r="B52" i="4" a="1"/>
  <c r="B52" i="4" s="1"/>
  <c r="B46" i="4"/>
  <c r="B47" i="4" s="1"/>
  <c r="B45" i="4" a="1"/>
  <c r="B45" i="4" s="1"/>
  <c r="B91" i="4" a="1"/>
  <c r="B91" i="4" s="1"/>
  <c r="B62" i="4"/>
  <c r="B59" i="4"/>
  <c r="B63" i="4" s="1"/>
  <c r="B13" i="1" l="1"/>
  <c r="B19" i="3"/>
  <c r="B22" i="3" s="1"/>
  <c r="B55" i="4"/>
  <c r="B65" i="4" s="1"/>
  <c r="B48" i="4"/>
  <c r="B64" i="4" s="1"/>
  <c r="B15" i="3" l="1"/>
  <c r="B16" i="3" s="1"/>
  <c r="D4" i="4"/>
  <c r="B17" i="1"/>
  <c r="B14" i="1"/>
  <c r="B125" i="4"/>
  <c r="H1009" i="1"/>
  <c r="H1275" i="1"/>
  <c r="H1285" i="1"/>
  <c r="H1295" i="1"/>
  <c r="H1305" i="1"/>
  <c r="H1315" i="1"/>
  <c r="H1325" i="1"/>
  <c r="H1335" i="1"/>
  <c r="H1345" i="1"/>
  <c r="H1355" i="1"/>
  <c r="H1365" i="1"/>
  <c r="H1375" i="1"/>
  <c r="H1385" i="1"/>
  <c r="H1395" i="1"/>
  <c r="H1405" i="1"/>
  <c r="H1415" i="1"/>
  <c r="H1425" i="1"/>
  <c r="H1435" i="1"/>
  <c r="H1445" i="1"/>
  <c r="H1455" i="1"/>
  <c r="H1465" i="1"/>
  <c r="H1475" i="1"/>
  <c r="H1485" i="1"/>
  <c r="H1495" i="1"/>
  <c r="H1505" i="1"/>
  <c r="H1515" i="1"/>
  <c r="H1525" i="1"/>
  <c r="H1535" i="1"/>
  <c r="H1545" i="1"/>
  <c r="H1555" i="1"/>
  <c r="H1565" i="1"/>
  <c r="H1575" i="1"/>
  <c r="H1083" i="1"/>
  <c r="H1093" i="1"/>
  <c r="H1103" i="1"/>
  <c r="H1113" i="1"/>
  <c r="H1123" i="1"/>
  <c r="H1133" i="1"/>
  <c r="H1143" i="1"/>
  <c r="H1153" i="1"/>
  <c r="H1163" i="1"/>
  <c r="H1173" i="1"/>
  <c r="H1183" i="1"/>
  <c r="H1193" i="1"/>
  <c r="H1203" i="1"/>
  <c r="H1213" i="1"/>
  <c r="H1223" i="1"/>
  <c r="H1233" i="1"/>
  <c r="H1243" i="1"/>
  <c r="H1253" i="1"/>
  <c r="H1263" i="1"/>
  <c r="H1273" i="1"/>
  <c r="H1061" i="1"/>
  <c r="H1071" i="1"/>
  <c r="H1278" i="1"/>
  <c r="H1288" i="1"/>
  <c r="H1298" i="1"/>
  <c r="H1308" i="1"/>
  <c r="H1318" i="1"/>
  <c r="H1328" i="1"/>
  <c r="H1338" i="1"/>
  <c r="H1348" i="1"/>
  <c r="H1358" i="1"/>
  <c r="H1368" i="1"/>
  <c r="H1378" i="1"/>
  <c r="H1388" i="1"/>
  <c r="H1398" i="1"/>
  <c r="H1408" i="1"/>
  <c r="H1418" i="1"/>
  <c r="H1428" i="1"/>
  <c r="H1438" i="1"/>
  <c r="H1448" i="1"/>
  <c r="H1458" i="1"/>
  <c r="H1468" i="1"/>
  <c r="H1478" i="1"/>
  <c r="H1488" i="1"/>
  <c r="H1498" i="1"/>
  <c r="H1508" i="1"/>
  <c r="H1518" i="1"/>
  <c r="H1528" i="1"/>
  <c r="H1538" i="1"/>
  <c r="H1548" i="1"/>
  <c r="H1558" i="1"/>
  <c r="H1568" i="1"/>
  <c r="H1578" i="1"/>
  <c r="H1086" i="1"/>
  <c r="H1096" i="1"/>
  <c r="H1106" i="1"/>
  <c r="H1116" i="1"/>
  <c r="H1126" i="1"/>
  <c r="H1136" i="1"/>
  <c r="H1146" i="1"/>
  <c r="H1156" i="1"/>
  <c r="H1166" i="1"/>
  <c r="H1176" i="1"/>
  <c r="H1186" i="1"/>
  <c r="H1196" i="1"/>
  <c r="H1206" i="1"/>
  <c r="H1216" i="1"/>
  <c r="H1226" i="1"/>
  <c r="H1236" i="1"/>
  <c r="H1246" i="1"/>
  <c r="H1256" i="1"/>
  <c r="H1266" i="1"/>
  <c r="H1073" i="1"/>
  <c r="H1064" i="1"/>
  <c r="H1056" i="1"/>
  <c r="H1279" i="1"/>
  <c r="H1289" i="1"/>
  <c r="H1299" i="1"/>
  <c r="H1309" i="1"/>
  <c r="H1319" i="1"/>
  <c r="H1329" i="1"/>
  <c r="H1339" i="1"/>
  <c r="H1349" i="1"/>
  <c r="H1359" i="1"/>
  <c r="H1369" i="1"/>
  <c r="H1379" i="1"/>
  <c r="H1389" i="1"/>
  <c r="H1399" i="1"/>
  <c r="H1409" i="1"/>
  <c r="H1419" i="1"/>
  <c r="H1429" i="1"/>
  <c r="H1439" i="1"/>
  <c r="H1449" i="1"/>
  <c r="H1459" i="1"/>
  <c r="H1469" i="1"/>
  <c r="H1479" i="1"/>
  <c r="H1489" i="1"/>
  <c r="H1499" i="1"/>
  <c r="H1509" i="1"/>
  <c r="H1519" i="1"/>
  <c r="H1529" i="1"/>
  <c r="H1539" i="1"/>
  <c r="H1549" i="1"/>
  <c r="H1559" i="1"/>
  <c r="H1569" i="1"/>
  <c r="H1579" i="1"/>
  <c r="H1087" i="1"/>
  <c r="H1097" i="1"/>
  <c r="H1276" i="1"/>
  <c r="H1347" i="1"/>
  <c r="H1376" i="1"/>
  <c r="H1447" i="1"/>
  <c r="H1476" i="1"/>
  <c r="H1503" i="1"/>
  <c r="H1543" i="1"/>
  <c r="H1081" i="1"/>
  <c r="H1108" i="1"/>
  <c r="H1120" i="1"/>
  <c r="H1132" i="1"/>
  <c r="H1145" i="1"/>
  <c r="H1158" i="1"/>
  <c r="H1170" i="1"/>
  <c r="H1182" i="1"/>
  <c r="H1195" i="1"/>
  <c r="H1208" i="1"/>
  <c r="H1220" i="1"/>
  <c r="H1232" i="1"/>
  <c r="H1245" i="1"/>
  <c r="H1258" i="1"/>
  <c r="H1270" i="1"/>
  <c r="H1079" i="1"/>
  <c r="H1055" i="1"/>
  <c r="H1306" i="1"/>
  <c r="H1377" i="1"/>
  <c r="H1406" i="1"/>
  <c r="H1477" i="1"/>
  <c r="H1504" i="1"/>
  <c r="H1221" i="1"/>
  <c r="H1259" i="1"/>
  <c r="H1271" i="1"/>
  <c r="H1057" i="1"/>
  <c r="H1291" i="1"/>
  <c r="H1304" i="1"/>
  <c r="H1320" i="1"/>
  <c r="H1333" i="1"/>
  <c r="H1362" i="1"/>
  <c r="H1391" i="1"/>
  <c r="H1404" i="1"/>
  <c r="H1420" i="1"/>
  <c r="H1433" i="1"/>
  <c r="H1462" i="1"/>
  <c r="H1491" i="1"/>
  <c r="H1517" i="1"/>
  <c r="H1531" i="1"/>
  <c r="H1557" i="1"/>
  <c r="H1571" i="1"/>
  <c r="H1095" i="1"/>
  <c r="H1277" i="1"/>
  <c r="H1544" i="1"/>
  <c r="H1082" i="1"/>
  <c r="H1109" i="1"/>
  <c r="H1121" i="1"/>
  <c r="H1134" i="1"/>
  <c r="H1147" i="1"/>
  <c r="H1159" i="1"/>
  <c r="H1171" i="1"/>
  <c r="H1184" i="1"/>
  <c r="H1197" i="1"/>
  <c r="H1209" i="1"/>
  <c r="H1234" i="1"/>
  <c r="H1247" i="1"/>
  <c r="H1281" i="1"/>
  <c r="H1294" i="1"/>
  <c r="H1310" i="1"/>
  <c r="H1323" i="1"/>
  <c r="H1352" i="1"/>
  <c r="H1381" i="1"/>
  <c r="H1394" i="1"/>
  <c r="H1410" i="1"/>
  <c r="H1423" i="1"/>
  <c r="H1452" i="1"/>
  <c r="H1481" i="1"/>
  <c r="H1494" i="1"/>
  <c r="H1534" i="1"/>
  <c r="H1574" i="1"/>
  <c r="H1296" i="1"/>
  <c r="H1367" i="1"/>
  <c r="H1396" i="1"/>
  <c r="H1467" i="1"/>
  <c r="H1522" i="1"/>
  <c r="H1562" i="1"/>
  <c r="H1100" i="1"/>
  <c r="H1112" i="1"/>
  <c r="H1125" i="1"/>
  <c r="H1138" i="1"/>
  <c r="H1150" i="1"/>
  <c r="H1162" i="1"/>
  <c r="H1175" i="1"/>
  <c r="H1188" i="1"/>
  <c r="H1200" i="1"/>
  <c r="H1212" i="1"/>
  <c r="H1225" i="1"/>
  <c r="H1238" i="1"/>
  <c r="H1250" i="1"/>
  <c r="H1262" i="1"/>
  <c r="H1072" i="1"/>
  <c r="H1066" i="1"/>
  <c r="H1060" i="1"/>
  <c r="H1282" i="1"/>
  <c r="H1311" i="1"/>
  <c r="H1324" i="1"/>
  <c r="H1340" i="1"/>
  <c r="H1317" i="1"/>
  <c r="H1397" i="1"/>
  <c r="H1414" i="1"/>
  <c r="H1434" i="1"/>
  <c r="H1472" i="1"/>
  <c r="H1492" i="1"/>
  <c r="H1563" i="1"/>
  <c r="H1114" i="1"/>
  <c r="H1164" i="1"/>
  <c r="H1214" i="1"/>
  <c r="H1264" i="1"/>
  <c r="H1564" i="1"/>
  <c r="H1115" i="1"/>
  <c r="H1215" i="1"/>
  <c r="H1265" i="1"/>
  <c r="H1058" i="1"/>
  <c r="H1342" i="1"/>
  <c r="H1400" i="1"/>
  <c r="H1417" i="1"/>
  <c r="H1437" i="1"/>
  <c r="H1512" i="1"/>
  <c r="H1547" i="1"/>
  <c r="H1080" i="1"/>
  <c r="H1099" i="1"/>
  <c r="H1131" i="1"/>
  <c r="H1149" i="1"/>
  <c r="H1181" i="1"/>
  <c r="H1199" i="1"/>
  <c r="H1231" i="1"/>
  <c r="H1249" i="1"/>
  <c r="H1474" i="1"/>
  <c r="H1167" i="1"/>
  <c r="H1300" i="1"/>
  <c r="H1341" i="1"/>
  <c r="H1416" i="1"/>
  <c r="H1436" i="1"/>
  <c r="H1454" i="1"/>
  <c r="H1511" i="1"/>
  <c r="H1527" i="1"/>
  <c r="H1546" i="1"/>
  <c r="H1581" i="1"/>
  <c r="H1098" i="1"/>
  <c r="H1130" i="1"/>
  <c r="H1148" i="1"/>
  <c r="H1180" i="1"/>
  <c r="H1198" i="1"/>
  <c r="H1230" i="1"/>
  <c r="H1248" i="1"/>
  <c r="H1077" i="1"/>
  <c r="H1280" i="1"/>
  <c r="H1321" i="1"/>
  <c r="H1360" i="1"/>
  <c r="H1380" i="1"/>
  <c r="H1456" i="1"/>
  <c r="H1473" i="1"/>
  <c r="H1493" i="1"/>
  <c r="H1165" i="1"/>
  <c r="H1301" i="1"/>
  <c r="H1078" i="1"/>
  <c r="H1322" i="1"/>
  <c r="H1361" i="1"/>
  <c r="H1382" i="1"/>
  <c r="H1440" i="1"/>
  <c r="H1457" i="1"/>
  <c r="H1496" i="1"/>
  <c r="H1530" i="1"/>
  <c r="H1550" i="1"/>
  <c r="H1566" i="1"/>
  <c r="H1117" i="1"/>
  <c r="H1217" i="1"/>
  <c r="H1267" i="1"/>
  <c r="H1059" i="1"/>
  <c r="H1307" i="1"/>
  <c r="H1386" i="1"/>
  <c r="H1403" i="1"/>
  <c r="H1424" i="1"/>
  <c r="H1461" i="1"/>
  <c r="H1482" i="1"/>
  <c r="H1500" i="1"/>
  <c r="H1516" i="1"/>
  <c r="H1536" i="1"/>
  <c r="H1570" i="1"/>
  <c r="H1088" i="1"/>
  <c r="H1104" i="1"/>
  <c r="H1154" i="1"/>
  <c r="H1204" i="1"/>
  <c r="H1254" i="1"/>
  <c r="H1065" i="1"/>
  <c r="H1287" i="1"/>
  <c r="H1350" i="1"/>
  <c r="H1426" i="1"/>
  <c r="H1443" i="1"/>
  <c r="H1463" i="1"/>
  <c r="H1553" i="1"/>
  <c r="H1572" i="1"/>
  <c r="H1139" i="1"/>
  <c r="H1189" i="1"/>
  <c r="H1239" i="1"/>
  <c r="H1330" i="1"/>
  <c r="H1370" i="1"/>
  <c r="H1387" i="1"/>
  <c r="H1407" i="1"/>
  <c r="H1483" i="1"/>
  <c r="H1501" i="1"/>
  <c r="H1520" i="1"/>
  <c r="H1537" i="1"/>
  <c r="H1089" i="1"/>
  <c r="H1105" i="1"/>
  <c r="H1122" i="1"/>
  <c r="H1155" i="1"/>
  <c r="H1172" i="1"/>
  <c r="H1205" i="1"/>
  <c r="H1222" i="1"/>
  <c r="H1255" i="1"/>
  <c r="H1283" i="1"/>
  <c r="H1351" i="1"/>
  <c r="H1412" i="1"/>
  <c r="H1444" i="1"/>
  <c r="H1506" i="1"/>
  <c r="H1151" i="1"/>
  <c r="H1260" i="1"/>
  <c r="H1353" i="1"/>
  <c r="H1068" i="1"/>
  <c r="H1421" i="1"/>
  <c r="H1451" i="1"/>
  <c r="H1268" i="1"/>
  <c r="H1292" i="1"/>
  <c r="H1314" i="1"/>
  <c r="H1383" i="1"/>
  <c r="H1446" i="1"/>
  <c r="H1567" i="1"/>
  <c r="H1092" i="1"/>
  <c r="H1124" i="1"/>
  <c r="H1178" i="1"/>
  <c r="H1207" i="1"/>
  <c r="H1235" i="1"/>
  <c r="H1067" i="1"/>
  <c r="H1316" i="1"/>
  <c r="H1573" i="1"/>
  <c r="H1211" i="1"/>
  <c r="H1284" i="1"/>
  <c r="H1356" i="1"/>
  <c r="H1128" i="1"/>
  <c r="H1514" i="1"/>
  <c r="H1241" i="1"/>
  <c r="H1286" i="1"/>
  <c r="H1484" i="1"/>
  <c r="H1069" i="1"/>
  <c r="H1327" i="1"/>
  <c r="H1357" i="1"/>
  <c r="H1392" i="1"/>
  <c r="H1453" i="1"/>
  <c r="H1129" i="1"/>
  <c r="H1187" i="1"/>
  <c r="H1269" i="1"/>
  <c r="H1070" i="1"/>
  <c r="H1293" i="1"/>
  <c r="H1363" i="1"/>
  <c r="H1427" i="1"/>
  <c r="H1487" i="1"/>
  <c r="H1577" i="1"/>
  <c r="H1160" i="1"/>
  <c r="H1190" i="1"/>
  <c r="H1242" i="1"/>
  <c r="H1272" i="1"/>
  <c r="H1331" i="1"/>
  <c r="H1393" i="1"/>
  <c r="H1521" i="1"/>
  <c r="H1551" i="1"/>
  <c r="H1107" i="1"/>
  <c r="H1135" i="1"/>
  <c r="H1218" i="1"/>
  <c r="H1054" i="1"/>
  <c r="H1297" i="1"/>
  <c r="H1364" i="1"/>
  <c r="H1460" i="1"/>
  <c r="H1161" i="1"/>
  <c r="H1191" i="1"/>
  <c r="H1244" i="1"/>
  <c r="H1366" i="1"/>
  <c r="H1490" i="1"/>
  <c r="H1523" i="1"/>
  <c r="H1552" i="1"/>
  <c r="H1580" i="1"/>
  <c r="H1219" i="1"/>
  <c r="H1302" i="1"/>
  <c r="H1251" i="1"/>
  <c r="H1466" i="1"/>
  <c r="H1402" i="1"/>
  <c r="H1111" i="1"/>
  <c r="H1141" i="1"/>
  <c r="H1252" i="1"/>
  <c r="H1075" i="1"/>
  <c r="H1085" i="1"/>
  <c r="H1169" i="1"/>
  <c r="H1470" i="1"/>
  <c r="H1532" i="1"/>
  <c r="H1312" i="1"/>
  <c r="H1502" i="1"/>
  <c r="H1174" i="1"/>
  <c r="H1062" i="1"/>
  <c r="H1411" i="1"/>
  <c r="H1346" i="1"/>
  <c r="H1119" i="1"/>
  <c r="H1063" i="1"/>
  <c r="H1480" i="1"/>
  <c r="H1261" i="1"/>
  <c r="H1510" i="1"/>
  <c r="H1127" i="1"/>
  <c r="H1354" i="1"/>
  <c r="H1541" i="1"/>
  <c r="H1290" i="1"/>
  <c r="H1185" i="1"/>
  <c r="H1422" i="1"/>
  <c r="H1542" i="1"/>
  <c r="H1274" i="1"/>
  <c r="H1332" i="1"/>
  <c r="H1137" i="1"/>
  <c r="H1334" i="1"/>
  <c r="H1401" i="1"/>
  <c r="H1110" i="1"/>
  <c r="H1192" i="1"/>
  <c r="H1074" i="1"/>
  <c r="H1371" i="1"/>
  <c r="H1431" i="1"/>
  <c r="H1524" i="1"/>
  <c r="H1224" i="1"/>
  <c r="H1303" i="1"/>
  <c r="H1556" i="1"/>
  <c r="H1194" i="1"/>
  <c r="H1337" i="1"/>
  <c r="H1227" i="1"/>
  <c r="H1343" i="1"/>
  <c r="H1560" i="1"/>
  <c r="H1201" i="1"/>
  <c r="H1076" i="1"/>
  <c r="H1090" i="1"/>
  <c r="H1257" i="1"/>
  <c r="H1344" i="1"/>
  <c r="H1471" i="1"/>
  <c r="H1561" i="1"/>
  <c r="H1144" i="1"/>
  <c r="H1313" i="1"/>
  <c r="H1091" i="1"/>
  <c r="H1177" i="1"/>
  <c r="H1413" i="1"/>
  <c r="H1540" i="1"/>
  <c r="H1179" i="1"/>
  <c r="H1101" i="1"/>
  <c r="H1430" i="1"/>
  <c r="H1464" i="1"/>
  <c r="H1554" i="1"/>
  <c r="H1140" i="1"/>
  <c r="H1336" i="1"/>
  <c r="H1497" i="1"/>
  <c r="H1084" i="1"/>
  <c r="H1168" i="1"/>
  <c r="H1372" i="1"/>
  <c r="H1432" i="1"/>
  <c r="H1526" i="1"/>
  <c r="H1142" i="1"/>
  <c r="H1373" i="1"/>
  <c r="H1441" i="1"/>
  <c r="H1118" i="1"/>
  <c r="H1228" i="1"/>
  <c r="H1533" i="1"/>
  <c r="H1374" i="1"/>
  <c r="H1442" i="1"/>
  <c r="H1229" i="1"/>
  <c r="H1507" i="1"/>
  <c r="H1152" i="1"/>
  <c r="H1384" i="1"/>
  <c r="H1450" i="1"/>
  <c r="H1094" i="1"/>
  <c r="H1237" i="1"/>
  <c r="H1513" i="1"/>
  <c r="H1240" i="1"/>
  <c r="H1326" i="1"/>
  <c r="H1486" i="1"/>
  <c r="H1576" i="1"/>
  <c r="H1202" i="1"/>
  <c r="H1210" i="1"/>
  <c r="H1157" i="1"/>
  <c r="H1390" i="1"/>
  <c r="H1102" i="1"/>
  <c r="B66" i="4"/>
  <c r="B12" i="3" s="1"/>
  <c r="H269" i="1"/>
  <c r="H152" i="1"/>
  <c r="H1026" i="1"/>
  <c r="H614" i="1"/>
  <c r="H232" i="1"/>
  <c r="H668" i="1"/>
  <c r="H104" i="1"/>
  <c r="H404" i="1"/>
  <c r="H126" i="1"/>
  <c r="H755" i="1"/>
  <c r="H191" i="1"/>
  <c r="H365" i="1"/>
  <c r="H163" i="1"/>
  <c r="H665" i="1"/>
  <c r="H119" i="1"/>
  <c r="H281" i="1"/>
  <c r="H748" i="1"/>
  <c r="H498" i="1"/>
  <c r="H678" i="1"/>
  <c r="H515" i="1"/>
  <c r="H702" i="1"/>
  <c r="H1006" i="1"/>
  <c r="H331" i="1"/>
  <c r="H357" i="1"/>
  <c r="H323" i="1"/>
  <c r="H418" i="1"/>
  <c r="H746" i="1"/>
  <c r="H183" i="1"/>
  <c r="H298" i="1"/>
  <c r="H173" i="1"/>
  <c r="H291" i="1"/>
  <c r="H50" i="1"/>
  <c r="H225" i="1"/>
  <c r="H317" i="1"/>
  <c r="H619" i="1"/>
  <c r="H475" i="1"/>
  <c r="H658" i="1"/>
  <c r="H734" i="1"/>
  <c r="H922" i="1"/>
  <c r="H351" i="1"/>
  <c r="H380" i="1"/>
  <c r="H376" i="1"/>
  <c r="H506" i="1"/>
  <c r="H733" i="1"/>
  <c r="H182" i="1"/>
  <c r="H308" i="1"/>
  <c r="H289" i="1"/>
  <c r="H314" i="1"/>
  <c r="H88" i="1"/>
  <c r="H246" i="1"/>
  <c r="H166" i="1"/>
  <c r="H597" i="1"/>
  <c r="H373" i="1"/>
  <c r="H698" i="1"/>
  <c r="H769" i="1"/>
  <c r="H844" i="1"/>
  <c r="H361" i="1"/>
  <c r="H393" i="1"/>
  <c r="H415" i="1"/>
  <c r="H555" i="1"/>
  <c r="H704" i="1"/>
  <c r="H35" i="1"/>
  <c r="H318" i="1"/>
  <c r="H312" i="1"/>
  <c r="H109" i="1"/>
  <c r="H117" i="1"/>
  <c r="H263" i="1"/>
  <c r="H284" i="1"/>
  <c r="H816" i="1"/>
  <c r="H364" i="1"/>
  <c r="H728" i="1"/>
  <c r="H805" i="1"/>
  <c r="H794" i="1"/>
  <c r="H421" i="1"/>
  <c r="H416" i="1"/>
  <c r="H516" i="1"/>
  <c r="H578" i="1"/>
  <c r="H690" i="1"/>
  <c r="H176" i="1"/>
  <c r="H19" i="1"/>
  <c r="H10" i="1"/>
  <c r="H180" i="1"/>
  <c r="H244" i="1"/>
  <c r="H282" i="1"/>
  <c r="H319" i="1"/>
  <c r="H586" i="1"/>
  <c r="H363" i="1"/>
  <c r="H764" i="1"/>
  <c r="H843" i="1"/>
  <c r="H750" i="1"/>
  <c r="H461" i="1"/>
  <c r="H439" i="1"/>
  <c r="H576" i="1"/>
  <c r="H602" i="1"/>
  <c r="H677" i="1"/>
  <c r="H292" i="1"/>
  <c r="H39" i="1"/>
  <c r="H215" i="1"/>
  <c r="H243" i="1"/>
  <c r="H261" i="1"/>
  <c r="H26" i="1"/>
  <c r="H30" i="1"/>
  <c r="H988" i="1"/>
  <c r="H870" i="1"/>
  <c r="H572" i="1"/>
  <c r="H971" i="1"/>
  <c r="H696" i="1"/>
  <c r="H430" i="1"/>
  <c r="H348" i="1"/>
  <c r="H75" i="1"/>
  <c r="H202" i="1"/>
  <c r="H131" i="1"/>
  <c r="H51" i="1"/>
  <c r="H283" i="1"/>
  <c r="H894" i="1"/>
  <c r="H903" i="1"/>
  <c r="H512" i="1"/>
  <c r="H1021" i="1"/>
  <c r="H707" i="1"/>
  <c r="H444" i="1"/>
  <c r="H332" i="1"/>
  <c r="H4" i="1"/>
  <c r="H214" i="1"/>
  <c r="H154" i="1"/>
  <c r="H89" i="1"/>
  <c r="H95" i="1"/>
  <c r="H760" i="1"/>
  <c r="H783" i="1"/>
  <c r="H969" i="1"/>
  <c r="H460" i="1"/>
  <c r="H321" i="1"/>
  <c r="H718" i="1"/>
  <c r="H543" i="1"/>
  <c r="H787" i="1"/>
  <c r="H273" i="1"/>
  <c r="H226" i="1"/>
  <c r="H177" i="1"/>
  <c r="H295" i="1"/>
  <c r="H130" i="1"/>
  <c r="H635" i="1"/>
  <c r="H579" i="1"/>
  <c r="H934" i="1"/>
  <c r="H1053" i="1"/>
  <c r="H471" i="1"/>
  <c r="H785" i="1"/>
  <c r="H905" i="1"/>
  <c r="H965" i="1"/>
  <c r="H234" i="1"/>
  <c r="H300" i="1"/>
  <c r="H303" i="1"/>
  <c r="H52" i="1"/>
  <c r="H165" i="1"/>
  <c r="H525" i="1"/>
  <c r="H898" i="1"/>
  <c r="H443" i="1"/>
  <c r="H967" i="1"/>
  <c r="H481" i="1"/>
  <c r="H818" i="1"/>
  <c r="H339" i="1"/>
  <c r="H827" i="1"/>
  <c r="H74" i="1"/>
  <c r="H55" i="1"/>
  <c r="H15" i="1"/>
  <c r="H224" i="1"/>
  <c r="H193" i="1"/>
  <c r="H945" i="1"/>
  <c r="H820" i="1"/>
  <c r="H593" i="1"/>
  <c r="H714" i="1"/>
  <c r="H491" i="1"/>
  <c r="H829" i="1"/>
  <c r="H353" i="1"/>
  <c r="H799" i="1"/>
  <c r="B16" i="1"/>
  <c r="H81" i="1"/>
  <c r="H41" i="1"/>
  <c r="H245" i="1"/>
  <c r="H211" i="1"/>
  <c r="H942" i="1"/>
  <c r="H736" i="1"/>
  <c r="H628" i="1"/>
  <c r="H510" i="1"/>
  <c r="H531" i="1"/>
  <c r="H840" i="1"/>
  <c r="H378" i="1"/>
  <c r="H772" i="1"/>
  <c r="H809" i="1"/>
  <c r="H897" i="1"/>
  <c r="H700" i="1"/>
  <c r="H712" i="1"/>
  <c r="H721" i="1"/>
  <c r="H863" i="1"/>
  <c r="H328" i="1"/>
  <c r="H745" i="1"/>
  <c r="H118" i="1"/>
  <c r="H227" i="1"/>
  <c r="H16" i="1"/>
  <c r="H53" i="1"/>
  <c r="H145" i="1"/>
  <c r="H692" i="1"/>
  <c r="H757" i="1"/>
  <c r="H768" i="1"/>
  <c r="H656" i="1"/>
  <c r="H741" i="1"/>
  <c r="H874" i="1"/>
  <c r="H446" i="1"/>
  <c r="H703" i="1"/>
  <c r="H138" i="1"/>
  <c r="H241" i="1"/>
  <c r="H48" i="1"/>
  <c r="H91" i="1"/>
  <c r="H320" i="1"/>
  <c r="H583" i="1"/>
  <c r="H719" i="1"/>
  <c r="H804" i="1"/>
  <c r="H836" i="1"/>
  <c r="H751" i="1"/>
  <c r="H918" i="1"/>
  <c r="H545" i="1"/>
  <c r="H606" i="1"/>
  <c r="H158" i="1"/>
  <c r="H301" i="1"/>
  <c r="H77" i="1"/>
  <c r="H123" i="1"/>
  <c r="H73" i="1"/>
  <c r="H632" i="1"/>
  <c r="H675" i="1"/>
  <c r="H935" i="1"/>
  <c r="H793" i="1"/>
  <c r="H761" i="1"/>
  <c r="H929" i="1"/>
  <c r="H860" i="1"/>
  <c r="H502" i="1"/>
  <c r="H278" i="1"/>
  <c r="H34" i="1"/>
  <c r="H115" i="1"/>
  <c r="H92" i="1"/>
  <c r="H221" i="1"/>
  <c r="H1025" i="1"/>
  <c r="H617" i="1"/>
  <c r="H410" i="1"/>
  <c r="H550" i="1"/>
  <c r="H821" i="1"/>
  <c r="H369" i="1"/>
  <c r="H884" i="1"/>
  <c r="H487" i="1"/>
  <c r="H288" i="1"/>
  <c r="H57" i="1"/>
  <c r="H147" i="1"/>
  <c r="H190" i="1"/>
  <c r="H142" i="1"/>
  <c r="H489" i="1"/>
  <c r="H356" i="1"/>
  <c r="H567" i="1"/>
  <c r="H505" i="1"/>
  <c r="H861" i="1"/>
  <c r="H669" i="1"/>
  <c r="H1013" i="1"/>
  <c r="H389" i="1"/>
  <c r="H59" i="1"/>
  <c r="H83" i="1"/>
  <c r="H184" i="1"/>
  <c r="H61" i="1"/>
  <c r="H137" i="1"/>
  <c r="H932" i="1"/>
  <c r="H756" i="1"/>
  <c r="H385" i="1"/>
  <c r="H449" i="1"/>
  <c r="H901" i="1"/>
  <c r="H693" i="1"/>
  <c r="H1039" i="1"/>
  <c r="H358" i="1"/>
  <c r="H79" i="1"/>
  <c r="H129" i="1"/>
  <c r="H222" i="1"/>
  <c r="H93" i="1"/>
  <c r="H305" i="1"/>
  <c r="H127" i="1"/>
  <c r="H392" i="1"/>
  <c r="H247" i="1"/>
  <c r="H715" i="1"/>
  <c r="H197" i="1"/>
  <c r="H390" i="1"/>
  <c r="H160" i="1"/>
  <c r="H419" i="1"/>
  <c r="H139" i="1"/>
  <c r="H997" i="1"/>
  <c r="H125" i="1"/>
  <c r="H845" i="1"/>
  <c r="H838" i="1"/>
  <c r="H99" i="1"/>
  <c r="H852" i="1"/>
  <c r="H802" i="1"/>
  <c r="H262" i="1"/>
  <c r="H122" i="1"/>
  <c r="H674" i="1"/>
  <c r="H22" i="1"/>
  <c r="H69" i="1"/>
  <c r="H607" i="1"/>
  <c r="H465" i="1"/>
  <c r="H277" i="1"/>
  <c r="H157" i="1"/>
  <c r="H1041" i="1"/>
  <c r="H355" i="1"/>
  <c r="H49" i="1"/>
  <c r="H212" i="1"/>
  <c r="H961" i="1"/>
  <c r="H978" i="1"/>
  <c r="H17" i="1"/>
  <c r="H285" i="1"/>
  <c r="H911" i="1"/>
  <c r="H426" i="1"/>
  <c r="H260" i="1"/>
  <c r="H44" i="1"/>
  <c r="H541" i="1"/>
  <c r="H582" i="1"/>
  <c r="H309" i="1"/>
  <c r="H167" i="1"/>
  <c r="H653" i="1"/>
  <c r="H990" i="1"/>
  <c r="H256" i="1"/>
  <c r="H293" i="1"/>
  <c r="H758" i="1"/>
  <c r="H340" i="1"/>
  <c r="H486" i="1"/>
  <c r="H304" i="1"/>
  <c r="H108" i="1"/>
  <c r="H383" i="1"/>
  <c r="H605" i="1"/>
  <c r="H724" i="1"/>
  <c r="H45" i="1"/>
  <c r="H13" i="1"/>
  <c r="H682" i="1"/>
  <c r="H879" i="1"/>
  <c r="H727" i="1"/>
  <c r="H114" i="1"/>
  <c r="H302" i="1"/>
  <c r="H778" i="1"/>
  <c r="H397" i="1"/>
  <c r="H188" i="1"/>
  <c r="H279" i="1"/>
  <c r="H998" i="1"/>
  <c r="H1050" i="1"/>
  <c r="H857" i="1"/>
  <c r="H587" i="1"/>
  <c r="H42" i="1"/>
  <c r="H950" i="1"/>
  <c r="H1036" i="1"/>
  <c r="H326" i="1"/>
  <c r="H337" i="1"/>
  <c r="H618" i="1"/>
  <c r="H731" i="1"/>
  <c r="H916" i="1"/>
  <c r="H959" i="1"/>
  <c r="H600" i="1"/>
  <c r="H972" i="1"/>
  <c r="H1014" i="1"/>
  <c r="H580" i="1"/>
  <c r="H786" i="1"/>
  <c r="H1030" i="1"/>
  <c r="H909" i="1"/>
  <c r="H533" i="1"/>
  <c r="H255" i="1"/>
  <c r="H11" i="1"/>
  <c r="H259" i="1"/>
  <c r="H38" i="1"/>
  <c r="H43" i="1"/>
  <c r="H456" i="1"/>
  <c r="H989" i="1"/>
  <c r="H835" i="1"/>
  <c r="H327" i="1"/>
  <c r="H485" i="1"/>
  <c r="H711" i="1"/>
  <c r="H396" i="1"/>
  <c r="H1049" i="1"/>
  <c r="H527" i="1"/>
  <c r="H904" i="1"/>
  <c r="H413" i="1"/>
  <c r="H738" i="1"/>
  <c r="H992" i="1"/>
  <c r="H394" i="1"/>
  <c r="H249" i="1"/>
  <c r="H18" i="1"/>
  <c r="H235" i="1"/>
  <c r="H488" i="1"/>
  <c r="H966" i="1"/>
  <c r="H613" i="1"/>
  <c r="H428" i="1"/>
  <c r="H474" i="1"/>
  <c r="H691" i="1"/>
  <c r="H448" i="1"/>
  <c r="H509" i="1"/>
  <c r="H344" i="1"/>
  <c r="H872" i="1"/>
  <c r="H464" i="1"/>
  <c r="H777" i="1"/>
  <c r="H429" i="1"/>
  <c r="H537" i="1"/>
  <c r="H231" i="1"/>
  <c r="H265" i="1"/>
  <c r="H209" i="1"/>
  <c r="H236" i="1"/>
  <c r="H649" i="1"/>
  <c r="H943" i="1"/>
  <c r="H589" i="1"/>
  <c r="H405" i="1"/>
  <c r="H463" i="1"/>
  <c r="H681" i="1"/>
  <c r="H500" i="1"/>
  <c r="H795" i="1"/>
  <c r="H908" i="1"/>
  <c r="H699" i="1"/>
  <c r="H514" i="1"/>
  <c r="H782" i="1"/>
  <c r="H584" i="1"/>
  <c r="H982" i="1"/>
  <c r="H205" i="1"/>
  <c r="H253" i="1"/>
  <c r="H199" i="1"/>
  <c r="H46" i="1"/>
  <c r="H251" i="1"/>
  <c r="H664" i="1"/>
  <c r="H919" i="1"/>
  <c r="H566" i="1"/>
  <c r="H382" i="1"/>
  <c r="H452" i="1"/>
  <c r="H671" i="1"/>
  <c r="H549" i="1"/>
  <c r="H1008" i="1"/>
  <c r="H876" i="1"/>
  <c r="H660" i="1"/>
  <c r="H575" i="1"/>
  <c r="H687" i="1"/>
  <c r="H694" i="1"/>
  <c r="H1019" i="1"/>
  <c r="H837" i="1"/>
  <c r="H822" i="1"/>
  <c r="H663" i="1"/>
  <c r="H213" i="1"/>
  <c r="H846" i="1"/>
  <c r="H666" i="1"/>
  <c r="H354" i="1"/>
  <c r="H824" i="1"/>
  <c r="H830" i="1"/>
  <c r="H536" i="1"/>
  <c r="H66" i="1"/>
  <c r="H223" i="1"/>
  <c r="H85" i="1"/>
  <c r="H239" i="1"/>
  <c r="H146" i="1"/>
  <c r="H1047" i="1"/>
  <c r="H767" i="1"/>
  <c r="H775" i="1"/>
  <c r="H652" i="1"/>
  <c r="H941" i="1"/>
  <c r="H338" i="1"/>
  <c r="H655" i="1"/>
  <c r="H1012" i="1"/>
  <c r="H803" i="1"/>
  <c r="H813" i="1"/>
  <c r="H143" i="1"/>
  <c r="H62" i="1"/>
  <c r="H198" i="1"/>
  <c r="H112" i="1"/>
  <c r="H325" i="1"/>
  <c r="H554" i="1"/>
  <c r="H615" i="1"/>
  <c r="H739" i="1"/>
  <c r="H1007" i="1"/>
  <c r="H640" i="1"/>
  <c r="H931" i="1"/>
  <c r="H561" i="1"/>
  <c r="H395" i="1"/>
  <c r="H710" i="1"/>
  <c r="H923" i="1"/>
  <c r="H495" i="1"/>
  <c r="H594" i="1"/>
  <c r="H766" i="1"/>
  <c r="H977" i="1"/>
  <c r="H735" i="1"/>
  <c r="H377" i="1"/>
  <c r="H624" i="1"/>
  <c r="H913" i="1"/>
  <c r="H776" i="1"/>
  <c r="H107" i="1"/>
  <c r="H447" i="1"/>
  <c r="H1034" i="1"/>
  <c r="H1052" i="1"/>
  <c r="H951" i="1"/>
  <c r="H661" i="1"/>
  <c r="H608" i="1"/>
  <c r="H800" i="1"/>
  <c r="H839" i="1"/>
  <c r="H808" i="1"/>
  <c r="H705" i="1"/>
  <c r="H307" i="1"/>
  <c r="H207" i="1"/>
  <c r="H200" i="1"/>
  <c r="H174" i="1"/>
  <c r="H248" i="1"/>
  <c r="H111" i="1"/>
  <c r="H493" i="1"/>
  <c r="H1010" i="1"/>
  <c r="H1040" i="1"/>
  <c r="H621" i="1"/>
  <c r="H886" i="1"/>
  <c r="H630" i="1"/>
  <c r="H925" i="1"/>
  <c r="H1015" i="1"/>
  <c r="H900" i="1"/>
  <c r="H937" i="1"/>
  <c r="H644" i="1"/>
  <c r="H28" i="1"/>
  <c r="H189" i="1"/>
  <c r="H186" i="1"/>
  <c r="H87" i="1"/>
  <c r="H56" i="1"/>
  <c r="H229" i="1"/>
  <c r="H5" i="1"/>
  <c r="H964" i="1"/>
  <c r="H272" i="1"/>
  <c r="H299" i="1"/>
  <c r="H161" i="1"/>
  <c r="H149" i="1"/>
  <c r="H64" i="1"/>
  <c r="H36" i="1"/>
  <c r="H33" i="1"/>
  <c r="H219" i="1"/>
  <c r="H178" i="1"/>
  <c r="H76" i="1"/>
  <c r="H113" i="1"/>
  <c r="H343" i="1"/>
  <c r="H569" i="1"/>
  <c r="H568" i="1"/>
  <c r="H928" i="1"/>
  <c r="H716" i="1"/>
  <c r="H940" i="1"/>
  <c r="H629" i="1"/>
  <c r="H921" i="1"/>
  <c r="H551" i="1"/>
  <c r="H436" i="1"/>
  <c r="H749" i="1"/>
  <c r="H960" i="1"/>
  <c r="H454" i="1"/>
  <c r="H559" i="1"/>
  <c r="H730" i="1"/>
  <c r="H360" i="1"/>
  <c r="H817" i="1"/>
  <c r="H476" i="1"/>
  <c r="H854" i="1"/>
  <c r="H435" i="1"/>
  <c r="H865" i="1"/>
  <c r="H503" i="1"/>
  <c r="H819" i="1"/>
  <c r="H407" i="1"/>
  <c r="H683" i="1"/>
  <c r="H646" i="1"/>
  <c r="H907" i="1"/>
  <c r="H596" i="1"/>
  <c r="H891" i="1"/>
  <c r="H521" i="1"/>
  <c r="H955" i="1"/>
  <c r="H880" i="1"/>
  <c r="H352" i="1"/>
  <c r="H345" i="1"/>
  <c r="H906" i="1"/>
  <c r="H626" i="1"/>
  <c r="H412" i="1"/>
  <c r="H1032" i="1"/>
  <c r="H877" i="1"/>
  <c r="H1028" i="1"/>
  <c r="H723" i="1"/>
  <c r="H679" i="1"/>
  <c r="H135" i="1"/>
  <c r="H297" i="1"/>
  <c r="H24" i="1"/>
  <c r="H21" i="1"/>
  <c r="H280" i="1"/>
  <c r="H266" i="1"/>
  <c r="H276" i="1"/>
  <c r="H140" i="1"/>
  <c r="H98" i="1"/>
  <c r="H172" i="1"/>
  <c r="H438" i="1"/>
  <c r="H535" i="1"/>
  <c r="H833" i="1"/>
  <c r="H367" i="1"/>
  <c r="H659" i="1"/>
  <c r="H623" i="1"/>
  <c r="H896" i="1"/>
  <c r="H563" i="1"/>
  <c r="H881" i="1"/>
  <c r="H511" i="1"/>
  <c r="H995" i="1"/>
  <c r="H1048" i="1"/>
  <c r="H400" i="1"/>
  <c r="H672" i="1"/>
  <c r="H873" i="1"/>
  <c r="H478" i="1"/>
  <c r="H462" i="1"/>
  <c r="H468" i="1"/>
  <c r="H425" i="1"/>
  <c r="H859" i="1"/>
  <c r="H825" i="1"/>
  <c r="H779" i="1"/>
  <c r="H68" i="1"/>
  <c r="H210" i="1"/>
  <c r="H313" i="1"/>
  <c r="H275" i="1"/>
  <c r="H267" i="1"/>
  <c r="H230" i="1"/>
  <c r="H195" i="1"/>
  <c r="H80" i="1"/>
  <c r="H58" i="1"/>
  <c r="H31" i="1"/>
  <c r="H472" i="1"/>
  <c r="H622" i="1"/>
  <c r="H888" i="1"/>
  <c r="H342" i="1"/>
  <c r="H636" i="1"/>
  <c r="H599" i="1"/>
  <c r="H885" i="1"/>
  <c r="H496" i="1"/>
  <c r="H871" i="1"/>
  <c r="H501" i="1"/>
  <c r="H1045" i="1"/>
  <c r="H609" i="1"/>
  <c r="H459" i="1"/>
  <c r="H637" i="1"/>
  <c r="H842" i="1"/>
  <c r="H1002" i="1"/>
  <c r="H513" i="1"/>
  <c r="H647" i="1"/>
  <c r="H544" i="1"/>
  <c r="H427" i="1"/>
  <c r="H1022" i="1"/>
  <c r="H866" i="1"/>
  <c r="H201" i="1"/>
  <c r="H217" i="1"/>
  <c r="H106" i="1"/>
  <c r="H150" i="1"/>
  <c r="H159" i="1"/>
  <c r="H78" i="1"/>
  <c r="H169" i="1"/>
  <c r="H374" i="1"/>
  <c r="H473" i="1"/>
  <c r="H627" i="1"/>
  <c r="H592" i="1"/>
  <c r="H987" i="1"/>
  <c r="H798" i="1"/>
  <c r="H346" i="1"/>
  <c r="H685" i="1"/>
  <c r="H322" i="1"/>
  <c r="H701" i="1"/>
  <c r="H341" i="1"/>
  <c r="H654" i="1"/>
  <c r="H883" i="1"/>
  <c r="H402" i="1"/>
  <c r="H490" i="1"/>
  <c r="H732" i="1"/>
  <c r="H933" i="1"/>
  <c r="H573" i="1"/>
  <c r="H577" i="1"/>
  <c r="H986" i="1"/>
  <c r="H855" i="1"/>
  <c r="H1017" i="1"/>
  <c r="H954" i="1"/>
  <c r="H743" i="1"/>
  <c r="H524" i="1"/>
  <c r="H867" i="1"/>
  <c r="H334" i="1"/>
  <c r="H651" i="1"/>
  <c r="H499" i="1"/>
  <c r="H920" i="1"/>
  <c r="H565" i="1"/>
  <c r="H453" i="1"/>
  <c r="H558" i="1"/>
  <c r="H625" i="1"/>
  <c r="H979" i="1"/>
  <c r="H688" i="1"/>
  <c r="H910" i="1"/>
  <c r="H1016" i="1"/>
  <c r="H250" i="1"/>
  <c r="H192" i="1"/>
  <c r="H23" i="1"/>
  <c r="H274" i="1"/>
  <c r="H254" i="1"/>
  <c r="H32" i="1"/>
  <c r="H268" i="1"/>
  <c r="H286" i="1"/>
  <c r="H408" i="1"/>
  <c r="H847" i="1"/>
  <c r="H814" i="1"/>
  <c r="H882" i="1"/>
  <c r="H1044" i="1"/>
  <c r="H553" i="1"/>
  <c r="H1029" i="1"/>
  <c r="H807" i="1"/>
  <c r="H585" i="1"/>
  <c r="H324" i="1"/>
  <c r="H841" i="1"/>
  <c r="H641" i="1"/>
  <c r="H441" i="1"/>
  <c r="H547" i="1"/>
  <c r="H792" i="1"/>
  <c r="H958" i="1"/>
  <c r="H399" i="1"/>
  <c r="H612" i="1"/>
  <c r="H889" i="1"/>
  <c r="H417" i="1"/>
  <c r="H522" i="1"/>
  <c r="H557" i="1"/>
  <c r="H588" i="1"/>
  <c r="H670" i="1"/>
  <c r="H893" i="1"/>
  <c r="H1043" i="1"/>
  <c r="H539" i="1"/>
  <c r="H784" i="1"/>
  <c r="H633" i="1"/>
  <c r="H993" i="1"/>
  <c r="H826" i="1"/>
  <c r="H947" i="1"/>
  <c r="H420" i="1"/>
  <c r="H851" i="1"/>
  <c r="H451" i="1"/>
  <c r="H709" i="1"/>
  <c r="H350" i="1"/>
  <c r="H849" i="1"/>
  <c r="H523" i="1"/>
  <c r="H590" i="1"/>
  <c r="H616" i="1"/>
  <c r="H853" i="1"/>
  <c r="H423" i="1"/>
  <c r="H1027" i="1"/>
  <c r="H598" i="1"/>
  <c r="H386" i="1"/>
  <c r="H47" i="1"/>
  <c r="H162" i="1"/>
  <c r="H310" i="1"/>
  <c r="H155" i="1"/>
  <c r="H203" i="1"/>
  <c r="H120" i="1"/>
  <c r="H257" i="1"/>
  <c r="H168" i="1"/>
  <c r="H534" i="1"/>
  <c r="H759" i="1"/>
  <c r="H532" i="1"/>
  <c r="H483" i="1"/>
  <c r="H136" i="1"/>
  <c r="H194" i="1"/>
  <c r="H164" i="1"/>
  <c r="H124" i="1"/>
  <c r="H311" i="1"/>
  <c r="H294" i="1"/>
  <c r="H237" i="1"/>
  <c r="H132" i="1"/>
  <c r="H242" i="1"/>
  <c r="H196" i="1"/>
  <c r="H9" i="1"/>
  <c r="H100" i="1"/>
  <c r="H258" i="1"/>
  <c r="H270" i="1"/>
  <c r="H6" i="1"/>
  <c r="H290" i="1"/>
  <c r="H562" i="1"/>
  <c r="H424" i="1"/>
  <c r="H773" i="1"/>
  <c r="H875" i="1"/>
  <c r="H790" i="1"/>
  <c r="H519" i="1"/>
  <c r="H858" i="1"/>
  <c r="H1020" i="1"/>
  <c r="H528" i="1"/>
  <c r="H1018" i="1"/>
  <c r="H796" i="1"/>
  <c r="H574" i="1"/>
  <c r="H1051" i="1"/>
  <c r="H831" i="1"/>
  <c r="H631" i="1"/>
  <c r="H431" i="1"/>
  <c r="H604" i="1"/>
  <c r="H834" i="1"/>
  <c r="H1000" i="1"/>
  <c r="H458" i="1"/>
  <c r="H667" i="1"/>
  <c r="H968" i="1"/>
  <c r="H384" i="1"/>
  <c r="H445" i="1"/>
  <c r="H480" i="1"/>
  <c r="H520" i="1"/>
  <c r="H556" i="1"/>
  <c r="H717" i="1"/>
  <c r="H927" i="1"/>
  <c r="H470" i="1"/>
  <c r="H680" i="1"/>
  <c r="H895" i="1"/>
  <c r="H856" i="1"/>
  <c r="H433" i="1"/>
  <c r="H1023" i="1"/>
  <c r="H387" i="1"/>
  <c r="H780" i="1"/>
  <c r="H220" i="1"/>
  <c r="H134" i="1"/>
  <c r="H94" i="1"/>
  <c r="H54" i="1"/>
  <c r="H206" i="1"/>
  <c r="H185" i="1"/>
  <c r="H181" i="1"/>
  <c r="H86" i="1"/>
  <c r="H216" i="1"/>
  <c r="H151" i="1"/>
  <c r="H287" i="1"/>
  <c r="H60" i="1"/>
  <c r="H238" i="1"/>
  <c r="H306" i="1"/>
  <c r="H7" i="1"/>
  <c r="H90" i="1"/>
  <c r="H620" i="1"/>
  <c r="H517" i="1"/>
  <c r="H815" i="1"/>
  <c r="H902" i="1"/>
  <c r="H744" i="1"/>
  <c r="H494" i="1"/>
  <c r="H812" i="1"/>
  <c r="H962" i="1"/>
  <c r="H504" i="1"/>
  <c r="H996" i="1"/>
  <c r="H774" i="1"/>
  <c r="H552" i="1"/>
  <c r="H1031" i="1"/>
  <c r="H811" i="1"/>
  <c r="H611" i="1"/>
  <c r="H411" i="1"/>
  <c r="H708" i="1"/>
  <c r="H917" i="1"/>
  <c r="H349" i="1"/>
  <c r="H564" i="1"/>
  <c r="H754" i="1"/>
  <c r="H673" i="1"/>
  <c r="H336" i="1"/>
  <c r="H372" i="1"/>
  <c r="H409" i="1"/>
  <c r="H442" i="1"/>
  <c r="H477" i="1"/>
  <c r="H806" i="1"/>
  <c r="H414" i="1"/>
  <c r="H650" i="1"/>
  <c r="H864" i="1"/>
  <c r="H595" i="1"/>
  <c r="H379" i="1"/>
  <c r="H695" i="1"/>
  <c r="H725" i="1"/>
  <c r="H643" i="1"/>
  <c r="H983" i="1"/>
  <c r="H70" i="1"/>
  <c r="H96" i="1"/>
  <c r="H65" i="1"/>
  <c r="H25" i="1"/>
  <c r="H187" i="1"/>
  <c r="H148" i="1"/>
  <c r="H156" i="1"/>
  <c r="H63" i="1"/>
  <c r="H204" i="1"/>
  <c r="H128" i="1"/>
  <c r="H264" i="1"/>
  <c r="H40" i="1"/>
  <c r="H228" i="1"/>
  <c r="H141" i="1"/>
  <c r="H170" i="1"/>
  <c r="H97" i="1"/>
  <c r="H634" i="1"/>
  <c r="H548" i="1"/>
  <c r="H828" i="1"/>
  <c r="H944" i="1"/>
  <c r="H720" i="1"/>
  <c r="H482" i="1"/>
  <c r="H788" i="1"/>
  <c r="H938" i="1"/>
  <c r="H492" i="1"/>
  <c r="H985" i="1"/>
  <c r="H763" i="1"/>
  <c r="H540" i="1"/>
  <c r="H1011" i="1"/>
  <c r="H801" i="1"/>
  <c r="H601" i="1"/>
  <c r="H401" i="1"/>
  <c r="H747" i="1"/>
  <c r="H956" i="1"/>
  <c r="H398" i="1"/>
  <c r="H610" i="1"/>
  <c r="H797" i="1"/>
  <c r="H639" i="1"/>
  <c r="H1042" i="1"/>
  <c r="H335" i="1"/>
  <c r="H370" i="1"/>
  <c r="H406" i="1"/>
  <c r="H437" i="1"/>
  <c r="H850" i="1"/>
  <c r="H362" i="1"/>
  <c r="H737" i="1"/>
  <c r="H948" i="1"/>
  <c r="H722" i="1"/>
  <c r="H946" i="1"/>
  <c r="H810" i="1"/>
  <c r="H1024" i="1"/>
  <c r="H770" i="1"/>
  <c r="H538" i="1"/>
  <c r="H271" i="1"/>
  <c r="H67" i="1"/>
  <c r="H27" i="1"/>
  <c r="H315" i="1"/>
  <c r="H153" i="1"/>
  <c r="H116" i="1"/>
  <c r="H133" i="1"/>
  <c r="H37" i="1"/>
  <c r="H3" i="1"/>
  <c r="H105" i="1"/>
  <c r="H252" i="1"/>
  <c r="H20" i="1"/>
  <c r="H218" i="1"/>
  <c r="H72" i="1"/>
  <c r="H8" i="1"/>
  <c r="H101" i="1"/>
  <c r="H648" i="1"/>
  <c r="H359" i="1"/>
  <c r="H869" i="1"/>
  <c r="H957" i="1"/>
  <c r="H697" i="1"/>
  <c r="H469" i="1"/>
  <c r="H765" i="1"/>
  <c r="H915" i="1"/>
  <c r="H479" i="1"/>
  <c r="H974" i="1"/>
  <c r="H752" i="1"/>
  <c r="H529" i="1"/>
  <c r="H1001" i="1"/>
  <c r="H791" i="1"/>
  <c r="H591" i="1"/>
  <c r="H391" i="1"/>
  <c r="H789" i="1"/>
  <c r="H999" i="1"/>
  <c r="H450" i="1"/>
  <c r="H657" i="1"/>
  <c r="H848" i="1"/>
  <c r="H603" i="1"/>
  <c r="H1005" i="1"/>
  <c r="H1038" i="1"/>
  <c r="H333" i="1"/>
  <c r="H368" i="1"/>
  <c r="H403" i="1"/>
  <c r="H890" i="1"/>
  <c r="H466" i="1"/>
  <c r="H823" i="1"/>
  <c r="H422" i="1"/>
  <c r="H914" i="1"/>
  <c r="H526" i="1"/>
  <c r="H912" i="1"/>
  <c r="H497" i="1"/>
  <c r="H862" i="1"/>
  <c r="H684" i="1"/>
  <c r="H71" i="1"/>
  <c r="H29" i="1"/>
  <c r="H316" i="1"/>
  <c r="H296" i="1"/>
  <c r="H121" i="1"/>
  <c r="H84" i="1"/>
  <c r="H110" i="1"/>
  <c r="H14" i="1"/>
  <c r="H175" i="1"/>
  <c r="H82" i="1"/>
  <c r="H240" i="1"/>
  <c r="H179" i="1"/>
  <c r="H208" i="1"/>
  <c r="H233" i="1"/>
  <c r="H171" i="1"/>
  <c r="H102" i="1"/>
  <c r="H676" i="1"/>
  <c r="H375" i="1"/>
  <c r="H953" i="1"/>
  <c r="H970" i="1"/>
  <c r="H662" i="1"/>
  <c r="H457" i="1"/>
  <c r="H742" i="1"/>
  <c r="H892" i="1"/>
  <c r="H467" i="1"/>
  <c r="H963" i="1"/>
  <c r="H740" i="1"/>
  <c r="H518" i="1"/>
  <c r="H991" i="1"/>
  <c r="H781" i="1"/>
  <c r="H581" i="1"/>
  <c r="H381" i="1"/>
  <c r="H832" i="1"/>
  <c r="H1046" i="1"/>
  <c r="H508" i="1"/>
  <c r="H713" i="1"/>
  <c r="H887" i="1"/>
  <c r="H570" i="1"/>
  <c r="H975" i="1"/>
  <c r="H1004" i="1"/>
  <c r="H1037" i="1"/>
  <c r="H330" i="1"/>
  <c r="H366" i="1"/>
  <c r="H926" i="1"/>
  <c r="H546" i="1"/>
  <c r="H899" i="1"/>
  <c r="H542" i="1"/>
  <c r="H484" i="1"/>
  <c r="H642" i="1"/>
  <c r="H994" i="1"/>
  <c r="H726" i="1"/>
  <c r="H949" i="1"/>
  <c r="H144" i="1"/>
  <c r="H12" i="1"/>
  <c r="H103" i="1"/>
  <c r="H689" i="1"/>
  <c r="H440" i="1"/>
  <c r="H1035" i="1"/>
  <c r="H984" i="1"/>
  <c r="H638" i="1"/>
  <c r="H432" i="1"/>
  <c r="H706" i="1"/>
  <c r="H868" i="1"/>
  <c r="H455" i="1"/>
  <c r="H952" i="1"/>
  <c r="H729" i="1"/>
  <c r="H507" i="1"/>
  <c r="H981" i="1"/>
  <c r="H771" i="1"/>
  <c r="H571" i="1"/>
  <c r="H371" i="1"/>
  <c r="H878" i="1"/>
  <c r="H347" i="1"/>
  <c r="H560" i="1"/>
  <c r="H753" i="1"/>
  <c r="H924" i="1"/>
  <c r="H530" i="1"/>
  <c r="H936" i="1"/>
  <c r="H973" i="1"/>
  <c r="H1003" i="1"/>
  <c r="H1033" i="1"/>
  <c r="H329" i="1"/>
  <c r="H976" i="1"/>
  <c r="H645" i="1"/>
  <c r="H980" i="1"/>
  <c r="H686" i="1"/>
  <c r="H930" i="1"/>
  <c r="H762" i="1"/>
  <c r="H434" i="1"/>
  <c r="H939" i="1"/>
  <c r="H388" i="1"/>
  <c r="B19" i="7" l="1"/>
  <c r="K2" i="1"/>
  <c r="B20" i="7"/>
  <c r="P3" i="7" s="1"/>
  <c r="B70" i="4"/>
  <c r="B72" i="4" s="1"/>
  <c r="B97" i="4"/>
  <c r="B99" i="4" s="1"/>
  <c r="B123" i="4" s="1"/>
  <c r="B98" i="4"/>
  <c r="B100" i="4" s="1"/>
  <c r="B71" i="4"/>
  <c r="B73" i="4" s="1"/>
  <c r="D13" i="4"/>
  <c r="B15" i="1"/>
  <c r="B21" i="1"/>
  <c r="B13" i="3" l="1"/>
  <c r="D5" i="4"/>
  <c r="D7" i="4"/>
  <c r="D6" i="4"/>
  <c r="B21" i="7"/>
  <c r="Q3" i="7"/>
  <c r="G3" i="7" s="1"/>
  <c r="G771" i="1"/>
  <c r="B18" i="1"/>
  <c r="B101" i="4"/>
  <c r="B102" i="4" s="1"/>
  <c r="D29" i="4" s="1"/>
  <c r="G959" i="1"/>
  <c r="G866" i="1"/>
  <c r="G24" i="1"/>
  <c r="G620" i="1"/>
  <c r="G194" i="1"/>
  <c r="G1000" i="1"/>
  <c r="G737" i="1"/>
  <c r="G216" i="1"/>
  <c r="G1038" i="1"/>
  <c r="G477" i="1"/>
  <c r="G287" i="1"/>
  <c r="G698" i="1"/>
  <c r="G963" i="1"/>
  <c r="G1275" i="1"/>
  <c r="G1285" i="1"/>
  <c r="G1295" i="1"/>
  <c r="G1305" i="1"/>
  <c r="G1315" i="1"/>
  <c r="G1325" i="1"/>
  <c r="G1335" i="1"/>
  <c r="G1345" i="1"/>
  <c r="G1355" i="1"/>
  <c r="G1365" i="1"/>
  <c r="G1375" i="1"/>
  <c r="G1385" i="1"/>
  <c r="G1395" i="1"/>
  <c r="G1405" i="1"/>
  <c r="G1415" i="1"/>
  <c r="G1425" i="1"/>
  <c r="G1435" i="1"/>
  <c r="G1445" i="1"/>
  <c r="G1455" i="1"/>
  <c r="G1465" i="1"/>
  <c r="G1475" i="1"/>
  <c r="G1485" i="1"/>
  <c r="G1495" i="1"/>
  <c r="G1505" i="1"/>
  <c r="G1515" i="1"/>
  <c r="G1525" i="1"/>
  <c r="G1535" i="1"/>
  <c r="G1545" i="1"/>
  <c r="G1555" i="1"/>
  <c r="G1565" i="1"/>
  <c r="G1575" i="1"/>
  <c r="G1083" i="1"/>
  <c r="G1093" i="1"/>
  <c r="G1103" i="1"/>
  <c r="G1113" i="1"/>
  <c r="G1123" i="1"/>
  <c r="G1133" i="1"/>
  <c r="G1143" i="1"/>
  <c r="G1153" i="1"/>
  <c r="G1163" i="1"/>
  <c r="G1173" i="1"/>
  <c r="G1183" i="1"/>
  <c r="G1193" i="1"/>
  <c r="G1203" i="1"/>
  <c r="G1213" i="1"/>
  <c r="G1223" i="1"/>
  <c r="G1233" i="1"/>
  <c r="G1243" i="1"/>
  <c r="G1253" i="1"/>
  <c r="G1263" i="1"/>
  <c r="G1273" i="1"/>
  <c r="G1061" i="1"/>
  <c r="G1071" i="1"/>
  <c r="G1276" i="1"/>
  <c r="G1286" i="1"/>
  <c r="G1296" i="1"/>
  <c r="G1306" i="1"/>
  <c r="G1316" i="1"/>
  <c r="G1326" i="1"/>
  <c r="G1336" i="1"/>
  <c r="G1346" i="1"/>
  <c r="G1356" i="1"/>
  <c r="G1366" i="1"/>
  <c r="G1376" i="1"/>
  <c r="G1386" i="1"/>
  <c r="G1396" i="1"/>
  <c r="G1406" i="1"/>
  <c r="G1416" i="1"/>
  <c r="G1426" i="1"/>
  <c r="G1436" i="1"/>
  <c r="G1446" i="1"/>
  <c r="G1456" i="1"/>
  <c r="G1466" i="1"/>
  <c r="G1476" i="1"/>
  <c r="G1486" i="1"/>
  <c r="G1359" i="1"/>
  <c r="G1279" i="1"/>
  <c r="G1289" i="1"/>
  <c r="G1299" i="1"/>
  <c r="G1309" i="1"/>
  <c r="G1319" i="1"/>
  <c r="G1329" i="1"/>
  <c r="G1339" i="1"/>
  <c r="G1349" i="1"/>
  <c r="G1369" i="1"/>
  <c r="G1379" i="1"/>
  <c r="G1389" i="1"/>
  <c r="G1399" i="1"/>
  <c r="G1409" i="1"/>
  <c r="G1419" i="1"/>
  <c r="G1429" i="1"/>
  <c r="G1439" i="1"/>
  <c r="G1449" i="1"/>
  <c r="G1459" i="1"/>
  <c r="G1469" i="1"/>
  <c r="G1479" i="1"/>
  <c r="G1489" i="1"/>
  <c r="G1499" i="1"/>
  <c r="G1509" i="1"/>
  <c r="G1519" i="1"/>
  <c r="G1529" i="1"/>
  <c r="G1539" i="1"/>
  <c r="G1549" i="1"/>
  <c r="G1559" i="1"/>
  <c r="G1569" i="1"/>
  <c r="G1579" i="1"/>
  <c r="G1087" i="1"/>
  <c r="G1097" i="1"/>
  <c r="G1107" i="1"/>
  <c r="G1117" i="1"/>
  <c r="G1127" i="1"/>
  <c r="G1137" i="1"/>
  <c r="G1147" i="1"/>
  <c r="G1157" i="1"/>
  <c r="G1167" i="1"/>
  <c r="G1177" i="1"/>
  <c r="G1187" i="1"/>
  <c r="G1197" i="1"/>
  <c r="G1207" i="1"/>
  <c r="G1217" i="1"/>
  <c r="G1227" i="1"/>
  <c r="G1237" i="1"/>
  <c r="G1247" i="1"/>
  <c r="G1257" i="1"/>
  <c r="G1267" i="1"/>
  <c r="G1074" i="1"/>
  <c r="G1065" i="1"/>
  <c r="G1057" i="1"/>
  <c r="G1291" i="1"/>
  <c r="G1304" i="1"/>
  <c r="G1320" i="1"/>
  <c r="G1333" i="1"/>
  <c r="G1362" i="1"/>
  <c r="G1391" i="1"/>
  <c r="G1404" i="1"/>
  <c r="G1420" i="1"/>
  <c r="G1433" i="1"/>
  <c r="G1462" i="1"/>
  <c r="G1491" i="1"/>
  <c r="G1517" i="1"/>
  <c r="G1531" i="1"/>
  <c r="G1557" i="1"/>
  <c r="G1571" i="1"/>
  <c r="G1095" i="1"/>
  <c r="G1292" i="1"/>
  <c r="G1334" i="1"/>
  <c r="G1350" i="1"/>
  <c r="G1434" i="1"/>
  <c r="G1450" i="1"/>
  <c r="G1532" i="1"/>
  <c r="G1558" i="1"/>
  <c r="G1277" i="1"/>
  <c r="G1348" i="1"/>
  <c r="G1377" i="1"/>
  <c r="G1448" i="1"/>
  <c r="G1477" i="1"/>
  <c r="G1504" i="1"/>
  <c r="G1544" i="1"/>
  <c r="G1082" i="1"/>
  <c r="G1109" i="1"/>
  <c r="G1121" i="1"/>
  <c r="G1134" i="1"/>
  <c r="G1146" i="1"/>
  <c r="G1159" i="1"/>
  <c r="G1171" i="1"/>
  <c r="G1184" i="1"/>
  <c r="G1196" i="1"/>
  <c r="G1209" i="1"/>
  <c r="G1221" i="1"/>
  <c r="G1234" i="1"/>
  <c r="G1246" i="1"/>
  <c r="G1259" i="1"/>
  <c r="G1271" i="1"/>
  <c r="G1062" i="1"/>
  <c r="G1056" i="1"/>
  <c r="G1321" i="1"/>
  <c r="G1363" i="1"/>
  <c r="G1392" i="1"/>
  <c r="G1421" i="1"/>
  <c r="G1463" i="1"/>
  <c r="G1492" i="1"/>
  <c r="G1518" i="1"/>
  <c r="G1572" i="1"/>
  <c r="G1096" i="1"/>
  <c r="G1338" i="1"/>
  <c r="G1367" i="1"/>
  <c r="G1438" i="1"/>
  <c r="G1467" i="1"/>
  <c r="G1508" i="1"/>
  <c r="G1522" i="1"/>
  <c r="G1548" i="1"/>
  <c r="G1562" i="1"/>
  <c r="G1086" i="1"/>
  <c r="G1100" i="1"/>
  <c r="G1112" i="1"/>
  <c r="G1125" i="1"/>
  <c r="G1138" i="1"/>
  <c r="G1150" i="1"/>
  <c r="G1162" i="1"/>
  <c r="G1175" i="1"/>
  <c r="G1188" i="1"/>
  <c r="G1200" i="1"/>
  <c r="G1212" i="1"/>
  <c r="G1225" i="1"/>
  <c r="G1238" i="1"/>
  <c r="G1250" i="1"/>
  <c r="G1262" i="1"/>
  <c r="G1072" i="1"/>
  <c r="G1066" i="1"/>
  <c r="G1060" i="1"/>
  <c r="G1282" i="1"/>
  <c r="G1311" i="1"/>
  <c r="G1324" i="1"/>
  <c r="G1340" i="1"/>
  <c r="G1353" i="1"/>
  <c r="G1382" i="1"/>
  <c r="G1411" i="1"/>
  <c r="G1424" i="1"/>
  <c r="G1440" i="1"/>
  <c r="G1453" i="1"/>
  <c r="G1482" i="1"/>
  <c r="G1496" i="1"/>
  <c r="G1510" i="1"/>
  <c r="G1536" i="1"/>
  <c r="G1550" i="1"/>
  <c r="G1576" i="1"/>
  <c r="G1088" i="1"/>
  <c r="G1297" i="1"/>
  <c r="G1278" i="1"/>
  <c r="G1300" i="1"/>
  <c r="G1341" i="1"/>
  <c r="G1358" i="1"/>
  <c r="G1378" i="1"/>
  <c r="G1454" i="1"/>
  <c r="G1511" i="1"/>
  <c r="G1527" i="1"/>
  <c r="G1546" i="1"/>
  <c r="G1581" i="1"/>
  <c r="G1098" i="1"/>
  <c r="G1130" i="1"/>
  <c r="G1148" i="1"/>
  <c r="G1180" i="1"/>
  <c r="G1198" i="1"/>
  <c r="G1230" i="1"/>
  <c r="G1248" i="1"/>
  <c r="G1077" i="1"/>
  <c r="G1055" i="1"/>
  <c r="G1512" i="1"/>
  <c r="G1547" i="1"/>
  <c r="G1080" i="1"/>
  <c r="G1099" i="1"/>
  <c r="G1131" i="1"/>
  <c r="G1149" i="1"/>
  <c r="G1181" i="1"/>
  <c r="G1199" i="1"/>
  <c r="G1231" i="1"/>
  <c r="G1249" i="1"/>
  <c r="G1078" i="1"/>
  <c r="G1281" i="1"/>
  <c r="G1322" i="1"/>
  <c r="G1361" i="1"/>
  <c r="G1381" i="1"/>
  <c r="G1457" i="1"/>
  <c r="G1474" i="1"/>
  <c r="G1494" i="1"/>
  <c r="G1530" i="1"/>
  <c r="G1566" i="1"/>
  <c r="G1116" i="1"/>
  <c r="G1166" i="1"/>
  <c r="G1216" i="1"/>
  <c r="G1266" i="1"/>
  <c r="G1059" i="1"/>
  <c r="G1283" i="1"/>
  <c r="G1101" i="1"/>
  <c r="G1232" i="1"/>
  <c r="G1079" i="1"/>
  <c r="G1280" i="1"/>
  <c r="G1318" i="1"/>
  <c r="G1360" i="1"/>
  <c r="G1380" i="1"/>
  <c r="G1398" i="1"/>
  <c r="G1473" i="1"/>
  <c r="G1493" i="1"/>
  <c r="G1564" i="1"/>
  <c r="G1115" i="1"/>
  <c r="G1165" i="1"/>
  <c r="G1215" i="1"/>
  <c r="G1265" i="1"/>
  <c r="G1058" i="1"/>
  <c r="G1301" i="1"/>
  <c r="G1342" i="1"/>
  <c r="G1400" i="1"/>
  <c r="G1417" i="1"/>
  <c r="G1437" i="1"/>
  <c r="G1528" i="1"/>
  <c r="G1302" i="1"/>
  <c r="G1343" i="1"/>
  <c r="G1401" i="1"/>
  <c r="G1418" i="1"/>
  <c r="G1513" i="1"/>
  <c r="G1081" i="1"/>
  <c r="G1132" i="1"/>
  <c r="G1151" i="1"/>
  <c r="G1182" i="1"/>
  <c r="G1201" i="1"/>
  <c r="G1251" i="1"/>
  <c r="G1287" i="1"/>
  <c r="G1328" i="1"/>
  <c r="G1347" i="1"/>
  <c r="G1368" i="1"/>
  <c r="G1443" i="1"/>
  <c r="G1553" i="1"/>
  <c r="G1120" i="1"/>
  <c r="G1139" i="1"/>
  <c r="G1170" i="1"/>
  <c r="G1189" i="1"/>
  <c r="G1220" i="1"/>
  <c r="G1239" i="1"/>
  <c r="G1270" i="1"/>
  <c r="G1308" i="1"/>
  <c r="G1330" i="1"/>
  <c r="G1370" i="1"/>
  <c r="G1387" i="1"/>
  <c r="G1407" i="1"/>
  <c r="G1483" i="1"/>
  <c r="G1501" i="1"/>
  <c r="G1520" i="1"/>
  <c r="G1537" i="1"/>
  <c r="G1089" i="1"/>
  <c r="G1105" i="1"/>
  <c r="G1122" i="1"/>
  <c r="G1155" i="1"/>
  <c r="G1172" i="1"/>
  <c r="G1205" i="1"/>
  <c r="G1222" i="1"/>
  <c r="G1255" i="1"/>
  <c r="G1272" i="1"/>
  <c r="G1067" i="1"/>
  <c r="G1288" i="1"/>
  <c r="G1310" i="1"/>
  <c r="G1351" i="1"/>
  <c r="G1427" i="1"/>
  <c r="G1444" i="1"/>
  <c r="G1464" i="1"/>
  <c r="G1554" i="1"/>
  <c r="G1573" i="1"/>
  <c r="G1140" i="1"/>
  <c r="G1190" i="1"/>
  <c r="G1240" i="1"/>
  <c r="G1314" i="1"/>
  <c r="G1383" i="1"/>
  <c r="G1478" i="1"/>
  <c r="G1538" i="1"/>
  <c r="G1567" i="1"/>
  <c r="G1092" i="1"/>
  <c r="G1124" i="1"/>
  <c r="G1178" i="1"/>
  <c r="G1206" i="1"/>
  <c r="G1235" i="1"/>
  <c r="G1064" i="1"/>
  <c r="G1094" i="1"/>
  <c r="G1068" i="1"/>
  <c r="G1541" i="1"/>
  <c r="G1128" i="1"/>
  <c r="G1158" i="1"/>
  <c r="G1284" i="1"/>
  <c r="G1352" i="1"/>
  <c r="G1413" i="1"/>
  <c r="G1480" i="1"/>
  <c r="G1507" i="1"/>
  <c r="G1540" i="1"/>
  <c r="G1152" i="1"/>
  <c r="G1261" i="1"/>
  <c r="G1126" i="1"/>
  <c r="G1481" i="1"/>
  <c r="G1388" i="1"/>
  <c r="G1069" i="1"/>
  <c r="G1514" i="1"/>
  <c r="G1241" i="1"/>
  <c r="G1452" i="1"/>
  <c r="G1210" i="1"/>
  <c r="G1327" i="1"/>
  <c r="G1293" i="1"/>
  <c r="G1423" i="1"/>
  <c r="G1487" i="1"/>
  <c r="G1516" i="1"/>
  <c r="G1543" i="1"/>
  <c r="G1577" i="1"/>
  <c r="G1104" i="1"/>
  <c r="G1160" i="1"/>
  <c r="G1214" i="1"/>
  <c r="G1242" i="1"/>
  <c r="G1331" i="1"/>
  <c r="G1393" i="1"/>
  <c r="G1458" i="1"/>
  <c r="G1521" i="1"/>
  <c r="G1551" i="1"/>
  <c r="G1106" i="1"/>
  <c r="G1135" i="1"/>
  <c r="G1218" i="1"/>
  <c r="G1054" i="1"/>
  <c r="G1294" i="1"/>
  <c r="G1364" i="1"/>
  <c r="G1428" i="1"/>
  <c r="G1460" i="1"/>
  <c r="G1488" i="1"/>
  <c r="G1578" i="1"/>
  <c r="G1161" i="1"/>
  <c r="G1191" i="1"/>
  <c r="G1244" i="1"/>
  <c r="G1274" i="1"/>
  <c r="G1332" i="1"/>
  <c r="G1394" i="1"/>
  <c r="G1430" i="1"/>
  <c r="G1490" i="1"/>
  <c r="G1523" i="1"/>
  <c r="G1552" i="1"/>
  <c r="G1580" i="1"/>
  <c r="G1108" i="1"/>
  <c r="G1136" i="1"/>
  <c r="G1219" i="1"/>
  <c r="G1298" i="1"/>
  <c r="G1397" i="1"/>
  <c r="G1461" i="1"/>
  <c r="G1110" i="1"/>
  <c r="G1164" i="1"/>
  <c r="G1245" i="1"/>
  <c r="G1073" i="1"/>
  <c r="G1431" i="1"/>
  <c r="G1524" i="1"/>
  <c r="G1084" i="1"/>
  <c r="G1168" i="1"/>
  <c r="G1303" i="1"/>
  <c r="G1402" i="1"/>
  <c r="G1556" i="1"/>
  <c r="G1111" i="1"/>
  <c r="G1194" i="1"/>
  <c r="G1075" i="1"/>
  <c r="G1372" i="1"/>
  <c r="G1468" i="1"/>
  <c r="G1526" i="1"/>
  <c r="G1085" i="1"/>
  <c r="G1226" i="1"/>
  <c r="G1307" i="1"/>
  <c r="G1500" i="1"/>
  <c r="G1254" i="1"/>
  <c r="G1312" i="1"/>
  <c r="G1408" i="1"/>
  <c r="G1090" i="1"/>
  <c r="G1118" i="1"/>
  <c r="G1174" i="1"/>
  <c r="G1228" i="1"/>
  <c r="G1256" i="1"/>
  <c r="G1374" i="1"/>
  <c r="G1442" i="1"/>
  <c r="G1503" i="1"/>
  <c r="G1091" i="1"/>
  <c r="G1229" i="1"/>
  <c r="G1506" i="1"/>
  <c r="G1204" i="1"/>
  <c r="G1384" i="1"/>
  <c r="G1568" i="1"/>
  <c r="G1208" i="1"/>
  <c r="G1317" i="1"/>
  <c r="G1264" i="1"/>
  <c r="G1484" i="1"/>
  <c r="G1185" i="1"/>
  <c r="G1268" i="1"/>
  <c r="G1186" i="1"/>
  <c r="G1070" i="1"/>
  <c r="G1497" i="1"/>
  <c r="G1141" i="1"/>
  <c r="G1432" i="1"/>
  <c r="G1470" i="1"/>
  <c r="G1560" i="1"/>
  <c r="G1142" i="1"/>
  <c r="G1441" i="1"/>
  <c r="G1344" i="1"/>
  <c r="G1471" i="1"/>
  <c r="G1561" i="1"/>
  <c r="G1144" i="1"/>
  <c r="G1202" i="1"/>
  <c r="G1119" i="1"/>
  <c r="G1258" i="1"/>
  <c r="G1063" i="1"/>
  <c r="G1412" i="1"/>
  <c r="G1472" i="1"/>
  <c r="G1563" i="1"/>
  <c r="G1260" i="1"/>
  <c r="G1179" i="1"/>
  <c r="G1414" i="1"/>
  <c r="G1570" i="1"/>
  <c r="G1290" i="1"/>
  <c r="G1390" i="1"/>
  <c r="G1574" i="1"/>
  <c r="G1211" i="1"/>
  <c r="G1357" i="1"/>
  <c r="G1129" i="1"/>
  <c r="G1192" i="1"/>
  <c r="G1371" i="1"/>
  <c r="G1224" i="1"/>
  <c r="G1252" i="1"/>
  <c r="G1337" i="1"/>
  <c r="G1498" i="1"/>
  <c r="G1169" i="1"/>
  <c r="G1403" i="1"/>
  <c r="G1114" i="1"/>
  <c r="G1195" i="1"/>
  <c r="G1076" i="1"/>
  <c r="G1373" i="1"/>
  <c r="G1502" i="1"/>
  <c r="G1410" i="1"/>
  <c r="G1533" i="1"/>
  <c r="G1313" i="1"/>
  <c r="G1176" i="1"/>
  <c r="G1534" i="1"/>
  <c r="G1145" i="1"/>
  <c r="G1447" i="1"/>
  <c r="G1236" i="1"/>
  <c r="G1154" i="1"/>
  <c r="G1323" i="1"/>
  <c r="G1156" i="1"/>
  <c r="G1102" i="1"/>
  <c r="G1269" i="1"/>
  <c r="G1354" i="1"/>
  <c r="G1451" i="1"/>
  <c r="G1422" i="1"/>
  <c r="G1542" i="1"/>
  <c r="B74" i="4"/>
  <c r="G643" i="1"/>
  <c r="G367" i="1"/>
  <c r="G865" i="1"/>
  <c r="G347" i="1"/>
  <c r="G859" i="1"/>
  <c r="G731" i="1"/>
  <c r="G439" i="1"/>
  <c r="G944" i="1"/>
  <c r="G65" i="1"/>
  <c r="G8" i="1"/>
  <c r="G405" i="1"/>
  <c r="G607" i="1"/>
  <c r="G458" i="1"/>
  <c r="G483" i="1"/>
  <c r="G732" i="1"/>
  <c r="G804" i="1"/>
  <c r="G904" i="1"/>
  <c r="G442" i="1"/>
  <c r="G999" i="1"/>
  <c r="G398" i="1"/>
  <c r="G235" i="1"/>
  <c r="G603" i="1"/>
  <c r="G530" i="1"/>
  <c r="G917" i="1"/>
  <c r="G629" i="1"/>
  <c r="G892" i="1"/>
  <c r="G83" i="1"/>
  <c r="D11" i="4"/>
  <c r="D10" i="4"/>
  <c r="G319" i="1"/>
  <c r="G205" i="1"/>
  <c r="G69" i="1"/>
  <c r="G118" i="1"/>
  <c r="G939" i="1"/>
  <c r="G155" i="1"/>
  <c r="G850" i="1"/>
  <c r="G800" i="1"/>
  <c r="G127" i="1"/>
  <c r="G817" i="1"/>
  <c r="G237" i="1"/>
  <c r="G413" i="1"/>
  <c r="G590" i="1"/>
  <c r="G352" i="1"/>
  <c r="G1034" i="1"/>
  <c r="G625" i="1"/>
  <c r="G910" i="1"/>
  <c r="G889" i="1"/>
  <c r="G380" i="1"/>
  <c r="G857" i="1"/>
  <c r="G678" i="1"/>
  <c r="G604" i="1"/>
  <c r="G149" i="1"/>
  <c r="G460" i="1"/>
  <c r="G262" i="1"/>
  <c r="G63" i="1"/>
  <c r="G557" i="1"/>
  <c r="G437" i="1"/>
  <c r="G709" i="1"/>
  <c r="G331" i="1"/>
  <c r="G256" i="1"/>
  <c r="G1007" i="1"/>
  <c r="G605" i="1"/>
  <c r="G722" i="1"/>
  <c r="G103" i="1"/>
  <c r="G924" i="1"/>
  <c r="G791" i="1"/>
  <c r="G355" i="1"/>
  <c r="G581" i="1"/>
  <c r="G360" i="1"/>
  <c r="G624" i="1"/>
  <c r="G943" i="1"/>
  <c r="G611" i="1"/>
  <c r="G254" i="1"/>
  <c r="G121" i="1"/>
  <c r="G23" i="1"/>
  <c r="G911" i="1"/>
  <c r="G451" i="1"/>
  <c r="G1039" i="1"/>
  <c r="B79" i="4"/>
  <c r="G480" i="1"/>
  <c r="G56" i="1"/>
  <c r="G500" i="1"/>
  <c r="G966" i="1"/>
  <c r="G527" i="1"/>
  <c r="G468" i="1"/>
  <c r="G184" i="1"/>
  <c r="G748" i="1"/>
  <c r="G564" i="1"/>
  <c r="G93" i="1"/>
  <c r="G632" i="1"/>
  <c r="G985" i="1"/>
  <c r="B22" i="1"/>
  <c r="B23" i="1"/>
  <c r="G847" i="1"/>
  <c r="G781" i="1"/>
  <c r="G661" i="1"/>
  <c r="G234" i="1"/>
  <c r="G187" i="1"/>
  <c r="G877" i="1"/>
  <c r="G92" i="1"/>
  <c r="G981" i="1"/>
  <c r="G472" i="1"/>
  <c r="G164" i="1"/>
  <c r="G358" i="1"/>
  <c r="G494" i="1"/>
  <c r="G212" i="1"/>
  <c r="G390" i="1"/>
  <c r="G343" i="1"/>
  <c r="G64" i="1"/>
  <c r="G873" i="1"/>
  <c r="G162" i="1"/>
  <c r="G244" i="1"/>
  <c r="G952" i="1"/>
  <c r="G719" i="1"/>
  <c r="G26" i="1"/>
  <c r="G36" i="1"/>
  <c r="G411" i="1"/>
  <c r="G824" i="1"/>
  <c r="G496" i="1"/>
  <c r="G692" i="1"/>
  <c r="G307" i="1"/>
  <c r="G91" i="1"/>
  <c r="G570" i="1"/>
  <c r="G1046" i="1"/>
  <c r="G211" i="1"/>
  <c r="G735" i="1"/>
  <c r="G613" i="1"/>
  <c r="G156" i="1"/>
  <c r="G312" i="1"/>
  <c r="G492" i="1"/>
  <c r="G95" i="1"/>
  <c r="G846" i="1"/>
  <c r="G467" i="1"/>
  <c r="G582" i="1"/>
  <c r="G934" i="1"/>
  <c r="G278" i="1"/>
  <c r="G77" i="1"/>
  <c r="G82" i="1"/>
  <c r="G169" i="1"/>
  <c r="G796" i="1"/>
  <c r="G986" i="1"/>
  <c r="G761" i="1"/>
  <c r="G1009" i="1"/>
  <c r="G697" i="1"/>
  <c r="G936" i="1"/>
  <c r="G232" i="1"/>
  <c r="G803" i="1"/>
  <c r="G762" i="1"/>
  <c r="G584" i="1"/>
  <c r="G41" i="1"/>
  <c r="G137" i="1"/>
  <c r="G705" i="1"/>
  <c r="G834" i="1"/>
  <c r="G798" i="1"/>
  <c r="G887" i="1"/>
  <c r="G837" i="1"/>
  <c r="G98" i="1"/>
  <c r="G418" i="1"/>
  <c r="G518" i="1"/>
  <c r="G622" i="1"/>
  <c r="G811" i="1"/>
  <c r="G594" i="1"/>
  <c r="G882" i="1"/>
  <c r="G245" i="1"/>
  <c r="G1049" i="1"/>
  <c r="G734" i="1"/>
  <c r="G1023" i="1"/>
  <c r="G551" i="1"/>
  <c r="G395" i="1"/>
  <c r="G640" i="1"/>
  <c r="G1052" i="1"/>
  <c r="G843" i="1"/>
  <c r="G618" i="1"/>
  <c r="G383" i="1"/>
  <c r="G691" i="1"/>
  <c r="G779" i="1"/>
  <c r="G863" i="1"/>
  <c r="G441" i="1"/>
  <c r="G635" i="1"/>
  <c r="G577" i="1"/>
  <c r="G858" i="1"/>
  <c r="G350" i="1"/>
  <c r="G238" i="1"/>
  <c r="G996" i="1"/>
  <c r="G578" i="1"/>
  <c r="G226" i="1"/>
  <c r="G571" i="1"/>
  <c r="G339" i="1"/>
  <c r="G869" i="1"/>
  <c r="G838" i="1"/>
  <c r="G983" i="1"/>
  <c r="G976" i="1"/>
  <c r="G382" i="1"/>
  <c r="G672" i="1"/>
  <c r="G239" i="1"/>
  <c r="G538" i="1"/>
  <c r="G550" i="1"/>
  <c r="G560" i="1"/>
  <c r="G561" i="1"/>
  <c r="G754" i="1"/>
  <c r="G699" i="1"/>
  <c r="G826" i="1"/>
  <c r="G308" i="1"/>
  <c r="G949" i="1"/>
  <c r="G588" i="1"/>
  <c r="G630" i="1"/>
  <c r="G310" i="1"/>
  <c r="G276" i="1"/>
  <c r="G424" i="1"/>
  <c r="G85" i="1"/>
  <c r="G110" i="1"/>
  <c r="G614" i="1"/>
  <c r="G715" i="1"/>
  <c r="G663" i="1"/>
  <c r="G183" i="1"/>
  <c r="G338" i="1"/>
  <c r="G695" i="1"/>
  <c r="G49" i="1"/>
  <c r="G851" i="1"/>
  <c r="G558" i="1"/>
  <c r="G789" i="1"/>
  <c r="G348" i="1"/>
  <c r="G681" i="1"/>
  <c r="G476" i="1"/>
  <c r="G660" i="1"/>
  <c r="G248" i="1"/>
  <c r="G328" i="1"/>
  <c r="G631" i="1"/>
  <c r="G655" i="1"/>
  <c r="G197" i="1"/>
  <c r="G951" i="1"/>
  <c r="G897" i="1"/>
  <c r="G140" i="1"/>
  <c r="G736" i="1"/>
  <c r="G199" i="1"/>
  <c r="G27" i="1"/>
  <c r="G609" i="1"/>
  <c r="G674" i="1"/>
  <c r="G606" i="1"/>
  <c r="G569" i="1"/>
  <c r="G884" i="1"/>
  <c r="G544" i="1"/>
  <c r="G686" i="1"/>
  <c r="G333" i="1"/>
  <c r="G408" i="1"/>
  <c r="G657" i="1"/>
  <c r="G797" i="1"/>
  <c r="G1010" i="1"/>
  <c r="G879" i="1"/>
  <c r="G914" i="1"/>
  <c r="G182" i="1"/>
  <c r="G583" i="1"/>
  <c r="G198" i="1"/>
  <c r="G488" i="1"/>
  <c r="G1019" i="1"/>
  <c r="G86" i="1"/>
  <c r="G456" i="1"/>
  <c r="G218" i="1"/>
  <c r="G397" i="1"/>
  <c r="G520" i="1"/>
  <c r="G136" i="1"/>
  <c r="G935" i="1"/>
  <c r="G510" i="1"/>
  <c r="G814" i="1"/>
  <c r="G165" i="1"/>
  <c r="G912" i="1"/>
  <c r="G855" i="1"/>
  <c r="G400" i="1"/>
  <c r="G553" i="1"/>
  <c r="G410" i="1"/>
  <c r="G1035" i="1"/>
  <c r="G359" i="1"/>
  <c r="G537" i="1"/>
  <c r="G505" i="1"/>
  <c r="G818" i="1"/>
  <c r="G964" i="1"/>
  <c r="G589" i="1"/>
  <c r="G862" i="1"/>
  <c r="G109" i="1"/>
  <c r="G46" i="1"/>
  <c r="G596" i="1"/>
  <c r="G676" i="1"/>
  <c r="G385" i="1"/>
  <c r="G159" i="1"/>
  <c r="G932" i="1"/>
  <c r="G773" i="1"/>
  <c r="G9" i="1"/>
  <c r="G501" i="1"/>
  <c r="G984" i="1"/>
  <c r="G1022" i="1"/>
  <c r="G222" i="1"/>
  <c r="G790" i="1"/>
  <c r="G1013" i="1"/>
  <c r="G489" i="1"/>
  <c r="G167" i="1"/>
  <c r="G1008" i="1"/>
  <c r="G802" i="1"/>
  <c r="G725" i="1"/>
  <c r="G888" i="1"/>
  <c r="G765" i="1"/>
  <c r="G567" i="1"/>
  <c r="G393" i="1"/>
  <c r="G436" i="1"/>
  <c r="G760" i="1"/>
  <c r="G229" i="1"/>
  <c r="G80" i="1"/>
  <c r="G399" i="1"/>
  <c r="G376" i="1"/>
  <c r="G444" i="1"/>
  <c r="G150" i="1"/>
  <c r="G241" i="1"/>
  <c r="G612" i="1"/>
  <c r="G799" i="1"/>
  <c r="G120" i="1"/>
  <c r="G175" i="1"/>
  <c r="G409" i="1"/>
  <c r="G253" i="1"/>
  <c r="G901" i="1"/>
  <c r="G559" i="1"/>
  <c r="G829" i="1"/>
  <c r="G297" i="1"/>
  <c r="G446" i="1"/>
  <c r="G753" i="1"/>
  <c r="G345" i="1"/>
  <c r="G141" i="1"/>
  <c r="G903" i="1"/>
  <c r="G747" i="1"/>
  <c r="G673" i="1"/>
  <c r="G742" i="1"/>
  <c r="G948" i="1"/>
  <c r="G717" i="1"/>
  <c r="G1036" i="1"/>
  <c r="G357" i="1"/>
  <c r="G349" i="1"/>
  <c r="G37" i="1"/>
  <c r="G195" i="1"/>
  <c r="G495" i="1"/>
  <c r="G563" i="1"/>
  <c r="G680" i="1"/>
  <c r="G236" i="1"/>
  <c r="G294" i="1"/>
  <c r="G852" i="1"/>
  <c r="G71" i="1"/>
  <c r="G421" i="1"/>
  <c r="G147" i="1"/>
  <c r="G980" i="1"/>
  <c r="G314" i="1"/>
  <c r="G353" i="1"/>
  <c r="G823" i="1"/>
  <c r="G463" i="1"/>
  <c r="G152" i="1"/>
  <c r="G795" i="1"/>
  <c r="G825" i="1"/>
  <c r="G598" i="1"/>
  <c r="G172" i="1"/>
  <c r="G905" i="1"/>
  <c r="G642" i="1"/>
  <c r="G1028" i="1"/>
  <c r="G543" i="1"/>
  <c r="G592" i="1"/>
  <c r="G329" i="1"/>
  <c r="G384" i="1"/>
  <c r="G782" i="1"/>
  <c r="G523" i="1"/>
  <c r="G50" i="1"/>
  <c r="G72" i="1"/>
  <c r="G961" i="1"/>
  <c r="G580" i="1"/>
  <c r="G387" i="1"/>
  <c r="G830" i="1"/>
  <c r="G117" i="1"/>
  <c r="G373" i="1"/>
  <c r="G104" i="1"/>
  <c r="G125" i="1"/>
  <c r="G1011" i="1"/>
  <c r="G774" i="1"/>
  <c r="G70" i="1"/>
  <c r="G777" i="1"/>
  <c r="G228" i="1"/>
  <c r="G945" i="1"/>
  <c r="G55" i="1"/>
  <c r="G778" i="1"/>
  <c r="G466" i="1"/>
  <c r="G433" i="1"/>
  <c r="G174" i="1"/>
  <c r="G574" i="1"/>
  <c r="G820" i="1"/>
  <c r="G599" i="1"/>
  <c r="G1032" i="1"/>
  <c r="G714" i="1"/>
  <c r="G504" i="1"/>
  <c r="G755" i="1"/>
  <c r="G832" i="1"/>
  <c r="G783" i="1"/>
  <c r="G16" i="1"/>
  <c r="G113" i="1"/>
  <c r="G124" i="1"/>
  <c r="G810" i="1"/>
  <c r="G653" i="1"/>
  <c r="G700" i="1"/>
  <c r="G40" i="1"/>
  <c r="G132" i="1"/>
  <c r="G128" i="1"/>
  <c r="G404" i="1"/>
  <c r="G306" i="1"/>
  <c r="G361" i="1"/>
  <c r="G88" i="1"/>
  <c r="G608" i="1"/>
  <c r="G876" i="1"/>
  <c r="G193" i="1"/>
  <c r="G517" i="1"/>
  <c r="G25" i="1"/>
  <c r="G808" i="1"/>
  <c r="G531" i="1"/>
  <c r="G853" i="1"/>
  <c r="G923" i="1"/>
  <c r="G988" i="1"/>
  <c r="G431" i="1"/>
  <c r="G965" i="1"/>
  <c r="G794" i="1"/>
  <c r="G73" i="1"/>
  <c r="G388" i="1"/>
  <c r="G767" i="1"/>
  <c r="G626" i="1"/>
  <c r="G893" i="1"/>
  <c r="G4" i="1"/>
  <c r="G872" i="1"/>
  <c r="G252" i="1"/>
  <c r="G288" i="1"/>
  <c r="G258" i="1"/>
  <c r="G491" i="1"/>
  <c r="G209" i="1"/>
  <c r="G868" i="1"/>
  <c r="G925" i="1"/>
  <c r="G585" i="1"/>
  <c r="G898" i="1"/>
  <c r="G246" i="1"/>
  <c r="G652" i="1"/>
  <c r="G586" i="1"/>
  <c r="G815" i="1"/>
  <c r="G835" i="1"/>
  <c r="G744" i="1"/>
  <c r="G933" i="1"/>
  <c r="G621" i="1"/>
  <c r="G112" i="1"/>
  <c r="G5" i="1"/>
  <c r="G166" i="1"/>
  <c r="G1003" i="1"/>
  <c r="G743" i="1"/>
  <c r="G539" i="1"/>
  <c r="G1029" i="1"/>
  <c r="G173" i="1"/>
  <c r="G62" i="1"/>
  <c r="G79" i="1"/>
  <c r="G809" i="1"/>
  <c r="G425" i="1"/>
  <c r="G785" i="1"/>
  <c r="G541" i="1"/>
  <c r="G1042" i="1"/>
  <c r="G689" i="1"/>
  <c r="G836" i="1"/>
  <c r="G633" i="1"/>
  <c r="G282" i="1"/>
  <c r="G52" i="1"/>
  <c r="G190" i="1"/>
  <c r="G31" i="1"/>
  <c r="G202" i="1"/>
  <c r="G931" i="1"/>
  <c r="G840" i="1"/>
  <c r="G1031" i="1"/>
  <c r="G740" i="1"/>
  <c r="G259" i="1"/>
  <c r="G554" i="1"/>
  <c r="G295" i="1"/>
  <c r="G967" i="1"/>
  <c r="G435" i="1"/>
  <c r="G148" i="1"/>
  <c r="G154" i="1"/>
  <c r="G639" i="1"/>
  <c r="G151" i="1"/>
  <c r="G233" i="1"/>
  <c r="G402" i="1"/>
  <c r="G990" i="1"/>
  <c r="G601" i="1"/>
  <c r="G417" i="1"/>
  <c r="G284" i="1"/>
  <c r="G115" i="1"/>
  <c r="G255" i="1"/>
  <c r="G107" i="1"/>
  <c r="G210" i="1"/>
  <c r="G337" i="1"/>
  <c r="G269" i="1"/>
  <c r="G977" i="1"/>
  <c r="G87" i="1"/>
  <c r="G161" i="1"/>
  <c r="G805" i="1"/>
  <c r="G230" i="1"/>
  <c r="G296" i="1"/>
  <c r="G566" i="1"/>
  <c r="G106" i="1"/>
  <c r="G994" i="1"/>
  <c r="G271" i="1"/>
  <c r="G670" i="1"/>
  <c r="G486" i="1"/>
  <c r="G741" i="1"/>
  <c r="G878" i="1"/>
  <c r="G975" i="1"/>
  <c r="G369" i="1"/>
  <c r="G974" i="1"/>
  <c r="G694" i="1"/>
  <c r="G19" i="1"/>
  <c r="G101" i="1"/>
  <c r="G461" i="1"/>
  <c r="G727" i="1"/>
  <c r="G99" i="1"/>
  <c r="G407" i="1"/>
  <c r="G134" i="1"/>
  <c r="G340" i="1"/>
  <c r="G899" i="1"/>
  <c r="G114" i="1"/>
  <c r="G954" i="1"/>
  <c r="G163" i="1"/>
  <c r="G58" i="1"/>
  <c r="G679" i="1"/>
  <c r="G261" i="1"/>
  <c r="G610" i="1"/>
  <c r="G647" i="1"/>
  <c r="G788" i="1"/>
  <c r="G188" i="1"/>
  <c r="G729" i="1"/>
  <c r="G728" i="1"/>
  <c r="G941" i="1"/>
  <c r="G726" i="1"/>
  <c r="G396" i="1"/>
  <c r="G682" i="1"/>
  <c r="G940" i="1"/>
  <c r="G506" i="1"/>
  <c r="G30" i="1"/>
  <c r="G145" i="1"/>
  <c r="G841" i="1"/>
  <c r="G942" i="1"/>
  <c r="G213" i="1"/>
  <c r="G807" i="1"/>
  <c r="G839" i="1"/>
  <c r="G270" i="1"/>
  <c r="G556" i="1"/>
  <c r="G448" i="1"/>
  <c r="G204" i="1"/>
  <c r="G219" i="1"/>
  <c r="G48" i="1"/>
  <c r="G894" i="1"/>
  <c r="G708" i="1"/>
  <c r="G371" i="1"/>
  <c r="G90" i="1"/>
  <c r="G758" i="1"/>
  <c r="G265" i="1"/>
  <c r="G414" i="1"/>
  <c r="G521" i="1"/>
  <c r="G693" i="1"/>
  <c r="G457" i="1"/>
  <c r="G497" i="1"/>
  <c r="G268" i="1"/>
  <c r="G822" i="1"/>
  <c r="G602" i="1"/>
  <c r="G650" i="1"/>
  <c r="G459" i="1"/>
  <c r="G57" i="1"/>
  <c r="G221" i="1"/>
  <c r="G323" i="1"/>
  <c r="G298" i="1"/>
  <c r="G286" i="1"/>
  <c r="G203" i="1"/>
  <c r="G479" i="1"/>
  <c r="G272" i="1"/>
  <c r="G677" i="1"/>
  <c r="G649" i="1"/>
  <c r="G53" i="1"/>
  <c r="G292" i="1"/>
  <c r="G225" i="1"/>
  <c r="G365" i="1"/>
  <c r="G122" i="1"/>
  <c r="G430" i="1"/>
  <c r="G416" i="1"/>
  <c r="G1047" i="1"/>
  <c r="G546" i="1"/>
  <c r="G111" i="1"/>
  <c r="G432" i="1"/>
  <c r="G671" i="1"/>
  <c r="G638" i="1"/>
  <c r="G401" i="1"/>
  <c r="G318" i="1"/>
  <c r="G929" i="1"/>
  <c r="G445" i="1"/>
  <c r="G100" i="1"/>
  <c r="G706" i="1"/>
  <c r="G18" i="1"/>
  <c r="G481" i="1"/>
  <c r="G816" i="1"/>
  <c r="G1030" i="1"/>
  <c r="G713" i="1"/>
  <c r="G47" i="1"/>
  <c r="G168" i="1"/>
  <c r="G189" i="1"/>
  <c r="G928" i="1"/>
  <c r="G772" i="1"/>
  <c r="G993" i="1"/>
  <c r="G51" i="1"/>
  <c r="G386" i="1"/>
  <c r="G131" i="1"/>
  <c r="G250" i="1"/>
  <c r="G334" i="1"/>
  <c r="G142" i="1"/>
  <c r="G391" i="1"/>
  <c r="G645" i="1"/>
  <c r="G301" i="1"/>
  <c r="G364" i="1"/>
  <c r="G464" i="1"/>
  <c r="G449" i="1"/>
  <c r="G950" i="1"/>
  <c r="G1016" i="1"/>
  <c r="G636" i="1"/>
  <c r="G499" i="1"/>
  <c r="G434" i="1"/>
  <c r="G930" i="1"/>
  <c r="G96" i="1"/>
  <c r="G739" i="1"/>
  <c r="G475" i="1"/>
  <c r="G688" i="1"/>
  <c r="G658" i="1"/>
  <c r="G14" i="1"/>
  <c r="G685" i="1"/>
  <c r="G440" i="1"/>
  <c r="G429" i="1"/>
  <c r="G819" i="1"/>
  <c r="G478" i="1"/>
  <c r="G757" i="1"/>
  <c r="G921" i="1"/>
  <c r="G453" i="1"/>
  <c r="G171" i="1"/>
  <c r="G362" i="1"/>
  <c r="G75" i="1"/>
  <c r="G956" i="1"/>
  <c r="G372" i="1"/>
  <c r="G667" i="1"/>
  <c r="G968" i="1"/>
  <c r="G415" i="1"/>
  <c r="G144" i="1"/>
  <c r="G186" i="1"/>
  <c r="G275" i="1"/>
  <c r="G1015" i="1"/>
  <c r="G35" i="1"/>
  <c r="G344" i="1"/>
  <c r="G12" i="1"/>
  <c r="G29" i="1"/>
  <c r="G707" i="1"/>
  <c r="G322" i="1"/>
  <c r="G146" i="1"/>
  <c r="G511" i="1"/>
  <c r="G3" i="1"/>
  <c r="G856" i="1"/>
  <c r="G507" i="1"/>
  <c r="G419" i="1"/>
  <c r="G10" i="1"/>
  <c r="G327" i="1"/>
  <c r="G6" i="1"/>
  <c r="G745" i="1"/>
  <c r="G955" i="1"/>
  <c r="G763" i="1"/>
  <c r="G208" i="1"/>
  <c r="G220" i="1"/>
  <c r="G283" i="1"/>
  <c r="G76" i="1"/>
  <c r="G1053" i="1"/>
  <c r="G938" i="1"/>
  <c r="G534" i="1"/>
  <c r="G311" i="1"/>
  <c r="G512" i="1"/>
  <c r="G907" i="1"/>
  <c r="G316" i="1"/>
  <c r="G751" i="1"/>
  <c r="G712" i="1"/>
  <c r="G304" i="1"/>
  <c r="G547" i="1"/>
  <c r="G249" i="1"/>
  <c r="G1021" i="1"/>
  <c r="G991" i="1"/>
  <c r="G776" i="1"/>
  <c r="G370" i="1"/>
  <c r="G426" i="1"/>
  <c r="G870" i="1"/>
  <c r="G302" i="1"/>
  <c r="G780" i="1"/>
  <c r="G552" i="1"/>
  <c r="G13" i="1"/>
  <c r="G74" i="1"/>
  <c r="G89" i="1"/>
  <c r="G305" i="1"/>
  <c r="G273" i="1"/>
  <c r="G406" i="1"/>
  <c r="G617" i="1"/>
  <c r="G274" i="1"/>
  <c r="G143" i="1"/>
  <c r="G508" i="1"/>
  <c r="G394" i="1"/>
  <c r="G529" i="1"/>
  <c r="G133" i="1"/>
  <c r="G139" i="1"/>
  <c r="G214" i="1"/>
  <c r="G223" i="1"/>
  <c r="G634" i="1"/>
  <c r="G883" i="1"/>
  <c r="G927" i="1"/>
  <c r="G217" i="1"/>
  <c r="G572" i="1"/>
  <c r="G784" i="1"/>
  <c r="G474" i="1"/>
  <c r="G524" i="1"/>
  <c r="G185" i="1"/>
  <c r="G668" i="1"/>
  <c r="G22" i="1"/>
  <c r="G651" i="1"/>
  <c r="G641" i="1"/>
  <c r="G987" i="1"/>
  <c r="G428" i="1"/>
  <c r="G576" i="1"/>
  <c r="G535" i="1"/>
  <c r="G752" i="1"/>
  <c r="G885" i="1"/>
  <c r="G266" i="1"/>
  <c r="G738" i="1"/>
  <c r="G721" i="1"/>
  <c r="G703" i="1"/>
  <c r="G224" i="1"/>
  <c r="G1024" i="1"/>
  <c r="G891" i="1"/>
  <c r="G45" i="1"/>
  <c r="G493" i="1"/>
  <c r="G60" i="1"/>
  <c r="G264" i="1"/>
  <c r="G267" i="1"/>
  <c r="G648" i="1"/>
  <c r="G129" i="1"/>
  <c r="G153" i="1"/>
  <c r="G240" i="1"/>
  <c r="G724" i="1"/>
  <c r="G514" i="1"/>
  <c r="G313" i="1"/>
  <c r="G116" i="1"/>
  <c r="G374" i="1"/>
  <c r="G227" i="1"/>
  <c r="G962" i="1"/>
  <c r="G177" i="1"/>
  <c r="G257" i="1"/>
  <c r="G522" i="1"/>
  <c r="G105" i="1"/>
  <c r="G196" i="1"/>
  <c r="G59" i="1"/>
  <c r="G309" i="1"/>
  <c r="G827" i="1"/>
  <c r="G1051" i="1"/>
  <c r="G471" i="1"/>
  <c r="G123" i="1"/>
  <c r="G775" i="1"/>
  <c r="G998" i="1"/>
  <c r="G277" i="1"/>
  <c r="G548" i="1"/>
  <c r="G600" i="1"/>
  <c r="G94" i="1"/>
  <c r="G579" i="1"/>
  <c r="G997" i="1"/>
  <c r="G654" i="1"/>
  <c r="G766" i="1"/>
  <c r="G696" i="1"/>
  <c r="G831" i="1"/>
  <c r="G462" i="1"/>
  <c r="G908" i="1"/>
  <c r="G812" i="1"/>
  <c r="G412" i="1"/>
  <c r="G549" i="1"/>
  <c r="G281" i="1"/>
  <c r="G919" i="1"/>
  <c r="G321" i="1"/>
  <c r="G356" i="1"/>
  <c r="G701" i="1"/>
  <c r="G20" i="1"/>
  <c r="G1050" i="1"/>
  <c r="G470" i="1"/>
  <c r="G332" i="1"/>
  <c r="G828" i="1"/>
  <c r="G684" i="1"/>
  <c r="G315" i="1"/>
  <c r="G555" i="1"/>
  <c r="G540" i="1"/>
  <c r="G1026" i="1"/>
  <c r="G170" i="1"/>
  <c r="G39" i="1"/>
  <c r="G335" i="1"/>
  <c r="G247" i="1"/>
  <c r="G17" i="1"/>
  <c r="G326" i="1"/>
  <c r="G1017" i="1"/>
  <c r="G683" i="1"/>
  <c r="G861" i="1"/>
  <c r="G260" i="1"/>
  <c r="G947" i="1"/>
  <c r="G1048" i="1"/>
  <c r="G913" i="1"/>
  <c r="G279" i="1"/>
  <c r="G989" i="1"/>
  <c r="G1012" i="1"/>
  <c r="G191" i="1"/>
  <c r="G21" i="1"/>
  <c r="G1043" i="1"/>
  <c r="G896" i="1"/>
  <c r="G447" i="1"/>
  <c r="G454" i="1"/>
  <c r="G1020" i="1"/>
  <c r="G786" i="1"/>
  <c r="G702" i="1"/>
  <c r="G982" i="1"/>
  <c r="G484" i="1"/>
  <c r="G178" i="1"/>
  <c r="G880" i="1"/>
  <c r="G716" i="1"/>
  <c r="G666" i="1"/>
  <c r="G730" i="1"/>
  <c r="G158" i="1"/>
  <c r="G575" i="1"/>
  <c r="G160" i="1"/>
  <c r="G801" i="1"/>
  <c r="G1005" i="1"/>
  <c r="G875" i="1"/>
  <c r="G711" i="1"/>
  <c r="G487" i="1"/>
  <c r="G179" i="1"/>
  <c r="G532" i="1"/>
  <c r="G867" i="1"/>
  <c r="G513" i="1"/>
  <c r="G704" i="1"/>
  <c r="G979" i="1"/>
  <c r="G320" i="1"/>
  <c r="G906" i="1"/>
  <c r="G324" i="1"/>
  <c r="G973" i="1"/>
  <c r="G341" i="1"/>
  <c r="G420" i="1"/>
  <c r="G44" i="1"/>
  <c r="G916" i="1"/>
  <c r="G7" i="1"/>
  <c r="G659" i="1"/>
  <c r="G289" i="1"/>
  <c r="G793" i="1"/>
  <c r="G720" i="1"/>
  <c r="G102" i="1"/>
  <c r="G918" i="1"/>
  <c r="G67" i="1"/>
  <c r="G503" i="1"/>
  <c r="G97" i="1"/>
  <c r="G366" i="1"/>
  <c r="G1044" i="1"/>
  <c r="G787" i="1"/>
  <c r="G519" i="1"/>
  <c r="G587" i="1"/>
  <c r="G992" i="1"/>
  <c r="G346" i="1"/>
  <c r="G821" i="1"/>
  <c r="G664" i="1"/>
  <c r="G1004" i="1"/>
  <c r="G902" i="1"/>
  <c r="G342" i="1"/>
  <c r="G290" i="1"/>
  <c r="G528" i="1"/>
  <c r="G84" i="1"/>
  <c r="G403" i="1"/>
  <c r="G770" i="1"/>
  <c r="G1037" i="1"/>
  <c r="G844" i="1"/>
  <c r="G970" i="1"/>
  <c r="G66" i="1"/>
  <c r="G1041" i="1"/>
  <c r="G533" i="1"/>
  <c r="G1018" i="1"/>
  <c r="G842" i="1"/>
  <c r="G978" i="1"/>
  <c r="G119" i="1"/>
  <c r="G957" i="1"/>
  <c r="G452" i="1"/>
  <c r="G864" i="1"/>
  <c r="G1006" i="1"/>
  <c r="G874" i="1"/>
  <c r="G126" i="1"/>
  <c r="G733" i="1"/>
  <c r="G498" i="1"/>
  <c r="G392" i="1"/>
  <c r="G423" i="1"/>
  <c r="G242" i="1"/>
  <c r="G593" i="1"/>
  <c r="G438" i="1"/>
  <c r="G972" i="1"/>
  <c r="G381" i="1"/>
  <c r="G845" i="1"/>
  <c r="G176" i="1"/>
  <c r="G881" i="1"/>
  <c r="G969" i="1"/>
  <c r="G662" i="1"/>
  <c r="G926" i="1"/>
  <c r="G920" i="1"/>
  <c r="G389" i="1"/>
  <c r="G42" i="1"/>
  <c r="G759" i="1"/>
  <c r="G206" i="1"/>
  <c r="G1033" i="1"/>
  <c r="G130" i="1"/>
  <c r="G687" i="1"/>
  <c r="G718" i="1"/>
  <c r="G201" i="1"/>
  <c r="G443" i="1"/>
  <c r="G848" i="1"/>
  <c r="G628" i="1"/>
  <c r="G490" i="1"/>
  <c r="G909" i="1"/>
  <c r="G646" i="1"/>
  <c r="G675" i="1"/>
  <c r="G368" i="1"/>
  <c r="G200" i="1"/>
  <c r="G644" i="1"/>
  <c r="G354" i="1"/>
  <c r="G11" i="1"/>
  <c r="G422" i="1"/>
  <c r="G303" i="1"/>
  <c r="G616" i="1"/>
  <c r="G336" i="1"/>
  <c r="G525" i="1"/>
  <c r="G860" i="1"/>
  <c r="G1025" i="1"/>
  <c r="G690" i="1"/>
  <c r="G768" i="1"/>
  <c r="G946" i="1"/>
  <c r="G615" i="1"/>
  <c r="G591" i="1"/>
  <c r="G900" i="1"/>
  <c r="G637" i="1"/>
  <c r="G568" i="1"/>
  <c r="G573" i="1"/>
  <c r="G619" i="1"/>
  <c r="G750" i="1"/>
  <c r="G597" i="1"/>
  <c r="G1002" i="1"/>
  <c r="G833" i="1"/>
  <c r="G542" i="1"/>
  <c r="G317" i="1"/>
  <c r="G181" i="1"/>
  <c r="G135" i="1"/>
  <c r="G263" i="1"/>
  <c r="G138" i="1"/>
  <c r="G38" i="1"/>
  <c r="G1014" i="1"/>
  <c r="G960" i="1"/>
  <c r="G562" i="1"/>
  <c r="G15" i="1"/>
  <c r="G68" i="1"/>
  <c r="G207" i="1"/>
  <c r="G526" i="1"/>
  <c r="G849" i="1"/>
  <c r="G769" i="1"/>
  <c r="G251" i="1"/>
  <c r="G43" i="1"/>
  <c r="G665" i="1"/>
  <c r="G293" i="1"/>
  <c r="G330" i="1"/>
  <c r="G502" i="1"/>
  <c r="G656" i="1"/>
  <c r="G243" i="1"/>
  <c r="G108" i="1"/>
  <c r="G756" i="1"/>
  <c r="G623" i="1"/>
  <c r="G485" i="1"/>
  <c r="G427" i="1"/>
  <c r="G922" i="1"/>
  <c r="G180" i="1"/>
  <c r="G465" i="1"/>
  <c r="G749" i="1"/>
  <c r="G886" i="1"/>
  <c r="G482" i="1"/>
  <c r="G285" i="1"/>
  <c r="G34" i="1"/>
  <c r="G509" i="1"/>
  <c r="G473" i="1"/>
  <c r="G351" i="1"/>
  <c r="G33" i="1"/>
  <c r="G1040" i="1"/>
  <c r="G669" i="1"/>
  <c r="G54" i="1"/>
  <c r="G806" i="1"/>
  <c r="G299" i="1"/>
  <c r="G375" i="1"/>
  <c r="G516" i="1"/>
  <c r="G61" i="1"/>
  <c r="G958" i="1"/>
  <c r="G469" i="1"/>
  <c r="G813" i="1"/>
  <c r="G953" i="1"/>
  <c r="G1045" i="1"/>
  <c r="G28" i="1"/>
  <c r="G764" i="1"/>
  <c r="G971" i="1"/>
  <c r="G746" i="1"/>
  <c r="G325" i="1"/>
  <c r="G157" i="1"/>
  <c r="G545" i="1"/>
  <c r="G300" i="1"/>
  <c r="G723" i="1"/>
  <c r="G377" i="1"/>
  <c r="G915" i="1"/>
  <c r="G871" i="1"/>
  <c r="G291" i="1"/>
  <c r="G792" i="1"/>
  <c r="G854" i="1"/>
  <c r="G450" i="1"/>
  <c r="G455" i="1"/>
  <c r="G231" i="1"/>
  <c r="G78" i="1"/>
  <c r="G32" i="1"/>
  <c r="G1001" i="1"/>
  <c r="G627" i="1"/>
  <c r="G536" i="1"/>
  <c r="G379" i="1"/>
  <c r="G995" i="1"/>
  <c r="G81" i="1"/>
  <c r="G515" i="1"/>
  <c r="G280" i="1"/>
  <c r="G363" i="1"/>
  <c r="G378" i="1"/>
  <c r="G595" i="1"/>
  <c r="G710" i="1"/>
  <c r="G1027" i="1"/>
  <c r="G937" i="1"/>
  <c r="G890" i="1"/>
  <c r="G192" i="1"/>
  <c r="G215" i="1"/>
  <c r="G895" i="1"/>
  <c r="G565" i="1"/>
  <c r="B23" i="7" l="1"/>
  <c r="R3" i="7"/>
  <c r="L3" i="7" s="1"/>
  <c r="M3" i="7" s="1"/>
  <c r="N3" i="7" s="1"/>
  <c r="B14" i="3"/>
  <c r="B105" i="4" s="1"/>
  <c r="B23" i="3"/>
  <c r="B24" i="3" s="1"/>
  <c r="B25" i="3" s="1"/>
  <c r="B75" i="4"/>
  <c r="D22" i="4" s="1"/>
  <c r="D8" i="4"/>
  <c r="H3" i="7" l="1"/>
  <c r="I3" i="7" s="1"/>
  <c r="J3" i="7" s="1"/>
  <c r="K3" i="7" s="1"/>
  <c r="S4" i="7" s="1"/>
  <c r="Q4" i="7"/>
  <c r="O3" i="7"/>
  <c r="T4" i="7" s="1"/>
  <c r="B106" i="4"/>
  <c r="B107" i="4"/>
  <c r="D15" i="4"/>
  <c r="D14" i="4"/>
  <c r="B124" i="4" s="1"/>
  <c r="B78" i="4"/>
  <c r="D9" i="4"/>
  <c r="P4" i="7" l="1"/>
  <c r="R4" i="7" s="1"/>
  <c r="B109" i="4"/>
  <c r="B110" i="4" s="1"/>
  <c r="D30" i="4" s="1"/>
  <c r="B108" i="4"/>
  <c r="B114" i="4" s="1"/>
  <c r="D31" i="4" s="1"/>
  <c r="B80" i="4"/>
  <c r="B81" i="4"/>
  <c r="G4" i="7" l="1"/>
  <c r="L4" i="7" s="1"/>
  <c r="M4" i="7" s="1"/>
  <c r="N4" i="7" s="1"/>
  <c r="B82" i="4"/>
  <c r="B88" i="4" s="1"/>
  <c r="D24" i="4" s="1"/>
  <c r="B118" i="4"/>
  <c r="B119" i="4" s="1"/>
  <c r="D33" i="4" s="1"/>
  <c r="B83" i="4"/>
  <c r="B84" i="4" s="1"/>
  <c r="B92" i="4" s="1"/>
  <c r="B93" i="4" s="1"/>
  <c r="D26" i="4" s="1"/>
  <c r="H4" i="7" l="1"/>
  <c r="I4" i="7" s="1"/>
  <c r="J4" i="7" s="1"/>
  <c r="K4" i="7" s="1"/>
  <c r="S5" i="7" s="1"/>
  <c r="Q5" i="7"/>
  <c r="O4" i="7"/>
  <c r="T5" i="7" s="1"/>
  <c r="D32" i="4"/>
  <c r="D25" i="4"/>
  <c r="D23" i="4"/>
  <c r="P5" i="7" l="1"/>
  <c r="R5" i="7" s="1"/>
  <c r="G5" i="7" l="1"/>
  <c r="L5" i="7" s="1"/>
  <c r="M5" i="7" s="1"/>
  <c r="N5" i="7" s="1"/>
  <c r="H5" i="7" l="1"/>
  <c r="I5" i="7" s="1"/>
  <c r="J5" i="7" s="1"/>
  <c r="P6" i="7" s="1"/>
  <c r="O5" i="7"/>
  <c r="T6" i="7" s="1"/>
  <c r="Q6" i="7"/>
  <c r="K5" i="7" l="1"/>
  <c r="S6" i="7" s="1"/>
  <c r="R6" i="7"/>
  <c r="G6" i="7"/>
  <c r="L6" i="7" l="1"/>
  <c r="M6" i="7" s="1"/>
  <c r="N6" i="7" s="1"/>
  <c r="H6" i="7"/>
  <c r="I6" i="7" s="1"/>
  <c r="J6" i="7" s="1"/>
  <c r="K6" i="7" l="1"/>
  <c r="S7" i="7" s="1"/>
  <c r="P7" i="7"/>
  <c r="Q7" i="7"/>
  <c r="O6" i="7"/>
  <c r="T7" i="7" s="1"/>
  <c r="G7" i="7" l="1"/>
  <c r="R7" i="7"/>
  <c r="L7" i="7" l="1"/>
  <c r="M7" i="7" s="1"/>
  <c r="N7" i="7" s="1"/>
  <c r="H7" i="7"/>
  <c r="I7" i="7" s="1"/>
  <c r="J7" i="7" s="1"/>
  <c r="K7" i="7" l="1"/>
  <c r="S8" i="7" s="1"/>
  <c r="P8" i="7"/>
  <c r="O7" i="7"/>
  <c r="T8" i="7" s="1"/>
  <c r="Q8" i="7"/>
  <c r="G8" i="7" l="1"/>
  <c r="R8" i="7"/>
  <c r="H8" i="7" l="1"/>
  <c r="I8" i="7" s="1"/>
  <c r="J8" i="7" s="1"/>
  <c r="L8" i="7"/>
  <c r="M8" i="7" s="1"/>
  <c r="N8" i="7" s="1"/>
  <c r="Q9" i="7" l="1"/>
  <c r="O8" i="7"/>
  <c r="T9" i="7" s="1"/>
  <c r="K8" i="7"/>
  <c r="S9" i="7" s="1"/>
  <c r="P9" i="7"/>
  <c r="R9" i="7" l="1"/>
  <c r="G9" i="7"/>
  <c r="L9" i="7" l="1"/>
  <c r="M9" i="7" s="1"/>
  <c r="N9" i="7" s="1"/>
  <c r="H9" i="7"/>
  <c r="I9" i="7" s="1"/>
  <c r="J9" i="7" s="1"/>
  <c r="P10" i="7" l="1"/>
  <c r="K9" i="7"/>
  <c r="S10" i="7" s="1"/>
  <c r="Q10" i="7"/>
  <c r="O9" i="7"/>
  <c r="T10" i="7" s="1"/>
  <c r="G10" i="7" l="1"/>
  <c r="R10" i="7"/>
  <c r="L10" i="7" l="1"/>
  <c r="M10" i="7" s="1"/>
  <c r="N10" i="7" s="1"/>
  <c r="H10" i="7"/>
  <c r="I10" i="7" s="1"/>
  <c r="J10" i="7" s="1"/>
  <c r="K10" i="7" l="1"/>
  <c r="S11" i="7" s="1"/>
  <c r="P11" i="7"/>
  <c r="O10" i="7"/>
  <c r="T11" i="7" s="1"/>
  <c r="Q11" i="7"/>
  <c r="R11" i="7" l="1"/>
  <c r="G11" i="7"/>
  <c r="H11" i="7" l="1"/>
  <c r="I11" i="7" s="1"/>
  <c r="J11" i="7" s="1"/>
  <c r="L11" i="7"/>
  <c r="M11" i="7" s="1"/>
  <c r="N11" i="7" s="1"/>
  <c r="Q12" i="7" l="1"/>
  <c r="O11" i="7"/>
  <c r="T12" i="7" s="1"/>
  <c r="K11" i="7"/>
  <c r="S12" i="7" s="1"/>
  <c r="P12" i="7"/>
  <c r="R12" i="7" l="1"/>
  <c r="G12" i="7"/>
  <c r="L12" i="7" l="1"/>
  <c r="M12" i="7" s="1"/>
  <c r="N12" i="7" s="1"/>
  <c r="H12" i="7"/>
  <c r="I12" i="7" s="1"/>
  <c r="J12" i="7" s="1"/>
  <c r="P13" i="7" l="1"/>
  <c r="K12" i="7"/>
  <c r="S13" i="7" s="1"/>
  <c r="Q13" i="7"/>
  <c r="O12" i="7"/>
  <c r="T13" i="7" s="1"/>
  <c r="R13" i="7" l="1"/>
  <c r="G13" i="7"/>
  <c r="L13" i="7" l="1"/>
  <c r="M13" i="7" s="1"/>
  <c r="N13" i="7" s="1"/>
  <c r="H13" i="7"/>
  <c r="I13" i="7" s="1"/>
  <c r="J13" i="7" s="1"/>
  <c r="K13" i="7" l="1"/>
  <c r="S14" i="7" s="1"/>
  <c r="P14" i="7"/>
  <c r="Q14" i="7"/>
  <c r="O13" i="7"/>
  <c r="T14" i="7" s="1"/>
  <c r="G14" i="7" l="1"/>
  <c r="R14" i="7"/>
  <c r="L14" i="7" l="1"/>
  <c r="M14" i="7" s="1"/>
  <c r="N14" i="7" s="1"/>
  <c r="H14" i="7"/>
  <c r="I14" i="7" s="1"/>
  <c r="J14" i="7" s="1"/>
  <c r="P15" i="7" l="1"/>
  <c r="K14" i="7"/>
  <c r="S15" i="7" s="1"/>
  <c r="Q15" i="7"/>
  <c r="O14" i="7"/>
  <c r="T15" i="7" s="1"/>
  <c r="G15" i="7" l="1"/>
  <c r="R15" i="7"/>
  <c r="L15" i="7" l="1"/>
  <c r="M15" i="7" s="1"/>
  <c r="N15" i="7" s="1"/>
  <c r="H15" i="7"/>
  <c r="I15" i="7" s="1"/>
  <c r="J15" i="7" s="1"/>
  <c r="K15" i="7" l="1"/>
  <c r="S16" i="7" s="1"/>
  <c r="P16" i="7"/>
  <c r="Q16" i="7"/>
  <c r="O15" i="7"/>
  <c r="T16" i="7" s="1"/>
  <c r="G16" i="7" l="1"/>
  <c r="R16" i="7"/>
  <c r="L16" i="7" l="1"/>
  <c r="M16" i="7" s="1"/>
  <c r="N16" i="7" s="1"/>
  <c r="H16" i="7"/>
  <c r="I16" i="7" s="1"/>
  <c r="J16" i="7" s="1"/>
  <c r="K16" i="7" l="1"/>
  <c r="S17" i="7" s="1"/>
  <c r="P17" i="7"/>
  <c r="O16" i="7"/>
  <c r="T17" i="7" s="1"/>
  <c r="Q17" i="7"/>
  <c r="G17" i="7" l="1"/>
  <c r="R17" i="7"/>
  <c r="L17" i="7" l="1"/>
  <c r="M17" i="7" s="1"/>
  <c r="N17" i="7" s="1"/>
  <c r="H17" i="7"/>
  <c r="I17" i="7" s="1"/>
  <c r="J17" i="7" s="1"/>
  <c r="K17" i="7" l="1"/>
  <c r="S18" i="7" s="1"/>
  <c r="P18" i="7"/>
  <c r="Q18" i="7"/>
  <c r="O17" i="7"/>
  <c r="T18" i="7" s="1"/>
  <c r="R18" i="7" l="1"/>
  <c r="G18" i="7"/>
  <c r="H18" i="7" l="1"/>
  <c r="I18" i="7" s="1"/>
  <c r="J18" i="7" s="1"/>
  <c r="L18" i="7"/>
  <c r="M18" i="7" s="1"/>
  <c r="N18" i="7" s="1"/>
  <c r="Q19" i="7" l="1"/>
  <c r="O18" i="7"/>
  <c r="T19" i="7" s="1"/>
  <c r="K18" i="7"/>
  <c r="S19" i="7" s="1"/>
  <c r="P19" i="7"/>
  <c r="R19" i="7" l="1"/>
  <c r="G19" i="7"/>
  <c r="H19" i="7" l="1"/>
  <c r="I19" i="7" s="1"/>
  <c r="J19" i="7" s="1"/>
  <c r="L19" i="7"/>
  <c r="M19" i="7" s="1"/>
  <c r="N19" i="7" s="1"/>
  <c r="O19" i="7" l="1"/>
  <c r="T20" i="7" s="1"/>
  <c r="Q20" i="7"/>
  <c r="P20" i="7"/>
  <c r="K19" i="7"/>
  <c r="S20" i="7" s="1"/>
  <c r="R20" i="7" l="1"/>
  <c r="G20" i="7"/>
  <c r="H20" i="7" l="1"/>
  <c r="I20" i="7" s="1"/>
  <c r="J20" i="7" s="1"/>
  <c r="L20" i="7"/>
  <c r="M20" i="7" s="1"/>
  <c r="N20" i="7" s="1"/>
  <c r="Q21" i="7" l="1"/>
  <c r="O20" i="7"/>
  <c r="T21" i="7" s="1"/>
  <c r="K20" i="7"/>
  <c r="S21" i="7" s="1"/>
  <c r="P21" i="7"/>
  <c r="G21" i="7" l="1"/>
  <c r="R21" i="7"/>
  <c r="H21" i="7" l="1"/>
  <c r="I21" i="7" s="1"/>
  <c r="J21" i="7" s="1"/>
  <c r="L21" i="7"/>
  <c r="M21" i="7" s="1"/>
  <c r="N21" i="7" s="1"/>
  <c r="Q22" i="7" l="1"/>
  <c r="O21" i="7"/>
  <c r="T22" i="7" s="1"/>
  <c r="P22" i="7"/>
  <c r="K21" i="7"/>
  <c r="S22" i="7" s="1"/>
  <c r="R22" i="7" l="1"/>
  <c r="G22" i="7"/>
  <c r="L22" i="7" l="1"/>
  <c r="M22" i="7" s="1"/>
  <c r="N22" i="7" s="1"/>
  <c r="H22" i="7"/>
  <c r="I22" i="7" s="1"/>
  <c r="J22" i="7" s="1"/>
  <c r="K22" i="7" l="1"/>
  <c r="S23" i="7" s="1"/>
  <c r="P23" i="7"/>
  <c r="O22" i="7"/>
  <c r="T23" i="7" s="1"/>
  <c r="Q23" i="7"/>
  <c r="R23" i="7" l="1"/>
  <c r="G23" i="7"/>
  <c r="H23" i="7" l="1"/>
  <c r="I23" i="7" s="1"/>
  <c r="J23" i="7" s="1"/>
  <c r="L23" i="7"/>
  <c r="M23" i="7" s="1"/>
  <c r="N23" i="7" s="1"/>
  <c r="O23" i="7" l="1"/>
  <c r="T24" i="7" s="1"/>
  <c r="Q24" i="7"/>
  <c r="K23" i="7"/>
  <c r="S24" i="7" s="1"/>
  <c r="P24" i="7"/>
  <c r="R24" i="7" l="1"/>
  <c r="G24" i="7"/>
  <c r="L24" i="7" l="1"/>
  <c r="M24" i="7" s="1"/>
  <c r="N24" i="7" s="1"/>
  <c r="H24" i="7"/>
  <c r="I24" i="7" s="1"/>
  <c r="J24" i="7" s="1"/>
  <c r="P25" i="7" l="1"/>
  <c r="K24" i="7"/>
  <c r="S25" i="7" s="1"/>
  <c r="Q25" i="7"/>
  <c r="O24" i="7"/>
  <c r="T25" i="7" s="1"/>
  <c r="G25" i="7" l="1"/>
  <c r="R25" i="7"/>
  <c r="H25" i="7" l="1"/>
  <c r="I25" i="7" s="1"/>
  <c r="J25" i="7" s="1"/>
  <c r="L25" i="7"/>
  <c r="M25" i="7" s="1"/>
  <c r="N25" i="7" s="1"/>
  <c r="O25" i="7" l="1"/>
  <c r="T26" i="7" s="1"/>
  <c r="Q26" i="7"/>
  <c r="K25" i="7"/>
  <c r="S26" i="7" s="1"/>
  <c r="P26" i="7"/>
  <c r="G26" i="7" l="1"/>
  <c r="R26" i="7"/>
  <c r="L26" i="7" l="1"/>
  <c r="M26" i="7" s="1"/>
  <c r="N26" i="7" s="1"/>
  <c r="H26" i="7"/>
  <c r="I26" i="7" s="1"/>
  <c r="J26" i="7" s="1"/>
  <c r="P27" i="7" l="1"/>
  <c r="K26" i="7"/>
  <c r="S27" i="7" s="1"/>
  <c r="Q27" i="7"/>
  <c r="O26" i="7"/>
  <c r="T27" i="7" s="1"/>
  <c r="R27" i="7" l="1"/>
  <c r="G27" i="7"/>
  <c r="L27" i="7" l="1"/>
  <c r="M27" i="7" s="1"/>
  <c r="N27" i="7" s="1"/>
  <c r="H27" i="7"/>
  <c r="I27" i="7" s="1"/>
  <c r="J27" i="7" s="1"/>
  <c r="K27" i="7" l="1"/>
  <c r="S28" i="7" s="1"/>
  <c r="P28" i="7"/>
  <c r="Q28" i="7"/>
  <c r="O27" i="7"/>
  <c r="T28" i="7" s="1"/>
  <c r="R28" i="7" l="1"/>
  <c r="G28" i="7"/>
  <c r="L28" i="7" l="1"/>
  <c r="M28" i="7" s="1"/>
  <c r="N28" i="7" s="1"/>
  <c r="H28" i="7"/>
  <c r="I28" i="7" s="1"/>
  <c r="J28" i="7" s="1"/>
  <c r="K28" i="7" l="1"/>
  <c r="S29" i="7" s="1"/>
  <c r="P29" i="7"/>
  <c r="Q29" i="7"/>
  <c r="O28" i="7"/>
  <c r="T29" i="7" s="1"/>
  <c r="G29" i="7" l="1"/>
  <c r="R29" i="7"/>
  <c r="L29" i="7" l="1"/>
  <c r="M29" i="7" s="1"/>
  <c r="N29" i="7" s="1"/>
  <c r="H29" i="7"/>
  <c r="I29" i="7" s="1"/>
  <c r="J29" i="7" s="1"/>
  <c r="K29" i="7" l="1"/>
  <c r="S30" i="7" s="1"/>
  <c r="P30" i="7"/>
  <c r="O29" i="7"/>
  <c r="T30" i="7" s="1"/>
  <c r="Q30" i="7"/>
  <c r="G30" i="7" l="1"/>
  <c r="R30" i="7"/>
  <c r="H30" i="7" l="1"/>
  <c r="I30" i="7" s="1"/>
  <c r="J30" i="7" s="1"/>
  <c r="L30" i="7"/>
  <c r="M30" i="7" s="1"/>
  <c r="N30" i="7" s="1"/>
  <c r="O30" i="7" l="1"/>
  <c r="T31" i="7" s="1"/>
  <c r="Q31" i="7"/>
  <c r="K30" i="7"/>
  <c r="S31" i="7" s="1"/>
  <c r="P31" i="7"/>
  <c r="G31" i="7" l="1"/>
  <c r="R31" i="7"/>
  <c r="H31" i="7" l="1"/>
  <c r="I31" i="7" s="1"/>
  <c r="J31" i="7" s="1"/>
  <c r="L31" i="7"/>
  <c r="M31" i="7" s="1"/>
  <c r="N31" i="7" s="1"/>
  <c r="O31" i="7" l="1"/>
  <c r="T32" i="7" s="1"/>
  <c r="Q32" i="7"/>
  <c r="K31" i="7"/>
  <c r="S32" i="7" s="1"/>
  <c r="P32" i="7"/>
  <c r="G32" i="7" l="1"/>
  <c r="R32" i="7"/>
  <c r="H32" i="7" l="1"/>
  <c r="I32" i="7" s="1"/>
  <c r="J32" i="7" s="1"/>
  <c r="L32" i="7"/>
  <c r="M32" i="7" s="1"/>
  <c r="N32" i="7" s="1"/>
  <c r="O32" i="7" l="1"/>
  <c r="T33" i="7" s="1"/>
  <c r="Q33" i="7"/>
  <c r="K32" i="7"/>
  <c r="S33" i="7" s="1"/>
  <c r="P33" i="7"/>
  <c r="R33" i="7" l="1"/>
  <c r="G33" i="7"/>
  <c r="H33" i="7" l="1"/>
  <c r="I33" i="7" s="1"/>
  <c r="J33" i="7" s="1"/>
  <c r="L33" i="7"/>
  <c r="M33" i="7" s="1"/>
  <c r="N33" i="7" s="1"/>
  <c r="Q34" i="7" l="1"/>
  <c r="O33" i="7"/>
  <c r="T34" i="7" s="1"/>
  <c r="P34" i="7"/>
  <c r="K33" i="7"/>
  <c r="S34" i="7" s="1"/>
  <c r="R34" i="7" l="1"/>
  <c r="G34" i="7"/>
  <c r="L34" i="7" l="1"/>
  <c r="M34" i="7" s="1"/>
  <c r="N34" i="7" s="1"/>
  <c r="H34" i="7"/>
  <c r="I34" i="7" s="1"/>
  <c r="J34" i="7" s="1"/>
  <c r="K34" i="7" l="1"/>
  <c r="S35" i="7" s="1"/>
  <c r="P35" i="7"/>
  <c r="O34" i="7"/>
  <c r="T35" i="7" s="1"/>
  <c r="Q35" i="7"/>
  <c r="G35" i="7" l="1"/>
  <c r="R35" i="7"/>
  <c r="L35" i="7" l="1"/>
  <c r="M35" i="7" s="1"/>
  <c r="N35" i="7" s="1"/>
  <c r="H35" i="7"/>
  <c r="I35" i="7" s="1"/>
  <c r="J35" i="7" s="1"/>
  <c r="P36" i="7" l="1"/>
  <c r="K35" i="7"/>
  <c r="S36" i="7" s="1"/>
  <c r="Q36" i="7"/>
  <c r="O35" i="7"/>
  <c r="T36" i="7" s="1"/>
  <c r="R36" i="7" l="1"/>
  <c r="G36" i="7"/>
  <c r="L36" i="7" l="1"/>
  <c r="M36" i="7" s="1"/>
  <c r="N36" i="7" s="1"/>
  <c r="H36" i="7"/>
  <c r="I36" i="7" s="1"/>
  <c r="J36" i="7" s="1"/>
  <c r="K36" i="7" l="1"/>
  <c r="S37" i="7" s="1"/>
  <c r="P37" i="7"/>
  <c r="O36" i="7"/>
  <c r="T37" i="7" s="1"/>
  <c r="Q37" i="7"/>
  <c r="G37" i="7" l="1"/>
  <c r="R37" i="7"/>
  <c r="L37" i="7" l="1"/>
  <c r="M37" i="7" s="1"/>
  <c r="N37" i="7" s="1"/>
  <c r="H37" i="7"/>
  <c r="I37" i="7" s="1"/>
  <c r="J37" i="7" s="1"/>
  <c r="P38" i="7" l="1"/>
  <c r="K37" i="7"/>
  <c r="S38" i="7" s="1"/>
  <c r="O37" i="7"/>
  <c r="T38" i="7" s="1"/>
  <c r="Q38" i="7"/>
  <c r="G38" i="7" l="1"/>
  <c r="R38" i="7"/>
  <c r="L38" i="7" l="1"/>
  <c r="M38" i="7" s="1"/>
  <c r="N38" i="7" s="1"/>
  <c r="H38" i="7"/>
  <c r="I38" i="7" s="1"/>
  <c r="J38" i="7" s="1"/>
  <c r="P39" i="7" l="1"/>
  <c r="K38" i="7"/>
  <c r="S39" i="7" s="1"/>
  <c r="Q39" i="7"/>
  <c r="O38" i="7"/>
  <c r="T39" i="7" s="1"/>
  <c r="G39" i="7" l="1"/>
  <c r="R39" i="7"/>
  <c r="L39" i="7" l="1"/>
  <c r="M39" i="7" s="1"/>
  <c r="N39" i="7" s="1"/>
  <c r="H39" i="7"/>
  <c r="I39" i="7" s="1"/>
  <c r="J39" i="7" s="1"/>
  <c r="K39" i="7" l="1"/>
  <c r="S40" i="7" s="1"/>
  <c r="P40" i="7"/>
  <c r="Q40" i="7"/>
  <c r="O39" i="7"/>
  <c r="T40" i="7" s="1"/>
  <c r="G40" i="7" l="1"/>
  <c r="R40" i="7"/>
  <c r="H40" i="7" l="1"/>
  <c r="I40" i="7" s="1"/>
  <c r="J40" i="7" s="1"/>
  <c r="L40" i="7"/>
  <c r="M40" i="7" s="1"/>
  <c r="N40" i="7" s="1"/>
  <c r="Q41" i="7" l="1"/>
  <c r="O40" i="7"/>
  <c r="T41" i="7" s="1"/>
  <c r="K40" i="7"/>
  <c r="S41" i="7" s="1"/>
  <c r="P41" i="7"/>
  <c r="R41" i="7" l="1"/>
  <c r="G41" i="7"/>
  <c r="H41" i="7" l="1"/>
  <c r="I41" i="7" s="1"/>
  <c r="J41" i="7" s="1"/>
  <c r="L41" i="7"/>
  <c r="M41" i="7" s="1"/>
  <c r="N41" i="7" s="1"/>
  <c r="Q42" i="7" l="1"/>
  <c r="O41" i="7"/>
  <c r="T42" i="7" s="1"/>
  <c r="P42" i="7"/>
  <c r="K41" i="7"/>
  <c r="S42" i="7" s="1"/>
  <c r="G42" i="7" l="1"/>
  <c r="R42" i="7"/>
  <c r="H42" i="7" l="1"/>
  <c r="I42" i="7" s="1"/>
  <c r="J42" i="7" s="1"/>
  <c r="L42" i="7"/>
  <c r="M42" i="7" s="1"/>
  <c r="N42" i="7" s="1"/>
  <c r="O42" i="7" l="1"/>
  <c r="T43" i="7" s="1"/>
  <c r="Q43" i="7"/>
  <c r="K42" i="7"/>
  <c r="S43" i="7" s="1"/>
  <c r="P43" i="7"/>
  <c r="R43" i="7" l="1"/>
  <c r="G43" i="7"/>
  <c r="L43" i="7" l="1"/>
  <c r="M43" i="7" s="1"/>
  <c r="N43" i="7" s="1"/>
  <c r="H43" i="7"/>
  <c r="I43" i="7" s="1"/>
  <c r="J43" i="7" s="1"/>
  <c r="P44" i="7" l="1"/>
  <c r="K43" i="7"/>
  <c r="S44" i="7" s="1"/>
  <c r="O43" i="7"/>
  <c r="T44" i="7" s="1"/>
  <c r="Q44" i="7"/>
  <c r="R44" i="7" l="1"/>
  <c r="G44" i="7"/>
  <c r="L44" i="7" l="1"/>
  <c r="M44" i="7" s="1"/>
  <c r="N44" i="7" s="1"/>
  <c r="H44" i="7"/>
  <c r="I44" i="7" s="1"/>
  <c r="J44" i="7" s="1"/>
  <c r="P45" i="7" l="1"/>
  <c r="K44" i="7"/>
  <c r="S45" i="7" s="1"/>
  <c r="Q45" i="7"/>
  <c r="O44" i="7"/>
  <c r="T45" i="7" s="1"/>
  <c r="G45" i="7" l="1"/>
  <c r="R45" i="7"/>
  <c r="H45" i="7" l="1"/>
  <c r="I45" i="7" s="1"/>
  <c r="J45" i="7" s="1"/>
  <c r="L45" i="7"/>
  <c r="M45" i="7" s="1"/>
  <c r="N45" i="7" s="1"/>
  <c r="O45" i="7" l="1"/>
  <c r="T46" i="7" s="1"/>
  <c r="Q46" i="7"/>
  <c r="K45" i="7"/>
  <c r="S46" i="7" s="1"/>
  <c r="P46" i="7"/>
  <c r="R46" i="7" l="1"/>
  <c r="G46" i="7"/>
  <c r="L46" i="7" l="1"/>
  <c r="M46" i="7" s="1"/>
  <c r="N46" i="7" s="1"/>
  <c r="H46" i="7"/>
  <c r="I46" i="7" s="1"/>
  <c r="J46" i="7" s="1"/>
  <c r="P47" i="7" l="1"/>
  <c r="K46" i="7"/>
  <c r="S47" i="7" s="1"/>
  <c r="O46" i="7"/>
  <c r="T47" i="7" s="1"/>
  <c r="Q47" i="7"/>
  <c r="R47" i="7" l="1"/>
  <c r="G47" i="7"/>
  <c r="H47" i="7" l="1"/>
  <c r="I47" i="7" s="1"/>
  <c r="J47" i="7" s="1"/>
  <c r="L47" i="7"/>
  <c r="M47" i="7" s="1"/>
  <c r="N47" i="7" s="1"/>
  <c r="O47" i="7" l="1"/>
  <c r="T48" i="7" s="1"/>
  <c r="Q48" i="7"/>
  <c r="P48" i="7"/>
  <c r="K47" i="7"/>
  <c r="S48" i="7" s="1"/>
  <c r="R48" i="7" l="1"/>
  <c r="G48" i="7"/>
  <c r="L48" i="7" l="1"/>
  <c r="M48" i="7" s="1"/>
  <c r="N48" i="7" s="1"/>
  <c r="H48" i="7"/>
  <c r="I48" i="7" s="1"/>
  <c r="J48" i="7" s="1"/>
  <c r="P49" i="7" l="1"/>
  <c r="K48" i="7"/>
  <c r="S49" i="7" s="1"/>
  <c r="O48" i="7"/>
  <c r="T49" i="7" s="1"/>
  <c r="Q49" i="7"/>
  <c r="G49" i="7" l="1"/>
  <c r="R49" i="7"/>
  <c r="L49" i="7" l="1"/>
  <c r="M49" i="7" s="1"/>
  <c r="N49" i="7" s="1"/>
  <c r="H49" i="7"/>
  <c r="I49" i="7" s="1"/>
  <c r="J49" i="7" s="1"/>
  <c r="P50" i="7" l="1"/>
  <c r="K49" i="7"/>
  <c r="S50" i="7" s="1"/>
  <c r="O49" i="7"/>
  <c r="T50" i="7" s="1"/>
  <c r="Q50" i="7"/>
  <c r="R50" i="7" l="1"/>
  <c r="G50" i="7"/>
  <c r="L50" i="7" l="1"/>
  <c r="M50" i="7" s="1"/>
  <c r="N50" i="7" s="1"/>
  <c r="H50" i="7"/>
  <c r="I50" i="7" s="1"/>
  <c r="J50" i="7" s="1"/>
  <c r="P51" i="7" l="1"/>
  <c r="K50" i="7"/>
  <c r="S51" i="7" s="1"/>
  <c r="Q51" i="7"/>
  <c r="O50" i="7"/>
  <c r="T51" i="7" s="1"/>
  <c r="G51" i="7" l="1"/>
  <c r="R51" i="7"/>
  <c r="H51" i="7" l="1"/>
  <c r="I51" i="7" s="1"/>
  <c r="J51" i="7" s="1"/>
  <c r="L51" i="7"/>
  <c r="M51" i="7" s="1"/>
  <c r="N51" i="7" s="1"/>
  <c r="Q52" i="7" l="1"/>
  <c r="O51" i="7"/>
  <c r="T52" i="7" s="1"/>
  <c r="P52" i="7"/>
  <c r="K51" i="7"/>
  <c r="S52" i="7" s="1"/>
  <c r="R52" i="7" l="1"/>
  <c r="G52" i="7"/>
  <c r="L52" i="7" l="1"/>
  <c r="M52" i="7" s="1"/>
  <c r="N52" i="7" s="1"/>
  <c r="H52" i="7"/>
  <c r="I52" i="7" s="1"/>
  <c r="J52" i="7" s="1"/>
  <c r="P53" i="7" l="1"/>
  <c r="K52" i="7"/>
  <c r="S53" i="7" s="1"/>
  <c r="O52" i="7"/>
  <c r="T53" i="7" s="1"/>
  <c r="Q53" i="7"/>
  <c r="G53" i="7" l="1"/>
  <c r="R53" i="7"/>
  <c r="L53" i="7" l="1"/>
  <c r="M53" i="7" s="1"/>
  <c r="N53" i="7" s="1"/>
  <c r="H53" i="7"/>
  <c r="I53" i="7" s="1"/>
  <c r="J53" i="7" s="1"/>
  <c r="K53" i="7" l="1"/>
  <c r="S54" i="7" s="1"/>
  <c r="P54" i="7"/>
  <c r="O53" i="7"/>
  <c r="T54" i="7" s="1"/>
  <c r="Q54" i="7"/>
  <c r="R54" i="7" l="1"/>
  <c r="G54" i="7"/>
  <c r="H54" i="7" l="1"/>
  <c r="I54" i="7" s="1"/>
  <c r="J54" i="7" s="1"/>
  <c r="L54" i="7"/>
  <c r="M54" i="7" s="1"/>
  <c r="N54" i="7" s="1"/>
  <c r="Q55" i="7" l="1"/>
  <c r="O54" i="7"/>
  <c r="T55" i="7" s="1"/>
  <c r="K54" i="7"/>
  <c r="S55" i="7" s="1"/>
  <c r="P55" i="7"/>
  <c r="G55" i="7" l="1"/>
  <c r="R55" i="7"/>
  <c r="L55" i="7" l="1"/>
  <c r="M55" i="7" s="1"/>
  <c r="N55" i="7" s="1"/>
  <c r="H55" i="7"/>
  <c r="I55" i="7" s="1"/>
  <c r="J55" i="7" s="1"/>
  <c r="K55" i="7" l="1"/>
  <c r="S56" i="7" s="1"/>
  <c r="P56" i="7"/>
  <c r="O55" i="7"/>
  <c r="T56" i="7" s="1"/>
  <c r="Q56" i="7"/>
  <c r="R56" i="7" l="1"/>
  <c r="G56" i="7"/>
  <c r="L56" i="7" l="1"/>
  <c r="M56" i="7" s="1"/>
  <c r="N56" i="7" s="1"/>
  <c r="H56" i="7"/>
  <c r="I56" i="7" s="1"/>
  <c r="J56" i="7" s="1"/>
  <c r="K56" i="7" l="1"/>
  <c r="S57" i="7" s="1"/>
  <c r="P57" i="7"/>
  <c r="Q57" i="7"/>
  <c r="O56" i="7"/>
  <c r="T57" i="7" s="1"/>
  <c r="R57" i="7" l="1"/>
  <c r="G57" i="7"/>
  <c r="L57" i="7" l="1"/>
  <c r="M57" i="7" s="1"/>
  <c r="N57" i="7" s="1"/>
  <c r="H57" i="7"/>
  <c r="I57" i="7" s="1"/>
  <c r="J57" i="7" s="1"/>
  <c r="P58" i="7" l="1"/>
  <c r="K57" i="7"/>
  <c r="S58" i="7" s="1"/>
  <c r="Q58" i="7"/>
  <c r="O57" i="7"/>
  <c r="T58" i="7" s="1"/>
  <c r="G58" i="7" l="1"/>
  <c r="R58" i="7"/>
  <c r="L58" i="7" l="1"/>
  <c r="M58" i="7" s="1"/>
  <c r="N58" i="7" s="1"/>
  <c r="H58" i="7"/>
  <c r="I58" i="7" s="1"/>
  <c r="J58" i="7" s="1"/>
  <c r="K58" i="7" l="1"/>
  <c r="S59" i="7" s="1"/>
  <c r="P59" i="7"/>
  <c r="O58" i="7"/>
  <c r="T59" i="7" s="1"/>
  <c r="Q59" i="7"/>
  <c r="G59" i="7" l="1"/>
  <c r="R59" i="7"/>
  <c r="L59" i="7" l="1"/>
  <c r="M59" i="7" s="1"/>
  <c r="N59" i="7" s="1"/>
  <c r="H59" i="7"/>
  <c r="I59" i="7" s="1"/>
  <c r="J59" i="7" s="1"/>
  <c r="P60" i="7" l="1"/>
  <c r="K59" i="7"/>
  <c r="S60" i="7" s="1"/>
  <c r="Q60" i="7"/>
  <c r="O59" i="7"/>
  <c r="T60" i="7" s="1"/>
  <c r="G60" i="7" l="1"/>
  <c r="R60" i="7"/>
  <c r="L60" i="7" l="1"/>
  <c r="M60" i="7" s="1"/>
  <c r="N60" i="7" s="1"/>
  <c r="H60" i="7"/>
  <c r="I60" i="7" s="1"/>
  <c r="J60" i="7" s="1"/>
  <c r="P61" i="7" l="1"/>
  <c r="K60" i="7"/>
  <c r="S61" i="7" s="1"/>
  <c r="Q61" i="7"/>
  <c r="O60" i="7"/>
  <c r="T61" i="7" s="1"/>
  <c r="G61" i="7" l="1"/>
  <c r="R61" i="7"/>
  <c r="L61" i="7" l="1"/>
  <c r="M61" i="7" s="1"/>
  <c r="N61" i="7" s="1"/>
  <c r="H61" i="7"/>
  <c r="I61" i="7" s="1"/>
  <c r="J61" i="7" s="1"/>
  <c r="P62" i="7" l="1"/>
  <c r="K61" i="7"/>
  <c r="S62" i="7" s="1"/>
  <c r="Q62" i="7"/>
  <c r="O61" i="7"/>
  <c r="T62" i="7" s="1"/>
  <c r="R62" i="7" l="1"/>
  <c r="G62" i="7"/>
  <c r="H62" i="7" l="1"/>
  <c r="I62" i="7" s="1"/>
  <c r="J62" i="7" s="1"/>
  <c r="L62" i="7"/>
  <c r="M62" i="7" s="1"/>
  <c r="N62" i="7" s="1"/>
  <c r="O62" i="7" l="1"/>
  <c r="T63" i="7" s="1"/>
  <c r="Q63" i="7"/>
  <c r="P63" i="7"/>
  <c r="K62" i="7"/>
  <c r="S63" i="7" s="1"/>
  <c r="R63" i="7" l="1"/>
  <c r="G63" i="7"/>
  <c r="L63" i="7" l="1"/>
  <c r="M63" i="7" s="1"/>
  <c r="N63" i="7" s="1"/>
  <c r="H63" i="7"/>
  <c r="I63" i="7" s="1"/>
  <c r="J63" i="7" s="1"/>
  <c r="K63" i="7" l="1"/>
  <c r="S64" i="7" s="1"/>
  <c r="P64" i="7"/>
  <c r="Q64" i="7"/>
  <c r="O63" i="7"/>
  <c r="T64" i="7" s="1"/>
  <c r="G64" i="7" l="1"/>
  <c r="R64" i="7"/>
  <c r="H64" i="7" l="1"/>
  <c r="I64" i="7" s="1"/>
  <c r="J64" i="7" s="1"/>
  <c r="L64" i="7"/>
  <c r="M64" i="7" s="1"/>
  <c r="N64" i="7" s="1"/>
  <c r="O64" i="7" l="1"/>
  <c r="T65" i="7" s="1"/>
  <c r="Q65" i="7"/>
  <c r="K64" i="7"/>
  <c r="S65" i="7" s="1"/>
  <c r="P65" i="7"/>
  <c r="G65" i="7" l="1"/>
  <c r="R65" i="7"/>
  <c r="L65" i="7" l="1"/>
  <c r="M65" i="7" s="1"/>
  <c r="N65" i="7" s="1"/>
  <c r="H65" i="7"/>
  <c r="I65" i="7" s="1"/>
  <c r="J65" i="7" s="1"/>
  <c r="K65" i="7" l="1"/>
  <c r="S66" i="7" s="1"/>
  <c r="P66" i="7"/>
  <c r="O65" i="7"/>
  <c r="T66" i="7" s="1"/>
  <c r="Q66" i="7"/>
  <c r="R66" i="7" l="1"/>
  <c r="G66" i="7"/>
  <c r="L66" i="7" l="1"/>
  <c r="M66" i="7" s="1"/>
  <c r="N66" i="7" s="1"/>
  <c r="H66" i="7"/>
  <c r="I66" i="7" s="1"/>
  <c r="J66" i="7" s="1"/>
  <c r="P67" i="7" l="1"/>
  <c r="K66" i="7"/>
  <c r="S67" i="7" s="1"/>
  <c r="O66" i="7"/>
  <c r="T67" i="7" s="1"/>
  <c r="Q67" i="7"/>
  <c r="G67" i="7" l="1"/>
  <c r="R67" i="7"/>
  <c r="H67" i="7" l="1"/>
  <c r="I67" i="7" s="1"/>
  <c r="J67" i="7" s="1"/>
  <c r="L67" i="7"/>
  <c r="M67" i="7" s="1"/>
  <c r="N67" i="7" s="1"/>
  <c r="Q68" i="7" l="1"/>
  <c r="O67" i="7"/>
  <c r="T68" i="7" s="1"/>
  <c r="P68" i="7"/>
  <c r="K67" i="7"/>
  <c r="S68" i="7" s="1"/>
  <c r="R68" i="7" l="1"/>
  <c r="G68" i="7"/>
  <c r="L68" i="7" l="1"/>
  <c r="M68" i="7" s="1"/>
  <c r="N68" i="7" s="1"/>
  <c r="H68" i="7"/>
  <c r="I68" i="7" s="1"/>
  <c r="J68" i="7" s="1"/>
  <c r="P69" i="7" l="1"/>
  <c r="K68" i="7"/>
  <c r="S69" i="7" s="1"/>
  <c r="Q69" i="7"/>
  <c r="O68" i="7"/>
  <c r="T69" i="7" s="1"/>
  <c r="R69" i="7" l="1"/>
  <c r="G69" i="7"/>
  <c r="L69" i="7" l="1"/>
  <c r="M69" i="7" s="1"/>
  <c r="N69" i="7" s="1"/>
  <c r="H69" i="7"/>
  <c r="I69" i="7" s="1"/>
  <c r="J69" i="7" s="1"/>
  <c r="K69" i="7" l="1"/>
  <c r="S70" i="7" s="1"/>
  <c r="P70" i="7"/>
  <c r="O69" i="7"/>
  <c r="T70" i="7" s="1"/>
  <c r="Q70" i="7"/>
  <c r="G70" i="7" l="1"/>
  <c r="R70" i="7"/>
  <c r="L70" i="7" l="1"/>
  <c r="M70" i="7" s="1"/>
  <c r="N70" i="7" s="1"/>
  <c r="H70" i="7"/>
  <c r="I70" i="7" s="1"/>
  <c r="J70" i="7" s="1"/>
  <c r="P71" i="7" l="1"/>
  <c r="K70" i="7"/>
  <c r="S71" i="7" s="1"/>
  <c r="Q71" i="7"/>
  <c r="O70" i="7"/>
  <c r="T71" i="7" s="1"/>
  <c r="G71" i="7" l="1"/>
  <c r="R71" i="7"/>
  <c r="H71" i="7" l="1"/>
  <c r="I71" i="7" s="1"/>
  <c r="J71" i="7" s="1"/>
  <c r="L71" i="7"/>
  <c r="M71" i="7" s="1"/>
  <c r="N71" i="7" s="1"/>
  <c r="O71" i="7" l="1"/>
  <c r="T72" i="7" s="1"/>
  <c r="Q72" i="7"/>
  <c r="P72" i="7"/>
  <c r="K71" i="7"/>
  <c r="S72" i="7" s="1"/>
  <c r="G72" i="7" l="1"/>
  <c r="R72" i="7"/>
  <c r="H72" i="7" l="1"/>
  <c r="I72" i="7" s="1"/>
  <c r="J72" i="7" s="1"/>
  <c r="L72" i="7"/>
  <c r="M72" i="7" s="1"/>
  <c r="N72" i="7" s="1"/>
  <c r="O72" i="7" l="1"/>
  <c r="T73" i="7" s="1"/>
  <c r="Q73" i="7"/>
  <c r="K72" i="7"/>
  <c r="S73" i="7" s="1"/>
  <c r="P73" i="7"/>
  <c r="R73" i="7" l="1"/>
  <c r="G73" i="7"/>
  <c r="L73" i="7" l="1"/>
  <c r="M73" i="7" s="1"/>
  <c r="N73" i="7" s="1"/>
  <c r="H73" i="7"/>
  <c r="I73" i="7" s="1"/>
  <c r="J73" i="7" s="1"/>
  <c r="P74" i="7" l="1"/>
  <c r="K73" i="7"/>
  <c r="S74" i="7" s="1"/>
  <c r="O73" i="7"/>
  <c r="T74" i="7" s="1"/>
  <c r="Q74" i="7"/>
  <c r="R74" i="7" l="1"/>
  <c r="G74" i="7"/>
  <c r="H74" i="7" l="1"/>
  <c r="I74" i="7" s="1"/>
  <c r="J74" i="7" s="1"/>
  <c r="L74" i="7"/>
  <c r="M74" i="7" s="1"/>
  <c r="N74" i="7" s="1"/>
  <c r="O74" i="7" l="1"/>
  <c r="T75" i="7" s="1"/>
  <c r="Q75" i="7"/>
  <c r="K74" i="7"/>
  <c r="S75" i="7" s="1"/>
  <c r="P75" i="7"/>
  <c r="G75" i="7" l="1"/>
  <c r="R75" i="7"/>
  <c r="L75" i="7" l="1"/>
  <c r="M75" i="7" s="1"/>
  <c r="N75" i="7" s="1"/>
  <c r="H75" i="7"/>
  <c r="I75" i="7" s="1"/>
  <c r="J75" i="7" s="1"/>
  <c r="P76" i="7" l="1"/>
  <c r="K75" i="7"/>
  <c r="S76" i="7" s="1"/>
  <c r="O75" i="7"/>
  <c r="T76" i="7" s="1"/>
  <c r="Q76" i="7"/>
  <c r="G76" i="7" l="1"/>
  <c r="R76" i="7"/>
  <c r="H76" i="7" l="1"/>
  <c r="I76" i="7" s="1"/>
  <c r="J76" i="7" s="1"/>
  <c r="L76" i="7"/>
  <c r="M76" i="7" s="1"/>
  <c r="N76" i="7" s="1"/>
  <c r="Q77" i="7" l="1"/>
  <c r="O76" i="7"/>
  <c r="T77" i="7" s="1"/>
  <c r="K76" i="7"/>
  <c r="S77" i="7" s="1"/>
  <c r="P77" i="7"/>
  <c r="G77" i="7" l="1"/>
  <c r="R77" i="7"/>
  <c r="H77" i="7" l="1"/>
  <c r="I77" i="7" s="1"/>
  <c r="J77" i="7" s="1"/>
  <c r="L77" i="7"/>
  <c r="M77" i="7" s="1"/>
  <c r="N77" i="7" s="1"/>
  <c r="O77" i="7" l="1"/>
  <c r="T78" i="7" s="1"/>
  <c r="Q78" i="7"/>
  <c r="K77" i="7"/>
  <c r="S78" i="7" s="1"/>
  <c r="P78" i="7"/>
  <c r="G78" i="7" l="1"/>
  <c r="R78" i="7"/>
  <c r="H78" i="7" l="1"/>
  <c r="I78" i="7" s="1"/>
  <c r="J78" i="7" s="1"/>
  <c r="L78" i="7"/>
  <c r="M78" i="7" s="1"/>
  <c r="N78" i="7" s="1"/>
  <c r="Q79" i="7" l="1"/>
  <c r="O78" i="7"/>
  <c r="T79" i="7" s="1"/>
  <c r="K78" i="7"/>
  <c r="S79" i="7" s="1"/>
  <c r="P79" i="7"/>
  <c r="R79" i="7" l="1"/>
  <c r="G79" i="7"/>
  <c r="H79" i="7" l="1"/>
  <c r="I79" i="7" s="1"/>
  <c r="J79" i="7" s="1"/>
  <c r="L79" i="7"/>
  <c r="M79" i="7" s="1"/>
  <c r="N79" i="7" s="1"/>
  <c r="O79" i="7" l="1"/>
  <c r="T80" i="7" s="1"/>
  <c r="Q80" i="7"/>
  <c r="P80" i="7"/>
  <c r="K79" i="7"/>
  <c r="S80" i="7" s="1"/>
  <c r="G80" i="7" l="1"/>
  <c r="R80" i="7"/>
  <c r="L80" i="7" l="1"/>
  <c r="M80" i="7" s="1"/>
  <c r="N80" i="7" s="1"/>
  <c r="H80" i="7"/>
  <c r="I80" i="7" s="1"/>
  <c r="J80" i="7" s="1"/>
  <c r="K80" i="7" l="1"/>
  <c r="S81" i="7" s="1"/>
  <c r="P81" i="7"/>
  <c r="O80" i="7"/>
  <c r="T81" i="7" s="1"/>
  <c r="Q81" i="7"/>
  <c r="R81" i="7" l="1"/>
  <c r="G81" i="7"/>
  <c r="L81" i="7" l="1"/>
  <c r="M81" i="7" s="1"/>
  <c r="N81" i="7" s="1"/>
  <c r="H81" i="7"/>
  <c r="I81" i="7" s="1"/>
  <c r="J81" i="7" s="1"/>
  <c r="P82" i="7" l="1"/>
  <c r="K81" i="7"/>
  <c r="S82" i="7" s="1"/>
  <c r="Q82" i="7"/>
  <c r="O81" i="7"/>
  <c r="T82" i="7" s="1"/>
  <c r="G82" i="7" l="1"/>
  <c r="R82" i="7"/>
  <c r="H82" i="7" l="1"/>
  <c r="I82" i="7" s="1"/>
  <c r="J82" i="7" s="1"/>
  <c r="L82" i="7"/>
  <c r="M82" i="7" s="1"/>
  <c r="N82" i="7" s="1"/>
  <c r="O82" i="7" l="1"/>
  <c r="T83" i="7" s="1"/>
  <c r="Q83" i="7"/>
  <c r="P83" i="7"/>
  <c r="K82" i="7"/>
  <c r="S83" i="7" s="1"/>
  <c r="G83" i="7" l="1"/>
  <c r="R83" i="7"/>
  <c r="L83" i="7" l="1"/>
  <c r="M83" i="7" s="1"/>
  <c r="N83" i="7" s="1"/>
  <c r="H83" i="7"/>
  <c r="I83" i="7" s="1"/>
  <c r="J83" i="7" s="1"/>
  <c r="K83" i="7" l="1"/>
  <c r="S84" i="7" s="1"/>
  <c r="P84" i="7"/>
  <c r="Q84" i="7"/>
  <c r="O83" i="7"/>
  <c r="T84" i="7" s="1"/>
  <c r="G84" i="7" l="1"/>
  <c r="R84" i="7"/>
  <c r="H84" i="7" l="1"/>
  <c r="I84" i="7" s="1"/>
  <c r="J84" i="7" s="1"/>
  <c r="L84" i="7"/>
  <c r="M84" i="7" s="1"/>
  <c r="N84" i="7" s="1"/>
  <c r="Q85" i="7" l="1"/>
  <c r="O84" i="7"/>
  <c r="T85" i="7" s="1"/>
  <c r="P85" i="7"/>
  <c r="K84" i="7"/>
  <c r="S85" i="7" s="1"/>
  <c r="G85" i="7" l="1"/>
  <c r="R85" i="7"/>
  <c r="L85" i="7" l="1"/>
  <c r="M85" i="7" s="1"/>
  <c r="N85" i="7" s="1"/>
  <c r="H85" i="7"/>
  <c r="I85" i="7" s="1"/>
  <c r="J85" i="7" s="1"/>
  <c r="K85" i="7" l="1"/>
  <c r="S86" i="7" s="1"/>
  <c r="P86" i="7"/>
  <c r="O85" i="7"/>
  <c r="T86" i="7" s="1"/>
  <c r="Q86" i="7"/>
  <c r="R86" i="7" l="1"/>
  <c r="G86" i="7"/>
  <c r="L86" i="7" l="1"/>
  <c r="M86" i="7" s="1"/>
  <c r="N86" i="7" s="1"/>
  <c r="H86" i="7"/>
  <c r="I86" i="7" s="1"/>
  <c r="J86" i="7" s="1"/>
  <c r="P87" i="7" l="1"/>
  <c r="K86" i="7"/>
  <c r="S87" i="7" s="1"/>
  <c r="Q87" i="7"/>
  <c r="O86" i="7"/>
  <c r="T87" i="7" s="1"/>
  <c r="R87" i="7" l="1"/>
  <c r="G87" i="7"/>
  <c r="L87" i="7" l="1"/>
  <c r="M87" i="7" s="1"/>
  <c r="N87" i="7" s="1"/>
  <c r="H87" i="7"/>
  <c r="I87" i="7" s="1"/>
  <c r="J87" i="7" s="1"/>
  <c r="P88" i="7" l="1"/>
  <c r="K87" i="7"/>
  <c r="S88" i="7" s="1"/>
  <c r="Q88" i="7"/>
  <c r="O87" i="7"/>
  <c r="T88" i="7" s="1"/>
  <c r="R88" i="7" l="1"/>
  <c r="G88" i="7"/>
  <c r="H88" i="7" l="1"/>
  <c r="I88" i="7" s="1"/>
  <c r="J88" i="7" s="1"/>
  <c r="L88" i="7"/>
  <c r="M88" i="7" s="1"/>
  <c r="N88" i="7" s="1"/>
  <c r="Q89" i="7" l="1"/>
  <c r="O88" i="7"/>
  <c r="T89" i="7" s="1"/>
  <c r="K88" i="7"/>
  <c r="S89" i="7" s="1"/>
  <c r="P89" i="7"/>
  <c r="G89" i="7" l="1"/>
  <c r="R89" i="7"/>
  <c r="H89" i="7" l="1"/>
  <c r="I89" i="7" s="1"/>
  <c r="J89" i="7" s="1"/>
  <c r="L89" i="7"/>
  <c r="M89" i="7" s="1"/>
  <c r="N89" i="7" s="1"/>
  <c r="O89" i="7" l="1"/>
  <c r="T90" i="7" s="1"/>
  <c r="Q90" i="7"/>
  <c r="P90" i="7"/>
  <c r="K89" i="7"/>
  <c r="S90" i="7" s="1"/>
  <c r="G90" i="7" l="1"/>
  <c r="R90" i="7"/>
  <c r="L90" i="7" l="1"/>
  <c r="M90" i="7" s="1"/>
  <c r="N90" i="7" s="1"/>
  <c r="H90" i="7"/>
  <c r="I90" i="7" s="1"/>
  <c r="J90" i="7" s="1"/>
  <c r="K90" i="7" l="1"/>
  <c r="S91" i="7" s="1"/>
  <c r="P91" i="7"/>
  <c r="O90" i="7"/>
  <c r="T91" i="7" s="1"/>
  <c r="Q91" i="7"/>
  <c r="R91" i="7" l="1"/>
  <c r="G91" i="7"/>
  <c r="L91" i="7" l="1"/>
  <c r="M91" i="7" s="1"/>
  <c r="N91" i="7" s="1"/>
  <c r="H91" i="7"/>
  <c r="I91" i="7" s="1"/>
  <c r="J91" i="7" s="1"/>
  <c r="K91" i="7" l="1"/>
  <c r="S92" i="7" s="1"/>
  <c r="P92" i="7"/>
  <c r="Q92" i="7"/>
  <c r="O91" i="7"/>
  <c r="T92" i="7" s="1"/>
  <c r="R92" i="7" l="1"/>
  <c r="G92" i="7"/>
  <c r="L92" i="7" l="1"/>
  <c r="M92" i="7" s="1"/>
  <c r="N92" i="7" s="1"/>
  <c r="H92" i="7"/>
  <c r="I92" i="7" s="1"/>
  <c r="J92" i="7" s="1"/>
  <c r="K92" i="7" l="1"/>
  <c r="S93" i="7" s="1"/>
  <c r="P93" i="7"/>
  <c r="Q93" i="7"/>
  <c r="O92" i="7"/>
  <c r="T93" i="7" s="1"/>
  <c r="G93" i="7" l="1"/>
  <c r="R93" i="7"/>
  <c r="L93" i="7" l="1"/>
  <c r="M93" i="7" s="1"/>
  <c r="N93" i="7" s="1"/>
  <c r="H93" i="7"/>
  <c r="I93" i="7" s="1"/>
  <c r="J93" i="7" s="1"/>
  <c r="K93" i="7" l="1"/>
  <c r="S94" i="7" s="1"/>
  <c r="P94" i="7"/>
  <c r="O93" i="7"/>
  <c r="T94" i="7" s="1"/>
  <c r="Q94" i="7"/>
  <c r="R94" i="7" l="1"/>
  <c r="G94" i="7"/>
  <c r="L94" i="7" l="1"/>
  <c r="M94" i="7" s="1"/>
  <c r="N94" i="7" s="1"/>
  <c r="H94" i="7"/>
  <c r="I94" i="7" s="1"/>
  <c r="J94" i="7" s="1"/>
  <c r="P95" i="7" l="1"/>
  <c r="K94" i="7"/>
  <c r="S95" i="7" s="1"/>
  <c r="O94" i="7"/>
  <c r="T95" i="7" s="1"/>
  <c r="Q95" i="7"/>
  <c r="G95" i="7" l="1"/>
  <c r="R95" i="7"/>
  <c r="L95" i="7" l="1"/>
  <c r="M95" i="7" s="1"/>
  <c r="N95" i="7" s="1"/>
  <c r="H95" i="7"/>
  <c r="I95" i="7" s="1"/>
  <c r="J95" i="7" s="1"/>
  <c r="P96" i="7" l="1"/>
  <c r="K95" i="7"/>
  <c r="S96" i="7" s="1"/>
  <c r="Q96" i="7"/>
  <c r="O95" i="7"/>
  <c r="T96" i="7" s="1"/>
  <c r="R96" i="7" l="1"/>
  <c r="G96" i="7"/>
  <c r="H96" i="7" l="1"/>
  <c r="I96" i="7" s="1"/>
  <c r="J96" i="7" s="1"/>
  <c r="L96" i="7"/>
  <c r="M96" i="7" s="1"/>
  <c r="N96" i="7" s="1"/>
  <c r="O96" i="7" l="1"/>
  <c r="T97" i="7" s="1"/>
  <c r="Q97" i="7"/>
  <c r="P97" i="7"/>
  <c r="K96" i="7"/>
  <c r="S97" i="7" s="1"/>
  <c r="R97" i="7" l="1"/>
  <c r="G97" i="7"/>
  <c r="H97" i="7" l="1"/>
  <c r="I97" i="7" s="1"/>
  <c r="J97" i="7" s="1"/>
  <c r="L97" i="7"/>
  <c r="M97" i="7" s="1"/>
  <c r="N97" i="7" s="1"/>
  <c r="Q98" i="7" l="1"/>
  <c r="O97" i="7"/>
  <c r="T98" i="7" s="1"/>
  <c r="K97" i="7"/>
  <c r="S98" i="7" s="1"/>
  <c r="P98" i="7"/>
  <c r="R98" i="7" l="1"/>
  <c r="G98" i="7"/>
  <c r="L98" i="7" l="1"/>
  <c r="M98" i="7" s="1"/>
  <c r="N98" i="7" s="1"/>
  <c r="H98" i="7"/>
  <c r="I98" i="7" s="1"/>
  <c r="J98" i="7" s="1"/>
  <c r="P99" i="7" l="1"/>
  <c r="K98" i="7"/>
  <c r="S99" i="7" s="1"/>
  <c r="O98" i="7"/>
  <c r="T99" i="7" s="1"/>
  <c r="Q99" i="7"/>
  <c r="G99" i="7" l="1"/>
  <c r="R99" i="7"/>
  <c r="L99" i="7" l="1"/>
  <c r="M99" i="7" s="1"/>
  <c r="N99" i="7" s="1"/>
  <c r="H99" i="7"/>
  <c r="I99" i="7" s="1"/>
  <c r="J99" i="7" s="1"/>
  <c r="P100" i="7" l="1"/>
  <c r="K99" i="7"/>
  <c r="S100" i="7" s="1"/>
  <c r="O99" i="7"/>
  <c r="T100" i="7" s="1"/>
  <c r="Q100" i="7"/>
  <c r="G100" i="7" l="1"/>
  <c r="R100" i="7"/>
  <c r="L100" i="7" l="1"/>
  <c r="M100" i="7" s="1"/>
  <c r="N100" i="7" s="1"/>
  <c r="H100" i="7"/>
  <c r="I100" i="7" s="1"/>
  <c r="J100" i="7" s="1"/>
  <c r="P101" i="7" l="1"/>
  <c r="K100" i="7"/>
  <c r="S101" i="7" s="1"/>
  <c r="O100" i="7"/>
  <c r="T101" i="7" s="1"/>
  <c r="Q101" i="7"/>
  <c r="G101" i="7" l="1"/>
  <c r="R101" i="7"/>
  <c r="L101" i="7" l="1"/>
  <c r="M101" i="7" s="1"/>
  <c r="N101" i="7" s="1"/>
  <c r="H101" i="7"/>
  <c r="I101" i="7" s="1"/>
  <c r="J101" i="7" s="1"/>
  <c r="P102" i="7" l="1"/>
  <c r="K101" i="7"/>
  <c r="S102" i="7" s="1"/>
  <c r="Q102" i="7"/>
  <c r="O101" i="7"/>
  <c r="T102" i="7" s="1"/>
  <c r="R102" i="7" l="1"/>
  <c r="G102" i="7"/>
  <c r="H102" i="7" l="1"/>
  <c r="I102" i="7" s="1"/>
  <c r="J102" i="7" s="1"/>
  <c r="L102" i="7"/>
  <c r="M102" i="7" s="1"/>
  <c r="N102" i="7" s="1"/>
  <c r="O102" i="7" l="1"/>
  <c r="T103" i="7" s="1"/>
  <c r="Q103" i="7"/>
  <c r="K102" i="7"/>
  <c r="S103" i="7" s="1"/>
  <c r="P103" i="7"/>
  <c r="G103" i="7" l="1"/>
  <c r="R103" i="7"/>
  <c r="H103" i="7" l="1"/>
  <c r="I103" i="7" s="1"/>
  <c r="J103" i="7" s="1"/>
  <c r="L103" i="7"/>
  <c r="M103" i="7" s="1"/>
  <c r="N103" i="7" s="1"/>
  <c r="O103" i="7" l="1"/>
  <c r="T104" i="7" s="1"/>
  <c r="Q104" i="7"/>
  <c r="P104" i="7"/>
  <c r="K103" i="7"/>
  <c r="S104" i="7" s="1"/>
  <c r="R104" i="7" l="1"/>
  <c r="G104" i="7"/>
  <c r="H104" i="7" l="1"/>
  <c r="I104" i="7" s="1"/>
  <c r="J104" i="7" s="1"/>
  <c r="L104" i="7"/>
  <c r="M104" i="7" s="1"/>
  <c r="N104" i="7" s="1"/>
  <c r="O104" i="7" l="1"/>
  <c r="T105" i="7" s="1"/>
  <c r="Q105" i="7"/>
  <c r="K104" i="7"/>
  <c r="S105" i="7" s="1"/>
  <c r="P105" i="7"/>
  <c r="G105" i="7" l="1"/>
  <c r="R105" i="7"/>
  <c r="L105" i="7" l="1"/>
  <c r="M105" i="7" s="1"/>
  <c r="N105" i="7" s="1"/>
  <c r="H105" i="7"/>
  <c r="I105" i="7" s="1"/>
  <c r="J105" i="7" s="1"/>
  <c r="P106" i="7" l="1"/>
  <c r="K105" i="7"/>
  <c r="S106" i="7" s="1"/>
  <c r="O105" i="7"/>
  <c r="T106" i="7" s="1"/>
  <c r="Q106" i="7"/>
  <c r="G106" i="7" l="1"/>
  <c r="R106" i="7"/>
  <c r="L106" i="7" l="1"/>
  <c r="M106" i="7" s="1"/>
  <c r="N106" i="7" s="1"/>
  <c r="H106" i="7"/>
  <c r="I106" i="7" s="1"/>
  <c r="J106" i="7" s="1"/>
  <c r="P107" i="7" l="1"/>
  <c r="K106" i="7"/>
  <c r="S107" i="7" s="1"/>
  <c r="Q107" i="7"/>
  <c r="O106" i="7"/>
  <c r="T107" i="7" s="1"/>
  <c r="R107" i="7" l="1"/>
  <c r="G107" i="7"/>
  <c r="L107" i="7" l="1"/>
  <c r="M107" i="7" s="1"/>
  <c r="N107" i="7" s="1"/>
  <c r="H107" i="7"/>
  <c r="I107" i="7" s="1"/>
  <c r="J107" i="7" s="1"/>
  <c r="P108" i="7" l="1"/>
  <c r="K107" i="7"/>
  <c r="S108" i="7" s="1"/>
  <c r="O107" i="7"/>
  <c r="T108" i="7" s="1"/>
  <c r="Q108" i="7"/>
  <c r="G108" i="7" l="1"/>
  <c r="R108" i="7"/>
  <c r="H108" i="7" l="1"/>
  <c r="I108" i="7" s="1"/>
  <c r="J108" i="7" s="1"/>
  <c r="L108" i="7"/>
  <c r="M108" i="7" s="1"/>
  <c r="N108" i="7" s="1"/>
  <c r="O108" i="7" l="1"/>
  <c r="T109" i="7" s="1"/>
  <c r="Q109" i="7"/>
  <c r="P109" i="7"/>
  <c r="K108" i="7"/>
  <c r="S109" i="7" s="1"/>
  <c r="G109" i="7" l="1"/>
  <c r="R109" i="7"/>
  <c r="L109" i="7" l="1"/>
  <c r="M109" i="7" s="1"/>
  <c r="N109" i="7" s="1"/>
  <c r="H109" i="7"/>
  <c r="I109" i="7" s="1"/>
  <c r="J109" i="7" s="1"/>
  <c r="K109" i="7" l="1"/>
  <c r="S110" i="7" s="1"/>
  <c r="P110" i="7"/>
  <c r="O109" i="7"/>
  <c r="T110" i="7" s="1"/>
  <c r="Q110" i="7"/>
  <c r="R110" i="7" l="1"/>
  <c r="G110" i="7"/>
  <c r="H110" i="7" l="1"/>
  <c r="I110" i="7" s="1"/>
  <c r="J110" i="7" s="1"/>
  <c r="L110" i="7"/>
  <c r="M110" i="7" s="1"/>
  <c r="N110" i="7" s="1"/>
  <c r="O110" i="7" l="1"/>
  <c r="T111" i="7" s="1"/>
  <c r="Q111" i="7"/>
  <c r="K110" i="7"/>
  <c r="S111" i="7" s="1"/>
  <c r="P111" i="7"/>
  <c r="G111" i="7" l="1"/>
  <c r="R111" i="7"/>
  <c r="H111" i="7" l="1"/>
  <c r="I111" i="7" s="1"/>
  <c r="J111" i="7" s="1"/>
  <c r="L111" i="7"/>
  <c r="M111" i="7" s="1"/>
  <c r="N111" i="7" s="1"/>
  <c r="Q112" i="7" l="1"/>
  <c r="O111" i="7"/>
  <c r="T112" i="7" s="1"/>
  <c r="P112" i="7"/>
  <c r="K111" i="7"/>
  <c r="S112" i="7" s="1"/>
  <c r="R112" i="7" l="1"/>
  <c r="G112" i="7"/>
  <c r="H112" i="7" l="1"/>
  <c r="I112" i="7" s="1"/>
  <c r="J112" i="7" s="1"/>
  <c r="L112" i="7"/>
  <c r="M112" i="7" s="1"/>
  <c r="N112" i="7" s="1"/>
  <c r="Q113" i="7" l="1"/>
  <c r="O112" i="7"/>
  <c r="T113" i="7" s="1"/>
  <c r="K112" i="7"/>
  <c r="S113" i="7" s="1"/>
  <c r="P113" i="7"/>
  <c r="G113" i="7" l="1"/>
  <c r="R113" i="7"/>
  <c r="L113" i="7" l="1"/>
  <c r="M113" i="7" s="1"/>
  <c r="N113" i="7" s="1"/>
  <c r="H113" i="7"/>
  <c r="I113" i="7" s="1"/>
  <c r="J113" i="7" s="1"/>
  <c r="K113" i="7" l="1"/>
  <c r="S114" i="7" s="1"/>
  <c r="P114" i="7"/>
  <c r="Q114" i="7"/>
  <c r="O113" i="7"/>
  <c r="T114" i="7" s="1"/>
  <c r="G114" i="7" l="1"/>
  <c r="R114" i="7"/>
  <c r="L114" i="7" l="1"/>
  <c r="M114" i="7" s="1"/>
  <c r="N114" i="7" s="1"/>
  <c r="H114" i="7"/>
  <c r="I114" i="7" s="1"/>
  <c r="J114" i="7" s="1"/>
  <c r="K114" i="7" l="1"/>
  <c r="S115" i="7" s="1"/>
  <c r="P115" i="7"/>
  <c r="Q115" i="7"/>
  <c r="O114" i="7"/>
  <c r="T115" i="7" s="1"/>
  <c r="R115" i="7" l="1"/>
  <c r="G115" i="7"/>
  <c r="L115" i="7" l="1"/>
  <c r="M115" i="7" s="1"/>
  <c r="N115" i="7" s="1"/>
  <c r="H115" i="7"/>
  <c r="I115" i="7" s="1"/>
  <c r="J115" i="7" s="1"/>
  <c r="K115" i="7" l="1"/>
  <c r="S116" i="7" s="1"/>
  <c r="P116" i="7"/>
  <c r="Q116" i="7"/>
  <c r="O115" i="7"/>
  <c r="T116" i="7" s="1"/>
  <c r="G116" i="7" l="1"/>
  <c r="R116" i="7"/>
  <c r="H116" i="7" l="1"/>
  <c r="I116" i="7" s="1"/>
  <c r="J116" i="7" s="1"/>
  <c r="L116" i="7"/>
  <c r="M116" i="7" s="1"/>
  <c r="N116" i="7" s="1"/>
  <c r="Q117" i="7" l="1"/>
  <c r="O116" i="7"/>
  <c r="T117" i="7" s="1"/>
  <c r="K116" i="7"/>
  <c r="S117" i="7" s="1"/>
  <c r="P117" i="7"/>
  <c r="G117" i="7" l="1"/>
  <c r="R117" i="7"/>
  <c r="L117" i="7" l="1"/>
  <c r="M117" i="7" s="1"/>
  <c r="N117" i="7" s="1"/>
  <c r="H117" i="7"/>
  <c r="I117" i="7" s="1"/>
  <c r="J117" i="7" s="1"/>
  <c r="P118" i="7" l="1"/>
  <c r="K117" i="7"/>
  <c r="S118" i="7" s="1"/>
  <c r="Q118" i="7"/>
  <c r="O117" i="7"/>
  <c r="T118" i="7" s="1"/>
  <c r="R118" i="7" l="1"/>
  <c r="G118" i="7"/>
  <c r="H118" i="7" l="1"/>
  <c r="I118" i="7" s="1"/>
  <c r="J118" i="7" s="1"/>
  <c r="L118" i="7"/>
  <c r="M118" i="7" s="1"/>
  <c r="N118" i="7" s="1"/>
  <c r="O118" i="7" l="1"/>
  <c r="T119" i="7" s="1"/>
  <c r="Q119" i="7"/>
  <c r="P119" i="7"/>
  <c r="K118" i="7"/>
  <c r="S119" i="7" s="1"/>
  <c r="R119" i="7" l="1"/>
  <c r="G119" i="7"/>
  <c r="L119" i="7" l="1"/>
  <c r="M119" i="7" s="1"/>
  <c r="N119" i="7" s="1"/>
  <c r="H119" i="7"/>
  <c r="I119" i="7" s="1"/>
  <c r="J119" i="7" s="1"/>
  <c r="K119" i="7" l="1"/>
  <c r="S120" i="7" s="1"/>
  <c r="P120" i="7"/>
  <c r="Q120" i="7"/>
  <c r="O119" i="7"/>
  <c r="T120" i="7" s="1"/>
  <c r="R120" i="7" l="1"/>
  <c r="G120" i="7"/>
  <c r="L120" i="7" l="1"/>
  <c r="M120" i="7" s="1"/>
  <c r="N120" i="7" s="1"/>
  <c r="H120" i="7"/>
  <c r="I120" i="7" s="1"/>
  <c r="J120" i="7" s="1"/>
  <c r="K120" i="7" l="1"/>
  <c r="S121" i="7" s="1"/>
  <c r="P121" i="7"/>
  <c r="Q121" i="7"/>
  <c r="O120" i="7"/>
  <c r="T121" i="7" s="1"/>
  <c r="G121" i="7" l="1"/>
  <c r="R121" i="7"/>
  <c r="L121" i="7" l="1"/>
  <c r="M121" i="7" s="1"/>
  <c r="N121" i="7" s="1"/>
  <c r="H121" i="7"/>
  <c r="I121" i="7" s="1"/>
  <c r="J121" i="7" s="1"/>
  <c r="K121" i="7" l="1"/>
  <c r="S122" i="7" s="1"/>
  <c r="P122" i="7"/>
  <c r="Q122" i="7"/>
  <c r="O121" i="7"/>
  <c r="T122" i="7" s="1"/>
  <c r="G122" i="7" l="1"/>
  <c r="R122" i="7"/>
  <c r="H122" i="7" l="1"/>
  <c r="I122" i="7" s="1"/>
  <c r="J122" i="7" s="1"/>
  <c r="L122" i="7"/>
  <c r="M122" i="7" s="1"/>
  <c r="N122" i="7" s="1"/>
  <c r="Q123" i="7" l="1"/>
  <c r="O122" i="7"/>
  <c r="T123" i="7" s="1"/>
  <c r="P123" i="7"/>
  <c r="K122" i="7"/>
  <c r="S123" i="7" s="1"/>
  <c r="G123" i="7" l="1"/>
  <c r="R123" i="7"/>
  <c r="H123" i="7" l="1"/>
  <c r="I123" i="7" s="1"/>
  <c r="J123" i="7" s="1"/>
  <c r="L123" i="7"/>
  <c r="M123" i="7" s="1"/>
  <c r="N123" i="7" s="1"/>
  <c r="Q124" i="7" l="1"/>
  <c r="O123" i="7"/>
  <c r="T124" i="7" s="1"/>
  <c r="P124" i="7"/>
  <c r="K123" i="7"/>
  <c r="S124" i="7" s="1"/>
  <c r="G124" i="7" l="1"/>
  <c r="R124" i="7"/>
  <c r="H124" i="7" l="1"/>
  <c r="I124" i="7" s="1"/>
  <c r="J124" i="7" s="1"/>
  <c r="L124" i="7"/>
  <c r="M124" i="7" s="1"/>
  <c r="N124" i="7" s="1"/>
  <c r="O124" i="7" l="1"/>
  <c r="T125" i="7" s="1"/>
  <c r="Q125" i="7"/>
  <c r="K124" i="7"/>
  <c r="S125" i="7" s="1"/>
  <c r="P125" i="7"/>
  <c r="G125" i="7" l="1"/>
  <c r="R125" i="7"/>
  <c r="L125" i="7" l="1"/>
  <c r="M125" i="7" s="1"/>
  <c r="N125" i="7" s="1"/>
  <c r="H125" i="7"/>
  <c r="I125" i="7" s="1"/>
  <c r="J125" i="7" s="1"/>
  <c r="P126" i="7" l="1"/>
  <c r="K125" i="7"/>
  <c r="S126" i="7" s="1"/>
  <c r="O125" i="7"/>
  <c r="T126" i="7" s="1"/>
  <c r="Q126" i="7"/>
  <c r="R126" i="7" l="1"/>
  <c r="G126" i="7"/>
  <c r="H126" i="7" l="1"/>
  <c r="I126" i="7" s="1"/>
  <c r="J126" i="7" s="1"/>
  <c r="L126" i="7"/>
  <c r="M126" i="7" s="1"/>
  <c r="N126" i="7" s="1"/>
  <c r="Q127" i="7" l="1"/>
  <c r="O126" i="7"/>
  <c r="T127" i="7" s="1"/>
  <c r="K126" i="7"/>
  <c r="S127" i="7" s="1"/>
  <c r="P127" i="7"/>
  <c r="G127" i="7" l="1"/>
  <c r="R127" i="7"/>
  <c r="L127" i="7" l="1"/>
  <c r="M127" i="7" s="1"/>
  <c r="N127" i="7" s="1"/>
  <c r="H127" i="7"/>
  <c r="I127" i="7" s="1"/>
  <c r="J127" i="7" s="1"/>
  <c r="P128" i="7" l="1"/>
  <c r="K127" i="7"/>
  <c r="S128" i="7" s="1"/>
  <c r="O127" i="7"/>
  <c r="T128" i="7" s="1"/>
  <c r="Q128" i="7"/>
  <c r="G128" i="7" l="1"/>
  <c r="R128" i="7"/>
  <c r="L128" i="7" l="1"/>
  <c r="M128" i="7" s="1"/>
  <c r="N128" i="7" s="1"/>
  <c r="H128" i="7"/>
  <c r="I128" i="7" s="1"/>
  <c r="J128" i="7" s="1"/>
  <c r="K128" i="7" l="1"/>
  <c r="S129" i="7" s="1"/>
  <c r="P129" i="7"/>
  <c r="Q129" i="7"/>
  <c r="O128" i="7"/>
  <c r="T129" i="7" s="1"/>
  <c r="G129" i="7" l="1"/>
  <c r="R129" i="7"/>
  <c r="H129" i="7" l="1"/>
  <c r="I129" i="7" s="1"/>
  <c r="J129" i="7" s="1"/>
  <c r="L129" i="7"/>
  <c r="M129" i="7" s="1"/>
  <c r="N129" i="7" s="1"/>
  <c r="Q130" i="7" l="1"/>
  <c r="O129" i="7"/>
  <c r="T130" i="7" s="1"/>
  <c r="K129" i="7"/>
  <c r="S130" i="7" s="1"/>
  <c r="P130" i="7"/>
  <c r="R130" i="7" l="1"/>
  <c r="G130" i="7"/>
  <c r="H130" i="7" l="1"/>
  <c r="I130" i="7" s="1"/>
  <c r="J130" i="7" s="1"/>
  <c r="L130" i="7"/>
  <c r="M130" i="7" s="1"/>
  <c r="N130" i="7" s="1"/>
  <c r="O130" i="7" l="1"/>
  <c r="T131" i="7" s="1"/>
  <c r="Q131" i="7"/>
  <c r="P131" i="7"/>
  <c r="K130" i="7"/>
  <c r="S131" i="7" s="1"/>
  <c r="R131" i="7" l="1"/>
  <c r="G131" i="7"/>
  <c r="H131" i="7" l="1"/>
  <c r="I131" i="7" s="1"/>
  <c r="J131" i="7" s="1"/>
  <c r="L131" i="7"/>
  <c r="M131" i="7" s="1"/>
  <c r="N131" i="7" s="1"/>
  <c r="O131" i="7" l="1"/>
  <c r="T132" i="7" s="1"/>
  <c r="Q132" i="7"/>
  <c r="P132" i="7"/>
  <c r="K131" i="7"/>
  <c r="S132" i="7" s="1"/>
  <c r="G132" i="7" l="1"/>
  <c r="R132" i="7"/>
  <c r="L132" i="7" l="1"/>
  <c r="M132" i="7" s="1"/>
  <c r="N132" i="7" s="1"/>
  <c r="H132" i="7"/>
  <c r="I132" i="7" s="1"/>
  <c r="J132" i="7" s="1"/>
  <c r="P133" i="7" l="1"/>
  <c r="K132" i="7"/>
  <c r="S133" i="7" s="1"/>
  <c r="O132" i="7"/>
  <c r="T133" i="7" s="1"/>
  <c r="Q133" i="7"/>
  <c r="R133" i="7" l="1"/>
  <c r="G133" i="7"/>
  <c r="H133" i="7" l="1"/>
  <c r="I133" i="7" s="1"/>
  <c r="J133" i="7" s="1"/>
  <c r="L133" i="7"/>
  <c r="M133" i="7" s="1"/>
  <c r="N133" i="7" s="1"/>
  <c r="O133" i="7" l="1"/>
  <c r="T134" i="7" s="1"/>
  <c r="Q134" i="7"/>
  <c r="K133" i="7"/>
  <c r="S134" i="7" s="1"/>
  <c r="P134" i="7"/>
  <c r="R134" i="7" l="1"/>
  <c r="G134" i="7"/>
  <c r="L134" i="7" l="1"/>
  <c r="M134" i="7" s="1"/>
  <c r="N134" i="7" s="1"/>
  <c r="H134" i="7"/>
  <c r="I134" i="7" s="1"/>
  <c r="J134" i="7" s="1"/>
  <c r="K134" i="7" l="1"/>
  <c r="S135" i="7" s="1"/>
  <c r="P135" i="7"/>
  <c r="O134" i="7"/>
  <c r="T135" i="7" s="1"/>
  <c r="Q135" i="7"/>
  <c r="G135" i="7" l="1"/>
  <c r="R135" i="7"/>
  <c r="L135" i="7" l="1"/>
  <c r="M135" i="7" s="1"/>
  <c r="N135" i="7" s="1"/>
  <c r="H135" i="7"/>
  <c r="I135" i="7" s="1"/>
  <c r="J135" i="7" s="1"/>
  <c r="P136" i="7" l="1"/>
  <c r="K135" i="7"/>
  <c r="S136" i="7" s="1"/>
  <c r="O135" i="7"/>
  <c r="T136" i="7" s="1"/>
  <c r="Q136" i="7"/>
  <c r="R136" i="7" l="1"/>
  <c r="G136" i="7"/>
  <c r="H136" i="7" l="1"/>
  <c r="I136" i="7" s="1"/>
  <c r="J136" i="7" s="1"/>
  <c r="L136" i="7"/>
  <c r="M136" i="7" s="1"/>
  <c r="N136" i="7" s="1"/>
  <c r="O136" i="7" l="1"/>
  <c r="T137" i="7" s="1"/>
  <c r="Q137" i="7"/>
  <c r="K136" i="7"/>
  <c r="S137" i="7" s="1"/>
  <c r="P137" i="7"/>
  <c r="R137" i="7" l="1"/>
  <c r="G137" i="7"/>
  <c r="H137" i="7" l="1"/>
  <c r="I137" i="7" s="1"/>
  <c r="J137" i="7" s="1"/>
  <c r="L137" i="7"/>
  <c r="M137" i="7" s="1"/>
  <c r="N137" i="7" s="1"/>
  <c r="O137" i="7" l="1"/>
  <c r="T138" i="7" s="1"/>
  <c r="Q138" i="7"/>
  <c r="K137" i="7"/>
  <c r="S138" i="7" s="1"/>
  <c r="P138" i="7"/>
  <c r="G138" i="7" l="1"/>
  <c r="R138" i="7"/>
  <c r="H138" i="7" l="1"/>
  <c r="I138" i="7" s="1"/>
  <c r="J138" i="7" s="1"/>
  <c r="L138" i="7"/>
  <c r="M138" i="7" s="1"/>
  <c r="N138" i="7" s="1"/>
  <c r="Q139" i="7" l="1"/>
  <c r="O138" i="7"/>
  <c r="T139" i="7" s="1"/>
  <c r="P139" i="7"/>
  <c r="K138" i="7"/>
  <c r="S139" i="7" s="1"/>
  <c r="R139" i="7" l="1"/>
  <c r="G139" i="7"/>
  <c r="H139" i="7" l="1"/>
  <c r="I139" i="7" s="1"/>
  <c r="J139" i="7" s="1"/>
  <c r="L139" i="7"/>
  <c r="M139" i="7" s="1"/>
  <c r="N139" i="7" s="1"/>
  <c r="Q140" i="7" l="1"/>
  <c r="O139" i="7"/>
  <c r="T140" i="7" s="1"/>
  <c r="K139" i="7"/>
  <c r="S140" i="7" s="1"/>
  <c r="P140" i="7"/>
  <c r="G140" i="7" l="1"/>
  <c r="R140" i="7"/>
  <c r="L140" i="7" l="1"/>
  <c r="M140" i="7" s="1"/>
  <c r="N140" i="7" s="1"/>
  <c r="H140" i="7"/>
  <c r="I140" i="7" s="1"/>
  <c r="J140" i="7" s="1"/>
  <c r="K140" i="7" l="1"/>
  <c r="S141" i="7" s="1"/>
  <c r="P141" i="7"/>
  <c r="Q141" i="7"/>
  <c r="O140" i="7"/>
  <c r="T141" i="7" s="1"/>
  <c r="R141" i="7" l="1"/>
  <c r="G141" i="7"/>
  <c r="H141" i="7" l="1"/>
  <c r="I141" i="7" s="1"/>
  <c r="J141" i="7" s="1"/>
  <c r="L141" i="7"/>
  <c r="M141" i="7" s="1"/>
  <c r="N141" i="7" s="1"/>
  <c r="O141" i="7" l="1"/>
  <c r="T142" i="7" s="1"/>
  <c r="Q142" i="7"/>
  <c r="K141" i="7"/>
  <c r="S142" i="7" s="1"/>
  <c r="P142" i="7"/>
  <c r="R142" i="7" l="1"/>
  <c r="G142" i="7"/>
  <c r="H142" i="7" l="1"/>
  <c r="I142" i="7" s="1"/>
  <c r="J142" i="7" s="1"/>
  <c r="L142" i="7"/>
  <c r="M142" i="7" s="1"/>
  <c r="N142" i="7" s="1"/>
  <c r="Q143" i="7" l="1"/>
  <c r="O142" i="7"/>
  <c r="T143" i="7" s="1"/>
  <c r="P143" i="7"/>
  <c r="K142" i="7"/>
  <c r="S143" i="7" s="1"/>
  <c r="R143" i="7" l="1"/>
  <c r="G143" i="7"/>
  <c r="L143" i="7" l="1"/>
  <c r="M143" i="7" s="1"/>
  <c r="N143" i="7" s="1"/>
  <c r="H143" i="7"/>
  <c r="I143" i="7" s="1"/>
  <c r="J143" i="7" s="1"/>
  <c r="P144" i="7" l="1"/>
  <c r="K143" i="7"/>
  <c r="S144" i="7" s="1"/>
  <c r="Q144" i="7"/>
  <c r="O143" i="7"/>
  <c r="T144" i="7" s="1"/>
  <c r="G144" i="7" l="1"/>
  <c r="R144" i="7"/>
  <c r="H144" i="7" l="1"/>
  <c r="I144" i="7" s="1"/>
  <c r="J144" i="7" s="1"/>
  <c r="L144" i="7"/>
  <c r="M144" i="7" s="1"/>
  <c r="N144" i="7" s="1"/>
  <c r="O144" i="7" l="1"/>
  <c r="T145" i="7" s="1"/>
  <c r="Q145" i="7"/>
  <c r="P145" i="7"/>
  <c r="K144" i="7"/>
  <c r="S145" i="7" s="1"/>
  <c r="R145" i="7" l="1"/>
  <c r="G145" i="7"/>
  <c r="L145" i="7" l="1"/>
  <c r="M145" i="7" s="1"/>
  <c r="N145" i="7" s="1"/>
  <c r="H145" i="7"/>
  <c r="I145" i="7" s="1"/>
  <c r="J145" i="7" s="1"/>
  <c r="P146" i="7" l="1"/>
  <c r="K145" i="7"/>
  <c r="S146" i="7" s="1"/>
  <c r="O145" i="7"/>
  <c r="T146" i="7" s="1"/>
  <c r="Q146" i="7"/>
  <c r="R146" i="7" l="1"/>
  <c r="G146" i="7"/>
  <c r="H146" i="7" l="1"/>
  <c r="I146" i="7" s="1"/>
  <c r="J146" i="7" s="1"/>
  <c r="L146" i="7"/>
  <c r="M146" i="7" s="1"/>
  <c r="N146" i="7" s="1"/>
  <c r="Q147" i="7" l="1"/>
  <c r="O146" i="7"/>
  <c r="T147" i="7" s="1"/>
  <c r="P147" i="7"/>
  <c r="K146" i="7"/>
  <c r="S147" i="7" s="1"/>
  <c r="G147" i="7" l="1"/>
  <c r="R147" i="7"/>
  <c r="L147" i="7" l="1"/>
  <c r="M147" i="7" s="1"/>
  <c r="N147" i="7" s="1"/>
  <c r="H147" i="7"/>
  <c r="I147" i="7" s="1"/>
  <c r="J147" i="7" s="1"/>
  <c r="P148" i="7" l="1"/>
  <c r="K147" i="7"/>
  <c r="S148" i="7" s="1"/>
  <c r="Q148" i="7"/>
  <c r="O147" i="7"/>
  <c r="T148" i="7" s="1"/>
  <c r="G148" i="7" l="1"/>
  <c r="R148" i="7"/>
  <c r="L148" i="7" l="1"/>
  <c r="M148" i="7" s="1"/>
  <c r="N148" i="7" s="1"/>
  <c r="H148" i="7"/>
  <c r="I148" i="7" s="1"/>
  <c r="J148" i="7" s="1"/>
  <c r="K148" i="7" l="1"/>
  <c r="S149" i="7" s="1"/>
  <c r="P149" i="7"/>
  <c r="Q149" i="7"/>
  <c r="O148" i="7"/>
  <c r="T149" i="7" s="1"/>
  <c r="G149" i="7" l="1"/>
  <c r="R149" i="7"/>
  <c r="L149" i="7" l="1"/>
  <c r="M149" i="7" s="1"/>
  <c r="N149" i="7" s="1"/>
  <c r="H149" i="7"/>
  <c r="I149" i="7" s="1"/>
  <c r="J149" i="7" s="1"/>
  <c r="P150" i="7" l="1"/>
  <c r="K149" i="7"/>
  <c r="S150" i="7" s="1"/>
  <c r="O149" i="7"/>
  <c r="T150" i="7" s="1"/>
  <c r="Q150" i="7"/>
  <c r="G150" i="7" l="1"/>
  <c r="R150" i="7"/>
  <c r="L150" i="7" l="1"/>
  <c r="M150" i="7" s="1"/>
  <c r="N150" i="7" s="1"/>
  <c r="H150" i="7"/>
  <c r="I150" i="7" s="1"/>
  <c r="J150" i="7" s="1"/>
  <c r="P151" i="7" l="1"/>
  <c r="K150" i="7"/>
  <c r="S151" i="7" s="1"/>
  <c r="O150" i="7"/>
  <c r="T151" i="7" s="1"/>
  <c r="Q151" i="7"/>
  <c r="G151" i="7" l="1"/>
  <c r="R151" i="7"/>
  <c r="H151" i="7" l="1"/>
  <c r="I151" i="7" s="1"/>
  <c r="J151" i="7" s="1"/>
  <c r="L151" i="7"/>
  <c r="M151" i="7" s="1"/>
  <c r="N151" i="7" s="1"/>
  <c r="O151" i="7" l="1"/>
  <c r="T152" i="7" s="1"/>
  <c r="Q152" i="7"/>
  <c r="K151" i="7"/>
  <c r="S152" i="7" s="1"/>
  <c r="P152" i="7"/>
  <c r="R152" i="7" l="1"/>
  <c r="G152" i="7"/>
  <c r="L152" i="7" l="1"/>
  <c r="M152" i="7" s="1"/>
  <c r="N152" i="7" s="1"/>
  <c r="H152" i="7"/>
  <c r="I152" i="7" s="1"/>
  <c r="J152" i="7" s="1"/>
  <c r="K152" i="7" l="1"/>
  <c r="S153" i="7" s="1"/>
  <c r="P153" i="7"/>
  <c r="Q153" i="7"/>
  <c r="O152" i="7"/>
  <c r="T153" i="7" s="1"/>
  <c r="G153" i="7" l="1"/>
  <c r="R153" i="7"/>
  <c r="L153" i="7" l="1"/>
  <c r="M153" i="7" s="1"/>
  <c r="N153" i="7" s="1"/>
  <c r="H153" i="7"/>
  <c r="I153" i="7" s="1"/>
  <c r="J153" i="7" s="1"/>
  <c r="K153" i="7" l="1"/>
  <c r="S154" i="7" s="1"/>
  <c r="P154" i="7"/>
  <c r="Q154" i="7"/>
  <c r="O153" i="7"/>
  <c r="T154" i="7" s="1"/>
  <c r="G154" i="7" l="1"/>
  <c r="R154" i="7"/>
  <c r="L154" i="7" l="1"/>
  <c r="M154" i="7" s="1"/>
  <c r="N154" i="7" s="1"/>
  <c r="H154" i="7"/>
  <c r="I154" i="7" s="1"/>
  <c r="J154" i="7" s="1"/>
  <c r="P155" i="7" l="1"/>
  <c r="K154" i="7"/>
  <c r="S155" i="7" s="1"/>
  <c r="Q155" i="7"/>
  <c r="O154" i="7"/>
  <c r="T155" i="7" s="1"/>
  <c r="G155" i="7" l="1"/>
  <c r="R155" i="7"/>
  <c r="H155" i="7" l="1"/>
  <c r="I155" i="7" s="1"/>
  <c r="J155" i="7" s="1"/>
  <c r="L155" i="7"/>
  <c r="M155" i="7" s="1"/>
  <c r="N155" i="7" s="1"/>
  <c r="Q156" i="7" l="1"/>
  <c r="O155" i="7"/>
  <c r="T156" i="7" s="1"/>
  <c r="P156" i="7"/>
  <c r="K155" i="7"/>
  <c r="S156" i="7" s="1"/>
  <c r="G156" i="7" l="1"/>
  <c r="R156" i="7"/>
  <c r="L156" i="7" l="1"/>
  <c r="M156" i="7" s="1"/>
  <c r="N156" i="7" s="1"/>
  <c r="H156" i="7"/>
  <c r="I156" i="7" s="1"/>
  <c r="J156" i="7" s="1"/>
  <c r="P157" i="7" l="1"/>
  <c r="K156" i="7"/>
  <c r="S157" i="7" s="1"/>
  <c r="O156" i="7"/>
  <c r="T157" i="7" s="1"/>
  <c r="Q157" i="7"/>
  <c r="G157" i="7" l="1"/>
  <c r="R157" i="7"/>
  <c r="H157" i="7" l="1"/>
  <c r="I157" i="7" s="1"/>
  <c r="J157" i="7" s="1"/>
  <c r="L157" i="7"/>
  <c r="M157" i="7" s="1"/>
  <c r="N157" i="7" s="1"/>
  <c r="Q158" i="7" l="1"/>
  <c r="O157" i="7"/>
  <c r="T158" i="7" s="1"/>
  <c r="P158" i="7"/>
  <c r="K157" i="7"/>
  <c r="S158" i="7" s="1"/>
  <c r="G158" i="7" l="1"/>
  <c r="R158" i="7"/>
  <c r="H158" i="7" l="1"/>
  <c r="I158" i="7" s="1"/>
  <c r="J158" i="7" s="1"/>
  <c r="L158" i="7"/>
  <c r="M158" i="7" s="1"/>
  <c r="N158" i="7" s="1"/>
  <c r="O158" i="7" l="1"/>
  <c r="T159" i="7" s="1"/>
  <c r="Q159" i="7"/>
  <c r="K158" i="7"/>
  <c r="S159" i="7" s="1"/>
  <c r="P159" i="7"/>
  <c r="G159" i="7" l="1"/>
  <c r="R159" i="7"/>
  <c r="L159" i="7" l="1"/>
  <c r="M159" i="7" s="1"/>
  <c r="N159" i="7" s="1"/>
  <c r="H159" i="7"/>
  <c r="I159" i="7" s="1"/>
  <c r="J159" i="7" s="1"/>
  <c r="P160" i="7" l="1"/>
  <c r="K159" i="7"/>
  <c r="S160" i="7" s="1"/>
  <c r="Q160" i="7"/>
  <c r="O159" i="7"/>
  <c r="T160" i="7" s="1"/>
  <c r="G160" i="7" l="1"/>
  <c r="R160" i="7"/>
  <c r="H160" i="7" l="1"/>
  <c r="I160" i="7" s="1"/>
  <c r="J160" i="7" s="1"/>
  <c r="L160" i="7"/>
  <c r="M160" i="7" s="1"/>
  <c r="N160" i="7" s="1"/>
  <c r="O160" i="7" l="1"/>
  <c r="T161" i="7" s="1"/>
  <c r="Q161" i="7"/>
  <c r="K160" i="7"/>
  <c r="S161" i="7" s="1"/>
  <c r="P161" i="7"/>
  <c r="G161" i="7" l="1"/>
  <c r="R161" i="7"/>
  <c r="L161" i="7" l="1"/>
  <c r="M161" i="7" s="1"/>
  <c r="N161" i="7" s="1"/>
  <c r="H161" i="7"/>
  <c r="I161" i="7" s="1"/>
  <c r="J161" i="7" s="1"/>
  <c r="P162" i="7" l="1"/>
  <c r="K161" i="7"/>
  <c r="S162" i="7" s="1"/>
  <c r="O161" i="7"/>
  <c r="T162" i="7" s="1"/>
  <c r="Q162" i="7"/>
  <c r="G162" i="7" l="1"/>
  <c r="R162" i="7"/>
  <c r="H162" i="7" l="1"/>
  <c r="I162" i="7" s="1"/>
  <c r="J162" i="7" s="1"/>
  <c r="L162" i="7"/>
  <c r="M162" i="7" s="1"/>
  <c r="N162" i="7" s="1"/>
  <c r="O162" i="7" l="1"/>
  <c r="T163" i="7" s="1"/>
  <c r="Q163" i="7"/>
  <c r="K162" i="7"/>
  <c r="S163" i="7" s="1"/>
  <c r="P163" i="7"/>
  <c r="G163" i="7" l="1"/>
  <c r="R163" i="7"/>
  <c r="H163" i="7" l="1"/>
  <c r="I163" i="7" s="1"/>
  <c r="J163" i="7" s="1"/>
  <c r="L163" i="7"/>
  <c r="M163" i="7" s="1"/>
  <c r="N163" i="7" s="1"/>
  <c r="Q164" i="7" l="1"/>
  <c r="O163" i="7"/>
  <c r="T164" i="7" s="1"/>
  <c r="P164" i="7"/>
  <c r="K163" i="7"/>
  <c r="S164" i="7" s="1"/>
  <c r="R164" i="7" l="1"/>
  <c r="G164" i="7"/>
  <c r="H164" i="7" l="1"/>
  <c r="I164" i="7" s="1"/>
  <c r="J164" i="7" s="1"/>
  <c r="L164" i="7"/>
  <c r="M164" i="7" s="1"/>
  <c r="N164" i="7" s="1"/>
  <c r="O164" i="7" l="1"/>
  <c r="T165" i="7" s="1"/>
  <c r="Q165" i="7"/>
  <c r="P165" i="7"/>
  <c r="K164" i="7"/>
  <c r="S165" i="7" s="1"/>
  <c r="R165" i="7" l="1"/>
  <c r="G165" i="7"/>
  <c r="H165" i="7" l="1"/>
  <c r="I165" i="7" s="1"/>
  <c r="J165" i="7" s="1"/>
  <c r="L165" i="7"/>
  <c r="M165" i="7" s="1"/>
  <c r="N165" i="7" s="1"/>
  <c r="Q166" i="7" l="1"/>
  <c r="O165" i="7"/>
  <c r="T166" i="7" s="1"/>
  <c r="P166" i="7"/>
  <c r="K165" i="7"/>
  <c r="S166" i="7" s="1"/>
  <c r="R166" i="7" l="1"/>
  <c r="G166" i="7"/>
  <c r="H166" i="7" l="1"/>
  <c r="I166" i="7" s="1"/>
  <c r="J166" i="7" s="1"/>
  <c r="L166" i="7"/>
  <c r="M166" i="7" s="1"/>
  <c r="N166" i="7" s="1"/>
  <c r="O166" i="7" l="1"/>
  <c r="T167" i="7" s="1"/>
  <c r="Q167" i="7"/>
  <c r="P167" i="7"/>
  <c r="K166" i="7"/>
  <c r="S167" i="7" s="1"/>
  <c r="R167" i="7" l="1"/>
  <c r="G167" i="7"/>
  <c r="L167" i="7" l="1"/>
  <c r="M167" i="7" s="1"/>
  <c r="N167" i="7" s="1"/>
  <c r="H167" i="7"/>
  <c r="I167" i="7" s="1"/>
  <c r="J167" i="7" s="1"/>
  <c r="P168" i="7" l="1"/>
  <c r="K167" i="7"/>
  <c r="S168" i="7" s="1"/>
  <c r="Q168" i="7"/>
  <c r="O167" i="7"/>
  <c r="T168" i="7" s="1"/>
  <c r="R168" i="7" l="1"/>
  <c r="G168" i="7"/>
  <c r="H168" i="7" l="1"/>
  <c r="I168" i="7" s="1"/>
  <c r="J168" i="7" s="1"/>
  <c r="L168" i="7"/>
  <c r="M168" i="7" s="1"/>
  <c r="N168" i="7" s="1"/>
  <c r="O168" i="7" l="1"/>
  <c r="T169" i="7" s="1"/>
  <c r="Q169" i="7"/>
  <c r="K168" i="7"/>
  <c r="S169" i="7" s="1"/>
  <c r="P169" i="7"/>
  <c r="G169" i="7" l="1"/>
  <c r="R169" i="7"/>
  <c r="L169" i="7" l="1"/>
  <c r="M169" i="7" s="1"/>
  <c r="N169" i="7" s="1"/>
  <c r="H169" i="7"/>
  <c r="I169" i="7" s="1"/>
  <c r="J169" i="7" s="1"/>
  <c r="P170" i="7" l="1"/>
  <c r="K169" i="7"/>
  <c r="S170" i="7" s="1"/>
  <c r="Q170" i="7"/>
  <c r="O169" i="7"/>
  <c r="T170" i="7" s="1"/>
  <c r="R170" i="7" l="1"/>
  <c r="G170" i="7"/>
  <c r="L170" i="7" l="1"/>
  <c r="M170" i="7" s="1"/>
  <c r="N170" i="7" s="1"/>
  <c r="H170" i="7"/>
  <c r="I170" i="7" s="1"/>
  <c r="J170" i="7" s="1"/>
  <c r="K170" i="7" l="1"/>
  <c r="S171" i="7" s="1"/>
  <c r="P171" i="7"/>
  <c r="O170" i="7"/>
  <c r="T171" i="7" s="1"/>
  <c r="Q171" i="7"/>
  <c r="R171" i="7" l="1"/>
  <c r="G171" i="7"/>
  <c r="H171" i="7" l="1"/>
  <c r="I171" i="7" s="1"/>
  <c r="J171" i="7" s="1"/>
  <c r="L171" i="7"/>
  <c r="M171" i="7" s="1"/>
  <c r="N171" i="7" s="1"/>
  <c r="O171" i="7" l="1"/>
  <c r="T172" i="7" s="1"/>
  <c r="Q172" i="7"/>
  <c r="P172" i="7"/>
  <c r="K171" i="7"/>
  <c r="S172" i="7" s="1"/>
  <c r="R172" i="7" l="1"/>
  <c r="G172" i="7"/>
  <c r="L172" i="7" l="1"/>
  <c r="M172" i="7" s="1"/>
  <c r="N172" i="7" s="1"/>
  <c r="H172" i="7"/>
  <c r="I172" i="7" s="1"/>
  <c r="J172" i="7" s="1"/>
  <c r="K172" i="7" l="1"/>
  <c r="S173" i="7" s="1"/>
  <c r="P173" i="7"/>
  <c r="Q173" i="7"/>
  <c r="O172" i="7"/>
  <c r="T173" i="7" s="1"/>
  <c r="R173" i="7" l="1"/>
  <c r="G173" i="7"/>
  <c r="L173" i="7" l="1"/>
  <c r="M173" i="7" s="1"/>
  <c r="N173" i="7" s="1"/>
  <c r="H173" i="7"/>
  <c r="I173" i="7" s="1"/>
  <c r="J173" i="7" s="1"/>
  <c r="P174" i="7" l="1"/>
  <c r="K173" i="7"/>
  <c r="S174" i="7" s="1"/>
  <c r="O173" i="7"/>
  <c r="T174" i="7" s="1"/>
  <c r="Q174" i="7"/>
  <c r="G174" i="7" l="1"/>
  <c r="R174" i="7"/>
  <c r="H174" i="7" l="1"/>
  <c r="I174" i="7" s="1"/>
  <c r="J174" i="7" s="1"/>
  <c r="L174" i="7"/>
  <c r="M174" i="7" s="1"/>
  <c r="N174" i="7" s="1"/>
  <c r="O174" i="7" l="1"/>
  <c r="T175" i="7" s="1"/>
  <c r="Q175" i="7"/>
  <c r="P175" i="7"/>
  <c r="K174" i="7"/>
  <c r="S175" i="7" s="1"/>
  <c r="R175" i="7" l="1"/>
  <c r="G175" i="7"/>
  <c r="L175" i="7" l="1"/>
  <c r="M175" i="7" s="1"/>
  <c r="N175" i="7" s="1"/>
  <c r="H175" i="7"/>
  <c r="I175" i="7" s="1"/>
  <c r="J175" i="7" s="1"/>
  <c r="P176" i="7" l="1"/>
  <c r="K175" i="7"/>
  <c r="S176" i="7" s="1"/>
  <c r="Q176" i="7"/>
  <c r="O175" i="7"/>
  <c r="T176" i="7" s="1"/>
  <c r="R176" i="7" l="1"/>
  <c r="G176" i="7"/>
  <c r="H176" i="7" l="1"/>
  <c r="I176" i="7" s="1"/>
  <c r="J176" i="7" s="1"/>
  <c r="L176" i="7"/>
  <c r="M176" i="7" s="1"/>
  <c r="N176" i="7" s="1"/>
  <c r="Q177" i="7" l="1"/>
  <c r="O176" i="7"/>
  <c r="T177" i="7" s="1"/>
  <c r="P177" i="7"/>
  <c r="K176" i="7"/>
  <c r="S177" i="7" s="1"/>
  <c r="R177" i="7" l="1"/>
  <c r="G177" i="7"/>
  <c r="L177" i="7" l="1"/>
  <c r="M177" i="7" s="1"/>
  <c r="N177" i="7" s="1"/>
  <c r="H177" i="7"/>
  <c r="I177" i="7" s="1"/>
  <c r="J177" i="7" s="1"/>
  <c r="P178" i="7" l="1"/>
  <c r="K177" i="7"/>
  <c r="S178" i="7" s="1"/>
  <c r="O177" i="7"/>
  <c r="T178" i="7" s="1"/>
  <c r="Q178" i="7"/>
  <c r="G178" i="7" l="1"/>
  <c r="R178" i="7"/>
  <c r="L178" i="7" l="1"/>
  <c r="M178" i="7" s="1"/>
  <c r="N178" i="7" s="1"/>
  <c r="H178" i="7"/>
  <c r="I178" i="7" s="1"/>
  <c r="J178" i="7" s="1"/>
  <c r="P179" i="7" l="1"/>
  <c r="K178" i="7"/>
  <c r="S179" i="7" s="1"/>
  <c r="O178" i="7"/>
  <c r="T179" i="7" s="1"/>
  <c r="Q179" i="7"/>
  <c r="G179" i="7" l="1"/>
  <c r="R179" i="7"/>
  <c r="L179" i="7" l="1"/>
  <c r="M179" i="7" s="1"/>
  <c r="N179" i="7" s="1"/>
  <c r="H179" i="7"/>
  <c r="I179" i="7" s="1"/>
  <c r="J179" i="7" s="1"/>
  <c r="P180" i="7" l="1"/>
  <c r="K179" i="7"/>
  <c r="S180" i="7" s="1"/>
  <c r="Q180" i="7"/>
  <c r="O179" i="7"/>
  <c r="T180" i="7" s="1"/>
  <c r="G180" i="7" l="1"/>
  <c r="R180" i="7"/>
  <c r="H180" i="7" l="1"/>
  <c r="I180" i="7" s="1"/>
  <c r="J180" i="7" s="1"/>
  <c r="L180" i="7"/>
  <c r="M180" i="7" s="1"/>
  <c r="N180" i="7" s="1"/>
  <c r="Q181" i="7" l="1"/>
  <c r="O180" i="7"/>
  <c r="T181" i="7" s="1"/>
  <c r="K180" i="7"/>
  <c r="S181" i="7" s="1"/>
  <c r="P181" i="7"/>
  <c r="G181" i="7" l="1"/>
  <c r="R181" i="7"/>
  <c r="L181" i="7" l="1"/>
  <c r="M181" i="7" s="1"/>
  <c r="N181" i="7" s="1"/>
  <c r="H181" i="7"/>
  <c r="I181" i="7" s="1"/>
  <c r="J181" i="7" s="1"/>
  <c r="P182" i="7" l="1"/>
  <c r="K181" i="7"/>
  <c r="S182" i="7" s="1"/>
  <c r="Q182" i="7"/>
  <c r="O181" i="7"/>
  <c r="T182" i="7" s="1"/>
  <c r="R182" i="7" l="1"/>
  <c r="G182" i="7"/>
  <c r="L182" i="7" l="1"/>
  <c r="M182" i="7" s="1"/>
  <c r="N182" i="7" s="1"/>
  <c r="H182" i="7"/>
  <c r="I182" i="7" s="1"/>
  <c r="J182" i="7" s="1"/>
  <c r="K182" i="7" l="1"/>
  <c r="S183" i="7" s="1"/>
  <c r="P183" i="7"/>
  <c r="Q183" i="7"/>
  <c r="O182" i="7"/>
  <c r="T183" i="7" s="1"/>
  <c r="R183" i="7" l="1"/>
  <c r="G183" i="7"/>
  <c r="H183" i="7" l="1"/>
  <c r="I183" i="7" s="1"/>
  <c r="J183" i="7" s="1"/>
  <c r="L183" i="7"/>
  <c r="M183" i="7" s="1"/>
  <c r="N183" i="7" s="1"/>
  <c r="O183" i="7" l="1"/>
  <c r="T184" i="7" s="1"/>
  <c r="Q184" i="7"/>
  <c r="P184" i="7"/>
  <c r="K183" i="7"/>
  <c r="S184" i="7" s="1"/>
  <c r="R184" i="7" l="1"/>
  <c r="G184" i="7"/>
  <c r="H184" i="7" l="1"/>
  <c r="I184" i="7" s="1"/>
  <c r="J184" i="7" s="1"/>
  <c r="L184" i="7"/>
  <c r="M184" i="7" s="1"/>
  <c r="N184" i="7" s="1"/>
  <c r="O184" i="7" l="1"/>
  <c r="T185" i="7" s="1"/>
  <c r="Q185" i="7"/>
  <c r="P185" i="7"/>
  <c r="K184" i="7"/>
  <c r="S185" i="7" s="1"/>
  <c r="R185" i="7" l="1"/>
  <c r="G185" i="7"/>
  <c r="L185" i="7" l="1"/>
  <c r="M185" i="7" s="1"/>
  <c r="N185" i="7" s="1"/>
  <c r="H185" i="7"/>
  <c r="I185" i="7" s="1"/>
  <c r="J185" i="7" s="1"/>
  <c r="K185" i="7" l="1"/>
  <c r="S186" i="7" s="1"/>
  <c r="P186" i="7"/>
  <c r="Q186" i="7"/>
  <c r="O185" i="7"/>
  <c r="T186" i="7" s="1"/>
  <c r="G186" i="7" l="1"/>
  <c r="R186" i="7"/>
  <c r="L186" i="7" l="1"/>
  <c r="M186" i="7" s="1"/>
  <c r="N186" i="7" s="1"/>
  <c r="H186" i="7"/>
  <c r="I186" i="7" s="1"/>
  <c r="J186" i="7" s="1"/>
  <c r="K186" i="7" l="1"/>
  <c r="S187" i="7" s="1"/>
  <c r="P187" i="7"/>
  <c r="Q187" i="7"/>
  <c r="O186" i="7"/>
  <c r="T187" i="7" s="1"/>
  <c r="G187" i="7" l="1"/>
  <c r="R187" i="7"/>
  <c r="H187" i="7" l="1"/>
  <c r="I187" i="7" s="1"/>
  <c r="J187" i="7" s="1"/>
  <c r="L187" i="7"/>
  <c r="M187" i="7" s="1"/>
  <c r="N187" i="7" s="1"/>
  <c r="O187" i="7" l="1"/>
  <c r="T188" i="7" s="1"/>
  <c r="Q188" i="7"/>
  <c r="K187" i="7"/>
  <c r="S188" i="7" s="1"/>
  <c r="P188" i="7"/>
  <c r="R188" i="7" l="1"/>
  <c r="G188" i="7"/>
  <c r="L188" i="7" l="1"/>
  <c r="M188" i="7" s="1"/>
  <c r="N188" i="7" s="1"/>
  <c r="H188" i="7"/>
  <c r="I188" i="7" s="1"/>
  <c r="J188" i="7" s="1"/>
  <c r="K188" i="7" l="1"/>
  <c r="S189" i="7" s="1"/>
  <c r="P189" i="7"/>
  <c r="Q189" i="7"/>
  <c r="O188" i="7"/>
  <c r="T189" i="7" s="1"/>
  <c r="G189" i="7" l="1"/>
  <c r="R189" i="7"/>
  <c r="H189" i="7" l="1"/>
  <c r="I189" i="7" s="1"/>
  <c r="J189" i="7" s="1"/>
  <c r="L189" i="7"/>
  <c r="M189" i="7" s="1"/>
  <c r="N189" i="7" s="1"/>
  <c r="Q190" i="7" l="1"/>
  <c r="O189" i="7"/>
  <c r="T190" i="7" s="1"/>
  <c r="P190" i="7"/>
  <c r="K189" i="7"/>
  <c r="S190" i="7" s="1"/>
  <c r="R190" i="7" l="1"/>
  <c r="G190" i="7"/>
  <c r="L190" i="7" l="1"/>
  <c r="M190" i="7" s="1"/>
  <c r="N190" i="7" s="1"/>
  <c r="H190" i="7"/>
  <c r="I190" i="7" s="1"/>
  <c r="J190" i="7" s="1"/>
  <c r="K190" i="7" l="1"/>
  <c r="S191" i="7" s="1"/>
  <c r="P191" i="7"/>
  <c r="Q191" i="7"/>
  <c r="O190" i="7"/>
  <c r="T191" i="7" s="1"/>
  <c r="R191" i="7" l="1"/>
  <c r="G191" i="7"/>
  <c r="L191" i="7" l="1"/>
  <c r="M191" i="7" s="1"/>
  <c r="N191" i="7" s="1"/>
  <c r="H191" i="7"/>
  <c r="I191" i="7" s="1"/>
  <c r="J191" i="7" s="1"/>
  <c r="K191" i="7" l="1"/>
  <c r="S192" i="7" s="1"/>
  <c r="P192" i="7"/>
  <c r="O191" i="7"/>
  <c r="T192" i="7" s="1"/>
  <c r="Q192" i="7"/>
  <c r="G192" i="7" l="1"/>
  <c r="R192" i="7"/>
  <c r="L192" i="7" l="1"/>
  <c r="M192" i="7" s="1"/>
  <c r="N192" i="7" s="1"/>
  <c r="H192" i="7"/>
  <c r="I192" i="7" s="1"/>
  <c r="J192" i="7" s="1"/>
  <c r="K192" i="7" l="1"/>
  <c r="S193" i="7" s="1"/>
  <c r="P193" i="7"/>
  <c r="O192" i="7"/>
  <c r="T193" i="7" s="1"/>
  <c r="Q193" i="7"/>
  <c r="G193" i="7" l="1"/>
  <c r="R193" i="7"/>
  <c r="H193" i="7" l="1"/>
  <c r="I193" i="7" s="1"/>
  <c r="J193" i="7" s="1"/>
  <c r="L193" i="7"/>
  <c r="M193" i="7" s="1"/>
  <c r="N193" i="7" s="1"/>
  <c r="O193" i="7" l="1"/>
  <c r="T194" i="7" s="1"/>
  <c r="Q194" i="7"/>
  <c r="P194" i="7"/>
  <c r="K193" i="7"/>
  <c r="S194" i="7" s="1"/>
  <c r="R194" i="7" l="1"/>
  <c r="G194" i="7"/>
  <c r="L194" i="7" l="1"/>
  <c r="M194" i="7" s="1"/>
  <c r="N194" i="7" s="1"/>
  <c r="H194" i="7"/>
  <c r="I194" i="7" s="1"/>
  <c r="J194" i="7" s="1"/>
  <c r="P195" i="7" l="1"/>
  <c r="K194" i="7"/>
  <c r="S195" i="7" s="1"/>
  <c r="Q195" i="7"/>
  <c r="O194" i="7"/>
  <c r="T195" i="7" s="1"/>
  <c r="R195" i="7" l="1"/>
  <c r="G195" i="7"/>
  <c r="L195" i="7" l="1"/>
  <c r="M195" i="7" s="1"/>
  <c r="N195" i="7" s="1"/>
  <c r="H195" i="7"/>
  <c r="I195" i="7" s="1"/>
  <c r="J195" i="7" s="1"/>
  <c r="P196" i="7" l="1"/>
  <c r="K195" i="7"/>
  <c r="S196" i="7" s="1"/>
  <c r="O195" i="7"/>
  <c r="T196" i="7" s="1"/>
  <c r="Q196" i="7"/>
  <c r="G196" i="7" l="1"/>
  <c r="R196" i="7"/>
  <c r="L196" i="7" l="1"/>
  <c r="M196" i="7" s="1"/>
  <c r="N196" i="7" s="1"/>
  <c r="H196" i="7"/>
  <c r="I196" i="7" s="1"/>
  <c r="J196" i="7" s="1"/>
  <c r="P197" i="7" l="1"/>
  <c r="K196" i="7"/>
  <c r="S197" i="7" s="1"/>
  <c r="O196" i="7"/>
  <c r="T197" i="7" s="1"/>
  <c r="Q197" i="7"/>
  <c r="R197" i="7" l="1"/>
  <c r="G197" i="7"/>
  <c r="H197" i="7" l="1"/>
  <c r="I197" i="7" s="1"/>
  <c r="J197" i="7" s="1"/>
  <c r="L197" i="7"/>
  <c r="M197" i="7" s="1"/>
  <c r="N197" i="7" s="1"/>
  <c r="O197" i="7" l="1"/>
  <c r="T198" i="7" s="1"/>
  <c r="Q198" i="7"/>
  <c r="K197" i="7"/>
  <c r="S198" i="7" s="1"/>
  <c r="P198" i="7"/>
  <c r="R198" i="7" l="1"/>
  <c r="G198" i="7"/>
  <c r="L198" i="7" l="1"/>
  <c r="M198" i="7" s="1"/>
  <c r="N198" i="7" s="1"/>
  <c r="H198" i="7"/>
  <c r="I198" i="7" s="1"/>
  <c r="J198" i="7" s="1"/>
  <c r="K198" i="7" l="1"/>
  <c r="S199" i="7" s="1"/>
  <c r="P199" i="7"/>
  <c r="O198" i="7"/>
  <c r="T199" i="7" s="1"/>
  <c r="Q199" i="7"/>
  <c r="R199" i="7" l="1"/>
  <c r="G199" i="7"/>
  <c r="L199" i="7" l="1"/>
  <c r="M199" i="7" s="1"/>
  <c r="N199" i="7" s="1"/>
  <c r="H199" i="7"/>
  <c r="I199" i="7" s="1"/>
  <c r="J199" i="7" s="1"/>
  <c r="P200" i="7" l="1"/>
  <c r="K199" i="7"/>
  <c r="S200" i="7" s="1"/>
  <c r="O199" i="7"/>
  <c r="T200" i="7" s="1"/>
  <c r="Q200" i="7"/>
  <c r="G200" i="7" l="1"/>
  <c r="R200" i="7"/>
  <c r="L200" i="7" l="1"/>
  <c r="M200" i="7" s="1"/>
  <c r="N200" i="7" s="1"/>
  <c r="H200" i="7"/>
  <c r="I200" i="7" s="1"/>
  <c r="J200" i="7" s="1"/>
  <c r="P201" i="7" l="1"/>
  <c r="K200" i="7"/>
  <c r="S201" i="7" s="1"/>
  <c r="Q201" i="7"/>
  <c r="O200" i="7"/>
  <c r="T201" i="7" s="1"/>
  <c r="R201" i="7" l="1"/>
  <c r="G201" i="7"/>
  <c r="L201" i="7" l="1"/>
  <c r="M201" i="7" s="1"/>
  <c r="N201" i="7" s="1"/>
  <c r="H201" i="7"/>
  <c r="I201" i="7" s="1"/>
  <c r="J201" i="7" s="1"/>
  <c r="P202" i="7" l="1"/>
  <c r="K201" i="7"/>
  <c r="S202" i="7" s="1"/>
  <c r="O201" i="7"/>
  <c r="T202" i="7" s="1"/>
  <c r="Q202" i="7"/>
  <c r="R202" i="7" l="1"/>
  <c r="G202" i="7"/>
  <c r="L202" i="7" l="1"/>
  <c r="M202" i="7" s="1"/>
  <c r="N202" i="7" s="1"/>
  <c r="H202" i="7"/>
  <c r="I202" i="7" s="1"/>
  <c r="J202" i="7" s="1"/>
  <c r="P203" i="7" l="1"/>
  <c r="K202" i="7"/>
  <c r="S203" i="7" s="1"/>
  <c r="Q203" i="7"/>
  <c r="O202" i="7"/>
  <c r="T203" i="7" s="1"/>
  <c r="R203" i="7" l="1"/>
  <c r="G203" i="7"/>
  <c r="L203" i="7" l="1"/>
  <c r="M203" i="7" s="1"/>
  <c r="N203" i="7" s="1"/>
  <c r="H203" i="7"/>
  <c r="I203" i="7" s="1"/>
  <c r="J203" i="7" s="1"/>
  <c r="K203" i="7" l="1"/>
  <c r="S204" i="7" s="1"/>
  <c r="P204" i="7"/>
  <c r="O203" i="7"/>
  <c r="T204" i="7" s="1"/>
  <c r="Q204" i="7"/>
  <c r="R204" i="7" l="1"/>
  <c r="G204" i="7"/>
  <c r="H204" i="7" l="1"/>
  <c r="I204" i="7" s="1"/>
  <c r="J204" i="7" s="1"/>
  <c r="L204" i="7"/>
  <c r="M204" i="7" s="1"/>
  <c r="N204" i="7" s="1"/>
  <c r="Q205" i="7" l="1"/>
  <c r="O204" i="7"/>
  <c r="T205" i="7" s="1"/>
  <c r="P205" i="7"/>
  <c r="K204" i="7"/>
  <c r="S205" i="7" s="1"/>
  <c r="G205" i="7" l="1"/>
  <c r="R205" i="7"/>
  <c r="H205" i="7" l="1"/>
  <c r="I205" i="7" s="1"/>
  <c r="J205" i="7" s="1"/>
  <c r="L205" i="7"/>
  <c r="M205" i="7" s="1"/>
  <c r="N205" i="7" s="1"/>
  <c r="Q206" i="7" l="1"/>
  <c r="O205" i="7"/>
  <c r="T206" i="7" s="1"/>
  <c r="K205" i="7"/>
  <c r="S206" i="7" s="1"/>
  <c r="P206" i="7"/>
  <c r="R206" i="7" l="1"/>
  <c r="G206" i="7"/>
  <c r="H206" i="7" l="1"/>
  <c r="I206" i="7" s="1"/>
  <c r="J206" i="7" s="1"/>
  <c r="L206" i="7"/>
  <c r="M206" i="7" s="1"/>
  <c r="N206" i="7" s="1"/>
  <c r="Q207" i="7" l="1"/>
  <c r="O206" i="7"/>
  <c r="T207" i="7" s="1"/>
  <c r="K206" i="7"/>
  <c r="S207" i="7" s="1"/>
  <c r="P207" i="7"/>
  <c r="R207" i="7" l="1"/>
  <c r="G207" i="7"/>
  <c r="L207" i="7" l="1"/>
  <c r="M207" i="7" s="1"/>
  <c r="N207" i="7" s="1"/>
  <c r="H207" i="7"/>
  <c r="I207" i="7" s="1"/>
  <c r="J207" i="7" s="1"/>
  <c r="P208" i="7" l="1"/>
  <c r="K207" i="7"/>
  <c r="S208" i="7" s="1"/>
  <c r="Q208" i="7"/>
  <c r="O207" i="7"/>
  <c r="T208" i="7" s="1"/>
  <c r="R208" i="7" l="1"/>
  <c r="G208" i="7"/>
  <c r="L208" i="7" l="1"/>
  <c r="M208" i="7" s="1"/>
  <c r="N208" i="7" s="1"/>
  <c r="H208" i="7"/>
  <c r="I208" i="7" s="1"/>
  <c r="J208" i="7" s="1"/>
  <c r="K208" i="7" l="1"/>
  <c r="S209" i="7" s="1"/>
  <c r="P209" i="7"/>
  <c r="O208" i="7"/>
  <c r="T209" i="7" s="1"/>
  <c r="Q209" i="7"/>
  <c r="R209" i="7" l="1"/>
  <c r="G209" i="7"/>
  <c r="H209" i="7" l="1"/>
  <c r="I209" i="7" s="1"/>
  <c r="J209" i="7" s="1"/>
  <c r="L209" i="7"/>
  <c r="M209" i="7" s="1"/>
  <c r="N209" i="7" s="1"/>
  <c r="O209" i="7" l="1"/>
  <c r="T210" i="7" s="1"/>
  <c r="Q210" i="7"/>
  <c r="P210" i="7"/>
  <c r="K209" i="7"/>
  <c r="S210" i="7" s="1"/>
  <c r="R210" i="7" l="1"/>
  <c r="G210" i="7"/>
  <c r="L210" i="7" l="1"/>
  <c r="M210" i="7" s="1"/>
  <c r="N210" i="7" s="1"/>
  <c r="H210" i="7"/>
  <c r="I210" i="7" s="1"/>
  <c r="J210" i="7" s="1"/>
  <c r="P211" i="7" l="1"/>
  <c r="K210" i="7"/>
  <c r="S211" i="7" s="1"/>
  <c r="Q211" i="7"/>
  <c r="O210" i="7"/>
  <c r="T211" i="7" s="1"/>
  <c r="G211" i="7" l="1"/>
  <c r="R211" i="7"/>
  <c r="H211" i="7" l="1"/>
  <c r="I211" i="7" s="1"/>
  <c r="J211" i="7" s="1"/>
  <c r="L211" i="7"/>
  <c r="M211" i="7" s="1"/>
  <c r="N211" i="7" s="1"/>
  <c r="O211" i="7" l="1"/>
  <c r="T212" i="7" s="1"/>
  <c r="Q212" i="7"/>
  <c r="P212" i="7"/>
  <c r="K211" i="7"/>
  <c r="S212" i="7" s="1"/>
  <c r="R212" i="7" l="1"/>
  <c r="G212" i="7"/>
  <c r="L212" i="7" l="1"/>
  <c r="M212" i="7" s="1"/>
  <c r="N212" i="7" s="1"/>
  <c r="H212" i="7"/>
  <c r="I212" i="7" s="1"/>
  <c r="J212" i="7" s="1"/>
  <c r="P213" i="7" l="1"/>
  <c r="K212" i="7"/>
  <c r="S213" i="7" s="1"/>
  <c r="O212" i="7"/>
  <c r="T213" i="7" s="1"/>
  <c r="Q213" i="7"/>
  <c r="G213" i="7" l="1"/>
  <c r="R213" i="7"/>
  <c r="H213" i="7" l="1"/>
  <c r="I213" i="7" s="1"/>
  <c r="J213" i="7" s="1"/>
  <c r="L213" i="7"/>
  <c r="M213" i="7" s="1"/>
  <c r="N213" i="7" s="1"/>
  <c r="O213" i="7" l="1"/>
  <c r="T214" i="7" s="1"/>
  <c r="Q214" i="7"/>
  <c r="P214" i="7"/>
  <c r="K213" i="7"/>
  <c r="S214" i="7" s="1"/>
  <c r="R214" i="7" l="1"/>
  <c r="G214" i="7"/>
  <c r="L214" i="7" l="1"/>
  <c r="M214" i="7" s="1"/>
  <c r="N214" i="7" s="1"/>
  <c r="H214" i="7"/>
  <c r="I214" i="7" s="1"/>
  <c r="J214" i="7" s="1"/>
  <c r="P215" i="7" l="1"/>
  <c r="K214" i="7"/>
  <c r="S215" i="7" s="1"/>
  <c r="O214" i="7"/>
  <c r="T215" i="7" s="1"/>
  <c r="Q215" i="7"/>
  <c r="R215" i="7" l="1"/>
  <c r="G215" i="7"/>
  <c r="H215" i="7" l="1"/>
  <c r="I215" i="7" s="1"/>
  <c r="J215" i="7" s="1"/>
  <c r="L215" i="7"/>
  <c r="M215" i="7" s="1"/>
  <c r="N215" i="7" s="1"/>
  <c r="Q216" i="7" l="1"/>
  <c r="O215" i="7"/>
  <c r="T216" i="7" s="1"/>
  <c r="K215" i="7"/>
  <c r="S216" i="7" s="1"/>
  <c r="P216" i="7"/>
  <c r="R216" i="7" l="1"/>
  <c r="G216" i="7"/>
  <c r="L216" i="7" l="1"/>
  <c r="M216" i="7" s="1"/>
  <c r="N216" i="7" s="1"/>
  <c r="H216" i="7"/>
  <c r="I216" i="7" s="1"/>
  <c r="J216" i="7" s="1"/>
  <c r="K216" i="7" l="1"/>
  <c r="S217" i="7" s="1"/>
  <c r="P217" i="7"/>
  <c r="Q217" i="7"/>
  <c r="O216" i="7"/>
  <c r="T217" i="7" s="1"/>
  <c r="G217" i="7" l="1"/>
  <c r="R217" i="7"/>
  <c r="L217" i="7" l="1"/>
  <c r="M217" i="7" s="1"/>
  <c r="N217" i="7" s="1"/>
  <c r="H217" i="7"/>
  <c r="I217" i="7" s="1"/>
  <c r="J217" i="7" s="1"/>
  <c r="P218" i="7" l="1"/>
  <c r="K217" i="7"/>
  <c r="S218" i="7" s="1"/>
  <c r="Q218" i="7"/>
  <c r="O217" i="7"/>
  <c r="T218" i="7" s="1"/>
  <c r="G218" i="7" l="1"/>
  <c r="R218" i="7"/>
  <c r="L218" i="7" l="1"/>
  <c r="M218" i="7" s="1"/>
  <c r="N218" i="7" s="1"/>
  <c r="H218" i="7"/>
  <c r="I218" i="7" s="1"/>
  <c r="J218" i="7" s="1"/>
  <c r="P219" i="7" l="1"/>
  <c r="K218" i="7"/>
  <c r="S219" i="7" s="1"/>
  <c r="O218" i="7"/>
  <c r="T219" i="7" s="1"/>
  <c r="Q219" i="7"/>
  <c r="R219" i="7" l="1"/>
  <c r="G219" i="7"/>
  <c r="H219" i="7" l="1"/>
  <c r="I219" i="7" s="1"/>
  <c r="J219" i="7" s="1"/>
  <c r="L219" i="7"/>
  <c r="M219" i="7" s="1"/>
  <c r="N219" i="7" s="1"/>
  <c r="O219" i="7" l="1"/>
  <c r="T220" i="7" s="1"/>
  <c r="Q220" i="7"/>
  <c r="P220" i="7"/>
  <c r="K219" i="7"/>
  <c r="S220" i="7" s="1"/>
  <c r="G220" i="7" l="1"/>
  <c r="R220" i="7"/>
  <c r="L220" i="7" l="1"/>
  <c r="M220" i="7" s="1"/>
  <c r="N220" i="7" s="1"/>
  <c r="H220" i="7"/>
  <c r="I220" i="7" s="1"/>
  <c r="J220" i="7" s="1"/>
  <c r="P221" i="7" l="1"/>
  <c r="K220" i="7"/>
  <c r="S221" i="7" s="1"/>
  <c r="O220" i="7"/>
  <c r="T221" i="7" s="1"/>
  <c r="Q221" i="7"/>
  <c r="R221" i="7" l="1"/>
  <c r="G221" i="7"/>
  <c r="H221" i="7" l="1"/>
  <c r="I221" i="7" s="1"/>
  <c r="J221" i="7" s="1"/>
  <c r="L221" i="7"/>
  <c r="M221" i="7" s="1"/>
  <c r="N221" i="7" s="1"/>
  <c r="Q222" i="7" l="1"/>
  <c r="O221" i="7"/>
  <c r="T222" i="7" s="1"/>
  <c r="P222" i="7"/>
  <c r="K221" i="7"/>
  <c r="S222" i="7" s="1"/>
  <c r="R222" i="7" l="1"/>
  <c r="G222" i="7"/>
  <c r="H222" i="7" l="1"/>
  <c r="I222" i="7" s="1"/>
  <c r="J222" i="7" s="1"/>
  <c r="L222" i="7"/>
  <c r="M222" i="7" s="1"/>
  <c r="N222" i="7" s="1"/>
  <c r="O222" i="7" l="1"/>
  <c r="T223" i="7" s="1"/>
  <c r="Q223" i="7"/>
  <c r="K222" i="7"/>
  <c r="S223" i="7" s="1"/>
  <c r="P223" i="7"/>
  <c r="R223" i="7" l="1"/>
  <c r="G223" i="7"/>
  <c r="H223" i="7" l="1"/>
  <c r="I223" i="7" s="1"/>
  <c r="J223" i="7" s="1"/>
  <c r="L223" i="7"/>
  <c r="M223" i="7" s="1"/>
  <c r="N223" i="7" s="1"/>
  <c r="Q224" i="7" l="1"/>
  <c r="O223" i="7"/>
  <c r="T224" i="7" s="1"/>
  <c r="P224" i="7"/>
  <c r="K223" i="7"/>
  <c r="S224" i="7" s="1"/>
  <c r="G224" i="7" l="1"/>
  <c r="R224" i="7"/>
  <c r="L224" i="7" l="1"/>
  <c r="M224" i="7" s="1"/>
  <c r="N224" i="7" s="1"/>
  <c r="H224" i="7"/>
  <c r="I224" i="7" s="1"/>
  <c r="J224" i="7" s="1"/>
  <c r="P225" i="7" l="1"/>
  <c r="K224" i="7"/>
  <c r="S225" i="7" s="1"/>
  <c r="Q225" i="7"/>
  <c r="O224" i="7"/>
  <c r="T225" i="7" s="1"/>
  <c r="G225" i="7" l="1"/>
  <c r="R225" i="7"/>
  <c r="L225" i="7" l="1"/>
  <c r="M225" i="7" s="1"/>
  <c r="N225" i="7" s="1"/>
  <c r="H225" i="7"/>
  <c r="I225" i="7" s="1"/>
  <c r="J225" i="7" s="1"/>
  <c r="K225" i="7" l="1"/>
  <c r="S226" i="7" s="1"/>
  <c r="P226" i="7"/>
  <c r="Q226" i="7"/>
  <c r="O225" i="7"/>
  <c r="T226" i="7" s="1"/>
  <c r="G226" i="7" l="1"/>
  <c r="R226" i="7"/>
  <c r="L226" i="7" l="1"/>
  <c r="M226" i="7" s="1"/>
  <c r="N226" i="7" s="1"/>
  <c r="H226" i="7"/>
  <c r="I226" i="7" s="1"/>
  <c r="J226" i="7" s="1"/>
  <c r="P227" i="7" l="1"/>
  <c r="K226" i="7"/>
  <c r="S227" i="7" s="1"/>
  <c r="O226" i="7"/>
  <c r="T227" i="7" s="1"/>
  <c r="Q227" i="7"/>
  <c r="G227" i="7" l="1"/>
  <c r="R227" i="7"/>
  <c r="L227" i="7" l="1"/>
  <c r="M227" i="7" s="1"/>
  <c r="N227" i="7" s="1"/>
  <c r="H227" i="7"/>
  <c r="I227" i="7" s="1"/>
  <c r="J227" i="7" s="1"/>
  <c r="K227" i="7" l="1"/>
  <c r="S228" i="7" s="1"/>
  <c r="P228" i="7"/>
  <c r="Q228" i="7"/>
  <c r="O227" i="7"/>
  <c r="T228" i="7" s="1"/>
  <c r="G228" i="7" l="1"/>
  <c r="R228" i="7"/>
  <c r="L228" i="7" l="1"/>
  <c r="M228" i="7" s="1"/>
  <c r="N228" i="7" s="1"/>
  <c r="H228" i="7"/>
  <c r="I228" i="7" s="1"/>
  <c r="J228" i="7" s="1"/>
  <c r="K228" i="7" l="1"/>
  <c r="S229" i="7" s="1"/>
  <c r="P229" i="7"/>
  <c r="Q229" i="7"/>
  <c r="O228" i="7"/>
  <c r="T229" i="7" s="1"/>
  <c r="G229" i="7" l="1"/>
  <c r="R229" i="7"/>
  <c r="L229" i="7" l="1"/>
  <c r="M229" i="7" s="1"/>
  <c r="N229" i="7" s="1"/>
  <c r="H229" i="7"/>
  <c r="I229" i="7" s="1"/>
  <c r="J229" i="7" s="1"/>
  <c r="K229" i="7" l="1"/>
  <c r="S230" i="7" s="1"/>
  <c r="P230" i="7"/>
  <c r="O229" i="7"/>
  <c r="T230" i="7" s="1"/>
  <c r="Q230" i="7"/>
  <c r="R230" i="7" l="1"/>
  <c r="G230" i="7"/>
  <c r="L230" i="7" l="1"/>
  <c r="M230" i="7" s="1"/>
  <c r="N230" i="7" s="1"/>
  <c r="H230" i="7"/>
  <c r="I230" i="7" s="1"/>
  <c r="J230" i="7" s="1"/>
  <c r="P231" i="7" l="1"/>
  <c r="K230" i="7"/>
  <c r="S231" i="7" s="1"/>
  <c r="Q231" i="7"/>
  <c r="O230" i="7"/>
  <c r="T231" i="7" s="1"/>
  <c r="G231" i="7" l="1"/>
  <c r="R231" i="7"/>
  <c r="H231" i="7" l="1"/>
  <c r="I231" i="7" s="1"/>
  <c r="J231" i="7" s="1"/>
  <c r="L231" i="7"/>
  <c r="M231" i="7" s="1"/>
  <c r="N231" i="7" s="1"/>
  <c r="O231" i="7" l="1"/>
  <c r="T232" i="7" s="1"/>
  <c r="Q232" i="7"/>
  <c r="K231" i="7"/>
  <c r="S232" i="7" s="1"/>
  <c r="P232" i="7"/>
  <c r="G232" i="7" l="1"/>
  <c r="R232" i="7"/>
  <c r="H232" i="7" l="1"/>
  <c r="I232" i="7" s="1"/>
  <c r="J232" i="7" s="1"/>
  <c r="L232" i="7"/>
  <c r="M232" i="7" s="1"/>
  <c r="N232" i="7" s="1"/>
  <c r="O232" i="7" l="1"/>
  <c r="T233" i="7" s="1"/>
  <c r="Q233" i="7"/>
  <c r="K232" i="7"/>
  <c r="S233" i="7" s="1"/>
  <c r="P233" i="7"/>
  <c r="G233" i="7" l="1"/>
  <c r="R233" i="7"/>
  <c r="L233" i="7" l="1"/>
  <c r="M233" i="7" s="1"/>
  <c r="N233" i="7" s="1"/>
  <c r="H233" i="7"/>
  <c r="I233" i="7" s="1"/>
  <c r="J233" i="7" s="1"/>
  <c r="P234" i="7" l="1"/>
  <c r="K233" i="7"/>
  <c r="S234" i="7" s="1"/>
  <c r="Q234" i="7"/>
  <c r="O233" i="7"/>
  <c r="T234" i="7" s="1"/>
  <c r="R234" i="7" l="1"/>
  <c r="G234" i="7"/>
  <c r="L234" i="7" l="1"/>
  <c r="M234" i="7" s="1"/>
  <c r="N234" i="7" s="1"/>
  <c r="H234" i="7"/>
  <c r="I234" i="7" s="1"/>
  <c r="J234" i="7" s="1"/>
  <c r="P235" i="7" l="1"/>
  <c r="K234" i="7"/>
  <c r="S235" i="7" s="1"/>
  <c r="Q235" i="7"/>
  <c r="O234" i="7"/>
  <c r="T235" i="7" s="1"/>
  <c r="R235" i="7" l="1"/>
  <c r="G235" i="7"/>
  <c r="H235" i="7" l="1"/>
  <c r="I235" i="7" s="1"/>
  <c r="J235" i="7" s="1"/>
  <c r="L235" i="7"/>
  <c r="M235" i="7" s="1"/>
  <c r="N235" i="7" s="1"/>
  <c r="Q236" i="7" l="1"/>
  <c r="O235" i="7"/>
  <c r="T236" i="7" s="1"/>
  <c r="K235" i="7"/>
  <c r="S236" i="7" s="1"/>
  <c r="P236" i="7"/>
  <c r="R236" i="7" l="1"/>
  <c r="G236" i="7"/>
  <c r="H236" i="7" l="1"/>
  <c r="I236" i="7" s="1"/>
  <c r="J236" i="7" s="1"/>
  <c r="L236" i="7"/>
  <c r="M236" i="7" s="1"/>
  <c r="N236" i="7" s="1"/>
  <c r="O236" i="7" l="1"/>
  <c r="T237" i="7" s="1"/>
  <c r="Q237" i="7"/>
  <c r="K236" i="7"/>
  <c r="S237" i="7" s="1"/>
  <c r="P237" i="7"/>
  <c r="G237" i="7" l="1"/>
  <c r="R237" i="7"/>
  <c r="H237" i="7" l="1"/>
  <c r="I237" i="7" s="1"/>
  <c r="J237" i="7" s="1"/>
  <c r="L237" i="7"/>
  <c r="M237" i="7" s="1"/>
  <c r="N237" i="7" s="1"/>
  <c r="O237" i="7" l="1"/>
  <c r="T238" i="7" s="1"/>
  <c r="Q238" i="7"/>
  <c r="P238" i="7"/>
  <c r="K237" i="7"/>
  <c r="S238" i="7" s="1"/>
  <c r="G238" i="7" l="1"/>
  <c r="R238" i="7"/>
  <c r="L238" i="7" l="1"/>
  <c r="M238" i="7" s="1"/>
  <c r="N238" i="7" s="1"/>
  <c r="H238" i="7"/>
  <c r="I238" i="7" s="1"/>
  <c r="J238" i="7" s="1"/>
  <c r="P239" i="7" l="1"/>
  <c r="K238" i="7"/>
  <c r="S239" i="7" s="1"/>
  <c r="Q239" i="7"/>
  <c r="O238" i="7"/>
  <c r="T239" i="7" s="1"/>
  <c r="G239" i="7" l="1"/>
  <c r="R239" i="7"/>
  <c r="L239" i="7" l="1"/>
  <c r="M239" i="7" s="1"/>
  <c r="N239" i="7" s="1"/>
  <c r="H239" i="7"/>
  <c r="I239" i="7" s="1"/>
  <c r="J239" i="7" s="1"/>
  <c r="P240" i="7" l="1"/>
  <c r="K239" i="7"/>
  <c r="S240" i="7" s="1"/>
  <c r="O239" i="7"/>
  <c r="T240" i="7" s="1"/>
  <c r="Q240" i="7"/>
  <c r="R240" i="7" l="1"/>
  <c r="G240" i="7"/>
  <c r="L240" i="7" l="1"/>
  <c r="M240" i="7" s="1"/>
  <c r="N240" i="7" s="1"/>
  <c r="H240" i="7"/>
  <c r="I240" i="7" s="1"/>
  <c r="J240" i="7" s="1"/>
  <c r="K240" i="7" l="1"/>
  <c r="S241" i="7" s="1"/>
  <c r="P241" i="7"/>
  <c r="O240" i="7"/>
  <c r="T241" i="7" s="1"/>
  <c r="Q241" i="7"/>
  <c r="R241" i="7" l="1"/>
  <c r="G241" i="7"/>
  <c r="H241" i="7" l="1"/>
  <c r="I241" i="7" s="1"/>
  <c r="J241" i="7" s="1"/>
  <c r="L241" i="7"/>
  <c r="M241" i="7" s="1"/>
  <c r="N241" i="7" s="1"/>
  <c r="Q242" i="7" l="1"/>
  <c r="O241" i="7"/>
  <c r="T242" i="7" s="1"/>
  <c r="K241" i="7"/>
  <c r="S242" i="7" s="1"/>
  <c r="P242" i="7"/>
  <c r="R242" i="7" l="1"/>
  <c r="G242" i="7"/>
  <c r="H242" i="7" l="1"/>
  <c r="I242" i="7" s="1"/>
  <c r="J242" i="7" s="1"/>
  <c r="L242" i="7"/>
  <c r="M242" i="7" s="1"/>
  <c r="N242" i="7" s="1"/>
  <c r="Q243" i="7" l="1"/>
  <c r="O242" i="7"/>
  <c r="T243" i="7" s="1"/>
  <c r="K242" i="7"/>
  <c r="S243" i="7" s="1"/>
  <c r="P243" i="7"/>
  <c r="G243" i="7" l="1"/>
  <c r="R243" i="7"/>
  <c r="H243" i="7" l="1"/>
  <c r="I243" i="7" s="1"/>
  <c r="J243" i="7" s="1"/>
  <c r="L243" i="7"/>
  <c r="M243" i="7" s="1"/>
  <c r="N243" i="7" s="1"/>
  <c r="O243" i="7" l="1"/>
  <c r="T244" i="7" s="1"/>
  <c r="Q244" i="7"/>
  <c r="P244" i="7"/>
  <c r="K243" i="7"/>
  <c r="S244" i="7" s="1"/>
  <c r="G244" i="7" l="1"/>
  <c r="R244" i="7"/>
  <c r="H244" i="7" l="1"/>
  <c r="I244" i="7" s="1"/>
  <c r="J244" i="7" s="1"/>
  <c r="L244" i="7"/>
  <c r="M244" i="7" s="1"/>
  <c r="N244" i="7" s="1"/>
  <c r="O244" i="7" l="1"/>
  <c r="T245" i="7" s="1"/>
  <c r="Q245" i="7"/>
  <c r="K244" i="7"/>
  <c r="S245" i="7" s="1"/>
  <c r="P245" i="7"/>
  <c r="R245" i="7" l="1"/>
  <c r="G245" i="7"/>
  <c r="H245" i="7" l="1"/>
  <c r="I245" i="7" s="1"/>
  <c r="J245" i="7" s="1"/>
  <c r="L245" i="7"/>
  <c r="M245" i="7" s="1"/>
  <c r="N245" i="7" s="1"/>
  <c r="O245" i="7" l="1"/>
  <c r="T246" i="7" s="1"/>
  <c r="Q246" i="7"/>
  <c r="K245" i="7"/>
  <c r="S246" i="7" s="1"/>
  <c r="P246" i="7"/>
  <c r="G246" i="7" l="1"/>
  <c r="R246" i="7"/>
  <c r="L246" i="7" l="1"/>
  <c r="M246" i="7" s="1"/>
  <c r="N246" i="7" s="1"/>
  <c r="H246" i="7"/>
  <c r="I246" i="7" s="1"/>
  <c r="J246" i="7" s="1"/>
  <c r="K246" i="7" l="1"/>
  <c r="S247" i="7" s="1"/>
  <c r="P247" i="7"/>
  <c r="O246" i="7"/>
  <c r="T247" i="7" s="1"/>
  <c r="Q247" i="7"/>
  <c r="G247" i="7" l="1"/>
  <c r="R247" i="7"/>
  <c r="H247" i="7" l="1"/>
  <c r="I247" i="7" s="1"/>
  <c r="J247" i="7" s="1"/>
  <c r="L247" i="7"/>
  <c r="M247" i="7" s="1"/>
  <c r="N247" i="7" s="1"/>
  <c r="Q248" i="7" l="1"/>
  <c r="O247" i="7"/>
  <c r="T248" i="7" s="1"/>
  <c r="K247" i="7"/>
  <c r="S248" i="7" s="1"/>
  <c r="P248" i="7"/>
  <c r="G248" i="7" l="1"/>
  <c r="R248" i="7"/>
  <c r="L248" i="7" l="1"/>
  <c r="M248" i="7" s="1"/>
  <c r="N248" i="7" s="1"/>
  <c r="H248" i="7"/>
  <c r="I248" i="7" s="1"/>
  <c r="J248" i="7" s="1"/>
  <c r="P249" i="7" l="1"/>
  <c r="K248" i="7"/>
  <c r="S249" i="7" s="1"/>
  <c r="O248" i="7"/>
  <c r="T249" i="7" s="1"/>
  <c r="Q249" i="7"/>
  <c r="R249" i="7" l="1"/>
  <c r="G249" i="7"/>
  <c r="L249" i="7" l="1"/>
  <c r="M249" i="7" s="1"/>
  <c r="N249" i="7" s="1"/>
  <c r="H249" i="7"/>
  <c r="I249" i="7" s="1"/>
  <c r="J249" i="7" s="1"/>
  <c r="P250" i="7" l="1"/>
  <c r="K249" i="7"/>
  <c r="S250" i="7" s="1"/>
  <c r="Q250" i="7"/>
  <c r="O249" i="7"/>
  <c r="T250" i="7" s="1"/>
  <c r="G250" i="7" l="1"/>
  <c r="R250" i="7"/>
  <c r="H250" i="7" l="1"/>
  <c r="I250" i="7" s="1"/>
  <c r="J250" i="7" s="1"/>
  <c r="L250" i="7"/>
  <c r="M250" i="7" s="1"/>
  <c r="N250" i="7" s="1"/>
  <c r="O250" i="7" l="1"/>
  <c r="T251" i="7" s="1"/>
  <c r="Q251" i="7"/>
  <c r="P251" i="7"/>
  <c r="K250" i="7"/>
  <c r="S251" i="7" s="1"/>
  <c r="R251" i="7" l="1"/>
  <c r="G251" i="7"/>
  <c r="H251" i="7" l="1"/>
  <c r="I251" i="7" s="1"/>
  <c r="J251" i="7" s="1"/>
  <c r="L251" i="7"/>
  <c r="M251" i="7" s="1"/>
  <c r="N251" i="7" s="1"/>
  <c r="Q252" i="7" l="1"/>
  <c r="O251" i="7"/>
  <c r="T252" i="7" s="1"/>
  <c r="P252" i="7"/>
  <c r="K251" i="7"/>
  <c r="S252" i="7" s="1"/>
  <c r="G252" i="7" l="1"/>
  <c r="R252" i="7"/>
  <c r="L252" i="7" l="1"/>
  <c r="M252" i="7" s="1"/>
  <c r="N252" i="7" s="1"/>
  <c r="H252" i="7"/>
  <c r="I252" i="7" s="1"/>
  <c r="J252" i="7" s="1"/>
  <c r="P253" i="7" l="1"/>
  <c r="K252" i="7"/>
  <c r="S253" i="7" s="1"/>
  <c r="Q253" i="7"/>
  <c r="O252" i="7"/>
  <c r="T253" i="7" s="1"/>
  <c r="R253" i="7" l="1"/>
  <c r="G253" i="7"/>
  <c r="L253" i="7" l="1"/>
  <c r="M253" i="7" s="1"/>
  <c r="N253" i="7" s="1"/>
  <c r="H253" i="7"/>
  <c r="I253" i="7" s="1"/>
  <c r="J253" i="7" s="1"/>
  <c r="K253" i="7" l="1"/>
  <c r="S254" i="7" s="1"/>
  <c r="P254" i="7"/>
  <c r="Q254" i="7"/>
  <c r="O253" i="7"/>
  <c r="T254" i="7" s="1"/>
  <c r="R254" i="7" l="1"/>
  <c r="G254" i="7"/>
  <c r="L254" i="7" l="1"/>
  <c r="M254" i="7" s="1"/>
  <c r="N254" i="7" s="1"/>
  <c r="H254" i="7"/>
  <c r="I254" i="7" s="1"/>
  <c r="J254" i="7" s="1"/>
  <c r="K254" i="7" l="1"/>
  <c r="S255" i="7" s="1"/>
  <c r="P255" i="7"/>
  <c r="Q255" i="7"/>
  <c r="O254" i="7"/>
  <c r="T255" i="7" s="1"/>
  <c r="G255" i="7" l="1"/>
  <c r="R255" i="7"/>
  <c r="H255" i="7" l="1"/>
  <c r="I255" i="7" s="1"/>
  <c r="J255" i="7" s="1"/>
  <c r="L255" i="7"/>
  <c r="M255" i="7" s="1"/>
  <c r="N255" i="7" s="1"/>
  <c r="O255" i="7" l="1"/>
  <c r="T256" i="7" s="1"/>
  <c r="Q256" i="7"/>
  <c r="P256" i="7"/>
  <c r="K255" i="7"/>
  <c r="S256" i="7" s="1"/>
  <c r="G256" i="7" l="1"/>
  <c r="R256" i="7"/>
  <c r="L256" i="7" l="1"/>
  <c r="M256" i="7" s="1"/>
  <c r="N256" i="7" s="1"/>
  <c r="H256" i="7"/>
  <c r="I256" i="7" s="1"/>
  <c r="J256" i="7" s="1"/>
  <c r="K256" i="7" l="1"/>
  <c r="S257" i="7" s="1"/>
  <c r="P257" i="7"/>
  <c r="O256" i="7"/>
  <c r="T257" i="7" s="1"/>
  <c r="Q257" i="7"/>
  <c r="R257" i="7" l="1"/>
  <c r="G257" i="7"/>
  <c r="H257" i="7" l="1"/>
  <c r="I257" i="7" s="1"/>
  <c r="J257" i="7" s="1"/>
  <c r="L257" i="7"/>
  <c r="M257" i="7" s="1"/>
  <c r="N257" i="7" s="1"/>
  <c r="O257" i="7" l="1"/>
  <c r="T258" i="7" s="1"/>
  <c r="Q258" i="7"/>
  <c r="K257" i="7"/>
  <c r="S258" i="7" s="1"/>
  <c r="P258" i="7"/>
  <c r="R258" i="7" l="1"/>
  <c r="G258" i="7"/>
  <c r="H258" i="7" l="1"/>
  <c r="I258" i="7" s="1"/>
  <c r="J258" i="7" s="1"/>
  <c r="L258" i="7"/>
  <c r="M258" i="7" s="1"/>
  <c r="N258" i="7" s="1"/>
  <c r="O258" i="7" l="1"/>
  <c r="T259" i="7" s="1"/>
  <c r="Q259" i="7"/>
  <c r="K258" i="7"/>
  <c r="S259" i="7" s="1"/>
  <c r="P259" i="7"/>
  <c r="G259" i="7" l="1"/>
  <c r="R259" i="7"/>
  <c r="H259" i="7" l="1"/>
  <c r="I259" i="7" s="1"/>
  <c r="J259" i="7" s="1"/>
  <c r="L259" i="7"/>
  <c r="M259" i="7" s="1"/>
  <c r="N259" i="7" s="1"/>
  <c r="O259" i="7" l="1"/>
  <c r="T260" i="7" s="1"/>
  <c r="Q260" i="7"/>
  <c r="P260" i="7"/>
  <c r="K259" i="7"/>
  <c r="S260" i="7" s="1"/>
  <c r="G260" i="7" l="1"/>
  <c r="R260" i="7"/>
  <c r="L260" i="7" l="1"/>
  <c r="M260" i="7" s="1"/>
  <c r="N260" i="7" s="1"/>
  <c r="H260" i="7"/>
  <c r="I260" i="7" s="1"/>
  <c r="J260" i="7" s="1"/>
  <c r="P261" i="7" l="1"/>
  <c r="K260" i="7"/>
  <c r="S261" i="7" s="1"/>
  <c r="O260" i="7"/>
  <c r="T261" i="7" s="1"/>
  <c r="Q261" i="7"/>
  <c r="R261" i="7" l="1"/>
  <c r="G261" i="7"/>
  <c r="H261" i="7" l="1"/>
  <c r="I261" i="7" s="1"/>
  <c r="J261" i="7" s="1"/>
  <c r="L261" i="7"/>
  <c r="M261" i="7" s="1"/>
  <c r="N261" i="7" s="1"/>
  <c r="O261" i="7" l="1"/>
  <c r="T262" i="7" s="1"/>
  <c r="Q262" i="7"/>
  <c r="P262" i="7"/>
  <c r="K261" i="7"/>
  <c r="S262" i="7" s="1"/>
  <c r="R262" i="7" l="1"/>
  <c r="G262" i="7"/>
  <c r="L262" i="7" l="1"/>
  <c r="M262" i="7" s="1"/>
  <c r="N262" i="7" s="1"/>
  <c r="H262" i="7"/>
  <c r="I262" i="7" s="1"/>
  <c r="J262" i="7" s="1"/>
  <c r="P263" i="7" l="1"/>
  <c r="K262" i="7"/>
  <c r="S263" i="7" s="1"/>
  <c r="Q263" i="7"/>
  <c r="O262" i="7"/>
  <c r="T263" i="7" s="1"/>
  <c r="R263" i="7" l="1"/>
  <c r="G263" i="7"/>
  <c r="H263" i="7" l="1"/>
  <c r="I263" i="7" s="1"/>
  <c r="J263" i="7" s="1"/>
  <c r="L263" i="7"/>
  <c r="M263" i="7" s="1"/>
  <c r="N263" i="7" s="1"/>
  <c r="O263" i="7" l="1"/>
  <c r="T264" i="7" s="1"/>
  <c r="Q264" i="7"/>
  <c r="P264" i="7"/>
  <c r="K263" i="7"/>
  <c r="S264" i="7" s="1"/>
  <c r="G264" i="7" l="1"/>
  <c r="R264" i="7"/>
  <c r="L264" i="7" l="1"/>
  <c r="M264" i="7" s="1"/>
  <c r="N264" i="7" s="1"/>
  <c r="H264" i="7"/>
  <c r="I264" i="7" s="1"/>
  <c r="J264" i="7" s="1"/>
  <c r="P265" i="7" l="1"/>
  <c r="K264" i="7"/>
  <c r="S265" i="7" s="1"/>
  <c r="Q265" i="7"/>
  <c r="O264" i="7"/>
  <c r="T265" i="7" s="1"/>
  <c r="G265" i="7" l="1"/>
  <c r="R265" i="7"/>
  <c r="H265" i="7" l="1"/>
  <c r="I265" i="7" s="1"/>
  <c r="J265" i="7" s="1"/>
  <c r="L265" i="7"/>
  <c r="M265" i="7" s="1"/>
  <c r="N265" i="7" s="1"/>
  <c r="Q266" i="7" l="1"/>
  <c r="O265" i="7"/>
  <c r="T266" i="7" s="1"/>
  <c r="K265" i="7"/>
  <c r="S266" i="7" s="1"/>
  <c r="P266" i="7"/>
  <c r="G266" i="7" l="1"/>
  <c r="R266" i="7"/>
  <c r="H266" i="7" l="1"/>
  <c r="I266" i="7" s="1"/>
  <c r="J266" i="7" s="1"/>
  <c r="L266" i="7"/>
  <c r="M266" i="7" s="1"/>
  <c r="N266" i="7" s="1"/>
  <c r="Q267" i="7" l="1"/>
  <c r="O266" i="7"/>
  <c r="T267" i="7" s="1"/>
  <c r="K266" i="7"/>
  <c r="S267" i="7" s="1"/>
  <c r="P267" i="7"/>
  <c r="G267" i="7" l="1"/>
  <c r="R267" i="7"/>
  <c r="L267" i="7" l="1"/>
  <c r="M267" i="7" s="1"/>
  <c r="N267" i="7" s="1"/>
  <c r="H267" i="7"/>
  <c r="I267" i="7" s="1"/>
  <c r="J267" i="7" s="1"/>
  <c r="K267" i="7" l="1"/>
  <c r="S268" i="7" s="1"/>
  <c r="P268" i="7"/>
  <c r="Q268" i="7"/>
  <c r="O267" i="7"/>
  <c r="T268" i="7" s="1"/>
  <c r="G268" i="7" l="1"/>
  <c r="R268" i="7"/>
  <c r="L268" i="7" l="1"/>
  <c r="M268" i="7" s="1"/>
  <c r="N268" i="7" s="1"/>
  <c r="H268" i="7"/>
  <c r="I268" i="7" s="1"/>
  <c r="J268" i="7" s="1"/>
  <c r="Q269" i="7" l="1"/>
  <c r="O268" i="7"/>
  <c r="T269" i="7" s="1"/>
  <c r="P269" i="7"/>
  <c r="K268" i="7"/>
  <c r="S269" i="7" s="1"/>
  <c r="R269" i="7" l="1"/>
  <c r="G269" i="7"/>
  <c r="L269" i="7" l="1"/>
  <c r="M269" i="7" s="1"/>
  <c r="N269" i="7" s="1"/>
  <c r="H269" i="7"/>
  <c r="I269" i="7" s="1"/>
  <c r="J269" i="7" s="1"/>
  <c r="K269" i="7" l="1"/>
  <c r="S270" i="7" s="1"/>
  <c r="P270" i="7"/>
  <c r="Q270" i="7"/>
  <c r="O269" i="7"/>
  <c r="T270" i="7" s="1"/>
  <c r="R270" i="7" l="1"/>
  <c r="G270" i="7"/>
  <c r="L270" i="7" l="1"/>
  <c r="M270" i="7" s="1"/>
  <c r="N270" i="7" s="1"/>
  <c r="H270" i="7"/>
  <c r="I270" i="7" s="1"/>
  <c r="J270" i="7" s="1"/>
  <c r="P271" i="7" l="1"/>
  <c r="K270" i="7"/>
  <c r="S271" i="7" s="1"/>
  <c r="Q271" i="7"/>
  <c r="O270" i="7"/>
  <c r="T271" i="7" s="1"/>
  <c r="G271" i="7" l="1"/>
  <c r="R271" i="7"/>
  <c r="L271" i="7" l="1"/>
  <c r="M271" i="7" s="1"/>
  <c r="N271" i="7" s="1"/>
  <c r="H271" i="7"/>
  <c r="I271" i="7" s="1"/>
  <c r="J271" i="7" s="1"/>
  <c r="K271" i="7" l="1"/>
  <c r="S272" i="7" s="1"/>
  <c r="P272" i="7"/>
  <c r="O271" i="7"/>
  <c r="T272" i="7" s="1"/>
  <c r="Q272" i="7"/>
  <c r="G272" i="7" l="1"/>
  <c r="R272" i="7"/>
  <c r="L272" i="7" l="1"/>
  <c r="M272" i="7" s="1"/>
  <c r="N272" i="7" s="1"/>
  <c r="H272" i="7"/>
  <c r="I272" i="7" s="1"/>
  <c r="J272" i="7" s="1"/>
  <c r="P273" i="7" l="1"/>
  <c r="K272" i="7"/>
  <c r="S273" i="7" s="1"/>
  <c r="O272" i="7"/>
  <c r="T273" i="7" s="1"/>
  <c r="Q273" i="7"/>
  <c r="R273" i="7" l="1"/>
  <c r="G273" i="7"/>
  <c r="H273" i="7" l="1"/>
  <c r="I273" i="7" s="1"/>
  <c r="J273" i="7" s="1"/>
  <c r="L273" i="7"/>
  <c r="M273" i="7" s="1"/>
  <c r="N273" i="7" s="1"/>
  <c r="O273" i="7" l="1"/>
  <c r="T274" i="7" s="1"/>
  <c r="Q274" i="7"/>
  <c r="K273" i="7"/>
  <c r="S274" i="7" s="1"/>
  <c r="P274" i="7"/>
  <c r="R274" i="7" l="1"/>
  <c r="G274" i="7"/>
  <c r="H274" i="7" l="1"/>
  <c r="I274" i="7" s="1"/>
  <c r="J274" i="7" s="1"/>
  <c r="L274" i="7"/>
  <c r="M274" i="7" s="1"/>
  <c r="N274" i="7" s="1"/>
  <c r="Q275" i="7" l="1"/>
  <c r="O274" i="7"/>
  <c r="T275" i="7" s="1"/>
  <c r="P275" i="7"/>
  <c r="K274" i="7"/>
  <c r="S275" i="7" s="1"/>
  <c r="R275" i="7" l="1"/>
  <c r="G275" i="7"/>
  <c r="L275" i="7" l="1"/>
  <c r="M275" i="7" s="1"/>
  <c r="N275" i="7" s="1"/>
  <c r="H275" i="7"/>
  <c r="I275" i="7" s="1"/>
  <c r="J275" i="7" s="1"/>
  <c r="K275" i="7" l="1"/>
  <c r="S276" i="7" s="1"/>
  <c r="P276" i="7"/>
  <c r="O275" i="7"/>
  <c r="T276" i="7" s="1"/>
  <c r="Q276" i="7"/>
  <c r="G276" i="7" l="1"/>
  <c r="R276" i="7"/>
  <c r="H276" i="7" l="1"/>
  <c r="I276" i="7" s="1"/>
  <c r="J276" i="7" s="1"/>
  <c r="L276" i="7"/>
  <c r="M276" i="7" s="1"/>
  <c r="N276" i="7" s="1"/>
  <c r="O276" i="7" l="1"/>
  <c r="T277" i="7" s="1"/>
  <c r="Q277" i="7"/>
  <c r="K276" i="7"/>
  <c r="S277" i="7" s="1"/>
  <c r="P277" i="7"/>
  <c r="G277" i="7" l="1"/>
  <c r="R277" i="7"/>
  <c r="L277" i="7" l="1"/>
  <c r="M277" i="7" s="1"/>
  <c r="N277" i="7" s="1"/>
  <c r="H277" i="7"/>
  <c r="I277" i="7" s="1"/>
  <c r="J277" i="7" s="1"/>
  <c r="K277" i="7" l="1"/>
  <c r="S278" i="7" s="1"/>
  <c r="P278" i="7"/>
  <c r="O277" i="7"/>
  <c r="T278" i="7" s="1"/>
  <c r="Q278" i="7"/>
  <c r="R278" i="7" l="1"/>
  <c r="G278" i="7"/>
  <c r="H278" i="7" l="1"/>
  <c r="I278" i="7" s="1"/>
  <c r="J278" i="7" s="1"/>
  <c r="L278" i="7"/>
  <c r="M278" i="7" s="1"/>
  <c r="N278" i="7" s="1"/>
  <c r="Q279" i="7" l="1"/>
  <c r="O278" i="7"/>
  <c r="T279" i="7" s="1"/>
  <c r="P279" i="7"/>
  <c r="K278" i="7"/>
  <c r="S279" i="7" s="1"/>
  <c r="G279" i="7" l="1"/>
  <c r="R279" i="7"/>
  <c r="L279" i="7" l="1"/>
  <c r="M279" i="7" s="1"/>
  <c r="N279" i="7" s="1"/>
  <c r="H279" i="7"/>
  <c r="I279" i="7" s="1"/>
  <c r="J279" i="7" s="1"/>
  <c r="P280" i="7" l="1"/>
  <c r="K279" i="7"/>
  <c r="S280" i="7" s="1"/>
  <c r="Q280" i="7"/>
  <c r="O279" i="7"/>
  <c r="T280" i="7" s="1"/>
  <c r="R280" i="7" l="1"/>
  <c r="G280" i="7"/>
  <c r="L280" i="7" l="1"/>
  <c r="M280" i="7" s="1"/>
  <c r="N280" i="7" s="1"/>
  <c r="H280" i="7"/>
  <c r="I280" i="7" s="1"/>
  <c r="J280" i="7" s="1"/>
  <c r="P281" i="7" l="1"/>
  <c r="K280" i="7"/>
  <c r="S281" i="7" s="1"/>
  <c r="O280" i="7"/>
  <c r="T281" i="7" s="1"/>
  <c r="Q281" i="7"/>
  <c r="R281" i="7" l="1"/>
  <c r="G281" i="7"/>
  <c r="L281" i="7" l="1"/>
  <c r="M281" i="7" s="1"/>
  <c r="N281" i="7" s="1"/>
  <c r="H281" i="7"/>
  <c r="I281" i="7" s="1"/>
  <c r="J281" i="7" s="1"/>
  <c r="K281" i="7" l="1"/>
  <c r="S282" i="7" s="1"/>
  <c r="P282" i="7"/>
  <c r="O281" i="7"/>
  <c r="T282" i="7" s="1"/>
  <c r="Q282" i="7"/>
  <c r="G282" i="7" l="1"/>
  <c r="R282" i="7"/>
  <c r="L282" i="7" l="1"/>
  <c r="M282" i="7" s="1"/>
  <c r="N282" i="7" s="1"/>
  <c r="H282" i="7"/>
  <c r="I282" i="7" s="1"/>
  <c r="J282" i="7" s="1"/>
  <c r="P283" i="7" l="1"/>
  <c r="K282" i="7"/>
  <c r="S283" i="7" s="1"/>
  <c r="Q283" i="7"/>
  <c r="O282" i="7"/>
  <c r="T283" i="7" s="1"/>
  <c r="R283" i="7" l="1"/>
  <c r="G283" i="7"/>
  <c r="L283" i="7" l="1"/>
  <c r="M283" i="7" s="1"/>
  <c r="N283" i="7" s="1"/>
  <c r="H283" i="7"/>
  <c r="I283" i="7" s="1"/>
  <c r="J283" i="7" s="1"/>
  <c r="P284" i="7" l="1"/>
  <c r="K283" i="7"/>
  <c r="S284" i="7" s="1"/>
  <c r="O283" i="7"/>
  <c r="T284" i="7" s="1"/>
  <c r="Q284" i="7"/>
  <c r="R284" i="7" l="1"/>
  <c r="G284" i="7"/>
  <c r="L284" i="7" l="1"/>
  <c r="M284" i="7" s="1"/>
  <c r="N284" i="7" s="1"/>
  <c r="H284" i="7"/>
  <c r="I284" i="7" s="1"/>
  <c r="J284" i="7" s="1"/>
  <c r="P285" i="7" l="1"/>
  <c r="K284" i="7"/>
  <c r="S285" i="7" s="1"/>
  <c r="O284" i="7"/>
  <c r="T285" i="7" s="1"/>
  <c r="Q285" i="7"/>
  <c r="R285" i="7" l="1"/>
  <c r="G285" i="7"/>
  <c r="H285" i="7" l="1"/>
  <c r="I285" i="7" s="1"/>
  <c r="J285" i="7" s="1"/>
  <c r="L285" i="7"/>
  <c r="M285" i="7" s="1"/>
  <c r="N285" i="7" s="1"/>
  <c r="Q286" i="7" l="1"/>
  <c r="O285" i="7"/>
  <c r="T286" i="7" s="1"/>
  <c r="P286" i="7"/>
  <c r="K285" i="7"/>
  <c r="S286" i="7" s="1"/>
  <c r="R286" i="7" l="1"/>
  <c r="G286" i="7"/>
  <c r="L286" i="7" l="1"/>
  <c r="M286" i="7" s="1"/>
  <c r="N286" i="7" s="1"/>
  <c r="H286" i="7"/>
  <c r="I286" i="7" s="1"/>
  <c r="J286" i="7" s="1"/>
  <c r="K286" i="7" l="1"/>
  <c r="S287" i="7" s="1"/>
  <c r="P287" i="7"/>
  <c r="Q287" i="7"/>
  <c r="O286" i="7"/>
  <c r="T287" i="7" s="1"/>
  <c r="R287" i="7" l="1"/>
  <c r="G287" i="7"/>
  <c r="L287" i="7" l="1"/>
  <c r="M287" i="7" s="1"/>
  <c r="N287" i="7" s="1"/>
  <c r="H287" i="7"/>
  <c r="I287" i="7" s="1"/>
  <c r="J287" i="7" s="1"/>
  <c r="P288" i="7" l="1"/>
  <c r="K287" i="7"/>
  <c r="S288" i="7" s="1"/>
  <c r="O287" i="7"/>
  <c r="T288" i="7" s="1"/>
  <c r="Q288" i="7"/>
  <c r="R288" i="7" l="1"/>
  <c r="G288" i="7"/>
  <c r="L288" i="7" l="1"/>
  <c r="M288" i="7" s="1"/>
  <c r="N288" i="7" s="1"/>
  <c r="H288" i="7"/>
  <c r="I288" i="7" s="1"/>
  <c r="J288" i="7" s="1"/>
  <c r="P289" i="7" l="1"/>
  <c r="K288" i="7"/>
  <c r="S289" i="7" s="1"/>
  <c r="O288" i="7"/>
  <c r="T289" i="7" s="1"/>
  <c r="Q289" i="7"/>
  <c r="R289" i="7" l="1"/>
  <c r="G289" i="7"/>
  <c r="H289" i="7" l="1"/>
  <c r="I289" i="7" s="1"/>
  <c r="J289" i="7" s="1"/>
  <c r="L289" i="7"/>
  <c r="M289" i="7" s="1"/>
  <c r="N289" i="7" s="1"/>
  <c r="Q290" i="7" l="1"/>
  <c r="O289" i="7"/>
  <c r="T290" i="7" s="1"/>
  <c r="P290" i="7"/>
  <c r="K289" i="7"/>
  <c r="S290" i="7" s="1"/>
  <c r="R290" i="7" l="1"/>
  <c r="G290" i="7"/>
  <c r="L290" i="7" l="1"/>
  <c r="M290" i="7" s="1"/>
  <c r="N290" i="7" s="1"/>
  <c r="H290" i="7"/>
  <c r="I290" i="7" s="1"/>
  <c r="J290" i="7" s="1"/>
  <c r="P291" i="7" l="1"/>
  <c r="K290" i="7"/>
  <c r="S291" i="7" s="1"/>
  <c r="Q291" i="7"/>
  <c r="O290" i="7"/>
  <c r="T291" i="7" s="1"/>
  <c r="G291" i="7" l="1"/>
  <c r="R291" i="7"/>
  <c r="L291" i="7" l="1"/>
  <c r="M291" i="7" s="1"/>
  <c r="N291" i="7" s="1"/>
  <c r="H291" i="7"/>
  <c r="I291" i="7" s="1"/>
  <c r="J291" i="7" s="1"/>
  <c r="K291" i="7" l="1"/>
  <c r="S292" i="7" s="1"/>
  <c r="P292" i="7"/>
  <c r="Q292" i="7"/>
  <c r="O291" i="7"/>
  <c r="T292" i="7" s="1"/>
  <c r="R292" i="7" l="1"/>
  <c r="G292" i="7"/>
  <c r="L292" i="7" l="1"/>
  <c r="M292" i="7" s="1"/>
  <c r="N292" i="7" s="1"/>
  <c r="H292" i="7"/>
  <c r="I292" i="7" s="1"/>
  <c r="J292" i="7" s="1"/>
  <c r="P293" i="7" l="1"/>
  <c r="K292" i="7"/>
  <c r="S293" i="7" s="1"/>
  <c r="Q293" i="7"/>
  <c r="O292" i="7"/>
  <c r="T293" i="7" s="1"/>
  <c r="R293" i="7" l="1"/>
  <c r="G293" i="7"/>
  <c r="L293" i="7" l="1"/>
  <c r="M293" i="7" s="1"/>
  <c r="N293" i="7" s="1"/>
  <c r="H293" i="7"/>
  <c r="I293" i="7" s="1"/>
  <c r="J293" i="7" s="1"/>
  <c r="P294" i="7" l="1"/>
  <c r="K293" i="7"/>
  <c r="S294" i="7" s="1"/>
  <c r="O293" i="7"/>
  <c r="T294" i="7" s="1"/>
  <c r="Q294" i="7"/>
  <c r="R294" i="7" l="1"/>
  <c r="G294" i="7"/>
  <c r="L294" i="7" l="1"/>
  <c r="M294" i="7" s="1"/>
  <c r="N294" i="7" s="1"/>
  <c r="H294" i="7"/>
  <c r="I294" i="7" s="1"/>
  <c r="J294" i="7" s="1"/>
  <c r="P295" i="7" l="1"/>
  <c r="K294" i="7"/>
  <c r="S295" i="7" s="1"/>
  <c r="Q295" i="7"/>
  <c r="O294" i="7"/>
  <c r="T295" i="7" s="1"/>
  <c r="R295" i="7" l="1"/>
  <c r="G295" i="7"/>
  <c r="L295" i="7" l="1"/>
  <c r="M295" i="7" s="1"/>
  <c r="N295" i="7" s="1"/>
  <c r="H295" i="7"/>
  <c r="I295" i="7" s="1"/>
  <c r="J295" i="7" s="1"/>
  <c r="K295" i="7" l="1"/>
  <c r="S296" i="7" s="1"/>
  <c r="P296" i="7"/>
  <c r="Q296" i="7"/>
  <c r="O295" i="7"/>
  <c r="T296" i="7" s="1"/>
  <c r="R296" i="7" l="1"/>
  <c r="G296" i="7"/>
  <c r="L296" i="7" l="1"/>
  <c r="M296" i="7" s="1"/>
  <c r="N296" i="7" s="1"/>
  <c r="H296" i="7"/>
  <c r="I296" i="7" s="1"/>
  <c r="J296" i="7" s="1"/>
  <c r="K296" i="7" l="1"/>
  <c r="S297" i="7" s="1"/>
  <c r="P297" i="7"/>
  <c r="Q297" i="7"/>
  <c r="O296" i="7"/>
  <c r="T297" i="7" s="1"/>
  <c r="R297" i="7" l="1"/>
  <c r="G297" i="7"/>
  <c r="L297" i="7" l="1"/>
  <c r="M297" i="7" s="1"/>
  <c r="N297" i="7" s="1"/>
  <c r="H297" i="7"/>
  <c r="I297" i="7" s="1"/>
  <c r="J297" i="7" s="1"/>
  <c r="P298" i="7" l="1"/>
  <c r="K297" i="7"/>
  <c r="S298" i="7" s="1"/>
  <c r="Q298" i="7"/>
  <c r="O297" i="7"/>
  <c r="T298" i="7" s="1"/>
  <c r="G298" i="7" l="1"/>
  <c r="R298" i="7"/>
  <c r="L298" i="7" l="1"/>
  <c r="M298" i="7" s="1"/>
  <c r="N298" i="7" s="1"/>
  <c r="H298" i="7"/>
  <c r="I298" i="7" s="1"/>
  <c r="J298" i="7" s="1"/>
  <c r="P299" i="7" l="1"/>
  <c r="K298" i="7"/>
  <c r="S299" i="7" s="1"/>
  <c r="Q299" i="7"/>
  <c r="O298" i="7"/>
  <c r="T299" i="7" s="1"/>
  <c r="R299" i="7" l="1"/>
  <c r="G299" i="7"/>
  <c r="H299" i="7" l="1"/>
  <c r="I299" i="7" s="1"/>
  <c r="J299" i="7" s="1"/>
  <c r="L299" i="7"/>
  <c r="M299" i="7" s="1"/>
  <c r="N299" i="7" s="1"/>
  <c r="O299" i="7" l="1"/>
  <c r="T300" i="7" s="1"/>
  <c r="Q300" i="7"/>
  <c r="K299" i="7"/>
  <c r="S300" i="7" s="1"/>
  <c r="P300" i="7"/>
  <c r="R300" i="7" l="1"/>
  <c r="G300" i="7"/>
  <c r="L300" i="7" l="1"/>
  <c r="M300" i="7" s="1"/>
  <c r="N300" i="7" s="1"/>
  <c r="H300" i="7"/>
  <c r="I300" i="7" s="1"/>
  <c r="J300" i="7" s="1"/>
  <c r="K300" i="7" l="1"/>
  <c r="S301" i="7" s="1"/>
  <c r="P301" i="7"/>
  <c r="O300" i="7"/>
  <c r="T301" i="7" s="1"/>
  <c r="Q301" i="7"/>
  <c r="G301" i="7" l="1"/>
  <c r="R301" i="7"/>
  <c r="L301" i="7" l="1"/>
  <c r="M301" i="7" s="1"/>
  <c r="N301" i="7" s="1"/>
  <c r="H301" i="7"/>
  <c r="I301" i="7" s="1"/>
  <c r="J301" i="7" s="1"/>
  <c r="P302" i="7" l="1"/>
  <c r="K301" i="7"/>
  <c r="S302" i="7" s="1"/>
  <c r="Q302" i="7"/>
  <c r="O301" i="7"/>
  <c r="T302" i="7" s="1"/>
  <c r="G302" i="7" l="1"/>
  <c r="R302" i="7"/>
  <c r="H302" i="7" l="1"/>
  <c r="I302" i="7" s="1"/>
  <c r="J302" i="7" s="1"/>
  <c r="L302" i="7"/>
  <c r="M302" i="7" s="1"/>
  <c r="N302" i="7" s="1"/>
  <c r="Q303" i="7" l="1"/>
  <c r="O302" i="7"/>
  <c r="T303" i="7" s="1"/>
  <c r="K302" i="7"/>
  <c r="S303" i="7" s="1"/>
  <c r="P303" i="7"/>
  <c r="G303" i="7" l="1"/>
  <c r="R303" i="7"/>
  <c r="L303" i="7" l="1"/>
  <c r="M303" i="7" s="1"/>
  <c r="N303" i="7" s="1"/>
  <c r="H303" i="7"/>
  <c r="I303" i="7" s="1"/>
  <c r="J303" i="7" s="1"/>
  <c r="K303" i="7" l="1"/>
  <c r="S304" i="7" s="1"/>
  <c r="P304" i="7"/>
  <c r="O303" i="7"/>
  <c r="T304" i="7" s="1"/>
  <c r="Q304" i="7"/>
  <c r="G304" i="7" l="1"/>
  <c r="R304" i="7"/>
  <c r="L304" i="7" l="1"/>
  <c r="M304" i="7" s="1"/>
  <c r="N304" i="7" s="1"/>
  <c r="H304" i="7"/>
  <c r="I304" i="7" s="1"/>
  <c r="J304" i="7" s="1"/>
  <c r="K304" i="7" l="1"/>
  <c r="S305" i="7" s="1"/>
  <c r="P305" i="7"/>
  <c r="Q305" i="7"/>
  <c r="O304" i="7"/>
  <c r="T305" i="7" s="1"/>
  <c r="G305" i="7" l="1"/>
  <c r="R305" i="7"/>
  <c r="H305" i="7" l="1"/>
  <c r="I305" i="7" s="1"/>
  <c r="J305" i="7" s="1"/>
  <c r="L305" i="7"/>
  <c r="M305" i="7" s="1"/>
  <c r="N305" i="7" s="1"/>
  <c r="Q306" i="7" l="1"/>
  <c r="O305" i="7"/>
  <c r="T306" i="7" s="1"/>
  <c r="P306" i="7"/>
  <c r="K305" i="7"/>
  <c r="S306" i="7" s="1"/>
  <c r="R306" i="7" l="1"/>
  <c r="G306" i="7"/>
  <c r="L306" i="7" l="1"/>
  <c r="M306" i="7" s="1"/>
  <c r="N306" i="7" s="1"/>
  <c r="H306" i="7"/>
  <c r="I306" i="7" s="1"/>
  <c r="J306" i="7" s="1"/>
  <c r="P307" i="7" l="1"/>
  <c r="K306" i="7"/>
  <c r="S307" i="7" s="1"/>
  <c r="Q307" i="7"/>
  <c r="O306" i="7"/>
  <c r="T307" i="7" s="1"/>
  <c r="G307" i="7" l="1"/>
  <c r="R307" i="7"/>
  <c r="L307" i="7" l="1"/>
  <c r="M307" i="7" s="1"/>
  <c r="N307" i="7" s="1"/>
  <c r="H307" i="7"/>
  <c r="I307" i="7" s="1"/>
  <c r="J307" i="7" s="1"/>
  <c r="K307" i="7" l="1"/>
  <c r="S308" i="7" s="1"/>
  <c r="P308" i="7"/>
  <c r="O307" i="7"/>
  <c r="T308" i="7" s="1"/>
  <c r="Q308" i="7"/>
  <c r="G308" i="7" l="1"/>
  <c r="R308" i="7"/>
  <c r="L308" i="7" l="1"/>
  <c r="M308" i="7" s="1"/>
  <c r="N308" i="7" s="1"/>
  <c r="H308" i="7"/>
  <c r="I308" i="7" s="1"/>
  <c r="J308" i="7" s="1"/>
  <c r="P309" i="7" l="1"/>
  <c r="K308" i="7"/>
  <c r="S309" i="7" s="1"/>
  <c r="O308" i="7"/>
  <c r="T309" i="7" s="1"/>
  <c r="Q309" i="7"/>
  <c r="G309" i="7" l="1"/>
  <c r="R309" i="7"/>
  <c r="L309" i="7" l="1"/>
  <c r="M309" i="7" s="1"/>
  <c r="N309" i="7" s="1"/>
  <c r="H309" i="7"/>
  <c r="I309" i="7" s="1"/>
  <c r="J309" i="7" s="1"/>
  <c r="K309" i="7" l="1"/>
  <c r="S310" i="7" s="1"/>
  <c r="P310" i="7"/>
  <c r="Q310" i="7"/>
  <c r="O309" i="7"/>
  <c r="T310" i="7" s="1"/>
  <c r="R310" i="7" l="1"/>
  <c r="G310" i="7"/>
  <c r="H310" i="7" l="1"/>
  <c r="I310" i="7" s="1"/>
  <c r="J310" i="7" s="1"/>
  <c r="L310" i="7"/>
  <c r="M310" i="7" s="1"/>
  <c r="N310" i="7" s="1"/>
  <c r="O310" i="7" l="1"/>
  <c r="T311" i="7" s="1"/>
  <c r="Q311" i="7"/>
  <c r="K310" i="7"/>
  <c r="S311" i="7" s="1"/>
  <c r="P311" i="7"/>
  <c r="G311" i="7" l="1"/>
  <c r="R311" i="7"/>
  <c r="H311" i="7" l="1"/>
  <c r="I311" i="7" s="1"/>
  <c r="J311" i="7" s="1"/>
  <c r="L311" i="7"/>
  <c r="M311" i="7" s="1"/>
  <c r="N311" i="7" s="1"/>
  <c r="Q312" i="7" l="1"/>
  <c r="O311" i="7"/>
  <c r="T312" i="7" s="1"/>
  <c r="P312" i="7"/>
  <c r="K311" i="7"/>
  <c r="S312" i="7" s="1"/>
  <c r="G312" i="7" l="1"/>
  <c r="R312" i="7"/>
  <c r="L312" i="7" l="1"/>
  <c r="M312" i="7" s="1"/>
  <c r="N312" i="7" s="1"/>
  <c r="H312" i="7"/>
  <c r="I312" i="7" s="1"/>
  <c r="J312" i="7" s="1"/>
  <c r="K312" i="7" l="1"/>
  <c r="S313" i="7" s="1"/>
  <c r="P313" i="7"/>
  <c r="Q313" i="7"/>
  <c r="O312" i="7"/>
  <c r="T313" i="7" s="1"/>
  <c r="G313" i="7" l="1"/>
  <c r="R313" i="7"/>
  <c r="L313" i="7" l="1"/>
  <c r="M313" i="7" s="1"/>
  <c r="N313" i="7" s="1"/>
  <c r="H313" i="7"/>
  <c r="I313" i="7" s="1"/>
  <c r="J313" i="7" s="1"/>
  <c r="P314" i="7" l="1"/>
  <c r="K313" i="7"/>
  <c r="S314" i="7" s="1"/>
  <c r="Q314" i="7"/>
  <c r="O313" i="7"/>
  <c r="T314" i="7" s="1"/>
  <c r="G314" i="7" l="1"/>
  <c r="R314" i="7"/>
  <c r="L314" i="7" l="1"/>
  <c r="M314" i="7" s="1"/>
  <c r="N314" i="7" s="1"/>
  <c r="H314" i="7"/>
  <c r="I314" i="7" s="1"/>
  <c r="J314" i="7" s="1"/>
  <c r="P315" i="7" l="1"/>
  <c r="K314" i="7"/>
  <c r="S315" i="7" s="1"/>
  <c r="Q315" i="7"/>
  <c r="O314" i="7"/>
  <c r="T315" i="7" s="1"/>
  <c r="G315" i="7" l="1"/>
  <c r="R315" i="7"/>
  <c r="L315" i="7" l="1"/>
  <c r="M315" i="7" s="1"/>
  <c r="N315" i="7" s="1"/>
  <c r="H315" i="7"/>
  <c r="I315" i="7" s="1"/>
  <c r="J315" i="7" s="1"/>
  <c r="P316" i="7" l="1"/>
  <c r="K315" i="7"/>
  <c r="S316" i="7" s="1"/>
  <c r="O315" i="7"/>
  <c r="T316" i="7" s="1"/>
  <c r="Q316" i="7"/>
  <c r="G316" i="7" l="1"/>
  <c r="R316" i="7"/>
  <c r="H316" i="7" l="1"/>
  <c r="I316" i="7" s="1"/>
  <c r="J316" i="7" s="1"/>
  <c r="L316" i="7"/>
  <c r="M316" i="7" s="1"/>
  <c r="N316" i="7" s="1"/>
  <c r="Q317" i="7" l="1"/>
  <c r="O316" i="7"/>
  <c r="T317" i="7" s="1"/>
  <c r="K316" i="7"/>
  <c r="S317" i="7" s="1"/>
  <c r="P317" i="7"/>
  <c r="R317" i="7" l="1"/>
  <c r="G317" i="7"/>
  <c r="H317" i="7" l="1"/>
  <c r="I317" i="7" s="1"/>
  <c r="J317" i="7" s="1"/>
  <c r="L317" i="7"/>
  <c r="M317" i="7" s="1"/>
  <c r="N317" i="7" s="1"/>
  <c r="Q318" i="7" l="1"/>
  <c r="O317" i="7"/>
  <c r="T318" i="7" s="1"/>
  <c r="P318" i="7"/>
  <c r="K317" i="7"/>
  <c r="S318" i="7" s="1"/>
  <c r="R318" i="7" l="1"/>
  <c r="G318" i="7"/>
  <c r="H318" i="7" l="1"/>
  <c r="I318" i="7" s="1"/>
  <c r="J318" i="7" s="1"/>
  <c r="L318" i="7"/>
  <c r="M318" i="7" s="1"/>
  <c r="N318" i="7" s="1"/>
  <c r="Q319" i="7" l="1"/>
  <c r="O318" i="7"/>
  <c r="T319" i="7" s="1"/>
  <c r="K318" i="7"/>
  <c r="S319" i="7" s="1"/>
  <c r="P319" i="7"/>
  <c r="R319" i="7" l="1"/>
  <c r="G319" i="7"/>
  <c r="L319" i="7" l="1"/>
  <c r="M319" i="7" s="1"/>
  <c r="N319" i="7" s="1"/>
  <c r="H319" i="7"/>
  <c r="I319" i="7" s="1"/>
  <c r="J319" i="7" s="1"/>
  <c r="P320" i="7" l="1"/>
  <c r="K319" i="7"/>
  <c r="S320" i="7" s="1"/>
  <c r="Q320" i="7"/>
  <c r="O319" i="7"/>
  <c r="T320" i="7" s="1"/>
  <c r="R320" i="7" l="1"/>
  <c r="G320" i="7"/>
  <c r="L320" i="7" l="1"/>
  <c r="M320" i="7" s="1"/>
  <c r="N320" i="7" s="1"/>
  <c r="H320" i="7"/>
  <c r="I320" i="7" s="1"/>
  <c r="J320" i="7" s="1"/>
  <c r="K320" i="7" l="1"/>
  <c r="S321" i="7" s="1"/>
  <c r="P321" i="7"/>
  <c r="Q321" i="7"/>
  <c r="O320" i="7"/>
  <c r="T321" i="7" s="1"/>
  <c r="G321" i="7" l="1"/>
  <c r="R321" i="7"/>
  <c r="H321" i="7" l="1"/>
  <c r="I321" i="7" s="1"/>
  <c r="J321" i="7" s="1"/>
  <c r="L321" i="7"/>
  <c r="M321" i="7" s="1"/>
  <c r="N321" i="7" s="1"/>
  <c r="Q322" i="7" l="1"/>
  <c r="O321" i="7"/>
  <c r="T322" i="7" s="1"/>
  <c r="P322" i="7"/>
  <c r="K321" i="7"/>
  <c r="S322" i="7" s="1"/>
  <c r="G322" i="7" l="1"/>
  <c r="R322" i="7"/>
  <c r="L322" i="7" l="1"/>
  <c r="M322" i="7" s="1"/>
  <c r="N322" i="7" s="1"/>
  <c r="H322" i="7"/>
  <c r="I322" i="7" s="1"/>
  <c r="J322" i="7" s="1"/>
  <c r="K322" i="7" l="1"/>
  <c r="S323" i="7" s="1"/>
  <c r="P323" i="7"/>
  <c r="O322" i="7"/>
  <c r="T323" i="7" s="1"/>
  <c r="Q323" i="7"/>
  <c r="R323" i="7" l="1"/>
  <c r="G323" i="7"/>
  <c r="L323" i="7" l="1"/>
  <c r="M323" i="7" s="1"/>
  <c r="N323" i="7" s="1"/>
  <c r="H323" i="7"/>
  <c r="I323" i="7" s="1"/>
  <c r="J323" i="7" s="1"/>
  <c r="K323" i="7" l="1"/>
  <c r="S324" i="7" s="1"/>
  <c r="P324" i="7"/>
  <c r="O323" i="7"/>
  <c r="T324" i="7" s="1"/>
  <c r="Q324" i="7"/>
  <c r="G324" i="7" l="1"/>
  <c r="R324" i="7"/>
  <c r="L324" i="7" l="1"/>
  <c r="M324" i="7" s="1"/>
  <c r="N324" i="7" s="1"/>
  <c r="H324" i="7"/>
  <c r="I324" i="7" s="1"/>
  <c r="J324" i="7" s="1"/>
  <c r="P325" i="7" l="1"/>
  <c r="K324" i="7"/>
  <c r="S325" i="7" s="1"/>
  <c r="O324" i="7"/>
  <c r="T325" i="7" s="1"/>
  <c r="Q325" i="7"/>
  <c r="R325" i="7" l="1"/>
  <c r="G325" i="7"/>
  <c r="L325" i="7" l="1"/>
  <c r="M325" i="7" s="1"/>
  <c r="N325" i="7" s="1"/>
  <c r="H325" i="7"/>
  <c r="I325" i="7" s="1"/>
  <c r="J325" i="7" s="1"/>
  <c r="P326" i="7" l="1"/>
  <c r="K325" i="7"/>
  <c r="S326" i="7" s="1"/>
  <c r="Q326" i="7"/>
  <c r="O325" i="7"/>
  <c r="T326" i="7" s="1"/>
  <c r="G326" i="7" l="1"/>
  <c r="R326" i="7"/>
  <c r="L326" i="7" l="1"/>
  <c r="M326" i="7" s="1"/>
  <c r="N326" i="7" s="1"/>
  <c r="H326" i="7"/>
  <c r="I326" i="7" s="1"/>
  <c r="J326" i="7" s="1"/>
  <c r="P327" i="7" l="1"/>
  <c r="K326" i="7"/>
  <c r="S327" i="7" s="1"/>
  <c r="O326" i="7"/>
  <c r="T327" i="7" s="1"/>
  <c r="Q327" i="7"/>
  <c r="G327" i="7" l="1"/>
  <c r="R327" i="7"/>
  <c r="L327" i="7" l="1"/>
  <c r="M327" i="7" s="1"/>
  <c r="N327" i="7" s="1"/>
  <c r="H327" i="7"/>
  <c r="I327" i="7" s="1"/>
  <c r="J327" i="7" s="1"/>
  <c r="P328" i="7" l="1"/>
  <c r="K327" i="7"/>
  <c r="S328" i="7" s="1"/>
  <c r="Q328" i="7"/>
  <c r="O327" i="7"/>
  <c r="T328" i="7" s="1"/>
  <c r="R328" i="7" l="1"/>
  <c r="G328" i="7"/>
  <c r="L328" i="7" l="1"/>
  <c r="M328" i="7" s="1"/>
  <c r="N328" i="7" s="1"/>
  <c r="H328" i="7"/>
  <c r="I328" i="7" s="1"/>
  <c r="J328" i="7" s="1"/>
  <c r="P329" i="7" l="1"/>
  <c r="K328" i="7"/>
  <c r="S329" i="7" s="1"/>
  <c r="O328" i="7"/>
  <c r="T329" i="7" s="1"/>
  <c r="Q329" i="7"/>
  <c r="G329" i="7" l="1"/>
  <c r="R329" i="7"/>
  <c r="L329" i="7" l="1"/>
  <c r="M329" i="7" s="1"/>
  <c r="N329" i="7" s="1"/>
  <c r="H329" i="7"/>
  <c r="I329" i="7" s="1"/>
  <c r="J329" i="7" s="1"/>
  <c r="K329" i="7" l="1"/>
  <c r="S330" i="7" s="1"/>
  <c r="P330" i="7"/>
  <c r="O329" i="7"/>
  <c r="T330" i="7" s="1"/>
  <c r="Q330" i="7"/>
  <c r="G330" i="7" l="1"/>
  <c r="R330" i="7"/>
  <c r="L330" i="7" l="1"/>
  <c r="M330" i="7" s="1"/>
  <c r="N330" i="7" s="1"/>
  <c r="H330" i="7"/>
  <c r="I330" i="7" s="1"/>
  <c r="J330" i="7" s="1"/>
  <c r="K330" i="7" l="1"/>
  <c r="S331" i="7" s="1"/>
  <c r="P331" i="7"/>
  <c r="Q331" i="7"/>
  <c r="O330" i="7"/>
  <c r="T331" i="7" s="1"/>
  <c r="R331" i="7" l="1"/>
  <c r="G331" i="7"/>
  <c r="H331" i="7" l="1"/>
  <c r="I331" i="7" s="1"/>
  <c r="J331" i="7" s="1"/>
  <c r="L331" i="7"/>
  <c r="M331" i="7" s="1"/>
  <c r="N331" i="7" s="1"/>
  <c r="O331" i="7" l="1"/>
  <c r="T332" i="7" s="1"/>
  <c r="Q332" i="7"/>
  <c r="P332" i="7"/>
  <c r="K331" i="7"/>
  <c r="S332" i="7" s="1"/>
  <c r="G332" i="7" l="1"/>
  <c r="R332" i="7"/>
  <c r="H332" i="7" l="1"/>
  <c r="I332" i="7" s="1"/>
  <c r="J332" i="7" s="1"/>
  <c r="L332" i="7"/>
  <c r="M332" i="7" s="1"/>
  <c r="N332" i="7" s="1"/>
  <c r="Q333" i="7" l="1"/>
  <c r="O332" i="7"/>
  <c r="T333" i="7" s="1"/>
  <c r="K332" i="7"/>
  <c r="S333" i="7" s="1"/>
  <c r="P333" i="7"/>
  <c r="R333" i="7" l="1"/>
  <c r="G333" i="7"/>
  <c r="H333" i="7" l="1"/>
  <c r="I333" i="7" s="1"/>
  <c r="J333" i="7" s="1"/>
  <c r="L333" i="7"/>
  <c r="M333" i="7" s="1"/>
  <c r="N333" i="7" s="1"/>
  <c r="Q334" i="7" l="1"/>
  <c r="O333" i="7"/>
  <c r="T334" i="7" s="1"/>
  <c r="K333" i="7"/>
  <c r="S334" i="7" s="1"/>
  <c r="P334" i="7"/>
  <c r="R334" i="7" l="1"/>
  <c r="G334" i="7"/>
  <c r="H334" i="7" l="1"/>
  <c r="I334" i="7" s="1"/>
  <c r="J334" i="7" s="1"/>
  <c r="L334" i="7"/>
  <c r="M334" i="7" s="1"/>
  <c r="N334" i="7" s="1"/>
  <c r="O334" i="7" l="1"/>
  <c r="T335" i="7" s="1"/>
  <c r="Q335" i="7"/>
  <c r="K334" i="7"/>
  <c r="S335" i="7" s="1"/>
  <c r="P335" i="7"/>
  <c r="G335" i="7" l="1"/>
  <c r="R335" i="7"/>
  <c r="L335" i="7" l="1"/>
  <c r="M335" i="7" s="1"/>
  <c r="N335" i="7" s="1"/>
  <c r="H335" i="7"/>
  <c r="I335" i="7" s="1"/>
  <c r="J335" i="7" s="1"/>
  <c r="K335" i="7" l="1"/>
  <c r="S336" i="7" s="1"/>
  <c r="P336" i="7"/>
  <c r="O335" i="7"/>
  <c r="T336" i="7" s="1"/>
  <c r="Q336" i="7"/>
  <c r="R336" i="7" l="1"/>
  <c r="G336" i="7"/>
  <c r="H336" i="7" l="1"/>
  <c r="I336" i="7" s="1"/>
  <c r="J336" i="7" s="1"/>
  <c r="L336" i="7"/>
  <c r="M336" i="7" s="1"/>
  <c r="N336" i="7" s="1"/>
  <c r="O336" i="7" l="1"/>
  <c r="T337" i="7" s="1"/>
  <c r="Q337" i="7"/>
  <c r="P337" i="7"/>
  <c r="K336" i="7"/>
  <c r="S337" i="7" s="1"/>
  <c r="R337" i="7" l="1"/>
  <c r="G337" i="7"/>
  <c r="H337" i="7" l="1"/>
  <c r="I337" i="7" s="1"/>
  <c r="J337" i="7" s="1"/>
  <c r="L337" i="7"/>
  <c r="M337" i="7" s="1"/>
  <c r="N337" i="7" s="1"/>
  <c r="O337" i="7" l="1"/>
  <c r="T338" i="7" s="1"/>
  <c r="Q338" i="7"/>
  <c r="K337" i="7"/>
  <c r="S338" i="7" s="1"/>
  <c r="P338" i="7"/>
  <c r="R338" i="7" l="1"/>
  <c r="G338" i="7"/>
  <c r="L338" i="7" l="1"/>
  <c r="M338" i="7" s="1"/>
  <c r="N338" i="7" s="1"/>
  <c r="H338" i="7"/>
  <c r="I338" i="7" s="1"/>
  <c r="J338" i="7" s="1"/>
  <c r="P339" i="7" l="1"/>
  <c r="K338" i="7"/>
  <c r="S339" i="7" s="1"/>
  <c r="Q339" i="7"/>
  <c r="O338" i="7"/>
  <c r="T339" i="7" s="1"/>
  <c r="R339" i="7" l="1"/>
  <c r="G339" i="7"/>
  <c r="H339" i="7" l="1"/>
  <c r="I339" i="7" s="1"/>
  <c r="J339" i="7" s="1"/>
  <c r="L339" i="7"/>
  <c r="M339" i="7" s="1"/>
  <c r="N339" i="7" s="1"/>
  <c r="Q340" i="7" l="1"/>
  <c r="O339" i="7"/>
  <c r="T340" i="7" s="1"/>
  <c r="K339" i="7"/>
  <c r="S340" i="7" s="1"/>
  <c r="P340" i="7"/>
  <c r="G340" i="7" l="1"/>
  <c r="R340" i="7"/>
  <c r="L340" i="7" l="1"/>
  <c r="M340" i="7" s="1"/>
  <c r="N340" i="7" s="1"/>
  <c r="H340" i="7"/>
  <c r="I340" i="7" s="1"/>
  <c r="J340" i="7" s="1"/>
  <c r="P341" i="7" l="1"/>
  <c r="K340" i="7"/>
  <c r="S341" i="7" s="1"/>
  <c r="O340" i="7"/>
  <c r="T341" i="7" s="1"/>
  <c r="Q341" i="7"/>
  <c r="R341" i="7" l="1"/>
  <c r="G341" i="7"/>
  <c r="L341" i="7" l="1"/>
  <c r="M341" i="7" s="1"/>
  <c r="N341" i="7" s="1"/>
  <c r="H341" i="7"/>
  <c r="I341" i="7" s="1"/>
  <c r="J341" i="7" s="1"/>
  <c r="P342" i="7" l="1"/>
  <c r="K341" i="7"/>
  <c r="S342" i="7" s="1"/>
  <c r="Q342" i="7"/>
  <c r="O341" i="7"/>
  <c r="T342" i="7" s="1"/>
  <c r="R342" i="7" l="1"/>
  <c r="G342" i="7"/>
  <c r="L342" i="7" l="1"/>
  <c r="M342" i="7" s="1"/>
  <c r="N342" i="7" s="1"/>
  <c r="H342" i="7"/>
  <c r="I342" i="7" s="1"/>
  <c r="J342" i="7" s="1"/>
  <c r="K342" i="7" l="1"/>
  <c r="S343" i="7" s="1"/>
  <c r="P343" i="7"/>
  <c r="Q343" i="7"/>
  <c r="O342" i="7"/>
  <c r="T343" i="7" s="1"/>
  <c r="R343" i="7" l="1"/>
  <c r="G343" i="7"/>
  <c r="L343" i="7" l="1"/>
  <c r="M343" i="7" s="1"/>
  <c r="N343" i="7" s="1"/>
  <c r="H343" i="7"/>
  <c r="I343" i="7" s="1"/>
  <c r="J343" i="7" s="1"/>
  <c r="P344" i="7" l="1"/>
  <c r="K343" i="7"/>
  <c r="S344" i="7" s="1"/>
  <c r="O343" i="7"/>
  <c r="T344" i="7" s="1"/>
  <c r="Q344" i="7"/>
  <c r="R344" i="7" l="1"/>
  <c r="G344" i="7"/>
  <c r="L344" i="7" l="1"/>
  <c r="M344" i="7" s="1"/>
  <c r="N344" i="7" s="1"/>
  <c r="H344" i="7"/>
  <c r="I344" i="7" s="1"/>
  <c r="J344" i="7" s="1"/>
  <c r="P345" i="7" l="1"/>
  <c r="K344" i="7"/>
  <c r="S345" i="7" s="1"/>
  <c r="Q345" i="7"/>
  <c r="O344" i="7"/>
  <c r="T345" i="7" s="1"/>
  <c r="G345" i="7" l="1"/>
  <c r="R345" i="7"/>
  <c r="H345" i="7" l="1"/>
  <c r="I345" i="7" s="1"/>
  <c r="J345" i="7" s="1"/>
  <c r="L345" i="7"/>
  <c r="M345" i="7" s="1"/>
  <c r="N345" i="7" s="1"/>
  <c r="O345" i="7" l="1"/>
  <c r="T346" i="7" s="1"/>
  <c r="Q346" i="7"/>
  <c r="K345" i="7"/>
  <c r="S346" i="7" s="1"/>
  <c r="P346" i="7"/>
  <c r="R346" i="7" l="1"/>
  <c r="G346" i="7"/>
  <c r="H346" i="7" l="1"/>
  <c r="I346" i="7" s="1"/>
  <c r="J346" i="7" s="1"/>
  <c r="L346" i="7"/>
  <c r="M346" i="7" s="1"/>
  <c r="N346" i="7" s="1"/>
  <c r="O346" i="7" l="1"/>
  <c r="T347" i="7" s="1"/>
  <c r="Q347" i="7"/>
  <c r="K346" i="7"/>
  <c r="S347" i="7" s="1"/>
  <c r="P347" i="7"/>
  <c r="G347" i="7" l="1"/>
  <c r="R347" i="7"/>
  <c r="H347" i="7" l="1"/>
  <c r="I347" i="7" s="1"/>
  <c r="J347" i="7" s="1"/>
  <c r="L347" i="7"/>
  <c r="M347" i="7" s="1"/>
  <c r="N347" i="7" s="1"/>
  <c r="O347" i="7" l="1"/>
  <c r="T348" i="7" s="1"/>
  <c r="Q348" i="7"/>
  <c r="K347" i="7"/>
  <c r="S348" i="7" s="1"/>
  <c r="P348" i="7"/>
  <c r="R348" i="7" l="1"/>
  <c r="G348" i="7"/>
  <c r="H348" i="7" l="1"/>
  <c r="I348" i="7" s="1"/>
  <c r="J348" i="7" s="1"/>
  <c r="L348" i="7"/>
  <c r="M348" i="7" s="1"/>
  <c r="N348" i="7" s="1"/>
  <c r="Q349" i="7" l="1"/>
  <c r="O348" i="7"/>
  <c r="T349" i="7" s="1"/>
  <c r="P349" i="7"/>
  <c r="K348" i="7"/>
  <c r="S349" i="7" s="1"/>
  <c r="G349" i="7" l="1"/>
  <c r="R349" i="7"/>
  <c r="H349" i="7" l="1"/>
  <c r="I349" i="7" s="1"/>
  <c r="J349" i="7" s="1"/>
  <c r="L349" i="7"/>
  <c r="M349" i="7" s="1"/>
  <c r="N349" i="7" s="1"/>
  <c r="O349" i="7" l="1"/>
  <c r="T350" i="7" s="1"/>
  <c r="Q350" i="7"/>
  <c r="K349" i="7"/>
  <c r="S350" i="7" s="1"/>
  <c r="P350" i="7"/>
  <c r="R350" i="7" l="1"/>
  <c r="G350" i="7"/>
  <c r="L350" i="7" l="1"/>
  <c r="M350" i="7" s="1"/>
  <c r="N350" i="7" s="1"/>
  <c r="H350" i="7"/>
  <c r="I350" i="7" s="1"/>
  <c r="J350" i="7" s="1"/>
  <c r="K350" i="7" l="1"/>
  <c r="S351" i="7" s="1"/>
  <c r="P351" i="7"/>
  <c r="Q351" i="7"/>
  <c r="O350" i="7"/>
  <c r="T351" i="7" s="1"/>
  <c r="G351" i="7" l="1"/>
  <c r="R351" i="7"/>
  <c r="H351" i="7" l="1"/>
  <c r="I351" i="7" s="1"/>
  <c r="J351" i="7" s="1"/>
  <c r="L351" i="7"/>
  <c r="M351" i="7" s="1"/>
  <c r="N351" i="7" s="1"/>
  <c r="O351" i="7" l="1"/>
  <c r="T352" i="7" s="1"/>
  <c r="Q352" i="7"/>
  <c r="K351" i="7"/>
  <c r="S352" i="7" s="1"/>
  <c r="P352" i="7"/>
  <c r="G352" i="7" l="1"/>
  <c r="R352" i="7"/>
  <c r="H352" i="7" l="1"/>
  <c r="I352" i="7" s="1"/>
  <c r="J352" i="7" s="1"/>
  <c r="L352" i="7"/>
  <c r="M352" i="7" s="1"/>
  <c r="N352" i="7" s="1"/>
  <c r="O352" i="7" l="1"/>
  <c r="T353" i="7" s="1"/>
  <c r="Q353" i="7"/>
  <c r="P353" i="7"/>
  <c r="K352" i="7"/>
  <c r="S353" i="7" s="1"/>
  <c r="G353" i="7" l="1"/>
  <c r="R353" i="7"/>
  <c r="L353" i="7" l="1"/>
  <c r="M353" i="7" s="1"/>
  <c r="N353" i="7" s="1"/>
  <c r="H353" i="7"/>
  <c r="I353" i="7" s="1"/>
  <c r="J353" i="7" s="1"/>
  <c r="P354" i="7" l="1"/>
  <c r="K353" i="7"/>
  <c r="S354" i="7" s="1"/>
  <c r="O353" i="7"/>
  <c r="T354" i="7" s="1"/>
  <c r="Q354" i="7"/>
  <c r="R354" i="7" l="1"/>
  <c r="G354" i="7"/>
  <c r="L354" i="7" l="1"/>
  <c r="M354" i="7" s="1"/>
  <c r="N354" i="7" s="1"/>
  <c r="H354" i="7"/>
  <c r="I354" i="7" s="1"/>
  <c r="J354" i="7" s="1"/>
  <c r="K354" i="7" l="1"/>
  <c r="S355" i="7" s="1"/>
  <c r="P355" i="7"/>
  <c r="Q355" i="7"/>
  <c r="O354" i="7"/>
  <c r="T355" i="7" s="1"/>
  <c r="R355" i="7" l="1"/>
  <c r="G355" i="7"/>
  <c r="H355" i="7" l="1"/>
  <c r="I355" i="7" s="1"/>
  <c r="J355" i="7" s="1"/>
  <c r="L355" i="7"/>
  <c r="M355" i="7" s="1"/>
  <c r="N355" i="7" s="1"/>
  <c r="Q356" i="7" l="1"/>
  <c r="O355" i="7"/>
  <c r="T356" i="7" s="1"/>
  <c r="K355" i="7"/>
  <c r="S356" i="7" s="1"/>
  <c r="P356" i="7"/>
  <c r="R356" i="7" l="1"/>
  <c r="G356" i="7"/>
  <c r="L356" i="7" l="1"/>
  <c r="M356" i="7" s="1"/>
  <c r="N356" i="7" s="1"/>
  <c r="H356" i="7"/>
  <c r="I356" i="7" s="1"/>
  <c r="J356" i="7" s="1"/>
  <c r="P357" i="7" l="1"/>
  <c r="K356" i="7"/>
  <c r="S357" i="7" s="1"/>
  <c r="Q357" i="7"/>
  <c r="O356" i="7"/>
  <c r="T357" i="7" s="1"/>
  <c r="R357" i="7" l="1"/>
  <c r="G357" i="7"/>
  <c r="L357" i="7" l="1"/>
  <c r="M357" i="7" s="1"/>
  <c r="N357" i="7" s="1"/>
  <c r="H357" i="7"/>
  <c r="I357" i="7" s="1"/>
  <c r="J357" i="7" s="1"/>
  <c r="K357" i="7" l="1"/>
  <c r="S358" i="7" s="1"/>
  <c r="P358" i="7"/>
  <c r="O357" i="7"/>
  <c r="T358" i="7" s="1"/>
  <c r="Q358" i="7"/>
  <c r="G358" i="7" l="1"/>
  <c r="R358" i="7"/>
  <c r="L358" i="7" l="1"/>
  <c r="M358" i="7" s="1"/>
  <c r="N358" i="7" s="1"/>
  <c r="H358" i="7"/>
  <c r="I358" i="7" s="1"/>
  <c r="J358" i="7" s="1"/>
  <c r="P359" i="7" l="1"/>
  <c r="K358" i="7"/>
  <c r="S359" i="7" s="1"/>
  <c r="O358" i="7"/>
  <c r="T359" i="7" s="1"/>
  <c r="Q359" i="7"/>
  <c r="R359" i="7" l="1"/>
  <c r="G359" i="7"/>
  <c r="H359" i="7" l="1"/>
  <c r="I359" i="7" s="1"/>
  <c r="J359" i="7" s="1"/>
  <c r="L359" i="7"/>
  <c r="M359" i="7" s="1"/>
  <c r="N359" i="7" s="1"/>
  <c r="Q360" i="7" l="1"/>
  <c r="O359" i="7"/>
  <c r="T360" i="7" s="1"/>
  <c r="K359" i="7"/>
  <c r="S360" i="7" s="1"/>
  <c r="P360" i="7"/>
  <c r="R360" i="7" l="1"/>
  <c r="G360" i="7"/>
  <c r="H360" i="7" l="1"/>
  <c r="I360" i="7" s="1"/>
  <c r="J360" i="7" s="1"/>
  <c r="L360" i="7"/>
  <c r="M360" i="7" s="1"/>
  <c r="N360" i="7" s="1"/>
  <c r="Q361" i="7" l="1"/>
  <c r="O360" i="7"/>
  <c r="T361" i="7" s="1"/>
  <c r="K360" i="7"/>
  <c r="S361" i="7" s="1"/>
  <c r="P361" i="7"/>
  <c r="R361" i="7" l="1"/>
  <c r="G361" i="7"/>
  <c r="L361" i="7" l="1"/>
  <c r="M361" i="7" s="1"/>
  <c r="N361" i="7" s="1"/>
  <c r="H361" i="7"/>
  <c r="I361" i="7" s="1"/>
  <c r="J361" i="7" s="1"/>
  <c r="P362" i="7" l="1"/>
  <c r="K361" i="7"/>
  <c r="S362" i="7" s="1"/>
  <c r="Q362" i="7"/>
  <c r="O361" i="7"/>
  <c r="T362" i="7" s="1"/>
  <c r="R362" i="7" l="1"/>
  <c r="G362" i="7"/>
  <c r="H362" i="7" l="1"/>
  <c r="I362" i="7" s="1"/>
  <c r="J362" i="7" s="1"/>
  <c r="L362" i="7"/>
  <c r="M362" i="7" s="1"/>
  <c r="N362" i="7" s="1"/>
  <c r="O362" i="7" l="1"/>
  <c r="T363" i="7" s="1"/>
  <c r="Q363" i="7"/>
  <c r="K362" i="7"/>
  <c r="S363" i="7" s="1"/>
  <c r="P363" i="7"/>
  <c r="R363" i="7" l="1"/>
  <c r="G363" i="7"/>
  <c r="H363" i="7" l="1"/>
  <c r="I363" i="7" s="1"/>
  <c r="J363" i="7" s="1"/>
  <c r="L363" i="7"/>
  <c r="M363" i="7" s="1"/>
  <c r="N363" i="7" s="1"/>
  <c r="O363" i="7" l="1"/>
  <c r="T364" i="7" s="1"/>
  <c r="Q364" i="7"/>
  <c r="K363" i="7"/>
  <c r="S364" i="7" s="1"/>
  <c r="P364" i="7"/>
  <c r="R364" i="7" l="1"/>
  <c r="G364" i="7"/>
  <c r="H364" i="7" l="1"/>
  <c r="I364" i="7" s="1"/>
  <c r="J364" i="7" s="1"/>
  <c r="L364" i="7"/>
  <c r="M364" i="7" s="1"/>
  <c r="N364" i="7" s="1"/>
  <c r="Q365" i="7" l="1"/>
  <c r="O364" i="7"/>
  <c r="T365" i="7" s="1"/>
  <c r="K364" i="7"/>
  <c r="S365" i="7" s="1"/>
  <c r="P365" i="7"/>
  <c r="G365" i="7" l="1"/>
  <c r="R365" i="7"/>
  <c r="L365" i="7" l="1"/>
  <c r="M365" i="7" s="1"/>
  <c r="N365" i="7" s="1"/>
  <c r="H365" i="7"/>
  <c r="I365" i="7" s="1"/>
  <c r="J365" i="7" s="1"/>
  <c r="P366" i="7" l="1"/>
  <c r="K365" i="7"/>
  <c r="S366" i="7" s="1"/>
  <c r="O365" i="7"/>
  <c r="T366" i="7" s="1"/>
  <c r="Q366" i="7"/>
  <c r="R366" i="7" l="1"/>
  <c r="G366" i="7"/>
  <c r="H366" i="7" l="1"/>
  <c r="I366" i="7" s="1"/>
  <c r="J366" i="7" s="1"/>
  <c r="L366" i="7"/>
  <c r="M366" i="7" s="1"/>
  <c r="N366" i="7" s="1"/>
  <c r="O366" i="7" l="1"/>
  <c r="T367" i="7" s="1"/>
  <c r="Q367" i="7"/>
  <c r="K366" i="7"/>
  <c r="S367" i="7" s="1"/>
  <c r="P367" i="7"/>
  <c r="G367" i="7" l="1"/>
  <c r="R367" i="7"/>
  <c r="L367" i="7" l="1"/>
  <c r="M367" i="7" s="1"/>
  <c r="N367" i="7" s="1"/>
  <c r="H367" i="7"/>
  <c r="I367" i="7" s="1"/>
  <c r="J367" i="7" s="1"/>
  <c r="Q368" i="7" l="1"/>
  <c r="O367" i="7"/>
  <c r="T368" i="7" s="1"/>
  <c r="K367" i="7"/>
  <c r="S368" i="7" s="1"/>
  <c r="P368" i="7"/>
  <c r="R368" i="7" l="1"/>
  <c r="G368" i="7"/>
  <c r="H368" i="7" l="1"/>
  <c r="I368" i="7" s="1"/>
  <c r="J368" i="7" s="1"/>
  <c r="L368" i="7"/>
  <c r="M368" i="7" s="1"/>
  <c r="N368" i="7" s="1"/>
  <c r="Q369" i="7" l="1"/>
  <c r="O368" i="7"/>
  <c r="T369" i="7" s="1"/>
  <c r="P369" i="7"/>
  <c r="K368" i="7"/>
  <c r="S369" i="7" s="1"/>
  <c r="R369" i="7" l="1"/>
  <c r="G369" i="7"/>
  <c r="H369" i="7" l="1"/>
  <c r="I369" i="7" s="1"/>
  <c r="J369" i="7" s="1"/>
  <c r="L369" i="7"/>
  <c r="M369" i="7" s="1"/>
  <c r="N369" i="7" s="1"/>
  <c r="O369" i="7" l="1"/>
  <c r="T370" i="7" s="1"/>
  <c r="Q370" i="7"/>
  <c r="P370" i="7"/>
  <c r="K369" i="7"/>
  <c r="S370" i="7" s="1"/>
  <c r="R370" i="7" l="1"/>
  <c r="G370" i="7"/>
  <c r="H370" i="7" l="1"/>
  <c r="I370" i="7" s="1"/>
  <c r="J370" i="7" s="1"/>
  <c r="L370" i="7"/>
  <c r="M370" i="7" s="1"/>
  <c r="N370" i="7" s="1"/>
  <c r="O370" i="7" l="1"/>
  <c r="T371" i="7" s="1"/>
  <c r="Q371" i="7"/>
  <c r="P371" i="7"/>
  <c r="K370" i="7"/>
  <c r="S371" i="7" s="1"/>
  <c r="G371" i="7" l="1"/>
  <c r="R371" i="7"/>
  <c r="L371" i="7" l="1"/>
  <c r="M371" i="7" s="1"/>
  <c r="N371" i="7" s="1"/>
  <c r="H371" i="7"/>
  <c r="I371" i="7" s="1"/>
  <c r="J371" i="7" s="1"/>
  <c r="K371" i="7" l="1"/>
  <c r="S372" i="7" s="1"/>
  <c r="P372" i="7"/>
  <c r="O371" i="7"/>
  <c r="T372" i="7" s="1"/>
  <c r="Q372" i="7"/>
  <c r="R372" i="7" l="1"/>
  <c r="G372" i="7"/>
  <c r="L372" i="7" l="1"/>
  <c r="M372" i="7" s="1"/>
  <c r="N372" i="7" s="1"/>
  <c r="H372" i="7"/>
  <c r="I372" i="7" s="1"/>
  <c r="J372" i="7" s="1"/>
  <c r="K372" i="7" l="1"/>
  <c r="S373" i="7" s="1"/>
  <c r="P373" i="7"/>
  <c r="O372" i="7"/>
  <c r="T373" i="7" s="1"/>
  <c r="Q373" i="7"/>
  <c r="R373" i="7" l="1"/>
  <c r="G373" i="7"/>
  <c r="H373" i="7" l="1"/>
  <c r="I373" i="7" s="1"/>
  <c r="J373" i="7" s="1"/>
  <c r="L373" i="7"/>
  <c r="M373" i="7" s="1"/>
  <c r="N373" i="7" s="1"/>
  <c r="O373" i="7" l="1"/>
  <c r="T374" i="7" s="1"/>
  <c r="Q374" i="7"/>
  <c r="P374" i="7"/>
  <c r="K373" i="7"/>
  <c r="S374" i="7" s="1"/>
  <c r="R374" i="7" l="1"/>
  <c r="G374" i="7"/>
  <c r="L374" i="7" l="1"/>
  <c r="M374" i="7" s="1"/>
  <c r="N374" i="7" s="1"/>
  <c r="H374" i="7"/>
  <c r="I374" i="7" s="1"/>
  <c r="J374" i="7" s="1"/>
  <c r="P375" i="7" l="1"/>
  <c r="K374" i="7"/>
  <c r="S375" i="7" s="1"/>
  <c r="Q375" i="7"/>
  <c r="O374" i="7"/>
  <c r="T375" i="7" s="1"/>
  <c r="G375" i="7" l="1"/>
  <c r="R375" i="7"/>
  <c r="L375" i="7" l="1"/>
  <c r="M375" i="7" s="1"/>
  <c r="N375" i="7" s="1"/>
  <c r="H375" i="7"/>
  <c r="I375" i="7" s="1"/>
  <c r="J375" i="7" s="1"/>
  <c r="P376" i="7" l="1"/>
  <c r="K375" i="7"/>
  <c r="S376" i="7" s="1"/>
  <c r="Q376" i="7"/>
  <c r="O375" i="7"/>
  <c r="T376" i="7" s="1"/>
  <c r="G376" i="7" l="1"/>
  <c r="R376" i="7"/>
  <c r="L376" i="7" l="1"/>
  <c r="M376" i="7" s="1"/>
  <c r="N376" i="7" s="1"/>
  <c r="H376" i="7"/>
  <c r="I376" i="7" s="1"/>
  <c r="J376" i="7" s="1"/>
  <c r="P377" i="7" l="1"/>
  <c r="K376" i="7"/>
  <c r="S377" i="7" s="1"/>
  <c r="O376" i="7"/>
  <c r="T377" i="7" s="1"/>
  <c r="Q377" i="7"/>
  <c r="R377" i="7" l="1"/>
  <c r="G377" i="7"/>
  <c r="H377" i="7" l="1"/>
  <c r="I377" i="7" s="1"/>
  <c r="J377" i="7" s="1"/>
  <c r="L377" i="7"/>
  <c r="M377" i="7" s="1"/>
  <c r="N377" i="7" s="1"/>
  <c r="O377" i="7" l="1"/>
  <c r="T378" i="7" s="1"/>
  <c r="Q378" i="7"/>
  <c r="K377" i="7"/>
  <c r="S378" i="7" s="1"/>
  <c r="P378" i="7"/>
  <c r="R378" i="7" l="1"/>
  <c r="G378" i="7"/>
  <c r="H378" i="7" l="1"/>
  <c r="I378" i="7" s="1"/>
  <c r="J378" i="7" s="1"/>
  <c r="L378" i="7"/>
  <c r="M378" i="7" s="1"/>
  <c r="N378" i="7" s="1"/>
  <c r="Q379" i="7" l="1"/>
  <c r="O378" i="7"/>
  <c r="T379" i="7" s="1"/>
  <c r="K378" i="7"/>
  <c r="S379" i="7" s="1"/>
  <c r="P379" i="7"/>
  <c r="R379" i="7" l="1"/>
  <c r="G379" i="7"/>
  <c r="H379" i="7" l="1"/>
  <c r="I379" i="7" s="1"/>
  <c r="J379" i="7" s="1"/>
  <c r="L379" i="7"/>
  <c r="M379" i="7" s="1"/>
  <c r="N379" i="7" s="1"/>
  <c r="Q380" i="7" l="1"/>
  <c r="O379" i="7"/>
  <c r="T380" i="7" s="1"/>
  <c r="P380" i="7"/>
  <c r="K379" i="7"/>
  <c r="S380" i="7" s="1"/>
  <c r="R380" i="7" l="1"/>
  <c r="G380" i="7"/>
  <c r="L380" i="7" l="1"/>
  <c r="M380" i="7" s="1"/>
  <c r="N380" i="7" s="1"/>
  <c r="H380" i="7"/>
  <c r="I380" i="7" s="1"/>
  <c r="J380" i="7" s="1"/>
  <c r="P381" i="7" l="1"/>
  <c r="K380" i="7"/>
  <c r="S381" i="7" s="1"/>
  <c r="O380" i="7"/>
  <c r="T381" i="7" s="1"/>
  <c r="Q381" i="7"/>
  <c r="R381" i="7" l="1"/>
  <c r="G381" i="7"/>
  <c r="H381" i="7" l="1"/>
  <c r="I381" i="7" s="1"/>
  <c r="J381" i="7" s="1"/>
  <c r="L381" i="7"/>
  <c r="M381" i="7" s="1"/>
  <c r="N381" i="7" s="1"/>
  <c r="Q382" i="7" l="1"/>
  <c r="O381" i="7"/>
  <c r="T382" i="7" s="1"/>
  <c r="K381" i="7"/>
  <c r="S382" i="7" s="1"/>
  <c r="P382" i="7"/>
  <c r="G382" i="7" l="1"/>
  <c r="R382" i="7"/>
  <c r="L382" i="7" l="1"/>
  <c r="M382" i="7" s="1"/>
  <c r="N382" i="7" s="1"/>
  <c r="H382" i="7"/>
  <c r="I382" i="7" s="1"/>
  <c r="J382" i="7" s="1"/>
  <c r="P383" i="7" l="1"/>
  <c r="K382" i="7"/>
  <c r="S383" i="7" s="1"/>
  <c r="Q383" i="7"/>
  <c r="O382" i="7"/>
  <c r="T383" i="7" s="1"/>
  <c r="R383" i="7" l="1"/>
  <c r="G383" i="7"/>
  <c r="H383" i="7" l="1"/>
  <c r="I383" i="7" s="1"/>
  <c r="J383" i="7" s="1"/>
  <c r="L383" i="7"/>
  <c r="M383" i="7" s="1"/>
  <c r="N383" i="7" s="1"/>
  <c r="O383" i="7" l="1"/>
  <c r="T384" i="7" s="1"/>
  <c r="Q384" i="7"/>
  <c r="P384" i="7"/>
  <c r="K383" i="7"/>
  <c r="S384" i="7" s="1"/>
  <c r="G384" i="7" l="1"/>
  <c r="R384" i="7"/>
  <c r="L384" i="7" l="1"/>
  <c r="M384" i="7" s="1"/>
  <c r="N384" i="7" s="1"/>
  <c r="H384" i="7"/>
  <c r="I384" i="7" s="1"/>
  <c r="J384" i="7" s="1"/>
  <c r="K384" i="7" l="1"/>
  <c r="S385" i="7" s="1"/>
  <c r="P385" i="7"/>
  <c r="O384" i="7"/>
  <c r="T385" i="7" s="1"/>
  <c r="Q385" i="7"/>
  <c r="R385" i="7" l="1"/>
  <c r="G385" i="7"/>
  <c r="H385" i="7" l="1"/>
  <c r="I385" i="7" s="1"/>
  <c r="J385" i="7" s="1"/>
  <c r="L385" i="7"/>
  <c r="M385" i="7" s="1"/>
  <c r="N385" i="7" s="1"/>
  <c r="Q386" i="7" l="1"/>
  <c r="O385" i="7"/>
  <c r="T386" i="7" s="1"/>
  <c r="P386" i="7"/>
  <c r="K385" i="7"/>
  <c r="S386" i="7" s="1"/>
  <c r="R386" i="7" l="1"/>
  <c r="G386" i="7"/>
  <c r="L386" i="7" l="1"/>
  <c r="M386" i="7" s="1"/>
  <c r="N386" i="7" s="1"/>
  <c r="H386" i="7"/>
  <c r="I386" i="7" s="1"/>
  <c r="J386" i="7" s="1"/>
  <c r="K386" i="7" l="1"/>
  <c r="S387" i="7" s="1"/>
  <c r="P387" i="7"/>
  <c r="O386" i="7"/>
  <c r="T387" i="7" s="1"/>
  <c r="Q387" i="7"/>
  <c r="R387" i="7" l="1"/>
  <c r="G387" i="7"/>
  <c r="L387" i="7" l="1"/>
  <c r="M387" i="7" s="1"/>
  <c r="N387" i="7" s="1"/>
  <c r="H387" i="7"/>
  <c r="I387" i="7" s="1"/>
  <c r="J387" i="7" s="1"/>
  <c r="K387" i="7" l="1"/>
  <c r="S388" i="7" s="1"/>
  <c r="P388" i="7"/>
  <c r="O387" i="7"/>
  <c r="T388" i="7" s="1"/>
  <c r="Q388" i="7"/>
  <c r="G388" i="7" l="1"/>
  <c r="R388" i="7"/>
  <c r="L388" i="7" l="1"/>
  <c r="M388" i="7" s="1"/>
  <c r="N388" i="7" s="1"/>
  <c r="H388" i="7"/>
  <c r="I388" i="7" s="1"/>
  <c r="J388" i="7" s="1"/>
  <c r="P389" i="7" l="1"/>
  <c r="K388" i="7"/>
  <c r="S389" i="7" s="1"/>
  <c r="O388" i="7"/>
  <c r="T389" i="7" s="1"/>
  <c r="Q389" i="7"/>
  <c r="R389" i="7" l="1"/>
  <c r="G389" i="7"/>
  <c r="H389" i="7" l="1"/>
  <c r="I389" i="7" s="1"/>
  <c r="J389" i="7" s="1"/>
  <c r="L389" i="7"/>
  <c r="M389" i="7" s="1"/>
  <c r="N389" i="7" s="1"/>
  <c r="Q390" i="7" l="1"/>
  <c r="O389" i="7"/>
  <c r="T390" i="7" s="1"/>
  <c r="P390" i="7"/>
  <c r="K389" i="7"/>
  <c r="S390" i="7" s="1"/>
  <c r="G390" i="7" l="1"/>
  <c r="R390" i="7"/>
  <c r="H390" i="7" l="1"/>
  <c r="I390" i="7" s="1"/>
  <c r="J390" i="7" s="1"/>
  <c r="L390" i="7"/>
  <c r="M390" i="7" s="1"/>
  <c r="N390" i="7" s="1"/>
  <c r="O390" i="7" l="1"/>
  <c r="T391" i="7" s="1"/>
  <c r="Q391" i="7"/>
  <c r="P391" i="7"/>
  <c r="K390" i="7"/>
  <c r="S391" i="7" s="1"/>
  <c r="G391" i="7" l="1"/>
  <c r="R391" i="7"/>
  <c r="H391" i="7" l="1"/>
  <c r="I391" i="7" s="1"/>
  <c r="J391" i="7" s="1"/>
  <c r="L391" i="7"/>
  <c r="M391" i="7" s="1"/>
  <c r="N391" i="7" s="1"/>
  <c r="O391" i="7" l="1"/>
  <c r="T392" i="7" s="1"/>
  <c r="Q392" i="7"/>
  <c r="K391" i="7"/>
  <c r="S392" i="7" s="1"/>
  <c r="P392" i="7"/>
  <c r="G392" i="7" l="1"/>
  <c r="R392" i="7"/>
  <c r="H392" i="7" l="1"/>
  <c r="I392" i="7" s="1"/>
  <c r="J392" i="7" s="1"/>
  <c r="L392" i="7"/>
  <c r="M392" i="7" s="1"/>
  <c r="N392" i="7" s="1"/>
  <c r="Q393" i="7" l="1"/>
  <c r="O392" i="7"/>
  <c r="T393" i="7" s="1"/>
  <c r="K392" i="7"/>
  <c r="S393" i="7" s="1"/>
  <c r="P393" i="7"/>
  <c r="G393" i="7" l="1"/>
  <c r="R393" i="7"/>
  <c r="L393" i="7" l="1"/>
  <c r="M393" i="7" s="1"/>
  <c r="N393" i="7" s="1"/>
  <c r="H393" i="7"/>
  <c r="I393" i="7" s="1"/>
  <c r="J393" i="7" s="1"/>
  <c r="K393" i="7" l="1"/>
  <c r="S394" i="7" s="1"/>
  <c r="P394" i="7"/>
  <c r="Q394" i="7"/>
  <c r="O393" i="7"/>
  <c r="T394" i="7" s="1"/>
  <c r="R394" i="7" l="1"/>
  <c r="G394" i="7"/>
  <c r="L394" i="7" l="1"/>
  <c r="M394" i="7" s="1"/>
  <c r="N394" i="7" s="1"/>
  <c r="H394" i="7"/>
  <c r="I394" i="7" s="1"/>
  <c r="J394" i="7" s="1"/>
  <c r="K394" i="7" l="1"/>
  <c r="S395" i="7" s="1"/>
  <c r="P395" i="7"/>
  <c r="O394" i="7"/>
  <c r="T395" i="7" s="1"/>
  <c r="Q395" i="7"/>
  <c r="R395" i="7" l="1"/>
  <c r="G395" i="7"/>
  <c r="L395" i="7" l="1"/>
  <c r="M395" i="7" s="1"/>
  <c r="N395" i="7" s="1"/>
  <c r="H395" i="7"/>
  <c r="I395" i="7" s="1"/>
  <c r="J395" i="7" s="1"/>
  <c r="K395" i="7" l="1"/>
  <c r="S396" i="7" s="1"/>
  <c r="P396" i="7"/>
  <c r="O395" i="7"/>
  <c r="T396" i="7" s="1"/>
  <c r="Q396" i="7"/>
  <c r="R396" i="7" l="1"/>
  <c r="G396" i="7"/>
  <c r="L396" i="7" l="1"/>
  <c r="M396" i="7" s="1"/>
  <c r="N396" i="7" s="1"/>
  <c r="H396" i="7"/>
  <c r="I396" i="7" s="1"/>
  <c r="J396" i="7" s="1"/>
  <c r="P397" i="7" l="1"/>
  <c r="K396" i="7"/>
  <c r="S397" i="7" s="1"/>
  <c r="O396" i="7"/>
  <c r="T397" i="7" s="1"/>
  <c r="Q397" i="7"/>
  <c r="R397" i="7" l="1"/>
  <c r="G397" i="7"/>
  <c r="L397" i="7" l="1"/>
  <c r="M397" i="7" s="1"/>
  <c r="N397" i="7" s="1"/>
  <c r="H397" i="7"/>
  <c r="I397" i="7" s="1"/>
  <c r="J397" i="7" s="1"/>
  <c r="K397" i="7" l="1"/>
  <c r="S398" i="7" s="1"/>
  <c r="P398" i="7"/>
  <c r="Q398" i="7"/>
  <c r="O397" i="7"/>
  <c r="T398" i="7" s="1"/>
  <c r="G398" i="7" l="1"/>
  <c r="R398" i="7"/>
  <c r="H398" i="7" l="1"/>
  <c r="I398" i="7" s="1"/>
  <c r="J398" i="7" s="1"/>
  <c r="L398" i="7"/>
  <c r="M398" i="7" s="1"/>
  <c r="N398" i="7" s="1"/>
  <c r="O398" i="7" l="1"/>
  <c r="T399" i="7" s="1"/>
  <c r="Q399" i="7"/>
  <c r="P399" i="7"/>
  <c r="K398" i="7"/>
  <c r="S399" i="7" s="1"/>
  <c r="R399" i="7" l="1"/>
  <c r="G399" i="7"/>
  <c r="H399" i="7" l="1"/>
  <c r="I399" i="7" s="1"/>
  <c r="J399" i="7" s="1"/>
  <c r="L399" i="7"/>
  <c r="M399" i="7" s="1"/>
  <c r="N399" i="7" s="1"/>
  <c r="Q400" i="7" l="1"/>
  <c r="O399" i="7"/>
  <c r="T400" i="7" s="1"/>
  <c r="P400" i="7"/>
  <c r="K399" i="7"/>
  <c r="S400" i="7" s="1"/>
  <c r="R400" i="7" l="1"/>
  <c r="G400" i="7"/>
  <c r="L400" i="7" l="1"/>
  <c r="M400" i="7" s="1"/>
  <c r="N400" i="7" s="1"/>
  <c r="H400" i="7"/>
  <c r="I400" i="7" s="1"/>
  <c r="J400" i="7" s="1"/>
  <c r="P401" i="7" l="1"/>
  <c r="K400" i="7"/>
  <c r="S401" i="7" s="1"/>
  <c r="Q401" i="7"/>
  <c r="O400" i="7"/>
  <c r="T401" i="7" s="1"/>
  <c r="R401" i="7" l="1"/>
  <c r="G401" i="7"/>
  <c r="H401" i="7" l="1"/>
  <c r="I401" i="7" s="1"/>
  <c r="J401" i="7" s="1"/>
  <c r="L401" i="7"/>
  <c r="M401" i="7" s="1"/>
  <c r="N401" i="7" s="1"/>
  <c r="Q402" i="7" l="1"/>
  <c r="O401" i="7"/>
  <c r="T402" i="7" s="1"/>
  <c r="K401" i="7"/>
  <c r="S402" i="7" s="1"/>
  <c r="P402" i="7"/>
  <c r="R402" i="7" l="1"/>
  <c r="G402" i="7"/>
  <c r="L402" i="7" l="1"/>
  <c r="M402" i="7" s="1"/>
  <c r="N402" i="7" s="1"/>
  <c r="H402" i="7"/>
  <c r="I402" i="7" s="1"/>
  <c r="J402" i="7" s="1"/>
  <c r="P403" i="7" l="1"/>
  <c r="K402" i="7"/>
  <c r="S403" i="7" s="1"/>
  <c r="Q403" i="7"/>
  <c r="O402" i="7"/>
  <c r="T403" i="7" s="1"/>
  <c r="G403" i="7" l="1"/>
  <c r="R403" i="7"/>
  <c r="H403" i="7" l="1"/>
  <c r="I403" i="7" s="1"/>
  <c r="J403" i="7" s="1"/>
  <c r="L403" i="7"/>
  <c r="M403" i="7" s="1"/>
  <c r="N403" i="7" s="1"/>
  <c r="O403" i="7" l="1"/>
  <c r="T404" i="7" s="1"/>
  <c r="Q404" i="7"/>
  <c r="P404" i="7"/>
  <c r="K403" i="7"/>
  <c r="S404" i="7" s="1"/>
  <c r="G404" i="7" l="1"/>
  <c r="R404" i="7"/>
  <c r="L404" i="7" l="1"/>
  <c r="M404" i="7" s="1"/>
  <c r="N404" i="7" s="1"/>
  <c r="H404" i="7"/>
  <c r="I404" i="7" s="1"/>
  <c r="J404" i="7" s="1"/>
  <c r="P405" i="7" l="1"/>
  <c r="K404" i="7"/>
  <c r="S405" i="7" s="1"/>
  <c r="Q405" i="7"/>
  <c r="O404" i="7"/>
  <c r="T405" i="7" s="1"/>
  <c r="R405" i="7" l="1"/>
  <c r="G405" i="7"/>
  <c r="L405" i="7" l="1"/>
  <c r="M405" i="7" s="1"/>
  <c r="N405" i="7" s="1"/>
  <c r="H405" i="7"/>
  <c r="I405" i="7" s="1"/>
  <c r="J405" i="7" s="1"/>
  <c r="P406" i="7" l="1"/>
  <c r="K405" i="7"/>
  <c r="S406" i="7" s="1"/>
  <c r="O405" i="7"/>
  <c r="T406" i="7" s="1"/>
  <c r="Q406" i="7"/>
  <c r="G406" i="7" l="1"/>
  <c r="R406" i="7"/>
  <c r="L406" i="7" l="1"/>
  <c r="M406" i="7" s="1"/>
  <c r="N406" i="7" s="1"/>
  <c r="H406" i="7"/>
  <c r="I406" i="7" s="1"/>
  <c r="J406" i="7" s="1"/>
  <c r="P407" i="7" l="1"/>
  <c r="K406" i="7"/>
  <c r="S407" i="7" s="1"/>
  <c r="Q407" i="7"/>
  <c r="O406" i="7"/>
  <c r="T407" i="7" s="1"/>
  <c r="G407" i="7" l="1"/>
  <c r="R407" i="7"/>
  <c r="L407" i="7" l="1"/>
  <c r="M407" i="7" s="1"/>
  <c r="N407" i="7" s="1"/>
  <c r="H407" i="7"/>
  <c r="I407" i="7" s="1"/>
  <c r="J407" i="7" s="1"/>
  <c r="K407" i="7" l="1"/>
  <c r="S408" i="7" s="1"/>
  <c r="P408" i="7"/>
  <c r="Q408" i="7"/>
  <c r="O407" i="7"/>
  <c r="T408" i="7" s="1"/>
  <c r="G408" i="7" l="1"/>
  <c r="R408" i="7"/>
  <c r="H408" i="7" l="1"/>
  <c r="I408" i="7" s="1"/>
  <c r="J408" i="7" s="1"/>
  <c r="L408" i="7"/>
  <c r="M408" i="7" s="1"/>
  <c r="N408" i="7" s="1"/>
  <c r="Q409" i="7" l="1"/>
  <c r="O408" i="7"/>
  <c r="T409" i="7" s="1"/>
  <c r="P409" i="7"/>
  <c r="K408" i="7"/>
  <c r="S409" i="7" s="1"/>
  <c r="G409" i="7" l="1"/>
  <c r="R409" i="7"/>
  <c r="H409" i="7" l="1"/>
  <c r="I409" i="7" s="1"/>
  <c r="J409" i="7" s="1"/>
  <c r="L409" i="7"/>
  <c r="M409" i="7" s="1"/>
  <c r="N409" i="7" s="1"/>
  <c r="O409" i="7" l="1"/>
  <c r="T410" i="7" s="1"/>
  <c r="Q410" i="7"/>
  <c r="P410" i="7"/>
  <c r="K409" i="7"/>
  <c r="S410" i="7" s="1"/>
  <c r="R410" i="7" l="1"/>
  <c r="G410" i="7"/>
  <c r="H410" i="7" l="1"/>
  <c r="I410" i="7" s="1"/>
  <c r="J410" i="7" s="1"/>
  <c r="L410" i="7"/>
  <c r="M410" i="7" s="1"/>
  <c r="N410" i="7" s="1"/>
  <c r="Q411" i="7" l="1"/>
  <c r="O410" i="7"/>
  <c r="T411" i="7" s="1"/>
  <c r="P411" i="7"/>
  <c r="K410" i="7"/>
  <c r="S411" i="7" s="1"/>
  <c r="G411" i="7" l="1"/>
  <c r="R411" i="7"/>
  <c r="H411" i="7" l="1"/>
  <c r="I411" i="7" s="1"/>
  <c r="J411" i="7" s="1"/>
  <c r="L411" i="7"/>
  <c r="M411" i="7" s="1"/>
  <c r="N411" i="7" s="1"/>
  <c r="O411" i="7" l="1"/>
  <c r="T412" i="7" s="1"/>
  <c r="Q412" i="7"/>
  <c r="K411" i="7"/>
  <c r="S412" i="7" s="1"/>
  <c r="P412" i="7"/>
  <c r="R412" i="7" l="1"/>
  <c r="G412" i="7"/>
  <c r="H412" i="7" l="1"/>
  <c r="I412" i="7" s="1"/>
  <c r="J412" i="7" s="1"/>
  <c r="L412" i="7"/>
  <c r="M412" i="7" s="1"/>
  <c r="N412" i="7" s="1"/>
  <c r="Q413" i="7" l="1"/>
  <c r="O412" i="7"/>
  <c r="T413" i="7" s="1"/>
  <c r="K412" i="7"/>
  <c r="S413" i="7" s="1"/>
  <c r="P413" i="7"/>
  <c r="G413" i="7" l="1"/>
  <c r="R413" i="7"/>
  <c r="H413" i="7" l="1"/>
  <c r="I413" i="7" s="1"/>
  <c r="J413" i="7" s="1"/>
  <c r="L413" i="7"/>
  <c r="M413" i="7" s="1"/>
  <c r="N413" i="7" s="1"/>
  <c r="O413" i="7" l="1"/>
  <c r="T414" i="7" s="1"/>
  <c r="Q414" i="7"/>
  <c r="K413" i="7"/>
  <c r="S414" i="7" s="1"/>
  <c r="P414" i="7"/>
  <c r="G414" i="7" l="1"/>
  <c r="R414" i="7"/>
  <c r="L414" i="7" l="1"/>
  <c r="M414" i="7" s="1"/>
  <c r="N414" i="7" s="1"/>
  <c r="H414" i="7"/>
  <c r="I414" i="7" s="1"/>
  <c r="J414" i="7" s="1"/>
  <c r="P415" i="7" l="1"/>
  <c r="K414" i="7"/>
  <c r="S415" i="7" s="1"/>
  <c r="O414" i="7"/>
  <c r="T415" i="7" s="1"/>
  <c r="Q415" i="7"/>
  <c r="R415" i="7" l="1"/>
  <c r="G415" i="7"/>
  <c r="L415" i="7" l="1"/>
  <c r="M415" i="7" s="1"/>
  <c r="N415" i="7" s="1"/>
  <c r="H415" i="7"/>
  <c r="I415" i="7" s="1"/>
  <c r="J415" i="7" s="1"/>
  <c r="K415" i="7" l="1"/>
  <c r="S416" i="7" s="1"/>
  <c r="P416" i="7"/>
  <c r="O415" i="7"/>
  <c r="T416" i="7" s="1"/>
  <c r="Q416" i="7"/>
  <c r="R416" i="7" l="1"/>
  <c r="G416" i="7"/>
  <c r="H416" i="7" l="1"/>
  <c r="I416" i="7" s="1"/>
  <c r="J416" i="7" s="1"/>
  <c r="L416" i="7"/>
  <c r="M416" i="7" s="1"/>
  <c r="N416" i="7" s="1"/>
  <c r="O416" i="7" l="1"/>
  <c r="T417" i="7" s="1"/>
  <c r="Q417" i="7"/>
  <c r="P417" i="7"/>
  <c r="K416" i="7"/>
  <c r="S417" i="7" s="1"/>
  <c r="G417" i="7" l="1"/>
  <c r="R417" i="7"/>
  <c r="L417" i="7" l="1"/>
  <c r="M417" i="7" s="1"/>
  <c r="N417" i="7" s="1"/>
  <c r="H417" i="7"/>
  <c r="I417" i="7" s="1"/>
  <c r="J417" i="7" s="1"/>
  <c r="P418" i="7" l="1"/>
  <c r="K417" i="7"/>
  <c r="S418" i="7" s="1"/>
  <c r="O417" i="7"/>
  <c r="T418" i="7" s="1"/>
  <c r="Q418" i="7"/>
  <c r="R418" i="7" l="1"/>
  <c r="G418" i="7"/>
  <c r="L418" i="7" l="1"/>
  <c r="M418" i="7" s="1"/>
  <c r="N418" i="7" s="1"/>
  <c r="H418" i="7"/>
  <c r="I418" i="7" s="1"/>
  <c r="J418" i="7" s="1"/>
  <c r="P419" i="7" l="1"/>
  <c r="K418" i="7"/>
  <c r="S419" i="7" s="1"/>
  <c r="O418" i="7"/>
  <c r="T419" i="7" s="1"/>
  <c r="Q419" i="7"/>
  <c r="G419" i="7" l="1"/>
  <c r="R419" i="7"/>
  <c r="L419" i="7" l="1"/>
  <c r="M419" i="7" s="1"/>
  <c r="N419" i="7" s="1"/>
  <c r="H419" i="7"/>
  <c r="I419" i="7" s="1"/>
  <c r="J419" i="7" s="1"/>
  <c r="P420" i="7" l="1"/>
  <c r="K419" i="7"/>
  <c r="S420" i="7" s="1"/>
  <c r="O419" i="7"/>
  <c r="T420" i="7" s="1"/>
  <c r="Q420" i="7"/>
  <c r="R420" i="7" l="1"/>
  <c r="G420" i="7"/>
  <c r="L420" i="7" l="1"/>
  <c r="M420" i="7" s="1"/>
  <c r="N420" i="7" s="1"/>
  <c r="H420" i="7"/>
  <c r="I420" i="7" s="1"/>
  <c r="J420" i="7" s="1"/>
  <c r="K420" i="7" l="1"/>
  <c r="S421" i="7" s="1"/>
  <c r="P421" i="7"/>
  <c r="O420" i="7"/>
  <c r="T421" i="7" s="1"/>
  <c r="Q421" i="7"/>
  <c r="R421" i="7" l="1"/>
  <c r="G421" i="7"/>
  <c r="H421" i="7" l="1"/>
  <c r="I421" i="7" s="1"/>
  <c r="J421" i="7" s="1"/>
  <c r="L421" i="7"/>
  <c r="M421" i="7" s="1"/>
  <c r="N421" i="7" s="1"/>
  <c r="Q422" i="7" l="1"/>
  <c r="O421" i="7"/>
  <c r="T422" i="7" s="1"/>
  <c r="P422" i="7"/>
  <c r="K421" i="7"/>
  <c r="S422" i="7" s="1"/>
  <c r="R422" i="7" l="1"/>
  <c r="G422" i="7"/>
  <c r="L422" i="7" l="1"/>
  <c r="M422" i="7" s="1"/>
  <c r="N422" i="7" s="1"/>
  <c r="H422" i="7"/>
  <c r="I422" i="7" s="1"/>
  <c r="J422" i="7" s="1"/>
  <c r="K422" i="7" l="1"/>
  <c r="S423" i="7" s="1"/>
  <c r="P423" i="7"/>
  <c r="Q423" i="7"/>
  <c r="O422" i="7"/>
  <c r="T423" i="7" s="1"/>
  <c r="R423" i="7" l="1"/>
  <c r="G423" i="7"/>
  <c r="H423" i="7" l="1"/>
  <c r="I423" i="7" s="1"/>
  <c r="J423" i="7" s="1"/>
  <c r="L423" i="7"/>
  <c r="M423" i="7" s="1"/>
  <c r="N423" i="7" s="1"/>
  <c r="O423" i="7" l="1"/>
  <c r="T424" i="7" s="1"/>
  <c r="Q424" i="7"/>
  <c r="K423" i="7"/>
  <c r="S424" i="7" s="1"/>
  <c r="P424" i="7"/>
  <c r="G424" i="7" l="1"/>
  <c r="R424" i="7"/>
  <c r="L424" i="7" l="1"/>
  <c r="M424" i="7" s="1"/>
  <c r="N424" i="7" s="1"/>
  <c r="H424" i="7"/>
  <c r="I424" i="7" s="1"/>
  <c r="J424" i="7" s="1"/>
  <c r="P425" i="7" l="1"/>
  <c r="K424" i="7"/>
  <c r="S425" i="7" s="1"/>
  <c r="Q425" i="7"/>
  <c r="O424" i="7"/>
  <c r="T425" i="7" s="1"/>
  <c r="G425" i="7" l="1"/>
  <c r="R425" i="7"/>
  <c r="H425" i="7" l="1"/>
  <c r="I425" i="7" s="1"/>
  <c r="J425" i="7" s="1"/>
  <c r="L425" i="7"/>
  <c r="M425" i="7" s="1"/>
  <c r="N425" i="7" s="1"/>
  <c r="O425" i="7" l="1"/>
  <c r="T426" i="7" s="1"/>
  <c r="Q426" i="7"/>
  <c r="K425" i="7"/>
  <c r="S426" i="7" s="1"/>
  <c r="P426" i="7"/>
  <c r="R426" i="7" l="1"/>
  <c r="G426" i="7"/>
  <c r="H426" i="7" l="1"/>
  <c r="I426" i="7" s="1"/>
  <c r="J426" i="7" s="1"/>
  <c r="L426" i="7"/>
  <c r="M426" i="7" s="1"/>
  <c r="N426" i="7" s="1"/>
  <c r="O426" i="7" l="1"/>
  <c r="T427" i="7" s="1"/>
  <c r="Q427" i="7"/>
  <c r="K426" i="7"/>
  <c r="S427" i="7" s="1"/>
  <c r="P427" i="7"/>
  <c r="R427" i="7" l="1"/>
  <c r="G427" i="7"/>
  <c r="L427" i="7" l="1"/>
  <c r="M427" i="7" s="1"/>
  <c r="N427" i="7" s="1"/>
  <c r="H427" i="7"/>
  <c r="I427" i="7" s="1"/>
  <c r="J427" i="7" s="1"/>
  <c r="K427" i="7" l="1"/>
  <c r="S428" i="7" s="1"/>
  <c r="P428" i="7"/>
  <c r="Q428" i="7"/>
  <c r="O427" i="7"/>
  <c r="T428" i="7" s="1"/>
  <c r="G428" i="7" l="1"/>
  <c r="R428" i="7"/>
  <c r="H428" i="7" l="1"/>
  <c r="I428" i="7" s="1"/>
  <c r="J428" i="7" s="1"/>
  <c r="L428" i="7"/>
  <c r="M428" i="7" s="1"/>
  <c r="N428" i="7" s="1"/>
  <c r="Q429" i="7" l="1"/>
  <c r="O428" i="7"/>
  <c r="T429" i="7" s="1"/>
  <c r="P429" i="7"/>
  <c r="K428" i="7"/>
  <c r="S429" i="7" s="1"/>
  <c r="R429" i="7" l="1"/>
  <c r="G429" i="7"/>
  <c r="L429" i="7" l="1"/>
  <c r="M429" i="7" s="1"/>
  <c r="N429" i="7" s="1"/>
  <c r="H429" i="7"/>
  <c r="I429" i="7" s="1"/>
  <c r="J429" i="7" s="1"/>
  <c r="P430" i="7" l="1"/>
  <c r="K429" i="7"/>
  <c r="S430" i="7" s="1"/>
  <c r="O429" i="7"/>
  <c r="T430" i="7" s="1"/>
  <c r="Q430" i="7"/>
  <c r="G430" i="7" l="1"/>
  <c r="R430" i="7"/>
  <c r="L430" i="7" l="1"/>
  <c r="M430" i="7" s="1"/>
  <c r="N430" i="7" s="1"/>
  <c r="H430" i="7"/>
  <c r="I430" i="7" s="1"/>
  <c r="J430" i="7" s="1"/>
  <c r="P431" i="7" l="1"/>
  <c r="K430" i="7"/>
  <c r="S431" i="7" s="1"/>
  <c r="Q431" i="7"/>
  <c r="O430" i="7"/>
  <c r="T431" i="7" s="1"/>
  <c r="G431" i="7" l="1"/>
  <c r="R431" i="7"/>
  <c r="H431" i="7" l="1"/>
  <c r="I431" i="7" s="1"/>
  <c r="J431" i="7" s="1"/>
  <c r="L431" i="7"/>
  <c r="M431" i="7" s="1"/>
  <c r="N431" i="7" s="1"/>
  <c r="Q432" i="7" l="1"/>
  <c r="O431" i="7"/>
  <c r="T432" i="7" s="1"/>
  <c r="P432" i="7"/>
  <c r="K431" i="7"/>
  <c r="S432" i="7" s="1"/>
  <c r="R432" i="7" l="1"/>
  <c r="G432" i="7"/>
  <c r="L432" i="7" l="1"/>
  <c r="M432" i="7" s="1"/>
  <c r="N432" i="7" s="1"/>
  <c r="H432" i="7"/>
  <c r="I432" i="7" s="1"/>
  <c r="J432" i="7" s="1"/>
  <c r="K432" i="7" l="1"/>
  <c r="S433" i="7" s="1"/>
  <c r="P433" i="7"/>
  <c r="O432" i="7"/>
  <c r="T433" i="7" s="1"/>
  <c r="Q433" i="7"/>
  <c r="R433" i="7" l="1"/>
  <c r="G433" i="7"/>
  <c r="L433" i="7" l="1"/>
  <c r="M433" i="7" s="1"/>
  <c r="N433" i="7" s="1"/>
  <c r="H433" i="7"/>
  <c r="I433" i="7" s="1"/>
  <c r="J433" i="7" s="1"/>
  <c r="P434" i="7" l="1"/>
  <c r="K433" i="7"/>
  <c r="S434" i="7" s="1"/>
  <c r="Q434" i="7"/>
  <c r="O433" i="7"/>
  <c r="T434" i="7" s="1"/>
  <c r="R434" i="7" l="1"/>
  <c r="G434" i="7"/>
  <c r="L434" i="7" l="1"/>
  <c r="M434" i="7" s="1"/>
  <c r="N434" i="7" s="1"/>
  <c r="H434" i="7"/>
  <c r="I434" i="7" s="1"/>
  <c r="J434" i="7" s="1"/>
  <c r="K434" i="7" l="1"/>
  <c r="S435" i="7" s="1"/>
  <c r="P435" i="7"/>
  <c r="O434" i="7"/>
  <c r="T435" i="7" s="1"/>
  <c r="Q435" i="7"/>
  <c r="G435" i="7" l="1"/>
  <c r="R435" i="7"/>
  <c r="L435" i="7" l="1"/>
  <c r="M435" i="7" s="1"/>
  <c r="N435" i="7" s="1"/>
  <c r="H435" i="7"/>
  <c r="I435" i="7" s="1"/>
  <c r="J435" i="7" s="1"/>
  <c r="K435" i="7" l="1"/>
  <c r="S436" i="7" s="1"/>
  <c r="P436" i="7"/>
  <c r="O435" i="7"/>
  <c r="T436" i="7" s="1"/>
  <c r="Q436" i="7"/>
  <c r="R436" i="7" l="1"/>
  <c r="G436" i="7"/>
  <c r="L436" i="7" l="1"/>
  <c r="M436" i="7" s="1"/>
  <c r="N436" i="7" s="1"/>
  <c r="H436" i="7"/>
  <c r="I436" i="7" s="1"/>
  <c r="J436" i="7" s="1"/>
  <c r="P437" i="7" l="1"/>
  <c r="K436" i="7"/>
  <c r="S437" i="7" s="1"/>
  <c r="O436" i="7"/>
  <c r="T437" i="7" s="1"/>
  <c r="Q437" i="7"/>
  <c r="G437" i="7" l="1"/>
  <c r="R437" i="7"/>
  <c r="L437" i="7" l="1"/>
  <c r="M437" i="7" s="1"/>
  <c r="N437" i="7" s="1"/>
  <c r="H437" i="7"/>
  <c r="I437" i="7" s="1"/>
  <c r="J437" i="7" s="1"/>
  <c r="P438" i="7" l="1"/>
  <c r="K437" i="7"/>
  <c r="S438" i="7" s="1"/>
  <c r="O437" i="7"/>
  <c r="T438" i="7" s="1"/>
  <c r="Q438" i="7"/>
  <c r="G438" i="7" l="1"/>
  <c r="R438" i="7"/>
  <c r="H438" i="7" l="1"/>
  <c r="I438" i="7" s="1"/>
  <c r="J438" i="7" s="1"/>
  <c r="L438" i="7"/>
  <c r="M438" i="7" s="1"/>
  <c r="N438" i="7" s="1"/>
  <c r="O438" i="7" l="1"/>
  <c r="T439" i="7" s="1"/>
  <c r="Q439" i="7"/>
  <c r="P439" i="7"/>
  <c r="K438" i="7"/>
  <c r="S439" i="7" s="1"/>
  <c r="R439" i="7" l="1"/>
  <c r="G439" i="7"/>
  <c r="H439" i="7" l="1"/>
  <c r="I439" i="7" s="1"/>
  <c r="J439" i="7" s="1"/>
  <c r="L439" i="7"/>
  <c r="M439" i="7" s="1"/>
  <c r="N439" i="7" s="1"/>
  <c r="Q440" i="7" l="1"/>
  <c r="O439" i="7"/>
  <c r="T440" i="7" s="1"/>
  <c r="P440" i="7"/>
  <c r="K439" i="7"/>
  <c r="S440" i="7" s="1"/>
  <c r="G440" i="7" l="1"/>
  <c r="R440" i="7"/>
  <c r="L440" i="7" l="1"/>
  <c r="M440" i="7" s="1"/>
  <c r="N440" i="7" s="1"/>
  <c r="H440" i="7"/>
  <c r="I440" i="7" s="1"/>
  <c r="J440" i="7" s="1"/>
  <c r="K440" i="7" l="1"/>
  <c r="S441" i="7" s="1"/>
  <c r="P441" i="7"/>
  <c r="O440" i="7"/>
  <c r="T441" i="7" s="1"/>
  <c r="Q441" i="7"/>
  <c r="G441" i="7" l="1"/>
  <c r="R441" i="7"/>
  <c r="L441" i="7" l="1"/>
  <c r="M441" i="7" s="1"/>
  <c r="N441" i="7" s="1"/>
  <c r="H441" i="7"/>
  <c r="I441" i="7" s="1"/>
  <c r="J441" i="7" s="1"/>
  <c r="K441" i="7" l="1"/>
  <c r="S442" i="7" s="1"/>
  <c r="P442" i="7"/>
  <c r="Q442" i="7"/>
  <c r="O441" i="7"/>
  <c r="T442" i="7" s="1"/>
  <c r="G442" i="7" l="1"/>
  <c r="R442" i="7"/>
  <c r="L442" i="7" l="1"/>
  <c r="M442" i="7" s="1"/>
  <c r="N442" i="7" s="1"/>
  <c r="H442" i="7"/>
  <c r="I442" i="7" s="1"/>
  <c r="J442" i="7" s="1"/>
  <c r="K442" i="7" l="1"/>
  <c r="S443" i="7" s="1"/>
  <c r="P443" i="7"/>
  <c r="Q443" i="7"/>
  <c r="O442" i="7"/>
  <c r="T443" i="7" s="1"/>
  <c r="R443" i="7" l="1"/>
  <c r="G443" i="7"/>
  <c r="H443" i="7" l="1"/>
  <c r="I443" i="7" s="1"/>
  <c r="J443" i="7" s="1"/>
  <c r="L443" i="7"/>
  <c r="M443" i="7" s="1"/>
  <c r="N443" i="7" s="1"/>
  <c r="O443" i="7" l="1"/>
  <c r="T444" i="7" s="1"/>
  <c r="Q444" i="7"/>
  <c r="P444" i="7"/>
  <c r="K443" i="7"/>
  <c r="S444" i="7" s="1"/>
  <c r="G444" i="7" l="1"/>
  <c r="R444" i="7"/>
  <c r="H444" i="7" l="1"/>
  <c r="I444" i="7" s="1"/>
  <c r="J444" i="7" s="1"/>
  <c r="L444" i="7"/>
  <c r="M444" i="7" s="1"/>
  <c r="N444" i="7" s="1"/>
  <c r="O444" i="7" l="1"/>
  <c r="T445" i="7" s="1"/>
  <c r="Q445" i="7"/>
  <c r="K444" i="7"/>
  <c r="S445" i="7" s="1"/>
  <c r="P445" i="7"/>
  <c r="G445" i="7" l="1"/>
  <c r="R445" i="7"/>
  <c r="H445" i="7" l="1"/>
  <c r="I445" i="7" s="1"/>
  <c r="J445" i="7" s="1"/>
  <c r="L445" i="7"/>
  <c r="M445" i="7" s="1"/>
  <c r="N445" i="7" s="1"/>
  <c r="Q446" i="7" l="1"/>
  <c r="O445" i="7"/>
  <c r="T446" i="7" s="1"/>
  <c r="P446" i="7"/>
  <c r="K445" i="7"/>
  <c r="S446" i="7" s="1"/>
  <c r="G446" i="7" l="1"/>
  <c r="R446" i="7"/>
  <c r="H446" i="7" l="1"/>
  <c r="I446" i="7" s="1"/>
  <c r="J446" i="7" s="1"/>
  <c r="L446" i="7"/>
  <c r="M446" i="7" s="1"/>
  <c r="N446" i="7" s="1"/>
  <c r="Q447" i="7" l="1"/>
  <c r="O446" i="7"/>
  <c r="T447" i="7" s="1"/>
  <c r="P447" i="7"/>
  <c r="K446" i="7"/>
  <c r="S447" i="7" s="1"/>
  <c r="G447" i="7" l="1"/>
  <c r="R447" i="7"/>
  <c r="H447" i="7" l="1"/>
  <c r="I447" i="7" s="1"/>
  <c r="J447" i="7" s="1"/>
  <c r="L447" i="7"/>
  <c r="M447" i="7" s="1"/>
  <c r="N447" i="7" s="1"/>
  <c r="Q448" i="7" l="1"/>
  <c r="O447" i="7"/>
  <c r="T448" i="7" s="1"/>
  <c r="K447" i="7"/>
  <c r="S448" i="7" s="1"/>
  <c r="P448" i="7"/>
  <c r="R448" i="7" l="1"/>
  <c r="G448" i="7"/>
  <c r="H448" i="7" l="1"/>
  <c r="I448" i="7" s="1"/>
  <c r="J448" i="7" s="1"/>
  <c r="L448" i="7"/>
  <c r="M448" i="7" s="1"/>
  <c r="N448" i="7" s="1"/>
  <c r="O448" i="7" l="1"/>
  <c r="T449" i="7" s="1"/>
  <c r="Q449" i="7"/>
  <c r="K448" i="7"/>
  <c r="S449" i="7" s="1"/>
  <c r="P449" i="7"/>
  <c r="G449" i="7" l="1"/>
  <c r="R449" i="7"/>
  <c r="H449" i="7" l="1"/>
  <c r="I449" i="7" s="1"/>
  <c r="J449" i="7" s="1"/>
  <c r="L449" i="7"/>
  <c r="M449" i="7" s="1"/>
  <c r="N449" i="7" s="1"/>
  <c r="Q450" i="7" l="1"/>
  <c r="O449" i="7"/>
  <c r="T450" i="7" s="1"/>
  <c r="K449" i="7"/>
  <c r="S450" i="7" s="1"/>
  <c r="P450" i="7"/>
  <c r="G450" i="7" l="1"/>
  <c r="R450" i="7"/>
  <c r="H450" i="7" l="1"/>
  <c r="I450" i="7" s="1"/>
  <c r="J450" i="7" s="1"/>
  <c r="L450" i="7"/>
  <c r="M450" i="7" s="1"/>
  <c r="N450" i="7" s="1"/>
  <c r="O450" i="7" l="1"/>
  <c r="T451" i="7" s="1"/>
  <c r="Q451" i="7"/>
  <c r="P451" i="7"/>
  <c r="K450" i="7"/>
  <c r="S451" i="7" s="1"/>
  <c r="R451" i="7" l="1"/>
  <c r="G451" i="7"/>
  <c r="H451" i="7" l="1"/>
  <c r="I451" i="7" s="1"/>
  <c r="J451" i="7" s="1"/>
  <c r="L451" i="7"/>
  <c r="M451" i="7" s="1"/>
  <c r="N451" i="7" s="1"/>
  <c r="O451" i="7" l="1"/>
  <c r="T452" i="7" s="1"/>
  <c r="Q452" i="7"/>
  <c r="K451" i="7"/>
  <c r="S452" i="7" s="1"/>
  <c r="P452" i="7"/>
  <c r="R452" i="7" l="1"/>
  <c r="G452" i="7"/>
  <c r="H452" i="7" l="1"/>
  <c r="I452" i="7" s="1"/>
  <c r="J452" i="7" s="1"/>
  <c r="L452" i="7"/>
  <c r="M452" i="7" s="1"/>
  <c r="N452" i="7" s="1"/>
  <c r="O452" i="7" l="1"/>
  <c r="T453" i="7" s="1"/>
  <c r="Q453" i="7"/>
  <c r="K452" i="7"/>
  <c r="S453" i="7" s="1"/>
  <c r="P453" i="7"/>
  <c r="G453" i="7" l="1"/>
  <c r="R453" i="7"/>
  <c r="L453" i="7" l="1"/>
  <c r="M453" i="7" s="1"/>
  <c r="N453" i="7" s="1"/>
  <c r="H453" i="7"/>
  <c r="I453" i="7" s="1"/>
  <c r="J453" i="7" s="1"/>
  <c r="K453" i="7" l="1"/>
  <c r="S454" i="7" s="1"/>
  <c r="P454" i="7"/>
  <c r="O453" i="7"/>
  <c r="T454" i="7" s="1"/>
  <c r="Q454" i="7"/>
  <c r="R454" i="7" l="1"/>
  <c r="G454" i="7"/>
  <c r="L454" i="7" l="1"/>
  <c r="M454" i="7" s="1"/>
  <c r="N454" i="7" s="1"/>
  <c r="H454" i="7"/>
  <c r="I454" i="7" s="1"/>
  <c r="J454" i="7" s="1"/>
  <c r="K454" i="7" l="1"/>
  <c r="S455" i="7" s="1"/>
  <c r="P455" i="7"/>
  <c r="Q455" i="7"/>
  <c r="O454" i="7"/>
  <c r="T455" i="7" s="1"/>
  <c r="R455" i="7" l="1"/>
  <c r="G455" i="7"/>
  <c r="L455" i="7" l="1"/>
  <c r="M455" i="7" s="1"/>
  <c r="N455" i="7" s="1"/>
  <c r="H455" i="7"/>
  <c r="I455" i="7" s="1"/>
  <c r="J455" i="7" s="1"/>
  <c r="K455" i="7" l="1"/>
  <c r="S456" i="7" s="1"/>
  <c r="P456" i="7"/>
  <c r="Q456" i="7"/>
  <c r="O455" i="7"/>
  <c r="T456" i="7" s="1"/>
  <c r="G456" i="7" l="1"/>
  <c r="R456" i="7"/>
  <c r="L456" i="7" l="1"/>
  <c r="M456" i="7" s="1"/>
  <c r="N456" i="7" s="1"/>
  <c r="H456" i="7"/>
  <c r="I456" i="7" s="1"/>
  <c r="J456" i="7" s="1"/>
  <c r="K456" i="7" l="1"/>
  <c r="S457" i="7" s="1"/>
  <c r="P457" i="7"/>
  <c r="Q457" i="7"/>
  <c r="O456" i="7"/>
  <c r="T457" i="7" s="1"/>
  <c r="G457" i="7" l="1"/>
  <c r="R457" i="7"/>
  <c r="H457" i="7" l="1"/>
  <c r="I457" i="7" s="1"/>
  <c r="J457" i="7" s="1"/>
  <c r="L457" i="7"/>
  <c r="M457" i="7" s="1"/>
  <c r="N457" i="7" s="1"/>
  <c r="O457" i="7" l="1"/>
  <c r="T458" i="7" s="1"/>
  <c r="Q458" i="7"/>
  <c r="K457" i="7"/>
  <c r="S458" i="7" s="1"/>
  <c r="P458" i="7"/>
  <c r="G458" i="7" l="1"/>
  <c r="R458" i="7"/>
  <c r="L458" i="7" l="1"/>
  <c r="M458" i="7" s="1"/>
  <c r="N458" i="7" s="1"/>
  <c r="H458" i="7"/>
  <c r="I458" i="7" s="1"/>
  <c r="J458" i="7" s="1"/>
  <c r="P459" i="7" l="1"/>
  <c r="K458" i="7"/>
  <c r="S459" i="7" s="1"/>
  <c r="Q459" i="7"/>
  <c r="O458" i="7"/>
  <c r="T459" i="7" s="1"/>
  <c r="G459" i="7" l="1"/>
  <c r="R459" i="7"/>
  <c r="H459" i="7" l="1"/>
  <c r="I459" i="7" s="1"/>
  <c r="J459" i="7" s="1"/>
  <c r="L459" i="7"/>
  <c r="M459" i="7" s="1"/>
  <c r="N459" i="7" s="1"/>
  <c r="Q460" i="7" l="1"/>
  <c r="O459" i="7"/>
  <c r="T460" i="7" s="1"/>
  <c r="K459" i="7"/>
  <c r="S460" i="7" s="1"/>
  <c r="P460" i="7"/>
  <c r="G460" i="7" l="1"/>
  <c r="R460" i="7"/>
  <c r="H460" i="7" l="1"/>
  <c r="I460" i="7" s="1"/>
  <c r="J460" i="7" s="1"/>
  <c r="L460" i="7"/>
  <c r="M460" i="7" s="1"/>
  <c r="N460" i="7" s="1"/>
  <c r="Q461" i="7" l="1"/>
  <c r="O460" i="7"/>
  <c r="T461" i="7" s="1"/>
  <c r="P461" i="7"/>
  <c r="K460" i="7"/>
  <c r="S461" i="7" s="1"/>
  <c r="R461" i="7" l="1"/>
  <c r="G461" i="7"/>
  <c r="L461" i="7" l="1"/>
  <c r="M461" i="7" s="1"/>
  <c r="N461" i="7" s="1"/>
  <c r="H461" i="7"/>
  <c r="I461" i="7" s="1"/>
  <c r="J461" i="7" s="1"/>
  <c r="K461" i="7" l="1"/>
  <c r="S462" i="7" s="1"/>
  <c r="P462" i="7"/>
  <c r="Q462" i="7"/>
  <c r="O461" i="7"/>
  <c r="T462" i="7" s="1"/>
  <c r="G462" i="7" l="1"/>
  <c r="R462" i="7"/>
  <c r="L462" i="7" l="1"/>
  <c r="M462" i="7" s="1"/>
  <c r="N462" i="7" s="1"/>
  <c r="H462" i="7"/>
  <c r="I462" i="7" s="1"/>
  <c r="J462" i="7" s="1"/>
  <c r="P463" i="7" l="1"/>
  <c r="K462" i="7"/>
  <c r="S463" i="7" s="1"/>
  <c r="O462" i="7"/>
  <c r="T463" i="7" s="1"/>
  <c r="Q463" i="7"/>
  <c r="R463" i="7" l="1"/>
  <c r="G463" i="7"/>
  <c r="L463" i="7" l="1"/>
  <c r="M463" i="7" s="1"/>
  <c r="N463" i="7" s="1"/>
  <c r="H463" i="7"/>
  <c r="I463" i="7" s="1"/>
  <c r="J463" i="7" s="1"/>
  <c r="P464" i="7" l="1"/>
  <c r="K463" i="7"/>
  <c r="S464" i="7" s="1"/>
  <c r="O463" i="7"/>
  <c r="T464" i="7" s="1"/>
  <c r="Q464" i="7"/>
  <c r="G464" i="7" l="1"/>
  <c r="R464" i="7"/>
  <c r="H464" i="7" l="1"/>
  <c r="I464" i="7" s="1"/>
  <c r="J464" i="7" s="1"/>
  <c r="L464" i="7"/>
  <c r="M464" i="7" s="1"/>
  <c r="N464" i="7" s="1"/>
  <c r="O464" i="7" l="1"/>
  <c r="T465" i="7" s="1"/>
  <c r="Q465" i="7"/>
  <c r="P465" i="7"/>
  <c r="K464" i="7"/>
  <c r="S465" i="7" s="1"/>
  <c r="R465" i="7" l="1"/>
  <c r="G465" i="7"/>
  <c r="L465" i="7" l="1"/>
  <c r="M465" i="7" s="1"/>
  <c r="N465" i="7" s="1"/>
  <c r="H465" i="7"/>
  <c r="I465" i="7" s="1"/>
  <c r="J465" i="7" s="1"/>
  <c r="K465" i="7" l="1"/>
  <c r="S466" i="7" s="1"/>
  <c r="P466" i="7"/>
  <c r="Q466" i="7"/>
  <c r="O465" i="7"/>
  <c r="T466" i="7" s="1"/>
  <c r="G466" i="7" l="1"/>
  <c r="R466" i="7"/>
  <c r="L466" i="7" l="1"/>
  <c r="M466" i="7" s="1"/>
  <c r="N466" i="7" s="1"/>
  <c r="H466" i="7"/>
  <c r="I466" i="7" s="1"/>
  <c r="J466" i="7" s="1"/>
  <c r="P467" i="7" l="1"/>
  <c r="K466" i="7"/>
  <c r="S467" i="7" s="1"/>
  <c r="O466" i="7"/>
  <c r="T467" i="7" s="1"/>
  <c r="Q467" i="7"/>
  <c r="R467" i="7" l="1"/>
  <c r="G467" i="7"/>
  <c r="H467" i="7" l="1"/>
  <c r="I467" i="7" s="1"/>
  <c r="J467" i="7" s="1"/>
  <c r="L467" i="7"/>
  <c r="M467" i="7" s="1"/>
  <c r="N467" i="7" s="1"/>
  <c r="Q468" i="7" l="1"/>
  <c r="O467" i="7"/>
  <c r="T468" i="7" s="1"/>
  <c r="P468" i="7"/>
  <c r="K467" i="7"/>
  <c r="S468" i="7" s="1"/>
  <c r="R468" i="7" l="1"/>
  <c r="G468" i="7"/>
  <c r="L468" i="7" l="1"/>
  <c r="M468" i="7" s="1"/>
  <c r="N468" i="7" s="1"/>
  <c r="H468" i="7"/>
  <c r="I468" i="7" s="1"/>
  <c r="J468" i="7" s="1"/>
  <c r="P469" i="7" l="1"/>
  <c r="K468" i="7"/>
  <c r="S469" i="7" s="1"/>
  <c r="O468" i="7"/>
  <c r="T469" i="7" s="1"/>
  <c r="Q469" i="7"/>
  <c r="R469" i="7" l="1"/>
  <c r="G469" i="7"/>
  <c r="L469" i="7" l="1"/>
  <c r="M469" i="7" s="1"/>
  <c r="N469" i="7" s="1"/>
  <c r="H469" i="7"/>
  <c r="I469" i="7" s="1"/>
  <c r="J469" i="7" s="1"/>
  <c r="P470" i="7" l="1"/>
  <c r="K469" i="7"/>
  <c r="S470" i="7" s="1"/>
  <c r="O469" i="7"/>
  <c r="T470" i="7" s="1"/>
  <c r="Q470" i="7"/>
  <c r="R470" i="7" l="1"/>
  <c r="G470" i="7"/>
  <c r="H470" i="7" l="1"/>
  <c r="I470" i="7" s="1"/>
  <c r="J470" i="7" s="1"/>
  <c r="L470" i="7"/>
  <c r="M470" i="7" s="1"/>
  <c r="N470" i="7" s="1"/>
  <c r="Q471" i="7" l="1"/>
  <c r="O470" i="7"/>
  <c r="T471" i="7" s="1"/>
  <c r="K470" i="7"/>
  <c r="S471" i="7" s="1"/>
  <c r="P471" i="7"/>
  <c r="R471" i="7" l="1"/>
  <c r="G471" i="7"/>
  <c r="L471" i="7" l="1"/>
  <c r="M471" i="7" s="1"/>
  <c r="N471" i="7" s="1"/>
  <c r="H471" i="7"/>
  <c r="I471" i="7" s="1"/>
  <c r="J471" i="7" s="1"/>
  <c r="P472" i="7" l="1"/>
  <c r="K471" i="7"/>
  <c r="S472" i="7" s="1"/>
  <c r="Q472" i="7"/>
  <c r="O471" i="7"/>
  <c r="T472" i="7" s="1"/>
  <c r="R472" i="7" l="1"/>
  <c r="G472" i="7"/>
  <c r="L472" i="7" l="1"/>
  <c r="M472" i="7" s="1"/>
  <c r="N472" i="7" s="1"/>
  <c r="H472" i="7"/>
  <c r="I472" i="7" s="1"/>
  <c r="J472" i="7" s="1"/>
  <c r="K472" i="7" l="1"/>
  <c r="S473" i="7" s="1"/>
  <c r="P473" i="7"/>
  <c r="O472" i="7"/>
  <c r="T473" i="7" s="1"/>
  <c r="Q473" i="7"/>
  <c r="R473" i="7" l="1"/>
  <c r="G473" i="7"/>
  <c r="L473" i="7" l="1"/>
  <c r="M473" i="7" s="1"/>
  <c r="N473" i="7" s="1"/>
  <c r="H473" i="7"/>
  <c r="I473" i="7" s="1"/>
  <c r="J473" i="7" s="1"/>
  <c r="P474" i="7" l="1"/>
  <c r="K473" i="7"/>
  <c r="S474" i="7" s="1"/>
  <c r="Q474" i="7"/>
  <c r="O473" i="7"/>
  <c r="T474" i="7" s="1"/>
  <c r="G474" i="7" l="1"/>
  <c r="R474" i="7"/>
  <c r="H474" i="7" l="1"/>
  <c r="I474" i="7" s="1"/>
  <c r="J474" i="7" s="1"/>
  <c r="L474" i="7"/>
  <c r="M474" i="7" s="1"/>
  <c r="N474" i="7" s="1"/>
  <c r="Q475" i="7" l="1"/>
  <c r="O474" i="7"/>
  <c r="T475" i="7" s="1"/>
  <c r="P475" i="7"/>
  <c r="K474" i="7"/>
  <c r="S475" i="7" s="1"/>
  <c r="G475" i="7" l="1"/>
  <c r="R475" i="7"/>
  <c r="H475" i="7" l="1"/>
  <c r="I475" i="7" s="1"/>
  <c r="J475" i="7" s="1"/>
  <c r="L475" i="7"/>
  <c r="M475" i="7" s="1"/>
  <c r="N475" i="7" s="1"/>
  <c r="O475" i="7" l="1"/>
  <c r="T476" i="7" s="1"/>
  <c r="Q476" i="7"/>
  <c r="K475" i="7"/>
  <c r="S476" i="7" s="1"/>
  <c r="P476" i="7"/>
  <c r="R476" i="7" l="1"/>
  <c r="G476" i="7"/>
  <c r="L476" i="7" l="1"/>
  <c r="M476" i="7" s="1"/>
  <c r="N476" i="7" s="1"/>
  <c r="H476" i="7"/>
  <c r="I476" i="7" s="1"/>
  <c r="J476" i="7" s="1"/>
  <c r="K476" i="7" l="1"/>
  <c r="S477" i="7" s="1"/>
  <c r="P477" i="7"/>
  <c r="O476" i="7"/>
  <c r="T477" i="7" s="1"/>
  <c r="Q477" i="7"/>
  <c r="R477" i="7" l="1"/>
  <c r="G477" i="7"/>
  <c r="H477" i="7" l="1"/>
  <c r="I477" i="7" s="1"/>
  <c r="J477" i="7" s="1"/>
  <c r="L477" i="7"/>
  <c r="M477" i="7" s="1"/>
  <c r="N477" i="7" s="1"/>
  <c r="Q478" i="7" l="1"/>
  <c r="O477" i="7"/>
  <c r="T478" i="7" s="1"/>
  <c r="P478" i="7"/>
  <c r="K477" i="7"/>
  <c r="S478" i="7" s="1"/>
  <c r="R478" i="7" l="1"/>
  <c r="G478" i="7"/>
  <c r="L478" i="7" l="1"/>
  <c r="M478" i="7" s="1"/>
  <c r="N478" i="7" s="1"/>
  <c r="H478" i="7"/>
  <c r="I478" i="7" s="1"/>
  <c r="J478" i="7" s="1"/>
  <c r="P479" i="7" l="1"/>
  <c r="K478" i="7"/>
  <c r="S479" i="7" s="1"/>
  <c r="Q479" i="7"/>
  <c r="O478" i="7"/>
  <c r="T479" i="7" s="1"/>
  <c r="G479" i="7" l="1"/>
  <c r="R479" i="7"/>
  <c r="L479" i="7" l="1"/>
  <c r="M479" i="7" s="1"/>
  <c r="N479" i="7" s="1"/>
  <c r="H479" i="7"/>
  <c r="I479" i="7" s="1"/>
  <c r="J479" i="7" s="1"/>
  <c r="P480" i="7" l="1"/>
  <c r="K479" i="7"/>
  <c r="S480" i="7" s="1"/>
  <c r="Q480" i="7"/>
  <c r="O479" i="7"/>
  <c r="T480" i="7" s="1"/>
  <c r="G480" i="7" l="1"/>
  <c r="R480" i="7"/>
  <c r="H480" i="7" l="1"/>
  <c r="I480" i="7" s="1"/>
  <c r="J480" i="7" s="1"/>
  <c r="L480" i="7"/>
  <c r="M480" i="7" s="1"/>
  <c r="N480" i="7" s="1"/>
  <c r="O480" i="7" l="1"/>
  <c r="T481" i="7" s="1"/>
  <c r="Q481" i="7"/>
  <c r="K480" i="7"/>
  <c r="S481" i="7" s="1"/>
  <c r="P481" i="7"/>
  <c r="R481" i="7" l="1"/>
  <c r="G481" i="7"/>
  <c r="L481" i="7" l="1"/>
  <c r="M481" i="7" s="1"/>
  <c r="N481" i="7" s="1"/>
  <c r="H481" i="7"/>
  <c r="I481" i="7" s="1"/>
  <c r="J481" i="7" s="1"/>
  <c r="K481" i="7" l="1"/>
  <c r="S482" i="7" s="1"/>
  <c r="P482" i="7"/>
  <c r="Q482" i="7"/>
  <c r="O481" i="7"/>
  <c r="T482" i="7" s="1"/>
  <c r="G482" i="7" l="1"/>
  <c r="R482" i="7"/>
  <c r="H482" i="7" l="1"/>
  <c r="I482" i="7" s="1"/>
  <c r="J482" i="7" s="1"/>
  <c r="L482" i="7"/>
  <c r="M482" i="7" s="1"/>
  <c r="N482" i="7" s="1"/>
  <c r="Q483" i="7" l="1"/>
  <c r="O482" i="7"/>
  <c r="T483" i="7" s="1"/>
  <c r="P483" i="7"/>
  <c r="K482" i="7"/>
  <c r="S483" i="7" s="1"/>
  <c r="G483" i="7" l="1"/>
  <c r="R483" i="7"/>
  <c r="H483" i="7" l="1"/>
  <c r="I483" i="7" s="1"/>
  <c r="J483" i="7" s="1"/>
  <c r="L483" i="7"/>
  <c r="M483" i="7" s="1"/>
  <c r="N483" i="7" s="1"/>
  <c r="Q484" i="7" l="1"/>
  <c r="O483" i="7"/>
  <c r="T484" i="7" s="1"/>
  <c r="P484" i="7"/>
  <c r="K483" i="7"/>
  <c r="S484" i="7" s="1"/>
  <c r="G484" i="7" l="1"/>
  <c r="R484" i="7"/>
  <c r="L484" i="7" l="1"/>
  <c r="M484" i="7" s="1"/>
  <c r="N484" i="7" s="1"/>
  <c r="H484" i="7"/>
  <c r="I484" i="7" s="1"/>
  <c r="J484" i="7" s="1"/>
  <c r="K484" i="7" l="1"/>
  <c r="S485" i="7" s="1"/>
  <c r="P485" i="7"/>
  <c r="O484" i="7"/>
  <c r="T485" i="7" s="1"/>
  <c r="Q485" i="7"/>
  <c r="R485" i="7" l="1"/>
  <c r="G485" i="7"/>
  <c r="L485" i="7" l="1"/>
  <c r="M485" i="7" s="1"/>
  <c r="N485" i="7" s="1"/>
  <c r="H485" i="7"/>
  <c r="I485" i="7" s="1"/>
  <c r="J485" i="7" s="1"/>
  <c r="K485" i="7" l="1"/>
  <c r="S486" i="7" s="1"/>
  <c r="P486" i="7"/>
  <c r="Q486" i="7"/>
  <c r="O485" i="7"/>
  <c r="T486" i="7" s="1"/>
  <c r="R486" i="7" l="1"/>
  <c r="G486" i="7"/>
  <c r="H486" i="7" l="1"/>
  <c r="I486" i="7" s="1"/>
  <c r="J486" i="7" s="1"/>
  <c r="L486" i="7"/>
  <c r="M486" i="7" s="1"/>
  <c r="N486" i="7" s="1"/>
  <c r="Q487" i="7" l="1"/>
  <c r="O486" i="7"/>
  <c r="T487" i="7" s="1"/>
  <c r="K486" i="7"/>
  <c r="S487" i="7" s="1"/>
  <c r="P487" i="7"/>
  <c r="G487" i="7" l="1"/>
  <c r="R487" i="7"/>
  <c r="L487" i="7" l="1"/>
  <c r="M487" i="7" s="1"/>
  <c r="N487" i="7" s="1"/>
  <c r="H487" i="7"/>
  <c r="I487" i="7" s="1"/>
  <c r="J487" i="7" s="1"/>
  <c r="P488" i="7" l="1"/>
  <c r="K487" i="7"/>
  <c r="S488" i="7" s="1"/>
  <c r="Q488" i="7"/>
  <c r="O487" i="7"/>
  <c r="T488" i="7" s="1"/>
  <c r="R488" i="7" l="1"/>
  <c r="G488" i="7"/>
  <c r="L488" i="7" l="1"/>
  <c r="M488" i="7" s="1"/>
  <c r="N488" i="7" s="1"/>
  <c r="H488" i="7"/>
  <c r="I488" i="7" s="1"/>
  <c r="J488" i="7" s="1"/>
  <c r="P489" i="7" l="1"/>
  <c r="K488" i="7"/>
  <c r="S489" i="7" s="1"/>
  <c r="O488" i="7"/>
  <c r="T489" i="7" s="1"/>
  <c r="Q489" i="7"/>
  <c r="G489" i="7" l="1"/>
  <c r="R489" i="7"/>
  <c r="H489" i="7" l="1"/>
  <c r="I489" i="7" s="1"/>
  <c r="J489" i="7" s="1"/>
  <c r="L489" i="7"/>
  <c r="M489" i="7" s="1"/>
  <c r="N489" i="7" s="1"/>
  <c r="Q490" i="7" l="1"/>
  <c r="O489" i="7"/>
  <c r="T490" i="7" s="1"/>
  <c r="P490" i="7"/>
  <c r="K489" i="7"/>
  <c r="S490" i="7" s="1"/>
  <c r="R490" i="7" l="1"/>
  <c r="G490" i="7"/>
  <c r="L490" i="7" l="1"/>
  <c r="M490" i="7" s="1"/>
  <c r="N490" i="7" s="1"/>
  <c r="H490" i="7"/>
  <c r="I490" i="7" s="1"/>
  <c r="J490" i="7" s="1"/>
  <c r="K490" i="7" l="1"/>
  <c r="S491" i="7" s="1"/>
  <c r="P491" i="7"/>
  <c r="O490" i="7"/>
  <c r="T491" i="7" s="1"/>
  <c r="Q491" i="7"/>
  <c r="R491" i="7" l="1"/>
  <c r="G491" i="7"/>
  <c r="H491" i="7" l="1"/>
  <c r="I491" i="7" s="1"/>
  <c r="J491" i="7" s="1"/>
  <c r="L491" i="7"/>
  <c r="M491" i="7" s="1"/>
  <c r="N491" i="7" s="1"/>
  <c r="Q492" i="7" l="1"/>
  <c r="O491" i="7"/>
  <c r="T492" i="7" s="1"/>
  <c r="K491" i="7"/>
  <c r="S492" i="7" s="1"/>
  <c r="P492" i="7"/>
  <c r="R492" i="7" l="1"/>
  <c r="G492" i="7"/>
  <c r="H492" i="7" l="1"/>
  <c r="I492" i="7" s="1"/>
  <c r="J492" i="7" s="1"/>
  <c r="L492" i="7"/>
  <c r="M492" i="7" s="1"/>
  <c r="N492" i="7" s="1"/>
  <c r="O492" i="7" l="1"/>
  <c r="T493" i="7" s="1"/>
  <c r="Q493" i="7"/>
  <c r="P493" i="7"/>
  <c r="K492" i="7"/>
  <c r="S493" i="7" s="1"/>
  <c r="G493" i="7" l="1"/>
  <c r="R493" i="7"/>
  <c r="L493" i="7" l="1"/>
  <c r="M493" i="7" s="1"/>
  <c r="N493" i="7" s="1"/>
  <c r="H493" i="7"/>
  <c r="I493" i="7" s="1"/>
  <c r="J493" i="7" s="1"/>
  <c r="P494" i="7" l="1"/>
  <c r="K493" i="7"/>
  <c r="S494" i="7" s="1"/>
  <c r="Q494" i="7"/>
  <c r="O493" i="7"/>
  <c r="T494" i="7" s="1"/>
  <c r="R494" i="7" l="1"/>
  <c r="G494" i="7"/>
  <c r="H494" i="7" l="1"/>
  <c r="I494" i="7" s="1"/>
  <c r="J494" i="7" s="1"/>
  <c r="L494" i="7"/>
  <c r="M494" i="7" s="1"/>
  <c r="N494" i="7" s="1"/>
  <c r="Q495" i="7" l="1"/>
  <c r="O494" i="7"/>
  <c r="T495" i="7" s="1"/>
  <c r="P495" i="7"/>
  <c r="K494" i="7"/>
  <c r="S495" i="7" s="1"/>
  <c r="G495" i="7" l="1"/>
  <c r="R495" i="7"/>
  <c r="H495" i="7" l="1"/>
  <c r="I495" i="7" s="1"/>
  <c r="J495" i="7" s="1"/>
  <c r="L495" i="7"/>
  <c r="M495" i="7" s="1"/>
  <c r="N495" i="7" s="1"/>
  <c r="O495" i="7" l="1"/>
  <c r="T496" i="7" s="1"/>
  <c r="Q496" i="7"/>
  <c r="P496" i="7"/>
  <c r="K495" i="7"/>
  <c r="S496" i="7" s="1"/>
  <c r="R496" i="7" l="1"/>
  <c r="G496" i="7"/>
  <c r="L496" i="7" l="1"/>
  <c r="M496" i="7" s="1"/>
  <c r="N496" i="7" s="1"/>
  <c r="H496" i="7"/>
  <c r="I496" i="7" s="1"/>
  <c r="J496" i="7" s="1"/>
  <c r="P497" i="7" l="1"/>
  <c r="K496" i="7"/>
  <c r="S497" i="7" s="1"/>
  <c r="Q497" i="7"/>
  <c r="O496" i="7"/>
  <c r="T497" i="7" s="1"/>
  <c r="R497" i="7" l="1"/>
  <c r="G497" i="7"/>
  <c r="L497" i="7" l="1"/>
  <c r="M497" i="7" s="1"/>
  <c r="N497" i="7" s="1"/>
  <c r="H497" i="7"/>
  <c r="I497" i="7" s="1"/>
  <c r="J497" i="7" s="1"/>
  <c r="K497" i="7" l="1"/>
  <c r="S498" i="7" s="1"/>
  <c r="P498" i="7"/>
  <c r="Q498" i="7"/>
  <c r="O497" i="7"/>
  <c r="T498" i="7" s="1"/>
  <c r="G498" i="7" l="1"/>
  <c r="R498" i="7"/>
  <c r="H498" i="7" l="1"/>
  <c r="I498" i="7" s="1"/>
  <c r="J498" i="7" s="1"/>
  <c r="L498" i="7"/>
  <c r="M498" i="7" s="1"/>
  <c r="N498" i="7" s="1"/>
  <c r="O498" i="7" l="1"/>
  <c r="T499" i="7" s="1"/>
  <c r="Q499" i="7"/>
  <c r="P499" i="7"/>
  <c r="K498" i="7"/>
  <c r="S499" i="7" s="1"/>
  <c r="R499" i="7" l="1"/>
  <c r="G499" i="7"/>
  <c r="L499" i="7" l="1"/>
  <c r="M499" i="7" s="1"/>
  <c r="N499" i="7" s="1"/>
  <c r="H499" i="7"/>
  <c r="I499" i="7" s="1"/>
  <c r="J499" i="7" s="1"/>
  <c r="K499" i="7" l="1"/>
  <c r="S500" i="7" s="1"/>
  <c r="P500" i="7"/>
  <c r="O499" i="7"/>
  <c r="T500" i="7" s="1"/>
  <c r="Q500" i="7"/>
  <c r="G500" i="7" l="1"/>
  <c r="R500" i="7"/>
  <c r="L500" i="7" l="1"/>
  <c r="M500" i="7" s="1"/>
  <c r="N500" i="7" s="1"/>
  <c r="H500" i="7"/>
  <c r="I500" i="7" s="1"/>
  <c r="J500" i="7" s="1"/>
  <c r="K500" i="7" l="1"/>
  <c r="S501" i="7" s="1"/>
  <c r="P501" i="7"/>
  <c r="O500" i="7"/>
  <c r="T501" i="7" s="1"/>
  <c r="Q501" i="7"/>
  <c r="G501" i="7" l="1"/>
  <c r="R501" i="7"/>
  <c r="L501" i="7" l="1"/>
  <c r="M501" i="7" s="1"/>
  <c r="N501" i="7" s="1"/>
  <c r="H501" i="7"/>
  <c r="I501" i="7" s="1"/>
  <c r="J501" i="7" s="1"/>
  <c r="P502" i="7" l="1"/>
  <c r="K501" i="7"/>
  <c r="S502" i="7" s="1"/>
  <c r="Q502" i="7"/>
  <c r="O501" i="7"/>
  <c r="T502" i="7" s="1"/>
  <c r="R502" i="7" l="1"/>
  <c r="G502" i="7"/>
  <c r="L502" i="7" l="1"/>
  <c r="M502" i="7" s="1"/>
  <c r="N502" i="7" s="1"/>
  <c r="H502" i="7"/>
  <c r="I502" i="7" s="1"/>
  <c r="J502" i="7" s="1"/>
  <c r="P503" i="7" l="1"/>
  <c r="K502" i="7"/>
  <c r="S503" i="7" s="1"/>
  <c r="Q503" i="7"/>
  <c r="O502" i="7"/>
  <c r="T503" i="7" s="1"/>
  <c r="G503" i="7" l="1"/>
  <c r="R503" i="7"/>
  <c r="L503" i="7" l="1"/>
  <c r="M503" i="7" s="1"/>
  <c r="N503" i="7" s="1"/>
  <c r="H503" i="7"/>
  <c r="I503" i="7" s="1"/>
  <c r="J503" i="7" s="1"/>
  <c r="K503" i="7" l="1"/>
  <c r="S504" i="7" s="1"/>
  <c r="P504" i="7"/>
  <c r="O503" i="7"/>
  <c r="T504" i="7" s="1"/>
  <c r="Q504" i="7"/>
  <c r="G504" i="7" l="1"/>
  <c r="R504" i="7"/>
  <c r="L504" i="7" l="1"/>
  <c r="M504" i="7" s="1"/>
  <c r="N504" i="7" s="1"/>
  <c r="H504" i="7"/>
  <c r="I504" i="7" s="1"/>
  <c r="J504" i="7" s="1"/>
  <c r="K504" i="7" l="1"/>
  <c r="S505" i="7" s="1"/>
  <c r="P505" i="7"/>
  <c r="Q505" i="7"/>
  <c r="O504" i="7"/>
  <c r="T505" i="7" s="1"/>
  <c r="R505" i="7" l="1"/>
  <c r="G505" i="7"/>
  <c r="H505" i="7" l="1"/>
  <c r="I505" i="7" s="1"/>
  <c r="J505" i="7" s="1"/>
  <c r="L505" i="7"/>
  <c r="M505" i="7" s="1"/>
  <c r="N505" i="7" s="1"/>
  <c r="O505" i="7" l="1"/>
  <c r="T506" i="7" s="1"/>
  <c r="Q506" i="7"/>
  <c r="P506" i="7"/>
  <c r="K505" i="7"/>
  <c r="S506" i="7" s="1"/>
  <c r="R506" i="7" l="1"/>
  <c r="G506" i="7"/>
  <c r="L506" i="7" l="1"/>
  <c r="M506" i="7" s="1"/>
  <c r="N506" i="7" s="1"/>
  <c r="H506" i="7"/>
  <c r="I506" i="7" s="1"/>
  <c r="J506" i="7" s="1"/>
  <c r="P507" i="7" l="1"/>
  <c r="K506" i="7"/>
  <c r="S507" i="7" s="1"/>
  <c r="Q507" i="7"/>
  <c r="O506" i="7"/>
  <c r="T507" i="7" s="1"/>
  <c r="G507" i="7" l="1"/>
  <c r="R507" i="7"/>
  <c r="H507" i="7" l="1"/>
  <c r="I507" i="7" s="1"/>
  <c r="J507" i="7" s="1"/>
  <c r="L507" i="7"/>
  <c r="M507" i="7" s="1"/>
  <c r="N507" i="7" s="1"/>
  <c r="O507" i="7" l="1"/>
  <c r="T508" i="7" s="1"/>
  <c r="Q508" i="7"/>
  <c r="K507" i="7"/>
  <c r="S508" i="7" s="1"/>
  <c r="P508" i="7"/>
  <c r="R508" i="7" l="1"/>
  <c r="G508" i="7"/>
  <c r="L508" i="7" l="1"/>
  <c r="M508" i="7" s="1"/>
  <c r="N508" i="7" s="1"/>
  <c r="H508" i="7"/>
  <c r="I508" i="7" s="1"/>
  <c r="J508" i="7" s="1"/>
  <c r="K508" i="7" l="1"/>
  <c r="S509" i="7" s="1"/>
  <c r="P509" i="7"/>
  <c r="Q509" i="7"/>
  <c r="O508" i="7"/>
  <c r="T509" i="7" s="1"/>
  <c r="R509" i="7" l="1"/>
  <c r="G509" i="7"/>
  <c r="H509" i="7" l="1"/>
  <c r="I509" i="7" s="1"/>
  <c r="J509" i="7" s="1"/>
  <c r="L509" i="7"/>
  <c r="M509" i="7" s="1"/>
  <c r="N509" i="7" s="1"/>
  <c r="O509" i="7" l="1"/>
  <c r="T510" i="7" s="1"/>
  <c r="Q510" i="7"/>
  <c r="P510" i="7"/>
  <c r="K509" i="7"/>
  <c r="S510" i="7" s="1"/>
  <c r="R510" i="7" l="1"/>
  <c r="G510" i="7"/>
  <c r="L510" i="7" l="1"/>
  <c r="M510" i="7" s="1"/>
  <c r="N510" i="7" s="1"/>
  <c r="H510" i="7"/>
  <c r="I510" i="7" s="1"/>
  <c r="J510" i="7" s="1"/>
  <c r="K510" i="7" l="1"/>
  <c r="S511" i="7" s="1"/>
  <c r="P511" i="7"/>
  <c r="Q511" i="7"/>
  <c r="O510" i="7"/>
  <c r="T511" i="7" s="1"/>
  <c r="R511" i="7" l="1"/>
  <c r="G511" i="7"/>
  <c r="L511" i="7" l="1"/>
  <c r="M511" i="7" s="1"/>
  <c r="N511" i="7" s="1"/>
  <c r="H511" i="7"/>
  <c r="I511" i="7" s="1"/>
  <c r="J511" i="7" s="1"/>
  <c r="K511" i="7" l="1"/>
  <c r="S512" i="7" s="1"/>
  <c r="P512" i="7"/>
  <c r="O511" i="7"/>
  <c r="T512" i="7" s="1"/>
  <c r="Q512" i="7"/>
  <c r="G512" i="7" l="1"/>
  <c r="R512" i="7"/>
  <c r="H512" i="7" l="1"/>
  <c r="I512" i="7" s="1"/>
  <c r="J512" i="7" s="1"/>
  <c r="L512" i="7"/>
  <c r="M512" i="7" s="1"/>
  <c r="N512" i="7" s="1"/>
  <c r="Q513" i="7" l="1"/>
  <c r="O512" i="7"/>
  <c r="T513" i="7" s="1"/>
  <c r="K512" i="7"/>
  <c r="S513" i="7" s="1"/>
  <c r="P513" i="7"/>
  <c r="G513" i="7" l="1"/>
  <c r="R513" i="7"/>
  <c r="L513" i="7" l="1"/>
  <c r="M513" i="7" s="1"/>
  <c r="N513" i="7" s="1"/>
  <c r="H513" i="7"/>
  <c r="I513" i="7" s="1"/>
  <c r="J513" i="7" s="1"/>
  <c r="K513" i="7" l="1"/>
  <c r="S514" i="7" s="1"/>
  <c r="P514" i="7"/>
  <c r="O513" i="7"/>
  <c r="T514" i="7" s="1"/>
  <c r="Q514" i="7"/>
  <c r="G514" i="7" l="1"/>
  <c r="R514" i="7"/>
  <c r="L514" i="7" l="1"/>
  <c r="M514" i="7" s="1"/>
  <c r="N514" i="7" s="1"/>
  <c r="H514" i="7"/>
  <c r="I514" i="7" s="1"/>
  <c r="J514" i="7" s="1"/>
  <c r="P515" i="7" l="1"/>
  <c r="K514" i="7"/>
  <c r="S515" i="7" s="1"/>
  <c r="O514" i="7"/>
  <c r="T515" i="7" s="1"/>
  <c r="Q515" i="7"/>
  <c r="G515" i="7" l="1"/>
  <c r="R515" i="7"/>
  <c r="H515" i="7" l="1"/>
  <c r="I515" i="7" s="1"/>
  <c r="J515" i="7" s="1"/>
  <c r="L515" i="7"/>
  <c r="M515" i="7" s="1"/>
  <c r="N515" i="7" s="1"/>
  <c r="Q516" i="7" l="1"/>
  <c r="O515" i="7"/>
  <c r="T516" i="7" s="1"/>
  <c r="K515" i="7"/>
  <c r="S516" i="7" s="1"/>
  <c r="P516" i="7"/>
  <c r="R516" i="7" l="1"/>
  <c r="G516" i="7"/>
  <c r="H516" i="7" l="1"/>
  <c r="I516" i="7" s="1"/>
  <c r="J516" i="7" s="1"/>
  <c r="L516" i="7"/>
  <c r="M516" i="7" s="1"/>
  <c r="N516" i="7" s="1"/>
  <c r="O516" i="7" l="1"/>
  <c r="T517" i="7" s="1"/>
  <c r="Q517" i="7"/>
  <c r="P517" i="7"/>
  <c r="K516" i="7"/>
  <c r="S517" i="7" s="1"/>
  <c r="R517" i="7" l="1"/>
  <c r="G517" i="7"/>
  <c r="H517" i="7" l="1"/>
  <c r="I517" i="7" s="1"/>
  <c r="J517" i="7" s="1"/>
  <c r="L517" i="7"/>
  <c r="M517" i="7" s="1"/>
  <c r="N517" i="7" s="1"/>
  <c r="O517" i="7" l="1"/>
  <c r="T518" i="7" s="1"/>
  <c r="Q518" i="7"/>
  <c r="P518" i="7"/>
  <c r="K517" i="7"/>
  <c r="S518" i="7" s="1"/>
  <c r="R518" i="7" l="1"/>
  <c r="G518" i="7"/>
  <c r="H518" i="7" l="1"/>
  <c r="I518" i="7" s="1"/>
  <c r="J518" i="7" s="1"/>
  <c r="L518" i="7"/>
  <c r="M518" i="7" s="1"/>
  <c r="N518" i="7" s="1"/>
  <c r="O518" i="7" l="1"/>
  <c r="T519" i="7" s="1"/>
  <c r="Q519" i="7"/>
  <c r="P519" i="7"/>
  <c r="K518" i="7"/>
  <c r="S519" i="7" s="1"/>
  <c r="R519" i="7" l="1"/>
  <c r="G519" i="7"/>
  <c r="L519" i="7" l="1"/>
  <c r="M519" i="7" s="1"/>
  <c r="N519" i="7" s="1"/>
  <c r="H519" i="7"/>
  <c r="I519" i="7" s="1"/>
  <c r="J519" i="7" s="1"/>
  <c r="P520" i="7" l="1"/>
  <c r="K519" i="7"/>
  <c r="S520" i="7" s="1"/>
  <c r="O519" i="7"/>
  <c r="T520" i="7" s="1"/>
  <c r="Q520" i="7"/>
  <c r="R520" i="7" l="1"/>
  <c r="G520" i="7"/>
  <c r="L520" i="7" l="1"/>
  <c r="M520" i="7" s="1"/>
  <c r="N520" i="7" s="1"/>
  <c r="H520" i="7"/>
  <c r="I520" i="7" s="1"/>
  <c r="J520" i="7" s="1"/>
  <c r="P521" i="7" l="1"/>
  <c r="K520" i="7"/>
  <c r="S521" i="7" s="1"/>
  <c r="O520" i="7"/>
  <c r="T521" i="7" s="1"/>
  <c r="Q521" i="7"/>
  <c r="R521" i="7" l="1"/>
  <c r="G521" i="7"/>
  <c r="L521" i="7" l="1"/>
  <c r="M521" i="7" s="1"/>
  <c r="N521" i="7" s="1"/>
  <c r="H521" i="7"/>
  <c r="I521" i="7" s="1"/>
  <c r="J521" i="7" s="1"/>
  <c r="K521" i="7" l="1"/>
  <c r="S522" i="7" s="1"/>
  <c r="P522" i="7"/>
  <c r="Q522" i="7"/>
  <c r="O521" i="7"/>
  <c r="T522" i="7" s="1"/>
  <c r="R522" i="7" l="1"/>
  <c r="G522" i="7"/>
  <c r="H522" i="7" l="1"/>
  <c r="I522" i="7" s="1"/>
  <c r="J522" i="7" s="1"/>
  <c r="L522" i="7"/>
  <c r="M522" i="7" s="1"/>
  <c r="N522" i="7" s="1"/>
  <c r="Q523" i="7" l="1"/>
  <c r="O522" i="7"/>
  <c r="T523" i="7" s="1"/>
  <c r="P523" i="7"/>
  <c r="K522" i="7"/>
  <c r="S523" i="7" s="1"/>
  <c r="R523" i="7" l="1"/>
  <c r="G523" i="7"/>
  <c r="L523" i="7" l="1"/>
  <c r="M523" i="7" s="1"/>
  <c r="N523" i="7" s="1"/>
  <c r="H523" i="7"/>
  <c r="I523" i="7" s="1"/>
  <c r="J523" i="7" s="1"/>
  <c r="P524" i="7" l="1"/>
  <c r="K523" i="7"/>
  <c r="S524" i="7" s="1"/>
  <c r="Q524" i="7"/>
  <c r="O523" i="7"/>
  <c r="T524" i="7" s="1"/>
  <c r="G524" i="7" l="1"/>
  <c r="R524" i="7"/>
  <c r="H524" i="7" l="1"/>
  <c r="I524" i="7" s="1"/>
  <c r="J524" i="7" s="1"/>
  <c r="L524" i="7"/>
  <c r="M524" i="7" s="1"/>
  <c r="N524" i="7" s="1"/>
  <c r="O524" i="7" l="1"/>
  <c r="T525" i="7" s="1"/>
  <c r="Q525" i="7"/>
  <c r="P525" i="7"/>
  <c r="K524" i="7"/>
  <c r="S525" i="7" s="1"/>
  <c r="R525" i="7" l="1"/>
  <c r="G525" i="7"/>
  <c r="H525" i="7" l="1"/>
  <c r="I525" i="7" s="1"/>
  <c r="J525" i="7" s="1"/>
  <c r="L525" i="7"/>
  <c r="M525" i="7" s="1"/>
  <c r="N525" i="7" s="1"/>
  <c r="O525" i="7" l="1"/>
  <c r="T526" i="7" s="1"/>
  <c r="Q526" i="7"/>
  <c r="P526" i="7"/>
  <c r="K525" i="7"/>
  <c r="S526" i="7" s="1"/>
  <c r="R526" i="7" l="1"/>
  <c r="G526" i="7"/>
  <c r="H526" i="7" l="1"/>
  <c r="I526" i="7" s="1"/>
  <c r="J526" i="7" s="1"/>
  <c r="L526" i="7"/>
  <c r="M526" i="7" s="1"/>
  <c r="N526" i="7" s="1"/>
  <c r="O526" i="7" l="1"/>
  <c r="T527" i="7" s="1"/>
  <c r="Q527" i="7"/>
  <c r="P527" i="7"/>
  <c r="K526" i="7"/>
  <c r="S527" i="7" s="1"/>
  <c r="G527" i="7" l="1"/>
  <c r="R527" i="7"/>
  <c r="L527" i="7" l="1"/>
  <c r="M527" i="7" s="1"/>
  <c r="N527" i="7" s="1"/>
  <c r="H527" i="7"/>
  <c r="I527" i="7" s="1"/>
  <c r="J527" i="7" s="1"/>
  <c r="K527" i="7" l="1"/>
  <c r="S528" i="7" s="1"/>
  <c r="P528" i="7"/>
  <c r="Q528" i="7"/>
  <c r="O527" i="7"/>
  <c r="T528" i="7" s="1"/>
  <c r="G528" i="7" l="1"/>
  <c r="R528" i="7"/>
  <c r="L528" i="7" l="1"/>
  <c r="M528" i="7" s="1"/>
  <c r="N528" i="7" s="1"/>
  <c r="H528" i="7"/>
  <c r="I528" i="7" s="1"/>
  <c r="J528" i="7" s="1"/>
  <c r="P529" i="7" l="1"/>
  <c r="K528" i="7"/>
  <c r="S529" i="7" s="1"/>
  <c r="O528" i="7"/>
  <c r="T529" i="7" s="1"/>
  <c r="Q529" i="7"/>
  <c r="R529" i="7" l="1"/>
  <c r="G529" i="7"/>
  <c r="L529" i="7" l="1"/>
  <c r="M529" i="7" s="1"/>
  <c r="N529" i="7" s="1"/>
  <c r="H529" i="7"/>
  <c r="I529" i="7" s="1"/>
  <c r="J529" i="7" s="1"/>
  <c r="K529" i="7" l="1"/>
  <c r="S530" i="7" s="1"/>
  <c r="P530" i="7"/>
  <c r="O529" i="7"/>
  <c r="T530" i="7" s="1"/>
  <c r="Q530" i="7"/>
  <c r="G530" i="7" l="1"/>
  <c r="R530" i="7"/>
  <c r="H530" i="7" l="1"/>
  <c r="I530" i="7" s="1"/>
  <c r="J530" i="7" s="1"/>
  <c r="L530" i="7"/>
  <c r="M530" i="7" s="1"/>
  <c r="N530" i="7" s="1"/>
  <c r="O530" i="7" l="1"/>
  <c r="T531" i="7" s="1"/>
  <c r="Q531" i="7"/>
  <c r="P531" i="7"/>
  <c r="K530" i="7"/>
  <c r="S531" i="7" s="1"/>
  <c r="G531" i="7" l="1"/>
  <c r="R531" i="7"/>
  <c r="H531" i="7" l="1"/>
  <c r="I531" i="7" s="1"/>
  <c r="J531" i="7" s="1"/>
  <c r="L531" i="7"/>
  <c r="M531" i="7" s="1"/>
  <c r="N531" i="7" s="1"/>
  <c r="Q532" i="7" l="1"/>
  <c r="O531" i="7"/>
  <c r="T532" i="7" s="1"/>
  <c r="K531" i="7"/>
  <c r="S532" i="7" s="1"/>
  <c r="P532" i="7"/>
  <c r="R532" i="7" l="1"/>
  <c r="G532" i="7"/>
  <c r="H532" i="7" l="1"/>
  <c r="I532" i="7" s="1"/>
  <c r="J532" i="7" s="1"/>
  <c r="L532" i="7"/>
  <c r="M532" i="7" s="1"/>
  <c r="N532" i="7" s="1"/>
  <c r="O532" i="7" l="1"/>
  <c r="T533" i="7" s="1"/>
  <c r="Q533" i="7"/>
  <c r="K532" i="7"/>
  <c r="S533" i="7" s="1"/>
  <c r="P533" i="7"/>
  <c r="R533" i="7" l="1"/>
  <c r="G533" i="7"/>
  <c r="H533" i="7" l="1"/>
  <c r="I533" i="7" s="1"/>
  <c r="J533" i="7" s="1"/>
  <c r="L533" i="7"/>
  <c r="M533" i="7" s="1"/>
  <c r="N533" i="7" s="1"/>
  <c r="Q534" i="7" l="1"/>
  <c r="O533" i="7"/>
  <c r="T534" i="7" s="1"/>
  <c r="K533" i="7"/>
  <c r="S534" i="7" s="1"/>
  <c r="P534" i="7"/>
  <c r="R534" i="7" l="1"/>
  <c r="G534" i="7"/>
  <c r="H534" i="7" l="1"/>
  <c r="I534" i="7" s="1"/>
  <c r="J534" i="7" s="1"/>
  <c r="L534" i="7"/>
  <c r="M534" i="7" s="1"/>
  <c r="N534" i="7" s="1"/>
  <c r="Q535" i="7" l="1"/>
  <c r="O534" i="7"/>
  <c r="T535" i="7" s="1"/>
  <c r="K534" i="7"/>
  <c r="S535" i="7" s="1"/>
  <c r="P535" i="7"/>
  <c r="R535" i="7" l="1"/>
  <c r="G535" i="7"/>
  <c r="L535" i="7" l="1"/>
  <c r="M535" i="7" s="1"/>
  <c r="N535" i="7" s="1"/>
  <c r="H535" i="7"/>
  <c r="I535" i="7" s="1"/>
  <c r="J535" i="7" s="1"/>
  <c r="P536" i="7" l="1"/>
  <c r="K535" i="7"/>
  <c r="S536" i="7" s="1"/>
  <c r="O535" i="7"/>
  <c r="T536" i="7" s="1"/>
  <c r="Q536" i="7"/>
  <c r="G536" i="7" l="1"/>
  <c r="R536" i="7"/>
  <c r="H536" i="7" l="1"/>
  <c r="I536" i="7" s="1"/>
  <c r="J536" i="7" s="1"/>
  <c r="L536" i="7"/>
  <c r="M536" i="7" s="1"/>
  <c r="N536" i="7" s="1"/>
  <c r="Q537" i="7" l="1"/>
  <c r="O536" i="7"/>
  <c r="T537" i="7" s="1"/>
  <c r="P537" i="7"/>
  <c r="K536" i="7"/>
  <c r="S537" i="7" s="1"/>
  <c r="G537" i="7" l="1"/>
  <c r="R537" i="7"/>
  <c r="L537" i="7" l="1"/>
  <c r="M537" i="7" s="1"/>
  <c r="N537" i="7" s="1"/>
  <c r="H537" i="7"/>
  <c r="I537" i="7" s="1"/>
  <c r="J537" i="7" s="1"/>
  <c r="K537" i="7" l="1"/>
  <c r="S538" i="7" s="1"/>
  <c r="P538" i="7"/>
  <c r="O537" i="7"/>
  <c r="T538" i="7" s="1"/>
  <c r="Q538" i="7"/>
  <c r="G538" i="7" l="1"/>
  <c r="R538" i="7"/>
  <c r="L538" i="7" l="1"/>
  <c r="M538" i="7" s="1"/>
  <c r="N538" i="7" s="1"/>
  <c r="H538" i="7"/>
  <c r="I538" i="7" s="1"/>
  <c r="J538" i="7" s="1"/>
  <c r="K538" i="7" l="1"/>
  <c r="S539" i="7" s="1"/>
  <c r="P539" i="7"/>
  <c r="O538" i="7"/>
  <c r="T539" i="7" s="1"/>
  <c r="Q539" i="7"/>
  <c r="R539" i="7" l="1"/>
  <c r="G539" i="7"/>
  <c r="L539" i="7" l="1"/>
  <c r="M539" i="7" s="1"/>
  <c r="N539" i="7" s="1"/>
  <c r="H539" i="7"/>
  <c r="I539" i="7" s="1"/>
  <c r="J539" i="7" s="1"/>
  <c r="P540" i="7" l="1"/>
  <c r="K539" i="7"/>
  <c r="S540" i="7" s="1"/>
  <c r="Q540" i="7"/>
  <c r="O539" i="7"/>
  <c r="T540" i="7" s="1"/>
  <c r="R540" i="7" l="1"/>
  <c r="G540" i="7"/>
  <c r="H540" i="7" l="1"/>
  <c r="I540" i="7" s="1"/>
  <c r="J540" i="7" s="1"/>
  <c r="L540" i="7"/>
  <c r="M540" i="7" s="1"/>
  <c r="N540" i="7" s="1"/>
  <c r="O540" i="7" l="1"/>
  <c r="T541" i="7" s="1"/>
  <c r="Q541" i="7"/>
  <c r="P541" i="7"/>
  <c r="K540" i="7"/>
  <c r="S541" i="7" s="1"/>
  <c r="R541" i="7" l="1"/>
  <c r="G541" i="7"/>
  <c r="H541" i="7" l="1"/>
  <c r="I541" i="7" s="1"/>
  <c r="J541" i="7" s="1"/>
  <c r="L541" i="7"/>
  <c r="M541" i="7" s="1"/>
  <c r="N541" i="7" s="1"/>
  <c r="Q542" i="7" l="1"/>
  <c r="O541" i="7"/>
  <c r="T542" i="7" s="1"/>
  <c r="K541" i="7"/>
  <c r="S542" i="7" s="1"/>
  <c r="P542" i="7"/>
  <c r="R542" i="7" l="1"/>
  <c r="G542" i="7"/>
  <c r="L542" i="7" l="1"/>
  <c r="M542" i="7" s="1"/>
  <c r="N542" i="7" s="1"/>
  <c r="H542" i="7"/>
  <c r="I542" i="7" s="1"/>
  <c r="J542" i="7" s="1"/>
  <c r="P543" i="7" l="1"/>
  <c r="K542" i="7"/>
  <c r="S543" i="7" s="1"/>
  <c r="Q543" i="7"/>
  <c r="O542" i="7"/>
  <c r="T543" i="7" s="1"/>
  <c r="G543" i="7" l="1"/>
  <c r="R543" i="7"/>
  <c r="H543" i="7" l="1"/>
  <c r="I543" i="7" s="1"/>
  <c r="J543" i="7" s="1"/>
  <c r="L543" i="7"/>
  <c r="M543" i="7" s="1"/>
  <c r="N543" i="7" s="1"/>
  <c r="Q544" i="7" l="1"/>
  <c r="O543" i="7"/>
  <c r="T544" i="7" s="1"/>
  <c r="P544" i="7"/>
  <c r="K543" i="7"/>
  <c r="S544" i="7" s="1"/>
  <c r="G544" i="7" l="1"/>
  <c r="R544" i="7"/>
  <c r="H544" i="7" l="1"/>
  <c r="I544" i="7" s="1"/>
  <c r="J544" i="7" s="1"/>
  <c r="L544" i="7"/>
  <c r="M544" i="7" s="1"/>
  <c r="N544" i="7" s="1"/>
  <c r="Q545" i="7" l="1"/>
  <c r="O544" i="7"/>
  <c r="T545" i="7" s="1"/>
  <c r="P545" i="7"/>
  <c r="K544" i="7"/>
  <c r="S545" i="7" s="1"/>
  <c r="G545" i="7" l="1"/>
  <c r="R545" i="7"/>
  <c r="H545" i="7" l="1"/>
  <c r="I545" i="7" s="1"/>
  <c r="J545" i="7" s="1"/>
  <c r="L545" i="7"/>
  <c r="M545" i="7" s="1"/>
  <c r="N545" i="7" s="1"/>
  <c r="O545" i="7" l="1"/>
  <c r="T546" i="7" s="1"/>
  <c r="Q546" i="7"/>
  <c r="P546" i="7"/>
  <c r="K545" i="7"/>
  <c r="S546" i="7" s="1"/>
  <c r="G546" i="7" l="1"/>
  <c r="R546" i="7"/>
  <c r="L546" i="7" l="1"/>
  <c r="M546" i="7" s="1"/>
  <c r="N546" i="7" s="1"/>
  <c r="H546" i="7"/>
  <c r="I546" i="7" s="1"/>
  <c r="J546" i="7" s="1"/>
  <c r="P547" i="7" l="1"/>
  <c r="K546" i="7"/>
  <c r="S547" i="7" s="1"/>
  <c r="Q547" i="7"/>
  <c r="O546" i="7"/>
  <c r="T547" i="7" s="1"/>
  <c r="R547" i="7" l="1"/>
  <c r="G547" i="7"/>
  <c r="L547" i="7" l="1"/>
  <c r="M547" i="7" s="1"/>
  <c r="N547" i="7" s="1"/>
  <c r="H547" i="7"/>
  <c r="I547" i="7" s="1"/>
  <c r="J547" i="7" s="1"/>
  <c r="K547" i="7" l="1"/>
  <c r="S548" i="7" s="1"/>
  <c r="P548" i="7"/>
  <c r="Q548" i="7"/>
  <c r="O547" i="7"/>
  <c r="T548" i="7" s="1"/>
  <c r="G548" i="7" l="1"/>
  <c r="R548" i="7"/>
  <c r="H548" i="7" l="1"/>
  <c r="I548" i="7" s="1"/>
  <c r="J548" i="7" s="1"/>
  <c r="L548" i="7"/>
  <c r="M548" i="7" s="1"/>
  <c r="N548" i="7" s="1"/>
  <c r="Q549" i="7" l="1"/>
  <c r="O548" i="7"/>
  <c r="T549" i="7" s="1"/>
  <c r="P549" i="7"/>
  <c r="K548" i="7"/>
  <c r="S549" i="7" s="1"/>
  <c r="R549" i="7" l="1"/>
  <c r="G549" i="7"/>
  <c r="L549" i="7" l="1"/>
  <c r="M549" i="7" s="1"/>
  <c r="N549" i="7" s="1"/>
  <c r="H549" i="7"/>
  <c r="I549" i="7" s="1"/>
  <c r="J549" i="7" s="1"/>
  <c r="K549" i="7" l="1"/>
  <c r="S550" i="7" s="1"/>
  <c r="P550" i="7"/>
  <c r="Q550" i="7"/>
  <c r="O549" i="7"/>
  <c r="T550" i="7" s="1"/>
  <c r="G550" i="7" l="1"/>
  <c r="R550" i="7"/>
  <c r="L550" i="7" l="1"/>
  <c r="M550" i="7" s="1"/>
  <c r="N550" i="7" s="1"/>
  <c r="H550" i="7"/>
  <c r="I550" i="7" s="1"/>
  <c r="J550" i="7" s="1"/>
  <c r="K550" i="7" l="1"/>
  <c r="S551" i="7" s="1"/>
  <c r="P551" i="7"/>
  <c r="Q551" i="7"/>
  <c r="O550" i="7"/>
  <c r="T551" i="7" s="1"/>
  <c r="G551" i="7" l="1"/>
  <c r="R551" i="7"/>
  <c r="L551" i="7" l="1"/>
  <c r="M551" i="7" s="1"/>
  <c r="N551" i="7" s="1"/>
  <c r="H551" i="7"/>
  <c r="I551" i="7" s="1"/>
  <c r="J551" i="7" s="1"/>
  <c r="K551" i="7" l="1"/>
  <c r="S552" i="7" s="1"/>
  <c r="P552" i="7"/>
  <c r="O551" i="7"/>
  <c r="T552" i="7" s="1"/>
  <c r="Q552" i="7"/>
  <c r="R552" i="7" l="1"/>
  <c r="G552" i="7"/>
  <c r="L552" i="7" l="1"/>
  <c r="M552" i="7" s="1"/>
  <c r="N552" i="7" s="1"/>
  <c r="H552" i="7"/>
  <c r="I552" i="7" s="1"/>
  <c r="J552" i="7" s="1"/>
  <c r="K552" i="7" l="1"/>
  <c r="S553" i="7" s="1"/>
  <c r="P553" i="7"/>
  <c r="O552" i="7"/>
  <c r="T553" i="7" s="1"/>
  <c r="Q553" i="7"/>
  <c r="G553" i="7" l="1"/>
  <c r="R553" i="7"/>
  <c r="L553" i="7" l="1"/>
  <c r="M553" i="7" s="1"/>
  <c r="N553" i="7" s="1"/>
  <c r="H553" i="7"/>
  <c r="I553" i="7" s="1"/>
  <c r="J553" i="7" s="1"/>
  <c r="P554" i="7" l="1"/>
  <c r="K553" i="7"/>
  <c r="S554" i="7" s="1"/>
  <c r="O553" i="7"/>
  <c r="T554" i="7" s="1"/>
  <c r="Q554" i="7"/>
  <c r="R554" i="7" l="1"/>
  <c r="G554" i="7"/>
  <c r="H554" i="7" l="1"/>
  <c r="I554" i="7" s="1"/>
  <c r="J554" i="7" s="1"/>
  <c r="L554" i="7"/>
  <c r="M554" i="7" s="1"/>
  <c r="N554" i="7" s="1"/>
  <c r="Q555" i="7" l="1"/>
  <c r="O554" i="7"/>
  <c r="T555" i="7" s="1"/>
  <c r="P555" i="7"/>
  <c r="K554" i="7"/>
  <c r="S555" i="7" s="1"/>
  <c r="R555" i="7" l="1"/>
  <c r="G555" i="7"/>
  <c r="H555" i="7" l="1"/>
  <c r="I555" i="7" s="1"/>
  <c r="J555" i="7" s="1"/>
  <c r="L555" i="7"/>
  <c r="M555" i="7" s="1"/>
  <c r="N555" i="7" s="1"/>
  <c r="Q556" i="7" l="1"/>
  <c r="O555" i="7"/>
  <c r="T556" i="7" s="1"/>
  <c r="P556" i="7"/>
  <c r="K555" i="7"/>
  <c r="S556" i="7" s="1"/>
  <c r="R556" i="7" l="1"/>
  <c r="G556" i="7"/>
  <c r="L556" i="7" l="1"/>
  <c r="M556" i="7" s="1"/>
  <c r="N556" i="7" s="1"/>
  <c r="H556" i="7"/>
  <c r="I556" i="7" s="1"/>
  <c r="J556" i="7" s="1"/>
  <c r="K556" i="7" l="1"/>
  <c r="S557" i="7" s="1"/>
  <c r="P557" i="7"/>
  <c r="O556" i="7"/>
  <c r="T557" i="7" s="1"/>
  <c r="Q557" i="7"/>
  <c r="G557" i="7" l="1"/>
  <c r="R557" i="7"/>
  <c r="H557" i="7" l="1"/>
  <c r="I557" i="7" s="1"/>
  <c r="J557" i="7" s="1"/>
  <c r="L557" i="7"/>
  <c r="M557" i="7" s="1"/>
  <c r="N557" i="7" s="1"/>
  <c r="O557" i="7" l="1"/>
  <c r="T558" i="7" s="1"/>
  <c r="Q558" i="7"/>
  <c r="K557" i="7"/>
  <c r="S558" i="7" s="1"/>
  <c r="P558" i="7"/>
  <c r="G558" i="7" l="1"/>
  <c r="R558" i="7"/>
  <c r="L558" i="7" l="1"/>
  <c r="M558" i="7" s="1"/>
  <c r="N558" i="7" s="1"/>
  <c r="H558" i="7"/>
  <c r="I558" i="7" s="1"/>
  <c r="J558" i="7" s="1"/>
  <c r="P559" i="7" l="1"/>
  <c r="K558" i="7"/>
  <c r="S559" i="7" s="1"/>
  <c r="O558" i="7"/>
  <c r="T559" i="7" s="1"/>
  <c r="Q559" i="7"/>
  <c r="G559" i="7" l="1"/>
  <c r="R559" i="7"/>
  <c r="H559" i="7" l="1"/>
  <c r="I559" i="7" s="1"/>
  <c r="J559" i="7" s="1"/>
  <c r="L559" i="7"/>
  <c r="M559" i="7" s="1"/>
  <c r="N559" i="7" s="1"/>
  <c r="Q560" i="7" l="1"/>
  <c r="O559" i="7"/>
  <c r="T560" i="7" s="1"/>
  <c r="P560" i="7"/>
  <c r="K559" i="7"/>
  <c r="S560" i="7" s="1"/>
  <c r="R560" i="7" l="1"/>
  <c r="G560" i="7"/>
  <c r="H560" i="7" l="1"/>
  <c r="I560" i="7" s="1"/>
  <c r="J560" i="7" s="1"/>
  <c r="L560" i="7"/>
  <c r="M560" i="7" s="1"/>
  <c r="N560" i="7" s="1"/>
  <c r="Q561" i="7" l="1"/>
  <c r="O560" i="7"/>
  <c r="T561" i="7" s="1"/>
  <c r="P561" i="7"/>
  <c r="K560" i="7"/>
  <c r="S561" i="7" s="1"/>
  <c r="G561" i="7" l="1"/>
  <c r="R561" i="7"/>
  <c r="H561" i="7" l="1"/>
  <c r="I561" i="7" s="1"/>
  <c r="J561" i="7" s="1"/>
  <c r="L561" i="7"/>
  <c r="M561" i="7" s="1"/>
  <c r="N561" i="7" s="1"/>
  <c r="O561" i="7" l="1"/>
  <c r="T562" i="7" s="1"/>
  <c r="Q562" i="7"/>
  <c r="P562" i="7"/>
  <c r="K561" i="7"/>
  <c r="S562" i="7" s="1"/>
  <c r="R562" i="7" l="1"/>
  <c r="G562" i="7"/>
  <c r="L562" i="7" l="1"/>
  <c r="M562" i="7" s="1"/>
  <c r="N562" i="7" s="1"/>
  <c r="H562" i="7"/>
  <c r="I562" i="7" s="1"/>
  <c r="J562" i="7" s="1"/>
  <c r="K562" i="7" l="1"/>
  <c r="S563" i="7" s="1"/>
  <c r="P563" i="7"/>
  <c r="Q563" i="7"/>
  <c r="O562" i="7"/>
  <c r="T563" i="7" s="1"/>
  <c r="G563" i="7" l="1"/>
  <c r="R563" i="7"/>
  <c r="L563" i="7" l="1"/>
  <c r="M563" i="7" s="1"/>
  <c r="N563" i="7" s="1"/>
  <c r="H563" i="7"/>
  <c r="I563" i="7" s="1"/>
  <c r="J563" i="7" s="1"/>
  <c r="K563" i="7" l="1"/>
  <c r="S564" i="7" s="1"/>
  <c r="P564" i="7"/>
  <c r="Q564" i="7"/>
  <c r="O563" i="7"/>
  <c r="T564" i="7" s="1"/>
  <c r="G564" i="7" l="1"/>
  <c r="R564" i="7"/>
  <c r="L564" i="7" l="1"/>
  <c r="M564" i="7" s="1"/>
  <c r="N564" i="7" s="1"/>
  <c r="H564" i="7"/>
  <c r="I564" i="7" s="1"/>
  <c r="J564" i="7" s="1"/>
  <c r="K564" i="7" l="1"/>
  <c r="S565" i="7" s="1"/>
  <c r="P565" i="7"/>
  <c r="O564" i="7"/>
  <c r="T565" i="7" s="1"/>
  <c r="Q565" i="7"/>
  <c r="R565" i="7" l="1"/>
  <c r="G565" i="7"/>
  <c r="H565" i="7" l="1"/>
  <c r="I565" i="7" s="1"/>
  <c r="J565" i="7" s="1"/>
  <c r="L565" i="7"/>
  <c r="M565" i="7" s="1"/>
  <c r="N565" i="7" s="1"/>
  <c r="O565" i="7" l="1"/>
  <c r="T566" i="7" s="1"/>
  <c r="Q566" i="7"/>
  <c r="P566" i="7"/>
  <c r="K565" i="7"/>
  <c r="S566" i="7" s="1"/>
  <c r="R566" i="7" l="1"/>
  <c r="G566" i="7"/>
  <c r="H566" i="7" l="1"/>
  <c r="I566" i="7" s="1"/>
  <c r="J566" i="7" s="1"/>
  <c r="L566" i="7"/>
  <c r="M566" i="7" s="1"/>
  <c r="N566" i="7" s="1"/>
  <c r="Q567" i="7" l="1"/>
  <c r="O566" i="7"/>
  <c r="T567" i="7" s="1"/>
  <c r="K566" i="7"/>
  <c r="S567" i="7" s="1"/>
  <c r="P567" i="7"/>
  <c r="G567" i="7" l="1"/>
  <c r="R567" i="7"/>
  <c r="L567" i="7" l="1"/>
  <c r="M567" i="7" s="1"/>
  <c r="N567" i="7" s="1"/>
  <c r="H567" i="7"/>
  <c r="I567" i="7" s="1"/>
  <c r="J567" i="7" s="1"/>
  <c r="P568" i="7" l="1"/>
  <c r="K567" i="7"/>
  <c r="S568" i="7" s="1"/>
  <c r="O567" i="7"/>
  <c r="T568" i="7" s="1"/>
  <c r="Q568" i="7"/>
  <c r="G568" i="7" l="1"/>
  <c r="R568" i="7"/>
  <c r="H568" i="7" l="1"/>
  <c r="I568" i="7" s="1"/>
  <c r="J568" i="7" s="1"/>
  <c r="L568" i="7"/>
  <c r="M568" i="7" s="1"/>
  <c r="N568" i="7" s="1"/>
  <c r="Q569" i="7" l="1"/>
  <c r="O568" i="7"/>
  <c r="T569" i="7" s="1"/>
  <c r="K568" i="7"/>
  <c r="S569" i="7" s="1"/>
  <c r="P569" i="7"/>
  <c r="G569" i="7" l="1"/>
  <c r="R569" i="7"/>
  <c r="L569" i="7" l="1"/>
  <c r="M569" i="7" s="1"/>
  <c r="N569" i="7" s="1"/>
  <c r="H569" i="7"/>
  <c r="I569" i="7" s="1"/>
  <c r="J569" i="7" s="1"/>
  <c r="P570" i="7" l="1"/>
  <c r="K569" i="7"/>
  <c r="S570" i="7" s="1"/>
  <c r="Q570" i="7"/>
  <c r="O569" i="7"/>
  <c r="T570" i="7" s="1"/>
  <c r="R570" i="7" l="1"/>
  <c r="G570" i="7"/>
  <c r="L570" i="7" l="1"/>
  <c r="M570" i="7" s="1"/>
  <c r="N570" i="7" s="1"/>
  <c r="H570" i="7"/>
  <c r="I570" i="7" s="1"/>
  <c r="J570" i="7" s="1"/>
  <c r="P571" i="7" l="1"/>
  <c r="K570" i="7"/>
  <c r="S571" i="7" s="1"/>
  <c r="Q571" i="7"/>
  <c r="O570" i="7"/>
  <c r="T571" i="7" s="1"/>
  <c r="G571" i="7" l="1"/>
  <c r="R571" i="7"/>
  <c r="L571" i="7" l="1"/>
  <c r="M571" i="7" s="1"/>
  <c r="N571" i="7" s="1"/>
  <c r="H571" i="7"/>
  <c r="I571" i="7" s="1"/>
  <c r="J571" i="7" s="1"/>
  <c r="K571" i="7" l="1"/>
  <c r="S572" i="7" s="1"/>
  <c r="P572" i="7"/>
  <c r="O571" i="7"/>
  <c r="T572" i="7" s="1"/>
  <c r="Q572" i="7"/>
  <c r="R572" i="7" l="1"/>
  <c r="G572" i="7"/>
  <c r="L572" i="7" l="1"/>
  <c r="M572" i="7" s="1"/>
  <c r="N572" i="7" s="1"/>
  <c r="H572" i="7"/>
  <c r="I572" i="7" s="1"/>
  <c r="J572" i="7" s="1"/>
  <c r="K572" i="7" l="1"/>
  <c r="S573" i="7" s="1"/>
  <c r="P573" i="7"/>
  <c r="O572" i="7"/>
  <c r="T573" i="7" s="1"/>
  <c r="Q573" i="7"/>
  <c r="G573" i="7" l="1"/>
  <c r="R573" i="7"/>
  <c r="L573" i="7" l="1"/>
  <c r="M573" i="7" s="1"/>
  <c r="N573" i="7" s="1"/>
  <c r="H573" i="7"/>
  <c r="I573" i="7" s="1"/>
  <c r="J573" i="7" s="1"/>
  <c r="P574" i="7" l="1"/>
  <c r="K573" i="7"/>
  <c r="S574" i="7" s="1"/>
  <c r="O573" i="7"/>
  <c r="T574" i="7" s="1"/>
  <c r="Q574" i="7"/>
  <c r="G574" i="7" l="1"/>
  <c r="R574" i="7"/>
  <c r="H574" i="7" l="1"/>
  <c r="I574" i="7" s="1"/>
  <c r="J574" i="7" s="1"/>
  <c r="L574" i="7"/>
  <c r="M574" i="7" s="1"/>
  <c r="N574" i="7" s="1"/>
  <c r="O574" i="7" l="1"/>
  <c r="T575" i="7" s="1"/>
  <c r="Q575" i="7"/>
  <c r="P575" i="7"/>
  <c r="K574" i="7"/>
  <c r="S575" i="7" s="1"/>
  <c r="R575" i="7" l="1"/>
  <c r="G575" i="7"/>
  <c r="L575" i="7" l="1"/>
  <c r="M575" i="7" s="1"/>
  <c r="N575" i="7" s="1"/>
  <c r="H575" i="7"/>
  <c r="I575" i="7" s="1"/>
  <c r="J575" i="7" s="1"/>
  <c r="K575" i="7" l="1"/>
  <c r="S576" i="7" s="1"/>
  <c r="P576" i="7"/>
  <c r="Q576" i="7"/>
  <c r="O575" i="7"/>
  <c r="T576" i="7" s="1"/>
  <c r="G576" i="7" l="1"/>
  <c r="R576" i="7"/>
  <c r="L576" i="7" l="1"/>
  <c r="M576" i="7" s="1"/>
  <c r="N576" i="7" s="1"/>
  <c r="H576" i="7"/>
  <c r="I576" i="7" s="1"/>
  <c r="J576" i="7" s="1"/>
  <c r="P577" i="7" l="1"/>
  <c r="K576" i="7"/>
  <c r="S577" i="7" s="1"/>
  <c r="O576" i="7"/>
  <c r="T577" i="7" s="1"/>
  <c r="Q577" i="7"/>
  <c r="G577" i="7" l="1"/>
  <c r="R577" i="7"/>
  <c r="L577" i="7" l="1"/>
  <c r="M577" i="7" s="1"/>
  <c r="N577" i="7" s="1"/>
  <c r="H577" i="7"/>
  <c r="I577" i="7" s="1"/>
  <c r="J577" i="7" s="1"/>
  <c r="P578" i="7" l="1"/>
  <c r="K577" i="7"/>
  <c r="S578" i="7" s="1"/>
  <c r="O577" i="7"/>
  <c r="T578" i="7" s="1"/>
  <c r="Q578" i="7"/>
  <c r="R578" i="7" l="1"/>
  <c r="G578" i="7"/>
  <c r="L578" i="7" l="1"/>
  <c r="M578" i="7" s="1"/>
  <c r="N578" i="7" s="1"/>
  <c r="H578" i="7"/>
  <c r="I578" i="7" s="1"/>
  <c r="J578" i="7" s="1"/>
  <c r="K578" i="7" l="1"/>
  <c r="S579" i="7" s="1"/>
  <c r="P579" i="7"/>
  <c r="Q579" i="7"/>
  <c r="O578" i="7"/>
  <c r="T579" i="7" s="1"/>
  <c r="G579" i="7" l="1"/>
  <c r="R579" i="7"/>
  <c r="L579" i="7" l="1"/>
  <c r="M579" i="7" s="1"/>
  <c r="N579" i="7" s="1"/>
  <c r="H579" i="7"/>
  <c r="I579" i="7" s="1"/>
  <c r="J579" i="7" s="1"/>
  <c r="P580" i="7" l="1"/>
  <c r="K579" i="7"/>
  <c r="S580" i="7" s="1"/>
  <c r="O579" i="7"/>
  <c r="T580" i="7" s="1"/>
  <c r="Q580" i="7"/>
  <c r="R580" i="7" l="1"/>
  <c r="G580" i="7"/>
  <c r="L580" i="7" l="1"/>
  <c r="M580" i="7" s="1"/>
  <c r="N580" i="7" s="1"/>
  <c r="H580" i="7"/>
  <c r="I580" i="7" s="1"/>
  <c r="J580" i="7" s="1"/>
  <c r="P581" i="7" l="1"/>
  <c r="K580" i="7"/>
  <c r="S581" i="7" s="1"/>
  <c r="O580" i="7"/>
  <c r="T581" i="7" s="1"/>
  <c r="Q581" i="7"/>
  <c r="G581" i="7" l="1"/>
  <c r="R581" i="7"/>
  <c r="L581" i="7" l="1"/>
  <c r="M581" i="7" s="1"/>
  <c r="N581" i="7" s="1"/>
  <c r="H581" i="7"/>
  <c r="I581" i="7" s="1"/>
  <c r="J581" i="7" s="1"/>
  <c r="P582" i="7" l="1"/>
  <c r="K581" i="7"/>
  <c r="S582" i="7" s="1"/>
  <c r="Q582" i="7"/>
  <c r="O581" i="7"/>
  <c r="T582" i="7" s="1"/>
  <c r="G582" i="7" l="1"/>
  <c r="R582" i="7"/>
  <c r="H582" i="7" l="1"/>
  <c r="I582" i="7" s="1"/>
  <c r="J582" i="7" s="1"/>
  <c r="L582" i="7"/>
  <c r="M582" i="7" s="1"/>
  <c r="N582" i="7" s="1"/>
  <c r="Q583" i="7" l="1"/>
  <c r="O582" i="7"/>
  <c r="T583" i="7" s="1"/>
  <c r="P583" i="7"/>
  <c r="K582" i="7"/>
  <c r="S583" i="7" s="1"/>
  <c r="G583" i="7" l="1"/>
  <c r="R583" i="7"/>
  <c r="H583" i="7" l="1"/>
  <c r="I583" i="7" s="1"/>
  <c r="J583" i="7" s="1"/>
  <c r="L583" i="7"/>
  <c r="M583" i="7" s="1"/>
  <c r="N583" i="7" s="1"/>
  <c r="Q584" i="7" l="1"/>
  <c r="O583" i="7"/>
  <c r="T584" i="7" s="1"/>
  <c r="K583" i="7"/>
  <c r="S584" i="7" s="1"/>
  <c r="P584" i="7"/>
  <c r="G584" i="7" l="1"/>
  <c r="R584" i="7"/>
  <c r="H584" i="7" l="1"/>
  <c r="I584" i="7" s="1"/>
  <c r="J584" i="7" s="1"/>
  <c r="L584" i="7"/>
  <c r="M584" i="7" s="1"/>
  <c r="N584" i="7" s="1"/>
  <c r="Q585" i="7" l="1"/>
  <c r="O584" i="7"/>
  <c r="T585" i="7" s="1"/>
  <c r="P585" i="7"/>
  <c r="K584" i="7"/>
  <c r="S585" i="7" s="1"/>
  <c r="G585" i="7" l="1"/>
  <c r="R585" i="7"/>
  <c r="H585" i="7" l="1"/>
  <c r="I585" i="7" s="1"/>
  <c r="J585" i="7" s="1"/>
  <c r="L585" i="7"/>
  <c r="M585" i="7" s="1"/>
  <c r="N585" i="7" s="1"/>
  <c r="O585" i="7" l="1"/>
  <c r="T586" i="7" s="1"/>
  <c r="Q586" i="7"/>
  <c r="K585" i="7"/>
  <c r="S586" i="7" s="1"/>
  <c r="P586" i="7"/>
  <c r="G586" i="7" l="1"/>
  <c r="R586" i="7"/>
  <c r="H586" i="7" l="1"/>
  <c r="I586" i="7" s="1"/>
  <c r="J586" i="7" s="1"/>
  <c r="L586" i="7"/>
  <c r="M586" i="7" s="1"/>
  <c r="N586" i="7" s="1"/>
  <c r="Q587" i="7" l="1"/>
  <c r="O586" i="7"/>
  <c r="T587" i="7" s="1"/>
  <c r="K586" i="7"/>
  <c r="S587" i="7" s="1"/>
  <c r="P587" i="7"/>
  <c r="R587" i="7" l="1"/>
  <c r="G587" i="7"/>
  <c r="L587" i="7" l="1"/>
  <c r="M587" i="7" s="1"/>
  <c r="N587" i="7" s="1"/>
  <c r="H587" i="7"/>
  <c r="I587" i="7" s="1"/>
  <c r="J587" i="7" s="1"/>
  <c r="P588" i="7" l="1"/>
  <c r="K587" i="7"/>
  <c r="S588" i="7" s="1"/>
  <c r="O587" i="7"/>
  <c r="T588" i="7" s="1"/>
  <c r="Q588" i="7"/>
  <c r="G588" i="7" l="1"/>
  <c r="R588" i="7"/>
  <c r="H588" i="7" l="1"/>
  <c r="I588" i="7" s="1"/>
  <c r="J588" i="7" s="1"/>
  <c r="L588" i="7"/>
  <c r="M588" i="7" s="1"/>
  <c r="N588" i="7" s="1"/>
  <c r="Q589" i="7" l="1"/>
  <c r="O588" i="7"/>
  <c r="T589" i="7" s="1"/>
  <c r="K588" i="7"/>
  <c r="S589" i="7" s="1"/>
  <c r="P589" i="7"/>
  <c r="R589" i="7" l="1"/>
  <c r="G589" i="7"/>
  <c r="L589" i="7" l="1"/>
  <c r="M589" i="7" s="1"/>
  <c r="N589" i="7" s="1"/>
  <c r="H589" i="7"/>
  <c r="I589" i="7" s="1"/>
  <c r="J589" i="7" s="1"/>
  <c r="P590" i="7" l="1"/>
  <c r="K589" i="7"/>
  <c r="S590" i="7" s="1"/>
  <c r="O589" i="7"/>
  <c r="T590" i="7" s="1"/>
  <c r="Q590" i="7"/>
  <c r="R590" i="7" l="1"/>
  <c r="G590" i="7"/>
  <c r="L590" i="7" l="1"/>
  <c r="M590" i="7" s="1"/>
  <c r="N590" i="7" s="1"/>
  <c r="H590" i="7"/>
  <c r="I590" i="7" s="1"/>
  <c r="J590" i="7" s="1"/>
  <c r="K590" i="7" l="1"/>
  <c r="S591" i="7" s="1"/>
  <c r="P591" i="7"/>
  <c r="O590" i="7"/>
  <c r="T591" i="7" s="1"/>
  <c r="Q591" i="7"/>
  <c r="R591" i="7" l="1"/>
  <c r="G591" i="7"/>
  <c r="L591" i="7" l="1"/>
  <c r="M591" i="7" s="1"/>
  <c r="N591" i="7" s="1"/>
  <c r="H591" i="7"/>
  <c r="I591" i="7" s="1"/>
  <c r="J591" i="7" s="1"/>
  <c r="K591" i="7" l="1"/>
  <c r="S592" i="7" s="1"/>
  <c r="P592" i="7"/>
  <c r="O591" i="7"/>
  <c r="T592" i="7" s="1"/>
  <c r="Q592" i="7"/>
  <c r="R592" i="7" l="1"/>
  <c r="G592" i="7"/>
  <c r="L592" i="7" l="1"/>
  <c r="M592" i="7" s="1"/>
  <c r="N592" i="7" s="1"/>
  <c r="H592" i="7"/>
  <c r="I592" i="7" s="1"/>
  <c r="J592" i="7" s="1"/>
  <c r="P593" i="7" l="1"/>
  <c r="K592" i="7"/>
  <c r="S593" i="7" s="1"/>
  <c r="Q593" i="7"/>
  <c r="O592" i="7"/>
  <c r="T593" i="7" s="1"/>
  <c r="G593" i="7" l="1"/>
  <c r="R593" i="7"/>
  <c r="L593" i="7" l="1"/>
  <c r="M593" i="7" s="1"/>
  <c r="N593" i="7" s="1"/>
  <c r="H593" i="7"/>
  <c r="I593" i="7" s="1"/>
  <c r="J593" i="7" s="1"/>
  <c r="P594" i="7" l="1"/>
  <c r="K593" i="7"/>
  <c r="S594" i="7" s="1"/>
  <c r="O593" i="7"/>
  <c r="T594" i="7" s="1"/>
  <c r="Q594" i="7"/>
  <c r="R594" i="7" l="1"/>
  <c r="G594" i="7"/>
  <c r="H594" i="7" l="1"/>
  <c r="I594" i="7" s="1"/>
  <c r="J594" i="7" s="1"/>
  <c r="L594" i="7"/>
  <c r="M594" i="7" s="1"/>
  <c r="N594" i="7" s="1"/>
  <c r="O594" i="7" l="1"/>
  <c r="T595" i="7" s="1"/>
  <c r="Q595" i="7"/>
  <c r="P595" i="7"/>
  <c r="K594" i="7"/>
  <c r="S595" i="7" s="1"/>
  <c r="G595" i="7" l="1"/>
  <c r="R595" i="7"/>
  <c r="L595" i="7" l="1"/>
  <c r="M595" i="7" s="1"/>
  <c r="N595" i="7" s="1"/>
  <c r="H595" i="7"/>
  <c r="I595" i="7" s="1"/>
  <c r="J595" i="7" s="1"/>
  <c r="K595" i="7" l="1"/>
  <c r="S596" i="7" s="1"/>
  <c r="P596" i="7"/>
  <c r="Q596" i="7"/>
  <c r="O595" i="7"/>
  <c r="T596" i="7" s="1"/>
  <c r="R596" i="7" l="1"/>
  <c r="G596" i="7"/>
  <c r="L596" i="7" l="1"/>
  <c r="M596" i="7" s="1"/>
  <c r="N596" i="7" s="1"/>
  <c r="H596" i="7"/>
  <c r="I596" i="7" s="1"/>
  <c r="J596" i="7" s="1"/>
  <c r="P597" i="7" l="1"/>
  <c r="K596" i="7"/>
  <c r="S597" i="7" s="1"/>
  <c r="Q597" i="7"/>
  <c r="O596" i="7"/>
  <c r="T597" i="7" s="1"/>
  <c r="G597" i="7" l="1"/>
  <c r="R597" i="7"/>
  <c r="L597" i="7" l="1"/>
  <c r="M597" i="7" s="1"/>
  <c r="N597" i="7" s="1"/>
  <c r="H597" i="7"/>
  <c r="I597" i="7" s="1"/>
  <c r="J597" i="7" s="1"/>
  <c r="K597" i="7" l="1"/>
  <c r="S598" i="7" s="1"/>
  <c r="P598" i="7"/>
  <c r="Q598" i="7"/>
  <c r="O597" i="7"/>
  <c r="T598" i="7" s="1"/>
  <c r="G598" i="7" l="1"/>
  <c r="R598" i="7"/>
  <c r="L598" i="7" l="1"/>
  <c r="M598" i="7" s="1"/>
  <c r="N598" i="7" s="1"/>
  <c r="H598" i="7"/>
  <c r="I598" i="7" s="1"/>
  <c r="J598" i="7" s="1"/>
  <c r="K598" i="7" l="1"/>
  <c r="S599" i="7" s="1"/>
  <c r="P599" i="7"/>
  <c r="Q599" i="7"/>
  <c r="O598" i="7"/>
  <c r="T599" i="7" s="1"/>
  <c r="G599" i="7" l="1"/>
  <c r="R599" i="7"/>
  <c r="H599" i="7" l="1"/>
  <c r="I599" i="7" s="1"/>
  <c r="J599" i="7" s="1"/>
  <c r="L599" i="7"/>
  <c r="M599" i="7" s="1"/>
  <c r="N599" i="7" s="1"/>
  <c r="O599" i="7" l="1"/>
  <c r="T600" i="7" s="1"/>
  <c r="Q600" i="7"/>
  <c r="K599" i="7"/>
  <c r="S600" i="7" s="1"/>
  <c r="P600" i="7"/>
  <c r="R600" i="7" l="1"/>
  <c r="G600" i="7"/>
  <c r="H600" i="7" l="1"/>
  <c r="I600" i="7" s="1"/>
  <c r="J600" i="7" s="1"/>
  <c r="L600" i="7"/>
  <c r="M600" i="7" s="1"/>
  <c r="N600" i="7" s="1"/>
  <c r="O600" i="7" l="1"/>
  <c r="T601" i="7" s="1"/>
  <c r="Q601" i="7"/>
  <c r="K600" i="7"/>
  <c r="S601" i="7" s="1"/>
  <c r="P601" i="7"/>
  <c r="R601" i="7" l="1"/>
  <c r="G601" i="7"/>
  <c r="L601" i="7" l="1"/>
  <c r="M601" i="7" s="1"/>
  <c r="N601" i="7" s="1"/>
  <c r="H601" i="7"/>
  <c r="I601" i="7" s="1"/>
  <c r="J601" i="7" s="1"/>
  <c r="K601" i="7" l="1"/>
  <c r="S602" i="7" s="1"/>
  <c r="P602" i="7"/>
  <c r="Q602" i="7"/>
  <c r="O601" i="7"/>
  <c r="T602" i="7" s="1"/>
  <c r="G602" i="7" l="1"/>
  <c r="R602" i="7"/>
  <c r="H602" i="7" l="1"/>
  <c r="I602" i="7" s="1"/>
  <c r="J602" i="7" s="1"/>
  <c r="L602" i="7"/>
  <c r="M602" i="7" s="1"/>
  <c r="N602" i="7" s="1"/>
  <c r="Q603" i="7" l="1"/>
  <c r="O602" i="7"/>
  <c r="T603" i="7" s="1"/>
  <c r="P603" i="7"/>
  <c r="K602" i="7"/>
  <c r="S603" i="7" s="1"/>
  <c r="G603" i="7" l="1"/>
  <c r="R603" i="7"/>
  <c r="H603" i="7" l="1"/>
  <c r="I603" i="7" s="1"/>
  <c r="J603" i="7" s="1"/>
  <c r="L603" i="7"/>
  <c r="M603" i="7" s="1"/>
  <c r="N603" i="7" s="1"/>
  <c r="Q604" i="7" l="1"/>
  <c r="O603" i="7"/>
  <c r="T604" i="7" s="1"/>
  <c r="K603" i="7"/>
  <c r="S604" i="7" s="1"/>
  <c r="P604" i="7"/>
  <c r="G604" i="7" l="1"/>
  <c r="R604" i="7"/>
  <c r="H604" i="7" l="1"/>
  <c r="I604" i="7" s="1"/>
  <c r="J604" i="7" s="1"/>
  <c r="L604" i="7"/>
  <c r="M604" i="7" s="1"/>
  <c r="N604" i="7" s="1"/>
  <c r="Q605" i="7" l="1"/>
  <c r="O604" i="7"/>
  <c r="T605" i="7" s="1"/>
  <c r="K604" i="7"/>
  <c r="S605" i="7" s="1"/>
  <c r="P605" i="7"/>
  <c r="R605" i="7" l="1"/>
  <c r="G605" i="7"/>
  <c r="H605" i="7" l="1"/>
  <c r="I605" i="7" s="1"/>
  <c r="J605" i="7" s="1"/>
  <c r="L605" i="7"/>
  <c r="M605" i="7" s="1"/>
  <c r="N605" i="7" s="1"/>
  <c r="Q606" i="7" l="1"/>
  <c r="O605" i="7"/>
  <c r="T606" i="7" s="1"/>
  <c r="P606" i="7"/>
  <c r="K605" i="7"/>
  <c r="S606" i="7" s="1"/>
  <c r="R606" i="7" l="1"/>
  <c r="G606" i="7"/>
  <c r="H606" i="7" l="1"/>
  <c r="I606" i="7" s="1"/>
  <c r="J606" i="7" s="1"/>
  <c r="L606" i="7"/>
  <c r="M606" i="7" s="1"/>
  <c r="N606" i="7" s="1"/>
  <c r="O606" i="7" l="1"/>
  <c r="T607" i="7" s="1"/>
  <c r="Q607" i="7"/>
  <c r="P607" i="7"/>
  <c r="K606" i="7"/>
  <c r="S607" i="7" s="1"/>
  <c r="R607" i="7" l="1"/>
  <c r="G607" i="7"/>
  <c r="H607" i="7" l="1"/>
  <c r="I607" i="7" s="1"/>
  <c r="J607" i="7" s="1"/>
  <c r="L607" i="7"/>
  <c r="M607" i="7" s="1"/>
  <c r="N607" i="7" s="1"/>
  <c r="O607" i="7" l="1"/>
  <c r="T608" i="7" s="1"/>
  <c r="Q608" i="7"/>
  <c r="K607" i="7"/>
  <c r="S608" i="7" s="1"/>
  <c r="P608" i="7"/>
  <c r="R608" i="7" l="1"/>
  <c r="G608" i="7"/>
  <c r="L608" i="7" l="1"/>
  <c r="M608" i="7" s="1"/>
  <c r="N608" i="7" s="1"/>
  <c r="H608" i="7"/>
  <c r="I608" i="7" s="1"/>
  <c r="J608" i="7" s="1"/>
  <c r="P609" i="7" l="1"/>
  <c r="K608" i="7"/>
  <c r="S609" i="7" s="1"/>
  <c r="O608" i="7"/>
  <c r="T609" i="7" s="1"/>
  <c r="Q609" i="7"/>
  <c r="R609" i="7" l="1"/>
  <c r="G609" i="7"/>
  <c r="L609" i="7" l="1"/>
  <c r="M609" i="7" s="1"/>
  <c r="N609" i="7" s="1"/>
  <c r="H609" i="7"/>
  <c r="I609" i="7" s="1"/>
  <c r="J609" i="7" s="1"/>
  <c r="K609" i="7" l="1"/>
  <c r="S610" i="7" s="1"/>
  <c r="P610" i="7"/>
  <c r="O609" i="7"/>
  <c r="T610" i="7" s="1"/>
  <c r="Q610" i="7"/>
  <c r="R610" i="7" l="1"/>
  <c r="G610" i="7"/>
  <c r="L610" i="7" l="1"/>
  <c r="M610" i="7" s="1"/>
  <c r="N610" i="7" s="1"/>
  <c r="H610" i="7"/>
  <c r="I610" i="7" s="1"/>
  <c r="J610" i="7" s="1"/>
  <c r="K610" i="7" l="1"/>
  <c r="S611" i="7" s="1"/>
  <c r="P611" i="7"/>
  <c r="Q611" i="7"/>
  <c r="O610" i="7"/>
  <c r="T611" i="7" s="1"/>
  <c r="R611" i="7" l="1"/>
  <c r="G611" i="7"/>
  <c r="H611" i="7" l="1"/>
  <c r="I611" i="7" s="1"/>
  <c r="J611" i="7" s="1"/>
  <c r="L611" i="7"/>
  <c r="M611" i="7" s="1"/>
  <c r="N611" i="7" s="1"/>
  <c r="Q612" i="7" l="1"/>
  <c r="O611" i="7"/>
  <c r="T612" i="7" s="1"/>
  <c r="P612" i="7"/>
  <c r="K611" i="7"/>
  <c r="S612" i="7" s="1"/>
  <c r="R612" i="7" l="1"/>
  <c r="G612" i="7"/>
  <c r="L612" i="7" l="1"/>
  <c r="M612" i="7" s="1"/>
  <c r="N612" i="7" s="1"/>
  <c r="H612" i="7"/>
  <c r="I612" i="7" s="1"/>
  <c r="J612" i="7" s="1"/>
  <c r="P613" i="7" l="1"/>
  <c r="K612" i="7"/>
  <c r="S613" i="7" s="1"/>
  <c r="Q613" i="7"/>
  <c r="O612" i="7"/>
  <c r="T613" i="7" s="1"/>
  <c r="G613" i="7" l="1"/>
  <c r="R613" i="7"/>
  <c r="H613" i="7" l="1"/>
  <c r="I613" i="7" s="1"/>
  <c r="J613" i="7" s="1"/>
  <c r="L613" i="7"/>
  <c r="M613" i="7" s="1"/>
  <c r="N613" i="7" s="1"/>
  <c r="Q614" i="7" l="1"/>
  <c r="O613" i="7"/>
  <c r="T614" i="7" s="1"/>
  <c r="P614" i="7"/>
  <c r="K613" i="7"/>
  <c r="S614" i="7" s="1"/>
  <c r="G614" i="7" l="1"/>
  <c r="R614" i="7"/>
  <c r="H614" i="7" l="1"/>
  <c r="I614" i="7" s="1"/>
  <c r="J614" i="7" s="1"/>
  <c r="L614" i="7"/>
  <c r="M614" i="7" s="1"/>
  <c r="N614" i="7" s="1"/>
  <c r="Q615" i="7" l="1"/>
  <c r="O614" i="7"/>
  <c r="T615" i="7" s="1"/>
  <c r="K614" i="7"/>
  <c r="S615" i="7" s="1"/>
  <c r="P615" i="7"/>
  <c r="G615" i="7" l="1"/>
  <c r="R615" i="7"/>
  <c r="H615" i="7" l="1"/>
  <c r="I615" i="7" s="1"/>
  <c r="J615" i="7" s="1"/>
  <c r="L615" i="7"/>
  <c r="M615" i="7" s="1"/>
  <c r="N615" i="7" s="1"/>
  <c r="O615" i="7" l="1"/>
  <c r="T616" i="7" s="1"/>
  <c r="Q616" i="7"/>
  <c r="P616" i="7"/>
  <c r="K615" i="7"/>
  <c r="S616" i="7" s="1"/>
  <c r="G616" i="7" l="1"/>
  <c r="R616" i="7"/>
  <c r="H616" i="7" l="1"/>
  <c r="I616" i="7" s="1"/>
  <c r="J616" i="7" s="1"/>
  <c r="L616" i="7"/>
  <c r="M616" i="7" s="1"/>
  <c r="N616" i="7" s="1"/>
  <c r="O616" i="7" l="1"/>
  <c r="T617" i="7" s="1"/>
  <c r="Q617" i="7"/>
  <c r="P617" i="7"/>
  <c r="K616" i="7"/>
  <c r="S617" i="7" s="1"/>
  <c r="R617" i="7" l="1"/>
  <c r="G617" i="7"/>
  <c r="H617" i="7" l="1"/>
  <c r="I617" i="7" s="1"/>
  <c r="J617" i="7" s="1"/>
  <c r="L617" i="7"/>
  <c r="M617" i="7" s="1"/>
  <c r="N617" i="7" s="1"/>
  <c r="Q618" i="7" l="1"/>
  <c r="O617" i="7"/>
  <c r="T618" i="7" s="1"/>
  <c r="K617" i="7"/>
  <c r="S618" i="7" s="1"/>
  <c r="P618" i="7"/>
  <c r="G618" i="7" l="1"/>
  <c r="R618" i="7"/>
  <c r="H618" i="7" l="1"/>
  <c r="I618" i="7" s="1"/>
  <c r="J618" i="7" s="1"/>
  <c r="L618" i="7"/>
  <c r="M618" i="7" s="1"/>
  <c r="N618" i="7" s="1"/>
  <c r="O618" i="7" l="1"/>
  <c r="T619" i="7" s="1"/>
  <c r="Q619" i="7"/>
  <c r="P619" i="7"/>
  <c r="K618" i="7"/>
  <c r="S619" i="7" s="1"/>
  <c r="G619" i="7" l="1"/>
  <c r="R619" i="7"/>
  <c r="H619" i="7" l="1"/>
  <c r="I619" i="7" s="1"/>
  <c r="J619" i="7" s="1"/>
  <c r="L619" i="7"/>
  <c r="M619" i="7" s="1"/>
  <c r="N619" i="7" s="1"/>
  <c r="O619" i="7" l="1"/>
  <c r="T620" i="7" s="1"/>
  <c r="Q620" i="7"/>
  <c r="P620" i="7"/>
  <c r="K619" i="7"/>
  <c r="S620" i="7" s="1"/>
  <c r="G620" i="7" l="1"/>
  <c r="R620" i="7"/>
  <c r="L620" i="7" l="1"/>
  <c r="M620" i="7" s="1"/>
  <c r="N620" i="7" s="1"/>
  <c r="H620" i="7"/>
  <c r="I620" i="7" s="1"/>
  <c r="J620" i="7" s="1"/>
  <c r="P621" i="7" l="1"/>
  <c r="K620" i="7"/>
  <c r="S621" i="7" s="1"/>
  <c r="Q621" i="7"/>
  <c r="O620" i="7"/>
  <c r="T621" i="7" s="1"/>
  <c r="G621" i="7" l="1"/>
  <c r="R621" i="7"/>
  <c r="L621" i="7" l="1"/>
  <c r="M621" i="7" s="1"/>
  <c r="N621" i="7" s="1"/>
  <c r="H621" i="7"/>
  <c r="I621" i="7" s="1"/>
  <c r="J621" i="7" s="1"/>
  <c r="P622" i="7" l="1"/>
  <c r="K621" i="7"/>
  <c r="S622" i="7" s="1"/>
  <c r="O621" i="7"/>
  <c r="T622" i="7" s="1"/>
  <c r="Q622" i="7"/>
  <c r="R622" i="7" l="1"/>
  <c r="G622" i="7"/>
  <c r="L622" i="7" l="1"/>
  <c r="M622" i="7" s="1"/>
  <c r="N622" i="7" s="1"/>
  <c r="H622" i="7"/>
  <c r="I622" i="7" s="1"/>
  <c r="J622" i="7" s="1"/>
  <c r="P623" i="7" l="1"/>
  <c r="K622" i="7"/>
  <c r="S623" i="7" s="1"/>
  <c r="Q623" i="7"/>
  <c r="O622" i="7"/>
  <c r="T623" i="7" s="1"/>
  <c r="G623" i="7" l="1"/>
  <c r="R623" i="7"/>
  <c r="H623" i="7" l="1"/>
  <c r="I623" i="7" s="1"/>
  <c r="J623" i="7" s="1"/>
  <c r="L623" i="7"/>
  <c r="M623" i="7" s="1"/>
  <c r="N623" i="7" s="1"/>
  <c r="O623" i="7" l="1"/>
  <c r="T624" i="7" s="1"/>
  <c r="Q624" i="7"/>
  <c r="K623" i="7"/>
  <c r="S624" i="7" s="1"/>
  <c r="P624" i="7"/>
  <c r="G624" i="7" l="1"/>
  <c r="R624" i="7"/>
  <c r="H624" i="7" l="1"/>
  <c r="I624" i="7" s="1"/>
  <c r="J624" i="7" s="1"/>
  <c r="L624" i="7"/>
  <c r="M624" i="7" s="1"/>
  <c r="N624" i="7" s="1"/>
  <c r="O624" i="7" l="1"/>
  <c r="T625" i="7" s="1"/>
  <c r="Q625" i="7"/>
  <c r="P625" i="7"/>
  <c r="K624" i="7"/>
  <c r="S625" i="7" s="1"/>
  <c r="R625" i="7" l="1"/>
  <c r="G625" i="7"/>
  <c r="H625" i="7" l="1"/>
  <c r="I625" i="7" s="1"/>
  <c r="J625" i="7" s="1"/>
  <c r="L625" i="7"/>
  <c r="M625" i="7" s="1"/>
  <c r="N625" i="7" s="1"/>
  <c r="Q626" i="7" l="1"/>
  <c r="O625" i="7"/>
  <c r="T626" i="7" s="1"/>
  <c r="K625" i="7"/>
  <c r="S626" i="7" s="1"/>
  <c r="P626" i="7"/>
  <c r="G626" i="7" l="1"/>
  <c r="R626" i="7"/>
  <c r="L626" i="7" l="1"/>
  <c r="M626" i="7" s="1"/>
  <c r="N626" i="7" s="1"/>
  <c r="H626" i="7"/>
  <c r="I626" i="7" s="1"/>
  <c r="J626" i="7" s="1"/>
  <c r="K626" i="7" l="1"/>
  <c r="S627" i="7" s="1"/>
  <c r="P627" i="7"/>
  <c r="O626" i="7"/>
  <c r="T627" i="7" s="1"/>
  <c r="Q627" i="7"/>
  <c r="G627" i="7" l="1"/>
  <c r="R627" i="7"/>
  <c r="L627" i="7" l="1"/>
  <c r="M627" i="7" s="1"/>
  <c r="N627" i="7" s="1"/>
  <c r="H627" i="7"/>
  <c r="I627" i="7" s="1"/>
  <c r="J627" i="7" s="1"/>
  <c r="P628" i="7" l="1"/>
  <c r="K627" i="7"/>
  <c r="S628" i="7" s="1"/>
  <c r="Q628" i="7"/>
  <c r="O627" i="7"/>
  <c r="T628" i="7" s="1"/>
  <c r="R628" i="7" l="1"/>
  <c r="G628" i="7"/>
  <c r="L628" i="7" l="1"/>
  <c r="M628" i="7" s="1"/>
  <c r="N628" i="7" s="1"/>
  <c r="H628" i="7"/>
  <c r="I628" i="7" s="1"/>
  <c r="J628" i="7" s="1"/>
  <c r="P629" i="7" l="1"/>
  <c r="K628" i="7"/>
  <c r="S629" i="7" s="1"/>
  <c r="O628" i="7"/>
  <c r="T629" i="7" s="1"/>
  <c r="Q629" i="7"/>
  <c r="R629" i="7" l="1"/>
  <c r="G629" i="7"/>
  <c r="L629" i="7" l="1"/>
  <c r="M629" i="7" s="1"/>
  <c r="N629" i="7" s="1"/>
  <c r="H629" i="7"/>
  <c r="I629" i="7" s="1"/>
  <c r="J629" i="7" s="1"/>
  <c r="P630" i="7" l="1"/>
  <c r="K629" i="7"/>
  <c r="S630" i="7" s="1"/>
  <c r="O629" i="7"/>
  <c r="T630" i="7" s="1"/>
  <c r="Q630" i="7"/>
  <c r="R630" i="7" l="1"/>
  <c r="G630" i="7"/>
  <c r="H630" i="7" l="1"/>
  <c r="I630" i="7" s="1"/>
  <c r="J630" i="7" s="1"/>
  <c r="L630" i="7"/>
  <c r="M630" i="7" s="1"/>
  <c r="N630" i="7" s="1"/>
  <c r="Q631" i="7" l="1"/>
  <c r="O630" i="7"/>
  <c r="T631" i="7" s="1"/>
  <c r="P631" i="7"/>
  <c r="K630" i="7"/>
  <c r="S631" i="7" s="1"/>
  <c r="R631" i="7" l="1"/>
  <c r="G631" i="7"/>
  <c r="H631" i="7" l="1"/>
  <c r="I631" i="7" s="1"/>
  <c r="J631" i="7" s="1"/>
  <c r="L631" i="7"/>
  <c r="M631" i="7" s="1"/>
  <c r="N631" i="7" s="1"/>
  <c r="O631" i="7" l="1"/>
  <c r="T632" i="7" s="1"/>
  <c r="Q632" i="7"/>
  <c r="P632" i="7"/>
  <c r="K631" i="7"/>
  <c r="S632" i="7" s="1"/>
  <c r="R632" i="7" l="1"/>
  <c r="G632" i="7"/>
  <c r="H632" i="7" l="1"/>
  <c r="I632" i="7" s="1"/>
  <c r="J632" i="7" s="1"/>
  <c r="L632" i="7"/>
  <c r="M632" i="7" s="1"/>
  <c r="N632" i="7" s="1"/>
  <c r="Q633" i="7" l="1"/>
  <c r="O632" i="7"/>
  <c r="T633" i="7" s="1"/>
  <c r="P633" i="7"/>
  <c r="K632" i="7"/>
  <c r="S633" i="7" s="1"/>
  <c r="G633" i="7" l="1"/>
  <c r="R633" i="7"/>
  <c r="L633" i="7" l="1"/>
  <c r="M633" i="7" s="1"/>
  <c r="N633" i="7" s="1"/>
  <c r="H633" i="7"/>
  <c r="I633" i="7" s="1"/>
  <c r="J633" i="7" s="1"/>
  <c r="P634" i="7" l="1"/>
  <c r="K633" i="7"/>
  <c r="S634" i="7" s="1"/>
  <c r="Q634" i="7"/>
  <c r="O633" i="7"/>
  <c r="T634" i="7" s="1"/>
  <c r="G634" i="7" l="1"/>
  <c r="R634" i="7"/>
  <c r="L634" i="7" l="1"/>
  <c r="M634" i="7" s="1"/>
  <c r="N634" i="7" s="1"/>
  <c r="H634" i="7"/>
  <c r="I634" i="7" s="1"/>
  <c r="J634" i="7" s="1"/>
  <c r="K634" i="7" l="1"/>
  <c r="S635" i="7" s="1"/>
  <c r="P635" i="7"/>
  <c r="O634" i="7"/>
  <c r="T635" i="7" s="1"/>
  <c r="Q635" i="7"/>
  <c r="R635" i="7" l="1"/>
  <c r="G635" i="7"/>
  <c r="L635" i="7" l="1"/>
  <c r="M635" i="7" s="1"/>
  <c r="N635" i="7" s="1"/>
  <c r="H635" i="7"/>
  <c r="I635" i="7" s="1"/>
  <c r="J635" i="7" s="1"/>
  <c r="P636" i="7" l="1"/>
  <c r="K635" i="7"/>
  <c r="S636" i="7" s="1"/>
  <c r="O635" i="7"/>
  <c r="T636" i="7" s="1"/>
  <c r="Q636" i="7"/>
  <c r="R636" i="7" l="1"/>
  <c r="G636" i="7"/>
  <c r="L636" i="7" l="1"/>
  <c r="M636" i="7" s="1"/>
  <c r="N636" i="7" s="1"/>
  <c r="H636" i="7"/>
  <c r="I636" i="7" s="1"/>
  <c r="J636" i="7" s="1"/>
  <c r="K636" i="7" l="1"/>
  <c r="S637" i="7" s="1"/>
  <c r="P637" i="7"/>
  <c r="O636" i="7"/>
  <c r="T637" i="7" s="1"/>
  <c r="Q637" i="7"/>
  <c r="R637" i="7" l="1"/>
  <c r="G637" i="7"/>
  <c r="L637" i="7" l="1"/>
  <c r="M637" i="7" s="1"/>
  <c r="N637" i="7" s="1"/>
  <c r="H637" i="7"/>
  <c r="I637" i="7" s="1"/>
  <c r="J637" i="7" s="1"/>
  <c r="P638" i="7" l="1"/>
  <c r="K637" i="7"/>
  <c r="S638" i="7" s="1"/>
  <c r="Q638" i="7"/>
  <c r="O637" i="7"/>
  <c r="T638" i="7" s="1"/>
  <c r="G638" i="7" l="1"/>
  <c r="R638" i="7"/>
  <c r="H638" i="7" l="1"/>
  <c r="I638" i="7" s="1"/>
  <c r="J638" i="7" s="1"/>
  <c r="L638" i="7"/>
  <c r="M638" i="7" s="1"/>
  <c r="N638" i="7" s="1"/>
  <c r="Q639" i="7" l="1"/>
  <c r="O638" i="7"/>
  <c r="T639" i="7" s="1"/>
  <c r="P639" i="7"/>
  <c r="K638" i="7"/>
  <c r="S639" i="7" s="1"/>
  <c r="R639" i="7" l="1"/>
  <c r="G639" i="7"/>
  <c r="H639" i="7" l="1"/>
  <c r="I639" i="7" s="1"/>
  <c r="J639" i="7" s="1"/>
  <c r="L639" i="7"/>
  <c r="M639" i="7" s="1"/>
  <c r="N639" i="7" s="1"/>
  <c r="O639" i="7" l="1"/>
  <c r="T640" i="7" s="1"/>
  <c r="Q640" i="7"/>
  <c r="P640" i="7"/>
  <c r="K639" i="7"/>
  <c r="S640" i="7" s="1"/>
  <c r="R640" i="7" l="1"/>
  <c r="G640" i="7"/>
  <c r="H640" i="7" l="1"/>
  <c r="I640" i="7" s="1"/>
  <c r="J640" i="7" s="1"/>
  <c r="L640" i="7"/>
  <c r="M640" i="7" s="1"/>
  <c r="N640" i="7" s="1"/>
  <c r="Q641" i="7" l="1"/>
  <c r="O640" i="7"/>
  <c r="T641" i="7" s="1"/>
  <c r="P641" i="7"/>
  <c r="K640" i="7"/>
  <c r="S641" i="7" s="1"/>
  <c r="R641" i="7" l="1"/>
  <c r="G641" i="7"/>
  <c r="L641" i="7" l="1"/>
  <c r="M641" i="7" s="1"/>
  <c r="N641" i="7" s="1"/>
  <c r="H641" i="7"/>
  <c r="I641" i="7" s="1"/>
  <c r="J641" i="7" s="1"/>
  <c r="K641" i="7" l="1"/>
  <c r="S642" i="7" s="1"/>
  <c r="P642" i="7"/>
  <c r="Q642" i="7"/>
  <c r="O641" i="7"/>
  <c r="T642" i="7" s="1"/>
  <c r="G642" i="7" l="1"/>
  <c r="R642" i="7"/>
  <c r="H642" i="7" l="1"/>
  <c r="I642" i="7" s="1"/>
  <c r="J642" i="7" s="1"/>
  <c r="L642" i="7"/>
  <c r="M642" i="7" s="1"/>
  <c r="N642" i="7" s="1"/>
  <c r="Q643" i="7" l="1"/>
  <c r="O642" i="7"/>
  <c r="T643" i="7" s="1"/>
  <c r="K642" i="7"/>
  <c r="S643" i="7" s="1"/>
  <c r="P643" i="7"/>
  <c r="R643" i="7" l="1"/>
  <c r="G643" i="7"/>
  <c r="L643" i="7" l="1"/>
  <c r="M643" i="7" s="1"/>
  <c r="N643" i="7" s="1"/>
  <c r="H643" i="7"/>
  <c r="I643" i="7" s="1"/>
  <c r="J643" i="7" s="1"/>
  <c r="P644" i="7" l="1"/>
  <c r="K643" i="7"/>
  <c r="S644" i="7" s="1"/>
  <c r="O643" i="7"/>
  <c r="T644" i="7" s="1"/>
  <c r="Q644" i="7"/>
  <c r="G644" i="7" l="1"/>
  <c r="R644" i="7"/>
  <c r="L644" i="7" l="1"/>
  <c r="M644" i="7" s="1"/>
  <c r="N644" i="7" s="1"/>
  <c r="H644" i="7"/>
  <c r="I644" i="7" s="1"/>
  <c r="J644" i="7" s="1"/>
  <c r="K644" i="7" l="1"/>
  <c r="S645" i="7" s="1"/>
  <c r="P645" i="7"/>
  <c r="O644" i="7"/>
  <c r="T645" i="7" s="1"/>
  <c r="Q645" i="7"/>
  <c r="G645" i="7" l="1"/>
  <c r="R645" i="7"/>
  <c r="H645" i="7" l="1"/>
  <c r="I645" i="7" s="1"/>
  <c r="J645" i="7" s="1"/>
  <c r="L645" i="7"/>
  <c r="M645" i="7" s="1"/>
  <c r="N645" i="7" s="1"/>
  <c r="O645" i="7" l="1"/>
  <c r="T646" i="7" s="1"/>
  <c r="Q646" i="7"/>
  <c r="P646" i="7"/>
  <c r="K645" i="7"/>
  <c r="S646" i="7" s="1"/>
  <c r="G646" i="7" l="1"/>
  <c r="R646" i="7"/>
  <c r="L646" i="7" l="1"/>
  <c r="M646" i="7" s="1"/>
  <c r="N646" i="7" s="1"/>
  <c r="H646" i="7"/>
  <c r="I646" i="7" s="1"/>
  <c r="J646" i="7" s="1"/>
  <c r="P647" i="7" l="1"/>
  <c r="K646" i="7"/>
  <c r="S647" i="7" s="1"/>
  <c r="Q647" i="7"/>
  <c r="O646" i="7"/>
  <c r="T647" i="7" s="1"/>
  <c r="G647" i="7" l="1"/>
  <c r="R647" i="7"/>
  <c r="H647" i="7" l="1"/>
  <c r="I647" i="7" s="1"/>
  <c r="J647" i="7" s="1"/>
  <c r="L647" i="7"/>
  <c r="M647" i="7" s="1"/>
  <c r="N647" i="7" s="1"/>
  <c r="Q648" i="7" l="1"/>
  <c r="O647" i="7"/>
  <c r="T648" i="7" s="1"/>
  <c r="P648" i="7"/>
  <c r="K647" i="7"/>
  <c r="S648" i="7" s="1"/>
  <c r="R648" i="7" l="1"/>
  <c r="G648" i="7"/>
  <c r="H648" i="7" l="1"/>
  <c r="I648" i="7" s="1"/>
  <c r="J648" i="7" s="1"/>
  <c r="L648" i="7"/>
  <c r="M648" i="7" s="1"/>
  <c r="N648" i="7" s="1"/>
  <c r="O648" i="7" l="1"/>
  <c r="T649" i="7" s="1"/>
  <c r="Q649" i="7"/>
  <c r="P649" i="7"/>
  <c r="K648" i="7"/>
  <c r="S649" i="7" s="1"/>
  <c r="G649" i="7" l="1"/>
  <c r="R649" i="7"/>
  <c r="L649" i="7" l="1"/>
  <c r="M649" i="7" s="1"/>
  <c r="N649" i="7" s="1"/>
  <c r="H649" i="7"/>
  <c r="I649" i="7" s="1"/>
  <c r="J649" i="7" s="1"/>
  <c r="P650" i="7" l="1"/>
  <c r="K649" i="7"/>
  <c r="S650" i="7" s="1"/>
  <c r="O649" i="7"/>
  <c r="T650" i="7" s="1"/>
  <c r="Q650" i="7"/>
  <c r="G650" i="7" l="1"/>
  <c r="R650" i="7"/>
  <c r="L650" i="7" l="1"/>
  <c r="M650" i="7" s="1"/>
  <c r="N650" i="7" s="1"/>
  <c r="H650" i="7"/>
  <c r="I650" i="7" s="1"/>
  <c r="J650" i="7" s="1"/>
  <c r="K650" i="7" l="1"/>
  <c r="S651" i="7" s="1"/>
  <c r="P651" i="7"/>
  <c r="Q651" i="7"/>
  <c r="O650" i="7"/>
  <c r="T651" i="7" s="1"/>
  <c r="R651" i="7" l="1"/>
  <c r="G651" i="7"/>
  <c r="H651" i="7" l="1"/>
  <c r="I651" i="7" s="1"/>
  <c r="J651" i="7" s="1"/>
  <c r="L651" i="7"/>
  <c r="M651" i="7" s="1"/>
  <c r="N651" i="7" s="1"/>
  <c r="O651" i="7" l="1"/>
  <c r="T652" i="7" s="1"/>
  <c r="Q652" i="7"/>
  <c r="K651" i="7"/>
  <c r="S652" i="7" s="1"/>
  <c r="P652" i="7"/>
  <c r="R652" i="7" l="1"/>
  <c r="G652" i="7"/>
  <c r="L652" i="7" l="1"/>
  <c r="M652" i="7" s="1"/>
  <c r="N652" i="7" s="1"/>
  <c r="H652" i="7"/>
  <c r="I652" i="7" s="1"/>
  <c r="J652" i="7" s="1"/>
  <c r="K652" i="7" l="1"/>
  <c r="S653" i="7" s="1"/>
  <c r="P653" i="7"/>
  <c r="O652" i="7"/>
  <c r="T653" i="7" s="1"/>
  <c r="Q653" i="7"/>
  <c r="G653" i="7" l="1"/>
  <c r="R653" i="7"/>
  <c r="L653" i="7" l="1"/>
  <c r="M653" i="7" s="1"/>
  <c r="N653" i="7" s="1"/>
  <c r="H653" i="7"/>
  <c r="I653" i="7" s="1"/>
  <c r="J653" i="7" s="1"/>
  <c r="K653" i="7" l="1"/>
  <c r="S654" i="7" s="1"/>
  <c r="P654" i="7"/>
  <c r="O653" i="7"/>
  <c r="T654" i="7" s="1"/>
  <c r="Q654" i="7"/>
  <c r="R654" i="7" l="1"/>
  <c r="G654" i="7"/>
  <c r="H654" i="7" l="1"/>
  <c r="I654" i="7" s="1"/>
  <c r="J654" i="7" s="1"/>
  <c r="L654" i="7"/>
  <c r="M654" i="7" s="1"/>
  <c r="N654" i="7" s="1"/>
  <c r="Q655" i="7" l="1"/>
  <c r="O654" i="7"/>
  <c r="T655" i="7" s="1"/>
  <c r="P655" i="7"/>
  <c r="K654" i="7"/>
  <c r="S655" i="7" s="1"/>
  <c r="R655" i="7" l="1"/>
  <c r="G655" i="7"/>
  <c r="H655" i="7" l="1"/>
  <c r="I655" i="7" s="1"/>
  <c r="J655" i="7" s="1"/>
  <c r="L655" i="7"/>
  <c r="M655" i="7" s="1"/>
  <c r="N655" i="7" s="1"/>
  <c r="Q656" i="7" l="1"/>
  <c r="O655" i="7"/>
  <c r="T656" i="7" s="1"/>
  <c r="P656" i="7"/>
  <c r="K655" i="7"/>
  <c r="S656" i="7" s="1"/>
  <c r="R656" i="7" l="1"/>
  <c r="G656" i="7"/>
  <c r="L656" i="7" l="1"/>
  <c r="M656" i="7" s="1"/>
  <c r="N656" i="7" s="1"/>
  <c r="H656" i="7"/>
  <c r="I656" i="7" s="1"/>
  <c r="J656" i="7" s="1"/>
  <c r="P657" i="7" l="1"/>
  <c r="K656" i="7"/>
  <c r="S657" i="7" s="1"/>
  <c r="Q657" i="7"/>
  <c r="O656" i="7"/>
  <c r="T657" i="7" s="1"/>
  <c r="G657" i="7" l="1"/>
  <c r="R657" i="7"/>
  <c r="L657" i="7" l="1"/>
  <c r="M657" i="7" s="1"/>
  <c r="N657" i="7" s="1"/>
  <c r="H657" i="7"/>
  <c r="I657" i="7" s="1"/>
  <c r="J657" i="7" s="1"/>
  <c r="K657" i="7" l="1"/>
  <c r="S658" i="7" s="1"/>
  <c r="P658" i="7"/>
  <c r="Q658" i="7"/>
  <c r="O657" i="7"/>
  <c r="T658" i="7" s="1"/>
  <c r="G658" i="7" l="1"/>
  <c r="R658" i="7"/>
  <c r="L658" i="7" l="1"/>
  <c r="M658" i="7" s="1"/>
  <c r="N658" i="7" s="1"/>
  <c r="H658" i="7"/>
  <c r="I658" i="7" s="1"/>
  <c r="J658" i="7" s="1"/>
  <c r="P659" i="7" l="1"/>
  <c r="K658" i="7"/>
  <c r="S659" i="7" s="1"/>
  <c r="Q659" i="7"/>
  <c r="O658" i="7"/>
  <c r="T659" i="7" s="1"/>
  <c r="R659" i="7" l="1"/>
  <c r="G659" i="7"/>
  <c r="L659" i="7" l="1"/>
  <c r="M659" i="7" s="1"/>
  <c r="N659" i="7" s="1"/>
  <c r="H659" i="7"/>
  <c r="I659" i="7" s="1"/>
  <c r="J659" i="7" s="1"/>
  <c r="P660" i="7" l="1"/>
  <c r="K659" i="7"/>
  <c r="S660" i="7" s="1"/>
  <c r="Q660" i="7"/>
  <c r="O659" i="7"/>
  <c r="T660" i="7" s="1"/>
  <c r="G660" i="7" l="1"/>
  <c r="R660" i="7"/>
  <c r="H660" i="7" l="1"/>
  <c r="I660" i="7" s="1"/>
  <c r="J660" i="7" s="1"/>
  <c r="L660" i="7"/>
  <c r="M660" i="7" s="1"/>
  <c r="N660" i="7" s="1"/>
  <c r="O660" i="7" l="1"/>
  <c r="T661" i="7" s="1"/>
  <c r="Q661" i="7"/>
  <c r="P661" i="7"/>
  <c r="K660" i="7"/>
  <c r="S661" i="7" s="1"/>
  <c r="R661" i="7" l="1"/>
  <c r="G661" i="7"/>
  <c r="H661" i="7" l="1"/>
  <c r="I661" i="7" s="1"/>
  <c r="J661" i="7" s="1"/>
  <c r="L661" i="7"/>
  <c r="M661" i="7" s="1"/>
  <c r="N661" i="7" s="1"/>
  <c r="O661" i="7" l="1"/>
  <c r="T662" i="7" s="1"/>
  <c r="Q662" i="7"/>
  <c r="P662" i="7"/>
  <c r="K661" i="7"/>
  <c r="S662" i="7" s="1"/>
  <c r="R662" i="7" l="1"/>
  <c r="G662" i="7"/>
  <c r="H662" i="7" l="1"/>
  <c r="I662" i="7" s="1"/>
  <c r="J662" i="7" s="1"/>
  <c r="L662" i="7"/>
  <c r="M662" i="7" s="1"/>
  <c r="N662" i="7" s="1"/>
  <c r="O662" i="7" l="1"/>
  <c r="T663" i="7" s="1"/>
  <c r="Q663" i="7"/>
  <c r="K662" i="7"/>
  <c r="S663" i="7" s="1"/>
  <c r="P663" i="7"/>
  <c r="R663" i="7" l="1"/>
  <c r="G663" i="7"/>
  <c r="H663" i="7" l="1"/>
  <c r="I663" i="7" s="1"/>
  <c r="J663" i="7" s="1"/>
  <c r="L663" i="7"/>
  <c r="M663" i="7" s="1"/>
  <c r="N663" i="7" s="1"/>
  <c r="Q664" i="7" l="1"/>
  <c r="O663" i="7"/>
  <c r="T664" i="7" s="1"/>
  <c r="P664" i="7"/>
  <c r="K663" i="7"/>
  <c r="S664" i="7" s="1"/>
  <c r="G664" i="7" l="1"/>
  <c r="R664" i="7"/>
  <c r="H664" i="7" l="1"/>
  <c r="I664" i="7" s="1"/>
  <c r="J664" i="7" s="1"/>
  <c r="L664" i="7"/>
  <c r="M664" i="7" s="1"/>
  <c r="N664" i="7" s="1"/>
  <c r="Q665" i="7" l="1"/>
  <c r="O664" i="7"/>
  <c r="T665" i="7" s="1"/>
  <c r="K664" i="7"/>
  <c r="S665" i="7" s="1"/>
  <c r="P665" i="7"/>
  <c r="R665" i="7" l="1"/>
  <c r="G665" i="7"/>
  <c r="L665" i="7" l="1"/>
  <c r="M665" i="7" s="1"/>
  <c r="N665" i="7" s="1"/>
  <c r="H665" i="7"/>
  <c r="I665" i="7" s="1"/>
  <c r="J665" i="7" s="1"/>
  <c r="P666" i="7" l="1"/>
  <c r="K665" i="7"/>
  <c r="S666" i="7" s="1"/>
  <c r="Q666" i="7"/>
  <c r="O665" i="7"/>
  <c r="T666" i="7" s="1"/>
  <c r="R666" i="7" l="1"/>
  <c r="G666" i="7"/>
  <c r="L666" i="7" l="1"/>
  <c r="M666" i="7" s="1"/>
  <c r="N666" i="7" s="1"/>
  <c r="H666" i="7"/>
  <c r="I666" i="7" s="1"/>
  <c r="J666" i="7" s="1"/>
  <c r="K666" i="7" l="1"/>
  <c r="S667" i="7" s="1"/>
  <c r="P667" i="7"/>
  <c r="O666" i="7"/>
  <c r="T667" i="7" s="1"/>
  <c r="Q667" i="7"/>
  <c r="R667" i="7" l="1"/>
  <c r="G667" i="7"/>
  <c r="H667" i="7" l="1"/>
  <c r="I667" i="7" s="1"/>
  <c r="J667" i="7" s="1"/>
  <c r="L667" i="7"/>
  <c r="M667" i="7" s="1"/>
  <c r="N667" i="7" s="1"/>
  <c r="O667" i="7" l="1"/>
  <c r="T668" i="7" s="1"/>
  <c r="Q668" i="7"/>
  <c r="K667" i="7"/>
  <c r="S668" i="7" s="1"/>
  <c r="P668" i="7"/>
  <c r="G668" i="7" l="1"/>
  <c r="R668" i="7"/>
  <c r="L668" i="7" l="1"/>
  <c r="M668" i="7" s="1"/>
  <c r="N668" i="7" s="1"/>
  <c r="H668" i="7"/>
  <c r="I668" i="7" s="1"/>
  <c r="J668" i="7" s="1"/>
  <c r="P669" i="7" l="1"/>
  <c r="K668" i="7"/>
  <c r="S669" i="7" s="1"/>
  <c r="O668" i="7"/>
  <c r="T669" i="7" s="1"/>
  <c r="Q669" i="7"/>
  <c r="R669" i="7" l="1"/>
  <c r="G669" i="7"/>
  <c r="L669" i="7" l="1"/>
  <c r="M669" i="7" s="1"/>
  <c r="N669" i="7" s="1"/>
  <c r="H669" i="7"/>
  <c r="I669" i="7" s="1"/>
  <c r="J669" i="7" s="1"/>
  <c r="P670" i="7" l="1"/>
  <c r="K669" i="7"/>
  <c r="S670" i="7" s="1"/>
  <c r="O669" i="7"/>
  <c r="T670" i="7" s="1"/>
  <c r="Q670" i="7"/>
  <c r="G670" i="7" l="1"/>
  <c r="R670" i="7"/>
  <c r="H670" i="7" l="1"/>
  <c r="I670" i="7" s="1"/>
  <c r="J670" i="7" s="1"/>
  <c r="L670" i="7"/>
  <c r="M670" i="7" s="1"/>
  <c r="N670" i="7" s="1"/>
  <c r="Q671" i="7" l="1"/>
  <c r="O670" i="7"/>
  <c r="T671" i="7" s="1"/>
  <c r="P671" i="7"/>
  <c r="K670" i="7"/>
  <c r="S671" i="7" s="1"/>
  <c r="R671" i="7" l="1"/>
  <c r="G671" i="7"/>
  <c r="H671" i="7" l="1"/>
  <c r="I671" i="7" s="1"/>
  <c r="J671" i="7" s="1"/>
  <c r="L671" i="7"/>
  <c r="M671" i="7" s="1"/>
  <c r="N671" i="7" s="1"/>
  <c r="O671" i="7" l="1"/>
  <c r="T672" i="7" s="1"/>
  <c r="Q672" i="7"/>
  <c r="P672" i="7"/>
  <c r="K671" i="7"/>
  <c r="S672" i="7" s="1"/>
  <c r="G672" i="7" l="1"/>
  <c r="R672" i="7"/>
  <c r="L672" i="7" l="1"/>
  <c r="M672" i="7" s="1"/>
  <c r="N672" i="7" s="1"/>
  <c r="H672" i="7"/>
  <c r="I672" i="7" s="1"/>
  <c r="J672" i="7" s="1"/>
  <c r="K672" i="7" l="1"/>
  <c r="S673" i="7" s="1"/>
  <c r="P673" i="7"/>
  <c r="Q673" i="7"/>
  <c r="O672" i="7"/>
  <c r="T673" i="7" s="1"/>
  <c r="G673" i="7" l="1"/>
  <c r="R673" i="7"/>
  <c r="H673" i="7" l="1"/>
  <c r="I673" i="7" s="1"/>
  <c r="J673" i="7" s="1"/>
  <c r="L673" i="7"/>
  <c r="M673" i="7" s="1"/>
  <c r="N673" i="7" s="1"/>
  <c r="O673" i="7" l="1"/>
  <c r="T674" i="7" s="1"/>
  <c r="Q674" i="7"/>
  <c r="P674" i="7"/>
  <c r="K673" i="7"/>
  <c r="S674" i="7" s="1"/>
  <c r="G674" i="7" l="1"/>
  <c r="R674" i="7"/>
  <c r="L674" i="7" l="1"/>
  <c r="M674" i="7" s="1"/>
  <c r="N674" i="7" s="1"/>
  <c r="H674" i="7"/>
  <c r="I674" i="7" s="1"/>
  <c r="J674" i="7" s="1"/>
  <c r="K674" i="7" l="1"/>
  <c r="S675" i="7" s="1"/>
  <c r="P675" i="7"/>
  <c r="O674" i="7"/>
  <c r="T675" i="7" s="1"/>
  <c r="Q675" i="7"/>
  <c r="G675" i="7" l="1"/>
  <c r="R675" i="7"/>
  <c r="H675" i="7" l="1"/>
  <c r="I675" i="7" s="1"/>
  <c r="J675" i="7" s="1"/>
  <c r="L675" i="7"/>
  <c r="M675" i="7" s="1"/>
  <c r="N675" i="7" s="1"/>
  <c r="O675" i="7" l="1"/>
  <c r="T676" i="7" s="1"/>
  <c r="Q676" i="7"/>
  <c r="K675" i="7"/>
  <c r="S676" i="7" s="1"/>
  <c r="P676" i="7"/>
  <c r="R676" i="7" l="1"/>
  <c r="G676" i="7"/>
  <c r="L676" i="7" l="1"/>
  <c r="M676" i="7" s="1"/>
  <c r="N676" i="7" s="1"/>
  <c r="H676" i="7"/>
  <c r="I676" i="7" s="1"/>
  <c r="J676" i="7" s="1"/>
  <c r="P677" i="7" l="1"/>
  <c r="K676" i="7"/>
  <c r="S677" i="7" s="1"/>
  <c r="O676" i="7"/>
  <c r="T677" i="7" s="1"/>
  <c r="Q677" i="7"/>
  <c r="G677" i="7" l="1"/>
  <c r="R677" i="7"/>
  <c r="L677" i="7" l="1"/>
  <c r="M677" i="7" s="1"/>
  <c r="N677" i="7" s="1"/>
  <c r="H677" i="7"/>
  <c r="I677" i="7" s="1"/>
  <c r="J677" i="7" s="1"/>
  <c r="K677" i="7" l="1"/>
  <c r="S678" i="7" s="1"/>
  <c r="P678" i="7"/>
  <c r="Q678" i="7"/>
  <c r="O677" i="7"/>
  <c r="T678" i="7" s="1"/>
  <c r="G678" i="7" l="1"/>
  <c r="R678" i="7"/>
  <c r="H678" i="7" l="1"/>
  <c r="I678" i="7" s="1"/>
  <c r="J678" i="7" s="1"/>
  <c r="L678" i="7"/>
  <c r="M678" i="7" s="1"/>
  <c r="N678" i="7" s="1"/>
  <c r="Q679" i="7" l="1"/>
  <c r="O678" i="7"/>
  <c r="T679" i="7" s="1"/>
  <c r="P679" i="7"/>
  <c r="K678" i="7"/>
  <c r="S679" i="7" s="1"/>
  <c r="G679" i="7" l="1"/>
  <c r="R679" i="7"/>
  <c r="L679" i="7" l="1"/>
  <c r="M679" i="7" s="1"/>
  <c r="N679" i="7" s="1"/>
  <c r="H679" i="7"/>
  <c r="I679" i="7" s="1"/>
  <c r="J679" i="7" s="1"/>
  <c r="K679" i="7" l="1"/>
  <c r="S680" i="7" s="1"/>
  <c r="P680" i="7"/>
  <c r="Q680" i="7"/>
  <c r="O679" i="7"/>
  <c r="T680" i="7" s="1"/>
  <c r="G680" i="7" l="1"/>
  <c r="R680" i="7"/>
  <c r="L680" i="7" l="1"/>
  <c r="M680" i="7" s="1"/>
  <c r="N680" i="7" s="1"/>
  <c r="H680" i="7"/>
  <c r="I680" i="7" s="1"/>
  <c r="J680" i="7" s="1"/>
  <c r="K680" i="7" l="1"/>
  <c r="S681" i="7" s="1"/>
  <c r="P681" i="7"/>
  <c r="Q681" i="7"/>
  <c r="O680" i="7"/>
  <c r="T681" i="7" s="1"/>
  <c r="R681" i="7" l="1"/>
  <c r="G681" i="7"/>
  <c r="H681" i="7" l="1"/>
  <c r="I681" i="7" s="1"/>
  <c r="J681" i="7" s="1"/>
  <c r="L681" i="7"/>
  <c r="M681" i="7" s="1"/>
  <c r="N681" i="7" s="1"/>
  <c r="O681" i="7" l="1"/>
  <c r="T682" i="7" s="1"/>
  <c r="Q682" i="7"/>
  <c r="K681" i="7"/>
  <c r="S682" i="7" s="1"/>
  <c r="P682" i="7"/>
  <c r="G682" i="7" l="1"/>
  <c r="R682" i="7"/>
  <c r="H682" i="7" l="1"/>
  <c r="I682" i="7" s="1"/>
  <c r="J682" i="7" s="1"/>
  <c r="L682" i="7"/>
  <c r="M682" i="7" s="1"/>
  <c r="N682" i="7" s="1"/>
  <c r="Q683" i="7" l="1"/>
  <c r="O682" i="7"/>
  <c r="T683" i="7" s="1"/>
  <c r="K682" i="7"/>
  <c r="S683" i="7" s="1"/>
  <c r="P683" i="7"/>
  <c r="R683" i="7" l="1"/>
  <c r="G683" i="7"/>
  <c r="H683" i="7" l="1"/>
  <c r="I683" i="7" s="1"/>
  <c r="J683" i="7" s="1"/>
  <c r="L683" i="7"/>
  <c r="M683" i="7" s="1"/>
  <c r="N683" i="7" s="1"/>
  <c r="O683" i="7" l="1"/>
  <c r="T684" i="7" s="1"/>
  <c r="Q684" i="7"/>
  <c r="P684" i="7"/>
  <c r="K683" i="7"/>
  <c r="S684" i="7" s="1"/>
  <c r="R684" i="7" l="1"/>
  <c r="G684" i="7"/>
  <c r="H684" i="7" l="1"/>
  <c r="I684" i="7" s="1"/>
  <c r="J684" i="7" s="1"/>
  <c r="L684" i="7"/>
  <c r="M684" i="7" s="1"/>
  <c r="N684" i="7" s="1"/>
  <c r="O684" i="7" l="1"/>
  <c r="T685" i="7" s="1"/>
  <c r="Q685" i="7"/>
  <c r="K684" i="7"/>
  <c r="S685" i="7" s="1"/>
  <c r="P685" i="7"/>
  <c r="R685" i="7" l="1"/>
  <c r="G685" i="7"/>
  <c r="L685" i="7" l="1"/>
  <c r="M685" i="7" s="1"/>
  <c r="N685" i="7" s="1"/>
  <c r="H685" i="7"/>
  <c r="I685" i="7" s="1"/>
  <c r="J685" i="7" s="1"/>
  <c r="P686" i="7" l="1"/>
  <c r="K685" i="7"/>
  <c r="S686" i="7" s="1"/>
  <c r="O685" i="7"/>
  <c r="T686" i="7" s="1"/>
  <c r="Q686" i="7"/>
  <c r="G686" i="7" l="1"/>
  <c r="R686" i="7"/>
  <c r="H686" i="7" l="1"/>
  <c r="I686" i="7" s="1"/>
  <c r="J686" i="7" s="1"/>
  <c r="L686" i="7"/>
  <c r="M686" i="7" s="1"/>
  <c r="N686" i="7" s="1"/>
  <c r="O686" i="7" l="1"/>
  <c r="T687" i="7" s="1"/>
  <c r="Q687" i="7"/>
  <c r="P687" i="7"/>
  <c r="K686" i="7"/>
  <c r="S687" i="7" s="1"/>
  <c r="R687" i="7" l="1"/>
  <c r="G687" i="7"/>
  <c r="L687" i="7" l="1"/>
  <c r="M687" i="7" s="1"/>
  <c r="N687" i="7" s="1"/>
  <c r="H687" i="7"/>
  <c r="I687" i="7" s="1"/>
  <c r="J687" i="7" s="1"/>
  <c r="P688" i="7" l="1"/>
  <c r="K687" i="7"/>
  <c r="S688" i="7" s="1"/>
  <c r="Q688" i="7"/>
  <c r="O687" i="7"/>
  <c r="T688" i="7" s="1"/>
  <c r="R688" i="7" l="1"/>
  <c r="G688" i="7"/>
  <c r="L688" i="7" l="1"/>
  <c r="M688" i="7" s="1"/>
  <c r="N688" i="7" s="1"/>
  <c r="H688" i="7"/>
  <c r="I688" i="7" s="1"/>
  <c r="J688" i="7" s="1"/>
  <c r="K688" i="7" l="1"/>
  <c r="S689" i="7" s="1"/>
  <c r="P689" i="7"/>
  <c r="Q689" i="7"/>
  <c r="O688" i="7"/>
  <c r="T689" i="7" s="1"/>
  <c r="G689" i="7" l="1"/>
  <c r="R689" i="7"/>
  <c r="L689" i="7" l="1"/>
  <c r="M689" i="7" s="1"/>
  <c r="N689" i="7" s="1"/>
  <c r="H689" i="7"/>
  <c r="I689" i="7" s="1"/>
  <c r="J689" i="7" s="1"/>
  <c r="P690" i="7" l="1"/>
  <c r="K689" i="7"/>
  <c r="S690" i="7" s="1"/>
  <c r="O689" i="7"/>
  <c r="T690" i="7" s="1"/>
  <c r="Q690" i="7"/>
  <c r="R690" i="7" l="1"/>
  <c r="G690" i="7"/>
  <c r="L690" i="7" l="1"/>
  <c r="M690" i="7" s="1"/>
  <c r="N690" i="7" s="1"/>
  <c r="H690" i="7"/>
  <c r="I690" i="7" s="1"/>
  <c r="J690" i="7" s="1"/>
  <c r="K690" i="7" l="1"/>
  <c r="S691" i="7" s="1"/>
  <c r="P691" i="7"/>
  <c r="O690" i="7"/>
  <c r="T691" i="7" s="1"/>
  <c r="Q691" i="7"/>
  <c r="G691" i="7" l="1"/>
  <c r="R691" i="7"/>
  <c r="H691" i="7" l="1"/>
  <c r="I691" i="7" s="1"/>
  <c r="J691" i="7" s="1"/>
  <c r="L691" i="7"/>
  <c r="M691" i="7" s="1"/>
  <c r="N691" i="7" s="1"/>
  <c r="Q692" i="7" l="1"/>
  <c r="O691" i="7"/>
  <c r="T692" i="7" s="1"/>
  <c r="P692" i="7"/>
  <c r="K691" i="7"/>
  <c r="S692" i="7" s="1"/>
  <c r="R692" i="7" l="1"/>
  <c r="G692" i="7"/>
  <c r="H692" i="7" l="1"/>
  <c r="I692" i="7" s="1"/>
  <c r="J692" i="7" s="1"/>
  <c r="L692" i="7"/>
  <c r="M692" i="7" s="1"/>
  <c r="N692" i="7" s="1"/>
  <c r="O692" i="7" l="1"/>
  <c r="T693" i="7" s="1"/>
  <c r="Q693" i="7"/>
  <c r="P693" i="7"/>
  <c r="K692" i="7"/>
  <c r="S693" i="7" s="1"/>
  <c r="R693" i="7" l="1"/>
  <c r="G693" i="7"/>
  <c r="H693" i="7" l="1"/>
  <c r="I693" i="7" s="1"/>
  <c r="J693" i="7" s="1"/>
  <c r="L693" i="7"/>
  <c r="M693" i="7" s="1"/>
  <c r="N693" i="7" s="1"/>
  <c r="Q694" i="7" l="1"/>
  <c r="O693" i="7"/>
  <c r="T694" i="7" s="1"/>
  <c r="K693" i="7"/>
  <c r="S694" i="7" s="1"/>
  <c r="P694" i="7"/>
  <c r="R694" i="7" l="1"/>
  <c r="G694" i="7"/>
  <c r="L694" i="7" l="1"/>
  <c r="M694" i="7" s="1"/>
  <c r="N694" i="7" s="1"/>
  <c r="H694" i="7"/>
  <c r="I694" i="7" s="1"/>
  <c r="J694" i="7" s="1"/>
  <c r="P695" i="7" l="1"/>
  <c r="K694" i="7"/>
  <c r="S695" i="7" s="1"/>
  <c r="Q695" i="7"/>
  <c r="O694" i="7"/>
  <c r="T695" i="7" s="1"/>
  <c r="G695" i="7" l="1"/>
  <c r="R695" i="7"/>
  <c r="H695" i="7" l="1"/>
  <c r="I695" i="7" s="1"/>
  <c r="J695" i="7" s="1"/>
  <c r="L695" i="7"/>
  <c r="M695" i="7" s="1"/>
  <c r="N695" i="7" s="1"/>
  <c r="O695" i="7" l="1"/>
  <c r="T696" i="7" s="1"/>
  <c r="Q696" i="7"/>
  <c r="P696" i="7"/>
  <c r="K695" i="7"/>
  <c r="S696" i="7" s="1"/>
  <c r="G696" i="7" l="1"/>
  <c r="R696" i="7"/>
  <c r="L696" i="7" l="1"/>
  <c r="M696" i="7" s="1"/>
  <c r="N696" i="7" s="1"/>
  <c r="H696" i="7"/>
  <c r="I696" i="7" s="1"/>
  <c r="J696" i="7" s="1"/>
  <c r="K696" i="7" l="1"/>
  <c r="S697" i="7" s="1"/>
  <c r="P697" i="7"/>
  <c r="Q697" i="7"/>
  <c r="O696" i="7"/>
  <c r="T697" i="7" s="1"/>
  <c r="R697" i="7" l="1"/>
  <c r="G697" i="7"/>
  <c r="L697" i="7" l="1"/>
  <c r="M697" i="7" s="1"/>
  <c r="N697" i="7" s="1"/>
  <c r="H697" i="7"/>
  <c r="I697" i="7" s="1"/>
  <c r="J697" i="7" s="1"/>
  <c r="P698" i="7" l="1"/>
  <c r="K697" i="7"/>
  <c r="S698" i="7" s="1"/>
  <c r="O697" i="7"/>
  <c r="T698" i="7" s="1"/>
  <c r="Q698" i="7"/>
  <c r="G698" i="7" l="1"/>
  <c r="R698" i="7"/>
  <c r="L698" i="7" l="1"/>
  <c r="M698" i="7" s="1"/>
  <c r="N698" i="7" s="1"/>
  <c r="H698" i="7"/>
  <c r="I698" i="7" s="1"/>
  <c r="J698" i="7" s="1"/>
  <c r="P699" i="7" l="1"/>
  <c r="K698" i="7"/>
  <c r="S699" i="7" s="1"/>
  <c r="O698" i="7"/>
  <c r="T699" i="7" s="1"/>
  <c r="Q699" i="7"/>
  <c r="G699" i="7" l="1"/>
  <c r="R699" i="7"/>
  <c r="L699" i="7" l="1"/>
  <c r="M699" i="7" s="1"/>
  <c r="N699" i="7" s="1"/>
  <c r="H699" i="7"/>
  <c r="I699" i="7" s="1"/>
  <c r="J699" i="7" s="1"/>
  <c r="P700" i="7" l="1"/>
  <c r="K699" i="7"/>
  <c r="S700" i="7" s="1"/>
  <c r="Q700" i="7"/>
  <c r="O699" i="7"/>
  <c r="T700" i="7" s="1"/>
  <c r="G700" i="7" l="1"/>
  <c r="R700" i="7"/>
  <c r="H700" i="7" l="1"/>
  <c r="I700" i="7" s="1"/>
  <c r="J700" i="7" s="1"/>
  <c r="L700" i="7"/>
  <c r="M700" i="7" s="1"/>
  <c r="N700" i="7" s="1"/>
  <c r="O700" i="7" l="1"/>
  <c r="T701" i="7" s="1"/>
  <c r="Q701" i="7"/>
  <c r="P701" i="7"/>
  <c r="K700" i="7"/>
  <c r="S701" i="7" s="1"/>
  <c r="G701" i="7" l="1"/>
  <c r="R701" i="7"/>
  <c r="L701" i="7" l="1"/>
  <c r="M701" i="7" s="1"/>
  <c r="N701" i="7" s="1"/>
  <c r="H701" i="7"/>
  <c r="I701" i="7" s="1"/>
  <c r="J701" i="7" s="1"/>
  <c r="K701" i="7" l="1"/>
  <c r="S702" i="7" s="1"/>
  <c r="P702" i="7"/>
  <c r="Q702" i="7"/>
  <c r="O701" i="7"/>
  <c r="T702" i="7" s="1"/>
  <c r="R702" i="7" l="1"/>
  <c r="G702" i="7"/>
  <c r="H702" i="7" l="1"/>
  <c r="I702" i="7" s="1"/>
  <c r="J702" i="7" s="1"/>
  <c r="L702" i="7"/>
  <c r="M702" i="7" s="1"/>
  <c r="N702" i="7" s="1"/>
  <c r="Q703" i="7" l="1"/>
  <c r="O702" i="7"/>
  <c r="T703" i="7" s="1"/>
  <c r="P703" i="7"/>
  <c r="K702" i="7"/>
  <c r="S703" i="7" s="1"/>
  <c r="R703" i="7" l="1"/>
  <c r="G703" i="7"/>
  <c r="L703" i="7" l="1"/>
  <c r="M703" i="7" s="1"/>
  <c r="N703" i="7" s="1"/>
  <c r="H703" i="7"/>
  <c r="I703" i="7" s="1"/>
  <c r="J703" i="7" s="1"/>
  <c r="K703" i="7" l="1"/>
  <c r="S704" i="7" s="1"/>
  <c r="P704" i="7"/>
  <c r="Q704" i="7"/>
  <c r="O703" i="7"/>
  <c r="T704" i="7" s="1"/>
  <c r="G704" i="7" l="1"/>
  <c r="R704" i="7"/>
  <c r="H704" i="7" l="1"/>
  <c r="I704" i="7" s="1"/>
  <c r="J704" i="7" s="1"/>
  <c r="L704" i="7"/>
  <c r="M704" i="7" s="1"/>
  <c r="N704" i="7" s="1"/>
  <c r="Q705" i="7" l="1"/>
  <c r="O704" i="7"/>
  <c r="T705" i="7" s="1"/>
  <c r="K704" i="7"/>
  <c r="S705" i="7" s="1"/>
  <c r="P705" i="7"/>
  <c r="R705" i="7" l="1"/>
  <c r="G705" i="7"/>
  <c r="L705" i="7" l="1"/>
  <c r="M705" i="7" s="1"/>
  <c r="N705" i="7" s="1"/>
  <c r="H705" i="7"/>
  <c r="I705" i="7" s="1"/>
  <c r="J705" i="7" s="1"/>
  <c r="P706" i="7" l="1"/>
  <c r="K705" i="7"/>
  <c r="S706" i="7" s="1"/>
  <c r="Q706" i="7"/>
  <c r="O705" i="7"/>
  <c r="T706" i="7" s="1"/>
  <c r="R706" i="7" l="1"/>
  <c r="G706" i="7"/>
  <c r="L706" i="7" l="1"/>
  <c r="M706" i="7" s="1"/>
  <c r="N706" i="7" s="1"/>
  <c r="H706" i="7"/>
  <c r="I706" i="7" s="1"/>
  <c r="J706" i="7" s="1"/>
  <c r="P707" i="7" l="1"/>
  <c r="K706" i="7"/>
  <c r="S707" i="7" s="1"/>
  <c r="O706" i="7"/>
  <c r="T707" i="7" s="1"/>
  <c r="Q707" i="7"/>
  <c r="R707" i="7" l="1"/>
  <c r="G707" i="7"/>
  <c r="H707" i="7" l="1"/>
  <c r="I707" i="7" s="1"/>
  <c r="J707" i="7" s="1"/>
  <c r="L707" i="7"/>
  <c r="M707" i="7" s="1"/>
  <c r="N707" i="7" s="1"/>
  <c r="Q708" i="7" l="1"/>
  <c r="O707" i="7"/>
  <c r="T708" i="7" s="1"/>
  <c r="P708" i="7"/>
  <c r="K707" i="7"/>
  <c r="S708" i="7" s="1"/>
  <c r="G708" i="7" l="1"/>
  <c r="R708" i="7"/>
  <c r="H708" i="7" l="1"/>
  <c r="I708" i="7" s="1"/>
  <c r="J708" i="7" s="1"/>
  <c r="L708" i="7"/>
  <c r="M708" i="7" s="1"/>
  <c r="N708" i="7" s="1"/>
  <c r="Q709" i="7" l="1"/>
  <c r="O708" i="7"/>
  <c r="T709" i="7" s="1"/>
  <c r="P709" i="7"/>
  <c r="K708" i="7"/>
  <c r="S709" i="7" s="1"/>
  <c r="G709" i="7" l="1"/>
  <c r="R709" i="7"/>
  <c r="H709" i="7" l="1"/>
  <c r="I709" i="7" s="1"/>
  <c r="J709" i="7" s="1"/>
  <c r="L709" i="7"/>
  <c r="M709" i="7" s="1"/>
  <c r="N709" i="7" s="1"/>
  <c r="O709" i="7" l="1"/>
  <c r="T710" i="7" s="1"/>
  <c r="Q710" i="7"/>
  <c r="K709" i="7"/>
  <c r="S710" i="7" s="1"/>
  <c r="P710" i="7"/>
  <c r="G710" i="7" l="1"/>
  <c r="R710" i="7"/>
  <c r="L710" i="7" l="1"/>
  <c r="M710" i="7" s="1"/>
  <c r="N710" i="7" s="1"/>
  <c r="H710" i="7"/>
  <c r="I710" i="7" s="1"/>
  <c r="J710" i="7" s="1"/>
  <c r="K710" i="7" l="1"/>
  <c r="S711" i="7" s="1"/>
  <c r="P711" i="7"/>
  <c r="O710" i="7"/>
  <c r="T711" i="7" s="1"/>
  <c r="Q711" i="7"/>
  <c r="G711" i="7" l="1"/>
  <c r="R711" i="7"/>
  <c r="L711" i="7" l="1"/>
  <c r="M711" i="7" s="1"/>
  <c r="N711" i="7" s="1"/>
  <c r="H711" i="7"/>
  <c r="I711" i="7" s="1"/>
  <c r="J711" i="7" s="1"/>
  <c r="K711" i="7" l="1"/>
  <c r="S712" i="7" s="1"/>
  <c r="P712" i="7"/>
  <c r="O711" i="7"/>
  <c r="T712" i="7" s="1"/>
  <c r="Q712" i="7"/>
  <c r="R712" i="7" l="1"/>
  <c r="G712" i="7"/>
  <c r="L712" i="7" l="1"/>
  <c r="M712" i="7" s="1"/>
  <c r="N712" i="7" s="1"/>
  <c r="H712" i="7"/>
  <c r="I712" i="7" s="1"/>
  <c r="J712" i="7" s="1"/>
  <c r="P713" i="7" l="1"/>
  <c r="K712" i="7"/>
  <c r="S713" i="7" s="1"/>
  <c r="O712" i="7"/>
  <c r="T713" i="7" s="1"/>
  <c r="Q713" i="7"/>
  <c r="R713" i="7" l="1"/>
  <c r="G713" i="7"/>
  <c r="L713" i="7" l="1"/>
  <c r="M713" i="7" s="1"/>
  <c r="N713" i="7" s="1"/>
  <c r="H713" i="7"/>
  <c r="I713" i="7" s="1"/>
  <c r="J713" i="7" s="1"/>
  <c r="P714" i="7" l="1"/>
  <c r="K713" i="7"/>
  <c r="S714" i="7" s="1"/>
  <c r="Q714" i="7"/>
  <c r="O713" i="7"/>
  <c r="T714" i="7" s="1"/>
  <c r="G714" i="7" l="1"/>
  <c r="R714" i="7"/>
  <c r="H714" i="7" l="1"/>
  <c r="I714" i="7" s="1"/>
  <c r="J714" i="7" s="1"/>
  <c r="L714" i="7"/>
  <c r="M714" i="7" s="1"/>
  <c r="N714" i="7" s="1"/>
  <c r="Q715" i="7" l="1"/>
  <c r="O714" i="7"/>
  <c r="T715" i="7" s="1"/>
  <c r="P715" i="7"/>
  <c r="K714" i="7"/>
  <c r="S715" i="7" s="1"/>
  <c r="G715" i="7" l="1"/>
  <c r="R715" i="7"/>
  <c r="H715" i="7" l="1"/>
  <c r="I715" i="7" s="1"/>
  <c r="J715" i="7" s="1"/>
  <c r="L715" i="7"/>
  <c r="M715" i="7" s="1"/>
  <c r="N715" i="7" s="1"/>
  <c r="Q716" i="7" l="1"/>
  <c r="O715" i="7"/>
  <c r="T716" i="7" s="1"/>
  <c r="P716" i="7"/>
  <c r="K715" i="7"/>
  <c r="S716" i="7" s="1"/>
  <c r="G716" i="7" l="1"/>
  <c r="R716" i="7"/>
  <c r="H716" i="7" l="1"/>
  <c r="I716" i="7" s="1"/>
  <c r="J716" i="7" s="1"/>
  <c r="L716" i="7"/>
  <c r="M716" i="7" s="1"/>
  <c r="N716" i="7" s="1"/>
  <c r="O716" i="7" l="1"/>
  <c r="T717" i="7" s="1"/>
  <c r="Q717" i="7"/>
  <c r="P717" i="7"/>
  <c r="K716" i="7"/>
  <c r="S717" i="7" s="1"/>
  <c r="G717" i="7" l="1"/>
  <c r="R717" i="7"/>
  <c r="L717" i="7" l="1"/>
  <c r="M717" i="7" s="1"/>
  <c r="N717" i="7" s="1"/>
  <c r="H717" i="7"/>
  <c r="I717" i="7" s="1"/>
  <c r="J717" i="7" s="1"/>
  <c r="K717" i="7" l="1"/>
  <c r="S718" i="7" s="1"/>
  <c r="P718" i="7"/>
  <c r="Q718" i="7"/>
  <c r="O717" i="7"/>
  <c r="T718" i="7" s="1"/>
  <c r="R718" i="7" l="1"/>
  <c r="G718" i="7"/>
  <c r="H718" i="7" l="1"/>
  <c r="I718" i="7" s="1"/>
  <c r="J718" i="7" s="1"/>
  <c r="L718" i="7"/>
  <c r="M718" i="7" s="1"/>
  <c r="N718" i="7" s="1"/>
  <c r="O718" i="7" l="1"/>
  <c r="T719" i="7" s="1"/>
  <c r="Q719" i="7"/>
  <c r="P719" i="7"/>
  <c r="K718" i="7"/>
  <c r="S719" i="7" s="1"/>
  <c r="G719" i="7" l="1"/>
  <c r="R719" i="7"/>
  <c r="L719" i="7" l="1"/>
  <c r="M719" i="7" s="1"/>
  <c r="N719" i="7" s="1"/>
  <c r="H719" i="7"/>
  <c r="I719" i="7" s="1"/>
  <c r="J719" i="7" s="1"/>
  <c r="K719" i="7" l="1"/>
  <c r="S720" i="7" s="1"/>
  <c r="P720" i="7"/>
  <c r="O719" i="7"/>
  <c r="T720" i="7" s="1"/>
  <c r="Q720" i="7"/>
  <c r="R720" i="7" l="1"/>
  <c r="G720" i="7"/>
  <c r="H720" i="7" l="1"/>
  <c r="I720" i="7" s="1"/>
  <c r="J720" i="7" s="1"/>
  <c r="L720" i="7"/>
  <c r="M720" i="7" s="1"/>
  <c r="N720" i="7" s="1"/>
  <c r="Q721" i="7" l="1"/>
  <c r="O720" i="7"/>
  <c r="T721" i="7" s="1"/>
  <c r="K720" i="7"/>
  <c r="S721" i="7" s="1"/>
  <c r="P721" i="7"/>
  <c r="G721" i="7" l="1"/>
  <c r="R721" i="7"/>
  <c r="L721" i="7" l="1"/>
  <c r="M721" i="7" s="1"/>
  <c r="N721" i="7" s="1"/>
  <c r="H721" i="7"/>
  <c r="I721" i="7" s="1"/>
  <c r="J721" i="7" s="1"/>
  <c r="P722" i="7" l="1"/>
  <c r="K721" i="7"/>
  <c r="S722" i="7" s="1"/>
  <c r="O721" i="7"/>
  <c r="T722" i="7" s="1"/>
  <c r="Q722" i="7"/>
  <c r="R722" i="7" l="1"/>
  <c r="G722" i="7"/>
  <c r="L722" i="7" l="1"/>
  <c r="M722" i="7" s="1"/>
  <c r="N722" i="7" s="1"/>
  <c r="H722" i="7"/>
  <c r="I722" i="7" s="1"/>
  <c r="J722" i="7" s="1"/>
  <c r="P723" i="7" l="1"/>
  <c r="K722" i="7"/>
  <c r="S723" i="7" s="1"/>
  <c r="O722" i="7"/>
  <c r="T723" i="7" s="1"/>
  <c r="Q723" i="7"/>
  <c r="R723" i="7" l="1"/>
  <c r="G723" i="7"/>
  <c r="L723" i="7" l="1"/>
  <c r="M723" i="7" s="1"/>
  <c r="N723" i="7" s="1"/>
  <c r="H723" i="7"/>
  <c r="I723" i="7" s="1"/>
  <c r="J723" i="7" s="1"/>
  <c r="P724" i="7" l="1"/>
  <c r="K723" i="7"/>
  <c r="S724" i="7" s="1"/>
  <c r="Q724" i="7"/>
  <c r="O723" i="7"/>
  <c r="T724" i="7" s="1"/>
  <c r="G724" i="7" l="1"/>
  <c r="R724" i="7"/>
  <c r="H724" i="7" l="1"/>
  <c r="I724" i="7" s="1"/>
  <c r="J724" i="7" s="1"/>
  <c r="L724" i="7"/>
  <c r="M724" i="7" s="1"/>
  <c r="N724" i="7" s="1"/>
  <c r="Q725" i="7" l="1"/>
  <c r="O724" i="7"/>
  <c r="T725" i="7" s="1"/>
  <c r="K724" i="7"/>
  <c r="S725" i="7" s="1"/>
  <c r="P725" i="7"/>
  <c r="G725" i="7" l="1"/>
  <c r="R725" i="7"/>
  <c r="L725" i="7" l="1"/>
  <c r="M725" i="7" s="1"/>
  <c r="N725" i="7" s="1"/>
  <c r="H725" i="7"/>
  <c r="I725" i="7" s="1"/>
  <c r="J725" i="7" s="1"/>
  <c r="P726" i="7" l="1"/>
  <c r="K725" i="7"/>
  <c r="S726" i="7" s="1"/>
  <c r="Q726" i="7"/>
  <c r="O725" i="7"/>
  <c r="T726" i="7" s="1"/>
  <c r="G726" i="7" l="1"/>
  <c r="R726" i="7"/>
  <c r="H726" i="7" l="1"/>
  <c r="I726" i="7" s="1"/>
  <c r="J726" i="7" s="1"/>
  <c r="L726" i="7"/>
  <c r="M726" i="7" s="1"/>
  <c r="N726" i="7" s="1"/>
  <c r="Q727" i="7" l="1"/>
  <c r="O726" i="7"/>
  <c r="T727" i="7" s="1"/>
  <c r="P727" i="7"/>
  <c r="K726" i="7"/>
  <c r="S727" i="7" s="1"/>
  <c r="R727" i="7" l="1"/>
  <c r="G727" i="7"/>
  <c r="H727" i="7" l="1"/>
  <c r="I727" i="7" s="1"/>
  <c r="J727" i="7" s="1"/>
  <c r="L727" i="7"/>
  <c r="M727" i="7" s="1"/>
  <c r="N727" i="7" s="1"/>
  <c r="Q728" i="7" l="1"/>
  <c r="O727" i="7"/>
  <c r="T728" i="7" s="1"/>
  <c r="K727" i="7"/>
  <c r="S728" i="7" s="1"/>
  <c r="P728" i="7"/>
  <c r="G728" i="7" l="1"/>
  <c r="R728" i="7"/>
  <c r="H728" i="7" l="1"/>
  <c r="I728" i="7" s="1"/>
  <c r="J728" i="7" s="1"/>
  <c r="L728" i="7"/>
  <c r="M728" i="7" s="1"/>
  <c r="N728" i="7" s="1"/>
  <c r="O728" i="7" l="1"/>
  <c r="T729" i="7" s="1"/>
  <c r="Q729" i="7"/>
  <c r="P729" i="7"/>
  <c r="K728" i="7"/>
  <c r="S729" i="7" s="1"/>
  <c r="G729" i="7" l="1"/>
  <c r="R729" i="7"/>
  <c r="H729" i="7" l="1"/>
  <c r="I729" i="7" s="1"/>
  <c r="J729" i="7" s="1"/>
  <c r="L729" i="7"/>
  <c r="M729" i="7" s="1"/>
  <c r="N729" i="7" s="1"/>
  <c r="Q730" i="7" l="1"/>
  <c r="O729" i="7"/>
  <c r="T730" i="7" s="1"/>
  <c r="P730" i="7"/>
  <c r="K729" i="7"/>
  <c r="S730" i="7" s="1"/>
  <c r="R730" i="7" l="1"/>
  <c r="G730" i="7"/>
  <c r="L730" i="7" l="1"/>
  <c r="M730" i="7" s="1"/>
  <c r="N730" i="7" s="1"/>
  <c r="H730" i="7"/>
  <c r="I730" i="7" s="1"/>
  <c r="J730" i="7" s="1"/>
  <c r="K730" i="7" l="1"/>
  <c r="S731" i="7" s="1"/>
  <c r="P731" i="7"/>
  <c r="O730" i="7"/>
  <c r="T731" i="7" s="1"/>
  <c r="Q731" i="7"/>
  <c r="R731" i="7" l="1"/>
  <c r="G731" i="7"/>
  <c r="H731" i="7" l="1"/>
  <c r="I731" i="7" s="1"/>
  <c r="J731" i="7" s="1"/>
  <c r="L731" i="7"/>
  <c r="M731" i="7" s="1"/>
  <c r="N731" i="7" s="1"/>
  <c r="Q732" i="7" l="1"/>
  <c r="O731" i="7"/>
  <c r="T732" i="7" s="1"/>
  <c r="K731" i="7"/>
  <c r="S732" i="7" s="1"/>
  <c r="P732" i="7"/>
  <c r="R732" i="7" l="1"/>
  <c r="G732" i="7"/>
  <c r="H732" i="7" l="1"/>
  <c r="I732" i="7" s="1"/>
  <c r="J732" i="7" s="1"/>
  <c r="L732" i="7"/>
  <c r="M732" i="7" s="1"/>
  <c r="N732" i="7" s="1"/>
  <c r="Q733" i="7" l="1"/>
  <c r="O732" i="7"/>
  <c r="T733" i="7" s="1"/>
  <c r="K732" i="7"/>
  <c r="S733" i="7" s="1"/>
  <c r="P733" i="7"/>
  <c r="R733" i="7" l="1"/>
  <c r="G733" i="7"/>
  <c r="H733" i="7" l="1"/>
  <c r="I733" i="7" s="1"/>
  <c r="J733" i="7" s="1"/>
  <c r="L733" i="7"/>
  <c r="M733" i="7" s="1"/>
  <c r="N733" i="7" s="1"/>
  <c r="O733" i="7" l="1"/>
  <c r="T734" i="7" s="1"/>
  <c r="Q734" i="7"/>
  <c r="K733" i="7"/>
  <c r="S734" i="7" s="1"/>
  <c r="P734" i="7"/>
  <c r="R734" i="7" l="1"/>
  <c r="G734" i="7"/>
  <c r="L734" i="7" l="1"/>
  <c r="M734" i="7" s="1"/>
  <c r="N734" i="7" s="1"/>
  <c r="H734" i="7"/>
  <c r="I734" i="7" s="1"/>
  <c r="J734" i="7" s="1"/>
  <c r="P735" i="7" l="1"/>
  <c r="K734" i="7"/>
  <c r="S735" i="7" s="1"/>
  <c r="O734" i="7"/>
  <c r="T735" i="7" s="1"/>
  <c r="Q735" i="7"/>
  <c r="R735" i="7" l="1"/>
  <c r="G735" i="7"/>
  <c r="L735" i="7" l="1"/>
  <c r="M735" i="7" s="1"/>
  <c r="N735" i="7" s="1"/>
  <c r="H735" i="7"/>
  <c r="I735" i="7" s="1"/>
  <c r="J735" i="7" s="1"/>
  <c r="P736" i="7" l="1"/>
  <c r="K735" i="7"/>
  <c r="S736" i="7" s="1"/>
  <c r="Q736" i="7"/>
  <c r="O735" i="7"/>
  <c r="T736" i="7" s="1"/>
  <c r="G736" i="7" l="1"/>
  <c r="R736" i="7"/>
  <c r="H736" i="7" l="1"/>
  <c r="I736" i="7" s="1"/>
  <c r="J736" i="7" s="1"/>
  <c r="L736" i="7"/>
  <c r="M736" i="7" s="1"/>
  <c r="N736" i="7" s="1"/>
  <c r="Q737" i="7" l="1"/>
  <c r="O736" i="7"/>
  <c r="T737" i="7" s="1"/>
  <c r="P737" i="7"/>
  <c r="K736" i="7"/>
  <c r="S737" i="7" s="1"/>
  <c r="R737" i="7" l="1"/>
  <c r="G737" i="7"/>
  <c r="L737" i="7" l="1"/>
  <c r="M737" i="7" s="1"/>
  <c r="N737" i="7" s="1"/>
  <c r="H737" i="7"/>
  <c r="I737" i="7" s="1"/>
  <c r="J737" i="7" s="1"/>
  <c r="K737" i="7" l="1"/>
  <c r="S738" i="7" s="1"/>
  <c r="P738" i="7"/>
  <c r="Q738" i="7"/>
  <c r="O737" i="7"/>
  <c r="T738" i="7" s="1"/>
  <c r="G738" i="7" l="1"/>
  <c r="R738" i="7"/>
  <c r="L738" i="7" l="1"/>
  <c r="M738" i="7" s="1"/>
  <c r="N738" i="7" s="1"/>
  <c r="H738" i="7"/>
  <c r="I738" i="7" s="1"/>
  <c r="J738" i="7" s="1"/>
  <c r="P739" i="7" l="1"/>
  <c r="K738" i="7"/>
  <c r="S739" i="7" s="1"/>
  <c r="Q739" i="7"/>
  <c r="O738" i="7"/>
  <c r="T739" i="7" s="1"/>
  <c r="R739" i="7" l="1"/>
  <c r="G739" i="7"/>
  <c r="L739" i="7" l="1"/>
  <c r="M739" i="7" s="1"/>
  <c r="N739" i="7" s="1"/>
  <c r="H739" i="7"/>
  <c r="I739" i="7" s="1"/>
  <c r="J739" i="7" s="1"/>
  <c r="K739" i="7" l="1"/>
  <c r="S740" i="7" s="1"/>
  <c r="P740" i="7"/>
  <c r="O739" i="7"/>
  <c r="T740" i="7" s="1"/>
  <c r="Q740" i="7"/>
  <c r="G740" i="7" l="1"/>
  <c r="R740" i="7"/>
  <c r="L740" i="7" l="1"/>
  <c r="M740" i="7" s="1"/>
  <c r="N740" i="7" s="1"/>
  <c r="H740" i="7"/>
  <c r="I740" i="7" s="1"/>
  <c r="J740" i="7" s="1"/>
  <c r="P741" i="7" l="1"/>
  <c r="K740" i="7"/>
  <c r="S741" i="7" s="1"/>
  <c r="O740" i="7"/>
  <c r="T741" i="7" s="1"/>
  <c r="Q741" i="7"/>
  <c r="R741" i="7" l="1"/>
  <c r="G741" i="7"/>
  <c r="L741" i="7" l="1"/>
  <c r="M741" i="7" s="1"/>
  <c r="N741" i="7" s="1"/>
  <c r="H741" i="7"/>
  <c r="I741" i="7" s="1"/>
  <c r="J741" i="7" s="1"/>
  <c r="K741" i="7" l="1"/>
  <c r="S742" i="7" s="1"/>
  <c r="P742" i="7"/>
  <c r="Q742" i="7"/>
  <c r="O741" i="7"/>
  <c r="T742" i="7" s="1"/>
  <c r="R742" i="7" l="1"/>
  <c r="G742" i="7"/>
  <c r="H742" i="7" l="1"/>
  <c r="I742" i="7" s="1"/>
  <c r="J742" i="7" s="1"/>
  <c r="L742" i="7"/>
  <c r="M742" i="7" s="1"/>
  <c r="N742" i="7" s="1"/>
  <c r="Q743" i="7" l="1"/>
  <c r="O742" i="7"/>
  <c r="T743" i="7" s="1"/>
  <c r="P743" i="7"/>
  <c r="K742" i="7"/>
  <c r="S743" i="7" s="1"/>
  <c r="G743" i="7" l="1"/>
  <c r="R743" i="7"/>
  <c r="L743" i="7" l="1"/>
  <c r="M743" i="7" s="1"/>
  <c r="N743" i="7" s="1"/>
  <c r="H743" i="7"/>
  <c r="I743" i="7" s="1"/>
  <c r="J743" i="7" s="1"/>
  <c r="P744" i="7" l="1"/>
  <c r="K743" i="7"/>
  <c r="S744" i="7" s="1"/>
  <c r="Q744" i="7"/>
  <c r="O743" i="7"/>
  <c r="T744" i="7" s="1"/>
  <c r="G744" i="7" l="1"/>
  <c r="R744" i="7"/>
  <c r="L744" i="7" l="1"/>
  <c r="M744" i="7" s="1"/>
  <c r="N744" i="7" s="1"/>
  <c r="H744" i="7"/>
  <c r="I744" i="7" s="1"/>
  <c r="J744" i="7" s="1"/>
  <c r="K744" i="7" l="1"/>
  <c r="S745" i="7" s="1"/>
  <c r="P745" i="7"/>
  <c r="O744" i="7"/>
  <c r="T745" i="7" s="1"/>
  <c r="Q745" i="7"/>
  <c r="R745" i="7" l="1"/>
  <c r="G745" i="7"/>
  <c r="H745" i="7" l="1"/>
  <c r="I745" i="7" s="1"/>
  <c r="J745" i="7" s="1"/>
  <c r="L745" i="7"/>
  <c r="M745" i="7" s="1"/>
  <c r="N745" i="7" s="1"/>
  <c r="O745" i="7" l="1"/>
  <c r="T746" i="7" s="1"/>
  <c r="Q746" i="7"/>
  <c r="K745" i="7"/>
  <c r="S746" i="7" s="1"/>
  <c r="P746" i="7"/>
  <c r="G746" i="7" l="1"/>
  <c r="R746" i="7"/>
  <c r="H746" i="7" l="1"/>
  <c r="I746" i="7" s="1"/>
  <c r="J746" i="7" s="1"/>
  <c r="L746" i="7"/>
  <c r="M746" i="7" s="1"/>
  <c r="N746" i="7" s="1"/>
  <c r="Q747" i="7" l="1"/>
  <c r="O746" i="7"/>
  <c r="T747" i="7" s="1"/>
  <c r="K746" i="7"/>
  <c r="S747" i="7" s="1"/>
  <c r="P747" i="7"/>
  <c r="G747" i="7" l="1"/>
  <c r="R747" i="7"/>
  <c r="H747" i="7" l="1"/>
  <c r="I747" i="7" s="1"/>
  <c r="J747" i="7" s="1"/>
  <c r="L747" i="7"/>
  <c r="M747" i="7" s="1"/>
  <c r="N747" i="7" s="1"/>
  <c r="O747" i="7" l="1"/>
  <c r="T748" i="7" s="1"/>
  <c r="Q748" i="7"/>
  <c r="K747" i="7"/>
  <c r="S748" i="7" s="1"/>
  <c r="P748" i="7"/>
  <c r="G748" i="7" l="1"/>
  <c r="R748" i="7"/>
  <c r="L748" i="7" l="1"/>
  <c r="M748" i="7" s="1"/>
  <c r="N748" i="7" s="1"/>
  <c r="H748" i="7"/>
  <c r="I748" i="7" s="1"/>
  <c r="J748" i="7" s="1"/>
  <c r="P749" i="7" l="1"/>
  <c r="K748" i="7"/>
  <c r="S749" i="7" s="1"/>
  <c r="O748" i="7"/>
  <c r="T749" i="7" s="1"/>
  <c r="Q749" i="7"/>
  <c r="R749" i="7" l="1"/>
  <c r="G749" i="7"/>
  <c r="L749" i="7" l="1"/>
  <c r="M749" i="7" s="1"/>
  <c r="N749" i="7" s="1"/>
  <c r="H749" i="7"/>
  <c r="I749" i="7" s="1"/>
  <c r="J749" i="7" s="1"/>
  <c r="P750" i="7" l="1"/>
  <c r="K749" i="7"/>
  <c r="S750" i="7" s="1"/>
  <c r="O749" i="7"/>
  <c r="T750" i="7" s="1"/>
  <c r="Q750" i="7"/>
  <c r="R750" i="7" l="1"/>
  <c r="G750" i="7"/>
  <c r="L750" i="7" l="1"/>
  <c r="M750" i="7" s="1"/>
  <c r="N750" i="7" s="1"/>
  <c r="H750" i="7"/>
  <c r="I750" i="7" s="1"/>
  <c r="J750" i="7" s="1"/>
  <c r="P751" i="7" l="1"/>
  <c r="K750" i="7"/>
  <c r="S751" i="7" s="1"/>
  <c r="Q751" i="7"/>
  <c r="O750" i="7"/>
  <c r="T751" i="7" s="1"/>
  <c r="G751" i="7" l="1"/>
  <c r="R751" i="7"/>
  <c r="H751" i="7" l="1"/>
  <c r="I751" i="7" s="1"/>
  <c r="J751" i="7" s="1"/>
  <c r="L751" i="7"/>
  <c r="M751" i="7" s="1"/>
  <c r="N751" i="7" s="1"/>
  <c r="Q752" i="7" l="1"/>
  <c r="O751" i="7"/>
  <c r="T752" i="7" s="1"/>
  <c r="K751" i="7"/>
  <c r="S752" i="7" s="1"/>
  <c r="P752" i="7"/>
  <c r="G752" i="7" l="1"/>
  <c r="R752" i="7"/>
  <c r="L752" i="7" l="1"/>
  <c r="M752" i="7" s="1"/>
  <c r="N752" i="7" s="1"/>
  <c r="H752" i="7"/>
  <c r="I752" i="7" s="1"/>
  <c r="J752" i="7" s="1"/>
  <c r="K752" i="7" l="1"/>
  <c r="S753" i="7" s="1"/>
  <c r="P753" i="7"/>
  <c r="Q753" i="7"/>
  <c r="O752" i="7"/>
  <c r="T753" i="7" s="1"/>
  <c r="R753" i="7" l="1"/>
  <c r="G753" i="7"/>
  <c r="H753" i="7" l="1"/>
  <c r="I753" i="7" s="1"/>
  <c r="J753" i="7" s="1"/>
  <c r="L753" i="7"/>
  <c r="M753" i="7" s="1"/>
  <c r="N753" i="7" s="1"/>
  <c r="Q754" i="7" l="1"/>
  <c r="O753" i="7"/>
  <c r="T754" i="7" s="1"/>
  <c r="P754" i="7"/>
  <c r="K753" i="7"/>
  <c r="S754" i="7" s="1"/>
  <c r="G754" i="7" l="1"/>
  <c r="R754" i="7"/>
  <c r="H754" i="7" l="1"/>
  <c r="I754" i="7" s="1"/>
  <c r="J754" i="7" s="1"/>
  <c r="L754" i="7"/>
  <c r="M754" i="7" s="1"/>
  <c r="N754" i="7" s="1"/>
  <c r="Q755" i="7" l="1"/>
  <c r="O754" i="7"/>
  <c r="T755" i="7" s="1"/>
  <c r="P755" i="7"/>
  <c r="K754" i="7"/>
  <c r="S755" i="7" s="1"/>
  <c r="R755" i="7" l="1"/>
  <c r="G755" i="7"/>
  <c r="H755" i="7" l="1"/>
  <c r="I755" i="7" s="1"/>
  <c r="J755" i="7" s="1"/>
  <c r="L755" i="7"/>
  <c r="M755" i="7" s="1"/>
  <c r="N755" i="7" s="1"/>
  <c r="Q756" i="7" l="1"/>
  <c r="O755" i="7"/>
  <c r="T756" i="7" s="1"/>
  <c r="P756" i="7"/>
  <c r="K755" i="7"/>
  <c r="S756" i="7" s="1"/>
  <c r="G756" i="7" l="1"/>
  <c r="R756" i="7"/>
  <c r="H756" i="7" l="1"/>
  <c r="I756" i="7" s="1"/>
  <c r="J756" i="7" s="1"/>
  <c r="L756" i="7"/>
  <c r="M756" i="7" s="1"/>
  <c r="N756" i="7" s="1"/>
  <c r="O756" i="7" l="1"/>
  <c r="T757" i="7" s="1"/>
  <c r="Q757" i="7"/>
  <c r="K756" i="7"/>
  <c r="S757" i="7" s="1"/>
  <c r="P757" i="7"/>
  <c r="G757" i="7" l="1"/>
  <c r="R757" i="7"/>
  <c r="H757" i="7" l="1"/>
  <c r="I757" i="7" s="1"/>
  <c r="J757" i="7" s="1"/>
  <c r="L757" i="7"/>
  <c r="M757" i="7" s="1"/>
  <c r="N757" i="7" s="1"/>
  <c r="O757" i="7" l="1"/>
  <c r="T758" i="7" s="1"/>
  <c r="Q758" i="7"/>
  <c r="P758" i="7"/>
  <c r="K757" i="7"/>
  <c r="S758" i="7" s="1"/>
  <c r="R758" i="7" l="1"/>
  <c r="G758" i="7"/>
  <c r="H758" i="7" l="1"/>
  <c r="I758" i="7" s="1"/>
  <c r="J758" i="7" s="1"/>
  <c r="L758" i="7"/>
  <c r="M758" i="7" s="1"/>
  <c r="N758" i="7" s="1"/>
  <c r="Q759" i="7" l="1"/>
  <c r="O758" i="7"/>
  <c r="T759" i="7" s="1"/>
  <c r="K758" i="7"/>
  <c r="S759" i="7" s="1"/>
  <c r="P759" i="7"/>
  <c r="G759" i="7" l="1"/>
  <c r="R759" i="7"/>
  <c r="H759" i="7" l="1"/>
  <c r="I759" i="7" s="1"/>
  <c r="J759" i="7" s="1"/>
  <c r="L759" i="7"/>
  <c r="M759" i="7" s="1"/>
  <c r="N759" i="7" s="1"/>
  <c r="Q760" i="7" l="1"/>
  <c r="O759" i="7"/>
  <c r="T760" i="7" s="1"/>
  <c r="P760" i="7"/>
  <c r="K759" i="7"/>
  <c r="S760" i="7" s="1"/>
  <c r="G760" i="7" l="1"/>
  <c r="R760" i="7"/>
  <c r="H760" i="7" l="1"/>
  <c r="I760" i="7" s="1"/>
  <c r="J760" i="7" s="1"/>
  <c r="L760" i="7"/>
  <c r="M760" i="7" s="1"/>
  <c r="N760" i="7" s="1"/>
  <c r="O760" i="7" l="1"/>
  <c r="T761" i="7" s="1"/>
  <c r="Q761" i="7"/>
  <c r="P761" i="7"/>
  <c r="K760" i="7"/>
  <c r="S761" i="7" s="1"/>
  <c r="G761" i="7" l="1"/>
  <c r="R761" i="7"/>
  <c r="H761" i="7" l="1"/>
  <c r="I761" i="7" s="1"/>
  <c r="J761" i="7" s="1"/>
  <c r="L761" i="7"/>
  <c r="M761" i="7" s="1"/>
  <c r="N761" i="7" s="1"/>
  <c r="Q762" i="7" l="1"/>
  <c r="O761" i="7"/>
  <c r="T762" i="7" s="1"/>
  <c r="P762" i="7"/>
  <c r="K761" i="7"/>
  <c r="S762" i="7" s="1"/>
  <c r="R762" i="7" l="1"/>
  <c r="G762" i="7"/>
  <c r="H762" i="7" l="1"/>
  <c r="I762" i="7" s="1"/>
  <c r="J762" i="7" s="1"/>
  <c r="L762" i="7"/>
  <c r="M762" i="7" s="1"/>
  <c r="N762" i="7" s="1"/>
  <c r="O762" i="7" l="1"/>
  <c r="T763" i="7" s="1"/>
  <c r="Q763" i="7"/>
  <c r="P763" i="7"/>
  <c r="K762" i="7"/>
  <c r="S763" i="7" s="1"/>
  <c r="G763" i="7" l="1"/>
  <c r="R763" i="7"/>
  <c r="H763" i="7" l="1"/>
  <c r="I763" i="7" s="1"/>
  <c r="J763" i="7" s="1"/>
  <c r="L763" i="7"/>
  <c r="M763" i="7" s="1"/>
  <c r="N763" i="7" s="1"/>
  <c r="Q764" i="7" l="1"/>
  <c r="O763" i="7"/>
  <c r="T764" i="7" s="1"/>
  <c r="P764" i="7"/>
  <c r="K763" i="7"/>
  <c r="S764" i="7" s="1"/>
  <c r="R764" i="7" l="1"/>
  <c r="G764" i="7"/>
  <c r="L764" i="7" l="1"/>
  <c r="M764" i="7" s="1"/>
  <c r="N764" i="7" s="1"/>
  <c r="H764" i="7"/>
  <c r="I764" i="7" s="1"/>
  <c r="J764" i="7" s="1"/>
  <c r="K764" i="7" l="1"/>
  <c r="S765" i="7" s="1"/>
  <c r="P765" i="7"/>
  <c r="O764" i="7"/>
  <c r="T765" i="7" s="1"/>
  <c r="Q765" i="7"/>
  <c r="R765" i="7" l="1"/>
  <c r="G765" i="7"/>
  <c r="L765" i="7" l="1"/>
  <c r="M765" i="7" s="1"/>
  <c r="N765" i="7" s="1"/>
  <c r="H765" i="7"/>
  <c r="I765" i="7" s="1"/>
  <c r="J765" i="7" s="1"/>
  <c r="K765" i="7" l="1"/>
  <c r="S766" i="7" s="1"/>
  <c r="P766" i="7"/>
  <c r="Q766" i="7"/>
  <c r="O765" i="7"/>
  <c r="T766" i="7" s="1"/>
  <c r="G766" i="7" l="1"/>
  <c r="R766" i="7"/>
  <c r="H766" i="7" l="1"/>
  <c r="I766" i="7" s="1"/>
  <c r="J766" i="7" s="1"/>
  <c r="L766" i="7"/>
  <c r="M766" i="7" s="1"/>
  <c r="N766" i="7" s="1"/>
  <c r="Q767" i="7" l="1"/>
  <c r="O766" i="7"/>
  <c r="T767" i="7" s="1"/>
  <c r="K766" i="7"/>
  <c r="S767" i="7" s="1"/>
  <c r="P767" i="7"/>
  <c r="G767" i="7" l="1"/>
  <c r="R767" i="7"/>
  <c r="H767" i="7" l="1"/>
  <c r="I767" i="7" s="1"/>
  <c r="J767" i="7" s="1"/>
  <c r="L767" i="7"/>
  <c r="M767" i="7" s="1"/>
  <c r="N767" i="7" s="1"/>
  <c r="O767" i="7" l="1"/>
  <c r="T768" i="7" s="1"/>
  <c r="Q768" i="7"/>
  <c r="P768" i="7"/>
  <c r="K767" i="7"/>
  <c r="S768" i="7" s="1"/>
  <c r="G768" i="7" l="1"/>
  <c r="R768" i="7"/>
  <c r="H768" i="7" l="1"/>
  <c r="I768" i="7" s="1"/>
  <c r="J768" i="7" s="1"/>
  <c r="L768" i="7"/>
  <c r="M768" i="7" s="1"/>
  <c r="N768" i="7" s="1"/>
  <c r="O768" i="7" l="1"/>
  <c r="T769" i="7" s="1"/>
  <c r="Q769" i="7"/>
  <c r="K768" i="7"/>
  <c r="S769" i="7" s="1"/>
  <c r="P769" i="7"/>
  <c r="R769" i="7" l="1"/>
  <c r="G769" i="7"/>
  <c r="L769" i="7" l="1"/>
  <c r="M769" i="7" s="1"/>
  <c r="N769" i="7" s="1"/>
  <c r="H769" i="7"/>
  <c r="I769" i="7" s="1"/>
  <c r="J769" i="7" s="1"/>
  <c r="P770" i="7" l="1"/>
  <c r="K769" i="7"/>
  <c r="S770" i="7" s="1"/>
  <c r="Q770" i="7"/>
  <c r="O769" i="7"/>
  <c r="T770" i="7" s="1"/>
  <c r="R770" i="7" l="1"/>
  <c r="G770" i="7"/>
  <c r="L770" i="7" l="1"/>
  <c r="M770" i="7" s="1"/>
  <c r="N770" i="7" s="1"/>
  <c r="H770" i="7"/>
  <c r="I770" i="7" s="1"/>
  <c r="J770" i="7" s="1"/>
  <c r="K770" i="7" l="1"/>
  <c r="S771" i="7" s="1"/>
  <c r="P771" i="7"/>
  <c r="Q771" i="7"/>
  <c r="O770" i="7"/>
  <c r="T771" i="7" s="1"/>
  <c r="R771" i="7" l="1"/>
  <c r="G771" i="7"/>
  <c r="L771" i="7" l="1"/>
  <c r="M771" i="7" s="1"/>
  <c r="N771" i="7" s="1"/>
  <c r="H771" i="7"/>
  <c r="I771" i="7" s="1"/>
  <c r="J771" i="7" s="1"/>
  <c r="K771" i="7" l="1"/>
  <c r="S772" i="7" s="1"/>
  <c r="P772" i="7"/>
  <c r="Q772" i="7"/>
  <c r="O771" i="7"/>
  <c r="T772" i="7" s="1"/>
  <c r="G772" i="7" l="1"/>
  <c r="R772" i="7"/>
  <c r="L772" i="7" l="1"/>
  <c r="M772" i="7" s="1"/>
  <c r="N772" i="7" s="1"/>
  <c r="H772" i="7"/>
  <c r="I772" i="7" s="1"/>
  <c r="J772" i="7" s="1"/>
  <c r="K772" i="7" l="1"/>
  <c r="S773" i="7" s="1"/>
  <c r="P773" i="7"/>
  <c r="O772" i="7"/>
  <c r="T773" i="7" s="1"/>
  <c r="Q773" i="7"/>
  <c r="R773" i="7" l="1"/>
  <c r="G773" i="7"/>
  <c r="H773" i="7" l="1"/>
  <c r="I773" i="7" s="1"/>
  <c r="J773" i="7" s="1"/>
  <c r="L773" i="7"/>
  <c r="M773" i="7" s="1"/>
  <c r="N773" i="7" s="1"/>
  <c r="O773" i="7" l="1"/>
  <c r="T774" i="7" s="1"/>
  <c r="Q774" i="7"/>
  <c r="P774" i="7"/>
  <c r="K773" i="7"/>
  <c r="S774" i="7" s="1"/>
  <c r="G774" i="7" l="1"/>
  <c r="R774" i="7"/>
  <c r="L774" i="7" l="1"/>
  <c r="M774" i="7" s="1"/>
  <c r="N774" i="7" s="1"/>
  <c r="H774" i="7"/>
  <c r="I774" i="7" s="1"/>
  <c r="J774" i="7" s="1"/>
  <c r="K774" i="7" l="1"/>
  <c r="S775" i="7" s="1"/>
  <c r="P775" i="7"/>
  <c r="O774" i="7"/>
  <c r="T775" i="7" s="1"/>
  <c r="Q775" i="7"/>
  <c r="G775" i="7" l="1"/>
  <c r="R775" i="7"/>
  <c r="H775" i="7" l="1"/>
  <c r="I775" i="7" s="1"/>
  <c r="J775" i="7" s="1"/>
  <c r="L775" i="7"/>
  <c r="M775" i="7" s="1"/>
  <c r="N775" i="7" s="1"/>
  <c r="Q776" i="7" l="1"/>
  <c r="O775" i="7"/>
  <c r="T776" i="7" s="1"/>
  <c r="K775" i="7"/>
  <c r="S776" i="7" s="1"/>
  <c r="P776" i="7"/>
  <c r="R776" i="7" l="1"/>
  <c r="G776" i="7"/>
  <c r="H776" i="7" l="1"/>
  <c r="I776" i="7" s="1"/>
  <c r="J776" i="7" s="1"/>
  <c r="L776" i="7"/>
  <c r="M776" i="7" s="1"/>
  <c r="N776" i="7" s="1"/>
  <c r="Q777" i="7" l="1"/>
  <c r="O776" i="7"/>
  <c r="T777" i="7" s="1"/>
  <c r="K776" i="7"/>
  <c r="S777" i="7" s="1"/>
  <c r="P777" i="7"/>
  <c r="G777" i="7" l="1"/>
  <c r="R777" i="7"/>
  <c r="H777" i="7" l="1"/>
  <c r="I777" i="7" s="1"/>
  <c r="J777" i="7" s="1"/>
  <c r="L777" i="7"/>
  <c r="M777" i="7" s="1"/>
  <c r="N777" i="7" s="1"/>
  <c r="O777" i="7" l="1"/>
  <c r="T778" i="7" s="1"/>
  <c r="Q778" i="7"/>
  <c r="P778" i="7"/>
  <c r="K777" i="7"/>
  <c r="S778" i="7" s="1"/>
  <c r="R778" i="7" l="1"/>
  <c r="G778" i="7"/>
  <c r="H778" i="7" l="1"/>
  <c r="I778" i="7" s="1"/>
  <c r="J778" i="7" s="1"/>
  <c r="L778" i="7"/>
  <c r="M778" i="7" s="1"/>
  <c r="N778" i="7" s="1"/>
  <c r="Q779" i="7" l="1"/>
  <c r="O778" i="7"/>
  <c r="T779" i="7" s="1"/>
  <c r="P779" i="7"/>
  <c r="K778" i="7"/>
  <c r="S779" i="7" s="1"/>
  <c r="R779" i="7" l="1"/>
  <c r="G779" i="7"/>
  <c r="H779" i="7" l="1"/>
  <c r="I779" i="7" s="1"/>
  <c r="J779" i="7" s="1"/>
  <c r="L779" i="7"/>
  <c r="M779" i="7" s="1"/>
  <c r="N779" i="7" s="1"/>
  <c r="O779" i="7" l="1"/>
  <c r="T780" i="7" s="1"/>
  <c r="Q780" i="7"/>
  <c r="K779" i="7"/>
  <c r="S780" i="7" s="1"/>
  <c r="P780" i="7"/>
  <c r="R780" i="7" l="1"/>
  <c r="G780" i="7"/>
  <c r="L780" i="7" l="1"/>
  <c r="M780" i="7" s="1"/>
  <c r="N780" i="7" s="1"/>
  <c r="H780" i="7"/>
  <c r="I780" i="7" s="1"/>
  <c r="J780" i="7" s="1"/>
  <c r="P781" i="7" l="1"/>
  <c r="K780" i="7"/>
  <c r="S781" i="7" s="1"/>
  <c r="Q781" i="7"/>
  <c r="O780" i="7"/>
  <c r="T781" i="7" s="1"/>
  <c r="G781" i="7" l="1"/>
  <c r="R781" i="7"/>
  <c r="H781" i="7" l="1"/>
  <c r="I781" i="7" s="1"/>
  <c r="J781" i="7" s="1"/>
  <c r="L781" i="7"/>
  <c r="M781" i="7" s="1"/>
  <c r="N781" i="7" s="1"/>
  <c r="O781" i="7" l="1"/>
  <c r="T782" i="7" s="1"/>
  <c r="Q782" i="7"/>
  <c r="K781" i="7"/>
  <c r="S782" i="7" s="1"/>
  <c r="P782" i="7"/>
  <c r="R782" i="7" l="1"/>
  <c r="G782" i="7"/>
  <c r="H782" i="7" l="1"/>
  <c r="I782" i="7" s="1"/>
  <c r="J782" i="7" s="1"/>
  <c r="L782" i="7"/>
  <c r="M782" i="7" s="1"/>
  <c r="N782" i="7" s="1"/>
  <c r="Q783" i="7" l="1"/>
  <c r="O782" i="7"/>
  <c r="T783" i="7" s="1"/>
  <c r="P783" i="7"/>
  <c r="K782" i="7"/>
  <c r="S783" i="7" s="1"/>
  <c r="R783" i="7" l="1"/>
  <c r="G783" i="7"/>
  <c r="L783" i="7" l="1"/>
  <c r="M783" i="7" s="1"/>
  <c r="N783" i="7" s="1"/>
  <c r="H783" i="7"/>
  <c r="I783" i="7" s="1"/>
  <c r="J783" i="7" s="1"/>
  <c r="P784" i="7" l="1"/>
  <c r="K783" i="7"/>
  <c r="S784" i="7" s="1"/>
  <c r="Q784" i="7"/>
  <c r="O783" i="7"/>
  <c r="T784" i="7" s="1"/>
  <c r="R784" i="7" l="1"/>
  <c r="G784" i="7"/>
  <c r="L784" i="7" l="1"/>
  <c r="M784" i="7" s="1"/>
  <c r="N784" i="7" s="1"/>
  <c r="H784" i="7"/>
  <c r="I784" i="7" s="1"/>
  <c r="J784" i="7" s="1"/>
  <c r="P785" i="7" l="1"/>
  <c r="K784" i="7"/>
  <c r="S785" i="7" s="1"/>
  <c r="O784" i="7"/>
  <c r="T785" i="7" s="1"/>
  <c r="Q785" i="7"/>
  <c r="R785" i="7" l="1"/>
  <c r="G785" i="7"/>
  <c r="L785" i="7" l="1"/>
  <c r="M785" i="7" s="1"/>
  <c r="N785" i="7" s="1"/>
  <c r="H785" i="7"/>
  <c r="I785" i="7" s="1"/>
  <c r="J785" i="7" s="1"/>
  <c r="P786" i="7" l="1"/>
  <c r="K785" i="7"/>
  <c r="S786" i="7" s="1"/>
  <c r="O785" i="7"/>
  <c r="T786" i="7" s="1"/>
  <c r="Q786" i="7"/>
  <c r="G786" i="7" l="1"/>
  <c r="R786" i="7"/>
  <c r="H786" i="7" l="1"/>
  <c r="I786" i="7" s="1"/>
  <c r="J786" i="7" s="1"/>
  <c r="L786" i="7"/>
  <c r="M786" i="7" s="1"/>
  <c r="N786" i="7" s="1"/>
  <c r="O786" i="7" l="1"/>
  <c r="T787" i="7" s="1"/>
  <c r="Q787" i="7"/>
  <c r="P787" i="7"/>
  <c r="K786" i="7"/>
  <c r="S787" i="7" s="1"/>
  <c r="G787" i="7" l="1"/>
  <c r="R787" i="7"/>
  <c r="L787" i="7" l="1"/>
  <c r="M787" i="7" s="1"/>
  <c r="N787" i="7" s="1"/>
  <c r="H787" i="7"/>
  <c r="I787" i="7" s="1"/>
  <c r="J787" i="7" s="1"/>
  <c r="P788" i="7" l="1"/>
  <c r="K787" i="7"/>
  <c r="S788" i="7" s="1"/>
  <c r="Q788" i="7"/>
  <c r="O787" i="7"/>
  <c r="T788" i="7" s="1"/>
  <c r="R788" i="7" l="1"/>
  <c r="G788" i="7"/>
  <c r="L788" i="7" l="1"/>
  <c r="M788" i="7" s="1"/>
  <c r="N788" i="7" s="1"/>
  <c r="H788" i="7"/>
  <c r="I788" i="7" s="1"/>
  <c r="J788" i="7" s="1"/>
  <c r="K788" i="7" l="1"/>
  <c r="S789" i="7" s="1"/>
  <c r="P789" i="7"/>
  <c r="O788" i="7"/>
  <c r="T789" i="7" s="1"/>
  <c r="Q789" i="7"/>
  <c r="R789" i="7" l="1"/>
  <c r="G789" i="7"/>
  <c r="H789" i="7" l="1"/>
  <c r="I789" i="7" s="1"/>
  <c r="J789" i="7" s="1"/>
  <c r="L789" i="7"/>
  <c r="M789" i="7" s="1"/>
  <c r="N789" i="7" s="1"/>
  <c r="Q790" i="7" l="1"/>
  <c r="O789" i="7"/>
  <c r="T790" i="7" s="1"/>
  <c r="P790" i="7"/>
  <c r="K789" i="7"/>
  <c r="S790" i="7" s="1"/>
  <c r="R790" i="7" l="1"/>
  <c r="G790" i="7"/>
  <c r="L790" i="7" l="1"/>
  <c r="M790" i="7" s="1"/>
  <c r="N790" i="7" s="1"/>
  <c r="H790" i="7"/>
  <c r="I790" i="7" s="1"/>
  <c r="J790" i="7" s="1"/>
  <c r="K790" i="7" l="1"/>
  <c r="S791" i="7" s="1"/>
  <c r="P791" i="7"/>
  <c r="Q791" i="7"/>
  <c r="O790" i="7"/>
  <c r="T791" i="7" s="1"/>
  <c r="R791" i="7" l="1"/>
  <c r="G791" i="7"/>
  <c r="L791" i="7" l="1"/>
  <c r="M791" i="7" s="1"/>
  <c r="N791" i="7" s="1"/>
  <c r="H791" i="7"/>
  <c r="I791" i="7" s="1"/>
  <c r="J791" i="7" s="1"/>
  <c r="K791" i="7" l="1"/>
  <c r="S792" i="7" s="1"/>
  <c r="P792" i="7"/>
  <c r="Q792" i="7"/>
  <c r="O791" i="7"/>
  <c r="T792" i="7" s="1"/>
  <c r="R792" i="7" l="1"/>
  <c r="G792" i="7"/>
  <c r="H792" i="7" l="1"/>
  <c r="I792" i="7" s="1"/>
  <c r="J792" i="7" s="1"/>
  <c r="L792" i="7"/>
  <c r="M792" i="7" s="1"/>
  <c r="N792" i="7" s="1"/>
  <c r="Q793" i="7" l="1"/>
  <c r="O792" i="7"/>
  <c r="T793" i="7" s="1"/>
  <c r="K792" i="7"/>
  <c r="S793" i="7" s="1"/>
  <c r="P793" i="7"/>
  <c r="R793" i="7" l="1"/>
  <c r="G793" i="7"/>
  <c r="H793" i="7" l="1"/>
  <c r="I793" i="7" s="1"/>
  <c r="J793" i="7" s="1"/>
  <c r="L793" i="7"/>
  <c r="M793" i="7" s="1"/>
  <c r="N793" i="7" s="1"/>
  <c r="Q794" i="7" l="1"/>
  <c r="O793" i="7"/>
  <c r="T794" i="7" s="1"/>
  <c r="P794" i="7"/>
  <c r="K793" i="7"/>
  <c r="S794" i="7" s="1"/>
  <c r="G794" i="7" l="1"/>
  <c r="R794" i="7"/>
  <c r="H794" i="7" l="1"/>
  <c r="I794" i="7" s="1"/>
  <c r="J794" i="7" s="1"/>
  <c r="L794" i="7"/>
  <c r="M794" i="7" s="1"/>
  <c r="N794" i="7" s="1"/>
  <c r="O794" i="7" l="1"/>
  <c r="T795" i="7" s="1"/>
  <c r="Q795" i="7"/>
  <c r="K794" i="7"/>
  <c r="S795" i="7" s="1"/>
  <c r="P795" i="7"/>
  <c r="R795" i="7" l="1"/>
  <c r="G795" i="7"/>
  <c r="H795" i="7" l="1"/>
  <c r="I795" i="7" s="1"/>
  <c r="J795" i="7" s="1"/>
  <c r="L795" i="7"/>
  <c r="M795" i="7" s="1"/>
  <c r="N795" i="7" s="1"/>
  <c r="Q796" i="7" l="1"/>
  <c r="O795" i="7"/>
  <c r="T796" i="7" s="1"/>
  <c r="K795" i="7"/>
  <c r="S796" i="7" s="1"/>
  <c r="P796" i="7"/>
  <c r="R796" i="7" l="1"/>
  <c r="G796" i="7"/>
  <c r="L796" i="7" l="1"/>
  <c r="M796" i="7" s="1"/>
  <c r="N796" i="7" s="1"/>
  <c r="H796" i="7"/>
  <c r="I796" i="7" s="1"/>
  <c r="J796" i="7" s="1"/>
  <c r="P797" i="7" l="1"/>
  <c r="K796" i="7"/>
  <c r="S797" i="7" s="1"/>
  <c r="O796" i="7"/>
  <c r="T797" i="7" s="1"/>
  <c r="Q797" i="7"/>
  <c r="R797" i="7" l="1"/>
  <c r="G797" i="7"/>
  <c r="H797" i="7" l="1"/>
  <c r="I797" i="7" s="1"/>
  <c r="J797" i="7" s="1"/>
  <c r="L797" i="7"/>
  <c r="M797" i="7" s="1"/>
  <c r="N797" i="7" s="1"/>
  <c r="Q798" i="7" l="1"/>
  <c r="O797" i="7"/>
  <c r="T798" i="7" s="1"/>
  <c r="K797" i="7"/>
  <c r="S798" i="7" s="1"/>
  <c r="P798" i="7"/>
  <c r="R798" i="7" l="1"/>
  <c r="G798" i="7"/>
  <c r="L798" i="7" l="1"/>
  <c r="M798" i="7" s="1"/>
  <c r="N798" i="7" s="1"/>
  <c r="H798" i="7"/>
  <c r="I798" i="7" s="1"/>
  <c r="J798" i="7" s="1"/>
  <c r="K798" i="7" l="1"/>
  <c r="S799" i="7" s="1"/>
  <c r="P799" i="7"/>
  <c r="Q799" i="7"/>
  <c r="O798" i="7"/>
  <c r="T799" i="7" s="1"/>
  <c r="R799" i="7" l="1"/>
  <c r="G799" i="7"/>
  <c r="H799" i="7" l="1"/>
  <c r="I799" i="7" s="1"/>
  <c r="J799" i="7" s="1"/>
  <c r="L799" i="7"/>
  <c r="M799" i="7" s="1"/>
  <c r="N799" i="7" s="1"/>
  <c r="O799" i="7" l="1"/>
  <c r="T800" i="7" s="1"/>
  <c r="Q800" i="7"/>
  <c r="K799" i="7"/>
  <c r="S800" i="7" s="1"/>
  <c r="P800" i="7"/>
  <c r="G800" i="7" l="1"/>
  <c r="R800" i="7"/>
  <c r="H800" i="7" l="1"/>
  <c r="I800" i="7" s="1"/>
  <c r="J800" i="7" s="1"/>
  <c r="L800" i="7"/>
  <c r="M800" i="7" s="1"/>
  <c r="N800" i="7" s="1"/>
  <c r="Q801" i="7" l="1"/>
  <c r="O800" i="7"/>
  <c r="T801" i="7" s="1"/>
  <c r="P801" i="7"/>
  <c r="K800" i="7"/>
  <c r="S801" i="7" s="1"/>
  <c r="G801" i="7" l="1"/>
  <c r="R801" i="7"/>
  <c r="H801" i="7" l="1"/>
  <c r="I801" i="7" s="1"/>
  <c r="J801" i="7" s="1"/>
  <c r="L801" i="7"/>
  <c r="M801" i="7" s="1"/>
  <c r="N801" i="7" s="1"/>
  <c r="Q802" i="7" l="1"/>
  <c r="O801" i="7"/>
  <c r="T802" i="7" s="1"/>
  <c r="P802" i="7"/>
  <c r="K801" i="7"/>
  <c r="S802" i="7" s="1"/>
  <c r="G802" i="7" l="1"/>
  <c r="R802" i="7"/>
  <c r="L802" i="7" l="1"/>
  <c r="M802" i="7" s="1"/>
  <c r="N802" i="7" s="1"/>
  <c r="H802" i="7"/>
  <c r="I802" i="7" s="1"/>
  <c r="J802" i="7" s="1"/>
  <c r="P803" i="7" l="1"/>
  <c r="K802" i="7"/>
  <c r="S803" i="7" s="1"/>
  <c r="O802" i="7"/>
  <c r="T803" i="7" s="1"/>
  <c r="Q803" i="7"/>
  <c r="G803" i="7" l="1"/>
  <c r="R803" i="7"/>
  <c r="L803" i="7" l="1"/>
  <c r="M803" i="7" s="1"/>
  <c r="N803" i="7" s="1"/>
  <c r="H803" i="7"/>
  <c r="I803" i="7" s="1"/>
  <c r="J803" i="7" s="1"/>
  <c r="P804" i="7" l="1"/>
  <c r="K803" i="7"/>
  <c r="S804" i="7" s="1"/>
  <c r="Q804" i="7"/>
  <c r="O803" i="7"/>
  <c r="T804" i="7" s="1"/>
  <c r="R804" i="7" l="1"/>
  <c r="G804" i="7"/>
  <c r="L804" i="7" l="1"/>
  <c r="M804" i="7" s="1"/>
  <c r="N804" i="7" s="1"/>
  <c r="H804" i="7"/>
  <c r="I804" i="7" s="1"/>
  <c r="J804" i="7" s="1"/>
  <c r="K804" i="7" l="1"/>
  <c r="S805" i="7" s="1"/>
  <c r="P805" i="7"/>
  <c r="Q805" i="7"/>
  <c r="O804" i="7"/>
  <c r="T805" i="7" s="1"/>
  <c r="G805" i="7" l="1"/>
  <c r="R805" i="7"/>
  <c r="L805" i="7" l="1"/>
  <c r="M805" i="7" s="1"/>
  <c r="N805" i="7" s="1"/>
  <c r="H805" i="7"/>
  <c r="I805" i="7" s="1"/>
  <c r="J805" i="7" s="1"/>
  <c r="P806" i="7" l="1"/>
  <c r="K805" i="7"/>
  <c r="S806" i="7" s="1"/>
  <c r="Q806" i="7"/>
  <c r="O805" i="7"/>
  <c r="T806" i="7" s="1"/>
  <c r="G806" i="7" l="1"/>
  <c r="R806" i="7"/>
  <c r="L806" i="7" l="1"/>
  <c r="M806" i="7" s="1"/>
  <c r="N806" i="7" s="1"/>
  <c r="H806" i="7"/>
  <c r="I806" i="7" s="1"/>
  <c r="J806" i="7" s="1"/>
  <c r="K806" i="7" l="1"/>
  <c r="S807" i="7" s="1"/>
  <c r="P807" i="7"/>
  <c r="Q807" i="7"/>
  <c r="O806" i="7"/>
  <c r="T807" i="7" s="1"/>
  <c r="R807" i="7" l="1"/>
  <c r="G807" i="7"/>
  <c r="H807" i="7" l="1"/>
  <c r="I807" i="7" s="1"/>
  <c r="J807" i="7" s="1"/>
  <c r="L807" i="7"/>
  <c r="M807" i="7" s="1"/>
  <c r="N807" i="7" s="1"/>
  <c r="O807" i="7" l="1"/>
  <c r="T808" i="7" s="1"/>
  <c r="Q808" i="7"/>
  <c r="K807" i="7"/>
  <c r="S808" i="7" s="1"/>
  <c r="P808" i="7"/>
  <c r="R808" i="7" l="1"/>
  <c r="G808" i="7"/>
  <c r="L808" i="7" l="1"/>
  <c r="M808" i="7" s="1"/>
  <c r="N808" i="7" s="1"/>
  <c r="H808" i="7"/>
  <c r="I808" i="7" s="1"/>
  <c r="J808" i="7" s="1"/>
  <c r="P809" i="7" l="1"/>
  <c r="K808" i="7"/>
  <c r="S809" i="7" s="1"/>
  <c r="O808" i="7"/>
  <c r="T809" i="7" s="1"/>
  <c r="Q809" i="7"/>
  <c r="R809" i="7" l="1"/>
  <c r="G809" i="7"/>
  <c r="L809" i="7" l="1"/>
  <c r="M809" i="7" s="1"/>
  <c r="N809" i="7" s="1"/>
  <c r="H809" i="7"/>
  <c r="I809" i="7" s="1"/>
  <c r="J809" i="7" s="1"/>
  <c r="P810" i="7" l="1"/>
  <c r="K809" i="7"/>
  <c r="S810" i="7" s="1"/>
  <c r="Q810" i="7"/>
  <c r="O809" i="7"/>
  <c r="T810" i="7" s="1"/>
  <c r="R810" i="7" l="1"/>
  <c r="G810" i="7"/>
  <c r="L810" i="7" l="1"/>
  <c r="M810" i="7" s="1"/>
  <c r="N810" i="7" s="1"/>
  <c r="H810" i="7"/>
  <c r="I810" i="7" s="1"/>
  <c r="J810" i="7" s="1"/>
  <c r="P811" i="7" l="1"/>
  <c r="K810" i="7"/>
  <c r="S811" i="7" s="1"/>
  <c r="O810" i="7"/>
  <c r="T811" i="7" s="1"/>
  <c r="Q811" i="7"/>
  <c r="G811" i="7" l="1"/>
  <c r="R811" i="7"/>
  <c r="H811" i="7" l="1"/>
  <c r="I811" i="7" s="1"/>
  <c r="J811" i="7" s="1"/>
  <c r="L811" i="7"/>
  <c r="M811" i="7" s="1"/>
  <c r="N811" i="7" s="1"/>
  <c r="O811" i="7" l="1"/>
  <c r="T812" i="7" s="1"/>
  <c r="Q812" i="7"/>
  <c r="K811" i="7"/>
  <c r="S812" i="7" s="1"/>
  <c r="P812" i="7"/>
  <c r="R812" i="7" l="1"/>
  <c r="G812" i="7"/>
  <c r="L812" i="7" l="1"/>
  <c r="M812" i="7" s="1"/>
  <c r="N812" i="7" s="1"/>
  <c r="H812" i="7"/>
  <c r="I812" i="7" s="1"/>
  <c r="J812" i="7" s="1"/>
  <c r="K812" i="7" l="1"/>
  <c r="S813" i="7" s="1"/>
  <c r="P813" i="7"/>
  <c r="Q813" i="7"/>
  <c r="O812" i="7"/>
  <c r="T813" i="7" s="1"/>
  <c r="R813" i="7" l="1"/>
  <c r="G813" i="7"/>
  <c r="H813" i="7" l="1"/>
  <c r="I813" i="7" s="1"/>
  <c r="J813" i="7" s="1"/>
  <c r="L813" i="7"/>
  <c r="M813" i="7" s="1"/>
  <c r="N813" i="7" s="1"/>
  <c r="Q814" i="7" l="1"/>
  <c r="O813" i="7"/>
  <c r="T814" i="7" s="1"/>
  <c r="P814" i="7"/>
  <c r="K813" i="7"/>
  <c r="S814" i="7" s="1"/>
  <c r="R814" i="7" l="1"/>
  <c r="G814" i="7"/>
  <c r="H814" i="7" l="1"/>
  <c r="I814" i="7" s="1"/>
  <c r="J814" i="7" s="1"/>
  <c r="L814" i="7"/>
  <c r="M814" i="7" s="1"/>
  <c r="N814" i="7" s="1"/>
  <c r="Q815" i="7" l="1"/>
  <c r="O814" i="7"/>
  <c r="T815" i="7" s="1"/>
  <c r="K814" i="7"/>
  <c r="S815" i="7" s="1"/>
  <c r="P815" i="7"/>
  <c r="G815" i="7" l="1"/>
  <c r="R815" i="7"/>
  <c r="L815" i="7" l="1"/>
  <c r="M815" i="7" s="1"/>
  <c r="N815" i="7" s="1"/>
  <c r="H815" i="7"/>
  <c r="I815" i="7" s="1"/>
  <c r="J815" i="7" s="1"/>
  <c r="K815" i="7" l="1"/>
  <c r="S816" i="7" s="1"/>
  <c r="P816" i="7"/>
  <c r="Q816" i="7"/>
  <c r="O815" i="7"/>
  <c r="T816" i="7" s="1"/>
  <c r="G816" i="7" l="1"/>
  <c r="R816" i="7"/>
  <c r="H816" i="7" l="1"/>
  <c r="I816" i="7" s="1"/>
  <c r="J816" i="7" s="1"/>
  <c r="L816" i="7"/>
  <c r="M816" i="7" s="1"/>
  <c r="N816" i="7" s="1"/>
  <c r="Q817" i="7" l="1"/>
  <c r="O816" i="7"/>
  <c r="T817" i="7" s="1"/>
  <c r="P817" i="7"/>
  <c r="K816" i="7"/>
  <c r="S817" i="7" s="1"/>
  <c r="G817" i="7" l="1"/>
  <c r="R817" i="7"/>
  <c r="H817" i="7" l="1"/>
  <c r="I817" i="7" s="1"/>
  <c r="J817" i="7" s="1"/>
  <c r="L817" i="7"/>
  <c r="M817" i="7" s="1"/>
  <c r="N817" i="7" s="1"/>
  <c r="O817" i="7" l="1"/>
  <c r="T818" i="7" s="1"/>
  <c r="Q818" i="7"/>
  <c r="P818" i="7"/>
  <c r="K817" i="7"/>
  <c r="S818" i="7" s="1"/>
  <c r="G818" i="7" l="1"/>
  <c r="R818" i="7"/>
  <c r="L818" i="7" l="1"/>
  <c r="M818" i="7" s="1"/>
  <c r="N818" i="7" s="1"/>
  <c r="H818" i="7"/>
  <c r="I818" i="7" s="1"/>
  <c r="J818" i="7" s="1"/>
  <c r="P819" i="7" l="1"/>
  <c r="K818" i="7"/>
  <c r="S819" i="7" s="1"/>
  <c r="Q819" i="7"/>
  <c r="O818" i="7"/>
  <c r="T819" i="7" s="1"/>
  <c r="R819" i="7" l="1"/>
  <c r="G819" i="7"/>
  <c r="L819" i="7" l="1"/>
  <c r="M819" i="7" s="1"/>
  <c r="N819" i="7" s="1"/>
  <c r="H819" i="7"/>
  <c r="I819" i="7" s="1"/>
  <c r="J819" i="7" s="1"/>
  <c r="P820" i="7" l="1"/>
  <c r="K819" i="7"/>
  <c r="S820" i="7" s="1"/>
  <c r="O819" i="7"/>
  <c r="T820" i="7" s="1"/>
  <c r="Q820" i="7"/>
  <c r="G820" i="7" l="1"/>
  <c r="R820" i="7"/>
  <c r="L820" i="7" l="1"/>
  <c r="M820" i="7" s="1"/>
  <c r="N820" i="7" s="1"/>
  <c r="H820" i="7"/>
  <c r="I820" i="7" s="1"/>
  <c r="J820" i="7" s="1"/>
  <c r="K820" i="7" l="1"/>
  <c r="S821" i="7" s="1"/>
  <c r="P821" i="7"/>
  <c r="Q821" i="7"/>
  <c r="O820" i="7"/>
  <c r="T821" i="7" s="1"/>
  <c r="G821" i="7" l="1"/>
  <c r="R821" i="7"/>
  <c r="L821" i="7" l="1"/>
  <c r="M821" i="7" s="1"/>
  <c r="N821" i="7" s="1"/>
  <c r="H821" i="7"/>
  <c r="I821" i="7" s="1"/>
  <c r="J821" i="7" s="1"/>
  <c r="P822" i="7" l="1"/>
  <c r="K821" i="7"/>
  <c r="S822" i="7" s="1"/>
  <c r="Q822" i="7"/>
  <c r="O821" i="7"/>
  <c r="T822" i="7" s="1"/>
  <c r="R822" i="7" l="1"/>
  <c r="G822" i="7"/>
  <c r="H822" i="7" l="1"/>
  <c r="I822" i="7" s="1"/>
  <c r="J822" i="7" s="1"/>
  <c r="L822" i="7"/>
  <c r="M822" i="7" s="1"/>
  <c r="N822" i="7" s="1"/>
  <c r="O822" i="7" l="1"/>
  <c r="T823" i="7" s="1"/>
  <c r="Q823" i="7"/>
  <c r="K822" i="7"/>
  <c r="S823" i="7" s="1"/>
  <c r="P823" i="7"/>
  <c r="R823" i="7" l="1"/>
  <c r="G823" i="7"/>
  <c r="L823" i="7" l="1"/>
  <c r="M823" i="7" s="1"/>
  <c r="N823" i="7" s="1"/>
  <c r="H823" i="7"/>
  <c r="I823" i="7" s="1"/>
  <c r="J823" i="7" s="1"/>
  <c r="K823" i="7" l="1"/>
  <c r="S824" i="7" s="1"/>
  <c r="P824" i="7"/>
  <c r="O823" i="7"/>
  <c r="T824" i="7" s="1"/>
  <c r="Q824" i="7"/>
  <c r="G824" i="7" l="1"/>
  <c r="R824" i="7"/>
  <c r="L824" i="7" l="1"/>
  <c r="M824" i="7" s="1"/>
  <c r="N824" i="7" s="1"/>
  <c r="H824" i="7"/>
  <c r="I824" i="7" s="1"/>
  <c r="J824" i="7" s="1"/>
  <c r="K824" i="7" l="1"/>
  <c r="S825" i="7" s="1"/>
  <c r="P825" i="7"/>
  <c r="Q825" i="7"/>
  <c r="O824" i="7"/>
  <c r="T825" i="7" s="1"/>
  <c r="G825" i="7" l="1"/>
  <c r="R825" i="7"/>
  <c r="L825" i="7" l="1"/>
  <c r="M825" i="7" s="1"/>
  <c r="N825" i="7" s="1"/>
  <c r="H825" i="7"/>
  <c r="I825" i="7" s="1"/>
  <c r="J825" i="7" s="1"/>
  <c r="K825" i="7" l="1"/>
  <c r="S826" i="7" s="1"/>
  <c r="P826" i="7"/>
  <c r="O825" i="7"/>
  <c r="T826" i="7" s="1"/>
  <c r="Q826" i="7"/>
  <c r="R826" i="7" l="1"/>
  <c r="G826" i="7"/>
  <c r="L826" i="7" l="1"/>
  <c r="M826" i="7" s="1"/>
  <c r="N826" i="7" s="1"/>
  <c r="H826" i="7"/>
  <c r="I826" i="7" s="1"/>
  <c r="J826" i="7" s="1"/>
  <c r="P827" i="7" l="1"/>
  <c r="K826" i="7"/>
  <c r="S827" i="7" s="1"/>
  <c r="Q827" i="7"/>
  <c r="O826" i="7"/>
  <c r="T827" i="7" s="1"/>
  <c r="R827" i="7" l="1"/>
  <c r="G827" i="7"/>
  <c r="L827" i="7" l="1"/>
  <c r="M827" i="7" s="1"/>
  <c r="N827" i="7" s="1"/>
  <c r="H827" i="7"/>
  <c r="I827" i="7" s="1"/>
  <c r="J827" i="7" s="1"/>
  <c r="P828" i="7" l="1"/>
  <c r="K827" i="7"/>
  <c r="S828" i="7" s="1"/>
  <c r="Q828" i="7"/>
  <c r="O827" i="7"/>
  <c r="T828" i="7" s="1"/>
  <c r="R828" i="7" l="1"/>
  <c r="G828" i="7"/>
  <c r="H828" i="7" l="1"/>
  <c r="I828" i="7" s="1"/>
  <c r="J828" i="7" s="1"/>
  <c r="L828" i="7"/>
  <c r="M828" i="7" s="1"/>
  <c r="N828" i="7" s="1"/>
  <c r="O828" i="7" l="1"/>
  <c r="T829" i="7" s="1"/>
  <c r="Q829" i="7"/>
  <c r="K828" i="7"/>
  <c r="S829" i="7" s="1"/>
  <c r="P829" i="7"/>
  <c r="G829" i="7" l="1"/>
  <c r="R829" i="7"/>
  <c r="H829" i="7" l="1"/>
  <c r="I829" i="7" s="1"/>
  <c r="J829" i="7" s="1"/>
  <c r="L829" i="7"/>
  <c r="M829" i="7" s="1"/>
  <c r="N829" i="7" s="1"/>
  <c r="O829" i="7" l="1"/>
  <c r="T830" i="7" s="1"/>
  <c r="Q830" i="7"/>
  <c r="K829" i="7"/>
  <c r="S830" i="7" s="1"/>
  <c r="P830" i="7"/>
  <c r="R830" i="7" l="1"/>
  <c r="G830" i="7"/>
  <c r="L830" i="7" l="1"/>
  <c r="M830" i="7" s="1"/>
  <c r="N830" i="7" s="1"/>
  <c r="H830" i="7"/>
  <c r="I830" i="7" s="1"/>
  <c r="J830" i="7" s="1"/>
  <c r="P831" i="7" l="1"/>
  <c r="K830" i="7"/>
  <c r="S831" i="7" s="1"/>
  <c r="O830" i="7"/>
  <c r="T831" i="7" s="1"/>
  <c r="Q831" i="7"/>
  <c r="G831" i="7" l="1"/>
  <c r="R831" i="7"/>
  <c r="H831" i="7" l="1"/>
  <c r="I831" i="7" s="1"/>
  <c r="J831" i="7" s="1"/>
  <c r="L831" i="7"/>
  <c r="M831" i="7" s="1"/>
  <c r="N831" i="7" s="1"/>
  <c r="O831" i="7" l="1"/>
  <c r="T832" i="7" s="1"/>
  <c r="Q832" i="7"/>
  <c r="K831" i="7"/>
  <c r="S832" i="7" s="1"/>
  <c r="P832" i="7"/>
  <c r="G832" i="7" l="1"/>
  <c r="R832" i="7"/>
  <c r="H832" i="7" l="1"/>
  <c r="I832" i="7" s="1"/>
  <c r="J832" i="7" s="1"/>
  <c r="L832" i="7"/>
  <c r="M832" i="7" s="1"/>
  <c r="N832" i="7" s="1"/>
  <c r="Q833" i="7" l="1"/>
  <c r="O832" i="7"/>
  <c r="T833" i="7" s="1"/>
  <c r="P833" i="7"/>
  <c r="K832" i="7"/>
  <c r="S833" i="7" s="1"/>
  <c r="G833" i="7" l="1"/>
  <c r="R833" i="7"/>
  <c r="H833" i="7" l="1"/>
  <c r="I833" i="7" s="1"/>
  <c r="J833" i="7" s="1"/>
  <c r="L833" i="7"/>
  <c r="M833" i="7" s="1"/>
  <c r="N833" i="7" s="1"/>
  <c r="Q834" i="7" l="1"/>
  <c r="O833" i="7"/>
  <c r="T834" i="7" s="1"/>
  <c r="P834" i="7"/>
  <c r="K833" i="7"/>
  <c r="S834" i="7" s="1"/>
  <c r="G834" i="7" l="1"/>
  <c r="R834" i="7"/>
  <c r="L834" i="7" l="1"/>
  <c r="M834" i="7" s="1"/>
  <c r="N834" i="7" s="1"/>
  <c r="H834" i="7"/>
  <c r="I834" i="7" s="1"/>
  <c r="J834" i="7" s="1"/>
  <c r="P835" i="7" l="1"/>
  <c r="K834" i="7"/>
  <c r="S835" i="7" s="1"/>
  <c r="Q835" i="7"/>
  <c r="O834" i="7"/>
  <c r="T835" i="7" s="1"/>
  <c r="G835" i="7" l="1"/>
  <c r="R835" i="7"/>
  <c r="H835" i="7" l="1"/>
  <c r="I835" i="7" s="1"/>
  <c r="J835" i="7" s="1"/>
  <c r="L835" i="7"/>
  <c r="M835" i="7" s="1"/>
  <c r="N835" i="7" s="1"/>
  <c r="O835" i="7" l="1"/>
  <c r="T836" i="7" s="1"/>
  <c r="Q836" i="7"/>
  <c r="P836" i="7"/>
  <c r="K835" i="7"/>
  <c r="S836" i="7" s="1"/>
  <c r="G836" i="7" l="1"/>
  <c r="R836" i="7"/>
  <c r="L836" i="7" l="1"/>
  <c r="M836" i="7" s="1"/>
  <c r="N836" i="7" s="1"/>
  <c r="H836" i="7"/>
  <c r="I836" i="7" s="1"/>
  <c r="J836" i="7" s="1"/>
  <c r="K836" i="7" l="1"/>
  <c r="S837" i="7" s="1"/>
  <c r="P837" i="7"/>
  <c r="Q837" i="7"/>
  <c r="O836" i="7"/>
  <c r="T837" i="7" s="1"/>
  <c r="R837" i="7" l="1"/>
  <c r="G837" i="7"/>
  <c r="H837" i="7" l="1"/>
  <c r="I837" i="7" s="1"/>
  <c r="J837" i="7" s="1"/>
  <c r="L837" i="7"/>
  <c r="M837" i="7" s="1"/>
  <c r="N837" i="7" s="1"/>
  <c r="O837" i="7" l="1"/>
  <c r="T838" i="7" s="1"/>
  <c r="Q838" i="7"/>
  <c r="K837" i="7"/>
  <c r="S838" i="7" s="1"/>
  <c r="P838" i="7"/>
  <c r="R838" i="7" l="1"/>
  <c r="G838" i="7"/>
  <c r="L838" i="7" l="1"/>
  <c r="M838" i="7" s="1"/>
  <c r="N838" i="7" s="1"/>
  <c r="H838" i="7"/>
  <c r="I838" i="7" s="1"/>
  <c r="J838" i="7" s="1"/>
  <c r="P839" i="7" l="1"/>
  <c r="K838" i="7"/>
  <c r="S839" i="7" s="1"/>
  <c r="O838" i="7"/>
  <c r="T839" i="7" s="1"/>
  <c r="Q839" i="7"/>
  <c r="R839" i="7" l="1"/>
  <c r="G839" i="7"/>
  <c r="L839" i="7" l="1"/>
  <c r="M839" i="7" s="1"/>
  <c r="N839" i="7" s="1"/>
  <c r="H839" i="7"/>
  <c r="I839" i="7" s="1"/>
  <c r="J839" i="7" s="1"/>
  <c r="K839" i="7" l="1"/>
  <c r="S840" i="7" s="1"/>
  <c r="P840" i="7"/>
  <c r="O839" i="7"/>
  <c r="T840" i="7" s="1"/>
  <c r="Q840" i="7"/>
  <c r="G840" i="7" l="1"/>
  <c r="R840" i="7"/>
  <c r="H840" i="7" l="1"/>
  <c r="I840" i="7" s="1"/>
  <c r="J840" i="7" s="1"/>
  <c r="L840" i="7"/>
  <c r="M840" i="7" s="1"/>
  <c r="N840" i="7" s="1"/>
  <c r="O840" i="7" l="1"/>
  <c r="T841" i="7" s="1"/>
  <c r="Q841" i="7"/>
  <c r="K840" i="7"/>
  <c r="S841" i="7" s="1"/>
  <c r="P841" i="7"/>
  <c r="G841" i="7" l="1"/>
  <c r="R841" i="7"/>
  <c r="L841" i="7" l="1"/>
  <c r="M841" i="7" s="1"/>
  <c r="N841" i="7" s="1"/>
  <c r="H841" i="7"/>
  <c r="I841" i="7" s="1"/>
  <c r="J841" i="7" s="1"/>
  <c r="K841" i="7" l="1"/>
  <c r="S842" i="7" s="1"/>
  <c r="P842" i="7"/>
  <c r="Q842" i="7"/>
  <c r="O841" i="7"/>
  <c r="T842" i="7" s="1"/>
  <c r="R842" i="7" l="1"/>
  <c r="G842" i="7"/>
  <c r="H842" i="7" l="1"/>
  <c r="I842" i="7" s="1"/>
  <c r="J842" i="7" s="1"/>
  <c r="L842" i="7"/>
  <c r="M842" i="7" s="1"/>
  <c r="N842" i="7" s="1"/>
  <c r="Q843" i="7" l="1"/>
  <c r="O842" i="7"/>
  <c r="T843" i="7" s="1"/>
  <c r="K842" i="7"/>
  <c r="S843" i="7" s="1"/>
  <c r="P843" i="7"/>
  <c r="G843" i="7" l="1"/>
  <c r="R843" i="7"/>
  <c r="L843" i="7" l="1"/>
  <c r="M843" i="7" s="1"/>
  <c r="N843" i="7" s="1"/>
  <c r="H843" i="7"/>
  <c r="I843" i="7" s="1"/>
  <c r="J843" i="7" s="1"/>
  <c r="K843" i="7" l="1"/>
  <c r="S844" i="7" s="1"/>
  <c r="P844" i="7"/>
  <c r="O843" i="7"/>
  <c r="T844" i="7" s="1"/>
  <c r="Q844" i="7"/>
  <c r="R844" i="7" l="1"/>
  <c r="G844" i="7"/>
  <c r="H844" i="7" l="1"/>
  <c r="I844" i="7" s="1"/>
  <c r="J844" i="7" s="1"/>
  <c r="L844" i="7"/>
  <c r="M844" i="7" s="1"/>
  <c r="N844" i="7" s="1"/>
  <c r="O844" i="7" l="1"/>
  <c r="T845" i="7" s="1"/>
  <c r="Q845" i="7"/>
  <c r="K844" i="7"/>
  <c r="S845" i="7" s="1"/>
  <c r="P845" i="7"/>
  <c r="G845" i="7" l="1"/>
  <c r="R845" i="7"/>
  <c r="H845" i="7" l="1"/>
  <c r="I845" i="7" s="1"/>
  <c r="J845" i="7" s="1"/>
  <c r="L845" i="7"/>
  <c r="M845" i="7" s="1"/>
  <c r="N845" i="7" s="1"/>
  <c r="Q846" i="7" l="1"/>
  <c r="O845" i="7"/>
  <c r="T846" i="7" s="1"/>
  <c r="P846" i="7"/>
  <c r="K845" i="7"/>
  <c r="S846" i="7" s="1"/>
  <c r="G846" i="7" l="1"/>
  <c r="R846" i="7"/>
  <c r="H846" i="7" l="1"/>
  <c r="I846" i="7" s="1"/>
  <c r="J846" i="7" s="1"/>
  <c r="L846" i="7"/>
  <c r="M846" i="7" s="1"/>
  <c r="N846" i="7" s="1"/>
  <c r="O846" i="7" l="1"/>
  <c r="T847" i="7" s="1"/>
  <c r="Q847" i="7"/>
  <c r="K846" i="7"/>
  <c r="S847" i="7" s="1"/>
  <c r="P847" i="7"/>
  <c r="G847" i="7" l="1"/>
  <c r="R847" i="7"/>
  <c r="H847" i="7" l="1"/>
  <c r="I847" i="7" s="1"/>
  <c r="J847" i="7" s="1"/>
  <c r="L847" i="7"/>
  <c r="M847" i="7" s="1"/>
  <c r="N847" i="7" s="1"/>
  <c r="O847" i="7" l="1"/>
  <c r="T848" i="7" s="1"/>
  <c r="Q848" i="7"/>
  <c r="P848" i="7"/>
  <c r="K847" i="7"/>
  <c r="S848" i="7" s="1"/>
  <c r="R848" i="7" l="1"/>
  <c r="G848" i="7"/>
  <c r="H848" i="7" l="1"/>
  <c r="I848" i="7" s="1"/>
  <c r="J848" i="7" s="1"/>
  <c r="L848" i="7"/>
  <c r="M848" i="7" s="1"/>
  <c r="N848" i="7" s="1"/>
  <c r="O848" i="7" l="1"/>
  <c r="T849" i="7" s="1"/>
  <c r="Q849" i="7"/>
  <c r="K848" i="7"/>
  <c r="S849" i="7" s="1"/>
  <c r="P849" i="7"/>
  <c r="R849" i="7" l="1"/>
  <c r="G849" i="7"/>
  <c r="H849" i="7" l="1"/>
  <c r="I849" i="7" s="1"/>
  <c r="J849" i="7" s="1"/>
  <c r="L849" i="7"/>
  <c r="M849" i="7" s="1"/>
  <c r="N849" i="7" s="1"/>
  <c r="Q850" i="7" l="1"/>
  <c r="O849" i="7"/>
  <c r="T850" i="7" s="1"/>
  <c r="P850" i="7"/>
  <c r="K849" i="7"/>
  <c r="S850" i="7" s="1"/>
  <c r="R850" i="7" l="1"/>
  <c r="G850" i="7"/>
  <c r="L850" i="7" l="1"/>
  <c r="M850" i="7" s="1"/>
  <c r="N850" i="7" s="1"/>
  <c r="H850" i="7"/>
  <c r="I850" i="7" s="1"/>
  <c r="J850" i="7" s="1"/>
  <c r="K850" i="7" l="1"/>
  <c r="S851" i="7" s="1"/>
  <c r="P851" i="7"/>
  <c r="Q851" i="7"/>
  <c r="O850" i="7"/>
  <c r="T851" i="7" s="1"/>
  <c r="G851" i="7" l="1"/>
  <c r="R851" i="7"/>
  <c r="H851" i="7" l="1"/>
  <c r="I851" i="7" s="1"/>
  <c r="J851" i="7" s="1"/>
  <c r="L851" i="7"/>
  <c r="M851" i="7" s="1"/>
  <c r="N851" i="7" s="1"/>
  <c r="Q852" i="7" l="1"/>
  <c r="O851" i="7"/>
  <c r="T852" i="7" s="1"/>
  <c r="K851" i="7"/>
  <c r="S852" i="7" s="1"/>
  <c r="P852" i="7"/>
  <c r="R852" i="7" l="1"/>
  <c r="G852" i="7"/>
  <c r="H852" i="7" l="1"/>
  <c r="I852" i="7" s="1"/>
  <c r="J852" i="7" s="1"/>
  <c r="L852" i="7"/>
  <c r="M852" i="7" s="1"/>
  <c r="N852" i="7" s="1"/>
  <c r="O852" i="7" l="1"/>
  <c r="T853" i="7" s="1"/>
  <c r="Q853" i="7"/>
  <c r="P853" i="7"/>
  <c r="K852" i="7"/>
  <c r="S853" i="7" s="1"/>
  <c r="G853" i="7" l="1"/>
  <c r="R853" i="7"/>
  <c r="L853" i="7" l="1"/>
  <c r="M853" i="7" s="1"/>
  <c r="N853" i="7" s="1"/>
  <c r="H853" i="7"/>
  <c r="I853" i="7" s="1"/>
  <c r="J853" i="7" s="1"/>
  <c r="P854" i="7" l="1"/>
  <c r="K853" i="7"/>
  <c r="S854" i="7" s="1"/>
  <c r="O853" i="7"/>
  <c r="T854" i="7" s="1"/>
  <c r="Q854" i="7"/>
  <c r="G854" i="7" l="1"/>
  <c r="R854" i="7"/>
  <c r="L854" i="7" l="1"/>
  <c r="M854" i="7" s="1"/>
  <c r="N854" i="7" s="1"/>
  <c r="H854" i="7"/>
  <c r="I854" i="7" s="1"/>
  <c r="J854" i="7" s="1"/>
  <c r="K854" i="7" l="1"/>
  <c r="S855" i="7" s="1"/>
  <c r="P855" i="7"/>
  <c r="O854" i="7"/>
  <c r="T855" i="7" s="1"/>
  <c r="Q855" i="7"/>
  <c r="R855" i="7" l="1"/>
  <c r="G855" i="7"/>
  <c r="H855" i="7" l="1"/>
  <c r="I855" i="7" s="1"/>
  <c r="J855" i="7" s="1"/>
  <c r="L855" i="7"/>
  <c r="M855" i="7" s="1"/>
  <c r="N855" i="7" s="1"/>
  <c r="Q856" i="7" l="1"/>
  <c r="O855" i="7"/>
  <c r="T856" i="7" s="1"/>
  <c r="K855" i="7"/>
  <c r="S856" i="7" s="1"/>
  <c r="P856" i="7"/>
  <c r="G856" i="7" l="1"/>
  <c r="R856" i="7"/>
  <c r="L856" i="7" l="1"/>
  <c r="M856" i="7" s="1"/>
  <c r="N856" i="7" s="1"/>
  <c r="H856" i="7"/>
  <c r="I856" i="7" s="1"/>
  <c r="J856" i="7" s="1"/>
  <c r="P857" i="7" l="1"/>
  <c r="K856" i="7"/>
  <c r="S857" i="7" s="1"/>
  <c r="Q857" i="7"/>
  <c r="O856" i="7"/>
  <c r="T857" i="7" s="1"/>
  <c r="G857" i="7" l="1"/>
  <c r="R857" i="7"/>
  <c r="H857" i="7" l="1"/>
  <c r="I857" i="7" s="1"/>
  <c r="J857" i="7" s="1"/>
  <c r="L857" i="7"/>
  <c r="M857" i="7" s="1"/>
  <c r="N857" i="7" s="1"/>
  <c r="Q858" i="7" l="1"/>
  <c r="O857" i="7"/>
  <c r="T858" i="7" s="1"/>
  <c r="P858" i="7"/>
  <c r="K857" i="7"/>
  <c r="S858" i="7" s="1"/>
  <c r="R858" i="7" l="1"/>
  <c r="G858" i="7"/>
  <c r="L858" i="7" l="1"/>
  <c r="M858" i="7" s="1"/>
  <c r="N858" i="7" s="1"/>
  <c r="H858" i="7"/>
  <c r="I858" i="7" s="1"/>
  <c r="J858" i="7" s="1"/>
  <c r="K858" i="7" l="1"/>
  <c r="S859" i="7" s="1"/>
  <c r="P859" i="7"/>
  <c r="Q859" i="7"/>
  <c r="O858" i="7"/>
  <c r="T859" i="7" s="1"/>
  <c r="G859" i="7" l="1"/>
  <c r="R859" i="7"/>
  <c r="L859" i="7" l="1"/>
  <c r="M859" i="7" s="1"/>
  <c r="N859" i="7" s="1"/>
  <c r="H859" i="7"/>
  <c r="I859" i="7" s="1"/>
  <c r="J859" i="7" s="1"/>
  <c r="K859" i="7" l="1"/>
  <c r="S860" i="7" s="1"/>
  <c r="P860" i="7"/>
  <c r="O859" i="7"/>
  <c r="T860" i="7" s="1"/>
  <c r="Q860" i="7"/>
  <c r="R860" i="7" l="1"/>
  <c r="G860" i="7"/>
  <c r="H860" i="7" l="1"/>
  <c r="I860" i="7" s="1"/>
  <c r="J860" i="7" s="1"/>
  <c r="L860" i="7"/>
  <c r="M860" i="7" s="1"/>
  <c r="N860" i="7" s="1"/>
  <c r="Q861" i="7" l="1"/>
  <c r="O860" i="7"/>
  <c r="T861" i="7" s="1"/>
  <c r="P861" i="7"/>
  <c r="K860" i="7"/>
  <c r="S861" i="7" s="1"/>
  <c r="G861" i="7" l="1"/>
  <c r="R861" i="7"/>
  <c r="H861" i="7" l="1"/>
  <c r="I861" i="7" s="1"/>
  <c r="J861" i="7" s="1"/>
  <c r="L861" i="7"/>
  <c r="M861" i="7" s="1"/>
  <c r="N861" i="7" s="1"/>
  <c r="Q862" i="7" l="1"/>
  <c r="O861" i="7"/>
  <c r="T862" i="7" s="1"/>
  <c r="P862" i="7"/>
  <c r="K861" i="7"/>
  <c r="S862" i="7" s="1"/>
  <c r="G862" i="7" l="1"/>
  <c r="R862" i="7"/>
  <c r="L862" i="7" l="1"/>
  <c r="M862" i="7" s="1"/>
  <c r="N862" i="7" s="1"/>
  <c r="H862" i="7"/>
  <c r="I862" i="7" s="1"/>
  <c r="J862" i="7" s="1"/>
  <c r="P863" i="7" l="1"/>
  <c r="K862" i="7"/>
  <c r="S863" i="7" s="1"/>
  <c r="Q863" i="7"/>
  <c r="O862" i="7"/>
  <c r="T863" i="7" s="1"/>
  <c r="G863" i="7" l="1"/>
  <c r="R863" i="7"/>
  <c r="H863" i="7" l="1"/>
  <c r="I863" i="7" s="1"/>
  <c r="J863" i="7" s="1"/>
  <c r="L863" i="7"/>
  <c r="M863" i="7" s="1"/>
  <c r="N863" i="7" s="1"/>
  <c r="O863" i="7" l="1"/>
  <c r="T864" i="7" s="1"/>
  <c r="Q864" i="7"/>
  <c r="K863" i="7"/>
  <c r="S864" i="7" s="1"/>
  <c r="P864" i="7"/>
  <c r="R864" i="7" l="1"/>
  <c r="G864" i="7"/>
  <c r="L864" i="7" l="1"/>
  <c r="M864" i="7" s="1"/>
  <c r="N864" i="7" s="1"/>
  <c r="H864" i="7"/>
  <c r="I864" i="7" s="1"/>
  <c r="J864" i="7" s="1"/>
  <c r="P865" i="7" l="1"/>
  <c r="K864" i="7"/>
  <c r="S865" i="7" s="1"/>
  <c r="O864" i="7"/>
  <c r="T865" i="7" s="1"/>
  <c r="Q865" i="7"/>
  <c r="G865" i="7" l="1"/>
  <c r="R865" i="7"/>
  <c r="H865" i="7" l="1"/>
  <c r="I865" i="7" s="1"/>
  <c r="J865" i="7" s="1"/>
  <c r="L865" i="7"/>
  <c r="M865" i="7" s="1"/>
  <c r="N865" i="7" s="1"/>
  <c r="Q866" i="7" l="1"/>
  <c r="O865" i="7"/>
  <c r="T866" i="7" s="1"/>
  <c r="P866" i="7"/>
  <c r="K865" i="7"/>
  <c r="S866" i="7" s="1"/>
  <c r="R866" i="7" l="1"/>
  <c r="G866" i="7"/>
  <c r="L866" i="7" l="1"/>
  <c r="M866" i="7" s="1"/>
  <c r="N866" i="7" s="1"/>
  <c r="H866" i="7"/>
  <c r="I866" i="7" s="1"/>
  <c r="J866" i="7" s="1"/>
  <c r="K866" i="7" l="1"/>
  <c r="S867" i="7" s="1"/>
  <c r="P867" i="7"/>
  <c r="Q867" i="7"/>
  <c r="O866" i="7"/>
  <c r="T867" i="7" s="1"/>
  <c r="G867" i="7" l="1"/>
  <c r="R867" i="7"/>
  <c r="H867" i="7" l="1"/>
  <c r="I867" i="7" s="1"/>
  <c r="J867" i="7" s="1"/>
  <c r="L867" i="7"/>
  <c r="M867" i="7" s="1"/>
  <c r="N867" i="7" s="1"/>
  <c r="O867" i="7" l="1"/>
  <c r="T868" i="7" s="1"/>
  <c r="Q868" i="7"/>
  <c r="K867" i="7"/>
  <c r="S868" i="7" s="1"/>
  <c r="P868" i="7"/>
  <c r="G868" i="7" l="1"/>
  <c r="R868" i="7"/>
  <c r="L868" i="7" l="1"/>
  <c r="M868" i="7" s="1"/>
  <c r="N868" i="7" s="1"/>
  <c r="H868" i="7"/>
  <c r="I868" i="7" s="1"/>
  <c r="J868" i="7" s="1"/>
  <c r="P869" i="7" l="1"/>
  <c r="K868" i="7"/>
  <c r="S869" i="7" s="1"/>
  <c r="O868" i="7"/>
  <c r="T869" i="7" s="1"/>
  <c r="Q869" i="7"/>
  <c r="G869" i="7" l="1"/>
  <c r="R869" i="7"/>
  <c r="L869" i="7" l="1"/>
  <c r="M869" i="7" s="1"/>
  <c r="N869" i="7" s="1"/>
  <c r="H869" i="7"/>
  <c r="I869" i="7" s="1"/>
  <c r="J869" i="7" s="1"/>
  <c r="K869" i="7" l="1"/>
  <c r="S870" i="7" s="1"/>
  <c r="P870" i="7"/>
  <c r="Q870" i="7"/>
  <c r="O869" i="7"/>
  <c r="T870" i="7" s="1"/>
  <c r="G870" i="7" l="1"/>
  <c r="R870" i="7"/>
  <c r="H870" i="7" l="1"/>
  <c r="I870" i="7" s="1"/>
  <c r="J870" i="7" s="1"/>
  <c r="L870" i="7"/>
  <c r="M870" i="7" s="1"/>
  <c r="N870" i="7" s="1"/>
  <c r="Q871" i="7" l="1"/>
  <c r="O870" i="7"/>
  <c r="T871" i="7" s="1"/>
  <c r="K870" i="7"/>
  <c r="S871" i="7" s="1"/>
  <c r="P871" i="7"/>
  <c r="G871" i="7" l="1"/>
  <c r="R871" i="7"/>
  <c r="H871" i="7" l="1"/>
  <c r="I871" i="7" s="1"/>
  <c r="J871" i="7" s="1"/>
  <c r="L871" i="7"/>
  <c r="M871" i="7" s="1"/>
  <c r="N871" i="7" s="1"/>
  <c r="Q872" i="7" l="1"/>
  <c r="O871" i="7"/>
  <c r="T872" i="7" s="1"/>
  <c r="P872" i="7"/>
  <c r="K871" i="7"/>
  <c r="S872" i="7" s="1"/>
  <c r="R872" i="7" l="1"/>
  <c r="G872" i="7"/>
  <c r="L872" i="7" l="1"/>
  <c r="M872" i="7" s="1"/>
  <c r="N872" i="7" s="1"/>
  <c r="H872" i="7"/>
  <c r="I872" i="7" s="1"/>
  <c r="J872" i="7" s="1"/>
  <c r="P873" i="7" l="1"/>
  <c r="K872" i="7"/>
  <c r="S873" i="7" s="1"/>
  <c r="Q873" i="7"/>
  <c r="O872" i="7"/>
  <c r="T873" i="7" s="1"/>
  <c r="G873" i="7" l="1"/>
  <c r="R873" i="7"/>
  <c r="L873" i="7" l="1"/>
  <c r="M873" i="7" s="1"/>
  <c r="N873" i="7" s="1"/>
  <c r="H873" i="7"/>
  <c r="I873" i="7" s="1"/>
  <c r="J873" i="7" s="1"/>
  <c r="P874" i="7" l="1"/>
  <c r="K873" i="7"/>
  <c r="S874" i="7" s="1"/>
  <c r="Q874" i="7"/>
  <c r="O873" i="7"/>
  <c r="T874" i="7" s="1"/>
  <c r="G874" i="7" l="1"/>
  <c r="R874" i="7"/>
  <c r="H874" i="7" l="1"/>
  <c r="I874" i="7" s="1"/>
  <c r="J874" i="7" s="1"/>
  <c r="L874" i="7"/>
  <c r="M874" i="7" s="1"/>
  <c r="N874" i="7" s="1"/>
  <c r="Q875" i="7" l="1"/>
  <c r="O874" i="7"/>
  <c r="T875" i="7" s="1"/>
  <c r="P875" i="7"/>
  <c r="K874" i="7"/>
  <c r="S875" i="7" s="1"/>
  <c r="G875" i="7" l="1"/>
  <c r="R875" i="7"/>
  <c r="H875" i="7" l="1"/>
  <c r="I875" i="7" s="1"/>
  <c r="J875" i="7" s="1"/>
  <c r="L875" i="7"/>
  <c r="M875" i="7" s="1"/>
  <c r="N875" i="7" s="1"/>
  <c r="Q876" i="7" l="1"/>
  <c r="O875" i="7"/>
  <c r="T876" i="7" s="1"/>
  <c r="P876" i="7"/>
  <c r="K875" i="7"/>
  <c r="S876" i="7" s="1"/>
  <c r="R876" i="7" l="1"/>
  <c r="G876" i="7"/>
  <c r="L876" i="7" l="1"/>
  <c r="M876" i="7" s="1"/>
  <c r="N876" i="7" s="1"/>
  <c r="H876" i="7"/>
  <c r="I876" i="7" s="1"/>
  <c r="J876" i="7" s="1"/>
  <c r="K876" i="7" l="1"/>
  <c r="S877" i="7" s="1"/>
  <c r="P877" i="7"/>
  <c r="O876" i="7"/>
  <c r="T877" i="7" s="1"/>
  <c r="Q877" i="7"/>
  <c r="G877" i="7" l="1"/>
  <c r="R877" i="7"/>
  <c r="H877" i="7" l="1"/>
  <c r="I877" i="7" s="1"/>
  <c r="J877" i="7" s="1"/>
  <c r="L877" i="7"/>
  <c r="M877" i="7" s="1"/>
  <c r="N877" i="7" s="1"/>
  <c r="O877" i="7" l="1"/>
  <c r="T878" i="7" s="1"/>
  <c r="Q878" i="7"/>
  <c r="K877" i="7"/>
  <c r="S878" i="7" s="1"/>
  <c r="P878" i="7"/>
  <c r="R878" i="7" l="1"/>
  <c r="G878" i="7"/>
  <c r="H878" i="7" l="1"/>
  <c r="I878" i="7" s="1"/>
  <c r="J878" i="7" s="1"/>
  <c r="L878" i="7"/>
  <c r="M878" i="7" s="1"/>
  <c r="N878" i="7" s="1"/>
  <c r="Q879" i="7" l="1"/>
  <c r="O878" i="7"/>
  <c r="T879" i="7" s="1"/>
  <c r="P879" i="7"/>
  <c r="K878" i="7"/>
  <c r="S879" i="7" s="1"/>
  <c r="R879" i="7" l="1"/>
  <c r="G879" i="7"/>
  <c r="L879" i="7" l="1"/>
  <c r="M879" i="7" s="1"/>
  <c r="N879" i="7" s="1"/>
  <c r="H879" i="7"/>
  <c r="I879" i="7" s="1"/>
  <c r="J879" i="7" s="1"/>
  <c r="K879" i="7" l="1"/>
  <c r="S880" i="7" s="1"/>
  <c r="P880" i="7"/>
  <c r="Q880" i="7"/>
  <c r="O879" i="7"/>
  <c r="T880" i="7" s="1"/>
  <c r="G880" i="7" l="1"/>
  <c r="R880" i="7"/>
  <c r="H880" i="7" l="1"/>
  <c r="I880" i="7" s="1"/>
  <c r="J880" i="7" s="1"/>
  <c r="L880" i="7"/>
  <c r="M880" i="7" s="1"/>
  <c r="N880" i="7" s="1"/>
  <c r="Q881" i="7" l="1"/>
  <c r="O880" i="7"/>
  <c r="T881" i="7" s="1"/>
  <c r="K880" i="7"/>
  <c r="S881" i="7" s="1"/>
  <c r="P881" i="7"/>
  <c r="R881" i="7" l="1"/>
  <c r="G881" i="7"/>
  <c r="H881" i="7" l="1"/>
  <c r="I881" i="7" s="1"/>
  <c r="J881" i="7" s="1"/>
  <c r="L881" i="7"/>
  <c r="M881" i="7" s="1"/>
  <c r="N881" i="7" s="1"/>
  <c r="O881" i="7" l="1"/>
  <c r="T882" i="7" s="1"/>
  <c r="Q882" i="7"/>
  <c r="K881" i="7"/>
  <c r="S882" i="7" s="1"/>
  <c r="P882" i="7"/>
  <c r="R882" i="7" l="1"/>
  <c r="G882" i="7"/>
  <c r="L882" i="7" l="1"/>
  <c r="M882" i="7" s="1"/>
  <c r="N882" i="7" s="1"/>
  <c r="H882" i="7"/>
  <c r="I882" i="7" s="1"/>
  <c r="J882" i="7" s="1"/>
  <c r="K882" i="7" l="1"/>
  <c r="S883" i="7" s="1"/>
  <c r="P883" i="7"/>
  <c r="Q883" i="7"/>
  <c r="O882" i="7"/>
  <c r="T883" i="7" s="1"/>
  <c r="R883" i="7" l="1"/>
  <c r="G883" i="7"/>
  <c r="H883" i="7" l="1"/>
  <c r="I883" i="7" s="1"/>
  <c r="J883" i="7" s="1"/>
  <c r="L883" i="7"/>
  <c r="M883" i="7" s="1"/>
  <c r="N883" i="7" s="1"/>
  <c r="Q884" i="7" l="1"/>
  <c r="O883" i="7"/>
  <c r="T884" i="7" s="1"/>
  <c r="K883" i="7"/>
  <c r="S884" i="7" s="1"/>
  <c r="P884" i="7"/>
  <c r="G884" i="7" l="1"/>
  <c r="R884" i="7"/>
  <c r="H884" i="7" l="1"/>
  <c r="I884" i="7" s="1"/>
  <c r="J884" i="7" s="1"/>
  <c r="L884" i="7"/>
  <c r="M884" i="7" s="1"/>
  <c r="N884" i="7" s="1"/>
  <c r="O884" i="7" l="1"/>
  <c r="T885" i="7" s="1"/>
  <c r="Q885" i="7"/>
  <c r="K884" i="7"/>
  <c r="S885" i="7" s="1"/>
  <c r="P885" i="7"/>
  <c r="G885" i="7" l="1"/>
  <c r="R885" i="7"/>
  <c r="H885" i="7" l="1"/>
  <c r="I885" i="7" s="1"/>
  <c r="J885" i="7" s="1"/>
  <c r="L885" i="7"/>
  <c r="M885" i="7" s="1"/>
  <c r="N885" i="7" s="1"/>
  <c r="O885" i="7" l="1"/>
  <c r="T886" i="7" s="1"/>
  <c r="Q886" i="7"/>
  <c r="K885" i="7"/>
  <c r="S886" i="7" s="1"/>
  <c r="P886" i="7"/>
  <c r="R886" i="7" l="1"/>
  <c r="G886" i="7"/>
  <c r="H886" i="7" l="1"/>
  <c r="I886" i="7" s="1"/>
  <c r="J886" i="7" s="1"/>
  <c r="L886" i="7"/>
  <c r="M886" i="7" s="1"/>
  <c r="N886" i="7" s="1"/>
  <c r="Q887" i="7" l="1"/>
  <c r="O886" i="7"/>
  <c r="T887" i="7" s="1"/>
  <c r="P887" i="7"/>
  <c r="K886" i="7"/>
  <c r="S887" i="7" s="1"/>
  <c r="G887" i="7" l="1"/>
  <c r="R887" i="7"/>
  <c r="H887" i="7" l="1"/>
  <c r="I887" i="7" s="1"/>
  <c r="J887" i="7" s="1"/>
  <c r="L887" i="7"/>
  <c r="M887" i="7" s="1"/>
  <c r="N887" i="7" s="1"/>
  <c r="Q888" i="7" l="1"/>
  <c r="O887" i="7"/>
  <c r="T888" i="7" s="1"/>
  <c r="K887" i="7"/>
  <c r="S888" i="7" s="1"/>
  <c r="P888" i="7"/>
  <c r="G888" i="7" l="1"/>
  <c r="R888" i="7"/>
  <c r="L888" i="7" l="1"/>
  <c r="M888" i="7" s="1"/>
  <c r="N888" i="7" s="1"/>
  <c r="H888" i="7"/>
  <c r="I888" i="7" s="1"/>
  <c r="J888" i="7" s="1"/>
  <c r="P889" i="7" l="1"/>
  <c r="K888" i="7"/>
  <c r="S889" i="7" s="1"/>
  <c r="Q889" i="7"/>
  <c r="O888" i="7"/>
  <c r="T889" i="7" s="1"/>
  <c r="R889" i="7" l="1"/>
  <c r="G889" i="7"/>
  <c r="H889" i="7" l="1"/>
  <c r="I889" i="7" s="1"/>
  <c r="J889" i="7" s="1"/>
  <c r="L889" i="7"/>
  <c r="M889" i="7" s="1"/>
  <c r="N889" i="7" s="1"/>
  <c r="Q890" i="7" l="1"/>
  <c r="O889" i="7"/>
  <c r="T890" i="7" s="1"/>
  <c r="P890" i="7"/>
  <c r="K889" i="7"/>
  <c r="S890" i="7" s="1"/>
  <c r="G890" i="7" l="1"/>
  <c r="R890" i="7"/>
  <c r="L890" i="7" l="1"/>
  <c r="M890" i="7" s="1"/>
  <c r="N890" i="7" s="1"/>
  <c r="H890" i="7"/>
  <c r="I890" i="7" s="1"/>
  <c r="J890" i="7" s="1"/>
  <c r="P891" i="7" l="1"/>
  <c r="K890" i="7"/>
  <c r="S891" i="7" s="1"/>
  <c r="Q891" i="7"/>
  <c r="O890" i="7"/>
  <c r="T891" i="7" s="1"/>
  <c r="R891" i="7" l="1"/>
  <c r="G891" i="7"/>
  <c r="L891" i="7" l="1"/>
  <c r="M891" i="7" s="1"/>
  <c r="N891" i="7" s="1"/>
  <c r="H891" i="7"/>
  <c r="I891" i="7" s="1"/>
  <c r="J891" i="7" s="1"/>
  <c r="K891" i="7" l="1"/>
  <c r="S892" i="7" s="1"/>
  <c r="P892" i="7"/>
  <c r="Q892" i="7"/>
  <c r="O891" i="7"/>
  <c r="T892" i="7" s="1"/>
  <c r="R892" i="7" l="1"/>
  <c r="G892" i="7"/>
  <c r="L892" i="7" l="1"/>
  <c r="M892" i="7" s="1"/>
  <c r="N892" i="7" s="1"/>
  <c r="H892" i="7"/>
  <c r="I892" i="7" s="1"/>
  <c r="J892" i="7" s="1"/>
  <c r="K892" i="7" l="1"/>
  <c r="S893" i="7" s="1"/>
  <c r="P893" i="7"/>
  <c r="Q893" i="7"/>
  <c r="O892" i="7"/>
  <c r="T893" i="7" s="1"/>
  <c r="G893" i="7" l="1"/>
  <c r="R893" i="7"/>
  <c r="L893" i="7" l="1"/>
  <c r="M893" i="7" s="1"/>
  <c r="N893" i="7" s="1"/>
  <c r="H893" i="7"/>
  <c r="I893" i="7" s="1"/>
  <c r="J893" i="7" s="1"/>
  <c r="P894" i="7" l="1"/>
  <c r="K893" i="7"/>
  <c r="S894" i="7" s="1"/>
  <c r="Q894" i="7"/>
  <c r="O893" i="7"/>
  <c r="T894" i="7" s="1"/>
  <c r="R894" i="7" l="1"/>
  <c r="G894" i="7"/>
  <c r="L894" i="7" l="1"/>
  <c r="M894" i="7" s="1"/>
  <c r="N894" i="7" s="1"/>
  <c r="H894" i="7"/>
  <c r="I894" i="7" s="1"/>
  <c r="J894" i="7" s="1"/>
  <c r="P895" i="7" l="1"/>
  <c r="K894" i="7"/>
  <c r="S895" i="7" s="1"/>
  <c r="Q895" i="7"/>
  <c r="O894" i="7"/>
  <c r="T895" i="7" s="1"/>
  <c r="R895" i="7" l="1"/>
  <c r="G895" i="7"/>
  <c r="L895" i="7" l="1"/>
  <c r="M895" i="7" s="1"/>
  <c r="N895" i="7" s="1"/>
  <c r="H895" i="7"/>
  <c r="I895" i="7" s="1"/>
  <c r="J895" i="7" s="1"/>
  <c r="K895" i="7" l="1"/>
  <c r="S896" i="7" s="1"/>
  <c r="P896" i="7"/>
  <c r="Q896" i="7"/>
  <c r="O895" i="7"/>
  <c r="T896" i="7" s="1"/>
  <c r="R896" i="7" l="1"/>
  <c r="G896" i="7"/>
  <c r="H896" i="7" l="1"/>
  <c r="I896" i="7" s="1"/>
  <c r="J896" i="7" s="1"/>
  <c r="L896" i="7"/>
  <c r="M896" i="7" s="1"/>
  <c r="N896" i="7" s="1"/>
  <c r="Q897" i="7" l="1"/>
  <c r="O896" i="7"/>
  <c r="T897" i="7" s="1"/>
  <c r="P897" i="7"/>
  <c r="K896" i="7"/>
  <c r="S897" i="7" s="1"/>
  <c r="G897" i="7" l="1"/>
  <c r="R897" i="7"/>
  <c r="H897" i="7" l="1"/>
  <c r="I897" i="7" s="1"/>
  <c r="J897" i="7" s="1"/>
  <c r="L897" i="7"/>
  <c r="M897" i="7" s="1"/>
  <c r="N897" i="7" s="1"/>
  <c r="Q898" i="7" l="1"/>
  <c r="O897" i="7"/>
  <c r="T898" i="7" s="1"/>
  <c r="P898" i="7"/>
  <c r="K897" i="7"/>
  <c r="S898" i="7" s="1"/>
  <c r="R898" i="7" l="1"/>
  <c r="G898" i="7"/>
  <c r="H898" i="7" l="1"/>
  <c r="I898" i="7" s="1"/>
  <c r="J898" i="7" s="1"/>
  <c r="L898" i="7"/>
  <c r="M898" i="7" s="1"/>
  <c r="N898" i="7" s="1"/>
  <c r="Q899" i="7" l="1"/>
  <c r="O898" i="7"/>
  <c r="T899" i="7" s="1"/>
  <c r="P899" i="7"/>
  <c r="K898" i="7"/>
  <c r="S899" i="7" s="1"/>
  <c r="G899" i="7" l="1"/>
  <c r="R899" i="7"/>
  <c r="H899" i="7" l="1"/>
  <c r="I899" i="7" s="1"/>
  <c r="J899" i="7" s="1"/>
  <c r="L899" i="7"/>
  <c r="M899" i="7" s="1"/>
  <c r="N899" i="7" s="1"/>
  <c r="O899" i="7" l="1"/>
  <c r="T900" i="7" s="1"/>
  <c r="Q900" i="7"/>
  <c r="P900" i="7"/>
  <c r="K899" i="7"/>
  <c r="S900" i="7" s="1"/>
  <c r="G900" i="7" l="1"/>
  <c r="R900" i="7"/>
  <c r="L900" i="7" l="1"/>
  <c r="M900" i="7" s="1"/>
  <c r="N900" i="7" s="1"/>
  <c r="H900" i="7"/>
  <c r="I900" i="7" s="1"/>
  <c r="J900" i="7" s="1"/>
  <c r="K900" i="7" l="1"/>
  <c r="S901" i="7" s="1"/>
  <c r="P901" i="7"/>
  <c r="Q901" i="7"/>
  <c r="O900" i="7"/>
  <c r="T901" i="7" s="1"/>
  <c r="G901" i="7" l="1"/>
  <c r="R901" i="7"/>
  <c r="H901" i="7" l="1"/>
  <c r="I901" i="7" s="1"/>
  <c r="J901" i="7" s="1"/>
  <c r="L901" i="7"/>
  <c r="M901" i="7" s="1"/>
  <c r="N901" i="7" s="1"/>
  <c r="Q902" i="7" l="1"/>
  <c r="O901" i="7"/>
  <c r="T902" i="7" s="1"/>
  <c r="K901" i="7"/>
  <c r="S902" i="7" s="1"/>
  <c r="P902" i="7"/>
  <c r="G902" i="7" l="1"/>
  <c r="R902" i="7"/>
  <c r="L902" i="7" l="1"/>
  <c r="M902" i="7" s="1"/>
  <c r="N902" i="7" s="1"/>
  <c r="H902" i="7"/>
  <c r="I902" i="7" s="1"/>
  <c r="J902" i="7" s="1"/>
  <c r="P903" i="7" l="1"/>
  <c r="K902" i="7"/>
  <c r="S903" i="7" s="1"/>
  <c r="O902" i="7"/>
  <c r="T903" i="7" s="1"/>
  <c r="Q903" i="7"/>
  <c r="G903" i="7" l="1"/>
  <c r="R903" i="7"/>
  <c r="H903" i="7" l="1"/>
  <c r="I903" i="7" s="1"/>
  <c r="J903" i="7" s="1"/>
  <c r="L903" i="7"/>
  <c r="M903" i="7" s="1"/>
  <c r="N903" i="7" s="1"/>
  <c r="O903" i="7" l="1"/>
  <c r="T904" i="7" s="1"/>
  <c r="Q904" i="7"/>
  <c r="P904" i="7"/>
  <c r="K903" i="7"/>
  <c r="S904" i="7" s="1"/>
  <c r="G904" i="7" l="1"/>
  <c r="R904" i="7"/>
  <c r="L904" i="7" l="1"/>
  <c r="M904" i="7" s="1"/>
  <c r="N904" i="7" s="1"/>
  <c r="H904" i="7"/>
  <c r="I904" i="7" s="1"/>
  <c r="J904" i="7" s="1"/>
  <c r="P905" i="7" l="1"/>
  <c r="K904" i="7"/>
  <c r="S905" i="7" s="1"/>
  <c r="Q905" i="7"/>
  <c r="O904" i="7"/>
  <c r="T905" i="7" s="1"/>
  <c r="R905" i="7" l="1"/>
  <c r="G905" i="7"/>
  <c r="L905" i="7" l="1"/>
  <c r="M905" i="7" s="1"/>
  <c r="N905" i="7" s="1"/>
  <c r="H905" i="7"/>
  <c r="I905" i="7" s="1"/>
  <c r="J905" i="7" s="1"/>
  <c r="P906" i="7" l="1"/>
  <c r="K905" i="7"/>
  <c r="S906" i="7" s="1"/>
  <c r="Q906" i="7"/>
  <c r="O905" i="7"/>
  <c r="T906" i="7" s="1"/>
  <c r="R906" i="7" l="1"/>
  <c r="G906" i="7"/>
  <c r="L906" i="7" l="1"/>
  <c r="M906" i="7" s="1"/>
  <c r="N906" i="7" s="1"/>
  <c r="H906" i="7"/>
  <c r="I906" i="7" s="1"/>
  <c r="J906" i="7" s="1"/>
  <c r="P907" i="7" l="1"/>
  <c r="K906" i="7"/>
  <c r="S907" i="7" s="1"/>
  <c r="O906" i="7"/>
  <c r="T907" i="7" s="1"/>
  <c r="Q907" i="7"/>
  <c r="G907" i="7" l="1"/>
  <c r="R907" i="7"/>
  <c r="L907" i="7" l="1"/>
  <c r="M907" i="7" s="1"/>
  <c r="N907" i="7" s="1"/>
  <c r="H907" i="7"/>
  <c r="I907" i="7" s="1"/>
  <c r="J907" i="7" s="1"/>
  <c r="K907" i="7" l="1"/>
  <c r="S908" i="7" s="1"/>
  <c r="P908" i="7"/>
  <c r="Q908" i="7"/>
  <c r="O907" i="7"/>
  <c r="T908" i="7" s="1"/>
  <c r="R908" i="7" l="1"/>
  <c r="G908" i="7"/>
  <c r="L908" i="7" l="1"/>
  <c r="M908" i="7" s="1"/>
  <c r="N908" i="7" s="1"/>
  <c r="H908" i="7"/>
  <c r="I908" i="7" s="1"/>
  <c r="J908" i="7" s="1"/>
  <c r="K908" i="7" l="1"/>
  <c r="S909" i="7" s="1"/>
  <c r="P909" i="7"/>
  <c r="O908" i="7"/>
  <c r="T909" i="7" s="1"/>
  <c r="Q909" i="7"/>
  <c r="R909" i="7" l="1"/>
  <c r="G909" i="7"/>
  <c r="H909" i="7" l="1"/>
  <c r="I909" i="7" s="1"/>
  <c r="J909" i="7" s="1"/>
  <c r="L909" i="7"/>
  <c r="M909" i="7" s="1"/>
  <c r="N909" i="7" s="1"/>
  <c r="O909" i="7" l="1"/>
  <c r="T910" i="7" s="1"/>
  <c r="Q910" i="7"/>
  <c r="K909" i="7"/>
  <c r="S910" i="7" s="1"/>
  <c r="P910" i="7"/>
  <c r="R910" i="7" l="1"/>
  <c r="G910" i="7"/>
  <c r="H910" i="7" l="1"/>
  <c r="I910" i="7" s="1"/>
  <c r="J910" i="7" s="1"/>
  <c r="L910" i="7"/>
  <c r="M910" i="7" s="1"/>
  <c r="N910" i="7" s="1"/>
  <c r="Q911" i="7" l="1"/>
  <c r="O910" i="7"/>
  <c r="T911" i="7" s="1"/>
  <c r="K910" i="7"/>
  <c r="S911" i="7" s="1"/>
  <c r="P911" i="7"/>
  <c r="R911" i="7" l="1"/>
  <c r="G911" i="7"/>
  <c r="H911" i="7" l="1"/>
  <c r="I911" i="7" s="1"/>
  <c r="J911" i="7" s="1"/>
  <c r="L911" i="7"/>
  <c r="M911" i="7" s="1"/>
  <c r="N911" i="7" s="1"/>
  <c r="Q912" i="7" l="1"/>
  <c r="O911" i="7"/>
  <c r="T912" i="7" s="1"/>
  <c r="P912" i="7"/>
  <c r="K911" i="7"/>
  <c r="S912" i="7" s="1"/>
  <c r="R912" i="7" l="1"/>
  <c r="G912" i="7"/>
  <c r="H912" i="7" l="1"/>
  <c r="I912" i="7" s="1"/>
  <c r="J912" i="7" s="1"/>
  <c r="L912" i="7"/>
  <c r="M912" i="7" s="1"/>
  <c r="N912" i="7" s="1"/>
  <c r="O912" i="7" l="1"/>
  <c r="T913" i="7" s="1"/>
  <c r="Q913" i="7"/>
  <c r="P913" i="7"/>
  <c r="K912" i="7"/>
  <c r="S913" i="7" s="1"/>
  <c r="R913" i="7" l="1"/>
  <c r="G913" i="7"/>
  <c r="L913" i="7" l="1"/>
  <c r="M913" i="7" s="1"/>
  <c r="N913" i="7" s="1"/>
  <c r="H913" i="7"/>
  <c r="I913" i="7" s="1"/>
  <c r="J913" i="7" s="1"/>
  <c r="K913" i="7" l="1"/>
  <c r="S914" i="7" s="1"/>
  <c r="P914" i="7"/>
  <c r="O913" i="7"/>
  <c r="T914" i="7" s="1"/>
  <c r="Q914" i="7"/>
  <c r="G914" i="7" l="1"/>
  <c r="R914" i="7"/>
  <c r="L914" i="7" l="1"/>
  <c r="M914" i="7" s="1"/>
  <c r="N914" i="7" s="1"/>
  <c r="H914" i="7"/>
  <c r="I914" i="7" s="1"/>
  <c r="J914" i="7" s="1"/>
  <c r="K914" i="7" l="1"/>
  <c r="S915" i="7" s="1"/>
  <c r="P915" i="7"/>
  <c r="O914" i="7"/>
  <c r="T915" i="7" s="1"/>
  <c r="Q915" i="7"/>
  <c r="R915" i="7" l="1"/>
  <c r="G915" i="7"/>
  <c r="H915" i="7" l="1"/>
  <c r="I915" i="7" s="1"/>
  <c r="J915" i="7" s="1"/>
  <c r="L915" i="7"/>
  <c r="M915" i="7" s="1"/>
  <c r="N915" i="7" s="1"/>
  <c r="Q916" i="7" l="1"/>
  <c r="O915" i="7"/>
  <c r="T916" i="7" s="1"/>
  <c r="P916" i="7"/>
  <c r="K915" i="7"/>
  <c r="S916" i="7" s="1"/>
  <c r="R916" i="7" l="1"/>
  <c r="G916" i="7"/>
  <c r="L916" i="7" l="1"/>
  <c r="M916" i="7" s="1"/>
  <c r="N916" i="7" s="1"/>
  <c r="H916" i="7"/>
  <c r="I916" i="7" s="1"/>
  <c r="J916" i="7" s="1"/>
  <c r="P917" i="7" l="1"/>
  <c r="K916" i="7"/>
  <c r="S917" i="7" s="1"/>
  <c r="Q917" i="7"/>
  <c r="O916" i="7"/>
  <c r="T917" i="7" s="1"/>
  <c r="R917" i="7" l="1"/>
  <c r="G917" i="7"/>
  <c r="L917" i="7" l="1"/>
  <c r="M917" i="7" s="1"/>
  <c r="N917" i="7" s="1"/>
  <c r="H917" i="7"/>
  <c r="I917" i="7" s="1"/>
  <c r="J917" i="7" s="1"/>
  <c r="K917" i="7" l="1"/>
  <c r="S918" i="7" s="1"/>
  <c r="P918" i="7"/>
  <c r="O917" i="7"/>
  <c r="T918" i="7" s="1"/>
  <c r="Q918" i="7"/>
  <c r="G918" i="7" l="1"/>
  <c r="R918" i="7"/>
  <c r="H918" i="7" l="1"/>
  <c r="I918" i="7" s="1"/>
  <c r="J918" i="7" s="1"/>
  <c r="L918" i="7"/>
  <c r="M918" i="7" s="1"/>
  <c r="N918" i="7" s="1"/>
  <c r="O918" i="7" l="1"/>
  <c r="T919" i="7" s="1"/>
  <c r="Q919" i="7"/>
  <c r="K918" i="7"/>
  <c r="S919" i="7" s="1"/>
  <c r="P919" i="7"/>
  <c r="R919" i="7" l="1"/>
  <c r="G919" i="7"/>
  <c r="H919" i="7" l="1"/>
  <c r="I919" i="7" s="1"/>
  <c r="J919" i="7" s="1"/>
  <c r="L919" i="7"/>
  <c r="M919" i="7" s="1"/>
  <c r="N919" i="7" s="1"/>
  <c r="Q920" i="7" l="1"/>
  <c r="O919" i="7"/>
  <c r="T920" i="7" s="1"/>
  <c r="K919" i="7"/>
  <c r="S920" i="7" s="1"/>
  <c r="P920" i="7"/>
  <c r="G920" i="7" l="1"/>
  <c r="R920" i="7"/>
  <c r="H920" i="7" l="1"/>
  <c r="I920" i="7" s="1"/>
  <c r="J920" i="7" s="1"/>
  <c r="L920" i="7"/>
  <c r="M920" i="7" s="1"/>
  <c r="N920" i="7" s="1"/>
  <c r="Q921" i="7" l="1"/>
  <c r="O920" i="7"/>
  <c r="T921" i="7" s="1"/>
  <c r="P921" i="7"/>
  <c r="K920" i="7"/>
  <c r="S921" i="7" s="1"/>
  <c r="R921" i="7" l="1"/>
  <c r="G921" i="7"/>
  <c r="L921" i="7" l="1"/>
  <c r="M921" i="7" s="1"/>
  <c r="N921" i="7" s="1"/>
  <c r="H921" i="7"/>
  <c r="I921" i="7" s="1"/>
  <c r="J921" i="7" s="1"/>
  <c r="K921" i="7" l="1"/>
  <c r="S922" i="7" s="1"/>
  <c r="P922" i="7"/>
  <c r="Q922" i="7"/>
  <c r="O921" i="7"/>
  <c r="T922" i="7" s="1"/>
  <c r="R922" i="7" l="1"/>
  <c r="G922" i="7"/>
  <c r="L922" i="7" l="1"/>
  <c r="M922" i="7" s="1"/>
  <c r="N922" i="7" s="1"/>
  <c r="H922" i="7"/>
  <c r="I922" i="7" s="1"/>
  <c r="J922" i="7" s="1"/>
  <c r="K922" i="7" l="1"/>
  <c r="S923" i="7" s="1"/>
  <c r="P923" i="7"/>
  <c r="O922" i="7"/>
  <c r="T923" i="7" s="1"/>
  <c r="Q923" i="7"/>
  <c r="G923" i="7" l="1"/>
  <c r="R923" i="7"/>
  <c r="H923" i="7" l="1"/>
  <c r="I923" i="7" s="1"/>
  <c r="J923" i="7" s="1"/>
  <c r="L923" i="7"/>
  <c r="M923" i="7" s="1"/>
  <c r="N923" i="7" s="1"/>
  <c r="O923" i="7" l="1"/>
  <c r="T924" i="7" s="1"/>
  <c r="Q924" i="7"/>
  <c r="K923" i="7"/>
  <c r="S924" i="7" s="1"/>
  <c r="P924" i="7"/>
  <c r="G924" i="7" l="1"/>
  <c r="R924" i="7"/>
  <c r="L924" i="7" l="1"/>
  <c r="M924" i="7" s="1"/>
  <c r="N924" i="7" s="1"/>
  <c r="H924" i="7"/>
  <c r="I924" i="7" s="1"/>
  <c r="J924" i="7" s="1"/>
  <c r="K924" i="7" l="1"/>
  <c r="S925" i="7" s="1"/>
  <c r="P925" i="7"/>
  <c r="Q925" i="7"/>
  <c r="O924" i="7"/>
  <c r="T925" i="7" s="1"/>
  <c r="G925" i="7" l="1"/>
  <c r="R925" i="7"/>
  <c r="H925" i="7" l="1"/>
  <c r="I925" i="7" s="1"/>
  <c r="J925" i="7" s="1"/>
  <c r="L925" i="7"/>
  <c r="M925" i="7" s="1"/>
  <c r="N925" i="7" s="1"/>
  <c r="O925" i="7" l="1"/>
  <c r="T926" i="7" s="1"/>
  <c r="Q926" i="7"/>
  <c r="K925" i="7"/>
  <c r="S926" i="7" s="1"/>
  <c r="P926" i="7"/>
  <c r="R926" i="7" l="1"/>
  <c r="G926" i="7"/>
  <c r="L926" i="7" l="1"/>
  <c r="M926" i="7" s="1"/>
  <c r="N926" i="7" s="1"/>
  <c r="H926" i="7"/>
  <c r="I926" i="7" s="1"/>
  <c r="J926" i="7" s="1"/>
  <c r="K926" i="7" l="1"/>
  <c r="S927" i="7" s="1"/>
  <c r="P927" i="7"/>
  <c r="Q927" i="7"/>
  <c r="O926" i="7"/>
  <c r="T927" i="7" s="1"/>
  <c r="G927" i="7" l="1"/>
  <c r="R927" i="7"/>
  <c r="L927" i="7" l="1"/>
  <c r="M927" i="7" s="1"/>
  <c r="N927" i="7" s="1"/>
  <c r="H927" i="7"/>
  <c r="I927" i="7" s="1"/>
  <c r="J927" i="7" s="1"/>
  <c r="P928" i="7" l="1"/>
  <c r="K927" i="7"/>
  <c r="S928" i="7" s="1"/>
  <c r="O927" i="7"/>
  <c r="T928" i="7" s="1"/>
  <c r="Q928" i="7"/>
  <c r="G928" i="7" l="1"/>
  <c r="R928" i="7"/>
  <c r="H928" i="7" l="1"/>
  <c r="I928" i="7" s="1"/>
  <c r="J928" i="7" s="1"/>
  <c r="L928" i="7"/>
  <c r="M928" i="7" s="1"/>
  <c r="N928" i="7" s="1"/>
  <c r="Q929" i="7" l="1"/>
  <c r="O928" i="7"/>
  <c r="T929" i="7" s="1"/>
  <c r="P929" i="7"/>
  <c r="K928" i="7"/>
  <c r="S929" i="7" s="1"/>
  <c r="R929" i="7" l="1"/>
  <c r="G929" i="7"/>
  <c r="H929" i="7" l="1"/>
  <c r="I929" i="7" s="1"/>
  <c r="J929" i="7" s="1"/>
  <c r="L929" i="7"/>
  <c r="M929" i="7" s="1"/>
  <c r="N929" i="7" s="1"/>
  <c r="Q930" i="7" l="1"/>
  <c r="O929" i="7"/>
  <c r="T930" i="7" s="1"/>
  <c r="K929" i="7"/>
  <c r="S930" i="7" s="1"/>
  <c r="P930" i="7"/>
  <c r="R930" i="7" l="1"/>
  <c r="G930" i="7"/>
  <c r="H930" i="7" l="1"/>
  <c r="I930" i="7" s="1"/>
  <c r="J930" i="7" s="1"/>
  <c r="L930" i="7"/>
  <c r="M930" i="7" s="1"/>
  <c r="N930" i="7" s="1"/>
  <c r="Q931" i="7" l="1"/>
  <c r="O930" i="7"/>
  <c r="T931" i="7" s="1"/>
  <c r="P931" i="7"/>
  <c r="K930" i="7"/>
  <c r="S931" i="7" s="1"/>
  <c r="G931" i="7" l="1"/>
  <c r="R931" i="7"/>
  <c r="H931" i="7" l="1"/>
  <c r="I931" i="7" s="1"/>
  <c r="J931" i="7" s="1"/>
  <c r="L931" i="7"/>
  <c r="M931" i="7" s="1"/>
  <c r="N931" i="7" s="1"/>
  <c r="O931" i="7" l="1"/>
  <c r="T932" i="7" s="1"/>
  <c r="Q932" i="7"/>
  <c r="K931" i="7"/>
  <c r="S932" i="7" s="1"/>
  <c r="P932" i="7"/>
  <c r="R932" i="7" l="1"/>
  <c r="G932" i="7"/>
  <c r="L932" i="7" l="1"/>
  <c r="M932" i="7" s="1"/>
  <c r="N932" i="7" s="1"/>
  <c r="H932" i="7"/>
  <c r="I932" i="7" s="1"/>
  <c r="J932" i="7" s="1"/>
  <c r="K932" i="7" l="1"/>
  <c r="S933" i="7" s="1"/>
  <c r="P933" i="7"/>
  <c r="Q933" i="7"/>
  <c r="O932" i="7"/>
  <c r="T933" i="7" s="1"/>
  <c r="G933" i="7" l="1"/>
  <c r="R933" i="7"/>
  <c r="H933" i="7" l="1"/>
  <c r="I933" i="7" s="1"/>
  <c r="J933" i="7" s="1"/>
  <c r="L933" i="7"/>
  <c r="M933" i="7" s="1"/>
  <c r="N933" i="7" s="1"/>
  <c r="Q934" i="7" l="1"/>
  <c r="O933" i="7"/>
  <c r="T934" i="7" s="1"/>
  <c r="P934" i="7"/>
  <c r="K933" i="7"/>
  <c r="S934" i="7" s="1"/>
  <c r="G934" i="7" l="1"/>
  <c r="R934" i="7"/>
  <c r="H934" i="7" l="1"/>
  <c r="I934" i="7" s="1"/>
  <c r="J934" i="7" s="1"/>
  <c r="L934" i="7"/>
  <c r="M934" i="7" s="1"/>
  <c r="N934" i="7" s="1"/>
  <c r="Q935" i="7" l="1"/>
  <c r="O934" i="7"/>
  <c r="T935" i="7" s="1"/>
  <c r="P935" i="7"/>
  <c r="K934" i="7"/>
  <c r="S935" i="7" s="1"/>
  <c r="G935" i="7" l="1"/>
  <c r="R935" i="7"/>
  <c r="L935" i="7" l="1"/>
  <c r="M935" i="7" s="1"/>
  <c r="N935" i="7" s="1"/>
  <c r="H935" i="7"/>
  <c r="I935" i="7" s="1"/>
  <c r="J935" i="7" s="1"/>
  <c r="K935" i="7" l="1"/>
  <c r="S936" i="7" s="1"/>
  <c r="P936" i="7"/>
  <c r="Q936" i="7"/>
  <c r="O935" i="7"/>
  <c r="T936" i="7" s="1"/>
  <c r="G936" i="7" l="1"/>
  <c r="R936" i="7"/>
  <c r="H936" i="7" l="1"/>
  <c r="I936" i="7" s="1"/>
  <c r="J936" i="7" s="1"/>
  <c r="L936" i="7"/>
  <c r="M936" i="7" s="1"/>
  <c r="N936" i="7" s="1"/>
  <c r="O936" i="7" l="1"/>
  <c r="T937" i="7" s="1"/>
  <c r="Q937" i="7"/>
  <c r="K936" i="7"/>
  <c r="S937" i="7" s="1"/>
  <c r="P937" i="7"/>
  <c r="G937" i="7" l="1"/>
  <c r="R937" i="7"/>
  <c r="L937" i="7" l="1"/>
  <c r="M937" i="7" s="1"/>
  <c r="N937" i="7" s="1"/>
  <c r="H937" i="7"/>
  <c r="I937" i="7" s="1"/>
  <c r="J937" i="7" s="1"/>
  <c r="K937" i="7" l="1"/>
  <c r="S938" i="7" s="1"/>
  <c r="P938" i="7"/>
  <c r="Q938" i="7"/>
  <c r="O937" i="7"/>
  <c r="T938" i="7" s="1"/>
  <c r="G938" i="7" l="1"/>
  <c r="R938" i="7"/>
  <c r="L938" i="7" l="1"/>
  <c r="M938" i="7" s="1"/>
  <c r="N938" i="7" s="1"/>
  <c r="H938" i="7"/>
  <c r="I938" i="7" s="1"/>
  <c r="J938" i="7" s="1"/>
  <c r="K938" i="7" l="1"/>
  <c r="S939" i="7" s="1"/>
  <c r="P939" i="7"/>
  <c r="O938" i="7"/>
  <c r="T939" i="7" s="1"/>
  <c r="Q939" i="7"/>
  <c r="R939" i="7" l="1"/>
  <c r="G939" i="7"/>
  <c r="H939" i="7" l="1"/>
  <c r="I939" i="7" s="1"/>
  <c r="J939" i="7" s="1"/>
  <c r="L939" i="7"/>
  <c r="M939" i="7" s="1"/>
  <c r="N939" i="7" s="1"/>
  <c r="Q940" i="7" l="1"/>
  <c r="O939" i="7"/>
  <c r="T940" i="7" s="1"/>
  <c r="K939" i="7"/>
  <c r="S940" i="7" s="1"/>
  <c r="P940" i="7"/>
  <c r="R940" i="7" l="1"/>
  <c r="G940" i="7"/>
  <c r="L940" i="7" l="1"/>
  <c r="M940" i="7" s="1"/>
  <c r="N940" i="7" s="1"/>
  <c r="H940" i="7"/>
  <c r="I940" i="7" s="1"/>
  <c r="J940" i="7" s="1"/>
  <c r="P941" i="7" l="1"/>
  <c r="K940" i="7"/>
  <c r="S941" i="7" s="1"/>
  <c r="O940" i="7"/>
  <c r="T941" i="7" s="1"/>
  <c r="Q941" i="7"/>
  <c r="R941" i="7" l="1"/>
  <c r="G941" i="7"/>
  <c r="H941" i="7" l="1"/>
  <c r="I941" i="7" s="1"/>
  <c r="J941" i="7" s="1"/>
  <c r="L941" i="7"/>
  <c r="M941" i="7" s="1"/>
  <c r="N941" i="7" s="1"/>
  <c r="O941" i="7" l="1"/>
  <c r="T942" i="7" s="1"/>
  <c r="Q942" i="7"/>
  <c r="K941" i="7"/>
  <c r="S942" i="7" s="1"/>
  <c r="P942" i="7"/>
  <c r="G942" i="7" l="1"/>
  <c r="R942" i="7"/>
  <c r="H942" i="7" l="1"/>
  <c r="I942" i="7" s="1"/>
  <c r="J942" i="7" s="1"/>
  <c r="L942" i="7"/>
  <c r="M942" i="7" s="1"/>
  <c r="N942" i="7" s="1"/>
  <c r="Q943" i="7" l="1"/>
  <c r="O942" i="7"/>
  <c r="T943" i="7" s="1"/>
  <c r="K942" i="7"/>
  <c r="S943" i="7" s="1"/>
  <c r="P943" i="7"/>
  <c r="R943" i="7" l="1"/>
  <c r="G943" i="7"/>
  <c r="H943" i="7" l="1"/>
  <c r="I943" i="7" s="1"/>
  <c r="J943" i="7" s="1"/>
  <c r="L943" i="7"/>
  <c r="M943" i="7" s="1"/>
  <c r="N943" i="7" s="1"/>
  <c r="O943" i="7" l="1"/>
  <c r="T944" i="7" s="1"/>
  <c r="Q944" i="7"/>
  <c r="K943" i="7"/>
  <c r="S944" i="7" s="1"/>
  <c r="P944" i="7"/>
  <c r="G944" i="7" l="1"/>
  <c r="R944" i="7"/>
  <c r="L944" i="7" l="1"/>
  <c r="M944" i="7" s="1"/>
  <c r="N944" i="7" s="1"/>
  <c r="H944" i="7"/>
  <c r="I944" i="7" s="1"/>
  <c r="J944" i="7" s="1"/>
  <c r="K944" i="7" l="1"/>
  <c r="S945" i="7" s="1"/>
  <c r="P945" i="7"/>
  <c r="Q945" i="7"/>
  <c r="O944" i="7"/>
  <c r="T945" i="7" s="1"/>
  <c r="R945" i="7" l="1"/>
  <c r="G945" i="7"/>
  <c r="L945" i="7" l="1"/>
  <c r="M945" i="7" s="1"/>
  <c r="N945" i="7" s="1"/>
  <c r="H945" i="7"/>
  <c r="I945" i="7" s="1"/>
  <c r="J945" i="7" s="1"/>
  <c r="K945" i="7" l="1"/>
  <c r="S946" i="7" s="1"/>
  <c r="P946" i="7"/>
  <c r="O945" i="7"/>
  <c r="T946" i="7" s="1"/>
  <c r="Q946" i="7"/>
  <c r="R946" i="7" l="1"/>
  <c r="G946" i="7"/>
  <c r="L946" i="7" l="1"/>
  <c r="M946" i="7" s="1"/>
  <c r="N946" i="7" s="1"/>
  <c r="H946" i="7"/>
  <c r="I946" i="7" s="1"/>
  <c r="J946" i="7" s="1"/>
  <c r="K946" i="7" l="1"/>
  <c r="S947" i="7" s="1"/>
  <c r="P947" i="7"/>
  <c r="O946" i="7"/>
  <c r="T947" i="7" s="1"/>
  <c r="Q947" i="7"/>
  <c r="G947" i="7" l="1"/>
  <c r="R947" i="7"/>
  <c r="L947" i="7" l="1"/>
  <c r="M947" i="7" s="1"/>
  <c r="N947" i="7" s="1"/>
  <c r="H947" i="7"/>
  <c r="I947" i="7" s="1"/>
  <c r="J947" i="7" s="1"/>
  <c r="P948" i="7" l="1"/>
  <c r="K947" i="7"/>
  <c r="S948" i="7" s="1"/>
  <c r="O947" i="7"/>
  <c r="T948" i="7" s="1"/>
  <c r="Q948" i="7"/>
  <c r="G948" i="7" l="1"/>
  <c r="R948" i="7"/>
  <c r="H948" i="7" l="1"/>
  <c r="I948" i="7" s="1"/>
  <c r="J948" i="7" s="1"/>
  <c r="L948" i="7"/>
  <c r="M948" i="7" s="1"/>
  <c r="N948" i="7" s="1"/>
  <c r="O948" i="7" l="1"/>
  <c r="T949" i="7" s="1"/>
  <c r="Q949" i="7"/>
  <c r="P949" i="7"/>
  <c r="K948" i="7"/>
  <c r="S949" i="7" s="1"/>
  <c r="G949" i="7" l="1"/>
  <c r="R949" i="7"/>
  <c r="L949" i="7" l="1"/>
  <c r="M949" i="7" s="1"/>
  <c r="N949" i="7" s="1"/>
  <c r="H949" i="7"/>
  <c r="I949" i="7" s="1"/>
  <c r="J949" i="7" s="1"/>
  <c r="P950" i="7" l="1"/>
  <c r="K949" i="7"/>
  <c r="S950" i="7" s="1"/>
  <c r="Q950" i="7"/>
  <c r="O949" i="7"/>
  <c r="T950" i="7" s="1"/>
  <c r="G950" i="7" l="1"/>
  <c r="R950" i="7"/>
  <c r="H950" i="7" l="1"/>
  <c r="I950" i="7" s="1"/>
  <c r="J950" i="7" s="1"/>
  <c r="L950" i="7"/>
  <c r="M950" i="7" s="1"/>
  <c r="N950" i="7" s="1"/>
  <c r="O950" i="7" l="1"/>
  <c r="T951" i="7" s="1"/>
  <c r="Q951" i="7"/>
  <c r="P951" i="7"/>
  <c r="K950" i="7"/>
  <c r="S951" i="7" s="1"/>
  <c r="R951" i="7" l="1"/>
  <c r="G951" i="7"/>
  <c r="L951" i="7" l="1"/>
  <c r="M951" i="7" s="1"/>
  <c r="N951" i="7" s="1"/>
  <c r="H951" i="7"/>
  <c r="I951" i="7" s="1"/>
  <c r="J951" i="7" s="1"/>
  <c r="P952" i="7" l="1"/>
  <c r="K951" i="7"/>
  <c r="S952" i="7" s="1"/>
  <c r="O951" i="7"/>
  <c r="T952" i="7" s="1"/>
  <c r="Q952" i="7"/>
  <c r="R952" i="7" l="1"/>
  <c r="G952" i="7"/>
  <c r="H952" i="7" l="1"/>
  <c r="I952" i="7" s="1"/>
  <c r="J952" i="7" s="1"/>
  <c r="L952" i="7"/>
  <c r="M952" i="7" s="1"/>
  <c r="N952" i="7" s="1"/>
  <c r="Q953" i="7" l="1"/>
  <c r="O952" i="7"/>
  <c r="T953" i="7" s="1"/>
  <c r="K952" i="7"/>
  <c r="S953" i="7" s="1"/>
  <c r="P953" i="7"/>
  <c r="R953" i="7" l="1"/>
  <c r="G953" i="7"/>
  <c r="L953" i="7" l="1"/>
  <c r="M953" i="7" s="1"/>
  <c r="N953" i="7" s="1"/>
  <c r="H953" i="7"/>
  <c r="I953" i="7" s="1"/>
  <c r="J953" i="7" s="1"/>
  <c r="K953" i="7" l="1"/>
  <c r="S954" i="7" s="1"/>
  <c r="P954" i="7"/>
  <c r="Q954" i="7"/>
  <c r="O953" i="7"/>
  <c r="T954" i="7" s="1"/>
  <c r="R954" i="7" l="1"/>
  <c r="G954" i="7"/>
  <c r="L954" i="7" l="1"/>
  <c r="M954" i="7" s="1"/>
  <c r="N954" i="7" s="1"/>
  <c r="H954" i="7"/>
  <c r="I954" i="7" s="1"/>
  <c r="J954" i="7" s="1"/>
  <c r="P955" i="7" l="1"/>
  <c r="K954" i="7"/>
  <c r="S955" i="7" s="1"/>
  <c r="O954" i="7"/>
  <c r="T955" i="7" s="1"/>
  <c r="Q955" i="7"/>
  <c r="G955" i="7" l="1"/>
  <c r="R955" i="7"/>
  <c r="H955" i="7" l="1"/>
  <c r="I955" i="7" s="1"/>
  <c r="J955" i="7" s="1"/>
  <c r="L955" i="7"/>
  <c r="M955" i="7" s="1"/>
  <c r="N955" i="7" s="1"/>
  <c r="O955" i="7" l="1"/>
  <c r="T956" i="7" s="1"/>
  <c r="Q956" i="7"/>
  <c r="K955" i="7"/>
  <c r="S956" i="7" s="1"/>
  <c r="P956" i="7"/>
  <c r="R956" i="7" l="1"/>
  <c r="G956" i="7"/>
  <c r="L956" i="7" l="1"/>
  <c r="M956" i="7" s="1"/>
  <c r="N956" i="7" s="1"/>
  <c r="H956" i="7"/>
  <c r="I956" i="7" s="1"/>
  <c r="J956" i="7" s="1"/>
  <c r="P957" i="7" l="1"/>
  <c r="K956" i="7"/>
  <c r="S957" i="7" s="1"/>
  <c r="Q957" i="7"/>
  <c r="O956" i="7"/>
  <c r="T957" i="7" s="1"/>
  <c r="G957" i="7" l="1"/>
  <c r="R957" i="7"/>
  <c r="H957" i="7" l="1"/>
  <c r="I957" i="7" s="1"/>
  <c r="J957" i="7" s="1"/>
  <c r="L957" i="7"/>
  <c r="M957" i="7" s="1"/>
  <c r="N957" i="7" s="1"/>
  <c r="O957" i="7" l="1"/>
  <c r="T958" i="7" s="1"/>
  <c r="Q958" i="7"/>
  <c r="K957" i="7"/>
  <c r="S958" i="7" s="1"/>
  <c r="P958" i="7"/>
  <c r="R958" i="7" l="1"/>
  <c r="G958" i="7"/>
  <c r="H958" i="7" l="1"/>
  <c r="I958" i="7" s="1"/>
  <c r="J958" i="7" s="1"/>
  <c r="L958" i="7"/>
  <c r="M958" i="7" s="1"/>
  <c r="N958" i="7" s="1"/>
  <c r="O958" i="7" l="1"/>
  <c r="T959" i="7" s="1"/>
  <c r="Q959" i="7"/>
  <c r="P959" i="7"/>
  <c r="K958" i="7"/>
  <c r="S959" i="7" s="1"/>
  <c r="R959" i="7" l="1"/>
  <c r="G959" i="7"/>
  <c r="L959" i="7" l="1"/>
  <c r="M959" i="7" s="1"/>
  <c r="N959" i="7" s="1"/>
  <c r="H959" i="7"/>
  <c r="I959" i="7" s="1"/>
  <c r="J959" i="7" s="1"/>
  <c r="P960" i="7" l="1"/>
  <c r="K959" i="7"/>
  <c r="S960" i="7" s="1"/>
  <c r="O959" i="7"/>
  <c r="T960" i="7" s="1"/>
  <c r="Q960" i="7"/>
  <c r="G960" i="7" l="1"/>
  <c r="R960" i="7"/>
  <c r="H960" i="7" l="1"/>
  <c r="I960" i="7" s="1"/>
  <c r="J960" i="7" s="1"/>
  <c r="L960" i="7"/>
  <c r="M960" i="7" s="1"/>
  <c r="N960" i="7" s="1"/>
  <c r="O960" i="7" l="1"/>
  <c r="T961" i="7" s="1"/>
  <c r="Q961" i="7"/>
  <c r="K960" i="7"/>
  <c r="S961" i="7" s="1"/>
  <c r="P961" i="7"/>
  <c r="R961" i="7" l="1"/>
  <c r="G961" i="7"/>
  <c r="H961" i="7" l="1"/>
  <c r="I961" i="7" s="1"/>
  <c r="J961" i="7" s="1"/>
  <c r="L961" i="7"/>
  <c r="M961" i="7" s="1"/>
  <c r="N961" i="7" s="1"/>
  <c r="O961" i="7" l="1"/>
  <c r="T962" i="7" s="1"/>
  <c r="Q962" i="7"/>
  <c r="P962" i="7"/>
  <c r="K961" i="7"/>
  <c r="S962" i="7" s="1"/>
  <c r="G962" i="7" l="1"/>
  <c r="R962" i="7"/>
  <c r="L962" i="7" l="1"/>
  <c r="M962" i="7" s="1"/>
  <c r="N962" i="7" s="1"/>
  <c r="H962" i="7"/>
  <c r="I962" i="7" s="1"/>
  <c r="J962" i="7" s="1"/>
  <c r="P963" i="7" l="1"/>
  <c r="K962" i="7"/>
  <c r="S963" i="7" s="1"/>
  <c r="O962" i="7"/>
  <c r="T963" i="7" s="1"/>
  <c r="Q963" i="7"/>
  <c r="R963" i="7" l="1"/>
  <c r="G963" i="7"/>
  <c r="L963" i="7" l="1"/>
  <c r="M963" i="7" s="1"/>
  <c r="N963" i="7" s="1"/>
  <c r="H963" i="7"/>
  <c r="I963" i="7" s="1"/>
  <c r="J963" i="7" s="1"/>
  <c r="P964" i="7" l="1"/>
  <c r="K963" i="7"/>
  <c r="S964" i="7" s="1"/>
  <c r="O963" i="7"/>
  <c r="T964" i="7" s="1"/>
  <c r="Q964" i="7"/>
  <c r="G964" i="7" l="1"/>
  <c r="R964" i="7"/>
  <c r="H964" i="7" l="1"/>
  <c r="I964" i="7" s="1"/>
  <c r="J964" i="7" s="1"/>
  <c r="L964" i="7"/>
  <c r="M964" i="7" s="1"/>
  <c r="N964" i="7" s="1"/>
  <c r="Q965" i="7" l="1"/>
  <c r="O964" i="7"/>
  <c r="T965" i="7" s="1"/>
  <c r="K964" i="7"/>
  <c r="S965" i="7" s="1"/>
  <c r="P965" i="7"/>
  <c r="G965" i="7" l="1"/>
  <c r="R965" i="7"/>
  <c r="L965" i="7" l="1"/>
  <c r="M965" i="7" s="1"/>
  <c r="N965" i="7" s="1"/>
  <c r="H965" i="7"/>
  <c r="I965" i="7" s="1"/>
  <c r="J965" i="7" s="1"/>
  <c r="K965" i="7" l="1"/>
  <c r="S966" i="7" s="1"/>
  <c r="P966" i="7"/>
  <c r="Q966" i="7"/>
  <c r="O965" i="7"/>
  <c r="T966" i="7" s="1"/>
  <c r="R966" i="7" l="1"/>
  <c r="G966" i="7"/>
  <c r="L966" i="7" l="1"/>
  <c r="M966" i="7" s="1"/>
  <c r="N966" i="7" s="1"/>
  <c r="H966" i="7"/>
  <c r="I966" i="7" s="1"/>
  <c r="J966" i="7" s="1"/>
  <c r="P967" i="7" l="1"/>
  <c r="K966" i="7"/>
  <c r="S967" i="7" s="1"/>
  <c r="Q967" i="7"/>
  <c r="O966" i="7"/>
  <c r="T967" i="7" s="1"/>
  <c r="R967" i="7" l="1"/>
  <c r="G967" i="7"/>
  <c r="H967" i="7" l="1"/>
  <c r="I967" i="7" s="1"/>
  <c r="J967" i="7" s="1"/>
  <c r="L967" i="7"/>
  <c r="M967" i="7" s="1"/>
  <c r="N967" i="7" s="1"/>
  <c r="Q968" i="7" l="1"/>
  <c r="O967" i="7"/>
  <c r="T968" i="7" s="1"/>
  <c r="P968" i="7"/>
  <c r="K967" i="7"/>
  <c r="S968" i="7" s="1"/>
  <c r="G968" i="7" l="1"/>
  <c r="R968" i="7"/>
  <c r="H968" i="7" l="1"/>
  <c r="I968" i="7" s="1"/>
  <c r="J968" i="7" s="1"/>
  <c r="L968" i="7"/>
  <c r="M968" i="7" s="1"/>
  <c r="N968" i="7" s="1"/>
  <c r="Q969" i="7" l="1"/>
  <c r="O968" i="7"/>
  <c r="T969" i="7" s="1"/>
  <c r="K968" i="7"/>
  <c r="S969" i="7" s="1"/>
  <c r="P969" i="7"/>
  <c r="R969" i="7" l="1"/>
  <c r="G969" i="7"/>
  <c r="L969" i="7" l="1"/>
  <c r="M969" i="7" s="1"/>
  <c r="N969" i="7" s="1"/>
  <c r="H969" i="7"/>
  <c r="I969" i="7" s="1"/>
  <c r="J969" i="7" s="1"/>
  <c r="P970" i="7" l="1"/>
  <c r="K969" i="7"/>
  <c r="S970" i="7" s="1"/>
  <c r="O969" i="7"/>
  <c r="T970" i="7" s="1"/>
  <c r="Q970" i="7"/>
  <c r="R970" i="7" l="1"/>
  <c r="G970" i="7"/>
  <c r="L970" i="7" l="1"/>
  <c r="M970" i="7" s="1"/>
  <c r="N970" i="7" s="1"/>
  <c r="H970" i="7"/>
  <c r="I970" i="7" s="1"/>
  <c r="J970" i="7" s="1"/>
  <c r="K970" i="7" l="1"/>
  <c r="S971" i="7" s="1"/>
  <c r="P971" i="7"/>
  <c r="Q971" i="7"/>
  <c r="O970" i="7"/>
  <c r="T971" i="7" s="1"/>
  <c r="G971" i="7" l="1"/>
  <c r="R971" i="7"/>
  <c r="L971" i="7" l="1"/>
  <c r="M971" i="7" s="1"/>
  <c r="N971" i="7" s="1"/>
  <c r="H971" i="7"/>
  <c r="I971" i="7" s="1"/>
  <c r="J971" i="7" s="1"/>
  <c r="K971" i="7" l="1"/>
  <c r="S972" i="7" s="1"/>
  <c r="P972" i="7"/>
  <c r="Q972" i="7"/>
  <c r="O971" i="7"/>
  <c r="T972" i="7" s="1"/>
  <c r="R972" i="7" l="1"/>
  <c r="G972" i="7"/>
  <c r="L972" i="7" l="1"/>
  <c r="M972" i="7" s="1"/>
  <c r="N972" i="7" s="1"/>
  <c r="H972" i="7"/>
  <c r="I972" i="7" s="1"/>
  <c r="J972" i="7" s="1"/>
  <c r="P973" i="7" l="1"/>
  <c r="K972" i="7"/>
  <c r="S973" i="7" s="1"/>
  <c r="Q973" i="7"/>
  <c r="O972" i="7"/>
  <c r="T973" i="7" s="1"/>
  <c r="R973" i="7" l="1"/>
  <c r="G973" i="7"/>
  <c r="H973" i="7" l="1"/>
  <c r="I973" i="7" s="1"/>
  <c r="J973" i="7" s="1"/>
  <c r="L973" i="7"/>
  <c r="M973" i="7" s="1"/>
  <c r="N973" i="7" s="1"/>
  <c r="Q974" i="7" l="1"/>
  <c r="O973" i="7"/>
  <c r="T974" i="7" s="1"/>
  <c r="P974" i="7"/>
  <c r="K973" i="7"/>
  <c r="S974" i="7" s="1"/>
  <c r="G974" i="7" l="1"/>
  <c r="R974" i="7"/>
  <c r="H974" i="7" l="1"/>
  <c r="I974" i="7" s="1"/>
  <c r="J974" i="7" s="1"/>
  <c r="L974" i="7"/>
  <c r="M974" i="7" s="1"/>
  <c r="N974" i="7" s="1"/>
  <c r="O974" i="7" l="1"/>
  <c r="T975" i="7" s="1"/>
  <c r="Q975" i="7"/>
  <c r="P975" i="7"/>
  <c r="K974" i="7"/>
  <c r="S975" i="7" s="1"/>
  <c r="R975" i="7" l="1"/>
  <c r="G975" i="7"/>
  <c r="L975" i="7" l="1"/>
  <c r="M975" i="7" s="1"/>
  <c r="N975" i="7" s="1"/>
  <c r="H975" i="7"/>
  <c r="I975" i="7" s="1"/>
  <c r="J975" i="7" s="1"/>
  <c r="P976" i="7" l="1"/>
  <c r="K975" i="7"/>
  <c r="S976" i="7" s="1"/>
  <c r="Q976" i="7"/>
  <c r="O975" i="7"/>
  <c r="T976" i="7" s="1"/>
  <c r="G976" i="7" l="1"/>
  <c r="R976" i="7"/>
  <c r="H976" i="7" l="1"/>
  <c r="I976" i="7" s="1"/>
  <c r="J976" i="7" s="1"/>
  <c r="L976" i="7"/>
  <c r="M976" i="7" s="1"/>
  <c r="N976" i="7" s="1"/>
  <c r="O976" i="7" l="1"/>
  <c r="T977" i="7" s="1"/>
  <c r="Q977" i="7"/>
  <c r="K976" i="7"/>
  <c r="S977" i="7" s="1"/>
  <c r="P977" i="7"/>
  <c r="G977" i="7" l="1"/>
  <c r="R977" i="7"/>
  <c r="H977" i="7" l="1"/>
  <c r="I977" i="7" s="1"/>
  <c r="J977" i="7" s="1"/>
  <c r="L977" i="7"/>
  <c r="M977" i="7" s="1"/>
  <c r="N977" i="7" s="1"/>
  <c r="Q978" i="7" l="1"/>
  <c r="O977" i="7"/>
  <c r="T978" i="7" s="1"/>
  <c r="K977" i="7"/>
  <c r="S978" i="7" s="1"/>
  <c r="P978" i="7"/>
  <c r="R978" i="7" l="1"/>
  <c r="G978" i="7"/>
  <c r="L978" i="7" l="1"/>
  <c r="M978" i="7" s="1"/>
  <c r="N978" i="7" s="1"/>
  <c r="H978" i="7"/>
  <c r="I978" i="7" s="1"/>
  <c r="J978" i="7" s="1"/>
  <c r="P979" i="7" l="1"/>
  <c r="K978" i="7"/>
  <c r="S979" i="7" s="1"/>
  <c r="Q979" i="7"/>
  <c r="O978" i="7"/>
  <c r="T979" i="7" s="1"/>
  <c r="R979" i="7" l="1"/>
  <c r="G979" i="7"/>
  <c r="L979" i="7" l="1"/>
  <c r="M979" i="7" s="1"/>
  <c r="N979" i="7" s="1"/>
  <c r="H979" i="7"/>
  <c r="I979" i="7" s="1"/>
  <c r="J979" i="7" s="1"/>
  <c r="K979" i="7" l="1"/>
  <c r="S980" i="7" s="1"/>
  <c r="P980" i="7"/>
  <c r="O979" i="7"/>
  <c r="T980" i="7" s="1"/>
  <c r="Q980" i="7"/>
  <c r="G980" i="7" l="1"/>
  <c r="R980" i="7"/>
  <c r="H980" i="7" l="1"/>
  <c r="I980" i="7" s="1"/>
  <c r="J980" i="7" s="1"/>
  <c r="L980" i="7"/>
  <c r="M980" i="7" s="1"/>
  <c r="N980" i="7" s="1"/>
  <c r="Q981" i="7" l="1"/>
  <c r="O980" i="7"/>
  <c r="T981" i="7" s="1"/>
  <c r="K980" i="7"/>
  <c r="S981" i="7" s="1"/>
  <c r="P981" i="7"/>
  <c r="G981" i="7" l="1"/>
  <c r="R981" i="7"/>
  <c r="H981" i="7" l="1"/>
  <c r="I981" i="7" s="1"/>
  <c r="J981" i="7" s="1"/>
  <c r="L981" i="7"/>
  <c r="M981" i="7" s="1"/>
  <c r="N981" i="7" s="1"/>
  <c r="O981" i="7" l="1"/>
  <c r="T982" i="7" s="1"/>
  <c r="Q982" i="7"/>
  <c r="K981" i="7"/>
  <c r="S982" i="7" s="1"/>
  <c r="P982" i="7"/>
  <c r="G982" i="7" l="1"/>
  <c r="R982" i="7"/>
  <c r="L982" i="7" l="1"/>
  <c r="M982" i="7" s="1"/>
  <c r="N982" i="7" s="1"/>
  <c r="H982" i="7"/>
  <c r="I982" i="7" s="1"/>
  <c r="J982" i="7" s="1"/>
  <c r="K982" i="7" l="1"/>
  <c r="S983" i="7" s="1"/>
  <c r="P983" i="7"/>
  <c r="O982" i="7"/>
  <c r="T983" i="7" s="1"/>
  <c r="Q983" i="7"/>
  <c r="R983" i="7" l="1"/>
  <c r="G983" i="7"/>
  <c r="H983" i="7" l="1"/>
  <c r="I983" i="7" s="1"/>
  <c r="J983" i="7" s="1"/>
  <c r="L983" i="7"/>
  <c r="M983" i="7" s="1"/>
  <c r="N983" i="7" s="1"/>
  <c r="O983" i="7" l="1"/>
  <c r="T984" i="7" s="1"/>
  <c r="Q984" i="7"/>
  <c r="K983" i="7"/>
  <c r="S984" i="7" s="1"/>
  <c r="P984" i="7"/>
  <c r="R984" i="7" l="1"/>
  <c r="G984" i="7"/>
  <c r="H984" i="7" l="1"/>
  <c r="I984" i="7" s="1"/>
  <c r="J984" i="7" s="1"/>
  <c r="L984" i="7"/>
  <c r="M984" i="7" s="1"/>
  <c r="N984" i="7" s="1"/>
  <c r="Q985" i="7" l="1"/>
  <c r="O984" i="7"/>
  <c r="T985" i="7" s="1"/>
  <c r="K984" i="7"/>
  <c r="S985" i="7" s="1"/>
  <c r="P985" i="7"/>
  <c r="R985" i="7" l="1"/>
  <c r="G985" i="7"/>
  <c r="H985" i="7" l="1"/>
  <c r="I985" i="7" s="1"/>
  <c r="J985" i="7" s="1"/>
  <c r="L985" i="7"/>
  <c r="M985" i="7" s="1"/>
  <c r="N985" i="7" s="1"/>
  <c r="Q986" i="7" l="1"/>
  <c r="O985" i="7"/>
  <c r="T986" i="7" s="1"/>
  <c r="P986" i="7"/>
  <c r="K985" i="7"/>
  <c r="S986" i="7" s="1"/>
  <c r="G986" i="7" l="1"/>
  <c r="R986" i="7"/>
  <c r="H986" i="7" l="1"/>
  <c r="I986" i="7" s="1"/>
  <c r="J986" i="7" s="1"/>
  <c r="L986" i="7"/>
  <c r="M986" i="7" s="1"/>
  <c r="N986" i="7" s="1"/>
  <c r="Q987" i="7" l="1"/>
  <c r="O986" i="7"/>
  <c r="T987" i="7" s="1"/>
  <c r="P987" i="7"/>
  <c r="K986" i="7"/>
  <c r="S987" i="7" s="1"/>
  <c r="G987" i="7" l="1"/>
  <c r="R987" i="7"/>
  <c r="L987" i="7" l="1"/>
  <c r="M987" i="7" s="1"/>
  <c r="N987" i="7" s="1"/>
  <c r="H987" i="7"/>
  <c r="I987" i="7" s="1"/>
  <c r="J987" i="7" s="1"/>
  <c r="P988" i="7" l="1"/>
  <c r="K987" i="7"/>
  <c r="S988" i="7" s="1"/>
  <c r="Q988" i="7"/>
  <c r="O987" i="7"/>
  <c r="T988" i="7" s="1"/>
  <c r="R988" i="7" l="1"/>
  <c r="G988" i="7"/>
  <c r="L988" i="7" l="1"/>
  <c r="M988" i="7" s="1"/>
  <c r="N988" i="7" s="1"/>
  <c r="H988" i="7"/>
  <c r="I988" i="7" s="1"/>
  <c r="J988" i="7" s="1"/>
  <c r="P989" i="7" l="1"/>
  <c r="K988" i="7"/>
  <c r="S989" i="7" s="1"/>
  <c r="O988" i="7"/>
  <c r="T989" i="7" s="1"/>
  <c r="Q989" i="7"/>
  <c r="G989" i="7" l="1"/>
  <c r="R989" i="7"/>
  <c r="H989" i="7" l="1"/>
  <c r="I989" i="7" s="1"/>
  <c r="J989" i="7" s="1"/>
  <c r="L989" i="7"/>
  <c r="M989" i="7" s="1"/>
  <c r="N989" i="7" s="1"/>
  <c r="O989" i="7" l="1"/>
  <c r="T990" i="7" s="1"/>
  <c r="Q990" i="7"/>
  <c r="K989" i="7"/>
  <c r="S990" i="7" s="1"/>
  <c r="P990" i="7"/>
  <c r="R990" i="7" l="1"/>
  <c r="G990" i="7"/>
  <c r="H990" i="7" l="1"/>
  <c r="I990" i="7" s="1"/>
  <c r="J990" i="7" s="1"/>
  <c r="L990" i="7"/>
  <c r="M990" i="7" s="1"/>
  <c r="N990" i="7" s="1"/>
  <c r="O990" i="7" l="1"/>
  <c r="T991" i="7" s="1"/>
  <c r="Q991" i="7"/>
  <c r="P991" i="7"/>
  <c r="K990" i="7"/>
  <c r="S991" i="7" s="1"/>
  <c r="R991" i="7" l="1"/>
  <c r="G991" i="7"/>
  <c r="H991" i="7" l="1"/>
  <c r="I991" i="7" s="1"/>
  <c r="J991" i="7" s="1"/>
  <c r="L991" i="7"/>
  <c r="M991" i="7" s="1"/>
  <c r="N991" i="7" s="1"/>
  <c r="Q992" i="7" l="1"/>
  <c r="O991" i="7"/>
  <c r="T992" i="7" s="1"/>
  <c r="P992" i="7"/>
  <c r="K991" i="7"/>
  <c r="S992" i="7" s="1"/>
  <c r="R992" i="7" l="1"/>
  <c r="G992" i="7"/>
  <c r="L992" i="7" l="1"/>
  <c r="M992" i="7" s="1"/>
  <c r="N992" i="7" s="1"/>
  <c r="H992" i="7"/>
  <c r="I992" i="7" s="1"/>
  <c r="J992" i="7" s="1"/>
  <c r="P993" i="7" l="1"/>
  <c r="K992" i="7"/>
  <c r="S993" i="7" s="1"/>
  <c r="O992" i="7"/>
  <c r="T993" i="7" s="1"/>
  <c r="Q993" i="7"/>
  <c r="G993" i="7" l="1"/>
  <c r="R993" i="7"/>
  <c r="H993" i="7" l="1"/>
  <c r="I993" i="7" s="1"/>
  <c r="J993" i="7" s="1"/>
  <c r="L993" i="7"/>
  <c r="M993" i="7" s="1"/>
  <c r="N993" i="7" s="1"/>
  <c r="Q994" i="7" l="1"/>
  <c r="O993" i="7"/>
  <c r="T994" i="7" s="1"/>
  <c r="P994" i="7"/>
  <c r="K993" i="7"/>
  <c r="S994" i="7" s="1"/>
  <c r="G994" i="7" l="1"/>
  <c r="R994" i="7"/>
  <c r="L994" i="7" l="1"/>
  <c r="M994" i="7" s="1"/>
  <c r="N994" i="7" s="1"/>
  <c r="H994" i="7"/>
  <c r="I994" i="7" s="1"/>
  <c r="J994" i="7" s="1"/>
  <c r="K994" i="7" l="1"/>
  <c r="S995" i="7" s="1"/>
  <c r="P995" i="7"/>
  <c r="O994" i="7"/>
  <c r="T995" i="7" s="1"/>
  <c r="Q995" i="7"/>
  <c r="R995" i="7" l="1"/>
  <c r="G995" i="7"/>
  <c r="H995" i="7" l="1"/>
  <c r="I995" i="7" s="1"/>
  <c r="J995" i="7" s="1"/>
  <c r="L995" i="7"/>
  <c r="M995" i="7" s="1"/>
  <c r="N995" i="7" s="1"/>
  <c r="Q996" i="7" l="1"/>
  <c r="O995" i="7"/>
  <c r="T996" i="7" s="1"/>
  <c r="K995" i="7"/>
  <c r="S996" i="7" s="1"/>
  <c r="P996" i="7"/>
  <c r="R996" i="7" l="1"/>
  <c r="G996" i="7"/>
  <c r="H996" i="7" l="1"/>
  <c r="I996" i="7" s="1"/>
  <c r="J996" i="7" s="1"/>
  <c r="L996" i="7"/>
  <c r="M996" i="7" s="1"/>
  <c r="N996" i="7" s="1"/>
  <c r="O996" i="7" l="1"/>
  <c r="T997" i="7" s="1"/>
  <c r="Q997" i="7"/>
  <c r="K996" i="7"/>
  <c r="S997" i="7" s="1"/>
  <c r="P997" i="7"/>
  <c r="G997" i="7" l="1"/>
  <c r="R997" i="7"/>
  <c r="H997" i="7" l="1"/>
  <c r="I997" i="7" s="1"/>
  <c r="J997" i="7" s="1"/>
  <c r="L997" i="7"/>
  <c r="M997" i="7" s="1"/>
  <c r="N997" i="7" s="1"/>
  <c r="O997" i="7" l="1"/>
  <c r="T998" i="7" s="1"/>
  <c r="Q998" i="7"/>
  <c r="P998" i="7"/>
  <c r="K997" i="7"/>
  <c r="S998" i="7" s="1"/>
  <c r="G998" i="7" l="1"/>
  <c r="R998" i="7"/>
  <c r="L998" i="7" l="1"/>
  <c r="M998" i="7" s="1"/>
  <c r="N998" i="7" s="1"/>
  <c r="H998" i="7"/>
  <c r="I998" i="7" s="1"/>
  <c r="J998" i="7" s="1"/>
  <c r="K998" i="7" l="1"/>
  <c r="S999" i="7" s="1"/>
  <c r="P999" i="7"/>
  <c r="Q999" i="7"/>
  <c r="O998" i="7"/>
  <c r="T999" i="7" s="1"/>
  <c r="R999" i="7" l="1"/>
  <c r="G999" i="7"/>
  <c r="L999" i="7" l="1"/>
  <c r="M999" i="7" s="1"/>
  <c r="N999" i="7" s="1"/>
  <c r="H999" i="7"/>
  <c r="I999" i="7" s="1"/>
  <c r="J999" i="7" s="1"/>
  <c r="P1000" i="7" l="1"/>
  <c r="K999" i="7"/>
  <c r="S1000" i="7" s="1"/>
  <c r="Q1000" i="7"/>
  <c r="O999" i="7"/>
  <c r="T1000" i="7" s="1"/>
  <c r="R1000" i="7" l="1"/>
  <c r="G1000" i="7"/>
  <c r="L1000" i="7" l="1"/>
  <c r="M1000" i="7" s="1"/>
  <c r="N1000" i="7" s="1"/>
  <c r="H1000" i="7"/>
  <c r="I1000" i="7" s="1"/>
  <c r="J1000" i="7" s="1"/>
  <c r="P1001" i="7" l="1"/>
  <c r="K1000" i="7"/>
  <c r="S1001" i="7" s="1"/>
  <c r="O1000" i="7"/>
  <c r="T1001" i="7" s="1"/>
  <c r="Q1001" i="7"/>
  <c r="G1001" i="7" l="1"/>
  <c r="R1001" i="7"/>
  <c r="H1001" i="7" l="1"/>
  <c r="I1001" i="7" s="1"/>
  <c r="J1001" i="7" s="1"/>
  <c r="L1001" i="7"/>
  <c r="M1001" i="7" s="1"/>
  <c r="N1001" i="7" s="1"/>
  <c r="O1001" i="7" l="1"/>
  <c r="T1002" i="7" s="1"/>
  <c r="Q1002" i="7"/>
  <c r="P1002" i="7"/>
  <c r="K1001" i="7"/>
  <c r="S1002" i="7" s="1"/>
  <c r="G1002" i="7" l="1"/>
  <c r="R1002" i="7"/>
  <c r="L1002" i="7" l="1"/>
  <c r="M1002" i="7" s="1"/>
  <c r="N1002" i="7" s="1"/>
  <c r="H1002" i="7"/>
  <c r="I1002" i="7" s="1"/>
  <c r="J1002" i="7" s="1"/>
  <c r="K1002" i="7" l="1"/>
  <c r="S1003" i="7" s="1"/>
  <c r="P1003" i="7"/>
  <c r="Q1003" i="7"/>
  <c r="O1002" i="7"/>
  <c r="T1003" i="7" s="1"/>
  <c r="R1003" i="7" l="1"/>
  <c r="G1003" i="7"/>
  <c r="H1003" i="7" l="1"/>
  <c r="I1003" i="7" s="1"/>
  <c r="J1003" i="7" s="1"/>
  <c r="L1003" i="7"/>
  <c r="M1003" i="7" s="1"/>
  <c r="N1003" i="7" s="1"/>
  <c r="Q1004" i="7" l="1"/>
  <c r="O1003" i="7"/>
  <c r="T1004" i="7" s="1"/>
  <c r="P1004" i="7"/>
  <c r="K1003" i="7"/>
  <c r="S1004" i="7" s="1"/>
  <c r="G1004" i="7" l="1"/>
  <c r="R1004" i="7"/>
  <c r="H1004" i="7" l="1"/>
  <c r="I1004" i="7" s="1"/>
  <c r="J1004" i="7" s="1"/>
  <c r="L1004" i="7"/>
  <c r="M1004" i="7" s="1"/>
  <c r="N1004" i="7" s="1"/>
  <c r="Q1005" i="7" l="1"/>
  <c r="O1004" i="7"/>
  <c r="T1005" i="7" s="1"/>
  <c r="P1005" i="7"/>
  <c r="K1004" i="7"/>
  <c r="S1005" i="7" s="1"/>
  <c r="G1005" i="7" l="1"/>
  <c r="R1005" i="7"/>
  <c r="H1005" i="7" l="1"/>
  <c r="I1005" i="7" s="1"/>
  <c r="J1005" i="7" s="1"/>
  <c r="L1005" i="7"/>
  <c r="M1005" i="7" s="1"/>
  <c r="N1005" i="7" s="1"/>
  <c r="Q1006" i="7" l="1"/>
  <c r="O1005" i="7"/>
  <c r="T1006" i="7" s="1"/>
  <c r="K1005" i="7"/>
  <c r="S1006" i="7" s="1"/>
  <c r="P1006" i="7"/>
  <c r="G1006" i="7" l="1"/>
  <c r="R1006" i="7"/>
  <c r="H1006" i="7" l="1"/>
  <c r="I1006" i="7" s="1"/>
  <c r="J1006" i="7" s="1"/>
  <c r="L1006" i="7"/>
  <c r="M1006" i="7" s="1"/>
  <c r="N1006" i="7" s="1"/>
  <c r="O1006" i="7" l="1"/>
  <c r="T1007" i="7" s="1"/>
  <c r="Q1007" i="7"/>
  <c r="P1007" i="7"/>
  <c r="K1006" i="7"/>
  <c r="S1007" i="7" s="1"/>
  <c r="R1007" i="7" l="1"/>
  <c r="G1007" i="7"/>
  <c r="L1007" i="7" l="1"/>
  <c r="M1007" i="7" s="1"/>
  <c r="N1007" i="7" s="1"/>
  <c r="H1007" i="7"/>
  <c r="I1007" i="7" s="1"/>
  <c r="J1007" i="7" s="1"/>
  <c r="P1008" i="7" l="1"/>
  <c r="K1007" i="7"/>
  <c r="S1008" i="7" s="1"/>
  <c r="O1007" i="7"/>
  <c r="T1008" i="7" s="1"/>
  <c r="Q1008" i="7"/>
  <c r="G1008" i="7" l="1"/>
  <c r="R1008" i="7"/>
  <c r="L1008" i="7" l="1"/>
  <c r="M1008" i="7" s="1"/>
  <c r="N1008" i="7" s="1"/>
  <c r="H1008" i="7"/>
  <c r="I1008" i="7" s="1"/>
  <c r="J1008" i="7" s="1"/>
  <c r="P1009" i="7" l="1"/>
  <c r="K1008" i="7"/>
  <c r="S1009" i="7" s="1"/>
  <c r="O1008" i="7"/>
  <c r="T1009" i="7" s="1"/>
  <c r="Q1009" i="7"/>
  <c r="R1009" i="7" l="1"/>
  <c r="G1009" i="7"/>
  <c r="H1009" i="7" l="1"/>
  <c r="I1009" i="7" s="1"/>
  <c r="J1009" i="7" s="1"/>
  <c r="L1009" i="7"/>
  <c r="M1009" i="7" s="1"/>
  <c r="N1009" i="7" s="1"/>
  <c r="Q1010" i="7" l="1"/>
  <c r="O1009" i="7"/>
  <c r="T1010" i="7" s="1"/>
  <c r="P1010" i="7"/>
  <c r="K1009" i="7"/>
  <c r="S1010" i="7" s="1"/>
  <c r="G1010" i="7" l="1"/>
  <c r="R1010" i="7"/>
  <c r="L1010" i="7" l="1"/>
  <c r="M1010" i="7" s="1"/>
  <c r="N1010" i="7" s="1"/>
  <c r="H1010" i="7"/>
  <c r="I1010" i="7" s="1"/>
  <c r="J1010" i="7" s="1"/>
  <c r="P1011" i="7" l="1"/>
  <c r="K1010" i="7"/>
  <c r="S1011" i="7" s="1"/>
  <c r="Q1011" i="7"/>
  <c r="O1010" i="7"/>
  <c r="T1011" i="7" s="1"/>
  <c r="G1011" i="7" l="1"/>
  <c r="R1011" i="7"/>
  <c r="H1011" i="7" l="1"/>
  <c r="I1011" i="7" s="1"/>
  <c r="J1011" i="7" s="1"/>
  <c r="L1011" i="7"/>
  <c r="M1011" i="7" s="1"/>
  <c r="N1011" i="7" s="1"/>
  <c r="Q1012" i="7" l="1"/>
  <c r="O1011" i="7"/>
  <c r="T1012" i="7" s="1"/>
  <c r="P1012" i="7"/>
  <c r="K1011" i="7"/>
  <c r="S1012" i="7" s="1"/>
  <c r="R1012" i="7" l="1"/>
  <c r="G1012" i="7"/>
  <c r="L1012" i="7" l="1"/>
  <c r="M1012" i="7" s="1"/>
  <c r="N1012" i="7" s="1"/>
  <c r="H1012" i="7"/>
  <c r="I1012" i="7" s="1"/>
  <c r="J1012" i="7" s="1"/>
  <c r="P1013" i="7" l="1"/>
  <c r="K1012" i="7"/>
  <c r="S1013" i="7" s="1"/>
  <c r="O1012" i="7"/>
  <c r="T1013" i="7" s="1"/>
  <c r="Q1013" i="7"/>
  <c r="R1013" i="7" l="1"/>
  <c r="G1013" i="7"/>
  <c r="L1013" i="7" l="1"/>
  <c r="M1013" i="7" s="1"/>
  <c r="N1013" i="7" s="1"/>
  <c r="H1013" i="7"/>
  <c r="I1013" i="7" s="1"/>
  <c r="J1013" i="7" s="1"/>
  <c r="P1014" i="7" l="1"/>
  <c r="K1013" i="7"/>
  <c r="S1014" i="7" s="1"/>
  <c r="O1013" i="7"/>
  <c r="T1014" i="7" s="1"/>
  <c r="Q1014" i="7"/>
  <c r="G1014" i="7" l="1"/>
  <c r="R1014" i="7"/>
  <c r="L1014" i="7" l="1"/>
  <c r="M1014" i="7" s="1"/>
  <c r="N1014" i="7" s="1"/>
  <c r="H1014" i="7"/>
  <c r="I1014" i="7" s="1"/>
  <c r="J1014" i="7" s="1"/>
  <c r="P1015" i="7" l="1"/>
  <c r="K1014" i="7"/>
  <c r="S1015" i="7" s="1"/>
  <c r="O1014" i="7"/>
  <c r="T1015" i="7" s="1"/>
  <c r="Q1015" i="7"/>
  <c r="G1015" i="7" l="1"/>
  <c r="R1015" i="7"/>
  <c r="L1015" i="7" l="1"/>
  <c r="M1015" i="7" s="1"/>
  <c r="N1015" i="7" s="1"/>
  <c r="H1015" i="7"/>
  <c r="I1015" i="7" s="1"/>
  <c r="J1015" i="7" s="1"/>
  <c r="K1015" i="7" l="1"/>
  <c r="S1016" i="7" s="1"/>
  <c r="P1016" i="7"/>
  <c r="Q1016" i="7"/>
  <c r="O1015" i="7"/>
  <c r="T1016" i="7" s="1"/>
  <c r="G1016" i="7" l="1"/>
  <c r="R1016" i="7"/>
  <c r="H1016" i="7" l="1"/>
  <c r="I1016" i="7" s="1"/>
  <c r="J1016" i="7" s="1"/>
  <c r="L1016" i="7"/>
  <c r="M1016" i="7" s="1"/>
  <c r="N1016" i="7" s="1"/>
  <c r="O1016" i="7" l="1"/>
  <c r="T1017" i="7" s="1"/>
  <c r="Q1017" i="7"/>
  <c r="K1016" i="7"/>
  <c r="S1017" i="7" s="1"/>
  <c r="P1017" i="7"/>
  <c r="G1017" i="7" l="1"/>
  <c r="R1017" i="7"/>
  <c r="H1017" i="7" l="1"/>
  <c r="I1017" i="7" s="1"/>
  <c r="J1017" i="7" s="1"/>
  <c r="L1017" i="7"/>
  <c r="M1017" i="7" s="1"/>
  <c r="N1017" i="7" s="1"/>
  <c r="Q1018" i="7" l="1"/>
  <c r="O1017" i="7"/>
  <c r="T1018" i="7" s="1"/>
  <c r="P1018" i="7"/>
  <c r="K1017" i="7"/>
  <c r="S1018" i="7" s="1"/>
  <c r="R1018" i="7" l="1"/>
  <c r="G1018" i="7"/>
  <c r="L1018" i="7" l="1"/>
  <c r="M1018" i="7" s="1"/>
  <c r="N1018" i="7" s="1"/>
  <c r="H1018" i="7"/>
  <c r="I1018" i="7" s="1"/>
  <c r="J1018" i="7" s="1"/>
  <c r="K1018" i="7" l="1"/>
  <c r="S1019" i="7" s="1"/>
  <c r="P1019" i="7"/>
  <c r="O1018" i="7"/>
  <c r="T1019" i="7" s="1"/>
  <c r="Q1019" i="7"/>
  <c r="G1019" i="7" l="1"/>
  <c r="R1019" i="7"/>
  <c r="L1019" i="7" l="1"/>
  <c r="M1019" i="7" s="1"/>
  <c r="N1019" i="7" s="1"/>
  <c r="H1019" i="7"/>
  <c r="I1019" i="7" s="1"/>
  <c r="J1019" i="7" s="1"/>
  <c r="P1020" i="7" l="1"/>
  <c r="K1019" i="7"/>
  <c r="S1020" i="7" s="1"/>
  <c r="O1019" i="7"/>
  <c r="T1020" i="7" s="1"/>
  <c r="Q1020" i="7"/>
  <c r="R1020" i="7" l="1"/>
  <c r="G1020" i="7"/>
  <c r="L1020" i="7" l="1"/>
  <c r="M1020" i="7" s="1"/>
  <c r="N1020" i="7" s="1"/>
  <c r="H1020" i="7"/>
  <c r="I1020" i="7" s="1"/>
  <c r="J1020" i="7" s="1"/>
  <c r="K1020" i="7" l="1"/>
  <c r="S1021" i="7" s="1"/>
  <c r="P1021" i="7"/>
  <c r="O1020" i="7"/>
  <c r="T1021" i="7" s="1"/>
  <c r="Q1021" i="7"/>
  <c r="G1021" i="7" l="1"/>
  <c r="R1021" i="7"/>
  <c r="L1021" i="7" l="1"/>
  <c r="M1021" i="7" s="1"/>
  <c r="N1021" i="7" s="1"/>
  <c r="H1021" i="7"/>
  <c r="I1021" i="7" s="1"/>
  <c r="J1021" i="7" s="1"/>
  <c r="K1021" i="7" l="1"/>
  <c r="S1022" i="7" s="1"/>
  <c r="P1022" i="7"/>
  <c r="Q1022" i="7"/>
  <c r="O1021" i="7"/>
  <c r="T1022" i="7" s="1"/>
  <c r="G1022" i="7" l="1"/>
  <c r="R1022" i="7"/>
  <c r="L1022" i="7" l="1"/>
  <c r="M1022" i="7" s="1"/>
  <c r="N1022" i="7" s="1"/>
  <c r="H1022" i="7"/>
  <c r="I1022" i="7" s="1"/>
  <c r="J1022" i="7" s="1"/>
  <c r="K1022" i="7" l="1"/>
  <c r="S1023" i="7" s="1"/>
  <c r="P1023" i="7"/>
  <c r="Q1023" i="7"/>
  <c r="O1022" i="7"/>
  <c r="T1023" i="7" s="1"/>
  <c r="G1023" i="7" l="1"/>
  <c r="R1023" i="7"/>
  <c r="H1023" i="7" l="1"/>
  <c r="I1023" i="7" s="1"/>
  <c r="J1023" i="7" s="1"/>
  <c r="L1023" i="7"/>
  <c r="M1023" i="7" s="1"/>
  <c r="N1023" i="7" s="1"/>
  <c r="O1023" i="7" l="1"/>
  <c r="T1024" i="7" s="1"/>
  <c r="Q1024" i="7"/>
  <c r="K1023" i="7"/>
  <c r="S1024" i="7" s="1"/>
  <c r="P1024" i="7"/>
  <c r="G1024" i="7" l="1"/>
  <c r="R1024" i="7"/>
  <c r="L1024" i="7" l="1"/>
  <c r="M1024" i="7" s="1"/>
  <c r="N1024" i="7" s="1"/>
  <c r="H1024" i="7"/>
  <c r="I1024" i="7" s="1"/>
  <c r="J1024" i="7" s="1"/>
  <c r="K1024" i="7" l="1"/>
  <c r="S1025" i="7" s="1"/>
  <c r="P1025" i="7"/>
  <c r="Q1025" i="7"/>
  <c r="O1024" i="7"/>
  <c r="T1025" i="7" s="1"/>
  <c r="R1025" i="7" l="1"/>
  <c r="G1025" i="7"/>
  <c r="H1025" i="7" l="1"/>
  <c r="I1025" i="7" s="1"/>
  <c r="J1025" i="7" s="1"/>
  <c r="L1025" i="7"/>
  <c r="M1025" i="7" s="1"/>
  <c r="N1025" i="7" s="1"/>
  <c r="O1025" i="7" l="1"/>
  <c r="T1026" i="7" s="1"/>
  <c r="Q1026" i="7"/>
  <c r="P1026" i="7"/>
  <c r="K1025" i="7"/>
  <c r="S1026" i="7" s="1"/>
  <c r="R1026" i="7" l="1"/>
  <c r="G1026" i="7"/>
  <c r="H1026" i="7" l="1"/>
  <c r="I1026" i="7" s="1"/>
  <c r="J1026" i="7" s="1"/>
  <c r="L1026" i="7"/>
  <c r="M1026" i="7" s="1"/>
  <c r="N1026" i="7" s="1"/>
  <c r="Q1027" i="7" l="1"/>
  <c r="O1026" i="7"/>
  <c r="T1027" i="7" s="1"/>
  <c r="P1027" i="7"/>
  <c r="K1026" i="7"/>
  <c r="S1027" i="7" s="1"/>
  <c r="R1027" i="7" l="1"/>
  <c r="G1027" i="7"/>
  <c r="H1027" i="7" l="1"/>
  <c r="I1027" i="7" s="1"/>
  <c r="J1027" i="7" s="1"/>
  <c r="L1027" i="7"/>
  <c r="M1027" i="7" s="1"/>
  <c r="N1027" i="7" s="1"/>
  <c r="Q1028" i="7" l="1"/>
  <c r="O1027" i="7"/>
  <c r="T1028" i="7" s="1"/>
  <c r="K1027" i="7"/>
  <c r="S1028" i="7" s="1"/>
  <c r="P1028" i="7"/>
  <c r="G1028" i="7" l="1"/>
  <c r="R1028" i="7"/>
  <c r="H1028" i="7" l="1"/>
  <c r="I1028" i="7" s="1"/>
  <c r="J1028" i="7" s="1"/>
  <c r="L1028" i="7"/>
  <c r="M1028" i="7" s="1"/>
  <c r="N1028" i="7" s="1"/>
  <c r="O1028" i="7" l="1"/>
  <c r="T1029" i="7" s="1"/>
  <c r="Q1029" i="7"/>
  <c r="K1028" i="7"/>
  <c r="S1029" i="7" s="1"/>
  <c r="P1029" i="7"/>
  <c r="G1029" i="7" l="1"/>
  <c r="R1029" i="7"/>
  <c r="H1029" i="7" l="1"/>
  <c r="I1029" i="7" s="1"/>
  <c r="J1029" i="7" s="1"/>
  <c r="L1029" i="7"/>
  <c r="M1029" i="7" s="1"/>
  <c r="N1029" i="7" s="1"/>
  <c r="Q1030" i="7" l="1"/>
  <c r="O1029" i="7"/>
  <c r="T1030" i="7" s="1"/>
  <c r="K1029" i="7"/>
  <c r="S1030" i="7" s="1"/>
  <c r="P1030" i="7"/>
  <c r="G1030" i="7" l="1"/>
  <c r="R1030" i="7"/>
  <c r="L1030" i="7" l="1"/>
  <c r="M1030" i="7" s="1"/>
  <c r="N1030" i="7" s="1"/>
  <c r="H1030" i="7"/>
  <c r="I1030" i="7" s="1"/>
  <c r="J1030" i="7" s="1"/>
  <c r="P1031" i="7" l="1"/>
  <c r="K1030" i="7"/>
  <c r="S1031" i="7" s="1"/>
  <c r="Q1031" i="7"/>
  <c r="O1030" i="7"/>
  <c r="T1031" i="7" s="1"/>
  <c r="G1031" i="7" l="1"/>
  <c r="R1031" i="7"/>
  <c r="H1031" i="7" l="1"/>
  <c r="I1031" i="7" s="1"/>
  <c r="J1031" i="7" s="1"/>
  <c r="L1031" i="7"/>
  <c r="M1031" i="7" s="1"/>
  <c r="N1031" i="7" s="1"/>
  <c r="Q1032" i="7" l="1"/>
  <c r="O1031" i="7"/>
  <c r="T1032" i="7" s="1"/>
  <c r="K1031" i="7"/>
  <c r="S1032" i="7" s="1"/>
  <c r="P1032" i="7"/>
  <c r="G1032" i="7" l="1"/>
  <c r="R1032" i="7"/>
  <c r="H1032" i="7" l="1"/>
  <c r="I1032" i="7" s="1"/>
  <c r="J1032" i="7" s="1"/>
  <c r="L1032" i="7"/>
  <c r="M1032" i="7" s="1"/>
  <c r="N1032" i="7" s="1"/>
  <c r="Q1033" i="7" l="1"/>
  <c r="O1032" i="7"/>
  <c r="T1033" i="7" s="1"/>
  <c r="P1033" i="7"/>
  <c r="K1032" i="7"/>
  <c r="S1033" i="7" s="1"/>
  <c r="R1033" i="7" l="1"/>
  <c r="G1033" i="7"/>
  <c r="L1033" i="7" l="1"/>
  <c r="M1033" i="7" s="1"/>
  <c r="N1033" i="7" s="1"/>
  <c r="H1033" i="7"/>
  <c r="I1033" i="7" s="1"/>
  <c r="J1033" i="7" s="1"/>
  <c r="P1034" i="7" l="1"/>
  <c r="K1033" i="7"/>
  <c r="S1034" i="7" s="1"/>
  <c r="O1033" i="7"/>
  <c r="T1034" i="7" s="1"/>
  <c r="Q1034" i="7"/>
  <c r="R1034" i="7" l="1"/>
  <c r="G1034" i="7"/>
  <c r="L1034" i="7" l="1"/>
  <c r="M1034" i="7" s="1"/>
  <c r="N1034" i="7" s="1"/>
  <c r="H1034" i="7"/>
  <c r="I1034" i="7" s="1"/>
  <c r="J1034" i="7" s="1"/>
  <c r="K1034" i="7" l="1"/>
  <c r="S1035" i="7" s="1"/>
  <c r="P1035" i="7"/>
  <c r="Q1035" i="7"/>
  <c r="O1034" i="7"/>
  <c r="T1035" i="7" s="1"/>
  <c r="G1035" i="7" l="1"/>
  <c r="R1035" i="7"/>
  <c r="L1035" i="7" l="1"/>
  <c r="M1035" i="7" s="1"/>
  <c r="N1035" i="7" s="1"/>
  <c r="H1035" i="7"/>
  <c r="I1035" i="7" s="1"/>
  <c r="J1035" i="7" s="1"/>
  <c r="K1035" i="7" l="1"/>
  <c r="S1036" i="7" s="1"/>
  <c r="P1036" i="7"/>
  <c r="Q1036" i="7"/>
  <c r="O1035" i="7"/>
  <c r="T1036" i="7" s="1"/>
  <c r="G1036" i="7" l="1"/>
  <c r="R1036" i="7"/>
  <c r="H1036" i="7" l="1"/>
  <c r="I1036" i="7" s="1"/>
  <c r="J1036" i="7" s="1"/>
  <c r="L1036" i="7"/>
  <c r="M1036" i="7" s="1"/>
  <c r="N1036" i="7" s="1"/>
  <c r="O1036" i="7" l="1"/>
  <c r="T1037" i="7" s="1"/>
  <c r="Q1037" i="7"/>
  <c r="K1036" i="7"/>
  <c r="S1037" i="7" s="1"/>
  <c r="P1037" i="7"/>
  <c r="G1037" i="7" l="1"/>
  <c r="R1037" i="7"/>
  <c r="L1037" i="7" l="1"/>
  <c r="M1037" i="7" s="1"/>
  <c r="N1037" i="7" s="1"/>
  <c r="H1037" i="7"/>
  <c r="I1037" i="7" s="1"/>
  <c r="J1037" i="7" s="1"/>
  <c r="P1038" i="7" l="1"/>
  <c r="K1037" i="7"/>
  <c r="S1038" i="7" s="1"/>
  <c r="Q1038" i="7"/>
  <c r="O1037" i="7"/>
  <c r="T1038" i="7" s="1"/>
  <c r="R1038" i="7" l="1"/>
  <c r="G1038" i="7"/>
  <c r="H1038" i="7" l="1"/>
  <c r="I1038" i="7" s="1"/>
  <c r="J1038" i="7" s="1"/>
  <c r="L1038" i="7"/>
  <c r="M1038" i="7" s="1"/>
  <c r="N1038" i="7" s="1"/>
  <c r="O1038" i="7" l="1"/>
  <c r="T1039" i="7" s="1"/>
  <c r="Q1039" i="7"/>
  <c r="K1038" i="7"/>
  <c r="S1039" i="7" s="1"/>
  <c r="P1039" i="7"/>
  <c r="G1039" i="7" l="1"/>
  <c r="R1039" i="7"/>
  <c r="L1039" i="7" l="1"/>
  <c r="M1039" i="7" s="1"/>
  <c r="N1039" i="7" s="1"/>
  <c r="H1039" i="7"/>
  <c r="I1039" i="7" s="1"/>
  <c r="J1039" i="7" s="1"/>
  <c r="K1039" i="7" l="1"/>
  <c r="S1040" i="7" s="1"/>
  <c r="P1040" i="7"/>
  <c r="Q1040" i="7"/>
  <c r="O1039" i="7"/>
  <c r="T1040" i="7" s="1"/>
  <c r="R1040" i="7" l="1"/>
  <c r="G1040" i="7"/>
  <c r="L1040" i="7" l="1"/>
  <c r="M1040" i="7" s="1"/>
  <c r="N1040" i="7" s="1"/>
  <c r="H1040" i="7"/>
  <c r="I1040" i="7" s="1"/>
  <c r="J1040" i="7" s="1"/>
  <c r="K1040" i="7" l="1"/>
  <c r="S1041" i="7" s="1"/>
  <c r="P1041" i="7"/>
  <c r="O1040" i="7"/>
  <c r="T1041" i="7" s="1"/>
  <c r="Q1041" i="7"/>
  <c r="R1041" i="7" l="1"/>
  <c r="G1041" i="7"/>
  <c r="L1041" i="7" l="1"/>
  <c r="M1041" i="7" s="1"/>
  <c r="N1041" i="7" s="1"/>
  <c r="H1041" i="7"/>
  <c r="I1041" i="7" s="1"/>
  <c r="J1041" i="7" s="1"/>
  <c r="P1042" i="7" l="1"/>
  <c r="K1041" i="7"/>
  <c r="S1042" i="7" s="1"/>
  <c r="Q1042" i="7"/>
  <c r="O1041" i="7"/>
  <c r="T1042" i="7" s="1"/>
  <c r="R1042" i="7" l="1"/>
  <c r="G1042" i="7"/>
  <c r="L1042" i="7" l="1"/>
  <c r="M1042" i="7" s="1"/>
  <c r="N1042" i="7" s="1"/>
  <c r="H1042" i="7"/>
  <c r="I1042" i="7" s="1"/>
  <c r="J1042" i="7" s="1"/>
  <c r="P1043" i="7" l="1"/>
  <c r="K1042" i="7"/>
  <c r="S1043" i="7" s="1"/>
  <c r="Q1043" i="7"/>
  <c r="O1042" i="7"/>
  <c r="T1043" i="7" s="1"/>
  <c r="G1043" i="7" l="1"/>
  <c r="R1043" i="7"/>
  <c r="H1043" i="7" l="1"/>
  <c r="I1043" i="7" s="1"/>
  <c r="J1043" i="7" s="1"/>
  <c r="L1043" i="7"/>
  <c r="M1043" i="7" s="1"/>
  <c r="N1043" i="7" s="1"/>
  <c r="Q1044" i="7" l="1"/>
  <c r="O1043" i="7"/>
  <c r="T1044" i="7" s="1"/>
  <c r="K1043" i="7"/>
  <c r="S1044" i="7" s="1"/>
  <c r="P1044" i="7"/>
  <c r="R1044" i="7" l="1"/>
  <c r="G1044" i="7"/>
  <c r="H1044" i="7" l="1"/>
  <c r="I1044" i="7" s="1"/>
  <c r="J1044" i="7" s="1"/>
  <c r="L1044" i="7"/>
  <c r="M1044" i="7" s="1"/>
  <c r="N1044" i="7" s="1"/>
  <c r="Q1045" i="7" l="1"/>
  <c r="O1044" i="7"/>
  <c r="T1045" i="7" s="1"/>
  <c r="P1045" i="7"/>
  <c r="K1044" i="7"/>
  <c r="S1045" i="7" s="1"/>
  <c r="G1045" i="7" l="1"/>
  <c r="R1045" i="7"/>
  <c r="L1045" i="7" l="1"/>
  <c r="M1045" i="7" s="1"/>
  <c r="N1045" i="7" s="1"/>
  <c r="H1045" i="7"/>
  <c r="I1045" i="7" s="1"/>
  <c r="J1045" i="7" s="1"/>
  <c r="P1046" i="7" l="1"/>
  <c r="K1045" i="7"/>
  <c r="S1046" i="7" s="1"/>
  <c r="O1045" i="7"/>
  <c r="T1046" i="7" s="1"/>
  <c r="Q1046" i="7"/>
  <c r="R1046" i="7" l="1"/>
  <c r="G1046" i="7"/>
  <c r="H1046" i="7" l="1"/>
  <c r="I1046" i="7" s="1"/>
  <c r="J1046" i="7" s="1"/>
  <c r="L1046" i="7"/>
  <c r="M1046" i="7" s="1"/>
  <c r="N1046" i="7" s="1"/>
  <c r="Q1047" i="7" l="1"/>
  <c r="O1046" i="7"/>
  <c r="T1047" i="7" s="1"/>
  <c r="P1047" i="7"/>
  <c r="K1046" i="7"/>
  <c r="S1047" i="7" s="1"/>
  <c r="R1047" i="7" l="1"/>
  <c r="G1047" i="7"/>
  <c r="L1047" i="7" l="1"/>
  <c r="M1047" i="7" s="1"/>
  <c r="N1047" i="7" s="1"/>
  <c r="H1047" i="7"/>
  <c r="I1047" i="7" s="1"/>
  <c r="J1047" i="7" s="1"/>
  <c r="K1047" i="7" l="1"/>
  <c r="S1048" i="7" s="1"/>
  <c r="P1048" i="7"/>
  <c r="Q1048" i="7"/>
  <c r="O1047" i="7"/>
  <c r="T1048" i="7" s="1"/>
  <c r="G1048" i="7" l="1"/>
  <c r="R1048" i="7"/>
  <c r="L1048" i="7" l="1"/>
  <c r="M1048" i="7" s="1"/>
  <c r="N1048" i="7" s="1"/>
  <c r="H1048" i="7"/>
  <c r="I1048" i="7" s="1"/>
  <c r="J1048" i="7" s="1"/>
  <c r="P1049" i="7" l="1"/>
  <c r="K1048" i="7"/>
  <c r="S1049" i="7" s="1"/>
  <c r="O1048" i="7"/>
  <c r="T1049" i="7" s="1"/>
  <c r="Q1049" i="7"/>
  <c r="R1049" i="7" l="1"/>
  <c r="G1049" i="7"/>
  <c r="L1049" i="7" l="1"/>
  <c r="M1049" i="7" s="1"/>
  <c r="N1049" i="7" s="1"/>
  <c r="H1049" i="7"/>
  <c r="I1049" i="7" s="1"/>
  <c r="J1049" i="7" s="1"/>
  <c r="K1049" i="7" l="1"/>
  <c r="S1050" i="7" s="1"/>
  <c r="P1050" i="7"/>
  <c r="O1049" i="7"/>
  <c r="T1050" i="7" s="1"/>
  <c r="Q1050" i="7"/>
  <c r="G1050" i="7" l="1"/>
  <c r="R1050" i="7"/>
  <c r="L1050" i="7" l="1"/>
  <c r="M1050" i="7" s="1"/>
  <c r="N1050" i="7" s="1"/>
  <c r="H1050" i="7"/>
  <c r="I1050" i="7" s="1"/>
  <c r="J1050" i="7" s="1"/>
  <c r="P1051" i="7" l="1"/>
  <c r="K1050" i="7"/>
  <c r="S1051" i="7" s="1"/>
  <c r="Q1051" i="7"/>
  <c r="O1050" i="7"/>
  <c r="T1051" i="7" s="1"/>
  <c r="G1051" i="7" l="1"/>
  <c r="R1051" i="7"/>
  <c r="H1051" i="7" l="1"/>
  <c r="I1051" i="7" s="1"/>
  <c r="J1051" i="7" s="1"/>
  <c r="L1051" i="7"/>
  <c r="M1051" i="7" s="1"/>
  <c r="N1051" i="7" s="1"/>
  <c r="O1051" i="7" l="1"/>
  <c r="T1052" i="7" s="1"/>
  <c r="Q1052" i="7"/>
  <c r="P1052" i="7"/>
  <c r="K1051" i="7"/>
  <c r="S1052" i="7" s="1"/>
  <c r="G1052" i="7" l="1"/>
  <c r="R1052" i="7"/>
  <c r="H1052" i="7" l="1"/>
  <c r="I1052" i="7" s="1"/>
  <c r="J1052" i="7" s="1"/>
  <c r="L1052" i="7"/>
  <c r="M1052" i="7" s="1"/>
  <c r="N1052" i="7" s="1"/>
  <c r="Q1053" i="7" l="1"/>
  <c r="O1052" i="7"/>
  <c r="T1053" i="7" s="1"/>
  <c r="K1052" i="7"/>
  <c r="S1053" i="7" s="1"/>
  <c r="P1053" i="7"/>
  <c r="R1053" i="7" l="1"/>
  <c r="G1053" i="7"/>
  <c r="L1053" i="7" l="1"/>
  <c r="M1053" i="7" s="1"/>
  <c r="N1053" i="7" s="1"/>
  <c r="H1053" i="7"/>
  <c r="I1053" i="7" s="1"/>
  <c r="J1053" i="7" s="1"/>
  <c r="K1053" i="7" l="1"/>
  <c r="S1054" i="7" s="1"/>
  <c r="P1054" i="7"/>
  <c r="O1053" i="7"/>
  <c r="T1054" i="7" s="1"/>
  <c r="Q1054" i="7"/>
  <c r="R1054" i="7" l="1"/>
  <c r="G1054" i="7"/>
  <c r="H1054" i="7" l="1"/>
  <c r="I1054" i="7" s="1"/>
  <c r="J1054" i="7" s="1"/>
  <c r="L1054" i="7"/>
  <c r="M1054" i="7" s="1"/>
  <c r="N1054" i="7" s="1"/>
  <c r="Q1055" i="7" l="1"/>
  <c r="O1054" i="7"/>
  <c r="T1055" i="7" s="1"/>
  <c r="P1055" i="7"/>
  <c r="K1054" i="7"/>
  <c r="S1055" i="7" s="1"/>
  <c r="R1055" i="7" l="1"/>
  <c r="G1055" i="7"/>
  <c r="L1055" i="7" l="1"/>
  <c r="M1055" i="7" s="1"/>
  <c r="N1055" i="7" s="1"/>
  <c r="H1055" i="7"/>
  <c r="I1055" i="7" s="1"/>
  <c r="J1055" i="7" s="1"/>
  <c r="P1056" i="7" l="1"/>
  <c r="K1055" i="7"/>
  <c r="S1056" i="7" s="1"/>
  <c r="O1055" i="7"/>
  <c r="T1056" i="7" s="1"/>
  <c r="Q1056" i="7"/>
  <c r="G1056" i="7" l="1"/>
  <c r="R1056" i="7"/>
  <c r="L1056" i="7" l="1"/>
  <c r="M1056" i="7" s="1"/>
  <c r="N1056" i="7" s="1"/>
  <c r="H1056" i="7"/>
  <c r="I1056" i="7" s="1"/>
  <c r="J1056" i="7" s="1"/>
  <c r="K1056" i="7" l="1"/>
  <c r="S1057" i="7" s="1"/>
  <c r="P1057" i="7"/>
  <c r="O1056" i="7"/>
  <c r="T1057" i="7" s="1"/>
  <c r="Q1057" i="7"/>
  <c r="G1057" i="7" l="1"/>
  <c r="R1057" i="7"/>
  <c r="L1057" i="7" l="1"/>
  <c r="M1057" i="7" s="1"/>
  <c r="N1057" i="7" s="1"/>
  <c r="H1057" i="7"/>
  <c r="I1057" i="7" s="1"/>
  <c r="J1057" i="7" s="1"/>
  <c r="P1058" i="7" l="1"/>
  <c r="K1057" i="7"/>
  <c r="S1058" i="7" s="1"/>
  <c r="O1057" i="7"/>
  <c r="T1058" i="7" s="1"/>
  <c r="Q1058" i="7"/>
  <c r="R1058" i="7" l="1"/>
  <c r="G1058" i="7"/>
  <c r="L1058" i="7" l="1"/>
  <c r="M1058" i="7" s="1"/>
  <c r="N1058" i="7" s="1"/>
  <c r="H1058" i="7"/>
  <c r="I1058" i="7" s="1"/>
  <c r="J1058" i="7" s="1"/>
  <c r="P1059" i="7" l="1"/>
  <c r="K1058" i="7"/>
  <c r="S1059" i="7" s="1"/>
  <c r="O1058" i="7"/>
  <c r="T1059" i="7" s="1"/>
  <c r="Q1059" i="7"/>
  <c r="G1059" i="7" l="1"/>
  <c r="R1059" i="7"/>
  <c r="H1059" i="7" l="1"/>
  <c r="I1059" i="7" s="1"/>
  <c r="J1059" i="7" s="1"/>
  <c r="L1059" i="7"/>
  <c r="M1059" i="7" s="1"/>
  <c r="N1059" i="7" s="1"/>
  <c r="Q1060" i="7" l="1"/>
  <c r="O1059" i="7"/>
  <c r="T1060" i="7" s="1"/>
  <c r="P1060" i="7"/>
  <c r="K1059" i="7"/>
  <c r="S1060" i="7" s="1"/>
  <c r="R1060" i="7" l="1"/>
  <c r="G1060" i="7"/>
  <c r="L1060" i="7" l="1"/>
  <c r="M1060" i="7" s="1"/>
  <c r="N1060" i="7" s="1"/>
  <c r="H1060" i="7"/>
  <c r="I1060" i="7" s="1"/>
  <c r="J1060" i="7" s="1"/>
  <c r="P1061" i="7" l="1"/>
  <c r="K1060" i="7"/>
  <c r="S1061" i="7" s="1"/>
  <c r="O1060" i="7"/>
  <c r="T1061" i="7" s="1"/>
  <c r="Q1061" i="7"/>
  <c r="G1061" i="7" l="1"/>
  <c r="R1061" i="7"/>
  <c r="H1061" i="7" l="1"/>
  <c r="I1061" i="7" s="1"/>
  <c r="J1061" i="7" s="1"/>
  <c r="L1061" i="7"/>
  <c r="M1061" i="7" s="1"/>
  <c r="N1061" i="7" s="1"/>
  <c r="O1061" i="7" l="1"/>
  <c r="T1062" i="7" s="1"/>
  <c r="Q1062" i="7"/>
  <c r="K1061" i="7"/>
  <c r="S1062" i="7" s="1"/>
  <c r="P1062" i="7"/>
  <c r="R1062" i="7" l="1"/>
  <c r="G1062" i="7"/>
  <c r="L1062" i="7" l="1"/>
  <c r="M1062" i="7" s="1"/>
  <c r="N1062" i="7" s="1"/>
  <c r="H1062" i="7"/>
  <c r="I1062" i="7" s="1"/>
  <c r="J1062" i="7" s="1"/>
  <c r="K1062" i="7" l="1"/>
  <c r="S1063" i="7" s="1"/>
  <c r="P1063" i="7"/>
  <c r="Q1063" i="7"/>
  <c r="O1062" i="7"/>
  <c r="T1063" i="7" s="1"/>
  <c r="R1063" i="7" l="1"/>
  <c r="G1063" i="7"/>
  <c r="H1063" i="7" l="1"/>
  <c r="I1063" i="7" s="1"/>
  <c r="J1063" i="7" s="1"/>
  <c r="L1063" i="7"/>
  <c r="M1063" i="7" s="1"/>
  <c r="N1063" i="7" s="1"/>
  <c r="Q1064" i="7" l="1"/>
  <c r="O1063" i="7"/>
  <c r="T1064" i="7" s="1"/>
  <c r="K1063" i="7"/>
  <c r="S1064" i="7" s="1"/>
  <c r="P1064" i="7"/>
  <c r="R1064" i="7" l="1"/>
  <c r="G1064" i="7"/>
  <c r="L1064" i="7" l="1"/>
  <c r="M1064" i="7" s="1"/>
  <c r="N1064" i="7" s="1"/>
  <c r="H1064" i="7"/>
  <c r="I1064" i="7" s="1"/>
  <c r="J1064" i="7" s="1"/>
  <c r="K1064" i="7" l="1"/>
  <c r="S1065" i="7" s="1"/>
  <c r="P1065" i="7"/>
  <c r="Q1065" i="7"/>
  <c r="O1064" i="7"/>
  <c r="T1065" i="7" s="1"/>
  <c r="G1065" i="7" l="1"/>
  <c r="R1065" i="7"/>
  <c r="H1065" i="7" l="1"/>
  <c r="I1065" i="7" s="1"/>
  <c r="J1065" i="7" s="1"/>
  <c r="L1065" i="7"/>
  <c r="M1065" i="7" s="1"/>
  <c r="N1065" i="7" s="1"/>
  <c r="Q1066" i="7" l="1"/>
  <c r="O1065" i="7"/>
  <c r="T1066" i="7" s="1"/>
  <c r="P1066" i="7"/>
  <c r="K1065" i="7"/>
  <c r="S1066" i="7" s="1"/>
  <c r="G1066" i="7" l="1"/>
  <c r="R1066" i="7"/>
  <c r="H1066" i="7" l="1"/>
  <c r="I1066" i="7" s="1"/>
  <c r="J1066" i="7" s="1"/>
  <c r="L1066" i="7"/>
  <c r="M1066" i="7" s="1"/>
  <c r="N1066" i="7" s="1"/>
  <c r="O1066" i="7" l="1"/>
  <c r="T1067" i="7" s="1"/>
  <c r="Q1067" i="7"/>
  <c r="K1066" i="7"/>
  <c r="S1067" i="7" s="1"/>
  <c r="P1067" i="7"/>
  <c r="R1067" i="7" l="1"/>
  <c r="G1067" i="7"/>
  <c r="L1067" i="7" l="1"/>
  <c r="M1067" i="7" s="1"/>
  <c r="N1067" i="7" s="1"/>
  <c r="H1067" i="7"/>
  <c r="I1067" i="7" s="1"/>
  <c r="J1067" i="7" s="1"/>
  <c r="K1067" i="7" l="1"/>
  <c r="S1068" i="7" s="1"/>
  <c r="P1068" i="7"/>
  <c r="O1067" i="7"/>
  <c r="T1068" i="7" s="1"/>
  <c r="Q1068" i="7"/>
  <c r="G1068" i="7" l="1"/>
  <c r="R1068" i="7"/>
  <c r="L1068" i="7" l="1"/>
  <c r="M1068" i="7" s="1"/>
  <c r="N1068" i="7" s="1"/>
  <c r="H1068" i="7"/>
  <c r="I1068" i="7" s="1"/>
  <c r="J1068" i="7" s="1"/>
  <c r="P1069" i="7" l="1"/>
  <c r="K1068" i="7"/>
  <c r="S1069" i="7" s="1"/>
  <c r="Q1069" i="7"/>
  <c r="O1068" i="7"/>
  <c r="T1069" i="7" s="1"/>
  <c r="R1069" i="7" l="1"/>
  <c r="G1069" i="7"/>
  <c r="L1069" i="7" l="1"/>
  <c r="M1069" i="7" s="1"/>
  <c r="N1069" i="7" s="1"/>
  <c r="H1069" i="7"/>
  <c r="I1069" i="7" s="1"/>
  <c r="J1069" i="7" s="1"/>
  <c r="K1069" i="7" l="1"/>
  <c r="S1070" i="7" s="1"/>
  <c r="P1070" i="7"/>
  <c r="Q1070" i="7"/>
  <c r="O1069" i="7"/>
  <c r="T1070" i="7" s="1"/>
  <c r="G1070" i="7" l="1"/>
  <c r="R1070" i="7"/>
  <c r="H1070" i="7" l="1"/>
  <c r="I1070" i="7" s="1"/>
  <c r="J1070" i="7" s="1"/>
  <c r="L1070" i="7"/>
  <c r="M1070" i="7" s="1"/>
  <c r="N1070" i="7" s="1"/>
  <c r="O1070" i="7" l="1"/>
  <c r="T1071" i="7" s="1"/>
  <c r="Q1071" i="7"/>
  <c r="K1070" i="7"/>
  <c r="S1071" i="7" s="1"/>
  <c r="P1071" i="7"/>
  <c r="R1071" i="7" l="1"/>
  <c r="G1071" i="7"/>
  <c r="H1071" i="7" l="1"/>
  <c r="I1071" i="7" s="1"/>
  <c r="J1071" i="7" s="1"/>
  <c r="L1071" i="7"/>
  <c r="M1071" i="7" s="1"/>
  <c r="N1071" i="7" s="1"/>
  <c r="Q1072" i="7" l="1"/>
  <c r="O1071" i="7"/>
  <c r="T1072" i="7" s="1"/>
  <c r="P1072" i="7"/>
  <c r="K1071" i="7"/>
  <c r="S1072" i="7" s="1"/>
  <c r="G1072" i="7" l="1"/>
  <c r="R1072" i="7"/>
  <c r="L1072" i="7" l="1"/>
  <c r="M1072" i="7" s="1"/>
  <c r="N1072" i="7" s="1"/>
  <c r="H1072" i="7"/>
  <c r="I1072" i="7" s="1"/>
  <c r="J1072" i="7" s="1"/>
  <c r="P1073" i="7" l="1"/>
  <c r="K1072" i="7"/>
  <c r="S1073" i="7" s="1"/>
  <c r="O1072" i="7"/>
  <c r="T1073" i="7" s="1"/>
  <c r="Q1073" i="7"/>
  <c r="G1073" i="7" l="1"/>
  <c r="R1073" i="7"/>
  <c r="L1073" i="7" l="1"/>
  <c r="M1073" i="7" s="1"/>
  <c r="N1073" i="7" s="1"/>
  <c r="H1073" i="7"/>
  <c r="I1073" i="7" s="1"/>
  <c r="J1073" i="7" s="1"/>
  <c r="K1073" i="7" l="1"/>
  <c r="S1074" i="7" s="1"/>
  <c r="P1074" i="7"/>
  <c r="Q1074" i="7"/>
  <c r="O1073" i="7"/>
  <c r="T1074" i="7" s="1"/>
  <c r="R1074" i="7" l="1"/>
  <c r="G1074" i="7"/>
  <c r="H1074" i="7" l="1"/>
  <c r="I1074" i="7" s="1"/>
  <c r="J1074" i="7" s="1"/>
  <c r="L1074" i="7"/>
  <c r="M1074" i="7" s="1"/>
  <c r="N1074" i="7" s="1"/>
  <c r="Q1075" i="7" l="1"/>
  <c r="O1074" i="7"/>
  <c r="T1075" i="7" s="1"/>
  <c r="K1074" i="7"/>
  <c r="S1075" i="7" s="1"/>
  <c r="P1075" i="7"/>
  <c r="R1075" i="7" l="1"/>
  <c r="G1075" i="7"/>
  <c r="H1075" i="7" l="1"/>
  <c r="I1075" i="7" s="1"/>
  <c r="J1075" i="7" s="1"/>
  <c r="L1075" i="7"/>
  <c r="M1075" i="7" s="1"/>
  <c r="N1075" i="7" s="1"/>
  <c r="Q1076" i="7" l="1"/>
  <c r="O1075" i="7"/>
  <c r="T1076" i="7" s="1"/>
  <c r="K1075" i="7"/>
  <c r="S1076" i="7" s="1"/>
  <c r="P1076" i="7"/>
  <c r="G1076" i="7" l="1"/>
  <c r="R1076" i="7"/>
  <c r="L1076" i="7" l="1"/>
  <c r="M1076" i="7" s="1"/>
  <c r="N1076" i="7" s="1"/>
  <c r="H1076" i="7"/>
  <c r="I1076" i="7" s="1"/>
  <c r="J1076" i="7" s="1"/>
  <c r="K1076" i="7" l="1"/>
  <c r="S1077" i="7" s="1"/>
  <c r="P1077" i="7"/>
  <c r="Q1077" i="7"/>
  <c r="O1076" i="7"/>
  <c r="T1077" i="7" s="1"/>
  <c r="G1077" i="7" l="1"/>
  <c r="R1077" i="7"/>
  <c r="H1077" i="7" l="1"/>
  <c r="I1077" i="7" s="1"/>
  <c r="J1077" i="7" s="1"/>
  <c r="L1077" i="7"/>
  <c r="M1077" i="7" s="1"/>
  <c r="N1077" i="7" s="1"/>
  <c r="O1077" i="7" l="1"/>
  <c r="T1078" i="7" s="1"/>
  <c r="Q1078" i="7"/>
  <c r="P1078" i="7"/>
  <c r="K1077" i="7"/>
  <c r="S1078" i="7" s="1"/>
  <c r="R1078" i="7" l="1"/>
  <c r="G1078" i="7"/>
  <c r="L1078" i="7" l="1"/>
  <c r="M1078" i="7" s="1"/>
  <c r="N1078" i="7" s="1"/>
  <c r="H1078" i="7"/>
  <c r="I1078" i="7" s="1"/>
  <c r="J1078" i="7" s="1"/>
  <c r="P1079" i="7" l="1"/>
  <c r="K1078" i="7"/>
  <c r="S1079" i="7" s="1"/>
  <c r="O1078" i="7"/>
  <c r="T1079" i="7" s="1"/>
  <c r="Q1079" i="7"/>
  <c r="G1079" i="7" l="1"/>
  <c r="R1079" i="7"/>
  <c r="H1079" i="7" l="1"/>
  <c r="I1079" i="7" s="1"/>
  <c r="J1079" i="7" s="1"/>
  <c r="L1079" i="7"/>
  <c r="M1079" i="7" s="1"/>
  <c r="N1079" i="7" s="1"/>
  <c r="O1079" i="7" l="1"/>
  <c r="T1080" i="7" s="1"/>
  <c r="Q1080" i="7"/>
  <c r="P1080" i="7"/>
  <c r="K1079" i="7"/>
  <c r="S1080" i="7" s="1"/>
  <c r="R1080" i="7" l="1"/>
  <c r="G1080" i="7"/>
  <c r="L1080" i="7" l="1"/>
  <c r="M1080" i="7" s="1"/>
  <c r="N1080" i="7" s="1"/>
  <c r="H1080" i="7"/>
  <c r="I1080" i="7" s="1"/>
  <c r="J1080" i="7" s="1"/>
  <c r="P1081" i="7" l="1"/>
  <c r="K1080" i="7"/>
  <c r="S1081" i="7" s="1"/>
  <c r="O1080" i="7"/>
  <c r="T1081" i="7" s="1"/>
  <c r="Q1081" i="7"/>
  <c r="G1081" i="7" l="1"/>
  <c r="R1081" i="7"/>
  <c r="L1081" i="7" l="1"/>
  <c r="M1081" i="7" s="1"/>
  <c r="N1081" i="7" s="1"/>
  <c r="H1081" i="7"/>
  <c r="I1081" i="7" s="1"/>
  <c r="J1081" i="7" s="1"/>
  <c r="K1081" i="7" l="1"/>
  <c r="S1082" i="7" s="1"/>
  <c r="P1082" i="7"/>
  <c r="Q1082" i="7"/>
  <c r="O1081" i="7"/>
  <c r="T1082" i="7" s="1"/>
  <c r="R1082" i="7" l="1"/>
  <c r="G1082" i="7"/>
  <c r="L1082" i="7" l="1"/>
  <c r="M1082" i="7" s="1"/>
  <c r="N1082" i="7" s="1"/>
  <c r="H1082" i="7"/>
  <c r="I1082" i="7" s="1"/>
  <c r="J1082" i="7" s="1"/>
  <c r="P1083" i="7" l="1"/>
  <c r="K1082" i="7"/>
  <c r="S1083" i="7" s="1"/>
  <c r="Q1083" i="7"/>
  <c r="O1082" i="7"/>
  <c r="T1083" i="7" s="1"/>
  <c r="G1083" i="7" l="1"/>
  <c r="R1083" i="7"/>
  <c r="H1083" i="7" l="1"/>
  <c r="I1083" i="7" s="1"/>
  <c r="J1083" i="7" s="1"/>
  <c r="L1083" i="7"/>
  <c r="M1083" i="7" s="1"/>
  <c r="N1083" i="7" s="1"/>
  <c r="Q1084" i="7" l="1"/>
  <c r="O1083" i="7"/>
  <c r="T1084" i="7" s="1"/>
  <c r="P1084" i="7"/>
  <c r="K1083" i="7"/>
  <c r="S1084" i="7" s="1"/>
  <c r="R1084" i="7" l="1"/>
  <c r="G1084" i="7"/>
  <c r="H1084" i="7" l="1"/>
  <c r="I1084" i="7" s="1"/>
  <c r="J1084" i="7" s="1"/>
  <c r="L1084" i="7"/>
  <c r="M1084" i="7" s="1"/>
  <c r="N1084" i="7" s="1"/>
  <c r="O1084" i="7" l="1"/>
  <c r="T1085" i="7" s="1"/>
  <c r="Q1085" i="7"/>
  <c r="K1084" i="7"/>
  <c r="S1085" i="7" s="1"/>
  <c r="P1085" i="7"/>
  <c r="R1085" i="7" l="1"/>
  <c r="G1085" i="7"/>
  <c r="H1085" i="7" l="1"/>
  <c r="I1085" i="7" s="1"/>
  <c r="J1085" i="7" s="1"/>
  <c r="L1085" i="7"/>
  <c r="M1085" i="7" s="1"/>
  <c r="N1085" i="7" s="1"/>
  <c r="O1085" i="7" l="1"/>
  <c r="T1086" i="7" s="1"/>
  <c r="Q1086" i="7"/>
  <c r="P1086" i="7"/>
  <c r="K1085" i="7"/>
  <c r="S1086" i="7" s="1"/>
  <c r="G1086" i="7" l="1"/>
  <c r="R1086" i="7"/>
  <c r="L1086" i="7" l="1"/>
  <c r="M1086" i="7" s="1"/>
  <c r="N1086" i="7" s="1"/>
  <c r="H1086" i="7"/>
  <c r="I1086" i="7" s="1"/>
  <c r="J1086" i="7" s="1"/>
  <c r="P1087" i="7" l="1"/>
  <c r="K1086" i="7"/>
  <c r="S1087" i="7" s="1"/>
  <c r="O1086" i="7"/>
  <c r="T1087" i="7" s="1"/>
  <c r="Q1087" i="7"/>
  <c r="G1087" i="7" l="1"/>
  <c r="R1087" i="7"/>
  <c r="L1087" i="7" l="1"/>
  <c r="M1087" i="7" s="1"/>
  <c r="N1087" i="7" s="1"/>
  <c r="H1087" i="7"/>
  <c r="I1087" i="7" s="1"/>
  <c r="J1087" i="7" s="1"/>
  <c r="P1088" i="7" l="1"/>
  <c r="K1087" i="7"/>
  <c r="S1088" i="7" s="1"/>
  <c r="Q1088" i="7"/>
  <c r="O1087" i="7"/>
  <c r="T1088" i="7" s="1"/>
  <c r="R1088" i="7" l="1"/>
  <c r="G1088" i="7"/>
  <c r="L1088" i="7" l="1"/>
  <c r="M1088" i="7" s="1"/>
  <c r="N1088" i="7" s="1"/>
  <c r="H1088" i="7"/>
  <c r="I1088" i="7" s="1"/>
  <c r="J1088" i="7" s="1"/>
  <c r="K1088" i="7" l="1"/>
  <c r="S1089" i="7" s="1"/>
  <c r="P1089" i="7"/>
  <c r="O1088" i="7"/>
  <c r="T1089" i="7" s="1"/>
  <c r="Q1089" i="7"/>
  <c r="G1089" i="7" l="1"/>
  <c r="R1089" i="7"/>
  <c r="H1089" i="7" l="1"/>
  <c r="I1089" i="7" s="1"/>
  <c r="J1089" i="7" s="1"/>
  <c r="L1089" i="7"/>
  <c r="M1089" i="7" s="1"/>
  <c r="N1089" i="7" s="1"/>
  <c r="Q1090" i="7" l="1"/>
  <c r="O1089" i="7"/>
  <c r="T1090" i="7" s="1"/>
  <c r="K1089" i="7"/>
  <c r="S1090" i="7" s="1"/>
  <c r="P1090" i="7"/>
  <c r="G1090" i="7" l="1"/>
  <c r="R1090" i="7"/>
  <c r="L1090" i="7" l="1"/>
  <c r="M1090" i="7" s="1"/>
  <c r="N1090" i="7" s="1"/>
  <c r="H1090" i="7"/>
  <c r="I1090" i="7" s="1"/>
  <c r="J1090" i="7" s="1"/>
  <c r="K1090" i="7" l="1"/>
  <c r="S1091" i="7" s="1"/>
  <c r="P1091" i="7"/>
  <c r="Q1091" i="7"/>
  <c r="O1090" i="7"/>
  <c r="T1091" i="7" s="1"/>
  <c r="R1091" i="7" l="1"/>
  <c r="G1091" i="7"/>
  <c r="L1091" i="7" l="1"/>
  <c r="M1091" i="7" s="1"/>
  <c r="N1091" i="7" s="1"/>
  <c r="H1091" i="7"/>
  <c r="I1091" i="7" s="1"/>
  <c r="J1091" i="7" s="1"/>
  <c r="P1092" i="7" l="1"/>
  <c r="K1091" i="7"/>
  <c r="S1092" i="7" s="1"/>
  <c r="Q1092" i="7"/>
  <c r="O1091" i="7"/>
  <c r="T1092" i="7" s="1"/>
  <c r="G1092" i="7" l="1"/>
  <c r="R1092" i="7"/>
  <c r="H1092" i="7" l="1"/>
  <c r="I1092" i="7" s="1"/>
  <c r="J1092" i="7" s="1"/>
  <c r="L1092" i="7"/>
  <c r="M1092" i="7" s="1"/>
  <c r="N1092" i="7" s="1"/>
  <c r="Q1093" i="7" l="1"/>
  <c r="O1092" i="7"/>
  <c r="T1093" i="7" s="1"/>
  <c r="K1092" i="7"/>
  <c r="S1093" i="7" s="1"/>
  <c r="P1093" i="7"/>
  <c r="G1093" i="7" l="1"/>
  <c r="R1093" i="7"/>
  <c r="L1093" i="7" l="1"/>
  <c r="M1093" i="7" s="1"/>
  <c r="N1093" i="7" s="1"/>
  <c r="H1093" i="7"/>
  <c r="I1093" i="7" s="1"/>
  <c r="J1093" i="7" s="1"/>
  <c r="K1093" i="7" l="1"/>
  <c r="S1094" i="7" s="1"/>
  <c r="P1094" i="7"/>
  <c r="Q1094" i="7"/>
  <c r="O1093" i="7"/>
  <c r="T1094" i="7" s="1"/>
  <c r="G1094" i="7" l="1"/>
  <c r="R1094" i="7"/>
  <c r="L1094" i="7" l="1"/>
  <c r="M1094" i="7" s="1"/>
  <c r="N1094" i="7" s="1"/>
  <c r="H1094" i="7"/>
  <c r="I1094" i="7" s="1"/>
  <c r="J1094" i="7" s="1"/>
  <c r="K1094" i="7" l="1"/>
  <c r="S1095" i="7" s="1"/>
  <c r="P1095" i="7"/>
  <c r="O1094" i="7"/>
  <c r="T1095" i="7" s="1"/>
  <c r="Q1095" i="7"/>
  <c r="R1095" i="7" l="1"/>
  <c r="G1095" i="7"/>
  <c r="L1095" i="7" l="1"/>
  <c r="M1095" i="7" s="1"/>
  <c r="N1095" i="7" s="1"/>
  <c r="H1095" i="7"/>
  <c r="I1095" i="7" s="1"/>
  <c r="J1095" i="7" s="1"/>
  <c r="P1096" i="7" l="1"/>
  <c r="K1095" i="7"/>
  <c r="S1096" i="7" s="1"/>
  <c r="Q1096" i="7"/>
  <c r="O1095" i="7"/>
  <c r="T1096" i="7" s="1"/>
  <c r="G1096" i="7" l="1"/>
  <c r="R1096" i="7"/>
  <c r="H1096" i="7" l="1"/>
  <c r="I1096" i="7" s="1"/>
  <c r="J1096" i="7" s="1"/>
  <c r="L1096" i="7"/>
  <c r="M1096" i="7" s="1"/>
  <c r="N1096" i="7" s="1"/>
  <c r="O1096" i="7" l="1"/>
  <c r="T1097" i="7" s="1"/>
  <c r="Q1097" i="7"/>
  <c r="K1096" i="7"/>
  <c r="S1097" i="7" s="1"/>
  <c r="P1097" i="7"/>
  <c r="G1097" i="7" l="1"/>
  <c r="R1097" i="7"/>
  <c r="H1097" i="7" l="1"/>
  <c r="I1097" i="7" s="1"/>
  <c r="J1097" i="7" s="1"/>
  <c r="L1097" i="7"/>
  <c r="M1097" i="7" s="1"/>
  <c r="N1097" i="7" s="1"/>
  <c r="O1097" i="7" l="1"/>
  <c r="T1098" i="7" s="1"/>
  <c r="Q1098" i="7"/>
  <c r="P1098" i="7"/>
  <c r="K1097" i="7"/>
  <c r="S1098" i="7" s="1"/>
  <c r="R1098" i="7" l="1"/>
  <c r="G1098" i="7"/>
  <c r="H1098" i="7" l="1"/>
  <c r="I1098" i="7" s="1"/>
  <c r="J1098" i="7" s="1"/>
  <c r="L1098" i="7"/>
  <c r="M1098" i="7" s="1"/>
  <c r="N1098" i="7" s="1"/>
  <c r="O1098" i="7" l="1"/>
  <c r="T1099" i="7" s="1"/>
  <c r="Q1099" i="7"/>
  <c r="P1099" i="7"/>
  <c r="K1098" i="7"/>
  <c r="S1099" i="7" s="1"/>
  <c r="R1099" i="7" l="1"/>
  <c r="G1099" i="7"/>
  <c r="H1099" i="7" l="1"/>
  <c r="I1099" i="7" s="1"/>
  <c r="J1099" i="7" s="1"/>
  <c r="L1099" i="7"/>
  <c r="M1099" i="7" s="1"/>
  <c r="N1099" i="7" s="1"/>
  <c r="O1099" i="7" l="1"/>
  <c r="T1100" i="7" s="1"/>
  <c r="Q1100" i="7"/>
  <c r="P1100" i="7"/>
  <c r="K1099" i="7"/>
  <c r="S1100" i="7" s="1"/>
  <c r="G1100" i="7" l="1"/>
  <c r="R1100" i="7"/>
  <c r="L1100" i="7" l="1"/>
  <c r="M1100" i="7" s="1"/>
  <c r="N1100" i="7" s="1"/>
  <c r="H1100" i="7"/>
  <c r="I1100" i="7" s="1"/>
  <c r="J1100" i="7" s="1"/>
  <c r="K1100" i="7" l="1"/>
  <c r="S1101" i="7" s="1"/>
  <c r="P1101" i="7"/>
  <c r="O1100" i="7"/>
  <c r="T1101" i="7" s="1"/>
  <c r="Q1101" i="7"/>
  <c r="R1101" i="7" l="1"/>
  <c r="G1101" i="7"/>
  <c r="L1101" i="7" l="1"/>
  <c r="M1101" i="7" s="1"/>
  <c r="N1101" i="7" s="1"/>
  <c r="H1101" i="7"/>
  <c r="I1101" i="7" s="1"/>
  <c r="J1101" i="7" s="1"/>
  <c r="K1101" i="7" l="1"/>
  <c r="S1102" i="7" s="1"/>
  <c r="P1102" i="7"/>
  <c r="O1101" i="7"/>
  <c r="T1102" i="7" s="1"/>
  <c r="Q1102" i="7"/>
  <c r="G1102" i="7" l="1"/>
  <c r="R1102" i="7"/>
  <c r="H1102" i="7" l="1"/>
  <c r="I1102" i="7" s="1"/>
  <c r="J1102" i="7" s="1"/>
  <c r="L1102" i="7"/>
  <c r="M1102" i="7" s="1"/>
  <c r="N1102" i="7" s="1"/>
  <c r="O1102" i="7" l="1"/>
  <c r="T1103" i="7" s="1"/>
  <c r="Q1103" i="7"/>
  <c r="P1103" i="7"/>
  <c r="K1102" i="7"/>
  <c r="S1103" i="7" s="1"/>
  <c r="R1103" i="7" l="1"/>
  <c r="G1103" i="7"/>
  <c r="L1103" i="7" l="1"/>
  <c r="M1103" i="7" s="1"/>
  <c r="N1103" i="7" s="1"/>
  <c r="H1103" i="7"/>
  <c r="I1103" i="7" s="1"/>
  <c r="J1103" i="7" s="1"/>
  <c r="P1104" i="7" l="1"/>
  <c r="K1103" i="7"/>
  <c r="S1104" i="7" s="1"/>
  <c r="O1103" i="7"/>
  <c r="T1104" i="7" s="1"/>
  <c r="Q1104" i="7"/>
  <c r="R1104" i="7" l="1"/>
  <c r="G1104" i="7"/>
  <c r="L1104" i="7" l="1"/>
  <c r="M1104" i="7" s="1"/>
  <c r="N1104" i="7" s="1"/>
  <c r="H1104" i="7"/>
  <c r="I1104" i="7" s="1"/>
  <c r="J1104" i="7" s="1"/>
  <c r="K1104" i="7" l="1"/>
  <c r="S1105" i="7" s="1"/>
  <c r="P1105" i="7"/>
  <c r="O1104" i="7"/>
  <c r="T1105" i="7" s="1"/>
  <c r="Q1105" i="7"/>
  <c r="R1105" i="7" l="1"/>
  <c r="G1105" i="7"/>
  <c r="L1105" i="7" l="1"/>
  <c r="M1105" i="7" s="1"/>
  <c r="N1105" i="7" s="1"/>
  <c r="H1105" i="7"/>
  <c r="I1105" i="7" s="1"/>
  <c r="J1105" i="7" s="1"/>
  <c r="P1106" i="7" l="1"/>
  <c r="K1105" i="7"/>
  <c r="S1106" i="7" s="1"/>
  <c r="O1105" i="7"/>
  <c r="T1106" i="7" s="1"/>
  <c r="Q1106" i="7"/>
  <c r="G1106" i="7" l="1"/>
  <c r="R1106" i="7"/>
  <c r="L1106" i="7" l="1"/>
  <c r="M1106" i="7" s="1"/>
  <c r="N1106" i="7" s="1"/>
  <c r="H1106" i="7"/>
  <c r="I1106" i="7" s="1"/>
  <c r="J1106" i="7" s="1"/>
  <c r="P1107" i="7" l="1"/>
  <c r="K1106" i="7"/>
  <c r="S1107" i="7" s="1"/>
  <c r="O1106" i="7"/>
  <c r="T1107" i="7" s="1"/>
  <c r="Q1107" i="7"/>
  <c r="R1107" i="7" l="1"/>
  <c r="G1107" i="7"/>
  <c r="H1107" i="7" l="1"/>
  <c r="I1107" i="7" s="1"/>
  <c r="J1107" i="7" s="1"/>
  <c r="L1107" i="7"/>
  <c r="M1107" i="7" s="1"/>
  <c r="N1107" i="7" s="1"/>
  <c r="O1107" i="7" l="1"/>
  <c r="T1108" i="7" s="1"/>
  <c r="Q1108" i="7"/>
  <c r="K1107" i="7"/>
  <c r="S1108" i="7" s="1"/>
  <c r="P1108" i="7"/>
  <c r="R1108" i="7" l="1"/>
  <c r="G1108" i="7"/>
  <c r="L1108" i="7" l="1"/>
  <c r="M1108" i="7" s="1"/>
  <c r="N1108" i="7" s="1"/>
  <c r="H1108" i="7"/>
  <c r="I1108" i="7" s="1"/>
  <c r="J1108" i="7" s="1"/>
  <c r="P1109" i="7" l="1"/>
  <c r="K1108" i="7"/>
  <c r="S1109" i="7" s="1"/>
  <c r="O1108" i="7"/>
  <c r="T1109" i="7" s="1"/>
  <c r="Q1109" i="7"/>
  <c r="R1109" i="7" l="1"/>
  <c r="G1109" i="7"/>
  <c r="L1109" i="7" l="1"/>
  <c r="M1109" i="7" s="1"/>
  <c r="N1109" i="7" s="1"/>
  <c r="H1109" i="7"/>
  <c r="I1109" i="7" s="1"/>
  <c r="J1109" i="7" s="1"/>
  <c r="K1109" i="7" l="1"/>
  <c r="S1110" i="7" s="1"/>
  <c r="P1110" i="7"/>
  <c r="Q1110" i="7"/>
  <c r="O1109" i="7"/>
  <c r="T1110" i="7" s="1"/>
  <c r="R1110" i="7" l="1"/>
  <c r="G1110" i="7"/>
  <c r="H1110" i="7" l="1"/>
  <c r="I1110" i="7" s="1"/>
  <c r="J1110" i="7" s="1"/>
  <c r="L1110" i="7"/>
  <c r="M1110" i="7" s="1"/>
  <c r="N1110" i="7" s="1"/>
  <c r="Q1111" i="7" l="1"/>
  <c r="O1110" i="7"/>
  <c r="T1111" i="7" s="1"/>
  <c r="P1111" i="7"/>
  <c r="K1110" i="7"/>
  <c r="S1111" i="7" s="1"/>
  <c r="G1111" i="7" l="1"/>
  <c r="R1111" i="7"/>
  <c r="H1111" i="7" l="1"/>
  <c r="I1111" i="7" s="1"/>
  <c r="J1111" i="7" s="1"/>
  <c r="L1111" i="7"/>
  <c r="M1111" i="7" s="1"/>
  <c r="N1111" i="7" s="1"/>
  <c r="Q1112" i="7" l="1"/>
  <c r="O1111" i="7"/>
  <c r="T1112" i="7" s="1"/>
  <c r="P1112" i="7"/>
  <c r="K1111" i="7"/>
  <c r="S1112" i="7" s="1"/>
  <c r="G1112" i="7" l="1"/>
  <c r="R1112" i="7"/>
  <c r="H1112" i="7" l="1"/>
  <c r="I1112" i="7" s="1"/>
  <c r="J1112" i="7" s="1"/>
  <c r="L1112" i="7"/>
  <c r="M1112" i="7" s="1"/>
  <c r="N1112" i="7" s="1"/>
  <c r="O1112" i="7" l="1"/>
  <c r="T1113" i="7" s="1"/>
  <c r="Q1113" i="7"/>
  <c r="P1113" i="7"/>
  <c r="K1112" i="7"/>
  <c r="S1113" i="7" s="1"/>
  <c r="G1113" i="7" l="1"/>
  <c r="R1113" i="7"/>
  <c r="H1113" i="7" l="1"/>
  <c r="I1113" i="7" s="1"/>
  <c r="J1113" i="7" s="1"/>
  <c r="L1113" i="7"/>
  <c r="M1113" i="7" s="1"/>
  <c r="N1113" i="7" s="1"/>
  <c r="O1113" i="7" l="1"/>
  <c r="T1114" i="7" s="1"/>
  <c r="Q1114" i="7"/>
  <c r="P1114" i="7"/>
  <c r="K1113" i="7"/>
  <c r="S1114" i="7" s="1"/>
  <c r="G1114" i="7" l="1"/>
  <c r="R1114" i="7"/>
  <c r="H1114" i="7" l="1"/>
  <c r="I1114" i="7" s="1"/>
  <c r="J1114" i="7" s="1"/>
  <c r="L1114" i="7"/>
  <c r="M1114" i="7" s="1"/>
  <c r="N1114" i="7" s="1"/>
  <c r="O1114" i="7" l="1"/>
  <c r="T1115" i="7" s="1"/>
  <c r="Q1115" i="7"/>
  <c r="K1114" i="7"/>
  <c r="S1115" i="7" s="1"/>
  <c r="P1115" i="7"/>
  <c r="R1115" i="7" l="1"/>
  <c r="G1115" i="7"/>
  <c r="H1115" i="7" l="1"/>
  <c r="I1115" i="7" s="1"/>
  <c r="J1115" i="7" s="1"/>
  <c r="L1115" i="7"/>
  <c r="M1115" i="7" s="1"/>
  <c r="N1115" i="7" s="1"/>
  <c r="O1115" i="7" l="1"/>
  <c r="T1116" i="7" s="1"/>
  <c r="Q1116" i="7"/>
  <c r="P1116" i="7"/>
  <c r="K1115" i="7"/>
  <c r="S1116" i="7" s="1"/>
  <c r="R1116" i="7" l="1"/>
  <c r="G1116" i="7"/>
  <c r="H1116" i="7" l="1"/>
  <c r="I1116" i="7" s="1"/>
  <c r="J1116" i="7" s="1"/>
  <c r="L1116" i="7"/>
  <c r="M1116" i="7" s="1"/>
  <c r="N1116" i="7" s="1"/>
  <c r="Q1117" i="7" l="1"/>
  <c r="O1116" i="7"/>
  <c r="T1117" i="7" s="1"/>
  <c r="P1117" i="7"/>
  <c r="K1116" i="7"/>
  <c r="S1117" i="7" s="1"/>
  <c r="R1117" i="7" l="1"/>
  <c r="G1117" i="7"/>
  <c r="L1117" i="7" l="1"/>
  <c r="M1117" i="7" s="1"/>
  <c r="N1117" i="7" s="1"/>
  <c r="H1117" i="7"/>
  <c r="I1117" i="7" s="1"/>
  <c r="J1117" i="7" s="1"/>
  <c r="P1118" i="7" l="1"/>
  <c r="K1117" i="7"/>
  <c r="S1118" i="7" s="1"/>
  <c r="O1117" i="7"/>
  <c r="T1118" i="7" s="1"/>
  <c r="Q1118" i="7"/>
  <c r="G1118" i="7" l="1"/>
  <c r="R1118" i="7"/>
  <c r="L1118" i="7" l="1"/>
  <c r="M1118" i="7" s="1"/>
  <c r="N1118" i="7" s="1"/>
  <c r="H1118" i="7"/>
  <c r="I1118" i="7" s="1"/>
  <c r="J1118" i="7" s="1"/>
  <c r="K1118" i="7" l="1"/>
  <c r="S1119" i="7" s="1"/>
  <c r="P1119" i="7"/>
  <c r="Q1119" i="7"/>
  <c r="O1118" i="7"/>
  <c r="T1119" i="7" s="1"/>
  <c r="G1119" i="7" l="1"/>
  <c r="R1119" i="7"/>
  <c r="H1119" i="7" l="1"/>
  <c r="I1119" i="7" s="1"/>
  <c r="J1119" i="7" s="1"/>
  <c r="L1119" i="7"/>
  <c r="M1119" i="7" s="1"/>
  <c r="N1119" i="7" s="1"/>
  <c r="O1119" i="7" l="1"/>
  <c r="T1120" i="7" s="1"/>
  <c r="Q1120" i="7"/>
  <c r="P1120" i="7"/>
  <c r="K1119" i="7"/>
  <c r="S1120" i="7" s="1"/>
  <c r="R1120" i="7" l="1"/>
  <c r="G1120" i="7"/>
  <c r="H1120" i="7" l="1"/>
  <c r="I1120" i="7" s="1"/>
  <c r="J1120" i="7" s="1"/>
  <c r="L1120" i="7"/>
  <c r="M1120" i="7" s="1"/>
  <c r="N1120" i="7" s="1"/>
  <c r="Q1121" i="7" l="1"/>
  <c r="O1120" i="7"/>
  <c r="T1121" i="7" s="1"/>
  <c r="P1121" i="7"/>
  <c r="K1120" i="7"/>
  <c r="S1121" i="7" s="1"/>
  <c r="G1121" i="7" l="1"/>
  <c r="R1121" i="7"/>
  <c r="L1121" i="7" l="1"/>
  <c r="M1121" i="7" s="1"/>
  <c r="N1121" i="7" s="1"/>
  <c r="H1121" i="7"/>
  <c r="I1121" i="7" s="1"/>
  <c r="J1121" i="7" s="1"/>
  <c r="K1121" i="7" l="1"/>
  <c r="S1122" i="7" s="1"/>
  <c r="P1122" i="7"/>
  <c r="Q1122" i="7"/>
  <c r="O1121" i="7"/>
  <c r="T1122" i="7" s="1"/>
  <c r="R1122" i="7" l="1"/>
  <c r="G1122" i="7"/>
  <c r="L1122" i="7" l="1"/>
  <c r="M1122" i="7" s="1"/>
  <c r="N1122" i="7" s="1"/>
  <c r="H1122" i="7"/>
  <c r="I1122" i="7" s="1"/>
  <c r="J1122" i="7" s="1"/>
  <c r="P1123" i="7" l="1"/>
  <c r="K1122" i="7"/>
  <c r="S1123" i="7" s="1"/>
  <c r="Q1123" i="7"/>
  <c r="O1122" i="7"/>
  <c r="T1123" i="7" s="1"/>
  <c r="R1123" i="7" l="1"/>
  <c r="G1123" i="7"/>
  <c r="H1123" i="7" l="1"/>
  <c r="I1123" i="7" s="1"/>
  <c r="J1123" i="7" s="1"/>
  <c r="L1123" i="7"/>
  <c r="M1123" i="7" s="1"/>
  <c r="N1123" i="7" s="1"/>
  <c r="Q1124" i="7" l="1"/>
  <c r="O1123" i="7"/>
  <c r="T1124" i="7" s="1"/>
  <c r="P1124" i="7"/>
  <c r="K1123" i="7"/>
  <c r="S1124" i="7" s="1"/>
  <c r="G1124" i="7" l="1"/>
  <c r="R1124" i="7"/>
  <c r="H1124" i="7" l="1"/>
  <c r="I1124" i="7" s="1"/>
  <c r="J1124" i="7" s="1"/>
  <c r="L1124" i="7"/>
  <c r="M1124" i="7" s="1"/>
  <c r="N1124" i="7" s="1"/>
  <c r="Q1125" i="7" l="1"/>
  <c r="O1124" i="7"/>
  <c r="T1125" i="7" s="1"/>
  <c r="P1125" i="7"/>
  <c r="K1124" i="7"/>
  <c r="S1125" i="7" s="1"/>
  <c r="G1125" i="7" l="1"/>
  <c r="R1125" i="7"/>
  <c r="H1125" i="7" l="1"/>
  <c r="I1125" i="7" s="1"/>
  <c r="J1125" i="7" s="1"/>
  <c r="L1125" i="7"/>
  <c r="M1125" i="7" s="1"/>
  <c r="N1125" i="7" s="1"/>
  <c r="O1125" i="7" l="1"/>
  <c r="T1126" i="7" s="1"/>
  <c r="Q1126" i="7"/>
  <c r="P1126" i="7"/>
  <c r="K1125" i="7"/>
  <c r="S1126" i="7" s="1"/>
  <c r="R1126" i="7" l="1"/>
  <c r="G1126" i="7"/>
  <c r="L1126" i="7" l="1"/>
  <c r="M1126" i="7" s="1"/>
  <c r="N1126" i="7" s="1"/>
  <c r="H1126" i="7"/>
  <c r="I1126" i="7" s="1"/>
  <c r="J1126" i="7" s="1"/>
  <c r="P1127" i="7" l="1"/>
  <c r="K1126" i="7"/>
  <c r="S1127" i="7" s="1"/>
  <c r="O1126" i="7"/>
  <c r="T1127" i="7" s="1"/>
  <c r="Q1127" i="7"/>
  <c r="R1127" i="7" l="1"/>
  <c r="G1127" i="7"/>
  <c r="H1127" i="7" l="1"/>
  <c r="I1127" i="7" s="1"/>
  <c r="J1127" i="7" s="1"/>
  <c r="L1127" i="7"/>
  <c r="M1127" i="7" s="1"/>
  <c r="N1127" i="7" s="1"/>
  <c r="O1127" i="7" l="1"/>
  <c r="T1128" i="7" s="1"/>
  <c r="Q1128" i="7"/>
  <c r="P1128" i="7"/>
  <c r="K1127" i="7"/>
  <c r="S1128" i="7" s="1"/>
  <c r="G1128" i="7" l="1"/>
  <c r="R1128" i="7"/>
  <c r="L1128" i="7" l="1"/>
  <c r="M1128" i="7" s="1"/>
  <c r="N1128" i="7" s="1"/>
  <c r="H1128" i="7"/>
  <c r="I1128" i="7" s="1"/>
  <c r="J1128" i="7" s="1"/>
  <c r="P1129" i="7" l="1"/>
  <c r="K1128" i="7"/>
  <c r="S1129" i="7" s="1"/>
  <c r="O1128" i="7"/>
  <c r="T1129" i="7" s="1"/>
  <c r="Q1129" i="7"/>
  <c r="R1129" i="7" l="1"/>
  <c r="G1129" i="7"/>
  <c r="H1129" i="7" l="1"/>
  <c r="I1129" i="7" s="1"/>
  <c r="J1129" i="7" s="1"/>
  <c r="L1129" i="7"/>
  <c r="M1129" i="7" s="1"/>
  <c r="N1129" i="7" s="1"/>
  <c r="O1129" i="7" l="1"/>
  <c r="T1130" i="7" s="1"/>
  <c r="Q1130" i="7"/>
  <c r="P1130" i="7"/>
  <c r="K1129" i="7"/>
  <c r="S1130" i="7" s="1"/>
  <c r="G1130" i="7" l="1"/>
  <c r="R1130" i="7"/>
  <c r="H1130" i="7" l="1"/>
  <c r="I1130" i="7" s="1"/>
  <c r="J1130" i="7" s="1"/>
  <c r="L1130" i="7"/>
  <c r="M1130" i="7" s="1"/>
  <c r="N1130" i="7" s="1"/>
  <c r="O1130" i="7" l="1"/>
  <c r="T1131" i="7" s="1"/>
  <c r="Q1131" i="7"/>
  <c r="P1131" i="7"/>
  <c r="K1130" i="7"/>
  <c r="S1131" i="7" s="1"/>
  <c r="G1131" i="7" l="1"/>
  <c r="R1131" i="7"/>
  <c r="L1131" i="7" l="1"/>
  <c r="M1131" i="7" s="1"/>
  <c r="N1131" i="7" s="1"/>
  <c r="H1131" i="7"/>
  <c r="I1131" i="7" s="1"/>
  <c r="J1131" i="7" s="1"/>
  <c r="P1132" i="7" l="1"/>
  <c r="K1131" i="7"/>
  <c r="S1132" i="7" s="1"/>
  <c r="O1131" i="7"/>
  <c r="T1132" i="7" s="1"/>
  <c r="Q1132" i="7"/>
  <c r="R1132" i="7" l="1"/>
  <c r="G1132" i="7"/>
  <c r="L1132" i="7" l="1"/>
  <c r="M1132" i="7" s="1"/>
  <c r="N1132" i="7" s="1"/>
  <c r="H1132" i="7"/>
  <c r="I1132" i="7" s="1"/>
  <c r="J1132" i="7" s="1"/>
  <c r="K1132" i="7" l="1"/>
  <c r="S1133" i="7" s="1"/>
  <c r="P1133" i="7"/>
  <c r="Q1133" i="7"/>
  <c r="O1132" i="7"/>
  <c r="T1133" i="7" s="1"/>
  <c r="R1133" i="7" l="1"/>
  <c r="G1133" i="7"/>
  <c r="L1133" i="7" l="1"/>
  <c r="M1133" i="7" s="1"/>
  <c r="N1133" i="7" s="1"/>
  <c r="H1133" i="7"/>
  <c r="I1133" i="7" s="1"/>
  <c r="J1133" i="7" s="1"/>
  <c r="P1134" i="7" l="1"/>
  <c r="K1133" i="7"/>
  <c r="S1134" i="7" s="1"/>
  <c r="Q1134" i="7"/>
  <c r="O1133" i="7"/>
  <c r="T1134" i="7" s="1"/>
  <c r="R1134" i="7" l="1"/>
  <c r="G1134" i="7"/>
  <c r="H1134" i="7" l="1"/>
  <c r="I1134" i="7" s="1"/>
  <c r="J1134" i="7" s="1"/>
  <c r="L1134" i="7"/>
  <c r="M1134" i="7" s="1"/>
  <c r="N1134" i="7" s="1"/>
  <c r="Q1135" i="7" l="1"/>
  <c r="O1134" i="7"/>
  <c r="T1135" i="7" s="1"/>
  <c r="K1134" i="7"/>
  <c r="S1135" i="7" s="1"/>
  <c r="P1135" i="7"/>
  <c r="R1135" i="7" l="1"/>
  <c r="G1135" i="7"/>
  <c r="L1135" i="7" l="1"/>
  <c r="M1135" i="7" s="1"/>
  <c r="N1135" i="7" s="1"/>
  <c r="H1135" i="7"/>
  <c r="I1135" i="7" s="1"/>
  <c r="J1135" i="7" s="1"/>
  <c r="K1135" i="7" l="1"/>
  <c r="S1136" i="7" s="1"/>
  <c r="P1136" i="7"/>
  <c r="Q1136" i="7"/>
  <c r="O1135" i="7"/>
  <c r="T1136" i="7" s="1"/>
  <c r="R1136" i="7" l="1"/>
  <c r="G1136" i="7"/>
  <c r="L1136" i="7" l="1"/>
  <c r="M1136" i="7" s="1"/>
  <c r="N1136" i="7" s="1"/>
  <c r="H1136" i="7"/>
  <c r="I1136" i="7" s="1"/>
  <c r="J1136" i="7" s="1"/>
  <c r="K1136" i="7" l="1"/>
  <c r="S1137" i="7" s="1"/>
  <c r="P1137" i="7"/>
  <c r="Q1137" i="7"/>
  <c r="O1136" i="7"/>
  <c r="T1137" i="7" s="1"/>
  <c r="R1137" i="7" l="1"/>
  <c r="G1137" i="7"/>
  <c r="L1137" i="7" l="1"/>
  <c r="M1137" i="7" s="1"/>
  <c r="N1137" i="7" s="1"/>
  <c r="H1137" i="7"/>
  <c r="I1137" i="7" s="1"/>
  <c r="J1137" i="7" s="1"/>
  <c r="K1137" i="7" l="1"/>
  <c r="S1138" i="7" s="1"/>
  <c r="P1138" i="7"/>
  <c r="Q1138" i="7"/>
  <c r="O1137" i="7"/>
  <c r="T1138" i="7" s="1"/>
  <c r="G1138" i="7" l="1"/>
  <c r="R1138" i="7"/>
  <c r="L1138" i="7" l="1"/>
  <c r="M1138" i="7" s="1"/>
  <c r="N1138" i="7" s="1"/>
  <c r="H1138" i="7"/>
  <c r="I1138" i="7" s="1"/>
  <c r="J1138" i="7" s="1"/>
  <c r="K1138" i="7" l="1"/>
  <c r="S1139" i="7" s="1"/>
  <c r="P1139" i="7"/>
  <c r="O1138" i="7"/>
  <c r="T1139" i="7" s="1"/>
  <c r="Q1139" i="7"/>
  <c r="G1139" i="7" l="1"/>
  <c r="R1139" i="7"/>
  <c r="L1139" i="7" l="1"/>
  <c r="M1139" i="7" s="1"/>
  <c r="N1139" i="7" s="1"/>
  <c r="H1139" i="7"/>
  <c r="I1139" i="7" s="1"/>
  <c r="J1139" i="7" s="1"/>
  <c r="K1139" i="7" l="1"/>
  <c r="S1140" i="7" s="1"/>
  <c r="P1140" i="7"/>
  <c r="O1139" i="7"/>
  <c r="T1140" i="7" s="1"/>
  <c r="Q1140" i="7"/>
  <c r="R1140" i="7" l="1"/>
  <c r="G1140" i="7"/>
  <c r="H1140" i="7" l="1"/>
  <c r="I1140" i="7" s="1"/>
  <c r="J1140" i="7" s="1"/>
  <c r="L1140" i="7"/>
  <c r="M1140" i="7" s="1"/>
  <c r="N1140" i="7" s="1"/>
  <c r="O1140" i="7" l="1"/>
  <c r="T1141" i="7" s="1"/>
  <c r="Q1141" i="7"/>
  <c r="K1140" i="7"/>
  <c r="S1141" i="7" s="1"/>
  <c r="P1141" i="7"/>
  <c r="R1141" i="7" l="1"/>
  <c r="G1141" i="7"/>
  <c r="H1141" i="7" l="1"/>
  <c r="I1141" i="7" s="1"/>
  <c r="J1141" i="7" s="1"/>
  <c r="L1141" i="7"/>
  <c r="M1141" i="7" s="1"/>
  <c r="N1141" i="7" s="1"/>
  <c r="Q1142" i="7" l="1"/>
  <c r="O1141" i="7"/>
  <c r="T1142" i="7" s="1"/>
  <c r="P1142" i="7"/>
  <c r="K1141" i="7"/>
  <c r="S1142" i="7" s="1"/>
  <c r="G1142" i="7" l="1"/>
  <c r="R1142" i="7"/>
  <c r="L1142" i="7" l="1"/>
  <c r="M1142" i="7" s="1"/>
  <c r="N1142" i="7" s="1"/>
  <c r="H1142" i="7"/>
  <c r="I1142" i="7" s="1"/>
  <c r="J1142" i="7" s="1"/>
  <c r="K1142" i="7" l="1"/>
  <c r="S1143" i="7" s="1"/>
  <c r="P1143" i="7"/>
  <c r="O1142" i="7"/>
  <c r="T1143" i="7" s="1"/>
  <c r="Q1143" i="7"/>
  <c r="G1143" i="7" l="1"/>
  <c r="R1143" i="7"/>
  <c r="L1143" i="7" l="1"/>
  <c r="M1143" i="7" s="1"/>
  <c r="N1143" i="7" s="1"/>
  <c r="H1143" i="7"/>
  <c r="I1143" i="7" s="1"/>
  <c r="J1143" i="7" s="1"/>
  <c r="P1144" i="7" l="1"/>
  <c r="K1143" i="7"/>
  <c r="S1144" i="7" s="1"/>
  <c r="O1143" i="7"/>
  <c r="T1144" i="7" s="1"/>
  <c r="Q1144" i="7"/>
  <c r="R1144" i="7" l="1"/>
  <c r="G1144" i="7"/>
  <c r="H1144" i="7" l="1"/>
  <c r="I1144" i="7" s="1"/>
  <c r="J1144" i="7" s="1"/>
  <c r="L1144" i="7"/>
  <c r="M1144" i="7" s="1"/>
  <c r="N1144" i="7" s="1"/>
  <c r="Q1145" i="7" l="1"/>
  <c r="O1144" i="7"/>
  <c r="T1145" i="7" s="1"/>
  <c r="K1144" i="7"/>
  <c r="S1145" i="7" s="1"/>
  <c r="P1145" i="7"/>
  <c r="G1145" i="7" l="1"/>
  <c r="R1145" i="7"/>
  <c r="L1145" i="7" l="1"/>
  <c r="M1145" i="7" s="1"/>
  <c r="N1145" i="7" s="1"/>
  <c r="H1145" i="7"/>
  <c r="I1145" i="7" s="1"/>
  <c r="J1145" i="7" s="1"/>
  <c r="K1145" i="7" l="1"/>
  <c r="S1146" i="7" s="1"/>
  <c r="P1146" i="7"/>
  <c r="Q1146" i="7"/>
  <c r="O1145" i="7"/>
  <c r="T1146" i="7" s="1"/>
  <c r="G1146" i="7" l="1"/>
  <c r="R1146" i="7"/>
  <c r="L1146" i="7" l="1"/>
  <c r="M1146" i="7" s="1"/>
  <c r="N1146" i="7" s="1"/>
  <c r="H1146" i="7"/>
  <c r="I1146" i="7" s="1"/>
  <c r="J1146" i="7" s="1"/>
  <c r="P1147" i="7" l="1"/>
  <c r="K1146" i="7"/>
  <c r="S1147" i="7" s="1"/>
  <c r="O1146" i="7"/>
  <c r="T1147" i="7" s="1"/>
  <c r="Q1147" i="7"/>
  <c r="R1147" i="7" l="1"/>
  <c r="G1147" i="7"/>
  <c r="L1147" i="7" l="1"/>
  <c r="M1147" i="7" s="1"/>
  <c r="N1147" i="7" s="1"/>
  <c r="H1147" i="7"/>
  <c r="I1147" i="7" s="1"/>
  <c r="J1147" i="7" s="1"/>
  <c r="K1147" i="7" l="1"/>
  <c r="S1148" i="7" s="1"/>
  <c r="P1148" i="7"/>
  <c r="O1147" i="7"/>
  <c r="T1148" i="7" s="1"/>
  <c r="Q1148" i="7"/>
  <c r="R1148" i="7" l="1"/>
  <c r="G1148" i="7"/>
  <c r="H1148" i="7" l="1"/>
  <c r="I1148" i="7" s="1"/>
  <c r="J1148" i="7" s="1"/>
  <c r="L1148" i="7"/>
  <c r="M1148" i="7" s="1"/>
  <c r="N1148" i="7" s="1"/>
  <c r="Q1149" i="7" l="1"/>
  <c r="O1148" i="7"/>
  <c r="T1149" i="7" s="1"/>
  <c r="P1149" i="7"/>
  <c r="K1148" i="7"/>
  <c r="S1149" i="7" s="1"/>
  <c r="G1149" i="7" l="1"/>
  <c r="R1149" i="7"/>
  <c r="H1149" i="7" l="1"/>
  <c r="I1149" i="7" s="1"/>
  <c r="J1149" i="7" s="1"/>
  <c r="L1149" i="7"/>
  <c r="M1149" i="7" s="1"/>
  <c r="N1149" i="7" s="1"/>
  <c r="O1149" i="7" l="1"/>
  <c r="T1150" i="7" s="1"/>
  <c r="Q1150" i="7"/>
  <c r="K1149" i="7"/>
  <c r="S1150" i="7" s="1"/>
  <c r="P1150" i="7"/>
  <c r="R1150" i="7" l="1"/>
  <c r="G1150" i="7"/>
  <c r="L1150" i="7" l="1"/>
  <c r="M1150" i="7" s="1"/>
  <c r="N1150" i="7" s="1"/>
  <c r="H1150" i="7"/>
  <c r="I1150" i="7" s="1"/>
  <c r="J1150" i="7" s="1"/>
  <c r="P1151" i="7" l="1"/>
  <c r="K1150" i="7"/>
  <c r="S1151" i="7" s="1"/>
  <c r="Q1151" i="7"/>
  <c r="O1150" i="7"/>
  <c r="T1151" i="7" s="1"/>
  <c r="R1151" i="7" l="1"/>
  <c r="G1151" i="7"/>
  <c r="L1151" i="7" l="1"/>
  <c r="M1151" i="7" s="1"/>
  <c r="N1151" i="7" s="1"/>
  <c r="H1151" i="7"/>
  <c r="I1151" i="7" s="1"/>
  <c r="J1151" i="7" s="1"/>
  <c r="P1152" i="7" l="1"/>
  <c r="K1151" i="7"/>
  <c r="S1152" i="7" s="1"/>
  <c r="Q1152" i="7"/>
  <c r="O1151" i="7"/>
  <c r="T1152" i="7" s="1"/>
  <c r="G1152" i="7" l="1"/>
  <c r="R1152" i="7"/>
  <c r="H1152" i="7" l="1"/>
  <c r="I1152" i="7" s="1"/>
  <c r="J1152" i="7" s="1"/>
  <c r="L1152" i="7"/>
  <c r="M1152" i="7" s="1"/>
  <c r="N1152" i="7" s="1"/>
  <c r="Q1153" i="7" l="1"/>
  <c r="O1152" i="7"/>
  <c r="T1153" i="7" s="1"/>
  <c r="K1152" i="7"/>
  <c r="S1153" i="7" s="1"/>
  <c r="P1153" i="7"/>
  <c r="R1153" i="7" l="1"/>
  <c r="G1153" i="7"/>
  <c r="L1153" i="7" l="1"/>
  <c r="M1153" i="7" s="1"/>
  <c r="N1153" i="7" s="1"/>
  <c r="H1153" i="7"/>
  <c r="I1153" i="7" s="1"/>
  <c r="J1153" i="7" s="1"/>
  <c r="K1153" i="7" l="1"/>
  <c r="S1154" i="7" s="1"/>
  <c r="P1154" i="7"/>
  <c r="O1153" i="7"/>
  <c r="T1154" i="7" s="1"/>
  <c r="Q1154" i="7"/>
  <c r="G1154" i="7" l="1"/>
  <c r="R1154" i="7"/>
  <c r="L1154" i="7" l="1"/>
  <c r="M1154" i="7" s="1"/>
  <c r="N1154" i="7" s="1"/>
  <c r="H1154" i="7"/>
  <c r="I1154" i="7" s="1"/>
  <c r="J1154" i="7" s="1"/>
  <c r="P1155" i="7" l="1"/>
  <c r="K1154" i="7"/>
  <c r="S1155" i="7" s="1"/>
  <c r="O1154" i="7"/>
  <c r="T1155" i="7" s="1"/>
  <c r="Q1155" i="7"/>
  <c r="R1155" i="7" l="1"/>
  <c r="G1155" i="7"/>
  <c r="L1155" i="7" l="1"/>
  <c r="M1155" i="7" s="1"/>
  <c r="N1155" i="7" s="1"/>
  <c r="H1155" i="7"/>
  <c r="I1155" i="7" s="1"/>
  <c r="J1155" i="7" s="1"/>
  <c r="K1155" i="7" l="1"/>
  <c r="S1156" i="7" s="1"/>
  <c r="P1156" i="7"/>
  <c r="O1155" i="7"/>
  <c r="T1156" i="7" s="1"/>
  <c r="Q1156" i="7"/>
  <c r="G1156" i="7" l="1"/>
  <c r="R1156" i="7"/>
  <c r="H1156" i="7" l="1"/>
  <c r="I1156" i="7" s="1"/>
  <c r="J1156" i="7" s="1"/>
  <c r="L1156" i="7"/>
  <c r="M1156" i="7" s="1"/>
  <c r="N1156" i="7" s="1"/>
  <c r="Q1157" i="7" l="1"/>
  <c r="O1156" i="7"/>
  <c r="T1157" i="7" s="1"/>
  <c r="K1156" i="7"/>
  <c r="S1157" i="7" s="1"/>
  <c r="P1157" i="7"/>
  <c r="G1157" i="7" l="1"/>
  <c r="R1157" i="7"/>
  <c r="H1157" i="7" l="1"/>
  <c r="I1157" i="7" s="1"/>
  <c r="J1157" i="7" s="1"/>
  <c r="L1157" i="7"/>
  <c r="M1157" i="7" s="1"/>
  <c r="N1157" i="7" s="1"/>
  <c r="Q1158" i="7" l="1"/>
  <c r="O1157" i="7"/>
  <c r="T1158" i="7" s="1"/>
  <c r="P1158" i="7"/>
  <c r="K1157" i="7"/>
  <c r="S1158" i="7" s="1"/>
  <c r="G1158" i="7" l="1"/>
  <c r="R1158" i="7"/>
  <c r="L1158" i="7" l="1"/>
  <c r="M1158" i="7" s="1"/>
  <c r="N1158" i="7" s="1"/>
  <c r="H1158" i="7"/>
  <c r="I1158" i="7" s="1"/>
  <c r="J1158" i="7" s="1"/>
  <c r="K1158" i="7" l="1"/>
  <c r="S1159" i="7" s="1"/>
  <c r="P1159" i="7"/>
  <c r="O1158" i="7"/>
  <c r="T1159" i="7" s="1"/>
  <c r="Q1159" i="7"/>
  <c r="G1159" i="7" l="1"/>
  <c r="R1159" i="7"/>
  <c r="L1159" i="7" l="1"/>
  <c r="M1159" i="7" s="1"/>
  <c r="N1159" i="7" s="1"/>
  <c r="H1159" i="7"/>
  <c r="I1159" i="7" s="1"/>
  <c r="J1159" i="7" s="1"/>
  <c r="P1160" i="7" l="1"/>
  <c r="K1159" i="7"/>
  <c r="S1160" i="7" s="1"/>
  <c r="O1159" i="7"/>
  <c r="T1160" i="7" s="1"/>
  <c r="Q1160" i="7"/>
  <c r="R1160" i="7" l="1"/>
  <c r="G1160" i="7"/>
  <c r="L1160" i="7" l="1"/>
  <c r="M1160" i="7" s="1"/>
  <c r="N1160" i="7" s="1"/>
  <c r="H1160" i="7"/>
  <c r="I1160" i="7" s="1"/>
  <c r="J1160" i="7" s="1"/>
  <c r="P1161" i="7" l="1"/>
  <c r="K1160" i="7"/>
  <c r="S1161" i="7" s="1"/>
  <c r="O1160" i="7"/>
  <c r="T1161" i="7" s="1"/>
  <c r="Q1161" i="7"/>
  <c r="G1161" i="7" l="1"/>
  <c r="R1161" i="7"/>
  <c r="L1161" i="7" l="1"/>
  <c r="M1161" i="7" s="1"/>
  <c r="N1161" i="7" s="1"/>
  <c r="H1161" i="7"/>
  <c r="I1161" i="7" s="1"/>
  <c r="J1161" i="7" s="1"/>
  <c r="P1162" i="7" l="1"/>
  <c r="K1161" i="7"/>
  <c r="S1162" i="7" s="1"/>
  <c r="O1161" i="7"/>
  <c r="T1162" i="7" s="1"/>
  <c r="Q1162" i="7"/>
  <c r="G1162" i="7" l="1"/>
  <c r="R1162" i="7"/>
  <c r="L1162" i="7" l="1"/>
  <c r="M1162" i="7" s="1"/>
  <c r="N1162" i="7" s="1"/>
  <c r="H1162" i="7"/>
  <c r="I1162" i="7" s="1"/>
  <c r="J1162" i="7" s="1"/>
  <c r="P1163" i="7" l="1"/>
  <c r="K1162" i="7"/>
  <c r="S1163" i="7" s="1"/>
  <c r="O1162" i="7"/>
  <c r="T1163" i="7" s="1"/>
  <c r="Q1163" i="7"/>
  <c r="R1163" i="7" l="1"/>
  <c r="G1163" i="7"/>
  <c r="H1163" i="7" l="1"/>
  <c r="I1163" i="7" s="1"/>
  <c r="J1163" i="7" s="1"/>
  <c r="L1163" i="7"/>
  <c r="M1163" i="7" s="1"/>
  <c r="N1163" i="7" s="1"/>
  <c r="Q1164" i="7" l="1"/>
  <c r="O1163" i="7"/>
  <c r="T1164" i="7" s="1"/>
  <c r="P1164" i="7"/>
  <c r="K1163" i="7"/>
  <c r="S1164" i="7" s="1"/>
  <c r="G1164" i="7" l="1"/>
  <c r="R1164" i="7"/>
  <c r="L1164" i="7" l="1"/>
  <c r="M1164" i="7" s="1"/>
  <c r="N1164" i="7" s="1"/>
  <c r="H1164" i="7"/>
  <c r="I1164" i="7" s="1"/>
  <c r="J1164" i="7" s="1"/>
  <c r="K1164" i="7" l="1"/>
  <c r="S1165" i="7" s="1"/>
  <c r="P1165" i="7"/>
  <c r="Q1165" i="7"/>
  <c r="O1164" i="7"/>
  <c r="T1165" i="7" s="1"/>
  <c r="G1165" i="7" l="1"/>
  <c r="R1165" i="7"/>
  <c r="H1165" i="7" l="1"/>
  <c r="I1165" i="7" s="1"/>
  <c r="J1165" i="7" s="1"/>
  <c r="L1165" i="7"/>
  <c r="M1165" i="7" s="1"/>
  <c r="N1165" i="7" s="1"/>
  <c r="Q1166" i="7" l="1"/>
  <c r="O1165" i="7"/>
  <c r="T1166" i="7" s="1"/>
  <c r="P1166" i="7"/>
  <c r="K1165" i="7"/>
  <c r="S1166" i="7" s="1"/>
  <c r="G1166" i="7" l="1"/>
  <c r="R1166" i="7"/>
  <c r="H1166" i="7" l="1"/>
  <c r="I1166" i="7" s="1"/>
  <c r="J1166" i="7" s="1"/>
  <c r="L1166" i="7"/>
  <c r="M1166" i="7" s="1"/>
  <c r="N1166" i="7" s="1"/>
  <c r="O1166" i="7" l="1"/>
  <c r="T1167" i="7" s="1"/>
  <c r="Q1167" i="7"/>
  <c r="P1167" i="7"/>
  <c r="K1166" i="7"/>
  <c r="S1167" i="7" s="1"/>
  <c r="R1167" i="7" l="1"/>
  <c r="G1167" i="7"/>
  <c r="L1167" i="7" l="1"/>
  <c r="M1167" i="7" s="1"/>
  <c r="N1167" i="7" s="1"/>
  <c r="H1167" i="7"/>
  <c r="I1167" i="7" s="1"/>
  <c r="J1167" i="7" s="1"/>
  <c r="P1168" i="7" l="1"/>
  <c r="K1167" i="7"/>
  <c r="S1168" i="7" s="1"/>
  <c r="O1167" i="7"/>
  <c r="T1168" i="7" s="1"/>
  <c r="Q1168" i="7"/>
  <c r="R1168" i="7" l="1"/>
  <c r="G1168" i="7"/>
  <c r="H1168" i="7" l="1"/>
  <c r="I1168" i="7" s="1"/>
  <c r="J1168" i="7" s="1"/>
  <c r="L1168" i="7"/>
  <c r="M1168" i="7" s="1"/>
  <c r="N1168" i="7" s="1"/>
  <c r="O1168" i="7" l="1"/>
  <c r="T1169" i="7" s="1"/>
  <c r="Q1169" i="7"/>
  <c r="K1168" i="7"/>
  <c r="S1169" i="7" s="1"/>
  <c r="P1169" i="7"/>
  <c r="G1169" i="7" l="1"/>
  <c r="R1169" i="7"/>
  <c r="H1169" i="7" l="1"/>
  <c r="I1169" i="7" s="1"/>
  <c r="J1169" i="7" s="1"/>
  <c r="L1169" i="7"/>
  <c r="M1169" i="7" s="1"/>
  <c r="N1169" i="7" s="1"/>
  <c r="Q1170" i="7" l="1"/>
  <c r="O1169" i="7"/>
  <c r="T1170" i="7" s="1"/>
  <c r="K1169" i="7"/>
  <c r="S1170" i="7" s="1"/>
  <c r="P1170" i="7"/>
  <c r="G1170" i="7" l="1"/>
  <c r="R1170" i="7"/>
  <c r="H1170" i="7" l="1"/>
  <c r="I1170" i="7" s="1"/>
  <c r="J1170" i="7" s="1"/>
  <c r="L1170" i="7"/>
  <c r="M1170" i="7" s="1"/>
  <c r="N1170" i="7" s="1"/>
  <c r="O1170" i="7" l="1"/>
  <c r="T1171" i="7" s="1"/>
  <c r="Q1171" i="7"/>
  <c r="P1171" i="7"/>
  <c r="K1170" i="7"/>
  <c r="S1171" i="7" s="1"/>
  <c r="G1171" i="7" l="1"/>
  <c r="R1171" i="7"/>
  <c r="H1171" i="7" l="1"/>
  <c r="I1171" i="7" s="1"/>
  <c r="J1171" i="7" s="1"/>
  <c r="L1171" i="7"/>
  <c r="M1171" i="7" s="1"/>
  <c r="N1171" i="7" s="1"/>
  <c r="Q1172" i="7" l="1"/>
  <c r="O1171" i="7"/>
  <c r="T1172" i="7" s="1"/>
  <c r="K1171" i="7"/>
  <c r="S1172" i="7" s="1"/>
  <c r="P1172" i="7"/>
  <c r="G1172" i="7" l="1"/>
  <c r="R1172" i="7"/>
  <c r="H1172" i="7" l="1"/>
  <c r="I1172" i="7" s="1"/>
  <c r="J1172" i="7" s="1"/>
  <c r="L1172" i="7"/>
  <c r="M1172" i="7" s="1"/>
  <c r="N1172" i="7" s="1"/>
  <c r="Q1173" i="7" l="1"/>
  <c r="O1172" i="7"/>
  <c r="T1173" i="7" s="1"/>
  <c r="K1172" i="7"/>
  <c r="S1173" i="7" s="1"/>
  <c r="P1173" i="7"/>
  <c r="R1173" i="7" l="1"/>
  <c r="G1173" i="7"/>
  <c r="L1173" i="7" l="1"/>
  <c r="M1173" i="7" s="1"/>
  <c r="N1173" i="7" s="1"/>
  <c r="H1173" i="7"/>
  <c r="I1173" i="7" s="1"/>
  <c r="J1173" i="7" s="1"/>
  <c r="P1174" i="7" l="1"/>
  <c r="K1173" i="7"/>
  <c r="S1174" i="7" s="1"/>
  <c r="O1173" i="7"/>
  <c r="T1174" i="7" s="1"/>
  <c r="Q1174" i="7"/>
  <c r="G1174" i="7" l="1"/>
  <c r="R1174" i="7"/>
  <c r="H1174" i="7" l="1"/>
  <c r="I1174" i="7" s="1"/>
  <c r="J1174" i="7" s="1"/>
  <c r="L1174" i="7"/>
  <c r="M1174" i="7" s="1"/>
  <c r="N1174" i="7" s="1"/>
  <c r="O1174" i="7" l="1"/>
  <c r="T1175" i="7" s="1"/>
  <c r="Q1175" i="7"/>
  <c r="K1174" i="7"/>
  <c r="S1175" i="7" s="1"/>
  <c r="P1175" i="7"/>
  <c r="G1175" i="7" l="1"/>
  <c r="R1175" i="7"/>
  <c r="H1175" i="7" l="1"/>
  <c r="I1175" i="7" s="1"/>
  <c r="J1175" i="7" s="1"/>
  <c r="L1175" i="7"/>
  <c r="M1175" i="7" s="1"/>
  <c r="N1175" i="7" s="1"/>
  <c r="Q1176" i="7" l="1"/>
  <c r="O1175" i="7"/>
  <c r="T1176" i="7" s="1"/>
  <c r="K1175" i="7"/>
  <c r="S1176" i="7" s="1"/>
  <c r="P1176" i="7"/>
  <c r="R1176" i="7" l="1"/>
  <c r="G1176" i="7"/>
  <c r="L1176" i="7" l="1"/>
  <c r="M1176" i="7" s="1"/>
  <c r="N1176" i="7" s="1"/>
  <c r="H1176" i="7"/>
  <c r="I1176" i="7" s="1"/>
  <c r="J1176" i="7" s="1"/>
  <c r="P1177" i="7" l="1"/>
  <c r="K1176" i="7"/>
  <c r="S1177" i="7" s="1"/>
  <c r="Q1177" i="7"/>
  <c r="O1176" i="7"/>
  <c r="T1177" i="7" s="1"/>
  <c r="R1177" i="7" l="1"/>
  <c r="G1177" i="7"/>
  <c r="L1177" i="7" l="1"/>
  <c r="M1177" i="7" s="1"/>
  <c r="N1177" i="7" s="1"/>
  <c r="H1177" i="7"/>
  <c r="I1177" i="7" s="1"/>
  <c r="J1177" i="7" s="1"/>
  <c r="K1177" i="7" l="1"/>
  <c r="S1178" i="7" s="1"/>
  <c r="P1178" i="7"/>
  <c r="Q1178" i="7"/>
  <c r="O1177" i="7"/>
  <c r="T1178" i="7" s="1"/>
  <c r="G1178" i="7" l="1"/>
  <c r="R1178" i="7"/>
  <c r="L1178" i="7" l="1"/>
  <c r="M1178" i="7" s="1"/>
  <c r="N1178" i="7" s="1"/>
  <c r="H1178" i="7"/>
  <c r="I1178" i="7" s="1"/>
  <c r="J1178" i="7" s="1"/>
  <c r="K1178" i="7" l="1"/>
  <c r="S1179" i="7" s="1"/>
  <c r="P1179" i="7"/>
  <c r="O1178" i="7"/>
  <c r="T1179" i="7" s="1"/>
  <c r="Q1179" i="7"/>
  <c r="G1179" i="7" l="1"/>
  <c r="R1179" i="7"/>
  <c r="H1179" i="7" l="1"/>
  <c r="I1179" i="7" s="1"/>
  <c r="J1179" i="7" s="1"/>
  <c r="L1179" i="7"/>
  <c r="M1179" i="7" s="1"/>
  <c r="N1179" i="7" s="1"/>
  <c r="O1179" i="7" l="1"/>
  <c r="T1180" i="7" s="1"/>
  <c r="Q1180" i="7"/>
  <c r="P1180" i="7"/>
  <c r="K1179" i="7"/>
  <c r="S1180" i="7" s="1"/>
  <c r="G1180" i="7" l="1"/>
  <c r="R1180" i="7"/>
  <c r="H1180" i="7" l="1"/>
  <c r="I1180" i="7" s="1"/>
  <c r="J1180" i="7" s="1"/>
  <c r="L1180" i="7"/>
  <c r="M1180" i="7" s="1"/>
  <c r="N1180" i="7" s="1"/>
  <c r="O1180" i="7" l="1"/>
  <c r="T1181" i="7" s="1"/>
  <c r="Q1181" i="7"/>
  <c r="P1181" i="7"/>
  <c r="K1180" i="7"/>
  <c r="S1181" i="7" s="1"/>
  <c r="R1181" i="7" l="1"/>
  <c r="G1181" i="7"/>
  <c r="H1181" i="7" l="1"/>
  <c r="I1181" i="7" s="1"/>
  <c r="J1181" i="7" s="1"/>
  <c r="L1181" i="7"/>
  <c r="M1181" i="7" s="1"/>
  <c r="N1181" i="7" s="1"/>
  <c r="O1181" i="7" l="1"/>
  <c r="T1182" i="7" s="1"/>
  <c r="Q1182" i="7"/>
  <c r="P1182" i="7"/>
  <c r="K1181" i="7"/>
  <c r="S1182" i="7" s="1"/>
  <c r="R1182" i="7" l="1"/>
  <c r="G1182" i="7"/>
  <c r="H1182" i="7" l="1"/>
  <c r="I1182" i="7" s="1"/>
  <c r="J1182" i="7" s="1"/>
  <c r="L1182" i="7"/>
  <c r="M1182" i="7" s="1"/>
  <c r="N1182" i="7" s="1"/>
  <c r="Q1183" i="7" l="1"/>
  <c r="O1182" i="7"/>
  <c r="T1183" i="7" s="1"/>
  <c r="P1183" i="7"/>
  <c r="K1182" i="7"/>
  <c r="S1183" i="7" s="1"/>
  <c r="G1183" i="7" l="1"/>
  <c r="R1183" i="7"/>
  <c r="L1183" i="7" l="1"/>
  <c r="M1183" i="7" s="1"/>
  <c r="N1183" i="7" s="1"/>
  <c r="H1183" i="7"/>
  <c r="I1183" i="7" s="1"/>
  <c r="J1183" i="7" s="1"/>
  <c r="K1183" i="7" l="1"/>
  <c r="S1184" i="7" s="1"/>
  <c r="P1184" i="7"/>
  <c r="Q1184" i="7"/>
  <c r="O1183" i="7"/>
  <c r="T1184" i="7" s="1"/>
  <c r="G1184" i="7" l="1"/>
  <c r="R1184" i="7"/>
  <c r="L1184" i="7" l="1"/>
  <c r="M1184" i="7" s="1"/>
  <c r="N1184" i="7" s="1"/>
  <c r="H1184" i="7"/>
  <c r="I1184" i="7" s="1"/>
  <c r="J1184" i="7" s="1"/>
  <c r="P1185" i="7" l="1"/>
  <c r="K1184" i="7"/>
  <c r="S1185" i="7" s="1"/>
  <c r="Q1185" i="7"/>
  <c r="O1184" i="7"/>
  <c r="T1185" i="7" s="1"/>
  <c r="G1185" i="7" l="1"/>
  <c r="R1185" i="7"/>
  <c r="H1185" i="7" l="1"/>
  <c r="I1185" i="7" s="1"/>
  <c r="J1185" i="7" s="1"/>
  <c r="L1185" i="7"/>
  <c r="M1185" i="7" s="1"/>
  <c r="N1185" i="7" s="1"/>
  <c r="Q1186" i="7" l="1"/>
  <c r="O1185" i="7"/>
  <c r="T1186" i="7" s="1"/>
  <c r="K1185" i="7"/>
  <c r="S1186" i="7" s="1"/>
  <c r="P1186" i="7"/>
  <c r="R1186" i="7" l="1"/>
  <c r="G1186" i="7"/>
  <c r="H1186" i="7" l="1"/>
  <c r="I1186" i="7" s="1"/>
  <c r="J1186" i="7" s="1"/>
  <c r="L1186" i="7"/>
  <c r="M1186" i="7" s="1"/>
  <c r="N1186" i="7" s="1"/>
  <c r="O1186" i="7" l="1"/>
  <c r="T1187" i="7" s="1"/>
  <c r="Q1187" i="7"/>
  <c r="K1186" i="7"/>
  <c r="S1187" i="7" s="1"/>
  <c r="P1187" i="7"/>
  <c r="R1187" i="7" l="1"/>
  <c r="G1187" i="7"/>
  <c r="H1187" i="7" l="1"/>
  <c r="I1187" i="7" s="1"/>
  <c r="J1187" i="7" s="1"/>
  <c r="L1187" i="7"/>
  <c r="M1187" i="7" s="1"/>
  <c r="N1187" i="7" s="1"/>
  <c r="Q1188" i="7" l="1"/>
  <c r="O1187" i="7"/>
  <c r="T1188" i="7" s="1"/>
  <c r="K1187" i="7"/>
  <c r="S1188" i="7" s="1"/>
  <c r="P1188" i="7"/>
  <c r="G1188" i="7" l="1"/>
  <c r="R1188" i="7"/>
  <c r="L1188" i="7" l="1"/>
  <c r="M1188" i="7" s="1"/>
  <c r="N1188" i="7" s="1"/>
  <c r="H1188" i="7"/>
  <c r="I1188" i="7" s="1"/>
  <c r="J1188" i="7" s="1"/>
  <c r="P1189" i="7" l="1"/>
  <c r="K1188" i="7"/>
  <c r="S1189" i="7" s="1"/>
  <c r="Q1189" i="7"/>
  <c r="O1188" i="7"/>
  <c r="T1189" i="7" s="1"/>
  <c r="R1189" i="7" l="1"/>
  <c r="G1189" i="7"/>
  <c r="L1189" i="7" l="1"/>
  <c r="M1189" i="7" s="1"/>
  <c r="N1189" i="7" s="1"/>
  <c r="H1189" i="7"/>
  <c r="I1189" i="7" s="1"/>
  <c r="J1189" i="7" s="1"/>
  <c r="P1190" i="7" l="1"/>
  <c r="K1189" i="7"/>
  <c r="S1190" i="7" s="1"/>
  <c r="O1189" i="7"/>
  <c r="T1190" i="7" s="1"/>
  <c r="Q1190" i="7"/>
  <c r="R1190" i="7" l="1"/>
  <c r="G1190" i="7"/>
  <c r="L1190" i="7" l="1"/>
  <c r="M1190" i="7" s="1"/>
  <c r="N1190" i="7" s="1"/>
  <c r="H1190" i="7"/>
  <c r="I1190" i="7" s="1"/>
  <c r="J1190" i="7" s="1"/>
  <c r="K1190" i="7" l="1"/>
  <c r="S1191" i="7" s="1"/>
  <c r="P1191" i="7"/>
  <c r="O1190" i="7"/>
  <c r="T1191" i="7" s="1"/>
  <c r="Q1191" i="7"/>
  <c r="R1191" i="7" l="1"/>
  <c r="G1191" i="7"/>
  <c r="L1191" i="7" l="1"/>
  <c r="M1191" i="7" s="1"/>
  <c r="N1191" i="7" s="1"/>
  <c r="H1191" i="7"/>
  <c r="I1191" i="7" s="1"/>
  <c r="J1191" i="7" s="1"/>
  <c r="P1192" i="7" l="1"/>
  <c r="K1191" i="7"/>
  <c r="S1192" i="7" s="1"/>
  <c r="Q1192" i="7"/>
  <c r="O1191" i="7"/>
  <c r="T1192" i="7" s="1"/>
  <c r="G1192" i="7" l="1"/>
  <c r="R1192" i="7"/>
  <c r="L1192" i="7" l="1"/>
  <c r="M1192" i="7" s="1"/>
  <c r="N1192" i="7" s="1"/>
  <c r="H1192" i="7"/>
  <c r="I1192" i="7" s="1"/>
  <c r="J1192" i="7" s="1"/>
  <c r="K1192" i="7" l="1"/>
  <c r="S1193" i="7" s="1"/>
  <c r="P1193" i="7"/>
  <c r="Q1193" i="7"/>
  <c r="O1192" i="7"/>
  <c r="T1193" i="7" s="1"/>
  <c r="G1193" i="7" l="1"/>
  <c r="R1193" i="7"/>
  <c r="L1193" i="7" l="1"/>
  <c r="M1193" i="7" s="1"/>
  <c r="N1193" i="7" s="1"/>
  <c r="H1193" i="7"/>
  <c r="I1193" i="7" s="1"/>
  <c r="J1193" i="7" s="1"/>
  <c r="P1194" i="7" l="1"/>
  <c r="K1193" i="7"/>
  <c r="S1194" i="7" s="1"/>
  <c r="Q1194" i="7"/>
  <c r="O1193" i="7"/>
  <c r="T1194" i="7" s="1"/>
  <c r="G1194" i="7" l="1"/>
  <c r="R1194" i="7"/>
  <c r="L1194" i="7" l="1"/>
  <c r="M1194" i="7" s="1"/>
  <c r="N1194" i="7" s="1"/>
  <c r="H1194" i="7"/>
  <c r="I1194" i="7" s="1"/>
  <c r="J1194" i="7" s="1"/>
  <c r="K1194" i="7" l="1"/>
  <c r="S1195" i="7" s="1"/>
  <c r="P1195" i="7"/>
  <c r="O1194" i="7"/>
  <c r="T1195" i="7" s="1"/>
  <c r="Q1195" i="7"/>
  <c r="R1195" i="7" l="1"/>
  <c r="G1195" i="7"/>
  <c r="L1195" i="7" l="1"/>
  <c r="M1195" i="7" s="1"/>
  <c r="N1195" i="7" s="1"/>
  <c r="H1195" i="7"/>
  <c r="I1195" i="7" s="1"/>
  <c r="J1195" i="7" s="1"/>
  <c r="K1195" i="7" l="1"/>
  <c r="S1196" i="7" s="1"/>
  <c r="P1196" i="7"/>
  <c r="Q1196" i="7"/>
  <c r="O1195" i="7"/>
  <c r="T1196" i="7" s="1"/>
  <c r="G1196" i="7" l="1"/>
  <c r="R1196" i="7"/>
  <c r="L1196" i="7" l="1"/>
  <c r="M1196" i="7" s="1"/>
  <c r="N1196" i="7" s="1"/>
  <c r="H1196" i="7"/>
  <c r="I1196" i="7" s="1"/>
  <c r="J1196" i="7" s="1"/>
  <c r="K1196" i="7" l="1"/>
  <c r="S1197" i="7" s="1"/>
  <c r="P1197" i="7"/>
  <c r="Q1197" i="7"/>
  <c r="O1196" i="7"/>
  <c r="T1197" i="7" s="1"/>
  <c r="R1197" i="7" l="1"/>
  <c r="G1197" i="7"/>
  <c r="H1197" i="7" l="1"/>
  <c r="I1197" i="7" s="1"/>
  <c r="J1197" i="7" s="1"/>
  <c r="L1197" i="7"/>
  <c r="M1197" i="7" s="1"/>
  <c r="N1197" i="7" s="1"/>
  <c r="Q1198" i="7" l="1"/>
  <c r="O1197" i="7"/>
  <c r="T1198" i="7" s="1"/>
  <c r="P1198" i="7"/>
  <c r="K1197" i="7"/>
  <c r="S1198" i="7" s="1"/>
  <c r="R1198" i="7" l="1"/>
  <c r="G1198" i="7"/>
  <c r="L1198" i="7" l="1"/>
  <c r="M1198" i="7" s="1"/>
  <c r="N1198" i="7" s="1"/>
  <c r="H1198" i="7"/>
  <c r="I1198" i="7" s="1"/>
  <c r="J1198" i="7" s="1"/>
  <c r="K1198" i="7" l="1"/>
  <c r="S1199" i="7" s="1"/>
  <c r="P1199" i="7"/>
  <c r="O1198" i="7"/>
  <c r="T1199" i="7" s="1"/>
  <c r="Q1199" i="7"/>
  <c r="R1199" i="7" l="1"/>
  <c r="G1199" i="7"/>
  <c r="L1199" i="7" l="1"/>
  <c r="M1199" i="7" s="1"/>
  <c r="N1199" i="7" s="1"/>
  <c r="H1199" i="7"/>
  <c r="I1199" i="7" s="1"/>
  <c r="J1199" i="7" s="1"/>
  <c r="P1200" i="7" l="1"/>
  <c r="K1199" i="7"/>
  <c r="S1200" i="7" s="1"/>
  <c r="Q1200" i="7"/>
  <c r="O1199" i="7"/>
  <c r="T1200" i="7" s="1"/>
  <c r="G1200" i="7" l="1"/>
  <c r="R1200" i="7"/>
  <c r="H1200" i="7" l="1"/>
  <c r="I1200" i="7" s="1"/>
  <c r="J1200" i="7" s="1"/>
  <c r="L1200" i="7"/>
  <c r="M1200" i="7" s="1"/>
  <c r="N1200" i="7" s="1"/>
  <c r="Q1201" i="7" l="1"/>
  <c r="O1200" i="7"/>
  <c r="T1201" i="7" s="1"/>
  <c r="K1200" i="7"/>
  <c r="S1201" i="7" s="1"/>
  <c r="P1201" i="7"/>
  <c r="G1201" i="7" l="1"/>
  <c r="R1201" i="7"/>
  <c r="L1201" i="7" l="1"/>
  <c r="M1201" i="7" s="1"/>
  <c r="N1201" i="7" s="1"/>
  <c r="H1201" i="7"/>
  <c r="I1201" i="7" s="1"/>
  <c r="J1201" i="7" s="1"/>
  <c r="K1201" i="7" l="1"/>
  <c r="S1202" i="7" s="1"/>
  <c r="P1202" i="7"/>
  <c r="O1201" i="7"/>
  <c r="T1202" i="7" s="1"/>
  <c r="Q1202" i="7"/>
  <c r="R1202" i="7" l="1"/>
  <c r="G1202" i="7"/>
  <c r="H1202" i="7" l="1"/>
  <c r="I1202" i="7" s="1"/>
  <c r="J1202" i="7" s="1"/>
  <c r="L1202" i="7"/>
  <c r="M1202" i="7" s="1"/>
  <c r="N1202" i="7" s="1"/>
  <c r="O1202" i="7" l="1"/>
  <c r="T1203" i="7" s="1"/>
  <c r="Q1203" i="7"/>
  <c r="P1203" i="7"/>
  <c r="K1202" i="7"/>
  <c r="S1203" i="7" s="1"/>
  <c r="G1203" i="7" l="1"/>
  <c r="R1203" i="7"/>
  <c r="H1203" i="7" l="1"/>
  <c r="I1203" i="7" s="1"/>
  <c r="J1203" i="7" s="1"/>
  <c r="L1203" i="7"/>
  <c r="M1203" i="7" s="1"/>
  <c r="N1203" i="7" s="1"/>
  <c r="O1203" i="7" l="1"/>
  <c r="T1204" i="7" s="1"/>
  <c r="Q1204" i="7"/>
  <c r="K1203" i="7"/>
  <c r="S1204" i="7" s="1"/>
  <c r="P1204" i="7"/>
  <c r="R1204" i="7" l="1"/>
  <c r="G1204" i="7"/>
  <c r="L1204" i="7" l="1"/>
  <c r="M1204" i="7" s="1"/>
  <c r="N1204" i="7" s="1"/>
  <c r="H1204" i="7"/>
  <c r="I1204" i="7" s="1"/>
  <c r="J1204" i="7" s="1"/>
  <c r="P1205" i="7" l="1"/>
  <c r="K1204" i="7"/>
  <c r="S1205" i="7" s="1"/>
  <c r="O1204" i="7"/>
  <c r="T1205" i="7" s="1"/>
  <c r="Q1205" i="7"/>
  <c r="R1205" i="7" l="1"/>
  <c r="G1205" i="7"/>
  <c r="L1205" i="7" l="1"/>
  <c r="M1205" i="7" s="1"/>
  <c r="N1205" i="7" s="1"/>
  <c r="H1205" i="7"/>
  <c r="I1205" i="7" s="1"/>
  <c r="J1205" i="7" s="1"/>
  <c r="K1205" i="7" l="1"/>
  <c r="S1206" i="7" s="1"/>
  <c r="P1206" i="7"/>
  <c r="Q1206" i="7"/>
  <c r="O1205" i="7"/>
  <c r="T1206" i="7" s="1"/>
  <c r="G1206" i="7" l="1"/>
  <c r="R1206" i="7"/>
  <c r="H1206" i="7" l="1"/>
  <c r="I1206" i="7" s="1"/>
  <c r="J1206" i="7" s="1"/>
  <c r="L1206" i="7"/>
  <c r="M1206" i="7" s="1"/>
  <c r="N1206" i="7" s="1"/>
  <c r="Q1207" i="7" l="1"/>
  <c r="O1206" i="7"/>
  <c r="T1207" i="7" s="1"/>
  <c r="K1206" i="7"/>
  <c r="S1207" i="7" s="1"/>
  <c r="P1207" i="7"/>
  <c r="G1207" i="7" l="1"/>
  <c r="R1207" i="7"/>
  <c r="L1207" i="7" l="1"/>
  <c r="M1207" i="7" s="1"/>
  <c r="N1207" i="7" s="1"/>
  <c r="H1207" i="7"/>
  <c r="I1207" i="7" s="1"/>
  <c r="J1207" i="7" s="1"/>
  <c r="P1208" i="7" l="1"/>
  <c r="K1207" i="7"/>
  <c r="S1208" i="7" s="1"/>
  <c r="O1207" i="7"/>
  <c r="T1208" i="7" s="1"/>
  <c r="Q1208" i="7"/>
  <c r="R1208" i="7" l="1"/>
  <c r="G1208" i="7"/>
  <c r="L1208" i="7" l="1"/>
  <c r="M1208" i="7" s="1"/>
  <c r="N1208" i="7" s="1"/>
  <c r="H1208" i="7"/>
  <c r="I1208" i="7" s="1"/>
  <c r="J1208" i="7" s="1"/>
  <c r="P1209" i="7" l="1"/>
  <c r="K1208" i="7"/>
  <c r="S1209" i="7" s="1"/>
  <c r="O1208" i="7"/>
  <c r="T1209" i="7" s="1"/>
  <c r="Q1209" i="7"/>
  <c r="R1209" i="7" l="1"/>
  <c r="G1209" i="7"/>
  <c r="L1209" i="7" l="1"/>
  <c r="M1209" i="7" s="1"/>
  <c r="N1209" i="7" s="1"/>
  <c r="H1209" i="7"/>
  <c r="I1209" i="7" s="1"/>
  <c r="J1209" i="7" s="1"/>
  <c r="P1210" i="7" l="1"/>
  <c r="K1209" i="7"/>
  <c r="S1210" i="7" s="1"/>
  <c r="Q1210" i="7"/>
  <c r="O1209" i="7"/>
  <c r="T1210" i="7" s="1"/>
  <c r="G1210" i="7" l="1"/>
  <c r="R1210" i="7"/>
  <c r="H1210" i="7" l="1"/>
  <c r="I1210" i="7" s="1"/>
  <c r="J1210" i="7" s="1"/>
  <c r="L1210" i="7"/>
  <c r="M1210" i="7" s="1"/>
  <c r="N1210" i="7" s="1"/>
  <c r="Q1211" i="7" l="1"/>
  <c r="O1210" i="7"/>
  <c r="T1211" i="7" s="1"/>
  <c r="P1211" i="7"/>
  <c r="K1210" i="7"/>
  <c r="S1211" i="7" s="1"/>
  <c r="R1211" i="7" l="1"/>
  <c r="G1211" i="7"/>
  <c r="L1211" i="7" l="1"/>
  <c r="M1211" i="7" s="1"/>
  <c r="N1211" i="7" s="1"/>
  <c r="H1211" i="7"/>
  <c r="I1211" i="7" s="1"/>
  <c r="J1211" i="7" s="1"/>
  <c r="K1211" i="7" l="1"/>
  <c r="S1212" i="7" s="1"/>
  <c r="P1212" i="7"/>
  <c r="Q1212" i="7"/>
  <c r="O1211" i="7"/>
  <c r="T1212" i="7" s="1"/>
  <c r="R1212" i="7" l="1"/>
  <c r="G1212" i="7"/>
  <c r="L1212" i="7" l="1"/>
  <c r="M1212" i="7" s="1"/>
  <c r="N1212" i="7" s="1"/>
  <c r="H1212" i="7"/>
  <c r="I1212" i="7" s="1"/>
  <c r="J1212" i="7" s="1"/>
  <c r="K1212" i="7" l="1"/>
  <c r="S1213" i="7" s="1"/>
  <c r="P1213" i="7"/>
  <c r="Q1213" i="7"/>
  <c r="O1212" i="7"/>
  <c r="T1213" i="7" s="1"/>
  <c r="G1213" i="7" l="1"/>
  <c r="R1213" i="7"/>
  <c r="H1213" i="7" l="1"/>
  <c r="I1213" i="7" s="1"/>
  <c r="J1213" i="7" s="1"/>
  <c r="L1213" i="7"/>
  <c r="M1213" i="7" s="1"/>
  <c r="N1213" i="7" s="1"/>
  <c r="O1213" i="7" l="1"/>
  <c r="T1214" i="7" s="1"/>
  <c r="Q1214" i="7"/>
  <c r="K1213" i="7"/>
  <c r="S1214" i="7" s="1"/>
  <c r="P1214" i="7"/>
  <c r="R1214" i="7" l="1"/>
  <c r="G1214" i="7"/>
  <c r="L1214" i="7" l="1"/>
  <c r="M1214" i="7" s="1"/>
  <c r="N1214" i="7" s="1"/>
  <c r="H1214" i="7"/>
  <c r="I1214" i="7" s="1"/>
  <c r="J1214" i="7" s="1"/>
  <c r="K1214" i="7" l="1"/>
  <c r="S1215" i="7" s="1"/>
  <c r="P1215" i="7"/>
  <c r="O1214" i="7"/>
  <c r="T1215" i="7" s="1"/>
  <c r="Q1215" i="7"/>
  <c r="R1215" i="7" l="1"/>
  <c r="G1215" i="7"/>
  <c r="L1215" i="7" l="1"/>
  <c r="M1215" i="7" s="1"/>
  <c r="N1215" i="7" s="1"/>
  <c r="H1215" i="7"/>
  <c r="I1215" i="7" s="1"/>
  <c r="J1215" i="7" s="1"/>
  <c r="K1215" i="7" l="1"/>
  <c r="S1216" i="7" s="1"/>
  <c r="P1216" i="7"/>
  <c r="Q1216" i="7"/>
  <c r="O1215" i="7"/>
  <c r="T1216" i="7" s="1"/>
  <c r="R1216" i="7" l="1"/>
  <c r="G1216" i="7"/>
  <c r="H1216" i="7" l="1"/>
  <c r="I1216" i="7" s="1"/>
  <c r="J1216" i="7" s="1"/>
  <c r="L1216" i="7"/>
  <c r="M1216" i="7" s="1"/>
  <c r="N1216" i="7" s="1"/>
  <c r="O1216" i="7" l="1"/>
  <c r="T1217" i="7" s="1"/>
  <c r="Q1217" i="7"/>
  <c r="P1217" i="7"/>
  <c r="K1216" i="7"/>
  <c r="S1217" i="7" s="1"/>
  <c r="G1217" i="7" l="1"/>
  <c r="R1217" i="7"/>
  <c r="L1217" i="7" l="1"/>
  <c r="M1217" i="7" s="1"/>
  <c r="N1217" i="7" s="1"/>
  <c r="H1217" i="7"/>
  <c r="I1217" i="7" s="1"/>
  <c r="J1217" i="7" s="1"/>
  <c r="K1217" i="7" l="1"/>
  <c r="S1218" i="7" s="1"/>
  <c r="P1218" i="7"/>
  <c r="O1217" i="7"/>
  <c r="T1218" i="7" s="1"/>
  <c r="Q1218" i="7"/>
  <c r="R1218" i="7" l="1"/>
  <c r="G1218" i="7"/>
  <c r="L1218" i="7" l="1"/>
  <c r="M1218" i="7" s="1"/>
  <c r="N1218" i="7" s="1"/>
  <c r="H1218" i="7"/>
  <c r="I1218" i="7" s="1"/>
  <c r="J1218" i="7" s="1"/>
  <c r="P1219" i="7" l="1"/>
  <c r="K1218" i="7"/>
  <c r="S1219" i="7" s="1"/>
  <c r="Q1219" i="7"/>
  <c r="O1218" i="7"/>
  <c r="T1219" i="7" s="1"/>
  <c r="G1219" i="7" l="1"/>
  <c r="R1219" i="7"/>
  <c r="H1219" i="7" l="1"/>
  <c r="I1219" i="7" s="1"/>
  <c r="J1219" i="7" s="1"/>
  <c r="L1219" i="7"/>
  <c r="M1219" i="7" s="1"/>
  <c r="N1219" i="7" s="1"/>
  <c r="Q1220" i="7" l="1"/>
  <c r="O1219" i="7"/>
  <c r="T1220" i="7" s="1"/>
  <c r="K1219" i="7"/>
  <c r="S1220" i="7" s="1"/>
  <c r="P1220" i="7"/>
  <c r="G1220" i="7" l="1"/>
  <c r="R1220" i="7"/>
  <c r="L1220" i="7" l="1"/>
  <c r="M1220" i="7" s="1"/>
  <c r="N1220" i="7" s="1"/>
  <c r="H1220" i="7"/>
  <c r="I1220" i="7" s="1"/>
  <c r="J1220" i="7" s="1"/>
  <c r="K1220" i="7" l="1"/>
  <c r="S1221" i="7" s="1"/>
  <c r="P1221" i="7"/>
  <c r="O1220" i="7"/>
  <c r="T1221" i="7" s="1"/>
  <c r="Q1221" i="7"/>
  <c r="R1221" i="7" l="1"/>
  <c r="G1221" i="7"/>
  <c r="L1221" i="7" l="1"/>
  <c r="M1221" i="7" s="1"/>
  <c r="N1221" i="7" s="1"/>
  <c r="H1221" i="7"/>
  <c r="I1221" i="7" s="1"/>
  <c r="J1221" i="7" s="1"/>
  <c r="P1222" i="7" l="1"/>
  <c r="K1221" i="7"/>
  <c r="S1222" i="7" s="1"/>
  <c r="Q1222" i="7"/>
  <c r="O1221" i="7"/>
  <c r="T1222" i="7" s="1"/>
  <c r="G1222" i="7" l="1"/>
  <c r="R1222" i="7"/>
  <c r="H1222" i="7" l="1"/>
  <c r="I1222" i="7" s="1"/>
  <c r="J1222" i="7" s="1"/>
  <c r="L1222" i="7"/>
  <c r="M1222" i="7" s="1"/>
  <c r="N1222" i="7" s="1"/>
  <c r="O1222" i="7" l="1"/>
  <c r="T1223" i="7" s="1"/>
  <c r="Q1223" i="7"/>
  <c r="K1222" i="7"/>
  <c r="S1223" i="7" s="1"/>
  <c r="P1223" i="7"/>
  <c r="R1223" i="7" l="1"/>
  <c r="G1223" i="7"/>
  <c r="L1223" i="7" l="1"/>
  <c r="M1223" i="7" s="1"/>
  <c r="N1223" i="7" s="1"/>
  <c r="H1223" i="7"/>
  <c r="I1223" i="7" s="1"/>
  <c r="J1223" i="7" s="1"/>
  <c r="P1224" i="7" l="1"/>
  <c r="K1223" i="7"/>
  <c r="S1224" i="7" s="1"/>
  <c r="Q1224" i="7"/>
  <c r="O1223" i="7"/>
  <c r="T1224" i="7" s="1"/>
  <c r="R1224" i="7" l="1"/>
  <c r="G1224" i="7"/>
  <c r="H1224" i="7" l="1"/>
  <c r="I1224" i="7" s="1"/>
  <c r="J1224" i="7" s="1"/>
  <c r="L1224" i="7"/>
  <c r="M1224" i="7" s="1"/>
  <c r="N1224" i="7" s="1"/>
  <c r="Q1225" i="7" l="1"/>
  <c r="O1224" i="7"/>
  <c r="T1225" i="7" s="1"/>
  <c r="K1224" i="7"/>
  <c r="S1225" i="7" s="1"/>
  <c r="P1225" i="7"/>
  <c r="R1225" i="7" l="1"/>
  <c r="G1225" i="7"/>
  <c r="H1225" i="7" l="1"/>
  <c r="I1225" i="7" s="1"/>
  <c r="J1225" i="7" s="1"/>
  <c r="L1225" i="7"/>
  <c r="M1225" i="7" s="1"/>
  <c r="N1225" i="7" s="1"/>
  <c r="O1225" i="7" l="1"/>
  <c r="T1226" i="7" s="1"/>
  <c r="Q1226" i="7"/>
  <c r="P1226" i="7"/>
  <c r="K1225" i="7"/>
  <c r="S1226" i="7" s="1"/>
  <c r="G1226" i="7" l="1"/>
  <c r="R1226" i="7"/>
  <c r="L1226" i="7" l="1"/>
  <c r="M1226" i="7" s="1"/>
  <c r="N1226" i="7" s="1"/>
  <c r="H1226" i="7"/>
  <c r="I1226" i="7" s="1"/>
  <c r="J1226" i="7" s="1"/>
  <c r="K1226" i="7" l="1"/>
  <c r="S1227" i="7" s="1"/>
  <c r="P1227" i="7"/>
  <c r="Q1227" i="7"/>
  <c r="O1226" i="7"/>
  <c r="T1227" i="7" s="1"/>
  <c r="R1227" i="7" l="1"/>
  <c r="G1227" i="7"/>
  <c r="H1227" i="7" l="1"/>
  <c r="I1227" i="7" s="1"/>
  <c r="J1227" i="7" s="1"/>
  <c r="L1227" i="7"/>
  <c r="M1227" i="7" s="1"/>
  <c r="N1227" i="7" s="1"/>
  <c r="Q1228" i="7" l="1"/>
  <c r="O1227" i="7"/>
  <c r="T1228" i="7" s="1"/>
  <c r="P1228" i="7"/>
  <c r="K1227" i="7"/>
  <c r="S1228" i="7" s="1"/>
  <c r="R1228" i="7" l="1"/>
  <c r="G1228" i="7"/>
  <c r="L1228" i="7" l="1"/>
  <c r="M1228" i="7" s="1"/>
  <c r="N1228" i="7" s="1"/>
  <c r="H1228" i="7"/>
  <c r="I1228" i="7" s="1"/>
  <c r="J1228" i="7" s="1"/>
  <c r="K1228" i="7" l="1"/>
  <c r="S1229" i="7" s="1"/>
  <c r="P1229" i="7"/>
  <c r="O1228" i="7"/>
  <c r="T1229" i="7" s="1"/>
  <c r="Q1229" i="7"/>
  <c r="R1229" i="7" l="1"/>
  <c r="G1229" i="7"/>
  <c r="L1229" i="7" l="1"/>
  <c r="M1229" i="7" s="1"/>
  <c r="N1229" i="7" s="1"/>
  <c r="H1229" i="7"/>
  <c r="I1229" i="7" s="1"/>
  <c r="J1229" i="7" s="1"/>
  <c r="K1229" i="7" l="1"/>
  <c r="S1230" i="7" s="1"/>
  <c r="P1230" i="7"/>
  <c r="Q1230" i="7"/>
  <c r="O1229" i="7"/>
  <c r="T1230" i="7" s="1"/>
  <c r="R1230" i="7" l="1"/>
  <c r="G1230" i="7"/>
  <c r="H1230" i="7" l="1"/>
  <c r="I1230" i="7" s="1"/>
  <c r="J1230" i="7" s="1"/>
  <c r="L1230" i="7"/>
  <c r="M1230" i="7" s="1"/>
  <c r="N1230" i="7" s="1"/>
  <c r="Q1231" i="7" l="1"/>
  <c r="O1230" i="7"/>
  <c r="T1231" i="7" s="1"/>
  <c r="K1230" i="7"/>
  <c r="S1231" i="7" s="1"/>
  <c r="P1231" i="7"/>
  <c r="G1231" i="7" l="1"/>
  <c r="R1231" i="7"/>
  <c r="H1231" i="7" l="1"/>
  <c r="I1231" i="7" s="1"/>
  <c r="J1231" i="7" s="1"/>
  <c r="L1231" i="7"/>
  <c r="M1231" i="7" s="1"/>
  <c r="N1231" i="7" s="1"/>
  <c r="O1231" i="7" l="1"/>
  <c r="T1232" i="7" s="1"/>
  <c r="Q1232" i="7"/>
  <c r="P1232" i="7"/>
  <c r="K1231" i="7"/>
  <c r="S1232" i="7" s="1"/>
  <c r="G1232" i="7" l="1"/>
  <c r="R1232" i="7"/>
  <c r="L1232" i="7" l="1"/>
  <c r="M1232" i="7" s="1"/>
  <c r="N1232" i="7" s="1"/>
  <c r="H1232" i="7"/>
  <c r="I1232" i="7" s="1"/>
  <c r="J1232" i="7" s="1"/>
  <c r="K1232" i="7" l="1"/>
  <c r="S1233" i="7" s="1"/>
  <c r="P1233" i="7"/>
  <c r="O1232" i="7"/>
  <c r="T1233" i="7" s="1"/>
  <c r="Q1233" i="7"/>
  <c r="G1233" i="7" l="1"/>
  <c r="R1233" i="7"/>
  <c r="L1233" i="7" l="1"/>
  <c r="M1233" i="7" s="1"/>
  <c r="N1233" i="7" s="1"/>
  <c r="H1233" i="7"/>
  <c r="I1233" i="7" s="1"/>
  <c r="J1233" i="7" s="1"/>
  <c r="P1234" i="7" l="1"/>
  <c r="K1233" i="7"/>
  <c r="S1234" i="7" s="1"/>
  <c r="Q1234" i="7"/>
  <c r="O1233" i="7"/>
  <c r="T1234" i="7" s="1"/>
  <c r="G1234" i="7" l="1"/>
  <c r="R1234" i="7"/>
  <c r="H1234" i="7" l="1"/>
  <c r="I1234" i="7" s="1"/>
  <c r="J1234" i="7" s="1"/>
  <c r="L1234" i="7"/>
  <c r="M1234" i="7" s="1"/>
  <c r="N1234" i="7" s="1"/>
  <c r="O1234" i="7" l="1"/>
  <c r="T1235" i="7" s="1"/>
  <c r="Q1235" i="7"/>
  <c r="K1234" i="7"/>
  <c r="S1235" i="7" s="1"/>
  <c r="P1235" i="7"/>
  <c r="G1235" i="7" l="1"/>
  <c r="R1235" i="7"/>
  <c r="H1235" i="7" l="1"/>
  <c r="I1235" i="7" s="1"/>
  <c r="J1235" i="7" s="1"/>
  <c r="L1235" i="7"/>
  <c r="M1235" i="7" s="1"/>
  <c r="N1235" i="7" s="1"/>
  <c r="O1235" i="7" l="1"/>
  <c r="T1236" i="7" s="1"/>
  <c r="Q1236" i="7"/>
  <c r="K1235" i="7"/>
  <c r="S1236" i="7" s="1"/>
  <c r="P1236" i="7"/>
  <c r="R1236" i="7" l="1"/>
  <c r="G1236" i="7"/>
  <c r="L1236" i="7" l="1"/>
  <c r="M1236" i="7" s="1"/>
  <c r="N1236" i="7" s="1"/>
  <c r="H1236" i="7"/>
  <c r="I1236" i="7" s="1"/>
  <c r="J1236" i="7" s="1"/>
  <c r="P1237" i="7" l="1"/>
  <c r="K1236" i="7"/>
  <c r="S1237" i="7" s="1"/>
  <c r="Q1237" i="7"/>
  <c r="O1236" i="7"/>
  <c r="T1237" i="7" s="1"/>
  <c r="G1237" i="7" l="1"/>
  <c r="R1237" i="7"/>
  <c r="H1237" i="7" l="1"/>
  <c r="I1237" i="7" s="1"/>
  <c r="J1237" i="7" s="1"/>
  <c r="L1237" i="7"/>
  <c r="M1237" i="7" s="1"/>
  <c r="N1237" i="7" s="1"/>
  <c r="Q1238" i="7" l="1"/>
  <c r="O1237" i="7"/>
  <c r="T1238" i="7" s="1"/>
  <c r="P1238" i="7"/>
  <c r="K1237" i="7"/>
  <c r="S1238" i="7" s="1"/>
  <c r="G1238" i="7" l="1"/>
  <c r="R1238" i="7"/>
  <c r="H1238" i="7" l="1"/>
  <c r="I1238" i="7" s="1"/>
  <c r="J1238" i="7" s="1"/>
  <c r="L1238" i="7"/>
  <c r="M1238" i="7" s="1"/>
  <c r="N1238" i="7" s="1"/>
  <c r="O1238" i="7" l="1"/>
  <c r="T1239" i="7" s="1"/>
  <c r="Q1239" i="7"/>
  <c r="K1238" i="7"/>
  <c r="S1239" i="7" s="1"/>
  <c r="P1239" i="7"/>
  <c r="G1239" i="7" l="1"/>
  <c r="R1239" i="7"/>
  <c r="L1239" i="7" l="1"/>
  <c r="M1239" i="7" s="1"/>
  <c r="N1239" i="7" s="1"/>
  <c r="H1239" i="7"/>
  <c r="I1239" i="7" s="1"/>
  <c r="J1239" i="7" s="1"/>
  <c r="K1239" i="7" l="1"/>
  <c r="S1240" i="7" s="1"/>
  <c r="P1240" i="7"/>
  <c r="Q1240" i="7"/>
  <c r="O1239" i="7"/>
  <c r="T1240" i="7" s="1"/>
  <c r="G1240" i="7" l="1"/>
  <c r="R1240" i="7"/>
  <c r="H1240" i="7" l="1"/>
  <c r="I1240" i="7" s="1"/>
  <c r="J1240" i="7" s="1"/>
  <c r="L1240" i="7"/>
  <c r="M1240" i="7" s="1"/>
  <c r="N1240" i="7" s="1"/>
  <c r="O1240" i="7" l="1"/>
  <c r="T1241" i="7" s="1"/>
  <c r="Q1241" i="7"/>
  <c r="K1240" i="7"/>
  <c r="S1241" i="7" s="1"/>
  <c r="P1241" i="7"/>
  <c r="G1241" i="7" l="1"/>
  <c r="R1241" i="7"/>
  <c r="L1241" i="7" l="1"/>
  <c r="M1241" i="7" s="1"/>
  <c r="N1241" i="7" s="1"/>
  <c r="H1241" i="7"/>
  <c r="I1241" i="7" s="1"/>
  <c r="J1241" i="7" s="1"/>
  <c r="K1241" i="7" l="1"/>
  <c r="S1242" i="7" s="1"/>
  <c r="P1242" i="7"/>
  <c r="Q1242" i="7"/>
  <c r="O1241" i="7"/>
  <c r="T1242" i="7" s="1"/>
  <c r="R1242" i="7" l="1"/>
  <c r="G1242" i="7"/>
  <c r="L1242" i="7" l="1"/>
  <c r="M1242" i="7" s="1"/>
  <c r="N1242" i="7" s="1"/>
  <c r="H1242" i="7"/>
  <c r="I1242" i="7" s="1"/>
  <c r="J1242" i="7" s="1"/>
  <c r="P1243" i="7" l="1"/>
  <c r="K1242" i="7"/>
  <c r="S1243" i="7" s="1"/>
  <c r="Q1243" i="7"/>
  <c r="O1242" i="7"/>
  <c r="T1243" i="7" s="1"/>
  <c r="G1243" i="7" l="1"/>
  <c r="R1243" i="7"/>
  <c r="L1243" i="7" l="1"/>
  <c r="M1243" i="7" s="1"/>
  <c r="N1243" i="7" s="1"/>
  <c r="H1243" i="7"/>
  <c r="I1243" i="7" s="1"/>
  <c r="J1243" i="7" s="1"/>
  <c r="K1243" i="7" l="1"/>
  <c r="S1244" i="7" s="1"/>
  <c r="P1244" i="7"/>
  <c r="Q1244" i="7"/>
  <c r="O1243" i="7"/>
  <c r="T1244" i="7" s="1"/>
  <c r="R1244" i="7" l="1"/>
  <c r="G1244" i="7"/>
  <c r="H1244" i="7" l="1"/>
  <c r="I1244" i="7" s="1"/>
  <c r="J1244" i="7" s="1"/>
  <c r="L1244" i="7"/>
  <c r="M1244" i="7" s="1"/>
  <c r="N1244" i="7" s="1"/>
  <c r="O1244" i="7" l="1"/>
  <c r="T1245" i="7" s="1"/>
  <c r="Q1245" i="7"/>
  <c r="P1245" i="7"/>
  <c r="K1244" i="7"/>
  <c r="S1245" i="7" s="1"/>
  <c r="R1245" i="7" l="1"/>
  <c r="G1245" i="7"/>
  <c r="H1245" i="7" l="1"/>
  <c r="I1245" i="7" s="1"/>
  <c r="J1245" i="7" s="1"/>
  <c r="L1245" i="7"/>
  <c r="M1245" i="7" s="1"/>
  <c r="N1245" i="7" s="1"/>
  <c r="Q1246" i="7" l="1"/>
  <c r="O1245" i="7"/>
  <c r="T1246" i="7" s="1"/>
  <c r="K1245" i="7"/>
  <c r="S1246" i="7" s="1"/>
  <c r="P1246" i="7"/>
  <c r="G1246" i="7" l="1"/>
  <c r="R1246" i="7"/>
  <c r="L1246" i="7" l="1"/>
  <c r="M1246" i="7" s="1"/>
  <c r="N1246" i="7" s="1"/>
  <c r="H1246" i="7"/>
  <c r="I1246" i="7" s="1"/>
  <c r="J1246" i="7" s="1"/>
  <c r="K1246" i="7" l="1"/>
  <c r="S1247" i="7" s="1"/>
  <c r="P1247" i="7"/>
  <c r="O1246" i="7"/>
  <c r="T1247" i="7" s="1"/>
  <c r="Q1247" i="7"/>
  <c r="R1247" i="7" l="1"/>
  <c r="G1247" i="7"/>
  <c r="H1247" i="7" l="1"/>
  <c r="I1247" i="7" s="1"/>
  <c r="J1247" i="7" s="1"/>
  <c r="L1247" i="7"/>
  <c r="M1247" i="7" s="1"/>
  <c r="N1247" i="7" s="1"/>
  <c r="O1247" i="7" l="1"/>
  <c r="T1248" i="7" s="1"/>
  <c r="Q1248" i="7"/>
  <c r="P1248" i="7"/>
  <c r="K1247" i="7"/>
  <c r="S1248" i="7" s="1"/>
  <c r="G1248" i="7" l="1"/>
  <c r="R1248" i="7"/>
  <c r="L1248" i="7" l="1"/>
  <c r="M1248" i="7" s="1"/>
  <c r="N1248" i="7" s="1"/>
  <c r="H1248" i="7"/>
  <c r="I1248" i="7" s="1"/>
  <c r="J1248" i="7" s="1"/>
  <c r="P1249" i="7" l="1"/>
  <c r="K1248" i="7"/>
  <c r="S1249" i="7" s="1"/>
  <c r="Q1249" i="7"/>
  <c r="O1248" i="7"/>
  <c r="T1249" i="7" s="1"/>
  <c r="G1249" i="7" l="1"/>
  <c r="R1249" i="7"/>
  <c r="H1249" i="7" l="1"/>
  <c r="I1249" i="7" s="1"/>
  <c r="J1249" i="7" s="1"/>
  <c r="L1249" i="7"/>
  <c r="M1249" i="7" s="1"/>
  <c r="N1249" i="7" s="1"/>
  <c r="O1249" i="7" l="1"/>
  <c r="T1250" i="7" s="1"/>
  <c r="Q1250" i="7"/>
  <c r="P1250" i="7"/>
  <c r="K1249" i="7"/>
  <c r="S1250" i="7" s="1"/>
  <c r="R1250" i="7" l="1"/>
  <c r="G1250" i="7"/>
  <c r="H1250" i="7" l="1"/>
  <c r="I1250" i="7" s="1"/>
  <c r="J1250" i="7" s="1"/>
  <c r="L1250" i="7"/>
  <c r="M1250" i="7" s="1"/>
  <c r="N1250" i="7" s="1"/>
  <c r="O1250" i="7" l="1"/>
  <c r="T1251" i="7" s="1"/>
  <c r="Q1251" i="7"/>
  <c r="K1250" i="7"/>
  <c r="S1251" i="7" s="1"/>
  <c r="P1251" i="7"/>
  <c r="G1251" i="7" l="1"/>
  <c r="R1251" i="7"/>
  <c r="L1251" i="7" l="1"/>
  <c r="M1251" i="7" s="1"/>
  <c r="N1251" i="7" s="1"/>
  <c r="H1251" i="7"/>
  <c r="I1251" i="7" s="1"/>
  <c r="J1251" i="7" s="1"/>
  <c r="P1252" i="7" l="1"/>
  <c r="K1251" i="7"/>
  <c r="S1252" i="7" s="1"/>
  <c r="Q1252" i="7"/>
  <c r="O1251" i="7"/>
  <c r="T1252" i="7" s="1"/>
  <c r="G1252" i="7" l="1"/>
  <c r="R1252" i="7"/>
  <c r="H1252" i="7" l="1"/>
  <c r="I1252" i="7" s="1"/>
  <c r="J1252" i="7" s="1"/>
  <c r="L1252" i="7"/>
  <c r="M1252" i="7" s="1"/>
  <c r="N1252" i="7" s="1"/>
  <c r="O1252" i="7" l="1"/>
  <c r="T1253" i="7" s="1"/>
  <c r="Q1253" i="7"/>
  <c r="P1253" i="7"/>
  <c r="K1252" i="7"/>
  <c r="S1253" i="7" s="1"/>
  <c r="R1253" i="7" l="1"/>
  <c r="G1253" i="7"/>
  <c r="H1253" i="7" l="1"/>
  <c r="I1253" i="7" s="1"/>
  <c r="J1253" i="7" s="1"/>
  <c r="L1253" i="7"/>
  <c r="M1253" i="7" s="1"/>
  <c r="N1253" i="7" s="1"/>
  <c r="Q1254" i="7" l="1"/>
  <c r="O1253" i="7"/>
  <c r="T1254" i="7" s="1"/>
  <c r="P1254" i="7"/>
  <c r="K1253" i="7"/>
  <c r="S1254" i="7" s="1"/>
  <c r="G1254" i="7" l="1"/>
  <c r="R1254" i="7"/>
  <c r="H1254" i="7" l="1"/>
  <c r="I1254" i="7" s="1"/>
  <c r="J1254" i="7" s="1"/>
  <c r="L1254" i="7"/>
  <c r="M1254" i="7" s="1"/>
  <c r="N1254" i="7" s="1"/>
  <c r="Q1255" i="7" l="1"/>
  <c r="O1254" i="7"/>
  <c r="T1255" i="7" s="1"/>
  <c r="K1254" i="7"/>
  <c r="S1255" i="7" s="1"/>
  <c r="P1255" i="7"/>
  <c r="G1255" i="7" l="1"/>
  <c r="R1255" i="7"/>
  <c r="H1255" i="7" l="1"/>
  <c r="I1255" i="7" s="1"/>
  <c r="J1255" i="7" s="1"/>
  <c r="L1255" i="7"/>
  <c r="M1255" i="7" s="1"/>
  <c r="N1255" i="7" s="1"/>
  <c r="O1255" i="7" l="1"/>
  <c r="T1256" i="7" s="1"/>
  <c r="Q1256" i="7"/>
  <c r="P1256" i="7"/>
  <c r="K1255" i="7"/>
  <c r="S1256" i="7" s="1"/>
  <c r="G1256" i="7" l="1"/>
  <c r="R1256" i="7"/>
  <c r="H1256" i="7" l="1"/>
  <c r="I1256" i="7" s="1"/>
  <c r="J1256" i="7" s="1"/>
  <c r="L1256" i="7"/>
  <c r="M1256" i="7" s="1"/>
  <c r="N1256" i="7" s="1"/>
  <c r="Q1257" i="7" l="1"/>
  <c r="O1256" i="7"/>
  <c r="T1257" i="7" s="1"/>
  <c r="K1256" i="7"/>
  <c r="S1257" i="7" s="1"/>
  <c r="P1257" i="7"/>
  <c r="G1257" i="7" l="1"/>
  <c r="R1257" i="7"/>
  <c r="L1257" i="7" l="1"/>
  <c r="M1257" i="7" s="1"/>
  <c r="N1257" i="7" s="1"/>
  <c r="H1257" i="7"/>
  <c r="I1257" i="7" s="1"/>
  <c r="J1257" i="7" s="1"/>
  <c r="K1257" i="7" l="1"/>
  <c r="S1258" i="7" s="1"/>
  <c r="P1258" i="7"/>
  <c r="O1257" i="7"/>
  <c r="T1258" i="7" s="1"/>
  <c r="Q1258" i="7"/>
  <c r="R1258" i="7" l="1"/>
  <c r="G1258" i="7"/>
  <c r="L1258" i="7" l="1"/>
  <c r="M1258" i="7" s="1"/>
  <c r="N1258" i="7" s="1"/>
  <c r="H1258" i="7"/>
  <c r="I1258" i="7" s="1"/>
  <c r="J1258" i="7" s="1"/>
  <c r="P1259" i="7" l="1"/>
  <c r="K1258" i="7"/>
  <c r="S1259" i="7" s="1"/>
  <c r="O1258" i="7"/>
  <c r="T1259" i="7" s="1"/>
  <c r="Q1259" i="7"/>
  <c r="R1259" i="7" l="1"/>
  <c r="G1259" i="7"/>
  <c r="H1259" i="7" l="1"/>
  <c r="I1259" i="7" s="1"/>
  <c r="J1259" i="7" s="1"/>
  <c r="L1259" i="7"/>
  <c r="M1259" i="7" s="1"/>
  <c r="N1259" i="7" s="1"/>
  <c r="O1259" i="7" l="1"/>
  <c r="T1260" i="7" s="1"/>
  <c r="Q1260" i="7"/>
  <c r="P1260" i="7"/>
  <c r="K1259" i="7"/>
  <c r="S1260" i="7" s="1"/>
  <c r="R1260" i="7" l="1"/>
  <c r="G1260" i="7"/>
  <c r="L1260" i="7" l="1"/>
  <c r="M1260" i="7" s="1"/>
  <c r="N1260" i="7" s="1"/>
  <c r="H1260" i="7"/>
  <c r="I1260" i="7" s="1"/>
  <c r="J1260" i="7" s="1"/>
  <c r="K1260" i="7" l="1"/>
  <c r="S1261" i="7" s="1"/>
  <c r="P1261" i="7"/>
  <c r="Q1261" i="7"/>
  <c r="O1260" i="7"/>
  <c r="T1261" i="7" s="1"/>
  <c r="R1261" i="7" l="1"/>
  <c r="G1261" i="7"/>
  <c r="H1261" i="7" l="1"/>
  <c r="I1261" i="7" s="1"/>
  <c r="J1261" i="7" s="1"/>
  <c r="L1261" i="7"/>
  <c r="M1261" i="7" s="1"/>
  <c r="N1261" i="7" s="1"/>
  <c r="Q1262" i="7" l="1"/>
  <c r="O1261" i="7"/>
  <c r="T1262" i="7" s="1"/>
  <c r="P1262" i="7"/>
  <c r="K1261" i="7"/>
  <c r="S1262" i="7" s="1"/>
  <c r="G1262" i="7" l="1"/>
  <c r="R1262" i="7"/>
  <c r="H1262" i="7" l="1"/>
  <c r="I1262" i="7" s="1"/>
  <c r="J1262" i="7" s="1"/>
  <c r="L1262" i="7"/>
  <c r="M1262" i="7" s="1"/>
  <c r="N1262" i="7" s="1"/>
  <c r="Q1263" i="7" l="1"/>
  <c r="O1262" i="7"/>
  <c r="T1263" i="7" s="1"/>
  <c r="K1262" i="7"/>
  <c r="S1263" i="7" s="1"/>
  <c r="P1263" i="7"/>
  <c r="R1263" i="7" l="1"/>
  <c r="G1263" i="7"/>
  <c r="H1263" i="7" l="1"/>
  <c r="I1263" i="7" s="1"/>
  <c r="J1263" i="7" s="1"/>
  <c r="L1263" i="7"/>
  <c r="M1263" i="7" s="1"/>
  <c r="N1263" i="7" s="1"/>
  <c r="O1263" i="7" l="1"/>
  <c r="T1264" i="7" s="1"/>
  <c r="Q1264" i="7"/>
  <c r="P1264" i="7"/>
  <c r="K1263" i="7"/>
  <c r="S1264" i="7" s="1"/>
  <c r="G1264" i="7" l="1"/>
  <c r="R1264" i="7"/>
  <c r="L1264" i="7" l="1"/>
  <c r="M1264" i="7" s="1"/>
  <c r="N1264" i="7" s="1"/>
  <c r="H1264" i="7"/>
  <c r="I1264" i="7" s="1"/>
  <c r="J1264" i="7" s="1"/>
  <c r="P1265" i="7" l="1"/>
  <c r="K1264" i="7"/>
  <c r="S1265" i="7" s="1"/>
  <c r="O1264" i="7"/>
  <c r="T1265" i="7" s="1"/>
  <c r="Q1265" i="7"/>
  <c r="G1265" i="7" l="1"/>
  <c r="R1265" i="7"/>
  <c r="L1265" i="7" l="1"/>
  <c r="M1265" i="7" s="1"/>
  <c r="N1265" i="7" s="1"/>
  <c r="H1265" i="7"/>
  <c r="I1265" i="7" s="1"/>
  <c r="J1265" i="7" s="1"/>
  <c r="P1266" i="7" l="1"/>
  <c r="K1265" i="7"/>
  <c r="S1266" i="7" s="1"/>
  <c r="Q1266" i="7"/>
  <c r="O1265" i="7"/>
  <c r="T1266" i="7" s="1"/>
  <c r="R1266" i="7" l="1"/>
  <c r="G1266" i="7"/>
  <c r="L1266" i="7" l="1"/>
  <c r="M1266" i="7" s="1"/>
  <c r="N1266" i="7" s="1"/>
  <c r="H1266" i="7"/>
  <c r="I1266" i="7" s="1"/>
  <c r="J1266" i="7" s="1"/>
  <c r="P1267" i="7" l="1"/>
  <c r="K1266" i="7"/>
  <c r="S1267" i="7" s="1"/>
  <c r="Q1267" i="7"/>
  <c r="O1266" i="7"/>
  <c r="T1267" i="7" s="1"/>
  <c r="R1267" i="7" l="1"/>
  <c r="G1267" i="7"/>
  <c r="L1267" i="7" l="1"/>
  <c r="M1267" i="7" s="1"/>
  <c r="N1267" i="7" s="1"/>
  <c r="H1267" i="7"/>
  <c r="I1267" i="7" s="1"/>
  <c r="J1267" i="7" s="1"/>
  <c r="P1268" i="7" l="1"/>
  <c r="K1267" i="7"/>
  <c r="S1268" i="7" s="1"/>
  <c r="Q1268" i="7"/>
  <c r="O1267" i="7"/>
  <c r="T1268" i="7" s="1"/>
  <c r="G1268" i="7" l="1"/>
  <c r="R1268" i="7"/>
  <c r="H1268" i="7" l="1"/>
  <c r="I1268" i="7" s="1"/>
  <c r="J1268" i="7" s="1"/>
  <c r="L1268" i="7"/>
  <c r="M1268" i="7" s="1"/>
  <c r="N1268" i="7" s="1"/>
  <c r="Q1269" i="7" l="1"/>
  <c r="O1268" i="7"/>
  <c r="T1269" i="7" s="1"/>
  <c r="P1269" i="7"/>
  <c r="K1268" i="7"/>
  <c r="S1269" i="7" s="1"/>
  <c r="G1269" i="7" l="1"/>
  <c r="R1269" i="7"/>
  <c r="L1269" i="7" l="1"/>
  <c r="M1269" i="7" s="1"/>
  <c r="N1269" i="7" s="1"/>
  <c r="H1269" i="7"/>
  <c r="I1269" i="7" s="1"/>
  <c r="J1269" i="7" s="1"/>
  <c r="K1269" i="7" l="1"/>
  <c r="S1270" i="7" s="1"/>
  <c r="P1270" i="7"/>
  <c r="Q1270" i="7"/>
  <c r="O1269" i="7"/>
  <c r="T1270" i="7" s="1"/>
  <c r="G1270" i="7" l="1"/>
  <c r="R1270" i="7"/>
  <c r="H1270" i="7" l="1"/>
  <c r="I1270" i="7" s="1"/>
  <c r="J1270" i="7" s="1"/>
  <c r="L1270" i="7"/>
  <c r="M1270" i="7" s="1"/>
  <c r="N1270" i="7" s="1"/>
  <c r="Q1271" i="7" l="1"/>
  <c r="O1270" i="7"/>
  <c r="T1271" i="7" s="1"/>
  <c r="P1271" i="7"/>
  <c r="K1270" i="7"/>
  <c r="S1271" i="7" s="1"/>
  <c r="R1271" i="7" l="1"/>
  <c r="G1271" i="7"/>
  <c r="L1271" i="7" l="1"/>
  <c r="M1271" i="7" s="1"/>
  <c r="N1271" i="7" s="1"/>
  <c r="H1271" i="7"/>
  <c r="I1271" i="7" s="1"/>
  <c r="J1271" i="7" s="1"/>
  <c r="K1271" i="7" l="1"/>
  <c r="S1272" i="7" s="1"/>
  <c r="P1272" i="7"/>
  <c r="O1271" i="7"/>
  <c r="T1272" i="7" s="1"/>
  <c r="Q1272" i="7"/>
  <c r="R1272" i="7" l="1"/>
  <c r="G1272" i="7"/>
  <c r="H1272" i="7" l="1"/>
  <c r="I1272" i="7" s="1"/>
  <c r="J1272" i="7" s="1"/>
  <c r="L1272" i="7"/>
  <c r="M1272" i="7" s="1"/>
  <c r="N1272" i="7" s="1"/>
  <c r="Q1273" i="7" l="1"/>
  <c r="O1272" i="7"/>
  <c r="T1273" i="7" s="1"/>
  <c r="K1272" i="7"/>
  <c r="S1273" i="7" s="1"/>
  <c r="P1273" i="7"/>
  <c r="R1273" i="7" l="1"/>
  <c r="G1273" i="7"/>
  <c r="H1273" i="7" l="1"/>
  <c r="I1273" i="7" s="1"/>
  <c r="J1273" i="7" s="1"/>
  <c r="L1273" i="7"/>
  <c r="M1273" i="7" s="1"/>
  <c r="N1273" i="7" s="1"/>
  <c r="O1273" i="7" l="1"/>
  <c r="T1274" i="7" s="1"/>
  <c r="Q1274" i="7"/>
  <c r="K1273" i="7"/>
  <c r="S1274" i="7" s="1"/>
  <c r="P1274" i="7"/>
  <c r="R1274" i="7" l="1"/>
  <c r="G1274" i="7"/>
  <c r="H1274" i="7" l="1"/>
  <c r="I1274" i="7" s="1"/>
  <c r="J1274" i="7" s="1"/>
  <c r="L1274" i="7"/>
  <c r="M1274" i="7" s="1"/>
  <c r="N1274" i="7" s="1"/>
  <c r="O1274" i="7" l="1"/>
  <c r="T1275" i="7" s="1"/>
  <c r="Q1275" i="7"/>
  <c r="P1275" i="7"/>
  <c r="K1274" i="7"/>
  <c r="S1275" i="7" s="1"/>
  <c r="G1275" i="7" l="1"/>
  <c r="R1275" i="7"/>
  <c r="L1275" i="7" l="1"/>
  <c r="M1275" i="7" s="1"/>
  <c r="N1275" i="7" s="1"/>
  <c r="H1275" i="7"/>
  <c r="I1275" i="7" s="1"/>
  <c r="J1275" i="7" s="1"/>
  <c r="P1276" i="7" l="1"/>
  <c r="K1275" i="7"/>
  <c r="S1276" i="7" s="1"/>
  <c r="Q1276" i="7"/>
  <c r="O1275" i="7"/>
  <c r="T1276" i="7" s="1"/>
  <c r="G1276" i="7" l="1"/>
  <c r="R1276" i="7"/>
  <c r="H1276" i="7" l="1"/>
  <c r="I1276" i="7" s="1"/>
  <c r="J1276" i="7" s="1"/>
  <c r="L1276" i="7"/>
  <c r="M1276" i="7" s="1"/>
  <c r="N1276" i="7" s="1"/>
  <c r="O1276" i="7" l="1"/>
  <c r="T1277" i="7" s="1"/>
  <c r="Q1277" i="7"/>
  <c r="K1276" i="7"/>
  <c r="S1277" i="7" s="1"/>
  <c r="P1277" i="7"/>
  <c r="R1277" i="7" l="1"/>
  <c r="G1277" i="7"/>
  <c r="H1277" i="7" l="1"/>
  <c r="I1277" i="7" s="1"/>
  <c r="J1277" i="7" s="1"/>
  <c r="L1277" i="7"/>
  <c r="M1277" i="7" s="1"/>
  <c r="N1277" i="7" s="1"/>
  <c r="Q1278" i="7" l="1"/>
  <c r="O1277" i="7"/>
  <c r="T1278" i="7" s="1"/>
  <c r="K1277" i="7"/>
  <c r="S1278" i="7" s="1"/>
  <c r="P1278" i="7"/>
  <c r="R1278" i="7" l="1"/>
  <c r="G1278" i="7"/>
  <c r="L1278" i="7" l="1"/>
  <c r="M1278" i="7" s="1"/>
  <c r="N1278" i="7" s="1"/>
  <c r="H1278" i="7"/>
  <c r="I1278" i="7" s="1"/>
  <c r="J1278" i="7" s="1"/>
  <c r="P1279" i="7" l="1"/>
  <c r="K1278" i="7"/>
  <c r="S1279" i="7" s="1"/>
  <c r="Q1279" i="7"/>
  <c r="O1278" i="7"/>
  <c r="T1279" i="7" s="1"/>
  <c r="R1279" i="7" l="1"/>
  <c r="G1279" i="7"/>
  <c r="L1279" i="7" l="1"/>
  <c r="M1279" i="7" s="1"/>
  <c r="N1279" i="7" s="1"/>
  <c r="H1279" i="7"/>
  <c r="I1279" i="7" s="1"/>
  <c r="J1279" i="7" s="1"/>
  <c r="K1279" i="7" l="1"/>
  <c r="S1280" i="7" s="1"/>
  <c r="P1280" i="7"/>
  <c r="O1279" i="7"/>
  <c r="T1280" i="7" s="1"/>
  <c r="Q1280" i="7"/>
  <c r="R1280" i="7" l="1"/>
  <c r="G1280" i="7"/>
  <c r="H1280" i="7" l="1"/>
  <c r="I1280" i="7" s="1"/>
  <c r="J1280" i="7" s="1"/>
  <c r="L1280" i="7"/>
  <c r="M1280" i="7" s="1"/>
  <c r="N1280" i="7" s="1"/>
  <c r="Q1281" i="7" l="1"/>
  <c r="O1280" i="7"/>
  <c r="T1281" i="7" s="1"/>
  <c r="K1280" i="7"/>
  <c r="S1281" i="7" s="1"/>
  <c r="P1281" i="7"/>
  <c r="G1281" i="7" l="1"/>
  <c r="R1281" i="7"/>
  <c r="L1281" i="7" l="1"/>
  <c r="M1281" i="7" s="1"/>
  <c r="N1281" i="7" s="1"/>
  <c r="H1281" i="7"/>
  <c r="I1281" i="7" s="1"/>
  <c r="J1281" i="7" s="1"/>
  <c r="K1281" i="7" l="1"/>
  <c r="S1282" i="7" s="1"/>
  <c r="P1282" i="7"/>
  <c r="O1281" i="7"/>
  <c r="T1282" i="7" s="1"/>
  <c r="Q1282" i="7"/>
  <c r="R1282" i="7" l="1"/>
  <c r="G1282" i="7"/>
  <c r="H1282" i="7" l="1"/>
  <c r="I1282" i="7" s="1"/>
  <c r="J1282" i="7" s="1"/>
  <c r="L1282" i="7"/>
  <c r="M1282" i="7" s="1"/>
  <c r="N1282" i="7" s="1"/>
  <c r="O1282" i="7" l="1"/>
  <c r="T1283" i="7" s="1"/>
  <c r="Q1283" i="7"/>
  <c r="P1283" i="7"/>
  <c r="K1282" i="7"/>
  <c r="S1283" i="7" s="1"/>
  <c r="G1283" i="7" l="1"/>
  <c r="R1283" i="7"/>
  <c r="L1283" i="7" l="1"/>
  <c r="M1283" i="7" s="1"/>
  <c r="N1283" i="7" s="1"/>
  <c r="H1283" i="7"/>
  <c r="I1283" i="7" s="1"/>
  <c r="J1283" i="7" s="1"/>
  <c r="K1283" i="7" l="1"/>
  <c r="S1284" i="7" s="1"/>
  <c r="P1284" i="7"/>
  <c r="Q1284" i="7"/>
  <c r="O1283" i="7"/>
  <c r="T1284" i="7" s="1"/>
  <c r="R1284" i="7" l="1"/>
  <c r="G1284" i="7"/>
  <c r="L1284" i="7" l="1"/>
  <c r="M1284" i="7" s="1"/>
  <c r="N1284" i="7" s="1"/>
  <c r="H1284" i="7"/>
  <c r="I1284" i="7" s="1"/>
  <c r="J1284" i="7" s="1"/>
  <c r="K1284" i="7" l="1"/>
  <c r="S1285" i="7" s="1"/>
  <c r="P1285" i="7"/>
  <c r="O1284" i="7"/>
  <c r="T1285" i="7" s="1"/>
  <c r="Q1285" i="7"/>
  <c r="R1285" i="7" l="1"/>
  <c r="G1285" i="7"/>
  <c r="L1285" i="7" l="1"/>
  <c r="M1285" i="7" s="1"/>
  <c r="N1285" i="7" s="1"/>
  <c r="H1285" i="7"/>
  <c r="I1285" i="7" s="1"/>
  <c r="J1285" i="7" s="1"/>
  <c r="P1286" i="7" l="1"/>
  <c r="K1285" i="7"/>
  <c r="S1286" i="7" s="1"/>
  <c r="O1285" i="7"/>
  <c r="T1286" i="7" s="1"/>
  <c r="Q1286" i="7"/>
  <c r="G1286" i="7" l="1"/>
  <c r="R1286" i="7"/>
  <c r="H1286" i="7" l="1"/>
  <c r="I1286" i="7" s="1"/>
  <c r="J1286" i="7" s="1"/>
  <c r="L1286" i="7"/>
  <c r="M1286" i="7" s="1"/>
  <c r="N1286" i="7" s="1"/>
  <c r="Q1287" i="7" l="1"/>
  <c r="O1286" i="7"/>
  <c r="T1287" i="7" s="1"/>
  <c r="K1286" i="7"/>
  <c r="S1287" i="7" s="1"/>
  <c r="P1287" i="7"/>
  <c r="G1287" i="7" l="1"/>
  <c r="R1287" i="7"/>
  <c r="L1287" i="7" l="1"/>
  <c r="M1287" i="7" s="1"/>
  <c r="N1287" i="7" s="1"/>
  <c r="H1287" i="7"/>
  <c r="I1287" i="7" s="1"/>
  <c r="J1287" i="7" s="1"/>
  <c r="K1287" i="7" l="1"/>
  <c r="S1288" i="7" s="1"/>
  <c r="P1288" i="7"/>
  <c r="O1287" i="7"/>
  <c r="T1288" i="7" s="1"/>
  <c r="Q1288" i="7"/>
  <c r="G1288" i="7" l="1"/>
  <c r="R1288" i="7"/>
  <c r="L1288" i="7" l="1"/>
  <c r="M1288" i="7" s="1"/>
  <c r="N1288" i="7" s="1"/>
  <c r="H1288" i="7"/>
  <c r="I1288" i="7" s="1"/>
  <c r="J1288" i="7" s="1"/>
  <c r="K1288" i="7" l="1"/>
  <c r="S1289" i="7" s="1"/>
  <c r="P1289" i="7"/>
  <c r="Q1289" i="7"/>
  <c r="O1288" i="7"/>
  <c r="T1289" i="7" s="1"/>
  <c r="G1289" i="7" l="1"/>
  <c r="R1289" i="7"/>
  <c r="L1289" i="7" l="1"/>
  <c r="M1289" i="7" s="1"/>
  <c r="N1289" i="7" s="1"/>
  <c r="H1289" i="7"/>
  <c r="I1289" i="7" s="1"/>
  <c r="J1289" i="7" s="1"/>
  <c r="K1289" i="7" l="1"/>
  <c r="S1290" i="7" s="1"/>
  <c r="P1290" i="7"/>
  <c r="O1289" i="7"/>
  <c r="T1290" i="7" s="1"/>
  <c r="Q1290" i="7"/>
  <c r="G1290" i="7" l="1"/>
  <c r="R1290" i="7"/>
  <c r="L1290" i="7" l="1"/>
  <c r="M1290" i="7" s="1"/>
  <c r="N1290" i="7" s="1"/>
  <c r="H1290" i="7"/>
  <c r="I1290" i="7" s="1"/>
  <c r="J1290" i="7" s="1"/>
  <c r="P1291" i="7" l="1"/>
  <c r="K1290" i="7"/>
  <c r="S1291" i="7" s="1"/>
  <c r="Q1291" i="7"/>
  <c r="O1290" i="7"/>
  <c r="T1291" i="7" s="1"/>
  <c r="R1291" i="7" l="1"/>
  <c r="G1291" i="7"/>
  <c r="H1291" i="7" l="1"/>
  <c r="I1291" i="7" s="1"/>
  <c r="J1291" i="7" s="1"/>
  <c r="L1291" i="7"/>
  <c r="M1291" i="7" s="1"/>
  <c r="N1291" i="7" s="1"/>
  <c r="O1291" i="7" l="1"/>
  <c r="T1292" i="7" s="1"/>
  <c r="Q1292" i="7"/>
  <c r="P1292" i="7"/>
  <c r="K1291" i="7"/>
  <c r="S1292" i="7" s="1"/>
  <c r="G1292" i="7" l="1"/>
  <c r="R1292" i="7"/>
  <c r="L1292" i="7" l="1"/>
  <c r="M1292" i="7" s="1"/>
  <c r="N1292" i="7" s="1"/>
  <c r="H1292" i="7"/>
  <c r="I1292" i="7" s="1"/>
  <c r="J1292" i="7" s="1"/>
  <c r="K1292" i="7" l="1"/>
  <c r="S1293" i="7" s="1"/>
  <c r="P1293" i="7"/>
  <c r="Q1293" i="7"/>
  <c r="O1292" i="7"/>
  <c r="T1293" i="7" s="1"/>
  <c r="G1293" i="7" l="1"/>
  <c r="R1293" i="7"/>
  <c r="L1293" i="7" l="1"/>
  <c r="M1293" i="7" s="1"/>
  <c r="N1293" i="7" s="1"/>
  <c r="H1293" i="7"/>
  <c r="I1293" i="7" s="1"/>
  <c r="J1293" i="7" s="1"/>
  <c r="P1294" i="7" l="1"/>
  <c r="K1293" i="7"/>
  <c r="S1294" i="7" s="1"/>
  <c r="O1293" i="7"/>
  <c r="T1294" i="7" s="1"/>
  <c r="Q1294" i="7"/>
  <c r="G1294" i="7" l="1"/>
  <c r="R1294" i="7"/>
  <c r="L1294" i="7" l="1"/>
  <c r="M1294" i="7" s="1"/>
  <c r="N1294" i="7" s="1"/>
  <c r="H1294" i="7"/>
  <c r="I1294" i="7" s="1"/>
  <c r="J1294" i="7" s="1"/>
  <c r="K1294" i="7" l="1"/>
  <c r="S1295" i="7" s="1"/>
  <c r="P1295" i="7"/>
  <c r="O1294" i="7"/>
  <c r="T1295" i="7" s="1"/>
  <c r="Q1295" i="7"/>
  <c r="R1295" i="7" l="1"/>
  <c r="G1295" i="7"/>
  <c r="H1295" i="7" l="1"/>
  <c r="I1295" i="7" s="1"/>
  <c r="J1295" i="7" s="1"/>
  <c r="L1295" i="7"/>
  <c r="M1295" i="7" s="1"/>
  <c r="N1295" i="7" s="1"/>
  <c r="O1295" i="7" l="1"/>
  <c r="T1296" i="7" s="1"/>
  <c r="Q1296" i="7"/>
  <c r="K1295" i="7"/>
  <c r="S1296" i="7" s="1"/>
  <c r="P1296" i="7"/>
  <c r="R1296" i="7" l="1"/>
  <c r="G1296" i="7"/>
  <c r="H1296" i="7" l="1"/>
  <c r="I1296" i="7" s="1"/>
  <c r="J1296" i="7" s="1"/>
  <c r="L1296" i="7"/>
  <c r="M1296" i="7" s="1"/>
  <c r="N1296" i="7" s="1"/>
  <c r="Q1297" i="7" l="1"/>
  <c r="O1296" i="7"/>
  <c r="T1297" i="7" s="1"/>
  <c r="P1297" i="7"/>
  <c r="K1296" i="7"/>
  <c r="S1297" i="7" s="1"/>
  <c r="G1297" i="7" l="1"/>
  <c r="R1297" i="7"/>
  <c r="H1297" i="7" l="1"/>
  <c r="I1297" i="7" s="1"/>
  <c r="J1297" i="7" s="1"/>
  <c r="L1297" i="7"/>
  <c r="M1297" i="7" s="1"/>
  <c r="N1297" i="7" s="1"/>
  <c r="O1297" i="7" l="1"/>
  <c r="T1298" i="7" s="1"/>
  <c r="Q1298" i="7"/>
  <c r="P1298" i="7"/>
  <c r="K1297" i="7"/>
  <c r="S1298" i="7" s="1"/>
  <c r="R1298" i="7" l="1"/>
  <c r="G1298" i="7"/>
  <c r="L1298" i="7" l="1"/>
  <c r="M1298" i="7" s="1"/>
  <c r="N1298" i="7" s="1"/>
  <c r="H1298" i="7"/>
  <c r="I1298" i="7" s="1"/>
  <c r="J1298" i="7" s="1"/>
  <c r="P1299" i="7" l="1"/>
  <c r="K1298" i="7"/>
  <c r="S1299" i="7" s="1"/>
  <c r="O1298" i="7"/>
  <c r="T1299" i="7" s="1"/>
  <c r="Q1299" i="7"/>
  <c r="G1299" i="7" l="1"/>
  <c r="R1299" i="7"/>
  <c r="H1299" i="7" l="1"/>
  <c r="I1299" i="7" s="1"/>
  <c r="J1299" i="7" s="1"/>
  <c r="L1299" i="7"/>
  <c r="M1299" i="7" s="1"/>
  <c r="N1299" i="7" s="1"/>
  <c r="O1299" i="7" l="1"/>
  <c r="T1300" i="7" s="1"/>
  <c r="Q1300" i="7"/>
  <c r="K1299" i="7"/>
  <c r="S1300" i="7" s="1"/>
  <c r="P1300" i="7"/>
  <c r="R1300" i="7" l="1"/>
  <c r="G1300" i="7"/>
  <c r="L1300" i="7" l="1"/>
  <c r="M1300" i="7" s="1"/>
  <c r="N1300" i="7" s="1"/>
  <c r="H1300" i="7"/>
  <c r="I1300" i="7" s="1"/>
  <c r="J1300" i="7" s="1"/>
  <c r="K1300" i="7" l="1"/>
  <c r="S1301" i="7" s="1"/>
  <c r="P1301" i="7"/>
  <c r="O1300" i="7"/>
  <c r="T1301" i="7" s="1"/>
  <c r="Q1301" i="7"/>
  <c r="G1301" i="7" l="1"/>
  <c r="R1301" i="7"/>
  <c r="L1301" i="7" l="1"/>
  <c r="M1301" i="7" s="1"/>
  <c r="N1301" i="7" s="1"/>
  <c r="H1301" i="7"/>
  <c r="I1301" i="7" s="1"/>
  <c r="J1301" i="7" s="1"/>
  <c r="P1302" i="7" l="1"/>
  <c r="K1301" i="7"/>
  <c r="S1302" i="7" s="1"/>
  <c r="O1301" i="7"/>
  <c r="T1302" i="7" s="1"/>
  <c r="Q1302" i="7"/>
  <c r="R1302" i="7" l="1"/>
  <c r="G1302" i="7"/>
  <c r="H1302" i="7" l="1"/>
  <c r="I1302" i="7" s="1"/>
  <c r="J1302" i="7" s="1"/>
  <c r="L1302" i="7"/>
  <c r="M1302" i="7" s="1"/>
  <c r="N1302" i="7" s="1"/>
  <c r="Q1303" i="7" l="1"/>
  <c r="O1302" i="7"/>
  <c r="T1303" i="7" s="1"/>
  <c r="K1302" i="7"/>
  <c r="S1303" i="7" s="1"/>
  <c r="P1303" i="7"/>
  <c r="R1303" i="7" l="1"/>
  <c r="G1303" i="7"/>
  <c r="L1303" i="7" l="1"/>
  <c r="M1303" i="7" s="1"/>
  <c r="N1303" i="7" s="1"/>
  <c r="H1303" i="7"/>
  <c r="I1303" i="7" s="1"/>
  <c r="J1303" i="7" s="1"/>
  <c r="P1304" i="7" l="1"/>
  <c r="K1303" i="7"/>
  <c r="S1304" i="7" s="1"/>
  <c r="O1303" i="7"/>
  <c r="T1304" i="7" s="1"/>
  <c r="Q1304" i="7"/>
  <c r="R1304" i="7" l="1"/>
  <c r="G1304" i="7"/>
  <c r="H1304" i="7" l="1"/>
  <c r="I1304" i="7" s="1"/>
  <c r="J1304" i="7" s="1"/>
  <c r="L1304" i="7"/>
  <c r="M1304" i="7" s="1"/>
  <c r="N1304" i="7" s="1"/>
  <c r="O1304" i="7" l="1"/>
  <c r="T1305" i="7" s="1"/>
  <c r="Q1305" i="7"/>
  <c r="K1304" i="7"/>
  <c r="S1305" i="7" s="1"/>
  <c r="P1305" i="7"/>
  <c r="G1305" i="7" l="1"/>
  <c r="R1305" i="7"/>
  <c r="H1305" i="7" l="1"/>
  <c r="I1305" i="7" s="1"/>
  <c r="J1305" i="7" s="1"/>
  <c r="L1305" i="7"/>
  <c r="M1305" i="7" s="1"/>
  <c r="N1305" i="7" s="1"/>
  <c r="O1305" i="7" l="1"/>
  <c r="T1306" i="7" s="1"/>
  <c r="Q1306" i="7"/>
  <c r="K1305" i="7"/>
  <c r="S1306" i="7" s="1"/>
  <c r="P1306" i="7"/>
  <c r="G1306" i="7" l="1"/>
  <c r="R1306" i="7"/>
  <c r="L1306" i="7" l="1"/>
  <c r="M1306" i="7" s="1"/>
  <c r="N1306" i="7" s="1"/>
  <c r="H1306" i="7"/>
  <c r="I1306" i="7" s="1"/>
  <c r="J1306" i="7" s="1"/>
  <c r="P1307" i="7" l="1"/>
  <c r="K1306" i="7"/>
  <c r="S1307" i="7" s="1"/>
  <c r="O1306" i="7"/>
  <c r="T1307" i="7" s="1"/>
  <c r="Q1307" i="7"/>
  <c r="G1307" i="7" l="1"/>
  <c r="R1307" i="7"/>
  <c r="L1307" i="7" l="1"/>
  <c r="M1307" i="7" s="1"/>
  <c r="N1307" i="7" s="1"/>
  <c r="H1307" i="7"/>
  <c r="I1307" i="7" s="1"/>
  <c r="J1307" i="7" s="1"/>
  <c r="K1307" i="7" l="1"/>
  <c r="S1308" i="7" s="1"/>
  <c r="P1308" i="7"/>
  <c r="Q1308" i="7"/>
  <c r="O1307" i="7"/>
  <c r="T1308" i="7" s="1"/>
  <c r="G1308" i="7" l="1"/>
  <c r="R1308" i="7"/>
  <c r="H1308" i="7" l="1"/>
  <c r="I1308" i="7" s="1"/>
  <c r="J1308" i="7" s="1"/>
  <c r="L1308" i="7"/>
  <c r="M1308" i="7" s="1"/>
  <c r="N1308" i="7" s="1"/>
  <c r="O1308" i="7" l="1"/>
  <c r="T1309" i="7" s="1"/>
  <c r="Q1309" i="7"/>
  <c r="P1309" i="7"/>
  <c r="K1308" i="7"/>
  <c r="S1309" i="7" s="1"/>
  <c r="G1309" i="7" l="1"/>
  <c r="R1309" i="7"/>
  <c r="L1309" i="7" l="1"/>
  <c r="M1309" i="7" s="1"/>
  <c r="N1309" i="7" s="1"/>
  <c r="H1309" i="7"/>
  <c r="I1309" i="7" s="1"/>
  <c r="J1309" i="7" s="1"/>
  <c r="K1309" i="7" l="1"/>
  <c r="S1310" i="7" s="1"/>
  <c r="P1310" i="7"/>
  <c r="O1309" i="7"/>
  <c r="T1310" i="7" s="1"/>
  <c r="Q1310" i="7"/>
  <c r="R1310" i="7" l="1"/>
  <c r="G1310" i="7"/>
  <c r="H1310" i="7" l="1"/>
  <c r="I1310" i="7" s="1"/>
  <c r="J1310" i="7" s="1"/>
  <c r="L1310" i="7"/>
  <c r="M1310" i="7" s="1"/>
  <c r="N1310" i="7" s="1"/>
  <c r="O1310" i="7" l="1"/>
  <c r="T1311" i="7" s="1"/>
  <c r="Q1311" i="7"/>
  <c r="K1310" i="7"/>
  <c r="S1311" i="7" s="1"/>
  <c r="P1311" i="7"/>
  <c r="R1311" i="7" l="1"/>
  <c r="G1311" i="7"/>
  <c r="H1311" i="7" l="1"/>
  <c r="I1311" i="7" s="1"/>
  <c r="J1311" i="7" s="1"/>
  <c r="L1311" i="7"/>
  <c r="M1311" i="7" s="1"/>
  <c r="N1311" i="7" s="1"/>
  <c r="O1311" i="7" l="1"/>
  <c r="T1312" i="7" s="1"/>
  <c r="Q1312" i="7"/>
  <c r="P1312" i="7"/>
  <c r="K1311" i="7"/>
  <c r="S1312" i="7" s="1"/>
  <c r="G1312" i="7" l="1"/>
  <c r="R1312" i="7"/>
  <c r="H1312" i="7" l="1"/>
  <c r="I1312" i="7" s="1"/>
  <c r="J1312" i="7" s="1"/>
  <c r="L1312" i="7"/>
  <c r="M1312" i="7" s="1"/>
  <c r="N1312" i="7" s="1"/>
  <c r="O1312" i="7" l="1"/>
  <c r="T1313" i="7" s="1"/>
  <c r="Q1313" i="7"/>
  <c r="K1312" i="7"/>
  <c r="S1313" i="7" s="1"/>
  <c r="P1313" i="7"/>
  <c r="R1313" i="7" l="1"/>
  <c r="G1313" i="7"/>
  <c r="H1313" i="7" l="1"/>
  <c r="I1313" i="7" s="1"/>
  <c r="J1313" i="7" s="1"/>
  <c r="L1313" i="7"/>
  <c r="M1313" i="7" s="1"/>
  <c r="N1313" i="7" s="1"/>
  <c r="O1313" i="7" l="1"/>
  <c r="T1314" i="7" s="1"/>
  <c r="Q1314" i="7"/>
  <c r="K1313" i="7"/>
  <c r="S1314" i="7" s="1"/>
  <c r="P1314" i="7"/>
  <c r="G1314" i="7" l="1"/>
  <c r="R1314" i="7"/>
  <c r="L1314" i="7" l="1"/>
  <c r="M1314" i="7" s="1"/>
  <c r="N1314" i="7" s="1"/>
  <c r="H1314" i="7"/>
  <c r="I1314" i="7" s="1"/>
  <c r="J1314" i="7" s="1"/>
  <c r="P1315" i="7" l="1"/>
  <c r="K1314" i="7"/>
  <c r="S1315" i="7" s="1"/>
  <c r="Q1315" i="7"/>
  <c r="O1314" i="7"/>
  <c r="T1315" i="7" s="1"/>
  <c r="R1315" i="7" l="1"/>
  <c r="G1315" i="7"/>
  <c r="L1315" i="7" l="1"/>
  <c r="M1315" i="7" s="1"/>
  <c r="N1315" i="7" s="1"/>
  <c r="H1315" i="7"/>
  <c r="I1315" i="7" s="1"/>
  <c r="J1315" i="7" s="1"/>
  <c r="K1315" i="7" l="1"/>
  <c r="S1316" i="7" s="1"/>
  <c r="P1316" i="7"/>
  <c r="O1315" i="7"/>
  <c r="T1316" i="7" s="1"/>
  <c r="Q1316" i="7"/>
  <c r="R1316" i="7" l="1"/>
  <c r="G1316" i="7"/>
  <c r="L1316" i="7" l="1"/>
  <c r="M1316" i="7" s="1"/>
  <c r="N1316" i="7" s="1"/>
  <c r="H1316" i="7"/>
  <c r="I1316" i="7" s="1"/>
  <c r="J1316" i="7" s="1"/>
  <c r="P1317" i="7" l="1"/>
  <c r="K1316" i="7"/>
  <c r="S1317" i="7" s="1"/>
  <c r="Q1317" i="7"/>
  <c r="O1316" i="7"/>
  <c r="T1317" i="7" s="1"/>
  <c r="R1317" i="7" l="1"/>
  <c r="G1317" i="7"/>
  <c r="L1317" i="7" l="1"/>
  <c r="M1317" i="7" s="1"/>
  <c r="N1317" i="7" s="1"/>
  <c r="H1317" i="7"/>
  <c r="I1317" i="7" s="1"/>
  <c r="J1317" i="7" s="1"/>
  <c r="P1318" i="7" l="1"/>
  <c r="K1317" i="7"/>
  <c r="S1318" i="7" s="1"/>
  <c r="O1317" i="7"/>
  <c r="T1318" i="7" s="1"/>
  <c r="Q1318" i="7"/>
  <c r="R1318" i="7" l="1"/>
  <c r="G1318" i="7"/>
  <c r="L1318" i="7" l="1"/>
  <c r="M1318" i="7" s="1"/>
  <c r="N1318" i="7" s="1"/>
  <c r="H1318" i="7"/>
  <c r="I1318" i="7" s="1"/>
  <c r="J1318" i="7" s="1"/>
  <c r="K1318" i="7" l="1"/>
  <c r="S1319" i="7" s="1"/>
  <c r="P1319" i="7"/>
  <c r="O1318" i="7"/>
  <c r="T1319" i="7" s="1"/>
  <c r="Q1319" i="7"/>
  <c r="G1319" i="7" l="1"/>
  <c r="R1319" i="7"/>
  <c r="H1319" i="7" l="1"/>
  <c r="I1319" i="7" s="1"/>
  <c r="J1319" i="7" s="1"/>
  <c r="L1319" i="7"/>
  <c r="M1319" i="7" s="1"/>
  <c r="N1319" i="7" s="1"/>
  <c r="O1319" i="7" l="1"/>
  <c r="T1320" i="7" s="1"/>
  <c r="Q1320" i="7"/>
  <c r="P1320" i="7"/>
  <c r="K1319" i="7"/>
  <c r="S1320" i="7" s="1"/>
  <c r="G1320" i="7" l="1"/>
  <c r="R1320" i="7"/>
  <c r="H1320" i="7" l="1"/>
  <c r="I1320" i="7" s="1"/>
  <c r="J1320" i="7" s="1"/>
  <c r="L1320" i="7"/>
  <c r="M1320" i="7" s="1"/>
  <c r="N1320" i="7" s="1"/>
  <c r="O1320" i="7" l="1"/>
  <c r="T1321" i="7" s="1"/>
  <c r="Q1321" i="7"/>
  <c r="P1321" i="7"/>
  <c r="K1320" i="7"/>
  <c r="S1321" i="7" s="1"/>
  <c r="R1321" i="7" l="1"/>
  <c r="G1321" i="7"/>
  <c r="L1321" i="7" l="1"/>
  <c r="M1321" i="7" s="1"/>
  <c r="N1321" i="7" s="1"/>
  <c r="H1321" i="7"/>
  <c r="I1321" i="7" s="1"/>
  <c r="J1321" i="7" s="1"/>
  <c r="K1321" i="7" l="1"/>
  <c r="S1322" i="7" s="1"/>
  <c r="P1322" i="7"/>
  <c r="O1321" i="7"/>
  <c r="T1322" i="7" s="1"/>
  <c r="Q1322" i="7"/>
  <c r="R1322" i="7" l="1"/>
  <c r="G1322" i="7"/>
  <c r="H1322" i="7" l="1"/>
  <c r="I1322" i="7" s="1"/>
  <c r="J1322" i="7" s="1"/>
  <c r="L1322" i="7"/>
  <c r="M1322" i="7" s="1"/>
  <c r="N1322" i="7" s="1"/>
  <c r="O1322" i="7" l="1"/>
  <c r="T1323" i="7" s="1"/>
  <c r="Q1323" i="7"/>
  <c r="P1323" i="7"/>
  <c r="K1322" i="7"/>
  <c r="S1323" i="7" s="1"/>
  <c r="G1323" i="7" l="1"/>
  <c r="R1323" i="7"/>
  <c r="H1323" i="7" l="1"/>
  <c r="I1323" i="7" s="1"/>
  <c r="J1323" i="7" s="1"/>
  <c r="L1323" i="7"/>
  <c r="M1323" i="7" s="1"/>
  <c r="N1323" i="7" s="1"/>
  <c r="Q1324" i="7" l="1"/>
  <c r="O1323" i="7"/>
  <c r="T1324" i="7" s="1"/>
  <c r="K1323" i="7"/>
  <c r="S1324" i="7" s="1"/>
  <c r="P1324" i="7"/>
  <c r="R1324" i="7" l="1"/>
  <c r="G1324" i="7"/>
  <c r="L1324" i="7" l="1"/>
  <c r="M1324" i="7" s="1"/>
  <c r="N1324" i="7" s="1"/>
  <c r="H1324" i="7"/>
  <c r="I1324" i="7" s="1"/>
  <c r="J1324" i="7" s="1"/>
  <c r="K1324" i="7" l="1"/>
  <c r="S1325" i="7" s="1"/>
  <c r="P1325" i="7"/>
  <c r="O1324" i="7"/>
  <c r="T1325" i="7" s="1"/>
  <c r="Q1325" i="7"/>
  <c r="G1325" i="7" l="1"/>
  <c r="R1325" i="7"/>
  <c r="L1325" i="7" l="1"/>
  <c r="M1325" i="7" s="1"/>
  <c r="N1325" i="7" s="1"/>
  <c r="H1325" i="7"/>
  <c r="I1325" i="7" s="1"/>
  <c r="J1325" i="7" s="1"/>
  <c r="K1325" i="7" l="1"/>
  <c r="S1326" i="7" s="1"/>
  <c r="P1326" i="7"/>
  <c r="Q1326" i="7"/>
  <c r="O1325" i="7"/>
  <c r="T1326" i="7" s="1"/>
  <c r="R1326" i="7" l="1"/>
  <c r="G1326" i="7"/>
  <c r="H1326" i="7" l="1"/>
  <c r="I1326" i="7" s="1"/>
  <c r="J1326" i="7" s="1"/>
  <c r="L1326" i="7"/>
  <c r="M1326" i="7" s="1"/>
  <c r="N1326" i="7" s="1"/>
  <c r="O1326" i="7" l="1"/>
  <c r="T1327" i="7" s="1"/>
  <c r="Q1327" i="7"/>
  <c r="K1326" i="7"/>
  <c r="S1327" i="7" s="1"/>
  <c r="P1327" i="7"/>
  <c r="R1327" i="7" l="1"/>
  <c r="G1327" i="7"/>
  <c r="L1327" i="7" l="1"/>
  <c r="M1327" i="7" s="1"/>
  <c r="N1327" i="7" s="1"/>
  <c r="H1327" i="7"/>
  <c r="I1327" i="7" s="1"/>
  <c r="J1327" i="7" s="1"/>
  <c r="P1328" i="7" l="1"/>
  <c r="K1327" i="7"/>
  <c r="S1328" i="7" s="1"/>
  <c r="O1327" i="7"/>
  <c r="T1328" i="7" s="1"/>
  <c r="Q1328" i="7"/>
  <c r="G1328" i="7" l="1"/>
  <c r="R1328" i="7"/>
  <c r="L1328" i="7" l="1"/>
  <c r="M1328" i="7" s="1"/>
  <c r="N1328" i="7" s="1"/>
  <c r="H1328" i="7"/>
  <c r="I1328" i="7" s="1"/>
  <c r="J1328" i="7" s="1"/>
  <c r="K1328" i="7" l="1"/>
  <c r="S1329" i="7" s="1"/>
  <c r="P1329" i="7"/>
  <c r="Q1329" i="7"/>
  <c r="O1328" i="7"/>
  <c r="T1329" i="7" s="1"/>
  <c r="G1329" i="7" l="1"/>
  <c r="R1329" i="7"/>
  <c r="H1329" i="7" l="1"/>
  <c r="I1329" i="7" s="1"/>
  <c r="J1329" i="7" s="1"/>
  <c r="L1329" i="7"/>
  <c r="M1329" i="7" s="1"/>
  <c r="N1329" i="7" s="1"/>
  <c r="Q1330" i="7" l="1"/>
  <c r="O1329" i="7"/>
  <c r="T1330" i="7" s="1"/>
  <c r="P1330" i="7"/>
  <c r="K1329" i="7"/>
  <c r="S1330" i="7" s="1"/>
  <c r="R1330" i="7" l="1"/>
  <c r="G1330" i="7"/>
  <c r="L1330" i="7" l="1"/>
  <c r="M1330" i="7" s="1"/>
  <c r="N1330" i="7" s="1"/>
  <c r="H1330" i="7"/>
  <c r="I1330" i="7" s="1"/>
  <c r="J1330" i="7" s="1"/>
  <c r="K1330" i="7" l="1"/>
  <c r="S1331" i="7" s="1"/>
  <c r="P1331" i="7"/>
  <c r="O1330" i="7"/>
  <c r="T1331" i="7" s="1"/>
  <c r="Q1331" i="7"/>
  <c r="G1331" i="7" l="1"/>
  <c r="R1331" i="7"/>
  <c r="L1331" i="7" l="1"/>
  <c r="M1331" i="7" s="1"/>
  <c r="N1331" i="7" s="1"/>
  <c r="H1331" i="7"/>
  <c r="I1331" i="7" s="1"/>
  <c r="J1331" i="7" s="1"/>
  <c r="P1332" i="7" l="1"/>
  <c r="K1331" i="7"/>
  <c r="S1332" i="7" s="1"/>
  <c r="Q1332" i="7"/>
  <c r="O1331" i="7"/>
  <c r="T1332" i="7" s="1"/>
  <c r="R1332" i="7" l="1"/>
  <c r="G1332" i="7"/>
  <c r="L1332" i="7" l="1"/>
  <c r="M1332" i="7" s="1"/>
  <c r="N1332" i="7" s="1"/>
  <c r="H1332" i="7"/>
  <c r="I1332" i="7" s="1"/>
  <c r="J1332" i="7" s="1"/>
  <c r="P1333" i="7" l="1"/>
  <c r="K1332" i="7"/>
  <c r="S1333" i="7" s="1"/>
  <c r="Q1333" i="7"/>
  <c r="O1332" i="7"/>
  <c r="T1333" i="7" s="1"/>
  <c r="R1333" i="7" l="1"/>
  <c r="G1333" i="7"/>
  <c r="L1333" i="7" l="1"/>
  <c r="M1333" i="7" s="1"/>
  <c r="N1333" i="7" s="1"/>
  <c r="H1333" i="7"/>
  <c r="I1333" i="7" s="1"/>
  <c r="J1333" i="7" s="1"/>
  <c r="K1333" i="7" l="1"/>
  <c r="S1334" i="7" s="1"/>
  <c r="P1334" i="7"/>
  <c r="Q1334" i="7"/>
  <c r="O1333" i="7"/>
  <c r="T1334" i="7" s="1"/>
  <c r="R1334" i="7" l="1"/>
  <c r="G1334" i="7"/>
  <c r="L1334" i="7" l="1"/>
  <c r="M1334" i="7" s="1"/>
  <c r="N1334" i="7" s="1"/>
  <c r="H1334" i="7"/>
  <c r="I1334" i="7" s="1"/>
  <c r="J1334" i="7" s="1"/>
  <c r="K1334" i="7" l="1"/>
  <c r="S1335" i="7" s="1"/>
  <c r="P1335" i="7"/>
  <c r="O1334" i="7"/>
  <c r="T1335" i="7" s="1"/>
  <c r="Q1335" i="7"/>
  <c r="R1335" i="7" l="1"/>
  <c r="G1335" i="7"/>
  <c r="H1335" i="7" l="1"/>
  <c r="I1335" i="7" s="1"/>
  <c r="J1335" i="7" s="1"/>
  <c r="L1335" i="7"/>
  <c r="M1335" i="7" s="1"/>
  <c r="N1335" i="7" s="1"/>
  <c r="O1335" i="7" l="1"/>
  <c r="T1336" i="7" s="1"/>
  <c r="Q1336" i="7"/>
  <c r="P1336" i="7"/>
  <c r="K1335" i="7"/>
  <c r="S1336" i="7" s="1"/>
  <c r="G1336" i="7" l="1"/>
  <c r="R1336" i="7"/>
  <c r="H1336" i="7" l="1"/>
  <c r="I1336" i="7" s="1"/>
  <c r="J1336" i="7" s="1"/>
  <c r="L1336" i="7"/>
  <c r="M1336" i="7" s="1"/>
  <c r="N1336" i="7" s="1"/>
  <c r="O1336" i="7" l="1"/>
  <c r="T1337" i="7" s="1"/>
  <c r="Q1337" i="7"/>
  <c r="K1336" i="7"/>
  <c r="S1337" i="7" s="1"/>
  <c r="P1337" i="7"/>
  <c r="G1337" i="7" l="1"/>
  <c r="R1337" i="7"/>
  <c r="H1337" i="7" l="1"/>
  <c r="I1337" i="7" s="1"/>
  <c r="J1337" i="7" s="1"/>
  <c r="L1337" i="7"/>
  <c r="M1337" i="7" s="1"/>
  <c r="N1337" i="7" s="1"/>
  <c r="O1337" i="7" l="1"/>
  <c r="T1338" i="7" s="1"/>
  <c r="Q1338" i="7"/>
  <c r="P1338" i="7"/>
  <c r="K1337" i="7"/>
  <c r="S1338" i="7" s="1"/>
  <c r="R1338" i="7" l="1"/>
  <c r="G1338" i="7"/>
  <c r="H1338" i="7" l="1"/>
  <c r="I1338" i="7" s="1"/>
  <c r="J1338" i="7" s="1"/>
  <c r="L1338" i="7"/>
  <c r="M1338" i="7" s="1"/>
  <c r="N1338" i="7" s="1"/>
  <c r="O1338" i="7" l="1"/>
  <c r="T1339" i="7" s="1"/>
  <c r="Q1339" i="7"/>
  <c r="P1339" i="7"/>
  <c r="K1338" i="7"/>
  <c r="S1339" i="7" s="1"/>
  <c r="R1339" i="7" l="1"/>
  <c r="G1339" i="7"/>
  <c r="L1339" i="7" l="1"/>
  <c r="M1339" i="7" s="1"/>
  <c r="N1339" i="7" s="1"/>
  <c r="H1339" i="7"/>
  <c r="I1339" i="7" s="1"/>
  <c r="J1339" i="7" s="1"/>
  <c r="P1340" i="7" l="1"/>
  <c r="K1339" i="7"/>
  <c r="S1340" i="7" s="1"/>
  <c r="O1339" i="7"/>
  <c r="T1340" i="7" s="1"/>
  <c r="Q1340" i="7"/>
  <c r="G1340" i="7" l="1"/>
  <c r="R1340" i="7"/>
  <c r="H1340" i="7" l="1"/>
  <c r="I1340" i="7" s="1"/>
  <c r="J1340" i="7" s="1"/>
  <c r="L1340" i="7"/>
  <c r="M1340" i="7" s="1"/>
  <c r="N1340" i="7" s="1"/>
  <c r="O1340" i="7" l="1"/>
  <c r="T1341" i="7" s="1"/>
  <c r="Q1341" i="7"/>
  <c r="K1340" i="7"/>
  <c r="S1341" i="7" s="1"/>
  <c r="P1341" i="7"/>
  <c r="R1341" i="7" l="1"/>
  <c r="G1341" i="7"/>
  <c r="L1341" i="7" l="1"/>
  <c r="M1341" i="7" s="1"/>
  <c r="N1341" i="7" s="1"/>
  <c r="H1341" i="7"/>
  <c r="I1341" i="7" s="1"/>
  <c r="J1341" i="7" s="1"/>
  <c r="P1342" i="7" l="1"/>
  <c r="K1341" i="7"/>
  <c r="S1342" i="7" s="1"/>
  <c r="O1341" i="7"/>
  <c r="T1342" i="7" s="1"/>
  <c r="Q1342" i="7"/>
  <c r="R1342" i="7" l="1"/>
  <c r="G1342" i="7"/>
  <c r="H1342" i="7" l="1"/>
  <c r="I1342" i="7" s="1"/>
  <c r="J1342" i="7" s="1"/>
  <c r="L1342" i="7"/>
  <c r="M1342" i="7" s="1"/>
  <c r="N1342" i="7" s="1"/>
  <c r="O1342" i="7" l="1"/>
  <c r="T1343" i="7" s="1"/>
  <c r="Q1343" i="7"/>
  <c r="K1342" i="7"/>
  <c r="S1343" i="7" s="1"/>
  <c r="P1343" i="7"/>
  <c r="R1343" i="7" l="1"/>
  <c r="G1343" i="7"/>
  <c r="L1343" i="7" l="1"/>
  <c r="M1343" i="7" s="1"/>
  <c r="N1343" i="7" s="1"/>
  <c r="H1343" i="7"/>
  <c r="I1343" i="7" s="1"/>
  <c r="J1343" i="7" s="1"/>
  <c r="P1344" i="7" l="1"/>
  <c r="K1343" i="7"/>
  <c r="S1344" i="7" s="1"/>
  <c r="O1343" i="7"/>
  <c r="T1344" i="7" s="1"/>
  <c r="Q1344" i="7"/>
  <c r="R1344" i="7" l="1"/>
  <c r="G1344" i="7"/>
  <c r="L1344" i="7" l="1"/>
  <c r="M1344" i="7" s="1"/>
  <c r="N1344" i="7" s="1"/>
  <c r="H1344" i="7"/>
  <c r="I1344" i="7" s="1"/>
  <c r="J1344" i="7" s="1"/>
  <c r="K1344" i="7" l="1"/>
  <c r="S1345" i="7" s="1"/>
  <c r="P1345" i="7"/>
  <c r="Q1345" i="7"/>
  <c r="O1344" i="7"/>
  <c r="T1345" i="7" s="1"/>
  <c r="G1345" i="7" l="1"/>
  <c r="R1345" i="7"/>
  <c r="H1345" i="7" l="1"/>
  <c r="I1345" i="7" s="1"/>
  <c r="J1345" i="7" s="1"/>
  <c r="L1345" i="7"/>
  <c r="M1345" i="7" s="1"/>
  <c r="N1345" i="7" s="1"/>
  <c r="O1345" i="7" l="1"/>
  <c r="T1346" i="7" s="1"/>
  <c r="Q1346" i="7"/>
  <c r="P1346" i="7"/>
  <c r="K1345" i="7"/>
  <c r="S1346" i="7" s="1"/>
  <c r="R1346" i="7" l="1"/>
  <c r="G1346" i="7"/>
  <c r="L1346" i="7" l="1"/>
  <c r="M1346" i="7" s="1"/>
  <c r="N1346" i="7" s="1"/>
  <c r="H1346" i="7"/>
  <c r="I1346" i="7" s="1"/>
  <c r="J1346" i="7" s="1"/>
  <c r="K1346" i="7" l="1"/>
  <c r="S1347" i="7" s="1"/>
  <c r="P1347" i="7"/>
  <c r="Q1347" i="7"/>
  <c r="O1346" i="7"/>
  <c r="T1347" i="7" s="1"/>
  <c r="R1347" i="7" l="1"/>
  <c r="G1347" i="7"/>
  <c r="L1347" i="7" l="1"/>
  <c r="M1347" i="7" s="1"/>
  <c r="N1347" i="7" s="1"/>
  <c r="H1347" i="7"/>
  <c r="I1347" i="7" s="1"/>
  <c r="J1347" i="7" s="1"/>
  <c r="P1348" i="7" l="1"/>
  <c r="K1347" i="7"/>
  <c r="S1348" i="7" s="1"/>
  <c r="O1347" i="7"/>
  <c r="T1348" i="7" s="1"/>
  <c r="Q1348" i="7"/>
  <c r="R1348" i="7" l="1"/>
  <c r="G1348" i="7"/>
  <c r="H1348" i="7" l="1"/>
  <c r="I1348" i="7" s="1"/>
  <c r="J1348" i="7" s="1"/>
  <c r="L1348" i="7"/>
  <c r="M1348" i="7" s="1"/>
  <c r="N1348" i="7" s="1"/>
  <c r="O1348" i="7" l="1"/>
  <c r="T1349" i="7" s="1"/>
  <c r="Q1349" i="7"/>
  <c r="K1348" i="7"/>
  <c r="S1349" i="7" s="1"/>
  <c r="P1349" i="7"/>
  <c r="R1349" i="7" l="1"/>
  <c r="G1349" i="7"/>
  <c r="H1349" i="7" l="1"/>
  <c r="I1349" i="7" s="1"/>
  <c r="J1349" i="7" s="1"/>
  <c r="L1349" i="7"/>
  <c r="M1349" i="7" s="1"/>
  <c r="N1349" i="7" s="1"/>
  <c r="Q1350" i="7" l="1"/>
  <c r="O1349" i="7"/>
  <c r="T1350" i="7" s="1"/>
  <c r="K1349" i="7"/>
  <c r="S1350" i="7" s="1"/>
  <c r="P1350" i="7"/>
  <c r="R1350" i="7" l="1"/>
  <c r="G1350" i="7"/>
  <c r="H1350" i="7" l="1"/>
  <c r="I1350" i="7" s="1"/>
  <c r="J1350" i="7" s="1"/>
  <c r="L1350" i="7"/>
  <c r="M1350" i="7" s="1"/>
  <c r="N1350" i="7" s="1"/>
  <c r="O1350" i="7" l="1"/>
  <c r="T1351" i="7" s="1"/>
  <c r="Q1351" i="7"/>
  <c r="P1351" i="7"/>
  <c r="K1350" i="7"/>
  <c r="S1351" i="7" s="1"/>
  <c r="G1351" i="7" l="1"/>
  <c r="R1351" i="7"/>
  <c r="L1351" i="7" l="1"/>
  <c r="M1351" i="7" s="1"/>
  <c r="N1351" i="7" s="1"/>
  <c r="H1351" i="7"/>
  <c r="I1351" i="7" s="1"/>
  <c r="J1351" i="7" s="1"/>
  <c r="K1351" i="7" l="1"/>
  <c r="S1352" i="7" s="1"/>
  <c r="P1352" i="7"/>
  <c r="O1351" i="7"/>
  <c r="T1352" i="7" s="1"/>
  <c r="Q1352" i="7"/>
  <c r="R1352" i="7" l="1"/>
  <c r="G1352" i="7"/>
  <c r="L1352" i="7" l="1"/>
  <c r="M1352" i="7" s="1"/>
  <c r="N1352" i="7" s="1"/>
  <c r="H1352" i="7"/>
  <c r="I1352" i="7" s="1"/>
  <c r="J1352" i="7" s="1"/>
  <c r="P1353" i="7" l="1"/>
  <c r="K1352" i="7"/>
  <c r="S1353" i="7" s="1"/>
  <c r="O1352" i="7"/>
  <c r="T1353" i="7" s="1"/>
  <c r="Q1353" i="7"/>
  <c r="R1353" i="7" l="1"/>
  <c r="G1353" i="7"/>
  <c r="H1353" i="7" l="1"/>
  <c r="I1353" i="7" s="1"/>
  <c r="J1353" i="7" s="1"/>
  <c r="L1353" i="7"/>
  <c r="M1353" i="7" s="1"/>
  <c r="N1353" i="7" s="1"/>
  <c r="Q1354" i="7" l="1"/>
  <c r="O1353" i="7"/>
  <c r="T1354" i="7" s="1"/>
  <c r="P1354" i="7"/>
  <c r="K1353" i="7"/>
  <c r="S1354" i="7" s="1"/>
  <c r="R1354" i="7" l="1"/>
  <c r="G1354" i="7"/>
  <c r="L1354" i="7" l="1"/>
  <c r="M1354" i="7" s="1"/>
  <c r="N1354" i="7" s="1"/>
  <c r="H1354" i="7"/>
  <c r="I1354" i="7" s="1"/>
  <c r="J1354" i="7" s="1"/>
  <c r="K1354" i="7" l="1"/>
  <c r="S1355" i="7" s="1"/>
  <c r="P1355" i="7"/>
  <c r="O1354" i="7"/>
  <c r="T1355" i="7" s="1"/>
  <c r="Q1355" i="7"/>
  <c r="G1355" i="7" l="1"/>
  <c r="R1355" i="7"/>
  <c r="H1355" i="7" l="1"/>
  <c r="I1355" i="7" s="1"/>
  <c r="J1355" i="7" s="1"/>
  <c r="L1355" i="7"/>
  <c r="M1355" i="7" s="1"/>
  <c r="N1355" i="7" s="1"/>
  <c r="O1355" i="7" l="1"/>
  <c r="T1356" i="7" s="1"/>
  <c r="Q1356" i="7"/>
  <c r="P1356" i="7"/>
  <c r="K1355" i="7"/>
  <c r="S1356" i="7" s="1"/>
  <c r="G1356" i="7" l="1"/>
  <c r="R1356" i="7"/>
  <c r="L1356" i="7" l="1"/>
  <c r="M1356" i="7" s="1"/>
  <c r="N1356" i="7" s="1"/>
  <c r="H1356" i="7"/>
  <c r="I1356" i="7" s="1"/>
  <c r="J1356" i="7" s="1"/>
  <c r="K1356" i="7" l="1"/>
  <c r="S1357" i="7" s="1"/>
  <c r="P1357" i="7"/>
  <c r="Q1357" i="7"/>
  <c r="O1356" i="7"/>
  <c r="T1357" i="7" s="1"/>
  <c r="R1357" i="7" l="1"/>
  <c r="G1357" i="7"/>
  <c r="H1357" i="7" l="1"/>
  <c r="I1357" i="7" s="1"/>
  <c r="J1357" i="7" s="1"/>
  <c r="L1357" i="7"/>
  <c r="M1357" i="7" s="1"/>
  <c r="N1357" i="7" s="1"/>
  <c r="O1357" i="7" l="1"/>
  <c r="T1358" i="7" s="1"/>
  <c r="Q1358" i="7"/>
  <c r="P1358" i="7"/>
  <c r="K1357" i="7"/>
  <c r="S1358" i="7" s="1"/>
  <c r="R1358" i="7" l="1"/>
  <c r="G1358" i="7"/>
  <c r="L1358" i="7" l="1"/>
  <c r="M1358" i="7" s="1"/>
  <c r="N1358" i="7" s="1"/>
  <c r="H1358" i="7"/>
  <c r="I1358" i="7" s="1"/>
  <c r="J1358" i="7" s="1"/>
  <c r="P1359" i="7" l="1"/>
  <c r="K1358" i="7"/>
  <c r="S1359" i="7" s="1"/>
  <c r="O1358" i="7"/>
  <c r="T1359" i="7" s="1"/>
  <c r="Q1359" i="7"/>
  <c r="R1359" i="7" l="1"/>
  <c r="G1359" i="7"/>
  <c r="L1359" i="7" l="1"/>
  <c r="M1359" i="7" s="1"/>
  <c r="N1359" i="7" s="1"/>
  <c r="H1359" i="7"/>
  <c r="I1359" i="7" s="1"/>
  <c r="J1359" i="7" s="1"/>
  <c r="P1360" i="7" l="1"/>
  <c r="K1359" i="7"/>
  <c r="S1360" i="7" s="1"/>
  <c r="Q1360" i="7"/>
  <c r="O1359" i="7"/>
  <c r="T1360" i="7" s="1"/>
  <c r="G1360" i="7" l="1"/>
  <c r="R1360" i="7"/>
  <c r="L1360" i="7" l="1"/>
  <c r="M1360" i="7" s="1"/>
  <c r="N1360" i="7" s="1"/>
  <c r="H1360" i="7"/>
  <c r="I1360" i="7" s="1"/>
  <c r="J1360" i="7" s="1"/>
  <c r="P1361" i="7" l="1"/>
  <c r="K1360" i="7"/>
  <c r="S1361" i="7" s="1"/>
  <c r="O1360" i="7"/>
  <c r="T1361" i="7" s="1"/>
  <c r="Q1361" i="7"/>
  <c r="R1361" i="7" l="1"/>
  <c r="G1361" i="7"/>
  <c r="L1361" i="7" l="1"/>
  <c r="M1361" i="7" s="1"/>
  <c r="N1361" i="7" s="1"/>
  <c r="H1361" i="7"/>
  <c r="I1361" i="7" s="1"/>
  <c r="J1361" i="7" s="1"/>
  <c r="P1362" i="7" l="1"/>
  <c r="K1361" i="7"/>
  <c r="S1362" i="7" s="1"/>
  <c r="Q1362" i="7"/>
  <c r="O1361" i="7"/>
  <c r="T1362" i="7" s="1"/>
  <c r="R1362" i="7" l="1"/>
  <c r="G1362" i="7"/>
  <c r="L1362" i="7" l="1"/>
  <c r="M1362" i="7" s="1"/>
  <c r="N1362" i="7" s="1"/>
  <c r="H1362" i="7"/>
  <c r="I1362" i="7" s="1"/>
  <c r="J1362" i="7" s="1"/>
  <c r="K1362" i="7" l="1"/>
  <c r="S1363" i="7" s="1"/>
  <c r="P1363" i="7"/>
  <c r="O1362" i="7"/>
  <c r="T1363" i="7" s="1"/>
  <c r="Q1363" i="7"/>
  <c r="R1363" i="7" l="1"/>
  <c r="G1363" i="7"/>
  <c r="L1363" i="7" l="1"/>
  <c r="M1363" i="7" s="1"/>
  <c r="N1363" i="7" s="1"/>
  <c r="H1363" i="7"/>
  <c r="I1363" i="7" s="1"/>
  <c r="J1363" i="7" s="1"/>
  <c r="P1364" i="7" l="1"/>
  <c r="K1363" i="7"/>
  <c r="S1364" i="7" s="1"/>
  <c r="O1363" i="7"/>
  <c r="T1364" i="7" s="1"/>
  <c r="Q1364" i="7"/>
  <c r="R1364" i="7" l="1"/>
  <c r="G1364" i="7"/>
  <c r="H1364" i="7" l="1"/>
  <c r="I1364" i="7" s="1"/>
  <c r="J1364" i="7" s="1"/>
  <c r="L1364" i="7"/>
  <c r="M1364" i="7" s="1"/>
  <c r="N1364" i="7" s="1"/>
  <c r="O1364" i="7" l="1"/>
  <c r="T1365" i="7" s="1"/>
  <c r="Q1365" i="7"/>
  <c r="P1365" i="7"/>
  <c r="K1364" i="7"/>
  <c r="S1365" i="7" s="1"/>
  <c r="G1365" i="7" l="1"/>
  <c r="R1365" i="7"/>
  <c r="H1365" i="7" l="1"/>
  <c r="I1365" i="7" s="1"/>
  <c r="J1365" i="7" s="1"/>
  <c r="L1365" i="7"/>
  <c r="M1365" i="7" s="1"/>
  <c r="N1365" i="7" s="1"/>
  <c r="O1365" i="7" l="1"/>
  <c r="T1366" i="7" s="1"/>
  <c r="Q1366" i="7"/>
  <c r="P1366" i="7"/>
  <c r="K1365" i="7"/>
  <c r="S1366" i="7" s="1"/>
  <c r="R1366" i="7" l="1"/>
  <c r="G1366" i="7"/>
  <c r="H1366" i="7" l="1"/>
  <c r="I1366" i="7" s="1"/>
  <c r="J1366" i="7" s="1"/>
  <c r="L1366" i="7"/>
  <c r="M1366" i="7" s="1"/>
  <c r="N1366" i="7" s="1"/>
  <c r="O1366" i="7" l="1"/>
  <c r="T1367" i="7" s="1"/>
  <c r="Q1367" i="7"/>
  <c r="K1366" i="7"/>
  <c r="S1367" i="7" s="1"/>
  <c r="P1367" i="7"/>
  <c r="R1367" i="7" l="1"/>
  <c r="G1367" i="7"/>
  <c r="L1367" i="7" l="1"/>
  <c r="M1367" i="7" s="1"/>
  <c r="N1367" i="7" s="1"/>
  <c r="H1367" i="7"/>
  <c r="I1367" i="7" s="1"/>
  <c r="J1367" i="7" s="1"/>
  <c r="K1367" i="7" l="1"/>
  <c r="S1368" i="7" s="1"/>
  <c r="P1368" i="7"/>
  <c r="O1367" i="7"/>
  <c r="T1368" i="7" s="1"/>
  <c r="Q1368" i="7"/>
  <c r="R1368" i="7" l="1"/>
  <c r="G1368" i="7"/>
  <c r="H1368" i="7" l="1"/>
  <c r="I1368" i="7" s="1"/>
  <c r="J1368" i="7" s="1"/>
  <c r="L1368" i="7"/>
  <c r="M1368" i="7" s="1"/>
  <c r="N1368" i="7" s="1"/>
  <c r="Q1369" i="7" l="1"/>
  <c r="O1368" i="7"/>
  <c r="T1369" i="7" s="1"/>
  <c r="P1369" i="7"/>
  <c r="K1368" i="7"/>
  <c r="S1369" i="7" s="1"/>
  <c r="G1369" i="7" l="1"/>
  <c r="R1369" i="7"/>
  <c r="H1369" i="7" l="1"/>
  <c r="I1369" i="7" s="1"/>
  <c r="J1369" i="7" s="1"/>
  <c r="L1369" i="7"/>
  <c r="M1369" i="7" s="1"/>
  <c r="N1369" i="7" s="1"/>
  <c r="O1369" i="7" l="1"/>
  <c r="T1370" i="7" s="1"/>
  <c r="Q1370" i="7"/>
  <c r="K1369" i="7"/>
  <c r="S1370" i="7" s="1"/>
  <c r="P1370" i="7"/>
  <c r="G1370" i="7" l="1"/>
  <c r="R1370" i="7"/>
  <c r="L1370" i="7" l="1"/>
  <c r="M1370" i="7" s="1"/>
  <c r="N1370" i="7" s="1"/>
  <c r="H1370" i="7"/>
  <c r="I1370" i="7" s="1"/>
  <c r="J1370" i="7" s="1"/>
  <c r="K1370" i="7" l="1"/>
  <c r="S1371" i="7" s="1"/>
  <c r="P1371" i="7"/>
  <c r="O1370" i="7"/>
  <c r="T1371" i="7" s="1"/>
  <c r="Q1371" i="7"/>
  <c r="R1371" i="7" l="1"/>
  <c r="G1371" i="7"/>
  <c r="L1371" i="7" l="1"/>
  <c r="M1371" i="7" s="1"/>
  <c r="N1371" i="7" s="1"/>
  <c r="H1371" i="7"/>
  <c r="I1371" i="7" s="1"/>
  <c r="J1371" i="7" s="1"/>
  <c r="K1371" i="7" l="1"/>
  <c r="S1372" i="7" s="1"/>
  <c r="P1372" i="7"/>
  <c r="O1371" i="7"/>
  <c r="T1372" i="7" s="1"/>
  <c r="Q1372" i="7"/>
  <c r="R1372" i="7" l="1"/>
  <c r="G1372" i="7"/>
  <c r="H1372" i="7" l="1"/>
  <c r="I1372" i="7" s="1"/>
  <c r="J1372" i="7" s="1"/>
  <c r="L1372" i="7"/>
  <c r="M1372" i="7" s="1"/>
  <c r="N1372" i="7" s="1"/>
  <c r="Q1373" i="7" l="1"/>
  <c r="O1372" i="7"/>
  <c r="T1373" i="7" s="1"/>
  <c r="P1373" i="7"/>
  <c r="K1372" i="7"/>
  <c r="S1373" i="7" s="1"/>
  <c r="R1373" i="7" l="1"/>
  <c r="G1373" i="7"/>
  <c r="L1373" i="7" l="1"/>
  <c r="M1373" i="7" s="1"/>
  <c r="N1373" i="7" s="1"/>
  <c r="H1373" i="7"/>
  <c r="I1373" i="7" s="1"/>
  <c r="J1373" i="7" s="1"/>
  <c r="K1373" i="7" l="1"/>
  <c r="S1374" i="7" s="1"/>
  <c r="P1374" i="7"/>
  <c r="Q1374" i="7"/>
  <c r="O1373" i="7"/>
  <c r="T1374" i="7" s="1"/>
  <c r="R1374" i="7" l="1"/>
  <c r="G1374" i="7"/>
  <c r="L1374" i="7" l="1"/>
  <c r="M1374" i="7" s="1"/>
  <c r="N1374" i="7" s="1"/>
  <c r="H1374" i="7"/>
  <c r="I1374" i="7" s="1"/>
  <c r="J1374" i="7" s="1"/>
  <c r="K1374" i="7" l="1"/>
  <c r="S1375" i="7" s="1"/>
  <c r="P1375" i="7"/>
  <c r="Q1375" i="7"/>
  <c r="O1374" i="7"/>
  <c r="T1375" i="7" s="1"/>
  <c r="G1375" i="7" l="1"/>
  <c r="R1375" i="7"/>
  <c r="H1375" i="7" l="1"/>
  <c r="I1375" i="7" s="1"/>
  <c r="J1375" i="7" s="1"/>
  <c r="L1375" i="7"/>
  <c r="M1375" i="7" s="1"/>
  <c r="N1375" i="7" s="1"/>
  <c r="O1375" i="7" l="1"/>
  <c r="T1376" i="7" s="1"/>
  <c r="Q1376" i="7"/>
  <c r="K1375" i="7"/>
  <c r="S1376" i="7" s="1"/>
  <c r="P1376" i="7"/>
  <c r="R1376" i="7" l="1"/>
  <c r="G1376" i="7"/>
  <c r="H1376" i="7" l="1"/>
  <c r="I1376" i="7" s="1"/>
  <c r="J1376" i="7" s="1"/>
  <c r="L1376" i="7"/>
  <c r="M1376" i="7" s="1"/>
  <c r="N1376" i="7" s="1"/>
  <c r="O1376" i="7" l="1"/>
  <c r="T1377" i="7" s="1"/>
  <c r="Q1377" i="7"/>
  <c r="K1376" i="7"/>
  <c r="S1377" i="7" s="1"/>
  <c r="P1377" i="7"/>
  <c r="G1377" i="7" l="1"/>
  <c r="R1377" i="7"/>
  <c r="L1377" i="7" l="1"/>
  <c r="M1377" i="7" s="1"/>
  <c r="N1377" i="7" s="1"/>
  <c r="H1377" i="7"/>
  <c r="I1377" i="7" s="1"/>
  <c r="J1377" i="7" s="1"/>
  <c r="P1378" i="7" l="1"/>
  <c r="K1377" i="7"/>
  <c r="S1378" i="7" s="1"/>
  <c r="Q1378" i="7"/>
  <c r="O1377" i="7"/>
  <c r="T1378" i="7" s="1"/>
  <c r="R1378" i="7" l="1"/>
  <c r="G1378" i="7"/>
  <c r="L1378" i="7" l="1"/>
  <c r="M1378" i="7" s="1"/>
  <c r="N1378" i="7" s="1"/>
  <c r="H1378" i="7"/>
  <c r="I1378" i="7" s="1"/>
  <c r="J1378" i="7" s="1"/>
  <c r="P1379" i="7" l="1"/>
  <c r="K1378" i="7"/>
  <c r="S1379" i="7" s="1"/>
  <c r="O1378" i="7"/>
  <c r="T1379" i="7" s="1"/>
  <c r="Q1379" i="7"/>
  <c r="G1379" i="7" l="1"/>
  <c r="R1379" i="7"/>
  <c r="H1379" i="7" l="1"/>
  <c r="I1379" i="7" s="1"/>
  <c r="J1379" i="7" s="1"/>
  <c r="L1379" i="7"/>
  <c r="M1379" i="7" s="1"/>
  <c r="N1379" i="7" s="1"/>
  <c r="O1379" i="7" l="1"/>
  <c r="T1380" i="7" s="1"/>
  <c r="Q1380" i="7"/>
  <c r="P1380" i="7"/>
  <c r="K1379" i="7"/>
  <c r="S1380" i="7" s="1"/>
  <c r="G1380" i="7" l="1"/>
  <c r="R1380" i="7"/>
  <c r="L1380" i="7" l="1"/>
  <c r="M1380" i="7" s="1"/>
  <c r="N1380" i="7" s="1"/>
  <c r="H1380" i="7"/>
  <c r="I1380" i="7" s="1"/>
  <c r="J1380" i="7" s="1"/>
  <c r="P1381" i="7" l="1"/>
  <c r="K1380" i="7"/>
  <c r="S1381" i="7" s="1"/>
  <c r="Q1381" i="7"/>
  <c r="O1380" i="7"/>
  <c r="T1381" i="7" s="1"/>
  <c r="R1381" i="7" l="1"/>
  <c r="G1381" i="7"/>
  <c r="L1381" i="7" l="1"/>
  <c r="M1381" i="7" s="1"/>
  <c r="N1381" i="7" s="1"/>
  <c r="H1381" i="7"/>
  <c r="I1381" i="7" s="1"/>
  <c r="J1381" i="7" s="1"/>
  <c r="K1381" i="7" l="1"/>
  <c r="S1382" i="7" s="1"/>
  <c r="P1382" i="7"/>
  <c r="O1381" i="7"/>
  <c r="T1382" i="7" s="1"/>
  <c r="Q1382" i="7"/>
  <c r="R1382" i="7" l="1"/>
  <c r="G1382" i="7"/>
  <c r="H1382" i="7" l="1"/>
  <c r="I1382" i="7" s="1"/>
  <c r="J1382" i="7" s="1"/>
  <c r="L1382" i="7"/>
  <c r="M1382" i="7" s="1"/>
  <c r="N1382" i="7" s="1"/>
  <c r="Q1383" i="7" l="1"/>
  <c r="O1382" i="7"/>
  <c r="T1383" i="7" s="1"/>
  <c r="P1383" i="7"/>
  <c r="K1382" i="7"/>
  <c r="S1383" i="7" s="1"/>
  <c r="G1383" i="7" l="1"/>
  <c r="R1383" i="7"/>
  <c r="L1383" i="7" l="1"/>
  <c r="M1383" i="7" s="1"/>
  <c r="N1383" i="7" s="1"/>
  <c r="H1383" i="7"/>
  <c r="I1383" i="7" s="1"/>
  <c r="J1383" i="7" s="1"/>
  <c r="K1383" i="7" l="1"/>
  <c r="S1384" i="7" s="1"/>
  <c r="P1384" i="7"/>
  <c r="Q1384" i="7"/>
  <c r="O1383" i="7"/>
  <c r="T1384" i="7" s="1"/>
  <c r="G1384" i="7" l="1"/>
  <c r="R1384" i="7"/>
  <c r="H1384" i="7" l="1"/>
  <c r="I1384" i="7" s="1"/>
  <c r="J1384" i="7" s="1"/>
  <c r="L1384" i="7"/>
  <c r="M1384" i="7" s="1"/>
  <c r="N1384" i="7" s="1"/>
  <c r="Q1385" i="7" l="1"/>
  <c r="O1384" i="7"/>
  <c r="T1385" i="7" s="1"/>
  <c r="K1384" i="7"/>
  <c r="S1385" i="7" s="1"/>
  <c r="P1385" i="7"/>
  <c r="G1385" i="7" l="1"/>
  <c r="R1385" i="7"/>
  <c r="L1385" i="7" l="1"/>
  <c r="M1385" i="7" s="1"/>
  <c r="N1385" i="7" s="1"/>
  <c r="H1385" i="7"/>
  <c r="I1385" i="7" s="1"/>
  <c r="J1385" i="7" s="1"/>
  <c r="P1386" i="7" l="1"/>
  <c r="K1385" i="7"/>
  <c r="S1386" i="7" s="1"/>
  <c r="O1385" i="7"/>
  <c r="T1386" i="7" s="1"/>
  <c r="Q1386" i="7"/>
  <c r="R1386" i="7" l="1"/>
  <c r="G1386" i="7"/>
  <c r="L1386" i="7" l="1"/>
  <c r="M1386" i="7" s="1"/>
  <c r="N1386" i="7" s="1"/>
  <c r="H1386" i="7"/>
  <c r="I1386" i="7" s="1"/>
  <c r="J1386" i="7" s="1"/>
  <c r="P1387" i="7" l="1"/>
  <c r="K1386" i="7"/>
  <c r="S1387" i="7" s="1"/>
  <c r="Q1387" i="7"/>
  <c r="O1386" i="7"/>
  <c r="T1387" i="7" s="1"/>
  <c r="R1387" i="7" l="1"/>
  <c r="G1387" i="7"/>
  <c r="L1387" i="7" l="1"/>
  <c r="M1387" i="7" s="1"/>
  <c r="N1387" i="7" s="1"/>
  <c r="H1387" i="7"/>
  <c r="I1387" i="7" s="1"/>
  <c r="J1387" i="7" s="1"/>
  <c r="P1388" i="7" l="1"/>
  <c r="K1387" i="7"/>
  <c r="S1388" i="7" s="1"/>
  <c r="Q1388" i="7"/>
  <c r="O1387" i="7"/>
  <c r="T1388" i="7" s="1"/>
  <c r="G1388" i="7" l="1"/>
  <c r="R1388" i="7"/>
  <c r="H1388" i="7" l="1"/>
  <c r="I1388" i="7" s="1"/>
  <c r="J1388" i="7" s="1"/>
  <c r="L1388" i="7"/>
  <c r="M1388" i="7" s="1"/>
  <c r="N1388" i="7" s="1"/>
  <c r="O1388" i="7" l="1"/>
  <c r="T1389" i="7" s="1"/>
  <c r="Q1389" i="7"/>
  <c r="K1388" i="7"/>
  <c r="S1389" i="7" s="1"/>
  <c r="P1389" i="7"/>
  <c r="G1389" i="7" l="1"/>
  <c r="R1389" i="7"/>
  <c r="L1389" i="7" l="1"/>
  <c r="M1389" i="7" s="1"/>
  <c r="N1389" i="7" s="1"/>
  <c r="H1389" i="7"/>
  <c r="I1389" i="7" s="1"/>
  <c r="J1389" i="7" s="1"/>
  <c r="P1390" i="7" l="1"/>
  <c r="K1389" i="7"/>
  <c r="S1390" i="7" s="1"/>
  <c r="O1389" i="7"/>
  <c r="T1390" i="7" s="1"/>
  <c r="Q1390" i="7"/>
  <c r="G1390" i="7" l="1"/>
  <c r="R1390" i="7"/>
  <c r="L1390" i="7" l="1"/>
  <c r="M1390" i="7" s="1"/>
  <c r="N1390" i="7" s="1"/>
  <c r="H1390" i="7"/>
  <c r="I1390" i="7" s="1"/>
  <c r="J1390" i="7" s="1"/>
  <c r="K1390" i="7" l="1"/>
  <c r="S1391" i="7" s="1"/>
  <c r="P1391" i="7"/>
  <c r="O1390" i="7"/>
  <c r="T1391" i="7" s="1"/>
  <c r="Q1391" i="7"/>
  <c r="G1391" i="7" l="1"/>
  <c r="R1391" i="7"/>
  <c r="L1391" i="7" l="1"/>
  <c r="M1391" i="7" s="1"/>
  <c r="N1391" i="7" s="1"/>
  <c r="H1391" i="7"/>
  <c r="I1391" i="7" s="1"/>
  <c r="J1391" i="7" s="1"/>
  <c r="K1391" i="7" l="1"/>
  <c r="S1392" i="7" s="1"/>
  <c r="P1392" i="7"/>
  <c r="O1391" i="7"/>
  <c r="T1392" i="7" s="1"/>
  <c r="Q1392" i="7"/>
  <c r="R1392" i="7" l="1"/>
  <c r="G1392" i="7"/>
  <c r="L1392" i="7" l="1"/>
  <c r="M1392" i="7" s="1"/>
  <c r="N1392" i="7" s="1"/>
  <c r="H1392" i="7"/>
  <c r="I1392" i="7" s="1"/>
  <c r="J1392" i="7" s="1"/>
  <c r="K1392" i="7" l="1"/>
  <c r="S1393" i="7" s="1"/>
  <c r="P1393" i="7"/>
  <c r="O1392" i="7"/>
  <c r="T1393" i="7" s="1"/>
  <c r="Q1393" i="7"/>
  <c r="R1393" i="7" l="1"/>
  <c r="G1393" i="7"/>
  <c r="L1393" i="7" l="1"/>
  <c r="M1393" i="7" s="1"/>
  <c r="N1393" i="7" s="1"/>
  <c r="H1393" i="7"/>
  <c r="I1393" i="7" s="1"/>
  <c r="J1393" i="7" s="1"/>
  <c r="K1393" i="7" l="1"/>
  <c r="S1394" i="7" s="1"/>
  <c r="P1394" i="7"/>
  <c r="O1393" i="7"/>
  <c r="T1394" i="7" s="1"/>
  <c r="Q1394" i="7"/>
  <c r="G1394" i="7" l="1"/>
  <c r="R1394" i="7"/>
  <c r="H1394" i="7" l="1"/>
  <c r="I1394" i="7" s="1"/>
  <c r="J1394" i="7" s="1"/>
  <c r="L1394" i="7"/>
  <c r="M1394" i="7" s="1"/>
  <c r="N1394" i="7" s="1"/>
  <c r="Q1395" i="7" l="1"/>
  <c r="O1394" i="7"/>
  <c r="T1395" i="7" s="1"/>
  <c r="P1395" i="7"/>
  <c r="K1394" i="7"/>
  <c r="S1395" i="7" s="1"/>
  <c r="G1395" i="7" l="1"/>
  <c r="R1395" i="7"/>
  <c r="H1395" i="7" l="1"/>
  <c r="I1395" i="7" s="1"/>
  <c r="J1395" i="7" s="1"/>
  <c r="L1395" i="7"/>
  <c r="M1395" i="7" s="1"/>
  <c r="N1395" i="7" s="1"/>
  <c r="O1395" i="7" l="1"/>
  <c r="T1396" i="7" s="1"/>
  <c r="Q1396" i="7"/>
  <c r="P1396" i="7"/>
  <c r="K1395" i="7"/>
  <c r="S1396" i="7" s="1"/>
  <c r="G1396" i="7" l="1"/>
  <c r="R1396" i="7"/>
  <c r="H1396" i="7" l="1"/>
  <c r="I1396" i="7" s="1"/>
  <c r="J1396" i="7" s="1"/>
  <c r="L1396" i="7"/>
  <c r="M1396" i="7" s="1"/>
  <c r="N1396" i="7" s="1"/>
  <c r="O1396" i="7" l="1"/>
  <c r="T1397" i="7" s="1"/>
  <c r="Q1397" i="7"/>
  <c r="K1396" i="7"/>
  <c r="S1397" i="7" s="1"/>
  <c r="P1397" i="7"/>
  <c r="R1397" i="7" l="1"/>
  <c r="G1397" i="7"/>
  <c r="L1397" i="7" l="1"/>
  <c r="M1397" i="7" s="1"/>
  <c r="N1397" i="7" s="1"/>
  <c r="H1397" i="7"/>
  <c r="I1397" i="7" s="1"/>
  <c r="J1397" i="7" s="1"/>
  <c r="K1397" i="7" l="1"/>
  <c r="S1398" i="7" s="1"/>
  <c r="P1398" i="7"/>
  <c r="Q1398" i="7"/>
  <c r="O1397" i="7"/>
  <c r="T1398" i="7" s="1"/>
  <c r="G1398" i="7" l="1"/>
  <c r="R1398" i="7"/>
  <c r="L1398" i="7" l="1"/>
  <c r="M1398" i="7" s="1"/>
  <c r="N1398" i="7" s="1"/>
  <c r="H1398" i="7"/>
  <c r="I1398" i="7" s="1"/>
  <c r="J1398" i="7" s="1"/>
  <c r="K1398" i="7" l="1"/>
  <c r="S1399" i="7" s="1"/>
  <c r="P1399" i="7"/>
  <c r="O1398" i="7"/>
  <c r="T1399" i="7" s="1"/>
  <c r="Q1399" i="7"/>
  <c r="R1399" i="7" l="1"/>
  <c r="G1399" i="7"/>
  <c r="L1399" i="7" l="1"/>
  <c r="M1399" i="7" s="1"/>
  <c r="N1399" i="7" s="1"/>
  <c r="H1399" i="7"/>
  <c r="I1399" i="7" s="1"/>
  <c r="J1399" i="7" s="1"/>
  <c r="P1400" i="7" l="1"/>
  <c r="K1399" i="7"/>
  <c r="S1400" i="7" s="1"/>
  <c r="Q1400" i="7"/>
  <c r="O1399" i="7"/>
  <c r="T1400" i="7" s="1"/>
  <c r="R1400" i="7" l="1"/>
  <c r="G1400" i="7"/>
  <c r="L1400" i="7" l="1"/>
  <c r="M1400" i="7" s="1"/>
  <c r="N1400" i="7" s="1"/>
  <c r="H1400" i="7"/>
  <c r="I1400" i="7" s="1"/>
  <c r="J1400" i="7" s="1"/>
  <c r="P1401" i="7" l="1"/>
  <c r="K1400" i="7"/>
  <c r="S1401" i="7" s="1"/>
  <c r="O1400" i="7"/>
  <c r="T1401" i="7" s="1"/>
  <c r="Q1401" i="7"/>
  <c r="G1401" i="7" l="1"/>
  <c r="R1401" i="7"/>
  <c r="H1401" i="7" l="1"/>
  <c r="I1401" i="7" s="1"/>
  <c r="J1401" i="7" s="1"/>
  <c r="L1401" i="7"/>
  <c r="M1401" i="7" s="1"/>
  <c r="N1401" i="7" s="1"/>
  <c r="Q1402" i="7" l="1"/>
  <c r="O1401" i="7"/>
  <c r="T1402" i="7" s="1"/>
  <c r="P1402" i="7"/>
  <c r="K1401" i="7"/>
  <c r="S1402" i="7" s="1"/>
  <c r="R1402" i="7" l="1"/>
  <c r="G1402" i="7"/>
  <c r="L1402" i="7" l="1"/>
  <c r="M1402" i="7" s="1"/>
  <c r="N1402" i="7" s="1"/>
  <c r="H1402" i="7"/>
  <c r="I1402" i="7" s="1"/>
  <c r="J1402" i="7" s="1"/>
  <c r="K1402" i="7" l="1"/>
  <c r="S1403" i="7" s="1"/>
  <c r="P1403" i="7"/>
  <c r="O1402" i="7"/>
  <c r="T1403" i="7" s="1"/>
  <c r="Q1403" i="7"/>
  <c r="G1403" i="7" l="1"/>
  <c r="R1403" i="7"/>
  <c r="L1403" i="7" l="1"/>
  <c r="M1403" i="7" s="1"/>
  <c r="N1403" i="7" s="1"/>
  <c r="H1403" i="7"/>
  <c r="I1403" i="7" s="1"/>
  <c r="J1403" i="7" s="1"/>
  <c r="K1403" i="7" l="1"/>
  <c r="S1404" i="7" s="1"/>
  <c r="P1404" i="7"/>
  <c r="Q1404" i="7"/>
  <c r="O1403" i="7"/>
  <c r="T1404" i="7" s="1"/>
  <c r="R1404" i="7" l="1"/>
  <c r="G1404" i="7"/>
  <c r="L1404" i="7" l="1"/>
  <c r="M1404" i="7" s="1"/>
  <c r="N1404" i="7" s="1"/>
  <c r="H1404" i="7"/>
  <c r="I1404" i="7" s="1"/>
  <c r="J1404" i="7" s="1"/>
  <c r="P1405" i="7" l="1"/>
  <c r="K1404" i="7"/>
  <c r="S1405" i="7" s="1"/>
  <c r="O1404" i="7"/>
  <c r="T1405" i="7" s="1"/>
  <c r="Q1405" i="7"/>
  <c r="R1405" i="7" l="1"/>
  <c r="G1405" i="7"/>
  <c r="H1405" i="7" l="1"/>
  <c r="I1405" i="7" s="1"/>
  <c r="J1405" i="7" s="1"/>
  <c r="L1405" i="7"/>
  <c r="M1405" i="7" s="1"/>
  <c r="N1405" i="7" s="1"/>
  <c r="Q1406" i="7" l="1"/>
  <c r="O1405" i="7"/>
  <c r="T1406" i="7" s="1"/>
  <c r="K1405" i="7"/>
  <c r="S1406" i="7" s="1"/>
  <c r="P1406" i="7"/>
  <c r="G1406" i="7" l="1"/>
  <c r="R1406" i="7"/>
  <c r="L1406" i="7" l="1"/>
  <c r="M1406" i="7" s="1"/>
  <c r="N1406" i="7" s="1"/>
  <c r="H1406" i="7"/>
  <c r="I1406" i="7" s="1"/>
  <c r="J1406" i="7" s="1"/>
  <c r="P1407" i="7" l="1"/>
  <c r="K1406" i="7"/>
  <c r="S1407" i="7" s="1"/>
  <c r="Q1407" i="7"/>
  <c r="O1406" i="7"/>
  <c r="T1407" i="7" s="1"/>
  <c r="R1407" i="7" l="1"/>
  <c r="G1407" i="7"/>
  <c r="L1407" i="7" l="1"/>
  <c r="M1407" i="7" s="1"/>
  <c r="N1407" i="7" s="1"/>
  <c r="H1407" i="7"/>
  <c r="I1407" i="7" s="1"/>
  <c r="J1407" i="7" s="1"/>
  <c r="K1407" i="7" l="1"/>
  <c r="S1408" i="7" s="1"/>
  <c r="P1408" i="7"/>
  <c r="O1407" i="7"/>
  <c r="T1408" i="7" s="1"/>
  <c r="Q1408" i="7"/>
  <c r="G1408" i="7" l="1"/>
  <c r="R1408" i="7"/>
  <c r="H1408" i="7" l="1"/>
  <c r="I1408" i="7" s="1"/>
  <c r="J1408" i="7" s="1"/>
  <c r="L1408" i="7"/>
  <c r="M1408" i="7" s="1"/>
  <c r="N1408" i="7" s="1"/>
  <c r="O1408" i="7" l="1"/>
  <c r="T1409" i="7" s="1"/>
  <c r="Q1409" i="7"/>
  <c r="K1408" i="7"/>
  <c r="S1409" i="7" s="1"/>
  <c r="P1409" i="7"/>
  <c r="G1409" i="7" l="1"/>
  <c r="R1409" i="7"/>
  <c r="H1409" i="7" l="1"/>
  <c r="I1409" i="7" s="1"/>
  <c r="J1409" i="7" s="1"/>
  <c r="L1409" i="7"/>
  <c r="M1409" i="7" s="1"/>
  <c r="N1409" i="7" s="1"/>
  <c r="O1409" i="7" l="1"/>
  <c r="T1410" i="7" s="1"/>
  <c r="Q1410" i="7"/>
  <c r="K1409" i="7"/>
  <c r="S1410" i="7" s="1"/>
  <c r="P1410" i="7"/>
  <c r="R1410" i="7" l="1"/>
  <c r="G1410" i="7"/>
  <c r="L1410" i="7" l="1"/>
  <c r="M1410" i="7" s="1"/>
  <c r="N1410" i="7" s="1"/>
  <c r="H1410" i="7"/>
  <c r="I1410" i="7" s="1"/>
  <c r="J1410" i="7" s="1"/>
  <c r="P1411" i="7" l="1"/>
  <c r="K1410" i="7"/>
  <c r="S1411" i="7" s="1"/>
  <c r="O1410" i="7"/>
  <c r="T1411" i="7" s="1"/>
  <c r="Q1411" i="7"/>
  <c r="R1411" i="7" l="1"/>
  <c r="G1411" i="7"/>
  <c r="H1411" i="7" l="1"/>
  <c r="I1411" i="7" s="1"/>
  <c r="J1411" i="7" s="1"/>
  <c r="L1411" i="7"/>
  <c r="M1411" i="7" s="1"/>
  <c r="N1411" i="7" s="1"/>
  <c r="O1411" i="7" l="1"/>
  <c r="T1412" i="7" s="1"/>
  <c r="Q1412" i="7"/>
  <c r="P1412" i="7"/>
  <c r="K1411" i="7"/>
  <c r="S1412" i="7" s="1"/>
  <c r="R1412" i="7" l="1"/>
  <c r="G1412" i="7"/>
  <c r="H1412" i="7" l="1"/>
  <c r="I1412" i="7" s="1"/>
  <c r="J1412" i="7" s="1"/>
  <c r="L1412" i="7"/>
  <c r="M1412" i="7" s="1"/>
  <c r="N1412" i="7" s="1"/>
  <c r="O1412" i="7" l="1"/>
  <c r="T1413" i="7" s="1"/>
  <c r="Q1413" i="7"/>
  <c r="P1413" i="7"/>
  <c r="K1412" i="7"/>
  <c r="S1413" i="7" s="1"/>
  <c r="G1413" i="7" l="1"/>
  <c r="R1413" i="7"/>
  <c r="L1413" i="7" l="1"/>
  <c r="M1413" i="7" s="1"/>
  <c r="N1413" i="7" s="1"/>
  <c r="H1413" i="7"/>
  <c r="I1413" i="7" s="1"/>
  <c r="J1413" i="7" s="1"/>
  <c r="K1413" i="7" l="1"/>
  <c r="S1414" i="7" s="1"/>
  <c r="P1414" i="7"/>
  <c r="O1413" i="7"/>
  <c r="T1414" i="7" s="1"/>
  <c r="Q1414" i="7"/>
  <c r="G1414" i="7" l="1"/>
  <c r="R1414" i="7"/>
  <c r="H1414" i="7" l="1"/>
  <c r="I1414" i="7" s="1"/>
  <c r="J1414" i="7" s="1"/>
  <c r="L1414" i="7"/>
  <c r="M1414" i="7" s="1"/>
  <c r="N1414" i="7" s="1"/>
  <c r="O1414" i="7" l="1"/>
  <c r="T1415" i="7" s="1"/>
  <c r="Q1415" i="7"/>
  <c r="P1415" i="7"/>
  <c r="K1414" i="7"/>
  <c r="S1415" i="7" s="1"/>
  <c r="R1415" i="7" l="1"/>
  <c r="G1415" i="7"/>
  <c r="H1415" i="7" l="1"/>
  <c r="I1415" i="7" s="1"/>
  <c r="J1415" i="7" s="1"/>
  <c r="L1415" i="7"/>
  <c r="M1415" i="7" s="1"/>
  <c r="N1415" i="7" s="1"/>
  <c r="O1415" i="7" l="1"/>
  <c r="T1416" i="7" s="1"/>
  <c r="Q1416" i="7"/>
  <c r="P1416" i="7"/>
  <c r="K1415" i="7"/>
  <c r="S1416" i="7" s="1"/>
  <c r="R1416" i="7" l="1"/>
  <c r="G1416" i="7"/>
  <c r="H1416" i="7" l="1"/>
  <c r="I1416" i="7" s="1"/>
  <c r="J1416" i="7" s="1"/>
  <c r="L1416" i="7"/>
  <c r="M1416" i="7" s="1"/>
  <c r="N1416" i="7" s="1"/>
  <c r="Q1417" i="7" l="1"/>
  <c r="O1416" i="7"/>
  <c r="T1417" i="7" s="1"/>
  <c r="P1417" i="7"/>
  <c r="K1416" i="7"/>
  <c r="S1417" i="7" s="1"/>
  <c r="G1417" i="7" l="1"/>
  <c r="R1417" i="7"/>
  <c r="H1417" i="7" l="1"/>
  <c r="I1417" i="7" s="1"/>
  <c r="J1417" i="7" s="1"/>
  <c r="L1417" i="7"/>
  <c r="M1417" i="7" s="1"/>
  <c r="N1417" i="7" s="1"/>
  <c r="O1417" i="7" l="1"/>
  <c r="T1418" i="7" s="1"/>
  <c r="Q1418" i="7"/>
  <c r="P1418" i="7"/>
  <c r="K1417" i="7"/>
  <c r="S1418" i="7" s="1"/>
  <c r="G1418" i="7" l="1"/>
  <c r="R1418" i="7"/>
  <c r="H1418" i="7" l="1"/>
  <c r="I1418" i="7" s="1"/>
  <c r="J1418" i="7" s="1"/>
  <c r="L1418" i="7"/>
  <c r="M1418" i="7" s="1"/>
  <c r="N1418" i="7" s="1"/>
  <c r="Q1419" i="7" l="1"/>
  <c r="O1418" i="7"/>
  <c r="T1419" i="7" s="1"/>
  <c r="K1418" i="7"/>
  <c r="S1419" i="7" s="1"/>
  <c r="P1419" i="7"/>
  <c r="R1419" i="7" l="1"/>
  <c r="G1419" i="7"/>
  <c r="L1419" i="7" l="1"/>
  <c r="M1419" i="7" s="1"/>
  <c r="N1419" i="7" s="1"/>
  <c r="H1419" i="7"/>
  <c r="I1419" i="7" s="1"/>
  <c r="J1419" i="7" s="1"/>
  <c r="P1420" i="7" l="1"/>
  <c r="K1419" i="7"/>
  <c r="S1420" i="7" s="1"/>
  <c r="O1419" i="7"/>
  <c r="T1420" i="7" s="1"/>
  <c r="Q1420" i="7"/>
  <c r="R1420" i="7" l="1"/>
  <c r="G1420" i="7"/>
  <c r="H1420" i="7" l="1"/>
  <c r="I1420" i="7" s="1"/>
  <c r="J1420" i="7" s="1"/>
  <c r="L1420" i="7"/>
  <c r="M1420" i="7" s="1"/>
  <c r="N1420" i="7" s="1"/>
  <c r="O1420" i="7" l="1"/>
  <c r="T1421" i="7" s="1"/>
  <c r="Q1421" i="7"/>
  <c r="K1420" i="7"/>
  <c r="S1421" i="7" s="1"/>
  <c r="P1421" i="7"/>
  <c r="R1421" i="7" l="1"/>
  <c r="G1421" i="7"/>
  <c r="L1421" i="7" l="1"/>
  <c r="M1421" i="7" s="1"/>
  <c r="N1421" i="7" s="1"/>
  <c r="H1421" i="7"/>
  <c r="I1421" i="7" s="1"/>
  <c r="J1421" i="7" s="1"/>
  <c r="P1422" i="7" l="1"/>
  <c r="K1421" i="7"/>
  <c r="S1422" i="7" s="1"/>
  <c r="O1421" i="7"/>
  <c r="T1422" i="7" s="1"/>
  <c r="Q1422" i="7"/>
  <c r="G1422" i="7" l="1"/>
  <c r="R1422" i="7"/>
  <c r="H1422" i="7" l="1"/>
  <c r="I1422" i="7" s="1"/>
  <c r="J1422" i="7" s="1"/>
  <c r="L1422" i="7"/>
  <c r="M1422" i="7" s="1"/>
  <c r="N1422" i="7" s="1"/>
  <c r="O1422" i="7" l="1"/>
  <c r="T1423" i="7" s="1"/>
  <c r="Q1423" i="7"/>
  <c r="K1422" i="7"/>
  <c r="S1423" i="7" s="1"/>
  <c r="P1423" i="7"/>
  <c r="R1423" i="7" l="1"/>
  <c r="G1423" i="7"/>
  <c r="L1423" i="7" l="1"/>
  <c r="M1423" i="7" s="1"/>
  <c r="N1423" i="7" s="1"/>
  <c r="H1423" i="7"/>
  <c r="I1423" i="7" s="1"/>
  <c r="J1423" i="7" s="1"/>
  <c r="K1423" i="7" l="1"/>
  <c r="S1424" i="7" s="1"/>
  <c r="P1424" i="7"/>
  <c r="O1423" i="7"/>
  <c r="T1424" i="7" s="1"/>
  <c r="Q1424" i="7"/>
  <c r="R1424" i="7" l="1"/>
  <c r="G1424" i="7"/>
  <c r="H1424" i="7" l="1"/>
  <c r="I1424" i="7" s="1"/>
  <c r="J1424" i="7" s="1"/>
  <c r="L1424" i="7"/>
  <c r="M1424" i="7" s="1"/>
  <c r="N1424" i="7" s="1"/>
  <c r="O1424" i="7" l="1"/>
  <c r="T1425" i="7" s="1"/>
  <c r="Q1425" i="7"/>
  <c r="P1425" i="7"/>
  <c r="K1424" i="7"/>
  <c r="S1425" i="7" s="1"/>
  <c r="R1425" i="7" l="1"/>
  <c r="G1425" i="7"/>
  <c r="L1425" i="7" l="1"/>
  <c r="M1425" i="7" s="1"/>
  <c r="N1425" i="7" s="1"/>
  <c r="H1425" i="7"/>
  <c r="I1425" i="7" s="1"/>
  <c r="J1425" i="7" s="1"/>
  <c r="P1426" i="7" l="1"/>
  <c r="K1425" i="7"/>
  <c r="S1426" i="7" s="1"/>
  <c r="O1425" i="7"/>
  <c r="T1426" i="7" s="1"/>
  <c r="Q1426" i="7"/>
  <c r="G1426" i="7" l="1"/>
  <c r="R1426" i="7"/>
  <c r="L1426" i="7" l="1"/>
  <c r="M1426" i="7" s="1"/>
  <c r="N1426" i="7" s="1"/>
  <c r="H1426" i="7"/>
  <c r="I1426" i="7" s="1"/>
  <c r="J1426" i="7" s="1"/>
  <c r="K1426" i="7" l="1"/>
  <c r="S1427" i="7" s="1"/>
  <c r="P1427" i="7"/>
  <c r="Q1427" i="7"/>
  <c r="O1426" i="7"/>
  <c r="T1427" i="7" s="1"/>
  <c r="G1427" i="7" l="1"/>
  <c r="R1427" i="7"/>
  <c r="H1427" i="7" l="1"/>
  <c r="I1427" i="7" s="1"/>
  <c r="J1427" i="7" s="1"/>
  <c r="L1427" i="7"/>
  <c r="M1427" i="7" s="1"/>
  <c r="N1427" i="7" s="1"/>
  <c r="Q1428" i="7" l="1"/>
  <c r="O1427" i="7"/>
  <c r="T1428" i="7" s="1"/>
  <c r="K1427" i="7"/>
  <c r="S1428" i="7" s="1"/>
  <c r="P1428" i="7"/>
  <c r="R1428" i="7" l="1"/>
  <c r="G1428" i="7"/>
  <c r="H1428" i="7" l="1"/>
  <c r="I1428" i="7" s="1"/>
  <c r="J1428" i="7" s="1"/>
  <c r="L1428" i="7"/>
  <c r="M1428" i="7" s="1"/>
  <c r="N1428" i="7" s="1"/>
  <c r="Q1429" i="7" l="1"/>
  <c r="O1428" i="7"/>
  <c r="T1429" i="7" s="1"/>
  <c r="P1429" i="7"/>
  <c r="K1428" i="7"/>
  <c r="S1429" i="7" s="1"/>
  <c r="R1429" i="7" l="1"/>
  <c r="G1429" i="7"/>
  <c r="H1429" i="7" l="1"/>
  <c r="I1429" i="7" s="1"/>
  <c r="J1429" i="7" s="1"/>
  <c r="L1429" i="7"/>
  <c r="M1429" i="7" s="1"/>
  <c r="N1429" i="7" s="1"/>
  <c r="Q1430" i="7" l="1"/>
  <c r="O1429" i="7"/>
  <c r="T1430" i="7" s="1"/>
  <c r="P1430" i="7"/>
  <c r="K1429" i="7"/>
  <c r="S1430" i="7" s="1"/>
  <c r="G1430" i="7" l="1"/>
  <c r="R1430" i="7"/>
  <c r="L1430" i="7" l="1"/>
  <c r="M1430" i="7" s="1"/>
  <c r="N1430" i="7" s="1"/>
  <c r="H1430" i="7"/>
  <c r="I1430" i="7" s="1"/>
  <c r="J1430" i="7" s="1"/>
  <c r="K1430" i="7" l="1"/>
  <c r="S1431" i="7" s="1"/>
  <c r="P1431" i="7"/>
  <c r="Q1431" i="7"/>
  <c r="O1430" i="7"/>
  <c r="T1431" i="7" s="1"/>
  <c r="G1431" i="7" l="1"/>
  <c r="R1431" i="7"/>
  <c r="H1431" i="7" l="1"/>
  <c r="I1431" i="7" s="1"/>
  <c r="J1431" i="7" s="1"/>
  <c r="L1431" i="7"/>
  <c r="M1431" i="7" s="1"/>
  <c r="N1431" i="7" s="1"/>
  <c r="O1431" i="7" l="1"/>
  <c r="T1432" i="7" s="1"/>
  <c r="Q1432" i="7"/>
  <c r="K1431" i="7"/>
  <c r="S1432" i="7" s="1"/>
  <c r="P1432" i="7"/>
  <c r="G1432" i="7" l="1"/>
  <c r="R1432" i="7"/>
  <c r="H1432" i="7" l="1"/>
  <c r="I1432" i="7" s="1"/>
  <c r="J1432" i="7" s="1"/>
  <c r="L1432" i="7"/>
  <c r="M1432" i="7" s="1"/>
  <c r="N1432" i="7" s="1"/>
  <c r="O1432" i="7" l="1"/>
  <c r="T1433" i="7" s="1"/>
  <c r="Q1433" i="7"/>
  <c r="K1432" i="7"/>
  <c r="S1433" i="7" s="1"/>
  <c r="P1433" i="7"/>
  <c r="G1433" i="7" l="1"/>
  <c r="R1433" i="7"/>
  <c r="L1433" i="7" l="1"/>
  <c r="M1433" i="7" s="1"/>
  <c r="N1433" i="7" s="1"/>
  <c r="H1433" i="7"/>
  <c r="I1433" i="7" s="1"/>
  <c r="J1433" i="7" s="1"/>
  <c r="P1434" i="7" l="1"/>
  <c r="K1433" i="7"/>
  <c r="S1434" i="7" s="1"/>
  <c r="Q1434" i="7"/>
  <c r="O1433" i="7"/>
  <c r="T1434" i="7" s="1"/>
  <c r="G1434" i="7" l="1"/>
  <c r="R1434" i="7"/>
  <c r="H1434" i="7" l="1"/>
  <c r="I1434" i="7" s="1"/>
  <c r="J1434" i="7" s="1"/>
  <c r="L1434" i="7"/>
  <c r="M1434" i="7" s="1"/>
  <c r="N1434" i="7" s="1"/>
  <c r="O1434" i="7" l="1"/>
  <c r="T1435" i="7" s="1"/>
  <c r="Q1435" i="7"/>
  <c r="K1434" i="7"/>
  <c r="S1435" i="7" s="1"/>
  <c r="P1435" i="7"/>
  <c r="R1435" i="7" l="1"/>
  <c r="G1435" i="7"/>
  <c r="H1435" i="7" l="1"/>
  <c r="I1435" i="7" s="1"/>
  <c r="J1435" i="7" s="1"/>
  <c r="L1435" i="7"/>
  <c r="M1435" i="7" s="1"/>
  <c r="N1435" i="7" s="1"/>
  <c r="Q1436" i="7" l="1"/>
  <c r="O1435" i="7"/>
  <c r="T1436" i="7" s="1"/>
  <c r="K1435" i="7"/>
  <c r="S1436" i="7" s="1"/>
  <c r="P1436" i="7"/>
  <c r="G1436" i="7" l="1"/>
  <c r="R1436" i="7"/>
  <c r="H1436" i="7" l="1"/>
  <c r="I1436" i="7" s="1"/>
  <c r="J1436" i="7" s="1"/>
  <c r="L1436" i="7"/>
  <c r="M1436" i="7" s="1"/>
  <c r="N1436" i="7" s="1"/>
  <c r="Q1437" i="7" l="1"/>
  <c r="O1436" i="7"/>
  <c r="T1437" i="7" s="1"/>
  <c r="P1437" i="7"/>
  <c r="K1436" i="7"/>
  <c r="S1437" i="7" s="1"/>
  <c r="R1437" i="7" l="1"/>
  <c r="G1437" i="7"/>
  <c r="L1437" i="7" l="1"/>
  <c r="M1437" i="7" s="1"/>
  <c r="N1437" i="7" s="1"/>
  <c r="H1437" i="7"/>
  <c r="I1437" i="7" s="1"/>
  <c r="J1437" i="7" s="1"/>
  <c r="P1438" i="7" l="1"/>
  <c r="K1437" i="7"/>
  <c r="S1438" i="7" s="1"/>
  <c r="O1437" i="7"/>
  <c r="T1438" i="7" s="1"/>
  <c r="Q1438" i="7"/>
  <c r="R1438" i="7" l="1"/>
  <c r="G1438" i="7"/>
  <c r="L1438" i="7" l="1"/>
  <c r="M1438" i="7" s="1"/>
  <c r="N1438" i="7" s="1"/>
  <c r="H1438" i="7"/>
  <c r="I1438" i="7" s="1"/>
  <c r="J1438" i="7" s="1"/>
  <c r="P1439" i="7" l="1"/>
  <c r="K1438" i="7"/>
  <c r="S1439" i="7" s="1"/>
  <c r="Q1439" i="7"/>
  <c r="O1438" i="7"/>
  <c r="T1439" i="7" s="1"/>
  <c r="R1439" i="7" l="1"/>
  <c r="G1439" i="7"/>
  <c r="H1439" i="7" l="1"/>
  <c r="I1439" i="7" s="1"/>
  <c r="J1439" i="7" s="1"/>
  <c r="L1439" i="7"/>
  <c r="M1439" i="7" s="1"/>
  <c r="N1439" i="7" s="1"/>
  <c r="O1439" i="7" l="1"/>
  <c r="T1440" i="7" s="1"/>
  <c r="Q1440" i="7"/>
  <c r="P1440" i="7"/>
  <c r="K1439" i="7"/>
  <c r="S1440" i="7" s="1"/>
  <c r="R1440" i="7" l="1"/>
  <c r="G1440" i="7"/>
  <c r="H1440" i="7" l="1"/>
  <c r="I1440" i="7" s="1"/>
  <c r="J1440" i="7" s="1"/>
  <c r="L1440" i="7"/>
  <c r="M1440" i="7" s="1"/>
  <c r="N1440" i="7" s="1"/>
  <c r="O1440" i="7" l="1"/>
  <c r="T1441" i="7" s="1"/>
  <c r="Q1441" i="7"/>
  <c r="P1441" i="7"/>
  <c r="K1440" i="7"/>
  <c r="S1441" i="7" s="1"/>
  <c r="R1441" i="7" l="1"/>
  <c r="G1441" i="7"/>
  <c r="H1441" i="7" l="1"/>
  <c r="I1441" i="7" s="1"/>
  <c r="J1441" i="7" s="1"/>
  <c r="L1441" i="7"/>
  <c r="M1441" i="7" s="1"/>
  <c r="N1441" i="7" s="1"/>
  <c r="Q1442" i="7" l="1"/>
  <c r="O1441" i="7"/>
  <c r="T1442" i="7" s="1"/>
  <c r="P1442" i="7"/>
  <c r="K1441" i="7"/>
  <c r="S1442" i="7" s="1"/>
  <c r="R1442" i="7" l="1"/>
  <c r="G1442" i="7"/>
  <c r="H1442" i="7" l="1"/>
  <c r="I1442" i="7" s="1"/>
  <c r="J1442" i="7" s="1"/>
  <c r="L1442" i="7"/>
  <c r="M1442" i="7" s="1"/>
  <c r="N1442" i="7" s="1"/>
  <c r="O1442" i="7" l="1"/>
  <c r="T1443" i="7" s="1"/>
  <c r="Q1443" i="7"/>
  <c r="P1443" i="7"/>
  <c r="K1442" i="7"/>
  <c r="S1443" i="7" s="1"/>
  <c r="G1443" i="7" l="1"/>
  <c r="R1443" i="7"/>
  <c r="H1443" i="7" l="1"/>
  <c r="I1443" i="7" s="1"/>
  <c r="J1443" i="7" s="1"/>
  <c r="L1443" i="7"/>
  <c r="M1443" i="7" s="1"/>
  <c r="N1443" i="7" s="1"/>
  <c r="O1443" i="7" l="1"/>
  <c r="T1444" i="7" s="1"/>
  <c r="Q1444" i="7"/>
  <c r="P1444" i="7"/>
  <c r="K1443" i="7"/>
  <c r="S1444" i="7" s="1"/>
  <c r="G1444" i="7" l="1"/>
  <c r="R1444" i="7"/>
  <c r="L1444" i="7" l="1"/>
  <c r="M1444" i="7" s="1"/>
  <c r="N1444" i="7" s="1"/>
  <c r="H1444" i="7"/>
  <c r="I1444" i="7" s="1"/>
  <c r="J1444" i="7" s="1"/>
  <c r="P1445" i="7" l="1"/>
  <c r="K1444" i="7"/>
  <c r="S1445" i="7" s="1"/>
  <c r="Q1445" i="7"/>
  <c r="O1444" i="7"/>
  <c r="T1445" i="7" s="1"/>
  <c r="R1445" i="7" l="1"/>
  <c r="G1445" i="7"/>
  <c r="L1445" i="7" l="1"/>
  <c r="M1445" i="7" s="1"/>
  <c r="N1445" i="7" s="1"/>
  <c r="H1445" i="7"/>
  <c r="I1445" i="7" s="1"/>
  <c r="J1445" i="7" s="1"/>
  <c r="K1445" i="7" l="1"/>
  <c r="S1446" i="7" s="1"/>
  <c r="P1446" i="7"/>
  <c r="O1445" i="7"/>
  <c r="T1446" i="7" s="1"/>
  <c r="Q1446" i="7"/>
  <c r="R1446" i="7" l="1"/>
  <c r="G1446" i="7"/>
  <c r="L1446" i="7" l="1"/>
  <c r="M1446" i="7" s="1"/>
  <c r="N1446" i="7" s="1"/>
  <c r="H1446" i="7"/>
  <c r="I1446" i="7" s="1"/>
  <c r="J1446" i="7" s="1"/>
  <c r="K1446" i="7" l="1"/>
  <c r="S1447" i="7" s="1"/>
  <c r="P1447" i="7"/>
  <c r="O1446" i="7"/>
  <c r="T1447" i="7" s="1"/>
  <c r="Q1447" i="7"/>
  <c r="R1447" i="7" l="1"/>
  <c r="G1447" i="7"/>
  <c r="H1447" i="7" l="1"/>
  <c r="I1447" i="7" s="1"/>
  <c r="J1447" i="7" s="1"/>
  <c r="L1447" i="7"/>
  <c r="M1447" i="7" s="1"/>
  <c r="N1447" i="7" s="1"/>
  <c r="Q1448" i="7" l="1"/>
  <c r="O1447" i="7"/>
  <c r="T1448" i="7" s="1"/>
  <c r="P1448" i="7"/>
  <c r="K1447" i="7"/>
  <c r="S1448" i="7" s="1"/>
  <c r="G1448" i="7" l="1"/>
  <c r="R1448" i="7"/>
  <c r="L1448" i="7" l="1"/>
  <c r="M1448" i="7" s="1"/>
  <c r="N1448" i="7" s="1"/>
  <c r="H1448" i="7"/>
  <c r="I1448" i="7" s="1"/>
  <c r="J1448" i="7" s="1"/>
  <c r="K1448" i="7" l="1"/>
  <c r="S1449" i="7" s="1"/>
  <c r="P1449" i="7"/>
  <c r="O1448" i="7"/>
  <c r="T1449" i="7" s="1"/>
  <c r="Q1449" i="7"/>
  <c r="R1449" i="7" l="1"/>
  <c r="G1449" i="7"/>
  <c r="H1449" i="7" l="1"/>
  <c r="I1449" i="7" s="1"/>
  <c r="J1449" i="7" s="1"/>
  <c r="L1449" i="7"/>
  <c r="M1449" i="7" s="1"/>
  <c r="N1449" i="7" s="1"/>
  <c r="O1449" i="7" l="1"/>
  <c r="T1450" i="7" s="1"/>
  <c r="Q1450" i="7"/>
  <c r="K1449" i="7"/>
  <c r="S1450" i="7" s="1"/>
  <c r="P1450" i="7"/>
  <c r="G1450" i="7" l="1"/>
  <c r="R1450" i="7"/>
  <c r="H1450" i="7" l="1"/>
  <c r="I1450" i="7" s="1"/>
  <c r="J1450" i="7" s="1"/>
  <c r="L1450" i="7"/>
  <c r="M1450" i="7" s="1"/>
  <c r="N1450" i="7" s="1"/>
  <c r="O1450" i="7" l="1"/>
  <c r="T1451" i="7" s="1"/>
  <c r="Q1451" i="7"/>
  <c r="P1451" i="7"/>
  <c r="K1450" i="7"/>
  <c r="S1451" i="7" s="1"/>
  <c r="G1451" i="7" l="1"/>
  <c r="R1451" i="7"/>
  <c r="H1451" i="7" l="1"/>
  <c r="I1451" i="7" s="1"/>
  <c r="J1451" i="7" s="1"/>
  <c r="L1451" i="7"/>
  <c r="M1451" i="7" s="1"/>
  <c r="N1451" i="7" s="1"/>
  <c r="Q1452" i="7" l="1"/>
  <c r="O1451" i="7"/>
  <c r="T1452" i="7" s="1"/>
  <c r="P1452" i="7"/>
  <c r="K1451" i="7"/>
  <c r="S1452" i="7" s="1"/>
  <c r="R1452" i="7" l="1"/>
  <c r="G1452" i="7"/>
  <c r="L1452" i="7" l="1"/>
  <c r="M1452" i="7" s="1"/>
  <c r="N1452" i="7" s="1"/>
  <c r="H1452" i="7"/>
  <c r="I1452" i="7" s="1"/>
  <c r="J1452" i="7" s="1"/>
  <c r="P1453" i="7" l="1"/>
  <c r="K1452" i="7"/>
  <c r="S1453" i="7" s="1"/>
  <c r="O1452" i="7"/>
  <c r="T1453" i="7" s="1"/>
  <c r="Q1453" i="7"/>
  <c r="G1453" i="7" l="1"/>
  <c r="R1453" i="7"/>
  <c r="L1453" i="7" l="1"/>
  <c r="M1453" i="7" s="1"/>
  <c r="N1453" i="7" s="1"/>
  <c r="H1453" i="7"/>
  <c r="I1453" i="7" s="1"/>
  <c r="J1453" i="7" s="1"/>
  <c r="P1454" i="7" l="1"/>
  <c r="K1453" i="7"/>
  <c r="S1454" i="7" s="1"/>
  <c r="O1453" i="7"/>
  <c r="T1454" i="7" s="1"/>
  <c r="Q1454" i="7"/>
  <c r="R1454" i="7" l="1"/>
  <c r="G1454" i="7"/>
  <c r="H1454" i="7" l="1"/>
  <c r="I1454" i="7" s="1"/>
  <c r="J1454" i="7" s="1"/>
  <c r="L1454" i="7"/>
  <c r="M1454" i="7" s="1"/>
  <c r="N1454" i="7" s="1"/>
  <c r="Q1455" i="7" l="1"/>
  <c r="O1454" i="7"/>
  <c r="T1455" i="7" s="1"/>
  <c r="K1454" i="7"/>
  <c r="S1455" i="7" s="1"/>
  <c r="P1455" i="7"/>
  <c r="G1455" i="7" l="1"/>
  <c r="R1455" i="7"/>
  <c r="H1455" i="7" l="1"/>
  <c r="I1455" i="7" s="1"/>
  <c r="J1455" i="7" s="1"/>
  <c r="L1455" i="7"/>
  <c r="M1455" i="7" s="1"/>
  <c r="N1455" i="7" s="1"/>
  <c r="O1455" i="7" l="1"/>
  <c r="T1456" i="7" s="1"/>
  <c r="Q1456" i="7"/>
  <c r="P1456" i="7"/>
  <c r="K1455" i="7"/>
  <c r="S1456" i="7" s="1"/>
  <c r="G1456" i="7" l="1"/>
  <c r="R1456" i="7"/>
  <c r="H1456" i="7" l="1"/>
  <c r="I1456" i="7" s="1"/>
  <c r="J1456" i="7" s="1"/>
  <c r="L1456" i="7"/>
  <c r="M1456" i="7" s="1"/>
  <c r="N1456" i="7" s="1"/>
  <c r="Q1457" i="7" l="1"/>
  <c r="O1456" i="7"/>
  <c r="T1457" i="7" s="1"/>
  <c r="K1456" i="7"/>
  <c r="S1457" i="7" s="1"/>
  <c r="P1457" i="7"/>
  <c r="R1457" i="7" l="1"/>
  <c r="G1457" i="7"/>
  <c r="H1457" i="7" l="1"/>
  <c r="I1457" i="7" s="1"/>
  <c r="J1457" i="7" s="1"/>
  <c r="L1457" i="7"/>
  <c r="M1457" i="7" s="1"/>
  <c r="N1457" i="7" s="1"/>
  <c r="Q1458" i="7" l="1"/>
  <c r="O1457" i="7"/>
  <c r="T1458" i="7" s="1"/>
  <c r="P1458" i="7"/>
  <c r="K1457" i="7"/>
  <c r="S1458" i="7" s="1"/>
  <c r="R1458" i="7" l="1"/>
  <c r="G1458" i="7"/>
  <c r="L1458" i="7" l="1"/>
  <c r="M1458" i="7" s="1"/>
  <c r="N1458" i="7" s="1"/>
  <c r="H1458" i="7"/>
  <c r="I1458" i="7" s="1"/>
  <c r="J1458" i="7" s="1"/>
  <c r="K1458" i="7" l="1"/>
  <c r="S1459" i="7" s="1"/>
  <c r="P1459" i="7"/>
  <c r="Q1459" i="7"/>
  <c r="O1458" i="7"/>
  <c r="T1459" i="7" s="1"/>
  <c r="G1459" i="7" l="1"/>
  <c r="R1459" i="7"/>
  <c r="L1459" i="7" l="1"/>
  <c r="M1459" i="7" s="1"/>
  <c r="N1459" i="7" s="1"/>
  <c r="H1459" i="7"/>
  <c r="I1459" i="7" s="1"/>
  <c r="J1459" i="7" s="1"/>
  <c r="P1460" i="7" l="1"/>
  <c r="K1459" i="7"/>
  <c r="S1460" i="7" s="1"/>
  <c r="O1459" i="7"/>
  <c r="T1460" i="7" s="1"/>
  <c r="Q1460" i="7"/>
  <c r="R1460" i="7" l="1"/>
  <c r="G1460" i="7"/>
  <c r="L1460" i="7" l="1"/>
  <c r="M1460" i="7" s="1"/>
  <c r="N1460" i="7" s="1"/>
  <c r="H1460" i="7"/>
  <c r="I1460" i="7" s="1"/>
  <c r="J1460" i="7" s="1"/>
  <c r="K1460" i="7" l="1"/>
  <c r="S1461" i="7" s="1"/>
  <c r="P1461" i="7"/>
  <c r="O1460" i="7"/>
  <c r="T1461" i="7" s="1"/>
  <c r="Q1461" i="7"/>
  <c r="G1461" i="7" l="1"/>
  <c r="R1461" i="7"/>
  <c r="H1461" i="7" l="1"/>
  <c r="I1461" i="7" s="1"/>
  <c r="J1461" i="7" s="1"/>
  <c r="L1461" i="7"/>
  <c r="M1461" i="7" s="1"/>
  <c r="N1461" i="7" s="1"/>
  <c r="O1461" i="7" l="1"/>
  <c r="T1462" i="7" s="1"/>
  <c r="Q1462" i="7"/>
  <c r="P1462" i="7"/>
  <c r="K1461" i="7"/>
  <c r="S1462" i="7" s="1"/>
  <c r="G1462" i="7" l="1"/>
  <c r="R1462" i="7"/>
  <c r="H1462" i="7" l="1"/>
  <c r="I1462" i="7" s="1"/>
  <c r="J1462" i="7" s="1"/>
  <c r="L1462" i="7"/>
  <c r="M1462" i="7" s="1"/>
  <c r="N1462" i="7" s="1"/>
  <c r="Q1463" i="7" l="1"/>
  <c r="O1462" i="7"/>
  <c r="T1463" i="7" s="1"/>
  <c r="K1462" i="7"/>
  <c r="S1463" i="7" s="1"/>
  <c r="P1463" i="7"/>
  <c r="G1463" i="7" l="1"/>
  <c r="R1463" i="7"/>
  <c r="H1463" i="7" l="1"/>
  <c r="I1463" i="7" s="1"/>
  <c r="J1463" i="7" s="1"/>
  <c r="L1463" i="7"/>
  <c r="M1463" i="7" s="1"/>
  <c r="N1463" i="7" s="1"/>
  <c r="Q1464" i="7" l="1"/>
  <c r="O1463" i="7"/>
  <c r="T1464" i="7" s="1"/>
  <c r="P1464" i="7"/>
  <c r="K1463" i="7"/>
  <c r="S1464" i="7" s="1"/>
  <c r="G1464" i="7" l="1"/>
  <c r="R1464" i="7"/>
  <c r="L1464" i="7" l="1"/>
  <c r="M1464" i="7" s="1"/>
  <c r="N1464" i="7" s="1"/>
  <c r="H1464" i="7"/>
  <c r="I1464" i="7" s="1"/>
  <c r="J1464" i="7" s="1"/>
  <c r="P1465" i="7" l="1"/>
  <c r="K1464" i="7"/>
  <c r="S1465" i="7" s="1"/>
  <c r="Q1465" i="7"/>
  <c r="O1464" i="7"/>
  <c r="T1465" i="7" s="1"/>
  <c r="R1465" i="7" l="1"/>
  <c r="G1465" i="7"/>
  <c r="H1465" i="7" l="1"/>
  <c r="I1465" i="7" s="1"/>
  <c r="J1465" i="7" s="1"/>
  <c r="L1465" i="7"/>
  <c r="M1465" i="7" s="1"/>
  <c r="N1465" i="7" s="1"/>
  <c r="Q1466" i="7" l="1"/>
  <c r="O1465" i="7"/>
  <c r="T1466" i="7" s="1"/>
  <c r="K1465" i="7"/>
  <c r="S1466" i="7" s="1"/>
  <c r="P1466" i="7"/>
  <c r="R1466" i="7" l="1"/>
  <c r="G1466" i="7"/>
  <c r="H1466" i="7" l="1"/>
  <c r="I1466" i="7" s="1"/>
  <c r="J1466" i="7" s="1"/>
  <c r="L1466" i="7"/>
  <c r="M1466" i="7" s="1"/>
  <c r="N1466" i="7" s="1"/>
  <c r="O1466" i="7" l="1"/>
  <c r="T1467" i="7" s="1"/>
  <c r="Q1467" i="7"/>
  <c r="K1466" i="7"/>
  <c r="S1467" i="7" s="1"/>
  <c r="P1467" i="7"/>
  <c r="R1467" i="7" l="1"/>
  <c r="G1467" i="7"/>
  <c r="H1467" i="7" l="1"/>
  <c r="I1467" i="7" s="1"/>
  <c r="J1467" i="7" s="1"/>
  <c r="L1467" i="7"/>
  <c r="M1467" i="7" s="1"/>
  <c r="N1467" i="7" s="1"/>
  <c r="O1467" i="7" l="1"/>
  <c r="T1468" i="7" s="1"/>
  <c r="Q1468" i="7"/>
  <c r="P1468" i="7"/>
  <c r="K1467" i="7"/>
  <c r="S1468" i="7" s="1"/>
  <c r="G1468" i="7" l="1"/>
  <c r="R1468" i="7"/>
  <c r="L1468" i="7" l="1"/>
  <c r="M1468" i="7" s="1"/>
  <c r="N1468" i="7" s="1"/>
  <c r="H1468" i="7"/>
  <c r="I1468" i="7" s="1"/>
  <c r="J1468" i="7" s="1"/>
  <c r="P1469" i="7" l="1"/>
  <c r="K1468" i="7"/>
  <c r="S1469" i="7" s="1"/>
  <c r="O1468" i="7"/>
  <c r="T1469" i="7" s="1"/>
  <c r="Q1469" i="7"/>
  <c r="G1469" i="7" l="1"/>
  <c r="R1469" i="7"/>
  <c r="L1469" i="7" l="1"/>
  <c r="M1469" i="7" s="1"/>
  <c r="N1469" i="7" s="1"/>
  <c r="H1469" i="7"/>
  <c r="I1469" i="7" s="1"/>
  <c r="J1469" i="7" s="1"/>
  <c r="P1470" i="7" l="1"/>
  <c r="K1469" i="7"/>
  <c r="S1470" i="7" s="1"/>
  <c r="Q1470" i="7"/>
  <c r="O1469" i="7"/>
  <c r="T1470" i="7" s="1"/>
  <c r="G1470" i="7" l="1"/>
  <c r="R1470" i="7"/>
  <c r="L1470" i="7" l="1"/>
  <c r="M1470" i="7" s="1"/>
  <c r="N1470" i="7" s="1"/>
  <c r="H1470" i="7"/>
  <c r="I1470" i="7" s="1"/>
  <c r="J1470" i="7" s="1"/>
  <c r="P1471" i="7" l="1"/>
  <c r="K1470" i="7"/>
  <c r="S1471" i="7" s="1"/>
  <c r="O1470" i="7"/>
  <c r="T1471" i="7" s="1"/>
  <c r="Q1471" i="7"/>
  <c r="G1471" i="7" l="1"/>
  <c r="R1471" i="7"/>
  <c r="H1471" i="7" l="1"/>
  <c r="I1471" i="7" s="1"/>
  <c r="J1471" i="7" s="1"/>
  <c r="L1471" i="7"/>
  <c r="M1471" i="7" s="1"/>
  <c r="N1471" i="7" s="1"/>
  <c r="O1471" i="7" l="1"/>
  <c r="T1472" i="7" s="1"/>
  <c r="Q1472" i="7"/>
  <c r="P1472" i="7"/>
  <c r="K1471" i="7"/>
  <c r="S1472" i="7" s="1"/>
  <c r="G1472" i="7" l="1"/>
  <c r="R1472" i="7"/>
  <c r="L1472" i="7" l="1"/>
  <c r="M1472" i="7" s="1"/>
  <c r="N1472" i="7" s="1"/>
  <c r="H1472" i="7"/>
  <c r="I1472" i="7" s="1"/>
  <c r="J1472" i="7" s="1"/>
  <c r="K1472" i="7" l="1"/>
  <c r="S1473" i="7" s="1"/>
  <c r="P1473" i="7"/>
  <c r="O1472" i="7"/>
  <c r="T1473" i="7" s="1"/>
  <c r="Q1473" i="7"/>
  <c r="R1473" i="7" l="1"/>
  <c r="G1473" i="7"/>
  <c r="L1473" i="7" l="1"/>
  <c r="M1473" i="7" s="1"/>
  <c r="N1473" i="7" s="1"/>
  <c r="H1473" i="7"/>
  <c r="I1473" i="7" s="1"/>
  <c r="J1473" i="7" s="1"/>
  <c r="P1474" i="7" l="1"/>
  <c r="K1473" i="7"/>
  <c r="S1474" i="7" s="1"/>
  <c r="Q1474" i="7"/>
  <c r="O1473" i="7"/>
  <c r="T1474" i="7" s="1"/>
  <c r="G1474" i="7" l="1"/>
  <c r="R1474" i="7"/>
  <c r="H1474" i="7" l="1"/>
  <c r="I1474" i="7" s="1"/>
  <c r="J1474" i="7" s="1"/>
  <c r="L1474" i="7"/>
  <c r="M1474" i="7" s="1"/>
  <c r="N1474" i="7" s="1"/>
  <c r="O1474" i="7" l="1"/>
  <c r="T1475" i="7" s="1"/>
  <c r="Q1475" i="7"/>
  <c r="P1475" i="7"/>
  <c r="K1474" i="7"/>
  <c r="S1475" i="7" s="1"/>
  <c r="R1475" i="7" l="1"/>
  <c r="G1475" i="7"/>
  <c r="L1475" i="7" l="1"/>
  <c r="M1475" i="7" s="1"/>
  <c r="N1475" i="7" s="1"/>
  <c r="H1475" i="7"/>
  <c r="I1475" i="7" s="1"/>
  <c r="J1475" i="7" s="1"/>
  <c r="P1476" i="7" l="1"/>
  <c r="K1475" i="7"/>
  <c r="S1476" i="7" s="1"/>
  <c r="Q1476" i="7"/>
  <c r="O1475" i="7"/>
  <c r="T1476" i="7" s="1"/>
  <c r="R1476" i="7" l="1"/>
  <c r="G1476" i="7"/>
  <c r="L1476" i="7" l="1"/>
  <c r="M1476" i="7" s="1"/>
  <c r="N1476" i="7" s="1"/>
  <c r="H1476" i="7"/>
  <c r="I1476" i="7" s="1"/>
  <c r="J1476" i="7" s="1"/>
  <c r="K1476" i="7" l="1"/>
  <c r="S1477" i="7" s="1"/>
  <c r="P1477" i="7"/>
  <c r="O1476" i="7"/>
  <c r="T1477" i="7" s="1"/>
  <c r="Q1477" i="7"/>
  <c r="R1477" i="7" l="1"/>
  <c r="G1477" i="7"/>
  <c r="L1477" i="7" l="1"/>
  <c r="M1477" i="7" s="1"/>
  <c r="N1477" i="7" s="1"/>
  <c r="H1477" i="7"/>
  <c r="I1477" i="7" s="1"/>
  <c r="J1477" i="7" s="1"/>
  <c r="K1477" i="7" l="1"/>
  <c r="S1478" i="7" s="1"/>
  <c r="P1478" i="7"/>
  <c r="O1477" i="7"/>
  <c r="T1478" i="7" s="1"/>
  <c r="Q1478" i="7"/>
  <c r="G1478" i="7" l="1"/>
  <c r="R1478" i="7"/>
  <c r="H1478" i="7" l="1"/>
  <c r="I1478" i="7" s="1"/>
  <c r="J1478" i="7" s="1"/>
  <c r="L1478" i="7"/>
  <c r="M1478" i="7" s="1"/>
  <c r="N1478" i="7" s="1"/>
  <c r="Q1479" i="7" l="1"/>
  <c r="O1478" i="7"/>
  <c r="T1479" i="7" s="1"/>
  <c r="K1478" i="7"/>
  <c r="S1479" i="7" s="1"/>
  <c r="P1479" i="7"/>
  <c r="G1479" i="7" l="1"/>
  <c r="R1479" i="7"/>
  <c r="L1479" i="7" l="1"/>
  <c r="M1479" i="7" s="1"/>
  <c r="N1479" i="7" s="1"/>
  <c r="H1479" i="7"/>
  <c r="I1479" i="7" s="1"/>
  <c r="J1479" i="7" s="1"/>
  <c r="P1480" i="7" l="1"/>
  <c r="K1479" i="7"/>
  <c r="S1480" i="7" s="1"/>
  <c r="O1479" i="7"/>
  <c r="T1480" i="7" s="1"/>
  <c r="Q1480" i="7"/>
  <c r="G1480" i="7" l="1"/>
  <c r="R1480" i="7"/>
  <c r="H1480" i="7" l="1"/>
  <c r="I1480" i="7" s="1"/>
  <c r="J1480" i="7" s="1"/>
  <c r="L1480" i="7"/>
  <c r="M1480" i="7" s="1"/>
  <c r="N1480" i="7" s="1"/>
  <c r="O1480" i="7" l="1"/>
  <c r="T1481" i="7" s="1"/>
  <c r="Q1481" i="7"/>
  <c r="P1481" i="7"/>
  <c r="K1480" i="7"/>
  <c r="S1481" i="7" s="1"/>
  <c r="R1481" i="7" l="1"/>
  <c r="G1481" i="7"/>
  <c r="H1481" i="7" l="1"/>
  <c r="I1481" i="7" s="1"/>
  <c r="J1481" i="7" s="1"/>
  <c r="L1481" i="7"/>
  <c r="M1481" i="7" s="1"/>
  <c r="N1481" i="7" s="1"/>
  <c r="Q1482" i="7" l="1"/>
  <c r="O1481" i="7"/>
  <c r="T1482" i="7" s="1"/>
  <c r="P1482" i="7"/>
  <c r="K1481" i="7"/>
  <c r="S1482" i="7" s="1"/>
  <c r="G1482" i="7" l="1"/>
  <c r="R1482" i="7"/>
  <c r="H1482" i="7" l="1"/>
  <c r="I1482" i="7" s="1"/>
  <c r="J1482" i="7" s="1"/>
  <c r="L1482" i="7"/>
  <c r="M1482" i="7" s="1"/>
  <c r="N1482" i="7" s="1"/>
  <c r="Q1483" i="7" l="1"/>
  <c r="O1482" i="7"/>
  <c r="T1483" i="7" s="1"/>
  <c r="K1482" i="7"/>
  <c r="S1483" i="7" s="1"/>
  <c r="P1483" i="7"/>
  <c r="R1483" i="7" l="1"/>
  <c r="G1483" i="7"/>
  <c r="H1483" i="7" l="1"/>
  <c r="I1483" i="7" s="1"/>
  <c r="J1483" i="7" s="1"/>
  <c r="L1483" i="7"/>
  <c r="M1483" i="7" s="1"/>
  <c r="N1483" i="7" s="1"/>
  <c r="O1483" i="7" l="1"/>
  <c r="T1484" i="7" s="1"/>
  <c r="Q1484" i="7"/>
  <c r="P1484" i="7"/>
  <c r="K1483" i="7"/>
  <c r="S1484" i="7" s="1"/>
  <c r="G1484" i="7" l="1"/>
  <c r="R1484" i="7"/>
  <c r="L1484" i="7" l="1"/>
  <c r="M1484" i="7" s="1"/>
  <c r="N1484" i="7" s="1"/>
  <c r="H1484" i="7"/>
  <c r="I1484" i="7" s="1"/>
  <c r="J1484" i="7" s="1"/>
  <c r="K1484" i="7" l="1"/>
  <c r="S1485" i="7" s="1"/>
  <c r="P1485" i="7"/>
  <c r="Q1485" i="7"/>
  <c r="O1484" i="7"/>
  <c r="T1485" i="7" s="1"/>
  <c r="R1485" i="7" l="1"/>
  <c r="G1485" i="7"/>
  <c r="L1485" i="7" l="1"/>
  <c r="M1485" i="7" s="1"/>
  <c r="N1485" i="7" s="1"/>
  <c r="H1485" i="7"/>
  <c r="I1485" i="7" s="1"/>
  <c r="J1485" i="7" s="1"/>
  <c r="P1486" i="7" l="1"/>
  <c r="K1485" i="7"/>
  <c r="S1486" i="7" s="1"/>
  <c r="O1485" i="7"/>
  <c r="T1486" i="7" s="1"/>
  <c r="Q1486" i="7"/>
  <c r="G1486" i="7" l="1"/>
  <c r="R1486" i="7"/>
  <c r="L1486" i="7" l="1"/>
  <c r="M1486" i="7" s="1"/>
  <c r="N1486" i="7" s="1"/>
  <c r="H1486" i="7"/>
  <c r="I1486" i="7" s="1"/>
  <c r="J1486" i="7" s="1"/>
  <c r="K1486" i="7" l="1"/>
  <c r="S1487" i="7" s="1"/>
  <c r="P1487" i="7"/>
  <c r="O1486" i="7"/>
  <c r="T1487" i="7" s="1"/>
  <c r="Q1487" i="7"/>
  <c r="G1487" i="7" l="1"/>
  <c r="R1487" i="7"/>
  <c r="L1487" i="7" l="1"/>
  <c r="M1487" i="7" s="1"/>
  <c r="N1487" i="7" s="1"/>
  <c r="H1487" i="7"/>
  <c r="I1487" i="7" s="1"/>
  <c r="J1487" i="7" s="1"/>
  <c r="K1487" i="7" l="1"/>
  <c r="S1488" i="7" s="1"/>
  <c r="P1488" i="7"/>
  <c r="Q1488" i="7"/>
  <c r="O1487" i="7"/>
  <c r="T1488" i="7" s="1"/>
  <c r="G1488" i="7" l="1"/>
  <c r="R1488" i="7"/>
  <c r="H1488" i="7" l="1"/>
  <c r="I1488" i="7" s="1"/>
  <c r="J1488" i="7" s="1"/>
  <c r="L1488" i="7"/>
  <c r="M1488" i="7" s="1"/>
  <c r="N1488" i="7" s="1"/>
  <c r="Q1489" i="7" l="1"/>
  <c r="O1488" i="7"/>
  <c r="T1489" i="7" s="1"/>
  <c r="K1488" i="7"/>
  <c r="S1489" i="7" s="1"/>
  <c r="P1489" i="7"/>
  <c r="R1489" i="7" l="1"/>
  <c r="G1489" i="7"/>
  <c r="H1489" i="7" l="1"/>
  <c r="I1489" i="7" s="1"/>
  <c r="J1489" i="7" s="1"/>
  <c r="L1489" i="7"/>
  <c r="M1489" i="7" s="1"/>
  <c r="N1489" i="7" s="1"/>
  <c r="Q1490" i="7" l="1"/>
  <c r="O1489" i="7"/>
  <c r="T1490" i="7" s="1"/>
  <c r="P1490" i="7"/>
  <c r="K1489" i="7"/>
  <c r="S1490" i="7" s="1"/>
  <c r="G1490" i="7" l="1"/>
  <c r="R1490" i="7"/>
  <c r="L1490" i="7" l="1"/>
  <c r="M1490" i="7" s="1"/>
  <c r="N1490" i="7" s="1"/>
  <c r="H1490" i="7"/>
  <c r="I1490" i="7" s="1"/>
  <c r="J1490" i="7" s="1"/>
  <c r="P1491" i="7" l="1"/>
  <c r="K1490" i="7"/>
  <c r="S1491" i="7" s="1"/>
  <c r="O1490" i="7"/>
  <c r="T1491" i="7" s="1"/>
  <c r="Q1491" i="7"/>
  <c r="G1491" i="7" l="1"/>
  <c r="R1491" i="7"/>
  <c r="H1491" i="7" l="1"/>
  <c r="I1491" i="7" s="1"/>
  <c r="J1491" i="7" s="1"/>
  <c r="L1491" i="7"/>
  <c r="M1491" i="7" s="1"/>
  <c r="N1491" i="7" s="1"/>
  <c r="O1491" i="7" l="1"/>
  <c r="T1492" i="7" s="1"/>
  <c r="Q1492" i="7"/>
  <c r="K1491" i="7"/>
  <c r="S1492" i="7" s="1"/>
  <c r="P1492" i="7"/>
  <c r="G1492" i="7" l="1"/>
  <c r="R1492" i="7"/>
  <c r="H1492" i="7" l="1"/>
  <c r="I1492" i="7" s="1"/>
  <c r="J1492" i="7" s="1"/>
  <c r="L1492" i="7"/>
  <c r="M1492" i="7" s="1"/>
  <c r="N1492" i="7" s="1"/>
  <c r="O1492" i="7" l="1"/>
  <c r="T1493" i="7" s="1"/>
  <c r="Q1493" i="7"/>
  <c r="K1492" i="7"/>
  <c r="S1493" i="7" s="1"/>
  <c r="P1493" i="7"/>
  <c r="R1493" i="7" l="1"/>
  <c r="G1493" i="7"/>
  <c r="H1493" i="7" l="1"/>
  <c r="I1493" i="7" s="1"/>
  <c r="J1493" i="7" s="1"/>
  <c r="L1493" i="7"/>
  <c r="M1493" i="7" s="1"/>
  <c r="N1493" i="7" s="1"/>
  <c r="Q1494" i="7" l="1"/>
  <c r="O1493" i="7"/>
  <c r="T1494" i="7" s="1"/>
  <c r="P1494" i="7"/>
  <c r="K1493" i="7"/>
  <c r="S1494" i="7" s="1"/>
  <c r="G1494" i="7" l="1"/>
  <c r="R1494" i="7"/>
  <c r="L1494" i="7" l="1"/>
  <c r="M1494" i="7" s="1"/>
  <c r="N1494" i="7" s="1"/>
  <c r="H1494" i="7"/>
  <c r="I1494" i="7" s="1"/>
  <c r="J1494" i="7" s="1"/>
  <c r="P1495" i="7" l="1"/>
  <c r="K1494" i="7"/>
  <c r="S1495" i="7" s="1"/>
  <c r="Q1495" i="7"/>
  <c r="O1494" i="7"/>
  <c r="T1495" i="7" s="1"/>
  <c r="R1495" i="7" l="1"/>
  <c r="G1495" i="7"/>
  <c r="L1495" i="7" l="1"/>
  <c r="M1495" i="7" s="1"/>
  <c r="N1495" i="7" s="1"/>
  <c r="H1495" i="7"/>
  <c r="I1495" i="7" s="1"/>
  <c r="J1495" i="7" s="1"/>
  <c r="P1496" i="7" l="1"/>
  <c r="K1495" i="7"/>
  <c r="S1496" i="7" s="1"/>
  <c r="O1495" i="7"/>
  <c r="T1496" i="7" s="1"/>
  <c r="Q1496" i="7"/>
  <c r="G1496" i="7" l="1"/>
  <c r="R1496" i="7"/>
  <c r="L1496" i="7" l="1"/>
  <c r="M1496" i="7" s="1"/>
  <c r="N1496" i="7" s="1"/>
  <c r="H1496" i="7"/>
  <c r="I1496" i="7" s="1"/>
  <c r="J1496" i="7" s="1"/>
  <c r="P1497" i="7" l="1"/>
  <c r="K1496" i="7"/>
  <c r="S1497" i="7" s="1"/>
  <c r="Q1497" i="7"/>
  <c r="O1496" i="7"/>
  <c r="T1497" i="7" s="1"/>
  <c r="R1497" i="7" l="1"/>
  <c r="G1497" i="7"/>
  <c r="L1497" i="7" l="1"/>
  <c r="M1497" i="7" s="1"/>
  <c r="N1497" i="7" s="1"/>
  <c r="H1497" i="7"/>
  <c r="I1497" i="7" s="1"/>
  <c r="J1497" i="7" s="1"/>
  <c r="P1498" i="7" l="1"/>
  <c r="K1497" i="7"/>
  <c r="S1498" i="7" s="1"/>
  <c r="Q1498" i="7"/>
  <c r="O1497" i="7"/>
  <c r="T1498" i="7" s="1"/>
  <c r="G1498" i="7" l="1"/>
  <c r="R1498" i="7"/>
  <c r="H1498" i="7" l="1"/>
  <c r="I1498" i="7" s="1"/>
  <c r="J1498" i="7" s="1"/>
  <c r="L1498" i="7"/>
  <c r="M1498" i="7" s="1"/>
  <c r="N1498" i="7" s="1"/>
  <c r="Q1499" i="7" l="1"/>
  <c r="O1498" i="7"/>
  <c r="T1499" i="7" s="1"/>
  <c r="P1499" i="7"/>
  <c r="K1498" i="7"/>
  <c r="S1499" i="7" s="1"/>
  <c r="R1499" i="7" l="1"/>
  <c r="G1499" i="7"/>
  <c r="H1499" i="7" l="1"/>
  <c r="I1499" i="7" s="1"/>
  <c r="J1499" i="7" s="1"/>
  <c r="L1499" i="7"/>
  <c r="M1499" i="7" s="1"/>
  <c r="N1499" i="7" s="1"/>
  <c r="Q1500" i="7" l="1"/>
  <c r="O1499" i="7"/>
  <c r="T1500" i="7" s="1"/>
  <c r="P1500" i="7"/>
  <c r="K1499" i="7"/>
  <c r="S1500" i="7" s="1"/>
  <c r="G1500" i="7" l="1"/>
  <c r="R1500" i="7"/>
  <c r="L1500" i="7" l="1"/>
  <c r="M1500" i="7" s="1"/>
  <c r="N1500" i="7" s="1"/>
  <c r="H1500" i="7"/>
  <c r="I1500" i="7" s="1"/>
  <c r="J1500" i="7" s="1"/>
  <c r="K1500" i="7" l="1"/>
  <c r="S1501" i="7" s="1"/>
  <c r="P1501" i="7"/>
  <c r="Q1501" i="7"/>
  <c r="O1500" i="7"/>
  <c r="T1501" i="7" s="1"/>
  <c r="R1501" i="7" l="1"/>
  <c r="G1501" i="7"/>
  <c r="H1501" i="7" l="1"/>
  <c r="I1501" i="7" s="1"/>
  <c r="J1501" i="7" s="1"/>
  <c r="L1501" i="7"/>
  <c r="M1501" i="7" s="1"/>
  <c r="N1501" i="7" s="1"/>
  <c r="Q1502" i="7" l="1"/>
  <c r="O1501" i="7"/>
  <c r="T1502" i="7" s="1"/>
  <c r="P1502" i="7"/>
  <c r="K1501" i="7"/>
  <c r="S1502" i="7" s="1"/>
  <c r="R1502" i="7" l="1"/>
  <c r="G1502" i="7"/>
  <c r="L1502" i="7" l="1"/>
  <c r="M1502" i="7" s="1"/>
  <c r="N1502" i="7" s="1"/>
  <c r="H1502" i="7"/>
  <c r="I1502" i="7" s="1"/>
  <c r="J1502" i="7" s="1"/>
  <c r="P1503" i="7" l="1"/>
  <c r="K1502" i="7"/>
  <c r="S1503" i="7" s="1"/>
  <c r="Q1503" i="7"/>
  <c r="O1502" i="7"/>
  <c r="T1503" i="7" s="1"/>
  <c r="G1503" i="7" l="1"/>
  <c r="R1503" i="7"/>
  <c r="H1503" i="7" l="1"/>
  <c r="I1503" i="7" s="1"/>
  <c r="J1503" i="7" s="1"/>
  <c r="L1503" i="7"/>
  <c r="M1503" i="7" s="1"/>
  <c r="N1503" i="7" s="1"/>
  <c r="O1503" i="7" l="1"/>
  <c r="T1504" i="7" s="1"/>
  <c r="Q1504" i="7"/>
  <c r="K1503" i="7"/>
  <c r="S1504" i="7" s="1"/>
  <c r="P1504" i="7"/>
  <c r="R1504" i="7" l="1"/>
  <c r="G1504" i="7"/>
  <c r="L1504" i="7" l="1"/>
  <c r="M1504" i="7" s="1"/>
  <c r="N1504" i="7" s="1"/>
  <c r="H1504" i="7"/>
  <c r="I1504" i="7" s="1"/>
  <c r="J1504" i="7" s="1"/>
  <c r="P1505" i="7" l="1"/>
  <c r="K1504" i="7"/>
  <c r="S1505" i="7" s="1"/>
  <c r="O1504" i="7"/>
  <c r="T1505" i="7" s="1"/>
  <c r="Q1505" i="7"/>
  <c r="R1505" i="7" l="1"/>
  <c r="G1505" i="7"/>
  <c r="H1505" i="7" l="1"/>
  <c r="I1505" i="7" s="1"/>
  <c r="J1505" i="7" s="1"/>
  <c r="L1505" i="7"/>
  <c r="M1505" i="7" s="1"/>
  <c r="N1505" i="7" s="1"/>
  <c r="O1505" i="7" l="1"/>
  <c r="T1506" i="7" s="1"/>
  <c r="Q1506" i="7"/>
  <c r="K1505" i="7"/>
  <c r="S1506" i="7" s="1"/>
  <c r="P1506" i="7"/>
  <c r="R1506" i="7" l="1"/>
  <c r="G1506" i="7"/>
  <c r="H1506" i="7" l="1"/>
  <c r="I1506" i="7" s="1"/>
  <c r="J1506" i="7" s="1"/>
  <c r="L1506" i="7"/>
  <c r="M1506" i="7" s="1"/>
  <c r="N1506" i="7" s="1"/>
  <c r="Q1507" i="7" l="1"/>
  <c r="O1506" i="7"/>
  <c r="T1507" i="7" s="1"/>
  <c r="K1506" i="7"/>
  <c r="S1507" i="7" s="1"/>
  <c r="P1507" i="7"/>
  <c r="G1507" i="7" l="1"/>
  <c r="R1507" i="7"/>
  <c r="L1507" i="7" l="1"/>
  <c r="M1507" i="7" s="1"/>
  <c r="N1507" i="7" s="1"/>
  <c r="H1507" i="7"/>
  <c r="I1507" i="7" s="1"/>
  <c r="J1507" i="7" s="1"/>
  <c r="K1507" i="7" l="1"/>
  <c r="S1508" i="7" s="1"/>
  <c r="P1508" i="7"/>
  <c r="O1507" i="7"/>
  <c r="T1508" i="7" s="1"/>
  <c r="Q1508" i="7"/>
  <c r="G1508" i="7" l="1"/>
  <c r="R1508" i="7"/>
  <c r="H1508" i="7" l="1"/>
  <c r="I1508" i="7" s="1"/>
  <c r="J1508" i="7" s="1"/>
  <c r="L1508" i="7"/>
  <c r="M1508" i="7" s="1"/>
  <c r="N1508" i="7" s="1"/>
  <c r="Q1509" i="7" l="1"/>
  <c r="O1508" i="7"/>
  <c r="T1509" i="7" s="1"/>
  <c r="P1509" i="7"/>
  <c r="K1508" i="7"/>
  <c r="S1509" i="7" s="1"/>
  <c r="G1509" i="7" l="1"/>
  <c r="R1509" i="7"/>
  <c r="H1509" i="7" l="1"/>
  <c r="I1509" i="7" s="1"/>
  <c r="J1509" i="7" s="1"/>
  <c r="L1509" i="7"/>
  <c r="M1509" i="7" s="1"/>
  <c r="N1509" i="7" s="1"/>
  <c r="O1509" i="7" l="1"/>
  <c r="T1510" i="7" s="1"/>
  <c r="Q1510" i="7"/>
  <c r="P1510" i="7"/>
  <c r="K1509" i="7"/>
  <c r="S1510" i="7" s="1"/>
  <c r="R1510" i="7" l="1"/>
  <c r="G1510" i="7"/>
  <c r="H1510" i="7" l="1"/>
  <c r="I1510" i="7" s="1"/>
  <c r="J1510" i="7" s="1"/>
  <c r="L1510" i="7"/>
  <c r="M1510" i="7" s="1"/>
  <c r="N1510" i="7" s="1"/>
  <c r="O1510" i="7" l="1"/>
  <c r="T1511" i="7" s="1"/>
  <c r="Q1511" i="7"/>
  <c r="P1511" i="7"/>
  <c r="K1510" i="7"/>
  <c r="S1511" i="7" s="1"/>
  <c r="G1511" i="7" l="1"/>
  <c r="R1511" i="7"/>
  <c r="L1511" i="7" l="1"/>
  <c r="M1511" i="7" s="1"/>
  <c r="N1511" i="7" s="1"/>
  <c r="H1511" i="7"/>
  <c r="I1511" i="7" s="1"/>
  <c r="J1511" i="7" s="1"/>
  <c r="P1512" i="7" l="1"/>
  <c r="K1511" i="7"/>
  <c r="S1512" i="7" s="1"/>
  <c r="Q1512" i="7"/>
  <c r="O1511" i="7"/>
  <c r="T1512" i="7" s="1"/>
  <c r="R1512" i="7" l="1"/>
  <c r="G1512" i="7"/>
  <c r="L1512" i="7" l="1"/>
  <c r="M1512" i="7" s="1"/>
  <c r="N1512" i="7" s="1"/>
  <c r="H1512" i="7"/>
  <c r="I1512" i="7" s="1"/>
  <c r="J1512" i="7" s="1"/>
  <c r="K1512" i="7" l="1"/>
  <c r="S1513" i="7" s="1"/>
  <c r="P1513" i="7"/>
  <c r="Q1513" i="7"/>
  <c r="O1512" i="7"/>
  <c r="T1513" i="7" s="1"/>
  <c r="R1513" i="7" l="1"/>
  <c r="G1513" i="7"/>
  <c r="L1513" i="7" l="1"/>
  <c r="M1513" i="7" s="1"/>
  <c r="N1513" i="7" s="1"/>
  <c r="H1513" i="7"/>
  <c r="I1513" i="7" s="1"/>
  <c r="J1513" i="7" s="1"/>
  <c r="P1514" i="7" l="1"/>
  <c r="K1513" i="7"/>
  <c r="S1514" i="7" s="1"/>
  <c r="O1513" i="7"/>
  <c r="T1514" i="7" s="1"/>
  <c r="Q1514" i="7"/>
  <c r="G1514" i="7" l="1"/>
  <c r="R1514" i="7"/>
  <c r="H1514" i="7" l="1"/>
  <c r="I1514" i="7" s="1"/>
  <c r="J1514" i="7" s="1"/>
  <c r="L1514" i="7"/>
  <c r="M1514" i="7" s="1"/>
  <c r="N1514" i="7" s="1"/>
  <c r="Q1515" i="7" l="1"/>
  <c r="O1514" i="7"/>
  <c r="T1515" i="7" s="1"/>
  <c r="K1514" i="7"/>
  <c r="S1515" i="7" s="1"/>
  <c r="P1515" i="7"/>
  <c r="R1515" i="7" l="1"/>
  <c r="G1515" i="7"/>
  <c r="H1515" i="7" l="1"/>
  <c r="I1515" i="7" s="1"/>
  <c r="J1515" i="7" s="1"/>
  <c r="L1515" i="7"/>
  <c r="M1515" i="7" s="1"/>
  <c r="N1515" i="7" s="1"/>
  <c r="Q1516" i="7" l="1"/>
  <c r="O1515" i="7"/>
  <c r="T1516" i="7" s="1"/>
  <c r="K1515" i="7"/>
  <c r="S1516" i="7" s="1"/>
  <c r="P1516" i="7"/>
  <c r="G1516" i="7" l="1"/>
  <c r="R1516" i="7"/>
  <c r="L1516" i="7" l="1"/>
  <c r="M1516" i="7" s="1"/>
  <c r="N1516" i="7" s="1"/>
  <c r="H1516" i="7"/>
  <c r="I1516" i="7" s="1"/>
  <c r="J1516" i="7" s="1"/>
  <c r="P1517" i="7" l="1"/>
  <c r="K1516" i="7"/>
  <c r="S1517" i="7" s="1"/>
  <c r="O1516" i="7"/>
  <c r="T1517" i="7" s="1"/>
  <c r="Q1517" i="7"/>
  <c r="R1517" i="7" l="1"/>
  <c r="G1517" i="7"/>
  <c r="H1517" i="7" l="1"/>
  <c r="I1517" i="7" s="1"/>
  <c r="J1517" i="7" s="1"/>
  <c r="L1517" i="7"/>
  <c r="M1517" i="7" s="1"/>
  <c r="N1517" i="7" s="1"/>
  <c r="O1517" i="7" l="1"/>
  <c r="T1518" i="7" s="1"/>
  <c r="Q1518" i="7"/>
  <c r="P1518" i="7"/>
  <c r="K1517" i="7"/>
  <c r="S1518" i="7" s="1"/>
  <c r="R1518" i="7" l="1"/>
  <c r="G1518" i="7"/>
  <c r="H1518" i="7" l="1"/>
  <c r="I1518" i="7" s="1"/>
  <c r="J1518" i="7" s="1"/>
  <c r="L1518" i="7"/>
  <c r="M1518" i="7" s="1"/>
  <c r="N1518" i="7" s="1"/>
  <c r="O1518" i="7" l="1"/>
  <c r="T1519" i="7" s="1"/>
  <c r="Q1519" i="7"/>
  <c r="K1518" i="7"/>
  <c r="S1519" i="7" s="1"/>
  <c r="P1519" i="7"/>
  <c r="G1519" i="7" l="1"/>
  <c r="R1519" i="7"/>
  <c r="H1519" i="7" l="1"/>
  <c r="I1519" i="7" s="1"/>
  <c r="J1519" i="7" s="1"/>
  <c r="L1519" i="7"/>
  <c r="M1519" i="7" s="1"/>
  <c r="N1519" i="7" s="1"/>
  <c r="O1519" i="7" l="1"/>
  <c r="T1520" i="7" s="1"/>
  <c r="Q1520" i="7"/>
  <c r="K1519" i="7"/>
  <c r="S1520" i="7" s="1"/>
  <c r="P1520" i="7"/>
  <c r="R1520" i="7" l="1"/>
  <c r="G1520" i="7"/>
  <c r="L1520" i="7" l="1"/>
  <c r="M1520" i="7" s="1"/>
  <c r="N1520" i="7" s="1"/>
  <c r="H1520" i="7"/>
  <c r="I1520" i="7" s="1"/>
  <c r="J1520" i="7" s="1"/>
  <c r="P1521" i="7" l="1"/>
  <c r="K1520" i="7"/>
  <c r="S1521" i="7" s="1"/>
  <c r="Q1521" i="7"/>
  <c r="O1520" i="7"/>
  <c r="T1521" i="7" s="1"/>
  <c r="R1521" i="7" l="1"/>
  <c r="G1521" i="7"/>
  <c r="L1521" i="7" l="1"/>
  <c r="M1521" i="7" s="1"/>
  <c r="N1521" i="7" s="1"/>
  <c r="H1521" i="7"/>
  <c r="I1521" i="7" s="1"/>
  <c r="J1521" i="7" s="1"/>
  <c r="P1522" i="7" l="1"/>
  <c r="K1521" i="7"/>
  <c r="S1522" i="7" s="1"/>
  <c r="Q1522" i="7"/>
  <c r="O1521" i="7"/>
  <c r="T1522" i="7" s="1"/>
  <c r="G1522" i="7" l="1"/>
  <c r="R1522" i="7"/>
  <c r="H1522" i="7" l="1"/>
  <c r="I1522" i="7" s="1"/>
  <c r="J1522" i="7" s="1"/>
  <c r="L1522" i="7"/>
  <c r="M1522" i="7" s="1"/>
  <c r="N1522" i="7" s="1"/>
  <c r="Q1523" i="7" l="1"/>
  <c r="O1522" i="7"/>
  <c r="T1523" i="7" s="1"/>
  <c r="P1523" i="7"/>
  <c r="K1522" i="7"/>
  <c r="S1523" i="7" s="1"/>
  <c r="R1523" i="7" l="1"/>
  <c r="G1523" i="7"/>
  <c r="L1523" i="7" l="1"/>
  <c r="M1523" i="7" s="1"/>
  <c r="N1523" i="7" s="1"/>
  <c r="H1523" i="7"/>
  <c r="I1523" i="7" s="1"/>
  <c r="J1523" i="7" s="1"/>
  <c r="P1524" i="7" l="1"/>
  <c r="K1523" i="7"/>
  <c r="S1524" i="7" s="1"/>
  <c r="Q1524" i="7"/>
  <c r="O1523" i="7"/>
  <c r="T1524" i="7" s="1"/>
  <c r="R1524" i="7" l="1"/>
  <c r="G1524" i="7"/>
  <c r="H1524" i="7" l="1"/>
  <c r="I1524" i="7" s="1"/>
  <c r="J1524" i="7" s="1"/>
  <c r="L1524" i="7"/>
  <c r="M1524" i="7" s="1"/>
  <c r="N1524" i="7" s="1"/>
  <c r="Q1525" i="7" l="1"/>
  <c r="O1524" i="7"/>
  <c r="T1525" i="7" s="1"/>
  <c r="P1525" i="7"/>
  <c r="K1524" i="7"/>
  <c r="S1525" i="7" s="1"/>
  <c r="R1525" i="7" l="1"/>
  <c r="G1525" i="7"/>
  <c r="L1525" i="7" l="1"/>
  <c r="M1525" i="7" s="1"/>
  <c r="N1525" i="7" s="1"/>
  <c r="H1525" i="7"/>
  <c r="I1525" i="7" s="1"/>
  <c r="J1525" i="7" s="1"/>
  <c r="K1525" i="7" l="1"/>
  <c r="S1526" i="7" s="1"/>
  <c r="P1526" i="7"/>
  <c r="Q1526" i="7"/>
  <c r="O1525" i="7"/>
  <c r="T1526" i="7" s="1"/>
  <c r="G1526" i="7" l="1"/>
  <c r="R1526" i="7"/>
  <c r="L1526" i="7" l="1"/>
  <c r="M1526" i="7" s="1"/>
  <c r="N1526" i="7" s="1"/>
  <c r="H1526" i="7"/>
  <c r="I1526" i="7" s="1"/>
  <c r="J1526" i="7" s="1"/>
  <c r="P1527" i="7" l="1"/>
  <c r="K1526" i="7"/>
  <c r="S1527" i="7" s="1"/>
  <c r="O1526" i="7"/>
  <c r="T1527" i="7" s="1"/>
  <c r="Q1527" i="7"/>
  <c r="R1527" i="7" l="1"/>
  <c r="G1527" i="7"/>
  <c r="L1527" i="7" l="1"/>
  <c r="M1527" i="7" s="1"/>
  <c r="N1527" i="7" s="1"/>
  <c r="H1527" i="7"/>
  <c r="I1527" i="7" s="1"/>
  <c r="J1527" i="7" s="1"/>
  <c r="P1528" i="7" l="1"/>
  <c r="K1527" i="7"/>
  <c r="S1528" i="7" s="1"/>
  <c r="O1527" i="7"/>
  <c r="T1528" i="7" s="1"/>
  <c r="Q1528" i="7"/>
  <c r="R1528" i="7" l="1"/>
  <c r="G1528" i="7"/>
  <c r="L1528" i="7" l="1"/>
  <c r="M1528" i="7" s="1"/>
  <c r="N1528" i="7" s="1"/>
  <c r="H1528" i="7"/>
  <c r="I1528" i="7" s="1"/>
  <c r="J1528" i="7" s="1"/>
  <c r="P1529" i="7" l="1"/>
  <c r="K1528" i="7"/>
  <c r="S1529" i="7" s="1"/>
  <c r="Q1529" i="7"/>
  <c r="O1528" i="7"/>
  <c r="T1529" i="7" s="1"/>
  <c r="R1529" i="7" l="1"/>
  <c r="G1529" i="7"/>
  <c r="L1529" i="7" l="1"/>
  <c r="M1529" i="7" s="1"/>
  <c r="N1529" i="7" s="1"/>
  <c r="H1529" i="7"/>
  <c r="I1529" i="7" s="1"/>
  <c r="J1529" i="7" s="1"/>
  <c r="K1529" i="7" l="1"/>
  <c r="S1530" i="7" s="1"/>
  <c r="P1530" i="7"/>
  <c r="Q1530" i="7"/>
  <c r="O1529" i="7"/>
  <c r="T1530" i="7" s="1"/>
  <c r="G1530" i="7" l="1"/>
  <c r="R1530" i="7"/>
  <c r="H1530" i="7" l="1"/>
  <c r="I1530" i="7" s="1"/>
  <c r="J1530" i="7" s="1"/>
  <c r="L1530" i="7"/>
  <c r="M1530" i="7" s="1"/>
  <c r="N1530" i="7" s="1"/>
  <c r="O1530" i="7" l="1"/>
  <c r="T1531" i="7" s="1"/>
  <c r="Q1531" i="7"/>
  <c r="P1531" i="7"/>
  <c r="K1530" i="7"/>
  <c r="S1531" i="7" s="1"/>
  <c r="G1531" i="7" l="1"/>
  <c r="R1531" i="7"/>
  <c r="H1531" i="7" l="1"/>
  <c r="I1531" i="7" s="1"/>
  <c r="J1531" i="7" s="1"/>
  <c r="L1531" i="7"/>
  <c r="M1531" i="7" s="1"/>
  <c r="N1531" i="7" s="1"/>
  <c r="Q1532" i="7" l="1"/>
  <c r="O1531" i="7"/>
  <c r="T1532" i="7" s="1"/>
  <c r="K1531" i="7"/>
  <c r="S1532" i="7" s="1"/>
  <c r="P1532" i="7"/>
  <c r="R1532" i="7" l="1"/>
  <c r="G1532" i="7"/>
  <c r="H1532" i="7" l="1"/>
  <c r="I1532" i="7" s="1"/>
  <c r="J1532" i="7" s="1"/>
  <c r="L1532" i="7"/>
  <c r="M1532" i="7" s="1"/>
  <c r="N1532" i="7" s="1"/>
  <c r="Q1533" i="7" l="1"/>
  <c r="O1532" i="7"/>
  <c r="T1533" i="7" s="1"/>
  <c r="K1532" i="7"/>
  <c r="S1533" i="7" s="1"/>
  <c r="P1533" i="7"/>
  <c r="G1533" i="7" l="1"/>
  <c r="R1533" i="7"/>
  <c r="L1533" i="7" l="1"/>
  <c r="M1533" i="7" s="1"/>
  <c r="N1533" i="7" s="1"/>
  <c r="H1533" i="7"/>
  <c r="I1533" i="7" s="1"/>
  <c r="J1533" i="7" s="1"/>
  <c r="P1534" i="7" l="1"/>
  <c r="K1533" i="7"/>
  <c r="S1534" i="7" s="1"/>
  <c r="O1533" i="7"/>
  <c r="T1534" i="7" s="1"/>
  <c r="Q1534" i="7"/>
  <c r="R1534" i="7" l="1"/>
  <c r="G1534" i="7"/>
  <c r="L1534" i="7" l="1"/>
  <c r="M1534" i="7" s="1"/>
  <c r="N1534" i="7" s="1"/>
  <c r="H1534" i="7"/>
  <c r="I1534" i="7" s="1"/>
  <c r="J1534" i="7" s="1"/>
  <c r="P1535" i="7" l="1"/>
  <c r="K1534" i="7"/>
  <c r="S1535" i="7" s="1"/>
  <c r="Q1535" i="7"/>
  <c r="O1534" i="7"/>
  <c r="T1535" i="7" s="1"/>
  <c r="G1535" i="7" l="1"/>
  <c r="R1535" i="7"/>
  <c r="H1535" i="7" l="1"/>
  <c r="I1535" i="7" s="1"/>
  <c r="J1535" i="7" s="1"/>
  <c r="L1535" i="7"/>
  <c r="M1535" i="7" s="1"/>
  <c r="N1535" i="7" s="1"/>
  <c r="Q1536" i="7" l="1"/>
  <c r="O1535" i="7"/>
  <c r="T1536" i="7" s="1"/>
  <c r="P1536" i="7"/>
  <c r="K1535" i="7"/>
  <c r="S1536" i="7" s="1"/>
  <c r="R1536" i="7" l="1"/>
  <c r="G1536" i="7"/>
  <c r="H1536" i="7" l="1"/>
  <c r="I1536" i="7" s="1"/>
  <c r="J1536" i="7" s="1"/>
  <c r="L1536" i="7"/>
  <c r="M1536" i="7" s="1"/>
  <c r="N1536" i="7" s="1"/>
  <c r="Q1537" i="7" l="1"/>
  <c r="O1536" i="7"/>
  <c r="T1537" i="7" s="1"/>
  <c r="P1537" i="7"/>
  <c r="K1536" i="7"/>
  <c r="S1537" i="7" s="1"/>
  <c r="R1537" i="7" l="1"/>
  <c r="G1537" i="7"/>
  <c r="H1537" i="7" l="1"/>
  <c r="I1537" i="7" s="1"/>
  <c r="J1537" i="7" s="1"/>
  <c r="L1537" i="7"/>
  <c r="M1537" i="7" s="1"/>
  <c r="N1537" i="7" s="1"/>
  <c r="Q1538" i="7" l="1"/>
  <c r="O1537" i="7"/>
  <c r="T1538" i="7" s="1"/>
  <c r="K1537" i="7"/>
  <c r="S1538" i="7" s="1"/>
  <c r="P1538" i="7"/>
  <c r="G1538" i="7" l="1"/>
  <c r="R1538" i="7"/>
  <c r="H1538" i="7" l="1"/>
  <c r="I1538" i="7" s="1"/>
  <c r="J1538" i="7" s="1"/>
  <c r="L1538" i="7"/>
  <c r="M1538" i="7" s="1"/>
  <c r="N1538" i="7" s="1"/>
  <c r="Q1539" i="7" l="1"/>
  <c r="O1538" i="7"/>
  <c r="T1539" i="7" s="1"/>
  <c r="P1539" i="7"/>
  <c r="K1538" i="7"/>
  <c r="S1539" i="7" s="1"/>
  <c r="G1539" i="7" l="1"/>
  <c r="R1539" i="7"/>
  <c r="L1539" i="7" l="1"/>
  <c r="M1539" i="7" s="1"/>
  <c r="N1539" i="7" s="1"/>
  <c r="H1539" i="7"/>
  <c r="I1539" i="7" s="1"/>
  <c r="J1539" i="7" s="1"/>
  <c r="K1539" i="7" l="1"/>
  <c r="S1540" i="7" s="1"/>
  <c r="P1540" i="7"/>
  <c r="O1539" i="7"/>
  <c r="T1540" i="7" s="1"/>
  <c r="Q1540" i="7"/>
  <c r="G1540" i="7" l="1"/>
  <c r="R1540" i="7"/>
  <c r="L1540" i="7" l="1"/>
  <c r="M1540" i="7" s="1"/>
  <c r="N1540" i="7" s="1"/>
  <c r="H1540" i="7"/>
  <c r="I1540" i="7" s="1"/>
  <c r="J1540" i="7" s="1"/>
  <c r="K1540" i="7" l="1"/>
  <c r="S1541" i="7" s="1"/>
  <c r="P1541" i="7"/>
  <c r="Q1541" i="7"/>
  <c r="O1540" i="7"/>
  <c r="T1541" i="7" s="1"/>
  <c r="R1541" i="7" l="1"/>
  <c r="G1541" i="7"/>
  <c r="H1541" i="7" l="1"/>
  <c r="I1541" i="7" s="1"/>
  <c r="J1541" i="7" s="1"/>
  <c r="L1541" i="7"/>
  <c r="M1541" i="7" s="1"/>
  <c r="N1541" i="7" s="1"/>
  <c r="O1541" i="7" l="1"/>
  <c r="T1542" i="7" s="1"/>
  <c r="Q1542" i="7"/>
  <c r="K1541" i="7"/>
  <c r="S1542" i="7" s="1"/>
  <c r="P1542" i="7"/>
  <c r="G1542" i="7" l="1"/>
  <c r="R1542" i="7"/>
  <c r="H1542" i="7" l="1"/>
  <c r="I1542" i="7" s="1"/>
  <c r="J1542" i="7" s="1"/>
  <c r="L1542" i="7"/>
  <c r="M1542" i="7" s="1"/>
  <c r="N1542" i="7" s="1"/>
  <c r="O1542" i="7" l="1"/>
  <c r="T1543" i="7" s="1"/>
  <c r="Q1543" i="7"/>
  <c r="P1543" i="7"/>
  <c r="K1542" i="7"/>
  <c r="S1543" i="7" s="1"/>
  <c r="R1543" i="7" l="1"/>
  <c r="G1543" i="7"/>
  <c r="H1543" i="7" l="1"/>
  <c r="I1543" i="7" s="1"/>
  <c r="J1543" i="7" s="1"/>
  <c r="L1543" i="7"/>
  <c r="M1543" i="7" s="1"/>
  <c r="N1543" i="7" s="1"/>
  <c r="Q1544" i="7" l="1"/>
  <c r="O1543" i="7"/>
  <c r="T1544" i="7" s="1"/>
  <c r="P1544" i="7"/>
  <c r="K1543" i="7"/>
  <c r="S1544" i="7" s="1"/>
  <c r="G1544" i="7" l="1"/>
  <c r="R1544" i="7"/>
  <c r="H1544" i="7" l="1"/>
  <c r="I1544" i="7" s="1"/>
  <c r="J1544" i="7" s="1"/>
  <c r="L1544" i="7"/>
  <c r="M1544" i="7" s="1"/>
  <c r="N1544" i="7" s="1"/>
  <c r="O1544" i="7" l="1"/>
  <c r="T1545" i="7" s="1"/>
  <c r="Q1545" i="7"/>
  <c r="P1545" i="7"/>
  <c r="K1544" i="7"/>
  <c r="S1545" i="7" s="1"/>
  <c r="R1545" i="7" l="1"/>
  <c r="G1545" i="7"/>
  <c r="L1545" i="7" l="1"/>
  <c r="M1545" i="7" s="1"/>
  <c r="N1545" i="7" s="1"/>
  <c r="H1545" i="7"/>
  <c r="I1545" i="7" s="1"/>
  <c r="J1545" i="7" s="1"/>
  <c r="P1546" i="7" l="1"/>
  <c r="K1545" i="7"/>
  <c r="S1546" i="7" s="1"/>
  <c r="O1545" i="7"/>
  <c r="T1546" i="7" s="1"/>
  <c r="Q1546" i="7"/>
  <c r="G1546" i="7" l="1"/>
  <c r="R1546" i="7"/>
  <c r="L1546" i="7" l="1"/>
  <c r="M1546" i="7" s="1"/>
  <c r="N1546" i="7" s="1"/>
  <c r="H1546" i="7"/>
  <c r="I1546" i="7" s="1"/>
  <c r="J1546" i="7" s="1"/>
  <c r="P1547" i="7" l="1"/>
  <c r="K1546" i="7"/>
  <c r="S1547" i="7" s="1"/>
  <c r="O1546" i="7"/>
  <c r="T1547" i="7" s="1"/>
  <c r="Q1547" i="7"/>
  <c r="R1547" i="7" l="1"/>
  <c r="G1547" i="7"/>
  <c r="L1547" i="7" l="1"/>
  <c r="M1547" i="7" s="1"/>
  <c r="N1547" i="7" s="1"/>
  <c r="H1547" i="7"/>
  <c r="I1547" i="7" s="1"/>
  <c r="J1547" i="7" s="1"/>
  <c r="K1547" i="7" l="1"/>
  <c r="S1548" i="7" s="1"/>
  <c r="P1548" i="7"/>
  <c r="O1547" i="7"/>
  <c r="T1548" i="7" s="1"/>
  <c r="Q1548" i="7"/>
  <c r="R1548" i="7" l="1"/>
  <c r="G1548" i="7"/>
  <c r="L1548" i="7" l="1"/>
  <c r="M1548" i="7" s="1"/>
  <c r="N1548" i="7" s="1"/>
  <c r="H1548" i="7"/>
  <c r="I1548" i="7" s="1"/>
  <c r="J1548" i="7" s="1"/>
  <c r="K1548" i="7" l="1"/>
  <c r="S1549" i="7" s="1"/>
  <c r="P1549" i="7"/>
  <c r="O1548" i="7"/>
  <c r="T1549" i="7" s="1"/>
  <c r="Q1549" i="7"/>
  <c r="R1549" i="7" l="1"/>
  <c r="G1549" i="7"/>
  <c r="H1549" i="7" l="1"/>
  <c r="I1549" i="7" s="1"/>
  <c r="J1549" i="7" s="1"/>
  <c r="L1549" i="7"/>
  <c r="M1549" i="7" s="1"/>
  <c r="N1549" i="7" s="1"/>
  <c r="Q1550" i="7" l="1"/>
  <c r="O1549" i="7"/>
  <c r="T1550" i="7" s="1"/>
  <c r="P1550" i="7"/>
  <c r="K1549" i="7"/>
  <c r="S1550" i="7" s="1"/>
  <c r="G1550" i="7" l="1"/>
  <c r="R1550" i="7"/>
  <c r="H1550" i="7" l="1"/>
  <c r="I1550" i="7" s="1"/>
  <c r="J1550" i="7" s="1"/>
  <c r="L1550" i="7"/>
  <c r="M1550" i="7" s="1"/>
  <c r="N1550" i="7" s="1"/>
  <c r="O1550" i="7" l="1"/>
  <c r="T1551" i="7" s="1"/>
  <c r="Q1551" i="7"/>
  <c r="P1551" i="7"/>
  <c r="K1550" i="7"/>
  <c r="S1551" i="7" s="1"/>
  <c r="R1551" i="7" l="1"/>
  <c r="G1551" i="7"/>
  <c r="H1551" i="7" l="1"/>
  <c r="I1551" i="7" s="1"/>
  <c r="J1551" i="7" s="1"/>
  <c r="L1551" i="7"/>
  <c r="M1551" i="7" s="1"/>
  <c r="N1551" i="7" s="1"/>
  <c r="O1551" i="7" l="1"/>
  <c r="T1552" i="7" s="1"/>
  <c r="Q1552" i="7"/>
  <c r="K1551" i="7"/>
  <c r="S1552" i="7" s="1"/>
  <c r="P1552" i="7"/>
  <c r="R1552" i="7" l="1"/>
  <c r="G1552" i="7"/>
  <c r="L1552" i="7" l="1"/>
  <c r="M1552" i="7" s="1"/>
  <c r="N1552" i="7" s="1"/>
  <c r="H1552" i="7"/>
  <c r="I1552" i="7" s="1"/>
  <c r="J1552" i="7" s="1"/>
  <c r="P1553" i="7" l="1"/>
  <c r="K1552" i="7"/>
  <c r="S1553" i="7" s="1"/>
  <c r="O1552" i="7"/>
  <c r="T1553" i="7" s="1"/>
  <c r="Q1553" i="7"/>
  <c r="R1553" i="7" l="1"/>
  <c r="G1553" i="7"/>
  <c r="L1553" i="7" l="1"/>
  <c r="M1553" i="7" s="1"/>
  <c r="N1553" i="7" s="1"/>
  <c r="H1553" i="7"/>
  <c r="I1553" i="7" s="1"/>
  <c r="J1553" i="7" s="1"/>
  <c r="P1554" i="7" l="1"/>
  <c r="K1553" i="7"/>
  <c r="S1554" i="7" s="1"/>
  <c r="O1553" i="7"/>
  <c r="T1554" i="7" s="1"/>
  <c r="Q1554" i="7"/>
  <c r="G1554" i="7" l="1"/>
  <c r="R1554" i="7"/>
  <c r="H1554" i="7" l="1"/>
  <c r="I1554" i="7" s="1"/>
  <c r="J1554" i="7" s="1"/>
  <c r="L1554" i="7"/>
  <c r="M1554" i="7" s="1"/>
  <c r="N1554" i="7" s="1"/>
  <c r="Q1555" i="7" l="1"/>
  <c r="O1554" i="7"/>
  <c r="T1555" i="7" s="1"/>
  <c r="K1554" i="7"/>
  <c r="S1555" i="7" s="1"/>
  <c r="P1555" i="7"/>
  <c r="G1555" i="7" l="1"/>
  <c r="R1555" i="7"/>
  <c r="H1555" i="7" l="1"/>
  <c r="I1555" i="7" s="1"/>
  <c r="J1555" i="7" s="1"/>
  <c r="L1555" i="7"/>
  <c r="M1555" i="7" s="1"/>
  <c r="N1555" i="7" s="1"/>
  <c r="O1555" i="7" l="1"/>
  <c r="T1556" i="7" s="1"/>
  <c r="Q1556" i="7"/>
  <c r="P1556" i="7"/>
  <c r="K1555" i="7"/>
  <c r="S1556" i="7" s="1"/>
  <c r="G1556" i="7" l="1"/>
  <c r="R1556" i="7"/>
  <c r="L1556" i="7" l="1"/>
  <c r="M1556" i="7" s="1"/>
  <c r="N1556" i="7" s="1"/>
  <c r="H1556" i="7"/>
  <c r="I1556" i="7" s="1"/>
  <c r="J1556" i="7" s="1"/>
  <c r="K1556" i="7" l="1"/>
  <c r="S1557" i="7" s="1"/>
  <c r="P1557" i="7"/>
  <c r="Q1557" i="7"/>
  <c r="O1556" i="7"/>
  <c r="T1557" i="7" s="1"/>
  <c r="G1557" i="7" l="1"/>
  <c r="R1557" i="7"/>
  <c r="L1557" i="7" l="1"/>
  <c r="M1557" i="7" s="1"/>
  <c r="N1557" i="7" s="1"/>
  <c r="H1557" i="7"/>
  <c r="I1557" i="7" s="1"/>
  <c r="J1557" i="7" s="1"/>
  <c r="K1557" i="7" l="1"/>
  <c r="S1558" i="7" s="1"/>
  <c r="P1558" i="7"/>
  <c r="Q1558" i="7"/>
  <c r="O1557" i="7"/>
  <c r="T1558" i="7" s="1"/>
  <c r="G1558" i="7" l="1"/>
  <c r="R1558" i="7"/>
  <c r="L1558" i="7" l="1"/>
  <c r="M1558" i="7" s="1"/>
  <c r="N1558" i="7" s="1"/>
  <c r="H1558" i="7"/>
  <c r="I1558" i="7" s="1"/>
  <c r="J1558" i="7" s="1"/>
  <c r="P1559" i="7" l="1"/>
  <c r="K1558" i="7"/>
  <c r="S1559" i="7" s="1"/>
  <c r="O1558" i="7"/>
  <c r="T1559" i="7" s="1"/>
  <c r="Q1559" i="7"/>
  <c r="G1559" i="7" l="1"/>
  <c r="R1559" i="7"/>
  <c r="L1559" i="7" l="1"/>
  <c r="M1559" i="7" s="1"/>
  <c r="N1559" i="7" s="1"/>
  <c r="H1559" i="7"/>
  <c r="I1559" i="7" s="1"/>
  <c r="J1559" i="7" s="1"/>
  <c r="K1559" i="7" l="1"/>
  <c r="S1560" i="7" s="1"/>
  <c r="P1560" i="7"/>
  <c r="Q1560" i="7"/>
  <c r="O1559" i="7"/>
  <c r="T1560" i="7" s="1"/>
  <c r="R1560" i="7" l="1"/>
  <c r="G1560" i="7"/>
  <c r="L1560" i="7" l="1"/>
  <c r="M1560" i="7" s="1"/>
  <c r="N1560" i="7" s="1"/>
  <c r="H1560" i="7"/>
  <c r="I1560" i="7" s="1"/>
  <c r="J1560" i="7" s="1"/>
  <c r="P1561" i="7" l="1"/>
  <c r="K1560" i="7"/>
  <c r="S1561" i="7" s="1"/>
  <c r="Q1561" i="7"/>
  <c r="O1560" i="7"/>
  <c r="T1561" i="7" s="1"/>
  <c r="R1561" i="7" l="1"/>
  <c r="G1561" i="7"/>
  <c r="L1561" i="7" l="1"/>
  <c r="M1561" i="7" s="1"/>
  <c r="N1561" i="7" s="1"/>
  <c r="H1561" i="7"/>
  <c r="I1561" i="7" s="1"/>
  <c r="J1561" i="7" s="1"/>
  <c r="P1562" i="7" l="1"/>
  <c r="K1561" i="7"/>
  <c r="S1562" i="7" s="1"/>
  <c r="O1561" i="7"/>
  <c r="T1562" i="7" s="1"/>
  <c r="Q1562" i="7"/>
  <c r="R1562" i="7" l="1"/>
  <c r="G1562" i="7"/>
  <c r="L1562" i="7" l="1"/>
  <c r="M1562" i="7" s="1"/>
  <c r="N1562" i="7" s="1"/>
  <c r="H1562" i="7"/>
  <c r="I1562" i="7" s="1"/>
  <c r="J1562" i="7" s="1"/>
  <c r="P1563" i="7" l="1"/>
  <c r="K1562" i="7"/>
  <c r="S1563" i="7" s="1"/>
  <c r="Q1563" i="7"/>
  <c r="O1562" i="7"/>
  <c r="T1563" i="7" s="1"/>
  <c r="G1563" i="7" l="1"/>
  <c r="R1563" i="7"/>
  <c r="H1563" i="7" l="1"/>
  <c r="I1563" i="7" s="1"/>
  <c r="J1563" i="7" s="1"/>
  <c r="L1563" i="7"/>
  <c r="M1563" i="7" s="1"/>
  <c r="N1563" i="7" s="1"/>
  <c r="Q1564" i="7" l="1"/>
  <c r="O1563" i="7"/>
  <c r="T1564" i="7" s="1"/>
  <c r="P1564" i="7"/>
  <c r="K1563" i="7"/>
  <c r="S1564" i="7" s="1"/>
  <c r="R1564" i="7" l="1"/>
  <c r="G1564" i="7"/>
  <c r="L1564" i="7" l="1"/>
  <c r="M1564" i="7" s="1"/>
  <c r="N1564" i="7" s="1"/>
  <c r="H1564" i="7"/>
  <c r="I1564" i="7" s="1"/>
  <c r="J1564" i="7" s="1"/>
  <c r="P1565" i="7" l="1"/>
  <c r="K1564" i="7"/>
  <c r="S1565" i="7" s="1"/>
  <c r="O1564" i="7"/>
  <c r="T1565" i="7" s="1"/>
  <c r="Q1565" i="7"/>
  <c r="R1565" i="7" l="1"/>
  <c r="G1565" i="7"/>
  <c r="L1565" i="7" l="1"/>
  <c r="M1565" i="7" s="1"/>
  <c r="N1565" i="7" s="1"/>
  <c r="H1565" i="7"/>
  <c r="I1565" i="7" s="1"/>
  <c r="J1565" i="7" s="1"/>
  <c r="K1565" i="7" l="1"/>
  <c r="S1566" i="7" s="1"/>
  <c r="P1566" i="7"/>
  <c r="O1565" i="7"/>
  <c r="T1566" i="7" s="1"/>
  <c r="Q1566" i="7"/>
  <c r="R1566" i="7" l="1"/>
  <c r="G1566" i="7"/>
  <c r="H1566" i="7" l="1"/>
  <c r="I1566" i="7" s="1"/>
  <c r="J1566" i="7" s="1"/>
  <c r="L1566" i="7"/>
  <c r="M1566" i="7" s="1"/>
  <c r="N1566" i="7" s="1"/>
  <c r="O1566" i="7" l="1"/>
  <c r="T1567" i="7" s="1"/>
  <c r="Q1567" i="7"/>
  <c r="P1567" i="7"/>
  <c r="K1566" i="7"/>
  <c r="S1567" i="7" s="1"/>
  <c r="G1567" i="7" l="1"/>
  <c r="R1567" i="7"/>
  <c r="L1567" i="7" l="1"/>
  <c r="M1567" i="7" s="1"/>
  <c r="N1567" i="7" s="1"/>
  <c r="H1567" i="7"/>
  <c r="I1567" i="7" s="1"/>
  <c r="J1567" i="7" s="1"/>
  <c r="K1567" i="7" l="1"/>
  <c r="S1568" i="7" s="1"/>
  <c r="P1568" i="7"/>
  <c r="O1567" i="7"/>
  <c r="T1568" i="7" s="1"/>
  <c r="Q1568" i="7"/>
  <c r="G1568" i="7" l="1"/>
  <c r="R1568" i="7"/>
  <c r="L1568" i="7" l="1"/>
  <c r="M1568" i="7" s="1"/>
  <c r="N1568" i="7" s="1"/>
  <c r="H1568" i="7"/>
  <c r="I1568" i="7" s="1"/>
  <c r="J1568" i="7" s="1"/>
  <c r="P1569" i="7" l="1"/>
  <c r="K1568" i="7"/>
  <c r="S1569" i="7" s="1"/>
  <c r="O1568" i="7"/>
  <c r="T1569" i="7" s="1"/>
  <c r="Q1569" i="7"/>
  <c r="G1569" i="7" l="1"/>
  <c r="R1569" i="7"/>
  <c r="L1569" i="7" l="1"/>
  <c r="M1569" i="7" s="1"/>
  <c r="N1569" i="7" s="1"/>
  <c r="H1569" i="7"/>
  <c r="I1569" i="7" s="1"/>
  <c r="J1569" i="7" s="1"/>
  <c r="K1569" i="7" l="1"/>
  <c r="S1570" i="7" s="1"/>
  <c r="P1570" i="7"/>
  <c r="O1569" i="7"/>
  <c r="T1570" i="7" s="1"/>
  <c r="Q1570" i="7"/>
  <c r="R1570" i="7" l="1"/>
  <c r="G1570" i="7"/>
  <c r="H1570" i="7" l="1"/>
  <c r="I1570" i="7" s="1"/>
  <c r="J1570" i="7" s="1"/>
  <c r="L1570" i="7"/>
  <c r="M1570" i="7" s="1"/>
  <c r="N1570" i="7" s="1"/>
  <c r="O1570" i="7" l="1"/>
  <c r="T1571" i="7" s="1"/>
  <c r="Q1571" i="7"/>
  <c r="P1571" i="7"/>
  <c r="K1570" i="7"/>
  <c r="S1571" i="7" s="1"/>
  <c r="R1571" i="7" l="1"/>
  <c r="G1571" i="7"/>
  <c r="L1571" i="7" l="1"/>
  <c r="M1571" i="7" s="1"/>
  <c r="N1571" i="7" s="1"/>
  <c r="H1571" i="7"/>
  <c r="I1571" i="7" s="1"/>
  <c r="J1571" i="7" s="1"/>
  <c r="P1572" i="7" l="1"/>
  <c r="K1571" i="7"/>
  <c r="S1572" i="7" s="1"/>
  <c r="Q1572" i="7"/>
  <c r="O1571" i="7"/>
  <c r="T1572" i="7" s="1"/>
  <c r="G1572" i="7" l="1"/>
  <c r="R1572" i="7"/>
  <c r="L1572" i="7" l="1"/>
  <c r="M1572" i="7" s="1"/>
  <c r="N1572" i="7" s="1"/>
  <c r="H1572" i="7"/>
  <c r="I1572" i="7" s="1"/>
  <c r="J1572" i="7" s="1"/>
  <c r="P1573" i="7" l="1"/>
  <c r="K1572" i="7"/>
  <c r="S1573" i="7" s="1"/>
  <c r="O1572" i="7"/>
  <c r="T1573" i="7" s="1"/>
  <c r="Q1573" i="7"/>
  <c r="G1573" i="7" l="1"/>
  <c r="R1573" i="7"/>
  <c r="H1573" i="7" l="1"/>
  <c r="I1573" i="7" s="1"/>
  <c r="J1573" i="7" s="1"/>
  <c r="L1573" i="7"/>
  <c r="M1573" i="7" s="1"/>
  <c r="N1573" i="7" s="1"/>
  <c r="Q1574" i="7" l="1"/>
  <c r="O1573" i="7"/>
  <c r="T1574" i="7" s="1"/>
  <c r="K1573" i="7"/>
  <c r="S1574" i="7" s="1"/>
  <c r="P1574" i="7"/>
  <c r="G1574" i="7" l="1"/>
  <c r="R1574" i="7"/>
  <c r="L1574" i="7" l="1"/>
  <c r="M1574" i="7" s="1"/>
  <c r="N1574" i="7" s="1"/>
  <c r="H1574" i="7"/>
  <c r="I1574" i="7" s="1"/>
  <c r="J1574" i="7" s="1"/>
  <c r="P1575" i="7" l="1"/>
  <c r="K1574" i="7"/>
  <c r="S1575" i="7" s="1"/>
  <c r="Q1575" i="7"/>
  <c r="O1574" i="7"/>
  <c r="T1575" i="7" s="1"/>
  <c r="G1575" i="7" l="1"/>
  <c r="R1575" i="7"/>
  <c r="H1575" i="7" l="1"/>
  <c r="I1575" i="7" s="1"/>
  <c r="J1575" i="7" s="1"/>
  <c r="L1575" i="7"/>
  <c r="M1575" i="7" s="1"/>
  <c r="N1575" i="7" s="1"/>
  <c r="O1575" i="7" l="1"/>
  <c r="T1576" i="7" s="1"/>
  <c r="Q1576" i="7"/>
  <c r="K1575" i="7"/>
  <c r="S1576" i="7" s="1"/>
  <c r="P1576" i="7"/>
  <c r="R1576" i="7" l="1"/>
  <c r="G1576" i="7"/>
  <c r="L1576" i="7" l="1"/>
  <c r="M1576" i="7" s="1"/>
  <c r="N1576" i="7" s="1"/>
  <c r="H1576" i="7"/>
  <c r="I1576" i="7" s="1"/>
  <c r="J1576" i="7" s="1"/>
  <c r="P1577" i="7" l="1"/>
  <c r="K1576" i="7"/>
  <c r="S1577" i="7" s="1"/>
  <c r="O1576" i="7"/>
  <c r="T1577" i="7" s="1"/>
  <c r="Q1577" i="7"/>
  <c r="R1577" i="7" l="1"/>
  <c r="G1577" i="7"/>
  <c r="L1577" i="7" l="1"/>
  <c r="M1577" i="7" s="1"/>
  <c r="N1577" i="7" s="1"/>
  <c r="H1577" i="7"/>
  <c r="I1577" i="7" s="1"/>
  <c r="J1577" i="7" s="1"/>
  <c r="P1578" i="7" l="1"/>
  <c r="K1577" i="7"/>
  <c r="S1578" i="7" s="1"/>
  <c r="O1577" i="7"/>
  <c r="T1578" i="7" s="1"/>
  <c r="Q1578" i="7"/>
  <c r="G1578" i="7" l="1"/>
  <c r="R1578" i="7"/>
  <c r="H1578" i="7" l="1"/>
  <c r="I1578" i="7" s="1"/>
  <c r="J1578" i="7" s="1"/>
  <c r="L1578" i="7"/>
  <c r="M1578" i="7" s="1"/>
  <c r="N1578" i="7" s="1"/>
  <c r="Q1579" i="7" l="1"/>
  <c r="O1578" i="7"/>
  <c r="T1579" i="7" s="1"/>
  <c r="P1579" i="7"/>
  <c r="K1578" i="7"/>
  <c r="S1579" i="7" s="1"/>
  <c r="R1579" i="7" l="1"/>
  <c r="G1579" i="7"/>
  <c r="L1579" i="7" l="1"/>
  <c r="M1579" i="7" s="1"/>
  <c r="N1579" i="7" s="1"/>
  <c r="H1579" i="7"/>
  <c r="I1579" i="7" s="1"/>
  <c r="J1579" i="7" s="1"/>
  <c r="K1579" i="7" l="1"/>
  <c r="S1580" i="7" s="1"/>
  <c r="P1580" i="7"/>
  <c r="Q1580" i="7"/>
  <c r="O1579" i="7"/>
  <c r="T1580" i="7" s="1"/>
  <c r="G1580" i="7" l="1"/>
  <c r="R1580" i="7"/>
  <c r="L1580" i="7" l="1"/>
  <c r="M1580" i="7" s="1"/>
  <c r="N1580" i="7" s="1"/>
  <c r="H1580" i="7"/>
  <c r="I1580" i="7" s="1"/>
  <c r="J1580" i="7" s="1"/>
  <c r="K1580" i="7" l="1"/>
  <c r="S1581" i="7" s="1"/>
  <c r="P1581" i="7"/>
  <c r="Q1581" i="7"/>
  <c r="O1580" i="7"/>
  <c r="W2" i="7" l="1"/>
  <c r="W3" i="7" s="1"/>
  <c r="D3" i="4" s="1"/>
  <c r="T1581" i="7"/>
  <c r="R1581" i="7"/>
  <c r="G1581" i="7"/>
  <c r="H1581" i="7" l="1"/>
  <c r="I1581" i="7" s="1"/>
  <c r="J1581" i="7" s="1"/>
  <c r="K1581" i="7" s="1"/>
  <c r="L1581" i="7"/>
  <c r="M1581" i="7" s="1"/>
  <c r="N1581" i="7" s="1"/>
  <c r="O158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<sst xmlns="http://schemas.openxmlformats.org/spreadsheetml/2006/main" count="272" uniqueCount="186">
  <si>
    <t>h_max [m]</t>
  </si>
  <si>
    <t>θ_release [°]</t>
  </si>
  <si>
    <t>h_1 [m]</t>
  </si>
  <si>
    <t>v_0y  [m/s]</t>
  </si>
  <si>
    <t>v_0  [m/s]</t>
  </si>
  <si>
    <t>v_0x  [m/s]</t>
  </si>
  <si>
    <t>Parameters</t>
  </si>
  <si>
    <t>r_1 [m]</t>
  </si>
  <si>
    <t>h_0 [m]</t>
  </si>
  <si>
    <t>Constants</t>
  </si>
  <si>
    <t>g [m/s^2]</t>
  </si>
  <si>
    <t>t_throw [s]</t>
  </si>
  <si>
    <t>x_impact [m]</t>
  </si>
  <si>
    <t>Solution</t>
  </si>
  <si>
    <t>t_max [s]</t>
  </si>
  <si>
    <t>Simulation</t>
  </si>
  <si>
    <t>Dynamic Chart</t>
  </si>
  <si>
    <t>Count [h &gt; 0]</t>
  </si>
  <si>
    <t>x(t) [m]</t>
  </si>
  <si>
    <t>y(t) [m]</t>
  </si>
  <si>
    <t>t [s]</t>
  </si>
  <si>
    <t>t_speed_up [s]</t>
  </si>
  <si>
    <t>n_0 [rev/s]</t>
  </si>
  <si>
    <t>ω_0 [rad/s]</t>
  </si>
  <si>
    <t>α [rad/s^2]</t>
  </si>
  <si>
    <t>a_t  [m/s^2]</t>
  </si>
  <si>
    <t>a_n0 [m/s^2]</t>
  </si>
  <si>
    <t>n [g]</t>
  </si>
  <si>
    <t>n_0 [rpm]</t>
  </si>
  <si>
    <t>Load Factor</t>
  </si>
  <si>
    <t>Maximum normal acceleration</t>
  </si>
  <si>
    <t>T [Nm]</t>
  </si>
  <si>
    <t>P [W]</t>
  </si>
  <si>
    <t>Constant throughout acceleration</t>
  </si>
  <si>
    <t>Maxmimum nearing v_0</t>
  </si>
  <si>
    <t>m_cw</t>
  </si>
  <si>
    <t>r_cw [m]</t>
  </si>
  <si>
    <t>m_rocket [kg]</t>
  </si>
  <si>
    <t>m_rod [kg]</t>
  </si>
  <si>
    <t>m_rod_cw [kg]</t>
  </si>
  <si>
    <t>Input Parameters</t>
  </si>
  <si>
    <t>Color Code</t>
  </si>
  <si>
    <t>Mass Moment of Inertia</t>
  </si>
  <si>
    <t xml:space="preserve">System parameter </t>
  </si>
  <si>
    <t>Tensile Loading</t>
  </si>
  <si>
    <t>Solutions</t>
  </si>
  <si>
    <t>Counterweight</t>
  </si>
  <si>
    <t>a_n0_rod [m/s^2]</t>
  </si>
  <si>
    <t>F_n_rod [N]</t>
  </si>
  <si>
    <t>F_n_rocket [N]</t>
  </si>
  <si>
    <t>F_max [N]</t>
  </si>
  <si>
    <t>Material</t>
  </si>
  <si>
    <t>Steel S235</t>
  </si>
  <si>
    <t>Shear Modulus [Gpa]</t>
  </si>
  <si>
    <t>Material Density [kg/m^3]</t>
  </si>
  <si>
    <t>Yield Strenght [Mpa]</t>
  </si>
  <si>
    <t>Drop Down Selection</t>
  </si>
  <si>
    <t>Carbon Fibre</t>
  </si>
  <si>
    <t>Yield Strength [Mpa]</t>
  </si>
  <si>
    <t>Aluminum 6060</t>
  </si>
  <si>
    <t>PPA-CF</t>
  </si>
  <si>
    <t>N/A</t>
  </si>
  <si>
    <t>d_rod [mm]</t>
  </si>
  <si>
    <t>D_rod [mm]</t>
  </si>
  <si>
    <t>Rod - Rocket</t>
  </si>
  <si>
    <t>Rod - CW</t>
  </si>
  <si>
    <t>D_rod_cw [mm]</t>
  </si>
  <si>
    <t>d_rod_cw  [mm]</t>
  </si>
  <si>
    <t>ρ_rod [kg/m^3]</t>
  </si>
  <si>
    <t>A_rod [mm^2]</t>
  </si>
  <si>
    <t>V_rod [mm^3]</t>
  </si>
  <si>
    <t>ρ_rod_cw [kg/m^3]</t>
  </si>
  <si>
    <t>S</t>
  </si>
  <si>
    <t>Dimensioning Rod - Rocket</t>
  </si>
  <si>
    <t>Torque and Power of Motor</t>
  </si>
  <si>
    <t>Projectile Motion</t>
  </si>
  <si>
    <t>Rotational Motion</t>
  </si>
  <si>
    <t>Saftey Factor</t>
  </si>
  <si>
    <t>Bending</t>
  </si>
  <si>
    <t>a_t [m/s^2]</t>
  </si>
  <si>
    <t>F_t_rod [N]</t>
  </si>
  <si>
    <t>F_t_rocket [N]</t>
  </si>
  <si>
    <t>Force at attachment point A</t>
  </si>
  <si>
    <t>M_A [Nm]</t>
  </si>
  <si>
    <t>F_A [N]</t>
  </si>
  <si>
    <t>J_cw [kgm^2]</t>
  </si>
  <si>
    <t>J_rocket [kgm^2]</t>
  </si>
  <si>
    <t>J_rod [kgm^2]</t>
  </si>
  <si>
    <t>J_rod_cw  [kgm^2]</t>
  </si>
  <si>
    <t>J_total [kgm^2]</t>
  </si>
  <si>
    <t>I_rod [mm^4]</t>
  </si>
  <si>
    <t>Maximum bending moment is at attachment</t>
  </si>
  <si>
    <t>σ_rod_tensile [Mpa]</t>
  </si>
  <si>
    <t>σ_rod_bending [Mpa]</t>
  </si>
  <si>
    <t>Flexure formula</t>
  </si>
  <si>
    <t>Von Mises Criterion</t>
  </si>
  <si>
    <t>σ_rod [Mpa]</t>
  </si>
  <si>
    <t>Total normal stress in the rod</t>
  </si>
  <si>
    <t>Beam Deflection</t>
  </si>
  <si>
    <t>Elastic Modulus [Mpa]</t>
  </si>
  <si>
    <t>δ_rod_bending [mm]</t>
  </si>
  <si>
    <t>Results</t>
  </si>
  <si>
    <t>Workings</t>
  </si>
  <si>
    <t>σ_rod_tension [Mpa]</t>
  </si>
  <si>
    <t>Von Mises Normal Stress</t>
  </si>
  <si>
    <t>Bending Beam Deflection</t>
  </si>
  <si>
    <t>Tensile Stress</t>
  </si>
  <si>
    <t>Bending Stress</t>
  </si>
  <si>
    <t>Tensile loading on the rod due to the normal acceleration of the rocket's mass</t>
  </si>
  <si>
    <t>Kinematics</t>
  </si>
  <si>
    <t>Kinetics</t>
  </si>
  <si>
    <t>Rocket Drag</t>
  </si>
  <si>
    <t>ρ_air [kg/m^3]</t>
  </si>
  <si>
    <t>A_rocket [m^2]</t>
  </si>
  <si>
    <t>cd_rocket []</t>
  </si>
  <si>
    <t>Rocket</t>
  </si>
  <si>
    <t>Stand</t>
  </si>
  <si>
    <t>A_rocket [mm^2]</t>
  </si>
  <si>
    <t>F_d_rocket</t>
  </si>
  <si>
    <t>Drag force on rocket</t>
  </si>
  <si>
    <t>T_d  [Nm]</t>
  </si>
  <si>
    <t>Torque through inertia</t>
  </si>
  <si>
    <t>Torque through air resistance</t>
  </si>
  <si>
    <t>T_j [Nm]</t>
  </si>
  <si>
    <t>Release velocity</t>
  </si>
  <si>
    <t>F_d_rocket [N]</t>
  </si>
  <si>
    <t>Dimensioning Rod - CW</t>
  </si>
  <si>
    <t>F_n_cw [N]</t>
  </si>
  <si>
    <t>F_n_rod_cw [N]</t>
  </si>
  <si>
    <t>a_n0_cw [m/s^2]</t>
  </si>
  <si>
    <t>a_n0_rod_cw [m/s^2]</t>
  </si>
  <si>
    <t>F_t_cw [N]</t>
  </si>
  <si>
    <t>F_t_rod_cw [N]</t>
  </si>
  <si>
    <t>A_rod_cw [mm^2]</t>
  </si>
  <si>
    <t>V_rod_cw [mm^3]</t>
  </si>
  <si>
    <t>Weight Calculations Rod</t>
  </si>
  <si>
    <t>Weight Calculations Rod CW</t>
  </si>
  <si>
    <t>I_rod_cw [mm^4]</t>
  </si>
  <si>
    <t>σ_rod_cw_tension [Mpa]</t>
  </si>
  <si>
    <t>σ_rod_cw_bending [Mpa]</t>
  </si>
  <si>
    <t>δ_rod_cw_bending [mm]</t>
  </si>
  <si>
    <t>σ_rod_cw [Mpa]</t>
  </si>
  <si>
    <t>M_A_cw [Nm]</t>
  </si>
  <si>
    <t>F_A_cw [N]</t>
  </si>
  <si>
    <t>Dimensioning Bearing</t>
  </si>
  <si>
    <t>Driving radius</t>
  </si>
  <si>
    <t>r_drive [m]</t>
  </si>
  <si>
    <t>F_cr [N]</t>
  </si>
  <si>
    <t>F_drive [N]</t>
  </si>
  <si>
    <t>Centrifugal forces (oscillating)</t>
  </si>
  <si>
    <t>Driving force through chain / crank handle (mostly static)</t>
  </si>
  <si>
    <t>Approximate gravitational force (static)</t>
  </si>
  <si>
    <t>F_grav [N]</t>
  </si>
  <si>
    <t>Applied forces</t>
  </si>
  <si>
    <t>Center motorization &amp; bearing</t>
  </si>
  <si>
    <t>Outer radius of bearing</t>
  </si>
  <si>
    <t>Inner radius of bearing</t>
  </si>
  <si>
    <t>outer radius of inner ring</t>
  </si>
  <si>
    <t>D_bear [mm]</t>
  </si>
  <si>
    <t>d_bear [mm]</t>
  </si>
  <si>
    <t>d1_bear [mm]</t>
  </si>
  <si>
    <t>The projected area in Y (radial)</t>
  </si>
  <si>
    <t>The projected area in X (axial)</t>
  </si>
  <si>
    <t>w_bear [mm]</t>
  </si>
  <si>
    <t>bearing width</t>
  </si>
  <si>
    <t>A_projy [mm²]</t>
  </si>
  <si>
    <t>A_projx [mm²]</t>
  </si>
  <si>
    <t>Areas &amp; tensions</t>
  </si>
  <si>
    <t>include_drag</t>
  </si>
  <si>
    <t>dt [s]</t>
  </si>
  <si>
    <t>ax</t>
  </si>
  <si>
    <t>ay</t>
  </si>
  <si>
    <t>dvx</t>
  </si>
  <si>
    <t>dvy</t>
  </si>
  <si>
    <t>dx</t>
  </si>
  <si>
    <t>dy</t>
  </si>
  <si>
    <t>Fx</t>
  </si>
  <si>
    <t>Fy</t>
  </si>
  <si>
    <t>vx</t>
  </si>
  <si>
    <t>vy</t>
  </si>
  <si>
    <t>x</t>
  </si>
  <si>
    <t>y</t>
  </si>
  <si>
    <t>Fd</t>
  </si>
  <si>
    <t>v</t>
  </si>
  <si>
    <t>Max Height</t>
  </si>
  <si>
    <t>h_max_actual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</si>
</sst>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"/>
    <numFmt numFmtId="166" formatCode="0.000"/>
    <numFmt numFmtId="167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0" fontId="1" fillId="0" borderId="0" xfId="0" applyFont="1"/>
    <xf numFmtId="2" fontId="0" fillId="2" borderId="0" xfId="0" applyNumberFormat="1" applyFill="1"/>
    <xf numFmtId="0" fontId="0" fillId="2" borderId="0" xfId="0" applyFill="1"/>
    <xf numFmtId="0" fontId="0" fillId="0" borderId="1" xfId="0" applyBorder="1"/>
    <xf numFmtId="0" fontId="2" fillId="2" borderId="0" xfId="0" applyFont="1" applyFill="1"/>
    <xf numFmtId="0" fontId="0" fillId="0" borderId="0" xfId="0" applyAlignment="1">
      <alignment horizontal="left" vertical="top" wrapText="1"/>
    </xf>
    <xf numFmtId="0" fontId="2" fillId="3" borderId="0" xfId="0" applyFont="1" applyFill="1"/>
    <xf numFmtId="0" fontId="0" fillId="3" borderId="0" xfId="0" applyFill="1"/>
    <xf numFmtId="167" fontId="0" fillId="2" borderId="0" xfId="0" applyNumberFormat="1" applyFill="1"/>
    <xf numFmtId="1" fontId="0" fillId="2" borderId="0" xfId="0" applyNumberFormat="1" applyFill="1"/>
    <xf numFmtId="166" fontId="0" fillId="2" borderId="0" xfId="0" applyNumberFormat="1" applyFill="1"/>
    <xf numFmtId="165" fontId="0" fillId="2" borderId="0" xfId="0" applyNumberFormat="1" applyFill="1"/>
    <xf numFmtId="164" fontId="0" fillId="2" borderId="0" xfId="0" applyNumberFormat="1" applyFill="1"/>
    <xf numFmtId="2" fontId="0" fillId="3" borderId="0" xfId="0" applyNumberFormat="1" applyFill="1"/>
    <xf numFmtId="167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2" fillId="4" borderId="0" xfId="0" applyFont="1" applyFill="1"/>
    <xf numFmtId="0" fontId="0" fillId="5" borderId="2" xfId="0" applyFill="1" applyBorder="1"/>
    <xf numFmtId="0" fontId="0" fillId="6" borderId="0" xfId="0" applyFill="1"/>
    <xf numFmtId="2" fontId="0" fillId="6" borderId="0" xfId="0" applyNumberFormat="1" applyFill="1"/>
    <xf numFmtId="166" fontId="0" fillId="3" borderId="0" xfId="0" applyNumberFormat="1" applyFill="1"/>
    <xf numFmtId="166" fontId="0" fillId="4" borderId="0" xfId="0" applyNumberFormat="1" applyFill="1"/>
    <xf numFmtId="0" fontId="0" fillId="4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3" borderId="0" xfId="0" applyNumberFormat="1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" xfId="0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0"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5"/>
                <c:pt idx="0">
                  <c:v>0</c:v>
                </c:pt>
                <c:pt idx="1">
                  <c:v>1.2553233121455167</c:v>
                </c:pt>
                <c:pt idx="2">
                  <c:v>2.5077577605083121</c:v>
                </c:pt>
                <c:pt idx="3">
                  <c:v>3.7573210609462024</c:v>
                </c:pt>
                <c:pt idx="4">
                  <c:v>5.0040307822261392</c:v>
                </c:pt>
                <c:pt idx="5">
                  <c:v>6.2479043476235363</c:v>
                </c:pt>
                <c:pt idx="6">
                  <c:v>7.4889590364993008</c:v>
                </c:pt>
                <c:pt idx="7">
                  <c:v>8.7272119858549306</c:v>
                </c:pt>
                <c:pt idx="8">
                  <c:v>9.9626801918660419</c:v>
                </c:pt>
                <c:pt idx="9">
                  <c:v>11.195380511394665</c:v>
                </c:pt>
                <c:pt idx="10">
                  <c:v>12.425329663480671</c:v>
                </c:pt>
                <c:pt idx="11">
                  <c:v>13.652544230812637</c:v>
                </c:pt>
                <c:pt idx="12">
                  <c:v>14.877040661178512</c:v>
                </c:pt>
                <c:pt idx="13">
                  <c:v>16.098835268896387</c:v>
                </c:pt>
                <c:pt idx="14">
                  <c:v>17.317944236225692</c:v>
                </c:pt>
                <c:pt idx="15">
                  <c:v>18.534383614759133</c:v>
                </c:pt>
                <c:pt idx="16">
                  <c:v>19.748169326795679</c:v>
                </c:pt>
                <c:pt idx="17">
                  <c:v>20.959317166694895</c:v>
                </c:pt>
                <c:pt idx="18">
                  <c:v>22.167842802212903</c:v>
                </c:pt>
                <c:pt idx="19">
                  <c:v>23.373761775820295</c:v>
                </c:pt>
                <c:pt idx="20">
                  <c:v>24.577089506002245</c:v>
                </c:pt>
                <c:pt idx="21">
                  <c:v>25.777841288541119</c:v>
                </c:pt>
                <c:pt idx="22">
                  <c:v>26.976032297781838</c:v>
                </c:pt>
                <c:pt idx="23">
                  <c:v>28.171677587880303</c:v>
                </c:pt>
                <c:pt idx="24">
                  <c:v>29.364792094035096</c:v>
                </c:pt>
                <c:pt idx="25">
                  <c:v>30.555390633702729</c:v>
                </c:pt>
                <c:pt idx="26">
                  <c:v>31.743487907796734</c:v>
                </c:pt>
                <c:pt idx="27">
                  <c:v>32.929098501870783</c:v>
                </c:pt>
                <c:pt idx="28">
                  <c:v>34.112236887286123</c:v>
                </c:pt>
                <c:pt idx="29">
                  <c:v>35.292917422363551</c:v>
                </c:pt>
                <c:pt idx="30">
                  <c:v>36.471154353520191</c:v>
                </c:pt>
                <c:pt idx="31">
                  <c:v>37.646961816391226</c:v>
                </c:pt>
                <c:pt idx="32">
                  <c:v>38.820353836936938</c:v>
                </c:pt>
                <c:pt idx="33">
                  <c:v>39.991344332535149</c:v>
                </c:pt>
                <c:pt idx="34">
                  <c:v>41.159947113059388</c:v>
                </c:pt>
                <c:pt idx="35">
                  <c:v>42.326175881942916</c:v>
                </c:pt>
                <c:pt idx="36">
                  <c:v>43.490044237228894</c:v>
                </c:pt>
                <c:pt idx="37">
                  <c:v>44.651565672606829</c:v>
                </c:pt>
                <c:pt idx="38">
                  <c:v>45.810753578435559</c:v>
                </c:pt>
                <c:pt idx="39">
                  <c:v>46.967621242752976</c:v>
                </c:pt>
                <c:pt idx="40">
                  <c:v>48.122181852272611</c:v>
                </c:pt>
                <c:pt idx="41">
                  <c:v>49.27444849336738</c:v>
                </c:pt>
                <c:pt idx="42">
                  <c:v>50.4244341530406</c:v>
                </c:pt>
                <c:pt idx="43">
                  <c:v>51.572151719884502</c:v>
                </c:pt>
                <c:pt idx="44">
                  <c:v>52.717613985026389</c:v>
                </c:pt>
                <c:pt idx="45">
                  <c:v>53.860833643062691</c:v>
                </c:pt>
                <c:pt idx="46">
                  <c:v>55.001823292980987</c:v>
                </c:pt>
                <c:pt idx="47">
                  <c:v>56.140595439070268</c:v>
                </c:pt>
                <c:pt idx="48">
                  <c:v>57.277162491819546</c:v>
                </c:pt>
                <c:pt idx="49">
                  <c:v>58.411536768805014</c:v>
                </c:pt>
                <c:pt idx="50">
                  <c:v>59.543730495565896</c:v>
                </c:pt>
                <c:pt idx="51">
                  <c:v>60.673755806469174</c:v>
                </c:pt>
                <c:pt idx="52">
                  <c:v>61.801624745563323</c:v>
                </c:pt>
                <c:pt idx="53">
                  <c:v>62.927349267421242</c:v>
                </c:pt>
                <c:pt idx="54">
                  <c:v>64.050941237972509</c:v>
                </c:pt>
                <c:pt idx="55">
                  <c:v>65.172412435325114</c:v>
                </c:pt>
                <c:pt idx="56">
                  <c:v>66.291774550576847</c:v>
                </c:pt>
                <c:pt idx="57">
                  <c:v>67.409039188616433</c:v>
                </c:pt>
                <c:pt idx="58">
                  <c:v>68.524217868914633</c:v>
                </c:pt>
                <c:pt idx="59">
                  <c:v>69.637322026305355</c:v>
                </c:pt>
                <c:pt idx="60">
                  <c:v>70.748363011757036</c:v>
                </c:pt>
                <c:pt idx="61">
                  <c:v>71.857352093134296</c:v>
                </c:pt>
                <c:pt idx="62">
                  <c:v>72.964300455950081</c:v>
                </c:pt>
                <c:pt idx="63">
                  <c:v>74.069219204108478</c:v>
                </c:pt>
                <c:pt idx="64">
                  <c:v>75.172119360638149</c:v>
                </c:pt>
                <c:pt idx="65">
                  <c:v>76.273011868416731</c:v>
                </c:pt>
                <c:pt idx="66">
                  <c:v>77.371907590886167</c:v>
                </c:pt>
                <c:pt idx="67">
                  <c:v>78.468817312759171</c:v>
                </c:pt>
                <c:pt idx="68">
                  <c:v>79.563751740716896</c:v>
                </c:pt>
                <c:pt idx="69">
                  <c:v>80.656721504098002</c:v>
                </c:pt>
                <c:pt idx="70">
                  <c:v>81.747737155579159</c:v>
                </c:pt>
                <c:pt idx="71">
                  <c:v>82.836809171847122</c:v>
                </c:pt>
                <c:pt idx="72">
                  <c:v>83.923947954262545</c:v>
                </c:pt>
                <c:pt idx="73">
                  <c:v>85.009163829515586</c:v>
                </c:pt>
                <c:pt idx="74">
                  <c:v>86.092467050273399</c:v>
                </c:pt>
                <c:pt idx="75">
                  <c:v>87.173867795819703</c:v>
                </c:pt>
                <c:pt idx="76">
                  <c:v>88.253376172686458</c:v>
                </c:pt>
                <c:pt idx="77">
                  <c:v>89.331002215277792</c:v>
                </c:pt>
                <c:pt idx="78">
                  <c:v>90.406755886486224</c:v>
                </c:pt>
                <c:pt idx="79">
                  <c:v>91.480647078301416</c:v>
                </c:pt>
                <c:pt idx="80">
                  <c:v>92.552685612411381</c:v>
                </c:pt>
                <c:pt idx="81">
                  <c:v>93.622881240796346</c:v>
                </c:pt>
                <c:pt idx="82">
                  <c:v>94.691243646315428</c:v>
                </c:pt>
                <c:pt idx="83">
                  <c:v>95.757782443286033</c:v>
                </c:pt>
                <c:pt idx="84">
                  <c:v>96.822507178056227</c:v>
                </c:pt>
                <c:pt idx="85">
                  <c:v>97.885427329570149</c:v>
                </c:pt>
                <c:pt idx="86">
                  <c:v>98.946552309926474</c:v>
                </c:pt>
                <c:pt idx="87">
                  <c:v>100.00589146493013</c:v>
                </c:pt>
                <c:pt idx="88">
                  <c:v>101.06345407463725</c:v>
                </c:pt>
                <c:pt idx="89">
                  <c:v>102.11924935389352</c:v>
                </c:pt>
                <c:pt idx="90">
                  <c:v>103.17328645286595</c:v>
                </c:pt>
                <c:pt idx="91">
                  <c:v>104.22557445756823</c:v>
                </c:pt>
                <c:pt idx="92">
                  <c:v>105.27612239037967</c:v>
                </c:pt>
                <c:pt idx="93">
                  <c:v>106.32493921055784</c:v>
                </c:pt>
                <c:pt idx="94">
                  <c:v>107.37203381474504</c:v>
                </c:pt>
                <c:pt idx="95">
                  <c:v>108.41741503746852</c:v>
                </c:pt>
                <c:pt idx="96">
                  <c:v>109.46109165163475</c:v>
                </c:pt>
                <c:pt idx="97">
                  <c:v>110.50307236901767</c:v>
                </c:pt>
                <c:pt idx="98">
                  <c:v>111.54336584074099</c:v>
                </c:pt>
                <c:pt idx="99">
                  <c:v>112.58198065775467</c:v>
                </c:pt>
                <c:pt idx="100">
                  <c:v>113.61892535130566</c:v>
                </c:pt>
                <c:pt idx="101">
                  <c:v>114.65420839340291</c:v>
                </c:pt>
                <c:pt idx="102">
                  <c:v>115.68783819727678</c:v>
                </c:pt>
                <c:pt idx="103">
                  <c:v>116.71982311783287</c:v>
                </c:pt>
                <c:pt idx="104">
                  <c:v>117.75017145210042</c:v>
                </c:pt>
                <c:pt idx="105">
                  <c:v>118.77889143967518</c:v>
                </c:pt>
                <c:pt idx="106">
                  <c:v>119.80599126315707</c:v>
                </c:pt>
                <c:pt idx="107">
                  <c:v>120.83147904858244</c:v>
                </c:pt>
                <c:pt idx="108">
                  <c:v>121.85536286585118</c:v>
                </c:pt>
                <c:pt idx="109">
                  <c:v>122.87765072914858</c:v>
                </c:pt>
                <c:pt idx="110">
                  <c:v>123.89835059736227</c:v>
                </c:pt>
                <c:pt idx="111">
                  <c:v>124.91747037449387</c:v>
                </c:pt>
                <c:pt idx="112">
                  <c:v>125.93501791006592</c:v>
                </c:pt>
                <c:pt idx="113">
                  <c:v>126.95100099952373</c:v>
                </c:pt>
                <c:pt idx="114">
                  <c:v>127.96542738463243</c:v>
                </c:pt>
                <c:pt idx="115">
                  <c:v>128.97830475386925</c:v>
                </c:pt>
                <c:pt idx="116">
                  <c:v>129.98964074281105</c:v>
                </c:pt>
                <c:pt idx="117">
                  <c:v>130.99944293451705</c:v>
                </c:pt>
                <c:pt idx="118">
                  <c:v>132.00771885990719</c:v>
                </c:pt>
                <c:pt idx="119">
                  <c:v>133.01447599813565</c:v>
                </c:pt>
                <c:pt idx="120">
                  <c:v>134.01972177696007</c:v>
                </c:pt>
                <c:pt idx="121">
                  <c:v>135.02346357310608</c:v>
                </c:pt>
                <c:pt idx="122">
                  <c:v>136.02570871262768</c:v>
                </c:pt>
                <c:pt idx="123">
                  <c:v>137.02646447126301</c:v>
                </c:pt>
                <c:pt idx="124">
                  <c:v>138.02573807478606</c:v>
                </c:pt>
                <c:pt idx="125">
                  <c:v>139.02353669935394</c:v>
                </c:pt>
                <c:pt idx="126">
                  <c:v>140.01986747184995</c:v>
                </c:pt>
                <c:pt idx="127">
                  <c:v>141.01473747022266</c:v>
                </c:pt>
                <c:pt idx="128">
                  <c:v>142.00815372382067</c:v>
                </c:pt>
                <c:pt idx="129">
                  <c:v>143.0001232137235</c:v>
                </c:pt>
                <c:pt idx="130">
                  <c:v>143.99065287306831</c:v>
                </c:pt>
                <c:pt idx="131">
                  <c:v>144.97974958737279</c:v>
                </c:pt>
                <c:pt idx="132">
                  <c:v>145.96742019485404</c:v>
                </c:pt>
                <c:pt idx="133">
                  <c:v>146.95367148674356</c:v>
                </c:pt>
                <c:pt idx="134">
                  <c:v>147.93851020759854</c:v>
                </c:pt>
                <c:pt idx="135">
                  <c:v>148.92194305560929</c:v>
                </c:pt>
                <c:pt idx="136">
                  <c:v>149.90397668290288</c:v>
                </c:pt>
                <c:pt idx="137">
                  <c:v>150.88461769584313</c:v>
                </c:pt>
                <c:pt idx="138">
                  <c:v>151.86387265532701</c:v>
                </c:pt>
                <c:pt idx="139">
                  <c:v>152.84174807707737</c:v>
                </c:pt>
                <c:pt idx="140">
                  <c:v>153.81825043193206</c:v>
                </c:pt>
                <c:pt idx="141">
                  <c:v>154.79338614612959</c:v>
                </c:pt>
                <c:pt idx="142">
                  <c:v>155.7671616015914</c:v>
                </c:pt>
                <c:pt idx="143">
                  <c:v>156.73958313620037</c:v>
                </c:pt>
                <c:pt idx="144">
                  <c:v>157.7106570440763</c:v>
                </c:pt>
                <c:pt idx="145">
                  <c:v>158.68038957584784</c:v>
                </c:pt>
                <c:pt idx="146">
                  <c:v>159.64878693892103</c:v>
                </c:pt>
                <c:pt idx="147">
                  <c:v>160.61585529774476</c:v>
                </c:pt>
                <c:pt idx="148">
                  <c:v>161.58160077407274</c:v>
                </c:pt>
                <c:pt idx="149">
                  <c:v>162.54602944722248</c:v>
                </c:pt>
                <c:pt idx="150">
                  <c:v>163.50914735433096</c:v>
                </c:pt>
                <c:pt idx="151">
                  <c:v>164.47096049060721</c:v>
                </c:pt>
                <c:pt idx="152">
                  <c:v>165.43147480958183</c:v>
                </c:pt>
                <c:pt idx="153">
                  <c:v>166.39069622335336</c:v>
                </c:pt>
                <c:pt idx="154">
                  <c:v>167.34863060283172</c:v>
                </c:pt>
                <c:pt idx="155">
                  <c:v>168.30528377797859</c:v>
                </c:pt>
                <c:pt idx="156">
                  <c:v>169.2606615380449</c:v>
                </c:pt>
                <c:pt idx="157">
                  <c:v>170.21476963180532</c:v>
                </c:pt>
                <c:pt idx="158">
                  <c:v>171.16761376778996</c:v>
                </c:pt>
                <c:pt idx="159">
                  <c:v>172.11919961451315</c:v>
                </c:pt>
                <c:pt idx="160">
                  <c:v>173.06953280069945</c:v>
                </c:pt>
                <c:pt idx="161">
                  <c:v>174.01861891550686</c:v>
                </c:pt>
                <c:pt idx="162">
                  <c:v>174.9664635087473</c:v>
                </c:pt>
                <c:pt idx="163">
                  <c:v>175.91307209110428</c:v>
                </c:pt>
                <c:pt idx="164">
                  <c:v>176.85845013434812</c:v>
                </c:pt>
                <c:pt idx="165">
                  <c:v>177.80260307154822</c:v>
                </c:pt>
                <c:pt idx="166">
                  <c:v>178.745536297283</c:v>
                </c:pt>
                <c:pt idx="167">
                  <c:v>179.68725516784701</c:v>
                </c:pt>
                <c:pt idx="168">
                  <c:v>180.62776500145571</c:v>
                </c:pt>
                <c:pt idx="169">
                  <c:v>181.56707107844761</c:v>
                </c:pt>
                <c:pt idx="170">
                  <c:v>182.50517864148384</c:v>
                </c:pt>
                <c:pt idx="171">
                  <c:v>183.4420928957455</c:v>
                </c:pt>
                <c:pt idx="172">
                  <c:v>184.37781900912842</c:v>
                </c:pt>
                <c:pt idx="173">
                  <c:v>185.31236211243549</c:v>
                </c:pt>
                <c:pt idx="174">
                  <c:v>186.24572729956677</c:v>
                </c:pt>
                <c:pt idx="175">
                  <c:v>187.17791962770718</c:v>
                </c:pt>
                <c:pt idx="176">
                  <c:v>188.1089441175119</c:v>
                </c:pt>
                <c:pt idx="177">
                  <c:v>189.03880575328947</c:v>
                </c:pt>
                <c:pt idx="178">
                  <c:v>189.96750948318274</c:v>
                </c:pt>
                <c:pt idx="179">
                  <c:v>190.89506021934756</c:v>
                </c:pt>
                <c:pt idx="180">
                  <c:v>191.82146283812921</c:v>
                </c:pt>
                <c:pt idx="181">
                  <c:v>192.74672218023682</c:v>
                </c:pt>
                <c:pt idx="182">
                  <c:v>193.67084305091552</c:v>
                </c:pt>
                <c:pt idx="183">
                  <c:v>194.59383022011673</c:v>
                </c:pt>
                <c:pt idx="184">
                  <c:v>195.51568842266602</c:v>
                </c:pt>
                <c:pt idx="185">
                  <c:v>196.43642235842935</c:v>
                </c:pt>
                <c:pt idx="186">
                  <c:v>197.35603669247698</c:v>
                </c:pt>
                <c:pt idx="187">
                  <c:v>198.27453605524556</c:v>
                </c:pt>
                <c:pt idx="188">
                  <c:v>199.19192504269827</c:v>
                </c:pt>
                <c:pt idx="189">
                  <c:v>200.10820821648298</c:v>
                </c:pt>
                <c:pt idx="190">
                  <c:v>201.02339010408855</c:v>
                </c:pt>
                <c:pt idx="191">
                  <c:v>201.93747519899929</c:v>
                </c:pt>
                <c:pt idx="192">
                  <c:v>202.85046796084762</c:v>
                </c:pt>
                <c:pt idx="193">
                  <c:v>203.76237281556473</c:v>
                </c:pt>
                <c:pt idx="194">
                  <c:v>204.67319415552976</c:v>
                </c:pt>
                <c:pt idx="195">
                  <c:v>205.58293633971698</c:v>
                </c:pt>
                <c:pt idx="196">
                  <c:v>206.4916036938414</c:v>
                </c:pt>
                <c:pt idx="197">
                  <c:v>207.39920051050257</c:v>
                </c:pt>
                <c:pt idx="198">
                  <c:v>208.30573104932688</c:v>
                </c:pt>
                <c:pt idx="199">
                  <c:v>209.21119953710809</c:v>
                </c:pt>
                <c:pt idx="200">
                  <c:v>210.11561016794619</c:v>
                </c:pt>
                <c:pt idx="201">
                  <c:v>211.01896710338488</c:v>
                </c:pt>
                <c:pt idx="202">
                  <c:v>211.9212744725474</c:v>
                </c:pt>
                <c:pt idx="203">
                  <c:v>212.82253637227075</c:v>
                </c:pt>
                <c:pt idx="204">
                  <c:v>213.72275686723856</c:v>
                </c:pt>
                <c:pt idx="205">
                  <c:v>214.62193999011237</c:v>
                </c:pt>
                <c:pt idx="206">
                  <c:v>215.52008974166148</c:v>
                </c:pt>
                <c:pt idx="207">
                  <c:v>216.41721009089156</c:v>
                </c:pt>
                <c:pt idx="208">
                  <c:v>217.31330497517155</c:v>
                </c:pt>
                <c:pt idx="209">
                  <c:v>218.20837830035953</c:v>
                </c:pt>
                <c:pt idx="210">
                  <c:v>219.102433940927</c:v>
                </c:pt>
                <c:pt idx="211">
                  <c:v>219.99547574008207</c:v>
                </c:pt>
                <c:pt idx="212">
                  <c:v>220.88750750989112</c:v>
                </c:pt>
                <c:pt idx="213">
                  <c:v>221.77853303139949</c:v>
                </c:pt>
                <c:pt idx="214">
                  <c:v>222.6685560547507</c:v>
                </c:pt>
                <c:pt idx="215">
                  <c:v>223.55758029930468</c:v>
                </c:pt>
                <c:pt idx="216">
                  <c:v>224.44560945375463</c:v>
                </c:pt>
                <c:pt idx="217">
                  <c:v>225.33264717624292</c:v>
                </c:pt>
                <c:pt idx="218">
                  <c:v>226.21869709447577</c:v>
                </c:pt>
                <c:pt idx="219">
                  <c:v>227.10376280583682</c:v>
                </c:pt>
                <c:pt idx="220">
                  <c:v>227.98784787749975</c:v>
                </c:pt>
                <c:pt idx="221">
                  <c:v>228.87095584653974</c:v>
                </c:pt>
                <c:pt idx="222">
                  <c:v>229.75309022004404</c:v>
                </c:pt>
                <c:pt idx="223">
                  <c:v>230.63425447522147</c:v>
                </c:pt>
                <c:pt idx="224">
                  <c:v>231.51445205951097</c:v>
                </c:pt>
                <c:pt idx="225">
                  <c:v>232.39368639068937</c:v>
                </c:pt>
                <c:pt idx="226">
                  <c:v>233.27196085697796</c:v>
                </c:pt>
                <c:pt idx="227">
                  <c:v>234.14927881714851</c:v>
                </c:pt>
                <c:pt idx="228">
                  <c:v>235.02564360062831</c:v>
                </c:pt>
                <c:pt idx="229">
                  <c:v>235.90105850760429</c:v>
                </c:pt>
                <c:pt idx="230">
                  <c:v>236.77552680912652</c:v>
                </c:pt>
                <c:pt idx="231">
                  <c:v>237.64905174721085</c:v>
                </c:pt>
                <c:pt idx="232">
                  <c:v>238.52163653494082</c:v>
                </c:pt>
                <c:pt idx="233">
                  <c:v>239.3932843565689</c:v>
                </c:pt>
                <c:pt idx="234">
                  <c:v>240.26399836761695</c:v>
                </c:pt>
                <c:pt idx="235">
                  <c:v>241.13378169497614</c:v>
                </c:pt>
                <c:pt idx="236">
                  <c:v>242.00263743700614</c:v>
                </c:pt>
                <c:pt idx="237">
                  <c:v>242.87056866363378</c:v>
                </c:pt>
                <c:pt idx="238">
                  <c:v>243.73757841645107</c:v>
                </c:pt>
                <c:pt idx="239">
                  <c:v>244.6036697088127</c:v>
                </c:pt>
                <c:pt idx="240">
                  <c:v>245.46884552593298</c:v>
                </c:pt>
                <c:pt idx="241">
                  <c:v>246.33310882498228</c:v>
                </c:pt>
                <c:pt idx="242">
                  <c:v>247.19646253518306</c:v>
                </c:pt>
                <c:pt idx="243">
                  <c:v>248.05890955790537</c:v>
                </c:pt>
                <c:pt idx="244">
                  <c:v>248.92045276676197</c:v>
                </c:pt>
                <c:pt idx="245">
                  <c:v>249.78109500770302</c:v>
                </c:pt>
                <c:pt idx="246">
                  <c:v>250.64083909911039</c:v>
                </c:pt>
                <c:pt idx="247">
                  <c:v>251.49968783189172</c:v>
                </c:pt>
                <c:pt idx="248">
                  <c:v>252.35764396957399</c:v>
                </c:pt>
                <c:pt idx="249">
                  <c:v>253.21471024839693</c:v>
                </c:pt>
                <c:pt idx="250">
                  <c:v>254.0708893774061</c:v>
                </c:pt>
                <c:pt idx="251">
                  <c:v>254.92618403854573</c:v>
                </c:pt>
                <c:pt idx="252">
                  <c:v>255.78059688675128</c:v>
                </c:pt>
                <c:pt idx="253">
                  <c:v>256.63413055004196</c:v>
                </c:pt>
                <c:pt idx="254">
                  <c:v>257.48678762961293</c:v>
                </c:pt>
                <c:pt idx="255">
                  <c:v>258.33857069992729</c:v>
                </c:pt>
                <c:pt idx="256">
                  <c:v>259.18948230880818</c:v>
                </c:pt>
                <c:pt idx="257">
                  <c:v>260.03952497753062</c:v>
                </c:pt>
                <c:pt idx="258">
                  <c:v>260.8887012009132</c:v>
                </c:pt>
                <c:pt idx="259">
                  <c:v>261.73701344740988</c:v>
                </c:pt>
                <c:pt idx="260">
                  <c:v>262.58446415920162</c:v>
                </c:pt>
                <c:pt idx="261">
                  <c:v>263.43105575228805</c:v>
                </c:pt>
                <c:pt idx="262">
                  <c:v>264.27679061657932</c:v>
                </c:pt>
                <c:pt idx="263">
                  <c:v>265.12167111598762</c:v>
                </c:pt>
                <c:pt idx="264">
                  <c:v>265.96569958851904</c:v>
                </c:pt>
                <c:pt idx="265">
                  <c:v>266.80887834636547</c:v>
                </c:pt>
                <c:pt idx="266">
                  <c:v>267.65120967599648</c:v>
                </c:pt>
                <c:pt idx="267">
                  <c:v>268.49269583825145</c:v>
                </c:pt>
                <c:pt idx="268">
                  <c:v>269.33333906843183</c:v>
                </c:pt>
                <c:pt idx="269">
                  <c:v>270.17314157639345</c:v>
                </c:pt>
                <c:pt idx="270">
                  <c:v>271.01210554663913</c:v>
                </c:pt>
                <c:pt idx="271">
                  <c:v>271.8502331384114</c:v>
                </c:pt>
                <c:pt idx="272">
                  <c:v>272.68752648578561</c:v>
                </c:pt>
                <c:pt idx="273">
                  <c:v>273.52398769776312</c:v>
                </c:pt>
                <c:pt idx="274">
                  <c:v>274.35961885836474</c:v>
                </c:pt>
                <c:pt idx="275">
                  <c:v>275.19442202672462</c:v>
                </c:pt>
                <c:pt idx="276">
                  <c:v>276.02839923718426</c:v>
                </c:pt>
                <c:pt idx="277">
                  <c:v>276.86155249938696</c:v>
                </c:pt>
                <c:pt idx="278">
                  <c:v>277.6938837983725</c:v>
                </c:pt>
                <c:pt idx="279">
                  <c:v>278.52539509467238</c:v>
                </c:pt>
                <c:pt idx="280">
                  <c:v>279.35608832440505</c:v>
                </c:pt>
                <c:pt idx="281">
                  <c:v>280.18596539937204</c:v>
                </c:pt>
                <c:pt idx="282">
                  <c:v>281.01502820715393</c:v>
                </c:pt>
                <c:pt idx="283">
                  <c:v>281.84327861120732</c:v>
                </c:pt>
                <c:pt idx="284">
                  <c:v>282.67071845096166</c:v>
                </c:pt>
                <c:pt idx="285">
                  <c:v>283.49734954191695</c:v>
                </c:pt>
                <c:pt idx="286">
                  <c:v>284.32317367574183</c:v>
                </c:pt>
                <c:pt idx="287">
                  <c:v>285.1481926203719</c:v>
                </c:pt>
                <c:pt idx="288">
                  <c:v>285.97240812010887</c:v>
                </c:pt>
                <c:pt idx="289">
                  <c:v>286.79582189572</c:v>
                </c:pt>
                <c:pt idx="290">
                  <c:v>287.61843564453807</c:v>
                </c:pt>
                <c:pt idx="291">
                  <c:v>288.44025104056209</c:v>
                </c:pt>
                <c:pt idx="292">
                  <c:v>289.26126973455808</c:v>
                </c:pt>
                <c:pt idx="293">
                  <c:v>290.08149335416113</c:v>
                </c:pt>
                <c:pt idx="294">
                  <c:v>290.9009235039772</c:v>
                </c:pt>
                <c:pt idx="295">
                  <c:v>291.71956176568614</c:v>
                </c:pt>
                <c:pt idx="296">
                  <c:v>292.53740969814504</c:v>
                </c:pt>
                <c:pt idx="297">
                  <c:v>293.35446883749211</c:v>
                </c:pt>
                <c:pt idx="298">
                  <c:v>294.17074069725129</c:v>
                </c:pt>
                <c:pt idx="299">
                  <c:v>294.98622676843746</c:v>
                </c:pt>
                <c:pt idx="300">
                  <c:v>295.80092851966219</c:v>
                </c:pt>
                <c:pt idx="301">
                  <c:v>296.61484739724011</c:v>
                </c:pt>
                <c:pt idx="302">
                  <c:v>297.42798482529611</c:v>
                </c:pt>
                <c:pt idx="303">
                  <c:v>298.24034220587288</c:v>
                </c:pt>
                <c:pt idx="304">
                  <c:v>299.05192091903945</c:v>
                </c:pt>
                <c:pt idx="305">
                  <c:v>299.86272232299996</c:v>
                </c:pt>
                <c:pt idx="306">
                  <c:v>300.67274775420344</c:v>
                </c:pt>
                <c:pt idx="307">
                  <c:v>301.48199852745415</c:v>
                </c:pt>
                <c:pt idx="308">
                  <c:v>302.29047593602257</c:v>
                </c:pt>
                <c:pt idx="309">
                  <c:v>303.09818125175684</c:v>
                </c:pt>
                <c:pt idx="310">
                  <c:v>303.9051157251954</c:v>
                </c:pt>
                <c:pt idx="311">
                  <c:v>304.71128058567973</c:v>
                </c:pt>
                <c:pt idx="312">
                  <c:v>305.51667704146814</c:v>
                </c:pt>
                <c:pt idx="313">
                  <c:v>306.32130627985009</c:v>
                </c:pt>
                <c:pt idx="314">
                  <c:v>307.12516946726123</c:v>
                </c:pt>
                <c:pt idx="315">
                  <c:v>307.92826774939908</c:v>
                </c:pt>
                <c:pt idx="316">
                  <c:v>308.73060225133935</c:v>
                </c:pt>
                <c:pt idx="317">
                  <c:v>309.53217407765317</c:v>
                </c:pt>
                <c:pt idx="318">
                  <c:v>310.33298431252467</c:v>
                </c:pt>
                <c:pt idx="319">
                  <c:v>311.1330340198694</c:v>
                </c:pt>
                <c:pt idx="320">
                  <c:v>311.93232424345348</c:v>
                </c:pt>
                <c:pt idx="321">
                  <c:v>312.7308560070133</c:v>
                </c:pt>
                <c:pt idx="322">
                  <c:v>313.52863031437596</c:v>
                </c:pt>
                <c:pt idx="323">
                  <c:v>314.32564814958033</c:v>
                </c:pt>
                <c:pt idx="324">
                  <c:v>315.12191047699872</c:v>
                </c:pt>
                <c:pt idx="325">
                  <c:v>315.91741824145936</c:v>
                </c:pt>
                <c:pt idx="326">
                  <c:v>316.71217236836941</c:v>
                </c:pt>
                <c:pt idx="327">
                  <c:v>317.50617376383866</c:v>
                </c:pt>
                <c:pt idx="328">
                  <c:v>318.29942331480373</c:v>
                </c:pt>
                <c:pt idx="329">
                  <c:v>319.09192188915324</c:v>
                </c:pt>
                <c:pt idx="330">
                  <c:v>319.88367033585308</c:v>
                </c:pt>
                <c:pt idx="331">
                  <c:v>320.67466948507291</c:v>
                </c:pt>
                <c:pt idx="332">
                  <c:v>321.46492014831267</c:v>
                </c:pt>
                <c:pt idx="333">
                  <c:v>322.25442311853016</c:v>
                </c:pt>
                <c:pt idx="334">
                  <c:v>323.04317917026896</c:v>
                </c:pt>
                <c:pt idx="335">
                  <c:v>323.83118905978699</c:v>
                </c:pt>
                <c:pt idx="336">
                  <c:v>324.61845352518571</c:v>
                </c:pt>
                <c:pt idx="337">
                  <c:v>325.4049732865397</c:v>
                </c:pt>
                <c:pt idx="338">
                  <c:v>326.19074904602707</c:v>
                </c:pt>
                <c:pt idx="339">
                  <c:v>326.97578148806014</c:v>
                </c:pt>
                <c:pt idx="340">
                  <c:v>327.76007127941688</c:v>
                </c:pt>
                <c:pt idx="341">
                  <c:v>328.54361906937265</c:v>
                </c:pt>
                <c:pt idx="342">
                  <c:v>329.32642548983262</c:v>
                </c:pt>
                <c:pt idx="343">
                  <c:v>330.10849115546461</c:v>
                </c:pt>
                <c:pt idx="344">
                  <c:v>330.88981666383256</c:v>
                </c:pt>
                <c:pt idx="345">
                  <c:v>331.67040259553016</c:v>
                </c:pt>
                <c:pt idx="346">
                  <c:v>332.4502495143152</c:v>
                </c:pt>
                <c:pt idx="347">
                  <c:v>333.22935796724443</c:v>
                </c:pt>
                <c:pt idx="348">
                  <c:v>334.00772848480852</c:v>
                </c:pt>
                <c:pt idx="349">
                  <c:v>334.78536158106778</c:v>
                </c:pt>
                <c:pt idx="350">
                  <c:v>335.562257753788</c:v>
                </c:pt>
                <c:pt idx="351">
                  <c:v>336.33841748457712</c:v>
                </c:pt>
                <c:pt idx="352">
                  <c:v>337.11384123902167</c:v>
                </c:pt>
                <c:pt idx="353">
                  <c:v>337.88852946682414</c:v>
                </c:pt>
                <c:pt idx="354">
                  <c:v>338.66248260194027</c:v>
                </c:pt>
                <c:pt idx="355">
                  <c:v>339.43570106271704</c:v>
                </c:pt>
                <c:pt idx="356">
                  <c:v>340.2081852520306</c:v>
                </c:pt>
                <c:pt idx="357">
                  <c:v>340.97993555742494</c:v>
                </c:pt>
                <c:pt idx="358">
                  <c:v>341.75095235125036</c:v>
                </c:pt>
                <c:pt idx="359">
                  <c:v>342.52123599080272</c:v>
                </c:pt>
                <c:pt idx="360">
                  <c:v>343.29078681846249</c:v>
                </c:pt>
                <c:pt idx="361">
                  <c:v>344.05960516183438</c:v>
                </c:pt>
                <c:pt idx="362">
                  <c:v>344.827691333887</c:v>
                </c:pt>
                <c:pt idx="363">
                  <c:v>345.59504563309292</c:v>
                </c:pt>
                <c:pt idx="364">
                  <c:v>346.36166834356857</c:v>
                </c:pt>
                <c:pt idx="365">
                  <c:v>347.12755973521473</c:v>
                </c:pt>
                <c:pt idx="366">
                  <c:v>347.89272006385704</c:v>
                </c:pt>
                <c:pt idx="367">
                  <c:v>348.65714957138641</c:v>
                </c:pt>
                <c:pt idx="368">
                  <c:v>349.42084848589997</c:v>
                </c:pt>
                <c:pt idx="369">
                  <c:v>350.18381702184189</c:v>
                </c:pt>
                <c:pt idx="370">
                  <c:v>350.94605538014423</c:v>
                </c:pt>
                <c:pt idx="371">
                  <c:v>351.7075637483681</c:v>
                </c:pt>
                <c:pt idx="372">
                  <c:v>352.46834230084471</c:v>
                </c:pt>
                <c:pt idx="373">
                  <c:v>353.22839119881655</c:v>
                </c:pt>
                <c:pt idx="374">
                  <c:v>353.9877105905785</c:v>
                </c:pt>
                <c:pt idx="375">
                  <c:v>354.74630061161918</c:v>
                </c:pt>
                <c:pt idx="376">
                  <c:v>355.50416138476197</c:v>
                </c:pt>
                <c:pt idx="377">
                  <c:v>356.26129302030631</c:v>
                </c:pt>
                <c:pt idx="378">
                  <c:v>357.01769561616885</c:v>
                </c:pt>
                <c:pt idx="379">
                  <c:v>357.77336925802439</c:v>
                </c:pt>
                <c:pt idx="380">
                  <c:v>358.52831401944712</c:v>
                </c:pt>
                <c:pt idx="381">
                  <c:v>359.28252996205146</c:v>
                </c:pt>
                <c:pt idx="382">
                  <c:v>360.03601713563285</c:v>
                </c:pt>
                <c:pt idx="383">
                  <c:v>360.78877557830867</c:v>
                </c:pt>
                <c:pt idx="384">
                  <c:v>361.54080531665863</c:v>
                </c:pt>
                <c:pt idx="385">
                  <c:v>362.29210636586538</c:v>
                </c:pt>
                <c:pt idx="386">
                  <c:v>363.04267872985474</c:v>
                </c:pt>
                <c:pt idx="387">
                  <c:v>363.79252240143586</c:v>
                </c:pt>
                <c:pt idx="388">
                  <c:v>364.54163736244112</c:v>
                </c:pt>
                <c:pt idx="389">
                  <c:v>365.29002358386589</c:v>
                </c:pt>
                <c:pt idx="390">
                  <c:v>366.03768102600799</c:v>
                </c:pt>
                <c:pt idx="391">
                  <c:v>366.78460963860698</c:v>
                </c:pt>
                <c:pt idx="392">
                  <c:v>367.5308093609832</c:v>
                </c:pt>
                <c:pt idx="393">
                  <c:v>368.27628012217639</c:v>
                </c:pt>
                <c:pt idx="394">
                  <c:v>369.02102184108429</c:v>
                </c:pt>
                <c:pt idx="395">
                  <c:v>369.76503442660078</c:v>
                </c:pt>
                <c:pt idx="396">
                  <c:v>370.50831777775369</c:v>
                </c:pt>
                <c:pt idx="397">
                  <c:v>371.2508717838424</c:v>
                </c:pt>
                <c:pt idx="398">
                  <c:v>371.99269632457504</c:v>
                </c:pt>
                <c:pt idx="399">
                  <c:v>372.73379127020524</c:v>
                </c:pt>
                <c:pt idx="400">
                  <c:v>373.47415648166873</c:v>
                </c:pt>
                <c:pt idx="401">
                  <c:v>374.21379181071939</c:v>
                </c:pt>
                <c:pt idx="402">
                  <c:v>374.95269710006494</c:v>
                </c:pt>
                <c:pt idx="403">
                  <c:v>375.69087218350234</c:v>
                </c:pt>
                <c:pt idx="404">
                  <c:v>376.42831688605264</c:v>
                </c:pt>
                <c:pt idx="405">
                  <c:v>377.16503102409547</c:v>
                </c:pt>
                <c:pt idx="406">
                  <c:v>377.90101440550302</c:v>
                </c:pt>
                <c:pt idx="407">
                  <c:v>378.63626682977366</c:v>
                </c:pt>
                <c:pt idx="408">
                  <c:v>379.370788088165</c:v>
                </c:pt>
                <c:pt idx="409">
                  <c:v>380.10457796382661</c:v>
                </c:pt>
                <c:pt idx="410">
                  <c:v>380.83763623193215</c:v>
                </c:pt>
                <c:pt idx="411">
                  <c:v>381.56996265981098</c:v>
                </c:pt>
                <c:pt idx="412">
                  <c:v>382.30155700707928</c:v>
                </c:pt>
                <c:pt idx="413">
                  <c:v>383.03241902577076</c:v>
                </c:pt>
                <c:pt idx="414">
                  <c:v>383.76254846046675</c:v>
                </c:pt>
                <c:pt idx="415">
                  <c:v>384.49194504842558</c:v>
                </c:pt>
                <c:pt idx="416">
                  <c:v>385.22060851971185</c:v>
                </c:pt>
                <c:pt idx="417">
                  <c:v>385.94853859732467</c:v>
                </c:pt>
                <c:pt idx="418">
                  <c:v>386.67573499732555</c:v>
                </c:pt>
                <c:pt idx="419">
                  <c:v>387.40219742896585</c:v>
                </c:pt>
                <c:pt idx="420">
                  <c:v>388.12792559481323</c:v>
                </c:pt>
                <c:pt idx="421">
                  <c:v>388.85291919087797</c:v>
                </c:pt>
                <c:pt idx="422">
                  <c:v>389.57717790673831</c:v>
                </c:pt>
                <c:pt idx="423">
                  <c:v>390.30070142566552</c:v>
                </c:pt>
                <c:pt idx="424">
                  <c:v>391.02348942474794</c:v>
                </c:pt>
                <c:pt idx="425">
                  <c:v>391.74554157501478</c:v>
                </c:pt>
                <c:pt idx="426">
                  <c:v>392.46685754155902</c:v>
                </c:pt>
                <c:pt idx="427">
                  <c:v>393.18743698365984</c:v>
                </c:pt>
                <c:pt idx="428">
                  <c:v>393.90727955490416</c:v>
                </c:pt>
                <c:pt idx="429">
                  <c:v>394.62638490330778</c:v>
                </c:pt>
                <c:pt idx="430">
                  <c:v>395.3447526714358</c:v>
                </c:pt>
                <c:pt idx="431">
                  <c:v>396.0623824965221</c:v>
                </c:pt>
                <c:pt idx="432">
                  <c:v>396.77927401058861</c:v>
                </c:pt>
                <c:pt idx="433">
                  <c:v>397.49542684056337</c:v>
                </c:pt>
                <c:pt idx="434">
                  <c:v>398.21084060839831</c:v>
                </c:pt>
                <c:pt idx="435">
                  <c:v>398.92551493118611</c:v>
                </c:pt>
                <c:pt idx="436">
                  <c:v>399.63944942127654</c:v>
                </c:pt>
                <c:pt idx="437">
                  <c:v>400.35264368639173</c:v>
                </c:pt>
                <c:pt idx="438">
                  <c:v>401.06509732974121</c:v>
                </c:pt>
                <c:pt idx="439">
                  <c:v>401.77680995013583</c:v>
                </c:pt>
                <c:pt idx="440">
                  <c:v>402.4877811421012</c:v>
                </c:pt>
                <c:pt idx="441">
                  <c:v>403.19801049599016</c:v>
                </c:pt>
                <c:pt idx="442">
                  <c:v>403.90749759809484</c:v>
                </c:pt>
                <c:pt idx="443">
                  <c:v>404.61624203075769</c:v>
                </c:pt>
                <c:pt idx="444">
                  <c:v>405.32424337248193</c:v>
                </c:pt>
                <c:pt idx="445">
                  <c:v>406.03150119804116</c:v>
                </c:pt>
                <c:pt idx="446">
                  <c:v>406.73801507858826</c:v>
                </c:pt>
                <c:pt idx="447">
                  <c:v>407.44378458176362</c:v>
                </c:pt>
                <c:pt idx="448">
                  <c:v>408.14880927180241</c:v>
                </c:pt>
                <c:pt idx="449">
                  <c:v>408.85308870964121</c:v>
                </c:pt>
                <c:pt idx="450">
                  <c:v>409.55662245302403</c:v>
                </c:pt>
                <c:pt idx="451">
                  <c:v>410.25941005660729</c:v>
                </c:pt>
                <c:pt idx="452">
                  <c:v>410.96145107206411</c:v>
                </c:pt>
                <c:pt idx="453">
                  <c:v>411.66274504818796</c:v>
                </c:pt>
                <c:pt idx="454">
                  <c:v>412.36329153099541</c:v>
                </c:pt>
                <c:pt idx="455">
                  <c:v>413.0630900638281</c:v>
                </c:pt>
                <c:pt idx="456">
                  <c:v>413.76214018745401</c:v>
                </c:pt>
                <c:pt idx="457">
                  <c:v>414.46044144016793</c:v>
                </c:pt>
                <c:pt idx="458">
                  <c:v>415.15799335789109</c:v>
                </c:pt>
                <c:pt idx="459">
                  <c:v>415.85479547427002</c:v>
                </c:pt>
                <c:pt idx="460">
                  <c:v>416.55084732077478</c:v>
                </c:pt>
                <c:pt idx="461">
                  <c:v>417.24614842679608</c:v>
                </c:pt>
                <c:pt idx="462">
                  <c:v>417.94069831974195</c:v>
                </c:pt>
                <c:pt idx="463">
                  <c:v>418.6344965251335</c:v>
                </c:pt>
                <c:pt idx="464">
                  <c:v>419.32754256669983</c:v>
                </c:pt>
                <c:pt idx="465">
                  <c:v>420.0198359664721</c:v>
                </c:pt>
                <c:pt idx="466">
                  <c:v>420.7113762448771</c:v>
                </c:pt>
                <c:pt idx="467">
                  <c:v>421.40216292082965</c:v>
                </c:pt>
                <c:pt idx="468">
                  <c:v>422.09219551182463</c:v>
                </c:pt>
                <c:pt idx="469">
                  <c:v>422.78147353402767</c:v>
                </c:pt>
                <c:pt idx="470">
                  <c:v>423.46999650236569</c:v>
                </c:pt>
                <c:pt idx="471">
                  <c:v>424.15776393061611</c:v>
                </c:pt>
                <c:pt idx="472">
                  <c:v>424.84477533149561</c:v>
                </c:pt>
                <c:pt idx="473">
                  <c:v>425.53103021674792</c:v>
                </c:pt>
                <c:pt idx="474">
                  <c:v>426.21652809723093</c:v>
                </c:pt>
                <c:pt idx="475">
                  <c:v>426.90126848300298</c:v>
                </c:pt>
                <c:pt idx="476">
                  <c:v>427.58525088340821</c:v>
                </c:pt>
                <c:pt idx="477">
                  <c:v>428.2684748071614</c:v>
                </c:pt>
                <c:pt idx="478">
                  <c:v>428.95093976243191</c:v>
                </c:pt>
                <c:pt idx="479">
                  <c:v>429.63264525692671</c:v>
                </c:pt>
                <c:pt idx="480">
                  <c:v>430.31359079797284</c:v>
                </c:pt>
                <c:pt idx="481">
                  <c:v>430.99377589259882</c:v>
                </c:pt>
                <c:pt idx="482">
                  <c:v>431.67320004761564</c:v>
                </c:pt>
                <c:pt idx="483">
                  <c:v>432.35186276969665</c:v>
                </c:pt>
                <c:pt idx="484">
                  <c:v>433.02976356545679</c:v>
                </c:pt>
                <c:pt idx="485">
                  <c:v>433.7069019415311</c:v>
                </c:pt>
                <c:pt idx="486">
                  <c:v>434.38327740465235</c:v>
                </c:pt>
                <c:pt idx="487">
                  <c:v>435.05888946172797</c:v>
                </c:pt>
                <c:pt idx="488">
                  <c:v>435.73373761991627</c:v>
                </c:pt>
                <c:pt idx="489">
                  <c:v>436.4078213867017</c:v>
                </c:pt>
                <c:pt idx="490">
                  <c:v>437.08114026996952</c:v>
                </c:pt>
                <c:pt idx="491">
                  <c:v>437.75369377807959</c:v>
                </c:pt>
                <c:pt idx="492">
                  <c:v>438.4254814199395</c:v>
                </c:pt>
                <c:pt idx="493">
                  <c:v>439.09650270507689</c:v>
                </c:pt>
                <c:pt idx="494">
                  <c:v>439.76675714371095</c:v>
                </c:pt>
                <c:pt idx="495">
                  <c:v>440.43624424682338</c:v>
                </c:pt>
                <c:pt idx="496">
                  <c:v>441.10496352622823</c:v>
                </c:pt>
                <c:pt idx="497">
                  <c:v>441.77291449464133</c:v>
                </c:pt>
                <c:pt idx="498">
                  <c:v>442.44009666574891</c:v>
                </c:pt>
                <c:pt idx="499">
                  <c:v>443.10650955427525</c:v>
                </c:pt>
                <c:pt idx="500">
                  <c:v>443.77215267604987</c:v>
                </c:pt>
                <c:pt idx="501">
                  <c:v>444.43702554807379</c:v>
                </c:pt>
                <c:pt idx="502">
                  <c:v>445.10112768858522</c:v>
                </c:pt>
                <c:pt idx="503">
                  <c:v>445.76445861712432</c:v>
                </c:pt>
                <c:pt idx="504">
                  <c:v>446.42701785459735</c:v>
                </c:pt>
                <c:pt idx="505">
                  <c:v>447.08880492334015</c:v>
                </c:pt>
                <c:pt idx="506">
                  <c:v>447.74981934718062</c:v>
                </c:pt>
                <c:pt idx="507">
                  <c:v>448.41006065150094</c:v>
                </c:pt>
                <c:pt idx="508">
                  <c:v>449.06952836329862</c:v>
                </c:pt>
                <c:pt idx="509">
                  <c:v>449.728222011247</c:v>
                </c:pt>
                <c:pt idx="510">
                  <c:v>450.38614112575522</c:v>
                </c:pt>
                <c:pt idx="511">
                  <c:v>451.04328523902711</c:v>
                </c:pt>
                <c:pt idx="512">
                  <c:v>451.69965388511974</c:v>
                </c:pt>
                <c:pt idx="513">
                  <c:v>452.35524660000112</c:v>
                </c:pt>
                <c:pt idx="514">
                  <c:v>453.01006292160696</c:v>
                </c:pt>
                <c:pt idx="515">
                  <c:v>453.66410238989727</c:v>
                </c:pt>
                <c:pt idx="516">
                  <c:v>454.31736454691168</c:v>
                </c:pt>
                <c:pt idx="517">
                  <c:v>454.96984893682452</c:v>
                </c:pt>
                <c:pt idx="518">
                  <c:v>455.62155510599905</c:v>
                </c:pt>
                <c:pt idx="519">
                  <c:v>456.27248260304083</c:v>
                </c:pt>
                <c:pt idx="520">
                  <c:v>456.9226309788508</c:v>
                </c:pt>
                <c:pt idx="521">
                  <c:v>457.57199978667728</c:v>
                </c:pt>
                <c:pt idx="522">
                  <c:v>458.22058858216758</c:v>
                </c:pt>
                <c:pt idx="523">
                  <c:v>458.8683969234188</c:v>
                </c:pt>
                <c:pt idx="524">
                  <c:v>459.51542437102808</c:v>
                </c:pt>
                <c:pt idx="525">
                  <c:v>460.16167048814202</c:v>
                </c:pt>
                <c:pt idx="526">
                  <c:v>460.80713484050563</c:v>
                </c:pt>
                <c:pt idx="527">
                  <c:v>461.45181699651039</c:v>
                </c:pt>
                <c:pt idx="528">
                  <c:v>462.09571652724202</c:v>
                </c:pt>
                <c:pt idx="529">
                  <c:v>462.73883300652716</c:v>
                </c:pt>
                <c:pt idx="530">
                  <c:v>463.38116601097988</c:v>
                </c:pt>
                <c:pt idx="531">
                  <c:v>464.02271512004705</c:v>
                </c:pt>
                <c:pt idx="532">
                  <c:v>464.66347991605346</c:v>
                </c:pt>
                <c:pt idx="533">
                  <c:v>465.30345998424627</c:v>
                </c:pt>
                <c:pt idx="534">
                  <c:v>465.94265491283852</c:v>
                </c:pt>
                <c:pt idx="535">
                  <c:v>466.58106429305241</c:v>
                </c:pt>
                <c:pt idx="536">
                  <c:v>467.21868771916172</c:v>
                </c:pt>
                <c:pt idx="537">
                  <c:v>467.85552478853373</c:v>
                </c:pt>
                <c:pt idx="538">
                  <c:v>468.49157510167038</c:v>
                </c:pt>
                <c:pt idx="539">
                  <c:v>469.12683826224895</c:v>
                </c:pt>
                <c:pt idx="540">
                  <c:v>469.76131387716219</c:v>
                </c:pt>
                <c:pt idx="541">
                  <c:v>470.39500155655765</c:v>
                </c:pt>
                <c:pt idx="542">
                  <c:v>471.02790091387652</c:v>
                </c:pt>
                <c:pt idx="543">
                  <c:v>471.66001156589198</c:v>
                </c:pt>
                <c:pt idx="544">
                  <c:v>472.29133313274673</c:v>
                </c:pt>
                <c:pt idx="545">
                  <c:v>472.92186523799023</c:v>
                </c:pt>
                <c:pt idx="546">
                  <c:v>473.55160750861495</c:v>
                </c:pt>
                <c:pt idx="547">
                  <c:v>474.1805595750925</c:v>
                </c:pt>
                <c:pt idx="548">
                  <c:v>474.80872107140891</c:v>
                </c:pt>
                <c:pt idx="549">
                  <c:v>475.43609163509927</c:v>
                </c:pt>
                <c:pt idx="550">
                  <c:v>476.0626709072821</c:v>
                </c:pt>
                <c:pt idx="551">
                  <c:v>476.68845853269289</c:v>
                </c:pt>
                <c:pt idx="552">
                  <c:v>477.31345415971714</c:v>
                </c:pt>
                <c:pt idx="553">
                  <c:v>477.93765744042298</c:v>
                </c:pt>
                <c:pt idx="554">
                  <c:v>478.56106803059311</c:v>
                </c:pt>
                <c:pt idx="555">
                  <c:v>479.18368558975618</c:v>
                </c:pt>
                <c:pt idx="556">
                  <c:v>479.80550978121767</c:v>
                </c:pt>
                <c:pt idx="557">
                  <c:v>480.42654027209022</c:v>
                </c:pt>
                <c:pt idx="558">
                  <c:v>481.0467767333235</c:v>
                </c:pt>
                <c:pt idx="559">
                  <c:v>481.6662188397334</c:v>
                </c:pt>
                <c:pt idx="560">
                  <c:v>482.28486627003088</c:v>
                </c:pt>
                <c:pt idx="561">
                  <c:v>482.90271870685001</c:v>
                </c:pt>
                <c:pt idx="562">
                  <c:v>483.51977583677575</c:v>
                </c:pt>
                <c:pt idx="563">
                  <c:v>484.13603735037123</c:v>
                </c:pt>
                <c:pt idx="564">
                  <c:v>484.75150294220424</c:v>
                </c:pt>
                <c:pt idx="565">
                  <c:v>485.36617231087348</c:v>
                </c:pt>
                <c:pt idx="566">
                  <c:v>485.98004515903415</c:v>
                </c:pt>
                <c:pt idx="567">
                  <c:v>486.5931211934232</c:v>
                </c:pt>
                <c:pt idx="568">
                  <c:v>487.20540012488385</c:v>
                </c:pt>
                <c:pt idx="569">
                  <c:v>487.81688166838984</c:v>
                </c:pt>
                <c:pt idx="570">
                  <c:v>488.42756554306902</c:v>
                </c:pt>
                <c:pt idx="571">
                  <c:v>489.03745147222656</c:v>
                </c:pt>
                <c:pt idx="572">
                  <c:v>489.64653918336768</c:v>
                </c:pt>
                <c:pt idx="573">
                  <c:v>490.25482840821974</c:v>
                </c:pt>
                <c:pt idx="574">
                  <c:v>490.86231888275415</c:v>
                </c:pt>
                <c:pt idx="575">
                  <c:v>491.46901034720747</c:v>
                </c:pt>
                <c:pt idx="576">
                  <c:v>492.07490254610235</c:v>
                </c:pt>
                <c:pt idx="577">
                  <c:v>492.67999522826767</c:v>
                </c:pt>
                <c:pt idx="578">
                  <c:v>493.28428814685867</c:v>
                </c:pt>
                <c:pt idx="579">
                  <c:v>493.88778105937615</c:v>
                </c:pt>
                <c:pt idx="580">
                  <c:v>494.49047372768547</c:v>
                </c:pt>
                <c:pt idx="581">
                  <c:v>495.09236591803517</c:v>
                </c:pt>
                <c:pt idx="582">
                  <c:v>495.69345740107491</c:v>
                </c:pt>
                <c:pt idx="583">
                  <c:v>496.29374795187312</c:v>
                </c:pt>
                <c:pt idx="584">
                  <c:v>496.89323734993422</c:v>
                </c:pt>
                <c:pt idx="585">
                  <c:v>497.49192537921533</c:v>
                </c:pt>
                <c:pt idx="586">
                  <c:v>498.08981182814262</c:v>
                </c:pt>
                <c:pt idx="587">
                  <c:v>498.68689648962715</c:v>
                </c:pt>
                <c:pt idx="588">
                  <c:v>499.28317916108034</c:v>
                </c:pt>
                <c:pt idx="589">
                  <c:v>499.87865964442904</c:v>
                </c:pt>
                <c:pt idx="590">
                  <c:v>500.47333774613014</c:v>
                </c:pt>
                <c:pt idx="591">
                  <c:v>501.06721327718481</c:v>
                </c:pt>
                <c:pt idx="592">
                  <c:v>501.66028605315216</c:v>
                </c:pt>
                <c:pt idx="593">
                  <c:v>502.25255589416281</c:v>
                </c:pt>
                <c:pt idx="594">
                  <c:v>502.84402262493182</c:v>
                </c:pt>
                <c:pt idx="595">
                  <c:v>503.43468607477115</c:v>
                </c:pt>
                <c:pt idx="596">
                  <c:v>504.024546077602</c:v>
                </c:pt>
                <c:pt idx="597">
                  <c:v>504.6136024719666</c:v>
                </c:pt>
                <c:pt idx="598">
                  <c:v>505.2018551010396</c:v>
                </c:pt>
                <c:pt idx="599">
                  <c:v>505.78930381263893</c:v>
                </c:pt>
                <c:pt idx="600">
                  <c:v>506.37594845923672</c:v>
                </c:pt>
                <c:pt idx="601">
                  <c:v>506.96178889796931</c:v>
                </c:pt>
                <c:pt idx="602">
                  <c:v>507.54682499064734</c:v>
                </c:pt>
                <c:pt idx="603">
                  <c:v>508.13105660376505</c:v>
                </c:pt>
                <c:pt idx="604">
                  <c:v>508.71448360850957</c:v>
                </c:pt>
                <c:pt idx="605">
                  <c:v>509.29710588076966</c:v>
                </c:pt>
                <c:pt idx="606">
                  <c:v>509.87892330114414</c:v>
                </c:pt>
                <c:pt idx="607">
                  <c:v>510.45993575494981</c:v>
                </c:pt>
                <c:pt idx="608">
                  <c:v>511.04014313222933</c:v>
                </c:pt>
                <c:pt idx="609">
                  <c:v>511.61954532775849</c:v>
                </c:pt>
                <c:pt idx="610">
                  <c:v>512.19814224105312</c:v>
                </c:pt>
                <c:pt idx="611">
                  <c:v>512.77593377637584</c:v>
                </c:pt>
                <c:pt idx="612">
                  <c:v>513.35291984274227</c:v>
                </c:pt>
                <c:pt idx="613">
                  <c:v>513.92910035392708</c:v>
                </c:pt>
                <c:pt idx="614">
                  <c:v>514.5044752284698</c:v>
                </c:pt>
                <c:pt idx="615">
                  <c:v>515.07904438967955</c:v>
                </c:pt>
                <c:pt idx="616">
                  <c:v>515.65280776564055</c:v>
                </c:pt>
                <c:pt idx="617">
                  <c:v>516.2257652892165</c:v>
                </c:pt>
                <c:pt idx="618">
                  <c:v>516.79791689805506</c:v>
                </c:pt>
                <c:pt idx="619">
                  <c:v>517.3692625345916</c:v>
                </c:pt>
                <c:pt idx="620">
                  <c:v>517.93980214605301</c:v>
                </c:pt>
                <c:pt idx="621">
                  <c:v>518.50953568446107</c:v>
                </c:pt>
                <c:pt idx="622">
                  <c:v>519.07846310663558</c:v>
                </c:pt>
                <c:pt idx="623">
                  <c:v>519.64658437419678</c:v>
                </c:pt>
                <c:pt idx="624">
                  <c:v>520.21389945356816</c:v>
                </c:pt>
                <c:pt idx="625">
                  <c:v>520.78040831597843</c:v>
                </c:pt>
                <c:pt idx="626">
                  <c:v>521.34611093746321</c:v>
                </c:pt>
                <c:pt idx="627">
                  <c:v>521.91100729886671</c:v>
                </c:pt>
                <c:pt idx="628">
                  <c:v>522.47509738584301</c:v>
                </c:pt>
                <c:pt idx="629">
                  <c:v>523.03838118885699</c:v>
                </c:pt>
                <c:pt idx="630">
                  <c:v>523.60085870318483</c:v>
                </c:pt>
                <c:pt idx="631">
                  <c:v>524.16252992891464</c:v>
                </c:pt>
                <c:pt idx="632">
                  <c:v>524.72339487094632</c:v>
                </c:pt>
                <c:pt idx="633">
                  <c:v>525.28345353899158</c:v>
                </c:pt>
                <c:pt idx="634">
                  <c:v>525.84270594757322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5"/>
                <c:pt idx="0">
                  <c:v>1.7144247806269215</c:v>
                </c:pt>
                <c:pt idx="1">
                  <c:v>3.2084988477436038</c:v>
                </c:pt>
                <c:pt idx="2">
                  <c:v>4.6952106074999751</c:v>
                </c:pt>
                <c:pt idx="3">
                  <c:v>6.1745901407963002</c:v>
                </c:pt>
                <c:pt idx="4">
                  <c:v>7.6466672639195812</c:v>
                </c:pt>
                <c:pt idx="5">
                  <c:v>9.1114715314065382</c:v>
                </c:pt>
                <c:pt idx="6">
                  <c:v>10.569032238867251</c:v>
                </c:pt>
                <c:pt idx="7">
                  <c:v>12.0193784257701</c:v>
                </c:pt>
                <c:pt idx="8">
                  <c:v>13.462538878188655</c:v>
                </c:pt>
                <c:pt idx="9">
                  <c:v>14.898542131511128</c:v>
                </c:pt>
                <c:pt idx="10">
                  <c:v>16.327416473113015</c:v>
                </c:pt>
                <c:pt idx="11">
                  <c:v>17.749189944993518</c:v>
                </c:pt>
                <c:pt idx="12">
                  <c:v>19.163890346376341</c:v>
                </c:pt>
                <c:pt idx="13">
                  <c:v>20.571545236275451</c:v>
                </c:pt>
                <c:pt idx="14">
                  <c:v>21.972181936026352</c:v>
                </c:pt>
                <c:pt idx="15">
                  <c:v>23.365827531783449</c:v>
                </c:pt>
                <c:pt idx="16">
                  <c:v>24.752508876984045</c:v>
                </c:pt>
                <c:pt idx="17">
                  <c:v>26.132252594779501</c:v>
                </c:pt>
                <c:pt idx="18">
                  <c:v>27.5050850804341</c:v>
                </c:pt>
                <c:pt idx="19">
                  <c:v>28.871032503692106</c:v>
                </c:pt>
                <c:pt idx="20">
                  <c:v>30.230120811113579</c:v>
                </c:pt>
                <c:pt idx="21">
                  <c:v>31.582375728379382</c:v>
                </c:pt>
                <c:pt idx="22">
                  <c:v>32.927822762565917</c:v>
                </c:pt>
                <c:pt idx="23">
                  <c:v>34.266487204390039</c:v>
                </c:pt>
                <c:pt idx="24">
                  <c:v>35.598394130424666</c:v>
                </c:pt>
                <c:pt idx="25">
                  <c:v>36.923568405285472</c:v>
                </c:pt>
                <c:pt idx="26">
                  <c:v>38.242034683789214</c:v>
                </c:pt>
                <c:pt idx="27">
                  <c:v>39.553817413084047</c:v>
                </c:pt>
                <c:pt idx="28">
                  <c:v>40.858940834752332</c:v>
                </c:pt>
                <c:pt idx="29">
                  <c:v>42.157428986886345</c:v>
                </c:pt>
                <c:pt idx="30">
                  <c:v>43.449305706137316</c:v>
                </c:pt>
                <c:pt idx="31">
                  <c:v>44.734594629738183</c:v>
                </c:pt>
                <c:pt idx="32">
                  <c:v>46.013319197500522</c:v>
                </c:pt>
                <c:pt idx="33">
                  <c:v>47.285502653786025</c:v>
                </c:pt>
                <c:pt idx="34">
                  <c:v>48.551168049452897</c:v>
                </c:pt>
                <c:pt idx="35">
                  <c:v>49.810338243777615</c:v>
                </c:pt>
                <c:pt idx="36">
                  <c:v>51.06303590635239</c:v>
                </c:pt>
                <c:pt idx="37">
                  <c:v>52.309283518958694</c:v>
                </c:pt>
                <c:pt idx="38">
                  <c:v>53.549103377417282</c:v>
                </c:pt>
                <c:pt idx="39">
                  <c:v>54.78251759341498</c:v>
                </c:pt>
                <c:pt idx="40">
                  <c:v>56.00954809630867</c:v>
                </c:pt>
                <c:pt idx="41">
                  <c:v>57.230216634906782</c:v>
                </c:pt>
                <c:pt idx="42">
                  <c:v>58.444544779228657</c:v>
                </c:pt>
                <c:pt idx="43">
                  <c:v>59.652553922242078</c:v>
                </c:pt>
                <c:pt idx="44">
                  <c:v>60.854265281579337</c:v>
                </c:pt>
                <c:pt idx="45">
                  <c:v>62.049699901232188</c:v>
                </c:pt>
                <c:pt idx="46">
                  <c:v>63.238878653225896</c:v>
                </c:pt>
                <c:pt idx="47">
                  <c:v>64.421822239272842</c:v>
                </c:pt>
                <c:pt idx="48">
                  <c:v>65.598551192405864</c:v>
                </c:pt>
                <c:pt idx="49">
                  <c:v>66.769085878591738</c:v>
                </c:pt>
                <c:pt idx="50">
                  <c:v>67.93344649832504</c:v>
                </c:pt>
                <c:pt idx="51">
                  <c:v>69.091653088202648</c:v>
                </c:pt>
                <c:pt idx="52">
                  <c:v>70.243725522479295</c:v>
                </c:pt>
                <c:pt idx="53">
                  <c:v>71.389683514604314</c:v>
                </c:pt>
                <c:pt idx="54">
                  <c:v>72.529546618739971</c:v>
                </c:pt>
                <c:pt idx="55">
                  <c:v>73.663334231261558</c:v>
                </c:pt>
                <c:pt idx="56">
                  <c:v>74.791065592239647</c:v>
                </c:pt>
                <c:pt idx="57">
                  <c:v>75.912759786904587</c:v>
                </c:pt>
                <c:pt idx="58">
                  <c:v>77.028435747093667</c:v>
                </c:pt>
                <c:pt idx="59">
                  <c:v>78.13811225268114</c:v>
                </c:pt>
                <c:pt idx="60">
                  <c:v>79.24180793299135</c:v>
                </c:pt>
                <c:pt idx="61">
                  <c:v>80.339541268195234</c:v>
                </c:pt>
                <c:pt idx="62">
                  <c:v>81.431330590690422</c:v>
                </c:pt>
                <c:pt idx="63">
                  <c:v>82.517194086465167</c:v>
                </c:pt>
                <c:pt idx="64">
                  <c:v>83.597149796446388</c:v>
                </c:pt>
                <c:pt idx="65">
                  <c:v>84.671215617832033</c:v>
                </c:pt>
                <c:pt idx="66">
                  <c:v>85.739409305407918</c:v>
                </c:pt>
                <c:pt idx="67">
                  <c:v>86.80174847284944</c:v>
                </c:pt>
                <c:pt idx="68">
                  <c:v>87.858250594008211</c:v>
                </c:pt>
                <c:pt idx="69">
                  <c:v>88.908933004183908</c:v>
                </c:pt>
                <c:pt idx="70">
                  <c:v>89.953812901381554</c:v>
                </c:pt>
                <c:pt idx="71">
                  <c:v>90.99290734755445</c:v>
                </c:pt>
                <c:pt idx="72">
                  <c:v>92.0262332698329</c:v>
                </c:pt>
                <c:pt idx="73">
                  <c:v>93.053807461739041</c:v>
                </c:pt>
                <c:pt idx="74">
                  <c:v>94.075646584387883</c:v>
                </c:pt>
                <c:pt idx="75">
                  <c:v>95.091767167674789</c:v>
                </c:pt>
                <c:pt idx="76">
                  <c:v>96.102185611449642</c:v>
                </c:pt>
                <c:pt idx="77">
                  <c:v>97.106918186677788</c:v>
                </c:pt>
                <c:pt idx="78">
                  <c:v>98.10598103658802</c:v>
                </c:pt>
                <c:pt idx="79">
                  <c:v>99.099390177807763</c:v>
                </c:pt>
                <c:pt idx="80">
                  <c:v>100.08716150148568</c:v>
                </c:pt>
                <c:pt idx="81">
                  <c:v>101.06931077440184</c:v>
                </c:pt>
                <c:pt idx="82">
                  <c:v>102.04585364006557</c:v>
                </c:pt>
                <c:pt idx="83">
                  <c:v>103.01680561980132</c:v>
                </c:pt>
                <c:pt idx="84">
                  <c:v>103.98218211382255</c:v>
                </c:pt>
                <c:pt idx="85">
                  <c:v>104.94199840229396</c:v>
                </c:pt>
                <c:pt idx="86">
                  <c:v>105.89626964638209</c:v>
                </c:pt>
                <c:pt idx="87">
                  <c:v>106.8450108892945</c:v>
                </c:pt>
                <c:pt idx="88">
                  <c:v>107.78823705730778</c:v>
                </c:pt>
                <c:pt idx="89">
                  <c:v>108.72596296078444</c:v>
                </c:pt>
                <c:pt idx="90">
                  <c:v>109.65820329517886</c:v>
                </c:pt>
                <c:pt idx="91">
                  <c:v>110.5849726420325</c:v>
                </c:pt>
                <c:pt idx="92">
                  <c:v>111.50628546995846</c:v>
                </c:pt>
                <c:pt idx="93">
                  <c:v>112.42215613561562</c:v>
                </c:pt>
                <c:pt idx="94">
                  <c:v>113.33259888467245</c:v>
                </c:pt>
                <c:pt idx="95">
                  <c:v>114.2376278527606</c:v>
                </c:pt>
                <c:pt idx="96">
                  <c:v>115.13725706641851</c:v>
                </c:pt>
                <c:pt idx="97">
                  <c:v>116.03150044402516</c:v>
                </c:pt>
                <c:pt idx="98">
                  <c:v>116.92037179672394</c:v>
                </c:pt>
                <c:pt idx="99">
                  <c:v>117.80388482933715</c:v>
                </c:pt>
                <c:pt idx="100">
                  <c:v>118.68205314127079</c:v>
                </c:pt>
                <c:pt idx="101">
                  <c:v>119.5548902274101</c:v>
                </c:pt>
                <c:pt idx="102">
                  <c:v>120.42240947900598</c:v>
                </c:pt>
                <c:pt idx="103">
                  <c:v>121.2846241845522</c:v>
                </c:pt>
                <c:pt idx="104">
                  <c:v>122.14154753065374</c:v>
                </c:pt>
                <c:pt idx="105">
                  <c:v>122.99319260288627</c:v>
                </c:pt>
                <c:pt idx="106">
                  <c:v>123.83957238664699</c:v>
                </c:pt>
                <c:pt idx="107">
                  <c:v>124.68069976799684</c:v>
                </c:pt>
                <c:pt idx="108">
                  <c:v>125.51658753449426</c:v>
                </c:pt>
                <c:pt idx="109">
                  <c:v>126.34724837602067</c:v>
                </c:pt>
                <c:pt idx="110">
                  <c:v>127.17269488559769</c:v>
                </c:pt>
                <c:pt idx="111">
                  <c:v>127.99293956019628</c:v>
                </c:pt>
                <c:pt idx="112">
                  <c:v>128.80799480153786</c:v>
                </c:pt>
                <c:pt idx="113">
                  <c:v>129.61787291688762</c:v>
                </c:pt>
                <c:pt idx="114">
                  <c:v>130.42258611984008</c:v>
                </c:pt>
                <c:pt idx="115">
                  <c:v>131.22214653109685</c:v>
                </c:pt>
                <c:pt idx="116">
                  <c:v>132.01656617923712</c:v>
                </c:pt>
                <c:pt idx="117">
                  <c:v>132.80585700148043</c:v>
                </c:pt>
                <c:pt idx="118">
                  <c:v>133.59003084444237</c:v>
                </c:pt>
                <c:pt idx="119">
                  <c:v>134.36909946488279</c:v>
                </c:pt>
                <c:pt idx="120">
                  <c:v>135.14307453044719</c:v>
                </c:pt>
                <c:pt idx="121">
                  <c:v>135.91196762040084</c:v>
                </c:pt>
                <c:pt idx="122">
                  <c:v>136.6757902263561</c:v>
                </c:pt>
                <c:pt idx="123">
                  <c:v>137.43455375299294</c:v>
                </c:pt>
                <c:pt idx="124">
                  <c:v>138.18826951877267</c:v>
                </c:pt>
                <c:pt idx="125">
                  <c:v>138.93694875664511</c:v>
                </c:pt>
                <c:pt idx="126">
                  <c:v>139.6806026147492</c:v>
                </c:pt>
                <c:pt idx="127">
                  <c:v>140.41924215710716</c:v>
                </c:pt>
                <c:pt idx="128">
                  <c:v>141.15287836431236</c:v>
                </c:pt>
                <c:pt idx="129">
                  <c:v>141.88152213421083</c:v>
                </c:pt>
                <c:pt idx="130">
                  <c:v>142.6051842825768</c:v>
                </c:pt>
                <c:pt idx="131">
                  <c:v>143.32387554378198</c:v>
                </c:pt>
                <c:pt idx="132">
                  <c:v>144.03760657145895</c:v>
                </c:pt>
                <c:pt idx="133">
                  <c:v>144.74638793915864</c:v>
                </c:pt>
                <c:pt idx="134">
                  <c:v>145.45023014100204</c:v>
                </c:pt>
                <c:pt idx="135">
                  <c:v>146.14914359232606</c:v>
                </c:pt>
                <c:pt idx="136">
                  <c:v>146.84313863032389</c:v>
                </c:pt>
                <c:pt idx="137">
                  <c:v>147.53222551467977</c:v>
                </c:pt>
                <c:pt idx="138">
                  <c:v>148.21641442819819</c:v>
                </c:pt>
                <c:pt idx="139">
                  <c:v>148.89571547742784</c:v>
                </c:pt>
                <c:pt idx="140">
                  <c:v>149.57013869328011</c:v>
                </c:pt>
                <c:pt idx="141">
                  <c:v>150.23969403164244</c:v>
                </c:pt>
                <c:pt idx="142">
                  <c:v>150.9043913739865</c:v>
                </c:pt>
                <c:pt idx="143">
                  <c:v>151.56424052797121</c:v>
                </c:pt>
                <c:pt idx="144">
                  <c:v>152.21925122804083</c:v>
                </c:pt>
                <c:pt idx="145">
                  <c:v>152.86943313601816</c:v>
                </c:pt>
                <c:pt idx="146">
                  <c:v>153.51479584169277</c:v>
                </c:pt>
                <c:pt idx="147">
                  <c:v>154.15534886340453</c:v>
                </c:pt>
                <c:pt idx="148">
                  <c:v>154.79110164862234</c:v>
                </c:pt>
                <c:pt idx="149">
                  <c:v>155.42206357451835</c:v>
                </c:pt>
                <c:pt idx="150">
                  <c:v>156.04824394853745</c:v>
                </c:pt>
                <c:pt idx="151">
                  <c:v>156.66965200896246</c:v>
                </c:pt>
                <c:pt idx="152">
                  <c:v>157.28629692547466</c:v>
                </c:pt>
                <c:pt idx="153">
                  <c:v>157.89818779971017</c:v>
                </c:pt>
                <c:pt idx="154">
                  <c:v>158.50533366581186</c:v>
                </c:pt>
                <c:pt idx="155">
                  <c:v>159.10774349097713</c:v>
                </c:pt>
                <c:pt idx="156">
                  <c:v>159.70542617600154</c:v>
                </c:pt>
                <c:pt idx="157">
                  <c:v>160.29839055581823</c:v>
                </c:pt>
                <c:pt idx="158">
                  <c:v>160.88664540003342</c:v>
                </c:pt>
                <c:pt idx="159">
                  <c:v>161.47019941345792</c:v>
                </c:pt>
                <c:pt idx="160">
                  <c:v>162.04906123663469</c:v>
                </c:pt>
                <c:pt idx="161">
                  <c:v>162.6232394463625</c:v>
                </c:pt>
                <c:pt idx="162">
                  <c:v>163.19274255621599</c:v>
                </c:pt>
                <c:pt idx="163">
                  <c:v>163.75757901706183</c:v>
                </c:pt>
                <c:pt idx="164">
                  <c:v>164.31775721757126</c:v>
                </c:pt>
                <c:pt idx="165">
                  <c:v>164.87328548472908</c:v>
                </c:pt>
                <c:pt idx="166">
                  <c:v>165.42417208433901</c:v>
                </c:pt>
                <c:pt idx="167">
                  <c:v>165.9704252215256</c:v>
                </c:pt>
                <c:pt idx="168">
                  <c:v>166.51205304123278</c:v>
                </c:pt>
                <c:pt idx="169">
                  <c:v>167.04906362871884</c:v>
                </c:pt>
                <c:pt idx="170">
                  <c:v>167.58146501004828</c:v>
                </c:pt>
                <c:pt idx="171">
                  <c:v>168.10926515258029</c:v>
                </c:pt>
                <c:pt idx="172">
                  <c:v>168.6324719654541</c:v>
                </c:pt>
                <c:pt idx="173">
                  <c:v>169.15109330007101</c:v>
                </c:pt>
                <c:pt idx="174">
                  <c:v>169.66513695057355</c:v>
                </c:pt>
                <c:pt idx="175">
                  <c:v>170.17461065432133</c:v>
                </c:pt>
                <c:pt idx="176">
                  <c:v>170.67952209236412</c:v>
                </c:pt>
                <c:pt idx="177">
                  <c:v>171.17987888991181</c:v>
                </c:pt>
                <c:pt idx="178">
                  <c:v>171.67568861680155</c:v>
                </c:pt>
                <c:pt idx="179">
                  <c:v>172.16695878796205</c:v>
                </c:pt>
                <c:pt idx="180">
                  <c:v>172.65369686387498</c:v>
                </c:pt>
                <c:pt idx="181">
                  <c:v>173.13591025103381</c:v>
                </c:pt>
                <c:pt idx="182">
                  <c:v>173.61360630239966</c:v>
                </c:pt>
                <c:pt idx="183">
                  <c:v>174.08679231785479</c:v>
                </c:pt>
                <c:pt idx="184">
                  <c:v>174.55547554465326</c:v>
                </c:pt>
                <c:pt idx="185">
                  <c:v>175.01966317786918</c:v>
                </c:pt>
                <c:pt idx="186">
                  <c:v>175.47936236084229</c:v>
                </c:pt>
                <c:pt idx="187">
                  <c:v>175.9345801856212</c:v>
                </c:pt>
                <c:pt idx="188">
                  <c:v>176.38532369340413</c:v>
                </c:pt>
                <c:pt idx="189">
                  <c:v>176.83159987497729</c:v>
                </c:pt>
                <c:pt idx="190">
                  <c:v>177.27341567115081</c:v>
                </c:pt>
                <c:pt idx="191">
                  <c:v>177.71077797319265</c:v>
                </c:pt>
                <c:pt idx="192">
                  <c:v>178.14369362325988</c:v>
                </c:pt>
                <c:pt idx="193">
                  <c:v>178.57216941482801</c:v>
                </c:pt>
                <c:pt idx="194">
                  <c:v>178.99621209311809</c:v>
                </c:pt>
                <c:pt idx="195">
                  <c:v>179.41582835552154</c:v>
                </c:pt>
                <c:pt idx="196">
                  <c:v>179.83102485202309</c:v>
                </c:pt>
                <c:pt idx="197">
                  <c:v>180.24180818562149</c:v>
                </c:pt>
                <c:pt idx="198">
                  <c:v>180.64818491274832</c:v>
                </c:pt>
                <c:pt idx="199">
                  <c:v>181.05016154368471</c:v>
                </c:pt>
                <c:pt idx="200">
                  <c:v>181.44774454297624</c:v>
                </c:pt>
                <c:pt idx="201">
                  <c:v>181.84094032984578</c:v>
                </c:pt>
                <c:pt idx="202">
                  <c:v>182.22975527860464</c:v>
                </c:pt>
                <c:pt idx="203">
                  <c:v>182.61419571906168</c:v>
                </c:pt>
                <c:pt idx="204">
                  <c:v>182.99426793693081</c:v>
                </c:pt>
                <c:pt idx="205">
                  <c:v>183.36997817423662</c:v>
                </c:pt>
                <c:pt idx="206">
                  <c:v>183.74133262971824</c:v>
                </c:pt>
                <c:pt idx="207">
                  <c:v>184.10833745923162</c:v>
                </c:pt>
                <c:pt idx="208">
                  <c:v>184.47099877615003</c:v>
                </c:pt>
                <c:pt idx="209">
                  <c:v>184.82932265176302</c:v>
                </c:pt>
                <c:pt idx="210">
                  <c:v>185.18331511567371</c:v>
                </c:pt>
                <c:pt idx="211">
                  <c:v>185.53298215619446</c:v>
                </c:pt>
                <c:pt idx="212">
                  <c:v>185.87832972074119</c:v>
                </c:pt>
                <c:pt idx="213">
                  <c:v>186.2193637162259</c:v>
                </c:pt>
                <c:pt idx="214">
                  <c:v>186.55609000944801</c:v>
                </c:pt>
                <c:pt idx="215">
                  <c:v>186.88851442748398</c:v>
                </c:pt>
                <c:pt idx="216">
                  <c:v>187.21664275807566</c:v>
                </c:pt>
                <c:pt idx="217">
                  <c:v>187.54048075001722</c:v>
                </c:pt>
                <c:pt idx="218">
                  <c:v>187.86003411354065</c:v>
                </c:pt>
                <c:pt idx="219">
                  <c:v>188.17530852069996</c:v>
                </c:pt>
                <c:pt idx="220">
                  <c:v>188.486309605754</c:v>
                </c:pt>
                <c:pt idx="221">
                  <c:v>188.79304296554807</c:v>
                </c:pt>
                <c:pt idx="222">
                  <c:v>189.09551415989412</c:v>
                </c:pt>
                <c:pt idx="223">
                  <c:v>189.39372871194993</c:v>
                </c:pt>
                <c:pt idx="224">
                  <c:v>189.68769210859674</c:v>
                </c:pt>
                <c:pt idx="225">
                  <c:v>189.97740980081596</c:v>
                </c:pt>
                <c:pt idx="226">
                  <c:v>190.26288720406455</c:v>
                </c:pt>
                <c:pt idx="227">
                  <c:v>190.54412969864927</c:v>
                </c:pt>
                <c:pt idx="228">
                  <c:v>190.82114263009976</c:v>
                </c:pt>
                <c:pt idx="229">
                  <c:v>191.09393130954055</c:v>
                </c:pt>
                <c:pt idx="230">
                  <c:v>191.36250101406193</c:v>
                </c:pt>
                <c:pt idx="231">
                  <c:v>191.62685698708975</c:v>
                </c:pt>
                <c:pt idx="232">
                  <c:v>191.88700443875408</c:v>
                </c:pt>
                <c:pt idx="233">
                  <c:v>192.14294854625695</c:v>
                </c:pt>
                <c:pt idx="234">
                  <c:v>192.39469445423893</c:v>
                </c:pt>
                <c:pt idx="235">
                  <c:v>192.64224727514483</c:v>
                </c:pt>
                <c:pt idx="236">
                  <c:v>192.88561208958816</c:v>
                </c:pt>
                <c:pt idx="237">
                  <c:v>193.12479394671493</c:v>
                </c:pt>
                <c:pt idx="238">
                  <c:v>193.3597978645661</c:v>
                </c:pt>
                <c:pt idx="239">
                  <c:v>193.59062883043944</c:v>
                </c:pt>
                <c:pt idx="240">
                  <c:v>193.81729180125015</c:v>
                </c:pt>
                <c:pt idx="241">
                  <c:v>194.0397917038907</c:v>
                </c:pt>
                <c:pt idx="242">
                  <c:v>194.25813343558966</c:v>
                </c:pt>
                <c:pt idx="243">
                  <c:v>194.47232186426965</c:v>
                </c:pt>
                <c:pt idx="244">
                  <c:v>194.68236182890445</c:v>
                </c:pt>
                <c:pt idx="245">
                  <c:v>194.88825813987506</c:v>
                </c:pt>
                <c:pt idx="246">
                  <c:v>195.09001557932504</c:v>
                </c:pt>
                <c:pt idx="247">
                  <c:v>195.28763890151475</c:v>
                </c:pt>
                <c:pt idx="248">
                  <c:v>195.48113283317502</c:v>
                </c:pt>
                <c:pt idx="249">
                  <c:v>195.67050207385967</c:v>
                </c:pt>
                <c:pt idx="250">
                  <c:v>195.85575129629729</c:v>
                </c:pt>
                <c:pt idx="251">
                  <c:v>196.03688514674218</c:v>
                </c:pt>
                <c:pt idx="252">
                  <c:v>196.21390824532446</c:v>
                </c:pt>
                <c:pt idx="253">
                  <c:v>196.38682518639922</c:v>
                </c:pt>
                <c:pt idx="254">
                  <c:v>196.55564053889492</c:v>
                </c:pt>
                <c:pt idx="255">
                  <c:v>196.72035884666093</c:v>
                </c:pt>
                <c:pt idx="256">
                  <c:v>196.88098462881416</c:v>
                </c:pt>
                <c:pt idx="257">
                  <c:v>197.03752238008502</c:v>
                </c:pt>
                <c:pt idx="258">
                  <c:v>197.18997657116233</c:v>
                </c:pt>
                <c:pt idx="259">
                  <c:v>197.33835164903758</c:v>
                </c:pt>
                <c:pt idx="260">
                  <c:v>197.4826520373482</c:v>
                </c:pt>
                <c:pt idx="261">
                  <c:v>197.62288213672014</c:v>
                </c:pt>
                <c:pt idx="262">
                  <c:v>197.75904632510944</c:v>
                </c:pt>
                <c:pt idx="263">
                  <c:v>197.89114895814311</c:v>
                </c:pt>
                <c:pt idx="264">
                  <c:v>198.01919436945903</c:v>
                </c:pt>
                <c:pt idx="265">
                  <c:v>198.14318687104515</c:v>
                </c:pt>
                <c:pt idx="266">
                  <c:v>198.26313075357763</c:v>
                </c:pt>
                <c:pt idx="267">
                  <c:v>198.37903028675834</c:v>
                </c:pt>
                <c:pt idx="268">
                  <c:v>198.49088971965136</c:v>
                </c:pt>
                <c:pt idx="269">
                  <c:v>198.59871328101863</c:v>
                </c:pt>
                <c:pt idx="270">
                  <c:v>198.70250517965468</c:v>
                </c:pt>
                <c:pt idx="271">
                  <c:v>198.80226960472061</c:v>
                </c:pt>
                <c:pt idx="272">
                  <c:v>198.89801072607699</c:v>
                </c:pt>
                <c:pt idx="273">
                  <c:v>198.98973269461601</c:v>
                </c:pt>
                <c:pt idx="274">
                  <c:v>199.07743964259262</c:v>
                </c:pt>
                <c:pt idx="275">
                  <c:v>199.16113568395483</c:v>
                </c:pt>
                <c:pt idx="276">
                  <c:v>199.24082491467294</c:v>
                </c:pt>
                <c:pt idx="277">
                  <c:v>199.31651141306801</c:v>
                </c:pt>
                <c:pt idx="278">
                  <c:v>199.38819924013922</c:v>
                </c:pt>
                <c:pt idx="279">
                  <c:v>199.45589243989028</c:v>
                </c:pt>
                <c:pt idx="280">
                  <c:v>199.51959503965497</c:v>
                </c:pt>
                <c:pt idx="281">
                  <c:v>199.57931105042161</c:v>
                </c:pt>
                <c:pt idx="282">
                  <c:v>199.63504446715649</c:v>
                </c:pt>
                <c:pt idx="283">
                  <c:v>199.68679926912631</c:v>
                </c:pt>
                <c:pt idx="284">
                  <c:v>199.7345794202196</c:v>
                </c:pt>
                <c:pt idx="285">
                  <c:v>199.77838886926713</c:v>
                </c:pt>
                <c:pt idx="286">
                  <c:v>199.81823155036113</c:v>
                </c:pt>
                <c:pt idx="287">
                  <c:v>199.85411138317352</c:v>
                </c:pt>
                <c:pt idx="288">
                  <c:v>199.88603227327306</c:v>
                </c:pt>
                <c:pt idx="289">
                  <c:v>199.91399811244128</c:v>
                </c:pt>
                <c:pt idx="290">
                  <c:v>199.93801277898743</c:v>
                </c:pt>
                <c:pt idx="291">
                  <c:v>199.95808013806214</c:v>
                </c:pt>
                <c:pt idx="292">
                  <c:v>199.97420404197001</c:v>
                </c:pt>
                <c:pt idx="293">
                  <c:v>199.98638833048091</c:v>
                </c:pt>
                <c:pt idx="294">
                  <c:v>199.99463683114024</c:v>
                </c:pt>
                <c:pt idx="295">
                  <c:v>199.9989533595778</c:v>
                </c:pt>
                <c:pt idx="296">
                  <c:v>199.99934171981548</c:v>
                </c:pt>
                <c:pt idx="297">
                  <c:v>199.99580570457377</c:v>
                </c:pt>
                <c:pt idx="298">
                  <c:v>199.98834909557689</c:v>
                </c:pt>
                <c:pt idx="299">
                  <c:v>199.97697566385659</c:v>
                </c:pt>
                <c:pt idx="300">
                  <c:v>199.96168917005474</c:v>
                </c:pt>
                <c:pt idx="301">
                  <c:v>199.94249336472453</c:v>
                </c:pt>
                <c:pt idx="302">
                  <c:v>199.91939198863031</c:v>
                </c:pt>
                <c:pt idx="303">
                  <c:v>199.89238877304598</c:v>
                </c:pt>
                <c:pt idx="304">
                  <c:v>199.86148744005212</c:v>
                </c:pt>
                <c:pt idx="305">
                  <c:v>199.82669170283157</c:v>
                </c:pt>
                <c:pt idx="306">
                  <c:v>199.78800526596356</c:v>
                </c:pt>
                <c:pt idx="307">
                  <c:v>199.74543182571654</c:v>
                </c:pt>
                <c:pt idx="308">
                  <c:v>199.69897507033926</c:v>
                </c:pt>
                <c:pt idx="309">
                  <c:v>199.64863868035059</c:v>
                </c:pt>
                <c:pt idx="310">
                  <c:v>199.59442632882758</c:v>
                </c:pt>
                <c:pt idx="311">
                  <c:v>199.53634168169222</c:v>
                </c:pt>
                <c:pt idx="312">
                  <c:v>199.47438839799636</c:v>
                </c:pt>
                <c:pt idx="313">
                  <c:v>199.40857013020519</c:v>
                </c:pt>
                <c:pt idx="314">
                  <c:v>199.33889052447904</c:v>
                </c:pt>
                <c:pt idx="315">
                  <c:v>199.26535322095364</c:v>
                </c:pt>
                <c:pt idx="316">
                  <c:v>199.18796185401854</c:v>
                </c:pt>
                <c:pt idx="317">
                  <c:v>199.10672005259397</c:v>
                </c:pt>
                <c:pt idx="318">
                  <c:v>199.02163144040594</c:v>
                </c:pt>
                <c:pt idx="319">
                  <c:v>198.93269963625963</c:v>
                </c:pt>
                <c:pt idx="320">
                  <c:v>198.83992825431105</c:v>
                </c:pt>
                <c:pt idx="321">
                  <c:v>198.74332090433685</c:v>
                </c:pt>
                <c:pt idx="322">
                  <c:v>198.64288119200242</c:v>
                </c:pt>
                <c:pt idx="323">
                  <c:v>198.53861271912808</c:v>
                </c:pt>
                <c:pt idx="324">
                  <c:v>198.43051908395356</c:v>
                </c:pt>
                <c:pt idx="325">
                  <c:v>198.31860388140046</c:v>
                </c:pt>
                <c:pt idx="326">
                  <c:v>198.20287070333299</c:v>
                </c:pt>
                <c:pt idx="327">
                  <c:v>198.08332313881667</c:v>
                </c:pt>
                <c:pt idx="328">
                  <c:v>197.95996477437518</c:v>
                </c:pt>
                <c:pt idx="329">
                  <c:v>197.83279919424527</c:v>
                </c:pt>
                <c:pt idx="330">
                  <c:v>197.7018299806297</c:v>
                </c:pt>
                <c:pt idx="331">
                  <c:v>197.56706071394817</c:v>
                </c:pt>
                <c:pt idx="332">
                  <c:v>197.42849497308626</c:v>
                </c:pt>
                <c:pt idx="333">
                  <c:v>197.2861363356424</c:v>
                </c:pt>
                <c:pt idx="334">
                  <c:v>197.13998837817266</c:v>
                </c:pt>
                <c:pt idx="335">
                  <c:v>196.99005467643372</c:v>
                </c:pt>
                <c:pt idx="336">
                  <c:v>196.83633880562346</c:v>
                </c:pt>
                <c:pt idx="337">
                  <c:v>196.67884434061972</c:v>
                </c:pt>
                <c:pt idx="338">
                  <c:v>196.51757485621678</c:v>
                </c:pt>
                <c:pt idx="339">
                  <c:v>196.35253392735981</c:v>
                </c:pt>
                <c:pt idx="340">
                  <c:v>196.18372512937708</c:v>
                </c:pt>
                <c:pt idx="341">
                  <c:v>196.0111520382101</c:v>
                </c:pt>
                <c:pt idx="342">
                  <c:v>195.83481823064147</c:v>
                </c:pt>
                <c:pt idx="343">
                  <c:v>195.65472728452067</c:v>
                </c:pt>
                <c:pt idx="344">
                  <c:v>195.47088277898752</c:v>
                </c:pt>
                <c:pt idx="345">
                  <c:v>195.28328829469342</c:v>
                </c:pt>
                <c:pt idx="346">
                  <c:v>195.09194741402047</c:v>
                </c:pt>
                <c:pt idx="347">
                  <c:v>194.89686372129813</c:v>
                </c:pt>
                <c:pt idx="348">
                  <c:v>194.69804080301785</c:v>
                </c:pt>
                <c:pt idx="349">
                  <c:v>194.49548224804519</c:v>
                </c:pt>
                <c:pt idx="350">
                  <c:v>194.2891916478298</c:v>
                </c:pt>
                <c:pt idx="351">
                  <c:v>194.07917259661298</c:v>
                </c:pt>
                <c:pt idx="352">
                  <c:v>193.86542869163307</c:v>
                </c:pt>
                <c:pt idx="353">
                  <c:v>193.64796353332832</c:v>
                </c:pt>
                <c:pt idx="354">
                  <c:v>193.42678072553755</c:v>
                </c:pt>
                <c:pt idx="355">
                  <c:v>193.20188387569837</c:v>
                </c:pt>
                <c:pt idx="356">
                  <c:v>192.97327659504316</c:v>
                </c:pt>
                <c:pt idx="357">
                  <c:v>192.74096249879253</c:v>
                </c:pt>
                <c:pt idx="358">
                  <c:v>192.50494520634646</c:v>
                </c:pt>
                <c:pt idx="359">
                  <c:v>192.26522834147309</c:v>
                </c:pt>
                <c:pt idx="360">
                  <c:v>192.02181553249505</c:v>
                </c:pt>
                <c:pt idx="361">
                  <c:v>191.77471041247341</c:v>
                </c:pt>
                <c:pt idx="362">
                  <c:v>191.52391661938921</c:v>
                </c:pt>
                <c:pt idx="363">
                  <c:v>191.26943779632253</c:v>
                </c:pt>
                <c:pt idx="364">
                  <c:v>191.01127759162927</c:v>
                </c:pt>
                <c:pt idx="365">
                  <c:v>190.74943965911527</c:v>
                </c:pt>
                <c:pt idx="366">
                  <c:v>190.48392765820824</c:v>
                </c:pt>
                <c:pt idx="367">
                  <c:v>190.21474525412702</c:v>
                </c:pt>
                <c:pt idx="368">
                  <c:v>189.94189611804862</c:v>
                </c:pt>
                <c:pt idx="369">
                  <c:v>189.66538392727256</c:v>
                </c:pt>
                <c:pt idx="370">
                  <c:v>189.38521236538298</c:v>
                </c:pt>
                <c:pt idx="371">
                  <c:v>189.10138512240823</c:v>
                </c:pt>
                <c:pt idx="372">
                  <c:v>188.81390589497786</c:v>
                </c:pt>
                <c:pt idx="373">
                  <c:v>188.5227783864774</c:v>
                </c:pt>
                <c:pt idx="374">
                  <c:v>188.22800630720039</c:v>
                </c:pt>
                <c:pt idx="375">
                  <c:v>187.9295933744983</c:v>
                </c:pt>
                <c:pt idx="376">
                  <c:v>187.6275433129276</c:v>
                </c:pt>
                <c:pt idx="377">
                  <c:v>187.32185985439472</c:v>
                </c:pt>
                <c:pt idx="378">
                  <c:v>187.01254673829828</c:v>
                </c:pt>
                <c:pt idx="379">
                  <c:v>186.69960771166907</c:v>
                </c:pt>
                <c:pt idx="380">
                  <c:v>186.38304652930736</c:v>
                </c:pt>
                <c:pt idx="381">
                  <c:v>186.06286695391802</c:v>
                </c:pt>
                <c:pt idx="382">
                  <c:v>185.7390727562429</c:v>
                </c:pt>
                <c:pt idx="383">
                  <c:v>185.41166771519104</c:v>
                </c:pt>
                <c:pt idx="384">
                  <c:v>185.08065561796616</c:v>
                </c:pt>
                <c:pt idx="385">
                  <c:v>184.74604026019196</c:v>
                </c:pt>
                <c:pt idx="386">
                  <c:v>184.40782544603482</c:v>
                </c:pt>
                <c:pt idx="387">
                  <c:v>184.06601498832413</c:v>
                </c:pt>
                <c:pt idx="388">
                  <c:v>183.72061270867022</c:v>
                </c:pt>
                <c:pt idx="389">
                  <c:v>183.37162243757973</c:v>
                </c:pt>
                <c:pt idx="390">
                  <c:v>183.01904801456882</c:v>
                </c:pt>
                <c:pt idx="391">
                  <c:v>182.66289328827369</c:v>
                </c:pt>
                <c:pt idx="392">
                  <c:v>182.30316211655895</c:v>
                </c:pt>
                <c:pt idx="393">
                  <c:v>181.93985836662338</c:v>
                </c:pt>
                <c:pt idx="394">
                  <c:v>181.57298591510346</c:v>
                </c:pt>
                <c:pt idx="395">
                  <c:v>181.20254864817451</c:v>
                </c:pt>
                <c:pt idx="396">
                  <c:v>180.82855046164934</c:v>
                </c:pt>
                <c:pt idx="397">
                  <c:v>180.45099526107467</c:v>
                </c:pt>
                <c:pt idx="398">
                  <c:v>180.06988696182512</c:v>
                </c:pt>
                <c:pt idx="399">
                  <c:v>179.68522948919497</c:v>
                </c:pt>
                <c:pt idx="400">
                  <c:v>179.29702677848746</c:v>
                </c:pt>
                <c:pt idx="401">
                  <c:v>178.90528277510182</c:v>
                </c:pt>
                <c:pt idx="402">
                  <c:v>178.51000143461803</c:v>
                </c:pt>
                <c:pt idx="403">
                  <c:v>178.11118672287921</c:v>
                </c:pt>
                <c:pt idx="404">
                  <c:v>177.70884261607179</c:v>
                </c:pt>
                <c:pt idx="405">
                  <c:v>177.30297310080337</c:v>
                </c:pt>
                <c:pt idx="406">
                  <c:v>176.89358217417831</c:v>
                </c:pt>
                <c:pt idx="407">
                  <c:v>176.48067384387113</c:v>
                </c:pt>
                <c:pt idx="408">
                  <c:v>176.06425212819758</c:v>
                </c:pt>
                <c:pt idx="409">
                  <c:v>175.64432105618354</c:v>
                </c:pt>
                <c:pt idx="410">
                  <c:v>175.22088466763174</c:v>
                </c:pt>
                <c:pt idx="411">
                  <c:v>174.79394701318614</c:v>
                </c:pt>
                <c:pt idx="412">
                  <c:v>174.36351215439433</c:v>
                </c:pt>
                <c:pt idx="413">
                  <c:v>173.9295841637676</c:v>
                </c:pt>
                <c:pt idx="414">
                  <c:v>173.49216712483889</c:v>
                </c:pt>
                <c:pt idx="415">
                  <c:v>173.05126513221865</c:v>
                </c:pt>
                <c:pt idx="416">
                  <c:v>172.6068822916485</c:v>
                </c:pt>
                <c:pt idx="417">
                  <c:v>172.15902272005283</c:v>
                </c:pt>
                <c:pt idx="418">
                  <c:v>171.70769054558824</c:v>
                </c:pt>
                <c:pt idx="419">
                  <c:v>171.25288990769096</c:v>
                </c:pt>
                <c:pt idx="420">
                  <c:v>170.79462495712218</c:v>
                </c:pt>
                <c:pt idx="421">
                  <c:v>170.3328998560113</c:v>
                </c:pt>
                <c:pt idx="422">
                  <c:v>169.86771877789712</c:v>
                </c:pt>
                <c:pt idx="423">
                  <c:v>169.39908590776716</c:v>
                </c:pt>
                <c:pt idx="424">
                  <c:v>168.92700544209472</c:v>
                </c:pt>
                <c:pt idx="425">
                  <c:v>168.45148158887423</c:v>
                </c:pt>
                <c:pt idx="426">
                  <c:v>167.97251856765436</c:v>
                </c:pt>
                <c:pt idx="427">
                  <c:v>167.4901206095694</c:v>
                </c:pt>
                <c:pt idx="428">
                  <c:v>167.00429195736851</c:v>
                </c:pt>
                <c:pt idx="429">
                  <c:v>166.51503686544316</c:v>
                </c:pt>
                <c:pt idx="430">
                  <c:v>166.02235959985271</c:v>
                </c:pt>
                <c:pt idx="431">
                  <c:v>165.52626443834788</c:v>
                </c:pt>
                <c:pt idx="432">
                  <c:v>165.02675567039259</c:v>
                </c:pt>
                <c:pt idx="433">
                  <c:v>164.52383759718379</c:v>
                </c:pt>
                <c:pt idx="434">
                  <c:v>164.01751453166949</c:v>
                </c:pt>
                <c:pt idx="435">
                  <c:v>163.50779079856508</c:v>
                </c:pt>
                <c:pt idx="436">
                  <c:v>162.99467073436756</c:v>
                </c:pt>
                <c:pt idx="437">
                  <c:v>162.47815868736831</c:v>
                </c:pt>
                <c:pt idx="438">
                  <c:v>161.95825901766383</c:v>
                </c:pt>
                <c:pt idx="439">
                  <c:v>161.43497609716493</c:v>
                </c:pt>
                <c:pt idx="440">
                  <c:v>160.90831430960404</c:v>
                </c:pt>
                <c:pt idx="441">
                  <c:v>160.37827805054081</c:v>
                </c:pt>
                <c:pt idx="442">
                  <c:v>159.84487172736613</c:v>
                </c:pt>
                <c:pt idx="443">
                  <c:v>159.30809975930427</c:v>
                </c:pt>
                <c:pt idx="444">
                  <c:v>158.7679665774136</c:v>
                </c:pt>
                <c:pt idx="445">
                  <c:v>158.22447662458546</c:v>
                </c:pt>
                <c:pt idx="446">
                  <c:v>157.67763435554144</c:v>
                </c:pt>
                <c:pt idx="447">
                  <c:v>157.12744423682909</c:v>
                </c:pt>
                <c:pt idx="448">
                  <c:v>156.57391074681607</c:v>
                </c:pt>
                <c:pt idx="449">
                  <c:v>156.01703837568263</c:v>
                </c:pt>
                <c:pt idx="450">
                  <c:v>155.45683162541255</c:v>
                </c:pt>
                <c:pt idx="451">
                  <c:v>154.89329500978261</c:v>
                </c:pt>
                <c:pt idx="452">
                  <c:v>154.32643305435042</c:v>
                </c:pt>
                <c:pt idx="453">
                  <c:v>153.7562502964409</c:v>
                </c:pt>
                <c:pt idx="454">
                  <c:v>153.18275128513108</c:v>
                </c:pt>
                <c:pt idx="455">
                  <c:v>152.6059405812336</c:v>
                </c:pt>
                <c:pt idx="456">
                  <c:v>152.02582275727863</c:v>
                </c:pt>
                <c:pt idx="457">
                  <c:v>151.44240239749448</c:v>
                </c:pt>
                <c:pt idx="458">
                  <c:v>150.85568409778662</c:v>
                </c:pt>
                <c:pt idx="459">
                  <c:v>150.26567246571551</c:v>
                </c:pt>
                <c:pt idx="460">
                  <c:v>149.67237212047283</c:v>
                </c:pt>
                <c:pt idx="461">
                  <c:v>149.07578769285655</c:v>
                </c:pt>
                <c:pt idx="462">
                  <c:v>148.47592382524442</c:v>
                </c:pt>
                <c:pt idx="463">
                  <c:v>147.87278517156642</c:v>
                </c:pt>
                <c:pt idx="464">
                  <c:v>147.26637639727559</c:v>
                </c:pt>
                <c:pt idx="465">
                  <c:v>146.65670217931782</c:v>
                </c:pt>
                <c:pt idx="466">
                  <c:v>146.04376720610014</c:v>
                </c:pt>
                <c:pt idx="467">
                  <c:v>145.42757617745801</c:v>
                </c:pt>
                <c:pt idx="468">
                  <c:v>144.80813380462104</c:v>
                </c:pt>
                <c:pt idx="469">
                  <c:v>144.18544481017778</c:v>
                </c:pt>
                <c:pt idx="470">
                  <c:v>143.55951392803917</c:v>
                </c:pt>
                <c:pt idx="471">
                  <c:v>142.93034590340068</c:v>
                </c:pt>
                <c:pt idx="472">
                  <c:v>142.29794549270352</c:v>
                </c:pt>
                <c:pt idx="473">
                  <c:v>141.66231746359452</c:v>
                </c:pt>
                <c:pt idx="474">
                  <c:v>141.02346659488492</c:v>
                </c:pt>
                <c:pt idx="475">
                  <c:v>140.38139767650802</c:v>
                </c:pt>
                <c:pt idx="476">
                  <c:v>139.73611550947567</c:v>
                </c:pt>
                <c:pt idx="477">
                  <c:v>139.08762490583376</c:v>
                </c:pt>
                <c:pt idx="478">
                  <c:v>138.43593068861665</c:v>
                </c:pt>
                <c:pt idx="479">
                  <c:v>137.78103769180038</c:v>
                </c:pt>
                <c:pt idx="480">
                  <c:v>137.12295076025498</c:v>
                </c:pt>
                <c:pt idx="481">
                  <c:v>136.46167474969567</c:v>
                </c:pt>
                <c:pt idx="482">
                  <c:v>135.79721452663316</c:v>
                </c:pt>
                <c:pt idx="483">
                  <c:v>135.12957496832277</c:v>
                </c:pt>
                <c:pt idx="484">
                  <c:v>134.45876096271274</c:v>
                </c:pt>
                <c:pt idx="485">
                  <c:v>133.78477740839153</c:v>
                </c:pt>
                <c:pt idx="486">
                  <c:v>133.10762921453403</c:v>
                </c:pt>
                <c:pt idx="487">
                  <c:v>132.4273213008471</c:v>
                </c:pt>
                <c:pt idx="488">
                  <c:v>131.74385859751393</c:v>
                </c:pt>
                <c:pt idx="489">
                  <c:v>131.0572460451377</c:v>
                </c:pt>
                <c:pt idx="490">
                  <c:v>130.36748859468418</c:v>
                </c:pt>
                <c:pt idx="491">
                  <c:v>129.67459120742356</c:v>
                </c:pt>
                <c:pt idx="492">
                  <c:v>128.97855885487147</c:v>
                </c:pt>
                <c:pt idx="493">
                  <c:v>128.27939651872902</c:v>
                </c:pt>
                <c:pt idx="494">
                  <c:v>127.57710919082207</c:v>
                </c:pt>
                <c:pt idx="495">
                  <c:v>126.87170187303975</c:v>
                </c:pt>
                <c:pt idx="496">
                  <c:v>126.16317957727209</c:v>
                </c:pt>
                <c:pt idx="497">
                  <c:v>125.45154732534691</c:v>
                </c:pt>
                <c:pt idx="498">
                  <c:v>124.73681014896593</c:v>
                </c:pt>
                <c:pt idx="499">
                  <c:v>124.01897308964016</c:v>
                </c:pt>
                <c:pt idx="500">
                  <c:v>123.29804119862446</c:v>
                </c:pt>
                <c:pt idx="501">
                  <c:v>122.57401953685148</c:v>
                </c:pt>
                <c:pt idx="502">
                  <c:v>121.84691317486482</c:v>
                </c:pt>
                <c:pt idx="503">
                  <c:v>121.11672719275151</c:v>
                </c:pt>
                <c:pt idx="504">
                  <c:v>120.38346668007378</c:v>
                </c:pt>
                <c:pt idx="505">
                  <c:v>119.6471367358002</c:v>
                </c:pt>
                <c:pt idx="506">
                  <c:v>118.90774246823617</c:v>
                </c:pt>
                <c:pt idx="507">
                  <c:v>118.16528899495367</c:v>
                </c:pt>
                <c:pt idx="508">
                  <c:v>117.41978144272052</c:v>
                </c:pt>
                <c:pt idx="509">
                  <c:v>116.67122494742888</c:v>
                </c:pt>
                <c:pt idx="510">
                  <c:v>115.91962465402328</c:v>
                </c:pt>
                <c:pt idx="511">
                  <c:v>115.16498571642794</c:v>
                </c:pt>
                <c:pt idx="512">
                  <c:v>114.40731329747358</c:v>
                </c:pt>
                <c:pt idx="513">
                  <c:v>113.64661256882367</c:v>
                </c:pt>
                <c:pt idx="514">
                  <c:v>112.88288871090006</c:v>
                </c:pt>
                <c:pt idx="515">
                  <c:v>112.11614691280818</c:v>
                </c:pt>
                <c:pt idx="516">
                  <c:v>111.34639237226155</c:v>
                </c:pt>
                <c:pt idx="517">
                  <c:v>110.57363029550595</c:v>
                </c:pt>
                <c:pt idx="518">
                  <c:v>109.79786589724299</c:v>
                </c:pt>
                <c:pt idx="519">
                  <c:v>109.01910440055315</c:v>
                </c:pt>
                <c:pt idx="520">
                  <c:v>108.23735103681848</c:v>
                </c:pt>
                <c:pt idx="521">
                  <c:v>107.45261104564472</c:v>
                </c:pt>
                <c:pt idx="522">
                  <c:v>106.66488967478291</c:v>
                </c:pt>
                <c:pt idx="523">
                  <c:v>105.87419218005078</c:v>
                </c:pt>
                <c:pt idx="524">
                  <c:v>105.08052382525347</c:v>
                </c:pt>
                <c:pt idx="525">
                  <c:v>104.28388988210392</c:v>
                </c:pt>
                <c:pt idx="526">
                  <c:v>103.48429563014295</c:v>
                </c:pt>
                <c:pt idx="527">
                  <c:v>102.68174635665875</c:v>
                </c:pt>
                <c:pt idx="528">
                  <c:v>101.87624735660613</c:v>
                </c:pt>
                <c:pt idx="529">
                  <c:v>101.06780393252534</c:v>
                </c:pt>
                <c:pt idx="530">
                  <c:v>100.25642139446055</c:v>
                </c:pt>
                <c:pt idx="531">
                  <c:v>99.442105059877917</c:v>
                </c:pt>
                <c:pt idx="532">
                  <c:v>98.624860253583407</c:v>
                </c:pt>
                <c:pt idx="533">
                  <c:v>97.804692307640195</c:v>
                </c:pt>
                <c:pt idx="534">
                  <c:v>96.981606561285787</c:v>
                </c:pt>
                <c:pt idx="535">
                  <c:v>96.155608360848817</c:v>
                </c:pt>
                <c:pt idx="536">
                  <c:v>95.326703059665562</c:v>
                </c:pt>
                <c:pt idx="537">
                  <c:v>94.494896017996155</c:v>
                </c:pt>
                <c:pt idx="538">
                  <c:v>93.660192602940498</c:v>
                </c:pt>
                <c:pt idx="539">
                  <c:v>92.822598188353936</c:v>
                </c:pt>
                <c:pt idx="540">
                  <c:v>91.982118154762674</c:v>
                </c:pt>
                <c:pt idx="541">
                  <c:v>91.138757889278892</c:v>
                </c:pt>
                <c:pt idx="542">
                  <c:v>90.2925227855157</c:v>
                </c:pt>
                <c:pt idx="543">
                  <c:v>89.443418243501796</c:v>
                </c:pt>
                <c:pt idx="544">
                  <c:v>88.591449669595903</c:v>
                </c:pt>
                <c:pt idx="545">
                  <c:v>87.736622476401067</c:v>
                </c:pt>
                <c:pt idx="546">
                  <c:v>86.878942082678662</c:v>
                </c:pt>
                <c:pt idx="547">
                  <c:v>86.018413913262279</c:v>
                </c:pt>
                <c:pt idx="548">
                  <c:v>85.15504339897133</c:v>
                </c:pt>
                <c:pt idx="549">
                  <c:v>84.288835976524624</c:v>
                </c:pt>
                <c:pt idx="550">
                  <c:v>83.419797088453635</c:v>
                </c:pt>
                <c:pt idx="551">
                  <c:v>82.547932183015689</c:v>
                </c:pt>
                <c:pt idx="552">
                  <c:v>81.673246714107009</c:v>
                </c:pt>
                <c:pt idx="553">
                  <c:v>80.79574614117557</c:v>
                </c:pt>
                <c:pt idx="554">
                  <c:v>79.915435929133864</c:v>
                </c:pt>
                <c:pt idx="555">
                  <c:v>79.032321548271526</c:v>
                </c:pt>
                <c:pt idx="556">
                  <c:v>78.146408474167856</c:v>
                </c:pt>
                <c:pt idx="557">
                  <c:v>77.257702187604238</c:v>
                </c:pt>
                <c:pt idx="558">
                  <c:v>76.366208174476427</c:v>
                </c:pt>
                <c:pt idx="559">
                  <c:v>75.471931925706798</c:v>
                </c:pt>
                <c:pt idx="560">
                  <c:v>74.574878937156484</c:v>
                </c:pt>
                <c:pt idx="561">
                  <c:v>73.675054709537449</c:v>
                </c:pt>
                <c:pt idx="562">
                  <c:v>72.772464748324481</c:v>
                </c:pt>
                <c:pt idx="563">
                  <c:v>71.867114563667144</c:v>
                </c:pt>
                <c:pt idx="564">
                  <c:v>70.959009670301683</c:v>
                </c:pt>
                <c:pt idx="565">
                  <c:v>70.048155587462887</c:v>
                </c:pt>
                <c:pt idx="566">
                  <c:v>69.134557838795871</c:v>
                </c:pt>
                <c:pt idx="567">
                  <c:v>68.218221952267925</c:v>
                </c:pt>
                <c:pt idx="568">
                  <c:v>67.299153460080248</c:v>
                </c:pt>
                <c:pt idx="569">
                  <c:v>66.377357898579731</c:v>
                </c:pt>
                <c:pt idx="570">
                  <c:v>65.452840808170691</c:v>
                </c:pt>
                <c:pt idx="571">
                  <c:v>64.525607733226636</c:v>
                </c:pt>
                <c:pt idx="572">
                  <c:v>63.59566422200205</c:v>
                </c:pt>
                <c:pt idx="573">
                  <c:v>62.663015826544154</c:v>
                </c:pt>
                <c:pt idx="574">
                  <c:v>61.72766810260471</c:v>
                </c:pt>
                <c:pt idx="575">
                  <c:v>60.789626609551867</c:v>
                </c:pt>
                <c:pt idx="576">
                  <c:v>59.848896910282022</c:v>
                </c:pt>
                <c:pt idx="577">
                  <c:v>58.905484571131723</c:v>
                </c:pt>
                <c:pt idx="578">
                  <c:v>57.959395161789651</c:v>
                </c:pt>
                <c:pt idx="579">
                  <c:v>57.010634255208608</c:v>
                </c:pt>
                <c:pt idx="580">
                  <c:v>56.059207427517606</c:v>
                </c:pt>
                <c:pt idx="581">
                  <c:v>55.105120257934026</c:v>
                </c:pt>
                <c:pt idx="582">
                  <c:v>54.148378328675818</c:v>
                </c:pt>
                <c:pt idx="583">
                  <c:v>53.188987224873799</c:v>
                </c:pt>
                <c:pt idx="584">
                  <c:v>52.226952534484056</c:v>
                </c:pt>
                <c:pt idx="585">
                  <c:v>51.262279848200414</c:v>
                </c:pt>
                <c:pt idx="586">
                  <c:v>50.294974759367001</c:v>
                </c:pt>
                <c:pt idx="587">
                  <c:v>49.32504286389095</c:v>
                </c:pt>
                <c:pt idx="588">
                  <c:v>48.352489760155166</c:v>
                </c:pt>
                <c:pt idx="589">
                  <c:v>47.377321048931243</c:v>
                </c:pt>
                <c:pt idx="590">
                  <c:v>46.399542333292487</c:v>
                </c:pt>
                <c:pt idx="591">
                  <c:v>45.419159218527078</c:v>
                </c:pt>
                <c:pt idx="592">
                  <c:v>44.436177312051328</c:v>
                </c:pt>
                <c:pt idx="593">
                  <c:v>43.450602223323123</c:v>
                </c:pt>
                <c:pt idx="594">
                  <c:v>42.462439563755481</c:v>
                </c:pt>
                <c:pt idx="595">
                  <c:v>41.471694946630265</c:v>
                </c:pt>
                <c:pt idx="596">
                  <c:v>40.478373987012034</c:v>
                </c:pt>
                <c:pt idx="597">
                  <c:v>39.482482301662081</c:v>
                </c:pt>
                <c:pt idx="598">
                  <c:v>38.484025508952605</c:v>
                </c:pt>
                <c:pt idx="599">
                  <c:v>37.483009228781079</c:v>
                </c:pt>
                <c:pt idx="600">
                  <c:v>36.479439082484745</c:v>
                </c:pt>
                <c:pt idx="601">
                  <c:v>35.473320692755351</c:v>
                </c:pt>
                <c:pt idx="602">
                  <c:v>34.464659683554004</c:v>
                </c:pt>
                <c:pt idx="603">
                  <c:v>33.453461680026265</c:v>
                </c:pt>
                <c:pt idx="604">
                  <c:v>32.439732308417398</c:v>
                </c:pt>
                <c:pt idx="605">
                  <c:v>31.423477195987832</c:v>
                </c:pt>
                <c:pt idx="606">
                  <c:v>30.404701970928819</c:v>
                </c:pt>
                <c:pt idx="607">
                  <c:v>29.383412262278298</c:v>
                </c:pt>
                <c:pt idx="608">
                  <c:v>28.35961369983697</c:v>
                </c:pt>
                <c:pt idx="609">
                  <c:v>27.333311914084575</c:v>
                </c:pt>
                <c:pt idx="610">
                  <c:v>26.304512536096407</c:v>
                </c:pt>
                <c:pt idx="611">
                  <c:v>25.273221197460028</c:v>
                </c:pt>
                <c:pt idx="612">
                  <c:v>24.239443530192226</c:v>
                </c:pt>
                <c:pt idx="613">
                  <c:v>23.203185166656191</c:v>
                </c:pt>
                <c:pt idx="614">
                  <c:v>22.164451739478931</c:v>
                </c:pt>
                <c:pt idx="615">
                  <c:v>21.123248881468928</c:v>
                </c:pt>
                <c:pt idx="616">
                  <c:v>20.079582225534025</c:v>
                </c:pt>
                <c:pt idx="617">
                  <c:v>19.033457404599563</c:v>
                </c:pt>
                <c:pt idx="618">
                  <c:v>17.984880051526769</c:v>
                </c:pt>
                <c:pt idx="619">
                  <c:v>16.933855799031402</c:v>
                </c:pt>
                <c:pt idx="620">
                  <c:v>15.88039027960264</c:v>
                </c:pt>
                <c:pt idx="621">
                  <c:v>14.82448912542224</c:v>
                </c:pt>
                <c:pt idx="622">
                  <c:v>13.766157968283952</c:v>
                </c:pt>
                <c:pt idx="623">
                  <c:v>12.705402439513209</c:v>
                </c:pt>
                <c:pt idx="624">
                  <c:v>11.642228169887074</c:v>
                </c:pt>
                <c:pt idx="625">
                  <c:v>10.576640789554475</c:v>
                </c:pt>
                <c:pt idx="626">
                  <c:v>9.5086459279566977</c:v>
                </c:pt>
                <c:pt idx="627">
                  <c:v>8.4382492137481826</c:v>
                </c:pt>
                <c:pt idx="628">
                  <c:v>7.3654562747175776</c:v>
                </c:pt>
                <c:pt idx="629">
                  <c:v>6.2902727377090972</c:v>
                </c:pt>
                <c:pt idx="630">
                  <c:v>5.2127042285441592</c:v>
                </c:pt>
                <c:pt idx="631">
                  <c:v>4.1327563719433158</c:v>
                </c:pt>
                <c:pt idx="632">
                  <c:v>3.0504347914484802</c:v>
                </c:pt>
                <c:pt idx="633">
                  <c:v>1.9657451093454494</c:v>
                </c:pt>
                <c:pt idx="634">
                  <c:v>0.87869294658672792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0-4E42-A569-C9F14ADA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 Iterative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5"/>
                <c:pt idx="0">
                  <c:v>0</c:v>
                </c:pt>
                <c:pt idx="1">
                  <c:v>1.2553233121455167</c:v>
                </c:pt>
                <c:pt idx="2">
                  <c:v>2.5077577605083121</c:v>
                </c:pt>
                <c:pt idx="3">
                  <c:v>3.7573210609462024</c:v>
                </c:pt>
                <c:pt idx="4">
                  <c:v>5.0040307822261392</c:v>
                </c:pt>
                <c:pt idx="5">
                  <c:v>6.2479043476235363</c:v>
                </c:pt>
                <c:pt idx="6">
                  <c:v>7.4889590364993008</c:v>
                </c:pt>
                <c:pt idx="7">
                  <c:v>8.7272119858549306</c:v>
                </c:pt>
                <c:pt idx="8">
                  <c:v>9.9626801918660419</c:v>
                </c:pt>
                <c:pt idx="9">
                  <c:v>11.195380511394665</c:v>
                </c:pt>
                <c:pt idx="10">
                  <c:v>12.425329663480671</c:v>
                </c:pt>
                <c:pt idx="11">
                  <c:v>13.652544230812637</c:v>
                </c:pt>
                <c:pt idx="12">
                  <c:v>14.877040661178512</c:v>
                </c:pt>
                <c:pt idx="13">
                  <c:v>16.098835268896387</c:v>
                </c:pt>
                <c:pt idx="14">
                  <c:v>17.317944236225692</c:v>
                </c:pt>
                <c:pt idx="15">
                  <c:v>18.534383614759133</c:v>
                </c:pt>
                <c:pt idx="16">
                  <c:v>19.748169326795679</c:v>
                </c:pt>
                <c:pt idx="17">
                  <c:v>20.959317166694895</c:v>
                </c:pt>
                <c:pt idx="18">
                  <c:v>22.167842802212903</c:v>
                </c:pt>
                <c:pt idx="19">
                  <c:v>23.373761775820295</c:v>
                </c:pt>
                <c:pt idx="20">
                  <c:v>24.577089506002245</c:v>
                </c:pt>
                <c:pt idx="21">
                  <c:v>25.777841288541119</c:v>
                </c:pt>
                <c:pt idx="22">
                  <c:v>26.976032297781838</c:v>
                </c:pt>
                <c:pt idx="23">
                  <c:v>28.171677587880303</c:v>
                </c:pt>
                <c:pt idx="24">
                  <c:v>29.364792094035096</c:v>
                </c:pt>
                <c:pt idx="25">
                  <c:v>30.555390633702729</c:v>
                </c:pt>
                <c:pt idx="26">
                  <c:v>31.743487907796734</c:v>
                </c:pt>
                <c:pt idx="27">
                  <c:v>32.929098501870783</c:v>
                </c:pt>
                <c:pt idx="28">
                  <c:v>34.112236887286123</c:v>
                </c:pt>
                <c:pt idx="29">
                  <c:v>35.292917422363551</c:v>
                </c:pt>
                <c:pt idx="30">
                  <c:v>36.471154353520191</c:v>
                </c:pt>
                <c:pt idx="31">
                  <c:v>37.646961816391226</c:v>
                </c:pt>
                <c:pt idx="32">
                  <c:v>38.820353836936938</c:v>
                </c:pt>
                <c:pt idx="33">
                  <c:v>39.991344332535149</c:v>
                </c:pt>
                <c:pt idx="34">
                  <c:v>41.159947113059388</c:v>
                </c:pt>
                <c:pt idx="35">
                  <c:v>42.326175881942916</c:v>
                </c:pt>
                <c:pt idx="36">
                  <c:v>43.490044237228894</c:v>
                </c:pt>
                <c:pt idx="37">
                  <c:v>44.651565672606829</c:v>
                </c:pt>
                <c:pt idx="38">
                  <c:v>45.810753578435559</c:v>
                </c:pt>
                <c:pt idx="39">
                  <c:v>46.967621242752976</c:v>
                </c:pt>
                <c:pt idx="40">
                  <c:v>48.122181852272611</c:v>
                </c:pt>
                <c:pt idx="41">
                  <c:v>49.27444849336738</c:v>
                </c:pt>
                <c:pt idx="42">
                  <c:v>50.4244341530406</c:v>
                </c:pt>
                <c:pt idx="43">
                  <c:v>51.572151719884502</c:v>
                </c:pt>
                <c:pt idx="44">
                  <c:v>52.717613985026389</c:v>
                </c:pt>
                <c:pt idx="45">
                  <c:v>53.860833643062691</c:v>
                </c:pt>
                <c:pt idx="46">
                  <c:v>55.001823292980987</c:v>
                </c:pt>
                <c:pt idx="47">
                  <c:v>56.140595439070268</c:v>
                </c:pt>
                <c:pt idx="48">
                  <c:v>57.277162491819546</c:v>
                </c:pt>
                <c:pt idx="49">
                  <c:v>58.411536768805014</c:v>
                </c:pt>
                <c:pt idx="50">
                  <c:v>59.543730495565896</c:v>
                </c:pt>
                <c:pt idx="51">
                  <c:v>60.673755806469174</c:v>
                </c:pt>
                <c:pt idx="52">
                  <c:v>61.801624745563323</c:v>
                </c:pt>
                <c:pt idx="53">
                  <c:v>62.927349267421242</c:v>
                </c:pt>
                <c:pt idx="54">
                  <c:v>64.050941237972509</c:v>
                </c:pt>
                <c:pt idx="55">
                  <c:v>65.172412435325114</c:v>
                </c:pt>
                <c:pt idx="56">
                  <c:v>66.291774550576847</c:v>
                </c:pt>
                <c:pt idx="57">
                  <c:v>67.409039188616433</c:v>
                </c:pt>
                <c:pt idx="58">
                  <c:v>68.524217868914633</c:v>
                </c:pt>
                <c:pt idx="59">
                  <c:v>69.637322026305355</c:v>
                </c:pt>
                <c:pt idx="60">
                  <c:v>70.748363011757036</c:v>
                </c:pt>
                <c:pt idx="61">
                  <c:v>71.857352093134296</c:v>
                </c:pt>
                <c:pt idx="62">
                  <c:v>72.964300455950081</c:v>
                </c:pt>
                <c:pt idx="63">
                  <c:v>74.069219204108478</c:v>
                </c:pt>
                <c:pt idx="64">
                  <c:v>75.172119360638149</c:v>
                </c:pt>
                <c:pt idx="65">
                  <c:v>76.273011868416731</c:v>
                </c:pt>
                <c:pt idx="66">
                  <c:v>77.371907590886167</c:v>
                </c:pt>
                <c:pt idx="67">
                  <c:v>78.468817312759171</c:v>
                </c:pt>
                <c:pt idx="68">
                  <c:v>79.563751740716896</c:v>
                </c:pt>
                <c:pt idx="69">
                  <c:v>80.656721504098002</c:v>
                </c:pt>
                <c:pt idx="70">
                  <c:v>81.747737155579159</c:v>
                </c:pt>
                <c:pt idx="71">
                  <c:v>82.836809171847122</c:v>
                </c:pt>
                <c:pt idx="72">
                  <c:v>83.923947954262545</c:v>
                </c:pt>
                <c:pt idx="73">
                  <c:v>85.009163829515586</c:v>
                </c:pt>
                <c:pt idx="74">
                  <c:v>86.092467050273399</c:v>
                </c:pt>
                <c:pt idx="75">
                  <c:v>87.173867795819703</c:v>
                </c:pt>
                <c:pt idx="76">
                  <c:v>88.253376172686458</c:v>
                </c:pt>
                <c:pt idx="77">
                  <c:v>89.331002215277792</c:v>
                </c:pt>
                <c:pt idx="78">
                  <c:v>90.406755886486224</c:v>
                </c:pt>
                <c:pt idx="79">
                  <c:v>91.480647078301416</c:v>
                </c:pt>
                <c:pt idx="80">
                  <c:v>92.552685612411381</c:v>
                </c:pt>
                <c:pt idx="81">
                  <c:v>93.622881240796346</c:v>
                </c:pt>
                <c:pt idx="82">
                  <c:v>94.691243646315428</c:v>
                </c:pt>
                <c:pt idx="83">
                  <c:v>95.757782443286033</c:v>
                </c:pt>
                <c:pt idx="84">
                  <c:v>96.822507178056227</c:v>
                </c:pt>
                <c:pt idx="85">
                  <c:v>97.885427329570149</c:v>
                </c:pt>
                <c:pt idx="86">
                  <c:v>98.946552309926474</c:v>
                </c:pt>
                <c:pt idx="87">
                  <c:v>100.00589146493013</c:v>
                </c:pt>
                <c:pt idx="88">
                  <c:v>101.06345407463725</c:v>
                </c:pt>
                <c:pt idx="89">
                  <c:v>102.11924935389352</c:v>
                </c:pt>
                <c:pt idx="90">
                  <c:v>103.17328645286595</c:v>
                </c:pt>
                <c:pt idx="91">
                  <c:v>104.22557445756823</c:v>
                </c:pt>
                <c:pt idx="92">
                  <c:v>105.27612239037967</c:v>
                </c:pt>
                <c:pt idx="93">
                  <c:v>106.32493921055784</c:v>
                </c:pt>
                <c:pt idx="94">
                  <c:v>107.37203381474504</c:v>
                </c:pt>
                <c:pt idx="95">
                  <c:v>108.41741503746852</c:v>
                </c:pt>
                <c:pt idx="96">
                  <c:v>109.46109165163475</c:v>
                </c:pt>
                <c:pt idx="97">
                  <c:v>110.50307236901767</c:v>
                </c:pt>
                <c:pt idx="98">
                  <c:v>111.54336584074099</c:v>
                </c:pt>
                <c:pt idx="99">
                  <c:v>112.58198065775467</c:v>
                </c:pt>
                <c:pt idx="100">
                  <c:v>113.61892535130566</c:v>
                </c:pt>
                <c:pt idx="101">
                  <c:v>114.65420839340291</c:v>
                </c:pt>
                <c:pt idx="102">
                  <c:v>115.68783819727678</c:v>
                </c:pt>
                <c:pt idx="103">
                  <c:v>116.71982311783287</c:v>
                </c:pt>
                <c:pt idx="104">
                  <c:v>117.75017145210042</c:v>
                </c:pt>
                <c:pt idx="105">
                  <c:v>118.77889143967518</c:v>
                </c:pt>
                <c:pt idx="106">
                  <c:v>119.80599126315707</c:v>
                </c:pt>
                <c:pt idx="107">
                  <c:v>120.83147904858244</c:v>
                </c:pt>
                <c:pt idx="108">
                  <c:v>121.85536286585118</c:v>
                </c:pt>
                <c:pt idx="109">
                  <c:v>122.87765072914858</c:v>
                </c:pt>
                <c:pt idx="110">
                  <c:v>123.89835059736227</c:v>
                </c:pt>
                <c:pt idx="111">
                  <c:v>124.91747037449387</c:v>
                </c:pt>
                <c:pt idx="112">
                  <c:v>125.93501791006592</c:v>
                </c:pt>
                <c:pt idx="113">
                  <c:v>126.95100099952373</c:v>
                </c:pt>
                <c:pt idx="114">
                  <c:v>127.96542738463243</c:v>
                </c:pt>
                <c:pt idx="115">
                  <c:v>128.97830475386925</c:v>
                </c:pt>
                <c:pt idx="116">
                  <c:v>129.98964074281105</c:v>
                </c:pt>
                <c:pt idx="117">
                  <c:v>130.99944293451705</c:v>
                </c:pt>
                <c:pt idx="118">
                  <c:v>132.00771885990719</c:v>
                </c:pt>
                <c:pt idx="119">
                  <c:v>133.01447599813565</c:v>
                </c:pt>
                <c:pt idx="120">
                  <c:v>134.01972177696007</c:v>
                </c:pt>
                <c:pt idx="121">
                  <c:v>135.02346357310608</c:v>
                </c:pt>
                <c:pt idx="122">
                  <c:v>136.02570871262768</c:v>
                </c:pt>
                <c:pt idx="123">
                  <c:v>137.02646447126301</c:v>
                </c:pt>
                <c:pt idx="124">
                  <c:v>138.02573807478606</c:v>
                </c:pt>
                <c:pt idx="125">
                  <c:v>139.02353669935394</c:v>
                </c:pt>
                <c:pt idx="126">
                  <c:v>140.01986747184995</c:v>
                </c:pt>
                <c:pt idx="127">
                  <c:v>141.01473747022266</c:v>
                </c:pt>
                <c:pt idx="128">
                  <c:v>142.00815372382067</c:v>
                </c:pt>
                <c:pt idx="129">
                  <c:v>143.0001232137235</c:v>
                </c:pt>
                <c:pt idx="130">
                  <c:v>143.99065287306831</c:v>
                </c:pt>
                <c:pt idx="131">
                  <c:v>144.97974958737279</c:v>
                </c:pt>
                <c:pt idx="132">
                  <c:v>145.96742019485404</c:v>
                </c:pt>
                <c:pt idx="133">
                  <c:v>146.95367148674356</c:v>
                </c:pt>
                <c:pt idx="134">
                  <c:v>147.93851020759854</c:v>
                </c:pt>
                <c:pt idx="135">
                  <c:v>148.92194305560929</c:v>
                </c:pt>
                <c:pt idx="136">
                  <c:v>149.90397668290288</c:v>
                </c:pt>
                <c:pt idx="137">
                  <c:v>150.88461769584313</c:v>
                </c:pt>
                <c:pt idx="138">
                  <c:v>151.86387265532701</c:v>
                </c:pt>
                <c:pt idx="139">
                  <c:v>152.84174807707737</c:v>
                </c:pt>
                <c:pt idx="140">
                  <c:v>153.81825043193206</c:v>
                </c:pt>
                <c:pt idx="141">
                  <c:v>154.79338614612959</c:v>
                </c:pt>
                <c:pt idx="142">
                  <c:v>155.7671616015914</c:v>
                </c:pt>
                <c:pt idx="143">
                  <c:v>156.73958313620037</c:v>
                </c:pt>
                <c:pt idx="144">
                  <c:v>157.7106570440763</c:v>
                </c:pt>
                <c:pt idx="145">
                  <c:v>158.68038957584784</c:v>
                </c:pt>
                <c:pt idx="146">
                  <c:v>159.64878693892103</c:v>
                </c:pt>
                <c:pt idx="147">
                  <c:v>160.61585529774476</c:v>
                </c:pt>
                <c:pt idx="148">
                  <c:v>161.58160077407274</c:v>
                </c:pt>
                <c:pt idx="149">
                  <c:v>162.54602944722248</c:v>
                </c:pt>
                <c:pt idx="150">
                  <c:v>163.50914735433096</c:v>
                </c:pt>
                <c:pt idx="151">
                  <c:v>164.47096049060721</c:v>
                </c:pt>
                <c:pt idx="152">
                  <c:v>165.43147480958183</c:v>
                </c:pt>
                <c:pt idx="153">
                  <c:v>166.39069622335336</c:v>
                </c:pt>
                <c:pt idx="154">
                  <c:v>167.34863060283172</c:v>
                </c:pt>
                <c:pt idx="155">
                  <c:v>168.30528377797859</c:v>
                </c:pt>
                <c:pt idx="156">
                  <c:v>169.2606615380449</c:v>
                </c:pt>
                <c:pt idx="157">
                  <c:v>170.21476963180532</c:v>
                </c:pt>
                <c:pt idx="158">
                  <c:v>171.16761376778996</c:v>
                </c:pt>
                <c:pt idx="159">
                  <c:v>172.11919961451315</c:v>
                </c:pt>
                <c:pt idx="160">
                  <c:v>173.06953280069945</c:v>
                </c:pt>
                <c:pt idx="161">
                  <c:v>174.01861891550686</c:v>
                </c:pt>
                <c:pt idx="162">
                  <c:v>174.9664635087473</c:v>
                </c:pt>
                <c:pt idx="163">
                  <c:v>175.91307209110428</c:v>
                </c:pt>
                <c:pt idx="164">
                  <c:v>176.85845013434812</c:v>
                </c:pt>
                <c:pt idx="165">
                  <c:v>177.80260307154822</c:v>
                </c:pt>
                <c:pt idx="166">
                  <c:v>178.745536297283</c:v>
                </c:pt>
                <c:pt idx="167">
                  <c:v>179.68725516784701</c:v>
                </c:pt>
                <c:pt idx="168">
                  <c:v>180.62776500145571</c:v>
                </c:pt>
                <c:pt idx="169">
                  <c:v>181.56707107844761</c:v>
                </c:pt>
                <c:pt idx="170">
                  <c:v>182.50517864148384</c:v>
                </c:pt>
                <c:pt idx="171">
                  <c:v>183.4420928957455</c:v>
                </c:pt>
                <c:pt idx="172">
                  <c:v>184.37781900912842</c:v>
                </c:pt>
                <c:pt idx="173">
                  <c:v>185.31236211243549</c:v>
                </c:pt>
                <c:pt idx="174">
                  <c:v>186.24572729956677</c:v>
                </c:pt>
                <c:pt idx="175">
                  <c:v>187.17791962770718</c:v>
                </c:pt>
                <c:pt idx="176">
                  <c:v>188.1089441175119</c:v>
                </c:pt>
                <c:pt idx="177">
                  <c:v>189.03880575328947</c:v>
                </c:pt>
                <c:pt idx="178">
                  <c:v>189.96750948318274</c:v>
                </c:pt>
                <c:pt idx="179">
                  <c:v>190.89506021934756</c:v>
                </c:pt>
                <c:pt idx="180">
                  <c:v>191.82146283812921</c:v>
                </c:pt>
                <c:pt idx="181">
                  <c:v>192.74672218023682</c:v>
                </c:pt>
                <c:pt idx="182">
                  <c:v>193.67084305091552</c:v>
                </c:pt>
                <c:pt idx="183">
                  <c:v>194.59383022011673</c:v>
                </c:pt>
                <c:pt idx="184">
                  <c:v>195.51568842266602</c:v>
                </c:pt>
                <c:pt idx="185">
                  <c:v>196.43642235842935</c:v>
                </c:pt>
                <c:pt idx="186">
                  <c:v>197.35603669247698</c:v>
                </c:pt>
                <c:pt idx="187">
                  <c:v>198.27453605524556</c:v>
                </c:pt>
                <c:pt idx="188">
                  <c:v>199.19192504269827</c:v>
                </c:pt>
                <c:pt idx="189">
                  <c:v>200.10820821648298</c:v>
                </c:pt>
                <c:pt idx="190">
                  <c:v>201.02339010408855</c:v>
                </c:pt>
                <c:pt idx="191">
                  <c:v>201.93747519899929</c:v>
                </c:pt>
                <c:pt idx="192">
                  <c:v>202.85046796084762</c:v>
                </c:pt>
                <c:pt idx="193">
                  <c:v>203.76237281556473</c:v>
                </c:pt>
                <c:pt idx="194">
                  <c:v>204.67319415552976</c:v>
                </c:pt>
                <c:pt idx="195">
                  <c:v>205.58293633971698</c:v>
                </c:pt>
                <c:pt idx="196">
                  <c:v>206.4916036938414</c:v>
                </c:pt>
                <c:pt idx="197">
                  <c:v>207.39920051050257</c:v>
                </c:pt>
                <c:pt idx="198">
                  <c:v>208.30573104932688</c:v>
                </c:pt>
                <c:pt idx="199">
                  <c:v>209.21119953710809</c:v>
                </c:pt>
                <c:pt idx="200">
                  <c:v>210.11561016794619</c:v>
                </c:pt>
                <c:pt idx="201">
                  <c:v>211.01896710338488</c:v>
                </c:pt>
                <c:pt idx="202">
                  <c:v>211.9212744725474</c:v>
                </c:pt>
                <c:pt idx="203">
                  <c:v>212.82253637227075</c:v>
                </c:pt>
                <c:pt idx="204">
                  <c:v>213.72275686723856</c:v>
                </c:pt>
                <c:pt idx="205">
                  <c:v>214.62193999011237</c:v>
                </c:pt>
                <c:pt idx="206">
                  <c:v>215.52008974166148</c:v>
                </c:pt>
                <c:pt idx="207">
                  <c:v>216.41721009089156</c:v>
                </c:pt>
                <c:pt idx="208">
                  <c:v>217.31330497517155</c:v>
                </c:pt>
                <c:pt idx="209">
                  <c:v>218.20837830035953</c:v>
                </c:pt>
                <c:pt idx="210">
                  <c:v>219.102433940927</c:v>
                </c:pt>
                <c:pt idx="211">
                  <c:v>219.99547574008207</c:v>
                </c:pt>
                <c:pt idx="212">
                  <c:v>220.88750750989112</c:v>
                </c:pt>
                <c:pt idx="213">
                  <c:v>221.77853303139949</c:v>
                </c:pt>
                <c:pt idx="214">
                  <c:v>222.6685560547507</c:v>
                </c:pt>
                <c:pt idx="215">
                  <c:v>223.55758029930468</c:v>
                </c:pt>
                <c:pt idx="216">
                  <c:v>224.44560945375463</c:v>
                </c:pt>
                <c:pt idx="217">
                  <c:v>225.33264717624292</c:v>
                </c:pt>
                <c:pt idx="218">
                  <c:v>226.21869709447577</c:v>
                </c:pt>
                <c:pt idx="219">
                  <c:v>227.10376280583682</c:v>
                </c:pt>
                <c:pt idx="220">
                  <c:v>227.98784787749975</c:v>
                </c:pt>
                <c:pt idx="221">
                  <c:v>228.87095584653974</c:v>
                </c:pt>
                <c:pt idx="222">
                  <c:v>229.75309022004404</c:v>
                </c:pt>
                <c:pt idx="223">
                  <c:v>230.63425447522147</c:v>
                </c:pt>
                <c:pt idx="224">
                  <c:v>231.51445205951097</c:v>
                </c:pt>
                <c:pt idx="225">
                  <c:v>232.39368639068937</c:v>
                </c:pt>
                <c:pt idx="226">
                  <c:v>233.27196085697796</c:v>
                </c:pt>
                <c:pt idx="227">
                  <c:v>234.14927881714851</c:v>
                </c:pt>
                <c:pt idx="228">
                  <c:v>235.02564360062831</c:v>
                </c:pt>
                <c:pt idx="229">
                  <c:v>235.90105850760429</c:v>
                </c:pt>
                <c:pt idx="230">
                  <c:v>236.77552680912652</c:v>
                </c:pt>
                <c:pt idx="231">
                  <c:v>237.64905174721085</c:v>
                </c:pt>
                <c:pt idx="232">
                  <c:v>238.52163653494082</c:v>
                </c:pt>
                <c:pt idx="233">
                  <c:v>239.3932843565689</c:v>
                </c:pt>
                <c:pt idx="234">
                  <c:v>240.26399836761695</c:v>
                </c:pt>
                <c:pt idx="235">
                  <c:v>241.13378169497614</c:v>
                </c:pt>
                <c:pt idx="236">
                  <c:v>242.00263743700614</c:v>
                </c:pt>
                <c:pt idx="237">
                  <c:v>242.87056866363378</c:v>
                </c:pt>
                <c:pt idx="238">
                  <c:v>243.73757841645107</c:v>
                </c:pt>
                <c:pt idx="239">
                  <c:v>244.6036697088127</c:v>
                </c:pt>
                <c:pt idx="240">
                  <c:v>245.46884552593298</c:v>
                </c:pt>
                <c:pt idx="241">
                  <c:v>246.33310882498228</c:v>
                </c:pt>
                <c:pt idx="242">
                  <c:v>247.19646253518306</c:v>
                </c:pt>
                <c:pt idx="243">
                  <c:v>248.05890955790537</c:v>
                </c:pt>
                <c:pt idx="244">
                  <c:v>248.92045276676197</c:v>
                </c:pt>
                <c:pt idx="245">
                  <c:v>249.78109500770302</c:v>
                </c:pt>
                <c:pt idx="246">
                  <c:v>250.64083909911039</c:v>
                </c:pt>
                <c:pt idx="247">
                  <c:v>251.49968783189172</c:v>
                </c:pt>
                <c:pt idx="248">
                  <c:v>252.35764396957399</c:v>
                </c:pt>
                <c:pt idx="249">
                  <c:v>253.21471024839693</c:v>
                </c:pt>
                <c:pt idx="250">
                  <c:v>254.0708893774061</c:v>
                </c:pt>
                <c:pt idx="251">
                  <c:v>254.92618403854573</c:v>
                </c:pt>
                <c:pt idx="252">
                  <c:v>255.78059688675128</c:v>
                </c:pt>
                <c:pt idx="253">
                  <c:v>256.63413055004196</c:v>
                </c:pt>
                <c:pt idx="254">
                  <c:v>257.48678762961293</c:v>
                </c:pt>
                <c:pt idx="255">
                  <c:v>258.33857069992729</c:v>
                </c:pt>
                <c:pt idx="256">
                  <c:v>259.18948230880818</c:v>
                </c:pt>
                <c:pt idx="257">
                  <c:v>260.03952497753062</c:v>
                </c:pt>
                <c:pt idx="258">
                  <c:v>260.8887012009132</c:v>
                </c:pt>
                <c:pt idx="259">
                  <c:v>261.73701344740988</c:v>
                </c:pt>
                <c:pt idx="260">
                  <c:v>262.58446415920162</c:v>
                </c:pt>
                <c:pt idx="261">
                  <c:v>263.43105575228805</c:v>
                </c:pt>
                <c:pt idx="262">
                  <c:v>264.27679061657932</c:v>
                </c:pt>
                <c:pt idx="263">
                  <c:v>265.12167111598762</c:v>
                </c:pt>
                <c:pt idx="264">
                  <c:v>265.96569958851904</c:v>
                </c:pt>
                <c:pt idx="265">
                  <c:v>266.80887834636547</c:v>
                </c:pt>
                <c:pt idx="266">
                  <c:v>267.65120967599648</c:v>
                </c:pt>
                <c:pt idx="267">
                  <c:v>268.49269583825145</c:v>
                </c:pt>
                <c:pt idx="268">
                  <c:v>269.33333906843183</c:v>
                </c:pt>
                <c:pt idx="269">
                  <c:v>270.17314157639345</c:v>
                </c:pt>
                <c:pt idx="270">
                  <c:v>271.01210554663913</c:v>
                </c:pt>
                <c:pt idx="271">
                  <c:v>271.8502331384114</c:v>
                </c:pt>
                <c:pt idx="272">
                  <c:v>272.68752648578561</c:v>
                </c:pt>
                <c:pt idx="273">
                  <c:v>273.52398769776312</c:v>
                </c:pt>
                <c:pt idx="274">
                  <c:v>274.35961885836474</c:v>
                </c:pt>
                <c:pt idx="275">
                  <c:v>275.19442202672462</c:v>
                </c:pt>
                <c:pt idx="276">
                  <c:v>276.02839923718426</c:v>
                </c:pt>
                <c:pt idx="277">
                  <c:v>276.86155249938696</c:v>
                </c:pt>
                <c:pt idx="278">
                  <c:v>277.6938837983725</c:v>
                </c:pt>
                <c:pt idx="279">
                  <c:v>278.52539509467238</c:v>
                </c:pt>
                <c:pt idx="280">
                  <c:v>279.35608832440505</c:v>
                </c:pt>
                <c:pt idx="281">
                  <c:v>280.18596539937204</c:v>
                </c:pt>
                <c:pt idx="282">
                  <c:v>281.01502820715393</c:v>
                </c:pt>
                <c:pt idx="283">
                  <c:v>281.84327861120732</c:v>
                </c:pt>
                <c:pt idx="284">
                  <c:v>282.67071845096166</c:v>
                </c:pt>
                <c:pt idx="285">
                  <c:v>283.49734954191695</c:v>
                </c:pt>
                <c:pt idx="286">
                  <c:v>284.32317367574183</c:v>
                </c:pt>
                <c:pt idx="287">
                  <c:v>285.1481926203719</c:v>
                </c:pt>
                <c:pt idx="288">
                  <c:v>285.97240812010887</c:v>
                </c:pt>
                <c:pt idx="289">
                  <c:v>286.79582189572</c:v>
                </c:pt>
                <c:pt idx="290">
                  <c:v>287.61843564453807</c:v>
                </c:pt>
                <c:pt idx="291">
                  <c:v>288.44025104056209</c:v>
                </c:pt>
                <c:pt idx="292">
                  <c:v>289.26126973455808</c:v>
                </c:pt>
                <c:pt idx="293">
                  <c:v>290.08149335416113</c:v>
                </c:pt>
                <c:pt idx="294">
                  <c:v>290.9009235039772</c:v>
                </c:pt>
                <c:pt idx="295">
                  <c:v>291.71956176568614</c:v>
                </c:pt>
                <c:pt idx="296">
                  <c:v>292.53740969814504</c:v>
                </c:pt>
                <c:pt idx="297">
                  <c:v>293.35446883749211</c:v>
                </c:pt>
                <c:pt idx="298">
                  <c:v>294.17074069725129</c:v>
                </c:pt>
                <c:pt idx="299">
                  <c:v>294.98622676843746</c:v>
                </c:pt>
                <c:pt idx="300">
                  <c:v>295.80092851966219</c:v>
                </c:pt>
                <c:pt idx="301">
                  <c:v>296.61484739724011</c:v>
                </c:pt>
                <c:pt idx="302">
                  <c:v>297.42798482529611</c:v>
                </c:pt>
                <c:pt idx="303">
                  <c:v>298.24034220587288</c:v>
                </c:pt>
                <c:pt idx="304">
                  <c:v>299.05192091903945</c:v>
                </c:pt>
                <c:pt idx="305">
                  <c:v>299.86272232299996</c:v>
                </c:pt>
                <c:pt idx="306">
                  <c:v>300.67274775420344</c:v>
                </c:pt>
                <c:pt idx="307">
                  <c:v>301.48199852745415</c:v>
                </c:pt>
                <c:pt idx="308">
                  <c:v>302.29047593602257</c:v>
                </c:pt>
                <c:pt idx="309">
                  <c:v>303.09818125175684</c:v>
                </c:pt>
                <c:pt idx="310">
                  <c:v>303.9051157251954</c:v>
                </c:pt>
                <c:pt idx="311">
                  <c:v>304.71128058567973</c:v>
                </c:pt>
                <c:pt idx="312">
                  <c:v>305.51667704146814</c:v>
                </c:pt>
                <c:pt idx="313">
                  <c:v>306.32130627985009</c:v>
                </c:pt>
                <c:pt idx="314">
                  <c:v>307.12516946726123</c:v>
                </c:pt>
                <c:pt idx="315">
                  <c:v>307.92826774939908</c:v>
                </c:pt>
                <c:pt idx="316">
                  <c:v>308.73060225133935</c:v>
                </c:pt>
                <c:pt idx="317">
                  <c:v>309.53217407765317</c:v>
                </c:pt>
                <c:pt idx="318">
                  <c:v>310.33298431252467</c:v>
                </c:pt>
                <c:pt idx="319">
                  <c:v>311.1330340198694</c:v>
                </c:pt>
                <c:pt idx="320">
                  <c:v>311.93232424345348</c:v>
                </c:pt>
                <c:pt idx="321">
                  <c:v>312.7308560070133</c:v>
                </c:pt>
                <c:pt idx="322">
                  <c:v>313.52863031437596</c:v>
                </c:pt>
                <c:pt idx="323">
                  <c:v>314.32564814958033</c:v>
                </c:pt>
                <c:pt idx="324">
                  <c:v>315.12191047699872</c:v>
                </c:pt>
                <c:pt idx="325">
                  <c:v>315.91741824145936</c:v>
                </c:pt>
                <c:pt idx="326">
                  <c:v>316.71217236836941</c:v>
                </c:pt>
                <c:pt idx="327">
                  <c:v>317.50617376383866</c:v>
                </c:pt>
                <c:pt idx="328">
                  <c:v>318.29942331480373</c:v>
                </c:pt>
                <c:pt idx="329">
                  <c:v>319.09192188915324</c:v>
                </c:pt>
                <c:pt idx="330">
                  <c:v>319.88367033585308</c:v>
                </c:pt>
                <c:pt idx="331">
                  <c:v>320.67466948507291</c:v>
                </c:pt>
                <c:pt idx="332">
                  <c:v>321.46492014831267</c:v>
                </c:pt>
                <c:pt idx="333">
                  <c:v>322.25442311853016</c:v>
                </c:pt>
                <c:pt idx="334">
                  <c:v>323.04317917026896</c:v>
                </c:pt>
                <c:pt idx="335">
                  <c:v>323.83118905978699</c:v>
                </c:pt>
                <c:pt idx="336">
                  <c:v>324.61845352518571</c:v>
                </c:pt>
                <c:pt idx="337">
                  <c:v>325.4049732865397</c:v>
                </c:pt>
                <c:pt idx="338">
                  <c:v>326.19074904602707</c:v>
                </c:pt>
                <c:pt idx="339">
                  <c:v>326.97578148806014</c:v>
                </c:pt>
                <c:pt idx="340">
                  <c:v>327.76007127941688</c:v>
                </c:pt>
                <c:pt idx="341">
                  <c:v>328.54361906937265</c:v>
                </c:pt>
                <c:pt idx="342">
                  <c:v>329.32642548983262</c:v>
                </c:pt>
                <c:pt idx="343">
                  <c:v>330.10849115546461</c:v>
                </c:pt>
                <c:pt idx="344">
                  <c:v>330.88981666383256</c:v>
                </c:pt>
                <c:pt idx="345">
                  <c:v>331.67040259553016</c:v>
                </c:pt>
                <c:pt idx="346">
                  <c:v>332.4502495143152</c:v>
                </c:pt>
                <c:pt idx="347">
                  <c:v>333.22935796724443</c:v>
                </c:pt>
                <c:pt idx="348">
                  <c:v>334.00772848480852</c:v>
                </c:pt>
                <c:pt idx="349">
                  <c:v>334.78536158106778</c:v>
                </c:pt>
                <c:pt idx="350">
                  <c:v>335.562257753788</c:v>
                </c:pt>
                <c:pt idx="351">
                  <c:v>336.33841748457712</c:v>
                </c:pt>
                <c:pt idx="352">
                  <c:v>337.11384123902167</c:v>
                </c:pt>
                <c:pt idx="353">
                  <c:v>337.88852946682414</c:v>
                </c:pt>
                <c:pt idx="354">
                  <c:v>338.66248260194027</c:v>
                </c:pt>
                <c:pt idx="355">
                  <c:v>339.43570106271704</c:v>
                </c:pt>
                <c:pt idx="356">
                  <c:v>340.2081852520306</c:v>
                </c:pt>
                <c:pt idx="357">
                  <c:v>340.97993555742494</c:v>
                </c:pt>
                <c:pt idx="358">
                  <c:v>341.75095235125036</c:v>
                </c:pt>
                <c:pt idx="359">
                  <c:v>342.52123599080272</c:v>
                </c:pt>
                <c:pt idx="360">
                  <c:v>343.29078681846249</c:v>
                </c:pt>
                <c:pt idx="361">
                  <c:v>344.05960516183438</c:v>
                </c:pt>
                <c:pt idx="362">
                  <c:v>344.827691333887</c:v>
                </c:pt>
                <c:pt idx="363">
                  <c:v>345.59504563309292</c:v>
                </c:pt>
                <c:pt idx="364">
                  <c:v>346.36166834356857</c:v>
                </c:pt>
                <c:pt idx="365">
                  <c:v>347.12755973521473</c:v>
                </c:pt>
                <c:pt idx="366">
                  <c:v>347.89272006385704</c:v>
                </c:pt>
                <c:pt idx="367">
                  <c:v>348.65714957138641</c:v>
                </c:pt>
                <c:pt idx="368">
                  <c:v>349.42084848589997</c:v>
                </c:pt>
                <c:pt idx="369">
                  <c:v>350.18381702184189</c:v>
                </c:pt>
                <c:pt idx="370">
                  <c:v>350.94605538014423</c:v>
                </c:pt>
                <c:pt idx="371">
                  <c:v>351.7075637483681</c:v>
                </c:pt>
                <c:pt idx="372">
                  <c:v>352.46834230084471</c:v>
                </c:pt>
                <c:pt idx="373">
                  <c:v>353.22839119881655</c:v>
                </c:pt>
                <c:pt idx="374">
                  <c:v>353.9877105905785</c:v>
                </c:pt>
                <c:pt idx="375">
                  <c:v>354.74630061161918</c:v>
                </c:pt>
                <c:pt idx="376">
                  <c:v>355.50416138476197</c:v>
                </c:pt>
                <c:pt idx="377">
                  <c:v>356.26129302030631</c:v>
                </c:pt>
                <c:pt idx="378">
                  <c:v>357.01769561616885</c:v>
                </c:pt>
                <c:pt idx="379">
                  <c:v>357.77336925802439</c:v>
                </c:pt>
                <c:pt idx="380">
                  <c:v>358.52831401944712</c:v>
                </c:pt>
                <c:pt idx="381">
                  <c:v>359.28252996205146</c:v>
                </c:pt>
                <c:pt idx="382">
                  <c:v>360.03601713563285</c:v>
                </c:pt>
                <c:pt idx="383">
                  <c:v>360.78877557830867</c:v>
                </c:pt>
                <c:pt idx="384">
                  <c:v>361.54080531665863</c:v>
                </c:pt>
                <c:pt idx="385">
                  <c:v>362.29210636586538</c:v>
                </c:pt>
                <c:pt idx="386">
                  <c:v>363.04267872985474</c:v>
                </c:pt>
                <c:pt idx="387">
                  <c:v>363.79252240143586</c:v>
                </c:pt>
                <c:pt idx="388">
                  <c:v>364.54163736244112</c:v>
                </c:pt>
                <c:pt idx="389">
                  <c:v>365.29002358386589</c:v>
                </c:pt>
                <c:pt idx="390">
                  <c:v>366.03768102600799</c:v>
                </c:pt>
                <c:pt idx="391">
                  <c:v>366.78460963860698</c:v>
                </c:pt>
                <c:pt idx="392">
                  <c:v>367.5308093609832</c:v>
                </c:pt>
                <c:pt idx="393">
                  <c:v>368.27628012217639</c:v>
                </c:pt>
                <c:pt idx="394">
                  <c:v>369.02102184108429</c:v>
                </c:pt>
                <c:pt idx="395">
                  <c:v>369.76503442660078</c:v>
                </c:pt>
                <c:pt idx="396">
                  <c:v>370.50831777775369</c:v>
                </c:pt>
                <c:pt idx="397">
                  <c:v>371.2508717838424</c:v>
                </c:pt>
                <c:pt idx="398">
                  <c:v>371.99269632457504</c:v>
                </c:pt>
                <c:pt idx="399">
                  <c:v>372.73379127020524</c:v>
                </c:pt>
                <c:pt idx="400">
                  <c:v>373.47415648166873</c:v>
                </c:pt>
                <c:pt idx="401">
                  <c:v>374.21379181071939</c:v>
                </c:pt>
                <c:pt idx="402">
                  <c:v>374.95269710006494</c:v>
                </c:pt>
                <c:pt idx="403">
                  <c:v>375.69087218350234</c:v>
                </c:pt>
                <c:pt idx="404">
                  <c:v>376.42831688605264</c:v>
                </c:pt>
                <c:pt idx="405">
                  <c:v>377.16503102409547</c:v>
                </c:pt>
                <c:pt idx="406">
                  <c:v>377.90101440550302</c:v>
                </c:pt>
                <c:pt idx="407">
                  <c:v>378.63626682977366</c:v>
                </c:pt>
                <c:pt idx="408">
                  <c:v>379.370788088165</c:v>
                </c:pt>
                <c:pt idx="409">
                  <c:v>380.10457796382661</c:v>
                </c:pt>
                <c:pt idx="410">
                  <c:v>380.83763623193215</c:v>
                </c:pt>
                <c:pt idx="411">
                  <c:v>381.56996265981098</c:v>
                </c:pt>
                <c:pt idx="412">
                  <c:v>382.30155700707928</c:v>
                </c:pt>
                <c:pt idx="413">
                  <c:v>383.03241902577076</c:v>
                </c:pt>
                <c:pt idx="414">
                  <c:v>383.76254846046675</c:v>
                </c:pt>
                <c:pt idx="415">
                  <c:v>384.49194504842558</c:v>
                </c:pt>
                <c:pt idx="416">
                  <c:v>385.22060851971185</c:v>
                </c:pt>
                <c:pt idx="417">
                  <c:v>385.94853859732467</c:v>
                </c:pt>
                <c:pt idx="418">
                  <c:v>386.67573499732555</c:v>
                </c:pt>
                <c:pt idx="419">
                  <c:v>387.40219742896585</c:v>
                </c:pt>
                <c:pt idx="420">
                  <c:v>388.12792559481323</c:v>
                </c:pt>
                <c:pt idx="421">
                  <c:v>388.85291919087797</c:v>
                </c:pt>
                <c:pt idx="422">
                  <c:v>389.57717790673831</c:v>
                </c:pt>
                <c:pt idx="423">
                  <c:v>390.30070142566552</c:v>
                </c:pt>
                <c:pt idx="424">
                  <c:v>391.02348942474794</c:v>
                </c:pt>
                <c:pt idx="425">
                  <c:v>391.74554157501478</c:v>
                </c:pt>
                <c:pt idx="426">
                  <c:v>392.46685754155902</c:v>
                </c:pt>
                <c:pt idx="427">
                  <c:v>393.18743698365984</c:v>
                </c:pt>
                <c:pt idx="428">
                  <c:v>393.90727955490416</c:v>
                </c:pt>
                <c:pt idx="429">
                  <c:v>394.62638490330778</c:v>
                </c:pt>
                <c:pt idx="430">
                  <c:v>395.3447526714358</c:v>
                </c:pt>
                <c:pt idx="431">
                  <c:v>396.0623824965221</c:v>
                </c:pt>
                <c:pt idx="432">
                  <c:v>396.77927401058861</c:v>
                </c:pt>
                <c:pt idx="433">
                  <c:v>397.49542684056337</c:v>
                </c:pt>
                <c:pt idx="434">
                  <c:v>398.21084060839831</c:v>
                </c:pt>
                <c:pt idx="435">
                  <c:v>398.92551493118611</c:v>
                </c:pt>
                <c:pt idx="436">
                  <c:v>399.63944942127654</c:v>
                </c:pt>
                <c:pt idx="437">
                  <c:v>400.35264368639173</c:v>
                </c:pt>
                <c:pt idx="438">
                  <c:v>401.06509732974121</c:v>
                </c:pt>
                <c:pt idx="439">
                  <c:v>401.77680995013583</c:v>
                </c:pt>
                <c:pt idx="440">
                  <c:v>402.4877811421012</c:v>
                </c:pt>
                <c:pt idx="441">
                  <c:v>403.19801049599016</c:v>
                </c:pt>
                <c:pt idx="442">
                  <c:v>403.90749759809484</c:v>
                </c:pt>
                <c:pt idx="443">
                  <c:v>404.61624203075769</c:v>
                </c:pt>
                <c:pt idx="444">
                  <c:v>405.32424337248193</c:v>
                </c:pt>
                <c:pt idx="445">
                  <c:v>406.03150119804116</c:v>
                </c:pt>
                <c:pt idx="446">
                  <c:v>406.73801507858826</c:v>
                </c:pt>
                <c:pt idx="447">
                  <c:v>407.44378458176362</c:v>
                </c:pt>
                <c:pt idx="448">
                  <c:v>408.14880927180241</c:v>
                </c:pt>
                <c:pt idx="449">
                  <c:v>408.85308870964121</c:v>
                </c:pt>
                <c:pt idx="450">
                  <c:v>409.55662245302403</c:v>
                </c:pt>
                <c:pt idx="451">
                  <c:v>410.25941005660729</c:v>
                </c:pt>
                <c:pt idx="452">
                  <c:v>410.96145107206411</c:v>
                </c:pt>
                <c:pt idx="453">
                  <c:v>411.66274504818796</c:v>
                </c:pt>
                <c:pt idx="454">
                  <c:v>412.36329153099541</c:v>
                </c:pt>
                <c:pt idx="455">
                  <c:v>413.0630900638281</c:v>
                </c:pt>
                <c:pt idx="456">
                  <c:v>413.76214018745401</c:v>
                </c:pt>
                <c:pt idx="457">
                  <c:v>414.46044144016793</c:v>
                </c:pt>
                <c:pt idx="458">
                  <c:v>415.15799335789109</c:v>
                </c:pt>
                <c:pt idx="459">
                  <c:v>415.85479547427002</c:v>
                </c:pt>
                <c:pt idx="460">
                  <c:v>416.55084732077478</c:v>
                </c:pt>
                <c:pt idx="461">
                  <c:v>417.24614842679608</c:v>
                </c:pt>
                <c:pt idx="462">
                  <c:v>417.94069831974195</c:v>
                </c:pt>
                <c:pt idx="463">
                  <c:v>418.6344965251335</c:v>
                </c:pt>
                <c:pt idx="464">
                  <c:v>419.32754256669983</c:v>
                </c:pt>
                <c:pt idx="465">
                  <c:v>420.0198359664721</c:v>
                </c:pt>
                <c:pt idx="466">
                  <c:v>420.7113762448771</c:v>
                </c:pt>
                <c:pt idx="467">
                  <c:v>421.40216292082965</c:v>
                </c:pt>
                <c:pt idx="468">
                  <c:v>422.09219551182463</c:v>
                </c:pt>
                <c:pt idx="469">
                  <c:v>422.78147353402767</c:v>
                </c:pt>
                <c:pt idx="470">
                  <c:v>423.46999650236569</c:v>
                </c:pt>
                <c:pt idx="471">
                  <c:v>424.15776393061611</c:v>
                </c:pt>
                <c:pt idx="472">
                  <c:v>424.84477533149561</c:v>
                </c:pt>
                <c:pt idx="473">
                  <c:v>425.53103021674792</c:v>
                </c:pt>
                <c:pt idx="474">
                  <c:v>426.21652809723093</c:v>
                </c:pt>
                <c:pt idx="475">
                  <c:v>426.90126848300298</c:v>
                </c:pt>
                <c:pt idx="476">
                  <c:v>427.58525088340821</c:v>
                </c:pt>
                <c:pt idx="477">
                  <c:v>428.2684748071614</c:v>
                </c:pt>
                <c:pt idx="478">
                  <c:v>428.95093976243191</c:v>
                </c:pt>
                <c:pt idx="479">
                  <c:v>429.63264525692671</c:v>
                </c:pt>
                <c:pt idx="480">
                  <c:v>430.31359079797284</c:v>
                </c:pt>
                <c:pt idx="481">
                  <c:v>430.99377589259882</c:v>
                </c:pt>
                <c:pt idx="482">
                  <c:v>431.67320004761564</c:v>
                </c:pt>
                <c:pt idx="483">
                  <c:v>432.35186276969665</c:v>
                </c:pt>
                <c:pt idx="484">
                  <c:v>433.02976356545679</c:v>
                </c:pt>
                <c:pt idx="485">
                  <c:v>433.7069019415311</c:v>
                </c:pt>
                <c:pt idx="486">
                  <c:v>434.38327740465235</c:v>
                </c:pt>
                <c:pt idx="487">
                  <c:v>435.05888946172797</c:v>
                </c:pt>
                <c:pt idx="488">
                  <c:v>435.73373761991627</c:v>
                </c:pt>
                <c:pt idx="489">
                  <c:v>436.4078213867017</c:v>
                </c:pt>
                <c:pt idx="490">
                  <c:v>437.08114026996952</c:v>
                </c:pt>
                <c:pt idx="491">
                  <c:v>437.75369377807959</c:v>
                </c:pt>
                <c:pt idx="492">
                  <c:v>438.4254814199395</c:v>
                </c:pt>
                <c:pt idx="493">
                  <c:v>439.09650270507689</c:v>
                </c:pt>
                <c:pt idx="494">
                  <c:v>439.76675714371095</c:v>
                </c:pt>
                <c:pt idx="495">
                  <c:v>440.43624424682338</c:v>
                </c:pt>
                <c:pt idx="496">
                  <c:v>441.10496352622823</c:v>
                </c:pt>
                <c:pt idx="497">
                  <c:v>441.77291449464133</c:v>
                </c:pt>
                <c:pt idx="498">
                  <c:v>442.44009666574891</c:v>
                </c:pt>
                <c:pt idx="499">
                  <c:v>443.10650955427525</c:v>
                </c:pt>
                <c:pt idx="500">
                  <c:v>443.77215267604987</c:v>
                </c:pt>
                <c:pt idx="501">
                  <c:v>444.43702554807379</c:v>
                </c:pt>
                <c:pt idx="502">
                  <c:v>445.10112768858522</c:v>
                </c:pt>
                <c:pt idx="503">
                  <c:v>445.76445861712432</c:v>
                </c:pt>
                <c:pt idx="504">
                  <c:v>446.42701785459735</c:v>
                </c:pt>
                <c:pt idx="505">
                  <c:v>447.08880492334015</c:v>
                </c:pt>
                <c:pt idx="506">
                  <c:v>447.74981934718062</c:v>
                </c:pt>
                <c:pt idx="507">
                  <c:v>448.41006065150094</c:v>
                </c:pt>
                <c:pt idx="508">
                  <c:v>449.06952836329862</c:v>
                </c:pt>
                <c:pt idx="509">
                  <c:v>449.728222011247</c:v>
                </c:pt>
                <c:pt idx="510">
                  <c:v>450.38614112575522</c:v>
                </c:pt>
                <c:pt idx="511">
                  <c:v>451.04328523902711</c:v>
                </c:pt>
                <c:pt idx="512">
                  <c:v>451.69965388511974</c:v>
                </c:pt>
                <c:pt idx="513">
                  <c:v>452.35524660000112</c:v>
                </c:pt>
                <c:pt idx="514">
                  <c:v>453.01006292160696</c:v>
                </c:pt>
                <c:pt idx="515">
                  <c:v>453.66410238989727</c:v>
                </c:pt>
                <c:pt idx="516">
                  <c:v>454.31736454691168</c:v>
                </c:pt>
                <c:pt idx="517">
                  <c:v>454.96984893682452</c:v>
                </c:pt>
                <c:pt idx="518">
                  <c:v>455.62155510599905</c:v>
                </c:pt>
                <c:pt idx="519">
                  <c:v>456.27248260304083</c:v>
                </c:pt>
                <c:pt idx="520">
                  <c:v>456.9226309788508</c:v>
                </c:pt>
                <c:pt idx="521">
                  <c:v>457.57199978667728</c:v>
                </c:pt>
                <c:pt idx="522">
                  <c:v>458.22058858216758</c:v>
                </c:pt>
                <c:pt idx="523">
                  <c:v>458.8683969234188</c:v>
                </c:pt>
                <c:pt idx="524">
                  <c:v>459.51542437102808</c:v>
                </c:pt>
                <c:pt idx="525">
                  <c:v>460.16167048814202</c:v>
                </c:pt>
                <c:pt idx="526">
                  <c:v>460.80713484050563</c:v>
                </c:pt>
                <c:pt idx="527">
                  <c:v>461.45181699651039</c:v>
                </c:pt>
                <c:pt idx="528">
                  <c:v>462.09571652724202</c:v>
                </c:pt>
                <c:pt idx="529">
                  <c:v>462.73883300652716</c:v>
                </c:pt>
                <c:pt idx="530">
                  <c:v>463.38116601097988</c:v>
                </c:pt>
                <c:pt idx="531">
                  <c:v>464.02271512004705</c:v>
                </c:pt>
                <c:pt idx="532">
                  <c:v>464.66347991605346</c:v>
                </c:pt>
                <c:pt idx="533">
                  <c:v>465.30345998424627</c:v>
                </c:pt>
                <c:pt idx="534">
                  <c:v>465.94265491283852</c:v>
                </c:pt>
                <c:pt idx="535">
                  <c:v>466.58106429305241</c:v>
                </c:pt>
                <c:pt idx="536">
                  <c:v>467.21868771916172</c:v>
                </c:pt>
                <c:pt idx="537">
                  <c:v>467.85552478853373</c:v>
                </c:pt>
                <c:pt idx="538">
                  <c:v>468.49157510167038</c:v>
                </c:pt>
                <c:pt idx="539">
                  <c:v>469.12683826224895</c:v>
                </c:pt>
                <c:pt idx="540">
                  <c:v>469.76131387716219</c:v>
                </c:pt>
                <c:pt idx="541">
                  <c:v>470.39500155655765</c:v>
                </c:pt>
                <c:pt idx="542">
                  <c:v>471.02790091387652</c:v>
                </c:pt>
                <c:pt idx="543">
                  <c:v>471.66001156589198</c:v>
                </c:pt>
                <c:pt idx="544">
                  <c:v>472.29133313274673</c:v>
                </c:pt>
                <c:pt idx="545">
                  <c:v>472.92186523799023</c:v>
                </c:pt>
                <c:pt idx="546">
                  <c:v>473.55160750861495</c:v>
                </c:pt>
                <c:pt idx="547">
                  <c:v>474.1805595750925</c:v>
                </c:pt>
                <c:pt idx="548">
                  <c:v>474.80872107140891</c:v>
                </c:pt>
                <c:pt idx="549">
                  <c:v>475.43609163509927</c:v>
                </c:pt>
                <c:pt idx="550">
                  <c:v>476.0626709072821</c:v>
                </c:pt>
                <c:pt idx="551">
                  <c:v>476.68845853269289</c:v>
                </c:pt>
                <c:pt idx="552">
                  <c:v>477.31345415971714</c:v>
                </c:pt>
                <c:pt idx="553">
                  <c:v>477.93765744042298</c:v>
                </c:pt>
                <c:pt idx="554">
                  <c:v>478.56106803059311</c:v>
                </c:pt>
                <c:pt idx="555">
                  <c:v>479.18368558975618</c:v>
                </c:pt>
                <c:pt idx="556">
                  <c:v>479.80550978121767</c:v>
                </c:pt>
                <c:pt idx="557">
                  <c:v>480.42654027209022</c:v>
                </c:pt>
                <c:pt idx="558">
                  <c:v>481.0467767333235</c:v>
                </c:pt>
                <c:pt idx="559">
                  <c:v>481.6662188397334</c:v>
                </c:pt>
                <c:pt idx="560">
                  <c:v>482.28486627003088</c:v>
                </c:pt>
                <c:pt idx="561">
                  <c:v>482.90271870685001</c:v>
                </c:pt>
                <c:pt idx="562">
                  <c:v>483.51977583677575</c:v>
                </c:pt>
                <c:pt idx="563">
                  <c:v>484.13603735037123</c:v>
                </c:pt>
                <c:pt idx="564">
                  <c:v>484.75150294220424</c:v>
                </c:pt>
                <c:pt idx="565">
                  <c:v>485.36617231087348</c:v>
                </c:pt>
                <c:pt idx="566">
                  <c:v>485.98004515903415</c:v>
                </c:pt>
                <c:pt idx="567">
                  <c:v>486.5931211934232</c:v>
                </c:pt>
                <c:pt idx="568">
                  <c:v>487.20540012488385</c:v>
                </c:pt>
                <c:pt idx="569">
                  <c:v>487.81688166838984</c:v>
                </c:pt>
                <c:pt idx="570">
                  <c:v>488.42756554306902</c:v>
                </c:pt>
                <c:pt idx="571">
                  <c:v>489.03745147222656</c:v>
                </c:pt>
                <c:pt idx="572">
                  <c:v>489.64653918336768</c:v>
                </c:pt>
                <c:pt idx="573">
                  <c:v>490.25482840821974</c:v>
                </c:pt>
                <c:pt idx="574">
                  <c:v>490.86231888275415</c:v>
                </c:pt>
                <c:pt idx="575">
                  <c:v>491.46901034720747</c:v>
                </c:pt>
                <c:pt idx="576">
                  <c:v>492.07490254610235</c:v>
                </c:pt>
                <c:pt idx="577">
                  <c:v>492.67999522826767</c:v>
                </c:pt>
                <c:pt idx="578">
                  <c:v>493.28428814685867</c:v>
                </c:pt>
                <c:pt idx="579">
                  <c:v>493.88778105937615</c:v>
                </c:pt>
                <c:pt idx="580">
                  <c:v>494.49047372768547</c:v>
                </c:pt>
                <c:pt idx="581">
                  <c:v>495.09236591803517</c:v>
                </c:pt>
                <c:pt idx="582">
                  <c:v>495.69345740107491</c:v>
                </c:pt>
                <c:pt idx="583">
                  <c:v>496.29374795187312</c:v>
                </c:pt>
                <c:pt idx="584">
                  <c:v>496.89323734993422</c:v>
                </c:pt>
                <c:pt idx="585">
                  <c:v>497.49192537921533</c:v>
                </c:pt>
                <c:pt idx="586">
                  <c:v>498.08981182814262</c:v>
                </c:pt>
                <c:pt idx="587">
                  <c:v>498.68689648962715</c:v>
                </c:pt>
                <c:pt idx="588">
                  <c:v>499.28317916108034</c:v>
                </c:pt>
                <c:pt idx="589">
                  <c:v>499.87865964442904</c:v>
                </c:pt>
                <c:pt idx="590">
                  <c:v>500.47333774613014</c:v>
                </c:pt>
                <c:pt idx="591">
                  <c:v>501.06721327718481</c:v>
                </c:pt>
                <c:pt idx="592">
                  <c:v>501.66028605315216</c:v>
                </c:pt>
                <c:pt idx="593">
                  <c:v>502.25255589416281</c:v>
                </c:pt>
                <c:pt idx="594">
                  <c:v>502.84402262493182</c:v>
                </c:pt>
                <c:pt idx="595">
                  <c:v>503.43468607477115</c:v>
                </c:pt>
                <c:pt idx="596">
                  <c:v>504.024546077602</c:v>
                </c:pt>
                <c:pt idx="597">
                  <c:v>504.6136024719666</c:v>
                </c:pt>
                <c:pt idx="598">
                  <c:v>505.2018551010396</c:v>
                </c:pt>
                <c:pt idx="599">
                  <c:v>505.78930381263893</c:v>
                </c:pt>
                <c:pt idx="600">
                  <c:v>506.37594845923672</c:v>
                </c:pt>
                <c:pt idx="601">
                  <c:v>506.96178889796931</c:v>
                </c:pt>
                <c:pt idx="602">
                  <c:v>507.54682499064734</c:v>
                </c:pt>
                <c:pt idx="603">
                  <c:v>508.13105660376505</c:v>
                </c:pt>
                <c:pt idx="604">
                  <c:v>508.71448360850957</c:v>
                </c:pt>
                <c:pt idx="605">
                  <c:v>509.29710588076966</c:v>
                </c:pt>
                <c:pt idx="606">
                  <c:v>509.87892330114414</c:v>
                </c:pt>
                <c:pt idx="607">
                  <c:v>510.45993575494981</c:v>
                </c:pt>
                <c:pt idx="608">
                  <c:v>511.04014313222933</c:v>
                </c:pt>
                <c:pt idx="609">
                  <c:v>511.61954532775849</c:v>
                </c:pt>
                <c:pt idx="610">
                  <c:v>512.19814224105312</c:v>
                </c:pt>
                <c:pt idx="611">
                  <c:v>512.77593377637584</c:v>
                </c:pt>
                <c:pt idx="612">
                  <c:v>513.35291984274227</c:v>
                </c:pt>
                <c:pt idx="613">
                  <c:v>513.92910035392708</c:v>
                </c:pt>
                <c:pt idx="614">
                  <c:v>514.5044752284698</c:v>
                </c:pt>
                <c:pt idx="615">
                  <c:v>515.07904438967955</c:v>
                </c:pt>
                <c:pt idx="616">
                  <c:v>515.65280776564055</c:v>
                </c:pt>
                <c:pt idx="617">
                  <c:v>516.2257652892165</c:v>
                </c:pt>
                <c:pt idx="618">
                  <c:v>516.79791689805506</c:v>
                </c:pt>
                <c:pt idx="619">
                  <c:v>517.3692625345916</c:v>
                </c:pt>
                <c:pt idx="620">
                  <c:v>517.93980214605301</c:v>
                </c:pt>
                <c:pt idx="621">
                  <c:v>518.50953568446107</c:v>
                </c:pt>
                <c:pt idx="622">
                  <c:v>519.07846310663558</c:v>
                </c:pt>
                <c:pt idx="623">
                  <c:v>519.64658437419678</c:v>
                </c:pt>
                <c:pt idx="624">
                  <c:v>520.21389945356816</c:v>
                </c:pt>
                <c:pt idx="625">
                  <c:v>520.78040831597843</c:v>
                </c:pt>
                <c:pt idx="626">
                  <c:v>521.34611093746321</c:v>
                </c:pt>
                <c:pt idx="627">
                  <c:v>521.91100729886671</c:v>
                </c:pt>
                <c:pt idx="628">
                  <c:v>522.47509738584301</c:v>
                </c:pt>
                <c:pt idx="629">
                  <c:v>523.03838118885699</c:v>
                </c:pt>
                <c:pt idx="630">
                  <c:v>523.60085870318483</c:v>
                </c:pt>
                <c:pt idx="631">
                  <c:v>524.16252992891464</c:v>
                </c:pt>
                <c:pt idx="632">
                  <c:v>524.72339487094632</c:v>
                </c:pt>
                <c:pt idx="633">
                  <c:v>525.28345353899158</c:v>
                </c:pt>
                <c:pt idx="634">
                  <c:v>525.84270594757322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5"/>
                <c:pt idx="0">
                  <c:v>1.7144247806269215</c:v>
                </c:pt>
                <c:pt idx="1">
                  <c:v>3.2084988477436038</c:v>
                </c:pt>
                <c:pt idx="2">
                  <c:v>4.6952106074999751</c:v>
                </c:pt>
                <c:pt idx="3">
                  <c:v>6.1745901407963002</c:v>
                </c:pt>
                <c:pt idx="4">
                  <c:v>7.6466672639195812</c:v>
                </c:pt>
                <c:pt idx="5">
                  <c:v>9.1114715314065382</c:v>
                </c:pt>
                <c:pt idx="6">
                  <c:v>10.569032238867251</c:v>
                </c:pt>
                <c:pt idx="7">
                  <c:v>12.0193784257701</c:v>
                </c:pt>
                <c:pt idx="8">
                  <c:v>13.462538878188655</c:v>
                </c:pt>
                <c:pt idx="9">
                  <c:v>14.898542131511128</c:v>
                </c:pt>
                <c:pt idx="10">
                  <c:v>16.327416473113015</c:v>
                </c:pt>
                <c:pt idx="11">
                  <c:v>17.749189944993518</c:v>
                </c:pt>
                <c:pt idx="12">
                  <c:v>19.163890346376341</c:v>
                </c:pt>
                <c:pt idx="13">
                  <c:v>20.571545236275451</c:v>
                </c:pt>
                <c:pt idx="14">
                  <c:v>21.972181936026352</c:v>
                </c:pt>
                <c:pt idx="15">
                  <c:v>23.365827531783449</c:v>
                </c:pt>
                <c:pt idx="16">
                  <c:v>24.752508876984045</c:v>
                </c:pt>
                <c:pt idx="17">
                  <c:v>26.132252594779501</c:v>
                </c:pt>
                <c:pt idx="18">
                  <c:v>27.5050850804341</c:v>
                </c:pt>
                <c:pt idx="19">
                  <c:v>28.871032503692106</c:v>
                </c:pt>
                <c:pt idx="20">
                  <c:v>30.230120811113579</c:v>
                </c:pt>
                <c:pt idx="21">
                  <c:v>31.582375728379382</c:v>
                </c:pt>
                <c:pt idx="22">
                  <c:v>32.927822762565917</c:v>
                </c:pt>
                <c:pt idx="23">
                  <c:v>34.266487204390039</c:v>
                </c:pt>
                <c:pt idx="24">
                  <c:v>35.598394130424666</c:v>
                </c:pt>
                <c:pt idx="25">
                  <c:v>36.923568405285472</c:v>
                </c:pt>
                <c:pt idx="26">
                  <c:v>38.242034683789214</c:v>
                </c:pt>
                <c:pt idx="27">
                  <c:v>39.553817413084047</c:v>
                </c:pt>
                <c:pt idx="28">
                  <c:v>40.858940834752332</c:v>
                </c:pt>
                <c:pt idx="29">
                  <c:v>42.157428986886345</c:v>
                </c:pt>
                <c:pt idx="30">
                  <c:v>43.449305706137316</c:v>
                </c:pt>
                <c:pt idx="31">
                  <c:v>44.734594629738183</c:v>
                </c:pt>
                <c:pt idx="32">
                  <c:v>46.013319197500522</c:v>
                </c:pt>
                <c:pt idx="33">
                  <c:v>47.285502653786025</c:v>
                </c:pt>
                <c:pt idx="34">
                  <c:v>48.551168049452897</c:v>
                </c:pt>
                <c:pt idx="35">
                  <c:v>49.810338243777615</c:v>
                </c:pt>
                <c:pt idx="36">
                  <c:v>51.06303590635239</c:v>
                </c:pt>
                <c:pt idx="37">
                  <c:v>52.309283518958694</c:v>
                </c:pt>
                <c:pt idx="38">
                  <c:v>53.549103377417282</c:v>
                </c:pt>
                <c:pt idx="39">
                  <c:v>54.78251759341498</c:v>
                </c:pt>
                <c:pt idx="40">
                  <c:v>56.00954809630867</c:v>
                </c:pt>
                <c:pt idx="41">
                  <c:v>57.230216634906782</c:v>
                </c:pt>
                <c:pt idx="42">
                  <c:v>58.444544779228657</c:v>
                </c:pt>
                <c:pt idx="43">
                  <c:v>59.652553922242078</c:v>
                </c:pt>
                <c:pt idx="44">
                  <c:v>60.854265281579337</c:v>
                </c:pt>
                <c:pt idx="45">
                  <c:v>62.049699901232188</c:v>
                </c:pt>
                <c:pt idx="46">
                  <c:v>63.238878653225896</c:v>
                </c:pt>
                <c:pt idx="47">
                  <c:v>64.421822239272842</c:v>
                </c:pt>
                <c:pt idx="48">
                  <c:v>65.598551192405864</c:v>
                </c:pt>
                <c:pt idx="49">
                  <c:v>66.769085878591738</c:v>
                </c:pt>
                <c:pt idx="50">
                  <c:v>67.93344649832504</c:v>
                </c:pt>
                <c:pt idx="51">
                  <c:v>69.091653088202648</c:v>
                </c:pt>
                <c:pt idx="52">
                  <c:v>70.243725522479295</c:v>
                </c:pt>
                <c:pt idx="53">
                  <c:v>71.389683514604314</c:v>
                </c:pt>
                <c:pt idx="54">
                  <c:v>72.529546618739971</c:v>
                </c:pt>
                <c:pt idx="55">
                  <c:v>73.663334231261558</c:v>
                </c:pt>
                <c:pt idx="56">
                  <c:v>74.791065592239647</c:v>
                </c:pt>
                <c:pt idx="57">
                  <c:v>75.912759786904587</c:v>
                </c:pt>
                <c:pt idx="58">
                  <c:v>77.028435747093667</c:v>
                </c:pt>
                <c:pt idx="59">
                  <c:v>78.13811225268114</c:v>
                </c:pt>
                <c:pt idx="60">
                  <c:v>79.24180793299135</c:v>
                </c:pt>
                <c:pt idx="61">
                  <c:v>80.339541268195234</c:v>
                </c:pt>
                <c:pt idx="62">
                  <c:v>81.431330590690422</c:v>
                </c:pt>
                <c:pt idx="63">
                  <c:v>82.517194086465167</c:v>
                </c:pt>
                <c:pt idx="64">
                  <c:v>83.597149796446388</c:v>
                </c:pt>
                <c:pt idx="65">
                  <c:v>84.671215617832033</c:v>
                </c:pt>
                <c:pt idx="66">
                  <c:v>85.739409305407918</c:v>
                </c:pt>
                <c:pt idx="67">
                  <c:v>86.80174847284944</c:v>
                </c:pt>
                <c:pt idx="68">
                  <c:v>87.858250594008211</c:v>
                </c:pt>
                <c:pt idx="69">
                  <c:v>88.908933004183908</c:v>
                </c:pt>
                <c:pt idx="70">
                  <c:v>89.953812901381554</c:v>
                </c:pt>
                <c:pt idx="71">
                  <c:v>90.99290734755445</c:v>
                </c:pt>
                <c:pt idx="72">
                  <c:v>92.0262332698329</c:v>
                </c:pt>
                <c:pt idx="73">
                  <c:v>93.053807461739041</c:v>
                </c:pt>
                <c:pt idx="74">
                  <c:v>94.075646584387883</c:v>
                </c:pt>
                <c:pt idx="75">
                  <c:v>95.091767167674789</c:v>
                </c:pt>
                <c:pt idx="76">
                  <c:v>96.102185611449642</c:v>
                </c:pt>
                <c:pt idx="77">
                  <c:v>97.106918186677788</c:v>
                </c:pt>
                <c:pt idx="78">
                  <c:v>98.10598103658802</c:v>
                </c:pt>
                <c:pt idx="79">
                  <c:v>99.099390177807763</c:v>
                </c:pt>
                <c:pt idx="80">
                  <c:v>100.08716150148568</c:v>
                </c:pt>
                <c:pt idx="81">
                  <c:v>101.06931077440184</c:v>
                </c:pt>
                <c:pt idx="82">
                  <c:v>102.04585364006557</c:v>
                </c:pt>
                <c:pt idx="83">
                  <c:v>103.01680561980132</c:v>
                </c:pt>
                <c:pt idx="84">
                  <c:v>103.98218211382255</c:v>
                </c:pt>
                <c:pt idx="85">
                  <c:v>104.94199840229396</c:v>
                </c:pt>
                <c:pt idx="86">
                  <c:v>105.89626964638209</c:v>
                </c:pt>
                <c:pt idx="87">
                  <c:v>106.8450108892945</c:v>
                </c:pt>
                <c:pt idx="88">
                  <c:v>107.78823705730778</c:v>
                </c:pt>
                <c:pt idx="89">
                  <c:v>108.72596296078444</c:v>
                </c:pt>
                <c:pt idx="90">
                  <c:v>109.65820329517886</c:v>
                </c:pt>
                <c:pt idx="91">
                  <c:v>110.5849726420325</c:v>
                </c:pt>
                <c:pt idx="92">
                  <c:v>111.50628546995846</c:v>
                </c:pt>
                <c:pt idx="93">
                  <c:v>112.42215613561562</c:v>
                </c:pt>
                <c:pt idx="94">
                  <c:v>113.33259888467245</c:v>
                </c:pt>
                <c:pt idx="95">
                  <c:v>114.2376278527606</c:v>
                </c:pt>
                <c:pt idx="96">
                  <c:v>115.13725706641851</c:v>
                </c:pt>
                <c:pt idx="97">
                  <c:v>116.03150044402516</c:v>
                </c:pt>
                <c:pt idx="98">
                  <c:v>116.92037179672394</c:v>
                </c:pt>
                <c:pt idx="99">
                  <c:v>117.80388482933715</c:v>
                </c:pt>
                <c:pt idx="100">
                  <c:v>118.68205314127079</c:v>
                </c:pt>
                <c:pt idx="101">
                  <c:v>119.5548902274101</c:v>
                </c:pt>
                <c:pt idx="102">
                  <c:v>120.42240947900598</c:v>
                </c:pt>
                <c:pt idx="103">
                  <c:v>121.2846241845522</c:v>
                </c:pt>
                <c:pt idx="104">
                  <c:v>122.14154753065374</c:v>
                </c:pt>
                <c:pt idx="105">
                  <c:v>122.99319260288627</c:v>
                </c:pt>
                <c:pt idx="106">
                  <c:v>123.83957238664699</c:v>
                </c:pt>
                <c:pt idx="107">
                  <c:v>124.68069976799684</c:v>
                </c:pt>
                <c:pt idx="108">
                  <c:v>125.51658753449426</c:v>
                </c:pt>
                <c:pt idx="109">
                  <c:v>126.34724837602067</c:v>
                </c:pt>
                <c:pt idx="110">
                  <c:v>127.17269488559769</c:v>
                </c:pt>
                <c:pt idx="111">
                  <c:v>127.99293956019628</c:v>
                </c:pt>
                <c:pt idx="112">
                  <c:v>128.80799480153786</c:v>
                </c:pt>
                <c:pt idx="113">
                  <c:v>129.61787291688762</c:v>
                </c:pt>
                <c:pt idx="114">
                  <c:v>130.42258611984008</c:v>
                </c:pt>
                <c:pt idx="115">
                  <c:v>131.22214653109685</c:v>
                </c:pt>
                <c:pt idx="116">
                  <c:v>132.01656617923712</c:v>
                </c:pt>
                <c:pt idx="117">
                  <c:v>132.80585700148043</c:v>
                </c:pt>
                <c:pt idx="118">
                  <c:v>133.59003084444237</c:v>
                </c:pt>
                <c:pt idx="119">
                  <c:v>134.36909946488279</c:v>
                </c:pt>
                <c:pt idx="120">
                  <c:v>135.14307453044719</c:v>
                </c:pt>
                <c:pt idx="121">
                  <c:v>135.91196762040084</c:v>
                </c:pt>
                <c:pt idx="122">
                  <c:v>136.6757902263561</c:v>
                </c:pt>
                <c:pt idx="123">
                  <c:v>137.43455375299294</c:v>
                </c:pt>
                <c:pt idx="124">
                  <c:v>138.18826951877267</c:v>
                </c:pt>
                <c:pt idx="125">
                  <c:v>138.93694875664511</c:v>
                </c:pt>
                <c:pt idx="126">
                  <c:v>139.6806026147492</c:v>
                </c:pt>
                <c:pt idx="127">
                  <c:v>140.41924215710716</c:v>
                </c:pt>
                <c:pt idx="128">
                  <c:v>141.15287836431236</c:v>
                </c:pt>
                <c:pt idx="129">
                  <c:v>141.88152213421083</c:v>
                </c:pt>
                <c:pt idx="130">
                  <c:v>142.6051842825768</c:v>
                </c:pt>
                <c:pt idx="131">
                  <c:v>143.32387554378198</c:v>
                </c:pt>
                <c:pt idx="132">
                  <c:v>144.03760657145895</c:v>
                </c:pt>
                <c:pt idx="133">
                  <c:v>144.74638793915864</c:v>
                </c:pt>
                <c:pt idx="134">
                  <c:v>145.45023014100204</c:v>
                </c:pt>
                <c:pt idx="135">
                  <c:v>146.14914359232606</c:v>
                </c:pt>
                <c:pt idx="136">
                  <c:v>146.84313863032389</c:v>
                </c:pt>
                <c:pt idx="137">
                  <c:v>147.53222551467977</c:v>
                </c:pt>
                <c:pt idx="138">
                  <c:v>148.21641442819819</c:v>
                </c:pt>
                <c:pt idx="139">
                  <c:v>148.89571547742784</c:v>
                </c:pt>
                <c:pt idx="140">
                  <c:v>149.57013869328011</c:v>
                </c:pt>
                <c:pt idx="141">
                  <c:v>150.23969403164244</c:v>
                </c:pt>
                <c:pt idx="142">
                  <c:v>150.9043913739865</c:v>
                </c:pt>
                <c:pt idx="143">
                  <c:v>151.56424052797121</c:v>
                </c:pt>
                <c:pt idx="144">
                  <c:v>152.21925122804083</c:v>
                </c:pt>
                <c:pt idx="145">
                  <c:v>152.86943313601816</c:v>
                </c:pt>
                <c:pt idx="146">
                  <c:v>153.51479584169277</c:v>
                </c:pt>
                <c:pt idx="147">
                  <c:v>154.15534886340453</c:v>
                </c:pt>
                <c:pt idx="148">
                  <c:v>154.79110164862234</c:v>
                </c:pt>
                <c:pt idx="149">
                  <c:v>155.42206357451835</c:v>
                </c:pt>
                <c:pt idx="150">
                  <c:v>156.04824394853745</c:v>
                </c:pt>
                <c:pt idx="151">
                  <c:v>156.66965200896246</c:v>
                </c:pt>
                <c:pt idx="152">
                  <c:v>157.28629692547466</c:v>
                </c:pt>
                <c:pt idx="153">
                  <c:v>157.89818779971017</c:v>
                </c:pt>
                <c:pt idx="154">
                  <c:v>158.50533366581186</c:v>
                </c:pt>
                <c:pt idx="155">
                  <c:v>159.10774349097713</c:v>
                </c:pt>
                <c:pt idx="156">
                  <c:v>159.70542617600154</c:v>
                </c:pt>
                <c:pt idx="157">
                  <c:v>160.29839055581823</c:v>
                </c:pt>
                <c:pt idx="158">
                  <c:v>160.88664540003342</c:v>
                </c:pt>
                <c:pt idx="159">
                  <c:v>161.47019941345792</c:v>
                </c:pt>
                <c:pt idx="160">
                  <c:v>162.04906123663469</c:v>
                </c:pt>
                <c:pt idx="161">
                  <c:v>162.6232394463625</c:v>
                </c:pt>
                <c:pt idx="162">
                  <c:v>163.19274255621599</c:v>
                </c:pt>
                <c:pt idx="163">
                  <c:v>163.75757901706183</c:v>
                </c:pt>
                <c:pt idx="164">
                  <c:v>164.31775721757126</c:v>
                </c:pt>
                <c:pt idx="165">
                  <c:v>164.87328548472908</c:v>
                </c:pt>
                <c:pt idx="166">
                  <c:v>165.42417208433901</c:v>
                </c:pt>
                <c:pt idx="167">
                  <c:v>165.9704252215256</c:v>
                </c:pt>
                <c:pt idx="168">
                  <c:v>166.51205304123278</c:v>
                </c:pt>
                <c:pt idx="169">
                  <c:v>167.04906362871884</c:v>
                </c:pt>
                <c:pt idx="170">
                  <c:v>167.58146501004828</c:v>
                </c:pt>
                <c:pt idx="171">
                  <c:v>168.10926515258029</c:v>
                </c:pt>
                <c:pt idx="172">
                  <c:v>168.6324719654541</c:v>
                </c:pt>
                <c:pt idx="173">
                  <c:v>169.15109330007101</c:v>
                </c:pt>
                <c:pt idx="174">
                  <c:v>169.66513695057355</c:v>
                </c:pt>
                <c:pt idx="175">
                  <c:v>170.17461065432133</c:v>
                </c:pt>
                <c:pt idx="176">
                  <c:v>170.67952209236412</c:v>
                </c:pt>
                <c:pt idx="177">
                  <c:v>171.17987888991181</c:v>
                </c:pt>
                <c:pt idx="178">
                  <c:v>171.67568861680155</c:v>
                </c:pt>
                <c:pt idx="179">
                  <c:v>172.16695878796205</c:v>
                </c:pt>
                <c:pt idx="180">
                  <c:v>172.65369686387498</c:v>
                </c:pt>
                <c:pt idx="181">
                  <c:v>173.13591025103381</c:v>
                </c:pt>
                <c:pt idx="182">
                  <c:v>173.61360630239966</c:v>
                </c:pt>
                <c:pt idx="183">
                  <c:v>174.08679231785479</c:v>
                </c:pt>
                <c:pt idx="184">
                  <c:v>174.55547554465326</c:v>
                </c:pt>
                <c:pt idx="185">
                  <c:v>175.01966317786918</c:v>
                </c:pt>
                <c:pt idx="186">
                  <c:v>175.47936236084229</c:v>
                </c:pt>
                <c:pt idx="187">
                  <c:v>175.9345801856212</c:v>
                </c:pt>
                <c:pt idx="188">
                  <c:v>176.38532369340413</c:v>
                </c:pt>
                <c:pt idx="189">
                  <c:v>176.83159987497729</c:v>
                </c:pt>
                <c:pt idx="190">
                  <c:v>177.27341567115081</c:v>
                </c:pt>
                <c:pt idx="191">
                  <c:v>177.71077797319265</c:v>
                </c:pt>
                <c:pt idx="192">
                  <c:v>178.14369362325988</c:v>
                </c:pt>
                <c:pt idx="193">
                  <c:v>178.57216941482801</c:v>
                </c:pt>
                <c:pt idx="194">
                  <c:v>178.99621209311809</c:v>
                </c:pt>
                <c:pt idx="195">
                  <c:v>179.41582835552154</c:v>
                </c:pt>
                <c:pt idx="196">
                  <c:v>179.83102485202309</c:v>
                </c:pt>
                <c:pt idx="197">
                  <c:v>180.24180818562149</c:v>
                </c:pt>
                <c:pt idx="198">
                  <c:v>180.64818491274832</c:v>
                </c:pt>
                <c:pt idx="199">
                  <c:v>181.05016154368471</c:v>
                </c:pt>
                <c:pt idx="200">
                  <c:v>181.44774454297624</c:v>
                </c:pt>
                <c:pt idx="201">
                  <c:v>181.84094032984578</c:v>
                </c:pt>
                <c:pt idx="202">
                  <c:v>182.22975527860464</c:v>
                </c:pt>
                <c:pt idx="203">
                  <c:v>182.61419571906168</c:v>
                </c:pt>
                <c:pt idx="204">
                  <c:v>182.99426793693081</c:v>
                </c:pt>
                <c:pt idx="205">
                  <c:v>183.36997817423662</c:v>
                </c:pt>
                <c:pt idx="206">
                  <c:v>183.74133262971824</c:v>
                </c:pt>
                <c:pt idx="207">
                  <c:v>184.10833745923162</c:v>
                </c:pt>
                <c:pt idx="208">
                  <c:v>184.47099877615003</c:v>
                </c:pt>
                <c:pt idx="209">
                  <c:v>184.82932265176302</c:v>
                </c:pt>
                <c:pt idx="210">
                  <c:v>185.18331511567371</c:v>
                </c:pt>
                <c:pt idx="211">
                  <c:v>185.53298215619446</c:v>
                </c:pt>
                <c:pt idx="212">
                  <c:v>185.87832972074119</c:v>
                </c:pt>
                <c:pt idx="213">
                  <c:v>186.2193637162259</c:v>
                </c:pt>
                <c:pt idx="214">
                  <c:v>186.55609000944801</c:v>
                </c:pt>
                <c:pt idx="215">
                  <c:v>186.88851442748398</c:v>
                </c:pt>
                <c:pt idx="216">
                  <c:v>187.21664275807566</c:v>
                </c:pt>
                <c:pt idx="217">
                  <c:v>187.54048075001722</c:v>
                </c:pt>
                <c:pt idx="218">
                  <c:v>187.86003411354065</c:v>
                </c:pt>
                <c:pt idx="219">
                  <c:v>188.17530852069996</c:v>
                </c:pt>
                <c:pt idx="220">
                  <c:v>188.486309605754</c:v>
                </c:pt>
                <c:pt idx="221">
                  <c:v>188.79304296554807</c:v>
                </c:pt>
                <c:pt idx="222">
                  <c:v>189.09551415989412</c:v>
                </c:pt>
                <c:pt idx="223">
                  <c:v>189.39372871194993</c:v>
                </c:pt>
                <c:pt idx="224">
                  <c:v>189.68769210859674</c:v>
                </c:pt>
                <c:pt idx="225">
                  <c:v>189.97740980081596</c:v>
                </c:pt>
                <c:pt idx="226">
                  <c:v>190.26288720406455</c:v>
                </c:pt>
                <c:pt idx="227">
                  <c:v>190.54412969864927</c:v>
                </c:pt>
                <c:pt idx="228">
                  <c:v>190.82114263009976</c:v>
                </c:pt>
                <c:pt idx="229">
                  <c:v>191.09393130954055</c:v>
                </c:pt>
                <c:pt idx="230">
                  <c:v>191.36250101406193</c:v>
                </c:pt>
                <c:pt idx="231">
                  <c:v>191.62685698708975</c:v>
                </c:pt>
                <c:pt idx="232">
                  <c:v>191.88700443875408</c:v>
                </c:pt>
                <c:pt idx="233">
                  <c:v>192.14294854625695</c:v>
                </c:pt>
                <c:pt idx="234">
                  <c:v>192.39469445423893</c:v>
                </c:pt>
                <c:pt idx="235">
                  <c:v>192.64224727514483</c:v>
                </c:pt>
                <c:pt idx="236">
                  <c:v>192.88561208958816</c:v>
                </c:pt>
                <c:pt idx="237">
                  <c:v>193.12479394671493</c:v>
                </c:pt>
                <c:pt idx="238">
                  <c:v>193.3597978645661</c:v>
                </c:pt>
                <c:pt idx="239">
                  <c:v>193.59062883043944</c:v>
                </c:pt>
                <c:pt idx="240">
                  <c:v>193.81729180125015</c:v>
                </c:pt>
                <c:pt idx="241">
                  <c:v>194.0397917038907</c:v>
                </c:pt>
                <c:pt idx="242">
                  <c:v>194.25813343558966</c:v>
                </c:pt>
                <c:pt idx="243">
                  <c:v>194.47232186426965</c:v>
                </c:pt>
                <c:pt idx="244">
                  <c:v>194.68236182890445</c:v>
                </c:pt>
                <c:pt idx="245">
                  <c:v>194.88825813987506</c:v>
                </c:pt>
                <c:pt idx="246">
                  <c:v>195.09001557932504</c:v>
                </c:pt>
                <c:pt idx="247">
                  <c:v>195.28763890151475</c:v>
                </c:pt>
                <c:pt idx="248">
                  <c:v>195.48113283317502</c:v>
                </c:pt>
                <c:pt idx="249">
                  <c:v>195.67050207385967</c:v>
                </c:pt>
                <c:pt idx="250">
                  <c:v>195.85575129629729</c:v>
                </c:pt>
                <c:pt idx="251">
                  <c:v>196.03688514674218</c:v>
                </c:pt>
                <c:pt idx="252">
                  <c:v>196.21390824532446</c:v>
                </c:pt>
                <c:pt idx="253">
                  <c:v>196.38682518639922</c:v>
                </c:pt>
                <c:pt idx="254">
                  <c:v>196.55564053889492</c:v>
                </c:pt>
                <c:pt idx="255">
                  <c:v>196.72035884666093</c:v>
                </c:pt>
                <c:pt idx="256">
                  <c:v>196.88098462881416</c:v>
                </c:pt>
                <c:pt idx="257">
                  <c:v>197.03752238008502</c:v>
                </c:pt>
                <c:pt idx="258">
                  <c:v>197.18997657116233</c:v>
                </c:pt>
                <c:pt idx="259">
                  <c:v>197.33835164903758</c:v>
                </c:pt>
                <c:pt idx="260">
                  <c:v>197.4826520373482</c:v>
                </c:pt>
                <c:pt idx="261">
                  <c:v>197.62288213672014</c:v>
                </c:pt>
                <c:pt idx="262">
                  <c:v>197.75904632510944</c:v>
                </c:pt>
                <c:pt idx="263">
                  <c:v>197.89114895814311</c:v>
                </c:pt>
                <c:pt idx="264">
                  <c:v>198.01919436945903</c:v>
                </c:pt>
                <c:pt idx="265">
                  <c:v>198.14318687104515</c:v>
                </c:pt>
                <c:pt idx="266">
                  <c:v>198.26313075357763</c:v>
                </c:pt>
                <c:pt idx="267">
                  <c:v>198.37903028675834</c:v>
                </c:pt>
                <c:pt idx="268">
                  <c:v>198.49088971965136</c:v>
                </c:pt>
                <c:pt idx="269">
                  <c:v>198.59871328101863</c:v>
                </c:pt>
                <c:pt idx="270">
                  <c:v>198.70250517965468</c:v>
                </c:pt>
                <c:pt idx="271">
                  <c:v>198.80226960472061</c:v>
                </c:pt>
                <c:pt idx="272">
                  <c:v>198.89801072607699</c:v>
                </c:pt>
                <c:pt idx="273">
                  <c:v>198.98973269461601</c:v>
                </c:pt>
                <c:pt idx="274">
                  <c:v>199.07743964259262</c:v>
                </c:pt>
                <c:pt idx="275">
                  <c:v>199.16113568395483</c:v>
                </c:pt>
                <c:pt idx="276">
                  <c:v>199.24082491467294</c:v>
                </c:pt>
                <c:pt idx="277">
                  <c:v>199.31651141306801</c:v>
                </c:pt>
                <c:pt idx="278">
                  <c:v>199.38819924013922</c:v>
                </c:pt>
                <c:pt idx="279">
                  <c:v>199.45589243989028</c:v>
                </c:pt>
                <c:pt idx="280">
                  <c:v>199.51959503965497</c:v>
                </c:pt>
                <c:pt idx="281">
                  <c:v>199.57931105042161</c:v>
                </c:pt>
                <c:pt idx="282">
                  <c:v>199.63504446715649</c:v>
                </c:pt>
                <c:pt idx="283">
                  <c:v>199.68679926912631</c:v>
                </c:pt>
                <c:pt idx="284">
                  <c:v>199.7345794202196</c:v>
                </c:pt>
                <c:pt idx="285">
                  <c:v>199.77838886926713</c:v>
                </c:pt>
                <c:pt idx="286">
                  <c:v>199.81823155036113</c:v>
                </c:pt>
                <c:pt idx="287">
                  <c:v>199.85411138317352</c:v>
                </c:pt>
                <c:pt idx="288">
                  <c:v>199.88603227327306</c:v>
                </c:pt>
                <c:pt idx="289">
                  <c:v>199.91399811244128</c:v>
                </c:pt>
                <c:pt idx="290">
                  <c:v>199.93801277898743</c:v>
                </c:pt>
                <c:pt idx="291">
                  <c:v>199.95808013806214</c:v>
                </c:pt>
                <c:pt idx="292">
                  <c:v>199.97420404197001</c:v>
                </c:pt>
                <c:pt idx="293">
                  <c:v>199.98638833048091</c:v>
                </c:pt>
                <c:pt idx="294">
                  <c:v>199.99463683114024</c:v>
                </c:pt>
                <c:pt idx="295">
                  <c:v>199.9989533595778</c:v>
                </c:pt>
                <c:pt idx="296">
                  <c:v>199.99934171981548</c:v>
                </c:pt>
                <c:pt idx="297">
                  <c:v>199.99580570457377</c:v>
                </c:pt>
                <c:pt idx="298">
                  <c:v>199.98834909557689</c:v>
                </c:pt>
                <c:pt idx="299">
                  <c:v>199.97697566385659</c:v>
                </c:pt>
                <c:pt idx="300">
                  <c:v>199.96168917005474</c:v>
                </c:pt>
                <c:pt idx="301">
                  <c:v>199.94249336472453</c:v>
                </c:pt>
                <c:pt idx="302">
                  <c:v>199.91939198863031</c:v>
                </c:pt>
                <c:pt idx="303">
                  <c:v>199.89238877304598</c:v>
                </c:pt>
                <c:pt idx="304">
                  <c:v>199.86148744005212</c:v>
                </c:pt>
                <c:pt idx="305">
                  <c:v>199.82669170283157</c:v>
                </c:pt>
                <c:pt idx="306">
                  <c:v>199.78800526596356</c:v>
                </c:pt>
                <c:pt idx="307">
                  <c:v>199.74543182571654</c:v>
                </c:pt>
                <c:pt idx="308">
                  <c:v>199.69897507033926</c:v>
                </c:pt>
                <c:pt idx="309">
                  <c:v>199.64863868035059</c:v>
                </c:pt>
                <c:pt idx="310">
                  <c:v>199.59442632882758</c:v>
                </c:pt>
                <c:pt idx="311">
                  <c:v>199.53634168169222</c:v>
                </c:pt>
                <c:pt idx="312">
                  <c:v>199.47438839799636</c:v>
                </c:pt>
                <c:pt idx="313">
                  <c:v>199.40857013020519</c:v>
                </c:pt>
                <c:pt idx="314">
                  <c:v>199.33889052447904</c:v>
                </c:pt>
                <c:pt idx="315">
                  <c:v>199.26535322095364</c:v>
                </c:pt>
                <c:pt idx="316">
                  <c:v>199.18796185401854</c:v>
                </c:pt>
                <c:pt idx="317">
                  <c:v>199.10672005259397</c:v>
                </c:pt>
                <c:pt idx="318">
                  <c:v>199.02163144040594</c:v>
                </c:pt>
                <c:pt idx="319">
                  <c:v>198.93269963625963</c:v>
                </c:pt>
                <c:pt idx="320">
                  <c:v>198.83992825431105</c:v>
                </c:pt>
                <c:pt idx="321">
                  <c:v>198.74332090433685</c:v>
                </c:pt>
                <c:pt idx="322">
                  <c:v>198.64288119200242</c:v>
                </c:pt>
                <c:pt idx="323">
                  <c:v>198.53861271912808</c:v>
                </c:pt>
                <c:pt idx="324">
                  <c:v>198.43051908395356</c:v>
                </c:pt>
                <c:pt idx="325">
                  <c:v>198.31860388140046</c:v>
                </c:pt>
                <c:pt idx="326">
                  <c:v>198.20287070333299</c:v>
                </c:pt>
                <c:pt idx="327">
                  <c:v>198.08332313881667</c:v>
                </c:pt>
                <c:pt idx="328">
                  <c:v>197.95996477437518</c:v>
                </c:pt>
                <c:pt idx="329">
                  <c:v>197.83279919424527</c:v>
                </c:pt>
                <c:pt idx="330">
                  <c:v>197.7018299806297</c:v>
                </c:pt>
                <c:pt idx="331">
                  <c:v>197.56706071394817</c:v>
                </c:pt>
                <c:pt idx="332">
                  <c:v>197.42849497308626</c:v>
                </c:pt>
                <c:pt idx="333">
                  <c:v>197.2861363356424</c:v>
                </c:pt>
                <c:pt idx="334">
                  <c:v>197.13998837817266</c:v>
                </c:pt>
                <c:pt idx="335">
                  <c:v>196.99005467643372</c:v>
                </c:pt>
                <c:pt idx="336">
                  <c:v>196.83633880562346</c:v>
                </c:pt>
                <c:pt idx="337">
                  <c:v>196.67884434061972</c:v>
                </c:pt>
                <c:pt idx="338">
                  <c:v>196.51757485621678</c:v>
                </c:pt>
                <c:pt idx="339">
                  <c:v>196.35253392735981</c:v>
                </c:pt>
                <c:pt idx="340">
                  <c:v>196.18372512937708</c:v>
                </c:pt>
                <c:pt idx="341">
                  <c:v>196.0111520382101</c:v>
                </c:pt>
                <c:pt idx="342">
                  <c:v>195.83481823064147</c:v>
                </c:pt>
                <c:pt idx="343">
                  <c:v>195.65472728452067</c:v>
                </c:pt>
                <c:pt idx="344">
                  <c:v>195.47088277898752</c:v>
                </c:pt>
                <c:pt idx="345">
                  <c:v>195.28328829469342</c:v>
                </c:pt>
                <c:pt idx="346">
                  <c:v>195.09194741402047</c:v>
                </c:pt>
                <c:pt idx="347">
                  <c:v>194.89686372129813</c:v>
                </c:pt>
                <c:pt idx="348">
                  <c:v>194.69804080301785</c:v>
                </c:pt>
                <c:pt idx="349">
                  <c:v>194.49548224804519</c:v>
                </c:pt>
                <c:pt idx="350">
                  <c:v>194.2891916478298</c:v>
                </c:pt>
                <c:pt idx="351">
                  <c:v>194.07917259661298</c:v>
                </c:pt>
                <c:pt idx="352">
                  <c:v>193.86542869163307</c:v>
                </c:pt>
                <c:pt idx="353">
                  <c:v>193.64796353332832</c:v>
                </c:pt>
                <c:pt idx="354">
                  <c:v>193.42678072553755</c:v>
                </c:pt>
                <c:pt idx="355">
                  <c:v>193.20188387569837</c:v>
                </c:pt>
                <c:pt idx="356">
                  <c:v>192.97327659504316</c:v>
                </c:pt>
                <c:pt idx="357">
                  <c:v>192.74096249879253</c:v>
                </c:pt>
                <c:pt idx="358">
                  <c:v>192.50494520634646</c:v>
                </c:pt>
                <c:pt idx="359">
                  <c:v>192.26522834147309</c:v>
                </c:pt>
                <c:pt idx="360">
                  <c:v>192.02181553249505</c:v>
                </c:pt>
                <c:pt idx="361">
                  <c:v>191.77471041247341</c:v>
                </c:pt>
                <c:pt idx="362">
                  <c:v>191.52391661938921</c:v>
                </c:pt>
                <c:pt idx="363">
                  <c:v>191.26943779632253</c:v>
                </c:pt>
                <c:pt idx="364">
                  <c:v>191.01127759162927</c:v>
                </c:pt>
                <c:pt idx="365">
                  <c:v>190.74943965911527</c:v>
                </c:pt>
                <c:pt idx="366">
                  <c:v>190.48392765820824</c:v>
                </c:pt>
                <c:pt idx="367">
                  <c:v>190.21474525412702</c:v>
                </c:pt>
                <c:pt idx="368">
                  <c:v>189.94189611804862</c:v>
                </c:pt>
                <c:pt idx="369">
                  <c:v>189.66538392727256</c:v>
                </c:pt>
                <c:pt idx="370">
                  <c:v>189.38521236538298</c:v>
                </c:pt>
                <c:pt idx="371">
                  <c:v>189.10138512240823</c:v>
                </c:pt>
                <c:pt idx="372">
                  <c:v>188.81390589497786</c:v>
                </c:pt>
                <c:pt idx="373">
                  <c:v>188.5227783864774</c:v>
                </c:pt>
                <c:pt idx="374">
                  <c:v>188.22800630720039</c:v>
                </c:pt>
                <c:pt idx="375">
                  <c:v>187.9295933744983</c:v>
                </c:pt>
                <c:pt idx="376">
                  <c:v>187.6275433129276</c:v>
                </c:pt>
                <c:pt idx="377">
                  <c:v>187.32185985439472</c:v>
                </c:pt>
                <c:pt idx="378">
                  <c:v>187.01254673829828</c:v>
                </c:pt>
                <c:pt idx="379">
                  <c:v>186.69960771166907</c:v>
                </c:pt>
                <c:pt idx="380">
                  <c:v>186.38304652930736</c:v>
                </c:pt>
                <c:pt idx="381">
                  <c:v>186.06286695391802</c:v>
                </c:pt>
                <c:pt idx="382">
                  <c:v>185.7390727562429</c:v>
                </c:pt>
                <c:pt idx="383">
                  <c:v>185.41166771519104</c:v>
                </c:pt>
                <c:pt idx="384">
                  <c:v>185.08065561796616</c:v>
                </c:pt>
                <c:pt idx="385">
                  <c:v>184.74604026019196</c:v>
                </c:pt>
                <c:pt idx="386">
                  <c:v>184.40782544603482</c:v>
                </c:pt>
                <c:pt idx="387">
                  <c:v>184.06601498832413</c:v>
                </c:pt>
                <c:pt idx="388">
                  <c:v>183.72061270867022</c:v>
                </c:pt>
                <c:pt idx="389">
                  <c:v>183.37162243757973</c:v>
                </c:pt>
                <c:pt idx="390">
                  <c:v>183.01904801456882</c:v>
                </c:pt>
                <c:pt idx="391">
                  <c:v>182.66289328827369</c:v>
                </c:pt>
                <c:pt idx="392">
                  <c:v>182.30316211655895</c:v>
                </c:pt>
                <c:pt idx="393">
                  <c:v>181.93985836662338</c:v>
                </c:pt>
                <c:pt idx="394">
                  <c:v>181.57298591510346</c:v>
                </c:pt>
                <c:pt idx="395">
                  <c:v>181.20254864817451</c:v>
                </c:pt>
                <c:pt idx="396">
                  <c:v>180.82855046164934</c:v>
                </c:pt>
                <c:pt idx="397">
                  <c:v>180.45099526107467</c:v>
                </c:pt>
                <c:pt idx="398">
                  <c:v>180.06988696182512</c:v>
                </c:pt>
                <c:pt idx="399">
                  <c:v>179.68522948919497</c:v>
                </c:pt>
                <c:pt idx="400">
                  <c:v>179.29702677848746</c:v>
                </c:pt>
                <c:pt idx="401">
                  <c:v>178.90528277510182</c:v>
                </c:pt>
                <c:pt idx="402">
                  <c:v>178.51000143461803</c:v>
                </c:pt>
                <c:pt idx="403">
                  <c:v>178.11118672287921</c:v>
                </c:pt>
                <c:pt idx="404">
                  <c:v>177.70884261607179</c:v>
                </c:pt>
                <c:pt idx="405">
                  <c:v>177.30297310080337</c:v>
                </c:pt>
                <c:pt idx="406">
                  <c:v>176.89358217417831</c:v>
                </c:pt>
                <c:pt idx="407">
                  <c:v>176.48067384387113</c:v>
                </c:pt>
                <c:pt idx="408">
                  <c:v>176.06425212819758</c:v>
                </c:pt>
                <c:pt idx="409">
                  <c:v>175.64432105618354</c:v>
                </c:pt>
                <c:pt idx="410">
                  <c:v>175.22088466763174</c:v>
                </c:pt>
                <c:pt idx="411">
                  <c:v>174.79394701318614</c:v>
                </c:pt>
                <c:pt idx="412">
                  <c:v>174.36351215439433</c:v>
                </c:pt>
                <c:pt idx="413">
                  <c:v>173.9295841637676</c:v>
                </c:pt>
                <c:pt idx="414">
                  <c:v>173.49216712483889</c:v>
                </c:pt>
                <c:pt idx="415">
                  <c:v>173.05126513221865</c:v>
                </c:pt>
                <c:pt idx="416">
                  <c:v>172.6068822916485</c:v>
                </c:pt>
                <c:pt idx="417">
                  <c:v>172.15902272005283</c:v>
                </c:pt>
                <c:pt idx="418">
                  <c:v>171.70769054558824</c:v>
                </c:pt>
                <c:pt idx="419">
                  <c:v>171.25288990769096</c:v>
                </c:pt>
                <c:pt idx="420">
                  <c:v>170.79462495712218</c:v>
                </c:pt>
                <c:pt idx="421">
                  <c:v>170.3328998560113</c:v>
                </c:pt>
                <c:pt idx="422">
                  <c:v>169.86771877789712</c:v>
                </c:pt>
                <c:pt idx="423">
                  <c:v>169.39908590776716</c:v>
                </c:pt>
                <c:pt idx="424">
                  <c:v>168.92700544209472</c:v>
                </c:pt>
                <c:pt idx="425">
                  <c:v>168.45148158887423</c:v>
                </c:pt>
                <c:pt idx="426">
                  <c:v>167.97251856765436</c:v>
                </c:pt>
                <c:pt idx="427">
                  <c:v>167.4901206095694</c:v>
                </c:pt>
                <c:pt idx="428">
                  <c:v>167.00429195736851</c:v>
                </c:pt>
                <c:pt idx="429">
                  <c:v>166.51503686544316</c:v>
                </c:pt>
                <c:pt idx="430">
                  <c:v>166.02235959985271</c:v>
                </c:pt>
                <c:pt idx="431">
                  <c:v>165.52626443834788</c:v>
                </c:pt>
                <c:pt idx="432">
                  <c:v>165.02675567039259</c:v>
                </c:pt>
                <c:pt idx="433">
                  <c:v>164.52383759718379</c:v>
                </c:pt>
                <c:pt idx="434">
                  <c:v>164.01751453166949</c:v>
                </c:pt>
                <c:pt idx="435">
                  <c:v>163.50779079856508</c:v>
                </c:pt>
                <c:pt idx="436">
                  <c:v>162.99467073436756</c:v>
                </c:pt>
                <c:pt idx="437">
                  <c:v>162.47815868736831</c:v>
                </c:pt>
                <c:pt idx="438">
                  <c:v>161.95825901766383</c:v>
                </c:pt>
                <c:pt idx="439">
                  <c:v>161.43497609716493</c:v>
                </c:pt>
                <c:pt idx="440">
                  <c:v>160.90831430960404</c:v>
                </c:pt>
                <c:pt idx="441">
                  <c:v>160.37827805054081</c:v>
                </c:pt>
                <c:pt idx="442">
                  <c:v>159.84487172736613</c:v>
                </c:pt>
                <c:pt idx="443">
                  <c:v>159.30809975930427</c:v>
                </c:pt>
                <c:pt idx="444">
                  <c:v>158.7679665774136</c:v>
                </c:pt>
                <c:pt idx="445">
                  <c:v>158.22447662458546</c:v>
                </c:pt>
                <c:pt idx="446">
                  <c:v>157.67763435554144</c:v>
                </c:pt>
                <c:pt idx="447">
                  <c:v>157.12744423682909</c:v>
                </c:pt>
                <c:pt idx="448">
                  <c:v>156.57391074681607</c:v>
                </c:pt>
                <c:pt idx="449">
                  <c:v>156.01703837568263</c:v>
                </c:pt>
                <c:pt idx="450">
                  <c:v>155.45683162541255</c:v>
                </c:pt>
                <c:pt idx="451">
                  <c:v>154.89329500978261</c:v>
                </c:pt>
                <c:pt idx="452">
                  <c:v>154.32643305435042</c:v>
                </c:pt>
                <c:pt idx="453">
                  <c:v>153.7562502964409</c:v>
                </c:pt>
                <c:pt idx="454">
                  <c:v>153.18275128513108</c:v>
                </c:pt>
                <c:pt idx="455">
                  <c:v>152.6059405812336</c:v>
                </c:pt>
                <c:pt idx="456">
                  <c:v>152.02582275727863</c:v>
                </c:pt>
                <c:pt idx="457">
                  <c:v>151.44240239749448</c:v>
                </c:pt>
                <c:pt idx="458">
                  <c:v>150.85568409778662</c:v>
                </c:pt>
                <c:pt idx="459">
                  <c:v>150.26567246571551</c:v>
                </c:pt>
                <c:pt idx="460">
                  <c:v>149.67237212047283</c:v>
                </c:pt>
                <c:pt idx="461">
                  <c:v>149.07578769285655</c:v>
                </c:pt>
                <c:pt idx="462">
                  <c:v>148.47592382524442</c:v>
                </c:pt>
                <c:pt idx="463">
                  <c:v>147.87278517156642</c:v>
                </c:pt>
                <c:pt idx="464">
                  <c:v>147.26637639727559</c:v>
                </c:pt>
                <c:pt idx="465">
                  <c:v>146.65670217931782</c:v>
                </c:pt>
                <c:pt idx="466">
                  <c:v>146.04376720610014</c:v>
                </c:pt>
                <c:pt idx="467">
                  <c:v>145.42757617745801</c:v>
                </c:pt>
                <c:pt idx="468">
                  <c:v>144.80813380462104</c:v>
                </c:pt>
                <c:pt idx="469">
                  <c:v>144.18544481017778</c:v>
                </c:pt>
                <c:pt idx="470">
                  <c:v>143.55951392803917</c:v>
                </c:pt>
                <c:pt idx="471">
                  <c:v>142.93034590340068</c:v>
                </c:pt>
                <c:pt idx="472">
                  <c:v>142.29794549270352</c:v>
                </c:pt>
                <c:pt idx="473">
                  <c:v>141.66231746359452</c:v>
                </c:pt>
                <c:pt idx="474">
                  <c:v>141.02346659488492</c:v>
                </c:pt>
                <c:pt idx="475">
                  <c:v>140.38139767650802</c:v>
                </c:pt>
                <c:pt idx="476">
                  <c:v>139.73611550947567</c:v>
                </c:pt>
                <c:pt idx="477">
                  <c:v>139.08762490583376</c:v>
                </c:pt>
                <c:pt idx="478">
                  <c:v>138.43593068861665</c:v>
                </c:pt>
                <c:pt idx="479">
                  <c:v>137.78103769180038</c:v>
                </c:pt>
                <c:pt idx="480">
                  <c:v>137.12295076025498</c:v>
                </c:pt>
                <c:pt idx="481">
                  <c:v>136.46167474969567</c:v>
                </c:pt>
                <c:pt idx="482">
                  <c:v>135.79721452663316</c:v>
                </c:pt>
                <c:pt idx="483">
                  <c:v>135.12957496832277</c:v>
                </c:pt>
                <c:pt idx="484">
                  <c:v>134.45876096271274</c:v>
                </c:pt>
                <c:pt idx="485">
                  <c:v>133.78477740839153</c:v>
                </c:pt>
                <c:pt idx="486">
                  <c:v>133.10762921453403</c:v>
                </c:pt>
                <c:pt idx="487">
                  <c:v>132.4273213008471</c:v>
                </c:pt>
                <c:pt idx="488">
                  <c:v>131.74385859751393</c:v>
                </c:pt>
                <c:pt idx="489">
                  <c:v>131.0572460451377</c:v>
                </c:pt>
                <c:pt idx="490">
                  <c:v>130.36748859468418</c:v>
                </c:pt>
                <c:pt idx="491">
                  <c:v>129.67459120742356</c:v>
                </c:pt>
                <c:pt idx="492">
                  <c:v>128.97855885487147</c:v>
                </c:pt>
                <c:pt idx="493">
                  <c:v>128.27939651872902</c:v>
                </c:pt>
                <c:pt idx="494">
                  <c:v>127.57710919082207</c:v>
                </c:pt>
                <c:pt idx="495">
                  <c:v>126.87170187303975</c:v>
                </c:pt>
                <c:pt idx="496">
                  <c:v>126.16317957727209</c:v>
                </c:pt>
                <c:pt idx="497">
                  <c:v>125.45154732534691</c:v>
                </c:pt>
                <c:pt idx="498">
                  <c:v>124.73681014896593</c:v>
                </c:pt>
                <c:pt idx="499">
                  <c:v>124.01897308964016</c:v>
                </c:pt>
                <c:pt idx="500">
                  <c:v>123.29804119862446</c:v>
                </c:pt>
                <c:pt idx="501">
                  <c:v>122.57401953685148</c:v>
                </c:pt>
                <c:pt idx="502">
                  <c:v>121.84691317486482</c:v>
                </c:pt>
                <c:pt idx="503">
                  <c:v>121.11672719275151</c:v>
                </c:pt>
                <c:pt idx="504">
                  <c:v>120.38346668007378</c:v>
                </c:pt>
                <c:pt idx="505">
                  <c:v>119.6471367358002</c:v>
                </c:pt>
                <c:pt idx="506">
                  <c:v>118.90774246823617</c:v>
                </c:pt>
                <c:pt idx="507">
                  <c:v>118.16528899495367</c:v>
                </c:pt>
                <c:pt idx="508">
                  <c:v>117.41978144272052</c:v>
                </c:pt>
                <c:pt idx="509">
                  <c:v>116.67122494742888</c:v>
                </c:pt>
                <c:pt idx="510">
                  <c:v>115.91962465402328</c:v>
                </c:pt>
                <c:pt idx="511">
                  <c:v>115.16498571642794</c:v>
                </c:pt>
                <c:pt idx="512">
                  <c:v>114.40731329747358</c:v>
                </c:pt>
                <c:pt idx="513">
                  <c:v>113.64661256882367</c:v>
                </c:pt>
                <c:pt idx="514">
                  <c:v>112.88288871090006</c:v>
                </c:pt>
                <c:pt idx="515">
                  <c:v>112.11614691280818</c:v>
                </c:pt>
                <c:pt idx="516">
                  <c:v>111.34639237226155</c:v>
                </c:pt>
                <c:pt idx="517">
                  <c:v>110.57363029550595</c:v>
                </c:pt>
                <c:pt idx="518">
                  <c:v>109.79786589724299</c:v>
                </c:pt>
                <c:pt idx="519">
                  <c:v>109.01910440055315</c:v>
                </c:pt>
                <c:pt idx="520">
                  <c:v>108.23735103681848</c:v>
                </c:pt>
                <c:pt idx="521">
                  <c:v>107.45261104564472</c:v>
                </c:pt>
                <c:pt idx="522">
                  <c:v>106.66488967478291</c:v>
                </c:pt>
                <c:pt idx="523">
                  <c:v>105.87419218005078</c:v>
                </c:pt>
                <c:pt idx="524">
                  <c:v>105.08052382525347</c:v>
                </c:pt>
                <c:pt idx="525">
                  <c:v>104.28388988210392</c:v>
                </c:pt>
                <c:pt idx="526">
                  <c:v>103.48429563014295</c:v>
                </c:pt>
                <c:pt idx="527">
                  <c:v>102.68174635665875</c:v>
                </c:pt>
                <c:pt idx="528">
                  <c:v>101.87624735660613</c:v>
                </c:pt>
                <c:pt idx="529">
                  <c:v>101.06780393252534</c:v>
                </c:pt>
                <c:pt idx="530">
                  <c:v>100.25642139446055</c:v>
                </c:pt>
                <c:pt idx="531">
                  <c:v>99.442105059877917</c:v>
                </c:pt>
                <c:pt idx="532">
                  <c:v>98.624860253583407</c:v>
                </c:pt>
                <c:pt idx="533">
                  <c:v>97.804692307640195</c:v>
                </c:pt>
                <c:pt idx="534">
                  <c:v>96.981606561285787</c:v>
                </c:pt>
                <c:pt idx="535">
                  <c:v>96.155608360848817</c:v>
                </c:pt>
                <c:pt idx="536">
                  <c:v>95.326703059665562</c:v>
                </c:pt>
                <c:pt idx="537">
                  <c:v>94.494896017996155</c:v>
                </c:pt>
                <c:pt idx="538">
                  <c:v>93.660192602940498</c:v>
                </c:pt>
                <c:pt idx="539">
                  <c:v>92.822598188353936</c:v>
                </c:pt>
                <c:pt idx="540">
                  <c:v>91.982118154762674</c:v>
                </c:pt>
                <c:pt idx="541">
                  <c:v>91.138757889278892</c:v>
                </c:pt>
                <c:pt idx="542">
                  <c:v>90.2925227855157</c:v>
                </c:pt>
                <c:pt idx="543">
                  <c:v>89.443418243501796</c:v>
                </c:pt>
                <c:pt idx="544">
                  <c:v>88.591449669595903</c:v>
                </c:pt>
                <c:pt idx="545">
                  <c:v>87.736622476401067</c:v>
                </c:pt>
                <c:pt idx="546">
                  <c:v>86.878942082678662</c:v>
                </c:pt>
                <c:pt idx="547">
                  <c:v>86.018413913262279</c:v>
                </c:pt>
                <c:pt idx="548">
                  <c:v>85.15504339897133</c:v>
                </c:pt>
                <c:pt idx="549">
                  <c:v>84.288835976524624</c:v>
                </c:pt>
                <c:pt idx="550">
                  <c:v>83.419797088453635</c:v>
                </c:pt>
                <c:pt idx="551">
                  <c:v>82.547932183015689</c:v>
                </c:pt>
                <c:pt idx="552">
                  <c:v>81.673246714107009</c:v>
                </c:pt>
                <c:pt idx="553">
                  <c:v>80.79574614117557</c:v>
                </c:pt>
                <c:pt idx="554">
                  <c:v>79.915435929133864</c:v>
                </c:pt>
                <c:pt idx="555">
                  <c:v>79.032321548271526</c:v>
                </c:pt>
                <c:pt idx="556">
                  <c:v>78.146408474167856</c:v>
                </c:pt>
                <c:pt idx="557">
                  <c:v>77.257702187604238</c:v>
                </c:pt>
                <c:pt idx="558">
                  <c:v>76.366208174476427</c:v>
                </c:pt>
                <c:pt idx="559">
                  <c:v>75.471931925706798</c:v>
                </c:pt>
                <c:pt idx="560">
                  <c:v>74.574878937156484</c:v>
                </c:pt>
                <c:pt idx="561">
                  <c:v>73.675054709537449</c:v>
                </c:pt>
                <c:pt idx="562">
                  <c:v>72.772464748324481</c:v>
                </c:pt>
                <c:pt idx="563">
                  <c:v>71.867114563667144</c:v>
                </c:pt>
                <c:pt idx="564">
                  <c:v>70.959009670301683</c:v>
                </c:pt>
                <c:pt idx="565">
                  <c:v>70.048155587462887</c:v>
                </c:pt>
                <c:pt idx="566">
                  <c:v>69.134557838795871</c:v>
                </c:pt>
                <c:pt idx="567">
                  <c:v>68.218221952267925</c:v>
                </c:pt>
                <c:pt idx="568">
                  <c:v>67.299153460080248</c:v>
                </c:pt>
                <c:pt idx="569">
                  <c:v>66.377357898579731</c:v>
                </c:pt>
                <c:pt idx="570">
                  <c:v>65.452840808170691</c:v>
                </c:pt>
                <c:pt idx="571">
                  <c:v>64.525607733226636</c:v>
                </c:pt>
                <c:pt idx="572">
                  <c:v>63.59566422200205</c:v>
                </c:pt>
                <c:pt idx="573">
                  <c:v>62.663015826544154</c:v>
                </c:pt>
                <c:pt idx="574">
                  <c:v>61.72766810260471</c:v>
                </c:pt>
                <c:pt idx="575">
                  <c:v>60.789626609551867</c:v>
                </c:pt>
                <c:pt idx="576">
                  <c:v>59.848896910282022</c:v>
                </c:pt>
                <c:pt idx="577">
                  <c:v>58.905484571131723</c:v>
                </c:pt>
                <c:pt idx="578">
                  <c:v>57.959395161789651</c:v>
                </c:pt>
                <c:pt idx="579">
                  <c:v>57.010634255208608</c:v>
                </c:pt>
                <c:pt idx="580">
                  <c:v>56.059207427517606</c:v>
                </c:pt>
                <c:pt idx="581">
                  <c:v>55.105120257934026</c:v>
                </c:pt>
                <c:pt idx="582">
                  <c:v>54.148378328675818</c:v>
                </c:pt>
                <c:pt idx="583">
                  <c:v>53.188987224873799</c:v>
                </c:pt>
                <c:pt idx="584">
                  <c:v>52.226952534484056</c:v>
                </c:pt>
                <c:pt idx="585">
                  <c:v>51.262279848200414</c:v>
                </c:pt>
                <c:pt idx="586">
                  <c:v>50.294974759367001</c:v>
                </c:pt>
                <c:pt idx="587">
                  <c:v>49.32504286389095</c:v>
                </c:pt>
                <c:pt idx="588">
                  <c:v>48.352489760155166</c:v>
                </c:pt>
                <c:pt idx="589">
                  <c:v>47.377321048931243</c:v>
                </c:pt>
                <c:pt idx="590">
                  <c:v>46.399542333292487</c:v>
                </c:pt>
                <c:pt idx="591">
                  <c:v>45.419159218527078</c:v>
                </c:pt>
                <c:pt idx="592">
                  <c:v>44.436177312051328</c:v>
                </c:pt>
                <c:pt idx="593">
                  <c:v>43.450602223323123</c:v>
                </c:pt>
                <c:pt idx="594">
                  <c:v>42.462439563755481</c:v>
                </c:pt>
                <c:pt idx="595">
                  <c:v>41.471694946630265</c:v>
                </c:pt>
                <c:pt idx="596">
                  <c:v>40.478373987012034</c:v>
                </c:pt>
                <c:pt idx="597">
                  <c:v>39.482482301662081</c:v>
                </c:pt>
                <c:pt idx="598">
                  <c:v>38.484025508952605</c:v>
                </c:pt>
                <c:pt idx="599">
                  <c:v>37.483009228781079</c:v>
                </c:pt>
                <c:pt idx="600">
                  <c:v>36.479439082484745</c:v>
                </c:pt>
                <c:pt idx="601">
                  <c:v>35.473320692755351</c:v>
                </c:pt>
                <c:pt idx="602">
                  <c:v>34.464659683554004</c:v>
                </c:pt>
                <c:pt idx="603">
                  <c:v>33.453461680026265</c:v>
                </c:pt>
                <c:pt idx="604">
                  <c:v>32.439732308417398</c:v>
                </c:pt>
                <c:pt idx="605">
                  <c:v>31.423477195987832</c:v>
                </c:pt>
                <c:pt idx="606">
                  <c:v>30.404701970928819</c:v>
                </c:pt>
                <c:pt idx="607">
                  <c:v>29.383412262278298</c:v>
                </c:pt>
                <c:pt idx="608">
                  <c:v>28.35961369983697</c:v>
                </c:pt>
                <c:pt idx="609">
                  <c:v>27.333311914084575</c:v>
                </c:pt>
                <c:pt idx="610">
                  <c:v>26.304512536096407</c:v>
                </c:pt>
                <c:pt idx="611">
                  <c:v>25.273221197460028</c:v>
                </c:pt>
                <c:pt idx="612">
                  <c:v>24.239443530192226</c:v>
                </c:pt>
                <c:pt idx="613">
                  <c:v>23.203185166656191</c:v>
                </c:pt>
                <c:pt idx="614">
                  <c:v>22.164451739478931</c:v>
                </c:pt>
                <c:pt idx="615">
                  <c:v>21.123248881468928</c:v>
                </c:pt>
                <c:pt idx="616">
                  <c:v>20.079582225534025</c:v>
                </c:pt>
                <c:pt idx="617">
                  <c:v>19.033457404599563</c:v>
                </c:pt>
                <c:pt idx="618">
                  <c:v>17.984880051526769</c:v>
                </c:pt>
                <c:pt idx="619">
                  <c:v>16.933855799031402</c:v>
                </c:pt>
                <c:pt idx="620">
                  <c:v>15.88039027960264</c:v>
                </c:pt>
                <c:pt idx="621">
                  <c:v>14.82448912542224</c:v>
                </c:pt>
                <c:pt idx="622">
                  <c:v>13.766157968283952</c:v>
                </c:pt>
                <c:pt idx="623">
                  <c:v>12.705402439513209</c:v>
                </c:pt>
                <c:pt idx="624">
                  <c:v>11.642228169887074</c:v>
                </c:pt>
                <c:pt idx="625">
                  <c:v>10.576640789554475</c:v>
                </c:pt>
                <c:pt idx="626">
                  <c:v>9.5086459279566977</c:v>
                </c:pt>
                <c:pt idx="627">
                  <c:v>8.4382492137481826</c:v>
                </c:pt>
                <c:pt idx="628">
                  <c:v>7.3654562747175776</c:v>
                </c:pt>
                <c:pt idx="629">
                  <c:v>6.2902727377090972</c:v>
                </c:pt>
                <c:pt idx="630">
                  <c:v>5.2127042285441592</c:v>
                </c:pt>
                <c:pt idx="631">
                  <c:v>4.1327563719433158</c:v>
                </c:pt>
                <c:pt idx="632">
                  <c:v>3.0504347914484802</c:v>
                </c:pt>
                <c:pt idx="633">
                  <c:v>1.9657451093454494</c:v>
                </c:pt>
                <c:pt idx="634">
                  <c:v>0.87869294658672792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6E-470D-A6F7-77348F04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13097908464146"/>
          <c:y val="0.17111880046136105"/>
          <c:w val="0.8128180638095643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</c:f>
              <c:numCache>
                <c:formatCode>General</c:formatCode>
                <c:ptCount val="638"/>
                <c:pt idx="0">
                  <c:v>0</c:v>
                </c:pt>
                <c:pt idx="1">
                  <c:v>1.0467394398169905</c:v>
                </c:pt>
                <c:pt idx="2">
                  <c:v>2.0934788796339809</c:v>
                </c:pt>
                <c:pt idx="3">
                  <c:v>3.1402183194509714</c:v>
                </c:pt>
                <c:pt idx="4">
                  <c:v>4.1869577592679619</c:v>
                </c:pt>
                <c:pt idx="5">
                  <c:v>5.2336971990849532</c:v>
                </c:pt>
                <c:pt idx="6">
                  <c:v>6.2804366389019428</c:v>
                </c:pt>
                <c:pt idx="7">
                  <c:v>7.3271760787189342</c:v>
                </c:pt>
                <c:pt idx="8">
                  <c:v>8.3739155185359238</c:v>
                </c:pt>
                <c:pt idx="9">
                  <c:v>9.4206549583529142</c:v>
                </c:pt>
                <c:pt idx="10">
                  <c:v>10.467394398169906</c:v>
                </c:pt>
                <c:pt idx="11">
                  <c:v>11.514133837986895</c:v>
                </c:pt>
                <c:pt idx="12">
                  <c:v>12.560873277803886</c:v>
                </c:pt>
                <c:pt idx="13">
                  <c:v>13.607612717620878</c:v>
                </c:pt>
                <c:pt idx="14">
                  <c:v>14.654352157437868</c:v>
                </c:pt>
                <c:pt idx="15">
                  <c:v>15.701091597254857</c:v>
                </c:pt>
                <c:pt idx="16">
                  <c:v>16.747831037071848</c:v>
                </c:pt>
                <c:pt idx="17">
                  <c:v>17.79457047688884</c:v>
                </c:pt>
                <c:pt idx="18">
                  <c:v>18.841309916705828</c:v>
                </c:pt>
                <c:pt idx="19">
                  <c:v>19.888049356522821</c:v>
                </c:pt>
                <c:pt idx="20">
                  <c:v>20.934788796339813</c:v>
                </c:pt>
                <c:pt idx="21">
                  <c:v>21.981528236156802</c:v>
                </c:pt>
                <c:pt idx="22">
                  <c:v>23.02826767597379</c:v>
                </c:pt>
                <c:pt idx="23">
                  <c:v>24.075007115790783</c:v>
                </c:pt>
                <c:pt idx="24">
                  <c:v>25.121746555607771</c:v>
                </c:pt>
                <c:pt idx="25">
                  <c:v>26.168485995424764</c:v>
                </c:pt>
                <c:pt idx="26">
                  <c:v>27.215225435241756</c:v>
                </c:pt>
                <c:pt idx="27">
                  <c:v>28.261964875058748</c:v>
                </c:pt>
                <c:pt idx="28">
                  <c:v>29.308704314875737</c:v>
                </c:pt>
                <c:pt idx="29">
                  <c:v>30.355443754692722</c:v>
                </c:pt>
                <c:pt idx="30">
                  <c:v>31.402183194509714</c:v>
                </c:pt>
                <c:pt idx="31">
                  <c:v>32.448922634326706</c:v>
                </c:pt>
                <c:pt idx="32">
                  <c:v>33.495662074143695</c:v>
                </c:pt>
                <c:pt idx="33">
                  <c:v>34.542401513960691</c:v>
                </c:pt>
                <c:pt idx="34">
                  <c:v>35.589140953777679</c:v>
                </c:pt>
                <c:pt idx="35">
                  <c:v>36.635880393594668</c:v>
                </c:pt>
                <c:pt idx="36">
                  <c:v>37.682619833411657</c:v>
                </c:pt>
                <c:pt idx="37">
                  <c:v>38.729359273228653</c:v>
                </c:pt>
                <c:pt idx="38">
                  <c:v>39.776098713045641</c:v>
                </c:pt>
                <c:pt idx="39">
                  <c:v>40.82283815286263</c:v>
                </c:pt>
                <c:pt idx="40">
                  <c:v>41.869577592679626</c:v>
                </c:pt>
                <c:pt idx="41">
                  <c:v>42.916317032496607</c:v>
                </c:pt>
                <c:pt idx="42">
                  <c:v>43.963056472313603</c:v>
                </c:pt>
                <c:pt idx="43">
                  <c:v>45.009795912130592</c:v>
                </c:pt>
                <c:pt idx="44">
                  <c:v>46.056535351947581</c:v>
                </c:pt>
                <c:pt idx="45">
                  <c:v>47.103274791764576</c:v>
                </c:pt>
                <c:pt idx="46">
                  <c:v>48.150014231581565</c:v>
                </c:pt>
                <c:pt idx="47">
                  <c:v>49.196753671398554</c:v>
                </c:pt>
                <c:pt idx="48">
                  <c:v>50.243493111215543</c:v>
                </c:pt>
                <c:pt idx="49">
                  <c:v>51.290232551032538</c:v>
                </c:pt>
                <c:pt idx="50">
                  <c:v>52.336971990849527</c:v>
                </c:pt>
                <c:pt idx="51">
                  <c:v>53.383711430666516</c:v>
                </c:pt>
                <c:pt idx="52">
                  <c:v>54.430450870483511</c:v>
                </c:pt>
                <c:pt idx="53">
                  <c:v>55.4771903103005</c:v>
                </c:pt>
                <c:pt idx="54">
                  <c:v>56.523929750117496</c:v>
                </c:pt>
                <c:pt idx="55">
                  <c:v>57.570669189934485</c:v>
                </c:pt>
                <c:pt idx="56">
                  <c:v>58.617408629751473</c:v>
                </c:pt>
                <c:pt idx="57">
                  <c:v>59.664148069568455</c:v>
                </c:pt>
                <c:pt idx="58">
                  <c:v>60.710887509385444</c:v>
                </c:pt>
                <c:pt idx="59">
                  <c:v>61.757626949202439</c:v>
                </c:pt>
                <c:pt idx="60">
                  <c:v>62.804366389019428</c:v>
                </c:pt>
                <c:pt idx="61">
                  <c:v>63.851105828836424</c:v>
                </c:pt>
                <c:pt idx="62">
                  <c:v>64.897845268653413</c:v>
                </c:pt>
                <c:pt idx="63">
                  <c:v>65.944584708470401</c:v>
                </c:pt>
                <c:pt idx="64">
                  <c:v>66.99132414828739</c:v>
                </c:pt>
                <c:pt idx="65">
                  <c:v>68.038063588104393</c:v>
                </c:pt>
                <c:pt idx="66">
                  <c:v>69.084803027921382</c:v>
                </c:pt>
                <c:pt idx="67">
                  <c:v>70.13154246773837</c:v>
                </c:pt>
                <c:pt idx="68">
                  <c:v>71.178281907555359</c:v>
                </c:pt>
                <c:pt idx="69">
                  <c:v>72.225021347372348</c:v>
                </c:pt>
                <c:pt idx="70">
                  <c:v>73.271760787189336</c:v>
                </c:pt>
                <c:pt idx="71">
                  <c:v>74.318500227006325</c:v>
                </c:pt>
                <c:pt idx="72">
                  <c:v>75.365239666823314</c:v>
                </c:pt>
                <c:pt idx="73">
                  <c:v>76.411979106640302</c:v>
                </c:pt>
                <c:pt idx="74">
                  <c:v>77.458718546457305</c:v>
                </c:pt>
                <c:pt idx="75">
                  <c:v>78.505457986274294</c:v>
                </c:pt>
                <c:pt idx="76">
                  <c:v>79.552197426091283</c:v>
                </c:pt>
                <c:pt idx="77">
                  <c:v>80.598936865908271</c:v>
                </c:pt>
                <c:pt idx="78">
                  <c:v>81.64567630572526</c:v>
                </c:pt>
                <c:pt idx="79">
                  <c:v>82.692415745542263</c:v>
                </c:pt>
                <c:pt idx="80">
                  <c:v>83.739155185359252</c:v>
                </c:pt>
                <c:pt idx="81">
                  <c:v>84.78589462517624</c:v>
                </c:pt>
                <c:pt idx="82">
                  <c:v>85.832634064993215</c:v>
                </c:pt>
                <c:pt idx="83">
                  <c:v>86.879373504810204</c:v>
                </c:pt>
                <c:pt idx="84">
                  <c:v>87.926112944627207</c:v>
                </c:pt>
                <c:pt idx="85">
                  <c:v>88.972852384444195</c:v>
                </c:pt>
                <c:pt idx="86">
                  <c:v>90.019591824261184</c:v>
                </c:pt>
                <c:pt idx="87">
                  <c:v>91.066331264078173</c:v>
                </c:pt>
                <c:pt idx="88">
                  <c:v>92.113070703895161</c:v>
                </c:pt>
                <c:pt idx="89">
                  <c:v>93.159810143712164</c:v>
                </c:pt>
                <c:pt idx="90">
                  <c:v>94.206549583529153</c:v>
                </c:pt>
                <c:pt idx="91">
                  <c:v>95.253289023346142</c:v>
                </c:pt>
                <c:pt idx="92">
                  <c:v>96.30002846316313</c:v>
                </c:pt>
                <c:pt idx="93">
                  <c:v>97.346767902980119</c:v>
                </c:pt>
                <c:pt idx="94">
                  <c:v>98.393507342797108</c:v>
                </c:pt>
                <c:pt idx="95">
                  <c:v>99.440246782614096</c:v>
                </c:pt>
                <c:pt idx="96">
                  <c:v>100.48698622243109</c:v>
                </c:pt>
                <c:pt idx="97">
                  <c:v>101.53372566224807</c:v>
                </c:pt>
                <c:pt idx="98">
                  <c:v>102.58046510206508</c:v>
                </c:pt>
                <c:pt idx="99">
                  <c:v>103.62720454188207</c:v>
                </c:pt>
                <c:pt idx="100">
                  <c:v>104.67394398169905</c:v>
                </c:pt>
                <c:pt idx="101">
                  <c:v>105.72068342151604</c:v>
                </c:pt>
                <c:pt idx="102">
                  <c:v>106.76742286133303</c:v>
                </c:pt>
                <c:pt idx="103">
                  <c:v>107.81416230115003</c:v>
                </c:pt>
                <c:pt idx="104">
                  <c:v>108.86090174096702</c:v>
                </c:pt>
                <c:pt idx="105">
                  <c:v>109.90764118078401</c:v>
                </c:pt>
                <c:pt idx="106">
                  <c:v>110.954380620601</c:v>
                </c:pt>
                <c:pt idx="107">
                  <c:v>112.00112006041799</c:v>
                </c:pt>
                <c:pt idx="108">
                  <c:v>113.04785950023499</c:v>
                </c:pt>
                <c:pt idx="109">
                  <c:v>114.09459894005198</c:v>
                </c:pt>
                <c:pt idx="110">
                  <c:v>115.14133837986897</c:v>
                </c:pt>
                <c:pt idx="111">
                  <c:v>116.18807781968596</c:v>
                </c:pt>
                <c:pt idx="112">
                  <c:v>117.23481725950295</c:v>
                </c:pt>
                <c:pt idx="113">
                  <c:v>118.28155669931992</c:v>
                </c:pt>
                <c:pt idx="114">
                  <c:v>119.32829613913691</c:v>
                </c:pt>
                <c:pt idx="115">
                  <c:v>120.3750355789539</c:v>
                </c:pt>
                <c:pt idx="116">
                  <c:v>121.42177501877089</c:v>
                </c:pt>
                <c:pt idx="117">
                  <c:v>122.46851445858789</c:v>
                </c:pt>
                <c:pt idx="118">
                  <c:v>123.51525389840488</c:v>
                </c:pt>
                <c:pt idx="119">
                  <c:v>124.56199333822187</c:v>
                </c:pt>
                <c:pt idx="120">
                  <c:v>125.60873277803886</c:v>
                </c:pt>
                <c:pt idx="121">
                  <c:v>126.65547221785584</c:v>
                </c:pt>
                <c:pt idx="122">
                  <c:v>127.70221165767285</c:v>
                </c:pt>
                <c:pt idx="123">
                  <c:v>128.74895109748982</c:v>
                </c:pt>
                <c:pt idx="124">
                  <c:v>129.79569053730683</c:v>
                </c:pt>
                <c:pt idx="125">
                  <c:v>130.84242997712383</c:v>
                </c:pt>
                <c:pt idx="126">
                  <c:v>131.8891694169408</c:v>
                </c:pt>
                <c:pt idx="127">
                  <c:v>132.93590885675781</c:v>
                </c:pt>
                <c:pt idx="128">
                  <c:v>133.98264829657478</c:v>
                </c:pt>
                <c:pt idx="129">
                  <c:v>135.02938773639178</c:v>
                </c:pt>
                <c:pt idx="130">
                  <c:v>136.07612717620879</c:v>
                </c:pt>
                <c:pt idx="131">
                  <c:v>137.12286661602576</c:v>
                </c:pt>
                <c:pt idx="132">
                  <c:v>138.16960605584276</c:v>
                </c:pt>
                <c:pt idx="133">
                  <c:v>139.21634549565974</c:v>
                </c:pt>
                <c:pt idx="134">
                  <c:v>140.26308493547674</c:v>
                </c:pt>
                <c:pt idx="135">
                  <c:v>141.30982437529374</c:v>
                </c:pt>
                <c:pt idx="136">
                  <c:v>142.35656381511072</c:v>
                </c:pt>
                <c:pt idx="137">
                  <c:v>143.40330325492772</c:v>
                </c:pt>
                <c:pt idx="138">
                  <c:v>144.4500426947447</c:v>
                </c:pt>
                <c:pt idx="139">
                  <c:v>145.49678213456167</c:v>
                </c:pt>
                <c:pt idx="140">
                  <c:v>146.54352157437867</c:v>
                </c:pt>
                <c:pt idx="141">
                  <c:v>147.59026101419565</c:v>
                </c:pt>
                <c:pt idx="142">
                  <c:v>148.63700045401265</c:v>
                </c:pt>
                <c:pt idx="143">
                  <c:v>149.68373989382965</c:v>
                </c:pt>
                <c:pt idx="144">
                  <c:v>150.73047933364663</c:v>
                </c:pt>
                <c:pt idx="145">
                  <c:v>151.77721877346363</c:v>
                </c:pt>
                <c:pt idx="146">
                  <c:v>152.8239582132806</c:v>
                </c:pt>
                <c:pt idx="147">
                  <c:v>153.87069765309761</c:v>
                </c:pt>
                <c:pt idx="148">
                  <c:v>154.91743709291461</c:v>
                </c:pt>
                <c:pt idx="149">
                  <c:v>155.96417653273159</c:v>
                </c:pt>
                <c:pt idx="150">
                  <c:v>157.01091597254859</c:v>
                </c:pt>
                <c:pt idx="151">
                  <c:v>158.05765541236556</c:v>
                </c:pt>
                <c:pt idx="152">
                  <c:v>159.10439485218257</c:v>
                </c:pt>
                <c:pt idx="153">
                  <c:v>160.15113429199957</c:v>
                </c:pt>
                <c:pt idx="154">
                  <c:v>161.19787373181654</c:v>
                </c:pt>
                <c:pt idx="155">
                  <c:v>162.24461317163355</c:v>
                </c:pt>
                <c:pt idx="156">
                  <c:v>163.29135261145052</c:v>
                </c:pt>
                <c:pt idx="157">
                  <c:v>164.33809205126752</c:v>
                </c:pt>
                <c:pt idx="158">
                  <c:v>165.38483149108453</c:v>
                </c:pt>
                <c:pt idx="159">
                  <c:v>166.4315709309015</c:v>
                </c:pt>
                <c:pt idx="160">
                  <c:v>167.4783103707185</c:v>
                </c:pt>
                <c:pt idx="161">
                  <c:v>168.52504981053548</c:v>
                </c:pt>
                <c:pt idx="162">
                  <c:v>169.57178925035248</c:v>
                </c:pt>
                <c:pt idx="163">
                  <c:v>170.61852869016946</c:v>
                </c:pt>
                <c:pt idx="164">
                  <c:v>171.66526812998643</c:v>
                </c:pt>
                <c:pt idx="165">
                  <c:v>172.71200756980343</c:v>
                </c:pt>
                <c:pt idx="166">
                  <c:v>173.75874700962041</c:v>
                </c:pt>
                <c:pt idx="167">
                  <c:v>174.80548644943741</c:v>
                </c:pt>
                <c:pt idx="168">
                  <c:v>175.85222588925441</c:v>
                </c:pt>
                <c:pt idx="169">
                  <c:v>176.89896532907139</c:v>
                </c:pt>
                <c:pt idx="170">
                  <c:v>177.94570476888839</c:v>
                </c:pt>
                <c:pt idx="171">
                  <c:v>178.99244420870536</c:v>
                </c:pt>
                <c:pt idx="172">
                  <c:v>180.03918364852237</c:v>
                </c:pt>
                <c:pt idx="173">
                  <c:v>181.08592308833937</c:v>
                </c:pt>
                <c:pt idx="174">
                  <c:v>182.13266252815635</c:v>
                </c:pt>
                <c:pt idx="175">
                  <c:v>183.17940196797335</c:v>
                </c:pt>
                <c:pt idx="176">
                  <c:v>184.22614140779032</c:v>
                </c:pt>
                <c:pt idx="177">
                  <c:v>185.27288084760733</c:v>
                </c:pt>
                <c:pt idx="178">
                  <c:v>186.31962028742433</c:v>
                </c:pt>
                <c:pt idx="179">
                  <c:v>187.3663597272413</c:v>
                </c:pt>
                <c:pt idx="180">
                  <c:v>188.41309916705831</c:v>
                </c:pt>
                <c:pt idx="181">
                  <c:v>189.45983860687528</c:v>
                </c:pt>
                <c:pt idx="182">
                  <c:v>190.50657804669228</c:v>
                </c:pt>
                <c:pt idx="183">
                  <c:v>191.55331748650929</c:v>
                </c:pt>
                <c:pt idx="184">
                  <c:v>192.60005692632626</c:v>
                </c:pt>
                <c:pt idx="185">
                  <c:v>193.64679636614326</c:v>
                </c:pt>
                <c:pt idx="186">
                  <c:v>194.69353580596024</c:v>
                </c:pt>
                <c:pt idx="187">
                  <c:v>195.74027524577724</c:v>
                </c:pt>
                <c:pt idx="188">
                  <c:v>196.78701468559422</c:v>
                </c:pt>
                <c:pt idx="189">
                  <c:v>197.83375412541119</c:v>
                </c:pt>
                <c:pt idx="190">
                  <c:v>198.88049356522819</c:v>
                </c:pt>
                <c:pt idx="191">
                  <c:v>199.9272330050452</c:v>
                </c:pt>
                <c:pt idx="192">
                  <c:v>200.97397244486217</c:v>
                </c:pt>
                <c:pt idx="193">
                  <c:v>202.02071188467917</c:v>
                </c:pt>
                <c:pt idx="194">
                  <c:v>203.06745132449615</c:v>
                </c:pt>
                <c:pt idx="195">
                  <c:v>204.11419076431315</c:v>
                </c:pt>
                <c:pt idx="196">
                  <c:v>205.16093020413015</c:v>
                </c:pt>
                <c:pt idx="197">
                  <c:v>206.20766964394713</c:v>
                </c:pt>
                <c:pt idx="198">
                  <c:v>207.25440908376413</c:v>
                </c:pt>
                <c:pt idx="199">
                  <c:v>208.30114852358111</c:v>
                </c:pt>
                <c:pt idx="200">
                  <c:v>209.34788796339811</c:v>
                </c:pt>
                <c:pt idx="201">
                  <c:v>210.39462740321508</c:v>
                </c:pt>
                <c:pt idx="202">
                  <c:v>211.44136684303209</c:v>
                </c:pt>
                <c:pt idx="203">
                  <c:v>212.48810628284906</c:v>
                </c:pt>
                <c:pt idx="204">
                  <c:v>213.53484572266606</c:v>
                </c:pt>
                <c:pt idx="205">
                  <c:v>214.58158516248304</c:v>
                </c:pt>
                <c:pt idx="206">
                  <c:v>215.62832460230007</c:v>
                </c:pt>
                <c:pt idx="207">
                  <c:v>216.67506404211701</c:v>
                </c:pt>
                <c:pt idx="208">
                  <c:v>217.72180348193405</c:v>
                </c:pt>
                <c:pt idx="209">
                  <c:v>218.76854292175102</c:v>
                </c:pt>
                <c:pt idx="210">
                  <c:v>219.81528236156802</c:v>
                </c:pt>
                <c:pt idx="211">
                  <c:v>220.862021801385</c:v>
                </c:pt>
                <c:pt idx="212">
                  <c:v>221.908761241202</c:v>
                </c:pt>
                <c:pt idx="213">
                  <c:v>222.95550068101898</c:v>
                </c:pt>
                <c:pt idx="214">
                  <c:v>224.00224012083598</c:v>
                </c:pt>
                <c:pt idx="215">
                  <c:v>225.04897956065295</c:v>
                </c:pt>
                <c:pt idx="216">
                  <c:v>226.09571900046998</c:v>
                </c:pt>
                <c:pt idx="217">
                  <c:v>227.14245844028693</c:v>
                </c:pt>
                <c:pt idx="218">
                  <c:v>228.18919788010396</c:v>
                </c:pt>
                <c:pt idx="219">
                  <c:v>229.23593731992094</c:v>
                </c:pt>
                <c:pt idx="220">
                  <c:v>230.28267675973794</c:v>
                </c:pt>
                <c:pt idx="221">
                  <c:v>231.32941619955491</c:v>
                </c:pt>
                <c:pt idx="222">
                  <c:v>232.37615563937192</c:v>
                </c:pt>
                <c:pt idx="223">
                  <c:v>233.42289507918889</c:v>
                </c:pt>
                <c:pt idx="224">
                  <c:v>234.46963451900589</c:v>
                </c:pt>
                <c:pt idx="225">
                  <c:v>235.51637395882287</c:v>
                </c:pt>
                <c:pt idx="226">
                  <c:v>236.56311339863984</c:v>
                </c:pt>
                <c:pt idx="227">
                  <c:v>237.60985283845685</c:v>
                </c:pt>
                <c:pt idx="228">
                  <c:v>238.65659227827382</c:v>
                </c:pt>
                <c:pt idx="229">
                  <c:v>239.70333171809085</c:v>
                </c:pt>
                <c:pt idx="230">
                  <c:v>240.7500711579078</c:v>
                </c:pt>
                <c:pt idx="231">
                  <c:v>241.79681059772483</c:v>
                </c:pt>
                <c:pt idx="232">
                  <c:v>242.84355003754177</c:v>
                </c:pt>
                <c:pt idx="233">
                  <c:v>243.89028947735881</c:v>
                </c:pt>
                <c:pt idx="234">
                  <c:v>244.93702891717578</c:v>
                </c:pt>
                <c:pt idx="235">
                  <c:v>245.98376835699278</c:v>
                </c:pt>
                <c:pt idx="236">
                  <c:v>247.03050779680976</c:v>
                </c:pt>
                <c:pt idx="237">
                  <c:v>248.07724723662676</c:v>
                </c:pt>
                <c:pt idx="238">
                  <c:v>249.12398667644374</c:v>
                </c:pt>
                <c:pt idx="239">
                  <c:v>250.17072611626074</c:v>
                </c:pt>
                <c:pt idx="240">
                  <c:v>251.21746555607771</c:v>
                </c:pt>
                <c:pt idx="241">
                  <c:v>252.26420499589474</c:v>
                </c:pt>
                <c:pt idx="242">
                  <c:v>253.31094443571169</c:v>
                </c:pt>
                <c:pt idx="243">
                  <c:v>254.35768387552872</c:v>
                </c:pt>
                <c:pt idx="244">
                  <c:v>255.4044233153457</c:v>
                </c:pt>
                <c:pt idx="245">
                  <c:v>256.45116275516273</c:v>
                </c:pt>
                <c:pt idx="246">
                  <c:v>257.49790219497964</c:v>
                </c:pt>
                <c:pt idx="247">
                  <c:v>258.54464163479668</c:v>
                </c:pt>
                <c:pt idx="248">
                  <c:v>259.59138107461365</c:v>
                </c:pt>
                <c:pt idx="249">
                  <c:v>260.63812051443068</c:v>
                </c:pt>
                <c:pt idx="250">
                  <c:v>261.68485995424766</c:v>
                </c:pt>
                <c:pt idx="251">
                  <c:v>262.73159939406463</c:v>
                </c:pt>
                <c:pt idx="252">
                  <c:v>263.77833883388161</c:v>
                </c:pt>
                <c:pt idx="253">
                  <c:v>264.82507827369858</c:v>
                </c:pt>
                <c:pt idx="254">
                  <c:v>265.87181771351561</c:v>
                </c:pt>
                <c:pt idx="255">
                  <c:v>266.91855715333259</c:v>
                </c:pt>
                <c:pt idx="256">
                  <c:v>267.96529659314956</c:v>
                </c:pt>
                <c:pt idx="257">
                  <c:v>269.01203603296653</c:v>
                </c:pt>
                <c:pt idx="258">
                  <c:v>270.05877547278357</c:v>
                </c:pt>
                <c:pt idx="259">
                  <c:v>271.10551491260054</c:v>
                </c:pt>
                <c:pt idx="260">
                  <c:v>272.15225435241757</c:v>
                </c:pt>
                <c:pt idx="261">
                  <c:v>273.19899379223455</c:v>
                </c:pt>
                <c:pt idx="262">
                  <c:v>274.24573323205152</c:v>
                </c:pt>
                <c:pt idx="263">
                  <c:v>275.2924726718685</c:v>
                </c:pt>
                <c:pt idx="264">
                  <c:v>276.33921211168553</c:v>
                </c:pt>
                <c:pt idx="265">
                  <c:v>277.3859515515025</c:v>
                </c:pt>
                <c:pt idx="266">
                  <c:v>278.43269099131948</c:v>
                </c:pt>
                <c:pt idx="267">
                  <c:v>279.47943043113645</c:v>
                </c:pt>
                <c:pt idx="268">
                  <c:v>280.52616987095348</c:v>
                </c:pt>
                <c:pt idx="269">
                  <c:v>281.57290931077046</c:v>
                </c:pt>
                <c:pt idx="270">
                  <c:v>282.61964875058749</c:v>
                </c:pt>
                <c:pt idx="271">
                  <c:v>283.6663881904044</c:v>
                </c:pt>
                <c:pt idx="272">
                  <c:v>284.71312763022144</c:v>
                </c:pt>
                <c:pt idx="273">
                  <c:v>285.75986707003841</c:v>
                </c:pt>
                <c:pt idx="274">
                  <c:v>286.80660650985544</c:v>
                </c:pt>
                <c:pt idx="275">
                  <c:v>287.85334594967242</c:v>
                </c:pt>
                <c:pt idx="276">
                  <c:v>288.90008538948939</c:v>
                </c:pt>
                <c:pt idx="277">
                  <c:v>289.94682482930637</c:v>
                </c:pt>
                <c:pt idx="278">
                  <c:v>290.99356426912334</c:v>
                </c:pt>
                <c:pt idx="279">
                  <c:v>292.04030370894037</c:v>
                </c:pt>
                <c:pt idx="280">
                  <c:v>293.08704314875735</c:v>
                </c:pt>
                <c:pt idx="281">
                  <c:v>294.13378258857432</c:v>
                </c:pt>
                <c:pt idx="282">
                  <c:v>295.18052202839129</c:v>
                </c:pt>
                <c:pt idx="283">
                  <c:v>296.22726146820833</c:v>
                </c:pt>
                <c:pt idx="284">
                  <c:v>297.2740009080253</c:v>
                </c:pt>
                <c:pt idx="285">
                  <c:v>298.32074034784233</c:v>
                </c:pt>
                <c:pt idx="286">
                  <c:v>299.36747978765931</c:v>
                </c:pt>
                <c:pt idx="287">
                  <c:v>300.41421922747628</c:v>
                </c:pt>
                <c:pt idx="288">
                  <c:v>301.46095866729326</c:v>
                </c:pt>
                <c:pt idx="289">
                  <c:v>302.50769810711029</c:v>
                </c:pt>
                <c:pt idx="290">
                  <c:v>303.55443754692726</c:v>
                </c:pt>
                <c:pt idx="291">
                  <c:v>304.60117698674424</c:v>
                </c:pt>
                <c:pt idx="292">
                  <c:v>305.64791642656121</c:v>
                </c:pt>
                <c:pt idx="293">
                  <c:v>306.69465586637824</c:v>
                </c:pt>
                <c:pt idx="294">
                  <c:v>307.74139530619522</c:v>
                </c:pt>
                <c:pt idx="295">
                  <c:v>308.78813474601225</c:v>
                </c:pt>
                <c:pt idx="296">
                  <c:v>309.83487418582922</c:v>
                </c:pt>
                <c:pt idx="297">
                  <c:v>310.8816136256462</c:v>
                </c:pt>
                <c:pt idx="298">
                  <c:v>311.92835306546317</c:v>
                </c:pt>
                <c:pt idx="299">
                  <c:v>312.9750925052802</c:v>
                </c:pt>
                <c:pt idx="300">
                  <c:v>314.02183194509718</c:v>
                </c:pt>
                <c:pt idx="301">
                  <c:v>315.06857138491415</c:v>
                </c:pt>
                <c:pt idx="302">
                  <c:v>316.11531082473113</c:v>
                </c:pt>
                <c:pt idx="303">
                  <c:v>317.1620502645481</c:v>
                </c:pt>
                <c:pt idx="304">
                  <c:v>318.20878970436513</c:v>
                </c:pt>
                <c:pt idx="305">
                  <c:v>319.25552914418211</c:v>
                </c:pt>
                <c:pt idx="306">
                  <c:v>320.30226858399914</c:v>
                </c:pt>
                <c:pt idx="307">
                  <c:v>321.34900802381605</c:v>
                </c:pt>
                <c:pt idx="308">
                  <c:v>322.39574746363309</c:v>
                </c:pt>
                <c:pt idx="309">
                  <c:v>323.44248690345006</c:v>
                </c:pt>
                <c:pt idx="310">
                  <c:v>324.48922634326709</c:v>
                </c:pt>
                <c:pt idx="311">
                  <c:v>325.53596578308407</c:v>
                </c:pt>
                <c:pt idx="312">
                  <c:v>326.58270522290104</c:v>
                </c:pt>
                <c:pt idx="313">
                  <c:v>327.62944466271802</c:v>
                </c:pt>
                <c:pt idx="314">
                  <c:v>328.67618410253505</c:v>
                </c:pt>
                <c:pt idx="315">
                  <c:v>329.72292354235202</c:v>
                </c:pt>
                <c:pt idx="316">
                  <c:v>330.76966298216905</c:v>
                </c:pt>
                <c:pt idx="317">
                  <c:v>331.81640242198597</c:v>
                </c:pt>
                <c:pt idx="318">
                  <c:v>332.863141861803</c:v>
                </c:pt>
                <c:pt idx="319">
                  <c:v>333.90988130161998</c:v>
                </c:pt>
                <c:pt idx="320">
                  <c:v>334.95662074143701</c:v>
                </c:pt>
                <c:pt idx="321">
                  <c:v>336.00336018125398</c:v>
                </c:pt>
                <c:pt idx="322">
                  <c:v>337.05009962107096</c:v>
                </c:pt>
                <c:pt idx="323">
                  <c:v>338.09683906088793</c:v>
                </c:pt>
                <c:pt idx="324">
                  <c:v>339.14357850070496</c:v>
                </c:pt>
                <c:pt idx="325">
                  <c:v>340.19031794052194</c:v>
                </c:pt>
                <c:pt idx="326">
                  <c:v>341.23705738033891</c:v>
                </c:pt>
                <c:pt idx="327">
                  <c:v>342.2837968201564</c:v>
                </c:pt>
                <c:pt idx="328">
                  <c:v>343.33053625997343</c:v>
                </c:pt>
                <c:pt idx="329">
                  <c:v>344.3772756997904</c:v>
                </c:pt>
                <c:pt idx="330">
                  <c:v>345.42401513960743</c:v>
                </c:pt>
                <c:pt idx="331">
                  <c:v>346.47075457942441</c:v>
                </c:pt>
                <c:pt idx="332">
                  <c:v>347.51749401924138</c:v>
                </c:pt>
                <c:pt idx="333">
                  <c:v>348.56423345905836</c:v>
                </c:pt>
                <c:pt idx="334">
                  <c:v>349.61097289887539</c:v>
                </c:pt>
                <c:pt idx="335">
                  <c:v>350.65771233869236</c:v>
                </c:pt>
                <c:pt idx="336">
                  <c:v>351.70445177850939</c:v>
                </c:pt>
                <c:pt idx="337">
                  <c:v>352.75119121832631</c:v>
                </c:pt>
                <c:pt idx="338">
                  <c:v>353.79793065814329</c:v>
                </c:pt>
                <c:pt idx="339">
                  <c:v>354.84467009796032</c:v>
                </c:pt>
                <c:pt idx="340">
                  <c:v>355.89140953777729</c:v>
                </c:pt>
                <c:pt idx="341">
                  <c:v>356.93814897759432</c:v>
                </c:pt>
                <c:pt idx="342">
                  <c:v>357.98488841741124</c:v>
                </c:pt>
                <c:pt idx="343">
                  <c:v>359.03162785722827</c:v>
                </c:pt>
                <c:pt idx="344">
                  <c:v>360.07836729704525</c:v>
                </c:pt>
                <c:pt idx="345">
                  <c:v>361.12510673686228</c:v>
                </c:pt>
                <c:pt idx="346">
                  <c:v>362.17184617667925</c:v>
                </c:pt>
                <c:pt idx="347">
                  <c:v>363.21858561649623</c:v>
                </c:pt>
                <c:pt idx="348">
                  <c:v>364.26532505631377</c:v>
                </c:pt>
                <c:pt idx="349">
                  <c:v>365.31206449613074</c:v>
                </c:pt>
                <c:pt idx="350">
                  <c:v>366.35880393594778</c:v>
                </c:pt>
                <c:pt idx="351">
                  <c:v>367.40554337576475</c:v>
                </c:pt>
                <c:pt idx="352">
                  <c:v>368.45228281558167</c:v>
                </c:pt>
                <c:pt idx="353">
                  <c:v>369.4990222553987</c:v>
                </c:pt>
                <c:pt idx="354">
                  <c:v>370.54576169521567</c:v>
                </c:pt>
                <c:pt idx="355">
                  <c:v>371.59250113503271</c:v>
                </c:pt>
                <c:pt idx="356">
                  <c:v>372.63924057484968</c:v>
                </c:pt>
                <c:pt idx="357">
                  <c:v>373.68598001466665</c:v>
                </c:pt>
                <c:pt idx="358">
                  <c:v>374.73271945448363</c:v>
                </c:pt>
                <c:pt idx="359">
                  <c:v>375.77945889430066</c:v>
                </c:pt>
                <c:pt idx="360">
                  <c:v>376.82619833411763</c:v>
                </c:pt>
                <c:pt idx="361">
                  <c:v>377.87293777393467</c:v>
                </c:pt>
                <c:pt idx="362">
                  <c:v>378.91967721375158</c:v>
                </c:pt>
                <c:pt idx="363">
                  <c:v>379.96641665356861</c:v>
                </c:pt>
                <c:pt idx="364">
                  <c:v>381.01315609338559</c:v>
                </c:pt>
                <c:pt idx="365">
                  <c:v>382.05989553320262</c:v>
                </c:pt>
                <c:pt idx="366">
                  <c:v>383.1066349730196</c:v>
                </c:pt>
                <c:pt idx="367">
                  <c:v>384.15337441283657</c:v>
                </c:pt>
                <c:pt idx="368">
                  <c:v>385.20011385265354</c:v>
                </c:pt>
                <c:pt idx="369">
                  <c:v>386.24685329247058</c:v>
                </c:pt>
                <c:pt idx="370">
                  <c:v>387.29359273228806</c:v>
                </c:pt>
                <c:pt idx="371">
                  <c:v>388.34033217210509</c:v>
                </c:pt>
                <c:pt idx="372">
                  <c:v>389.38707161192201</c:v>
                </c:pt>
                <c:pt idx="373">
                  <c:v>390.43381105173904</c:v>
                </c:pt>
                <c:pt idx="374">
                  <c:v>391.48055049155602</c:v>
                </c:pt>
                <c:pt idx="375">
                  <c:v>392.52728993137305</c:v>
                </c:pt>
                <c:pt idx="376">
                  <c:v>393.57402937119002</c:v>
                </c:pt>
                <c:pt idx="377">
                  <c:v>394.620768811007</c:v>
                </c:pt>
                <c:pt idx="378">
                  <c:v>395.66750825082397</c:v>
                </c:pt>
                <c:pt idx="379">
                  <c:v>396.714247690641</c:v>
                </c:pt>
                <c:pt idx="380">
                  <c:v>397.76098713045798</c:v>
                </c:pt>
                <c:pt idx="381">
                  <c:v>398.80772657027501</c:v>
                </c:pt>
                <c:pt idx="382">
                  <c:v>399.85446601009193</c:v>
                </c:pt>
                <c:pt idx="383">
                  <c:v>400.90120544990896</c:v>
                </c:pt>
                <c:pt idx="384">
                  <c:v>401.94794488972593</c:v>
                </c:pt>
                <c:pt idx="385">
                  <c:v>402.99468432954296</c:v>
                </c:pt>
                <c:pt idx="386">
                  <c:v>404.04142376935994</c:v>
                </c:pt>
                <c:pt idx="387">
                  <c:v>405.08816320917691</c:v>
                </c:pt>
                <c:pt idx="388">
                  <c:v>406.13490264899389</c:v>
                </c:pt>
                <c:pt idx="389">
                  <c:v>407.18164208881086</c:v>
                </c:pt>
                <c:pt idx="390">
                  <c:v>408.22838152862789</c:v>
                </c:pt>
                <c:pt idx="391">
                  <c:v>409.27512096844544</c:v>
                </c:pt>
                <c:pt idx="392">
                  <c:v>410.32186040826235</c:v>
                </c:pt>
                <c:pt idx="393">
                  <c:v>411.36859984807938</c:v>
                </c:pt>
                <c:pt idx="394">
                  <c:v>412.41533928789636</c:v>
                </c:pt>
                <c:pt idx="395">
                  <c:v>413.46207872771339</c:v>
                </c:pt>
                <c:pt idx="396">
                  <c:v>414.50881816753036</c:v>
                </c:pt>
                <c:pt idx="397">
                  <c:v>415.55555760734734</c:v>
                </c:pt>
                <c:pt idx="398">
                  <c:v>416.60229704716431</c:v>
                </c:pt>
                <c:pt idx="399">
                  <c:v>417.64903648698134</c:v>
                </c:pt>
                <c:pt idx="400">
                  <c:v>418.69577592679838</c:v>
                </c:pt>
                <c:pt idx="401">
                  <c:v>419.74251536661535</c:v>
                </c:pt>
                <c:pt idx="402">
                  <c:v>420.78925480643227</c:v>
                </c:pt>
                <c:pt idx="403">
                  <c:v>421.83599424624924</c:v>
                </c:pt>
                <c:pt idx="404">
                  <c:v>422.88273368606622</c:v>
                </c:pt>
                <c:pt idx="405">
                  <c:v>423.92947312588331</c:v>
                </c:pt>
                <c:pt idx="406">
                  <c:v>424.97621256570028</c:v>
                </c:pt>
                <c:pt idx="407">
                  <c:v>426.0229520055172</c:v>
                </c:pt>
                <c:pt idx="408">
                  <c:v>427.06969144533417</c:v>
                </c:pt>
                <c:pt idx="409">
                  <c:v>428.11643088515126</c:v>
                </c:pt>
                <c:pt idx="410">
                  <c:v>429.16317032496823</c:v>
                </c:pt>
                <c:pt idx="411">
                  <c:v>430.20990976478521</c:v>
                </c:pt>
                <c:pt idx="412">
                  <c:v>431.25664920460218</c:v>
                </c:pt>
                <c:pt idx="413">
                  <c:v>432.30338864441967</c:v>
                </c:pt>
                <c:pt idx="414">
                  <c:v>433.35012808423676</c:v>
                </c:pt>
                <c:pt idx="415">
                  <c:v>434.39686752405373</c:v>
                </c:pt>
                <c:pt idx="416">
                  <c:v>435.44360696387071</c:v>
                </c:pt>
                <c:pt idx="417">
                  <c:v>436.49034640368762</c:v>
                </c:pt>
                <c:pt idx="418">
                  <c:v>437.5370858435046</c:v>
                </c:pt>
                <c:pt idx="419">
                  <c:v>438.58382528332169</c:v>
                </c:pt>
                <c:pt idx="420">
                  <c:v>439.63056472313866</c:v>
                </c:pt>
                <c:pt idx="421">
                  <c:v>440.67730416295564</c:v>
                </c:pt>
                <c:pt idx="422">
                  <c:v>441.72404360277261</c:v>
                </c:pt>
                <c:pt idx="423">
                  <c:v>442.77078304258964</c:v>
                </c:pt>
                <c:pt idx="424">
                  <c:v>443.81752248240662</c:v>
                </c:pt>
                <c:pt idx="425">
                  <c:v>444.86426192222359</c:v>
                </c:pt>
                <c:pt idx="426">
                  <c:v>445.91100136204057</c:v>
                </c:pt>
                <c:pt idx="427">
                  <c:v>446.9577408018576</c:v>
                </c:pt>
                <c:pt idx="428">
                  <c:v>448.00448024167457</c:v>
                </c:pt>
                <c:pt idx="429">
                  <c:v>449.05121968149155</c:v>
                </c:pt>
                <c:pt idx="430">
                  <c:v>450.09795912130852</c:v>
                </c:pt>
                <c:pt idx="431">
                  <c:v>451.14469856112555</c:v>
                </c:pt>
                <c:pt idx="432">
                  <c:v>452.19143800094253</c:v>
                </c:pt>
                <c:pt idx="433">
                  <c:v>453.2381774407595</c:v>
                </c:pt>
                <c:pt idx="434">
                  <c:v>454.28491688057647</c:v>
                </c:pt>
                <c:pt idx="435">
                  <c:v>455.33165632039402</c:v>
                </c:pt>
                <c:pt idx="436">
                  <c:v>456.37839576021099</c:v>
                </c:pt>
                <c:pt idx="437">
                  <c:v>457.42513520002802</c:v>
                </c:pt>
                <c:pt idx="438">
                  <c:v>458.471874639845</c:v>
                </c:pt>
                <c:pt idx="439">
                  <c:v>459.51861407966197</c:v>
                </c:pt>
                <c:pt idx="440">
                  <c:v>460.56535351947895</c:v>
                </c:pt>
                <c:pt idx="441">
                  <c:v>461.61209295929598</c:v>
                </c:pt>
                <c:pt idx="442">
                  <c:v>462.65883239911295</c:v>
                </c:pt>
                <c:pt idx="443">
                  <c:v>463.70557183892993</c:v>
                </c:pt>
                <c:pt idx="444">
                  <c:v>464.7523112787469</c:v>
                </c:pt>
                <c:pt idx="445">
                  <c:v>465.79905071856399</c:v>
                </c:pt>
                <c:pt idx="446">
                  <c:v>466.84579015838096</c:v>
                </c:pt>
                <c:pt idx="447">
                  <c:v>467.89252959819788</c:v>
                </c:pt>
                <c:pt idx="448">
                  <c:v>468.93926903801486</c:v>
                </c:pt>
                <c:pt idx="449">
                  <c:v>469.98600847783194</c:v>
                </c:pt>
                <c:pt idx="450">
                  <c:v>471.03274791764892</c:v>
                </c:pt>
                <c:pt idx="451">
                  <c:v>472.07948735746589</c:v>
                </c:pt>
                <c:pt idx="452">
                  <c:v>473.12622679728287</c:v>
                </c:pt>
                <c:pt idx="453">
                  <c:v>474.17296623709979</c:v>
                </c:pt>
                <c:pt idx="454">
                  <c:v>475.21970567691687</c:v>
                </c:pt>
                <c:pt idx="455">
                  <c:v>476.26644511673385</c:v>
                </c:pt>
                <c:pt idx="456">
                  <c:v>477.31318455655139</c:v>
                </c:pt>
                <c:pt idx="457">
                  <c:v>478.35992399636831</c:v>
                </c:pt>
                <c:pt idx="458">
                  <c:v>479.40666343618528</c:v>
                </c:pt>
                <c:pt idx="459">
                  <c:v>480.45340287600237</c:v>
                </c:pt>
                <c:pt idx="460">
                  <c:v>481.50014231581935</c:v>
                </c:pt>
                <c:pt idx="461">
                  <c:v>482.54688175563632</c:v>
                </c:pt>
                <c:pt idx="462">
                  <c:v>483.59362119545324</c:v>
                </c:pt>
                <c:pt idx="463">
                  <c:v>484.64036063527033</c:v>
                </c:pt>
                <c:pt idx="464">
                  <c:v>485.6871000750873</c:v>
                </c:pt>
                <c:pt idx="465">
                  <c:v>486.73383951490428</c:v>
                </c:pt>
                <c:pt idx="466">
                  <c:v>487.78057895472125</c:v>
                </c:pt>
                <c:pt idx="467">
                  <c:v>488.82731839453822</c:v>
                </c:pt>
                <c:pt idx="468">
                  <c:v>489.87405783435526</c:v>
                </c:pt>
                <c:pt idx="469">
                  <c:v>490.92079727417223</c:v>
                </c:pt>
                <c:pt idx="470">
                  <c:v>491.9675367139892</c:v>
                </c:pt>
                <c:pt idx="471">
                  <c:v>493.01427615380618</c:v>
                </c:pt>
                <c:pt idx="472">
                  <c:v>494.06101559362321</c:v>
                </c:pt>
                <c:pt idx="473">
                  <c:v>495.10775503344018</c:v>
                </c:pt>
                <c:pt idx="474">
                  <c:v>496.15449447325716</c:v>
                </c:pt>
                <c:pt idx="475">
                  <c:v>497.20123391307413</c:v>
                </c:pt>
                <c:pt idx="476">
                  <c:v>498.24797335289117</c:v>
                </c:pt>
                <c:pt idx="477">
                  <c:v>499.29471279270814</c:v>
                </c:pt>
                <c:pt idx="478">
                  <c:v>500.34145223252568</c:v>
                </c:pt>
                <c:pt idx="479">
                  <c:v>501.38819167234266</c:v>
                </c:pt>
                <c:pt idx="480">
                  <c:v>502.43493111215963</c:v>
                </c:pt>
                <c:pt idx="481">
                  <c:v>503.48167055197661</c:v>
                </c:pt>
                <c:pt idx="482">
                  <c:v>504.52840999179364</c:v>
                </c:pt>
                <c:pt idx="483">
                  <c:v>505.57514943161061</c:v>
                </c:pt>
                <c:pt idx="484">
                  <c:v>506.62188887142759</c:v>
                </c:pt>
                <c:pt idx="485">
                  <c:v>507.66862831124456</c:v>
                </c:pt>
                <c:pt idx="486">
                  <c:v>508.71536775106159</c:v>
                </c:pt>
                <c:pt idx="487">
                  <c:v>509.76210719087857</c:v>
                </c:pt>
                <c:pt idx="488">
                  <c:v>510.80884663069554</c:v>
                </c:pt>
                <c:pt idx="489">
                  <c:v>511.85558607051252</c:v>
                </c:pt>
                <c:pt idx="490">
                  <c:v>512.90232551032955</c:v>
                </c:pt>
                <c:pt idx="491">
                  <c:v>513.94906495014652</c:v>
                </c:pt>
                <c:pt idx="492">
                  <c:v>514.9958043899635</c:v>
                </c:pt>
                <c:pt idx="493">
                  <c:v>516.04254382978047</c:v>
                </c:pt>
                <c:pt idx="494">
                  <c:v>517.08928326959756</c:v>
                </c:pt>
                <c:pt idx="495">
                  <c:v>518.13602270941453</c:v>
                </c:pt>
                <c:pt idx="496">
                  <c:v>519.18276214923151</c:v>
                </c:pt>
                <c:pt idx="497">
                  <c:v>520.22950158904848</c:v>
                </c:pt>
                <c:pt idx="498">
                  <c:v>521.27624102886557</c:v>
                </c:pt>
                <c:pt idx="499">
                  <c:v>522.32298046868243</c:v>
                </c:pt>
                <c:pt idx="500">
                  <c:v>523.36971990850043</c:v>
                </c:pt>
                <c:pt idx="501">
                  <c:v>524.41645934831752</c:v>
                </c:pt>
                <c:pt idx="502">
                  <c:v>525.46319878813449</c:v>
                </c:pt>
                <c:pt idx="503">
                  <c:v>526.50993822795147</c:v>
                </c:pt>
                <c:pt idx="504">
                  <c:v>527.55667766776844</c:v>
                </c:pt>
                <c:pt idx="505">
                  <c:v>528.60341710758541</c:v>
                </c:pt>
                <c:pt idx="506">
                  <c:v>529.6501565474025</c:v>
                </c:pt>
                <c:pt idx="507">
                  <c:v>530.69689598721948</c:v>
                </c:pt>
                <c:pt idx="508">
                  <c:v>531.74363542703645</c:v>
                </c:pt>
                <c:pt idx="509">
                  <c:v>532.79037486685343</c:v>
                </c:pt>
                <c:pt idx="510">
                  <c:v>533.8371143066704</c:v>
                </c:pt>
                <c:pt idx="511">
                  <c:v>534.88385374648738</c:v>
                </c:pt>
                <c:pt idx="512">
                  <c:v>535.93059318630435</c:v>
                </c:pt>
                <c:pt idx="513">
                  <c:v>536.97733262612132</c:v>
                </c:pt>
                <c:pt idx="514">
                  <c:v>538.02407206593841</c:v>
                </c:pt>
                <c:pt idx="515">
                  <c:v>539.07081150575539</c:v>
                </c:pt>
                <c:pt idx="516">
                  <c:v>540.11755094557236</c:v>
                </c:pt>
                <c:pt idx="517">
                  <c:v>541.16429038538934</c:v>
                </c:pt>
                <c:pt idx="518">
                  <c:v>542.21102982520642</c:v>
                </c:pt>
                <c:pt idx="519">
                  <c:v>543.25776926502328</c:v>
                </c:pt>
                <c:pt idx="520">
                  <c:v>544.30450870484026</c:v>
                </c:pt>
                <c:pt idx="521">
                  <c:v>545.35124814465723</c:v>
                </c:pt>
                <c:pt idx="522">
                  <c:v>546.39798758447432</c:v>
                </c:pt>
                <c:pt idx="523">
                  <c:v>547.4447270242913</c:v>
                </c:pt>
                <c:pt idx="524">
                  <c:v>548.49146646410827</c:v>
                </c:pt>
                <c:pt idx="525">
                  <c:v>549.53820590392525</c:v>
                </c:pt>
                <c:pt idx="526">
                  <c:v>550.58494534374233</c:v>
                </c:pt>
                <c:pt idx="527">
                  <c:v>551.63168478355931</c:v>
                </c:pt>
                <c:pt idx="528">
                  <c:v>552.67842422337628</c:v>
                </c:pt>
                <c:pt idx="529">
                  <c:v>553.72516366319326</c:v>
                </c:pt>
                <c:pt idx="530">
                  <c:v>554.77190310301012</c:v>
                </c:pt>
                <c:pt idx="531">
                  <c:v>555.81864254282721</c:v>
                </c:pt>
                <c:pt idx="532">
                  <c:v>556.86538198264418</c:v>
                </c:pt>
                <c:pt idx="533">
                  <c:v>557.91212142246115</c:v>
                </c:pt>
                <c:pt idx="534">
                  <c:v>558.95886086227813</c:v>
                </c:pt>
                <c:pt idx="535">
                  <c:v>560.00560030209522</c:v>
                </c:pt>
                <c:pt idx="536">
                  <c:v>561.05233974191219</c:v>
                </c:pt>
                <c:pt idx="537">
                  <c:v>562.09907918172917</c:v>
                </c:pt>
                <c:pt idx="538">
                  <c:v>563.14581862154614</c:v>
                </c:pt>
                <c:pt idx="539">
                  <c:v>564.19255806136312</c:v>
                </c:pt>
                <c:pt idx="540">
                  <c:v>565.23929750118009</c:v>
                </c:pt>
                <c:pt idx="541">
                  <c:v>566.28603694099706</c:v>
                </c:pt>
                <c:pt idx="542">
                  <c:v>567.33277638081404</c:v>
                </c:pt>
                <c:pt idx="543">
                  <c:v>568.37951582063113</c:v>
                </c:pt>
                <c:pt idx="544">
                  <c:v>569.4262552604481</c:v>
                </c:pt>
                <c:pt idx="545">
                  <c:v>570.47299470026508</c:v>
                </c:pt>
                <c:pt idx="546">
                  <c:v>571.51973414008205</c:v>
                </c:pt>
                <c:pt idx="547">
                  <c:v>572.56647357989914</c:v>
                </c:pt>
                <c:pt idx="548">
                  <c:v>573.61321301971611</c:v>
                </c:pt>
                <c:pt idx="549">
                  <c:v>574.65995245953309</c:v>
                </c:pt>
                <c:pt idx="550">
                  <c:v>575.70669189934995</c:v>
                </c:pt>
                <c:pt idx="551">
                  <c:v>576.75343133916704</c:v>
                </c:pt>
                <c:pt idx="552">
                  <c:v>577.80017077898401</c:v>
                </c:pt>
                <c:pt idx="553">
                  <c:v>578.84691021880099</c:v>
                </c:pt>
                <c:pt idx="554">
                  <c:v>579.89364965861796</c:v>
                </c:pt>
                <c:pt idx="555">
                  <c:v>580.94038909843493</c:v>
                </c:pt>
                <c:pt idx="556">
                  <c:v>581.98712853825202</c:v>
                </c:pt>
                <c:pt idx="557">
                  <c:v>583.033867978069</c:v>
                </c:pt>
                <c:pt idx="558">
                  <c:v>584.08060741788597</c:v>
                </c:pt>
                <c:pt idx="559">
                  <c:v>585.12734685770295</c:v>
                </c:pt>
                <c:pt idx="560">
                  <c:v>586.17408629751992</c:v>
                </c:pt>
                <c:pt idx="561">
                  <c:v>587.2208257373369</c:v>
                </c:pt>
                <c:pt idx="562">
                  <c:v>588.26756517715387</c:v>
                </c:pt>
                <c:pt idx="563">
                  <c:v>589.31430461697084</c:v>
                </c:pt>
                <c:pt idx="564">
                  <c:v>590.36104405678793</c:v>
                </c:pt>
                <c:pt idx="565">
                  <c:v>591.40778349660491</c:v>
                </c:pt>
                <c:pt idx="566">
                  <c:v>592.45452293642188</c:v>
                </c:pt>
                <c:pt idx="567">
                  <c:v>593.50126237623886</c:v>
                </c:pt>
                <c:pt idx="568">
                  <c:v>594.54800181605594</c:v>
                </c:pt>
                <c:pt idx="569">
                  <c:v>595.59474125587292</c:v>
                </c:pt>
                <c:pt idx="570">
                  <c:v>596.64148069568978</c:v>
                </c:pt>
                <c:pt idx="571">
                  <c:v>597.68822013550675</c:v>
                </c:pt>
                <c:pt idx="572">
                  <c:v>598.73495957532384</c:v>
                </c:pt>
                <c:pt idx="573">
                  <c:v>599.78169901514082</c:v>
                </c:pt>
                <c:pt idx="574">
                  <c:v>600.82843845495779</c:v>
                </c:pt>
                <c:pt idx="575">
                  <c:v>601.87517789477477</c:v>
                </c:pt>
                <c:pt idx="576">
                  <c:v>602.92191733459185</c:v>
                </c:pt>
                <c:pt idx="577">
                  <c:v>603.96865677440883</c:v>
                </c:pt>
                <c:pt idx="578">
                  <c:v>605.0153962142258</c:v>
                </c:pt>
                <c:pt idx="579">
                  <c:v>606.06213565404278</c:v>
                </c:pt>
                <c:pt idx="580">
                  <c:v>607.10887509385975</c:v>
                </c:pt>
                <c:pt idx="581">
                  <c:v>608.15561453367673</c:v>
                </c:pt>
                <c:pt idx="582">
                  <c:v>609.2023539734937</c:v>
                </c:pt>
                <c:pt idx="583">
                  <c:v>610.24909341331067</c:v>
                </c:pt>
                <c:pt idx="584">
                  <c:v>611.29583285312765</c:v>
                </c:pt>
                <c:pt idx="585">
                  <c:v>612.34257229294474</c:v>
                </c:pt>
                <c:pt idx="586">
                  <c:v>613.38931173276171</c:v>
                </c:pt>
                <c:pt idx="587">
                  <c:v>614.43605117257869</c:v>
                </c:pt>
                <c:pt idx="588">
                  <c:v>615.48279061239566</c:v>
                </c:pt>
                <c:pt idx="589">
                  <c:v>616.52953005221275</c:v>
                </c:pt>
                <c:pt idx="590">
                  <c:v>617.57626949202961</c:v>
                </c:pt>
                <c:pt idx="591">
                  <c:v>618.62300893184658</c:v>
                </c:pt>
                <c:pt idx="592">
                  <c:v>619.66974837166356</c:v>
                </c:pt>
                <c:pt idx="593">
                  <c:v>620.71648781148065</c:v>
                </c:pt>
                <c:pt idx="594">
                  <c:v>621.76322725129762</c:v>
                </c:pt>
                <c:pt idx="595">
                  <c:v>622.8099666911146</c:v>
                </c:pt>
                <c:pt idx="596">
                  <c:v>623.85670613093157</c:v>
                </c:pt>
                <c:pt idx="597">
                  <c:v>624.90344557074866</c:v>
                </c:pt>
                <c:pt idx="598">
                  <c:v>625.95018501056563</c:v>
                </c:pt>
                <c:pt idx="599">
                  <c:v>626.99692445038261</c:v>
                </c:pt>
                <c:pt idx="600">
                  <c:v>628.04366389019958</c:v>
                </c:pt>
                <c:pt idx="601">
                  <c:v>629.09040333001656</c:v>
                </c:pt>
                <c:pt idx="602">
                  <c:v>630.13714276983353</c:v>
                </c:pt>
                <c:pt idx="603">
                  <c:v>631.18388220965051</c:v>
                </c:pt>
                <c:pt idx="604">
                  <c:v>632.23062164946748</c:v>
                </c:pt>
                <c:pt idx="605">
                  <c:v>633.27736108928445</c:v>
                </c:pt>
                <c:pt idx="606">
                  <c:v>634.32410052910154</c:v>
                </c:pt>
                <c:pt idx="607">
                  <c:v>635.37083996891852</c:v>
                </c:pt>
                <c:pt idx="608">
                  <c:v>636.41757940873549</c:v>
                </c:pt>
                <c:pt idx="609">
                  <c:v>637.46431884855247</c:v>
                </c:pt>
                <c:pt idx="610">
                  <c:v>638.51105828836944</c:v>
                </c:pt>
                <c:pt idx="611">
                  <c:v>639.55779772818642</c:v>
                </c:pt>
                <c:pt idx="612">
                  <c:v>640.60453716800339</c:v>
                </c:pt>
                <c:pt idx="613">
                  <c:v>641.65127660782036</c:v>
                </c:pt>
                <c:pt idx="614">
                  <c:v>642.69801604763745</c:v>
                </c:pt>
                <c:pt idx="615">
                  <c:v>643.74475548745443</c:v>
                </c:pt>
                <c:pt idx="616">
                  <c:v>644.7914949272714</c:v>
                </c:pt>
                <c:pt idx="617">
                  <c:v>645.83823436708838</c:v>
                </c:pt>
                <c:pt idx="618">
                  <c:v>646.88497380690546</c:v>
                </c:pt>
                <c:pt idx="619">
                  <c:v>647.93171324672244</c:v>
                </c:pt>
                <c:pt idx="620">
                  <c:v>648.97845268653941</c:v>
                </c:pt>
                <c:pt idx="621">
                  <c:v>650.02519212635627</c:v>
                </c:pt>
                <c:pt idx="622">
                  <c:v>651.07193156617336</c:v>
                </c:pt>
                <c:pt idx="623">
                  <c:v>652.11867100599034</c:v>
                </c:pt>
                <c:pt idx="624">
                  <c:v>653.16541044580731</c:v>
                </c:pt>
                <c:pt idx="625">
                  <c:v>654.21214988562429</c:v>
                </c:pt>
                <c:pt idx="626">
                  <c:v>655.25888932544137</c:v>
                </c:pt>
                <c:pt idx="627">
                  <c:v>656.30562876525835</c:v>
                </c:pt>
                <c:pt idx="628">
                  <c:v>657.35236820507532</c:v>
                </c:pt>
                <c:pt idx="629">
                  <c:v>658.39910764489753</c:v>
                </c:pt>
                <c:pt idx="630">
                  <c:v>659.4458470847145</c:v>
                </c:pt>
                <c:pt idx="631">
                  <c:v>660.49258652453148</c:v>
                </c:pt>
                <c:pt idx="632">
                  <c:v>661.53932596434322</c:v>
                </c:pt>
                <c:pt idx="633">
                  <c:v>662.58606540416019</c:v>
                </c:pt>
                <c:pt idx="634">
                  <c:v>663.63280484397717</c:v>
                </c:pt>
                <c:pt idx="635">
                  <c:v>664.67954428379426</c:v>
                </c:pt>
                <c:pt idx="636">
                  <c:v>665.72628372361123</c:v>
                </c:pt>
                <c:pt idx="637">
                  <c:v>666.77302316342821</c:v>
                </c:pt>
              </c:numCache>
            </c:numRef>
          </c:xVal>
          <c:yVal>
            <c:numRef>
              <c:f>[0]!Y</c:f>
              <c:numCache>
                <c:formatCode>General</c:formatCode>
                <c:ptCount val="638"/>
                <c:pt idx="0">
                  <c:v>1.7144247806269215</c:v>
                </c:pt>
                <c:pt idx="1">
                  <c:v>2.9599182685388712</c:v>
                </c:pt>
                <c:pt idx="2">
                  <c:v>4.2014877564508204</c:v>
                </c:pt>
                <c:pt idx="3">
                  <c:v>5.43913324436277</c:v>
                </c:pt>
                <c:pt idx="4">
                  <c:v>6.6728547322747191</c:v>
                </c:pt>
                <c:pt idx="5">
                  <c:v>7.9026522201866687</c:v>
                </c:pt>
                <c:pt idx="6">
                  <c:v>9.1285257080986177</c:v>
                </c:pt>
                <c:pt idx="7">
                  <c:v>10.350475196010567</c:v>
                </c:pt>
                <c:pt idx="8">
                  <c:v>11.568500683922519</c:v>
                </c:pt>
                <c:pt idx="9">
                  <c:v>12.782602171834466</c:v>
                </c:pt>
                <c:pt idx="10">
                  <c:v>13.992779659746418</c:v>
                </c:pt>
                <c:pt idx="11">
                  <c:v>15.199033147658366</c:v>
                </c:pt>
                <c:pt idx="12">
                  <c:v>16.401362635570315</c:v>
                </c:pt>
                <c:pt idx="13">
                  <c:v>17.599768123482264</c:v>
                </c:pt>
                <c:pt idx="14">
                  <c:v>18.794249611394214</c:v>
                </c:pt>
                <c:pt idx="15">
                  <c:v>19.984807099306163</c:v>
                </c:pt>
                <c:pt idx="16">
                  <c:v>21.171440587218111</c:v>
                </c:pt>
                <c:pt idx="17">
                  <c:v>22.354150075130061</c:v>
                </c:pt>
                <c:pt idx="18">
                  <c:v>23.53293556304201</c:v>
                </c:pt>
                <c:pt idx="19">
                  <c:v>24.70779705095396</c:v>
                </c:pt>
                <c:pt idx="20">
                  <c:v>25.87873453886591</c:v>
                </c:pt>
                <c:pt idx="21">
                  <c:v>27.045748026777861</c:v>
                </c:pt>
                <c:pt idx="22">
                  <c:v>28.208837514689808</c:v>
                </c:pt>
                <c:pt idx="23">
                  <c:v>29.36800300260176</c:v>
                </c:pt>
                <c:pt idx="24">
                  <c:v>30.523244490513708</c:v>
                </c:pt>
                <c:pt idx="25">
                  <c:v>31.674561978425658</c:v>
                </c:pt>
                <c:pt idx="26">
                  <c:v>32.821955466337606</c:v>
                </c:pt>
                <c:pt idx="27">
                  <c:v>33.965424954249556</c:v>
                </c:pt>
                <c:pt idx="28">
                  <c:v>35.104970442161509</c:v>
                </c:pt>
                <c:pt idx="29">
                  <c:v>36.240591930073457</c:v>
                </c:pt>
                <c:pt idx="30">
                  <c:v>37.372289417985407</c:v>
                </c:pt>
                <c:pt idx="31">
                  <c:v>38.500062905897352</c:v>
                </c:pt>
                <c:pt idx="32">
                  <c:v>39.623912393809306</c:v>
                </c:pt>
                <c:pt idx="33">
                  <c:v>40.743837881721255</c:v>
                </c:pt>
                <c:pt idx="34">
                  <c:v>41.8598393696332</c:v>
                </c:pt>
                <c:pt idx="35">
                  <c:v>42.971916857545153</c:v>
                </c:pt>
                <c:pt idx="36">
                  <c:v>44.080070345457102</c:v>
                </c:pt>
                <c:pt idx="37">
                  <c:v>45.184299833369053</c:v>
                </c:pt>
                <c:pt idx="38">
                  <c:v>46.284605321280999</c:v>
                </c:pt>
                <c:pt idx="39">
                  <c:v>47.380986809192947</c:v>
                </c:pt>
                <c:pt idx="40">
                  <c:v>48.473444297104898</c:v>
                </c:pt>
                <c:pt idx="41">
                  <c:v>49.56197778501685</c:v>
                </c:pt>
                <c:pt idx="42">
                  <c:v>50.646587272928798</c:v>
                </c:pt>
                <c:pt idx="43">
                  <c:v>51.727272760840748</c:v>
                </c:pt>
                <c:pt idx="44">
                  <c:v>52.8040342487527</c:v>
                </c:pt>
                <c:pt idx="45">
                  <c:v>53.876871736664647</c:v>
                </c:pt>
                <c:pt idx="46">
                  <c:v>54.945785224576596</c:v>
                </c:pt>
                <c:pt idx="47">
                  <c:v>56.010774712488548</c:v>
                </c:pt>
                <c:pt idx="48">
                  <c:v>57.071840200400494</c:v>
                </c:pt>
                <c:pt idx="49">
                  <c:v>58.128981688312443</c:v>
                </c:pt>
                <c:pt idx="50">
                  <c:v>59.182199176224394</c:v>
                </c:pt>
                <c:pt idx="51">
                  <c:v>60.231492664136347</c:v>
                </c:pt>
                <c:pt idx="52">
                  <c:v>61.276862152048295</c:v>
                </c:pt>
                <c:pt idx="53">
                  <c:v>62.318307639960246</c:v>
                </c:pt>
                <c:pt idx="54">
                  <c:v>63.355829127872191</c:v>
                </c:pt>
                <c:pt idx="55">
                  <c:v>64.389426615784146</c:v>
                </c:pt>
                <c:pt idx="56">
                  <c:v>65.419100103696096</c:v>
                </c:pt>
                <c:pt idx="57">
                  <c:v>66.444849591608047</c:v>
                </c:pt>
                <c:pt idx="58">
                  <c:v>67.466675079520002</c:v>
                </c:pt>
                <c:pt idx="59">
                  <c:v>68.484576567431944</c:v>
                </c:pt>
                <c:pt idx="60">
                  <c:v>69.498554055343902</c:v>
                </c:pt>
                <c:pt idx="61">
                  <c:v>70.508607543255849</c:v>
                </c:pt>
                <c:pt idx="62">
                  <c:v>71.514737031167797</c:v>
                </c:pt>
                <c:pt idx="63">
                  <c:v>72.516942519079748</c:v>
                </c:pt>
                <c:pt idx="64">
                  <c:v>73.515224006991701</c:v>
                </c:pt>
                <c:pt idx="65">
                  <c:v>74.509581494903642</c:v>
                </c:pt>
                <c:pt idx="66">
                  <c:v>75.5000149828156</c:v>
                </c:pt>
                <c:pt idx="67">
                  <c:v>76.486524470727545</c:v>
                </c:pt>
                <c:pt idx="68">
                  <c:v>77.469109958639493</c:v>
                </c:pt>
                <c:pt idx="69">
                  <c:v>78.447771446551442</c:v>
                </c:pt>
                <c:pt idx="70">
                  <c:v>79.422508934463394</c:v>
                </c:pt>
                <c:pt idx="71">
                  <c:v>80.393322422375348</c:v>
                </c:pt>
                <c:pt idx="72">
                  <c:v>81.36021191028729</c:v>
                </c:pt>
                <c:pt idx="73">
                  <c:v>82.323177398199249</c:v>
                </c:pt>
                <c:pt idx="74">
                  <c:v>83.282218886111195</c:v>
                </c:pt>
                <c:pt idx="75">
                  <c:v>84.237336374023144</c:v>
                </c:pt>
                <c:pt idx="76">
                  <c:v>85.188529861935081</c:v>
                </c:pt>
                <c:pt idx="77">
                  <c:v>86.135799349847034</c:v>
                </c:pt>
                <c:pt idx="78">
                  <c:v>87.079144837758989</c:v>
                </c:pt>
                <c:pt idx="79">
                  <c:v>88.018566325670932</c:v>
                </c:pt>
                <c:pt idx="80">
                  <c:v>88.954063813582877</c:v>
                </c:pt>
                <c:pt idx="81">
                  <c:v>89.885637301494839</c:v>
                </c:pt>
                <c:pt idx="82">
                  <c:v>90.813286789406789</c:v>
                </c:pt>
                <c:pt idx="83">
                  <c:v>91.73701227731874</c:v>
                </c:pt>
                <c:pt idx="84">
                  <c:v>92.65681376523068</c:v>
                </c:pt>
                <c:pt idx="85">
                  <c:v>93.572691253142636</c:v>
                </c:pt>
                <c:pt idx="86">
                  <c:v>94.484644741054581</c:v>
                </c:pt>
                <c:pt idx="87">
                  <c:v>95.392674228966527</c:v>
                </c:pt>
                <c:pt idx="88">
                  <c:v>96.29677971687849</c:v>
                </c:pt>
                <c:pt idx="89">
                  <c:v>97.196961204790426</c:v>
                </c:pt>
                <c:pt idx="90">
                  <c:v>98.093218692702379</c:v>
                </c:pt>
                <c:pt idx="91">
                  <c:v>98.985552180614334</c:v>
                </c:pt>
                <c:pt idx="92">
                  <c:v>99.873961668526277</c:v>
                </c:pt>
                <c:pt idx="93">
                  <c:v>100.75844715643822</c:v>
                </c:pt>
                <c:pt idx="94">
                  <c:v>101.63900864435018</c:v>
                </c:pt>
                <c:pt idx="95">
                  <c:v>102.51564613226213</c:v>
                </c:pt>
                <c:pt idx="96">
                  <c:v>103.38835962017407</c:v>
                </c:pt>
                <c:pt idx="97">
                  <c:v>104.25714910808603</c:v>
                </c:pt>
                <c:pt idx="98">
                  <c:v>105.12201459599798</c:v>
                </c:pt>
                <c:pt idx="99">
                  <c:v>105.98295608390993</c:v>
                </c:pt>
                <c:pt idx="100">
                  <c:v>106.83997357182187</c:v>
                </c:pt>
                <c:pt idx="101">
                  <c:v>107.69306705973382</c:v>
                </c:pt>
                <c:pt idx="102">
                  <c:v>108.54223654764577</c:v>
                </c:pt>
                <c:pt idx="103">
                  <c:v>109.38748203555774</c:v>
                </c:pt>
                <c:pt idx="104">
                  <c:v>110.22880352346968</c:v>
                </c:pt>
                <c:pt idx="105">
                  <c:v>111.06620101138164</c:v>
                </c:pt>
                <c:pt idx="106">
                  <c:v>111.89967449929357</c:v>
                </c:pt>
                <c:pt idx="107">
                  <c:v>112.72922398720553</c:v>
                </c:pt>
                <c:pt idx="108">
                  <c:v>113.55484947511746</c:v>
                </c:pt>
                <c:pt idx="109">
                  <c:v>114.37655096302943</c:v>
                </c:pt>
                <c:pt idx="110">
                  <c:v>115.19432845094137</c:v>
                </c:pt>
                <c:pt idx="111">
                  <c:v>116.00818193885333</c:v>
                </c:pt>
                <c:pt idx="112">
                  <c:v>116.81811142676527</c:v>
                </c:pt>
                <c:pt idx="113">
                  <c:v>117.62411691467722</c:v>
                </c:pt>
                <c:pt idx="114">
                  <c:v>118.42619840258916</c:v>
                </c:pt>
                <c:pt idx="115">
                  <c:v>119.2243558905011</c:v>
                </c:pt>
                <c:pt idx="116">
                  <c:v>120.01858937841307</c:v>
                </c:pt>
                <c:pt idx="117">
                  <c:v>120.80889886632501</c:v>
                </c:pt>
                <c:pt idx="118">
                  <c:v>121.59528435423697</c:v>
                </c:pt>
                <c:pt idx="119">
                  <c:v>122.3777458421489</c:v>
                </c:pt>
                <c:pt idx="120">
                  <c:v>123.15628333006086</c:v>
                </c:pt>
                <c:pt idx="121">
                  <c:v>123.93089681797281</c:v>
                </c:pt>
                <c:pt idx="122">
                  <c:v>124.70158630588476</c:v>
                </c:pt>
                <c:pt idx="123">
                  <c:v>125.4683517937967</c:v>
                </c:pt>
                <c:pt idx="124">
                  <c:v>126.23119328170867</c:v>
                </c:pt>
                <c:pt idx="125">
                  <c:v>126.99011076962063</c:v>
                </c:pt>
                <c:pt idx="126">
                  <c:v>127.74510425753256</c:v>
                </c:pt>
                <c:pt idx="127">
                  <c:v>128.49617374544451</c:v>
                </c:pt>
                <c:pt idx="128">
                  <c:v>129.24331923335646</c:v>
                </c:pt>
                <c:pt idx="129">
                  <c:v>129.98654072126843</c:v>
                </c:pt>
                <c:pt idx="130">
                  <c:v>130.72583820918035</c:v>
                </c:pt>
                <c:pt idx="131">
                  <c:v>131.46121169709232</c:v>
                </c:pt>
                <c:pt idx="132">
                  <c:v>132.19266118500425</c:v>
                </c:pt>
                <c:pt idx="133">
                  <c:v>132.9201866729162</c:v>
                </c:pt>
                <c:pt idx="134">
                  <c:v>133.64378816082814</c:v>
                </c:pt>
                <c:pt idx="135">
                  <c:v>134.36346564874012</c:v>
                </c:pt>
                <c:pt idx="136">
                  <c:v>135.07921913665206</c:v>
                </c:pt>
                <c:pt idx="137">
                  <c:v>135.79104862456401</c:v>
                </c:pt>
                <c:pt idx="138">
                  <c:v>136.49895411247596</c:v>
                </c:pt>
                <c:pt idx="139">
                  <c:v>137.20293560038789</c:v>
                </c:pt>
                <c:pt idx="140">
                  <c:v>137.90299308829987</c:v>
                </c:pt>
                <c:pt idx="141">
                  <c:v>138.5991265762118</c:v>
                </c:pt>
                <c:pt idx="142">
                  <c:v>139.29133606412375</c:v>
                </c:pt>
                <c:pt idx="143">
                  <c:v>139.9796215520357</c:v>
                </c:pt>
                <c:pt idx="144">
                  <c:v>140.66398303994765</c:v>
                </c:pt>
                <c:pt idx="145">
                  <c:v>141.3444205278596</c:v>
                </c:pt>
                <c:pt idx="146">
                  <c:v>142.02093401577156</c:v>
                </c:pt>
                <c:pt idx="147">
                  <c:v>142.69352350368348</c:v>
                </c:pt>
                <c:pt idx="148">
                  <c:v>143.36218899159545</c:v>
                </c:pt>
                <c:pt idx="149">
                  <c:v>144.02693047950737</c:v>
                </c:pt>
                <c:pt idx="150">
                  <c:v>144.68774796741934</c:v>
                </c:pt>
                <c:pt idx="151">
                  <c:v>145.34464145533133</c:v>
                </c:pt>
                <c:pt idx="152">
                  <c:v>145.99761094324325</c:v>
                </c:pt>
                <c:pt idx="153">
                  <c:v>146.64665643115521</c:v>
                </c:pt>
                <c:pt idx="154">
                  <c:v>147.29177791906716</c:v>
                </c:pt>
                <c:pt idx="155">
                  <c:v>147.9329754069791</c:v>
                </c:pt>
                <c:pt idx="156">
                  <c:v>148.57024889489105</c:v>
                </c:pt>
                <c:pt idx="157">
                  <c:v>149.20359838280302</c:v>
                </c:pt>
                <c:pt idx="158">
                  <c:v>149.83302387071495</c:v>
                </c:pt>
                <c:pt idx="159">
                  <c:v>150.4585253586269</c:v>
                </c:pt>
                <c:pt idx="160">
                  <c:v>151.08010284653884</c:v>
                </c:pt>
                <c:pt idx="161">
                  <c:v>151.69775633445079</c:v>
                </c:pt>
                <c:pt idx="162">
                  <c:v>152.31148582236273</c:v>
                </c:pt>
                <c:pt idx="163">
                  <c:v>152.92129131027468</c:v>
                </c:pt>
                <c:pt idx="164">
                  <c:v>153.52717279818665</c:v>
                </c:pt>
                <c:pt idx="165">
                  <c:v>154.12913028609859</c:v>
                </c:pt>
                <c:pt idx="166">
                  <c:v>154.72716377401053</c:v>
                </c:pt>
                <c:pt idx="167">
                  <c:v>155.32127326192247</c:v>
                </c:pt>
                <c:pt idx="168">
                  <c:v>155.91145874983445</c:v>
                </c:pt>
                <c:pt idx="169">
                  <c:v>156.49772023774636</c:v>
                </c:pt>
                <c:pt idx="170">
                  <c:v>157.08005772565835</c:v>
                </c:pt>
                <c:pt idx="171">
                  <c:v>157.65847121357029</c:v>
                </c:pt>
                <c:pt idx="172">
                  <c:v>158.23296070148223</c:v>
                </c:pt>
                <c:pt idx="173">
                  <c:v>158.80352618939418</c:v>
                </c:pt>
                <c:pt idx="174">
                  <c:v>159.37016767730614</c:v>
                </c:pt>
                <c:pt idx="175">
                  <c:v>159.93288516521807</c:v>
                </c:pt>
                <c:pt idx="176">
                  <c:v>160.49167865313004</c:v>
                </c:pt>
                <c:pt idx="177">
                  <c:v>161.046548141042</c:v>
                </c:pt>
                <c:pt idx="178">
                  <c:v>161.59749362895394</c:v>
                </c:pt>
                <c:pt idx="179">
                  <c:v>162.1445151168659</c:v>
                </c:pt>
                <c:pt idx="180">
                  <c:v>162.68761260477783</c:v>
                </c:pt>
                <c:pt idx="181">
                  <c:v>163.22678609268979</c:v>
                </c:pt>
                <c:pt idx="182">
                  <c:v>163.76203558060172</c:v>
                </c:pt>
                <c:pt idx="183">
                  <c:v>164.29336106851369</c:v>
                </c:pt>
                <c:pt idx="184">
                  <c:v>164.82076255642562</c:v>
                </c:pt>
                <c:pt idx="185">
                  <c:v>165.3442400443376</c:v>
                </c:pt>
                <c:pt idx="186">
                  <c:v>165.86379353224953</c:v>
                </c:pt>
                <c:pt idx="187">
                  <c:v>166.37942302016148</c:v>
                </c:pt>
                <c:pt idx="188">
                  <c:v>166.89112850807345</c:v>
                </c:pt>
                <c:pt idx="189">
                  <c:v>167.39890999598538</c:v>
                </c:pt>
                <c:pt idx="190">
                  <c:v>167.90276748389732</c:v>
                </c:pt>
                <c:pt idx="191">
                  <c:v>168.40270097180928</c:v>
                </c:pt>
                <c:pt idx="192">
                  <c:v>168.89871045972123</c:v>
                </c:pt>
                <c:pt idx="193">
                  <c:v>169.39079594763317</c:v>
                </c:pt>
                <c:pt idx="194">
                  <c:v>169.87895743554515</c:v>
                </c:pt>
                <c:pt idx="195">
                  <c:v>170.36319492345706</c:v>
                </c:pt>
                <c:pt idx="196">
                  <c:v>170.84350841136904</c:v>
                </c:pt>
                <c:pt idx="197">
                  <c:v>171.31989789928096</c:v>
                </c:pt>
                <c:pt idx="198">
                  <c:v>171.79236338719292</c:v>
                </c:pt>
                <c:pt idx="199">
                  <c:v>172.26090487510487</c:v>
                </c:pt>
                <c:pt idx="200">
                  <c:v>172.72552236301681</c:v>
                </c:pt>
                <c:pt idx="201">
                  <c:v>173.18621585092876</c:v>
                </c:pt>
                <c:pt idx="202">
                  <c:v>173.64298533884073</c:v>
                </c:pt>
                <c:pt idx="203">
                  <c:v>174.09583082675266</c:v>
                </c:pt>
                <c:pt idx="204">
                  <c:v>174.54475231466461</c:v>
                </c:pt>
                <c:pt idx="205">
                  <c:v>174.98974980257657</c:v>
                </c:pt>
                <c:pt idx="206">
                  <c:v>175.43082329048855</c:v>
                </c:pt>
                <c:pt idx="207">
                  <c:v>175.86797277840046</c:v>
                </c:pt>
                <c:pt idx="208">
                  <c:v>176.30119826631241</c:v>
                </c:pt>
                <c:pt idx="209">
                  <c:v>176.73049975422435</c:v>
                </c:pt>
                <c:pt idx="210">
                  <c:v>177.15587724213634</c:v>
                </c:pt>
                <c:pt idx="211">
                  <c:v>177.57733073004826</c:v>
                </c:pt>
                <c:pt idx="212">
                  <c:v>177.99486021796019</c:v>
                </c:pt>
                <c:pt idx="213">
                  <c:v>178.40846570587217</c:v>
                </c:pt>
                <c:pt idx="214">
                  <c:v>178.81814719378414</c:v>
                </c:pt>
                <c:pt idx="215">
                  <c:v>179.22390468169607</c:v>
                </c:pt>
                <c:pt idx="216">
                  <c:v>179.62573816960798</c:v>
                </c:pt>
                <c:pt idx="217">
                  <c:v>180.02364765751997</c:v>
                </c:pt>
                <c:pt idx="218">
                  <c:v>180.41763314543192</c:v>
                </c:pt>
                <c:pt idx="219">
                  <c:v>180.80769463334383</c:v>
                </c:pt>
                <c:pt idx="220">
                  <c:v>181.19383212125581</c:v>
                </c:pt>
                <c:pt idx="221">
                  <c:v>181.57604560916778</c:v>
                </c:pt>
                <c:pt idx="222">
                  <c:v>181.95433509707971</c:v>
                </c:pt>
                <c:pt idx="223">
                  <c:v>182.32870058499162</c:v>
                </c:pt>
                <c:pt idx="224">
                  <c:v>182.69914207290361</c:v>
                </c:pt>
                <c:pt idx="225">
                  <c:v>183.06565956081556</c:v>
                </c:pt>
                <c:pt idx="226">
                  <c:v>183.4282530487275</c:v>
                </c:pt>
                <c:pt idx="227">
                  <c:v>183.78692253663945</c:v>
                </c:pt>
                <c:pt idx="228">
                  <c:v>184.14166802455142</c:v>
                </c:pt>
                <c:pt idx="229">
                  <c:v>184.49248951246335</c:v>
                </c:pt>
                <c:pt idx="230">
                  <c:v>184.8393870003753</c:v>
                </c:pt>
                <c:pt idx="231">
                  <c:v>185.18236048828726</c:v>
                </c:pt>
                <c:pt idx="232">
                  <c:v>185.52140997619921</c:v>
                </c:pt>
                <c:pt idx="233">
                  <c:v>185.85653546411118</c:v>
                </c:pt>
                <c:pt idx="234">
                  <c:v>186.1877369520231</c:v>
                </c:pt>
                <c:pt idx="235">
                  <c:v>186.51501443993502</c:v>
                </c:pt>
                <c:pt idx="236">
                  <c:v>186.838367927847</c:v>
                </c:pt>
                <c:pt idx="237">
                  <c:v>187.15779741575898</c:v>
                </c:pt>
                <c:pt idx="238">
                  <c:v>187.47330290367088</c:v>
                </c:pt>
                <c:pt idx="239">
                  <c:v>187.78488439158286</c:v>
                </c:pt>
                <c:pt idx="240">
                  <c:v>188.0925418794948</c:v>
                </c:pt>
                <c:pt idx="241">
                  <c:v>188.39627536740676</c:v>
                </c:pt>
                <c:pt idx="242">
                  <c:v>188.69608485531867</c:v>
                </c:pt>
                <c:pt idx="243">
                  <c:v>188.99197034323066</c:v>
                </c:pt>
                <c:pt idx="244">
                  <c:v>189.28393183114258</c:v>
                </c:pt>
                <c:pt idx="245">
                  <c:v>189.57196931905452</c:v>
                </c:pt>
                <c:pt idx="246">
                  <c:v>189.85608280696647</c:v>
                </c:pt>
                <c:pt idx="247">
                  <c:v>190.13627229487847</c:v>
                </c:pt>
                <c:pt idx="248">
                  <c:v>190.41253778279039</c:v>
                </c:pt>
                <c:pt idx="249">
                  <c:v>190.68487927070234</c:v>
                </c:pt>
                <c:pt idx="250">
                  <c:v>190.95329675861433</c:v>
                </c:pt>
                <c:pt idx="251">
                  <c:v>191.21779024652625</c:v>
                </c:pt>
                <c:pt idx="252">
                  <c:v>191.47835973443819</c:v>
                </c:pt>
                <c:pt idx="253">
                  <c:v>191.73500522235011</c:v>
                </c:pt>
                <c:pt idx="254">
                  <c:v>191.98772671026211</c:v>
                </c:pt>
                <c:pt idx="255">
                  <c:v>192.23652419817404</c:v>
                </c:pt>
                <c:pt idx="256">
                  <c:v>192.48139768608598</c:v>
                </c:pt>
                <c:pt idx="257">
                  <c:v>192.72234717399792</c:v>
                </c:pt>
                <c:pt idx="258">
                  <c:v>192.9593726619099</c:v>
                </c:pt>
                <c:pt idx="259">
                  <c:v>193.19247414982183</c:v>
                </c:pt>
                <c:pt idx="260">
                  <c:v>193.42165163773379</c:v>
                </c:pt>
                <c:pt idx="261">
                  <c:v>193.6469051256457</c:v>
                </c:pt>
                <c:pt idx="262">
                  <c:v>193.86823461355769</c:v>
                </c:pt>
                <c:pt idx="263">
                  <c:v>194.08564010146964</c:v>
                </c:pt>
                <c:pt idx="264">
                  <c:v>194.29912158938157</c:v>
                </c:pt>
                <c:pt idx="265">
                  <c:v>194.50867907729355</c:v>
                </c:pt>
                <c:pt idx="266">
                  <c:v>194.71431256520549</c:v>
                </c:pt>
                <c:pt idx="267">
                  <c:v>194.91602205311742</c:v>
                </c:pt>
                <c:pt idx="268">
                  <c:v>195.11380754102936</c:v>
                </c:pt>
                <c:pt idx="269">
                  <c:v>195.30766902894135</c:v>
                </c:pt>
                <c:pt idx="270">
                  <c:v>195.4976065168533</c:v>
                </c:pt>
                <c:pt idx="271">
                  <c:v>195.6836200047652</c:v>
                </c:pt>
                <c:pt idx="272">
                  <c:v>195.86570949267715</c:v>
                </c:pt>
                <c:pt idx="273">
                  <c:v>196.04387498058915</c:v>
                </c:pt>
                <c:pt idx="274">
                  <c:v>196.21811646850108</c:v>
                </c:pt>
                <c:pt idx="275">
                  <c:v>196.38843395641302</c:v>
                </c:pt>
                <c:pt idx="276">
                  <c:v>196.55482744432501</c:v>
                </c:pt>
                <c:pt idx="277">
                  <c:v>196.71729693223693</c:v>
                </c:pt>
                <c:pt idx="278">
                  <c:v>196.87584242014887</c:v>
                </c:pt>
                <c:pt idx="279">
                  <c:v>197.0304639080608</c:v>
                </c:pt>
                <c:pt idx="280">
                  <c:v>197.18116139597279</c:v>
                </c:pt>
                <c:pt idx="281">
                  <c:v>197.32793488388472</c:v>
                </c:pt>
                <c:pt idx="282">
                  <c:v>197.47078437179667</c:v>
                </c:pt>
                <c:pt idx="283">
                  <c:v>197.6097098597086</c:v>
                </c:pt>
                <c:pt idx="284">
                  <c:v>197.74471134762058</c:v>
                </c:pt>
                <c:pt idx="285">
                  <c:v>197.87578883553252</c:v>
                </c:pt>
                <c:pt idx="286">
                  <c:v>198.00294232344447</c:v>
                </c:pt>
                <c:pt idx="287">
                  <c:v>198.12617181135641</c:v>
                </c:pt>
                <c:pt idx="288">
                  <c:v>198.24547729926837</c:v>
                </c:pt>
                <c:pt idx="289">
                  <c:v>198.36085878718035</c:v>
                </c:pt>
                <c:pt idx="290">
                  <c:v>198.47231627509225</c:v>
                </c:pt>
                <c:pt idx="291">
                  <c:v>198.57984976300423</c:v>
                </c:pt>
                <c:pt idx="292">
                  <c:v>198.6834592509162</c:v>
                </c:pt>
                <c:pt idx="293">
                  <c:v>198.7831447388281</c:v>
                </c:pt>
                <c:pt idx="294">
                  <c:v>198.87890622674004</c:v>
                </c:pt>
                <c:pt idx="295">
                  <c:v>198.97074371465206</c:v>
                </c:pt>
                <c:pt idx="296">
                  <c:v>199.05865720256398</c:v>
                </c:pt>
                <c:pt idx="297">
                  <c:v>199.14264669047589</c:v>
                </c:pt>
                <c:pt idx="298">
                  <c:v>199.22271217838784</c:v>
                </c:pt>
                <c:pt idx="299">
                  <c:v>199.29885366629983</c:v>
                </c:pt>
                <c:pt idx="300">
                  <c:v>199.37107115421176</c:v>
                </c:pt>
                <c:pt idx="301">
                  <c:v>199.43936464212371</c:v>
                </c:pt>
                <c:pt idx="302">
                  <c:v>199.5037341300357</c:v>
                </c:pt>
                <c:pt idx="303">
                  <c:v>199.56417961794762</c:v>
                </c:pt>
                <c:pt idx="304">
                  <c:v>199.62070110585955</c:v>
                </c:pt>
                <c:pt idx="305">
                  <c:v>199.67329859377151</c:v>
                </c:pt>
                <c:pt idx="306">
                  <c:v>199.7219720816835</c:v>
                </c:pt>
                <c:pt idx="307">
                  <c:v>199.7667215695954</c:v>
                </c:pt>
                <c:pt idx="308">
                  <c:v>199.80754705750738</c:v>
                </c:pt>
                <c:pt idx="309">
                  <c:v>199.84444854541928</c:v>
                </c:pt>
                <c:pt idx="310">
                  <c:v>199.87742603333126</c:v>
                </c:pt>
                <c:pt idx="311">
                  <c:v>199.90647952124323</c:v>
                </c:pt>
                <c:pt idx="312">
                  <c:v>199.93160900915515</c:v>
                </c:pt>
                <c:pt idx="313">
                  <c:v>199.95281449706715</c:v>
                </c:pt>
                <c:pt idx="314">
                  <c:v>199.97009598497908</c:v>
                </c:pt>
                <c:pt idx="315">
                  <c:v>199.983453472891</c:v>
                </c:pt>
                <c:pt idx="316">
                  <c:v>199.99288696080293</c:v>
                </c:pt>
                <c:pt idx="317">
                  <c:v>199.99839644871491</c:v>
                </c:pt>
                <c:pt idx="318">
                  <c:v>199.99998193662685</c:v>
                </c:pt>
                <c:pt idx="319">
                  <c:v>199.99764342453878</c:v>
                </c:pt>
                <c:pt idx="320">
                  <c:v>199.99138091245072</c:v>
                </c:pt>
                <c:pt idx="321">
                  <c:v>199.98119440036271</c:v>
                </c:pt>
                <c:pt idx="322">
                  <c:v>199.96708388827466</c:v>
                </c:pt>
                <c:pt idx="323">
                  <c:v>199.94904937618659</c:v>
                </c:pt>
                <c:pt idx="324">
                  <c:v>199.92709086409852</c:v>
                </c:pt>
                <c:pt idx="325">
                  <c:v>199.90120835201051</c:v>
                </c:pt>
                <c:pt idx="326">
                  <c:v>199.87140183992244</c:v>
                </c:pt>
                <c:pt idx="327">
                  <c:v>199.83767132783439</c:v>
                </c:pt>
                <c:pt idx="328">
                  <c:v>199.80001681574632</c:v>
                </c:pt>
                <c:pt idx="329">
                  <c:v>199.75843830365832</c:v>
                </c:pt>
                <c:pt idx="330">
                  <c:v>199.71293579157023</c:v>
                </c:pt>
                <c:pt idx="331">
                  <c:v>199.66350927948216</c:v>
                </c:pt>
                <c:pt idx="332">
                  <c:v>199.6101587673941</c:v>
                </c:pt>
                <c:pt idx="333">
                  <c:v>199.55288425530608</c:v>
                </c:pt>
                <c:pt idx="334">
                  <c:v>199.491685743218</c:v>
                </c:pt>
                <c:pt idx="335">
                  <c:v>199.42656323112993</c:v>
                </c:pt>
                <c:pt idx="336">
                  <c:v>199.35751671904188</c:v>
                </c:pt>
                <c:pt idx="337">
                  <c:v>199.28454620695388</c:v>
                </c:pt>
                <c:pt idx="338">
                  <c:v>199.2076516948658</c:v>
                </c:pt>
                <c:pt idx="339">
                  <c:v>199.12683318277772</c:v>
                </c:pt>
                <c:pt idx="340">
                  <c:v>199.04209067068973</c:v>
                </c:pt>
                <c:pt idx="341">
                  <c:v>198.95342415860168</c:v>
                </c:pt>
                <c:pt idx="342">
                  <c:v>198.86083364651361</c:v>
                </c:pt>
                <c:pt idx="343">
                  <c:v>198.76431913442553</c:v>
                </c:pt>
                <c:pt idx="344">
                  <c:v>198.66388062233753</c:v>
                </c:pt>
                <c:pt idx="345">
                  <c:v>198.55951811024943</c:v>
                </c:pt>
                <c:pt idx="346">
                  <c:v>198.45123159816137</c:v>
                </c:pt>
                <c:pt idx="347">
                  <c:v>198.3390210860733</c:v>
                </c:pt>
                <c:pt idx="348">
                  <c:v>198.22288657398519</c:v>
                </c:pt>
                <c:pt idx="349">
                  <c:v>198.10282806189716</c:v>
                </c:pt>
                <c:pt idx="350">
                  <c:v>197.97884554980911</c:v>
                </c:pt>
                <c:pt idx="351">
                  <c:v>197.85093903772108</c:v>
                </c:pt>
                <c:pt idx="352">
                  <c:v>197.71910852563298</c:v>
                </c:pt>
                <c:pt idx="353">
                  <c:v>197.58335401354495</c:v>
                </c:pt>
                <c:pt idx="354">
                  <c:v>197.44367550145688</c:v>
                </c:pt>
                <c:pt idx="355">
                  <c:v>197.3000729893688</c:v>
                </c:pt>
                <c:pt idx="356">
                  <c:v>197.15254647728082</c:v>
                </c:pt>
                <c:pt idx="357">
                  <c:v>197.00109596519272</c:v>
                </c:pt>
                <c:pt idx="358">
                  <c:v>196.84572145310466</c:v>
                </c:pt>
                <c:pt idx="359">
                  <c:v>196.68642294101659</c:v>
                </c:pt>
                <c:pt idx="360">
                  <c:v>196.52320042892862</c:v>
                </c:pt>
                <c:pt idx="361">
                  <c:v>196.35605391684052</c:v>
                </c:pt>
                <c:pt idx="362">
                  <c:v>196.18498340475247</c:v>
                </c:pt>
                <c:pt idx="363">
                  <c:v>196.00998889266441</c:v>
                </c:pt>
                <c:pt idx="364">
                  <c:v>195.83107038057636</c:v>
                </c:pt>
                <c:pt idx="365">
                  <c:v>195.64822786848828</c:v>
                </c:pt>
                <c:pt idx="366">
                  <c:v>195.46146135640021</c:v>
                </c:pt>
                <c:pt idx="367">
                  <c:v>195.27077084431221</c:v>
                </c:pt>
                <c:pt idx="368">
                  <c:v>195.07615633222412</c:v>
                </c:pt>
                <c:pt idx="369">
                  <c:v>194.87761782013604</c:v>
                </c:pt>
                <c:pt idx="370">
                  <c:v>194.67515530804792</c:v>
                </c:pt>
                <c:pt idx="371">
                  <c:v>194.46876879595987</c:v>
                </c:pt>
                <c:pt idx="372">
                  <c:v>194.25845828387185</c:v>
                </c:pt>
                <c:pt idx="373">
                  <c:v>194.04422377178378</c:v>
                </c:pt>
                <c:pt idx="374">
                  <c:v>193.82606525969572</c:v>
                </c:pt>
                <c:pt idx="375">
                  <c:v>193.60398274760763</c:v>
                </c:pt>
                <c:pt idx="376">
                  <c:v>193.37797623551961</c:v>
                </c:pt>
                <c:pt idx="377">
                  <c:v>193.14804572343155</c:v>
                </c:pt>
                <c:pt idx="378">
                  <c:v>192.91419121134345</c:v>
                </c:pt>
                <c:pt idx="379">
                  <c:v>192.67641269925537</c:v>
                </c:pt>
                <c:pt idx="380">
                  <c:v>192.43471018716735</c:v>
                </c:pt>
                <c:pt idx="381">
                  <c:v>192.1890836750793</c:v>
                </c:pt>
                <c:pt idx="382">
                  <c:v>191.93953316299127</c:v>
                </c:pt>
                <c:pt idx="383">
                  <c:v>191.68605865090319</c:v>
                </c:pt>
                <c:pt idx="384">
                  <c:v>191.42866013881513</c:v>
                </c:pt>
                <c:pt idx="385">
                  <c:v>191.16733762672703</c:v>
                </c:pt>
                <c:pt idx="386">
                  <c:v>190.90209111463901</c:v>
                </c:pt>
                <c:pt idx="387">
                  <c:v>190.632920602551</c:v>
                </c:pt>
                <c:pt idx="388">
                  <c:v>190.35982609046289</c:v>
                </c:pt>
                <c:pt idx="389">
                  <c:v>190.08280757837485</c:v>
                </c:pt>
                <c:pt idx="390">
                  <c:v>189.80186506628678</c:v>
                </c:pt>
                <c:pt idx="391">
                  <c:v>189.51699855419855</c:v>
                </c:pt>
                <c:pt idx="392">
                  <c:v>189.22820804211051</c:v>
                </c:pt>
                <c:pt idx="393">
                  <c:v>188.93549353002248</c:v>
                </c:pt>
                <c:pt idx="394">
                  <c:v>188.63885501793442</c:v>
                </c:pt>
                <c:pt idx="395">
                  <c:v>188.33829250584631</c:v>
                </c:pt>
                <c:pt idx="396">
                  <c:v>188.03380599375834</c:v>
                </c:pt>
                <c:pt idx="397">
                  <c:v>187.72539548167026</c:v>
                </c:pt>
                <c:pt idx="398">
                  <c:v>187.41306096958215</c:v>
                </c:pt>
                <c:pt idx="399">
                  <c:v>187.09680245749416</c:v>
                </c:pt>
                <c:pt idx="400">
                  <c:v>186.77661994540608</c:v>
                </c:pt>
                <c:pt idx="401">
                  <c:v>186.45251343331802</c:v>
                </c:pt>
                <c:pt idx="402">
                  <c:v>186.12448292122997</c:v>
                </c:pt>
                <c:pt idx="403">
                  <c:v>185.79252840914188</c:v>
                </c:pt>
                <c:pt idx="404">
                  <c:v>185.45664989705386</c:v>
                </c:pt>
                <c:pt idx="405">
                  <c:v>185.11684738496575</c:v>
                </c:pt>
                <c:pt idx="406">
                  <c:v>184.77312087287771</c:v>
                </c:pt>
                <c:pt idx="407">
                  <c:v>184.42547036078969</c:v>
                </c:pt>
                <c:pt idx="408">
                  <c:v>184.07389584870162</c:v>
                </c:pt>
                <c:pt idx="409">
                  <c:v>183.71839733661352</c:v>
                </c:pt>
                <c:pt idx="410">
                  <c:v>183.35897482452549</c:v>
                </c:pt>
                <c:pt idx="411">
                  <c:v>182.99562831243747</c:v>
                </c:pt>
                <c:pt idx="412">
                  <c:v>182.62835780034936</c:v>
                </c:pt>
                <c:pt idx="413">
                  <c:v>182.2571632882611</c:v>
                </c:pt>
                <c:pt idx="414">
                  <c:v>181.88204477617302</c:v>
                </c:pt>
                <c:pt idx="415">
                  <c:v>181.50300226408496</c:v>
                </c:pt>
                <c:pt idx="416">
                  <c:v>181.12003575199691</c:v>
                </c:pt>
                <c:pt idx="417">
                  <c:v>180.73314523990894</c:v>
                </c:pt>
                <c:pt idx="418">
                  <c:v>180.34233072782087</c:v>
                </c:pt>
                <c:pt idx="419">
                  <c:v>179.94759221573281</c:v>
                </c:pt>
                <c:pt idx="420">
                  <c:v>179.54892970364472</c:v>
                </c:pt>
                <c:pt idx="421">
                  <c:v>179.14634319155664</c:v>
                </c:pt>
                <c:pt idx="422">
                  <c:v>178.73983267946852</c:v>
                </c:pt>
                <c:pt idx="423">
                  <c:v>178.32939816738048</c:v>
                </c:pt>
                <c:pt idx="424">
                  <c:v>177.9150396552925</c:v>
                </c:pt>
                <c:pt idx="425">
                  <c:v>177.49675714320438</c:v>
                </c:pt>
                <c:pt idx="426">
                  <c:v>177.07455063111638</c:v>
                </c:pt>
                <c:pt idx="427">
                  <c:v>176.64842011902823</c:v>
                </c:pt>
                <c:pt idx="428">
                  <c:v>176.21836560694021</c:v>
                </c:pt>
                <c:pt idx="429">
                  <c:v>175.78438709485215</c:v>
                </c:pt>
                <c:pt idx="430">
                  <c:v>175.34648458276411</c:v>
                </c:pt>
                <c:pt idx="431">
                  <c:v>174.90465807067602</c:v>
                </c:pt>
                <c:pt idx="432">
                  <c:v>174.45890755858801</c:v>
                </c:pt>
                <c:pt idx="433">
                  <c:v>174.00923304649996</c:v>
                </c:pt>
                <c:pt idx="434">
                  <c:v>173.55563453441187</c:v>
                </c:pt>
                <c:pt idx="435">
                  <c:v>173.09811202232362</c:v>
                </c:pt>
                <c:pt idx="436">
                  <c:v>172.6366655102355</c:v>
                </c:pt>
                <c:pt idx="437">
                  <c:v>172.1712949981474</c:v>
                </c:pt>
                <c:pt idx="438">
                  <c:v>171.70200048605938</c:v>
                </c:pt>
                <c:pt idx="439">
                  <c:v>171.22878197397131</c:v>
                </c:pt>
                <c:pt idx="440">
                  <c:v>170.75163946188331</c:v>
                </c:pt>
                <c:pt idx="441">
                  <c:v>170.27057294979522</c:v>
                </c:pt>
                <c:pt idx="442">
                  <c:v>169.78558243770715</c:v>
                </c:pt>
                <c:pt idx="443">
                  <c:v>169.29666792561903</c:v>
                </c:pt>
                <c:pt idx="444">
                  <c:v>168.80382941353105</c:v>
                </c:pt>
                <c:pt idx="445">
                  <c:v>168.30706690144285</c:v>
                </c:pt>
                <c:pt idx="446">
                  <c:v>167.80638038935479</c:v>
                </c:pt>
                <c:pt idx="447">
                  <c:v>167.30176987726674</c:v>
                </c:pt>
                <c:pt idx="448">
                  <c:v>166.79323536517882</c:v>
                </c:pt>
                <c:pt idx="449">
                  <c:v>166.28077685309069</c:v>
                </c:pt>
                <c:pt idx="450">
                  <c:v>165.76439434100268</c:v>
                </c:pt>
                <c:pt idx="451">
                  <c:v>165.24408782891459</c:v>
                </c:pt>
                <c:pt idx="452">
                  <c:v>164.71985731682651</c:v>
                </c:pt>
                <c:pt idx="453">
                  <c:v>164.19170280473844</c:v>
                </c:pt>
                <c:pt idx="454">
                  <c:v>163.65962429265034</c:v>
                </c:pt>
                <c:pt idx="455">
                  <c:v>163.12362178056236</c:v>
                </c:pt>
                <c:pt idx="456">
                  <c:v>162.583695268474</c:v>
                </c:pt>
                <c:pt idx="457">
                  <c:v>162.039844756386</c:v>
                </c:pt>
                <c:pt idx="458">
                  <c:v>161.49207024429791</c:v>
                </c:pt>
                <c:pt idx="459">
                  <c:v>160.94037173220977</c:v>
                </c:pt>
                <c:pt idx="460">
                  <c:v>160.38474922012171</c:v>
                </c:pt>
                <c:pt idx="461">
                  <c:v>159.82520270803366</c:v>
                </c:pt>
                <c:pt idx="462">
                  <c:v>159.26173219594557</c:v>
                </c:pt>
                <c:pt idx="463">
                  <c:v>158.69433768385744</c:v>
                </c:pt>
                <c:pt idx="464">
                  <c:v>158.1230191717695</c:v>
                </c:pt>
                <c:pt idx="465">
                  <c:v>157.5477766596814</c:v>
                </c:pt>
                <c:pt idx="466">
                  <c:v>156.96861014759332</c:v>
                </c:pt>
                <c:pt idx="467">
                  <c:v>156.38551963550526</c:v>
                </c:pt>
                <c:pt idx="468">
                  <c:v>155.79850512341716</c:v>
                </c:pt>
                <c:pt idx="469">
                  <c:v>155.20756661132907</c:v>
                </c:pt>
                <c:pt idx="470">
                  <c:v>154.61270409924106</c:v>
                </c:pt>
                <c:pt idx="471">
                  <c:v>154.01391758715306</c:v>
                </c:pt>
                <c:pt idx="472">
                  <c:v>153.41120707506497</c:v>
                </c:pt>
                <c:pt idx="473">
                  <c:v>152.80457256297689</c:v>
                </c:pt>
                <c:pt idx="474">
                  <c:v>152.19401405088882</c:v>
                </c:pt>
                <c:pt idx="475">
                  <c:v>151.57953153880072</c:v>
                </c:pt>
                <c:pt idx="476">
                  <c:v>150.96112502671264</c:v>
                </c:pt>
                <c:pt idx="477">
                  <c:v>150.33879451462457</c:v>
                </c:pt>
                <c:pt idx="478">
                  <c:v>149.71254000253617</c:v>
                </c:pt>
                <c:pt idx="479">
                  <c:v>149.08236149044825</c:v>
                </c:pt>
                <c:pt idx="480">
                  <c:v>148.44825897836017</c:v>
                </c:pt>
                <c:pt idx="481">
                  <c:v>147.81023246627211</c:v>
                </c:pt>
                <c:pt idx="482">
                  <c:v>147.16828195418395</c:v>
                </c:pt>
                <c:pt idx="483">
                  <c:v>146.52240744209587</c:v>
                </c:pt>
                <c:pt idx="484">
                  <c:v>145.8726089300078</c:v>
                </c:pt>
                <c:pt idx="485">
                  <c:v>145.21888641791975</c:v>
                </c:pt>
                <c:pt idx="486">
                  <c:v>144.5612399058316</c:v>
                </c:pt>
                <c:pt idx="487">
                  <c:v>143.89966939374369</c:v>
                </c:pt>
                <c:pt idx="488">
                  <c:v>143.23417488165563</c:v>
                </c:pt>
                <c:pt idx="489">
                  <c:v>142.56475636956759</c:v>
                </c:pt>
                <c:pt idx="490">
                  <c:v>141.89141385747939</c:v>
                </c:pt>
                <c:pt idx="491">
                  <c:v>141.21414734539132</c:v>
                </c:pt>
                <c:pt idx="492">
                  <c:v>140.53295683330327</c:v>
                </c:pt>
                <c:pt idx="493">
                  <c:v>139.84784232121524</c:v>
                </c:pt>
                <c:pt idx="494">
                  <c:v>139.15880380912722</c:v>
                </c:pt>
                <c:pt idx="495">
                  <c:v>138.46584129703911</c:v>
                </c:pt>
                <c:pt idx="496">
                  <c:v>137.76895478495106</c:v>
                </c:pt>
                <c:pt idx="497">
                  <c:v>137.06814427286298</c:v>
                </c:pt>
                <c:pt idx="498">
                  <c:v>136.36340976077491</c:v>
                </c:pt>
                <c:pt idx="499">
                  <c:v>135.65475124868686</c:v>
                </c:pt>
                <c:pt idx="500">
                  <c:v>134.94216873659809</c:v>
                </c:pt>
                <c:pt idx="501">
                  <c:v>134.22566222450996</c:v>
                </c:pt>
                <c:pt idx="502">
                  <c:v>133.5052317124219</c:v>
                </c:pt>
                <c:pt idx="503">
                  <c:v>132.7808772003338</c:v>
                </c:pt>
                <c:pt idx="504">
                  <c:v>132.05259868824584</c:v>
                </c:pt>
                <c:pt idx="505">
                  <c:v>131.32039617615777</c:v>
                </c:pt>
                <c:pt idx="506">
                  <c:v>130.58426966406967</c:v>
                </c:pt>
                <c:pt idx="507">
                  <c:v>129.84421915198158</c:v>
                </c:pt>
                <c:pt idx="508">
                  <c:v>129.10024463989356</c:v>
                </c:pt>
                <c:pt idx="509">
                  <c:v>128.35234612780545</c:v>
                </c:pt>
                <c:pt idx="510">
                  <c:v>127.60052361571729</c:v>
                </c:pt>
                <c:pt idx="511">
                  <c:v>126.84477710362933</c:v>
                </c:pt>
                <c:pt idx="512">
                  <c:v>126.08510659154126</c:v>
                </c:pt>
                <c:pt idx="513">
                  <c:v>125.32151207945321</c:v>
                </c:pt>
                <c:pt idx="514">
                  <c:v>124.55399356736507</c:v>
                </c:pt>
                <c:pt idx="515">
                  <c:v>123.78255105527705</c:v>
                </c:pt>
                <c:pt idx="516">
                  <c:v>123.00718454318894</c:v>
                </c:pt>
                <c:pt idx="517">
                  <c:v>122.22789403110085</c:v>
                </c:pt>
                <c:pt idx="518">
                  <c:v>121.44467951901277</c:v>
                </c:pt>
                <c:pt idx="519">
                  <c:v>120.6575410069247</c:v>
                </c:pt>
                <c:pt idx="520">
                  <c:v>119.86647849483677</c:v>
                </c:pt>
                <c:pt idx="521">
                  <c:v>119.07149198274863</c:v>
                </c:pt>
                <c:pt idx="522">
                  <c:v>118.2725814706605</c:v>
                </c:pt>
                <c:pt idx="523">
                  <c:v>117.46974695857239</c:v>
                </c:pt>
                <c:pt idx="524">
                  <c:v>116.66298844648429</c:v>
                </c:pt>
                <c:pt idx="525">
                  <c:v>115.85230593439633</c:v>
                </c:pt>
                <c:pt idx="526">
                  <c:v>115.03769942230826</c:v>
                </c:pt>
                <c:pt idx="527">
                  <c:v>114.21916891022022</c:v>
                </c:pt>
                <c:pt idx="528">
                  <c:v>113.39671439813208</c:v>
                </c:pt>
                <c:pt idx="529">
                  <c:v>112.57033588604406</c:v>
                </c:pt>
                <c:pt idx="530">
                  <c:v>111.74003337395595</c:v>
                </c:pt>
                <c:pt idx="531">
                  <c:v>110.90580686186786</c:v>
                </c:pt>
                <c:pt idx="532">
                  <c:v>110.06765634977978</c:v>
                </c:pt>
                <c:pt idx="533">
                  <c:v>109.22558183769183</c:v>
                </c:pt>
                <c:pt idx="534">
                  <c:v>108.37958332560379</c:v>
                </c:pt>
                <c:pt idx="535">
                  <c:v>107.52966081351565</c:v>
                </c:pt>
                <c:pt idx="536">
                  <c:v>106.67581430142752</c:v>
                </c:pt>
                <c:pt idx="537">
                  <c:v>105.81804378933941</c:v>
                </c:pt>
                <c:pt idx="538">
                  <c:v>104.95634927725143</c:v>
                </c:pt>
                <c:pt idx="539">
                  <c:v>104.09073076516324</c:v>
                </c:pt>
                <c:pt idx="540">
                  <c:v>103.22118825307518</c:v>
                </c:pt>
                <c:pt idx="541">
                  <c:v>102.34772174098725</c:v>
                </c:pt>
                <c:pt idx="542">
                  <c:v>101.47033122889923</c:v>
                </c:pt>
                <c:pt idx="543">
                  <c:v>100.58901671681099</c:v>
                </c:pt>
                <c:pt idx="544">
                  <c:v>99.703778204722994</c:v>
                </c:pt>
                <c:pt idx="545">
                  <c:v>98.814615692634902</c:v>
                </c:pt>
                <c:pt idx="546">
                  <c:v>97.921529180546827</c:v>
                </c:pt>
                <c:pt idx="547">
                  <c:v>97.024518668458654</c:v>
                </c:pt>
                <c:pt idx="548">
                  <c:v>96.123584156370725</c:v>
                </c:pt>
                <c:pt idx="549">
                  <c:v>95.218725644282699</c:v>
                </c:pt>
                <c:pt idx="550">
                  <c:v>94.309943132194576</c:v>
                </c:pt>
                <c:pt idx="551">
                  <c:v>93.397236620106469</c:v>
                </c:pt>
                <c:pt idx="552">
                  <c:v>92.480606108018378</c:v>
                </c:pt>
                <c:pt idx="553">
                  <c:v>91.560051595930304</c:v>
                </c:pt>
                <c:pt idx="554">
                  <c:v>90.635573083842246</c:v>
                </c:pt>
                <c:pt idx="555">
                  <c:v>89.707170571754318</c:v>
                </c:pt>
                <c:pt idx="556">
                  <c:v>88.774844059666179</c:v>
                </c:pt>
                <c:pt idx="557">
                  <c:v>87.838593547578057</c:v>
                </c:pt>
                <c:pt idx="558">
                  <c:v>86.898419035490065</c:v>
                </c:pt>
                <c:pt idx="559">
                  <c:v>85.954320523401975</c:v>
                </c:pt>
                <c:pt idx="560">
                  <c:v>85.006298011313788</c:v>
                </c:pt>
                <c:pt idx="561">
                  <c:v>84.054351499225731</c:v>
                </c:pt>
                <c:pt idx="562">
                  <c:v>83.098480987137691</c:v>
                </c:pt>
                <c:pt idx="563">
                  <c:v>82.138686475049781</c:v>
                </c:pt>
                <c:pt idx="564">
                  <c:v>81.174967962961546</c:v>
                </c:pt>
                <c:pt idx="565">
                  <c:v>80.207325450873554</c:v>
                </c:pt>
                <c:pt idx="566">
                  <c:v>79.235758938785466</c:v>
                </c:pt>
                <c:pt idx="567">
                  <c:v>78.26026842669728</c:v>
                </c:pt>
                <c:pt idx="568">
                  <c:v>77.280853914609224</c:v>
                </c:pt>
                <c:pt idx="569">
                  <c:v>76.297515402521185</c:v>
                </c:pt>
                <c:pt idx="570">
                  <c:v>75.310252890433162</c:v>
                </c:pt>
                <c:pt idx="571">
                  <c:v>74.319066378345042</c:v>
                </c:pt>
                <c:pt idx="572">
                  <c:v>73.323955866256938</c:v>
                </c:pt>
                <c:pt idx="573">
                  <c:v>72.32492135416885</c:v>
                </c:pt>
                <c:pt idx="574">
                  <c:v>71.321962842080779</c:v>
                </c:pt>
                <c:pt idx="575">
                  <c:v>70.315080329992838</c:v>
                </c:pt>
                <c:pt idx="576">
                  <c:v>69.304273817904686</c:v>
                </c:pt>
                <c:pt idx="577">
                  <c:v>68.289543305816665</c:v>
                </c:pt>
                <c:pt idx="578">
                  <c:v>67.270888793728659</c:v>
                </c:pt>
                <c:pt idx="579">
                  <c:v>66.248310281640556</c:v>
                </c:pt>
                <c:pt idx="580">
                  <c:v>65.22180776955247</c:v>
                </c:pt>
                <c:pt idx="581">
                  <c:v>64.191381257464286</c:v>
                </c:pt>
                <c:pt idx="582">
                  <c:v>63.157030745376339</c:v>
                </c:pt>
                <c:pt idx="583">
                  <c:v>62.118756233288188</c:v>
                </c:pt>
                <c:pt idx="584">
                  <c:v>61.076557721200167</c:v>
                </c:pt>
                <c:pt idx="585">
                  <c:v>60.030435209112163</c:v>
                </c:pt>
                <c:pt idx="586">
                  <c:v>58.980388697024061</c:v>
                </c:pt>
                <c:pt idx="587">
                  <c:v>57.926418184935976</c:v>
                </c:pt>
                <c:pt idx="588">
                  <c:v>56.868523672847907</c:v>
                </c:pt>
                <c:pt idx="589">
                  <c:v>55.806705160759741</c:v>
                </c:pt>
                <c:pt idx="590">
                  <c:v>54.740962648671704</c:v>
                </c:pt>
                <c:pt idx="591">
                  <c:v>53.671296136583685</c:v>
                </c:pt>
                <c:pt idx="592">
                  <c:v>52.597705624495568</c:v>
                </c:pt>
                <c:pt idx="593">
                  <c:v>51.520191112407467</c:v>
                </c:pt>
                <c:pt idx="594">
                  <c:v>50.438752600319496</c:v>
                </c:pt>
                <c:pt idx="595">
                  <c:v>49.353390088231428</c:v>
                </c:pt>
                <c:pt idx="596">
                  <c:v>48.264103576143377</c:v>
                </c:pt>
                <c:pt idx="597">
                  <c:v>47.170893064055228</c:v>
                </c:pt>
                <c:pt idx="598">
                  <c:v>46.073758551967096</c:v>
                </c:pt>
                <c:pt idx="599">
                  <c:v>44.972700039879093</c:v>
                </c:pt>
                <c:pt idx="600">
                  <c:v>43.867717527791108</c:v>
                </c:pt>
                <c:pt idx="601">
                  <c:v>42.758811015703024</c:v>
                </c:pt>
                <c:pt idx="602">
                  <c:v>41.645980503614844</c:v>
                </c:pt>
                <c:pt idx="603">
                  <c:v>40.529225991526793</c:v>
                </c:pt>
                <c:pt idx="604">
                  <c:v>39.408547479438759</c:v>
                </c:pt>
                <c:pt idx="605">
                  <c:v>38.283944967350628</c:v>
                </c:pt>
                <c:pt idx="606">
                  <c:v>37.155418455262513</c:v>
                </c:pt>
                <c:pt idx="607">
                  <c:v>36.022967943174642</c:v>
                </c:pt>
                <c:pt idx="608">
                  <c:v>34.88659343108656</c:v>
                </c:pt>
                <c:pt idx="609">
                  <c:v>33.746294918998494</c:v>
                </c:pt>
                <c:pt idx="610">
                  <c:v>32.602072406910331</c:v>
                </c:pt>
                <c:pt idx="611">
                  <c:v>31.453925894822184</c:v>
                </c:pt>
                <c:pt idx="612">
                  <c:v>30.301855382734168</c:v>
                </c:pt>
                <c:pt idx="613">
                  <c:v>29.145860870646167</c:v>
                </c:pt>
                <c:pt idx="614">
                  <c:v>27.98594235855807</c:v>
                </c:pt>
                <c:pt idx="615">
                  <c:v>26.822099846469989</c:v>
                </c:pt>
                <c:pt idx="616">
                  <c:v>25.654333334381924</c:v>
                </c:pt>
                <c:pt idx="617">
                  <c:v>24.48264282229399</c:v>
                </c:pt>
                <c:pt idx="618">
                  <c:v>23.30702831020573</c:v>
                </c:pt>
                <c:pt idx="619">
                  <c:v>22.127489798117601</c:v>
                </c:pt>
                <c:pt idx="620">
                  <c:v>20.944027286029716</c:v>
                </c:pt>
                <c:pt idx="621">
                  <c:v>19.756640773941619</c:v>
                </c:pt>
                <c:pt idx="622">
                  <c:v>18.565330261853539</c:v>
                </c:pt>
                <c:pt idx="623">
                  <c:v>17.370095749765476</c:v>
                </c:pt>
                <c:pt idx="624">
                  <c:v>16.170937237677428</c:v>
                </c:pt>
                <c:pt idx="625">
                  <c:v>14.967854725589284</c:v>
                </c:pt>
                <c:pt idx="626">
                  <c:v>13.760848213501156</c:v>
                </c:pt>
                <c:pt idx="627">
                  <c:v>12.549917701413044</c:v>
                </c:pt>
                <c:pt idx="628">
                  <c:v>11.335063189325062</c:v>
                </c:pt>
                <c:pt idx="629">
                  <c:v>10.116284677230844</c:v>
                </c:pt>
                <c:pt idx="630">
                  <c:v>8.8935821651427815</c:v>
                </c:pt>
                <c:pt idx="631">
                  <c:v>7.6669556530546226</c:v>
                </c:pt>
                <c:pt idx="632">
                  <c:v>6.4364051409728456</c:v>
                </c:pt>
                <c:pt idx="633">
                  <c:v>5.2019306288847185</c:v>
                </c:pt>
                <c:pt idx="634">
                  <c:v>3.9635321167966078</c:v>
                </c:pt>
                <c:pt idx="635">
                  <c:v>2.7212096047085135</c:v>
                </c:pt>
                <c:pt idx="636">
                  <c:v>1.4749630926204356</c:v>
                </c:pt>
                <c:pt idx="637">
                  <c:v>0.22479258053248774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55-47C0-8313-E61D56756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1001598</xdr:colOff>
      <xdr:row>1</xdr:row>
      <xdr:rowOff>196390</xdr:rowOff>
    </xdr:from>
    <xdr:to>
      <xdr:col>9</xdr:col>
      <xdr:colOff>0</xdr:colOff>
      <xdr:row>20</xdr:row>
      <xdr:rowOff>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90882F6E-1062-45E1-AA56-75624AA5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27</xdr:col>
      <xdr:colOff>361676</xdr:colOff>
      <xdr:row>21</xdr:row>
      <xdr:rowOff>35089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BBF264-6518-4391-9C22-3492F7B1C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581463</xdr:colOff>
      <xdr:row>3</xdr:row>
      <xdr:rowOff>4940</xdr:rowOff>
    </xdr:from>
    <xdr:to>
      <xdr:col>15</xdr:col>
      <xdr:colOff>333539</xdr:colOff>
      <xdr:row>19</xdr:row>
      <xdr:rowOff>40029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DE88A6-2E34-4FE8-822E-AA46E7A6D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B75935-AEB2-47D0-BA19-EB0028897C30}" name="Tabelle2" displayName="Tabelle2" ref="F2:T1581" totalsRowShown="0" headerRowDxfId="9" headerRowBorderDxfId="8">
  <autoFilter ref="F2:T1581" xr:uid="{3EB75935-AEB2-47D0-BA19-EB0028897C30}"/>
  <tableColumns count="15">
    <tableColumn id="1" xr3:uid="{6326C609-F1B0-44B5-A26B-EC9B54753963}" name="t [s]" dataDxfId="7">
      <calculatedColumnFormula>F2+$B$13</calculatedColumnFormula>
    </tableColumn>
    <tableColumn id="14" xr3:uid="{1BA6DDC4-0FA0-407E-8D47-ACEFFC72E343}" name="Fd" dataDxfId="6">
      <calculatedColumnFormula>1/2*$B$8*$B$6*$B$7*(Tabelle2[[#This Row],[vx]]*Tabelle2[[#This Row],[vx]]+Tabelle2[[#This Row],[vy]]*Tabelle2[[#This Row],[vy]])/1000000</calculatedColumnFormula>
    </tableColumn>
    <tableColumn id="2" xr3:uid="{8ADB060E-358A-44D5-B597-A3EAAFBF4471}" name="Fx" dataDxfId="5">
      <calculatedColumnFormula>IF($B$3,-Tabelle2[[#This Row],[Fd]]*Tabelle2[[#This Row],[vx]]/Tabelle2[[#This Row],[v]],0)</calculatedColumnFormula>
    </tableColumn>
    <tableColumn id="4" xr3:uid="{3EBFBAC4-9D71-48D4-82F5-D6CD18B3F322}" name="ax">
      <calculatedColumnFormula>H3/$B$5</calculatedColumnFormula>
    </tableColumn>
    <tableColumn id="5" xr3:uid="{81A6369A-7EA8-49B6-BBDB-0C35317DF23F}" name="dvx">
      <calculatedColumnFormula>I3*$B$13</calculatedColumnFormula>
    </tableColumn>
    <tableColumn id="6" xr3:uid="{0DBC3E74-7AD7-4E24-85E6-C6B33D75999F}" name="dx">
      <calculatedColumnFormula>$B$13*(P3+J3/2)</calculatedColumnFormula>
    </tableColumn>
    <tableColumn id="3" xr3:uid="{995C50AC-D233-45C5-A780-42CF88F3D1D6}" name="Fy" dataDxfId="4">
      <calculatedColumnFormula>-$B$5*$B$12-IF($B$3,Tabelle2[[#This Row],[Fd]]*Tabelle2[[#This Row],[vy]]/Tabelle2[[#This Row],[v]],0)</calculatedColumnFormula>
    </tableColumn>
    <tableColumn id="7" xr3:uid="{7B842052-B82D-48BA-B8E6-54230B66EC52}" name="ay">
      <calculatedColumnFormula>L3/$B$5</calculatedColumnFormula>
    </tableColumn>
    <tableColumn id="8" xr3:uid="{F61EB5B3-7CED-48C4-9564-20C5A4E91315}" name="dvy">
      <calculatedColumnFormula>M3*$B$13</calculatedColumnFormula>
    </tableColumn>
    <tableColumn id="9" xr3:uid="{FED2067E-9A52-4692-A3F4-573DBAC35AC3}" name="dy">
      <calculatedColumnFormula>$B$13*(Q3+N3/2)</calculatedColumnFormula>
    </tableColumn>
    <tableColumn id="10" xr3:uid="{38691B57-6EAD-485E-A885-7455CDADDB9C}" name="vx" dataDxfId="3">
      <calculatedColumnFormula>P2+J2</calculatedColumnFormula>
    </tableColumn>
    <tableColumn id="11" xr3:uid="{41699CEC-1134-4C48-915C-E1C2B45CD517}" name="vy" dataDxfId="2">
      <calculatedColumnFormula>Q2+N2</calculatedColumnFormula>
    </tableColumn>
    <tableColumn id="15" xr3:uid="{34671686-86C3-4ED9-A678-EA3EA815EA77}" name="v" dataDxfId="1">
      <calculatedColumnFormula>SQRT(Tabelle2[[#This Row],[vx]]*Tabelle2[[#This Row],[vx]]+Tabelle2[[#This Row],[vy]]*Tabelle2[[#This Row],[vy]])</calculatedColumnFormula>
    </tableColumn>
    <tableColumn id="12" xr3:uid="{36F6365B-F367-4E27-96CE-61F59FEC664A}" name="x">
      <calculatedColumnFormula>S2+K2</calculatedColumnFormula>
    </tableColumn>
    <tableColumn id="13" xr3:uid="{D95E174B-5B8B-4690-A419-5213CBBC7120}" name="y" dataDxfId="0">
      <calculatedColumnFormula>T2+O2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38BBC0-F5F9-464B-8773-EB07E20CCBAD}" name="Table1" displayName="Table1" ref="A1:E5" totalsRowShown="0">
  <autoFilter ref="A1:E5" xr:uid="{3238BBC0-F5F9-464B-8773-EB07E20CCBAD}"/>
  <tableColumns count="5">
    <tableColumn id="1" xr3:uid="{1E8E0AD6-5986-410B-A405-25038CD05C7E}" name="Material"/>
    <tableColumn id="2" xr3:uid="{2410EB5A-08B7-41A0-9B55-76485239C5A7}" name="Shear Modulus [Gpa]"/>
    <tableColumn id="3" xr3:uid="{5BCB5E3B-81E0-4472-8A90-56ABD2FEE5CD}" name="Elastic Modulus [Mpa]"/>
    <tableColumn id="4" xr3:uid="{865EABEB-BD5E-4F3C-B0E4-4EA5E064C75D}" name="Material Density [kg/m^3]"/>
    <tableColumn id="5" xr3:uid="{0300F939-CDE3-4DF7-843E-5F6639DC9C47}" name="Yield Strenght [Mpa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DBE5-908A-4180-B9D8-62427F3067D5}">
  <sheetPr codeName="Tabelle1">
    <tabColor theme="3" tint="0.749992370372631"/>
  </sheetPr>
  <dimension ref="A1:K129"/>
  <sheetViews>
    <sheetView tabSelected="1" topLeftCell="A67" zoomScale="97" zoomScaleNormal="160" workbookViewId="0">
      <selection activeCell="A94" sqref="A69:A94"/>
    </sheetView>
  </sheetViews>
  <sheetFormatPr defaultColWidth="9.08984375" defaultRowHeight="14.5" x14ac:dyDescent="0.35"/>
  <cols>
    <col min="1" max="1" width="20.36328125" bestFit="1" customWidth="1"/>
    <col min="2" max="2" width="13.54296875" bestFit="1" customWidth="1"/>
    <col min="3" max="3" width="22.36328125" customWidth="1"/>
    <col min="4" max="4" width="12.90625" style="1" customWidth="1"/>
    <col min="5" max="5" width="28" customWidth="1"/>
    <col min="6" max="6" width="12.6328125" bestFit="1" customWidth="1"/>
    <col min="7" max="7" width="17.6328125" bestFit="1" customWidth="1"/>
    <col min="8" max="8" width="14.90625" bestFit="1" customWidth="1"/>
  </cols>
  <sheetData>
    <row r="1" spans="1:11" x14ac:dyDescent="0.35">
      <c r="A1" s="2" t="s">
        <v>6</v>
      </c>
      <c r="J1" s="2" t="s">
        <v>41</v>
      </c>
    </row>
    <row r="2" spans="1:11" ht="15" thickBot="1" x14ac:dyDescent="0.4">
      <c r="A2" s="2" t="s">
        <v>109</v>
      </c>
      <c r="C2" s="2" t="s">
        <v>101</v>
      </c>
      <c r="J2" s="17"/>
      <c r="K2" t="s">
        <v>40</v>
      </c>
    </row>
    <row r="3" spans="1:11" ht="15" thickBot="1" x14ac:dyDescent="0.4">
      <c r="A3" s="17" t="s">
        <v>0</v>
      </c>
      <c r="B3" s="18">
        <v>200</v>
      </c>
      <c r="C3" s="9" t="s">
        <v>185</v>
      </c>
      <c r="D3" s="15">
        <f ca="1">Kinematics2!W3</f>
        <v>199.99934171981548</v>
      </c>
      <c r="E3" t="s">
        <v>124</v>
      </c>
      <c r="J3" s="20"/>
      <c r="K3" t="s">
        <v>56</v>
      </c>
    </row>
    <row r="4" spans="1:11" x14ac:dyDescent="0.35">
      <c r="A4" s="17" t="s">
        <v>168</v>
      </c>
      <c r="B4" s="25" t="b">
        <v>1</v>
      </c>
      <c r="C4" s="9" t="s">
        <v>4</v>
      </c>
      <c r="D4" s="15">
        <f>Kinematics2!B18</f>
        <v>97.759522161700104</v>
      </c>
      <c r="J4" s="9"/>
      <c r="K4" t="s">
        <v>43</v>
      </c>
    </row>
    <row r="5" spans="1:11" x14ac:dyDescent="0.35">
      <c r="A5" s="19" t="s">
        <v>1</v>
      </c>
      <c r="B5" s="18">
        <v>40</v>
      </c>
      <c r="C5" s="8" t="s">
        <v>23</v>
      </c>
      <c r="D5" s="15">
        <f>Kinematics2!B26</f>
        <v>48.879761080850052</v>
      </c>
      <c r="J5" s="21"/>
      <c r="K5" t="s">
        <v>9</v>
      </c>
    </row>
    <row r="6" spans="1:11" x14ac:dyDescent="0.35">
      <c r="C6" s="9" t="s">
        <v>22</v>
      </c>
      <c r="D6" s="15">
        <f>Kinematics2!B27</f>
        <v>7.7794555931681311</v>
      </c>
      <c r="J6" s="4"/>
      <c r="K6" t="s">
        <v>13</v>
      </c>
    </row>
    <row r="7" spans="1:11" x14ac:dyDescent="0.35">
      <c r="A7" s="2" t="s">
        <v>110</v>
      </c>
      <c r="C7" s="9" t="s">
        <v>28</v>
      </c>
      <c r="D7" s="15">
        <f>Kinematics2!B28</f>
        <v>466.7673355900879</v>
      </c>
    </row>
    <row r="8" spans="1:11" x14ac:dyDescent="0.35">
      <c r="A8" s="17" t="s">
        <v>21</v>
      </c>
      <c r="B8" s="17">
        <v>60</v>
      </c>
      <c r="C8" s="9" t="s">
        <v>24</v>
      </c>
      <c r="D8" s="15">
        <f>Kinetics!B13</f>
        <v>0.81466268468083425</v>
      </c>
    </row>
    <row r="9" spans="1:11" x14ac:dyDescent="0.35">
      <c r="C9" s="9" t="s">
        <v>25</v>
      </c>
      <c r="D9" s="15">
        <f>Kinetics!B14</f>
        <v>1.6293253693616685</v>
      </c>
    </row>
    <row r="10" spans="1:11" x14ac:dyDescent="0.35">
      <c r="C10" s="9" t="s">
        <v>26</v>
      </c>
      <c r="D10" s="15">
        <f>Kinetics!B15</f>
        <v>4778.4620866419673</v>
      </c>
    </row>
    <row r="11" spans="1:11" x14ac:dyDescent="0.35">
      <c r="C11" s="9" t="s">
        <v>27</v>
      </c>
      <c r="D11" s="15">
        <f>Kinetics!B16</f>
        <v>487.1011301367958</v>
      </c>
    </row>
    <row r="12" spans="1:11" x14ac:dyDescent="0.35">
      <c r="A12" s="2" t="s">
        <v>115</v>
      </c>
    </row>
    <row r="13" spans="1:11" x14ac:dyDescent="0.35">
      <c r="A13" s="17" t="s">
        <v>37</v>
      </c>
      <c r="B13" s="18">
        <v>1.5</v>
      </c>
      <c r="C13" s="9" t="s">
        <v>125</v>
      </c>
      <c r="D13" s="15">
        <f>Kinetics!B19</f>
        <v>16.905420869180798</v>
      </c>
    </row>
    <row r="14" spans="1:11" x14ac:dyDescent="0.35">
      <c r="A14" s="17" t="s">
        <v>114</v>
      </c>
      <c r="B14" s="17">
        <v>0.75</v>
      </c>
      <c r="C14" s="9" t="s">
        <v>31</v>
      </c>
      <c r="D14" s="15">
        <f>Kinetics!B24</f>
        <v>44.738496191937777</v>
      </c>
    </row>
    <row r="15" spans="1:11" x14ac:dyDescent="0.35">
      <c r="A15" s="17" t="s">
        <v>117</v>
      </c>
      <c r="B15" s="17">
        <v>3850</v>
      </c>
      <c r="C15" s="9" t="s">
        <v>32</v>
      </c>
      <c r="D15" s="15">
        <f>Kinetics!B25</f>
        <v>2186.8070049784383</v>
      </c>
    </row>
    <row r="16" spans="1:11" x14ac:dyDescent="0.35">
      <c r="A16" s="17" t="s">
        <v>112</v>
      </c>
      <c r="B16" s="17">
        <v>1.225225</v>
      </c>
    </row>
    <row r="18" spans="1:5" x14ac:dyDescent="0.35">
      <c r="A18" s="2" t="s">
        <v>116</v>
      </c>
    </row>
    <row r="19" spans="1:5" x14ac:dyDescent="0.35">
      <c r="A19" s="19" t="s">
        <v>8</v>
      </c>
      <c r="B19" s="18">
        <v>3</v>
      </c>
    </row>
    <row r="21" spans="1:5" x14ac:dyDescent="0.35">
      <c r="A21" s="2" t="s">
        <v>64</v>
      </c>
      <c r="C21" s="2"/>
    </row>
    <row r="22" spans="1:5" x14ac:dyDescent="0.35">
      <c r="A22" s="19" t="s">
        <v>7</v>
      </c>
      <c r="B22" s="18">
        <v>2</v>
      </c>
      <c r="C22" s="9" t="s">
        <v>103</v>
      </c>
      <c r="D22" s="15">
        <f>B75</f>
        <v>33.108704860726945</v>
      </c>
      <c r="E22" t="s">
        <v>106</v>
      </c>
    </row>
    <row r="23" spans="1:5" x14ac:dyDescent="0.35">
      <c r="A23" s="17" t="s">
        <v>63</v>
      </c>
      <c r="B23" s="17">
        <v>25</v>
      </c>
      <c r="C23" s="9" t="s">
        <v>93</v>
      </c>
      <c r="D23" s="15">
        <f>B84</f>
        <v>43.206731732256458</v>
      </c>
      <c r="E23" t="s">
        <v>107</v>
      </c>
    </row>
    <row r="24" spans="1:5" ht="15" thickBot="1" x14ac:dyDescent="0.4">
      <c r="A24" s="17" t="s">
        <v>62</v>
      </c>
      <c r="B24" s="17">
        <v>20</v>
      </c>
      <c r="C24" s="8" t="s">
        <v>100</v>
      </c>
      <c r="D24" s="15">
        <f>B88</f>
        <v>20.436775415260072</v>
      </c>
      <c r="E24" t="s">
        <v>105</v>
      </c>
    </row>
    <row r="25" spans="1:5" ht="15" thickBot="1" x14ac:dyDescent="0.4">
      <c r="A25" s="17" t="s">
        <v>51</v>
      </c>
      <c r="B25" s="20" t="s">
        <v>57</v>
      </c>
      <c r="C25" s="9" t="s">
        <v>96</v>
      </c>
      <c r="D25" s="15">
        <f>B92</f>
        <v>81.833069956492864</v>
      </c>
      <c r="E25" t="s">
        <v>104</v>
      </c>
    </row>
    <row r="26" spans="1:5" x14ac:dyDescent="0.35">
      <c r="C26" s="9" t="s">
        <v>72</v>
      </c>
      <c r="D26" s="15">
        <f>B93</f>
        <v>7.3319991577854076</v>
      </c>
      <c r="E26" t="s">
        <v>77</v>
      </c>
    </row>
    <row r="28" spans="1:5" x14ac:dyDescent="0.35">
      <c r="A28" s="2" t="s">
        <v>65</v>
      </c>
    </row>
    <row r="29" spans="1:5" x14ac:dyDescent="0.35">
      <c r="A29" s="17" t="s">
        <v>36</v>
      </c>
      <c r="B29" s="18">
        <v>2</v>
      </c>
      <c r="C29" s="9" t="s">
        <v>138</v>
      </c>
      <c r="D29" s="15">
        <f>B102</f>
        <v>33.108704860726945</v>
      </c>
      <c r="E29" t="s">
        <v>106</v>
      </c>
    </row>
    <row r="30" spans="1:5" x14ac:dyDescent="0.35">
      <c r="A30" s="17" t="s">
        <v>66</v>
      </c>
      <c r="B30" s="17">
        <v>25</v>
      </c>
      <c r="C30" s="9" t="s">
        <v>139</v>
      </c>
      <c r="D30" s="15">
        <f>B110</f>
        <v>5.8740048014691117</v>
      </c>
      <c r="E30" t="s">
        <v>107</v>
      </c>
    </row>
    <row r="31" spans="1:5" ht="14.4" customHeight="1" thickBot="1" x14ac:dyDescent="0.4">
      <c r="A31" s="17" t="s">
        <v>67</v>
      </c>
      <c r="B31" s="17">
        <v>20</v>
      </c>
      <c r="C31" s="8" t="s">
        <v>140</v>
      </c>
      <c r="D31" s="15">
        <f>B114</f>
        <v>2.9711721727864622</v>
      </c>
      <c r="E31" t="s">
        <v>105</v>
      </c>
    </row>
    <row r="32" spans="1:5" ht="15" thickBot="1" x14ac:dyDescent="0.4">
      <c r="A32" s="17" t="s">
        <v>51</v>
      </c>
      <c r="B32" s="20" t="s">
        <v>57</v>
      </c>
      <c r="C32" s="9" t="s">
        <v>141</v>
      </c>
      <c r="D32" s="15">
        <f>B118</f>
        <v>34.636658828151575</v>
      </c>
      <c r="E32" t="s">
        <v>104</v>
      </c>
    </row>
    <row r="33" spans="1:5" x14ac:dyDescent="0.35">
      <c r="C33" s="9" t="s">
        <v>72</v>
      </c>
      <c r="D33" s="15">
        <f>B119</f>
        <v>17.322687011379372</v>
      </c>
      <c r="E33" t="s">
        <v>77</v>
      </c>
    </row>
    <row r="36" spans="1:5" x14ac:dyDescent="0.35">
      <c r="A36" s="28" t="s">
        <v>154</v>
      </c>
      <c r="B36" s="28"/>
    </row>
    <row r="37" spans="1:5" x14ac:dyDescent="0.35">
      <c r="A37" s="17" t="s">
        <v>146</v>
      </c>
      <c r="B37" s="24">
        <v>0.1</v>
      </c>
      <c r="C37" t="s">
        <v>145</v>
      </c>
    </row>
    <row r="38" spans="1:5" x14ac:dyDescent="0.35">
      <c r="A38" s="17" t="s">
        <v>158</v>
      </c>
      <c r="B38" s="24">
        <v>80</v>
      </c>
      <c r="C38" t="s">
        <v>155</v>
      </c>
    </row>
    <row r="39" spans="1:5" x14ac:dyDescent="0.35">
      <c r="A39" s="17" t="s">
        <v>159</v>
      </c>
      <c r="B39" s="24">
        <v>50</v>
      </c>
      <c r="C39" t="s">
        <v>156</v>
      </c>
    </row>
    <row r="40" spans="1:5" x14ac:dyDescent="0.35">
      <c r="A40" s="17" t="s">
        <v>160</v>
      </c>
      <c r="B40" s="24">
        <v>58</v>
      </c>
      <c r="C40" t="s">
        <v>157</v>
      </c>
    </row>
    <row r="41" spans="1:5" x14ac:dyDescent="0.35">
      <c r="A41" s="17" t="s">
        <v>163</v>
      </c>
      <c r="B41" s="24">
        <v>20</v>
      </c>
      <c r="C41" t="s">
        <v>164</v>
      </c>
    </row>
    <row r="43" spans="1:5" x14ac:dyDescent="0.35">
      <c r="A43" s="2" t="s">
        <v>102</v>
      </c>
    </row>
    <row r="44" spans="1:5" x14ac:dyDescent="0.35">
      <c r="A44" t="s">
        <v>135</v>
      </c>
    </row>
    <row r="45" spans="1:5" x14ac:dyDescent="0.35">
      <c r="A45" s="8" t="s">
        <v>68</v>
      </c>
      <c r="B45" s="9" cm="1">
        <f t="array" ref="B45">_xlfn.XLOOKUP(B25,Table1[[#All],[Material]],Table1[[#All],[Material Density '[kg/m^3']]])</f>
        <v>1500</v>
      </c>
    </row>
    <row r="46" spans="1:5" x14ac:dyDescent="0.35">
      <c r="A46" s="4" t="s">
        <v>69</v>
      </c>
      <c r="B46" s="11">
        <f>(B23^2-B24^2)*PI()/4</f>
        <v>176.71458676442586</v>
      </c>
    </row>
    <row r="47" spans="1:5" x14ac:dyDescent="0.35">
      <c r="A47" s="4" t="s">
        <v>70</v>
      </c>
      <c r="B47" s="11">
        <f>B46*B22*1000</f>
        <v>353429.17352885171</v>
      </c>
    </row>
    <row r="48" spans="1:5" x14ac:dyDescent="0.35">
      <c r="A48" s="4" t="s">
        <v>38</v>
      </c>
      <c r="B48" s="14">
        <f>(B47/10^9)*B45</f>
        <v>0.53014376029327759</v>
      </c>
    </row>
    <row r="49" spans="1:2" x14ac:dyDescent="0.35">
      <c r="A49" s="4" t="s">
        <v>90</v>
      </c>
      <c r="B49" s="11">
        <f>(B23^4-B24^4)*PI()/64</f>
        <v>11320.778214596032</v>
      </c>
    </row>
    <row r="51" spans="1:2" x14ac:dyDescent="0.35">
      <c r="A51" t="s">
        <v>136</v>
      </c>
    </row>
    <row r="52" spans="1:2" x14ac:dyDescent="0.35">
      <c r="A52" s="8" t="s">
        <v>71</v>
      </c>
      <c r="B52" s="9" cm="1">
        <f t="array" ref="B52">_xlfn.XLOOKUP(B32,Table1[[#All],[Material]],Table1[[#All],[Material Density '[kg/m^3']]])</f>
        <v>1500</v>
      </c>
    </row>
    <row r="53" spans="1:2" x14ac:dyDescent="0.35">
      <c r="A53" s="4" t="s">
        <v>133</v>
      </c>
      <c r="B53" s="11">
        <f>(B30^2-B31^2)*PI()/4</f>
        <v>176.71458676442586</v>
      </c>
    </row>
    <row r="54" spans="1:2" x14ac:dyDescent="0.35">
      <c r="A54" s="4" t="s">
        <v>134</v>
      </c>
      <c r="B54" s="11">
        <f>B53*B29*1000</f>
        <v>353429.17352885171</v>
      </c>
    </row>
    <row r="55" spans="1:2" x14ac:dyDescent="0.35">
      <c r="A55" s="4" t="s">
        <v>39</v>
      </c>
      <c r="B55" s="14">
        <f>(B54/10^9)*B52</f>
        <v>0.53014376029327759</v>
      </c>
    </row>
    <row r="56" spans="1:2" x14ac:dyDescent="0.35">
      <c r="A56" s="4" t="s">
        <v>137</v>
      </c>
      <c r="B56" s="11">
        <f>(B30^4-B31^4)*PI()/64</f>
        <v>11320.778214596032</v>
      </c>
    </row>
    <row r="58" spans="1:2" x14ac:dyDescent="0.35">
      <c r="A58" t="s">
        <v>46</v>
      </c>
      <c r="B58" s="1"/>
    </row>
    <row r="59" spans="1:2" x14ac:dyDescent="0.35">
      <c r="A59" s="4" t="s">
        <v>35</v>
      </c>
      <c r="B59" s="3">
        <f>(B22/B29)*B13</f>
        <v>1.5</v>
      </c>
    </row>
    <row r="61" spans="1:2" x14ac:dyDescent="0.35">
      <c r="A61" t="s">
        <v>42</v>
      </c>
    </row>
    <row r="62" spans="1:2" x14ac:dyDescent="0.35">
      <c r="A62" s="4" t="s">
        <v>86</v>
      </c>
      <c r="B62" s="3">
        <f>B13*B22^2</f>
        <v>6</v>
      </c>
    </row>
    <row r="63" spans="1:2" x14ac:dyDescent="0.35">
      <c r="A63" s="4" t="s">
        <v>85</v>
      </c>
      <c r="B63" s="3">
        <f>B59*B29^2</f>
        <v>6</v>
      </c>
    </row>
    <row r="64" spans="1:2" x14ac:dyDescent="0.35">
      <c r="A64" s="4" t="s">
        <v>87</v>
      </c>
      <c r="B64" s="3">
        <f>(B48*B22^2)/3</f>
        <v>0.70685834705770345</v>
      </c>
    </row>
    <row r="65" spans="1:3" x14ac:dyDescent="0.35">
      <c r="A65" s="4" t="s">
        <v>88</v>
      </c>
      <c r="B65" s="3">
        <f>(B55*B29^2)/3</f>
        <v>0.70685834705770345</v>
      </c>
    </row>
    <row r="66" spans="1:3" x14ac:dyDescent="0.35">
      <c r="A66" s="4" t="s">
        <v>89</v>
      </c>
      <c r="B66" s="3">
        <f>B62+B63+B64+B65</f>
        <v>13.413716694115408</v>
      </c>
    </row>
    <row r="68" spans="1:3" x14ac:dyDescent="0.35">
      <c r="A68" s="2" t="s">
        <v>73</v>
      </c>
    </row>
    <row r="69" spans="1:3" x14ac:dyDescent="0.35">
      <c r="A69" t="s">
        <v>44</v>
      </c>
    </row>
    <row r="70" spans="1:3" ht="58" x14ac:dyDescent="0.35">
      <c r="A70" s="4" t="s">
        <v>26</v>
      </c>
      <c r="B70" s="10">
        <f>(Kinematics_deprecated!B14^2)/Main!B22</f>
        <v>3314.7608114875343</v>
      </c>
      <c r="C70" s="7" t="s">
        <v>108</v>
      </c>
    </row>
    <row r="71" spans="1:3" x14ac:dyDescent="0.35">
      <c r="A71" s="4" t="s">
        <v>47</v>
      </c>
      <c r="B71" s="10">
        <f>(Kinematics_deprecated!B14^2)/(2*Main!B22)</f>
        <v>1657.3804057437671</v>
      </c>
      <c r="C71" s="7"/>
    </row>
    <row r="72" spans="1:3" x14ac:dyDescent="0.35">
      <c r="A72" s="4" t="s">
        <v>49</v>
      </c>
      <c r="B72" s="10">
        <f>B70*B13</f>
        <v>4972.1412172313012</v>
      </c>
      <c r="C72" s="7"/>
    </row>
    <row r="73" spans="1:3" x14ac:dyDescent="0.35">
      <c r="A73" s="4" t="s">
        <v>48</v>
      </c>
      <c r="B73" s="10">
        <f>B71*B48</f>
        <v>878.64988053739887</v>
      </c>
    </row>
    <row r="74" spans="1:3" x14ac:dyDescent="0.35">
      <c r="A74" s="4" t="s">
        <v>50</v>
      </c>
      <c r="B74" s="10">
        <f>B72+B73</f>
        <v>5850.7910977686997</v>
      </c>
    </row>
    <row r="75" spans="1:3" x14ac:dyDescent="0.35">
      <c r="A75" s="4" t="s">
        <v>92</v>
      </c>
      <c r="B75" s="12">
        <f>B74/B46</f>
        <v>33.108704860726945</v>
      </c>
    </row>
    <row r="77" spans="1:3" x14ac:dyDescent="0.35">
      <c r="A77" t="s">
        <v>78</v>
      </c>
    </row>
    <row r="78" spans="1:3" x14ac:dyDescent="0.35">
      <c r="A78" s="9" t="s">
        <v>79</v>
      </c>
      <c r="B78" s="16">
        <f>Kinetics!B14</f>
        <v>1.6293253693616685</v>
      </c>
    </row>
    <row r="79" spans="1:3" x14ac:dyDescent="0.35">
      <c r="A79" s="9" t="s">
        <v>118</v>
      </c>
      <c r="B79" s="23">
        <f>Kinetics!B19</f>
        <v>16.905420869180798</v>
      </c>
    </row>
    <row r="80" spans="1:3" x14ac:dyDescent="0.35">
      <c r="A80" s="4" t="s">
        <v>81</v>
      </c>
      <c r="B80" s="3">
        <f>B78*B13</f>
        <v>2.443988054042503</v>
      </c>
    </row>
    <row r="81" spans="1:3" x14ac:dyDescent="0.35">
      <c r="A81" s="4" t="s">
        <v>80</v>
      </c>
      <c r="B81" s="13">
        <f>(B78/2)*B48</f>
        <v>0.43188833902731416</v>
      </c>
    </row>
    <row r="82" spans="1:3" x14ac:dyDescent="0.35">
      <c r="A82" s="4" t="s">
        <v>84</v>
      </c>
      <c r="B82" s="3">
        <f>B80+B81+B79</f>
        <v>19.781297262250614</v>
      </c>
      <c r="C82" t="s">
        <v>82</v>
      </c>
    </row>
    <row r="83" spans="1:3" x14ac:dyDescent="0.35">
      <c r="A83" s="4" t="s">
        <v>83</v>
      </c>
      <c r="B83" s="3">
        <f>B80*B22+B81*(B22/2)+B79*B22</f>
        <v>39.130706185473919</v>
      </c>
      <c r="C83" t="s">
        <v>91</v>
      </c>
    </row>
    <row r="84" spans="1:3" x14ac:dyDescent="0.35">
      <c r="A84" s="4" t="s">
        <v>93</v>
      </c>
      <c r="B84" s="13">
        <f>(B83*1000)*B23/(2*B49)</f>
        <v>43.206731732256458</v>
      </c>
      <c r="C84" t="s">
        <v>94</v>
      </c>
    </row>
    <row r="86" spans="1:3" x14ac:dyDescent="0.35">
      <c r="A86" t="s">
        <v>98</v>
      </c>
    </row>
    <row r="87" spans="1:3" x14ac:dyDescent="0.35">
      <c r="A87" s="9" t="s">
        <v>99</v>
      </c>
      <c r="B87" s="15" cm="1">
        <f t="array" ref="B87">_xlfn.XLOOKUP(B25,Table1[[#All],[Material]],Table1[[#All],[Elastic Modulus '[Mpa']]])</f>
        <v>228000</v>
      </c>
    </row>
    <row r="88" spans="1:3" x14ac:dyDescent="0.35">
      <c r="A88" s="6" t="s">
        <v>100</v>
      </c>
      <c r="B88" s="3">
        <f>B82*(B22*1000)^3/(3*B87*B49)</f>
        <v>20.436775415260072</v>
      </c>
    </row>
    <row r="90" spans="1:3" x14ac:dyDescent="0.35">
      <c r="A90" t="s">
        <v>95</v>
      </c>
    </row>
    <row r="91" spans="1:3" x14ac:dyDescent="0.35">
      <c r="A91" s="9" t="s">
        <v>58</v>
      </c>
      <c r="B91" s="15" cm="1">
        <f t="array" ref="B91">_xlfn.XLOOKUP(B25,Table1[[#All],[Material]],Table1[[#All],[Yield Strenght '[Mpa']]])</f>
        <v>600</v>
      </c>
    </row>
    <row r="92" spans="1:3" x14ac:dyDescent="0.35">
      <c r="A92" s="4" t="s">
        <v>96</v>
      </c>
      <c r="B92" s="12">
        <f>SQRT(B75^2+3*B84^2)</f>
        <v>81.833069956492864</v>
      </c>
      <c r="C92" t="s">
        <v>97</v>
      </c>
    </row>
    <row r="93" spans="1:3" x14ac:dyDescent="0.35">
      <c r="A93" s="4" t="s">
        <v>72</v>
      </c>
      <c r="B93" s="11">
        <f>B91/B92</f>
        <v>7.3319991577854076</v>
      </c>
      <c r="C93" t="s">
        <v>77</v>
      </c>
    </row>
    <row r="95" spans="1:3" x14ac:dyDescent="0.35">
      <c r="A95" s="2" t="s">
        <v>126</v>
      </c>
    </row>
    <row r="96" spans="1:3" x14ac:dyDescent="0.35">
      <c r="A96" t="s">
        <v>44</v>
      </c>
    </row>
    <row r="97" spans="1:3" x14ac:dyDescent="0.35">
      <c r="A97" s="4" t="s">
        <v>129</v>
      </c>
      <c r="B97" s="10">
        <f>(Kinematics_deprecated!B14^2)/Main!B22</f>
        <v>3314.7608114875343</v>
      </c>
      <c r="C97" s="7"/>
    </row>
    <row r="98" spans="1:3" x14ac:dyDescent="0.35">
      <c r="A98" s="4" t="s">
        <v>130</v>
      </c>
      <c r="B98" s="10">
        <f>(Kinematics_deprecated!B14^2)/(2*Main!B22)</f>
        <v>1657.3804057437671</v>
      </c>
      <c r="C98" s="7"/>
    </row>
    <row r="99" spans="1:3" x14ac:dyDescent="0.35">
      <c r="A99" s="4" t="s">
        <v>127</v>
      </c>
      <c r="B99" s="10">
        <f>B97*B59</f>
        <v>4972.1412172313012</v>
      </c>
      <c r="C99" s="7"/>
    </row>
    <row r="100" spans="1:3" x14ac:dyDescent="0.35">
      <c r="A100" s="4" t="s">
        <v>128</v>
      </c>
      <c r="B100" s="10">
        <f>B98*B55</f>
        <v>878.64988053739887</v>
      </c>
    </row>
    <row r="101" spans="1:3" x14ac:dyDescent="0.35">
      <c r="A101" s="4" t="s">
        <v>50</v>
      </c>
      <c r="B101" s="10">
        <f>B99+B100</f>
        <v>5850.7910977686997</v>
      </c>
    </row>
    <row r="102" spans="1:3" x14ac:dyDescent="0.35">
      <c r="A102" s="4" t="s">
        <v>92</v>
      </c>
      <c r="B102" s="12">
        <f>B101/B53</f>
        <v>33.108704860726945</v>
      </c>
    </row>
    <row r="104" spans="1:3" x14ac:dyDescent="0.35">
      <c r="A104" t="s">
        <v>78</v>
      </c>
    </row>
    <row r="105" spans="1:3" x14ac:dyDescent="0.35">
      <c r="A105" s="9" t="s">
        <v>79</v>
      </c>
      <c r="B105" s="16">
        <f>Kinetics!B14</f>
        <v>1.6293253693616685</v>
      </c>
    </row>
    <row r="106" spans="1:3" x14ac:dyDescent="0.35">
      <c r="A106" s="4" t="s">
        <v>131</v>
      </c>
      <c r="B106" s="3">
        <f>B105*B59</f>
        <v>2.443988054042503</v>
      </c>
    </row>
    <row r="107" spans="1:3" x14ac:dyDescent="0.35">
      <c r="A107" s="4" t="s">
        <v>132</v>
      </c>
      <c r="B107" s="13">
        <f>(B105/2)*B55</f>
        <v>0.43188833902731416</v>
      </c>
    </row>
    <row r="108" spans="1:3" x14ac:dyDescent="0.35">
      <c r="A108" s="4" t="s">
        <v>143</v>
      </c>
      <c r="B108" s="3">
        <f>B106+B107</f>
        <v>2.875876393069817</v>
      </c>
      <c r="C108" t="s">
        <v>82</v>
      </c>
    </row>
    <row r="109" spans="1:3" x14ac:dyDescent="0.35">
      <c r="A109" s="4" t="s">
        <v>142</v>
      </c>
      <c r="B109" s="3">
        <f>B106*B29+B107*(B29/2)</f>
        <v>5.3198644471123204</v>
      </c>
      <c r="C109" t="s">
        <v>91</v>
      </c>
    </row>
    <row r="110" spans="1:3" x14ac:dyDescent="0.35">
      <c r="A110" s="4" t="s">
        <v>139</v>
      </c>
      <c r="B110" s="13">
        <f>(B109*1000)*B30/(2*B56)</f>
        <v>5.8740048014691117</v>
      </c>
      <c r="C110" t="s">
        <v>94</v>
      </c>
    </row>
    <row r="112" spans="1:3" x14ac:dyDescent="0.35">
      <c r="A112" t="s">
        <v>98</v>
      </c>
    </row>
    <row r="113" spans="1:3" x14ac:dyDescent="0.35">
      <c r="A113" s="9" t="s">
        <v>99</v>
      </c>
      <c r="B113" s="15" cm="1">
        <f t="array" ref="B113">_xlfn.XLOOKUP(B32,Table1[[#All],[Material]],Table1[[#All],[Elastic Modulus '[Mpa']]])</f>
        <v>228000</v>
      </c>
    </row>
    <row r="114" spans="1:3" x14ac:dyDescent="0.35">
      <c r="A114" s="6" t="s">
        <v>140</v>
      </c>
      <c r="B114" s="3">
        <f>B108*(B29*1000)^3/(3*B113*B56)</f>
        <v>2.9711721727864622</v>
      </c>
    </row>
    <row r="116" spans="1:3" x14ac:dyDescent="0.35">
      <c r="A116" t="s">
        <v>95</v>
      </c>
    </row>
    <row r="117" spans="1:3" x14ac:dyDescent="0.35">
      <c r="A117" s="9" t="s">
        <v>58</v>
      </c>
      <c r="B117" s="15" cm="1">
        <f t="array" ref="B117">_xlfn.XLOOKUP(B32,Table1[[#All],[Material]],Table1[[#All],[Yield Strenght '[Mpa']]])</f>
        <v>600</v>
      </c>
    </row>
    <row r="118" spans="1:3" x14ac:dyDescent="0.35">
      <c r="A118" s="4" t="s">
        <v>141</v>
      </c>
      <c r="B118" s="12">
        <f>SQRT(B102^2+3*B110^2)</f>
        <v>34.636658828151575</v>
      </c>
      <c r="C118" t="s">
        <v>97</v>
      </c>
    </row>
    <row r="119" spans="1:3" x14ac:dyDescent="0.35">
      <c r="A119" s="4" t="s">
        <v>72</v>
      </c>
      <c r="B119" s="11">
        <f>B117/B118</f>
        <v>17.322687011379372</v>
      </c>
      <c r="C119" t="s">
        <v>77</v>
      </c>
    </row>
    <row r="121" spans="1:3" x14ac:dyDescent="0.35">
      <c r="A121" s="28" t="s">
        <v>144</v>
      </c>
      <c r="B121" s="28"/>
    </row>
    <row r="122" spans="1:3" x14ac:dyDescent="0.35">
      <c r="A122" s="29" t="s">
        <v>153</v>
      </c>
      <c r="B122" s="28"/>
    </row>
    <row r="123" spans="1:3" x14ac:dyDescent="0.35">
      <c r="A123" s="4" t="s">
        <v>147</v>
      </c>
      <c r="B123" s="10">
        <f>B99</f>
        <v>4972.1412172313012</v>
      </c>
      <c r="C123" t="s">
        <v>149</v>
      </c>
    </row>
    <row r="124" spans="1:3" x14ac:dyDescent="0.35">
      <c r="A124" s="4" t="s">
        <v>148</v>
      </c>
      <c r="B124" s="10">
        <f>D14/B37</f>
        <v>447.38496191937776</v>
      </c>
      <c r="C124" t="s">
        <v>150</v>
      </c>
    </row>
    <row r="125" spans="1:3" x14ac:dyDescent="0.35">
      <c r="A125" s="4" t="s">
        <v>152</v>
      </c>
      <c r="B125" s="10">
        <f>(B13+B59+B48+B55) * 9.81</f>
        <v>39.831420576954109</v>
      </c>
      <c r="C125" t="s">
        <v>151</v>
      </c>
    </row>
    <row r="127" spans="1:3" x14ac:dyDescent="0.35">
      <c r="A127" s="29" t="s">
        <v>167</v>
      </c>
      <c r="B127" s="29"/>
    </row>
    <row r="128" spans="1:3" x14ac:dyDescent="0.35">
      <c r="A128" s="4" t="s">
        <v>165</v>
      </c>
      <c r="B128" s="10">
        <f>B38*B41</f>
        <v>1600</v>
      </c>
      <c r="C128" t="s">
        <v>161</v>
      </c>
    </row>
    <row r="129" spans="1:3" x14ac:dyDescent="0.35">
      <c r="A129" s="4" t="s">
        <v>166</v>
      </c>
      <c r="B129" s="10">
        <f>PI() /4 *(B40*B40 - B39*B39)</f>
        <v>678.58401317539528</v>
      </c>
      <c r="C129" t="s">
        <v>162</v>
      </c>
    </row>
  </sheetData>
  <mergeCells count="4">
    <mergeCell ref="A121:B121"/>
    <mergeCell ref="A36:B36"/>
    <mergeCell ref="A122:B122"/>
    <mergeCell ref="A127:B127"/>
  </mergeCells>
  <dataValidations count="1">
    <dataValidation type="list" allowBlank="1" showInputMessage="1" showErrorMessage="1" sqref="B25 B32" xr:uid="{5BA042D7-8F26-4B17-8025-6A73066270B5}">
      <formula1>Material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D21CC-BC1E-4DF2-ACF1-D6629810FE5B}">
  <sheetPr codeName="Tabelle3">
    <tabColor theme="5" tint="0.59999389629810485"/>
  </sheetPr>
  <dimension ref="A1:W1581"/>
  <sheetViews>
    <sheetView workbookViewId="0">
      <selection activeCell="C24" sqref="C24"/>
    </sheetView>
  </sheetViews>
  <sheetFormatPr defaultColWidth="9.08984375" defaultRowHeight="14.5" x14ac:dyDescent="0.35"/>
  <cols>
    <col min="1" max="1" width="16" customWidth="1"/>
    <col min="2" max="2" width="9.08984375" style="1"/>
    <col min="4" max="4" width="11.54296875" bestFit="1" customWidth="1"/>
    <col min="6" max="6" width="11.26953125" style="1" customWidth="1"/>
    <col min="7" max="7" width="8.81640625" customWidth="1"/>
    <col min="8" max="8" width="15.90625" customWidth="1"/>
    <col min="9" max="9" width="9.453125" customWidth="1"/>
    <col min="10" max="10" width="7" customWidth="1"/>
    <col min="11" max="11" width="11.26953125" customWidth="1"/>
    <col min="12" max="12" width="11.453125" customWidth="1"/>
    <col min="13" max="13" width="9.08984375" customWidth="1"/>
    <col min="14" max="14" width="10.453125" customWidth="1"/>
    <col min="15" max="15" width="14.36328125" customWidth="1"/>
    <col min="16" max="16" width="9.08984375" style="1"/>
    <col min="17" max="17" width="10" style="1" customWidth="1"/>
    <col min="19" max="19" width="10" customWidth="1"/>
    <col min="21" max="21" width="10.36328125" customWidth="1"/>
    <col min="22" max="22" width="12.36328125" customWidth="1"/>
    <col min="23" max="23" width="11.90625" customWidth="1"/>
    <col min="24" max="24" width="18.90625" customWidth="1"/>
  </cols>
  <sheetData>
    <row r="1" spans="1:23" x14ac:dyDescent="0.35">
      <c r="A1" s="2" t="s">
        <v>6</v>
      </c>
      <c r="F1" s="2" t="s">
        <v>15</v>
      </c>
      <c r="G1" s="2"/>
      <c r="H1" s="2"/>
      <c r="I1" s="2"/>
      <c r="J1" s="2"/>
      <c r="K1" s="2"/>
      <c r="L1" s="2"/>
      <c r="M1" s="2"/>
      <c r="N1" s="2"/>
      <c r="O1" s="2"/>
      <c r="P1"/>
      <c r="Q1"/>
      <c r="R1" s="2"/>
      <c r="V1" s="2" t="s">
        <v>16</v>
      </c>
    </row>
    <row r="2" spans="1:23" x14ac:dyDescent="0.35">
      <c r="A2" s="9" t="s">
        <v>0</v>
      </c>
      <c r="B2" s="15">
        <f>Main!B3</f>
        <v>200</v>
      </c>
      <c r="F2" s="27" t="s">
        <v>20</v>
      </c>
      <c r="G2" s="27" t="s">
        <v>182</v>
      </c>
      <c r="H2" s="27" t="s">
        <v>176</v>
      </c>
      <c r="I2" s="27" t="s">
        <v>170</v>
      </c>
      <c r="J2" s="27" t="s">
        <v>172</v>
      </c>
      <c r="K2" s="27" t="s">
        <v>174</v>
      </c>
      <c r="L2" s="27" t="s">
        <v>177</v>
      </c>
      <c r="M2" s="27" t="s">
        <v>171</v>
      </c>
      <c r="N2" s="27" t="s">
        <v>173</v>
      </c>
      <c r="O2" s="27" t="s">
        <v>175</v>
      </c>
      <c r="P2" s="27" t="s">
        <v>178</v>
      </c>
      <c r="Q2" s="27" t="s">
        <v>179</v>
      </c>
      <c r="R2" s="27" t="s">
        <v>183</v>
      </c>
      <c r="S2" s="27" t="s">
        <v>180</v>
      </c>
      <c r="T2" s="27" t="s">
        <v>181</v>
      </c>
      <c r="V2" t="s">
        <v>17</v>
      </c>
      <c r="W2" s="1">
        <f>COUNTIF(Tabelle2[y],"&gt;0")</f>
        <v>635</v>
      </c>
    </row>
    <row r="3" spans="1:23" x14ac:dyDescent="0.35">
      <c r="A3" s="9" t="s">
        <v>168</v>
      </c>
      <c r="B3" s="26" t="b">
        <f>Main!B4</f>
        <v>1</v>
      </c>
      <c r="F3" s="1">
        <v>0</v>
      </c>
      <c r="G3">
        <f>1/2*$B$8*$B$6*$B$7*(Tabelle2[[#This Row],[vx]]*Tabelle2[[#This Row],[vx]]+Tabelle2[[#This Row],[vy]]*Tabelle2[[#This Row],[vy]])/1000000</f>
        <v>16.905420869180791</v>
      </c>
      <c r="H3">
        <f>IF($B$3,-Tabelle2[[#This Row],[Fd]]*Tabelle2[[#This Row],[vx]]/Tabelle2[[#This Row],[v]],0)</f>
        <v>-10.866595071245657</v>
      </c>
      <c r="I3">
        <f t="shared" ref="I3:I66" si="0">H3/$B$5</f>
        <v>-7.2443967141637708</v>
      </c>
      <c r="J3">
        <f t="shared" ref="J3:J66" si="1">I3*$B$13</f>
        <v>-0.14488793428327543</v>
      </c>
      <c r="K3">
        <f t="shared" ref="K3:K66" si="2">$B$13*(P3+J3/2)</f>
        <v>1.2553233121455167</v>
      </c>
      <c r="L3">
        <f>-$B$5*$B$12-IF($B$3,Tabelle2[[#This Row],[Fd]]*Tabelle2[[#This Row],[vy]]/Tabelle2[[#This Row],[v]],0)</f>
        <v>-27.665303715423548</v>
      </c>
      <c r="M3">
        <f t="shared" ref="M3:M66" si="3">L3/$B$5</f>
        <v>-18.443535810282366</v>
      </c>
      <c r="N3">
        <f t="shared" ref="N3:N66" si="4">M3*$B$13</f>
        <v>-0.36887071620564732</v>
      </c>
      <c r="O3">
        <f t="shared" ref="O3:O66" si="5">$B$13*(Q3+N3/2)</f>
        <v>1.4940740671166826</v>
      </c>
      <c r="P3" s="1">
        <f>B20</f>
        <v>62.838609574417468</v>
      </c>
      <c r="Q3" s="1">
        <f>B19</f>
        <v>74.888138713936939</v>
      </c>
      <c r="R3">
        <f>SQRT(Tabelle2[[#This Row],[vx]]*Tabelle2[[#This Row],[vx]]+Tabelle2[[#This Row],[vy]]*Tabelle2[[#This Row],[vy]])</f>
        <v>97.75952216170009</v>
      </c>
      <c r="S3">
        <v>0</v>
      </c>
      <c r="T3" s="1">
        <f>B17</f>
        <v>1.7144247806269215</v>
      </c>
      <c r="V3" t="s">
        <v>184</v>
      </c>
      <c r="W3">
        <f ca="1">MAX(YIt)</f>
        <v>199.99934171981548</v>
      </c>
    </row>
    <row r="4" spans="1:23" x14ac:dyDescent="0.35">
      <c r="A4" s="8" t="s">
        <v>1</v>
      </c>
      <c r="B4" s="15">
        <f>Main!B5</f>
        <v>40</v>
      </c>
      <c r="F4" s="1">
        <f t="shared" ref="F4:F67" si="6">F3+$B$13</f>
        <v>0.02</v>
      </c>
      <c r="G4">
        <f>1/2*$B$8*$B$6*$B$7*(Tabelle2[[#This Row],[vx]]*Tabelle2[[#This Row],[vx]]+Tabelle2[[#This Row],[vy]]*Tabelle2[[#This Row],[vy]])/1000000</f>
        <v>16.775758893429551</v>
      </c>
      <c r="H4">
        <f>IF($B$3,-Tabelle2[[#This Row],[Fd]]*Tabelle2[[#This Row],[vx]]/Tabelle2[[#This Row],[v]],0)</f>
        <v>-10.799883299161442</v>
      </c>
      <c r="I4">
        <f t="shared" si="0"/>
        <v>-7.1999221994409615</v>
      </c>
      <c r="J4">
        <f t="shared" si="1"/>
        <v>-0.14399844398881922</v>
      </c>
      <c r="K4">
        <f t="shared" si="2"/>
        <v>1.2524344483627956</v>
      </c>
      <c r="L4">
        <f>-$B$5*$B$12-IF($B$3,Tabelle2[[#This Row],[Fd]]*Tabelle2[[#This Row],[vy]]/Tabelle2[[#This Row],[v]],0)</f>
        <v>-27.552001486911749</v>
      </c>
      <c r="M4">
        <f t="shared" si="3"/>
        <v>-18.368000991274499</v>
      </c>
      <c r="N4">
        <f t="shared" si="4"/>
        <v>-0.36736001982548999</v>
      </c>
      <c r="O4">
        <f t="shared" si="5"/>
        <v>1.4867117597563708</v>
      </c>
      <c r="P4" s="1">
        <f t="shared" ref="P4:P67" si="7">P3+J3</f>
        <v>62.693721640134193</v>
      </c>
      <c r="Q4" s="1">
        <f t="shared" ref="Q4:Q67" si="8">Q3+N3</f>
        <v>74.519267997731291</v>
      </c>
      <c r="R4">
        <f>SQRT(Tabelle2[[#This Row],[vx]]*Tabelle2[[#This Row],[vx]]+Tabelle2[[#This Row],[vy]]*Tabelle2[[#This Row],[vy]])</f>
        <v>97.383900291620733</v>
      </c>
      <c r="S4">
        <f>S3+K3</f>
        <v>1.2553233121455167</v>
      </c>
      <c r="T4" s="1">
        <f t="shared" ref="T4:T67" si="9">T3+O3</f>
        <v>3.2084988477436038</v>
      </c>
    </row>
    <row r="5" spans="1:23" x14ac:dyDescent="0.35">
      <c r="A5" s="8" t="s">
        <v>37</v>
      </c>
      <c r="B5" s="15">
        <f>Main!B13</f>
        <v>1.5</v>
      </c>
      <c r="F5" s="1">
        <f t="shared" si="6"/>
        <v>0.04</v>
      </c>
      <c r="G5">
        <f>1/2*$B$8*$B$6*$B$7*(Tabelle2[[#This Row],[vx]]*Tabelle2[[#This Row],[vx]]+Tabelle2[[#This Row],[vy]]*Tabelle2[[#This Row],[vy]])/1000000</f>
        <v>16.647245706384229</v>
      </c>
      <c r="H5">
        <f>IF($B$3,-Tabelle2[[#This Row],[Fd]]*Tabelle2[[#This Row],[vx]]/Tabelle2[[#This Row],[v]],0)</f>
        <v>-10.733726137627658</v>
      </c>
      <c r="I5">
        <f t="shared" si="0"/>
        <v>-7.1558174250851048</v>
      </c>
      <c r="J5">
        <f t="shared" si="1"/>
        <v>-0.1431163485017021</v>
      </c>
      <c r="K5">
        <f t="shared" si="2"/>
        <v>1.2495633004378903</v>
      </c>
      <c r="L5">
        <f>-$B$5*$B$12-IF($B$3,Tabelle2[[#This Row],[Fd]]*Tabelle2[[#This Row],[vy]]/Tabelle2[[#This Row],[v]],0)</f>
        <v>-27.439696963430485</v>
      </c>
      <c r="M5">
        <f t="shared" si="3"/>
        <v>-18.293131308953658</v>
      </c>
      <c r="N5">
        <f t="shared" si="4"/>
        <v>-0.36586262617907317</v>
      </c>
      <c r="O5">
        <f t="shared" si="5"/>
        <v>1.4793795332963253</v>
      </c>
      <c r="P5" s="1">
        <f t="shared" si="7"/>
        <v>62.549723196145372</v>
      </c>
      <c r="Q5" s="1">
        <f t="shared" si="8"/>
        <v>74.151907977905807</v>
      </c>
      <c r="R5">
        <f>SQRT(Tabelle2[[#This Row],[vx]]*Tabelle2[[#This Row],[vx]]+Tabelle2[[#This Row],[vy]]*Tabelle2[[#This Row],[vy]])</f>
        <v>97.010171264039201</v>
      </c>
      <c r="S5">
        <f t="shared" ref="S5:S67" si="10">S4+K4</f>
        <v>2.5077577605083121</v>
      </c>
      <c r="T5" s="1">
        <f t="shared" si="9"/>
        <v>4.6952106074999751</v>
      </c>
    </row>
    <row r="6" spans="1:23" x14ac:dyDescent="0.35">
      <c r="A6" s="8" t="s">
        <v>114</v>
      </c>
      <c r="B6" s="15">
        <f>Main!B14</f>
        <v>0.75</v>
      </c>
      <c r="F6" s="1">
        <f t="shared" si="6"/>
        <v>0.06</v>
      </c>
      <c r="G6">
        <f>1/2*$B$8*$B$6*$B$7*(Tabelle2[[#This Row],[vx]]*Tabelle2[[#This Row],[vx]]+Tabelle2[[#This Row],[vy]]*Tabelle2[[#This Row],[vy]])/1000000</f>
        <v>16.519868953191828</v>
      </c>
      <c r="H6">
        <f>IF($B$3,-Tabelle2[[#This Row],[Fd]]*Tabelle2[[#This Row],[vx]]/Tabelle2[[#This Row],[v]],0)</f>
        <v>-10.668117547023453</v>
      </c>
      <c r="I6">
        <f t="shared" si="0"/>
        <v>-7.1120783646823016</v>
      </c>
      <c r="J6">
        <f t="shared" si="1"/>
        <v>-0.14224156729364604</v>
      </c>
      <c r="K6">
        <f t="shared" si="2"/>
        <v>1.246709721279937</v>
      </c>
      <c r="L6">
        <f>-$B$5*$B$12-IF($B$3,Tabelle2[[#This Row],[Fd]]*Tabelle2[[#This Row],[vy]]/Tabelle2[[#This Row],[v]],0)</f>
        <v>-27.328379334402083</v>
      </c>
      <c r="M6">
        <f t="shared" si="3"/>
        <v>-18.218919556268055</v>
      </c>
      <c r="N6">
        <f t="shared" si="4"/>
        <v>-0.36437839112536113</v>
      </c>
      <c r="O6">
        <f t="shared" si="5"/>
        <v>1.4720771231232808</v>
      </c>
      <c r="P6" s="1">
        <f t="shared" si="7"/>
        <v>62.406606847643673</v>
      </c>
      <c r="Q6" s="1">
        <f t="shared" si="8"/>
        <v>73.786045351726727</v>
      </c>
      <c r="R6">
        <f>SQRT(Tabelle2[[#This Row],[vx]]*Tabelle2[[#This Row],[vx]]+Tabelle2[[#This Row],[vy]]*Tabelle2[[#This Row],[vy]])</f>
        <v>96.638320902649383</v>
      </c>
      <c r="S6">
        <f t="shared" si="10"/>
        <v>3.7573210609462024</v>
      </c>
      <c r="T6" s="1">
        <f t="shared" si="9"/>
        <v>6.1745901407963002</v>
      </c>
    </row>
    <row r="7" spans="1:23" x14ac:dyDescent="0.35">
      <c r="A7" s="8" t="s">
        <v>117</v>
      </c>
      <c r="B7" s="15">
        <f>Main!B15</f>
        <v>3850</v>
      </c>
      <c r="F7" s="1">
        <f t="shared" si="6"/>
        <v>0.08</v>
      </c>
      <c r="G7">
        <f>1/2*$B$8*$B$6*$B$7*(Tabelle2[[#This Row],[vx]]*Tabelle2[[#This Row],[vx]]+Tabelle2[[#This Row],[vy]]*Tabelle2[[#This Row],[vy]])/1000000</f>
        <v>16.393616450273985</v>
      </c>
      <c r="H7">
        <f>IF($B$3,-Tabelle2[[#This Row],[Fd]]*Tabelle2[[#This Row],[vx]]/Tabelle2[[#This Row],[v]],0)</f>
        <v>-10.603051572024301</v>
      </c>
      <c r="I7">
        <f t="shared" si="0"/>
        <v>-7.0687010480162007</v>
      </c>
      <c r="J7">
        <f t="shared" si="1"/>
        <v>-0.141374020960324</v>
      </c>
      <c r="K7">
        <f t="shared" si="2"/>
        <v>1.2438735653973974</v>
      </c>
      <c r="L7">
        <f>-$B$5*$B$12-IF($B$3,Tabelle2[[#This Row],[Fd]]*Tabelle2[[#This Row],[vy]]/Tabelle2[[#This Row],[v]],0)</f>
        <v>-27.218037938024779</v>
      </c>
      <c r="M7">
        <f t="shared" si="3"/>
        <v>-18.145358625349854</v>
      </c>
      <c r="N7">
        <f t="shared" si="4"/>
        <v>-0.36290717250699706</v>
      </c>
      <c r="O7">
        <f t="shared" si="5"/>
        <v>1.4648042674869575</v>
      </c>
      <c r="P7" s="1">
        <f t="shared" si="7"/>
        <v>62.264365280350027</v>
      </c>
      <c r="Q7" s="1">
        <f t="shared" si="8"/>
        <v>73.421666960601371</v>
      </c>
      <c r="R7">
        <f>SQRT(Tabelle2[[#This Row],[vx]]*Tabelle2[[#This Row],[vx]]+Tabelle2[[#This Row],[vy]]*Tabelle2[[#This Row],[vy]])</f>
        <v>96.268335204460243</v>
      </c>
      <c r="S7">
        <f>S6+K6</f>
        <v>5.0040307822261392</v>
      </c>
      <c r="T7" s="1">
        <f t="shared" si="9"/>
        <v>7.6466672639195812</v>
      </c>
    </row>
    <row r="8" spans="1:23" x14ac:dyDescent="0.35">
      <c r="A8" s="8" t="s">
        <v>112</v>
      </c>
      <c r="B8" s="15">
        <f>Main!B16</f>
        <v>1.225225</v>
      </c>
      <c r="F8" s="1">
        <f t="shared" si="6"/>
        <v>0.1</v>
      </c>
      <c r="G8">
        <f>1/2*$B$8*$B$6*$B$7*(Tabelle2[[#This Row],[vx]]*Tabelle2[[#This Row],[vx]]+Tabelle2[[#This Row],[vy]]*Tabelle2[[#This Row],[vy]])/1000000</f>
        <v>16.268476182509104</v>
      </c>
      <c r="H8">
        <f>IF($B$3,-Tabelle2[[#This Row],[Fd]]*Tabelle2[[#This Row],[vx]]/Tabelle2[[#This Row],[v]],0)</f>
        <v>-10.538522340224207</v>
      </c>
      <c r="I8">
        <f t="shared" si="0"/>
        <v>-7.0256815601494713</v>
      </c>
      <c r="J8">
        <f t="shared" si="1"/>
        <v>-0.14051363120298943</v>
      </c>
      <c r="K8">
        <f t="shared" si="2"/>
        <v>1.2410546888757643</v>
      </c>
      <c r="L8">
        <f>-$B$5*$B$12-IF($B$3,Tabelle2[[#This Row],[Fd]]*Tabelle2[[#This Row],[vy]]/Tabelle2[[#This Row],[v]],0)</f>
        <v>-27.108662258810398</v>
      </c>
      <c r="M8">
        <f t="shared" si="3"/>
        <v>-18.072441505873599</v>
      </c>
      <c r="N8">
        <f t="shared" si="4"/>
        <v>-0.36144883011747198</v>
      </c>
      <c r="O8">
        <f t="shared" si="5"/>
        <v>1.4575607074607129</v>
      </c>
      <c r="P8" s="1">
        <f t="shared" si="7"/>
        <v>62.122991259389707</v>
      </c>
      <c r="Q8" s="1">
        <f t="shared" si="8"/>
        <v>73.058759788094378</v>
      </c>
      <c r="R8">
        <f>SQRT(Tabelle2[[#This Row],[vx]]*Tabelle2[[#This Row],[vx]]+Tabelle2[[#This Row],[vy]]*Tabelle2[[#This Row],[vy]])</f>
        <v>95.900200337583684</v>
      </c>
      <c r="S8">
        <f t="shared" si="10"/>
        <v>6.2479043476235363</v>
      </c>
      <c r="T8" s="1">
        <f t="shared" si="9"/>
        <v>9.1114715314065382</v>
      </c>
    </row>
    <row r="9" spans="1:23" x14ac:dyDescent="0.35">
      <c r="A9" s="8" t="s">
        <v>7</v>
      </c>
      <c r="B9" s="15">
        <f>Main!B22</f>
        <v>2</v>
      </c>
      <c r="F9" s="1">
        <f t="shared" si="6"/>
        <v>0.12000000000000001</v>
      </c>
      <c r="G9">
        <f>1/2*$B$8*$B$6*$B$7*(Tabelle2[[#This Row],[vx]]*Tabelle2[[#This Row],[vx]]+Tabelle2[[#This Row],[vy]]*Tabelle2[[#This Row],[vy]])/1000000</f>
        <v>16.144436300468595</v>
      </c>
      <c r="H9">
        <f>IF($B$3,-Tabelle2[[#This Row],[Fd]]*Tabelle2[[#This Row],[vx]]/Tabelle2[[#This Row],[v]],0)</f>
        <v>-10.474524060784489</v>
      </c>
      <c r="I9">
        <f t="shared" si="0"/>
        <v>-6.9830160405229931</v>
      </c>
      <c r="J9">
        <f t="shared" si="1"/>
        <v>-0.13966032081045987</v>
      </c>
      <c r="K9">
        <f t="shared" si="2"/>
        <v>1.2382529493556296</v>
      </c>
      <c r="L9">
        <f>-$B$5*$B$12-IF($B$3,Tabelle2[[#This Row],[Fd]]*Tabelle2[[#This Row],[vy]]/Tabelle2[[#This Row],[v]],0)</f>
        <v>-27.000241925169195</v>
      </c>
      <c r="M9">
        <f t="shared" si="3"/>
        <v>-18.000161283446129</v>
      </c>
      <c r="N9">
        <f t="shared" si="4"/>
        <v>-0.36000322566892257</v>
      </c>
      <c r="O9">
        <f t="shared" si="5"/>
        <v>1.4503461869028491</v>
      </c>
      <c r="P9" s="1">
        <f t="shared" si="7"/>
        <v>61.982477628186714</v>
      </c>
      <c r="Q9" s="1">
        <f t="shared" si="8"/>
        <v>72.69731095797691</v>
      </c>
      <c r="R9">
        <f>SQRT(Tabelle2[[#This Row],[vx]]*Tabelle2[[#This Row],[vx]]+Tabelle2[[#This Row],[vy]]*Tabelle2[[#This Row],[vy]])</f>
        <v>95.533902639060315</v>
      </c>
      <c r="S9">
        <f t="shared" si="10"/>
        <v>7.4889590364993008</v>
      </c>
      <c r="T9" s="1">
        <f t="shared" si="9"/>
        <v>10.569032238867251</v>
      </c>
    </row>
    <row r="10" spans="1:23" x14ac:dyDescent="0.35">
      <c r="F10" s="1">
        <f t="shared" si="6"/>
        <v>0.14000000000000001</v>
      </c>
      <c r="G10">
        <f>1/2*$B$8*$B$6*$B$7*(Tabelle2[[#This Row],[vx]]*Tabelle2[[#This Row],[vx]]+Tabelle2[[#This Row],[vy]]*Tabelle2[[#This Row],[vy]])/1000000</f>
        <v>16.021485117705996</v>
      </c>
      <c r="H10">
        <f>IF($B$3,-Tabelle2[[#This Row],[Fd]]*Tabelle2[[#This Row],[vx]]/Tabelle2[[#This Row],[v]],0)</f>
        <v>-10.411051023108502</v>
      </c>
      <c r="I10">
        <f t="shared" si="0"/>
        <v>-6.9407006820723351</v>
      </c>
      <c r="J10">
        <f t="shared" si="1"/>
        <v>-0.13881401364144672</v>
      </c>
      <c r="K10">
        <f t="shared" si="2"/>
        <v>1.2354682060111106</v>
      </c>
      <c r="L10">
        <f>-$B$5*$B$12-IF($B$3,Tabelle2[[#This Row],[Fd]]*Tabelle2[[#This Row],[vy]]/Tabelle2[[#This Row],[v]],0)</f>
        <v>-26.892766707040586</v>
      </c>
      <c r="M10">
        <f t="shared" si="3"/>
        <v>-17.928511138027059</v>
      </c>
      <c r="N10">
        <f t="shared" si="4"/>
        <v>-0.35857022276054118</v>
      </c>
      <c r="O10">
        <f t="shared" si="5"/>
        <v>1.4431604524185546</v>
      </c>
      <c r="P10" s="1">
        <f t="shared" si="7"/>
        <v>61.842817307376258</v>
      </c>
      <c r="Q10" s="1">
        <f t="shared" si="8"/>
        <v>72.337307732307991</v>
      </c>
      <c r="R10">
        <f>SQRT(Tabelle2[[#This Row],[vx]]*Tabelle2[[#This Row],[vx]]+Tabelle2[[#This Row],[vy]]*Tabelle2[[#This Row],[vy]])</f>
        <v>95.169428612722811</v>
      </c>
      <c r="S10">
        <f t="shared" si="10"/>
        <v>8.7272119858549306</v>
      </c>
      <c r="T10" s="1">
        <f t="shared" si="9"/>
        <v>12.0193784257701</v>
      </c>
    </row>
    <row r="11" spans="1:23" x14ac:dyDescent="0.35">
      <c r="A11" s="2" t="s">
        <v>9</v>
      </c>
      <c r="F11" s="1">
        <f t="shared" si="6"/>
        <v>0.16</v>
      </c>
      <c r="G11">
        <f>1/2*$B$8*$B$6*$B$7*(Tabelle2[[#This Row],[vx]]*Tabelle2[[#This Row],[vx]]+Tabelle2[[#This Row],[vy]]*Tabelle2[[#This Row],[vy]])/1000000</f>
        <v>15.899611108097796</v>
      </c>
      <c r="H11">
        <f>IF($B$3,-Tabelle2[[#This Row],[Fd]]*Tabelle2[[#This Row],[vx]]/Tabelle2[[#This Row],[v]],0)</f>
        <v>-10.348097595541738</v>
      </c>
      <c r="I11">
        <f t="shared" si="0"/>
        <v>-6.8987317303611588</v>
      </c>
      <c r="J11">
        <f t="shared" si="1"/>
        <v>-0.13797463460722317</v>
      </c>
      <c r="K11">
        <f t="shared" si="2"/>
        <v>1.2327003195286241</v>
      </c>
      <c r="L11">
        <f>-$B$5*$B$12-IF($B$3,Tabelle2[[#This Row],[Fd]]*Tabelle2[[#This Row],[vy]]/Tabelle2[[#This Row],[v]],0)</f>
        <v>-26.786226513568955</v>
      </c>
      <c r="M11">
        <f t="shared" si="3"/>
        <v>-17.857484342379305</v>
      </c>
      <c r="N11">
        <f t="shared" si="4"/>
        <v>-0.35714968684758608</v>
      </c>
      <c r="O11">
        <f t="shared" si="5"/>
        <v>1.4360032533224731</v>
      </c>
      <c r="P11" s="1">
        <f t="shared" si="7"/>
        <v>61.704003293734814</v>
      </c>
      <c r="Q11" s="1">
        <f t="shared" si="8"/>
        <v>71.978737509547443</v>
      </c>
      <c r="R11">
        <f>SQRT(Tabelle2[[#This Row],[vx]]*Tabelle2[[#This Row],[vx]]+Tabelle2[[#This Row],[vy]]*Tabelle2[[#This Row],[vy]])</f>
        <v>94.806764927095628</v>
      </c>
      <c r="S11">
        <f t="shared" si="10"/>
        <v>9.9626801918660419</v>
      </c>
      <c r="T11" s="1">
        <f t="shared" si="9"/>
        <v>13.462538878188655</v>
      </c>
    </row>
    <row r="12" spans="1:23" x14ac:dyDescent="0.35">
      <c r="A12" s="21" t="s">
        <v>10</v>
      </c>
      <c r="B12" s="22">
        <v>9.81</v>
      </c>
      <c r="F12" s="1">
        <f t="shared" si="6"/>
        <v>0.18</v>
      </c>
      <c r="G12">
        <f>1/2*$B$8*$B$6*$B$7*(Tabelle2[[#This Row],[vx]]*Tabelle2[[#This Row],[vx]]+Tabelle2[[#This Row],[vy]]*Tabelle2[[#This Row],[vy]])/1000000</f>
        <v>15.77880290323491</v>
      </c>
      <c r="H12">
        <f>IF($B$3,-Tabelle2[[#This Row],[Fd]]*Tabelle2[[#This Row],[vx]]/Tabelle2[[#This Row],[v]],0)</f>
        <v>-10.285658224096776</v>
      </c>
      <c r="I12">
        <f t="shared" si="0"/>
        <v>-6.8571054827311846</v>
      </c>
      <c r="J12">
        <f t="shared" si="1"/>
        <v>-0.1371421096546237</v>
      </c>
      <c r="K12">
        <f t="shared" si="2"/>
        <v>1.2299491520860055</v>
      </c>
      <c r="L12">
        <f>-$B$5*$B$12-IF($B$3,Tabelle2[[#This Row],[Fd]]*Tabelle2[[#This Row],[vy]]/Tabelle2[[#This Row],[v]],0)</f>
        <v>-26.680611390823486</v>
      </c>
      <c r="M12">
        <f t="shared" si="3"/>
        <v>-17.787074260548991</v>
      </c>
      <c r="N12">
        <f t="shared" si="4"/>
        <v>-0.35574148521097981</v>
      </c>
      <c r="O12">
        <f t="shared" si="5"/>
        <v>1.4288743416018872</v>
      </c>
      <c r="P12" s="1">
        <f t="shared" si="7"/>
        <v>61.566028659127589</v>
      </c>
      <c r="Q12" s="1">
        <f t="shared" si="8"/>
        <v>71.621587822699851</v>
      </c>
      <c r="R12">
        <f>SQRT(Tabelle2[[#This Row],[vx]]*Tabelle2[[#This Row],[vx]]+Tabelle2[[#This Row],[vy]]*Tabelle2[[#This Row],[vy]])</f>
        <v>94.445898413330937</v>
      </c>
      <c r="S12">
        <f t="shared" si="10"/>
        <v>11.195380511394665</v>
      </c>
      <c r="T12" s="1">
        <f t="shared" si="9"/>
        <v>14.898542131511128</v>
      </c>
    </row>
    <row r="13" spans="1:23" x14ac:dyDescent="0.35">
      <c r="A13" s="21" t="s">
        <v>169</v>
      </c>
      <c r="B13" s="22">
        <v>0.02</v>
      </c>
      <c r="F13" s="1">
        <f t="shared" si="6"/>
        <v>0.19999999999999998</v>
      </c>
      <c r="G13">
        <f>1/2*$B$8*$B$6*$B$7*(Tabelle2[[#This Row],[vx]]*Tabelle2[[#This Row],[vx]]+Tabelle2[[#This Row],[vy]]*Tabelle2[[#This Row],[vy]])/1000000</f>
        <v>15.659049289863621</v>
      </c>
      <c r="H13">
        <f>IF($B$3,-Tabelle2[[#This Row],[Fd]]*Tabelle2[[#This Row],[vx]]/Tabelle2[[#This Row],[v]],0)</f>
        <v>-10.223727431202542</v>
      </c>
      <c r="I13">
        <f t="shared" si="0"/>
        <v>-6.8158182874683613</v>
      </c>
      <c r="J13">
        <f t="shared" si="1"/>
        <v>-0.13631636574936723</v>
      </c>
      <c r="K13">
        <f t="shared" si="2"/>
        <v>1.2272145673319657</v>
      </c>
      <c r="L13">
        <f>-$B$5*$B$12-IF($B$3,Tabelle2[[#This Row],[Fd]]*Tabelle2[[#This Row],[vy]]/Tabelle2[[#This Row],[v]],0)</f>
        <v>-26.575911519561011</v>
      </c>
      <c r="M13">
        <f t="shared" si="3"/>
        <v>-17.717274346374008</v>
      </c>
      <c r="N13">
        <f t="shared" si="4"/>
        <v>-0.35434548692748019</v>
      </c>
      <c r="O13">
        <f t="shared" si="5"/>
        <v>1.4217734718805024</v>
      </c>
      <c r="P13" s="1">
        <f t="shared" si="7"/>
        <v>61.428886549472963</v>
      </c>
      <c r="Q13" s="1">
        <f t="shared" si="8"/>
        <v>71.265846337488867</v>
      </c>
      <c r="R13">
        <f>SQRT(Tabelle2[[#This Row],[vx]]*Tabelle2[[#This Row],[vx]]+Tabelle2[[#This Row],[vy]]*Tabelle2[[#This Row],[vy]])</f>
        <v>94.086816063179626</v>
      </c>
      <c r="S13">
        <f t="shared" si="10"/>
        <v>12.425329663480671</v>
      </c>
      <c r="T13" s="1">
        <f t="shared" si="9"/>
        <v>16.327416473113015</v>
      </c>
    </row>
    <row r="14" spans="1:23" x14ac:dyDescent="0.35">
      <c r="F14" s="1">
        <f t="shared" si="6"/>
        <v>0.21999999999999997</v>
      </c>
      <c r="G14">
        <f>1/2*$B$8*$B$6*$B$7*(Tabelle2[[#This Row],[vx]]*Tabelle2[[#This Row],[vx]]+Tabelle2[[#This Row],[vy]]*Tabelle2[[#This Row],[vy]])/1000000</f>
        <v>15.540339207374956</v>
      </c>
      <c r="H14">
        <f>IF($B$3,-Tabelle2[[#This Row],[Fd]]*Tabelle2[[#This Row],[vx]]/Tabelle2[[#This Row],[v]],0)</f>
        <v>-10.162299814477306</v>
      </c>
      <c r="I14">
        <f t="shared" si="0"/>
        <v>-6.7748665429848707</v>
      </c>
      <c r="J14">
        <f t="shared" si="1"/>
        <v>-0.13549733085969742</v>
      </c>
      <c r="K14">
        <f t="shared" si="2"/>
        <v>1.224496430365875</v>
      </c>
      <c r="L14">
        <f>-$B$5*$B$12-IF($B$3,Tabelle2[[#This Row],[Fd]]*Tabelle2[[#This Row],[vy]]/Tabelle2[[#This Row],[v]],0)</f>
        <v>-26.472117213030998</v>
      </c>
      <c r="M14">
        <f t="shared" si="3"/>
        <v>-17.648078142020665</v>
      </c>
      <c r="N14">
        <f t="shared" si="4"/>
        <v>-0.3529615628404133</v>
      </c>
      <c r="O14">
        <f t="shared" si="5"/>
        <v>1.4147004013828235</v>
      </c>
      <c r="P14" s="1">
        <f t="shared" si="7"/>
        <v>61.292570183723598</v>
      </c>
      <c r="Q14" s="1">
        <f t="shared" si="8"/>
        <v>70.911500850561382</v>
      </c>
      <c r="R14">
        <f>SQRT(Tabelle2[[#This Row],[vx]]*Tabelle2[[#This Row],[vx]]+Tabelle2[[#This Row],[vy]]*Tabelle2[[#This Row],[vy]])</f>
        <v>93.729505026996961</v>
      </c>
      <c r="S14">
        <f t="shared" si="10"/>
        <v>13.652544230812637</v>
      </c>
      <c r="T14" s="1">
        <f t="shared" si="9"/>
        <v>17.749189944993518</v>
      </c>
    </row>
    <row r="15" spans="1:23" x14ac:dyDescent="0.35">
      <c r="A15" s="2" t="s">
        <v>45</v>
      </c>
      <c r="F15" s="1">
        <f t="shared" si="6"/>
        <v>0.23999999999999996</v>
      </c>
      <c r="G15">
        <f>1/2*$B$8*$B$6*$B$7*(Tabelle2[[#This Row],[vx]]*Tabelle2[[#This Row],[vx]]+Tabelle2[[#This Row],[vy]]*Tabelle2[[#This Row],[vy]])/1000000</f>
        <v>15.422661745341498</v>
      </c>
      <c r="H15">
        <f>IF($B$3,-Tabelle2[[#This Row],[Fd]]*Tabelle2[[#This Row],[vx]]/Tabelle2[[#This Row],[v]],0)</f>
        <v>-10.101370045524986</v>
      </c>
      <c r="I15">
        <f t="shared" si="0"/>
        <v>-6.7342466970166575</v>
      </c>
      <c r="J15">
        <f t="shared" si="1"/>
        <v>-0.13468493394033315</v>
      </c>
      <c r="K15">
        <f t="shared" si="2"/>
        <v>1.2217946077178747</v>
      </c>
      <c r="L15">
        <f>-$B$5*$B$12-IF($B$3,Tabelle2[[#This Row],[Fd]]*Tabelle2[[#This Row],[vy]]/Tabelle2[[#This Row],[v]],0)</f>
        <v>-26.369218914821818</v>
      </c>
      <c r="M15">
        <f t="shared" si="3"/>
        <v>-17.579479276547879</v>
      </c>
      <c r="N15">
        <f t="shared" si="4"/>
        <v>-0.35158958553095759</v>
      </c>
      <c r="O15">
        <f t="shared" si="5"/>
        <v>1.4076548898991097</v>
      </c>
      <c r="P15" s="1">
        <f t="shared" si="7"/>
        <v>61.157072852863898</v>
      </c>
      <c r="Q15" s="1">
        <f t="shared" si="8"/>
        <v>70.558539287720961</v>
      </c>
      <c r="R15">
        <f>SQRT(Tabelle2[[#This Row],[vx]]*Tabelle2[[#This Row],[vx]]+Tabelle2[[#This Row],[vy]]*Tabelle2[[#This Row],[vy]])</f>
        <v>93.373952611782286</v>
      </c>
      <c r="S15">
        <f t="shared" si="10"/>
        <v>14.877040661178512</v>
      </c>
      <c r="T15" s="1">
        <f t="shared" si="9"/>
        <v>19.163890346376341</v>
      </c>
    </row>
    <row r="16" spans="1:23" x14ac:dyDescent="0.35">
      <c r="A16" s="29" t="s">
        <v>75</v>
      </c>
      <c r="B16" s="29"/>
      <c r="F16" s="1">
        <f t="shared" si="6"/>
        <v>0.25999999999999995</v>
      </c>
      <c r="G16">
        <f>1/2*$B$8*$B$6*$B$7*(Tabelle2[[#This Row],[vx]]*Tabelle2[[#This Row],[vx]]+Tabelle2[[#This Row],[vy]]*Tabelle2[[#This Row],[vy]])/1000000</f>
        <v>15.306006141100509</v>
      </c>
      <c r="H16">
        <f>IF($B$3,-Tabelle2[[#This Row],[Fd]]*Tabelle2[[#This Row],[vx]]/Tabelle2[[#This Row],[v]],0)</f>
        <v>-10.040932868754171</v>
      </c>
      <c r="I16">
        <f t="shared" si="0"/>
        <v>-6.693955245836114</v>
      </c>
      <c r="J16">
        <f t="shared" si="1"/>
        <v>-0.13387910491672228</v>
      </c>
      <c r="K16">
        <f t="shared" si="2"/>
        <v>1.2191089673293041</v>
      </c>
      <c r="L16">
        <f>-$B$5*$B$12-IF($B$3,Tabelle2[[#This Row],[Fd]]*Tabelle2[[#This Row],[vy]]/Tabelle2[[#This Row],[v]],0)</f>
        <v>-26.267207196747236</v>
      </c>
      <c r="M16">
        <f t="shared" si="3"/>
        <v>-17.511471464498158</v>
      </c>
      <c r="N16">
        <f t="shared" si="4"/>
        <v>-0.35022942928996315</v>
      </c>
      <c r="O16">
        <f t="shared" si="5"/>
        <v>1.4006366997509005</v>
      </c>
      <c r="P16" s="1">
        <f t="shared" si="7"/>
        <v>61.022387918923563</v>
      </c>
      <c r="Q16" s="1">
        <f t="shared" si="8"/>
        <v>70.206949702190002</v>
      </c>
      <c r="R16">
        <f>SQRT(Tabelle2[[#This Row],[vx]]*Tabelle2[[#This Row],[vx]]+Tabelle2[[#This Row],[vy]]*Tabelle2[[#This Row],[vy]])</f>
        <v>93.020146279251918</v>
      </c>
      <c r="S16">
        <f t="shared" si="10"/>
        <v>16.098835268896387</v>
      </c>
      <c r="T16" s="1">
        <f t="shared" si="9"/>
        <v>20.571545236275451</v>
      </c>
    </row>
    <row r="17" spans="1:20" x14ac:dyDescent="0.35">
      <c r="A17" s="4" t="s">
        <v>2</v>
      </c>
      <c r="B17" s="3">
        <f>Main!B19-Main!B22*SIN(RADIANS(B4))</f>
        <v>1.7144247806269215</v>
      </c>
      <c r="F17" s="1">
        <f t="shared" si="6"/>
        <v>0.27999999999999997</v>
      </c>
      <c r="G17">
        <f>1/2*$B$8*$B$6*$B$7*(Tabelle2[[#This Row],[vx]]*Tabelle2[[#This Row],[vx]]+Tabelle2[[#This Row],[vy]]*Tabelle2[[#This Row],[vy]])/1000000</f>
        <v>15.190361777382467</v>
      </c>
      <c r="H17">
        <f>IF($B$3,-Tabelle2[[#This Row],[Fd]]*Tabelle2[[#This Row],[vx]]/Tabelle2[[#This Row],[v]],0)</f>
        <v>-9.9809831002194489</v>
      </c>
      <c r="I17">
        <f t="shared" si="0"/>
        <v>-6.6539887334796326</v>
      </c>
      <c r="J17">
        <f t="shared" si="1"/>
        <v>-0.13307977466959264</v>
      </c>
      <c r="K17">
        <f t="shared" si="2"/>
        <v>1.2164393785334409</v>
      </c>
      <c r="L17">
        <f>-$B$5*$B$12-IF($B$3,Tabelle2[[#This Row],[Fd]]*Tabelle2[[#This Row],[vy]]/Tabelle2[[#This Row],[v]],0)</f>
        <v>-26.166072756772444</v>
      </c>
      <c r="M17">
        <f t="shared" si="3"/>
        <v>-17.444048504514964</v>
      </c>
      <c r="N17">
        <f t="shared" si="4"/>
        <v>-0.34888097009029928</v>
      </c>
      <c r="O17">
        <f t="shared" si="5"/>
        <v>1.3936455957570977</v>
      </c>
      <c r="P17" s="1">
        <f t="shared" si="7"/>
        <v>60.88850881400684</v>
      </c>
      <c r="Q17" s="1">
        <f t="shared" si="8"/>
        <v>69.856720272900034</v>
      </c>
      <c r="R17">
        <f>SQRT(Tabelle2[[#This Row],[vx]]*Tabelle2[[#This Row],[vx]]+Tabelle2[[#This Row],[vy]]*Tabelle2[[#This Row],[vy]])</f>
        <v>92.668073643944865</v>
      </c>
      <c r="S17">
        <f t="shared" si="10"/>
        <v>17.317944236225692</v>
      </c>
      <c r="T17" s="1">
        <f t="shared" si="9"/>
        <v>21.972181936026352</v>
      </c>
    </row>
    <row r="18" spans="1:20" x14ac:dyDescent="0.35">
      <c r="A18" s="4" t="s">
        <v>4</v>
      </c>
      <c r="B18" s="3">
        <v>97.759522161700104</v>
      </c>
      <c r="F18" s="1">
        <f t="shared" si="6"/>
        <v>0.3</v>
      </c>
      <c r="G18">
        <f>1/2*$B$8*$B$6*$B$7*(Tabelle2[[#This Row],[vx]]*Tabelle2[[#This Row],[vx]]+Tabelle2[[#This Row],[vy]]*Tabelle2[[#This Row],[vy]])/1000000</f>
        <v>15.075718179983989</v>
      </c>
      <c r="H18">
        <f>IF($B$3,-Tabelle2[[#This Row],[Fd]]*Tabelle2[[#This Row],[vx]]/Tabelle2[[#This Row],[v]],0)</f>
        <v>-9.921515626484501</v>
      </c>
      <c r="I18">
        <f t="shared" si="0"/>
        <v>-6.6143437509896676</v>
      </c>
      <c r="J18">
        <f t="shared" si="1"/>
        <v>-0.13228687501979336</v>
      </c>
      <c r="K18">
        <f t="shared" si="2"/>
        <v>1.2137857120365472</v>
      </c>
      <c r="L18">
        <f>-$B$5*$B$12-IF($B$3,Tabelle2[[#This Row],[Fd]]*Tabelle2[[#This Row],[vy]]/Tabelle2[[#This Row],[v]],0)</f>
        <v>-26.065806416978646</v>
      </c>
      <c r="M18">
        <f t="shared" si="3"/>
        <v>-17.377204277985765</v>
      </c>
      <c r="N18">
        <f t="shared" si="4"/>
        <v>-0.34754408555971533</v>
      </c>
      <c r="O18">
        <f t="shared" si="5"/>
        <v>1.3866813452005975</v>
      </c>
      <c r="P18" s="1">
        <f t="shared" si="7"/>
        <v>60.755429039337251</v>
      </c>
      <c r="Q18" s="1">
        <f t="shared" si="8"/>
        <v>69.507839302809728</v>
      </c>
      <c r="R18">
        <f>SQRT(Tabelle2[[#This Row],[vx]]*Tabelle2[[#This Row],[vx]]+Tabelle2[[#This Row],[vy]]*Tabelle2[[#This Row],[vy]])</f>
        <v>92.317722471360625</v>
      </c>
      <c r="S18">
        <f t="shared" si="10"/>
        <v>18.534383614759133</v>
      </c>
      <c r="T18" s="1">
        <f t="shared" si="9"/>
        <v>23.365827531783449</v>
      </c>
    </row>
    <row r="19" spans="1:20" x14ac:dyDescent="0.35">
      <c r="A19" s="4" t="s">
        <v>3</v>
      </c>
      <c r="B19" s="3">
        <f>B18*COS(RADIANS(B4))</f>
        <v>74.888138713936939</v>
      </c>
      <c r="F19" s="1">
        <f t="shared" si="6"/>
        <v>0.32</v>
      </c>
      <c r="G19">
        <f>1/2*$B$8*$B$6*$B$7*(Tabelle2[[#This Row],[vx]]*Tabelle2[[#This Row],[vx]]+Tabelle2[[#This Row],[vy]]*Tabelle2[[#This Row],[vy]])/1000000</f>
        <v>14.962065015484212</v>
      </c>
      <c r="H19">
        <f>IF($B$3,-Tabelle2[[#This Row],[Fd]]*Tabelle2[[#This Row],[vx]]/Tabelle2[[#This Row],[v]],0)</f>
        <v>-9.8625254035065506</v>
      </c>
      <c r="I19">
        <f t="shared" si="0"/>
        <v>-6.5750169356710337</v>
      </c>
      <c r="J19">
        <f t="shared" si="1"/>
        <v>-0.13150033871342068</v>
      </c>
      <c r="K19">
        <f t="shared" si="2"/>
        <v>1.211147839899215</v>
      </c>
      <c r="L19">
        <f>-$B$5*$B$12-IF($B$3,Tabelle2[[#This Row],[Fd]]*Tabelle2[[#This Row],[vy]]/Tabelle2[[#This Row],[v]],0)</f>
        <v>-25.966399121565484</v>
      </c>
      <c r="M19">
        <f t="shared" si="3"/>
        <v>-17.310932747710321</v>
      </c>
      <c r="N19">
        <f t="shared" si="4"/>
        <v>-0.34621865495420645</v>
      </c>
      <c r="O19">
        <f t="shared" si="5"/>
        <v>1.3797437177954581</v>
      </c>
      <c r="P19" s="1">
        <f t="shared" si="7"/>
        <v>60.623142164317457</v>
      </c>
      <c r="Q19" s="1">
        <f t="shared" si="8"/>
        <v>69.16029521725001</v>
      </c>
      <c r="R19">
        <f>SQRT(Tabelle2[[#This Row],[vx]]*Tabelle2[[#This Row],[vx]]+Tabelle2[[#This Row],[vy]]*Tabelle2[[#This Row],[vy]])</f>
        <v>91.969080676128428</v>
      </c>
      <c r="S19">
        <f t="shared" si="10"/>
        <v>19.748169326795679</v>
      </c>
      <c r="T19" s="1">
        <f t="shared" si="9"/>
        <v>24.752508876984045</v>
      </c>
    </row>
    <row r="20" spans="1:20" x14ac:dyDescent="0.35">
      <c r="A20" s="4" t="s">
        <v>5</v>
      </c>
      <c r="B20" s="3">
        <f>B18*SIN(RADIANS(B4))</f>
        <v>62.838609574417468</v>
      </c>
      <c r="F20" s="1">
        <f t="shared" si="6"/>
        <v>0.34</v>
      </c>
      <c r="G20">
        <f>1/2*$B$8*$B$6*$B$7*(Tabelle2[[#This Row],[vx]]*Tabelle2[[#This Row],[vx]]+Tabelle2[[#This Row],[vy]]*Tabelle2[[#This Row],[vy]])/1000000</f>
        <v>14.849392089003707</v>
      </c>
      <c r="H20">
        <f>IF($B$3,-Tabelle2[[#This Row],[Fd]]*Tabelle2[[#This Row],[vx]]/Tabelle2[[#This Row],[v]],0)</f>
        <v>-9.8040074555416847</v>
      </c>
      <c r="I20">
        <f t="shared" si="0"/>
        <v>-6.5360049703611232</v>
      </c>
      <c r="J20">
        <f t="shared" si="1"/>
        <v>-0.13072009940722246</v>
      </c>
      <c r="K20">
        <f t="shared" si="2"/>
        <v>1.2085256355180085</v>
      </c>
      <c r="L20">
        <f>-$B$5*$B$12-IF($B$3,Tabelle2[[#This Row],[Fd]]*Tabelle2[[#This Row],[vy]]/Tabelle2[[#This Row],[v]],0)</f>
        <v>-25.867841934890361</v>
      </c>
      <c r="M20">
        <f t="shared" si="3"/>
        <v>-17.245227956593574</v>
      </c>
      <c r="N20">
        <f t="shared" si="4"/>
        <v>-0.34490455913187151</v>
      </c>
      <c r="O20">
        <f t="shared" si="5"/>
        <v>1.3728324856545977</v>
      </c>
      <c r="P20" s="1">
        <f t="shared" si="7"/>
        <v>60.491641825604034</v>
      </c>
      <c r="Q20" s="1">
        <f t="shared" si="8"/>
        <v>68.81407656229581</v>
      </c>
      <c r="R20">
        <f>SQRT(Tabelle2[[#This Row],[vx]]*Tabelle2[[#This Row],[vx]]+Tabelle2[[#This Row],[vy]]*Tabelle2[[#This Row],[vy]])</f>
        <v>91.622136320207446</v>
      </c>
      <c r="S20">
        <f t="shared" si="10"/>
        <v>20.959317166694895</v>
      </c>
      <c r="T20" s="1">
        <f t="shared" si="9"/>
        <v>26.132252594779501</v>
      </c>
    </row>
    <row r="21" spans="1:20" x14ac:dyDescent="0.35">
      <c r="A21" s="4" t="s">
        <v>14</v>
      </c>
      <c r="B21" s="3">
        <f>B19/B12</f>
        <v>7.6338571573839893</v>
      </c>
      <c r="F21" s="1">
        <f t="shared" si="6"/>
        <v>0.36000000000000004</v>
      </c>
      <c r="G21">
        <f>1/2*$B$8*$B$6*$B$7*(Tabelle2[[#This Row],[vx]]*Tabelle2[[#This Row],[vx]]+Tabelle2[[#This Row],[vy]]*Tabelle2[[#This Row],[vy]])/1000000</f>
        <v>14.737689342005014</v>
      </c>
      <c r="H21">
        <f>IF($B$3,-Tabelle2[[#This Row],[Fd]]*Tabelle2[[#This Row],[vx]]/Tabelle2[[#This Row],[v]],0)</f>
        <v>-9.7459568740705897</v>
      </c>
      <c r="I21">
        <f t="shared" si="0"/>
        <v>-6.4973045827137268</v>
      </c>
      <c r="J21">
        <f t="shared" si="1"/>
        <v>-0.12994609165427454</v>
      </c>
      <c r="K21">
        <f t="shared" si="2"/>
        <v>1.2059189736073936</v>
      </c>
      <c r="L21">
        <f>-$B$5*$B$12-IF($B$3,Tabelle2[[#This Row],[Fd]]*Tabelle2[[#This Row],[vy]]/Tabelle2[[#This Row],[v]],0)</f>
        <v>-25.770126039544024</v>
      </c>
      <c r="M21">
        <f t="shared" si="3"/>
        <v>-17.180084026362682</v>
      </c>
      <c r="N21">
        <f t="shared" si="4"/>
        <v>-0.34360168052725365</v>
      </c>
      <c r="O21">
        <f t="shared" si="5"/>
        <v>1.3659474232580062</v>
      </c>
      <c r="P21" s="1">
        <f t="shared" si="7"/>
        <v>60.360921726196814</v>
      </c>
      <c r="Q21" s="1">
        <f t="shared" si="8"/>
        <v>68.469172003163933</v>
      </c>
      <c r="R21">
        <f>SQRT(Tabelle2[[#This Row],[vx]]*Tabelle2[[#This Row],[vx]]+Tabelle2[[#This Row],[vy]]*Tabelle2[[#This Row],[vy]])</f>
        <v>91.276877611117413</v>
      </c>
      <c r="S21">
        <f t="shared" si="10"/>
        <v>22.167842802212903</v>
      </c>
      <c r="T21" s="1">
        <f t="shared" si="9"/>
        <v>27.5050850804341</v>
      </c>
    </row>
    <row r="22" spans="1:20" x14ac:dyDescent="0.35">
      <c r="A22" s="4" t="s">
        <v>11</v>
      </c>
      <c r="B22" s="3">
        <f>(B19+SQRT(B19^2+2*B17*B12))/B12</f>
        <v>15.2905732320796</v>
      </c>
      <c r="F22" s="1">
        <f t="shared" si="6"/>
        <v>0.38000000000000006</v>
      </c>
      <c r="G22">
        <f>1/2*$B$8*$B$6*$B$7*(Tabelle2[[#This Row],[vx]]*Tabelle2[[#This Row],[vx]]+Tabelle2[[#This Row],[vy]]*Tabelle2[[#This Row],[vy]])/1000000</f>
        <v>14.626946850133919</v>
      </c>
      <c r="H22">
        <f>IF($B$3,-Tabelle2[[#This Row],[Fd]]*Tabelle2[[#This Row],[vx]]/Tabelle2[[#This Row],[v]],0)</f>
        <v>-9.6883688167443172</v>
      </c>
      <c r="I22">
        <f t="shared" si="0"/>
        <v>-6.4589125444962114</v>
      </c>
      <c r="J22">
        <f t="shared" si="1"/>
        <v>-0.12917825088992424</v>
      </c>
      <c r="K22">
        <f t="shared" si="2"/>
        <v>1.2033277301819516</v>
      </c>
      <c r="L22">
        <f>-$B$5*$B$12-IF($B$3,Tabelle2[[#This Row],[Fd]]*Tabelle2[[#This Row],[vy]]/Tabelle2[[#This Row],[v]],0)</f>
        <v>-25.673242734461532</v>
      </c>
      <c r="M22">
        <f t="shared" si="3"/>
        <v>-17.115495156307688</v>
      </c>
      <c r="N22">
        <f t="shared" si="4"/>
        <v>-0.34230990312615378</v>
      </c>
      <c r="O22">
        <f t="shared" si="5"/>
        <v>1.3590883074214719</v>
      </c>
      <c r="P22" s="1">
        <f t="shared" si="7"/>
        <v>60.230975634542538</v>
      </c>
      <c r="Q22" s="1">
        <f t="shared" si="8"/>
        <v>68.125570322636676</v>
      </c>
      <c r="R22">
        <f>SQRT(Tabelle2[[#This Row],[vx]]*Tabelle2[[#This Row],[vx]]+Tabelle2[[#This Row],[vy]]*Tabelle2[[#This Row],[vy]])</f>
        <v>90.933292900198936</v>
      </c>
      <c r="S22">
        <f t="shared" si="10"/>
        <v>23.373761775820295</v>
      </c>
      <c r="T22" s="1">
        <f t="shared" si="9"/>
        <v>28.871032503692106</v>
      </c>
    </row>
    <row r="23" spans="1:20" x14ac:dyDescent="0.35">
      <c r="A23" s="4" t="s">
        <v>12</v>
      </c>
      <c r="B23" s="3">
        <f>B20*B22</f>
        <v>960.83836149968863</v>
      </c>
      <c r="F23" s="1">
        <f t="shared" si="6"/>
        <v>0.40000000000000008</v>
      </c>
      <c r="G23">
        <f>1/2*$B$8*$B$6*$B$7*(Tabelle2[[#This Row],[vx]]*Tabelle2[[#This Row],[vx]]+Tabelle2[[#This Row],[vy]]*Tabelle2[[#This Row],[vy]])/1000000</f>
        <v>14.517154821100631</v>
      </c>
      <c r="H23">
        <f>IF($B$3,-Tabelle2[[#This Row],[Fd]]*Tabelle2[[#This Row],[vx]]/Tabelle2[[#This Row],[v]],0)</f>
        <v>-9.6312385063496073</v>
      </c>
      <c r="I23">
        <f t="shared" si="0"/>
        <v>-6.4208256708997382</v>
      </c>
      <c r="J23">
        <f t="shared" si="1"/>
        <v>-0.12841651341799476</v>
      </c>
      <c r="K23">
        <f t="shared" si="2"/>
        <v>1.2007517825388725</v>
      </c>
      <c r="L23">
        <f>-$B$5*$B$12-IF($B$3,Tabelle2[[#This Row],[Fd]]*Tabelle2[[#This Row],[vy]]/Tabelle2[[#This Row],[v]],0)</f>
        <v>-25.577183433067866</v>
      </c>
      <c r="M23">
        <f t="shared" si="3"/>
        <v>-17.051455622045243</v>
      </c>
      <c r="N23">
        <f t="shared" si="4"/>
        <v>-0.34102911244090484</v>
      </c>
      <c r="O23">
        <f t="shared" si="5"/>
        <v>1.3522549172658014</v>
      </c>
      <c r="P23" s="1">
        <f t="shared" si="7"/>
        <v>60.101797383652617</v>
      </c>
      <c r="Q23" s="1">
        <f t="shared" si="8"/>
        <v>67.783260419510526</v>
      </c>
      <c r="R23">
        <f>SQRT(Tabelle2[[#This Row],[vx]]*Tabelle2[[#This Row],[vx]]+Tabelle2[[#This Row],[vy]]*Tabelle2[[#This Row],[vy]])</f>
        <v>90.591370680903225</v>
      </c>
      <c r="S23">
        <f t="shared" si="10"/>
        <v>24.577089506002245</v>
      </c>
      <c r="T23" s="1">
        <f t="shared" si="9"/>
        <v>30.230120811113579</v>
      </c>
    </row>
    <row r="24" spans="1:20" x14ac:dyDescent="0.35">
      <c r="F24" s="1">
        <f t="shared" si="6"/>
        <v>0.4200000000000001</v>
      </c>
      <c r="G24">
        <f>1/2*$B$8*$B$6*$B$7*(Tabelle2[[#This Row],[vx]]*Tabelle2[[#This Row],[vx]]+Tabelle2[[#This Row],[vy]]*Tabelle2[[#This Row],[vy]])/1000000</f>
        <v>14.408303592599967</v>
      </c>
      <c r="H24">
        <f>IF($B$3,-Tabelle2[[#This Row],[Fd]]*Tabelle2[[#This Row],[vx]]/Tabelle2[[#This Row],[v]],0)</f>
        <v>-9.5745612297933782</v>
      </c>
      <c r="I24">
        <f t="shared" si="0"/>
        <v>-6.3830408198622521</v>
      </c>
      <c r="J24">
        <f t="shared" si="1"/>
        <v>-0.12766081639724505</v>
      </c>
      <c r="K24">
        <f t="shared" si="2"/>
        <v>1.19819100924072</v>
      </c>
      <c r="L24">
        <f>-$B$5*$B$12-IF($B$3,Tabelle2[[#This Row],[Fd]]*Tabelle2[[#This Row],[vy]]/Tabelle2[[#This Row],[v]],0)</f>
        <v>-25.481939661457506</v>
      </c>
      <c r="M24">
        <f t="shared" si="3"/>
        <v>-16.987959774305004</v>
      </c>
      <c r="N24">
        <f t="shared" si="4"/>
        <v>-0.33975919548610006</v>
      </c>
      <c r="O24">
        <f t="shared" si="5"/>
        <v>1.3454470341865314</v>
      </c>
      <c r="P24" s="1">
        <f t="shared" si="7"/>
        <v>59.973380870234621</v>
      </c>
      <c r="Q24" s="1">
        <f t="shared" si="8"/>
        <v>67.442231307069619</v>
      </c>
      <c r="R24">
        <f>SQRT(Tabelle2[[#This Row],[vx]]*Tabelle2[[#This Row],[vx]]+Tabelle2[[#This Row],[vy]]*Tabelle2[[#This Row],[vy]])</f>
        <v>90.251099587110318</v>
      </c>
      <c r="S24">
        <f t="shared" si="10"/>
        <v>25.777841288541119</v>
      </c>
      <c r="T24" s="1">
        <f t="shared" si="9"/>
        <v>31.582375728379382</v>
      </c>
    </row>
    <row r="25" spans="1:20" x14ac:dyDescent="0.35">
      <c r="A25" s="29" t="s">
        <v>76</v>
      </c>
      <c r="B25" s="29"/>
      <c r="F25" s="1">
        <f t="shared" si="6"/>
        <v>0.44000000000000011</v>
      </c>
      <c r="G25">
        <f>1/2*$B$8*$B$6*$B$7*(Tabelle2[[#This Row],[vx]]*Tabelle2[[#This Row],[vx]]+Tabelle2[[#This Row],[vy]]*Tabelle2[[#This Row],[vy]])/1000000</f>
        <v>14.300383630269803</v>
      </c>
      <c r="H25">
        <f>IF($B$3,-Tabelle2[[#This Row],[Fd]]*Tabelle2[[#This Row],[vx]]/Tabelle2[[#This Row],[v]],0)</f>
        <v>-9.5183323371060116</v>
      </c>
      <c r="I25">
        <f t="shared" si="0"/>
        <v>-6.3455548914040074</v>
      </c>
      <c r="J25">
        <f t="shared" si="1"/>
        <v>-0.12691109782808016</v>
      </c>
      <c r="K25">
        <f t="shared" si="2"/>
        <v>1.1956452900984667</v>
      </c>
      <c r="L25">
        <f>-$B$5*$B$12-IF($B$3,Tabelle2[[#This Row],[Fd]]*Tabelle2[[#This Row],[vy]]/Tabelle2[[#This Row],[v]],0)</f>
        <v>-25.387503056607226</v>
      </c>
      <c r="M25">
        <f t="shared" si="3"/>
        <v>-16.92500203773815</v>
      </c>
      <c r="N25">
        <f t="shared" si="4"/>
        <v>-0.33850004075476298</v>
      </c>
      <c r="O25">
        <f t="shared" si="5"/>
        <v>1.3386644418241229</v>
      </c>
      <c r="P25" s="1">
        <f t="shared" si="7"/>
        <v>59.845720053837375</v>
      </c>
      <c r="Q25" s="1">
        <f t="shared" si="8"/>
        <v>67.102472111583523</v>
      </c>
      <c r="R25">
        <f>SQRT(Tabelle2[[#This Row],[vx]]*Tabelle2[[#This Row],[vx]]+Tabelle2[[#This Row],[vy]]*Tabelle2[[#This Row],[vy]])</f>
        <v>89.912468391475699</v>
      </c>
      <c r="S25">
        <f t="shared" si="10"/>
        <v>26.976032297781838</v>
      </c>
      <c r="T25" s="1">
        <f t="shared" si="9"/>
        <v>32.927822762565917</v>
      </c>
    </row>
    <row r="26" spans="1:20" x14ac:dyDescent="0.35">
      <c r="A26" s="6" t="s">
        <v>23</v>
      </c>
      <c r="B26" s="3">
        <f>B18/B9</f>
        <v>48.879761080850052</v>
      </c>
      <c r="F26" s="1">
        <f t="shared" si="6"/>
        <v>0.46000000000000013</v>
      </c>
      <c r="G26">
        <f>1/2*$B$8*$B$6*$B$7*(Tabelle2[[#This Row],[vx]]*Tabelle2[[#This Row],[vx]]+Tabelle2[[#This Row],[vy]]*Tabelle2[[#This Row],[vy]])/1000000</f>
        <v>14.193385525686903</v>
      </c>
      <c r="H26">
        <f>IF($B$3,-Tabelle2[[#This Row],[Fd]]*Tabelle2[[#This Row],[vx]]/Tabelle2[[#This Row],[v]],0)</f>
        <v>-9.4625472404629569</v>
      </c>
      <c r="I26">
        <f t="shared" si="0"/>
        <v>-6.3083648269753043</v>
      </c>
      <c r="J26">
        <f t="shared" si="1"/>
        <v>-0.12616729653950609</v>
      </c>
      <c r="K26">
        <f t="shared" si="2"/>
        <v>1.193114506154791</v>
      </c>
      <c r="L26">
        <f>-$B$5*$B$12-IF($B$3,Tabelle2[[#This Row],[Fd]]*Tabelle2[[#This Row],[vy]]/Tabelle2[[#This Row],[v]],0)</f>
        <v>-25.293865364621361</v>
      </c>
      <c r="M26">
        <f t="shared" si="3"/>
        <v>-16.862576909747574</v>
      </c>
      <c r="N26">
        <f t="shared" si="4"/>
        <v>-0.33725153819495146</v>
      </c>
      <c r="O26">
        <f t="shared" si="5"/>
        <v>1.3319069260346257</v>
      </c>
      <c r="P26" s="1">
        <f t="shared" si="7"/>
        <v>59.718808956009298</v>
      </c>
      <c r="Q26" s="1">
        <f t="shared" si="8"/>
        <v>66.763972070828757</v>
      </c>
      <c r="R26">
        <f>SQRT(Tabelle2[[#This Row],[vx]]*Tabelle2[[#This Row],[vx]]+Tabelle2[[#This Row],[vy]]*Tabelle2[[#This Row],[vy]])</f>
        <v>89.575466003804507</v>
      </c>
      <c r="S26">
        <f t="shared" si="10"/>
        <v>28.171677587880303</v>
      </c>
      <c r="T26" s="1">
        <f t="shared" si="9"/>
        <v>34.266487204390039</v>
      </c>
    </row>
    <row r="27" spans="1:20" x14ac:dyDescent="0.35">
      <c r="A27" s="4" t="s">
        <v>22</v>
      </c>
      <c r="B27" s="4">
        <f>B26/(2*PI())</f>
        <v>7.7794555931681311</v>
      </c>
      <c r="F27" s="1">
        <f t="shared" si="6"/>
        <v>0.48000000000000015</v>
      </c>
      <c r="G27">
        <f>1/2*$B$8*$B$6*$B$7*(Tabelle2[[#This Row],[vx]]*Tabelle2[[#This Row],[vx]]+Tabelle2[[#This Row],[vy]]*Tabelle2[[#This Row],[vy]])/1000000</f>
        <v>14.087299994399428</v>
      </c>
      <c r="H27">
        <f>IF($B$3,-Tabelle2[[#This Row],[Fd]]*Tabelle2[[#This Row],[vx]]/Tabelle2[[#This Row],[v]],0)</f>
        <v>-9.4072014132243673</v>
      </c>
      <c r="I27">
        <f t="shared" si="0"/>
        <v>-6.2714676088162449</v>
      </c>
      <c r="J27">
        <f t="shared" si="1"/>
        <v>-0.12542935217632489</v>
      </c>
      <c r="K27">
        <f t="shared" si="2"/>
        <v>1.1905985396676326</v>
      </c>
      <c r="L27">
        <f>-$B$5*$B$12-IF($B$3,Tabelle2[[#This Row],[Fd]]*Tabelle2[[#This Row],[vy]]/Tabelle2[[#This Row],[v]],0)</f>
        <v>-25.201018439008948</v>
      </c>
      <c r="M27">
        <f t="shared" si="3"/>
        <v>-16.800678959339297</v>
      </c>
      <c r="N27">
        <f t="shared" si="4"/>
        <v>-0.33601357918678593</v>
      </c>
      <c r="O27">
        <f t="shared" si="5"/>
        <v>1.3251742748608084</v>
      </c>
      <c r="P27" s="1">
        <f t="shared" si="7"/>
        <v>59.592641659469791</v>
      </c>
      <c r="Q27" s="1">
        <f t="shared" si="8"/>
        <v>66.426720532633809</v>
      </c>
      <c r="R27">
        <f>SQRT(Tabelle2[[#This Row],[vx]]*Tabelle2[[#This Row],[vx]]+Tabelle2[[#This Row],[vy]]*Tabelle2[[#This Row],[vy]])</f>
        <v>89.240081469453003</v>
      </c>
      <c r="S27">
        <f t="shared" si="10"/>
        <v>29.364792094035096</v>
      </c>
      <c r="T27" s="1">
        <f t="shared" si="9"/>
        <v>35.598394130424666</v>
      </c>
    </row>
    <row r="28" spans="1:20" x14ac:dyDescent="0.35">
      <c r="A28" s="4" t="s">
        <v>28</v>
      </c>
      <c r="B28" s="4">
        <f>30*B26/PI()</f>
        <v>466.7673355900879</v>
      </c>
      <c r="F28" s="1">
        <f t="shared" si="6"/>
        <v>0.50000000000000011</v>
      </c>
      <c r="G28">
        <f>1/2*$B$8*$B$6*$B$7*(Tabelle2[[#This Row],[vx]]*Tabelle2[[#This Row],[vx]]+Tabelle2[[#This Row],[vy]]*Tabelle2[[#This Row],[vy]])/1000000</f>
        <v>13.982117873995282</v>
      </c>
      <c r="H28">
        <f>IF($B$3,-Tabelle2[[#This Row],[Fd]]*Tabelle2[[#This Row],[vx]]/Tabelle2[[#This Row],[v]],0)</f>
        <v>-9.3522903889923299</v>
      </c>
      <c r="I28">
        <f t="shared" si="0"/>
        <v>-6.2348602593282196</v>
      </c>
      <c r="J28">
        <f t="shared" si="1"/>
        <v>-0.12469720518656439</v>
      </c>
      <c r="K28">
        <f t="shared" si="2"/>
        <v>1.1880972740940037</v>
      </c>
      <c r="L28">
        <f>-$B$5*$B$12-IF($B$3,Tabelle2[[#This Row],[Fd]]*Tabelle2[[#This Row],[vy]]/Tabelle2[[#This Row],[v]],0)</f>
        <v>-25.108954238992013</v>
      </c>
      <c r="M28">
        <f t="shared" si="3"/>
        <v>-16.739302825994674</v>
      </c>
      <c r="N28">
        <f t="shared" si="4"/>
        <v>-0.33478605651989346</v>
      </c>
      <c r="O28">
        <f t="shared" si="5"/>
        <v>1.3184662785037415</v>
      </c>
      <c r="P28" s="1">
        <f t="shared" si="7"/>
        <v>59.467212307293465</v>
      </c>
      <c r="Q28" s="1">
        <f t="shared" si="8"/>
        <v>66.090706953447025</v>
      </c>
      <c r="R28">
        <f>SQRT(Tabelle2[[#This Row],[vx]]*Tabelle2[[#This Row],[vx]]+Tabelle2[[#This Row],[vy]]*Tabelle2[[#This Row],[vy]])</f>
        <v>88.906303967756557</v>
      </c>
      <c r="S28">
        <f t="shared" si="10"/>
        <v>30.555390633702729</v>
      </c>
      <c r="T28" s="1">
        <f t="shared" si="9"/>
        <v>36.923568405285472</v>
      </c>
    </row>
    <row r="29" spans="1:20" x14ac:dyDescent="0.35">
      <c r="F29" s="1">
        <f t="shared" si="6"/>
        <v>0.52000000000000013</v>
      </c>
      <c r="G29">
        <f>1/2*$B$8*$B$6*$B$7*(Tabelle2[[#This Row],[vx]]*Tabelle2[[#This Row],[vx]]+Tabelle2[[#This Row],[vy]]*Tabelle2[[#This Row],[vy]])/1000000</f>
        <v>13.877830122205602</v>
      </c>
      <c r="H29">
        <f>IF($B$3,-Tabelle2[[#This Row],[Fd]]*Tabelle2[[#This Row],[vx]]/Tabelle2[[#This Row],[v]],0)</f>
        <v>-9.2978097606853254</v>
      </c>
      <c r="I29">
        <f t="shared" si="0"/>
        <v>-6.1985398404568839</v>
      </c>
      <c r="J29">
        <f t="shared" si="1"/>
        <v>-0.12397079680913768</v>
      </c>
      <c r="K29">
        <f t="shared" si="2"/>
        <v>1.1856105940740467</v>
      </c>
      <c r="L29">
        <f>-$B$5*$B$12-IF($B$3,Tabelle2[[#This Row],[Fd]]*Tabelle2[[#This Row],[vy]]/Tabelle2[[#This Row],[v]],0)</f>
        <v>-25.017664827844388</v>
      </c>
      <c r="M29">
        <f t="shared" si="3"/>
        <v>-16.678443218562926</v>
      </c>
      <c r="N29">
        <f t="shared" si="4"/>
        <v>-0.33356886437125854</v>
      </c>
      <c r="O29">
        <f t="shared" si="5"/>
        <v>1.3117827292948303</v>
      </c>
      <c r="P29" s="1">
        <f t="shared" si="7"/>
        <v>59.342515102106901</v>
      </c>
      <c r="Q29" s="1">
        <f t="shared" si="8"/>
        <v>65.755920896927137</v>
      </c>
      <c r="R29">
        <f>SQRT(Tabelle2[[#This Row],[vx]]*Tabelle2[[#This Row],[vx]]+Tabelle2[[#This Row],[vy]]*Tabelle2[[#This Row],[vy]])</f>
        <v>88.574122810484127</v>
      </c>
      <c r="S29">
        <f t="shared" si="10"/>
        <v>31.743487907796734</v>
      </c>
      <c r="T29" s="1">
        <f t="shared" si="9"/>
        <v>38.242034683789214</v>
      </c>
    </row>
    <row r="30" spans="1:20" x14ac:dyDescent="0.35">
      <c r="F30" s="1">
        <f t="shared" si="6"/>
        <v>0.54000000000000015</v>
      </c>
      <c r="G30">
        <f>1/2*$B$8*$B$6*$B$7*(Tabelle2[[#This Row],[vx]]*Tabelle2[[#This Row],[vx]]+Tabelle2[[#This Row],[vy]]*Tabelle2[[#This Row],[vy]])/1000000</f>
        <v>13.774427815042662</v>
      </c>
      <c r="H30">
        <f>IF($B$3,-Tabelle2[[#This Row],[Fd]]*Tabelle2[[#This Row],[vx]]/Tabelle2[[#This Row],[v]],0)</f>
        <v>-9.2437551796296251</v>
      </c>
      <c r="I30">
        <f t="shared" si="0"/>
        <v>-6.1625034530864164</v>
      </c>
      <c r="J30">
        <f t="shared" si="1"/>
        <v>-0.12325006906172833</v>
      </c>
      <c r="K30">
        <f t="shared" si="2"/>
        <v>1.1831383854153381</v>
      </c>
      <c r="L30">
        <f>-$B$5*$B$12-IF($B$3,Tabelle2[[#This Row],[Fd]]*Tabelle2[[#This Row],[vy]]/Tabelle2[[#This Row],[v]],0)</f>
        <v>-24.927142371260373</v>
      </c>
      <c r="M30">
        <f t="shared" si="3"/>
        <v>-16.618094914173582</v>
      </c>
      <c r="N30">
        <f t="shared" si="4"/>
        <v>-0.33236189828347168</v>
      </c>
      <c r="O30">
        <f t="shared" si="5"/>
        <v>1.305123421668283</v>
      </c>
      <c r="P30" s="1">
        <f t="shared" si="7"/>
        <v>59.218544305297762</v>
      </c>
      <c r="Q30" s="1">
        <f t="shared" si="8"/>
        <v>65.422352032555878</v>
      </c>
      <c r="R30">
        <f>SQRT(Tabelle2[[#This Row],[vx]]*Tabelle2[[#This Row],[vx]]+Tabelle2[[#This Row],[vy]]*Tabelle2[[#This Row],[vy]])</f>
        <v>88.243527440318147</v>
      </c>
      <c r="S30">
        <f t="shared" si="10"/>
        <v>32.929098501870783</v>
      </c>
      <c r="T30" s="1">
        <f t="shared" si="9"/>
        <v>39.553817413084047</v>
      </c>
    </row>
    <row r="31" spans="1:20" x14ac:dyDescent="0.35">
      <c r="F31" s="1">
        <f t="shared" si="6"/>
        <v>0.56000000000000016</v>
      </c>
      <c r="G31">
        <f>1/2*$B$8*$B$6*$B$7*(Tabelle2[[#This Row],[vx]]*Tabelle2[[#This Row],[vx]]+Tabelle2[[#This Row],[vy]]*Tabelle2[[#This Row],[vy]])/1000000</f>
        <v>13.671902144971435</v>
      </c>
      <c r="H31">
        <f>IF($B$3,-Tabelle2[[#This Row],[Fd]]*Tabelle2[[#This Row],[vx]]/Tabelle2[[#This Row],[v]],0)</f>
        <v>-9.1901223546671638</v>
      </c>
      <c r="I31">
        <f t="shared" si="0"/>
        <v>-6.1267482364447758</v>
      </c>
      <c r="J31">
        <f t="shared" si="1"/>
        <v>-0.12253496472889552</v>
      </c>
      <c r="K31">
        <f t="shared" si="2"/>
        <v>1.1806805350774316</v>
      </c>
      <c r="L31">
        <f>-$B$5*$B$12-IF($B$3,Tabelle2[[#This Row],[Fd]]*Tabelle2[[#This Row],[vy]]/Tabelle2[[#This Row],[v]],0)</f>
        <v>-24.837379135752691</v>
      </c>
      <c r="M31">
        <f t="shared" si="3"/>
        <v>-16.558252757168461</v>
      </c>
      <c r="N31">
        <f t="shared" si="4"/>
        <v>-0.33116505514336925</v>
      </c>
      <c r="O31">
        <f t="shared" si="5"/>
        <v>1.2984881521340146</v>
      </c>
      <c r="P31" s="1">
        <f t="shared" si="7"/>
        <v>59.095294236236036</v>
      </c>
      <c r="Q31" s="1">
        <f t="shared" si="8"/>
        <v>65.089990134272412</v>
      </c>
      <c r="R31">
        <f>SQRT(Tabelle2[[#This Row],[vx]]*Tabelle2[[#This Row],[vx]]+Tabelle2[[#This Row],[vy]]*Tabelle2[[#This Row],[vy]])</f>
        <v>87.914507429359986</v>
      </c>
      <c r="S31">
        <f t="shared" si="10"/>
        <v>34.112236887286123</v>
      </c>
      <c r="T31" s="1">
        <f t="shared" si="9"/>
        <v>40.858940834752332</v>
      </c>
    </row>
    <row r="32" spans="1:20" x14ac:dyDescent="0.35">
      <c r="F32" s="1">
        <f t="shared" si="6"/>
        <v>0.58000000000000018</v>
      </c>
      <c r="G32">
        <f>1/2*$B$8*$B$6*$B$7*(Tabelle2[[#This Row],[vx]]*Tabelle2[[#This Row],[vx]]+Tabelle2[[#This Row],[vy]]*Tabelle2[[#This Row],[vy]])/1000000</f>
        <v>13.570244419114173</v>
      </c>
      <c r="H32">
        <f>IF($B$3,-Tabelle2[[#This Row],[Fd]]*Tabelle2[[#This Row],[vx]]/Tabelle2[[#This Row],[v]],0)</f>
        <v>-9.136907051279664</v>
      </c>
      <c r="I32">
        <f t="shared" si="0"/>
        <v>-6.0912713675197763</v>
      </c>
      <c r="J32">
        <f t="shared" si="1"/>
        <v>-0.12182542735039553</v>
      </c>
      <c r="K32">
        <f t="shared" si="2"/>
        <v>1.178236931156639</v>
      </c>
      <c r="L32">
        <f>-$B$5*$B$12-IF($B$3,Tabelle2[[#This Row],[Fd]]*Tabelle2[[#This Row],[vy]]/Tabelle2[[#This Row],[v]],0)</f>
        <v>-24.748367487079065</v>
      </c>
      <c r="M32">
        <f t="shared" si="3"/>
        <v>-16.498911658052709</v>
      </c>
      <c r="N32">
        <f t="shared" si="4"/>
        <v>-0.32997823316105418</v>
      </c>
      <c r="O32">
        <f t="shared" si="5"/>
        <v>1.2918767192509701</v>
      </c>
      <c r="P32" s="1">
        <f t="shared" si="7"/>
        <v>58.972759271507144</v>
      </c>
      <c r="Q32" s="1">
        <f t="shared" si="8"/>
        <v>64.758825079129039</v>
      </c>
      <c r="R32">
        <f>SQRT(Tabelle2[[#This Row],[vx]]*Tabelle2[[#This Row],[vx]]+Tabelle2[[#This Row],[vy]]*Tabelle2[[#This Row],[vy]])</f>
        <v>87.587052477659981</v>
      </c>
      <c r="S32">
        <f t="shared" si="10"/>
        <v>35.292917422363551</v>
      </c>
      <c r="T32" s="1">
        <f t="shared" si="9"/>
        <v>42.157428986886345</v>
      </c>
    </row>
    <row r="33" spans="6:20" x14ac:dyDescent="0.35">
      <c r="F33" s="1">
        <f t="shared" si="6"/>
        <v>0.6000000000000002</v>
      </c>
      <c r="G33">
        <f>1/2*$B$8*$B$6*$B$7*(Tabelle2[[#This Row],[vx]]*Tabelle2[[#This Row],[vx]]+Tabelle2[[#This Row],[vy]]*Tabelle2[[#This Row],[vy]])/1000000</f>
        <v>13.46944605748727</v>
      </c>
      <c r="H33">
        <f>IF($B$3,-Tabelle2[[#This Row],[Fd]]*Tabelle2[[#This Row],[vx]]/Tabelle2[[#This Row],[v]],0)</f>
        <v>-9.0841050907285812</v>
      </c>
      <c r="I33">
        <f t="shared" si="0"/>
        <v>-6.0560700604857205</v>
      </c>
      <c r="J33">
        <f t="shared" si="1"/>
        <v>-0.12112140120971442</v>
      </c>
      <c r="K33">
        <f t="shared" si="2"/>
        <v>1.1758074628710378</v>
      </c>
      <c r="L33">
        <f>-$B$5*$B$12-IF($B$3,Tabelle2[[#This Row],[Fd]]*Tabelle2[[#This Row],[vy]]/Tabelle2[[#This Row],[v]],0)</f>
        <v>-24.660099888696863</v>
      </c>
      <c r="M33">
        <f t="shared" si="3"/>
        <v>-16.440066592464575</v>
      </c>
      <c r="N33">
        <f t="shared" si="4"/>
        <v>-0.3288013318492915</v>
      </c>
      <c r="O33">
        <f t="shared" si="5"/>
        <v>1.2852889236008667</v>
      </c>
      <c r="P33" s="1">
        <f t="shared" si="7"/>
        <v>58.850933844156749</v>
      </c>
      <c r="Q33" s="1">
        <f t="shared" si="8"/>
        <v>64.428846845967982</v>
      </c>
      <c r="R33">
        <f>SQRT(Tabelle2[[#This Row],[vx]]*Tabelle2[[#This Row],[vx]]+Tabelle2[[#This Row],[vy]]*Tabelle2[[#This Row],[vy]])</f>
        <v>87.261152411772059</v>
      </c>
      <c r="S33">
        <f t="shared" si="10"/>
        <v>36.471154353520191</v>
      </c>
      <c r="T33" s="1">
        <f t="shared" si="9"/>
        <v>43.449305706137316</v>
      </c>
    </row>
    <row r="34" spans="6:20" x14ac:dyDescent="0.35">
      <c r="F34" s="1">
        <f t="shared" si="6"/>
        <v>0.62000000000000022</v>
      </c>
      <c r="G34">
        <f>1/2*$B$8*$B$6*$B$7*(Tabelle2[[#This Row],[vx]]*Tabelle2[[#This Row],[vx]]+Tabelle2[[#This Row],[vy]]*Tabelle2[[#This Row],[vy]])/1000000</f>
        <v>13.369498591269824</v>
      </c>
      <c r="H34">
        <f>IF($B$3,-Tabelle2[[#This Row],[Fd]]*Tabelle2[[#This Row],[vx]]/Tabelle2[[#This Row],[v]],0)</f>
        <v>-9.0317123492106397</v>
      </c>
      <c r="I34">
        <f t="shared" si="0"/>
        <v>-6.0211415661404262</v>
      </c>
      <c r="J34">
        <f t="shared" si="1"/>
        <v>-0.12042283132280852</v>
      </c>
      <c r="K34">
        <f t="shared" si="2"/>
        <v>1.1733920205457127</v>
      </c>
      <c r="L34">
        <f>-$B$5*$B$12-IF($B$3,Tabelle2[[#This Row],[Fd]]*Tabelle2[[#This Row],[vy]]/Tabelle2[[#This Row],[v]],0)</f>
        <v>-24.572568900245223</v>
      </c>
      <c r="M34">
        <f t="shared" si="3"/>
        <v>-16.381712600163482</v>
      </c>
      <c r="N34">
        <f t="shared" si="4"/>
        <v>-0.32763425200326962</v>
      </c>
      <c r="O34">
        <f t="shared" si="5"/>
        <v>1.2787245677623411</v>
      </c>
      <c r="P34" s="1">
        <f t="shared" si="7"/>
        <v>58.729812442947036</v>
      </c>
      <c r="Q34" s="1">
        <f t="shared" si="8"/>
        <v>64.10004551411869</v>
      </c>
      <c r="R34">
        <f>SQRT(Tabelle2[[#This Row],[vx]]*Tabelle2[[#This Row],[vx]]+Tabelle2[[#This Row],[vy]]*Tabelle2[[#This Row],[vy]])</f>
        <v>86.936797183332118</v>
      </c>
      <c r="S34">
        <f t="shared" si="10"/>
        <v>37.646961816391226</v>
      </c>
      <c r="T34" s="1">
        <f t="shared" si="9"/>
        <v>44.734594629738183</v>
      </c>
    </row>
    <row r="35" spans="6:20" x14ac:dyDescent="0.35">
      <c r="F35" s="1">
        <f t="shared" si="6"/>
        <v>0.64000000000000024</v>
      </c>
      <c r="G35">
        <f>1/2*$B$8*$B$6*$B$7*(Tabelle2[[#This Row],[vx]]*Tabelle2[[#This Row],[vx]]+Tabelle2[[#This Row],[vy]]*Tabelle2[[#This Row],[vy]])/1000000</f>
        <v>13.270393661103142</v>
      </c>
      <c r="H35">
        <f>IF($B$3,-Tabelle2[[#This Row],[Fd]]*Tabelle2[[#This Row],[vx]]/Tabelle2[[#This Row],[v]],0)</f>
        <v>-8.979724757028519</v>
      </c>
      <c r="I35">
        <f t="shared" si="0"/>
        <v>-5.9864831713523463</v>
      </c>
      <c r="J35">
        <f t="shared" si="1"/>
        <v>-0.11972966342704693</v>
      </c>
      <c r="K35">
        <f t="shared" si="2"/>
        <v>1.1709904955982142</v>
      </c>
      <c r="L35">
        <f>-$B$5*$B$12-IF($B$3,Tabelle2[[#This Row],[Fd]]*Tabelle2[[#This Row],[vy]]/Tabelle2[[#This Row],[v]],0)</f>
        <v>-24.485767176054068</v>
      </c>
      <c r="M35">
        <f t="shared" si="3"/>
        <v>-16.323844784036044</v>
      </c>
      <c r="N35">
        <f t="shared" si="4"/>
        <v>-0.32647689568072091</v>
      </c>
      <c r="O35">
        <f t="shared" si="5"/>
        <v>1.2721834562855012</v>
      </c>
      <c r="P35" s="1">
        <f t="shared" si="7"/>
        <v>58.609389611624231</v>
      </c>
      <c r="Q35" s="1">
        <f t="shared" si="8"/>
        <v>63.772411262115419</v>
      </c>
      <c r="R35">
        <f>SQRT(Tabelle2[[#This Row],[vx]]*Tabelle2[[#This Row],[vx]]+Tabelle2[[#This Row],[vy]]*Tabelle2[[#This Row],[vy]])</f>
        <v>86.613976867660057</v>
      </c>
      <c r="S35">
        <f t="shared" si="10"/>
        <v>38.820353836936938</v>
      </c>
      <c r="T35" s="1">
        <f t="shared" si="9"/>
        <v>46.013319197500522</v>
      </c>
    </row>
    <row r="36" spans="6:20" x14ac:dyDescent="0.35">
      <c r="F36" s="1">
        <f t="shared" si="6"/>
        <v>0.66000000000000025</v>
      </c>
      <c r="G36">
        <f>1/2*$B$8*$B$6*$B$7*(Tabelle2[[#This Row],[vx]]*Tabelle2[[#This Row],[vx]]+Tabelle2[[#This Row],[vy]]*Tabelle2[[#This Row],[vy]])/1000000</f>
        <v>13.172123015420652</v>
      </c>
      <c r="H36">
        <f>IF($B$3,-Tabelle2[[#This Row],[Fd]]*Tabelle2[[#This Row],[vx]]/Tabelle2[[#This Row],[v]],0)</f>
        <v>-8.928138297776524</v>
      </c>
      <c r="I36">
        <f t="shared" si="0"/>
        <v>-5.9520921985176827</v>
      </c>
      <c r="J36">
        <f t="shared" si="1"/>
        <v>-0.11904184397035365</v>
      </c>
      <c r="K36">
        <f t="shared" si="2"/>
        <v>1.1686027805242403</v>
      </c>
      <c r="L36">
        <f>-$B$5*$B$12-IF($B$3,Tabelle2[[#This Row],[Fd]]*Tabelle2[[#This Row],[vy]]/Tabelle2[[#This Row],[v]],0)</f>
        <v>-24.399687463679484</v>
      </c>
      <c r="M36">
        <f t="shared" si="3"/>
        <v>-16.266458309119656</v>
      </c>
      <c r="N36">
        <f t="shared" si="4"/>
        <v>-0.3253291661823931</v>
      </c>
      <c r="O36">
        <f t="shared" si="5"/>
        <v>1.26566539566687</v>
      </c>
      <c r="P36" s="1">
        <f t="shared" si="7"/>
        <v>58.489659948197186</v>
      </c>
      <c r="Q36" s="1">
        <f t="shared" si="8"/>
        <v>63.445934366434699</v>
      </c>
      <c r="R36">
        <f>SQRT(Tabelle2[[#This Row],[vx]]*Tabelle2[[#This Row],[vx]]+Tabelle2[[#This Row],[vy]]*Tabelle2[[#This Row],[vy]])</f>
        <v>86.292681662384808</v>
      </c>
      <c r="S36">
        <f t="shared" si="10"/>
        <v>39.991344332535149</v>
      </c>
      <c r="T36" s="1">
        <f t="shared" si="9"/>
        <v>47.285502653786025</v>
      </c>
    </row>
    <row r="37" spans="6:20" x14ac:dyDescent="0.35">
      <c r="F37" s="1">
        <f t="shared" si="6"/>
        <v>0.68000000000000027</v>
      </c>
      <c r="G37">
        <f>1/2*$B$8*$B$6*$B$7*(Tabelle2[[#This Row],[vx]]*Tabelle2[[#This Row],[vx]]+Tabelle2[[#This Row],[vy]]*Tabelle2[[#This Row],[vy]])/1000000</f>
        <v>13.074678508807542</v>
      </c>
      <c r="H37">
        <f>IF($B$3,-Tabelle2[[#This Row],[Fd]]*Tabelle2[[#This Row],[vx]]/Tabelle2[[#This Row],[v]],0)</f>
        <v>-8.8769490075407962</v>
      </c>
      <c r="I37">
        <f t="shared" si="0"/>
        <v>-5.9179660050271972</v>
      </c>
      <c r="J37">
        <f t="shared" si="1"/>
        <v>-0.11835932010054395</v>
      </c>
      <c r="K37">
        <f t="shared" si="2"/>
        <v>1.1662287688835313</v>
      </c>
      <c r="L37">
        <f>-$B$5*$B$12-IF($B$3,Tabelle2[[#This Row],[Fd]]*Tabelle2[[#This Row],[vy]]/Tabelle2[[#This Row],[v]],0)</f>
        <v>-24.314322602464941</v>
      </c>
      <c r="M37">
        <f t="shared" si="3"/>
        <v>-16.209548401643293</v>
      </c>
      <c r="N37">
        <f t="shared" si="4"/>
        <v>-0.32419096803286584</v>
      </c>
      <c r="O37">
        <f t="shared" si="5"/>
        <v>1.2591701943247176</v>
      </c>
      <c r="P37" s="1">
        <f t="shared" si="7"/>
        <v>58.370618104226835</v>
      </c>
      <c r="Q37" s="1">
        <f t="shared" si="8"/>
        <v>63.120605200252307</v>
      </c>
      <c r="R37">
        <f>SQRT(Tabelle2[[#This Row],[vx]]*Tabelle2[[#This Row],[vx]]+Tabelle2[[#This Row],[vy]]*Tabelle2[[#This Row],[vy]])</f>
        <v>85.97290188609206</v>
      </c>
      <c r="S37">
        <f t="shared" si="10"/>
        <v>41.159947113059388</v>
      </c>
      <c r="T37" s="1">
        <f t="shared" si="9"/>
        <v>48.551168049452897</v>
      </c>
    </row>
    <row r="38" spans="6:20" x14ac:dyDescent="0.35">
      <c r="F38" s="1">
        <f t="shared" si="6"/>
        <v>0.70000000000000029</v>
      </c>
      <c r="G38">
        <f>1/2*$B$8*$B$6*$B$7*(Tabelle2[[#This Row],[vx]]*Tabelle2[[#This Row],[vx]]+Tabelle2[[#This Row],[vy]]*Tabelle2[[#This Row],[vy]])/1000000</f>
        <v>12.97805210038957</v>
      </c>
      <c r="H38">
        <f>IF($B$3,-Tabelle2[[#This Row],[Fd]]*Tabelle2[[#This Row],[vx]]/Tabelle2[[#This Row],[v]],0)</f>
        <v>-8.8261529741138798</v>
      </c>
      <c r="I38">
        <f t="shared" si="0"/>
        <v>-5.8841019827425862</v>
      </c>
      <c r="J38">
        <f t="shared" si="1"/>
        <v>-0.11768203965485173</v>
      </c>
      <c r="K38">
        <f t="shared" si="2"/>
        <v>1.1638683552859772</v>
      </c>
      <c r="L38">
        <f>-$B$5*$B$12-IF($B$3,Tabelle2[[#This Row],[Fd]]*Tabelle2[[#This Row],[vy]]/Tabelle2[[#This Row],[v]],0)</f>
        <v>-24.229665522127767</v>
      </c>
      <c r="M38">
        <f t="shared" si="3"/>
        <v>-16.153110348085178</v>
      </c>
      <c r="N38">
        <f t="shared" si="4"/>
        <v>-0.32306220696170357</v>
      </c>
      <c r="O38">
        <f t="shared" si="5"/>
        <v>1.2526976625747717</v>
      </c>
      <c r="P38" s="1">
        <f t="shared" si="7"/>
        <v>58.25225878412629</v>
      </c>
      <c r="Q38" s="1">
        <f t="shared" si="8"/>
        <v>62.796414232219441</v>
      </c>
      <c r="R38">
        <f>SQRT(Tabelle2[[#This Row],[vx]]*Tabelle2[[#This Row],[vx]]+Tabelle2[[#This Row],[vy]]*Tabelle2[[#This Row],[vy]])</f>
        <v>85.654627976994391</v>
      </c>
      <c r="S38">
        <f t="shared" si="10"/>
        <v>42.326175881942916</v>
      </c>
      <c r="T38" s="1">
        <f t="shared" si="9"/>
        <v>49.810338243777615</v>
      </c>
    </row>
    <row r="39" spans="6:20" x14ac:dyDescent="0.35">
      <c r="F39" s="1">
        <f t="shared" si="6"/>
        <v>0.72000000000000031</v>
      </c>
      <c r="G39">
        <f>1/2*$B$8*$B$6*$B$7*(Tabelle2[[#This Row],[vx]]*Tabelle2[[#This Row],[vx]]+Tabelle2[[#This Row],[vy]]*Tabelle2[[#This Row],[vy]])/1000000</f>
        <v>12.882235852250387</v>
      </c>
      <c r="H39">
        <f>IF($B$3,-Tabelle2[[#This Row],[Fd]]*Tabelle2[[#This Row],[vx]]/Tabelle2[[#This Row],[v]],0)</f>
        <v>-8.7757463362232819</v>
      </c>
      <c r="I39">
        <f t="shared" si="0"/>
        <v>-5.8504975574821882</v>
      </c>
      <c r="J39">
        <f t="shared" si="1"/>
        <v>-0.11700995114964377</v>
      </c>
      <c r="K39">
        <f t="shared" si="2"/>
        <v>1.1615214353779324</v>
      </c>
      <c r="L39">
        <f>-$B$5*$B$12-IF($B$3,Tabelle2[[#This Row],[Fd]]*Tabelle2[[#This Row],[vy]]/Tabelle2[[#This Row],[v]],0)</f>
        <v>-24.14570924137039</v>
      </c>
      <c r="M39">
        <f t="shared" si="3"/>
        <v>-16.097139494246928</v>
      </c>
      <c r="N39">
        <f t="shared" si="4"/>
        <v>-0.32194278988493857</v>
      </c>
      <c r="O39">
        <f t="shared" si="5"/>
        <v>1.2462476126063053</v>
      </c>
      <c r="P39" s="1">
        <f t="shared" si="7"/>
        <v>58.134576744471438</v>
      </c>
      <c r="Q39" s="1">
        <f t="shared" si="8"/>
        <v>62.473352025257739</v>
      </c>
      <c r="R39">
        <f>SQRT(Tabelle2[[#This Row],[vx]]*Tabelle2[[#This Row],[vx]]+Tabelle2[[#This Row],[vy]]*Tabelle2[[#This Row],[vy]])</f>
        <v>85.337850491623087</v>
      </c>
      <c r="S39">
        <f t="shared" si="10"/>
        <v>43.490044237228894</v>
      </c>
      <c r="T39" s="1">
        <f t="shared" si="9"/>
        <v>51.06303590635239</v>
      </c>
    </row>
    <row r="40" spans="6:20" x14ac:dyDescent="0.35">
      <c r="F40" s="1">
        <f t="shared" si="6"/>
        <v>0.74000000000000032</v>
      </c>
      <c r="G40">
        <f>1/2*$B$8*$B$6*$B$7*(Tabelle2[[#This Row],[vx]]*Tabelle2[[#This Row],[vx]]+Tabelle2[[#This Row],[vy]]*Tabelle2[[#This Row],[vy]])/1000000</f>
        <v>12.787221927876875</v>
      </c>
      <c r="H40">
        <f>IF($B$3,-Tabelle2[[#This Row],[Fd]]*Tabelle2[[#This Row],[vx]]/Tabelle2[[#This Row],[v]],0)</f>
        <v>-8.7257252827737766</v>
      </c>
      <c r="I40">
        <f t="shared" si="0"/>
        <v>-5.8171501885158508</v>
      </c>
      <c r="J40">
        <f t="shared" si="1"/>
        <v>-0.11634300377031702</v>
      </c>
      <c r="K40">
        <f t="shared" si="2"/>
        <v>1.1591879058287329</v>
      </c>
      <c r="L40">
        <f>-$B$5*$B$12-IF($B$3,Tabelle2[[#This Row],[Fd]]*Tabelle2[[#This Row],[vy]]/Tabelle2[[#This Row],[v]],0)</f>
        <v>-24.062446866515888</v>
      </c>
      <c r="M40">
        <f t="shared" si="3"/>
        <v>-16.041631244343925</v>
      </c>
      <c r="N40">
        <f t="shared" si="4"/>
        <v>-0.32083262488687853</v>
      </c>
      <c r="O40">
        <f t="shared" si="5"/>
        <v>1.2398198584585873</v>
      </c>
      <c r="P40" s="1">
        <f t="shared" si="7"/>
        <v>58.017566793321798</v>
      </c>
      <c r="Q40" s="1">
        <f t="shared" si="8"/>
        <v>62.151409235372803</v>
      </c>
      <c r="R40">
        <f>SQRT(Tabelle2[[#This Row],[vx]]*Tabelle2[[#This Row],[vx]]+Tabelle2[[#This Row],[vy]]*Tabelle2[[#This Row],[vy]])</f>
        <v>85.022560103541579</v>
      </c>
      <c r="S40">
        <f t="shared" si="10"/>
        <v>44.651565672606829</v>
      </c>
      <c r="T40" s="1">
        <f t="shared" si="9"/>
        <v>52.309283518958694</v>
      </c>
    </row>
    <row r="41" spans="6:20" x14ac:dyDescent="0.35">
      <c r="F41" s="1">
        <f t="shared" si="6"/>
        <v>0.76000000000000034</v>
      </c>
      <c r="G41">
        <f>1/2*$B$8*$B$6*$B$7*(Tabelle2[[#This Row],[vx]]*Tabelle2[[#This Row],[vx]]+Tabelle2[[#This Row],[vy]]*Tabelle2[[#This Row],[vy]])/1000000</f>
        <v>12.693002590631867</v>
      </c>
      <c r="H41">
        <f>IF($B$3,-Tabelle2[[#This Row],[Fd]]*Tabelle2[[#This Row],[vx]]/Tabelle2[[#This Row],[v]],0)</f>
        <v>-8.6760860521031518</v>
      </c>
      <c r="I41">
        <f t="shared" si="0"/>
        <v>-5.7840573680687681</v>
      </c>
      <c r="J41">
        <f t="shared" si="1"/>
        <v>-0.11568114736137536</v>
      </c>
      <c r="K41">
        <f t="shared" si="2"/>
        <v>1.1568676643174158</v>
      </c>
      <c r="L41">
        <f>-$B$5*$B$12-IF($B$3,Tabelle2[[#This Row],[Fd]]*Tabelle2[[#This Row],[vy]]/Tabelle2[[#This Row],[v]],0)</f>
        <v>-23.979871590167264</v>
      </c>
      <c r="M41">
        <f t="shared" si="3"/>
        <v>-15.98658106011151</v>
      </c>
      <c r="N41">
        <f t="shared" si="4"/>
        <v>-0.3197316212022302</v>
      </c>
      <c r="O41">
        <f t="shared" si="5"/>
        <v>1.2334142159976962</v>
      </c>
      <c r="P41" s="1">
        <f t="shared" si="7"/>
        <v>57.90122378955148</v>
      </c>
      <c r="Q41" s="1">
        <f t="shared" si="8"/>
        <v>61.830576610485927</v>
      </c>
      <c r="R41">
        <f>SQRT(Tabelle2[[#This Row],[vx]]*Tabelle2[[#This Row],[vx]]+Tabelle2[[#This Row],[vy]]*Tabelle2[[#This Row],[vy]])</f>
        <v>84.708747602079981</v>
      </c>
      <c r="S41">
        <f t="shared" si="10"/>
        <v>45.810753578435559</v>
      </c>
      <c r="T41" s="1">
        <f t="shared" si="9"/>
        <v>53.549103377417282</v>
      </c>
    </row>
    <row r="42" spans="6:20" x14ac:dyDescent="0.35">
      <c r="F42" s="1">
        <f t="shared" si="6"/>
        <v>0.78000000000000036</v>
      </c>
      <c r="G42">
        <f>1/2*$B$8*$B$6*$B$7*(Tabelle2[[#This Row],[vx]]*Tabelle2[[#This Row],[vx]]+Tabelle2[[#This Row],[vy]]*Tabelle2[[#This Row],[vy]])/1000000</f>
        <v>12.599570202253743</v>
      </c>
      <c r="H42">
        <f>IF($B$3,-Tabelle2[[#This Row],[Fd]]*Tabelle2[[#This Row],[vx]]/Tabelle2[[#This Row],[v]],0)</f>
        <v>-8.6268249312511642</v>
      </c>
      <c r="I42">
        <f t="shared" si="0"/>
        <v>-5.7512166208341098</v>
      </c>
      <c r="J42">
        <f t="shared" si="1"/>
        <v>-0.1150243324166822</v>
      </c>
      <c r="K42">
        <f t="shared" si="2"/>
        <v>1.1545606095196352</v>
      </c>
      <c r="L42">
        <f>-$B$5*$B$12-IF($B$3,Tabelle2[[#This Row],[Fd]]*Tabelle2[[#This Row],[vy]]/Tabelle2[[#This Row],[v]],0)</f>
        <v>-23.897976689890037</v>
      </c>
      <c r="M42">
        <f t="shared" si="3"/>
        <v>-15.93198445992669</v>
      </c>
      <c r="N42">
        <f t="shared" si="4"/>
        <v>-0.3186396891985338</v>
      </c>
      <c r="O42">
        <f t="shared" si="5"/>
        <v>1.2270305028936885</v>
      </c>
      <c r="P42" s="1">
        <f t="shared" si="7"/>
        <v>57.785542642190102</v>
      </c>
      <c r="Q42" s="1">
        <f t="shared" si="8"/>
        <v>61.510844989283697</v>
      </c>
      <c r="R42">
        <f>SQRT(Tabelle2[[#This Row],[vx]]*Tabelle2[[#This Row],[vx]]+Tabelle2[[#This Row],[vy]]*Tabelle2[[#This Row],[vy]])</f>
        <v>84.396403891090401</v>
      </c>
      <c r="S42">
        <f t="shared" si="10"/>
        <v>46.967621242752976</v>
      </c>
      <c r="T42" s="1">
        <f t="shared" si="9"/>
        <v>54.78251759341498</v>
      </c>
    </row>
    <row r="43" spans="6:20" x14ac:dyDescent="0.35">
      <c r="F43" s="1">
        <f t="shared" si="6"/>
        <v>0.80000000000000038</v>
      </c>
      <c r="G43">
        <f>1/2*$B$8*$B$6*$B$7*(Tabelle2[[#This Row],[vx]]*Tabelle2[[#This Row],[vx]]+Tabelle2[[#This Row],[vy]]*Tabelle2[[#This Row],[vy]])/1000000</f>
        <v>12.50691722138234</v>
      </c>
      <c r="H43">
        <f>IF($B$3,-Tabelle2[[#This Row],[Fd]]*Tabelle2[[#This Row],[vx]]/Tabelle2[[#This Row],[v]],0)</f>
        <v>-8.5779382552414045</v>
      </c>
      <c r="I43">
        <f t="shared" si="0"/>
        <v>-5.7186255034942697</v>
      </c>
      <c r="J43">
        <f t="shared" si="1"/>
        <v>-0.1143725100698854</v>
      </c>
      <c r="K43">
        <f t="shared" si="2"/>
        <v>1.1522666410947695</v>
      </c>
      <c r="L43">
        <f>-$B$5*$B$12-IF($B$3,Tabelle2[[#This Row],[Fd]]*Tabelle2[[#This Row],[vy]]/Tabelle2[[#This Row],[v]],0)</f>
        <v>-23.81675552691766</v>
      </c>
      <c r="M43">
        <f t="shared" si="3"/>
        <v>-15.877837017945106</v>
      </c>
      <c r="N43">
        <f t="shared" si="4"/>
        <v>-0.31755674035890213</v>
      </c>
      <c r="O43">
        <f t="shared" si="5"/>
        <v>1.2206685385981144</v>
      </c>
      <c r="P43" s="1">
        <f t="shared" si="7"/>
        <v>57.670518309773421</v>
      </c>
      <c r="Q43" s="1">
        <f t="shared" si="8"/>
        <v>61.192205300085163</v>
      </c>
      <c r="R43">
        <f>SQRT(Tabelle2[[#This Row],[vx]]*Tabelle2[[#This Row],[vx]]+Tabelle2[[#This Row],[vy]]*Tabelle2[[#This Row],[vy]])</f>
        <v>84.085519987722506</v>
      </c>
      <c r="S43">
        <f t="shared" si="10"/>
        <v>48.122181852272611</v>
      </c>
      <c r="T43" s="1">
        <f t="shared" si="9"/>
        <v>56.00954809630867</v>
      </c>
    </row>
    <row r="44" spans="6:20" x14ac:dyDescent="0.35">
      <c r="F44" s="1">
        <f t="shared" si="6"/>
        <v>0.8200000000000004</v>
      </c>
      <c r="G44">
        <f>1/2*$B$8*$B$6*$B$7*(Tabelle2[[#This Row],[vx]]*Tabelle2[[#This Row],[vx]]+Tabelle2[[#This Row],[vy]]*Tabelle2[[#This Row],[vy]])/1000000</f>
        <v>12.415036202110658</v>
      </c>
      <c r="H44">
        <f>IF($B$3,-Tabelle2[[#This Row],[Fd]]*Tabelle2[[#This Row],[vx]]/Tabelle2[[#This Row],[v]],0)</f>
        <v>-8.5294224063758204</v>
      </c>
      <c r="I44">
        <f t="shared" si="0"/>
        <v>-5.6862816042505466</v>
      </c>
      <c r="J44">
        <f t="shared" si="1"/>
        <v>-0.11372563208501094</v>
      </c>
      <c r="K44">
        <f t="shared" si="2"/>
        <v>1.1499856596732208</v>
      </c>
      <c r="L44">
        <f>-$B$5*$B$12-IF($B$3,Tabelle2[[#This Row],[Fd]]*Tabelle2[[#This Row],[vy]]/Tabelle2[[#This Row],[v]],0)</f>
        <v>-23.736201544879279</v>
      </c>
      <c r="M44">
        <f t="shared" si="3"/>
        <v>-15.824134363252853</v>
      </c>
      <c r="N44">
        <f t="shared" si="4"/>
        <v>-0.31648268726505707</v>
      </c>
      <c r="O44">
        <f t="shared" si="5"/>
        <v>1.2143281443218747</v>
      </c>
      <c r="P44" s="1">
        <f t="shared" si="7"/>
        <v>57.556145799703536</v>
      </c>
      <c r="Q44" s="1">
        <f t="shared" si="8"/>
        <v>60.874648559726261</v>
      </c>
      <c r="R44">
        <f>SQRT(Tabelle2[[#This Row],[vx]]*Tabelle2[[#This Row],[vx]]+Tabelle2[[#This Row],[vy]]*Tabelle2[[#This Row],[vy]])</f>
        <v>83.776087021219325</v>
      </c>
      <c r="S44">
        <f t="shared" si="10"/>
        <v>49.27444849336738</v>
      </c>
      <c r="T44" s="1">
        <f t="shared" si="9"/>
        <v>57.230216634906782</v>
      </c>
    </row>
    <row r="45" spans="6:20" x14ac:dyDescent="0.35">
      <c r="F45" s="1">
        <f t="shared" si="6"/>
        <v>0.84000000000000041</v>
      </c>
      <c r="G45">
        <f>1/2*$B$8*$B$6*$B$7*(Tabelle2[[#This Row],[vx]]*Tabelle2[[#This Row],[vx]]+Tabelle2[[#This Row],[vy]]*Tabelle2[[#This Row],[vy]])/1000000</f>
        <v>12.323919792561833</v>
      </c>
      <c r="H45">
        <f>IF($B$3,-Tabelle2[[#This Row],[Fd]]*Tabelle2[[#This Row],[vx]]/Tabelle2[[#This Row],[v]],0)</f>
        <v>-8.4812738135416481</v>
      </c>
      <c r="I45">
        <f t="shared" si="0"/>
        <v>-5.6541825423610987</v>
      </c>
      <c r="J45">
        <f t="shared" si="1"/>
        <v>-0.11308365084722198</v>
      </c>
      <c r="K45">
        <f t="shared" si="2"/>
        <v>1.1477175668438984</v>
      </c>
      <c r="L45">
        <f>-$B$5*$B$12-IF($B$3,Tabelle2[[#This Row],[Fd]]*Tabelle2[[#This Row],[vy]]/Tabelle2[[#This Row],[v]],0)</f>
        <v>-23.656308268549406</v>
      </c>
      <c r="M45">
        <f t="shared" si="3"/>
        <v>-15.770872179032937</v>
      </c>
      <c r="N45">
        <f t="shared" si="4"/>
        <v>-0.31541744358065876</v>
      </c>
      <c r="O45">
        <f t="shared" si="5"/>
        <v>1.2080091430134174</v>
      </c>
      <c r="P45" s="1">
        <f t="shared" si="7"/>
        <v>57.442420167618522</v>
      </c>
      <c r="Q45" s="1">
        <f t="shared" si="8"/>
        <v>60.558165872461203</v>
      </c>
      <c r="R45">
        <f>SQRT(Tabelle2[[#This Row],[vx]]*Tabelle2[[#This Row],[vx]]+Tabelle2[[#This Row],[vy]]*Tabelle2[[#This Row],[vy]])</f>
        <v>83.468096231732474</v>
      </c>
      <c r="S45">
        <f t="shared" si="10"/>
        <v>50.4244341530406</v>
      </c>
      <c r="T45" s="1">
        <f t="shared" si="9"/>
        <v>58.444544779228657</v>
      </c>
    </row>
    <row r="46" spans="6:20" x14ac:dyDescent="0.35">
      <c r="F46" s="1">
        <f t="shared" si="6"/>
        <v>0.86000000000000043</v>
      </c>
      <c r="G46">
        <f>1/2*$B$8*$B$6*$B$7*(Tabelle2[[#This Row],[vx]]*Tabelle2[[#This Row],[vx]]+Tabelle2[[#This Row],[vy]]*Tabelle2[[#This Row],[vy]])/1000000</f>
        <v>12.233560733490901</v>
      </c>
      <c r="H46">
        <f>IF($B$3,-Tabelle2[[#This Row],[Fd]]*Tabelle2[[#This Row],[vx]]/Tabelle2[[#This Row],[v]],0)</f>
        <v>-8.4334889515305207</v>
      </c>
      <c r="I46">
        <f t="shared" si="0"/>
        <v>-5.6223259676870141</v>
      </c>
      <c r="J46">
        <f t="shared" si="1"/>
        <v>-0.11244651935374028</v>
      </c>
      <c r="K46">
        <f t="shared" si="2"/>
        <v>1.1454622651418886</v>
      </c>
      <c r="L46">
        <f>-$B$5*$B$12-IF($B$3,Tabelle2[[#This Row],[Fd]]*Tabelle2[[#This Row],[vy]]/Tabelle2[[#This Row],[v]],0)</f>
        <v>-23.577069302619059</v>
      </c>
      <c r="M46">
        <f t="shared" si="3"/>
        <v>-15.71804620174604</v>
      </c>
      <c r="N46">
        <f t="shared" si="4"/>
        <v>-0.31436092403492077</v>
      </c>
      <c r="O46">
        <f t="shared" si="5"/>
        <v>1.2017113593372617</v>
      </c>
      <c r="P46" s="1">
        <f t="shared" si="7"/>
        <v>57.329336516771299</v>
      </c>
      <c r="Q46" s="1">
        <f t="shared" si="8"/>
        <v>60.242748428880546</v>
      </c>
      <c r="R46">
        <f>SQRT(Tabelle2[[#This Row],[vx]]*Tabelle2[[#This Row],[vx]]+Tabelle2[[#This Row],[vy]]*Tabelle2[[#This Row],[vy]])</f>
        <v>83.161538969156879</v>
      </c>
      <c r="S46">
        <f t="shared" si="10"/>
        <v>51.572151719884502</v>
      </c>
      <c r="T46" s="1">
        <f t="shared" si="9"/>
        <v>59.652553922242078</v>
      </c>
    </row>
    <row r="47" spans="6:20" x14ac:dyDescent="0.35">
      <c r="F47" s="1">
        <f t="shared" si="6"/>
        <v>0.88000000000000045</v>
      </c>
      <c r="G47">
        <f>1/2*$B$8*$B$6*$B$7*(Tabelle2[[#This Row],[vx]]*Tabelle2[[#This Row],[vx]]+Tabelle2[[#This Row],[vy]]*Tabelle2[[#This Row],[vy]])/1000000</f>
        <v>12.143951856910824</v>
      </c>
      <c r="H47">
        <f>IF($B$3,-Tabelle2[[#This Row],[Fd]]*Tabelle2[[#This Row],[vx]]/Tabelle2[[#This Row],[v]],0)</f>
        <v>-8.3860643403694777</v>
      </c>
      <c r="I47">
        <f t="shared" si="0"/>
        <v>-5.5907095602463182</v>
      </c>
      <c r="J47">
        <f t="shared" si="1"/>
        <v>-0.11181419120492636</v>
      </c>
      <c r="K47">
        <f t="shared" si="2"/>
        <v>1.1432196580363019</v>
      </c>
      <c r="L47">
        <f>-$B$5*$B$12-IF($B$3,Tabelle2[[#This Row],[Fd]]*Tabelle2[[#This Row],[vy]]/Tabelle2[[#This Row],[v]],0)</f>
        <v>-23.498478330487949</v>
      </c>
      <c r="M47">
        <f t="shared" si="3"/>
        <v>-15.665652220325299</v>
      </c>
      <c r="N47">
        <f t="shared" si="4"/>
        <v>-0.31331304440650598</v>
      </c>
      <c r="O47">
        <f t="shared" si="5"/>
        <v>1.1954346196528474</v>
      </c>
      <c r="P47" s="1">
        <f t="shared" si="7"/>
        <v>57.21688999741756</v>
      </c>
      <c r="Q47" s="1">
        <f t="shared" si="8"/>
        <v>59.928387504845624</v>
      </c>
      <c r="R47">
        <f>SQRT(Tabelle2[[#This Row],[vx]]*Tabelle2[[#This Row],[vx]]+Tabelle2[[#This Row],[vy]]*Tabelle2[[#This Row],[vy]])</f>
        <v>82.856406691984404</v>
      </c>
      <c r="S47">
        <f t="shared" si="10"/>
        <v>52.717613985026389</v>
      </c>
      <c r="T47" s="1">
        <f t="shared" si="9"/>
        <v>60.854265281579337</v>
      </c>
    </row>
    <row r="48" spans="6:20" x14ac:dyDescent="0.35">
      <c r="F48" s="1">
        <f t="shared" si="6"/>
        <v>0.90000000000000047</v>
      </c>
      <c r="G48">
        <f>1/2*$B$8*$B$6*$B$7*(Tabelle2[[#This Row],[vx]]*Tabelle2[[#This Row],[vx]]+Tabelle2[[#This Row],[vy]]*Tabelle2[[#This Row],[vy]])/1000000</f>
        <v>12.055086084742339</v>
      </c>
      <c r="H48">
        <f>IF($B$3,-Tabelle2[[#This Row],[Fd]]*Tabelle2[[#This Row],[vx]]/Tabelle2[[#This Row],[v]],0)</f>
        <v>-8.3389965446636598</v>
      </c>
      <c r="I48">
        <f t="shared" si="0"/>
        <v>-5.5593310297757732</v>
      </c>
      <c r="J48">
        <f t="shared" si="1"/>
        <v>-0.11118662059551547</v>
      </c>
      <c r="K48">
        <f t="shared" si="2"/>
        <v>1.1409896499182974</v>
      </c>
      <c r="L48">
        <f>-$B$5*$B$12-IF($B$3,Tabelle2[[#This Row],[Fd]]*Tabelle2[[#This Row],[vy]]/Tabelle2[[#This Row],[v]],0)</f>
        <v>-23.420529113077272</v>
      </c>
      <c r="M48">
        <f t="shared" si="3"/>
        <v>-15.613686075384848</v>
      </c>
      <c r="N48">
        <f t="shared" si="4"/>
        <v>-0.31227372150769694</v>
      </c>
      <c r="O48">
        <f t="shared" si="5"/>
        <v>1.1891787519937054</v>
      </c>
      <c r="P48" s="1">
        <f t="shared" si="7"/>
        <v>57.105075806212632</v>
      </c>
      <c r="Q48" s="1">
        <f t="shared" si="8"/>
        <v>59.615074460439118</v>
      </c>
      <c r="R48">
        <f>SQRT(Tabelle2[[#This Row],[vx]]*Tabelle2[[#This Row],[vx]]+Tabelle2[[#This Row],[vy]]*Tabelle2[[#This Row],[vy]])</f>
        <v>82.552690966176215</v>
      </c>
      <c r="S48">
        <f t="shared" si="10"/>
        <v>53.860833643062691</v>
      </c>
      <c r="T48" s="1">
        <f t="shared" si="9"/>
        <v>62.049699901232188</v>
      </c>
    </row>
    <row r="49" spans="6:20" x14ac:dyDescent="0.35">
      <c r="F49" s="1">
        <f t="shared" si="6"/>
        <v>0.92000000000000048</v>
      </c>
      <c r="G49">
        <f>1/2*$B$8*$B$6*$B$7*(Tabelle2[[#This Row],[vx]]*Tabelle2[[#This Row],[vx]]+Tabelle2[[#This Row],[vy]]*Tabelle2[[#This Row],[vy]])/1000000</f>
        <v>11.966956427487112</v>
      </c>
      <c r="H49">
        <f>IF($B$3,-Tabelle2[[#This Row],[Fd]]*Tabelle2[[#This Row],[vx]]/Tabelle2[[#This Row],[v]],0)</f>
        <v>-8.2922821729504665</v>
      </c>
      <c r="I49">
        <f t="shared" si="0"/>
        <v>-5.5281881153003107</v>
      </c>
      <c r="J49">
        <f t="shared" si="1"/>
        <v>-0.11056376230600622</v>
      </c>
      <c r="K49">
        <f t="shared" si="2"/>
        <v>1.1387721460892823</v>
      </c>
      <c r="L49">
        <f>-$B$5*$B$12-IF($B$3,Tabelle2[[#This Row],[Fd]]*Tabelle2[[#This Row],[vy]]/Tabelle2[[#This Row],[v]],0)</f>
        <v>-23.343215487662725</v>
      </c>
      <c r="M49">
        <f t="shared" si="3"/>
        <v>-15.562143658441817</v>
      </c>
      <c r="N49">
        <f t="shared" si="4"/>
        <v>-0.31124287316883636</v>
      </c>
      <c r="O49">
        <f t="shared" si="5"/>
        <v>1.1829435860469402</v>
      </c>
      <c r="P49" s="1">
        <f t="shared" si="7"/>
        <v>56.993889185617114</v>
      </c>
      <c r="Q49" s="1">
        <f t="shared" si="8"/>
        <v>59.302800738931424</v>
      </c>
      <c r="R49">
        <f>SQRT(Tabelle2[[#This Row],[vx]]*Tabelle2[[#This Row],[vx]]+Tabelle2[[#This Row],[vy]]*Tabelle2[[#This Row],[vy]])</f>
        <v>82.250383464053286</v>
      </c>
      <c r="S49">
        <f t="shared" si="10"/>
        <v>55.001823292980987</v>
      </c>
      <c r="T49" s="1">
        <f t="shared" si="9"/>
        <v>63.238878653225896</v>
      </c>
    </row>
    <row r="50" spans="6:20" x14ac:dyDescent="0.35">
      <c r="F50" s="1">
        <f t="shared" si="6"/>
        <v>0.9400000000000005</v>
      </c>
      <c r="G50">
        <f>1/2*$B$8*$B$6*$B$7*(Tabelle2[[#This Row],[vx]]*Tabelle2[[#This Row],[vx]]+Tabelle2[[#This Row],[vy]]*Tabelle2[[#This Row],[vy]])/1000000</f>
        <v>11.879555982923772</v>
      </c>
      <c r="H50">
        <f>IF($B$3,-Tabelle2[[#This Row],[Fd]]*Tabelle2[[#This Row],[vx]]/Tabelle2[[#This Row],[v]],0)</f>
        <v>-8.2459178770649277</v>
      </c>
      <c r="I50">
        <f t="shared" si="0"/>
        <v>-5.4972785847099521</v>
      </c>
      <c r="J50">
        <f t="shared" si="1"/>
        <v>-0.10994557169419905</v>
      </c>
      <c r="K50">
        <f t="shared" si="2"/>
        <v>1.1365670527492802</v>
      </c>
      <c r="L50">
        <f>-$B$5*$B$12-IF($B$3,Tabelle2[[#This Row],[Fd]]*Tabelle2[[#This Row],[vy]]/Tabelle2[[#This Row],[v]],0)</f>
        <v>-23.266531366727307</v>
      </c>
      <c r="M50">
        <f t="shared" si="3"/>
        <v>-15.511020911151538</v>
      </c>
      <c r="N50">
        <f t="shared" si="4"/>
        <v>-0.31022041822303076</v>
      </c>
      <c r="O50">
        <f t="shared" si="5"/>
        <v>1.1767289531330216</v>
      </c>
      <c r="P50" s="1">
        <f t="shared" si="7"/>
        <v>56.883325423311106</v>
      </c>
      <c r="Q50" s="1">
        <f t="shared" si="8"/>
        <v>58.991557865762587</v>
      </c>
      <c r="R50">
        <f>SQRT(Tabelle2[[#This Row],[vx]]*Tabelle2[[#This Row],[vx]]+Tabelle2[[#This Row],[vy]]*Tabelle2[[#This Row],[vy]])</f>
        <v>81.949475963205074</v>
      </c>
      <c r="S50">
        <f t="shared" si="10"/>
        <v>56.140595439070268</v>
      </c>
      <c r="T50" s="1">
        <f t="shared" si="9"/>
        <v>64.421822239272842</v>
      </c>
    </row>
    <row r="51" spans="6:20" x14ac:dyDescent="0.35">
      <c r="F51" s="1">
        <f t="shared" si="6"/>
        <v>0.96000000000000052</v>
      </c>
      <c r="G51">
        <f>1/2*$B$8*$B$6*$B$7*(Tabelle2[[#This Row],[vx]]*Tabelle2[[#This Row],[vx]]+Tabelle2[[#This Row],[vy]]*Tabelle2[[#This Row],[vy]])/1000000</f>
        <v>11.792877934826368</v>
      </c>
      <c r="H51">
        <f>IF($B$3,-Tabelle2[[#This Row],[Fd]]*Tabelle2[[#This Row],[vx]]/Tabelle2[[#This Row],[v]],0)</f>
        <v>-8.1999003515160709</v>
      </c>
      <c r="I51">
        <f t="shared" si="0"/>
        <v>-5.466600234344047</v>
      </c>
      <c r="J51">
        <f t="shared" si="1"/>
        <v>-0.10933200468688094</v>
      </c>
      <c r="K51">
        <f t="shared" si="2"/>
        <v>1.1343742769854694</v>
      </c>
      <c r="L51">
        <f>-$B$5*$B$12-IF($B$3,Tabelle2[[#This Row],[Fd]]*Tabelle2[[#This Row],[vy]]/Tabelle2[[#This Row],[v]],0)</f>
        <v>-23.190470736833518</v>
      </c>
      <c r="M51">
        <f t="shared" si="3"/>
        <v>-15.460313824555678</v>
      </c>
      <c r="N51">
        <f t="shared" si="4"/>
        <v>-0.3092062764911136</v>
      </c>
      <c r="O51">
        <f t="shared" si="5"/>
        <v>1.1705346861858801</v>
      </c>
      <c r="P51" s="1">
        <f t="shared" si="7"/>
        <v>56.773379851616909</v>
      </c>
      <c r="Q51" s="1">
        <f t="shared" si="8"/>
        <v>58.681337447539555</v>
      </c>
      <c r="R51">
        <f>SQRT(Tabelle2[[#This Row],[vx]]*Tabelle2[[#This Row],[vx]]+Tabelle2[[#This Row],[vy]]*Tabelle2[[#This Row],[vy]])</f>
        <v>81.649960345415892</v>
      </c>
      <c r="S51">
        <f t="shared" si="10"/>
        <v>57.277162491819546</v>
      </c>
      <c r="T51" s="1">
        <f t="shared" si="9"/>
        <v>65.598551192405864</v>
      </c>
    </row>
    <row r="52" spans="6:20" x14ac:dyDescent="0.35">
      <c r="F52" s="1">
        <f t="shared" si="6"/>
        <v>0.98000000000000054</v>
      </c>
      <c r="G52">
        <f>1/2*$B$8*$B$6*$B$7*(Tabelle2[[#This Row],[vx]]*Tabelle2[[#This Row],[vx]]+Tabelle2[[#This Row],[vy]]*Tabelle2[[#This Row],[vy]])/1000000</f>
        <v>11.706915551704801</v>
      </c>
      <c r="H52">
        <f>IF($B$3,-Tabelle2[[#This Row],[Fd]]*Tabelle2[[#This Row],[vx]]/Tabelle2[[#This Row],[v]],0)</f>
        <v>-8.1542263328740905</v>
      </c>
      <c r="I52">
        <f t="shared" si="0"/>
        <v>-5.436150888582727</v>
      </c>
      <c r="J52">
        <f t="shared" si="1"/>
        <v>-0.10872301777165454</v>
      </c>
      <c r="K52">
        <f t="shared" si="2"/>
        <v>1.1321937267608839</v>
      </c>
      <c r="L52">
        <f>-$B$5*$B$12-IF($B$3,Tabelle2[[#This Row],[Fd]]*Tabelle2[[#This Row],[vy]]/Tabelle2[[#This Row],[v]],0)</f>
        <v>-23.115027657514617</v>
      </c>
      <c r="M52">
        <f t="shared" si="3"/>
        <v>-15.410018438343078</v>
      </c>
      <c r="N52">
        <f t="shared" si="4"/>
        <v>-0.30820036876686158</v>
      </c>
      <c r="O52">
        <f t="shared" si="5"/>
        <v>1.1643606197333003</v>
      </c>
      <c r="P52" s="1">
        <f t="shared" si="7"/>
        <v>56.664047846930025</v>
      </c>
      <c r="Q52" s="1">
        <f t="shared" si="8"/>
        <v>58.372131171048444</v>
      </c>
      <c r="R52">
        <f>SQRT(Tabelle2[[#This Row],[vx]]*Tabelle2[[#This Row],[vx]]+Tabelle2[[#This Row],[vy]]*Tabelle2[[#This Row],[vy]])</f>
        <v>81.351828595608481</v>
      </c>
      <c r="S52">
        <f t="shared" si="10"/>
        <v>58.411536768805014</v>
      </c>
      <c r="T52" s="1">
        <f t="shared" si="9"/>
        <v>66.769085878591738</v>
      </c>
    </row>
    <row r="53" spans="6:20" x14ac:dyDescent="0.35">
      <c r="F53" s="1">
        <f t="shared" si="6"/>
        <v>1.0000000000000004</v>
      </c>
      <c r="G53">
        <f>1/2*$B$8*$B$6*$B$7*(Tabelle2[[#This Row],[vx]]*Tabelle2[[#This Row],[vx]]+Tabelle2[[#This Row],[vy]]*Tabelle2[[#This Row],[vy]])/1000000</f>
        <v>11.621662185566787</v>
      </c>
      <c r="H53">
        <f>IF($B$3,-Tabelle2[[#This Row],[Fd]]*Tabelle2[[#This Row],[vx]]/Tabelle2[[#This Row],[v]],0)</f>
        <v>-8.1088925991680885</v>
      </c>
      <c r="I53">
        <f t="shared" si="0"/>
        <v>-5.4059283994453926</v>
      </c>
      <c r="J53">
        <f t="shared" si="1"/>
        <v>-0.10811856798890786</v>
      </c>
      <c r="K53">
        <f t="shared" si="2"/>
        <v>1.1300253109032783</v>
      </c>
      <c r="L53">
        <f>-$B$5*$B$12-IF($B$3,Tabelle2[[#This Row],[Fd]]*Tabelle2[[#This Row],[vy]]/Tabelle2[[#This Row],[v]],0)</f>
        <v>-23.040196260184501</v>
      </c>
      <c r="M53">
        <f t="shared" si="3"/>
        <v>-15.360130840123</v>
      </c>
      <c r="N53">
        <f t="shared" si="4"/>
        <v>-0.30720261680246003</v>
      </c>
      <c r="O53">
        <f t="shared" si="5"/>
        <v>1.1582065898776071</v>
      </c>
      <c r="P53" s="1">
        <f t="shared" si="7"/>
        <v>56.555324829158373</v>
      </c>
      <c r="Q53" s="1">
        <f t="shared" si="8"/>
        <v>58.063930802281583</v>
      </c>
      <c r="R53">
        <f>SQRT(Tabelle2[[#This Row],[vx]]*Tabelle2[[#This Row],[vx]]+Tabelle2[[#This Row],[vy]]*Tabelle2[[#This Row],[vy]])</f>
        <v>81.055072800804766</v>
      </c>
      <c r="S53">
        <f t="shared" si="10"/>
        <v>59.543730495565896</v>
      </c>
      <c r="T53" s="1">
        <f t="shared" si="9"/>
        <v>67.93344649832504</v>
      </c>
    </row>
    <row r="54" spans="6:20" x14ac:dyDescent="0.35">
      <c r="F54" s="1">
        <f t="shared" si="6"/>
        <v>1.0200000000000005</v>
      </c>
      <c r="G54">
        <f>1/2*$B$8*$B$6*$B$7*(Tabelle2[[#This Row],[vx]]*Tabelle2[[#This Row],[vx]]+Tabelle2[[#This Row],[vy]]*Tabelle2[[#This Row],[vy]])/1000000</f>
        <v>11.53711127070097</v>
      </c>
      <c r="H54">
        <f>IF($B$3,-Tabelle2[[#This Row],[Fd]]*Tabelle2[[#This Row],[vx]]/Tabelle2[[#This Row],[v]],0)</f>
        <v>-8.063895969294153</v>
      </c>
      <c r="I54">
        <f t="shared" si="0"/>
        <v>-5.3759306461961023</v>
      </c>
      <c r="J54">
        <f t="shared" si="1"/>
        <v>-0.10751861292392205</v>
      </c>
      <c r="K54">
        <f t="shared" si="2"/>
        <v>1.1278689390941501</v>
      </c>
      <c r="L54">
        <f>-$B$5*$B$12-IF($B$3,Tabelle2[[#This Row],[Fd]]*Tabelle2[[#This Row],[vy]]/Tabelle2[[#This Row],[v]],0)</f>
        <v>-22.965970747065882</v>
      </c>
      <c r="M54">
        <f t="shared" si="3"/>
        <v>-15.310647164710588</v>
      </c>
      <c r="N54">
        <f t="shared" si="4"/>
        <v>-0.30621294329421178</v>
      </c>
      <c r="O54">
        <f t="shared" si="5"/>
        <v>1.1520724342766402</v>
      </c>
      <c r="P54" s="1">
        <f t="shared" si="7"/>
        <v>56.447206261169462</v>
      </c>
      <c r="Q54" s="1">
        <f t="shared" si="8"/>
        <v>57.756728185479119</v>
      </c>
      <c r="R54">
        <f>SQRT(Tabelle2[[#This Row],[vx]]*Tabelle2[[#This Row],[vx]]+Tabelle2[[#This Row],[vy]]*Tabelle2[[#This Row],[vy]])</f>
        <v>80.75968514910349</v>
      </c>
      <c r="S54">
        <f t="shared" si="10"/>
        <v>60.673755806469174</v>
      </c>
      <c r="T54" s="1">
        <f t="shared" si="9"/>
        <v>69.091653088202648</v>
      </c>
    </row>
    <row r="55" spans="6:20" x14ac:dyDescent="0.35">
      <c r="F55" s="1">
        <f t="shared" si="6"/>
        <v>1.0400000000000005</v>
      </c>
      <c r="G55">
        <f>1/2*$B$8*$B$6*$B$7*(Tabelle2[[#This Row],[vx]]*Tabelle2[[#This Row],[vx]]+Tabelle2[[#This Row],[vy]]*Tabelle2[[#This Row],[vy]])/1000000</f>
        <v>11.453256322480746</v>
      </c>
      <c r="H55">
        <f>IF($B$3,-Tabelle2[[#This Row],[Fd]]*Tabelle2[[#This Row],[vx]]/Tabelle2[[#This Row],[v]],0)</f>
        <v>-8.0192333024336637</v>
      </c>
      <c r="I55">
        <f t="shared" si="0"/>
        <v>-5.3461555349557761</v>
      </c>
      <c r="J55">
        <f t="shared" si="1"/>
        <v>-0.10692311069911553</v>
      </c>
      <c r="K55">
        <f t="shared" si="2"/>
        <v>1.1257245218579197</v>
      </c>
      <c r="L55">
        <f>-$B$5*$B$12-IF($B$3,Tabelle2[[#This Row],[Fd]]*Tabelle2[[#This Row],[vy]]/Tabelle2[[#This Row],[v]],0)</f>
        <v>-22.892345390136342</v>
      </c>
      <c r="M55">
        <f t="shared" si="3"/>
        <v>-15.261563593424228</v>
      </c>
      <c r="N55">
        <f t="shared" si="4"/>
        <v>-0.30523127186848459</v>
      </c>
      <c r="O55">
        <f t="shared" si="5"/>
        <v>1.1459579921250134</v>
      </c>
      <c r="P55" s="1">
        <f t="shared" si="7"/>
        <v>56.339687648245544</v>
      </c>
      <c r="Q55" s="1">
        <f t="shared" si="8"/>
        <v>57.450515242184906</v>
      </c>
      <c r="R55">
        <f>SQRT(Tabelle2[[#This Row],[vx]]*Tabelle2[[#This Row],[vx]]+Tabelle2[[#This Row],[vy]]*Tabelle2[[#This Row],[vy]])</f>
        <v>80.465657928674091</v>
      </c>
      <c r="S55">
        <f t="shared" si="10"/>
        <v>61.801624745563323</v>
      </c>
      <c r="T55" s="1">
        <f t="shared" si="9"/>
        <v>70.243725522479295</v>
      </c>
    </row>
    <row r="56" spans="6:20" x14ac:dyDescent="0.35">
      <c r="F56" s="1">
        <f t="shared" si="6"/>
        <v>1.0600000000000005</v>
      </c>
      <c r="G56">
        <f>1/2*$B$8*$B$6*$B$7*(Tabelle2[[#This Row],[vx]]*Tabelle2[[#This Row],[vx]]+Tabelle2[[#This Row],[vy]]*Tabelle2[[#This Row],[vy]])/1000000</f>
        <v>11.370090936188374</v>
      </c>
      <c r="H56">
        <f>IF($B$3,-Tabelle2[[#This Row],[Fd]]*Tabelle2[[#This Row],[vx]]/Tabelle2[[#This Row],[v]],0)</f>
        <v>-7.9749014974814818</v>
      </c>
      <c r="I56">
        <f t="shared" si="0"/>
        <v>-5.3166009983209879</v>
      </c>
      <c r="J56">
        <f t="shared" si="1"/>
        <v>-0.10633201996641976</v>
      </c>
      <c r="K56">
        <f t="shared" si="2"/>
        <v>1.1235919705512645</v>
      </c>
      <c r="L56">
        <f>-$B$5*$B$12-IF($B$3,Tabelle2[[#This Row],[Fd]]*Tabelle2[[#This Row],[vy]]/Tabelle2[[#This Row],[v]],0)</f>
        <v>-22.819314530092022</v>
      </c>
      <c r="M56">
        <f t="shared" si="3"/>
        <v>-15.212876353394682</v>
      </c>
      <c r="N56">
        <f t="shared" si="4"/>
        <v>-0.30425752706789366</v>
      </c>
      <c r="O56">
        <f t="shared" si="5"/>
        <v>1.1398631041356495</v>
      </c>
      <c r="P56" s="1">
        <f t="shared" si="7"/>
        <v>56.23276453754643</v>
      </c>
      <c r="Q56" s="1">
        <f t="shared" si="8"/>
        <v>57.14528397031642</v>
      </c>
      <c r="R56">
        <f>SQRT(Tabelle2[[#This Row],[vx]]*Tabelle2[[#This Row],[vx]]+Tabelle2[[#This Row],[vy]]*Tabelle2[[#This Row],[vy]])</f>
        <v>80.172983526766927</v>
      </c>
      <c r="S56">
        <f t="shared" si="10"/>
        <v>62.927349267421242</v>
      </c>
      <c r="T56" s="1">
        <f t="shared" si="9"/>
        <v>71.389683514604314</v>
      </c>
    </row>
    <row r="57" spans="6:20" x14ac:dyDescent="0.35">
      <c r="F57" s="1">
        <f t="shared" si="6"/>
        <v>1.0800000000000005</v>
      </c>
      <c r="G57">
        <f>1/2*$B$8*$B$6*$B$7*(Tabelle2[[#This Row],[vx]]*Tabelle2[[#This Row],[vx]]+Tabelle2[[#This Row],[vy]]*Tabelle2[[#This Row],[vy]])/1000000</f>
        <v>11.287608785859039</v>
      </c>
      <c r="H57">
        <f>IF($B$3,-Tabelle2[[#This Row],[Fd]]*Tabelle2[[#This Row],[vx]]/Tabelle2[[#This Row],[v]],0)</f>
        <v>-7.9308974924839735</v>
      </c>
      <c r="I57">
        <f t="shared" si="0"/>
        <v>-5.2872649949893153</v>
      </c>
      <c r="J57">
        <f t="shared" si="1"/>
        <v>-0.10574529989978632</v>
      </c>
      <c r="K57">
        <f t="shared" si="2"/>
        <v>1.1214711973526024</v>
      </c>
      <c r="L57">
        <f>-$B$5*$B$12-IF($B$3,Tabelle2[[#This Row],[Fd]]*Tabelle2[[#This Row],[vy]]/Tabelle2[[#This Row],[v]],0)</f>
        <v>-22.746872575328471</v>
      </c>
      <c r="M57">
        <f t="shared" si="3"/>
        <v>-15.164581716885648</v>
      </c>
      <c r="N57">
        <f t="shared" si="4"/>
        <v>-0.30329163433771295</v>
      </c>
      <c r="O57">
        <f t="shared" si="5"/>
        <v>1.1337876125215933</v>
      </c>
      <c r="P57" s="1">
        <f t="shared" si="7"/>
        <v>56.126432517580007</v>
      </c>
      <c r="Q57" s="1">
        <f t="shared" si="8"/>
        <v>56.841026443248523</v>
      </c>
      <c r="R57">
        <f>SQRT(Tabelle2[[#This Row],[vx]]*Tabelle2[[#This Row],[vx]]+Tabelle2[[#This Row],[vy]]*Tabelle2[[#This Row],[vy]])</f>
        <v>79.881654428739395</v>
      </c>
      <c r="S57">
        <f t="shared" si="10"/>
        <v>64.050941237972509</v>
      </c>
      <c r="T57" s="1">
        <f t="shared" si="9"/>
        <v>72.529546618739971</v>
      </c>
    </row>
    <row r="58" spans="6:20" x14ac:dyDescent="0.35">
      <c r="F58" s="1">
        <f t="shared" si="6"/>
        <v>1.1000000000000005</v>
      </c>
      <c r="G58">
        <f>1/2*$B$8*$B$6*$B$7*(Tabelle2[[#This Row],[vx]]*Tabelle2[[#This Row],[vx]]+Tabelle2[[#This Row],[vy]]*Tabelle2[[#This Row],[vy]])/1000000</f>
        <v>11.205803623144419</v>
      </c>
      <c r="H58">
        <f>IF($B$3,-Tabelle2[[#This Row],[Fd]]*Tabelle2[[#This Row],[vx]]/Tabelle2[[#This Row],[v]],0)</f>
        <v>-7.8872182640865942</v>
      </c>
      <c r="I58">
        <f t="shared" si="0"/>
        <v>-5.2581455093910625</v>
      </c>
      <c r="J58">
        <f t="shared" si="1"/>
        <v>-0.10516291018782126</v>
      </c>
      <c r="K58">
        <f t="shared" si="2"/>
        <v>1.1193621152517264</v>
      </c>
      <c r="L58">
        <f>-$B$5*$B$12-IF($B$3,Tabelle2[[#This Row],[Fd]]*Tabelle2[[#This Row],[vy]]/Tabelle2[[#This Row],[v]],0)</f>
        <v>-22.675014000938404</v>
      </c>
      <c r="M58">
        <f t="shared" si="3"/>
        <v>-15.116676000625603</v>
      </c>
      <c r="N58">
        <f t="shared" si="4"/>
        <v>-0.30233352001251207</v>
      </c>
      <c r="O58">
        <f t="shared" si="5"/>
        <v>1.1277313609780912</v>
      </c>
      <c r="P58" s="1">
        <f t="shared" si="7"/>
        <v>56.020687217680219</v>
      </c>
      <c r="Q58" s="1">
        <f t="shared" si="8"/>
        <v>56.537734808910812</v>
      </c>
      <c r="R58">
        <f>SQRT(Tabelle2[[#This Row],[vx]]*Tabelle2[[#This Row],[vx]]+Tabelle2[[#This Row],[vy]]*Tabelle2[[#This Row],[vy]])</f>
        <v>79.59166321709759</v>
      </c>
      <c r="S58">
        <f t="shared" si="10"/>
        <v>65.172412435325114</v>
      </c>
      <c r="T58" s="1">
        <f t="shared" si="9"/>
        <v>73.663334231261558</v>
      </c>
    </row>
    <row r="59" spans="6:20" x14ac:dyDescent="0.35">
      <c r="F59" s="1">
        <f t="shared" si="6"/>
        <v>1.1200000000000006</v>
      </c>
      <c r="G59">
        <f>1/2*$B$8*$B$6*$B$7*(Tabelle2[[#This Row],[vx]]*Tabelle2[[#This Row],[vx]]+Tabelle2[[#This Row],[vy]]*Tabelle2[[#This Row],[vy]])/1000000</f>
        <v>11.124669276195414</v>
      </c>
      <c r="H59">
        <f>IF($B$3,-Tabelle2[[#This Row],[Fd]]*Tabelle2[[#This Row],[vx]]/Tabelle2[[#This Row],[v]],0)</f>
        <v>-7.8438608269908512</v>
      </c>
      <c r="I59">
        <f t="shared" si="0"/>
        <v>-5.2292405513272344</v>
      </c>
      <c r="J59">
        <f t="shared" si="1"/>
        <v>-0.1045848110265447</v>
      </c>
      <c r="K59">
        <f t="shared" si="2"/>
        <v>1.1172646380395825</v>
      </c>
      <c r="L59">
        <f>-$B$5*$B$12-IF($B$3,Tabelle2[[#This Row],[Fd]]*Tabelle2[[#This Row],[vy]]/Tabelle2[[#This Row],[v]],0)</f>
        <v>-22.60373334772602</v>
      </c>
      <c r="M59">
        <f t="shared" si="3"/>
        <v>-15.06915556515068</v>
      </c>
      <c r="N59">
        <f t="shared" si="4"/>
        <v>-0.3013831113030136</v>
      </c>
      <c r="O59">
        <f t="shared" si="5"/>
        <v>1.1216941946649359</v>
      </c>
      <c r="P59" s="1">
        <f t="shared" si="7"/>
        <v>55.915524307492397</v>
      </c>
      <c r="Q59" s="1">
        <f t="shared" si="8"/>
        <v>56.235401288898302</v>
      </c>
      <c r="R59">
        <f>SQRT(Tabelle2[[#This Row],[vx]]*Tabelle2[[#This Row],[vx]]+Tabelle2[[#This Row],[vy]]*Tabelle2[[#This Row],[vy]])</f>
        <v>79.303002570553389</v>
      </c>
      <c r="S59">
        <f t="shared" si="10"/>
        <v>66.291774550576847</v>
      </c>
      <c r="T59" s="1">
        <f t="shared" si="9"/>
        <v>74.791065592239647</v>
      </c>
    </row>
    <row r="60" spans="6:20" x14ac:dyDescent="0.35">
      <c r="F60" s="1">
        <f t="shared" si="6"/>
        <v>1.1400000000000006</v>
      </c>
      <c r="G60">
        <f>1/2*$B$8*$B$6*$B$7*(Tabelle2[[#This Row],[vx]]*Tabelle2[[#This Row],[vx]]+Tabelle2[[#This Row],[vy]]*Tabelle2[[#This Row],[vy]])/1000000</f>
        <v>11.044199648563678</v>
      </c>
      <c r="H60">
        <f>IF($B$3,-Tabelle2[[#This Row],[Fd]]*Tabelle2[[#This Row],[vx]]/Tabelle2[[#This Row],[v]],0)</f>
        <v>-7.8008222334205115</v>
      </c>
      <c r="I60">
        <f t="shared" si="0"/>
        <v>-5.2005481556136743</v>
      </c>
      <c r="J60">
        <f t="shared" si="1"/>
        <v>-0.10401096311227349</v>
      </c>
      <c r="K60">
        <f t="shared" si="2"/>
        <v>1.1151786802981942</v>
      </c>
      <c r="L60">
        <f>-$B$5*$B$12-IF($B$3,Tabelle2[[#This Row],[Fd]]*Tabelle2[[#This Row],[vy]]/Tabelle2[[#This Row],[v]],0)</f>
        <v>-22.533025221237541</v>
      </c>
      <c r="M60">
        <f t="shared" si="3"/>
        <v>-15.022016814158361</v>
      </c>
      <c r="N60">
        <f t="shared" si="4"/>
        <v>-0.30044033628316724</v>
      </c>
      <c r="O60">
        <f t="shared" si="5"/>
        <v>1.1156759601890742</v>
      </c>
      <c r="P60" s="1">
        <f t="shared" si="7"/>
        <v>55.810939496465849</v>
      </c>
      <c r="Q60" s="1">
        <f t="shared" si="8"/>
        <v>55.934018177595291</v>
      </c>
      <c r="R60">
        <f>SQRT(Tabelle2[[#This Row],[vx]]*Tabelle2[[#This Row],[vx]]+Tabelle2[[#This Row],[vy]]*Tabelle2[[#This Row],[vy]])</f>
        <v>79.015665263096608</v>
      </c>
      <c r="S60">
        <f t="shared" si="10"/>
        <v>67.409039188616433</v>
      </c>
      <c r="T60" s="1">
        <f t="shared" si="9"/>
        <v>75.912759786904587</v>
      </c>
    </row>
    <row r="61" spans="6:20" x14ac:dyDescent="0.35">
      <c r="F61" s="1">
        <f t="shared" si="6"/>
        <v>1.1600000000000006</v>
      </c>
      <c r="G61">
        <f>1/2*$B$8*$B$6*$B$7*(Tabelle2[[#This Row],[vx]]*Tabelle2[[#This Row],[vx]]+Tabelle2[[#This Row],[vy]]*Tabelle2[[#This Row],[vy]])/1000000</f>
        <v>10.964388718121532</v>
      </c>
      <c r="H61">
        <f>IF($B$3,-Tabelle2[[#This Row],[Fd]]*Tabelle2[[#This Row],[vx]]/Tabelle2[[#This Row],[v]],0)</f>
        <v>-7.758099572596806</v>
      </c>
      <c r="I61">
        <f t="shared" si="0"/>
        <v>-5.172066381731204</v>
      </c>
      <c r="J61">
        <f t="shared" si="1"/>
        <v>-0.10344132763462409</v>
      </c>
      <c r="K61">
        <f t="shared" si="2"/>
        <v>1.1131041573907252</v>
      </c>
      <c r="L61">
        <f>-$B$5*$B$12-IF($B$3,Tabelle2[[#This Row],[Fd]]*Tabelle2[[#This Row],[vy]]/Tabelle2[[#This Row],[v]],0)</f>
        <v>-22.462884290807651</v>
      </c>
      <c r="M61">
        <f t="shared" si="3"/>
        <v>-14.975256193871767</v>
      </c>
      <c r="N61">
        <f t="shared" si="4"/>
        <v>-0.29950512387743533</v>
      </c>
      <c r="O61">
        <f t="shared" si="5"/>
        <v>1.1096765055874682</v>
      </c>
      <c r="P61" s="1">
        <f t="shared" si="7"/>
        <v>55.706928533353576</v>
      </c>
      <c r="Q61" s="1">
        <f t="shared" si="8"/>
        <v>55.633577841312125</v>
      </c>
      <c r="R61">
        <f>SQRT(Tabelle2[[#This Row],[vx]]*Tabelle2[[#This Row],[vx]]+Tabelle2[[#This Row],[vy]]*Tabelle2[[#This Row],[vy]])</f>
        <v>78.729644163081915</v>
      </c>
      <c r="S61">
        <f t="shared" si="10"/>
        <v>68.524217868914633</v>
      </c>
      <c r="T61" s="1">
        <f t="shared" si="9"/>
        <v>77.028435747093667</v>
      </c>
    </row>
    <row r="62" spans="6:20" x14ac:dyDescent="0.35">
      <c r="F62" s="1">
        <f t="shared" si="6"/>
        <v>1.1800000000000006</v>
      </c>
      <c r="G62">
        <f>1/2*$B$8*$B$6*$B$7*(Tabelle2[[#This Row],[vx]]*Tabelle2[[#This Row],[vx]]+Tabelle2[[#This Row],[vy]]*Tabelle2[[#This Row],[vy]])/1000000</f>
        <v>10.885230536000007</v>
      </c>
      <c r="H62">
        <f>IF($B$3,-Tabelle2[[#This Row],[Fd]]*Tabelle2[[#This Row],[vx]]/Tabelle2[[#This Row],[v]],0)</f>
        <v>-7.7156899702225337</v>
      </c>
      <c r="I62">
        <f t="shared" si="0"/>
        <v>-5.1437933134816891</v>
      </c>
      <c r="J62">
        <f t="shared" si="1"/>
        <v>-0.10287586626963378</v>
      </c>
      <c r="K62">
        <f t="shared" si="2"/>
        <v>1.1110409854516827</v>
      </c>
      <c r="L62">
        <f>-$B$5*$B$12-IF($B$3,Tabelle2[[#This Row],[Fd]]*Tabelle2[[#This Row],[vy]]/Tabelle2[[#This Row],[v]],0)</f>
        <v>-22.393305288621598</v>
      </c>
      <c r="M62">
        <f t="shared" si="3"/>
        <v>-14.928870192414399</v>
      </c>
      <c r="N62">
        <f t="shared" si="4"/>
        <v>-0.29857740384828796</v>
      </c>
      <c r="O62">
        <f t="shared" si="5"/>
        <v>1.1036956803102109</v>
      </c>
      <c r="P62" s="1">
        <f t="shared" si="7"/>
        <v>55.603487205718949</v>
      </c>
      <c r="Q62" s="1">
        <f t="shared" si="8"/>
        <v>55.334072717434687</v>
      </c>
      <c r="R62">
        <f>SQRT(Tabelle2[[#This Row],[vx]]*Tabelle2[[#This Row],[vx]]+Tabelle2[[#This Row],[vy]]*Tabelle2[[#This Row],[vy]])</f>
        <v>78.444932232330345</v>
      </c>
      <c r="S62">
        <f t="shared" si="10"/>
        <v>69.637322026305355</v>
      </c>
      <c r="T62" s="1">
        <f t="shared" si="9"/>
        <v>78.13811225268114</v>
      </c>
    </row>
    <row r="63" spans="6:20" x14ac:dyDescent="0.35">
      <c r="F63" s="1">
        <f t="shared" si="6"/>
        <v>1.2000000000000006</v>
      </c>
      <c r="G63">
        <f>1/2*$B$8*$B$6*$B$7*(Tabelle2[[#This Row],[vx]]*Tabelle2[[#This Row],[vx]]+Tabelle2[[#This Row],[vy]]*Tabelle2[[#This Row],[vy]])/1000000</f>
        <v>10.806719225544555</v>
      </c>
      <c r="H63">
        <f>IF($B$3,-Tabelle2[[#This Row],[Fd]]*Tabelle2[[#This Row],[vx]]/Tabelle2[[#This Row],[v]],0)</f>
        <v>-7.6735905879748225</v>
      </c>
      <c r="I63">
        <f t="shared" si="0"/>
        <v>-5.115727058649882</v>
      </c>
      <c r="J63">
        <f t="shared" si="1"/>
        <v>-0.10231454117299764</v>
      </c>
      <c r="K63">
        <f t="shared" si="2"/>
        <v>1.1089890813772563</v>
      </c>
      <c r="L63">
        <f>-$B$5*$B$12-IF($B$3,Tabelle2[[#This Row],[Fd]]*Tabelle2[[#This Row],[vy]]/Tabelle2[[#This Row],[v]],0)</f>
        <v>-22.32428300879252</v>
      </c>
      <c r="M63">
        <f t="shared" si="3"/>
        <v>-14.882855339195013</v>
      </c>
      <c r="N63">
        <f t="shared" si="4"/>
        <v>-0.29765710678390028</v>
      </c>
      <c r="O63">
        <f t="shared" si="5"/>
        <v>1.0977333352038892</v>
      </c>
      <c r="P63" s="1">
        <f t="shared" si="7"/>
        <v>55.500611339449314</v>
      </c>
      <c r="Q63" s="1">
        <f t="shared" si="8"/>
        <v>55.035495313586402</v>
      </c>
      <c r="R63">
        <f>SQRT(Tabelle2[[#This Row],[vx]]*Tabelle2[[#This Row],[vx]]+Tabelle2[[#This Row],[vy]]*Tabelle2[[#This Row],[vy]])</f>
        <v>78.161522525245118</v>
      </c>
      <c r="S63">
        <f t="shared" si="10"/>
        <v>70.748363011757036</v>
      </c>
      <c r="T63" s="1">
        <f t="shared" si="9"/>
        <v>79.24180793299135</v>
      </c>
    </row>
    <row r="64" spans="6:20" x14ac:dyDescent="0.35">
      <c r="F64" s="1">
        <f t="shared" si="6"/>
        <v>1.2200000000000006</v>
      </c>
      <c r="G64">
        <f>1/2*$B$8*$B$6*$B$7*(Tabelle2[[#This Row],[vx]]*Tabelle2[[#This Row],[vx]]+Tabelle2[[#This Row],[vy]]*Tabelle2[[#This Row],[vy]])/1000000</f>
        <v>10.728848981288175</v>
      </c>
      <c r="H64">
        <f>IF($B$3,-Tabelle2[[#This Row],[Fd]]*Tabelle2[[#This Row],[vx]]/Tabelle2[[#This Row],[v]],0)</f>
        <v>-7.6317986230064268</v>
      </c>
      <c r="I64">
        <f t="shared" si="0"/>
        <v>-5.0878657486709509</v>
      </c>
      <c r="J64">
        <f t="shared" si="1"/>
        <v>-0.10175731497341901</v>
      </c>
      <c r="K64">
        <f t="shared" si="2"/>
        <v>1.1069483628157921</v>
      </c>
      <c r="L64">
        <f>-$B$5*$B$12-IF($B$3,Tabelle2[[#This Row],[Fd]]*Tabelle2[[#This Row],[vy]]/Tabelle2[[#This Row],[v]],0)</f>
        <v>-22.25581230645383</v>
      </c>
      <c r="M64">
        <f t="shared" si="3"/>
        <v>-14.837208204302554</v>
      </c>
      <c r="N64">
        <f t="shared" si="4"/>
        <v>-0.29674416408605109</v>
      </c>
      <c r="O64">
        <f t="shared" si="5"/>
        <v>1.0917893224951896</v>
      </c>
      <c r="P64" s="1">
        <f t="shared" si="7"/>
        <v>55.39829679827632</v>
      </c>
      <c r="Q64" s="1">
        <f t="shared" si="8"/>
        <v>54.7378382068025</v>
      </c>
      <c r="R64">
        <f>SQRT(Tabelle2[[#This Row],[vx]]*Tabelle2[[#This Row],[vx]]+Tabelle2[[#This Row],[vy]]*Tabelle2[[#This Row],[vy]])</f>
        <v>77.879408187941436</v>
      </c>
      <c r="S64">
        <f t="shared" si="10"/>
        <v>71.857352093134296</v>
      </c>
      <c r="T64" s="1">
        <f t="shared" si="9"/>
        <v>80.339541268195234</v>
      </c>
    </row>
    <row r="65" spans="6:20" x14ac:dyDescent="0.35">
      <c r="F65" s="1">
        <f t="shared" si="6"/>
        <v>1.2400000000000007</v>
      </c>
      <c r="G65">
        <f>1/2*$B$8*$B$6*$B$7*(Tabelle2[[#This Row],[vx]]*Tabelle2[[#This Row],[vx]]+Tabelle2[[#This Row],[vy]]*Tabelle2[[#This Row],[vy]])/1000000</f>
        <v>10.651614067941608</v>
      </c>
      <c r="H65">
        <f>IF($B$3,-Tabelle2[[#This Row],[Fd]]*Tabelle2[[#This Row],[vx]]/Tabelle2[[#This Row],[v]],0)</f>
        <v>-7.5903113074553925</v>
      </c>
      <c r="I65">
        <f t="shared" si="0"/>
        <v>-5.0602075383035947</v>
      </c>
      <c r="J65">
        <f t="shared" si="1"/>
        <v>-0.10120415076607189</v>
      </c>
      <c r="K65">
        <f t="shared" si="2"/>
        <v>1.1049187481583973</v>
      </c>
      <c r="L65">
        <f>-$B$5*$B$12-IF($B$3,Tabelle2[[#This Row],[Fd]]*Tabelle2[[#This Row],[vy]]/Tabelle2[[#This Row],[v]],0)</f>
        <v>-22.187888096866324</v>
      </c>
      <c r="M65">
        <f t="shared" si="3"/>
        <v>-14.791925397910882</v>
      </c>
      <c r="N65">
        <f t="shared" si="4"/>
        <v>-0.29583850795821764</v>
      </c>
      <c r="O65">
        <f t="shared" si="5"/>
        <v>1.0858634957747468</v>
      </c>
      <c r="P65" s="1">
        <f t="shared" si="7"/>
        <v>55.296539483302901</v>
      </c>
      <c r="Q65" s="1">
        <f t="shared" si="8"/>
        <v>54.44109404271645</v>
      </c>
      <c r="R65">
        <f>SQRT(Tabelle2[[#This Row],[vx]]*Tabelle2[[#This Row],[vx]]+Tabelle2[[#This Row],[vy]]*Tabelle2[[#This Row],[vy]])</f>
        <v>77.598582457390108</v>
      </c>
      <c r="S65">
        <f t="shared" si="10"/>
        <v>72.964300455950081</v>
      </c>
      <c r="T65" s="1">
        <f t="shared" si="9"/>
        <v>81.431330590690422</v>
      </c>
    </row>
    <row r="66" spans="6:20" x14ac:dyDescent="0.35">
      <c r="F66" s="1">
        <f t="shared" si="6"/>
        <v>1.2600000000000007</v>
      </c>
      <c r="G66">
        <f>1/2*$B$8*$B$6*$B$7*(Tabelle2[[#This Row],[vx]]*Tabelle2[[#This Row],[vx]]+Tabelle2[[#This Row],[vy]]*Tabelle2[[#This Row],[vy]])/1000000</f>
        <v>10.575008819400214</v>
      </c>
      <c r="H66">
        <f>IF($B$3,-Tabelle2[[#This Row],[Fd]]*Tabelle2[[#This Row],[vx]]/Tabelle2[[#This Row],[v]],0)</f>
        <v>-7.5491259079628872</v>
      </c>
      <c r="I66">
        <f t="shared" si="0"/>
        <v>-5.0327506053085918</v>
      </c>
      <c r="J66">
        <f t="shared" si="1"/>
        <v>-0.10065501210617184</v>
      </c>
      <c r="K66">
        <f t="shared" si="2"/>
        <v>1.1029001565296748</v>
      </c>
      <c r="L66">
        <f>-$B$5*$B$12-IF($B$3,Tabelle2[[#This Row],[Fd]]*Tabelle2[[#This Row],[vy]]/Tabelle2[[#This Row],[v]],0)</f>
        <v>-22.120505354539674</v>
      </c>
      <c r="M66">
        <f t="shared" si="3"/>
        <v>-14.747003569693115</v>
      </c>
      <c r="N66">
        <f t="shared" si="4"/>
        <v>-0.2949400713938623</v>
      </c>
      <c r="O66">
        <f t="shared" si="5"/>
        <v>1.079955709981226</v>
      </c>
      <c r="P66" s="1">
        <f t="shared" si="7"/>
        <v>55.195335332536828</v>
      </c>
      <c r="Q66" s="1">
        <f t="shared" si="8"/>
        <v>54.145255534758235</v>
      </c>
      <c r="R66">
        <f>SQRT(Tabelle2[[#This Row],[vx]]*Tabelle2[[#This Row],[vx]]+Tabelle2[[#This Row],[vy]]*Tabelle2[[#This Row],[vy]])</f>
        <v>77.319038660574776</v>
      </c>
      <c r="S66">
        <f t="shared" si="10"/>
        <v>74.069219204108478</v>
      </c>
      <c r="T66" s="1">
        <f t="shared" si="9"/>
        <v>82.517194086465167</v>
      </c>
    </row>
    <row r="67" spans="6:20" x14ac:dyDescent="0.35">
      <c r="F67" s="1">
        <f t="shared" si="6"/>
        <v>1.2800000000000007</v>
      </c>
      <c r="G67">
        <f>1/2*$B$8*$B$6*$B$7*(Tabelle2[[#This Row],[vx]]*Tabelle2[[#This Row],[vx]]+Tabelle2[[#This Row],[vy]]*Tabelle2[[#This Row],[vy]])/1000000</f>
        <v>10.499027637767316</v>
      </c>
      <c r="H67">
        <f>IF($B$3,-Tabelle2[[#This Row],[Fd]]*Tabelle2[[#This Row],[vx]]/Tabelle2[[#This Row],[v]],0)</f>
        <v>-7.5082397251991262</v>
      </c>
      <c r="I67">
        <f t="shared" ref="I67:I130" si="11">H67/$B$5</f>
        <v>-5.0054931501327511</v>
      </c>
      <c r="J67">
        <f t="shared" ref="J67:J130" si="12">I67*$B$13</f>
        <v>-0.10010986300265502</v>
      </c>
      <c r="K67">
        <f t="shared" ref="K67:K130" si="13">$B$13*(P67+J67/2)</f>
        <v>1.1008925077785865</v>
      </c>
      <c r="L67">
        <f>-$B$5*$B$12-IF($B$3,Tabelle2[[#This Row],[Fd]]*Tabelle2[[#This Row],[vy]]/Tabelle2[[#This Row],[v]],0)</f>
        <v>-22.053659112368123</v>
      </c>
      <c r="M67">
        <f t="shared" ref="M67:M130" si="14">L67/$B$5</f>
        <v>-14.702439408245416</v>
      </c>
      <c r="N67">
        <f t="shared" ref="N67:N130" si="15">M67*$B$13</f>
        <v>-0.29404878816490831</v>
      </c>
      <c r="O67">
        <f t="shared" ref="O67:O130" si="16">$B$13*(Q67+N67/2)</f>
        <v>1.0740658213856384</v>
      </c>
      <c r="P67" s="1">
        <f t="shared" si="7"/>
        <v>55.094680320430655</v>
      </c>
      <c r="Q67" s="1">
        <f t="shared" si="8"/>
        <v>53.850315463364375</v>
      </c>
      <c r="R67">
        <f>SQRT(Tabelle2[[#This Row],[vx]]*Tabelle2[[#This Row],[vx]]+Tabelle2[[#This Row],[vy]]*Tabelle2[[#This Row],[vy]])</f>
        <v>77.040770213662256</v>
      </c>
      <c r="S67">
        <f t="shared" si="10"/>
        <v>75.172119360638149</v>
      </c>
      <c r="T67" s="1">
        <f t="shared" si="9"/>
        <v>83.597149796446388</v>
      </c>
    </row>
    <row r="68" spans="6:20" x14ac:dyDescent="0.35">
      <c r="F68" s="1">
        <f t="shared" ref="F68:F131" si="17">F67+$B$13</f>
        <v>1.3000000000000007</v>
      </c>
      <c r="G68">
        <f>1/2*$B$8*$B$6*$B$7*(Tabelle2[[#This Row],[vx]]*Tabelle2[[#This Row],[vx]]+Tabelle2[[#This Row],[vy]]*Tabelle2[[#This Row],[vy]])/1000000</f>
        <v>10.423664992393624</v>
      </c>
      <c r="H68">
        <f>IF($B$3,-Tabelle2[[#This Row],[Fd]]*Tabelle2[[#This Row],[vx]]/Tabelle2[[#This Row],[v]],0)</f>
        <v>-7.4676500933971255</v>
      </c>
      <c r="I68">
        <f t="shared" si="11"/>
        <v>-4.978433395598084</v>
      </c>
      <c r="J68">
        <f t="shared" si="12"/>
        <v>-9.9568667911961686E-2</v>
      </c>
      <c r="K68">
        <f t="shared" si="13"/>
        <v>1.0988957224694402</v>
      </c>
      <c r="L68">
        <f>-$B$5*$B$12-IF($B$3,Tabelle2[[#This Row],[Fd]]*Tabelle2[[#This Row],[vy]]/Tabelle2[[#This Row],[v]],0)</f>
        <v>-21.987344460780051</v>
      </c>
      <c r="M68">
        <f t="shared" si="14"/>
        <v>-14.658229640520034</v>
      </c>
      <c r="N68">
        <f t="shared" si="15"/>
        <v>-0.29316459281040069</v>
      </c>
      <c r="O68">
        <f t="shared" si="16"/>
        <v>1.0681936875758853</v>
      </c>
      <c r="P68" s="1">
        <f t="shared" ref="P68:P131" si="18">P67+J67</f>
        <v>54.994570457427997</v>
      </c>
      <c r="Q68" s="1">
        <f t="shared" ref="Q68:Q131" si="19">Q67+N67</f>
        <v>53.556266675199467</v>
      </c>
      <c r="R68">
        <f>SQRT(Tabelle2[[#This Row],[vx]]*Tabelle2[[#This Row],[vx]]+Tabelle2[[#This Row],[vy]]*Tabelle2[[#This Row],[vy]])</f>
        <v>76.763770621186225</v>
      </c>
      <c r="S68">
        <f t="shared" ref="S68:S131" si="20">S67+K67</f>
        <v>76.273011868416731</v>
      </c>
      <c r="T68" s="1">
        <f t="shared" ref="T68:T131" si="21">T67+O67</f>
        <v>84.671215617832033</v>
      </c>
    </row>
    <row r="69" spans="6:20" x14ac:dyDescent="0.35">
      <c r="F69" s="1">
        <f t="shared" si="17"/>
        <v>1.3200000000000007</v>
      </c>
      <c r="G69">
        <f>1/2*$B$8*$B$6*$B$7*(Tabelle2[[#This Row],[vx]]*Tabelle2[[#This Row],[vx]]+Tabelle2[[#This Row],[vy]]*Tabelle2[[#This Row],[vy]])/1000000</f>
        <v>10.348915418932449</v>
      </c>
      <c r="H69">
        <f>IF($B$3,-Tabelle2[[#This Row],[Fd]]*Tabelle2[[#This Row],[vx]]/Tabelle2[[#This Row],[v]],0)</f>
        <v>-7.4273543798942399</v>
      </c>
      <c r="I69">
        <f t="shared" si="11"/>
        <v>-4.9515695865961602</v>
      </c>
      <c r="J69">
        <f t="shared" si="12"/>
        <v>-9.9031391731923213E-2</v>
      </c>
      <c r="K69">
        <f t="shared" si="13"/>
        <v>1.0969097218730015</v>
      </c>
      <c r="L69">
        <f>-$B$5*$B$12-IF($B$3,Tabelle2[[#This Row],[Fd]]*Tabelle2[[#This Row],[vy]]/Tabelle2[[#This Row],[v]],0)</f>
        <v>-21.921556546901137</v>
      </c>
      <c r="M69">
        <f t="shared" si="14"/>
        <v>-14.614371031267424</v>
      </c>
      <c r="N69">
        <f t="shared" si="15"/>
        <v>-0.29228742062534852</v>
      </c>
      <c r="O69">
        <f t="shared" si="16"/>
        <v>1.0623391674415279</v>
      </c>
      <c r="P69" s="1">
        <f t="shared" si="18"/>
        <v>54.895001789516037</v>
      </c>
      <c r="Q69" s="1">
        <f t="shared" si="19"/>
        <v>53.263102082389068</v>
      </c>
      <c r="R69">
        <f>SQRT(Tabelle2[[#This Row],[vx]]*Tabelle2[[#This Row],[vx]]+Tabelle2[[#This Row],[vy]]*Tabelle2[[#This Row],[vy]])</f>
        <v>76.488033475243483</v>
      </c>
      <c r="S69">
        <f t="shared" si="20"/>
        <v>77.371907590886167</v>
      </c>
      <c r="T69" s="1">
        <f t="shared" si="21"/>
        <v>85.739409305407918</v>
      </c>
    </row>
    <row r="70" spans="6:20" x14ac:dyDescent="0.35">
      <c r="F70" s="1">
        <f t="shared" si="17"/>
        <v>1.3400000000000007</v>
      </c>
      <c r="G70">
        <f>1/2*$B$8*$B$6*$B$7*(Tabelle2[[#This Row],[vx]]*Tabelle2[[#This Row],[vx]]+Tabelle2[[#This Row],[vy]]*Tabelle2[[#This Row],[vy]])/1000000</f>
        <v>10.274773518410431</v>
      </c>
      <c r="H70">
        <f>IF($B$3,-Tabelle2[[#This Row],[Fd]]*Tabelle2[[#This Row],[vx]]/Tabelle2[[#This Row],[v]],0)</f>
        <v>-7.3873499846812605</v>
      </c>
      <c r="I70">
        <f t="shared" si="11"/>
        <v>-4.924899989787507</v>
      </c>
      <c r="J70">
        <f t="shared" si="12"/>
        <v>-9.8497999795750135E-2</v>
      </c>
      <c r="K70">
        <f t="shared" si="13"/>
        <v>1.0949344279577249</v>
      </c>
      <c r="L70">
        <f>-$B$5*$B$12-IF($B$3,Tabelle2[[#This Row],[Fd]]*Tabelle2[[#This Row],[vy]]/Tabelle2[[#This Row],[v]],0)</f>
        <v>-21.856290573730917</v>
      </c>
      <c r="M70">
        <f t="shared" si="14"/>
        <v>-14.570860382487277</v>
      </c>
      <c r="N70">
        <f t="shared" si="15"/>
        <v>-0.29141720764974555</v>
      </c>
      <c r="O70">
        <f t="shared" si="16"/>
        <v>1.0565021211587768</v>
      </c>
      <c r="P70" s="1">
        <f t="shared" si="18"/>
        <v>54.795970397784117</v>
      </c>
      <c r="Q70" s="1">
        <f t="shared" si="19"/>
        <v>52.970814661763718</v>
      </c>
      <c r="R70">
        <f>SQRT(Tabelle2[[#This Row],[vx]]*Tabelle2[[#This Row],[vx]]+Tabelle2[[#This Row],[vy]]*Tabelle2[[#This Row],[vy]])</f>
        <v>76.213552454702935</v>
      </c>
      <c r="S70">
        <f t="shared" si="20"/>
        <v>78.468817312759171</v>
      </c>
      <c r="T70" s="1">
        <f t="shared" si="21"/>
        <v>86.80174847284944</v>
      </c>
    </row>
    <row r="71" spans="6:20" x14ac:dyDescent="0.35">
      <c r="F71" s="1">
        <f t="shared" si="17"/>
        <v>1.3600000000000008</v>
      </c>
      <c r="G71">
        <f>1/2*$B$8*$B$6*$B$7*(Tabelle2[[#This Row],[vx]]*Tabelle2[[#This Row],[vx]]+Tabelle2[[#This Row],[vy]]*Tabelle2[[#This Row],[vy]])/1000000</f>
        <v>10.201233956313484</v>
      </c>
      <c r="H71">
        <f>IF($B$3,-Tabelle2[[#This Row],[Fd]]*Tabelle2[[#This Row],[vx]]/Tabelle2[[#This Row],[v]],0)</f>
        <v>-7.3476343399589812</v>
      </c>
      <c r="I71">
        <f t="shared" si="11"/>
        <v>-4.8984228933059875</v>
      </c>
      <c r="J71">
        <f t="shared" si="12"/>
        <v>-9.7968457866119754E-2</v>
      </c>
      <c r="K71">
        <f t="shared" si="13"/>
        <v>1.0929697633811062</v>
      </c>
      <c r="L71">
        <f>-$B$5*$B$12-IF($B$3,Tabelle2[[#This Row],[Fd]]*Tabelle2[[#This Row],[vy]]/Tabelle2[[#This Row],[v]],0)</f>
        <v>-21.791541799332414</v>
      </c>
      <c r="M71">
        <f t="shared" si="14"/>
        <v>-14.527694532888276</v>
      </c>
      <c r="N71">
        <f t="shared" si="15"/>
        <v>-0.29055389065776555</v>
      </c>
      <c r="O71">
        <f t="shared" si="16"/>
        <v>1.050682410175702</v>
      </c>
      <c r="P71" s="1">
        <f t="shared" si="18"/>
        <v>54.697472397988371</v>
      </c>
      <c r="Q71" s="1">
        <f t="shared" si="19"/>
        <v>52.679397454113975</v>
      </c>
      <c r="R71">
        <f>SQRT(Tabelle2[[#This Row],[vx]]*Tabelle2[[#This Row],[vx]]+Tabelle2[[#This Row],[vy]]*Tabelle2[[#This Row],[vy]])</f>
        <v>75.940321324426918</v>
      </c>
      <c r="S71">
        <f t="shared" si="20"/>
        <v>79.563751740716896</v>
      </c>
      <c r="T71" s="1">
        <f t="shared" si="21"/>
        <v>87.858250594008211</v>
      </c>
    </row>
    <row r="72" spans="6:20" x14ac:dyDescent="0.35">
      <c r="F72" s="1">
        <f t="shared" si="17"/>
        <v>1.3800000000000008</v>
      </c>
      <c r="G72">
        <f>1/2*$B$8*$B$6*$B$7*(Tabelle2[[#This Row],[vx]]*Tabelle2[[#This Row],[vx]]+Tabelle2[[#This Row],[vy]]*Tabelle2[[#This Row],[vy]])/1000000</f>
        <v>10.128291461687644</v>
      </c>
      <c r="H72">
        <f>IF($B$3,-Tabelle2[[#This Row],[Fd]]*Tabelle2[[#This Row],[vx]]/Tabelle2[[#This Row],[v]],0)</f>
        <v>-7.3082049097020469</v>
      </c>
      <c r="I72">
        <f t="shared" si="11"/>
        <v>-4.8721366064680316</v>
      </c>
      <c r="J72">
        <f t="shared" si="12"/>
        <v>-9.7442732129360637E-2</v>
      </c>
      <c r="K72">
        <f t="shared" si="13"/>
        <v>1.0910156514811515</v>
      </c>
      <c r="L72">
        <f>-$B$5*$B$12-IF($B$3,Tabelle2[[#This Row],[Fd]]*Tabelle2[[#This Row],[vy]]/Tabelle2[[#This Row],[v]],0)</f>
        <v>-21.727305536034617</v>
      </c>
      <c r="M72">
        <f t="shared" si="14"/>
        <v>-14.484870357356412</v>
      </c>
      <c r="N72">
        <f t="shared" si="15"/>
        <v>-0.28969740714712827</v>
      </c>
      <c r="O72">
        <f t="shared" si="16"/>
        <v>1.0448798971976527</v>
      </c>
      <c r="P72" s="1">
        <f t="shared" si="18"/>
        <v>54.599503940122254</v>
      </c>
      <c r="Q72" s="1">
        <f t="shared" si="19"/>
        <v>52.388843563456206</v>
      </c>
      <c r="R72">
        <f>SQRT(Tabelle2[[#This Row],[vx]]*Tabelle2[[#This Row],[vx]]+Tabelle2[[#This Row],[vy]]*Tabelle2[[#This Row],[vy]])</f>
        <v>75.668333934504673</v>
      </c>
      <c r="S72">
        <f t="shared" si="20"/>
        <v>80.656721504098002</v>
      </c>
      <c r="T72" s="1">
        <f t="shared" si="21"/>
        <v>88.908933004183908</v>
      </c>
    </row>
    <row r="73" spans="6:20" x14ac:dyDescent="0.35">
      <c r="F73" s="1">
        <f t="shared" si="17"/>
        <v>1.4000000000000008</v>
      </c>
      <c r="G73">
        <f>1/2*$B$8*$B$6*$B$7*(Tabelle2[[#This Row],[vx]]*Tabelle2[[#This Row],[vx]]+Tabelle2[[#This Row],[vy]]*Tabelle2[[#This Row],[vy]])/1000000</f>
        <v>10.055940826254588</v>
      </c>
      <c r="H73">
        <f>IF($B$3,-Tabelle2[[#This Row],[Fd]]*Tabelle2[[#This Row],[vx]]/Tabelle2[[#This Row],[v]],0)</f>
        <v>-7.2690591892299885</v>
      </c>
      <c r="I73">
        <f t="shared" si="11"/>
        <v>-4.8460394594866587</v>
      </c>
      <c r="J73">
        <f t="shared" si="12"/>
        <v>-9.6920789189733181E-2</v>
      </c>
      <c r="K73">
        <f t="shared" si="13"/>
        <v>1.0890720162679606</v>
      </c>
      <c r="L73">
        <f>-$B$5*$B$12-IF($B$3,Tabelle2[[#This Row],[Fd]]*Tabelle2[[#This Row],[vy]]/Tabelle2[[#This Row],[v]],0)</f>
        <v>-21.663577149647608</v>
      </c>
      <c r="M73">
        <f t="shared" si="14"/>
        <v>-14.442384766431738</v>
      </c>
      <c r="N73">
        <f t="shared" si="15"/>
        <v>-0.28884769532863475</v>
      </c>
      <c r="O73">
        <f t="shared" si="16"/>
        <v>1.039094446172895</v>
      </c>
      <c r="P73" s="1">
        <f t="shared" si="18"/>
        <v>54.502061207992895</v>
      </c>
      <c r="Q73" s="1">
        <f t="shared" si="19"/>
        <v>52.099146156309075</v>
      </c>
      <c r="R73">
        <f>SQRT(Tabelle2[[#This Row],[vx]]*Tabelle2[[#This Row],[vx]]+Tabelle2[[#This Row],[vy]]*Tabelle2[[#This Row],[vy]])</f>
        <v>75.397584219497773</v>
      </c>
      <c r="S73">
        <f t="shared" si="20"/>
        <v>81.747737155579159</v>
      </c>
      <c r="T73" s="1">
        <f t="shared" si="21"/>
        <v>89.953812901381554</v>
      </c>
    </row>
    <row r="74" spans="6:20" x14ac:dyDescent="0.35">
      <c r="F74" s="1">
        <f t="shared" si="17"/>
        <v>1.4200000000000008</v>
      </c>
      <c r="G74">
        <f>1/2*$B$8*$B$6*$B$7*(Tabelle2[[#This Row],[vx]]*Tabelle2[[#This Row],[vx]]+Tabelle2[[#This Row],[vy]]*Tabelle2[[#This Row],[vy]])/1000000</f>
        <v>9.9841769035415115</v>
      </c>
      <c r="H74">
        <f>IF($B$3,-Tabelle2[[#This Row],[Fd]]*Tabelle2[[#This Row],[vx]]/Tabelle2[[#This Row],[v]],0)</f>
        <v>-7.2301947047852746</v>
      </c>
      <c r="I74">
        <f t="shared" si="11"/>
        <v>-4.8201298031901834</v>
      </c>
      <c r="J74">
        <f t="shared" si="12"/>
        <v>-9.6402596063803664E-2</v>
      </c>
      <c r="K74">
        <f t="shared" si="13"/>
        <v>1.0871387824154253</v>
      </c>
      <c r="L74">
        <f>-$B$5*$B$12-IF($B$3,Tabelle2[[#This Row],[Fd]]*Tabelle2[[#This Row],[vy]]/Tabelle2[[#This Row],[v]],0)</f>
        <v>-21.60035205869001</v>
      </c>
      <c r="M74">
        <f t="shared" si="14"/>
        <v>-14.40023470579334</v>
      </c>
      <c r="N74">
        <f t="shared" si="15"/>
        <v>-0.28800469411586682</v>
      </c>
      <c r="O74">
        <f t="shared" si="16"/>
        <v>1.0333259222784501</v>
      </c>
      <c r="P74" s="1">
        <f t="shared" si="18"/>
        <v>54.405140418803164</v>
      </c>
      <c r="Q74" s="1">
        <f t="shared" si="19"/>
        <v>51.810298460980441</v>
      </c>
      <c r="R74">
        <f>SQRT(Tabelle2[[#This Row],[vx]]*Tabelle2[[#This Row],[vx]]+Tabelle2[[#This Row],[vy]]*Tabelle2[[#This Row],[vy]])</f>
        <v>75.128066197697123</v>
      </c>
      <c r="S74">
        <f t="shared" si="20"/>
        <v>82.836809171847122</v>
      </c>
      <c r="T74" s="1">
        <f t="shared" si="21"/>
        <v>90.99290734755445</v>
      </c>
    </row>
    <row r="75" spans="6:20" x14ac:dyDescent="0.35">
      <c r="F75" s="1">
        <f t="shared" si="17"/>
        <v>1.4400000000000008</v>
      </c>
      <c r="G75">
        <f>1/2*$B$8*$B$6*$B$7*(Tabelle2[[#This Row],[vx]]*Tabelle2[[#This Row],[vx]]+Tabelle2[[#This Row],[vy]]*Tabelle2[[#This Row],[vy]])/1000000</f>
        <v>9.9129946080251088</v>
      </c>
      <c r="H75">
        <f>IF($B$3,-Tabelle2[[#This Row],[Fd]]*Tabelle2[[#This Row],[vx]]/Tabelle2[[#This Row],[v]],0)</f>
        <v>-7.1916090131182608</v>
      </c>
      <c r="I75">
        <f t="shared" si="11"/>
        <v>-4.7944060087455069</v>
      </c>
      <c r="J75">
        <f t="shared" si="12"/>
        <v>-9.5888120174910135E-2</v>
      </c>
      <c r="K75">
        <f t="shared" si="13"/>
        <v>1.0852158752530381</v>
      </c>
      <c r="L75">
        <f>-$B$5*$B$12-IF($B$3,Tabelle2[[#This Row],[Fd]]*Tabelle2[[#This Row],[vy]]/Tabelle2[[#This Row],[v]],0)</f>
        <v>-21.537625733628591</v>
      </c>
      <c r="M75">
        <f t="shared" si="14"/>
        <v>-14.358417155752393</v>
      </c>
      <c r="N75">
        <f t="shared" si="15"/>
        <v>-0.28716834311504785</v>
      </c>
      <c r="O75">
        <f t="shared" si="16"/>
        <v>1.027574191906141</v>
      </c>
      <c r="P75" s="1">
        <f t="shared" si="18"/>
        <v>54.30873782273936</v>
      </c>
      <c r="Q75" s="1">
        <f t="shared" si="19"/>
        <v>51.522293766864571</v>
      </c>
      <c r="R75">
        <f>SQRT(Tabelle2[[#This Row],[vx]]*Tabelle2[[#This Row],[vx]]+Tabelle2[[#This Row],[vy]]*Tabelle2[[#This Row],[vy]])</f>
        <v>74.859773970391686</v>
      </c>
      <c r="S75">
        <f t="shared" si="20"/>
        <v>83.923947954262545</v>
      </c>
      <c r="T75" s="1">
        <f t="shared" si="21"/>
        <v>92.0262332698329</v>
      </c>
    </row>
    <row r="76" spans="6:20" x14ac:dyDescent="0.35">
      <c r="F76" s="1">
        <f t="shared" si="17"/>
        <v>1.4600000000000009</v>
      </c>
      <c r="G76">
        <f>1/2*$B$8*$B$6*$B$7*(Tabelle2[[#This Row],[vx]]*Tabelle2[[#This Row],[vx]]+Tabelle2[[#This Row],[vy]]*Tabelle2[[#This Row],[vy]])/1000000</f>
        <v>9.8423889142894101</v>
      </c>
      <c r="H76">
        <f>IF($B$3,-Tabelle2[[#This Row],[Fd]]*Tabelle2[[#This Row],[vx]]/Tabelle2[[#This Row],[v]],0)</f>
        <v>-7.1532997010789172</v>
      </c>
      <c r="I76">
        <f t="shared" si="11"/>
        <v>-4.7688664673859451</v>
      </c>
      <c r="J76">
        <f t="shared" si="12"/>
        <v>-9.5377329347718906E-2</v>
      </c>
      <c r="K76">
        <f t="shared" si="13"/>
        <v>1.0833032207578119</v>
      </c>
      <c r="L76">
        <f>-$B$5*$B$12-IF($B$3,Tabelle2[[#This Row],[Fd]]*Tabelle2[[#This Row],[vy]]/Tabelle2[[#This Row],[v]],0)</f>
        <v>-21.475393696129785</v>
      </c>
      <c r="M76">
        <f t="shared" si="14"/>
        <v>-14.31692913075319</v>
      </c>
      <c r="N76">
        <f t="shared" si="15"/>
        <v>-0.28633858261506379</v>
      </c>
      <c r="O76">
        <f t="shared" si="16"/>
        <v>1.0218391226488399</v>
      </c>
      <c r="P76" s="1">
        <f t="shared" si="18"/>
        <v>54.212849702564448</v>
      </c>
      <c r="Q76" s="1">
        <f t="shared" si="19"/>
        <v>51.235125423749523</v>
      </c>
      <c r="R76">
        <f>SQRT(Tabelle2[[#This Row],[vx]]*Tabelle2[[#This Row],[vx]]+Tabelle2[[#This Row],[vy]]*Tabelle2[[#This Row],[vy]])</f>
        <v>74.592701721148202</v>
      </c>
      <c r="S76">
        <f t="shared" si="20"/>
        <v>85.009163829515586</v>
      </c>
      <c r="T76" s="1">
        <f t="shared" si="21"/>
        <v>93.053807461739041</v>
      </c>
    </row>
    <row r="77" spans="6:20" x14ac:dyDescent="0.35">
      <c r="F77" s="1">
        <f t="shared" si="17"/>
        <v>1.4800000000000009</v>
      </c>
      <c r="G77">
        <f>1/2*$B$8*$B$6*$B$7*(Tabelle2[[#This Row],[vx]]*Tabelle2[[#This Row],[vx]]+Tabelle2[[#This Row],[vy]]*Tabelle2[[#This Row],[vy]])/1000000</f>
        <v>9.7723548561971842</v>
      </c>
      <c r="H77">
        <f>IF($B$3,-Tabelle2[[#This Row],[Fd]]*Tabelle2[[#This Row],[vx]]/Tabelle2[[#This Row],[v]],0)</f>
        <v>-7.1152643852151778</v>
      </c>
      <c r="I77">
        <f t="shared" si="11"/>
        <v>-4.7435095901434519</v>
      </c>
      <c r="J77">
        <f t="shared" si="12"/>
        <v>-9.4870191802869042E-2</v>
      </c>
      <c r="K77">
        <f t="shared" si="13"/>
        <v>1.0814007455463059</v>
      </c>
      <c r="L77">
        <f>-$B$5*$B$12-IF($B$3,Tabelle2[[#This Row],[Fd]]*Tabelle2[[#This Row],[vy]]/Tabelle2[[#This Row],[v]],0)</f>
        <v>-21.413651518322862</v>
      </c>
      <c r="M77">
        <f t="shared" si="14"/>
        <v>-14.275767678881907</v>
      </c>
      <c r="N77">
        <f t="shared" si="15"/>
        <v>-0.28551535357763813</v>
      </c>
      <c r="O77">
        <f t="shared" si="16"/>
        <v>1.0161205832869127</v>
      </c>
      <c r="P77" s="1">
        <f t="shared" si="18"/>
        <v>54.117472373216728</v>
      </c>
      <c r="Q77" s="1">
        <f t="shared" si="19"/>
        <v>50.948786841134456</v>
      </c>
      <c r="R77">
        <f>SQRT(Tabelle2[[#This Row],[vx]]*Tabelle2[[#This Row],[vx]]+Tabelle2[[#This Row],[vy]]*Tabelle2[[#This Row],[vy]])</f>
        <v>74.326843715102228</v>
      </c>
      <c r="S77">
        <f t="shared" si="20"/>
        <v>86.092467050273399</v>
      </c>
      <c r="T77" s="1">
        <f t="shared" si="21"/>
        <v>94.075646584387883</v>
      </c>
    </row>
    <row r="78" spans="6:20" x14ac:dyDescent="0.35">
      <c r="F78" s="1">
        <f t="shared" si="17"/>
        <v>1.5000000000000009</v>
      </c>
      <c r="G78">
        <f>1/2*$B$8*$B$6*$B$7*(Tabelle2[[#This Row],[vx]]*Tabelle2[[#This Row],[vx]]+Tabelle2[[#This Row],[vy]]*Tabelle2[[#This Row],[vy]])/1000000</f>
        <v>9.7028875260747025</v>
      </c>
      <c r="H78">
        <f>IF($B$3,-Tabelle2[[#This Row],[Fd]]*Tabelle2[[#This Row],[vx]]/Tabelle2[[#This Row],[v]],0)</f>
        <v>-7.0775007113778239</v>
      </c>
      <c r="I78">
        <f t="shared" si="11"/>
        <v>-4.7183338075852159</v>
      </c>
      <c r="J78">
        <f t="shared" si="12"/>
        <v>-9.4366676151704326E-2</v>
      </c>
      <c r="K78">
        <f t="shared" si="13"/>
        <v>1.0795083768667602</v>
      </c>
      <c r="L78">
        <f>-$B$5*$B$12-IF($B$3,Tabelle2[[#This Row],[Fd]]*Tabelle2[[#This Row],[vy]]/Tabelle2[[#This Row],[v]],0)</f>
        <v>-21.352394822074579</v>
      </c>
      <c r="M78">
        <f t="shared" si="14"/>
        <v>-14.234929881383053</v>
      </c>
      <c r="N78">
        <f t="shared" si="15"/>
        <v>-0.28469859762766109</v>
      </c>
      <c r="O78">
        <f t="shared" si="16"/>
        <v>1.0104184437748598</v>
      </c>
      <c r="P78" s="1">
        <f t="shared" si="18"/>
        <v>54.022602181413859</v>
      </c>
      <c r="Q78" s="1">
        <f t="shared" si="19"/>
        <v>50.66327148755682</v>
      </c>
      <c r="R78">
        <f>SQRT(Tabelle2[[#This Row],[vx]]*Tabelle2[[#This Row],[vx]]+Tabelle2[[#This Row],[vy]]*Tabelle2[[#This Row],[vy]])</f>
        <v>74.062194298259826</v>
      </c>
      <c r="S78">
        <f t="shared" si="20"/>
        <v>87.173867795819703</v>
      </c>
      <c r="T78" s="1">
        <f t="shared" si="21"/>
        <v>95.091767167674789</v>
      </c>
    </row>
    <row r="79" spans="6:20" x14ac:dyDescent="0.35">
      <c r="F79" s="1">
        <f t="shared" si="17"/>
        <v>1.5200000000000009</v>
      </c>
      <c r="G79">
        <f>1/2*$B$8*$B$6*$B$7*(Tabelle2[[#This Row],[vx]]*Tabelle2[[#This Row],[vx]]+Tabelle2[[#This Row],[vy]]*Tabelle2[[#This Row],[vy]])/1000000</f>
        <v>9.6339820739095643</v>
      </c>
      <c r="H79">
        <f>IF($B$3,-Tabelle2[[#This Row],[Fd]]*Tabelle2[[#This Row],[vx]]/Tabelle2[[#This Row],[v]],0)</f>
        <v>-7.0400063543317417</v>
      </c>
      <c r="I79">
        <f t="shared" si="11"/>
        <v>-4.6933375695544948</v>
      </c>
      <c r="J79">
        <f t="shared" si="12"/>
        <v>-9.3866751391089895E-2</v>
      </c>
      <c r="K79">
        <f t="shared" si="13"/>
        <v>1.0776260425913322</v>
      </c>
      <c r="L79">
        <f>-$B$5*$B$12-IF($B$3,Tabelle2[[#This Row],[Fd]]*Tabelle2[[#This Row],[vy]]/Tabelle2[[#This Row],[v]],0)</f>
        <v>-21.291619278275085</v>
      </c>
      <c r="M79">
        <f t="shared" si="14"/>
        <v>-14.19441285218339</v>
      </c>
      <c r="N79">
        <f t="shared" si="15"/>
        <v>-0.28388825704366782</v>
      </c>
      <c r="O79">
        <f t="shared" si="16"/>
        <v>1.0047325752281464</v>
      </c>
      <c r="P79" s="1">
        <f t="shared" si="18"/>
        <v>53.928235505262158</v>
      </c>
      <c r="Q79" s="1">
        <f t="shared" si="19"/>
        <v>50.37857288992916</v>
      </c>
      <c r="R79">
        <f>SQRT(Tabelle2[[#This Row],[vx]]*Tabelle2[[#This Row],[vx]]+Tabelle2[[#This Row],[vy]]*Tabelle2[[#This Row],[vy]])</f>
        <v>73.798747896810042</v>
      </c>
      <c r="S79">
        <f t="shared" si="20"/>
        <v>88.253376172686458</v>
      </c>
      <c r="T79" s="1">
        <f t="shared" si="21"/>
        <v>96.102185611449642</v>
      </c>
    </row>
    <row r="80" spans="6:20" x14ac:dyDescent="0.35">
      <c r="F80" s="1">
        <f t="shared" si="17"/>
        <v>1.5400000000000009</v>
      </c>
      <c r="G80">
        <f>1/2*$B$8*$B$6*$B$7*(Tabelle2[[#This Row],[vx]]*Tabelle2[[#This Row],[vx]]+Tabelle2[[#This Row],[vy]]*Tabelle2[[#This Row],[vy]])/1000000</f>
        <v>9.565633706561389</v>
      </c>
      <c r="H80">
        <f>IF($B$3,-Tabelle2[[#This Row],[Fd]]*Tabelle2[[#This Row],[vx]]/Tabelle2[[#This Row],[v]],0)</f>
        <v>-7.0027790173734585</v>
      </c>
      <c r="I80">
        <f t="shared" si="11"/>
        <v>-4.668519344915639</v>
      </c>
      <c r="J80">
        <f t="shared" si="12"/>
        <v>-9.3370386898312785E-2</v>
      </c>
      <c r="K80">
        <f t="shared" si="13"/>
        <v>1.0757536712084383</v>
      </c>
      <c r="L80">
        <f>-$B$5*$B$12-IF($B$3,Tabelle2[[#This Row],[Fd]]*Tabelle2[[#This Row],[vy]]/Tabelle2[[#This Row],[v]],0)</f>
        <v>-21.23132060613483</v>
      </c>
      <c r="M80">
        <f t="shared" si="14"/>
        <v>-14.15421373742322</v>
      </c>
      <c r="N80">
        <f t="shared" si="15"/>
        <v>-0.28308427474846443</v>
      </c>
      <c r="O80">
        <f t="shared" si="16"/>
        <v>0.9990628499102252</v>
      </c>
      <c r="P80" s="1">
        <f t="shared" si="18"/>
        <v>53.834368753871068</v>
      </c>
      <c r="Q80" s="1">
        <f t="shared" si="19"/>
        <v>50.094684632885489</v>
      </c>
      <c r="R80">
        <f>SQRT(Tabelle2[[#This Row],[vx]]*Tabelle2[[#This Row],[vx]]+Tabelle2[[#This Row],[vy]]*Tabelle2[[#This Row],[vy]])</f>
        <v>73.536499016447763</v>
      </c>
      <c r="S80">
        <f t="shared" si="20"/>
        <v>89.331002215277792</v>
      </c>
      <c r="T80" s="1">
        <f t="shared" si="21"/>
        <v>97.106918186677788</v>
      </c>
    </row>
    <row r="81" spans="6:20" x14ac:dyDescent="0.35">
      <c r="F81" s="1">
        <f t="shared" si="17"/>
        <v>1.5600000000000009</v>
      </c>
      <c r="G81">
        <f>1/2*$B$8*$B$6*$B$7*(Tabelle2[[#This Row],[vx]]*Tabelle2[[#This Row],[vx]]+Tabelle2[[#This Row],[vy]]*Tabelle2[[#This Row],[vy]])/1000000</f>
        <v>9.4978376869851218</v>
      </c>
      <c r="H81">
        <f>IF($B$3,-Tabelle2[[#This Row],[Fd]]*Tabelle2[[#This Row],[vx]]/Tabelle2[[#This Row],[v]],0)</f>
        <v>-6.9658164319548384</v>
      </c>
      <c r="I81">
        <f t="shared" si="11"/>
        <v>-4.6438776213032256</v>
      </c>
      <c r="J81">
        <f t="shared" si="12"/>
        <v>-9.2877552426064519E-2</v>
      </c>
      <c r="K81">
        <f t="shared" si="13"/>
        <v>1.0738911918151945</v>
      </c>
      <c r="L81">
        <f>-$B$5*$B$12-IF($B$3,Tabelle2[[#This Row],[Fd]]*Tabelle2[[#This Row],[vy]]/Tabelle2[[#This Row],[v]],0)</f>
        <v>-21.171494572492325</v>
      </c>
      <c r="M81">
        <f t="shared" si="14"/>
        <v>-14.114329714994883</v>
      </c>
      <c r="N81">
        <f t="shared" si="15"/>
        <v>-0.28228659429989766</v>
      </c>
      <c r="O81">
        <f t="shared" si="16"/>
        <v>0.99340914121974155</v>
      </c>
      <c r="P81" s="1">
        <f t="shared" si="18"/>
        <v>53.740998366972754</v>
      </c>
      <c r="Q81" s="1">
        <f t="shared" si="19"/>
        <v>49.811600358137028</v>
      </c>
      <c r="R81">
        <f>SQRT(Tabelle2[[#This Row],[vx]]*Tabelle2[[#This Row],[vx]]+Tabelle2[[#This Row],[vy]]*Tabelle2[[#This Row],[vy]])</f>
        <v>73.275442241706912</v>
      </c>
      <c r="S81">
        <f t="shared" si="20"/>
        <v>90.406755886486224</v>
      </c>
      <c r="T81" s="1">
        <f t="shared" si="21"/>
        <v>98.10598103658802</v>
      </c>
    </row>
    <row r="82" spans="6:20" x14ac:dyDescent="0.35">
      <c r="F82" s="1">
        <f t="shared" si="17"/>
        <v>1.580000000000001</v>
      </c>
      <c r="G82">
        <f>1/2*$B$8*$B$6*$B$7*(Tabelle2[[#This Row],[vx]]*Tabelle2[[#This Row],[vx]]+Tabelle2[[#This Row],[vy]]*Tabelle2[[#This Row],[vy]])/1000000</f>
        <v>9.4305893334666955</v>
      </c>
      <c r="H82">
        <f>IF($B$3,-Tabelle2[[#This Row],[Fd]]*Tabelle2[[#This Row],[vx]]/Tabelle2[[#This Row],[v]],0)</f>
        <v>-6.9291163573128101</v>
      </c>
      <c r="I82">
        <f t="shared" si="11"/>
        <v>-4.619410904875207</v>
      </c>
      <c r="J82">
        <f t="shared" si="12"/>
        <v>-9.2388218097504138E-2</v>
      </c>
      <c r="K82">
        <f t="shared" si="13"/>
        <v>1.0720385341099588</v>
      </c>
      <c r="L82">
        <f>-$B$5*$B$12-IF($B$3,Tabelle2[[#This Row],[Fd]]*Tabelle2[[#This Row],[vy]]/Tabelle2[[#This Row],[v]],0)</f>
        <v>-21.112136991132505</v>
      </c>
      <c r="M82">
        <f t="shared" si="14"/>
        <v>-14.074757994088337</v>
      </c>
      <c r="N82">
        <f t="shared" si="15"/>
        <v>-0.28149515988176677</v>
      </c>
      <c r="O82">
        <f t="shared" si="16"/>
        <v>0.98777132367792497</v>
      </c>
      <c r="P82" s="1">
        <f t="shared" si="18"/>
        <v>53.648120814546687</v>
      </c>
      <c r="Q82" s="1">
        <f t="shared" si="19"/>
        <v>49.529313763837131</v>
      </c>
      <c r="R82">
        <f>SQRT(Tabelle2[[#This Row],[vx]]*Tabelle2[[#This Row],[vx]]+Tabelle2[[#This Row],[vy]]*Tabelle2[[#This Row],[vy]])</f>
        <v>73.015572235303509</v>
      </c>
      <c r="S82">
        <f t="shared" si="20"/>
        <v>91.480647078301416</v>
      </c>
      <c r="T82" s="1">
        <f t="shared" si="21"/>
        <v>99.099390177807763</v>
      </c>
    </row>
    <row r="83" spans="6:20" x14ac:dyDescent="0.35">
      <c r="F83" s="1">
        <f t="shared" si="17"/>
        <v>1.600000000000001</v>
      </c>
      <c r="G83">
        <f>1/2*$B$8*$B$6*$B$7*(Tabelle2[[#This Row],[vx]]*Tabelle2[[#This Row],[vx]]+Tabelle2[[#This Row],[vy]]*Tabelle2[[#This Row],[vy]])/1000000</f>
        <v>9.3638840188708716</v>
      </c>
      <c r="H83">
        <f>IF($B$3,-Tabelle2[[#This Row],[Fd]]*Tabelle2[[#This Row],[vx]]/Tabelle2[[#This Row],[v]],0)</f>
        <v>-6.8926765801050136</v>
      </c>
      <c r="I83">
        <f t="shared" si="11"/>
        <v>-4.5951177200700091</v>
      </c>
      <c r="J83">
        <f t="shared" si="12"/>
        <v>-9.1902354401400183E-2</v>
      </c>
      <c r="K83">
        <f t="shared" si="13"/>
        <v>1.0701956283849696</v>
      </c>
      <c r="L83">
        <f>-$B$5*$B$12-IF($B$3,Tabelle2[[#This Row],[Fd]]*Tabelle2[[#This Row],[vy]]/Tabelle2[[#This Row],[v]],0)</f>
        <v>-21.05324372211555</v>
      </c>
      <c r="M83">
        <f t="shared" si="14"/>
        <v>-14.035495814743699</v>
      </c>
      <c r="N83">
        <f t="shared" si="15"/>
        <v>-0.28070991629487402</v>
      </c>
      <c r="O83">
        <f t="shared" si="16"/>
        <v>0.98214927291615872</v>
      </c>
      <c r="P83" s="1">
        <f t="shared" si="18"/>
        <v>53.555732596449182</v>
      </c>
      <c r="Q83" s="1">
        <f t="shared" si="19"/>
        <v>49.247818603955366</v>
      </c>
      <c r="R83">
        <f>SQRT(Tabelle2[[#This Row],[vx]]*Tabelle2[[#This Row],[vx]]+Tabelle2[[#This Row],[vy]]*Tabelle2[[#This Row],[vy]])</f>
        <v>72.756883737488792</v>
      </c>
      <c r="S83">
        <f t="shared" si="20"/>
        <v>92.552685612411381</v>
      </c>
      <c r="T83" s="1">
        <f t="shared" si="21"/>
        <v>100.08716150148568</v>
      </c>
    </row>
    <row r="84" spans="6:20" x14ac:dyDescent="0.35">
      <c r="F84" s="1">
        <f t="shared" si="17"/>
        <v>1.620000000000001</v>
      </c>
      <c r="G84">
        <f>1/2*$B$8*$B$6*$B$7*(Tabelle2[[#This Row],[vx]]*Tabelle2[[#This Row],[vx]]+Tabelle2[[#This Row],[vy]]*Tabelle2[[#This Row],[vy]])/1000000</f>
        <v>9.2977171699010057</v>
      </c>
      <c r="H84">
        <f>IF($B$3,-Tabelle2[[#This Row],[Fd]]*Tabelle2[[#This Row],[vx]]/Tabelle2[[#This Row],[v]],0)</f>
        <v>-6.8564949140512734</v>
      </c>
      <c r="I84">
        <f t="shared" si="11"/>
        <v>-4.5709966093675156</v>
      </c>
      <c r="J84">
        <f t="shared" si="12"/>
        <v>-9.1419932187350311E-2</v>
      </c>
      <c r="K84">
        <f t="shared" si="13"/>
        <v>1.0683624055190821</v>
      </c>
      <c r="L84">
        <f>-$B$5*$B$12-IF($B$3,Tabelle2[[#This Row],[Fd]]*Tabelle2[[#This Row],[vy]]/Tabelle2[[#This Row],[v]],0)</f>
        <v>-20.994810671115889</v>
      </c>
      <c r="M84">
        <f t="shared" si="14"/>
        <v>-13.996540447410593</v>
      </c>
      <c r="N84">
        <f t="shared" si="15"/>
        <v>-0.27993080894821187</v>
      </c>
      <c r="O84">
        <f t="shared" si="16"/>
        <v>0.97654286566372772</v>
      </c>
      <c r="P84" s="1">
        <f t="shared" si="18"/>
        <v>53.463830242047784</v>
      </c>
      <c r="Q84" s="1">
        <f t="shared" si="19"/>
        <v>48.967108687660492</v>
      </c>
      <c r="R84">
        <f>SQRT(Tabelle2[[#This Row],[vx]]*Tabelle2[[#This Row],[vx]]+Tabelle2[[#This Row],[vy]]*Tabelle2[[#This Row],[vy]])</f>
        <v>72.49937156541192</v>
      </c>
      <c r="S84">
        <f t="shared" si="20"/>
        <v>93.622881240796346</v>
      </c>
      <c r="T84" s="1">
        <f t="shared" si="21"/>
        <v>101.06931077440184</v>
      </c>
    </row>
    <row r="85" spans="6:20" x14ac:dyDescent="0.35">
      <c r="F85" s="1">
        <f t="shared" si="17"/>
        <v>1.640000000000001</v>
      </c>
      <c r="G85">
        <f>1/2*$B$8*$B$6*$B$7*(Tabelle2[[#This Row],[vx]]*Tabelle2[[#This Row],[vx]]+Tabelle2[[#This Row],[vy]]*Tabelle2[[#This Row],[vy]])/1000000</f>
        <v>9.2320842663705118</v>
      </c>
      <c r="H85">
        <f>IF($B$3,-Tabelle2[[#This Row],[Fd]]*Tabelle2[[#This Row],[vx]]/Tabelle2[[#This Row],[v]],0)</f>
        <v>-6.8205691995807669</v>
      </c>
      <c r="I85">
        <f t="shared" si="11"/>
        <v>-4.5470461330538443</v>
      </c>
      <c r="J85">
        <f t="shared" si="12"/>
        <v>-9.0940922661076881E-2</v>
      </c>
      <c r="K85">
        <f t="shared" si="13"/>
        <v>1.0665387969705979</v>
      </c>
      <c r="L85">
        <f>-$B$5*$B$12-IF($B$3,Tabelle2[[#This Row],[Fd]]*Tabelle2[[#This Row],[vy]]/Tabelle2[[#This Row],[v]],0)</f>
        <v>-20.936833788771295</v>
      </c>
      <c r="M85">
        <f t="shared" si="14"/>
        <v>-13.957889192514196</v>
      </c>
      <c r="N85">
        <f t="shared" si="15"/>
        <v>-0.27915778385028395</v>
      </c>
      <c r="O85">
        <f t="shared" si="16"/>
        <v>0.97095197973574277</v>
      </c>
      <c r="P85" s="1">
        <f t="shared" si="18"/>
        <v>53.372410309860435</v>
      </c>
      <c r="Q85" s="1">
        <f t="shared" si="19"/>
        <v>48.687177878712276</v>
      </c>
      <c r="R85">
        <f>SQRT(Tabelle2[[#This Row],[vx]]*Tabelle2[[#This Row],[vx]]+Tabelle2[[#This Row],[vy]]*Tabelle2[[#This Row],[vy]])</f>
        <v>72.243030612492063</v>
      </c>
      <c r="S85">
        <f t="shared" si="20"/>
        <v>94.691243646315428</v>
      </c>
      <c r="T85" s="1">
        <f t="shared" si="21"/>
        <v>102.04585364006557</v>
      </c>
    </row>
    <row r="86" spans="6:20" x14ac:dyDescent="0.35">
      <c r="F86" s="1">
        <f t="shared" si="17"/>
        <v>1.660000000000001</v>
      </c>
      <c r="G86">
        <f>1/2*$B$8*$B$6*$B$7*(Tabelle2[[#This Row],[vx]]*Tabelle2[[#This Row],[vx]]+Tabelle2[[#This Row],[vy]]*Tabelle2[[#This Row],[vy]])/1000000</f>
        <v>9.1669808404858681</v>
      </c>
      <c r="H86">
        <f>IF($B$3,-Tabelle2[[#This Row],[Fd]]*Tabelle2[[#This Row],[vx]]/Tabelle2[[#This Row],[v]],0)</f>
        <v>-6.7848973034848079</v>
      </c>
      <c r="I86">
        <f t="shared" si="11"/>
        <v>-4.5232648689898722</v>
      </c>
      <c r="J86">
        <f t="shared" si="12"/>
        <v>-9.0465297379797444E-2</v>
      </c>
      <c r="K86">
        <f t="shared" si="13"/>
        <v>1.0647247347701891</v>
      </c>
      <c r="L86">
        <f>-$B$5*$B$12-IF($B$3,Tabelle2[[#This Row],[Fd]]*Tabelle2[[#This Row],[vy]]/Tabelle2[[#This Row],[v]],0)</f>
        <v>-20.879309070041799</v>
      </c>
      <c r="M86">
        <f t="shared" si="14"/>
        <v>-13.919539380027866</v>
      </c>
      <c r="N86">
        <f t="shared" si="15"/>
        <v>-0.2783907876005573</v>
      </c>
      <c r="O86">
        <f t="shared" si="16"/>
        <v>0.96537649402123427</v>
      </c>
      <c r="P86" s="1">
        <f t="shared" si="18"/>
        <v>53.281469387199358</v>
      </c>
      <c r="Q86" s="1">
        <f t="shared" si="19"/>
        <v>48.408020094861989</v>
      </c>
      <c r="R86">
        <f>SQRT(Tabelle2[[#This Row],[vx]]*Tabelle2[[#This Row],[vx]]+Tabelle2[[#This Row],[vy]]*Tabelle2[[#This Row],[vy]])</f>
        <v>71.987855847799935</v>
      </c>
      <c r="S86">
        <f t="shared" si="20"/>
        <v>95.757782443286033</v>
      </c>
      <c r="T86" s="1">
        <f t="shared" si="21"/>
        <v>103.01680561980132</v>
      </c>
    </row>
    <row r="87" spans="6:20" x14ac:dyDescent="0.35">
      <c r="F87" s="1">
        <f t="shared" si="17"/>
        <v>1.680000000000001</v>
      </c>
      <c r="G87">
        <f>1/2*$B$8*$B$6*$B$7*(Tabelle2[[#This Row],[vx]]*Tabelle2[[#This Row],[vx]]+Tabelle2[[#This Row],[vy]]*Tabelle2[[#This Row],[vy]])/1000000</f>
        <v>9.102402476140858</v>
      </c>
      <c r="H87">
        <f>IF($B$3,-Tabelle2[[#This Row],[Fd]]*Tabelle2[[#This Row],[vx]]/Tabelle2[[#This Row],[v]],0)</f>
        <v>-6.7494771185750935</v>
      </c>
      <c r="I87">
        <f t="shared" si="11"/>
        <v>-4.4996514123833959</v>
      </c>
      <c r="J87">
        <f t="shared" si="12"/>
        <v>-8.9993028247667917E-2</v>
      </c>
      <c r="K87">
        <f t="shared" si="13"/>
        <v>1.0629201515139146</v>
      </c>
      <c r="L87">
        <f>-$B$5*$B$12-IF($B$3,Tabelle2[[#This Row],[Fd]]*Tabelle2[[#This Row],[vy]]/Tabelle2[[#This Row],[v]],0)</f>
        <v>-20.822232553578296</v>
      </c>
      <c r="M87">
        <f t="shared" si="14"/>
        <v>-13.881488369052198</v>
      </c>
      <c r="N87">
        <f t="shared" si="15"/>
        <v>-0.27762976738104395</v>
      </c>
      <c r="O87">
        <f t="shared" si="16"/>
        <v>0.9598162884714182</v>
      </c>
      <c r="P87" s="1">
        <f t="shared" si="18"/>
        <v>53.191004089819558</v>
      </c>
      <c r="Q87" s="1">
        <f t="shared" si="19"/>
        <v>48.129629307261432</v>
      </c>
      <c r="R87">
        <f>SQRT(Tabelle2[[#This Row],[vx]]*Tabelle2[[#This Row],[vx]]+Tabelle2[[#This Row],[vy]]*Tabelle2[[#This Row],[vy]])</f>
        <v>71.733842315448285</v>
      </c>
      <c r="S87">
        <f t="shared" si="20"/>
        <v>96.822507178056227</v>
      </c>
      <c r="T87" s="1">
        <f t="shared" si="21"/>
        <v>103.98218211382255</v>
      </c>
    </row>
    <row r="88" spans="6:20" x14ac:dyDescent="0.35">
      <c r="F88" s="1">
        <f t="shared" si="17"/>
        <v>1.7000000000000011</v>
      </c>
      <c r="G88">
        <f>1/2*$B$8*$B$6*$B$7*(Tabelle2[[#This Row],[vx]]*Tabelle2[[#This Row],[vx]]+Tabelle2[[#This Row],[vy]]*Tabelle2[[#This Row],[vy]])/1000000</f>
        <v>9.0383448082219449</v>
      </c>
      <c r="H88">
        <f>IF($B$3,-Tabelle2[[#This Row],[Fd]]*Tabelle2[[#This Row],[vx]]/Tabelle2[[#This Row],[v]],0)</f>
        <v>-6.7143065633473755</v>
      </c>
      <c r="I88">
        <f t="shared" si="11"/>
        <v>-4.476204375564917</v>
      </c>
      <c r="J88">
        <f t="shared" si="12"/>
        <v>-8.9524087511298339E-2</v>
      </c>
      <c r="K88">
        <f t="shared" si="13"/>
        <v>1.061124980356325</v>
      </c>
      <c r="L88">
        <f>-$B$5*$B$12-IF($B$3,Tabelle2[[#This Row],[Fd]]*Tabelle2[[#This Row],[vy]]/Tabelle2[[#This Row],[v]],0)</f>
        <v>-20.765600321100621</v>
      </c>
      <c r="M88">
        <f t="shared" si="14"/>
        <v>-13.843733547400413</v>
      </c>
      <c r="N88">
        <f t="shared" si="15"/>
        <v>-0.27687467094800827</v>
      </c>
      <c r="O88">
        <f t="shared" si="16"/>
        <v>0.9542712440881278</v>
      </c>
      <c r="P88" s="1">
        <f t="shared" si="18"/>
        <v>53.101011061571889</v>
      </c>
      <c r="Q88" s="1">
        <f t="shared" si="19"/>
        <v>47.851999539880389</v>
      </c>
      <c r="R88">
        <f>SQRT(Tabelle2[[#This Row],[vx]]*Tabelle2[[#This Row],[vx]]+Tabelle2[[#This Row],[vy]]*Tabelle2[[#This Row],[vy]])</f>
        <v>71.480985133991354</v>
      </c>
      <c r="S88">
        <f t="shared" si="20"/>
        <v>97.885427329570149</v>
      </c>
      <c r="T88" s="1">
        <f t="shared" si="21"/>
        <v>104.94199840229396</v>
      </c>
    </row>
    <row r="89" spans="6:20" x14ac:dyDescent="0.35">
      <c r="F89" s="1">
        <f t="shared" si="17"/>
        <v>1.7200000000000011</v>
      </c>
      <c r="G89">
        <f>1/2*$B$8*$B$6*$B$7*(Tabelle2[[#This Row],[vx]]*Tabelle2[[#This Row],[vx]]+Tabelle2[[#This Row],[vy]]*Tabelle2[[#This Row],[vy]])/1000000</f>
        <v>8.974803521924521</v>
      </c>
      <c r="H89">
        <f>IF($B$3,-Tabelle2[[#This Row],[Fd]]*Tabelle2[[#This Row],[vx]]/Tabelle2[[#This Row],[v]],0)</f>
        <v>-6.6793835816504012</v>
      </c>
      <c r="I89">
        <f t="shared" si="11"/>
        <v>-4.4529223877669342</v>
      </c>
      <c r="J89">
        <f t="shared" si="12"/>
        <v>-8.9058447755338679E-2</v>
      </c>
      <c r="K89">
        <f t="shared" si="13"/>
        <v>1.0593391550036584</v>
      </c>
      <c r="L89">
        <f>-$B$5*$B$12-IF($B$3,Tabelle2[[#This Row],[Fd]]*Tabelle2[[#This Row],[vy]]/Tabelle2[[#This Row],[v]],0)</f>
        <v>-20.70940849678497</v>
      </c>
      <c r="M89">
        <f t="shared" si="14"/>
        <v>-13.80627233118998</v>
      </c>
      <c r="N89">
        <f t="shared" si="15"/>
        <v>-0.27612544662379962</v>
      </c>
      <c r="O89">
        <f t="shared" si="16"/>
        <v>0.94874124291240958</v>
      </c>
      <c r="P89" s="1">
        <f t="shared" si="18"/>
        <v>53.011486974060588</v>
      </c>
      <c r="Q89" s="1">
        <f t="shared" si="19"/>
        <v>47.575124868932377</v>
      </c>
      <c r="R89">
        <f>SQRT(Tabelle2[[#This Row],[vx]]*Tabelle2[[#This Row],[vx]]+Tabelle2[[#This Row],[vy]]*Tabelle2[[#This Row],[vy]])</f>
        <v>71.229279495833055</v>
      </c>
      <c r="S89">
        <f t="shared" si="20"/>
        <v>98.946552309926474</v>
      </c>
      <c r="T89" s="1">
        <f t="shared" si="21"/>
        <v>105.89626964638209</v>
      </c>
    </row>
    <row r="90" spans="6:20" x14ac:dyDescent="0.35">
      <c r="F90" s="1">
        <f t="shared" si="17"/>
        <v>1.7400000000000011</v>
      </c>
      <c r="G90">
        <f>1/2*$B$8*$B$6*$B$7*(Tabelle2[[#This Row],[vx]]*Tabelle2[[#This Row],[vx]]+Tabelle2[[#This Row],[vy]]*Tabelle2[[#This Row],[vy]])/1000000</f>
        <v>8.9117743520798367</v>
      </c>
      <c r="H90">
        <f>IF($B$3,-Tabelle2[[#This Row],[Fd]]*Tabelle2[[#This Row],[vx]]/Tabelle2[[#This Row],[v]],0)</f>
        <v>-6.6447061423600475</v>
      </c>
      <c r="I90">
        <f t="shared" si="11"/>
        <v>-4.4298040949066984</v>
      </c>
      <c r="J90">
        <f t="shared" si="12"/>
        <v>-8.8596081898133963E-2</v>
      </c>
      <c r="K90">
        <f t="shared" si="13"/>
        <v>1.0575626097071236</v>
      </c>
      <c r="L90">
        <f>-$B$5*$B$12-IF($B$3,Tabelle2[[#This Row],[Fd]]*Tabelle2[[#This Row],[vy]]/Tabelle2[[#This Row],[v]],0)</f>
        <v>-20.653653246660447</v>
      </c>
      <c r="M90">
        <f t="shared" si="14"/>
        <v>-13.769102164440298</v>
      </c>
      <c r="N90">
        <f t="shared" si="15"/>
        <v>-0.27538204328880594</v>
      </c>
      <c r="O90">
        <f t="shared" si="16"/>
        <v>0.94322616801328352</v>
      </c>
      <c r="P90" s="1">
        <f t="shared" si="18"/>
        <v>52.922428526305247</v>
      </c>
      <c r="Q90" s="1">
        <f t="shared" si="19"/>
        <v>47.298999422308576</v>
      </c>
      <c r="R90">
        <f>SQRT(Tabelle2[[#This Row],[vx]]*Tabelle2[[#This Row],[vx]]+Tabelle2[[#This Row],[vy]]*Tabelle2[[#This Row],[vy]])</f>
        <v>70.978720666643696</v>
      </c>
      <c r="S90">
        <f t="shared" si="20"/>
        <v>100.00589146493013</v>
      </c>
      <c r="T90" s="1">
        <f t="shared" si="21"/>
        <v>106.8450108892945</v>
      </c>
    </row>
    <row r="91" spans="6:20" x14ac:dyDescent="0.35">
      <c r="F91" s="1">
        <f t="shared" si="17"/>
        <v>1.7600000000000011</v>
      </c>
      <c r="G91">
        <f>1/2*$B$8*$B$6*$B$7*(Tabelle2[[#This Row],[vx]]*Tabelle2[[#This Row],[vx]]+Tabelle2[[#This Row],[vy]]*Tabelle2[[#This Row],[vy]])/1000000</f>
        <v>8.8492530824924476</v>
      </c>
      <c r="H91">
        <f>IF($B$3,-Tabelle2[[#This Row],[Fd]]*Tabelle2[[#This Row],[vx]]/Tabelle2[[#This Row],[v]],0)</f>
        <v>-6.6102722390585633</v>
      </c>
      <c r="I91">
        <f t="shared" si="11"/>
        <v>-4.4068481593723758</v>
      </c>
      <c r="J91">
        <f t="shared" si="12"/>
        <v>-8.8136963187447515E-2</v>
      </c>
      <c r="K91">
        <f t="shared" si="13"/>
        <v>1.0557952792562677</v>
      </c>
      <c r="L91">
        <f>-$B$5*$B$12-IF($B$3,Tabelle2[[#This Row],[Fd]]*Tabelle2[[#This Row],[vy]]/Tabelle2[[#This Row],[v]],0)</f>
        <v>-20.598330778014589</v>
      </c>
      <c r="M91">
        <f t="shared" si="14"/>
        <v>-13.732220518676392</v>
      </c>
      <c r="N91">
        <f t="shared" si="15"/>
        <v>-0.27464441037352788</v>
      </c>
      <c r="O91">
        <f t="shared" si="16"/>
        <v>0.93772590347666007</v>
      </c>
      <c r="P91" s="1">
        <f t="shared" si="18"/>
        <v>52.833832444407115</v>
      </c>
      <c r="Q91" s="1">
        <f t="shared" si="19"/>
        <v>47.023617379019768</v>
      </c>
      <c r="R91">
        <f>SQRT(Tabelle2[[#This Row],[vx]]*Tabelle2[[#This Row],[vx]]+Tabelle2[[#This Row],[vy]]*Tabelle2[[#This Row],[vy]])</f>
        <v>70.729303984785091</v>
      </c>
      <c r="S91">
        <f t="shared" si="20"/>
        <v>101.06345407463725</v>
      </c>
      <c r="T91" s="1">
        <f t="shared" si="21"/>
        <v>107.78823705730778</v>
      </c>
    </row>
    <row r="92" spans="6:20" x14ac:dyDescent="0.35">
      <c r="F92" s="1">
        <f t="shared" si="17"/>
        <v>1.7800000000000011</v>
      </c>
      <c r="G92">
        <f>1/2*$B$8*$B$6*$B$7*(Tabelle2[[#This Row],[vx]]*Tabelle2[[#This Row],[vx]]+Tabelle2[[#This Row],[vy]]*Tabelle2[[#This Row],[vy]])/1000000</f>
        <v>8.7872355452879614</v>
      </c>
      <c r="H92">
        <f>IF($B$3,-Tabelle2[[#This Row],[Fd]]*Tabelle2[[#This Row],[vx]]/Tabelle2[[#This Row],[v]],0)</f>
        <v>-6.576079889718808</v>
      </c>
      <c r="I92">
        <f t="shared" si="11"/>
        <v>-4.3840532598125384</v>
      </c>
      <c r="J92">
        <f t="shared" si="12"/>
        <v>-8.7681065196250768E-2</v>
      </c>
      <c r="K92">
        <f t="shared" si="13"/>
        <v>1.0540370989724308</v>
      </c>
      <c r="L92">
        <f>-$B$5*$B$12-IF($B$3,Tabelle2[[#This Row],[Fd]]*Tabelle2[[#This Row],[vy]]/Tabelle2[[#This Row],[v]],0)</f>
        <v>-20.543437338807728</v>
      </c>
      <c r="M92">
        <f t="shared" si="14"/>
        <v>-13.695624892538484</v>
      </c>
      <c r="N92">
        <f t="shared" si="15"/>
        <v>-0.27391249785076971</v>
      </c>
      <c r="O92">
        <f t="shared" si="16"/>
        <v>0.93224033439441711</v>
      </c>
      <c r="P92" s="1">
        <f t="shared" si="18"/>
        <v>52.74569548121967</v>
      </c>
      <c r="Q92" s="1">
        <f t="shared" si="19"/>
        <v>46.748972968646243</v>
      </c>
      <c r="R92">
        <f>SQRT(Tabelle2[[#This Row],[vx]]*Tabelle2[[#This Row],[vx]]+Tabelle2[[#This Row],[vy]]*Tabelle2[[#This Row],[vy]])</f>
        <v>70.481024860743716</v>
      </c>
      <c r="S92">
        <f t="shared" si="20"/>
        <v>102.11924935389352</v>
      </c>
      <c r="T92" s="1">
        <f t="shared" si="21"/>
        <v>108.72596296078444</v>
      </c>
    </row>
    <row r="93" spans="6:20" x14ac:dyDescent="0.35">
      <c r="F93" s="1">
        <f t="shared" si="17"/>
        <v>1.8000000000000012</v>
      </c>
      <c r="G93">
        <f>1/2*$B$8*$B$6*$B$7*(Tabelle2[[#This Row],[vx]]*Tabelle2[[#This Row],[vx]]+Tabelle2[[#This Row],[vy]]*Tabelle2[[#This Row],[vy]])/1000000</f>
        <v>8.7257176202708937</v>
      </c>
      <c r="H93">
        <f>IF($B$3,-Tabelle2[[#This Row],[Fd]]*Tabelle2[[#This Row],[vx]]/Tabelle2[[#This Row],[v]],0)</f>
        <v>-6.5421271363933631</v>
      </c>
      <c r="I93">
        <f t="shared" si="11"/>
        <v>-4.3614180909289084</v>
      </c>
      <c r="J93">
        <f t="shared" si="12"/>
        <v>-8.7228361818578168E-2</v>
      </c>
      <c r="K93">
        <f t="shared" si="13"/>
        <v>1.0522880047022827</v>
      </c>
      <c r="L93">
        <f>-$B$5*$B$12-IF($B$3,Tabelle2[[#This Row],[Fd]]*Tabelle2[[#This Row],[vy]]/Tabelle2[[#This Row],[v]],0)</f>
        <v>-20.488969217095942</v>
      </c>
      <c r="M93">
        <f t="shared" si="14"/>
        <v>-13.659312811397294</v>
      </c>
      <c r="N93">
        <f t="shared" si="15"/>
        <v>-0.2731862562279459</v>
      </c>
      <c r="O93">
        <f t="shared" si="16"/>
        <v>0.92676934685362999</v>
      </c>
      <c r="P93" s="1">
        <f t="shared" si="18"/>
        <v>52.65801441602342</v>
      </c>
      <c r="Q93" s="1">
        <f t="shared" si="19"/>
        <v>46.475060470795469</v>
      </c>
      <c r="R93">
        <f>SQRT(Tabelle2[[#This Row],[vx]]*Tabelle2[[#This Row],[vx]]+Tabelle2[[#This Row],[vy]]*Tabelle2[[#This Row],[vy]])</f>
        <v>70.233878776572112</v>
      </c>
      <c r="S93">
        <f t="shared" si="20"/>
        <v>103.17328645286595</v>
      </c>
      <c r="T93" s="1">
        <f t="shared" si="21"/>
        <v>109.65820329517886</v>
      </c>
    </row>
    <row r="94" spans="6:20" x14ac:dyDescent="0.35">
      <c r="F94" s="1">
        <f t="shared" si="17"/>
        <v>1.8200000000000012</v>
      </c>
      <c r="G94">
        <f>1/2*$B$8*$B$6*$B$7*(Tabelle2[[#This Row],[vx]]*Tabelle2[[#This Row],[vx]]+Tabelle2[[#This Row],[vy]]*Tabelle2[[#This Row],[vy]])/1000000</f>
        <v>8.664695234292509</v>
      </c>
      <c r="H94">
        <f>IF($B$3,-Tabelle2[[#This Row],[Fd]]*Tabelle2[[#This Row],[vx]]/Tabelle2[[#This Row],[v]],0)</f>
        <v>-6.5084120449085203</v>
      </c>
      <c r="I94">
        <f t="shared" si="11"/>
        <v>-4.3389413632723466</v>
      </c>
      <c r="J94">
        <f t="shared" si="12"/>
        <v>-8.6778827265446931E-2</v>
      </c>
      <c r="K94">
        <f t="shared" si="13"/>
        <v>1.0505479328114424</v>
      </c>
      <c r="L94">
        <f>-$B$5*$B$12-IF($B$3,Tabelle2[[#This Row],[Fd]]*Tabelle2[[#This Row],[vy]]/Tabelle2[[#This Row],[v]],0)</f>
        <v>-20.434922740462586</v>
      </c>
      <c r="M94">
        <f t="shared" si="14"/>
        <v>-13.623281826975058</v>
      </c>
      <c r="N94">
        <f t="shared" si="15"/>
        <v>-0.27246563653950118</v>
      </c>
      <c r="O94">
        <f t="shared" si="16"/>
        <v>0.92131282792595548</v>
      </c>
      <c r="P94" s="1">
        <f t="shared" si="18"/>
        <v>52.570786054204845</v>
      </c>
      <c r="Q94" s="1">
        <f t="shared" si="19"/>
        <v>46.201874214567525</v>
      </c>
      <c r="R94">
        <f>SQRT(Tabelle2[[#This Row],[vx]]*Tabelle2[[#This Row],[vx]]+Tabelle2[[#This Row],[vy]]*Tabelle2[[#This Row],[vy]])</f>
        <v>69.987861285337885</v>
      </c>
      <c r="S94">
        <f t="shared" si="20"/>
        <v>104.22557445756823</v>
      </c>
      <c r="T94" s="1">
        <f t="shared" si="21"/>
        <v>110.5849726420325</v>
      </c>
    </row>
    <row r="95" spans="6:20" x14ac:dyDescent="0.35">
      <c r="F95" s="1">
        <f t="shared" si="17"/>
        <v>1.8400000000000012</v>
      </c>
      <c r="G95">
        <f>1/2*$B$8*$B$6*$B$7*(Tabelle2[[#This Row],[vx]]*Tabelle2[[#This Row],[vx]]+Tabelle2[[#This Row],[vy]]*Tabelle2[[#This Row],[vy]])/1000000</f>
        <v>8.604164360628392</v>
      </c>
      <c r="H95">
        <f>IF($B$3,-Tabelle2[[#This Row],[Fd]]*Tabelle2[[#This Row],[vx]]/Tabelle2[[#This Row],[v]],0)</f>
        <v>-6.4749327045629412</v>
      </c>
      <c r="I95">
        <f t="shared" si="11"/>
        <v>-4.3166218030419605</v>
      </c>
      <c r="J95">
        <f t="shared" si="12"/>
        <v>-8.6332436060839207E-2</v>
      </c>
      <c r="K95">
        <f t="shared" si="13"/>
        <v>1.0488168201781796</v>
      </c>
      <c r="L95">
        <f>-$B$5*$B$12-IF($B$3,Tabelle2[[#This Row],[Fd]]*Tabelle2[[#This Row],[vy]]/Tabelle2[[#This Row],[v]],0)</f>
        <v>-20.381294275458082</v>
      </c>
      <c r="M95">
        <f t="shared" si="14"/>
        <v>-13.587529516972054</v>
      </c>
      <c r="N95">
        <f t="shared" si="15"/>
        <v>-0.2717505903394411</v>
      </c>
      <c r="O95">
        <f t="shared" si="16"/>
        <v>0.91587066565716613</v>
      </c>
      <c r="P95" s="1">
        <f t="shared" si="18"/>
        <v>52.484007226939397</v>
      </c>
      <c r="Q95" s="1">
        <f t="shared" si="19"/>
        <v>45.929408578028024</v>
      </c>
      <c r="R95">
        <f>SQRT(Tabelle2[[#This Row],[vx]]*Tabelle2[[#This Row],[vx]]+Tabelle2[[#This Row],[vy]]*Tabelle2[[#This Row],[vy]])</f>
        <v>69.74296801058054</v>
      </c>
      <c r="S95">
        <f t="shared" si="20"/>
        <v>105.27612239037967</v>
      </c>
      <c r="T95" s="1">
        <f t="shared" si="21"/>
        <v>111.50628546995846</v>
      </c>
    </row>
    <row r="96" spans="6:20" x14ac:dyDescent="0.35">
      <c r="F96" s="1">
        <f t="shared" si="17"/>
        <v>1.8600000000000012</v>
      </c>
      <c r="G96">
        <f>1/2*$B$8*$B$6*$B$7*(Tabelle2[[#This Row],[vx]]*Tabelle2[[#This Row],[vx]]+Tabelle2[[#This Row],[vy]]*Tabelle2[[#This Row],[vy]])/1000000</f>
        <v>8.5441210183656349</v>
      </c>
      <c r="H96">
        <f>IF($B$3,-Tabelle2[[#This Row],[Fd]]*Tabelle2[[#This Row],[vx]]/Tabelle2[[#This Row],[v]],0)</f>
        <v>-6.4416872278309842</v>
      </c>
      <c r="I96">
        <f t="shared" si="11"/>
        <v>-4.2944581518873228</v>
      </c>
      <c r="J96">
        <f t="shared" si="12"/>
        <v>-8.5889163037746463E-2</v>
      </c>
      <c r="K96">
        <f t="shared" si="13"/>
        <v>1.0470946041871938</v>
      </c>
      <c r="L96">
        <f>-$B$5*$B$12-IF($B$3,Tabelle2[[#This Row],[Fd]]*Tabelle2[[#This Row],[vy]]/Tabelle2[[#This Row],[v]],0)</f>
        <v>-20.328080227047941</v>
      </c>
      <c r="M96">
        <f t="shared" si="14"/>
        <v>-13.552053484698627</v>
      </c>
      <c r="N96">
        <f t="shared" si="15"/>
        <v>-0.27104106969397257</v>
      </c>
      <c r="O96">
        <f t="shared" si="16"/>
        <v>0.91044274905683187</v>
      </c>
      <c r="P96" s="1">
        <f t="shared" si="18"/>
        <v>52.397674790878561</v>
      </c>
      <c r="Q96" s="1">
        <f t="shared" si="19"/>
        <v>45.65765798768858</v>
      </c>
      <c r="R96">
        <f>SQRT(Tabelle2[[#This Row],[vx]]*Tabelle2[[#This Row],[vx]]+Tabelle2[[#This Row],[vy]]*Tabelle2[[#This Row],[vy]])</f>
        <v>69.499194645775674</v>
      </c>
      <c r="S96">
        <f t="shared" si="20"/>
        <v>106.32493921055784</v>
      </c>
      <c r="T96" s="1">
        <f t="shared" si="21"/>
        <v>112.42215613561562</v>
      </c>
    </row>
    <row r="97" spans="6:20" x14ac:dyDescent="0.35">
      <c r="F97" s="1">
        <f t="shared" si="17"/>
        <v>1.8800000000000012</v>
      </c>
      <c r="G97">
        <f>1/2*$B$8*$B$6*$B$7*(Tabelle2[[#This Row],[vx]]*Tabelle2[[#This Row],[vx]]+Tabelle2[[#This Row],[vy]]*Tabelle2[[#This Row],[vy]])/1000000</f>
        <v>8.4845612717994214</v>
      </c>
      <c r="H97">
        <f>IF($B$3,-Tabelle2[[#This Row],[Fd]]*Tabelle2[[#This Row],[vx]]/Tabelle2[[#This Row],[v]],0)</f>
        <v>-6.4086737500705633</v>
      </c>
      <c r="I97">
        <f t="shared" si="11"/>
        <v>-4.2724491667137086</v>
      </c>
      <c r="J97">
        <f t="shared" si="12"/>
        <v>-8.544898333427417E-2</v>
      </c>
      <c r="K97">
        <f t="shared" si="13"/>
        <v>1.0453812227234736</v>
      </c>
      <c r="L97">
        <f>-$B$5*$B$12-IF($B$3,Tabelle2[[#This Row],[Fd]]*Tabelle2[[#This Row],[vy]]/Tabelle2[[#This Row],[v]],0)</f>
        <v>-20.275277038068797</v>
      </c>
      <c r="M97">
        <f t="shared" si="14"/>
        <v>-13.516851358712531</v>
      </c>
      <c r="N97">
        <f t="shared" si="15"/>
        <v>-0.27033702717425062</v>
      </c>
      <c r="O97">
        <f t="shared" si="16"/>
        <v>0.9050289680881497</v>
      </c>
      <c r="P97" s="1">
        <f t="shared" si="18"/>
        <v>52.311785627840813</v>
      </c>
      <c r="Q97" s="1">
        <f t="shared" si="19"/>
        <v>45.386616917994608</v>
      </c>
      <c r="R97">
        <f>SQRT(Tabelle2[[#This Row],[vx]]*Tabelle2[[#This Row],[vx]]+Tabelle2[[#This Row],[vy]]*Tabelle2[[#This Row],[vy]])</f>
        <v>69.256536953806517</v>
      </c>
      <c r="S97">
        <f t="shared" si="20"/>
        <v>107.37203381474504</v>
      </c>
      <c r="T97" s="1">
        <f t="shared" si="21"/>
        <v>113.33259888467245</v>
      </c>
    </row>
    <row r="98" spans="6:20" x14ac:dyDescent="0.35">
      <c r="F98" s="1">
        <f t="shared" si="17"/>
        <v>1.9000000000000012</v>
      </c>
      <c r="G98">
        <f>1/2*$B$8*$B$6*$B$7*(Tabelle2[[#This Row],[vx]]*Tabelle2[[#This Row],[vx]]+Tabelle2[[#This Row],[vy]]*Tabelle2[[#This Row],[vy]])/1000000</f>
        <v>8.4254812298388941</v>
      </c>
      <c r="H98">
        <f>IF($B$3,-Tabelle2[[#This Row],[Fd]]*Tabelle2[[#This Row],[vx]]/Tabelle2[[#This Row],[v]],0)</f>
        <v>-6.3758904292354819</v>
      </c>
      <c r="I98">
        <f t="shared" si="11"/>
        <v>-4.2505936194903216</v>
      </c>
      <c r="J98">
        <f t="shared" si="12"/>
        <v>-8.5011872389806439E-2</v>
      </c>
      <c r="K98">
        <f t="shared" si="13"/>
        <v>1.0436766141662326</v>
      </c>
      <c r="L98">
        <f>-$B$5*$B$12-IF($B$3,Tabelle2[[#This Row],[Fd]]*Tabelle2[[#This Row],[vy]]/Tabelle2[[#This Row],[v]],0)</f>
        <v>-20.222881188692334</v>
      </c>
      <c r="M98">
        <f t="shared" si="14"/>
        <v>-13.481920792461557</v>
      </c>
      <c r="N98">
        <f t="shared" si="15"/>
        <v>-0.26963841584923115</v>
      </c>
      <c r="O98">
        <f t="shared" si="16"/>
        <v>0.89962921365791493</v>
      </c>
      <c r="P98" s="1">
        <f t="shared" si="18"/>
        <v>52.226336644506539</v>
      </c>
      <c r="Q98" s="1">
        <f t="shared" si="19"/>
        <v>45.116279890820358</v>
      </c>
      <c r="R98">
        <f>SQRT(Tabelle2[[#This Row],[vx]]*Tabelle2[[#This Row],[vx]]+Tabelle2[[#This Row],[vy]]*Tabelle2[[#This Row],[vy]])</f>
        <v>69.014990766442679</v>
      </c>
      <c r="S98">
        <f t="shared" si="20"/>
        <v>108.41741503746852</v>
      </c>
      <c r="T98" s="1">
        <f t="shared" si="21"/>
        <v>114.2376278527606</v>
      </c>
    </row>
    <row r="99" spans="6:20" x14ac:dyDescent="0.35">
      <c r="F99" s="1">
        <f t="shared" si="17"/>
        <v>1.9200000000000013</v>
      </c>
      <c r="G99">
        <f>1/2*$B$8*$B$6*$B$7*(Tabelle2[[#This Row],[vx]]*Tabelle2[[#This Row],[vx]]+Tabelle2[[#This Row],[vy]]*Tabelle2[[#This Row],[vy]])/1000000</f>
        <v>8.3668770454220969</v>
      </c>
      <c r="H99">
        <f>IF($B$3,-Tabelle2[[#This Row],[Fd]]*Tabelle2[[#This Row],[vx]]/Tabelle2[[#This Row],[v]],0)</f>
        <v>-6.3433354455921513</v>
      </c>
      <c r="I99">
        <f t="shared" si="11"/>
        <v>-4.2288902970614339</v>
      </c>
      <c r="J99">
        <f t="shared" si="12"/>
        <v>-8.4577805941228684E-2</v>
      </c>
      <c r="K99">
        <f t="shared" si="13"/>
        <v>1.0419807173829225</v>
      </c>
      <c r="L99">
        <f>-$B$5*$B$12-IF($B$3,Tabelle2[[#This Row],[Fd]]*Tabelle2[[#This Row],[vy]]/Tabelle2[[#This Row],[v]],0)</f>
        <v>-20.170889195896983</v>
      </c>
      <c r="M99">
        <f t="shared" si="14"/>
        <v>-13.447259463931323</v>
      </c>
      <c r="N99">
        <f t="shared" si="15"/>
        <v>-0.26894518927862648</v>
      </c>
      <c r="O99">
        <f t="shared" si="16"/>
        <v>0.8942433776066363</v>
      </c>
      <c r="P99" s="1">
        <f t="shared" si="18"/>
        <v>52.141324772116732</v>
      </c>
      <c r="Q99" s="1">
        <f t="shared" si="19"/>
        <v>44.846641474971129</v>
      </c>
      <c r="R99">
        <f>SQRT(Tabelle2[[#This Row],[vx]]*Tabelle2[[#This Row],[vx]]+Tabelle2[[#This Row],[vy]]*Tabelle2[[#This Row],[vy]])</f>
        <v>68.774551983825774</v>
      </c>
      <c r="S99">
        <f t="shared" si="20"/>
        <v>109.46109165163475</v>
      </c>
      <c r="T99" s="1">
        <f t="shared" si="21"/>
        <v>115.13725706641851</v>
      </c>
    </row>
    <row r="100" spans="6:20" x14ac:dyDescent="0.35">
      <c r="F100" s="1">
        <f t="shared" si="17"/>
        <v>1.9400000000000013</v>
      </c>
      <c r="G100">
        <f>1/2*$B$8*$B$6*$B$7*(Tabelle2[[#This Row],[vx]]*Tabelle2[[#This Row],[vx]]+Tabelle2[[#This Row],[vy]]*Tabelle2[[#This Row],[vy]])/1000000</f>
        <v>8.3087449149398545</v>
      </c>
      <c r="H100">
        <f>IF($B$3,-Tabelle2[[#This Row],[Fd]]*Tabelle2[[#This Row],[vx]]/Tabelle2[[#This Row],[v]],0)</f>
        <v>-6.3110070014405979</v>
      </c>
      <c r="I100">
        <f t="shared" si="11"/>
        <v>-4.2073380009603989</v>
      </c>
      <c r="J100">
        <f t="shared" si="12"/>
        <v>-8.4146760019207983E-2</v>
      </c>
      <c r="K100">
        <f t="shared" si="13"/>
        <v>1.0402934717233179</v>
      </c>
      <c r="L100">
        <f>-$B$5*$B$12-IF($B$3,Tabelle2[[#This Row],[Fd]]*Tabelle2[[#This Row],[vy]]/Tabelle2[[#This Row],[v]],0)</f>
        <v>-20.119297612947186</v>
      </c>
      <c r="M100">
        <f t="shared" si="14"/>
        <v>-13.412865075298123</v>
      </c>
      <c r="N100">
        <f t="shared" si="15"/>
        <v>-0.2682573015059625</v>
      </c>
      <c r="O100">
        <f t="shared" si="16"/>
        <v>0.88887135269879036</v>
      </c>
      <c r="P100" s="1">
        <f t="shared" si="18"/>
        <v>52.056746966175503</v>
      </c>
      <c r="Q100" s="1">
        <f t="shared" si="19"/>
        <v>44.577696285692504</v>
      </c>
      <c r="R100">
        <f>SQRT(Tabelle2[[#This Row],[vx]]*Tabelle2[[#This Row],[vx]]+Tabelle2[[#This Row],[vy]]*Tabelle2[[#This Row],[vy]])</f>
        <v>68.535216573961918</v>
      </c>
      <c r="S100">
        <f t="shared" si="20"/>
        <v>110.50307236901767</v>
      </c>
      <c r="T100" s="1">
        <f t="shared" si="21"/>
        <v>116.03150044402516</v>
      </c>
    </row>
    <row r="101" spans="6:20" x14ac:dyDescent="0.35">
      <c r="F101" s="1">
        <f t="shared" si="17"/>
        <v>1.9600000000000013</v>
      </c>
      <c r="G101">
        <f>1/2*$B$8*$B$6*$B$7*(Tabelle2[[#This Row],[vx]]*Tabelle2[[#This Row],[vx]]+Tabelle2[[#This Row],[vy]]*Tabelle2[[#This Row],[vy]])/1000000</f>
        <v>8.2510810776684167</v>
      </c>
      <c r="H101">
        <f>IF($B$3,-Tabelle2[[#This Row],[Fd]]*Tabelle2[[#This Row],[vx]]/Tabelle2[[#This Row],[v]],0)</f>
        <v>-6.2789033208397012</v>
      </c>
      <c r="I101">
        <f t="shared" si="11"/>
        <v>-4.1859355472264674</v>
      </c>
      <c r="J101">
        <f t="shared" si="12"/>
        <v>-8.3718710944529345E-2</v>
      </c>
      <c r="K101">
        <f t="shared" si="13"/>
        <v>1.0386148170136806</v>
      </c>
      <c r="L101">
        <f>-$B$5*$B$12-IF($B$3,Tabelle2[[#This Row],[Fd]]*Tabelle2[[#This Row],[vy]]/Tabelle2[[#This Row],[v]],0)</f>
        <v>-20.068103028880163</v>
      </c>
      <c r="M101">
        <f t="shared" si="14"/>
        <v>-13.378735352586775</v>
      </c>
      <c r="N101">
        <f t="shared" si="15"/>
        <v>-0.26757470705173553</v>
      </c>
      <c r="O101">
        <f t="shared" si="16"/>
        <v>0.88351303261321346</v>
      </c>
      <c r="P101" s="1">
        <f t="shared" si="18"/>
        <v>51.972600206156294</v>
      </c>
      <c r="Q101" s="1">
        <f t="shared" si="19"/>
        <v>44.309438984186542</v>
      </c>
      <c r="R101">
        <f>SQRT(Tabelle2[[#This Row],[vx]]*Tabelle2[[#This Row],[vx]]+Tabelle2[[#This Row],[vy]]*Tabelle2[[#This Row],[vy]])</f>
        <v>68.296980572220818</v>
      </c>
      <c r="S101">
        <f t="shared" si="20"/>
        <v>111.54336584074099</v>
      </c>
      <c r="T101" s="1">
        <f t="shared" si="21"/>
        <v>116.92037179672394</v>
      </c>
    </row>
    <row r="102" spans="6:20" x14ac:dyDescent="0.35">
      <c r="F102" s="1">
        <f t="shared" si="17"/>
        <v>1.9800000000000013</v>
      </c>
      <c r="G102">
        <f>1/2*$B$8*$B$6*$B$7*(Tabelle2[[#This Row],[vx]]*Tabelle2[[#This Row],[vx]]+Tabelle2[[#This Row],[vy]]*Tabelle2[[#This Row],[vy]])/1000000</f>
        <v>8.1938818152107284</v>
      </c>
      <c r="H102">
        <f>IF($B$3,-Tabelle2[[#This Row],[Fd]]*Tabelle2[[#This Row],[vx]]/Tabelle2[[#This Row],[v]],0)</f>
        <v>-6.2470226493365635</v>
      </c>
      <c r="I102">
        <f t="shared" si="11"/>
        <v>-4.1646817662243754</v>
      </c>
      <c r="J102">
        <f t="shared" si="12"/>
        <v>-8.3293635324487511E-2</v>
      </c>
      <c r="K102">
        <f t="shared" si="13"/>
        <v>1.0369446935509905</v>
      </c>
      <c r="L102">
        <f>-$B$5*$B$12-IF($B$3,Tabelle2[[#This Row],[Fd]]*Tabelle2[[#This Row],[vy]]/Tabelle2[[#This Row],[v]],0)</f>
        <v>-20.017302067999996</v>
      </c>
      <c r="M102">
        <f t="shared" si="14"/>
        <v>-13.34486804533333</v>
      </c>
      <c r="N102">
        <f t="shared" si="15"/>
        <v>-0.2668973609066666</v>
      </c>
      <c r="O102">
        <f t="shared" si="16"/>
        <v>0.87816831193362943</v>
      </c>
      <c r="P102" s="1">
        <f t="shared" si="18"/>
        <v>51.888881495211763</v>
      </c>
      <c r="Q102" s="1">
        <f t="shared" si="19"/>
        <v>44.041864277134806</v>
      </c>
      <c r="R102">
        <f>SQRT(Tabelle2[[#This Row],[vx]]*Tabelle2[[#This Row],[vx]]+Tabelle2[[#This Row],[vy]]*Tabelle2[[#This Row],[vy]])</f>
        <v>68.059840080841312</v>
      </c>
      <c r="S102">
        <f t="shared" si="20"/>
        <v>112.58198065775467</v>
      </c>
      <c r="T102" s="1">
        <f t="shared" si="21"/>
        <v>117.80388482933715</v>
      </c>
    </row>
    <row r="103" spans="6:20" x14ac:dyDescent="0.35">
      <c r="F103" s="1">
        <f t="shared" si="17"/>
        <v>2.0000000000000013</v>
      </c>
      <c r="G103">
        <f>1/2*$B$8*$B$6*$B$7*(Tabelle2[[#This Row],[vx]]*Tabelle2[[#This Row],[vx]]+Tabelle2[[#This Row],[vy]]*Tabelle2[[#This Row],[vy]])/1000000</f>
        <v>8.1371434509461693</v>
      </c>
      <c r="H103">
        <f>IF($B$3,-Tabelle2[[#This Row],[Fd]]*Tabelle2[[#This Row],[vx]]/Tabelle2[[#This Row],[v]],0)</f>
        <v>-6.2153632536999499</v>
      </c>
      <c r="I103">
        <f t="shared" si="11"/>
        <v>-4.143575502466633</v>
      </c>
      <c r="J103">
        <f t="shared" si="12"/>
        <v>-8.2871510049332658E-2</v>
      </c>
      <c r="K103">
        <f t="shared" si="13"/>
        <v>1.0352830420972523</v>
      </c>
      <c r="L103">
        <f>-$B$5*$B$12-IF($B$3,Tabelle2[[#This Row],[Fd]]*Tabelle2[[#This Row],[vy]]/Tabelle2[[#This Row],[v]],0)</f>
        <v>-19.966891389378926</v>
      </c>
      <c r="M103">
        <f t="shared" si="14"/>
        <v>-13.311260926252617</v>
      </c>
      <c r="N103">
        <f t="shared" si="15"/>
        <v>-0.26622521852505232</v>
      </c>
      <c r="O103">
        <f t="shared" si="16"/>
        <v>0.87283708613931221</v>
      </c>
      <c r="P103" s="1">
        <f t="shared" si="18"/>
        <v>51.805587859887275</v>
      </c>
      <c r="Q103" s="1">
        <f t="shared" si="19"/>
        <v>43.774966916228138</v>
      </c>
      <c r="R103">
        <f>SQRT(Tabelle2[[#This Row],[vx]]*Tabelle2[[#This Row],[vx]]+Tabelle2[[#This Row],[vy]]*Tabelle2[[#This Row],[vy]])</f>
        <v>67.823791268443316</v>
      </c>
      <c r="S103">
        <f t="shared" si="20"/>
        <v>113.61892535130566</v>
      </c>
      <c r="T103" s="1">
        <f t="shared" si="21"/>
        <v>118.68205314127079</v>
      </c>
    </row>
    <row r="104" spans="6:20" x14ac:dyDescent="0.35">
      <c r="F104" s="1">
        <f t="shared" si="17"/>
        <v>2.0200000000000014</v>
      </c>
      <c r="G104">
        <f>1/2*$B$8*$B$6*$B$7*(Tabelle2[[#This Row],[vx]]*Tabelle2[[#This Row],[vx]]+Tabelle2[[#This Row],[vy]]*Tabelle2[[#This Row],[vy]])/1000000</f>
        <v>8.0808623494886049</v>
      </c>
      <c r="H104">
        <f>IF($B$3,-Tabelle2[[#This Row],[Fd]]*Tabelle2[[#This Row],[vx]]/Tabelle2[[#This Row],[v]],0)</f>
        <v>-6.1839234216577061</v>
      </c>
      <c r="I104">
        <f t="shared" si="11"/>
        <v>-4.1226156144384705</v>
      </c>
      <c r="J104">
        <f t="shared" si="12"/>
        <v>-8.2452312288769411E-2</v>
      </c>
      <c r="K104">
        <f t="shared" si="13"/>
        <v>1.0336298038738714</v>
      </c>
      <c r="L104">
        <f>-$B$5*$B$12-IF($B$3,Tabelle2[[#This Row],[Fd]]*Tabelle2[[#This Row],[vy]]/Tabelle2[[#This Row],[v]],0)</f>
        <v>-19.916867686365709</v>
      </c>
      <c r="M104">
        <f t="shared" si="14"/>
        <v>-13.277911790910473</v>
      </c>
      <c r="N104">
        <f t="shared" si="15"/>
        <v>-0.26555823581820948</v>
      </c>
      <c r="O104">
        <f t="shared" si="16"/>
        <v>0.86751925159587973</v>
      </c>
      <c r="P104" s="1">
        <f t="shared" si="18"/>
        <v>51.722716349837945</v>
      </c>
      <c r="Q104" s="1">
        <f t="shared" si="19"/>
        <v>43.508741697703087</v>
      </c>
      <c r="R104">
        <f>SQRT(Tabelle2[[#This Row],[vx]]*Tabelle2[[#This Row],[vx]]+Tabelle2[[#This Row],[vy]]*Tabelle2[[#This Row],[vy]])</f>
        <v>67.588830369545832</v>
      </c>
      <c r="S104">
        <f t="shared" si="20"/>
        <v>114.65420839340291</v>
      </c>
      <c r="T104" s="1">
        <f t="shared" si="21"/>
        <v>119.5548902274101</v>
      </c>
    </row>
    <row r="105" spans="6:20" x14ac:dyDescent="0.35">
      <c r="F105" s="1">
        <f t="shared" si="17"/>
        <v>2.0400000000000014</v>
      </c>
      <c r="G105">
        <f>1/2*$B$8*$B$6*$B$7*(Tabelle2[[#This Row],[vx]]*Tabelle2[[#This Row],[vx]]+Tabelle2[[#This Row],[vy]]*Tabelle2[[#This Row],[vy]])/1000000</f>
        <v>8.0250349161526078</v>
      </c>
      <c r="H105">
        <f>IF($B$3,-Tabelle2[[#This Row],[Fd]]*Tabelle2[[#This Row],[vx]]/Tabelle2[[#This Row],[v]],0)</f>
        <v>-6.1527014616380917</v>
      </c>
      <c r="I105">
        <f t="shared" si="11"/>
        <v>-4.1018009744253945</v>
      </c>
      <c r="J105">
        <f t="shared" si="12"/>
        <v>-8.2036019488507889E-2</v>
      </c>
      <c r="K105">
        <f t="shared" si="13"/>
        <v>1.0319849205560983</v>
      </c>
      <c r="L105">
        <f>-$B$5*$B$12-IF($B$3,Tabelle2[[#This Row],[Fd]]*Tabelle2[[#This Row],[vy]]/Tabelle2[[#This Row],[v]],0)</f>
        <v>-19.867227686100932</v>
      </c>
      <c r="M105">
        <f t="shared" si="14"/>
        <v>-13.244818457400621</v>
      </c>
      <c r="N105">
        <f t="shared" si="15"/>
        <v>-0.2648963691480124</v>
      </c>
      <c r="O105">
        <f t="shared" si="16"/>
        <v>0.86221470554621737</v>
      </c>
      <c r="P105" s="1">
        <f t="shared" si="18"/>
        <v>51.640264037549173</v>
      </c>
      <c r="Q105" s="1">
        <f t="shared" si="19"/>
        <v>43.243183461884875</v>
      </c>
      <c r="R105">
        <f>SQRT(Tabelle2[[#This Row],[vx]]*Tabelle2[[#This Row],[vx]]+Tabelle2[[#This Row],[vy]]*Tabelle2[[#This Row],[vy]])</f>
        <v>67.354953684090887</v>
      </c>
      <c r="S105">
        <f t="shared" si="20"/>
        <v>115.68783819727678</v>
      </c>
      <c r="T105" s="1">
        <f t="shared" si="21"/>
        <v>120.42240947900598</v>
      </c>
    </row>
    <row r="106" spans="6:20" x14ac:dyDescent="0.35">
      <c r="F106" s="1">
        <f t="shared" si="17"/>
        <v>2.0600000000000014</v>
      </c>
      <c r="G106">
        <f>1/2*$B$8*$B$6*$B$7*(Tabelle2[[#This Row],[vx]]*Tabelle2[[#This Row],[vx]]+Tabelle2[[#This Row],[vy]]*Tabelle2[[#This Row],[vy]])/1000000</f>
        <v>7.9696575964277301</v>
      </c>
      <c r="H106">
        <f>IF($B$3,-Tabelle2[[#This Row],[Fd]]*Tabelle2[[#This Row],[vx]]/Tabelle2[[#This Row],[v]],0)</f>
        <v>-6.1216957025149625</v>
      </c>
      <c r="I106">
        <f t="shared" si="11"/>
        <v>-4.0811304683433081</v>
      </c>
      <c r="J106">
        <f t="shared" si="12"/>
        <v>-8.1622609366866161E-2</v>
      </c>
      <c r="K106">
        <f t="shared" si="13"/>
        <v>1.0303483342675448</v>
      </c>
      <c r="L106">
        <f>-$B$5*$B$12-IF($B$3,Tabelle2[[#This Row],[Fd]]*Tabelle2[[#This Row],[vy]]/Tabelle2[[#This Row],[v]],0)</f>
        <v>-19.817968149039153</v>
      </c>
      <c r="M106">
        <f t="shared" si="14"/>
        <v>-13.211978766026101</v>
      </c>
      <c r="N106">
        <f t="shared" si="15"/>
        <v>-0.26423957532052206</v>
      </c>
      <c r="O106">
        <f t="shared" si="16"/>
        <v>0.85692334610153209</v>
      </c>
      <c r="P106" s="1">
        <f t="shared" si="18"/>
        <v>51.558228018060667</v>
      </c>
      <c r="Q106" s="1">
        <f t="shared" si="19"/>
        <v>42.978287092736863</v>
      </c>
      <c r="R106">
        <f>SQRT(Tabelle2[[#This Row],[vx]]*Tabelle2[[#This Row],[vx]]+Tabelle2[[#This Row],[vy]]*Tabelle2[[#This Row],[vy]])</f>
        <v>67.122157576973407</v>
      </c>
      <c r="S106">
        <f t="shared" si="20"/>
        <v>116.71982311783287</v>
      </c>
      <c r="T106" s="1">
        <f t="shared" si="21"/>
        <v>121.2846241845522</v>
      </c>
    </row>
    <row r="107" spans="6:20" x14ac:dyDescent="0.35">
      <c r="F107" s="1">
        <f t="shared" si="17"/>
        <v>2.0800000000000014</v>
      </c>
      <c r="G107">
        <f>1/2*$B$8*$B$6*$B$7*(Tabelle2[[#This Row],[vx]]*Tabelle2[[#This Row],[vx]]+Tabelle2[[#This Row],[vy]]*Tabelle2[[#This Row],[vy]])/1000000</f>
        <v>7.914726875460631</v>
      </c>
      <c r="H107">
        <f>IF($B$3,-Tabelle2[[#This Row],[Fd]]*Tabelle2[[#This Row],[vx]]/Tabelle2[[#This Row],[v]],0)</f>
        <v>-6.0909044933566925</v>
      </c>
      <c r="I107">
        <f t="shared" si="11"/>
        <v>-4.060602995571128</v>
      </c>
      <c r="J107">
        <f t="shared" si="12"/>
        <v>-8.1212059911422566E-2</v>
      </c>
      <c r="K107">
        <f t="shared" si="13"/>
        <v>1.0287199875747617</v>
      </c>
      <c r="L107">
        <f>-$B$5*$B$12-IF($B$3,Tabelle2[[#This Row],[Fd]]*Tabelle2[[#This Row],[vy]]/Tabelle2[[#This Row],[v]],0)</f>
        <v>-19.769085868477706</v>
      </c>
      <c r="M107">
        <f t="shared" si="14"/>
        <v>-13.179390578985137</v>
      </c>
      <c r="N107">
        <f t="shared" si="15"/>
        <v>-0.26358781157970274</v>
      </c>
      <c r="O107">
        <f t="shared" si="16"/>
        <v>0.85164507223252983</v>
      </c>
      <c r="P107" s="1">
        <f t="shared" si="18"/>
        <v>51.4766054086938</v>
      </c>
      <c r="Q107" s="1">
        <f t="shared" si="19"/>
        <v>42.71404751741634</v>
      </c>
      <c r="R107">
        <f>SQRT(Tabelle2[[#This Row],[vx]]*Tabelle2[[#This Row],[vx]]+Tabelle2[[#This Row],[vy]]*Tabelle2[[#This Row],[vy]])</f>
        <v>66.890438477576637</v>
      </c>
      <c r="S107">
        <f t="shared" si="20"/>
        <v>117.75017145210042</v>
      </c>
      <c r="T107" s="1">
        <f t="shared" si="21"/>
        <v>122.14154753065374</v>
      </c>
    </row>
    <row r="108" spans="6:20" x14ac:dyDescent="0.35">
      <c r="F108" s="1">
        <f t="shared" si="17"/>
        <v>2.1000000000000014</v>
      </c>
      <c r="G108">
        <f>1/2*$B$8*$B$6*$B$7*(Tabelle2[[#This Row],[vx]]*Tabelle2[[#This Row],[vx]]+Tabelle2[[#This Row],[vy]]*Tabelle2[[#This Row],[vy]])/1000000</f>
        <v>7.8602392775449941</v>
      </c>
      <c r="H108">
        <f>IF($B$3,-Tabelle2[[#This Row],[Fd]]*Tabelle2[[#This Row],[vx]]/Tabelle2[[#This Row],[v]],0)</f>
        <v>-6.0603262031788168</v>
      </c>
      <c r="I108">
        <f t="shared" si="11"/>
        <v>-4.0402174687858778</v>
      </c>
      <c r="J108">
        <f t="shared" si="12"/>
        <v>-8.0804349375717552E-2</v>
      </c>
      <c r="K108">
        <f t="shared" si="13"/>
        <v>1.0270998234818904</v>
      </c>
      <c r="L108">
        <f>-$B$5*$B$12-IF($B$3,Tabelle2[[#This Row],[Fd]]*Tabelle2[[#This Row],[vy]]/Tabelle2[[#This Row],[v]],0)</f>
        <v>-19.720577670092162</v>
      </c>
      <c r="M108">
        <f t="shared" si="14"/>
        <v>-13.147051780061441</v>
      </c>
      <c r="N108">
        <f t="shared" si="15"/>
        <v>-0.26294103560122883</v>
      </c>
      <c r="O108">
        <f t="shared" si="16"/>
        <v>0.84637978376072043</v>
      </c>
      <c r="P108" s="1">
        <f t="shared" si="18"/>
        <v>51.395393348782378</v>
      </c>
      <c r="Q108" s="1">
        <f t="shared" si="19"/>
        <v>42.450459705836636</v>
      </c>
      <c r="R108">
        <f>SQRT(Tabelle2[[#This Row],[vx]]*Tabelle2[[#This Row],[vx]]+Tabelle2[[#This Row],[vy]]*Tabelle2[[#This Row],[vy]])</f>
        <v>66.659792879313116</v>
      </c>
      <c r="S108">
        <f t="shared" si="20"/>
        <v>118.77889143967518</v>
      </c>
      <c r="T108" s="1">
        <f t="shared" si="21"/>
        <v>122.99319260288627</v>
      </c>
    </row>
    <row r="109" spans="6:20" x14ac:dyDescent="0.35">
      <c r="F109" s="1">
        <f t="shared" si="17"/>
        <v>2.1200000000000014</v>
      </c>
      <c r="G109">
        <f>1/2*$B$8*$B$6*$B$7*(Tabelle2[[#This Row],[vx]]*Tabelle2[[#This Row],[vx]]+Tabelle2[[#This Row],[vy]]*Tabelle2[[#This Row],[vy]])/1000000</f>
        <v>7.8061913656190338</v>
      </c>
      <c r="H109">
        <f>IF($B$3,-Tabelle2[[#This Row],[Fd]]*Tabelle2[[#This Row],[vx]]/Tabelle2[[#This Row],[v]],0)</f>
        <v>-6.0299592207002846</v>
      </c>
      <c r="I109">
        <f t="shared" si="11"/>
        <v>-4.01997281380019</v>
      </c>
      <c r="J109">
        <f t="shared" si="12"/>
        <v>-8.0399456276003797E-2</v>
      </c>
      <c r="K109">
        <f t="shared" si="13"/>
        <v>1.0254877854253732</v>
      </c>
      <c r="L109">
        <f>-$B$5*$B$12-IF($B$3,Tabelle2[[#This Row],[Fd]]*Tabelle2[[#This Row],[vy]]/Tabelle2[[#This Row],[v]],0)</f>
        <v>-19.672440411478163</v>
      </c>
      <c r="M109">
        <f t="shared" si="14"/>
        <v>-13.114960274318776</v>
      </c>
      <c r="N109">
        <f t="shared" si="15"/>
        <v>-0.26229920548637553</v>
      </c>
      <c r="O109">
        <f t="shared" si="16"/>
        <v>0.84112738134984444</v>
      </c>
      <c r="P109" s="1">
        <f t="shared" si="18"/>
        <v>51.314588999406659</v>
      </c>
      <c r="Q109" s="1">
        <f t="shared" si="19"/>
        <v>42.187518670235406</v>
      </c>
      <c r="R109">
        <f>SQRT(Tabelle2[[#This Row],[vx]]*Tabelle2[[#This Row],[vx]]+Tabelle2[[#This Row],[vy]]*Tabelle2[[#This Row],[vy]])</f>
        <v>66.430217339170937</v>
      </c>
      <c r="S109">
        <f t="shared" si="20"/>
        <v>119.80599126315707</v>
      </c>
      <c r="T109" s="1">
        <f t="shared" si="21"/>
        <v>123.83957238664699</v>
      </c>
    </row>
    <row r="110" spans="6:20" x14ac:dyDescent="0.35">
      <c r="F110" s="1">
        <f t="shared" si="17"/>
        <v>2.1400000000000015</v>
      </c>
      <c r="G110">
        <f>1/2*$B$8*$B$6*$B$7*(Tabelle2[[#This Row],[vx]]*Tabelle2[[#This Row],[vx]]+Tabelle2[[#This Row],[vy]]*Tabelle2[[#This Row],[vy]])/1000000</f>
        <v>7.7525797407705079</v>
      </c>
      <c r="H110">
        <f>IF($B$3,-Tabelle2[[#This Row],[Fd]]*Tabelle2[[#This Row],[vx]]/Tabelle2[[#This Row],[v]],0)</f>
        <v>-5.9998019541032708</v>
      </c>
      <c r="I110">
        <f t="shared" si="11"/>
        <v>-3.9998679694021804</v>
      </c>
      <c r="J110">
        <f t="shared" si="12"/>
        <v>-7.9997359388043615E-2</v>
      </c>
      <c r="K110">
        <f t="shared" si="13"/>
        <v>1.0238838172687326</v>
      </c>
      <c r="L110">
        <f>-$B$5*$B$12-IF($B$3,Tabelle2[[#This Row],[Fd]]*Tabelle2[[#This Row],[vy]]/Tabelle2[[#This Row],[v]],0)</f>
        <v>-19.62467098169968</v>
      </c>
      <c r="M110">
        <f t="shared" si="14"/>
        <v>-13.083113987799786</v>
      </c>
      <c r="N110">
        <f t="shared" si="15"/>
        <v>-0.26166227975599571</v>
      </c>
      <c r="O110">
        <f t="shared" si="16"/>
        <v>0.83588776649742058</v>
      </c>
      <c r="P110" s="1">
        <f t="shared" si="18"/>
        <v>51.234189543130654</v>
      </c>
      <c r="Q110" s="1">
        <f t="shared" si="19"/>
        <v>41.925219464749027</v>
      </c>
      <c r="R110">
        <f>SQRT(Tabelle2[[#This Row],[vx]]*Tabelle2[[#This Row],[vx]]+Tabelle2[[#This Row],[vy]]*Tabelle2[[#This Row],[vy]])</f>
        <v>66.201708477265214</v>
      </c>
      <c r="S110">
        <f t="shared" si="20"/>
        <v>120.83147904858244</v>
      </c>
      <c r="T110" s="1">
        <f t="shared" si="21"/>
        <v>124.68069976799684</v>
      </c>
    </row>
    <row r="111" spans="6:20" x14ac:dyDescent="0.35">
      <c r="F111" s="1">
        <f t="shared" si="17"/>
        <v>2.1600000000000015</v>
      </c>
      <c r="G111">
        <f>1/2*$B$8*$B$6*$B$7*(Tabelle2[[#This Row],[vx]]*Tabelle2[[#This Row],[vx]]+Tabelle2[[#This Row],[vy]]*Tabelle2[[#This Row],[vy]])/1000000</f>
        <v>7.6994010417490735</v>
      </c>
      <c r="H111">
        <f>IF($B$3,-Tabelle2[[#This Row],[Fd]]*Tabelle2[[#This Row],[vx]]/Tabelle2[[#This Row],[v]],0)</f>
        <v>-5.9698528307964809</v>
      </c>
      <c r="I111">
        <f t="shared" si="11"/>
        <v>-3.9799018871976539</v>
      </c>
      <c r="J111">
        <f t="shared" si="12"/>
        <v>-7.9598037743953076E-2</v>
      </c>
      <c r="K111">
        <f t="shared" si="13"/>
        <v>1.0222878632974126</v>
      </c>
      <c r="L111">
        <f>-$B$5*$B$12-IF($B$3,Tabelle2[[#This Row],[Fd]]*Tabelle2[[#This Row],[vy]]/Tabelle2[[#This Row],[v]],0)</f>
        <v>-19.577266300843462</v>
      </c>
      <c r="M111">
        <f t="shared" si="14"/>
        <v>-13.051510867228975</v>
      </c>
      <c r="N111">
        <f t="shared" si="15"/>
        <v>-0.26103021734457948</v>
      </c>
      <c r="O111">
        <f t="shared" si="16"/>
        <v>0.83066084152641484</v>
      </c>
      <c r="P111" s="1">
        <f t="shared" si="18"/>
        <v>51.154192183742609</v>
      </c>
      <c r="Q111" s="1">
        <f t="shared" si="19"/>
        <v>41.663557184993032</v>
      </c>
      <c r="R111">
        <f>SQRT(Tabelle2[[#This Row],[vx]]*Tabelle2[[#This Row],[vx]]+Tabelle2[[#This Row],[vy]]*Tabelle2[[#This Row],[vy]])</f>
        <v>65.974262976394499</v>
      </c>
      <c r="S111">
        <f t="shared" si="20"/>
        <v>121.85536286585118</v>
      </c>
      <c r="T111" s="1">
        <f t="shared" si="21"/>
        <v>125.51658753449426</v>
      </c>
    </row>
    <row r="112" spans="6:20" x14ac:dyDescent="0.35">
      <c r="F112" s="1">
        <f t="shared" si="17"/>
        <v>2.1800000000000015</v>
      </c>
      <c r="G112">
        <f>1/2*$B$8*$B$6*$B$7*(Tabelle2[[#This Row],[vx]]*Tabelle2[[#This Row],[vx]]+Tabelle2[[#This Row],[vy]]*Tabelle2[[#This Row],[vy]])/1000000</f>
        <v>7.6466519444858774</v>
      </c>
      <c r="H112">
        <f>IF($B$3,-Tabelle2[[#This Row],[Fd]]*Tabelle2[[#This Row],[vx]]/Tabelle2[[#This Row],[v]],0)</f>
        <v>-5.9401102971818682</v>
      </c>
      <c r="I112">
        <f t="shared" si="11"/>
        <v>-3.960073531454579</v>
      </c>
      <c r="J112">
        <f t="shared" si="12"/>
        <v>-7.920147062909158E-2</v>
      </c>
      <c r="K112">
        <f t="shared" si="13"/>
        <v>1.0206998682136823</v>
      </c>
      <c r="L112">
        <f>-$B$5*$B$12-IF($B$3,Tabelle2[[#This Row],[Fd]]*Tabelle2[[#This Row],[vy]]/Tabelle2[[#This Row],[v]],0)</f>
        <v>-19.53022331957964</v>
      </c>
      <c r="M112">
        <f t="shared" si="14"/>
        <v>-13.020148879719761</v>
      </c>
      <c r="N112">
        <f t="shared" si="15"/>
        <v>-0.26040297759439524</v>
      </c>
      <c r="O112">
        <f t="shared" si="16"/>
        <v>0.82544650957702514</v>
      </c>
      <c r="P112" s="1">
        <f t="shared" si="18"/>
        <v>51.074594145998653</v>
      </c>
      <c r="Q112" s="1">
        <f t="shared" si="19"/>
        <v>41.402526967648456</v>
      </c>
      <c r="R112">
        <f>SQRT(Tabelle2[[#This Row],[vx]]*Tabelle2[[#This Row],[vx]]+Tabelle2[[#This Row],[vy]]*Tabelle2[[#This Row],[vy]])</f>
        <v>65.747877581602111</v>
      </c>
      <c r="S112">
        <f t="shared" si="20"/>
        <v>122.87765072914858</v>
      </c>
      <c r="T112" s="1">
        <f t="shared" si="21"/>
        <v>126.34724837602067</v>
      </c>
    </row>
    <row r="113" spans="6:20" x14ac:dyDescent="0.35">
      <c r="F113" s="1">
        <f t="shared" si="17"/>
        <v>2.2000000000000015</v>
      </c>
      <c r="G113">
        <f>1/2*$B$8*$B$6*$B$7*(Tabelle2[[#This Row],[vx]]*Tabelle2[[#This Row],[vx]]+Tabelle2[[#This Row],[vy]]*Tabelle2[[#This Row],[vy]])/1000000</f>
        <v>7.5943291616202506</v>
      </c>
      <c r="H113">
        <f>IF($B$3,-Tabelle2[[#This Row],[Fd]]*Tabelle2[[#This Row],[vx]]/Tabelle2[[#This Row],[v]],0)</f>
        <v>-5.9105728184247184</v>
      </c>
      <c r="I113">
        <f t="shared" si="11"/>
        <v>-3.9403818789498124</v>
      </c>
      <c r="J113">
        <f t="shared" si="12"/>
        <v>-7.8807637578996254E-2</v>
      </c>
      <c r="K113">
        <f t="shared" si="13"/>
        <v>1.0191197771316012</v>
      </c>
      <c r="L113">
        <f>-$B$5*$B$12-IF($B$3,Tabelle2[[#This Row],[Fd]]*Tabelle2[[#This Row],[vy]]/Tabelle2[[#This Row],[v]],0)</f>
        <v>-19.483539018728337</v>
      </c>
      <c r="M113">
        <f t="shared" si="14"/>
        <v>-12.989026012485558</v>
      </c>
      <c r="N113">
        <f t="shared" si="15"/>
        <v>-0.25978052024971116</v>
      </c>
      <c r="O113">
        <f t="shared" si="16"/>
        <v>0.82024467459858419</v>
      </c>
      <c r="P113" s="1">
        <f t="shared" si="18"/>
        <v>50.995392675369558</v>
      </c>
      <c r="Q113" s="1">
        <f t="shared" si="19"/>
        <v>41.14212399005406</v>
      </c>
      <c r="R113">
        <f>SQRT(Tabelle2[[#This Row],[vx]]*Tabelle2[[#This Row],[vx]]+Tabelle2[[#This Row],[vy]]*Tabelle2[[#This Row],[vy]])</f>
        <v>65.522549099742122</v>
      </c>
      <c r="S113">
        <f t="shared" si="20"/>
        <v>123.89835059736227</v>
      </c>
      <c r="T113" s="1">
        <f t="shared" si="21"/>
        <v>127.17269488559769</v>
      </c>
    </row>
    <row r="114" spans="6:20" x14ac:dyDescent="0.35">
      <c r="F114" s="1">
        <f t="shared" si="17"/>
        <v>2.2200000000000015</v>
      </c>
      <c r="G114">
        <f>1/2*$B$8*$B$6*$B$7*(Tabelle2[[#This Row],[vx]]*Tabelle2[[#This Row],[vx]]+Tabelle2[[#This Row],[vy]]*Tabelle2[[#This Row],[vy]])/1000000</f>
        <v>7.5424294420333906</v>
      </c>
      <c r="H114">
        <f>IF($B$3,-Tabelle2[[#This Row],[Fd]]*Tabelle2[[#This Row],[vx]]/Tabelle2[[#This Row],[v]],0)</f>
        <v>-5.8812388782270224</v>
      </c>
      <c r="I114">
        <f t="shared" si="11"/>
        <v>-3.9208259188180148</v>
      </c>
      <c r="J114">
        <f t="shared" si="12"/>
        <v>-7.8416518376360295E-2</v>
      </c>
      <c r="K114">
        <f t="shared" si="13"/>
        <v>1.0175475355720476</v>
      </c>
      <c r="L114">
        <f>-$B$5*$B$12-IF($B$3,Tabelle2[[#This Row],[Fd]]*Tabelle2[[#This Row],[vy]]/Tabelle2[[#This Row],[v]],0)</f>
        <v>-19.43721040883219</v>
      </c>
      <c r="M114">
        <f t="shared" si="14"/>
        <v>-12.958140272554793</v>
      </c>
      <c r="N114">
        <f t="shared" si="15"/>
        <v>-0.25916280545109588</v>
      </c>
      <c r="O114">
        <f t="shared" si="16"/>
        <v>0.81505524134157603</v>
      </c>
      <c r="P114" s="1">
        <f t="shared" si="18"/>
        <v>50.916585037790561</v>
      </c>
      <c r="Q114" s="1">
        <f t="shared" si="19"/>
        <v>40.882343469804347</v>
      </c>
      <c r="R114">
        <f>SQRT(Tabelle2[[#This Row],[vx]]*Tabelle2[[#This Row],[vx]]+Tabelle2[[#This Row],[vy]]*Tabelle2[[#This Row],[vy]])</f>
        <v>65.298274399049873</v>
      </c>
      <c r="S114">
        <f t="shared" si="20"/>
        <v>124.91747037449387</v>
      </c>
      <c r="T114" s="1">
        <f t="shared" si="21"/>
        <v>127.99293956019628</v>
      </c>
    </row>
    <row r="115" spans="6:20" x14ac:dyDescent="0.35">
      <c r="F115" s="1">
        <f t="shared" si="17"/>
        <v>2.2400000000000015</v>
      </c>
      <c r="G115">
        <f>1/2*$B$8*$B$6*$B$7*(Tabelle2[[#This Row],[vx]]*Tabelle2[[#This Row],[vx]]+Tabelle2[[#This Row],[vy]]*Tabelle2[[#This Row],[vy]])/1000000</f>
        <v>7.4909495703888851</v>
      </c>
      <c r="H115">
        <f>IF($B$3,-Tabelle2[[#This Row],[Fd]]*Tabelle2[[#This Row],[vx]]/Tabelle2[[#This Row],[v]],0)</f>
        <v>-5.8521069786040698</v>
      </c>
      <c r="I115">
        <f t="shared" si="11"/>
        <v>-3.9014046524027131</v>
      </c>
      <c r="J115">
        <f t="shared" si="12"/>
        <v>-7.8028093048054262E-2</v>
      </c>
      <c r="K115">
        <f t="shared" si="13"/>
        <v>1.0159830894578037</v>
      </c>
      <c r="L115">
        <f>-$B$5*$B$12-IF($B$3,Tabelle2[[#This Row],[Fd]]*Tabelle2[[#This Row],[vy]]/Tabelle2[[#This Row],[v]],0)</f>
        <v>-19.391234529734685</v>
      </c>
      <c r="M115">
        <f t="shared" si="14"/>
        <v>-12.927489686489791</v>
      </c>
      <c r="N115">
        <f t="shared" si="15"/>
        <v>-0.25854979372979581</v>
      </c>
      <c r="O115">
        <f t="shared" si="16"/>
        <v>0.80987811534976706</v>
      </c>
      <c r="P115" s="1">
        <f t="shared" si="18"/>
        <v>50.838168519414204</v>
      </c>
      <c r="Q115" s="1">
        <f t="shared" si="19"/>
        <v>40.623180664353249</v>
      </c>
      <c r="R115">
        <f>SQRT(Tabelle2[[#This Row],[vx]]*Tabelle2[[#This Row],[vx]]+Tabelle2[[#This Row],[vy]]*Tabelle2[[#This Row],[vy]])</f>
        <v>65.075050408716862</v>
      </c>
      <c r="S115">
        <f t="shared" si="20"/>
        <v>125.93501791006592</v>
      </c>
      <c r="T115" s="1">
        <f t="shared" si="21"/>
        <v>128.80799480153786</v>
      </c>
    </row>
    <row r="116" spans="6:20" x14ac:dyDescent="0.35">
      <c r="F116" s="1">
        <f t="shared" si="17"/>
        <v>2.2600000000000016</v>
      </c>
      <c r="G116">
        <f>1/2*$B$8*$B$6*$B$7*(Tabelle2[[#This Row],[vx]]*Tabelle2[[#This Row],[vx]]+Tabelle2[[#This Row],[vy]]*Tabelle2[[#This Row],[vy]])/1000000</f>
        <v>7.4398863666800139</v>
      </c>
      <c r="H116">
        <f>IF($B$3,-Tabelle2[[#This Row],[Fd]]*Tabelle2[[#This Row],[vx]]/Tabelle2[[#This Row],[v]],0)</f>
        <v>-5.8231756396642291</v>
      </c>
      <c r="I116">
        <f t="shared" si="11"/>
        <v>-3.8821170931094859</v>
      </c>
      <c r="J116">
        <f t="shared" si="12"/>
        <v>-7.7642341862189726E-2</v>
      </c>
      <c r="K116">
        <f t="shared" si="13"/>
        <v>1.0144263851087012</v>
      </c>
      <c r="L116">
        <f>-$B$5*$B$12-IF($B$3,Tabelle2[[#This Row],[Fd]]*Tabelle2[[#This Row],[vy]]/Tabelle2[[#This Row],[v]],0)</f>
        <v>-19.345608450164214</v>
      </c>
      <c r="M116">
        <f t="shared" si="14"/>
        <v>-12.897072300109476</v>
      </c>
      <c r="N116">
        <f t="shared" si="15"/>
        <v>-0.25794144600218954</v>
      </c>
      <c r="O116">
        <f t="shared" si="16"/>
        <v>0.80471320295244708</v>
      </c>
      <c r="P116" s="1">
        <f t="shared" si="18"/>
        <v>50.760140426366149</v>
      </c>
      <c r="Q116" s="1">
        <f t="shared" si="19"/>
        <v>40.364630870623451</v>
      </c>
      <c r="R116">
        <f>SQRT(Tabelle2[[#This Row],[vx]]*Tabelle2[[#This Row],[vx]]+Tabelle2[[#This Row],[vy]]*Tabelle2[[#This Row],[vy]])</f>
        <v>64.85287411846987</v>
      </c>
      <c r="S116">
        <f t="shared" si="20"/>
        <v>126.95100099952373</v>
      </c>
      <c r="T116" s="1">
        <f t="shared" si="21"/>
        <v>129.61787291688762</v>
      </c>
    </row>
    <row r="117" spans="6:20" x14ac:dyDescent="0.35">
      <c r="F117" s="1">
        <f t="shared" si="17"/>
        <v>2.2800000000000016</v>
      </c>
      <c r="G117">
        <f>1/2*$B$8*$B$6*$B$7*(Tabelle2[[#This Row],[vx]]*Tabelle2[[#This Row],[vx]]+Tabelle2[[#This Row],[vy]]*Tabelle2[[#This Row],[vy]])/1000000</f>
        <v>7.3892366857836507</v>
      </c>
      <c r="H117">
        <f>IF($B$3,-Tabelle2[[#This Row],[Fd]]*Tabelle2[[#This Row],[vx]]/Tabelle2[[#This Row],[v]],0)</f>
        <v>-5.7944433993918221</v>
      </c>
      <c r="I117">
        <f t="shared" si="11"/>
        <v>-3.8629622662612149</v>
      </c>
      <c r="J117">
        <f t="shared" si="12"/>
        <v>-7.7259245325224296E-2</v>
      </c>
      <c r="K117">
        <f t="shared" si="13"/>
        <v>1.0128773692368269</v>
      </c>
      <c r="L117">
        <f>-$B$5*$B$12-IF($B$3,Tabelle2[[#This Row],[Fd]]*Tabelle2[[#This Row],[vy]]/Tabelle2[[#This Row],[v]],0)</f>
        <v>-19.300329267323722</v>
      </c>
      <c r="M117">
        <f t="shared" si="14"/>
        <v>-12.866886178215815</v>
      </c>
      <c r="N117">
        <f t="shared" si="15"/>
        <v>-0.25733772356431628</v>
      </c>
      <c r="O117">
        <f t="shared" si="16"/>
        <v>0.79956041125678201</v>
      </c>
      <c r="P117" s="1">
        <f t="shared" si="18"/>
        <v>50.682498084503962</v>
      </c>
      <c r="Q117" s="1">
        <f t="shared" si="19"/>
        <v>40.106689424621258</v>
      </c>
      <c r="R117">
        <f>SQRT(Tabelle2[[#This Row],[vx]]*Tabelle2[[#This Row],[vx]]+Tabelle2[[#This Row],[vy]]*Tabelle2[[#This Row],[vy]])</f>
        <v>64.631742578154075</v>
      </c>
      <c r="S117">
        <f t="shared" si="20"/>
        <v>127.96542738463243</v>
      </c>
      <c r="T117" s="1">
        <f t="shared" si="21"/>
        <v>130.42258611984008</v>
      </c>
    </row>
    <row r="118" spans="6:20" x14ac:dyDescent="0.35">
      <c r="F118" s="1">
        <f t="shared" si="17"/>
        <v>2.3000000000000016</v>
      </c>
      <c r="G118">
        <f>1/2*$B$8*$B$6*$B$7*(Tabelle2[[#This Row],[vx]]*Tabelle2[[#This Row],[vx]]+Tabelle2[[#This Row],[vy]]*Tabelle2[[#This Row],[vy]])/1000000</f>
        <v>7.3389974170206855</v>
      </c>
      <c r="H118">
        <f>IF($B$3,-Tabelle2[[#This Row],[Fd]]*Tabelle2[[#This Row],[vx]]/Tabelle2[[#This Row],[v]],0)</f>
        <v>-5.7659088134330316</v>
      </c>
      <c r="I118">
        <f t="shared" si="11"/>
        <v>-3.8439392089553546</v>
      </c>
      <c r="J118">
        <f t="shared" si="12"/>
        <v>-7.6878784179107096E-2</v>
      </c>
      <c r="K118">
        <f t="shared" si="13"/>
        <v>1.0113359889417839</v>
      </c>
      <c r="L118">
        <f>-$B$5*$B$12-IF($B$3,Tabelle2[[#This Row],[Fd]]*Tabelle2[[#This Row],[vy]]/Tabelle2[[#This Row],[v]],0)</f>
        <v>-19.255394106485866</v>
      </c>
      <c r="M118">
        <f t="shared" si="14"/>
        <v>-12.836929404323911</v>
      </c>
      <c r="N118">
        <f t="shared" si="15"/>
        <v>-0.2567385880864782</v>
      </c>
      <c r="O118">
        <f t="shared" si="16"/>
        <v>0.79441964814027399</v>
      </c>
      <c r="P118" s="1">
        <f t="shared" si="18"/>
        <v>50.605238839178739</v>
      </c>
      <c r="Q118" s="1">
        <f t="shared" si="19"/>
        <v>39.849351701056939</v>
      </c>
      <c r="R118">
        <f>SQRT(Tabelle2[[#This Row],[vx]]*Tabelle2[[#This Row],[vx]]+Tabelle2[[#This Row],[vy]]*Tabelle2[[#This Row],[vy]])</f>
        <v>64.411652897320167</v>
      </c>
      <c r="S118">
        <f t="shared" si="20"/>
        <v>128.97830475386925</v>
      </c>
      <c r="T118" s="1">
        <f t="shared" si="21"/>
        <v>131.22214653109685</v>
      </c>
    </row>
    <row r="119" spans="6:20" x14ac:dyDescent="0.35">
      <c r="F119" s="1">
        <f t="shared" si="17"/>
        <v>2.3200000000000016</v>
      </c>
      <c r="G119">
        <f>1/2*$B$8*$B$6*$B$7*(Tabelle2[[#This Row],[vx]]*Tabelle2[[#This Row],[vx]]+Tabelle2[[#This Row],[vy]]*Tabelle2[[#This Row],[vy]])/1000000</f>
        <v>7.2891654837228783</v>
      </c>
      <c r="H119">
        <f>IF($B$3,-Tabelle2[[#This Row],[Fd]]*Tabelle2[[#This Row],[vx]]/Tabelle2[[#This Row],[v]],0)</f>
        <v>-5.7375704548848345</v>
      </c>
      <c r="I119">
        <f t="shared" si="11"/>
        <v>-3.825046969923223</v>
      </c>
      <c r="J119">
        <f t="shared" si="12"/>
        <v>-7.650093939846446E-2</v>
      </c>
      <c r="K119">
        <f t="shared" si="13"/>
        <v>1.0098021917060078</v>
      </c>
      <c r="L119">
        <f>-$B$5*$B$12-IF($B$3,Tabelle2[[#This Row],[Fd]]*Tabelle2[[#This Row],[vy]]/Tabelle2[[#This Row],[v]],0)</f>
        <v>-19.210800120593621</v>
      </c>
      <c r="M119">
        <f t="shared" si="14"/>
        <v>-12.807200080395747</v>
      </c>
      <c r="N119">
        <f t="shared" si="15"/>
        <v>-0.25614400160791495</v>
      </c>
      <c r="O119">
        <f t="shared" si="16"/>
        <v>0.78929082224333003</v>
      </c>
      <c r="P119" s="1">
        <f t="shared" si="18"/>
        <v>50.528360054999631</v>
      </c>
      <c r="Q119" s="1">
        <f t="shared" si="19"/>
        <v>39.592613112970461</v>
      </c>
      <c r="R119">
        <f>SQRT(Tabelle2[[#This Row],[vx]]*Tabelle2[[#This Row],[vx]]+Tabelle2[[#This Row],[vy]]*Tabelle2[[#This Row],[vy]])</f>
        <v>64.19260224481512</v>
      </c>
      <c r="S119">
        <f t="shared" si="20"/>
        <v>129.98964074281105</v>
      </c>
      <c r="T119" s="1">
        <f t="shared" si="21"/>
        <v>132.01656617923712</v>
      </c>
    </row>
    <row r="120" spans="6:20" x14ac:dyDescent="0.35">
      <c r="F120" s="1">
        <f t="shared" si="17"/>
        <v>2.3400000000000016</v>
      </c>
      <c r="G120">
        <f>1/2*$B$8*$B$6*$B$7*(Tabelle2[[#This Row],[vx]]*Tabelle2[[#This Row],[vx]]+Tabelle2[[#This Row],[vy]]*Tabelle2[[#This Row],[vy]])/1000000</f>
        <v>7.2397378428059573</v>
      </c>
      <c r="H120">
        <f>IF($B$3,-Tabelle2[[#This Row],[Fd]]*Tabelle2[[#This Row],[vx]]/Tabelle2[[#This Row],[v]],0)</f>
        <v>-5.7094269140868157</v>
      </c>
      <c r="I120">
        <f t="shared" si="11"/>
        <v>-3.8062846093912106</v>
      </c>
      <c r="J120">
        <f t="shared" si="12"/>
        <v>-7.6125692187824209E-2</v>
      </c>
      <c r="K120">
        <f t="shared" si="13"/>
        <v>1.008275925390145</v>
      </c>
      <c r="L120">
        <f>-$B$5*$B$12-IF($B$3,Tabelle2[[#This Row],[Fd]]*Tabelle2[[#This Row],[vy]]/Tabelle2[[#This Row],[v]],0)</f>
        <v>-19.166544489866158</v>
      </c>
      <c r="M120">
        <f t="shared" si="14"/>
        <v>-12.777696326577439</v>
      </c>
      <c r="N120">
        <f t="shared" si="15"/>
        <v>-0.25555392653154879</v>
      </c>
      <c r="O120">
        <f t="shared" si="16"/>
        <v>0.78417384296193549</v>
      </c>
      <c r="P120" s="1">
        <f t="shared" si="18"/>
        <v>50.451859115601167</v>
      </c>
      <c r="Q120" s="1">
        <f t="shared" si="19"/>
        <v>39.336469111362547</v>
      </c>
      <c r="R120">
        <f>SQRT(Tabelle2[[#This Row],[vx]]*Tabelle2[[#This Row],[vx]]+Tabelle2[[#This Row],[vy]]*Tabelle2[[#This Row],[vy]])</f>
        <v>63.974587848376551</v>
      </c>
      <c r="S120">
        <f t="shared" si="20"/>
        <v>130.99944293451705</v>
      </c>
      <c r="T120" s="1">
        <f t="shared" si="21"/>
        <v>132.80585700148043</v>
      </c>
    </row>
    <row r="121" spans="6:20" x14ac:dyDescent="0.35">
      <c r="F121" s="1">
        <f t="shared" si="17"/>
        <v>2.3600000000000017</v>
      </c>
      <c r="G121">
        <f>1/2*$B$8*$B$6*$B$7*(Tabelle2[[#This Row],[vx]]*Tabelle2[[#This Row],[vx]]+Tabelle2[[#This Row],[vy]]*Tabelle2[[#This Row],[vy]])/1000000</f>
        <v>7.1907114843489586</v>
      </c>
      <c r="H121">
        <f>IF($B$3,-Tabelle2[[#This Row],[Fd]]*Tabelle2[[#This Row],[vx]]/Tabelle2[[#This Row],[v]],0)</f>
        <v>-5.681476798415896</v>
      </c>
      <c r="I121">
        <f t="shared" si="11"/>
        <v>-3.7876511989439305</v>
      </c>
      <c r="J121">
        <f t="shared" si="12"/>
        <v>-7.5753023978878606E-2</v>
      </c>
      <c r="K121">
        <f t="shared" si="13"/>
        <v>1.0067571382284781</v>
      </c>
      <c r="L121">
        <f>-$B$5*$B$12-IF($B$3,Tabelle2[[#This Row],[Fd]]*Tabelle2[[#This Row],[vy]]/Tabelle2[[#This Row],[v]],0)</f>
        <v>-19.122624421410002</v>
      </c>
      <c r="M121">
        <f t="shared" si="14"/>
        <v>-12.748416280940001</v>
      </c>
      <c r="N121">
        <f t="shared" si="15"/>
        <v>-0.25496832561880001</v>
      </c>
      <c r="O121">
        <f t="shared" si="16"/>
        <v>0.77906862044043201</v>
      </c>
      <c r="P121" s="1">
        <f t="shared" si="18"/>
        <v>50.375733423413344</v>
      </c>
      <c r="Q121" s="1">
        <f t="shared" si="19"/>
        <v>39.080915184830999</v>
      </c>
      <c r="R121">
        <f>SQRT(Tabelle2[[#This Row],[vx]]*Tabelle2[[#This Row],[vx]]+Tabelle2[[#This Row],[vy]]*Tabelle2[[#This Row],[vy]])</f>
        <v>63.757606994230564</v>
      </c>
      <c r="S121">
        <f t="shared" si="20"/>
        <v>132.00771885990719</v>
      </c>
      <c r="T121" s="1">
        <f t="shared" si="21"/>
        <v>133.59003084444237</v>
      </c>
    </row>
    <row r="122" spans="6:20" x14ac:dyDescent="0.35">
      <c r="F122" s="1">
        <f t="shared" si="17"/>
        <v>2.3800000000000017</v>
      </c>
      <c r="G122">
        <f>1/2*$B$8*$B$6*$B$7*(Tabelle2[[#This Row],[vx]]*Tabelle2[[#This Row],[vx]]+Tabelle2[[#This Row],[vy]]*Tabelle2[[#This Row],[vy]])/1000000</f>
        <v>7.1420834311796133</v>
      </c>
      <c r="H122">
        <f>IF($B$3,-Tabelle2[[#This Row],[Fd]]*Tabelle2[[#This Row],[vx]]/Tabelle2[[#This Row],[v]],0)</f>
        <v>-5.6537187320838438</v>
      </c>
      <c r="I122">
        <f t="shared" si="11"/>
        <v>-3.769145821389229</v>
      </c>
      <c r="J122">
        <f t="shared" si="12"/>
        <v>-7.538291642778458E-2</v>
      </c>
      <c r="K122">
        <f t="shared" si="13"/>
        <v>1.0052457788244116</v>
      </c>
      <c r="L122">
        <f>-$B$5*$B$12-IF($B$3,Tabelle2[[#This Row],[Fd]]*Tabelle2[[#This Row],[vy]]/Tabelle2[[#This Row],[v]],0)</f>
        <v>-19.079037148835308</v>
      </c>
      <c r="M122">
        <f t="shared" si="14"/>
        <v>-12.719358099223539</v>
      </c>
      <c r="N122">
        <f t="shared" si="15"/>
        <v>-0.25438716198447081</v>
      </c>
      <c r="O122">
        <f t="shared" si="16"/>
        <v>0.77397506556439932</v>
      </c>
      <c r="P122" s="1">
        <f t="shared" si="18"/>
        <v>50.299980399434467</v>
      </c>
      <c r="Q122" s="1">
        <f t="shared" si="19"/>
        <v>38.825946859212202</v>
      </c>
      <c r="R122">
        <f>SQRT(Tabelle2[[#This Row],[vx]]*Tabelle2[[#This Row],[vx]]+Tabelle2[[#This Row],[vy]]*Tabelle2[[#This Row],[vy]])</f>
        <v>63.541657026692825</v>
      </c>
      <c r="S122">
        <f t="shared" si="20"/>
        <v>133.01447599813565</v>
      </c>
      <c r="T122" s="1">
        <f t="shared" si="21"/>
        <v>134.36909946488279</v>
      </c>
    </row>
    <row r="123" spans="6:20" x14ac:dyDescent="0.35">
      <c r="F123" s="1">
        <f t="shared" si="17"/>
        <v>2.4000000000000017</v>
      </c>
      <c r="G123">
        <f>1/2*$B$8*$B$6*$B$7*(Tabelle2[[#This Row],[vx]]*Tabelle2[[#This Row],[vx]]+Tabelle2[[#This Row],[vy]]*Tabelle2[[#This Row],[vy]])/1000000</f>
        <v>7.0938507384657283</v>
      </c>
      <c r="H123">
        <f>IF($B$3,-Tabelle2[[#This Row],[Fd]]*Tabelle2[[#This Row],[vx]]/Tabelle2[[#This Row],[v]],0)</f>
        <v>-5.6261513559375684</v>
      </c>
      <c r="I123">
        <f t="shared" si="11"/>
        <v>-3.7507675706250456</v>
      </c>
      <c r="J123">
        <f t="shared" si="12"/>
        <v>-7.5015351412500916E-2</v>
      </c>
      <c r="K123">
        <f t="shared" si="13"/>
        <v>1.0037417961460087</v>
      </c>
      <c r="L123">
        <f>-$B$5*$B$12-IF($B$3,Tabelle2[[#This Row],[Fd]]*Tabelle2[[#This Row],[vy]]/Tabelle2[[#This Row],[v]],0)</f>
        <v>-19.035779931877187</v>
      </c>
      <c r="M123">
        <f t="shared" si="14"/>
        <v>-12.690519954584792</v>
      </c>
      <c r="N123">
        <f t="shared" si="15"/>
        <v>-0.25381039909169584</v>
      </c>
      <c r="O123">
        <f t="shared" si="16"/>
        <v>0.76889308995363781</v>
      </c>
      <c r="P123" s="1">
        <f t="shared" si="18"/>
        <v>50.224597483006683</v>
      </c>
      <c r="Q123" s="1">
        <f t="shared" si="19"/>
        <v>38.571559697227734</v>
      </c>
      <c r="R123">
        <f>SQRT(Tabelle2[[#This Row],[vx]]*Tabelle2[[#This Row],[vx]]+Tabelle2[[#This Row],[vy]]*Tabelle2[[#This Row],[vy]])</f>
        <v>63.326735347772704</v>
      </c>
      <c r="S123">
        <f t="shared" si="20"/>
        <v>134.01972177696007</v>
      </c>
      <c r="T123" s="1">
        <f t="shared" si="21"/>
        <v>135.14307453044719</v>
      </c>
    </row>
    <row r="124" spans="6:20" x14ac:dyDescent="0.35">
      <c r="F124" s="1">
        <f t="shared" si="17"/>
        <v>2.4200000000000017</v>
      </c>
      <c r="G124">
        <f>1/2*$B$8*$B$6*$B$7*(Tabelle2[[#This Row],[vx]]*Tabelle2[[#This Row],[vx]]+Tabelle2[[#This Row],[vy]]*Tabelle2[[#This Row],[vy]])/1000000</f>
        <v>7.0460104933124397</v>
      </c>
      <c r="H124">
        <f>IF($B$3,-Tabelle2[[#This Row],[Fd]]*Tabelle2[[#This Row],[vx]]/Tabelle2[[#This Row],[v]],0)</f>
        <v>-5.5987733272621023</v>
      </c>
      <c r="I124">
        <f t="shared" si="11"/>
        <v>-3.7325155515080684</v>
      </c>
      <c r="J124">
        <f t="shared" si="12"/>
        <v>-7.465031103016137E-2</v>
      </c>
      <c r="K124">
        <f t="shared" si="13"/>
        <v>1.0022451395215821</v>
      </c>
      <c r="L124">
        <f>-$B$5*$B$12-IF($B$3,Tabelle2[[#This Row],[Fd]]*Tabelle2[[#This Row],[vy]]/Tabelle2[[#This Row],[v]],0)</f>
        <v>-18.992850056022004</v>
      </c>
      <c r="M124">
        <f t="shared" si="14"/>
        <v>-12.661900037348003</v>
      </c>
      <c r="N124">
        <f t="shared" si="15"/>
        <v>-0.25323800074696007</v>
      </c>
      <c r="O124">
        <f t="shared" si="16"/>
        <v>0.76382260595525109</v>
      </c>
      <c r="P124" s="1">
        <f t="shared" si="18"/>
        <v>50.14958213159418</v>
      </c>
      <c r="Q124" s="1">
        <f t="shared" si="19"/>
        <v>38.317749298136036</v>
      </c>
      <c r="R124">
        <f>SQRT(Tabelle2[[#This Row],[vx]]*Tabelle2[[#This Row],[vx]]+Tabelle2[[#This Row],[vy]]*Tabelle2[[#This Row],[vy]])</f>
        <v>63.112839416780439</v>
      </c>
      <c r="S124">
        <f t="shared" si="20"/>
        <v>135.02346357310608</v>
      </c>
      <c r="T124" s="1">
        <f t="shared" si="21"/>
        <v>135.91196762040084</v>
      </c>
    </row>
    <row r="125" spans="6:20" x14ac:dyDescent="0.35">
      <c r="F125" s="1">
        <f t="shared" si="17"/>
        <v>2.4400000000000017</v>
      </c>
      <c r="G125">
        <f>1/2*$B$8*$B$6*$B$7*(Tabelle2[[#This Row],[vx]]*Tabelle2[[#This Row],[vx]]+Tabelle2[[#This Row],[vy]]*Tabelle2[[#This Row],[vy]])/1000000</f>
        <v>6.9985598143652599</v>
      </c>
      <c r="H125">
        <f>IF($B$3,-Tabelle2[[#This Row],[Fd]]*Tabelle2[[#This Row],[vx]]/Tabelle2[[#This Row],[v]],0)</f>
        <v>-5.5715833195862521</v>
      </c>
      <c r="I125">
        <f t="shared" si="11"/>
        <v>-3.7143888797241682</v>
      </c>
      <c r="J125">
        <f t="shared" si="12"/>
        <v>-7.4287777594483365E-2</v>
      </c>
      <c r="K125">
        <f t="shared" si="13"/>
        <v>1.0007557586353355</v>
      </c>
      <c r="L125">
        <f>-$B$5*$B$12-IF($B$3,Tabelle2[[#This Row],[Fd]]*Tabelle2[[#This Row],[vy]]/Tabelle2[[#This Row],[v]],0)</f>
        <v>-18.95024483213858</v>
      </c>
      <c r="M125">
        <f t="shared" si="14"/>
        <v>-12.633496554759054</v>
      </c>
      <c r="N125">
        <f t="shared" si="15"/>
        <v>-0.2526699310951811</v>
      </c>
      <c r="O125">
        <f t="shared" si="16"/>
        <v>0.75876352663682967</v>
      </c>
      <c r="P125" s="1">
        <f t="shared" si="18"/>
        <v>50.074931820564018</v>
      </c>
      <c r="Q125" s="1">
        <f t="shared" si="19"/>
        <v>38.064511297389075</v>
      </c>
      <c r="R125">
        <f>SQRT(Tabelle2[[#This Row],[vx]]*Tabelle2[[#This Row],[vx]]+Tabelle2[[#This Row],[vy]]*Tabelle2[[#This Row],[vy]])</f>
        <v>62.899966749937121</v>
      </c>
      <c r="S125">
        <f t="shared" si="20"/>
        <v>136.02570871262768</v>
      </c>
      <c r="T125" s="1">
        <f t="shared" si="21"/>
        <v>136.6757902263561</v>
      </c>
    </row>
    <row r="126" spans="6:20" x14ac:dyDescent="0.35">
      <c r="F126" s="1">
        <f t="shared" si="17"/>
        <v>2.4600000000000017</v>
      </c>
      <c r="G126">
        <f>1/2*$B$8*$B$6*$B$7*(Tabelle2[[#This Row],[vx]]*Tabelle2[[#This Row],[vx]]+Tabelle2[[#This Row],[vy]]*Tabelle2[[#This Row],[vy]])/1000000</f>
        <v>6.9514958514187866</v>
      </c>
      <c r="H126">
        <f>IF($B$3,-Tabelle2[[#This Row],[Fd]]*Tabelle2[[#This Row],[vx]]/Tabelle2[[#This Row],[v]],0)</f>
        <v>-5.5445800224908286</v>
      </c>
      <c r="I126">
        <f t="shared" si="11"/>
        <v>-3.6963866816605524</v>
      </c>
      <c r="J126">
        <f t="shared" si="12"/>
        <v>-7.3927733633211049E-2</v>
      </c>
      <c r="K126">
        <f t="shared" si="13"/>
        <v>0.99927360352305861</v>
      </c>
      <c r="L126">
        <f>-$B$5*$B$12-IF($B$3,Tabelle2[[#This Row],[Fd]]*Tabelle2[[#This Row],[vy]]/Tabelle2[[#This Row],[v]],0)</f>
        <v>-18.907961596114159</v>
      </c>
      <c r="M126">
        <f t="shared" si="14"/>
        <v>-12.605307730742773</v>
      </c>
      <c r="N126">
        <f t="shared" si="15"/>
        <v>-0.25210615461485547</v>
      </c>
      <c r="O126">
        <f t="shared" si="16"/>
        <v>0.75371576577972932</v>
      </c>
      <c r="P126" s="1">
        <f t="shared" si="18"/>
        <v>50.000644042969533</v>
      </c>
      <c r="Q126" s="1">
        <f t="shared" si="19"/>
        <v>37.811841366293891</v>
      </c>
      <c r="R126">
        <f>SQRT(Tabelle2[[#This Row],[vx]]*Tabelle2[[#This Row],[vx]]+Tabelle2[[#This Row],[vy]]*Tabelle2[[#This Row],[vy]])</f>
        <v>62.688114919987179</v>
      </c>
      <c r="S126">
        <f t="shared" si="20"/>
        <v>137.02646447126301</v>
      </c>
      <c r="T126" s="1">
        <f t="shared" si="21"/>
        <v>137.43455375299294</v>
      </c>
    </row>
    <row r="127" spans="6:20" x14ac:dyDescent="0.35">
      <c r="F127" s="1">
        <f t="shared" si="17"/>
        <v>2.4800000000000018</v>
      </c>
      <c r="G127">
        <f>1/2*$B$8*$B$6*$B$7*(Tabelle2[[#This Row],[vx]]*Tabelle2[[#This Row],[vx]]+Tabelle2[[#This Row],[vy]]*Tabelle2[[#This Row],[vy]])/1000000</f>
        <v>6.9048157850310075</v>
      </c>
      <c r="H127">
        <f>IF($B$3,-Tabelle2[[#This Row],[Fd]]*Tabelle2[[#This Row],[vx]]/Tabelle2[[#This Row],[v]],0)</f>
        <v>-5.5177621414194373</v>
      </c>
      <c r="I127">
        <f t="shared" si="11"/>
        <v>-3.6785080942796249</v>
      </c>
      <c r="J127">
        <f t="shared" si="12"/>
        <v>-7.3570161885592497E-2</v>
      </c>
      <c r="K127">
        <f t="shared" si="13"/>
        <v>0.9977986245678705</v>
      </c>
      <c r="L127">
        <f>-$B$5*$B$12-IF($B$3,Tabelle2[[#This Row],[Fd]]*Tabelle2[[#This Row],[vy]]/Tabelle2[[#This Row],[v]],0)</f>
        <v>-18.865997708495122</v>
      </c>
      <c r="M127">
        <f t="shared" si="14"/>
        <v>-12.577331805663414</v>
      </c>
      <c r="N127">
        <f t="shared" si="15"/>
        <v>-0.25154663611326827</v>
      </c>
      <c r="O127">
        <f t="shared" si="16"/>
        <v>0.74867923787244794</v>
      </c>
      <c r="P127" s="1">
        <f t="shared" si="18"/>
        <v>49.926716309336321</v>
      </c>
      <c r="Q127" s="1">
        <f t="shared" si="19"/>
        <v>37.559735211679033</v>
      </c>
      <c r="R127">
        <f>SQRT(Tabelle2[[#This Row],[vx]]*Tabelle2[[#This Row],[vx]]+Tabelle2[[#This Row],[vy]]*Tabelle2[[#This Row],[vy]])</f>
        <v>62.477281555813477</v>
      </c>
      <c r="S127">
        <f t="shared" si="20"/>
        <v>138.02573807478606</v>
      </c>
      <c r="T127" s="1">
        <f t="shared" si="21"/>
        <v>138.18826951877267</v>
      </c>
    </row>
    <row r="128" spans="6:20" x14ac:dyDescent="0.35">
      <c r="F128" s="1">
        <f t="shared" si="17"/>
        <v>2.5000000000000018</v>
      </c>
      <c r="G128">
        <f>1/2*$B$8*$B$6*$B$7*(Tabelle2[[#This Row],[vx]]*Tabelle2[[#This Row],[vx]]+Tabelle2[[#This Row],[vy]]*Tabelle2[[#This Row],[vy]])/1000000</f>
        <v>6.8585168261431004</v>
      </c>
      <c r="H128">
        <f>IF($B$3,-Tabelle2[[#This Row],[Fd]]*Tabelle2[[#This Row],[vx]]/Tabelle2[[#This Row],[v]],0)</f>
        <v>-5.4911283974917531</v>
      </c>
      <c r="I128">
        <f t="shared" si="11"/>
        <v>-3.6607522649945019</v>
      </c>
      <c r="J128">
        <f t="shared" si="12"/>
        <v>-7.3215045299890036E-2</v>
      </c>
      <c r="K128">
        <f t="shared" si="13"/>
        <v>0.99633077249601576</v>
      </c>
      <c r="L128">
        <f>-$B$5*$B$12-IF($B$3,Tabelle2[[#This Row],[Fd]]*Tabelle2[[#This Row],[vy]]/Tabelle2[[#This Row],[v]],0)</f>
        <v>-18.82435055413233</v>
      </c>
      <c r="M128">
        <f t="shared" si="14"/>
        <v>-12.54956703608822</v>
      </c>
      <c r="N128">
        <f t="shared" si="15"/>
        <v>-0.25099134072176443</v>
      </c>
      <c r="O128">
        <f t="shared" si="16"/>
        <v>0.74365385810409768</v>
      </c>
      <c r="P128" s="1">
        <f t="shared" si="18"/>
        <v>49.85314614745073</v>
      </c>
      <c r="Q128" s="1">
        <f t="shared" si="19"/>
        <v>37.308188575565765</v>
      </c>
      <c r="R128">
        <f>SQRT(Tabelle2[[#This Row],[vx]]*Tabelle2[[#This Row],[vx]]+Tabelle2[[#This Row],[vy]]*Tabelle2[[#This Row],[vy]])</f>
        <v>62.26746434205473</v>
      </c>
      <c r="S128">
        <f t="shared" si="20"/>
        <v>139.02353669935394</v>
      </c>
      <c r="T128" s="1">
        <f t="shared" si="21"/>
        <v>138.93694875664511</v>
      </c>
    </row>
    <row r="129" spans="6:20" x14ac:dyDescent="0.35">
      <c r="F129" s="1">
        <f t="shared" si="17"/>
        <v>2.5200000000000018</v>
      </c>
      <c r="G129">
        <f>1/2*$B$8*$B$6*$B$7*(Tabelle2[[#This Row],[vx]]*Tabelle2[[#This Row],[vx]]+Tabelle2[[#This Row],[vy]]*Tabelle2[[#This Row],[vy]])/1000000</f>
        <v>6.8125962157046294</v>
      </c>
      <c r="H129">
        <f>IF($B$3,-Tabelle2[[#This Row],[Fd]]*Tabelle2[[#This Row],[vx]]/Tabelle2[[#This Row],[v]],0)</f>
        <v>-5.4646775273192567</v>
      </c>
      <c r="I129">
        <f t="shared" si="11"/>
        <v>-3.6431183515461711</v>
      </c>
      <c r="J129">
        <f t="shared" si="12"/>
        <v>-7.2862367030923428E-2</v>
      </c>
      <c r="K129">
        <f t="shared" si="13"/>
        <v>0.99486999837270762</v>
      </c>
      <c r="L129">
        <f>-$B$5*$B$12-IF($B$3,Tabelle2[[#This Row],[Fd]]*Tabelle2[[#This Row],[vy]]/Tabelle2[[#This Row],[v]],0)</f>
        <v>-18.783017541831022</v>
      </c>
      <c r="M129">
        <f t="shared" si="14"/>
        <v>-12.522011694554015</v>
      </c>
      <c r="N129">
        <f t="shared" si="15"/>
        <v>-0.25044023389108033</v>
      </c>
      <c r="O129">
        <f t="shared" si="16"/>
        <v>0.73863954235796925</v>
      </c>
      <c r="P129" s="1">
        <f t="shared" si="18"/>
        <v>49.77993110215084</v>
      </c>
      <c r="Q129" s="1">
        <f t="shared" si="19"/>
        <v>37.057197234844004</v>
      </c>
      <c r="R129">
        <f>SQRT(Tabelle2[[#This Row],[vx]]*Tabelle2[[#This Row],[vx]]+Tabelle2[[#This Row],[vy]]*Tabelle2[[#This Row],[vy]])</f>
        <v>62.058661018724976</v>
      </c>
      <c r="S129">
        <f t="shared" si="20"/>
        <v>140.01986747184995</v>
      </c>
      <c r="T129" s="1">
        <f t="shared" si="21"/>
        <v>139.6806026147492</v>
      </c>
    </row>
    <row r="130" spans="6:20" x14ac:dyDescent="0.35">
      <c r="F130" s="1">
        <f t="shared" si="17"/>
        <v>2.5400000000000018</v>
      </c>
      <c r="G130">
        <f>1/2*$B$8*$B$6*$B$7*(Tabelle2[[#This Row],[vx]]*Tabelle2[[#This Row],[vx]]+Tabelle2[[#This Row],[vy]]*Tabelle2[[#This Row],[vy]])/1000000</f>
        <v>6.7670512243040424</v>
      </c>
      <c r="H130">
        <f>IF($B$3,-Tabelle2[[#This Row],[Fd]]*Tabelle2[[#This Row],[vx]]/Tabelle2[[#This Row],[v]],0)</f>
        <v>-5.4384082828233398</v>
      </c>
      <c r="I130">
        <f t="shared" si="11"/>
        <v>-3.6256055218822265</v>
      </c>
      <c r="J130">
        <f t="shared" si="12"/>
        <v>-7.2512110437644536E-2</v>
      </c>
      <c r="K130">
        <f t="shared" si="13"/>
        <v>0.99341625359802199</v>
      </c>
      <c r="L130">
        <f>-$B$5*$B$12-IF($B$3,Tabelle2[[#This Row],[Fd]]*Tabelle2[[#This Row],[vy]]/Tabelle2[[#This Row],[v]],0)</f>
        <v>-18.741996104005235</v>
      </c>
      <c r="M130">
        <f t="shared" si="14"/>
        <v>-12.494664069336823</v>
      </c>
      <c r="N130">
        <f t="shared" si="15"/>
        <v>-0.24989328138673647</v>
      </c>
      <c r="O130">
        <f t="shared" si="16"/>
        <v>0.73363620720519107</v>
      </c>
      <c r="P130" s="1">
        <f t="shared" si="18"/>
        <v>49.707068735119918</v>
      </c>
      <c r="Q130" s="1">
        <f t="shared" si="19"/>
        <v>36.806757000952921</v>
      </c>
      <c r="R130">
        <f>SQRT(Tabelle2[[#This Row],[vx]]*Tabelle2[[#This Row],[vx]]+Tabelle2[[#This Row],[vy]]*Tabelle2[[#This Row],[vy]])</f>
        <v>61.850869380835164</v>
      </c>
      <c r="S130">
        <f t="shared" si="20"/>
        <v>141.01473747022266</v>
      </c>
      <c r="T130" s="1">
        <f t="shared" si="21"/>
        <v>140.41924215710716</v>
      </c>
    </row>
    <row r="131" spans="6:20" x14ac:dyDescent="0.35">
      <c r="F131" s="1">
        <f t="shared" si="17"/>
        <v>2.5600000000000018</v>
      </c>
      <c r="G131">
        <f>1/2*$B$8*$B$6*$B$7*(Tabelle2[[#This Row],[vx]]*Tabelle2[[#This Row],[vx]]+Tabelle2[[#This Row],[vy]]*Tabelle2[[#This Row],[vy]])/1000000</f>
        <v>6.7218791518044121</v>
      </c>
      <c r="H131">
        <f>IF($B$3,-Tabelle2[[#This Row],[Fd]]*Tabelle2[[#This Row],[vx]]/Tabelle2[[#This Row],[v]],0)</f>
        <v>-5.4123194310557778</v>
      </c>
      <c r="I131">
        <f t="shared" ref="I131:I194" si="22">H131/$B$5</f>
        <v>-3.6082129540371852</v>
      </c>
      <c r="J131">
        <f t="shared" ref="J131:J194" si="23">I131*$B$13</f>
        <v>-7.2164259080743712E-2</v>
      </c>
      <c r="K131">
        <f t="shared" ref="K131:K194" si="24">$B$13*(P131+J131/2)</f>
        <v>0.99196948990283806</v>
      </c>
      <c r="L131">
        <f>-$B$5*$B$12-IF($B$3,Tabelle2[[#This Row],[Fd]]*Tabelle2[[#This Row],[vy]]/Tabelle2[[#This Row],[v]],0)</f>
        <v>-18.701283696336585</v>
      </c>
      <c r="M131">
        <f t="shared" ref="M131:M194" si="25">L131/$B$5</f>
        <v>-12.467522464224389</v>
      </c>
      <c r="N131">
        <f t="shared" ref="N131:N194" si="26">M131*$B$13</f>
        <v>-0.2493504492844878</v>
      </c>
      <c r="O131">
        <f t="shared" ref="O131:O194" si="27">$B$13*(Q131+N131/2)</f>
        <v>0.72864376989847868</v>
      </c>
      <c r="P131" s="1">
        <f t="shared" si="18"/>
        <v>49.634556624682276</v>
      </c>
      <c r="Q131" s="1">
        <f t="shared" si="19"/>
        <v>36.556863719566181</v>
      </c>
      <c r="R131">
        <f>SQRT(Tabelle2[[#This Row],[vx]]*Tabelle2[[#This Row],[vx]]+Tabelle2[[#This Row],[vy]]*Tabelle2[[#This Row],[vy]])</f>
        <v>61.644087278016578</v>
      </c>
      <c r="S131">
        <f t="shared" si="20"/>
        <v>142.00815372382067</v>
      </c>
      <c r="T131" s="1">
        <f t="shared" si="21"/>
        <v>141.15287836431236</v>
      </c>
    </row>
    <row r="132" spans="6:20" x14ac:dyDescent="0.35">
      <c r="F132" s="1">
        <f t="shared" ref="F132:F195" si="28">F131+$B$13</f>
        <v>2.5800000000000018</v>
      </c>
      <c r="G132">
        <f>1/2*$B$8*$B$6*$B$7*(Tabelle2[[#This Row],[vx]]*Tabelle2[[#This Row],[vx]]+Tabelle2[[#This Row],[vy]]*Tabelle2[[#This Row],[vy]])/1000000</f>
        <v>6.6770773269842794</v>
      </c>
      <c r="H132">
        <f>IF($B$3,-Tabelle2[[#This Row],[Fd]]*Tabelle2[[#This Row],[vx]]/Tabelle2[[#This Row],[v]],0)</f>
        <v>-5.3864097540214866</v>
      </c>
      <c r="I132">
        <f t="shared" si="22"/>
        <v>-3.5909398360143245</v>
      </c>
      <c r="J132">
        <f t="shared" si="23"/>
        <v>-7.1818796720286487E-2</v>
      </c>
      <c r="K132">
        <f t="shared" si="24"/>
        <v>0.99052965934482784</v>
      </c>
      <c r="L132">
        <f>-$B$5*$B$12-IF($B$3,Tabelle2[[#This Row],[Fd]]*Tabelle2[[#This Row],[vy]]/Tabelle2[[#This Row],[v]],0)</f>
        <v>-18.660877797437436</v>
      </c>
      <c r="M132">
        <f t="shared" si="25"/>
        <v>-12.440585198291624</v>
      </c>
      <c r="N132">
        <f t="shared" si="26"/>
        <v>-0.24881170396583246</v>
      </c>
      <c r="O132">
        <f t="shared" si="27"/>
        <v>0.72366214836597564</v>
      </c>
      <c r="P132" s="1">
        <f t="shared" ref="P132:P195" si="29">P131+J131</f>
        <v>49.562392365601532</v>
      </c>
      <c r="Q132" s="1">
        <f t="shared" ref="Q132:Q195" si="30">Q131+N131</f>
        <v>36.307513270281696</v>
      </c>
      <c r="R132">
        <f>SQRT(Tabelle2[[#This Row],[vx]]*Tabelle2[[#This Row],[vx]]+Tabelle2[[#This Row],[vy]]*Tabelle2[[#This Row],[vy]])</f>
        <v>61.438312614145893</v>
      </c>
      <c r="S132">
        <f t="shared" ref="S132:S195" si="31">S131+K131</f>
        <v>143.0001232137235</v>
      </c>
      <c r="T132" s="1">
        <f t="shared" ref="T132:T195" si="32">T131+O131</f>
        <v>141.88152213421083</v>
      </c>
    </row>
    <row r="133" spans="6:20" x14ac:dyDescent="0.35">
      <c r="F133" s="1">
        <f t="shared" si="28"/>
        <v>2.6000000000000019</v>
      </c>
      <c r="G133">
        <f>1/2*$B$8*$B$6*$B$7*(Tabelle2[[#This Row],[vx]]*Tabelle2[[#This Row],[vx]]+Tabelle2[[#This Row],[vy]]*Tabelle2[[#This Row],[vy]])/1000000</f>
        <v>6.6326431071835712</v>
      </c>
      <c r="H133">
        <f>IF($B$3,-Tabelle2[[#This Row],[Fd]]*Tabelle2[[#This Row],[vx]]/Tabelle2[[#This Row],[v]],0)</f>
        <v>-5.3606780485035364</v>
      </c>
      <c r="I133">
        <f t="shared" si="22"/>
        <v>-3.5737853656690244</v>
      </c>
      <c r="J133">
        <f t="shared" si="23"/>
        <v>-7.1475707313380488E-2</v>
      </c>
      <c r="K133">
        <f t="shared" si="24"/>
        <v>0.98909671430449109</v>
      </c>
      <c r="L133">
        <f>-$B$5*$B$12-IF($B$3,Tabelle2[[#This Row],[Fd]]*Tabelle2[[#This Row],[vy]]/Tabelle2[[#This Row],[v]],0)</f>
        <v>-18.620775908518311</v>
      </c>
      <c r="M133">
        <f t="shared" si="25"/>
        <v>-12.413850605678874</v>
      </c>
      <c r="N133">
        <f t="shared" si="26"/>
        <v>-0.2482770121135775</v>
      </c>
      <c r="O133">
        <f t="shared" si="27"/>
        <v>0.71869126120518145</v>
      </c>
      <c r="P133" s="1">
        <f t="shared" si="29"/>
        <v>49.490573568881246</v>
      </c>
      <c r="Q133" s="1">
        <f t="shared" si="30"/>
        <v>36.058701566315861</v>
      </c>
      <c r="R133">
        <f>SQRT(Tabelle2[[#This Row],[vx]]*Tabelle2[[#This Row],[vx]]+Tabelle2[[#This Row],[vy]]*Tabelle2[[#This Row],[vy]])</f>
        <v>61.233543346971821</v>
      </c>
      <c r="S133">
        <f t="shared" si="31"/>
        <v>143.99065287306831</v>
      </c>
      <c r="T133" s="1">
        <f t="shared" si="32"/>
        <v>142.6051842825768</v>
      </c>
    </row>
    <row r="134" spans="6:20" x14ac:dyDescent="0.35">
      <c r="F134" s="1">
        <f t="shared" si="28"/>
        <v>2.6200000000000019</v>
      </c>
      <c r="G134">
        <f>1/2*$B$8*$B$6*$B$7*(Tabelle2[[#This Row],[vx]]*Tabelle2[[#This Row],[vx]]+Tabelle2[[#This Row],[vy]]*Tabelle2[[#This Row],[vy]])/1000000</f>
        <v>6.5885738779544623</v>
      </c>
      <c r="H134">
        <f>IF($B$3,-Tabelle2[[#This Row],[Fd]]*Tabelle2[[#This Row],[vx]]/Tabelle2[[#This Row],[v]],0)</f>
        <v>-5.3351231258903615</v>
      </c>
      <c r="I134">
        <f t="shared" si="22"/>
        <v>-3.5567487505935742</v>
      </c>
      <c r="J134">
        <f t="shared" si="23"/>
        <v>-7.1134975011871479E-2</v>
      </c>
      <c r="K134">
        <f t="shared" si="24"/>
        <v>0.98767060748123858</v>
      </c>
      <c r="L134">
        <f>-$B$5*$B$12-IF($B$3,Tabelle2[[#This Row],[Fd]]*Tabelle2[[#This Row],[vy]]/Tabelle2[[#This Row],[v]],0)</f>
        <v>-18.580975553059506</v>
      </c>
      <c r="M134">
        <f t="shared" si="25"/>
        <v>-12.387317035373004</v>
      </c>
      <c r="N134">
        <f t="shared" si="26"/>
        <v>-0.24774634070746007</v>
      </c>
      <c r="O134">
        <f t="shared" si="27"/>
        <v>0.71373102767697105</v>
      </c>
      <c r="P134" s="1">
        <f t="shared" si="29"/>
        <v>49.419097861567863</v>
      </c>
      <c r="Q134" s="1">
        <f t="shared" si="30"/>
        <v>35.810424554202285</v>
      </c>
      <c r="R134">
        <f>SQRT(Tabelle2[[#This Row],[vx]]*Tabelle2[[#This Row],[vx]]+Tabelle2[[#This Row],[vy]]*Tabelle2[[#This Row],[vy]])</f>
        <v>61.029777487743104</v>
      </c>
      <c r="S134">
        <f t="shared" si="31"/>
        <v>144.97974958737279</v>
      </c>
      <c r="T134" s="1">
        <f t="shared" si="32"/>
        <v>143.32387554378198</v>
      </c>
    </row>
    <row r="135" spans="6:20" x14ac:dyDescent="0.35">
      <c r="F135" s="1">
        <f t="shared" si="28"/>
        <v>2.6400000000000019</v>
      </c>
      <c r="G135">
        <f>1/2*$B$8*$B$6*$B$7*(Tabelle2[[#This Row],[vx]]*Tabelle2[[#This Row],[vx]]+Tabelle2[[#This Row],[vy]]*Tabelle2[[#This Row],[vy]])/1000000</f>
        <v>6.5448670527171338</v>
      </c>
      <c r="H135">
        <f>IF($B$3,-Tabelle2[[#This Row],[Fd]]*Tabelle2[[#This Row],[vx]]/Tabelle2[[#This Row],[v]],0)</f>
        <v>-5.3097438120051299</v>
      </c>
      <c r="I135">
        <f t="shared" si="22"/>
        <v>-3.5398292080034199</v>
      </c>
      <c r="J135">
        <f t="shared" si="23"/>
        <v>-7.0796584160068399E-2</v>
      </c>
      <c r="K135">
        <f t="shared" si="24"/>
        <v>0.98625129188951921</v>
      </c>
      <c r="L135">
        <f>-$B$5*$B$12-IF($B$3,Tabelle2[[#This Row],[Fd]]*Tabelle2[[#This Row],[vy]]/Tabelle2[[#This Row],[v]],0)</f>
        <v>-18.541474276486841</v>
      </c>
      <c r="M135">
        <f t="shared" si="25"/>
        <v>-12.360982850991228</v>
      </c>
      <c r="N135">
        <f t="shared" si="26"/>
        <v>-0.24721965701982457</v>
      </c>
      <c r="O135">
        <f t="shared" si="27"/>
        <v>0.70878136769969824</v>
      </c>
      <c r="P135" s="1">
        <f t="shared" si="29"/>
        <v>49.34796288655599</v>
      </c>
      <c r="Q135" s="1">
        <f t="shared" si="30"/>
        <v>35.562678213494827</v>
      </c>
      <c r="R135">
        <f>SQRT(Tabelle2[[#This Row],[vx]]*Tabelle2[[#This Row],[vx]]+Tabelle2[[#This Row],[vy]]*Tabelle2[[#This Row],[vy]])</f>
        <v>60.827013100837746</v>
      </c>
      <c r="S135">
        <f t="shared" si="31"/>
        <v>145.96742019485404</v>
      </c>
      <c r="T135" s="1">
        <f t="shared" si="32"/>
        <v>144.03760657145895</v>
      </c>
    </row>
    <row r="136" spans="6:20" x14ac:dyDescent="0.35">
      <c r="F136" s="1">
        <f t="shared" si="28"/>
        <v>2.6600000000000019</v>
      </c>
      <c r="G136">
        <f>1/2*$B$8*$B$6*$B$7*(Tabelle2[[#This Row],[vx]]*Tabelle2[[#This Row],[vx]]+Tabelle2[[#This Row],[vy]]*Tabelle2[[#This Row],[vy]])/1000000</f>
        <v>6.5015200724203144</v>
      </c>
      <c r="H136">
        <f>IF($B$3,-Tabelle2[[#This Row],[Fd]]*Tabelle2[[#This Row],[vx]]/Tabelle2[[#This Row],[v]],0)</f>
        <v>-5.2845389469372153</v>
      </c>
      <c r="I136">
        <f t="shared" si="22"/>
        <v>-3.5230259646248103</v>
      </c>
      <c r="J136">
        <f t="shared" si="23"/>
        <v>-7.0460519292496207E-2</v>
      </c>
      <c r="K136">
        <f t="shared" si="24"/>
        <v>0.98483872085499347</v>
      </c>
      <c r="L136">
        <f>-$B$5*$B$12-IF($B$3,Tabelle2[[#This Row],[Fd]]*Tabelle2[[#This Row],[vy]]/Tabelle2[[#This Row],[v]],0)</f>
        <v>-18.502269645851477</v>
      </c>
      <c r="M136">
        <f t="shared" si="25"/>
        <v>-12.334846430567652</v>
      </c>
      <c r="N136">
        <f t="shared" si="26"/>
        <v>-0.24669692861135303</v>
      </c>
      <c r="O136">
        <f t="shared" si="27"/>
        <v>0.70384220184338642</v>
      </c>
      <c r="P136" s="1">
        <f t="shared" si="29"/>
        <v>49.277166302395919</v>
      </c>
      <c r="Q136" s="1">
        <f t="shared" si="30"/>
        <v>35.315458556475001</v>
      </c>
      <c r="R136">
        <f>SQRT(Tabelle2[[#This Row],[vx]]*Tabelle2[[#This Row],[vx]]+Tabelle2[[#This Row],[vy]]*Tabelle2[[#This Row],[vy]])</f>
        <v>60.625248303393256</v>
      </c>
      <c r="S136">
        <f t="shared" si="31"/>
        <v>146.95367148674356</v>
      </c>
      <c r="T136" s="1">
        <f t="shared" si="32"/>
        <v>144.74638793915864</v>
      </c>
    </row>
    <row r="137" spans="6:20" x14ac:dyDescent="0.35">
      <c r="F137" s="1">
        <f t="shared" si="28"/>
        <v>2.6800000000000019</v>
      </c>
      <c r="G137">
        <f>1/2*$B$8*$B$6*$B$7*(Tabelle2[[#This Row],[vx]]*Tabelle2[[#This Row],[vx]]+Tabelle2[[#This Row],[vy]]*Tabelle2[[#This Row],[vy]])/1000000</f>
        <v>6.4585304052065551</v>
      </c>
      <c r="H137">
        <f>IF($B$3,-Tabelle2[[#This Row],[Fd]]*Tabelle2[[#This Row],[vx]]/Tabelle2[[#This Row],[v]],0)</f>
        <v>-5.2595073848757439</v>
      </c>
      <c r="I137">
        <f t="shared" si="22"/>
        <v>-3.5063382565838292</v>
      </c>
      <c r="J137">
        <f t="shared" si="23"/>
        <v>-7.012676513167658E-2</v>
      </c>
      <c r="K137">
        <f t="shared" si="24"/>
        <v>0.9834328480107517</v>
      </c>
      <c r="L137">
        <f>-$B$5*$B$12-IF($B$3,Tabelle2[[#This Row],[Fd]]*Tabelle2[[#This Row],[vy]]/Tabelle2[[#This Row],[v]],0)</f>
        <v>-18.463359249513722</v>
      </c>
      <c r="M137">
        <f t="shared" si="25"/>
        <v>-12.308906166342481</v>
      </c>
      <c r="N137">
        <f t="shared" si="26"/>
        <v>-0.24617812332684963</v>
      </c>
      <c r="O137">
        <f t="shared" si="27"/>
        <v>0.69891345132400462</v>
      </c>
      <c r="P137" s="1">
        <f t="shared" si="29"/>
        <v>49.206705783103423</v>
      </c>
      <c r="Q137" s="1">
        <f t="shared" si="30"/>
        <v>35.068761627863651</v>
      </c>
      <c r="R137">
        <f>SQRT(Tabelle2[[#This Row],[vx]]*Tabelle2[[#This Row],[vx]]+Tabelle2[[#This Row],[vy]]*Tabelle2[[#This Row],[vy]])</f>
        <v>60.424481264937853</v>
      </c>
      <c r="S137">
        <f t="shared" si="31"/>
        <v>147.93851020759854</v>
      </c>
      <c r="T137" s="1">
        <f t="shared" si="32"/>
        <v>145.45023014100204</v>
      </c>
    </row>
    <row r="138" spans="6:20" x14ac:dyDescent="0.35">
      <c r="F138" s="1">
        <f t="shared" si="28"/>
        <v>2.700000000000002</v>
      </c>
      <c r="G138">
        <f>1/2*$B$8*$B$6*$B$7*(Tabelle2[[#This Row],[vx]]*Tabelle2[[#This Row],[vx]]+Tabelle2[[#This Row],[vy]]*Tabelle2[[#This Row],[vy]])/1000000</f>
        <v>6.4158955460821439</v>
      </c>
      <c r="H138">
        <f>IF($B$3,-Tabelle2[[#This Row],[Fd]]*Tabelle2[[#This Row],[vx]]/Tabelle2[[#This Row],[v]],0)</f>
        <v>-5.2346479939451633</v>
      </c>
      <c r="I138">
        <f t="shared" si="22"/>
        <v>-3.4897653292967754</v>
      </c>
      <c r="J138">
        <f t="shared" si="23"/>
        <v>-6.979530658593551E-2</v>
      </c>
      <c r="K138">
        <f t="shared" si="24"/>
        <v>0.98203362729357568</v>
      </c>
      <c r="L138">
        <f>-$B$5*$B$12-IF($B$3,Tabelle2[[#This Row],[Fd]]*Tabelle2[[#This Row],[vy]]/Tabelle2[[#This Row],[v]],0)</f>
        <v>-18.424740696830785</v>
      </c>
      <c r="M138">
        <f t="shared" si="25"/>
        <v>-12.283160464553857</v>
      </c>
      <c r="N138">
        <f t="shared" si="26"/>
        <v>-0.24566320929107716</v>
      </c>
      <c r="O138">
        <f t="shared" si="27"/>
        <v>0.69399503799782525</v>
      </c>
      <c r="P138" s="1">
        <f t="shared" si="29"/>
        <v>49.136579017971748</v>
      </c>
      <c r="Q138" s="1">
        <f t="shared" si="30"/>
        <v>34.822583504536802</v>
      </c>
      <c r="R138">
        <f>SQRT(Tabelle2[[#This Row],[vx]]*Tabelle2[[#This Row],[vx]]+Tabelle2[[#This Row],[vy]]*Tabelle2[[#This Row],[vy]])</f>
        <v>60.224710207022333</v>
      </c>
      <c r="S138">
        <f t="shared" si="31"/>
        <v>148.92194305560929</v>
      </c>
      <c r="T138" s="1">
        <f t="shared" si="32"/>
        <v>146.14914359232606</v>
      </c>
    </row>
    <row r="139" spans="6:20" x14ac:dyDescent="0.35">
      <c r="F139" s="1">
        <f t="shared" si="28"/>
        <v>2.720000000000002</v>
      </c>
      <c r="G139">
        <f>1/2*$B$8*$B$6*$B$7*(Tabelle2[[#This Row],[vx]]*Tabelle2[[#This Row],[vx]]+Tabelle2[[#This Row],[vy]]*Tabelle2[[#This Row],[vy]])/1000000</f>
        <v>6.3736130165915723</v>
      </c>
      <c r="H139">
        <f>IF($B$3,-Tabelle2[[#This Row],[Fd]]*Tabelle2[[#This Row],[vx]]/Tabelle2[[#This Row],[v]],0)</f>
        <v>-5.209959656042769</v>
      </c>
      <c r="I139">
        <f t="shared" si="22"/>
        <v>-3.4733064373618459</v>
      </c>
      <c r="J139">
        <f t="shared" si="23"/>
        <v>-6.9466128747236913E-2</v>
      </c>
      <c r="K139">
        <f t="shared" si="24"/>
        <v>0.98064101294024386</v>
      </c>
      <c r="L139">
        <f>-$B$5*$B$12-IF($B$3,Tabelle2[[#This Row],[Fd]]*Tabelle2[[#This Row],[vy]]/Tabelle2[[#This Row],[v]],0)</f>
        <v>-18.386411617848402</v>
      </c>
      <c r="M139">
        <f t="shared" si="25"/>
        <v>-12.257607745232269</v>
      </c>
      <c r="N139">
        <f t="shared" si="26"/>
        <v>-0.2451521549046454</v>
      </c>
      <c r="O139">
        <f t="shared" si="27"/>
        <v>0.68908688435586807</v>
      </c>
      <c r="P139" s="1">
        <f t="shared" si="29"/>
        <v>49.06678371138581</v>
      </c>
      <c r="Q139" s="1">
        <f t="shared" si="30"/>
        <v>34.576920295245728</v>
      </c>
      <c r="R139">
        <f>SQRT(Tabelle2[[#This Row],[vx]]*Tabelle2[[#This Row],[vx]]+Tabelle2[[#This Row],[vy]]*Tabelle2[[#This Row],[vy]])</f>
        <v>60.025933402852566</v>
      </c>
      <c r="S139">
        <f t="shared" si="31"/>
        <v>149.90397668290288</v>
      </c>
      <c r="T139" s="1">
        <f t="shared" si="32"/>
        <v>146.84313863032389</v>
      </c>
    </row>
    <row r="140" spans="6:20" x14ac:dyDescent="0.35">
      <c r="F140" s="1">
        <f t="shared" si="28"/>
        <v>2.740000000000002</v>
      </c>
      <c r="G140">
        <f>1/2*$B$8*$B$6*$B$7*(Tabelle2[[#This Row],[vx]]*Tabelle2[[#This Row],[vx]]+Tabelle2[[#This Row],[vy]]*Tabelle2[[#This Row],[vy]])/1000000</f>
        <v>6.3316803644965107</v>
      </c>
      <c r="H140">
        <f>IF($B$3,-Tabelle2[[#This Row],[Fd]]*Tabelle2[[#This Row],[vx]]/Tabelle2[[#This Row],[v]],0)</f>
        <v>-5.1854412666781906</v>
      </c>
      <c r="I140">
        <f t="shared" si="22"/>
        <v>-3.4569608444521269</v>
      </c>
      <c r="J140">
        <f t="shared" si="23"/>
        <v>-6.9139216889042537E-2</v>
      </c>
      <c r="K140">
        <f t="shared" si="24"/>
        <v>0.97925495948388108</v>
      </c>
      <c r="L140">
        <f>-$B$5*$B$12-IF($B$3,Tabelle2[[#This Row],[Fd]]*Tabelle2[[#This Row],[vy]]/Tabelle2[[#This Row],[v]],0)</f>
        <v>-18.348369662996259</v>
      </c>
      <c r="M140">
        <f t="shared" si="25"/>
        <v>-12.232246441997505</v>
      </c>
      <c r="N140">
        <f t="shared" si="26"/>
        <v>-0.24464492883995012</v>
      </c>
      <c r="O140">
        <f t="shared" si="27"/>
        <v>0.68418891351842226</v>
      </c>
      <c r="P140" s="1">
        <f t="shared" si="29"/>
        <v>48.997317582638573</v>
      </c>
      <c r="Q140" s="1">
        <f t="shared" si="30"/>
        <v>34.331768140341083</v>
      </c>
      <c r="R140">
        <f>SQRT(Tabelle2[[#This Row],[vx]]*Tabelle2[[#This Row],[vx]]+Tabelle2[[#This Row],[vy]]*Tabelle2[[#This Row],[vy]])</f>
        <v>59.828149176922416</v>
      </c>
      <c r="S140">
        <f t="shared" si="31"/>
        <v>150.88461769584313</v>
      </c>
      <c r="T140" s="1">
        <f t="shared" si="32"/>
        <v>147.53222551467977</v>
      </c>
    </row>
    <row r="141" spans="6:20" x14ac:dyDescent="0.35">
      <c r="F141" s="1">
        <f t="shared" si="28"/>
        <v>2.760000000000002</v>
      </c>
      <c r="G141">
        <f>1/2*$B$8*$B$6*$B$7*(Tabelle2[[#This Row],[vx]]*Tabelle2[[#This Row],[vx]]+Tabelle2[[#This Row],[vy]]*Tabelle2[[#This Row],[vy]])/1000000</f>
        <v>6.2900951634591822</v>
      </c>
      <c r="H141">
        <f>IF($B$3,-Tabelle2[[#This Row],[Fd]]*Tabelle2[[#This Row],[vx]]/Tabelle2[[#This Row],[v]],0)</f>
        <v>-5.1610917348147458</v>
      </c>
      <c r="I141">
        <f t="shared" si="22"/>
        <v>-3.4407278232098304</v>
      </c>
      <c r="J141">
        <f t="shared" si="23"/>
        <v>-6.8814556464196611E-2</v>
      </c>
      <c r="K141">
        <f t="shared" si="24"/>
        <v>0.97787542175034869</v>
      </c>
      <c r="L141">
        <f>-$B$5*$B$12-IF($B$3,Tabelle2[[#This Row],[Fd]]*Tabelle2[[#This Row],[vy]]/Tabelle2[[#This Row],[v]],0)</f>
        <v>-18.310612502787183</v>
      </c>
      <c r="M141">
        <f t="shared" si="25"/>
        <v>-12.207075001858122</v>
      </c>
      <c r="N141">
        <f t="shared" si="26"/>
        <v>-0.24414150003716245</v>
      </c>
      <c r="O141">
        <f t="shared" si="27"/>
        <v>0.67930104922965107</v>
      </c>
      <c r="P141" s="1">
        <f t="shared" si="29"/>
        <v>48.928178365749531</v>
      </c>
      <c r="Q141" s="1">
        <f t="shared" si="30"/>
        <v>34.08712321150113</v>
      </c>
      <c r="R141">
        <f>SQRT(Tabelle2[[#This Row],[vx]]*Tabelle2[[#This Row],[vx]]+Tabelle2[[#This Row],[vy]]*Tabelle2[[#This Row],[vy]])</f>
        <v>59.631355904646838</v>
      </c>
      <c r="S141">
        <f t="shared" si="31"/>
        <v>151.86387265532701</v>
      </c>
      <c r="T141" s="1">
        <f t="shared" si="32"/>
        <v>148.21641442819819</v>
      </c>
    </row>
    <row r="142" spans="6:20" x14ac:dyDescent="0.35">
      <c r="F142" s="1">
        <f t="shared" si="28"/>
        <v>2.780000000000002</v>
      </c>
      <c r="G142">
        <f>1/2*$B$8*$B$6*$B$7*(Tabelle2[[#This Row],[vx]]*Tabelle2[[#This Row],[vx]]+Tabelle2[[#This Row],[vy]]*Tabelle2[[#This Row],[vy]])/1000000</f>
        <v>6.248855012730095</v>
      </c>
      <c r="H142">
        <f>IF($B$3,-Tabelle2[[#This Row],[Fd]]*Tabelle2[[#This Row],[vx]]/Tabelle2[[#This Row],[v]],0)</f>
        <v>-5.136909982712667</v>
      </c>
      <c r="I142">
        <f t="shared" si="22"/>
        <v>-3.424606655141778</v>
      </c>
      <c r="J142">
        <f t="shared" si="23"/>
        <v>-6.8492133102835556E-2</v>
      </c>
      <c r="K142">
        <f t="shared" si="24"/>
        <v>0.97650235485467829</v>
      </c>
      <c r="L142">
        <f>-$B$5*$B$12-IF($B$3,Tabelle2[[#This Row],[Fd]]*Tabelle2[[#This Row],[vy]]/Tabelle2[[#This Row],[v]],0)</f>
        <v>-18.273137827520035</v>
      </c>
      <c r="M142">
        <f t="shared" si="25"/>
        <v>-12.182091885013357</v>
      </c>
      <c r="N142">
        <f t="shared" si="26"/>
        <v>-0.24364183770026715</v>
      </c>
      <c r="O142">
        <f t="shared" si="27"/>
        <v>0.67442321585227671</v>
      </c>
      <c r="P142" s="1">
        <f t="shared" si="29"/>
        <v>48.859363809285334</v>
      </c>
      <c r="Q142" s="1">
        <f t="shared" si="30"/>
        <v>33.84298171146397</v>
      </c>
      <c r="R142">
        <f>SQRT(Tabelle2[[#This Row],[vx]]*Tabelle2[[#This Row],[vx]]+Tabelle2[[#This Row],[vy]]*Tabelle2[[#This Row],[vy]])</f>
        <v>59.435552011995199</v>
      </c>
      <c r="S142">
        <f t="shared" si="31"/>
        <v>152.84174807707737</v>
      </c>
      <c r="T142" s="1">
        <f t="shared" si="32"/>
        <v>148.89571547742784</v>
      </c>
    </row>
    <row r="143" spans="6:20" x14ac:dyDescent="0.35">
      <c r="F143" s="1">
        <f t="shared" si="28"/>
        <v>2.800000000000002</v>
      </c>
      <c r="G143">
        <f>1/2*$B$8*$B$6*$B$7*(Tabelle2[[#This Row],[vx]]*Tabelle2[[#This Row],[vx]]+Tabelle2[[#This Row],[vy]]*Tabelle2[[#This Row],[vy]])/1000000</f>
        <v>6.2079575368400217</v>
      </c>
      <c r="H143">
        <f>IF($B$3,-Tabelle2[[#This Row],[Fd]]*Tabelle2[[#This Row],[vx]]/Tabelle2[[#This Row],[v]],0)</f>
        <v>-5.1128949457741024</v>
      </c>
      <c r="I143">
        <f t="shared" si="22"/>
        <v>-3.4085966305160684</v>
      </c>
      <c r="J143">
        <f t="shared" si="23"/>
        <v>-6.8171932610321367E-2</v>
      </c>
      <c r="K143">
        <f t="shared" si="24"/>
        <v>0.97513571419754674</v>
      </c>
      <c r="L143">
        <f>-$B$5*$B$12-IF($B$3,Tabelle2[[#This Row],[Fd]]*Tabelle2[[#This Row],[vy]]/Tabelle2[[#This Row],[v]],0)</f>
        <v>-18.235943346986211</v>
      </c>
      <c r="M143">
        <f t="shared" si="25"/>
        <v>-12.157295564657474</v>
      </c>
      <c r="N143">
        <f t="shared" si="26"/>
        <v>-0.2431459112931495</v>
      </c>
      <c r="O143">
        <f t="shared" si="27"/>
        <v>0.66955533836234249</v>
      </c>
      <c r="P143" s="1">
        <f t="shared" si="29"/>
        <v>48.790871676182498</v>
      </c>
      <c r="Q143" s="1">
        <f t="shared" si="30"/>
        <v>33.599339873763704</v>
      </c>
      <c r="R143">
        <f>SQRT(Tabelle2[[#This Row],[vx]]*Tabelle2[[#This Row],[vx]]+Tabelle2[[#This Row],[vy]]*Tabelle2[[#This Row],[vy]])</f>
        <v>59.240735975124373</v>
      </c>
      <c r="S143">
        <f t="shared" si="31"/>
        <v>153.81825043193206</v>
      </c>
      <c r="T143" s="1">
        <f t="shared" si="32"/>
        <v>149.57013869328011</v>
      </c>
    </row>
    <row r="144" spans="6:20" x14ac:dyDescent="0.35">
      <c r="F144" s="1">
        <f t="shared" si="28"/>
        <v>2.8200000000000021</v>
      </c>
      <c r="G144">
        <f>1/2*$B$8*$B$6*$B$7*(Tabelle2[[#This Row],[vx]]*Tabelle2[[#This Row],[vx]]+Tabelle2[[#This Row],[vy]]*Tabelle2[[#This Row],[vy]])/1000000</f>
        <v>6.1674003852962116</v>
      </c>
      <c r="H144">
        <f>IF($B$3,-Tabelle2[[#This Row],[Fd]]*Tabelle2[[#This Row],[vx]]/Tabelle2[[#This Row],[v]],0)</f>
        <v>-5.0890455723899279</v>
      </c>
      <c r="I144">
        <f t="shared" si="22"/>
        <v>-3.3926970482599521</v>
      </c>
      <c r="J144">
        <f t="shared" si="23"/>
        <v>-6.7853940965199047E-2</v>
      </c>
      <c r="K144">
        <f t="shared" si="24"/>
        <v>0.97377545546179167</v>
      </c>
      <c r="L144">
        <f>-$B$5*$B$12-IF($B$3,Tabelle2[[#This Row],[Fd]]*Tabelle2[[#This Row],[vy]]/Tabelle2[[#This Row],[v]],0)</f>
        <v>-18.199026790179769</v>
      </c>
      <c r="M144">
        <f t="shared" si="25"/>
        <v>-12.132684526786512</v>
      </c>
      <c r="N144">
        <f t="shared" si="26"/>
        <v>-0.24265369053573024</v>
      </c>
      <c r="O144">
        <f t="shared" si="27"/>
        <v>0.66469734234405375</v>
      </c>
      <c r="P144" s="1">
        <f t="shared" si="29"/>
        <v>48.722699743572178</v>
      </c>
      <c r="Q144" s="1">
        <f t="shared" si="30"/>
        <v>33.356193962470556</v>
      </c>
      <c r="R144">
        <f>SQRT(Tabelle2[[#This Row],[vx]]*Tabelle2[[#This Row],[vx]]+Tabelle2[[#This Row],[vy]]*Tabelle2[[#This Row],[vy]])</f>
        <v>59.046906320011765</v>
      </c>
      <c r="S144">
        <f t="shared" si="31"/>
        <v>154.79338614612959</v>
      </c>
      <c r="T144" s="1">
        <f t="shared" si="32"/>
        <v>150.23969403164244</v>
      </c>
    </row>
    <row r="145" spans="6:20" x14ac:dyDescent="0.35">
      <c r="F145" s="1">
        <f t="shared" si="28"/>
        <v>2.8400000000000021</v>
      </c>
      <c r="G145">
        <f>1/2*$B$8*$B$6*$B$7*(Tabelle2[[#This Row],[vx]]*Tabelle2[[#This Row],[vx]]+Tabelle2[[#This Row],[vy]]*Tabelle2[[#This Row],[vy]])/1000000</f>
        <v>6.1271812322827035</v>
      </c>
      <c r="H145">
        <f>IF($B$3,-Tabelle2[[#This Row],[Fd]]*Tabelle2[[#This Row],[vx]]/Tabelle2[[#This Row],[v]],0)</f>
        <v>-5.065360823788235</v>
      </c>
      <c r="I145">
        <f t="shared" si="22"/>
        <v>-3.3769072158588234</v>
      </c>
      <c r="J145">
        <f t="shared" si="23"/>
        <v>-6.7538144317176474E-2</v>
      </c>
      <c r="K145">
        <f t="shared" si="24"/>
        <v>0.97242153460896774</v>
      </c>
      <c r="L145">
        <f>-$B$5*$B$12-IF($B$3,Tabelle2[[#This Row],[Fd]]*Tabelle2[[#This Row],[vy]]/Tabelle2[[#This Row],[v]],0)</f>
        <v>-18.162385905011035</v>
      </c>
      <c r="M145">
        <f t="shared" si="25"/>
        <v>-12.108257270007357</v>
      </c>
      <c r="N145">
        <f t="shared" si="26"/>
        <v>-0.24216514540014714</v>
      </c>
      <c r="O145">
        <f t="shared" si="27"/>
        <v>0.65984915398469501</v>
      </c>
      <c r="P145" s="1">
        <f t="shared" si="29"/>
        <v>48.654845802606978</v>
      </c>
      <c r="Q145" s="1">
        <f t="shared" si="30"/>
        <v>33.113540271934824</v>
      </c>
      <c r="R145">
        <f>SQRT(Tabelle2[[#This Row],[vx]]*Tabelle2[[#This Row],[vx]]+Tabelle2[[#This Row],[vy]]*Tabelle2[[#This Row],[vy]])</f>
        <v>58.854061622087826</v>
      </c>
      <c r="S145">
        <f t="shared" si="31"/>
        <v>155.7671616015914</v>
      </c>
      <c r="T145" s="1">
        <f t="shared" si="32"/>
        <v>150.9043913739865</v>
      </c>
    </row>
    <row r="146" spans="6:20" x14ac:dyDescent="0.35">
      <c r="F146" s="1">
        <f t="shared" si="28"/>
        <v>2.8600000000000021</v>
      </c>
      <c r="G146">
        <f>1/2*$B$8*$B$6*$B$7*(Tabelle2[[#This Row],[vx]]*Tabelle2[[#This Row],[vx]]+Tabelle2[[#This Row],[vy]]*Tabelle2[[#This Row],[vy]])/1000000</f>
        <v>6.0872977763647276</v>
      </c>
      <c r="H146">
        <f>IF($B$3,-Tabelle2[[#This Row],[Fd]]*Tabelle2[[#This Row],[vx]]/Tabelle2[[#This Row],[v]],0)</f>
        <v>-5.0418396738845566</v>
      </c>
      <c r="I146">
        <f t="shared" si="22"/>
        <v>-3.361226449256371</v>
      </c>
      <c r="J146">
        <f t="shared" si="23"/>
        <v>-6.7224528985127416E-2</v>
      </c>
      <c r="K146">
        <f t="shared" si="24"/>
        <v>0.97107390787594483</v>
      </c>
      <c r="L146">
        <f>-$B$5*$B$12-IF($B$3,Tabelle2[[#This Row],[Fd]]*Tabelle2[[#This Row],[vy]]/Tabelle2[[#This Row],[v]],0)</f>
        <v>-18.126018458023736</v>
      </c>
      <c r="M146">
        <f t="shared" si="25"/>
        <v>-12.084012305349157</v>
      </c>
      <c r="N146">
        <f t="shared" si="26"/>
        <v>-0.24168024610698316</v>
      </c>
      <c r="O146">
        <f t="shared" si="27"/>
        <v>0.6550107000696237</v>
      </c>
      <c r="P146" s="1">
        <f t="shared" si="29"/>
        <v>48.587307658289802</v>
      </c>
      <c r="Q146" s="1">
        <f t="shared" si="30"/>
        <v>32.871375126534673</v>
      </c>
      <c r="R146">
        <f>SQRT(Tabelle2[[#This Row],[vx]]*Tabelle2[[#This Row],[vx]]+Tabelle2[[#This Row],[vy]]*Tabelle2[[#This Row],[vy]])</f>
        <v>58.662200505868086</v>
      </c>
      <c r="S146">
        <f t="shared" si="31"/>
        <v>156.73958313620037</v>
      </c>
      <c r="T146" s="1">
        <f t="shared" si="32"/>
        <v>151.56424052797121</v>
      </c>
    </row>
    <row r="147" spans="6:20" x14ac:dyDescent="0.35">
      <c r="F147" s="1">
        <f t="shared" si="28"/>
        <v>2.8800000000000021</v>
      </c>
      <c r="G147">
        <f>1/2*$B$8*$B$6*$B$7*(Tabelle2[[#This Row],[vx]]*Tabelle2[[#This Row],[vx]]+Tabelle2[[#This Row],[vy]]*Tabelle2[[#This Row],[vy]])/1000000</f>
        <v>6.0477477401970798</v>
      </c>
      <c r="H147">
        <f>IF($B$3,-Tabelle2[[#This Row],[Fd]]*Tabelle2[[#This Row],[vx]]/Tabelle2[[#This Row],[v]],0)</f>
        <v>-5.0184811091336918</v>
      </c>
      <c r="I147">
        <f t="shared" si="22"/>
        <v>-3.3456540727557944</v>
      </c>
      <c r="J147">
        <f t="shared" si="23"/>
        <v>-6.6913081455115889E-2</v>
      </c>
      <c r="K147">
        <f t="shared" si="24"/>
        <v>0.96973253177154239</v>
      </c>
      <c r="L147">
        <f>-$B$5*$B$12-IF($B$3,Tabelle2[[#This Row],[Fd]]*Tabelle2[[#This Row],[vy]]/Tabelle2[[#This Row],[v]],0)</f>
        <v>-18.089922234115498</v>
      </c>
      <c r="M147">
        <f t="shared" si="25"/>
        <v>-12.059948156076999</v>
      </c>
      <c r="N147">
        <f t="shared" si="26"/>
        <v>-0.24119896312153999</v>
      </c>
      <c r="O147">
        <f t="shared" si="27"/>
        <v>0.65018190797733855</v>
      </c>
      <c r="P147" s="1">
        <f t="shared" si="29"/>
        <v>48.520083129304673</v>
      </c>
      <c r="Q147" s="1">
        <f t="shared" si="30"/>
        <v>32.629694880427692</v>
      </c>
      <c r="R147">
        <f>SQRT(Tabelle2[[#This Row],[vx]]*Tabelle2[[#This Row],[vx]]+Tabelle2[[#This Row],[vy]]*Tabelle2[[#This Row],[vy]])</f>
        <v>58.471321644584407</v>
      </c>
      <c r="S147">
        <f t="shared" si="31"/>
        <v>157.7106570440763</v>
      </c>
      <c r="T147" s="1">
        <f t="shared" si="32"/>
        <v>152.21925122804083</v>
      </c>
    </row>
    <row r="148" spans="6:20" x14ac:dyDescent="0.35">
      <c r="F148" s="1">
        <f t="shared" si="28"/>
        <v>2.9000000000000021</v>
      </c>
      <c r="G148">
        <f>1/2*$B$8*$B$6*$B$7*(Tabelle2[[#This Row],[vx]]*Tabelle2[[#This Row],[vx]]+Tabelle2[[#This Row],[vy]]*Tabelle2[[#This Row],[vy]])/1000000</f>
        <v>6.0085288702364599</v>
      </c>
      <c r="H148">
        <f>IF($B$3,-Tabelle2[[#This Row],[Fd]]*Tabelle2[[#This Row],[vx]]/Tabelle2[[#This Row],[v]],0)</f>
        <v>-4.9952841283831804</v>
      </c>
      <c r="I148">
        <f t="shared" si="22"/>
        <v>-3.3301894189221204</v>
      </c>
      <c r="J148">
        <f t="shared" si="23"/>
        <v>-6.6603788378442413E-2</v>
      </c>
      <c r="K148">
        <f t="shared" si="24"/>
        <v>0.96839736307320678</v>
      </c>
      <c r="L148">
        <f>-$B$5*$B$12-IF($B$3,Tabelle2[[#This Row],[Fd]]*Tabelle2[[#This Row],[vy]]/Tabelle2[[#This Row],[v]],0)</f>
        <v>-18.054095036261788</v>
      </c>
      <c r="M148">
        <f t="shared" si="25"/>
        <v>-12.036063357507858</v>
      </c>
      <c r="N148">
        <f t="shared" si="26"/>
        <v>-0.24072126715015718</v>
      </c>
      <c r="O148">
        <f t="shared" si="27"/>
        <v>0.6453627056746214</v>
      </c>
      <c r="P148" s="1">
        <f t="shared" si="29"/>
        <v>48.453170047849561</v>
      </c>
      <c r="Q148" s="1">
        <f t="shared" si="30"/>
        <v>32.388495917306152</v>
      </c>
      <c r="R148">
        <f>SQRT(Tabelle2[[#This Row],[vx]]*Tabelle2[[#This Row],[vx]]+Tabelle2[[#This Row],[vy]]*Tabelle2[[#This Row],[vy]])</f>
        <v>58.281423759815468</v>
      </c>
      <c r="S148">
        <f t="shared" si="31"/>
        <v>158.68038957584784</v>
      </c>
      <c r="T148" s="1">
        <f t="shared" si="32"/>
        <v>152.86943313601816</v>
      </c>
    </row>
    <row r="149" spans="6:20" x14ac:dyDescent="0.35">
      <c r="F149" s="1">
        <f t="shared" si="28"/>
        <v>2.9200000000000021</v>
      </c>
      <c r="G149">
        <f>1/2*$B$8*$B$6*$B$7*(Tabelle2[[#This Row],[vx]]*Tabelle2[[#This Row],[vx]]+Tabelle2[[#This Row],[vy]]*Tabelle2[[#This Row],[vy]])/1000000</f>
        <v>5.9696389364576392</v>
      </c>
      <c r="H149">
        <f>IF($B$3,-Tabelle2[[#This Row],[Fd]]*Tabelle2[[#This Row],[vx]]/Tabelle2[[#This Row],[v]],0)</f>
        <v>-4.9722477427283147</v>
      </c>
      <c r="I149">
        <f t="shared" si="22"/>
        <v>-3.3148318284855431</v>
      </c>
      <c r="J149">
        <f t="shared" si="23"/>
        <v>-6.6296636569710868E-2</v>
      </c>
      <c r="K149">
        <f t="shared" si="24"/>
        <v>0.96706835882372522</v>
      </c>
      <c r="L149">
        <f>-$B$5*$B$12-IF($B$3,Tabelle2[[#This Row],[Fd]]*Tabelle2[[#This Row],[vy]]/Tabelle2[[#This Row],[v]],0)</f>
        <v>-18.018534685243107</v>
      </c>
      <c r="M149">
        <f t="shared" si="25"/>
        <v>-12.012356456828739</v>
      </c>
      <c r="N149">
        <f t="shared" si="26"/>
        <v>-0.24024712913657478</v>
      </c>
      <c r="O149">
        <f t="shared" si="27"/>
        <v>0.6405530217117541</v>
      </c>
      <c r="P149" s="1">
        <f t="shared" si="29"/>
        <v>48.386566259471117</v>
      </c>
      <c r="Q149" s="1">
        <f t="shared" si="30"/>
        <v>32.147774650155995</v>
      </c>
      <c r="R149">
        <f>SQRT(Tabelle2[[#This Row],[vx]]*Tabelle2[[#This Row],[vx]]+Tabelle2[[#This Row],[vy]]*Tabelle2[[#This Row],[vy]])</f>
        <v>58.092505621116061</v>
      </c>
      <c r="S149">
        <f t="shared" si="31"/>
        <v>159.64878693892103</v>
      </c>
      <c r="T149" s="1">
        <f t="shared" si="32"/>
        <v>153.51479584169277</v>
      </c>
    </row>
    <row r="150" spans="6:20" x14ac:dyDescent="0.35">
      <c r="F150" s="1">
        <f t="shared" si="28"/>
        <v>2.9400000000000022</v>
      </c>
      <c r="G150">
        <f>1/2*$B$8*$B$6*$B$7*(Tabelle2[[#This Row],[vx]]*Tabelle2[[#This Row],[vx]]+Tabelle2[[#This Row],[vy]]*Tabelle2[[#This Row],[vy]])/1000000</f>
        <v>5.9310757320734719</v>
      </c>
      <c r="H150">
        <f>IF($B$3,-Tabelle2[[#This Row],[Fd]]*Tabelle2[[#This Row],[vx]]/Tabelle2[[#This Row],[v]],0)</f>
        <v>-4.9493709753687112</v>
      </c>
      <c r="I150">
        <f t="shared" si="22"/>
        <v>-3.2995806502458076</v>
      </c>
      <c r="J150">
        <f t="shared" si="23"/>
        <v>-6.5991613004916155E-2</v>
      </c>
      <c r="K150">
        <f t="shared" si="24"/>
        <v>0.96574547632797902</v>
      </c>
      <c r="L150">
        <f>-$B$5*$B$12-IF($B$3,Tabelle2[[#This Row],[Fd]]*Tabelle2[[#This Row],[vy]]/Tabelle2[[#This Row],[v]],0)</f>
        <v>-17.983239019375517</v>
      </c>
      <c r="M150">
        <f t="shared" si="25"/>
        <v>-11.988826012917011</v>
      </c>
      <c r="N150">
        <f t="shared" si="26"/>
        <v>-0.23977652025834023</v>
      </c>
      <c r="O150">
        <f t="shared" si="27"/>
        <v>0.63575278521780509</v>
      </c>
      <c r="P150" s="1">
        <f t="shared" si="29"/>
        <v>48.320269622901407</v>
      </c>
      <c r="Q150" s="1">
        <f t="shared" si="30"/>
        <v>31.907527521019421</v>
      </c>
      <c r="R150">
        <f>SQRT(Tabelle2[[#This Row],[vx]]*Tabelle2[[#This Row],[vx]]+Tabelle2[[#This Row],[vy]]*Tabelle2[[#This Row],[vy]])</f>
        <v>57.904566045645318</v>
      </c>
      <c r="S150">
        <f t="shared" si="31"/>
        <v>160.61585529774476</v>
      </c>
      <c r="T150" s="1">
        <f t="shared" si="32"/>
        <v>154.15534886340453</v>
      </c>
    </row>
    <row r="151" spans="6:20" x14ac:dyDescent="0.35">
      <c r="F151" s="1">
        <f t="shared" si="28"/>
        <v>2.9600000000000022</v>
      </c>
      <c r="G151">
        <f>1/2*$B$8*$B$6*$B$7*(Tabelle2[[#This Row],[vx]]*Tabelle2[[#This Row],[vx]]+Tabelle2[[#This Row],[vy]]*Tabelle2[[#This Row],[vy]])/1000000</f>
        <v>5.8928370732586144</v>
      </c>
      <c r="H151">
        <f>IF($B$3,-Tabelle2[[#This Row],[Fd]]*Tabelle2[[#This Row],[vx]]/Tabelle2[[#This Row],[v]],0)</f>
        <v>-4.9266528614663558</v>
      </c>
      <c r="I151">
        <f t="shared" si="22"/>
        <v>-3.2844352409775706</v>
      </c>
      <c r="J151">
        <f t="shared" si="23"/>
        <v>-6.5688704819551413E-2</v>
      </c>
      <c r="K151">
        <f t="shared" si="24"/>
        <v>0.96442867314973424</v>
      </c>
      <c r="L151">
        <f>-$B$5*$B$12-IF($B$3,Tabelle2[[#This Row],[Fd]]*Tabelle2[[#This Row],[vy]]/Tabelle2[[#This Row],[v]],0)</f>
        <v>-17.948205894244367</v>
      </c>
      <c r="M151">
        <f t="shared" si="25"/>
        <v>-11.965470596162911</v>
      </c>
      <c r="N151">
        <f t="shared" si="26"/>
        <v>-0.23930941192325822</v>
      </c>
      <c r="O151">
        <f t="shared" si="27"/>
        <v>0.6309619258959891</v>
      </c>
      <c r="P151" s="1">
        <f t="shared" si="29"/>
        <v>48.254278009896488</v>
      </c>
      <c r="Q151" s="1">
        <f t="shared" si="30"/>
        <v>31.667751000761083</v>
      </c>
      <c r="R151">
        <f>SQRT(Tabelle2[[#This Row],[vx]]*Tabelle2[[#This Row],[vx]]+Tabelle2[[#This Row],[vy]]*Tabelle2[[#This Row],[vy]])</f>
        <v>57.717603897793474</v>
      </c>
      <c r="S151">
        <f t="shared" si="31"/>
        <v>161.58160077407274</v>
      </c>
      <c r="T151" s="1">
        <f t="shared" si="32"/>
        <v>154.79110164862234</v>
      </c>
    </row>
    <row r="152" spans="6:20" x14ac:dyDescent="0.35">
      <c r="F152" s="1">
        <f t="shared" si="28"/>
        <v>2.9800000000000022</v>
      </c>
      <c r="G152">
        <f>1/2*$B$8*$B$6*$B$7*(Tabelle2[[#This Row],[vx]]*Tabelle2[[#This Row],[vx]]+Tabelle2[[#This Row],[vy]]*Tabelle2[[#This Row],[vy]])/1000000</f>
        <v>5.8549207988769512</v>
      </c>
      <c r="H152">
        <f>IF($B$3,-Tabelle2[[#This Row],[Fd]]*Tabelle2[[#This Row],[vx]]/Tabelle2[[#This Row],[v]],0)</f>
        <v>-4.9040924480051249</v>
      </c>
      <c r="I152">
        <f t="shared" si="22"/>
        <v>-3.2693949653367498</v>
      </c>
      <c r="J152">
        <f t="shared" si="23"/>
        <v>-6.5387899306734998E-2</v>
      </c>
      <c r="K152">
        <f t="shared" si="24"/>
        <v>0.96311790710847156</v>
      </c>
      <c r="L152">
        <f>-$B$5*$B$12-IF($B$3,Tabelle2[[#This Row],[Fd]]*Tabelle2[[#This Row],[vy]]/Tabelle2[[#This Row],[v]],0)</f>
        <v>-17.91343318244121</v>
      </c>
      <c r="M152">
        <f t="shared" si="25"/>
        <v>-11.942288788294141</v>
      </c>
      <c r="N152">
        <f t="shared" si="26"/>
        <v>-0.23884577576588281</v>
      </c>
      <c r="O152">
        <f t="shared" si="27"/>
        <v>0.62618037401909765</v>
      </c>
      <c r="P152" s="1">
        <f t="shared" si="29"/>
        <v>48.188589305076938</v>
      </c>
      <c r="Q152" s="1">
        <f t="shared" si="30"/>
        <v>31.428441588837824</v>
      </c>
      <c r="R152">
        <f>SQRT(Tabelle2[[#This Row],[vx]]*Tabelle2[[#This Row],[vx]]+Tabelle2[[#This Row],[vy]]*Tabelle2[[#This Row],[vy]])</f>
        <v>57.531618088807186</v>
      </c>
      <c r="S152">
        <f t="shared" si="31"/>
        <v>162.54602944722248</v>
      </c>
      <c r="T152" s="1">
        <f t="shared" si="32"/>
        <v>155.42206357451835</v>
      </c>
    </row>
    <row r="153" spans="6:20" x14ac:dyDescent="0.35">
      <c r="F153" s="1">
        <f t="shared" si="28"/>
        <v>3.0000000000000022</v>
      </c>
      <c r="G153">
        <f>1/2*$B$8*$B$6*$B$7*(Tabelle2[[#This Row],[vx]]*Tabelle2[[#This Row],[vx]]+Tabelle2[[#This Row],[vy]]*Tabelle2[[#This Row],[vy]])/1000000</f>
        <v>5.8173247702126334</v>
      </c>
      <c r="H153">
        <f>IF($B$3,-Tabelle2[[#This Row],[Fd]]*Tabelle2[[#This Row],[vx]]/Tabelle2[[#This Row],[v]],0)</f>
        <v>-4.8816887936517182</v>
      </c>
      <c r="I153">
        <f t="shared" si="22"/>
        <v>-3.254459195767812</v>
      </c>
      <c r="J153">
        <f t="shared" si="23"/>
        <v>-6.5089183915356244E-2</v>
      </c>
      <c r="K153">
        <f t="shared" si="24"/>
        <v>0.96181313627625042</v>
      </c>
      <c r="L153">
        <f>-$B$5*$B$12-IF($B$3,Tabelle2[[#This Row],[Fd]]*Tabelle2[[#This Row],[vy]]/Tabelle2[[#This Row],[v]],0)</f>
        <v>-17.878918773303877</v>
      </c>
      <c r="M153">
        <f t="shared" si="25"/>
        <v>-11.919279182202585</v>
      </c>
      <c r="N153">
        <f t="shared" si="26"/>
        <v>-0.23838558364405171</v>
      </c>
      <c r="O153">
        <f t="shared" si="27"/>
        <v>0.6214080604249983</v>
      </c>
      <c r="P153" s="1">
        <f t="shared" si="29"/>
        <v>48.123201405770203</v>
      </c>
      <c r="Q153" s="1">
        <f t="shared" si="30"/>
        <v>31.189595813071943</v>
      </c>
      <c r="R153">
        <f>SQRT(Tabelle2[[#This Row],[vx]]*Tabelle2[[#This Row],[vx]]+Tabelle2[[#This Row],[vy]]*Tabelle2[[#This Row],[vy]])</f>
        <v>57.346607576413078</v>
      </c>
      <c r="S153">
        <f t="shared" si="31"/>
        <v>163.50914735433096</v>
      </c>
      <c r="T153" s="1">
        <f t="shared" si="32"/>
        <v>156.04824394853745</v>
      </c>
    </row>
    <row r="154" spans="6:20" x14ac:dyDescent="0.35">
      <c r="F154" s="1">
        <f t="shared" si="28"/>
        <v>3.0200000000000022</v>
      </c>
      <c r="G154">
        <f>1/2*$B$8*$B$6*$B$7*(Tabelle2[[#This Row],[vx]]*Tabelle2[[#This Row],[vx]]+Tabelle2[[#This Row],[vy]]*Tabelle2[[#This Row],[vy]])/1000000</f>
        <v>5.7800468707046724</v>
      </c>
      <c r="H154">
        <f>IF($B$3,-Tabelle2[[#This Row],[Fd]]*Tabelle2[[#This Row],[vx]]/Tabelle2[[#This Row],[v]],0)</f>
        <v>-4.8594409686179789</v>
      </c>
      <c r="I154">
        <f t="shared" si="22"/>
        <v>-3.2396273124119861</v>
      </c>
      <c r="J154">
        <f t="shared" si="23"/>
        <v>-6.4792546248239727E-2</v>
      </c>
      <c r="K154">
        <f t="shared" si="24"/>
        <v>0.96051431897461459</v>
      </c>
      <c r="L154">
        <f>-$B$5*$B$12-IF($B$3,Tabelle2[[#This Row],[Fd]]*Tabelle2[[#This Row],[vy]]/Tabelle2[[#This Row],[v]],0)</f>
        <v>-17.844660572659603</v>
      </c>
      <c r="M154">
        <f t="shared" si="25"/>
        <v>-11.896440381773068</v>
      </c>
      <c r="N154">
        <f t="shared" si="26"/>
        <v>-0.23792880763546137</v>
      </c>
      <c r="O154">
        <f t="shared" si="27"/>
        <v>0.61664491651220321</v>
      </c>
      <c r="P154" s="1">
        <f t="shared" si="29"/>
        <v>48.058112221854849</v>
      </c>
      <c r="Q154" s="1">
        <f t="shared" si="30"/>
        <v>30.95121022942789</v>
      </c>
      <c r="R154">
        <f>SQRT(Tabelle2[[#This Row],[vx]]*Tabelle2[[#This Row],[vx]]+Tabelle2[[#This Row],[vy]]*Tabelle2[[#This Row],[vy]])</f>
        <v>57.162571364439472</v>
      </c>
      <c r="S154">
        <f t="shared" si="31"/>
        <v>164.47096049060721</v>
      </c>
      <c r="T154" s="1">
        <f t="shared" si="32"/>
        <v>156.66965200896246</v>
      </c>
    </row>
    <row r="155" spans="6:20" x14ac:dyDescent="0.35">
      <c r="F155" s="1">
        <f t="shared" si="28"/>
        <v>3.0400000000000023</v>
      </c>
      <c r="G155">
        <f>1/2*$B$8*$B$6*$B$7*(Tabelle2[[#This Row],[vx]]*Tabelle2[[#This Row],[vx]]+Tabelle2[[#This Row],[vy]]*Tabelle2[[#This Row],[vy]])/1000000</f>
        <v>5.7430850056850513</v>
      </c>
      <c r="H155">
        <f>IF($B$3,-Tabelle2[[#This Row],[Fd]]*Tabelle2[[#This Row],[vx]]/Tabelle2[[#This Row],[v]],0)</f>
        <v>-4.8373480545245737</v>
      </c>
      <c r="I155">
        <f t="shared" si="22"/>
        <v>-3.2248987030163825</v>
      </c>
      <c r="J155">
        <f t="shared" si="23"/>
        <v>-6.4497974060327645E-2</v>
      </c>
      <c r="K155">
        <f t="shared" si="24"/>
        <v>0.95922141377152881</v>
      </c>
      <c r="L155">
        <f>-$B$5*$B$12-IF($B$3,Tabelle2[[#This Row],[Fd]]*Tabelle2[[#This Row],[vy]]/Tabelle2[[#This Row],[v]],0)</f>
        <v>-17.81065650257127</v>
      </c>
      <c r="M155">
        <f t="shared" si="25"/>
        <v>-11.87377100171418</v>
      </c>
      <c r="N155">
        <f t="shared" si="26"/>
        <v>-0.23747542003428362</v>
      </c>
      <c r="O155">
        <f t="shared" si="27"/>
        <v>0.6118908742355057</v>
      </c>
      <c r="P155" s="1">
        <f t="shared" si="29"/>
        <v>47.993319675606607</v>
      </c>
      <c r="Q155" s="1">
        <f t="shared" si="30"/>
        <v>30.713281421792427</v>
      </c>
      <c r="R155">
        <f>SQRT(Tabelle2[[#This Row],[vx]]*Tabelle2[[#This Row],[vx]]+Tabelle2[[#This Row],[vy]]*Tabelle2[[#This Row],[vy]])</f>
        <v>56.979508502436097</v>
      </c>
      <c r="S155">
        <f t="shared" si="31"/>
        <v>165.43147480958183</v>
      </c>
      <c r="T155" s="1">
        <f t="shared" si="32"/>
        <v>157.28629692547466</v>
      </c>
    </row>
    <row r="156" spans="6:20" x14ac:dyDescent="0.35">
      <c r="F156" s="1">
        <f t="shared" si="28"/>
        <v>3.0600000000000023</v>
      </c>
      <c r="G156">
        <f>1/2*$B$8*$B$6*$B$7*(Tabelle2[[#This Row],[vx]]*Tabelle2[[#This Row],[vx]]+Tabelle2[[#This Row],[vy]]*Tabelle2[[#This Row],[vy]])/1000000</f>
        <v>5.7064371021202813</v>
      </c>
      <c r="H156">
        <f>IF($B$3,-Tabelle2[[#This Row],[Fd]]*Tabelle2[[#This Row],[vx]]/Tabelle2[[#This Row],[v]],0)</f>
        <v>-4.815409144265983</v>
      </c>
      <c r="I156">
        <f t="shared" si="22"/>
        <v>-3.2102727628439887</v>
      </c>
      <c r="J156">
        <f t="shared" si="23"/>
        <v>-6.4205455256879776E-2</v>
      </c>
      <c r="K156">
        <f t="shared" si="24"/>
        <v>0.95793437947835669</v>
      </c>
      <c r="L156">
        <f>-$B$5*$B$12-IF($B$3,Tabelle2[[#This Row],[Fd]]*Tabelle2[[#This Row],[vy]]/Tabelle2[[#This Row],[v]],0)</f>
        <v>-17.776904501086612</v>
      </c>
      <c r="M156">
        <f t="shared" si="25"/>
        <v>-11.851269667391074</v>
      </c>
      <c r="N156">
        <f t="shared" si="26"/>
        <v>-0.23702539334782149</v>
      </c>
      <c r="O156">
        <f t="shared" si="27"/>
        <v>0.60714586610168464</v>
      </c>
      <c r="P156" s="1">
        <f t="shared" si="29"/>
        <v>47.928821701546276</v>
      </c>
      <c r="Q156" s="1">
        <f t="shared" si="30"/>
        <v>30.475806001758144</v>
      </c>
      <c r="R156">
        <f>SQRT(Tabelle2[[#This Row],[vx]]*Tabelle2[[#This Row],[vx]]+Tabelle2[[#This Row],[vy]]*Tabelle2[[#This Row],[vy]])</f>
        <v>56.797418085291618</v>
      </c>
      <c r="S156">
        <f t="shared" si="31"/>
        <v>166.39069622335336</v>
      </c>
      <c r="T156" s="1">
        <f t="shared" si="32"/>
        <v>157.89818779971017</v>
      </c>
    </row>
    <row r="157" spans="6:20" x14ac:dyDescent="0.35">
      <c r="F157" s="1">
        <f t="shared" si="28"/>
        <v>3.0800000000000023</v>
      </c>
      <c r="G157">
        <f>1/2*$B$8*$B$6*$B$7*(Tabelle2[[#This Row],[vx]]*Tabelle2[[#This Row],[vx]]+Tabelle2[[#This Row],[vy]]*Tabelle2[[#This Row],[vy]])/1000000</f>
        <v>5.6701011083563397</v>
      </c>
      <c r="H157">
        <f>IF($B$3,-Tabelle2[[#This Row],[Fd]]*Tabelle2[[#This Row],[vx]]/Tabelle2[[#This Row],[v]],0)</f>
        <v>-4.7936233418767733</v>
      </c>
      <c r="I157">
        <f t="shared" si="22"/>
        <v>-3.1957488945845154</v>
      </c>
      <c r="J157">
        <f t="shared" si="23"/>
        <v>-6.3914977891690303E-2</v>
      </c>
      <c r="K157">
        <f t="shared" si="24"/>
        <v>0.95665317514687109</v>
      </c>
      <c r="L157">
        <f>-$B$5*$B$12-IF($B$3,Tabelle2[[#This Row],[Fd]]*Tabelle2[[#This Row],[vy]]/Tabelle2[[#This Row],[v]],0)</f>
        <v>-17.743402521990422</v>
      </c>
      <c r="M157">
        <f t="shared" si="25"/>
        <v>-11.828935014660281</v>
      </c>
      <c r="N157">
        <f t="shared" si="26"/>
        <v>-0.23657870029320563</v>
      </c>
      <c r="O157">
        <f t="shared" si="27"/>
        <v>0.60240982516527442</v>
      </c>
      <c r="P157" s="1">
        <f t="shared" si="29"/>
        <v>47.864616246289394</v>
      </c>
      <c r="Q157" s="1">
        <f t="shared" si="30"/>
        <v>30.238780608410323</v>
      </c>
      <c r="R157">
        <f>SQRT(Tabelle2[[#This Row],[vx]]*Tabelle2[[#This Row],[vx]]+Tabelle2[[#This Row],[vy]]*Tabelle2[[#This Row],[vy]])</f>
        <v>56.616299252848755</v>
      </c>
      <c r="S157">
        <f t="shared" si="31"/>
        <v>167.34863060283172</v>
      </c>
      <c r="T157" s="1">
        <f t="shared" si="32"/>
        <v>158.50533366581186</v>
      </c>
    </row>
    <row r="158" spans="6:20" x14ac:dyDescent="0.35">
      <c r="F158" s="1">
        <f t="shared" si="28"/>
        <v>3.1000000000000023</v>
      </c>
      <c r="G158">
        <f>1/2*$B$8*$B$6*$B$7*(Tabelle2[[#This Row],[vx]]*Tabelle2[[#This Row],[vx]]+Tabelle2[[#This Row],[vy]]*Tabelle2[[#This Row],[vy]])/1000000</f>
        <v>5.6340749938669701</v>
      </c>
      <c r="H158">
        <f>IF($B$3,-Tabelle2[[#This Row],[Fd]]*Tabelle2[[#This Row],[vx]]/Tabelle2[[#This Row],[v]],0)</f>
        <v>-4.7719897623991283</v>
      </c>
      <c r="I158">
        <f t="shared" si="22"/>
        <v>-3.1813265082660855</v>
      </c>
      <c r="J158">
        <f t="shared" si="23"/>
        <v>-6.3626530165321715E-2</v>
      </c>
      <c r="K158">
        <f t="shared" si="24"/>
        <v>0.95537776006630082</v>
      </c>
      <c r="L158">
        <f>-$B$5*$B$12-IF($B$3,Tabelle2[[#This Row],[Fd]]*Tabelle2[[#This Row],[vy]]/Tabelle2[[#This Row],[v]],0)</f>
        <v>-17.710148534559682</v>
      </c>
      <c r="M158">
        <f t="shared" si="25"/>
        <v>-11.806765689706454</v>
      </c>
      <c r="N158">
        <f t="shared" si="26"/>
        <v>-0.23613531379412908</v>
      </c>
      <c r="O158">
        <f t="shared" si="27"/>
        <v>0.59768268502440114</v>
      </c>
      <c r="P158" s="1">
        <f t="shared" si="29"/>
        <v>47.800701268397702</v>
      </c>
      <c r="Q158" s="1">
        <f t="shared" si="30"/>
        <v>30.002201908117119</v>
      </c>
      <c r="R158">
        <f>SQRT(Tabelle2[[#This Row],[vx]]*Tabelle2[[#This Row],[vx]]+Tabelle2[[#This Row],[vy]]*Tabelle2[[#This Row],[vy]])</f>
        <v>56.436151189517027</v>
      </c>
      <c r="S158">
        <f t="shared" si="31"/>
        <v>168.30528377797859</v>
      </c>
      <c r="T158" s="1">
        <f t="shared" si="32"/>
        <v>159.10774349097713</v>
      </c>
    </row>
    <row r="159" spans="6:20" x14ac:dyDescent="0.35">
      <c r="F159" s="1">
        <f t="shared" si="28"/>
        <v>3.1200000000000023</v>
      </c>
      <c r="G159">
        <f>1/2*$B$8*$B$6*$B$7*(Tabelle2[[#This Row],[vx]]*Tabelle2[[#This Row],[vx]]+Tabelle2[[#This Row],[vy]]*Tabelle2[[#This Row],[vy]])/1000000</f>
        <v>5.5983567490052257</v>
      </c>
      <c r="H159">
        <f>IF($B$3,-Tabelle2[[#This Row],[Fd]]*Tabelle2[[#This Row],[vx]]/Tabelle2[[#This Row],[v]],0)</f>
        <v>-4.7505075317515688</v>
      </c>
      <c r="I159">
        <f t="shared" si="22"/>
        <v>-3.1670050211677125</v>
      </c>
      <c r="J159">
        <f t="shared" si="23"/>
        <v>-6.3340100423354251E-2</v>
      </c>
      <c r="K159">
        <f t="shared" si="24"/>
        <v>0.95410809376041406</v>
      </c>
      <c r="L159">
        <f>-$B$5*$B$12-IF($B$3,Tabelle2[[#This Row],[Fd]]*Tabelle2[[#This Row],[vy]]/Tabelle2[[#This Row],[v]],0)</f>
        <v>-17.677140523321604</v>
      </c>
      <c r="M159">
        <f t="shared" si="25"/>
        <v>-11.78476034888107</v>
      </c>
      <c r="N159">
        <f t="shared" si="26"/>
        <v>-0.23569520697762142</v>
      </c>
      <c r="O159">
        <f t="shared" si="27"/>
        <v>0.5929643798166836</v>
      </c>
      <c r="P159" s="1">
        <f t="shared" si="29"/>
        <v>47.73707473823238</v>
      </c>
      <c r="Q159" s="1">
        <f t="shared" si="30"/>
        <v>29.766066594322989</v>
      </c>
      <c r="R159">
        <f>SQRT(Tabelle2[[#This Row],[vx]]*Tabelle2[[#This Row],[vx]]+Tabelle2[[#This Row],[vy]]*Tabelle2[[#This Row],[vy]])</f>
        <v>56.256973123882652</v>
      </c>
      <c r="S159">
        <f t="shared" si="31"/>
        <v>169.2606615380449</v>
      </c>
      <c r="T159" s="1">
        <f t="shared" si="32"/>
        <v>159.70542617600154</v>
      </c>
    </row>
    <row r="160" spans="6:20" x14ac:dyDescent="0.35">
      <c r="F160" s="1">
        <f t="shared" si="28"/>
        <v>3.1400000000000023</v>
      </c>
      <c r="G160">
        <f>1/2*$B$8*$B$6*$B$7*(Tabelle2[[#This Row],[vx]]*Tabelle2[[#This Row],[vx]]+Tabelle2[[#This Row],[vy]]*Tabelle2[[#This Row],[vy]])/1000000</f>
        <v>5.5629443847582936</v>
      </c>
      <c r="H160">
        <f>IF($B$3,-Tabelle2[[#This Row],[Fd]]*Tabelle2[[#This Row],[vx]]/Tabelle2[[#This Row],[v]],0)</f>
        <v>-4.7291757865988941</v>
      </c>
      <c r="I160">
        <f t="shared" si="22"/>
        <v>-3.152783857732596</v>
      </c>
      <c r="J160">
        <f t="shared" si="23"/>
        <v>-6.3055677154651921E-2</v>
      </c>
      <c r="K160">
        <f t="shared" si="24"/>
        <v>0.95284413598463402</v>
      </c>
      <c r="L160">
        <f>-$B$5*$B$12-IF($B$3,Tabelle2[[#This Row],[Fd]]*Tabelle2[[#This Row],[vy]]/Tabelle2[[#This Row],[v]],0)</f>
        <v>-17.644376487814522</v>
      </c>
      <c r="M160">
        <f t="shared" si="25"/>
        <v>-11.762917658543016</v>
      </c>
      <c r="N160">
        <f t="shared" si="26"/>
        <v>-0.2352583531708603</v>
      </c>
      <c r="O160">
        <f t="shared" si="27"/>
        <v>0.5882548442151988</v>
      </c>
      <c r="P160" s="1">
        <f t="shared" si="29"/>
        <v>47.673734637809027</v>
      </c>
      <c r="Q160" s="1">
        <f t="shared" si="30"/>
        <v>29.530371387345369</v>
      </c>
      <c r="R160">
        <f>SQRT(Tabelle2[[#This Row],[vx]]*Tabelle2[[#This Row],[vx]]+Tabelle2[[#This Row],[vy]]*Tabelle2[[#This Row],[vy]])</f>
        <v>56.078764328315749</v>
      </c>
      <c r="S160">
        <f t="shared" si="31"/>
        <v>170.21476963180532</v>
      </c>
      <c r="T160" s="1">
        <f t="shared" si="32"/>
        <v>160.29839055581823</v>
      </c>
    </row>
    <row r="161" spans="6:20" x14ac:dyDescent="0.35">
      <c r="F161" s="1">
        <f t="shared" si="28"/>
        <v>3.1600000000000024</v>
      </c>
      <c r="G161">
        <f>1/2*$B$8*$B$6*$B$7*(Tabelle2[[#This Row],[vx]]*Tabelle2[[#This Row],[vx]]+Tabelle2[[#This Row],[vy]]*Tabelle2[[#This Row],[vy]])/1000000</f>
        <v>5.5278359325054502</v>
      </c>
      <c r="H161">
        <f>IF($B$3,-Tabelle2[[#This Row],[Fd]]*Tabelle2[[#This Row],[vx]]/Tabelle2[[#This Row],[v]],0)</f>
        <v>-4.7079936742232436</v>
      </c>
      <c r="I161">
        <f t="shared" si="22"/>
        <v>-3.1386624494821622</v>
      </c>
      <c r="J161">
        <f t="shared" si="23"/>
        <v>-6.2773248989643246E-2</v>
      </c>
      <c r="K161">
        <f t="shared" si="24"/>
        <v>0.95158584672319113</v>
      </c>
      <c r="L161">
        <f>-$B$5*$B$12-IF($B$3,Tabelle2[[#This Row],[Fd]]*Tabelle2[[#This Row],[vy]]/Tabelle2[[#This Row],[v]],0)</f>
        <v>-17.611854442351621</v>
      </c>
      <c r="M161">
        <f t="shared" si="25"/>
        <v>-11.74123629490108</v>
      </c>
      <c r="N161">
        <f t="shared" si="26"/>
        <v>-0.23482472589802161</v>
      </c>
      <c r="O161">
        <f t="shared" si="27"/>
        <v>0.58355401342450997</v>
      </c>
      <c r="P161" s="1">
        <f t="shared" si="29"/>
        <v>47.610678960654376</v>
      </c>
      <c r="Q161" s="1">
        <f t="shared" si="30"/>
        <v>29.295113034174509</v>
      </c>
      <c r="R161">
        <f>SQRT(Tabelle2[[#This Row],[vx]]*Tabelle2[[#This Row],[vx]]+Tabelle2[[#This Row],[vy]]*Tabelle2[[#This Row],[vy]])</f>
        <v>55.901524118574429</v>
      </c>
      <c r="S161">
        <f t="shared" si="31"/>
        <v>171.16761376778996</v>
      </c>
      <c r="T161" s="1">
        <f t="shared" si="32"/>
        <v>160.88664540003342</v>
      </c>
    </row>
    <row r="162" spans="6:20" x14ac:dyDescent="0.35">
      <c r="F162" s="1">
        <f t="shared" si="28"/>
        <v>3.1800000000000024</v>
      </c>
      <c r="G162">
        <f>1/2*$B$8*$B$6*$B$7*(Tabelle2[[#This Row],[vx]]*Tabelle2[[#This Row],[vx]]+Tabelle2[[#This Row],[vy]]*Tabelle2[[#This Row],[vy]])/1000000</f>
        <v>5.4930294437791787</v>
      </c>
      <c r="H162">
        <f>IF($B$3,-Tabelle2[[#This Row],[Fd]]*Tabelle2[[#This Row],[vx]]/Tabelle2[[#This Row],[v]],0)</f>
        <v>-4.6869603523962819</v>
      </c>
      <c r="I162">
        <f t="shared" si="22"/>
        <v>-3.1246402349308546</v>
      </c>
      <c r="J162">
        <f t="shared" si="23"/>
        <v>-6.2492804698617094E-2</v>
      </c>
      <c r="K162">
        <f t="shared" si="24"/>
        <v>0.95033318618630847</v>
      </c>
      <c r="L162">
        <f>-$B$5*$B$12-IF($B$3,Tabelle2[[#This Row],[Fd]]*Tabelle2[[#This Row],[vy]]/Tabelle2[[#This Row],[v]],0)</f>
        <v>-17.579572415787446</v>
      </c>
      <c r="M162">
        <f t="shared" si="25"/>
        <v>-11.719714943858298</v>
      </c>
      <c r="N162">
        <f t="shared" si="26"/>
        <v>-0.23439429887716595</v>
      </c>
      <c r="O162">
        <f t="shared" si="27"/>
        <v>0.57886182317675816</v>
      </c>
      <c r="P162" s="1">
        <f t="shared" si="29"/>
        <v>47.547905711664733</v>
      </c>
      <c r="Q162" s="1">
        <f t="shared" si="30"/>
        <v>29.060288308276487</v>
      </c>
      <c r="R162">
        <f>SQRT(Tabelle2[[#This Row],[vx]]*Tabelle2[[#This Row],[vx]]+Tabelle2[[#This Row],[vy]]*Tabelle2[[#This Row],[vy]])</f>
        <v>55.725251853405837</v>
      </c>
      <c r="S162">
        <f t="shared" si="31"/>
        <v>172.11919961451315</v>
      </c>
      <c r="T162" s="1">
        <f t="shared" si="32"/>
        <v>161.47019941345792</v>
      </c>
    </row>
    <row r="163" spans="6:20" x14ac:dyDescent="0.35">
      <c r="F163" s="1">
        <f t="shared" si="28"/>
        <v>3.2000000000000024</v>
      </c>
      <c r="G163">
        <f>1/2*$B$8*$B$6*$B$7*(Tabelle2[[#This Row],[vx]]*Tabelle2[[#This Row],[vx]]+Tabelle2[[#This Row],[vy]]*Tabelle2[[#This Row],[vy]])/1000000</f>
        <v>5.4585229900293415</v>
      </c>
      <c r="H163">
        <f>IF($B$3,-Tabelle2[[#This Row],[Fd]]*Tabelle2[[#This Row],[vx]]/Tabelle2[[#This Row],[v]],0)</f>
        <v>-4.6660749892524782</v>
      </c>
      <c r="I163">
        <f t="shared" si="22"/>
        <v>-3.110716659501652</v>
      </c>
      <c r="J163">
        <f t="shared" si="23"/>
        <v>-6.2214333190033042E-2</v>
      </c>
      <c r="K163">
        <f t="shared" si="24"/>
        <v>0.94908611480742211</v>
      </c>
      <c r="L163">
        <f>-$B$5*$B$12-IF($B$3,Tabelle2[[#This Row],[Fd]]*Tabelle2[[#This Row],[vy]]/Tabelle2[[#This Row],[v]],0)</f>
        <v>-17.547528451287178</v>
      </c>
      <c r="M163">
        <f t="shared" si="25"/>
        <v>-11.698352300858119</v>
      </c>
      <c r="N163">
        <f t="shared" si="26"/>
        <v>-0.23396704601716237</v>
      </c>
      <c r="O163">
        <f t="shared" si="27"/>
        <v>0.57417820972781475</v>
      </c>
      <c r="P163" s="1">
        <f t="shared" si="29"/>
        <v>47.485412906966118</v>
      </c>
      <c r="Q163" s="1">
        <f t="shared" si="30"/>
        <v>28.82589400939932</v>
      </c>
      <c r="R163">
        <f>SQRT(Tabelle2[[#This Row],[vx]]*Tabelle2[[#This Row],[vx]]+Tabelle2[[#This Row],[vy]]*Tabelle2[[#This Row],[vy]])</f>
        <v>55.549946934143769</v>
      </c>
      <c r="S163">
        <f t="shared" si="31"/>
        <v>173.06953280069945</v>
      </c>
      <c r="T163" s="1">
        <f t="shared" si="32"/>
        <v>162.04906123663469</v>
      </c>
    </row>
    <row r="164" spans="6:20" x14ac:dyDescent="0.35">
      <c r="F164" s="1">
        <f t="shared" si="28"/>
        <v>3.2200000000000024</v>
      </c>
      <c r="G164">
        <f>1/2*$B$8*$B$6*$B$7*(Tabelle2[[#This Row],[vx]]*Tabelle2[[#This Row],[vx]]+Tabelle2[[#This Row],[vy]]*Tabelle2[[#This Row],[vy]])/1000000</f>
        <v>5.4243146623903877</v>
      </c>
      <c r="H164">
        <f>IF($B$3,-Tabelle2[[#This Row],[Fd]]*Tabelle2[[#This Row],[vx]]/Tabelle2[[#This Row],[v]],0)</f>
        <v>-4.645336763163435</v>
      </c>
      <c r="I164">
        <f t="shared" si="22"/>
        <v>-3.0968911754422899</v>
      </c>
      <c r="J164">
        <f t="shared" si="23"/>
        <v>-6.1937823508845802E-2</v>
      </c>
      <c r="K164">
        <f t="shared" si="24"/>
        <v>0.94784459324043324</v>
      </c>
      <c r="L164">
        <f>-$B$5*$B$12-IF($B$3,Tabelle2[[#This Row],[Fd]]*Tabelle2[[#This Row],[vy]]/Tabelle2[[#This Row],[v]],0)</f>
        <v>-17.515720606098654</v>
      </c>
      <c r="M164">
        <f t="shared" si="25"/>
        <v>-11.677147070732437</v>
      </c>
      <c r="N164">
        <f t="shared" si="26"/>
        <v>-0.23354294141464874</v>
      </c>
      <c r="O164">
        <f t="shared" si="27"/>
        <v>0.56950310985349673</v>
      </c>
      <c r="P164" s="1">
        <f t="shared" si="29"/>
        <v>47.423198573776084</v>
      </c>
      <c r="Q164" s="1">
        <f t="shared" si="30"/>
        <v>28.591926963382157</v>
      </c>
      <c r="R164">
        <f>SQRT(Tabelle2[[#This Row],[vx]]*Tabelle2[[#This Row],[vx]]+Tabelle2[[#This Row],[vy]]*Tabelle2[[#This Row],[vy]])</f>
        <v>55.375608804302793</v>
      </c>
      <c r="S164">
        <f t="shared" si="31"/>
        <v>174.01861891550686</v>
      </c>
      <c r="T164" s="1">
        <f t="shared" si="32"/>
        <v>162.6232394463625</v>
      </c>
    </row>
    <row r="165" spans="6:20" x14ac:dyDescent="0.35">
      <c r="F165" s="1">
        <f t="shared" si="28"/>
        <v>3.2400000000000024</v>
      </c>
      <c r="G165">
        <f>1/2*$B$8*$B$6*$B$7*(Tabelle2[[#This Row],[vx]]*Tabelle2[[#This Row],[vx]]+Tabelle2[[#This Row],[vy]]*Tabelle2[[#This Row],[vy]])/1000000</f>
        <v>5.3904025714515473</v>
      </c>
      <c r="H165">
        <f>IF($B$3,-Tabelle2[[#This Row],[Fd]]*Tabelle2[[#This Row],[vx]]/Tabelle2[[#This Row],[v]],0)</f>
        <v>-4.6247448626132437</v>
      </c>
      <c r="I165">
        <f t="shared" si="22"/>
        <v>-3.0831632417421626</v>
      </c>
      <c r="J165">
        <f t="shared" si="23"/>
        <v>-6.1663264834843252E-2</v>
      </c>
      <c r="K165">
        <f t="shared" si="24"/>
        <v>0.94660858235699619</v>
      </c>
      <c r="L165">
        <f>-$B$5*$B$12-IF($B$3,Tabelle2[[#This Row],[Fd]]*Tabelle2[[#This Row],[vy]]/Tabelle2[[#This Row],[v]],0)</f>
        <v>-17.484146951327045</v>
      </c>
      <c r="M165">
        <f t="shared" si="25"/>
        <v>-11.656097967551363</v>
      </c>
      <c r="N165">
        <f t="shared" si="26"/>
        <v>-0.23312195935102725</v>
      </c>
      <c r="O165">
        <f t="shared" si="27"/>
        <v>0.56483646084583994</v>
      </c>
      <c r="P165" s="1">
        <f t="shared" si="29"/>
        <v>47.361260750267235</v>
      </c>
      <c r="Q165" s="1">
        <f t="shared" si="30"/>
        <v>28.35838402196751</v>
      </c>
      <c r="R165">
        <f>SQRT(Tabelle2[[#This Row],[vx]]*Tabelle2[[#This Row],[vx]]+Tabelle2[[#This Row],[vy]]*Tabelle2[[#This Row],[vy]])</f>
        <v>55.202236949168878</v>
      </c>
      <c r="S165">
        <f t="shared" si="31"/>
        <v>174.9664635087473</v>
      </c>
      <c r="T165" s="1">
        <f t="shared" si="32"/>
        <v>163.19274255621599</v>
      </c>
    </row>
    <row r="166" spans="6:20" x14ac:dyDescent="0.35">
      <c r="F166" s="1">
        <f t="shared" si="28"/>
        <v>3.2600000000000025</v>
      </c>
      <c r="G166">
        <f>1/2*$B$8*$B$6*$B$7*(Tabelle2[[#This Row],[vx]]*Tabelle2[[#This Row],[vx]]+Tabelle2[[#This Row],[vy]]*Tabelle2[[#This Row],[vy]])/1000000</f>
        <v>5.3567848470299415</v>
      </c>
      <c r="H166">
        <f>IF($B$3,-Tabelle2[[#This Row],[Fd]]*Tabelle2[[#This Row],[vx]]/Tabelle2[[#This Row],[v]],0)</f>
        <v>-4.6042984860748346</v>
      </c>
      <c r="I166">
        <f t="shared" si="22"/>
        <v>-3.0695323240498897</v>
      </c>
      <c r="J166">
        <f t="shared" si="23"/>
        <v>-6.1390646480997797E-2</v>
      </c>
      <c r="K166">
        <f t="shared" si="24"/>
        <v>0.9453780432438379</v>
      </c>
      <c r="L166">
        <f>-$B$5*$B$12-IF($B$3,Tabelle2[[#This Row],[Fd]]*Tabelle2[[#This Row],[vy]]/Tabelle2[[#This Row],[v]],0)</f>
        <v>-17.45280557171224</v>
      </c>
      <c r="M166">
        <f t="shared" si="25"/>
        <v>-11.635203714474827</v>
      </c>
      <c r="N166">
        <f t="shared" si="26"/>
        <v>-0.23270407428949655</v>
      </c>
      <c r="O166">
        <f t="shared" si="27"/>
        <v>0.56017820050943468</v>
      </c>
      <c r="P166" s="1">
        <f t="shared" si="29"/>
        <v>47.299597485432393</v>
      </c>
      <c r="Q166" s="1">
        <f t="shared" si="30"/>
        <v>28.125262062616482</v>
      </c>
      <c r="R166">
        <f>SQRT(Tabelle2[[#This Row],[vx]]*Tabelle2[[#This Row],[vx]]+Tabelle2[[#This Row],[vy]]*Tabelle2[[#This Row],[vy]])</f>
        <v>55.02983089538597</v>
      </c>
      <c r="S166">
        <f t="shared" si="31"/>
        <v>175.91307209110428</v>
      </c>
      <c r="T166" s="1">
        <f t="shared" si="32"/>
        <v>163.75757901706183</v>
      </c>
    </row>
    <row r="167" spans="6:20" x14ac:dyDescent="0.35">
      <c r="F167" s="1">
        <f t="shared" si="28"/>
        <v>3.2800000000000025</v>
      </c>
      <c r="G167">
        <f>1/2*$B$8*$B$6*$B$7*(Tabelle2[[#This Row],[vx]]*Tabelle2[[#This Row],[vx]]+Tabelle2[[#This Row],[vy]]*Tabelle2[[#This Row],[vy]])/1000000</f>
        <v>5.3234596379465806</v>
      </c>
      <c r="H167">
        <f>IF($B$3,-Tabelle2[[#This Row],[Fd]]*Tabelle2[[#This Row],[vx]]/Tabelle2[[#This Row],[v]],0)</f>
        <v>-4.5839968418872798</v>
      </c>
      <c r="I167">
        <f t="shared" si="22"/>
        <v>-3.05599789459152</v>
      </c>
      <c r="J167">
        <f t="shared" si="23"/>
        <v>-6.1119957891830404E-2</v>
      </c>
      <c r="K167">
        <f t="shared" si="24"/>
        <v>0.94415293720010962</v>
      </c>
      <c r="L167">
        <f>-$B$5*$B$12-IF($B$3,Tabelle2[[#This Row],[Fd]]*Tabelle2[[#This Row],[vy]]/Tabelle2[[#This Row],[v]],0)</f>
        <v>-17.421694565408846</v>
      </c>
      <c r="M167">
        <f t="shared" si="25"/>
        <v>-11.614463043605896</v>
      </c>
      <c r="N167">
        <f t="shared" si="26"/>
        <v>-0.23228926087211793</v>
      </c>
      <c r="O167">
        <f t="shared" si="27"/>
        <v>0.55552826715781856</v>
      </c>
      <c r="P167" s="1">
        <f t="shared" si="29"/>
        <v>47.238206838951399</v>
      </c>
      <c r="Q167" s="1">
        <f t="shared" si="30"/>
        <v>27.892557988326985</v>
      </c>
      <c r="R167">
        <f>SQRT(Tabelle2[[#This Row],[vx]]*Tabelle2[[#This Row],[vx]]+Tabelle2[[#This Row],[vy]]*Tabelle2[[#This Row],[vy]])</f>
        <v>54.858390210538793</v>
      </c>
      <c r="S167">
        <f t="shared" si="31"/>
        <v>176.85845013434812</v>
      </c>
      <c r="T167" s="1">
        <f t="shared" si="32"/>
        <v>164.31775721757126</v>
      </c>
    </row>
    <row r="168" spans="6:20" x14ac:dyDescent="0.35">
      <c r="F168" s="1">
        <f t="shared" si="28"/>
        <v>3.3000000000000025</v>
      </c>
      <c r="G168">
        <f>1/2*$B$8*$B$6*$B$7*(Tabelle2[[#This Row],[vx]]*Tabelle2[[#This Row],[vx]]+Tabelle2[[#This Row],[vy]]*Tabelle2[[#This Row],[vy]])/1000000</f>
        <v>5.290425111805205</v>
      </c>
      <c r="H168">
        <f>IF($B$3,-Tabelle2[[#This Row],[Fd]]*Tabelle2[[#This Row],[vx]]/Tabelle2[[#This Row],[v]],0)</f>
        <v>-4.5638391481340497</v>
      </c>
      <c r="I168">
        <f t="shared" si="22"/>
        <v>-3.0425594320893663</v>
      </c>
      <c r="J168">
        <f t="shared" si="23"/>
        <v>-6.0851188641787325E-2</v>
      </c>
      <c r="K168">
        <f t="shared" si="24"/>
        <v>0.94293322573477345</v>
      </c>
      <c r="L168">
        <f>-$B$5*$B$12-IF($B$3,Tabelle2[[#This Row],[Fd]]*Tabelle2[[#This Row],[vy]]/Tabelle2[[#This Row],[v]],0)</f>
        <v>-17.390812043768804</v>
      </c>
      <c r="M168">
        <f t="shared" si="25"/>
        <v>-11.593874695845869</v>
      </c>
      <c r="N168">
        <f t="shared" si="26"/>
        <v>-0.23187749391691739</v>
      </c>
      <c r="O168">
        <f t="shared" si="27"/>
        <v>0.55088659960992814</v>
      </c>
      <c r="P168" s="1">
        <f t="shared" si="29"/>
        <v>47.177086881059566</v>
      </c>
      <c r="Q168" s="1">
        <f t="shared" si="30"/>
        <v>27.660268727454866</v>
      </c>
      <c r="R168">
        <f>SQRT(Tabelle2[[#This Row],[vx]]*Tabelle2[[#This Row],[vx]]+Tabelle2[[#This Row],[vy]]*Tabelle2[[#This Row],[vy]])</f>
        <v>54.687914502731402</v>
      </c>
      <c r="S168">
        <f t="shared" si="31"/>
        <v>177.80260307154822</v>
      </c>
      <c r="T168" s="1">
        <f t="shared" si="32"/>
        <v>164.87328548472908</v>
      </c>
    </row>
    <row r="169" spans="6:20" x14ac:dyDescent="0.35">
      <c r="F169" s="1">
        <f t="shared" si="28"/>
        <v>3.3200000000000025</v>
      </c>
      <c r="G169">
        <f>1/2*$B$8*$B$6*$B$7*(Tabelle2[[#This Row],[vx]]*Tabelle2[[#This Row],[vx]]+Tabelle2[[#This Row],[vy]]*Tabelle2[[#This Row],[vy]])/1000000</f>
        <v>5.2576794547739274</v>
      </c>
      <c r="H169">
        <f>IF($B$3,-Tabelle2[[#This Row],[Fd]]*Tabelle2[[#This Row],[vx]]/Tabelle2[[#This Row],[v]],0)</f>
        <v>-4.5438246325221687</v>
      </c>
      <c r="I169">
        <f t="shared" si="22"/>
        <v>-3.0292164216814457</v>
      </c>
      <c r="J169">
        <f t="shared" si="23"/>
        <v>-6.0584328433628917E-2</v>
      </c>
      <c r="K169">
        <f t="shared" si="24"/>
        <v>0.94171887056401926</v>
      </c>
      <c r="L169">
        <f>-$B$5*$B$12-IF($B$3,Tabelle2[[#This Row],[Fd]]*Tabelle2[[#This Row],[vy]]/Tabelle2[[#This Row],[v]],0)</f>
        <v>-17.360156131126601</v>
      </c>
      <c r="M169">
        <f t="shared" si="25"/>
        <v>-11.573437420751068</v>
      </c>
      <c r="N169">
        <f t="shared" si="26"/>
        <v>-0.23146874841502135</v>
      </c>
      <c r="O169">
        <f t="shared" si="27"/>
        <v>0.54625313718660873</v>
      </c>
      <c r="P169" s="1">
        <f t="shared" si="29"/>
        <v>47.116235692417781</v>
      </c>
      <c r="Q169" s="1">
        <f t="shared" si="30"/>
        <v>27.428391233537948</v>
      </c>
      <c r="R169">
        <f>SQRT(Tabelle2[[#This Row],[vx]]*Tabelle2[[#This Row],[vx]]+Tabelle2[[#This Row],[vy]]*Tabelle2[[#This Row],[vy]])</f>
        <v>54.518403420161569</v>
      </c>
      <c r="S169">
        <f t="shared" si="31"/>
        <v>178.745536297283</v>
      </c>
      <c r="T169" s="1">
        <f t="shared" si="32"/>
        <v>165.42417208433901</v>
      </c>
    </row>
    <row r="170" spans="6:20" x14ac:dyDescent="0.35">
      <c r="F170" s="1">
        <f t="shared" si="28"/>
        <v>3.3400000000000025</v>
      </c>
      <c r="G170">
        <f>1/2*$B$8*$B$6*$B$7*(Tabelle2[[#This Row],[vx]]*Tabelle2[[#This Row],[vx]]+Tabelle2[[#This Row],[vy]]*Tabelle2[[#This Row],[vy]])/1000000</f>
        <v>5.2252208713695873</v>
      </c>
      <c r="H170">
        <f>IF($B$3,-Tabelle2[[#This Row],[Fd]]*Tabelle2[[#This Row],[vx]]/Tabelle2[[#This Row],[v]],0)</f>
        <v>-4.5239525322622338</v>
      </c>
      <c r="I170">
        <f t="shared" si="22"/>
        <v>-3.0159683548414891</v>
      </c>
      <c r="J170">
        <f t="shared" si="23"/>
        <v>-6.0319367096829786E-2</v>
      </c>
      <c r="K170">
        <f t="shared" si="24"/>
        <v>0.94050983360871487</v>
      </c>
      <c r="L170">
        <f>-$B$5*$B$12-IF($B$3,Tabelle2[[#This Row],[Fd]]*Tabelle2[[#This Row],[vy]]/Tabelle2[[#This Row],[v]],0)</f>
        <v>-17.329724964586998</v>
      </c>
      <c r="M170">
        <f t="shared" si="25"/>
        <v>-11.553149976391332</v>
      </c>
      <c r="N170">
        <f t="shared" si="26"/>
        <v>-0.23106299952782663</v>
      </c>
      <c r="O170">
        <f t="shared" si="27"/>
        <v>0.54162781970718021</v>
      </c>
      <c r="P170" s="1">
        <f t="shared" si="29"/>
        <v>47.055651363984154</v>
      </c>
      <c r="Q170" s="1">
        <f t="shared" si="30"/>
        <v>27.196922485122926</v>
      </c>
      <c r="R170">
        <f>SQRT(Tabelle2[[#This Row],[vx]]*Tabelle2[[#This Row],[vx]]+Tabelle2[[#This Row],[vy]]*Tabelle2[[#This Row],[vy]])</f>
        <v>54.349856650690519</v>
      </c>
      <c r="S170">
        <f t="shared" si="31"/>
        <v>179.68725516784701</v>
      </c>
      <c r="T170" s="1">
        <f t="shared" si="32"/>
        <v>165.9704252215256</v>
      </c>
    </row>
    <row r="171" spans="6:20" x14ac:dyDescent="0.35">
      <c r="F171" s="1">
        <f t="shared" si="28"/>
        <v>3.3600000000000025</v>
      </c>
      <c r="G171">
        <f>1/2*$B$8*$B$6*$B$7*(Tabelle2[[#This Row],[vx]]*Tabelle2[[#This Row],[vx]]+Tabelle2[[#This Row],[vy]]*Tabelle2[[#This Row],[vy]])/1000000</f>
        <v>5.1930475842448498</v>
      </c>
      <c r="H171">
        <f>IF($B$3,-Tabelle2[[#This Row],[Fd]]*Tabelle2[[#This Row],[vx]]/Tabelle2[[#This Row],[v]],0)</f>
        <v>-4.5042220939493038</v>
      </c>
      <c r="I171">
        <f t="shared" si="22"/>
        <v>-3.0028147292995357</v>
      </c>
      <c r="J171">
        <f t="shared" si="23"/>
        <v>-6.0056294585990717E-2</v>
      </c>
      <c r="K171">
        <f t="shared" si="24"/>
        <v>0.93930607699188662</v>
      </c>
      <c r="L171">
        <f>-$B$5*$B$12-IF($B$3,Tabelle2[[#This Row],[Fd]]*Tabelle2[[#This Row],[vy]]/Tabelle2[[#This Row],[v]],0)</f>
        <v>-17.299516693815349</v>
      </c>
      <c r="M171">
        <f t="shared" si="25"/>
        <v>-11.533011129210232</v>
      </c>
      <c r="N171">
        <f t="shared" si="26"/>
        <v>-0.23066022258420465</v>
      </c>
      <c r="O171">
        <f t="shared" si="27"/>
        <v>0.53701058748606001</v>
      </c>
      <c r="P171" s="1">
        <f t="shared" si="29"/>
        <v>46.995331996887323</v>
      </c>
      <c r="Q171" s="1">
        <f t="shared" si="30"/>
        <v>26.9658594855951</v>
      </c>
      <c r="R171">
        <f>SQRT(Tabelle2[[#This Row],[vx]]*Tabelle2[[#This Row],[vx]]+Tabelle2[[#This Row],[vy]]*Tabelle2[[#This Row],[vy]])</f>
        <v>54.182273921408289</v>
      </c>
      <c r="S171">
        <f t="shared" si="31"/>
        <v>180.62776500145571</v>
      </c>
      <c r="T171" s="1">
        <f t="shared" si="32"/>
        <v>166.51205304123278</v>
      </c>
    </row>
    <row r="172" spans="6:20" x14ac:dyDescent="0.35">
      <c r="F172" s="1">
        <f t="shared" si="28"/>
        <v>3.3800000000000026</v>
      </c>
      <c r="G172">
        <f>1/2*$B$8*$B$6*$B$7*(Tabelle2[[#This Row],[vx]]*Tabelle2[[#This Row],[vx]]+Tabelle2[[#This Row],[vy]]*Tabelle2[[#This Row],[vy]])/1000000</f>
        <v>5.1611578339779456</v>
      </c>
      <c r="H172">
        <f>IF($B$3,-Tabelle2[[#This Row],[Fd]]*Tabelle2[[#This Row],[vx]]/Tabelle2[[#This Row],[v]],0)</f>
        <v>-4.4846325734446024</v>
      </c>
      <c r="I172">
        <f t="shared" si="22"/>
        <v>-2.9897550489630684</v>
      </c>
      <c r="J172">
        <f t="shared" si="23"/>
        <v>-5.979510097926137E-2</v>
      </c>
      <c r="K172">
        <f t="shared" si="24"/>
        <v>0.9381075630362341</v>
      </c>
      <c r="L172">
        <f>-$B$5*$B$12-IF($B$3,Tabelle2[[#This Row],[Fd]]*Tabelle2[[#This Row],[vy]]/Tabelle2[[#This Row],[v]],0)</f>
        <v>-17.269529480830386</v>
      </c>
      <c r="M172">
        <f t="shared" si="25"/>
        <v>-11.513019653886923</v>
      </c>
      <c r="N172">
        <f t="shared" si="26"/>
        <v>-0.23026039307773846</v>
      </c>
      <c r="O172">
        <f t="shared" si="27"/>
        <v>0.53240138132944059</v>
      </c>
      <c r="P172" s="1">
        <f t="shared" si="29"/>
        <v>46.935275702301333</v>
      </c>
      <c r="Q172" s="1">
        <f t="shared" si="30"/>
        <v>26.735199263010895</v>
      </c>
      <c r="R172">
        <f>SQRT(Tabelle2[[#This Row],[vx]]*Tabelle2[[#This Row],[vx]]+Tabelle2[[#This Row],[vy]]*Tabelle2[[#This Row],[vy]])</f>
        <v>54.015654998194151</v>
      </c>
      <c r="S172">
        <f t="shared" si="31"/>
        <v>181.56707107844761</v>
      </c>
      <c r="T172" s="1">
        <f t="shared" si="32"/>
        <v>167.04906362871884</v>
      </c>
    </row>
    <row r="173" spans="6:20" x14ac:dyDescent="0.35">
      <c r="F173" s="1">
        <f t="shared" si="28"/>
        <v>3.4000000000000026</v>
      </c>
      <c r="G173">
        <f>1/2*$B$8*$B$6*$B$7*(Tabelle2[[#This Row],[vx]]*Tabelle2[[#This Row],[vx]]+Tabelle2[[#This Row],[vy]]*Tabelle2[[#This Row],[vy]])/1000000</f>
        <v>5.1295498788650189</v>
      </c>
      <c r="H173">
        <f>IF($B$3,-Tabelle2[[#This Row],[Fd]]*Tabelle2[[#This Row],[vx]]/Tabelle2[[#This Row],[v]],0)</f>
        <v>-4.4651832357580039</v>
      </c>
      <c r="I173">
        <f t="shared" si="22"/>
        <v>-2.9767888238386693</v>
      </c>
      <c r="J173">
        <f t="shared" si="23"/>
        <v>-5.9535776476773383E-2</v>
      </c>
      <c r="K173">
        <f t="shared" si="24"/>
        <v>0.93691425426167374</v>
      </c>
      <c r="L173">
        <f>-$B$5*$B$12-IF($B$3,Tabelle2[[#This Row],[Fd]]*Tabelle2[[#This Row],[vy]]/Tabelle2[[#This Row],[v]],0)</f>
        <v>-17.239761499799499</v>
      </c>
      <c r="M173">
        <f t="shared" si="25"/>
        <v>-11.493174333199667</v>
      </c>
      <c r="N173">
        <f t="shared" si="26"/>
        <v>-0.22986348666399334</v>
      </c>
      <c r="O173">
        <f t="shared" si="27"/>
        <v>0.52780014253202323</v>
      </c>
      <c r="P173" s="1">
        <f t="shared" si="29"/>
        <v>46.875480601322074</v>
      </c>
      <c r="Q173" s="1">
        <f t="shared" si="30"/>
        <v>26.504938869933156</v>
      </c>
      <c r="R173">
        <f>SQRT(Tabelle2[[#This Row],[vx]]*Tabelle2[[#This Row],[vx]]+Tabelle2[[#This Row],[vy]]*Tabelle2[[#This Row],[vy]])</f>
        <v>53.849999685272195</v>
      </c>
      <c r="S173">
        <f t="shared" si="31"/>
        <v>182.50517864148384</v>
      </c>
      <c r="T173" s="1">
        <f t="shared" si="32"/>
        <v>167.58146501004828</v>
      </c>
    </row>
    <row r="174" spans="6:20" x14ac:dyDescent="0.35">
      <c r="F174" s="1">
        <f t="shared" si="28"/>
        <v>3.4200000000000026</v>
      </c>
      <c r="G174">
        <f>1/2*$B$8*$B$6*$B$7*(Tabelle2[[#This Row],[vx]]*Tabelle2[[#This Row],[vx]]+Tabelle2[[#This Row],[vy]]*Tabelle2[[#This Row],[vy]])/1000000</f>
        <v>5.0982219947150753</v>
      </c>
      <c r="H174">
        <f>IF($B$3,-Tabelle2[[#This Row],[Fd]]*Tabelle2[[#This Row],[vx]]/Tabelle2[[#This Row],[v]],0)</f>
        <v>-4.4458733549313028</v>
      </c>
      <c r="I174">
        <f t="shared" si="22"/>
        <v>-2.9639155699542017</v>
      </c>
      <c r="J174">
        <f t="shared" si="23"/>
        <v>-5.9278311399084037E-2</v>
      </c>
      <c r="K174">
        <f t="shared" si="24"/>
        <v>0.93572611338291523</v>
      </c>
      <c r="L174">
        <f>-$B$5*$B$12-IF($B$3,Tabelle2[[#This Row],[Fd]]*Tabelle2[[#This Row],[vy]]/Tabelle2[[#This Row],[v]],0)</f>
        <v>-17.210210936836493</v>
      </c>
      <c r="M174">
        <f t="shared" si="25"/>
        <v>-11.473473957890995</v>
      </c>
      <c r="N174">
        <f t="shared" si="26"/>
        <v>-0.2294694791578199</v>
      </c>
      <c r="O174">
        <f t="shared" si="27"/>
        <v>0.52320681287380499</v>
      </c>
      <c r="P174" s="1">
        <f t="shared" si="29"/>
        <v>46.815944824845303</v>
      </c>
      <c r="Q174" s="1">
        <f t="shared" si="30"/>
        <v>26.275075383269161</v>
      </c>
      <c r="R174">
        <f>SQRT(Tabelle2[[#This Row],[vx]]*Tabelle2[[#This Row],[vx]]+Tabelle2[[#This Row],[vy]]*Tabelle2[[#This Row],[vy]])</f>
        <v>53.685307824761857</v>
      </c>
      <c r="S174">
        <f t="shared" si="31"/>
        <v>183.4420928957455</v>
      </c>
      <c r="T174" s="1">
        <f t="shared" si="32"/>
        <v>168.10926515258029</v>
      </c>
    </row>
    <row r="175" spans="6:20" x14ac:dyDescent="0.35">
      <c r="F175" s="1">
        <f t="shared" si="28"/>
        <v>3.4400000000000026</v>
      </c>
      <c r="G175">
        <f>1/2*$B$8*$B$6*$B$7*(Tabelle2[[#This Row],[vx]]*Tabelle2[[#This Row],[vx]]+Tabelle2[[#This Row],[vy]]*Tabelle2[[#This Row],[vy]])/1000000</f>
        <v>5.0671724746474487</v>
      </c>
      <c r="H175">
        <f>IF($B$3,-Tabelle2[[#This Row],[Fd]]*Tabelle2[[#This Row],[vx]]/Tabelle2[[#This Row],[v]],0)</f>
        <v>-4.4267022139222227</v>
      </c>
      <c r="I175">
        <f t="shared" si="22"/>
        <v>-2.951134809281482</v>
      </c>
      <c r="J175">
        <f t="shared" si="23"/>
        <v>-5.9022696185629643E-2</v>
      </c>
      <c r="K175">
        <f t="shared" si="24"/>
        <v>0.93454310330706802</v>
      </c>
      <c r="L175">
        <f>-$B$5*$B$12-IF($B$3,Tabelle2[[#This Row],[Fd]]*Tabelle2[[#This Row],[vy]]/Tabelle2[[#This Row],[v]],0)</f>
        <v>-17.18087598980177</v>
      </c>
      <c r="M175">
        <f t="shared" si="25"/>
        <v>-11.453917326534514</v>
      </c>
      <c r="N175">
        <f t="shared" si="26"/>
        <v>-0.22907834653069029</v>
      </c>
      <c r="O175">
        <f t="shared" si="27"/>
        <v>0.51862133461691995</v>
      </c>
      <c r="P175" s="1">
        <f t="shared" si="29"/>
        <v>46.75666651344622</v>
      </c>
      <c r="Q175" s="1">
        <f t="shared" si="30"/>
        <v>26.045605904111341</v>
      </c>
      <c r="R175">
        <f>SQRT(Tabelle2[[#This Row],[vx]]*Tabelle2[[#This Row],[vx]]+Tabelle2[[#This Row],[vy]]*Tabelle2[[#This Row],[vy]])</f>
        <v>53.521579296223145</v>
      </c>
      <c r="S175">
        <f t="shared" si="31"/>
        <v>184.37781900912842</v>
      </c>
      <c r="T175" s="1">
        <f t="shared" si="32"/>
        <v>168.6324719654541</v>
      </c>
    </row>
    <row r="176" spans="6:20" x14ac:dyDescent="0.35">
      <c r="F176" s="1">
        <f t="shared" si="28"/>
        <v>3.4600000000000026</v>
      </c>
      <c r="G176">
        <f>1/2*$B$8*$B$6*$B$7*(Tabelle2[[#This Row],[vx]]*Tabelle2[[#This Row],[vx]]+Tabelle2[[#This Row],[vy]]*Tabelle2[[#This Row],[vy]])/1000000</f>
        <v>5.036399628891763</v>
      </c>
      <c r="H176">
        <f>IF($B$3,-Tabelle2[[#This Row],[Fd]]*Tabelle2[[#This Row],[vx]]/Tabelle2[[#This Row],[v]],0)</f>
        <v>-4.4076691044891252</v>
      </c>
      <c r="I176">
        <f t="shared" si="22"/>
        <v>-2.9384460696594168</v>
      </c>
      <c r="J176">
        <f t="shared" si="23"/>
        <v>-5.8768921393188338E-2</v>
      </c>
      <c r="K176">
        <f t="shared" si="24"/>
        <v>0.93336518713127992</v>
      </c>
      <c r="L176">
        <f>-$B$5*$B$12-IF($B$3,Tabelle2[[#This Row],[Fd]]*Tabelle2[[#This Row],[vy]]/Tabelle2[[#This Row],[v]],0)</f>
        <v>-17.151754868104941</v>
      </c>
      <c r="M176">
        <f t="shared" si="25"/>
        <v>-11.434503245403294</v>
      </c>
      <c r="N176">
        <f t="shared" si="26"/>
        <v>-0.22869006490806587</v>
      </c>
      <c r="O176">
        <f t="shared" si="27"/>
        <v>0.51404365050253231</v>
      </c>
      <c r="P176" s="1">
        <f t="shared" si="29"/>
        <v>46.697643817260591</v>
      </c>
      <c r="Q176" s="1">
        <f t="shared" si="30"/>
        <v>25.816527557580649</v>
      </c>
      <c r="R176">
        <f>SQRT(Tabelle2[[#This Row],[vx]]*Tabelle2[[#This Row],[vx]]+Tabelle2[[#This Row],[vy]]*Tabelle2[[#This Row],[vy]])</f>
        <v>53.358814016196582</v>
      </c>
      <c r="S176">
        <f t="shared" si="31"/>
        <v>185.31236211243549</v>
      </c>
      <c r="T176" s="1">
        <f t="shared" si="32"/>
        <v>169.15109330007101</v>
      </c>
    </row>
    <row r="177" spans="6:20" x14ac:dyDescent="0.35">
      <c r="F177" s="1">
        <f t="shared" si="28"/>
        <v>3.4800000000000026</v>
      </c>
      <c r="G177">
        <f>1/2*$B$8*$B$6*$B$7*(Tabelle2[[#This Row],[vx]]*Tabelle2[[#This Row],[vx]]+Tabelle2[[#This Row],[vy]]*Tabelle2[[#This Row],[vy]])/1000000</f>
        <v>5.0059017845903551</v>
      </c>
      <c r="H177">
        <f>IF($B$3,-Tabelle2[[#This Row],[Fd]]*Tabelle2[[#This Row],[vx]]/Tabelle2[[#This Row],[v]],0)</f>
        <v>-4.3887733270764295</v>
      </c>
      <c r="I177">
        <f t="shared" si="22"/>
        <v>-2.9258488847176198</v>
      </c>
      <c r="J177">
        <f t="shared" si="23"/>
        <v>-5.85169776943524E-2</v>
      </c>
      <c r="K177">
        <f t="shared" si="24"/>
        <v>0.93219232814040454</v>
      </c>
      <c r="L177">
        <f>-$B$5*$B$12-IF($B$3,Tabelle2[[#This Row],[Fd]]*Tabelle2[[#This Row],[vy]]/Tabelle2[[#This Row],[v]],0)</f>
        <v>-17.12284579250985</v>
      </c>
      <c r="M177">
        <f t="shared" si="25"/>
        <v>-11.415230528339899</v>
      </c>
      <c r="N177">
        <f t="shared" si="26"/>
        <v>-0.22830461056679799</v>
      </c>
      <c r="O177">
        <f t="shared" si="27"/>
        <v>0.50947370374778378</v>
      </c>
      <c r="P177" s="1">
        <f t="shared" si="29"/>
        <v>46.638874895867403</v>
      </c>
      <c r="Q177" s="1">
        <f t="shared" si="30"/>
        <v>25.587837492672584</v>
      </c>
      <c r="R177">
        <f>SQRT(Tabelle2[[#This Row],[vx]]*Tabelle2[[#This Row],[vx]]+Tabelle2[[#This Row],[vy]]*Tabelle2[[#This Row],[vy]])</f>
        <v>53.19701193773755</v>
      </c>
      <c r="S177">
        <f t="shared" si="31"/>
        <v>186.24572729956677</v>
      </c>
      <c r="T177" s="1">
        <f t="shared" si="32"/>
        <v>169.66513695057355</v>
      </c>
    </row>
    <row r="178" spans="6:20" x14ac:dyDescent="0.35">
      <c r="F178" s="1">
        <f t="shared" si="28"/>
        <v>3.5000000000000027</v>
      </c>
      <c r="G178">
        <f>1/2*$B$8*$B$6*$B$7*(Tabelle2[[#This Row],[vx]]*Tabelle2[[#This Row],[vx]]+Tabelle2[[#This Row],[vy]]*Tabelle2[[#This Row],[vy]])/1000000</f>
        <v>4.9756772856031057</v>
      </c>
      <c r="H178">
        <f>IF($B$3,-Tabelle2[[#This Row],[Fd]]*Tabelle2[[#This Row],[vx]]/Tabelle2[[#This Row],[v]],0)</f>
        <v>-4.3700141907006778</v>
      </c>
      <c r="I178">
        <f t="shared" si="22"/>
        <v>-2.9133427938004517</v>
      </c>
      <c r="J178">
        <f t="shared" si="23"/>
        <v>-5.8266855876009035E-2</v>
      </c>
      <c r="K178">
        <f t="shared" si="24"/>
        <v>0.93102448980470087</v>
      </c>
      <c r="L178">
        <f>-$B$5*$B$12-IF($B$3,Tabelle2[[#This Row],[Fd]]*Tabelle2[[#This Row],[vy]]/Tabelle2[[#This Row],[v]],0)</f>
        <v>-17.094146994941969</v>
      </c>
      <c r="M178">
        <f t="shared" si="25"/>
        <v>-11.396097996627979</v>
      </c>
      <c r="N178">
        <f t="shared" si="26"/>
        <v>-0.22792195993255959</v>
      </c>
      <c r="O178">
        <f t="shared" si="27"/>
        <v>0.50491143804279015</v>
      </c>
      <c r="P178" s="1">
        <f t="shared" si="29"/>
        <v>46.58035791817305</v>
      </c>
      <c r="Q178" s="1">
        <f t="shared" si="30"/>
        <v>25.359532882105785</v>
      </c>
      <c r="R178">
        <f>SQRT(Tabelle2[[#This Row],[vx]]*Tabelle2[[#This Row],[vx]]+Tabelle2[[#This Row],[vy]]*Tabelle2[[#This Row],[vy]])</f>
        <v>53.036173049944985</v>
      </c>
      <c r="S178">
        <f t="shared" si="31"/>
        <v>187.17791962770718</v>
      </c>
      <c r="T178" s="1">
        <f t="shared" si="32"/>
        <v>170.17461065432133</v>
      </c>
    </row>
    <row r="179" spans="6:20" x14ac:dyDescent="0.35">
      <c r="F179" s="1">
        <f t="shared" si="28"/>
        <v>3.5200000000000027</v>
      </c>
      <c r="G179">
        <f>1/2*$B$8*$B$6*$B$7*(Tabelle2[[#This Row],[vx]]*Tabelle2[[#This Row],[vx]]+Tabelle2[[#This Row],[vy]]*Tabelle2[[#This Row],[vy]])/1000000</f>
        <v>4.9457244923146675</v>
      </c>
      <c r="H179">
        <f>IF($B$3,-Tabelle2[[#This Row],[Fd]]*Tabelle2[[#This Row],[vx]]/Tabelle2[[#This Row],[v]],0)</f>
        <v>-4.3513910128372624</v>
      </c>
      <c r="I179">
        <f t="shared" si="22"/>
        <v>-2.9009273418915082</v>
      </c>
      <c r="J179">
        <f t="shared" si="23"/>
        <v>-5.8018546837830164E-2</v>
      </c>
      <c r="K179">
        <f t="shared" si="24"/>
        <v>0.92986163577756265</v>
      </c>
      <c r="L179">
        <f>-$B$5*$B$12-IF($B$3,Tabelle2[[#This Row],[Fd]]*Tabelle2[[#This Row],[vy]]/Tabelle2[[#This Row],[v]],0)</f>
        <v>-17.065656718298161</v>
      </c>
      <c r="M179">
        <f t="shared" si="25"/>
        <v>-11.377104478865441</v>
      </c>
      <c r="N179">
        <f t="shared" si="26"/>
        <v>-0.22754208957730881</v>
      </c>
      <c r="O179">
        <f t="shared" si="27"/>
        <v>0.50035679754769147</v>
      </c>
      <c r="P179" s="1">
        <f t="shared" si="29"/>
        <v>46.522091062297044</v>
      </c>
      <c r="Q179" s="1">
        <f t="shared" si="30"/>
        <v>25.131610922173227</v>
      </c>
      <c r="R179">
        <f>SQRT(Tabelle2[[#This Row],[vx]]*Tabelle2[[#This Row],[vx]]+Tabelle2[[#This Row],[vy]]*Tabelle2[[#This Row],[vy]])</f>
        <v>52.87629737748432</v>
      </c>
      <c r="S179">
        <f t="shared" si="31"/>
        <v>188.1089441175119</v>
      </c>
      <c r="T179" s="1">
        <f t="shared" si="32"/>
        <v>170.67952209236412</v>
      </c>
    </row>
    <row r="180" spans="6:20" x14ac:dyDescent="0.35">
      <c r="F180" s="1">
        <f t="shared" si="28"/>
        <v>3.5400000000000027</v>
      </c>
      <c r="G180">
        <f>1/2*$B$8*$B$6*$B$7*(Tabelle2[[#This Row],[vx]]*Tabelle2[[#This Row],[vx]]+Tabelle2[[#This Row],[vy]]*Tabelle2[[#This Row],[vy]])/1000000</f>
        <v>4.9160417814439947</v>
      </c>
      <c r="H180">
        <f>IF($B$3,-Tabelle2[[#This Row],[Fd]]*Tabelle2[[#This Row],[vx]]/Tabelle2[[#This Row],[v]],0)</f>
        <v>-4.3329031193077414</v>
      </c>
      <c r="I180">
        <f t="shared" si="22"/>
        <v>-2.8886020795384941</v>
      </c>
      <c r="J180">
        <f t="shared" si="23"/>
        <v>-5.7772041590769881E-2</v>
      </c>
      <c r="K180">
        <f t="shared" si="24"/>
        <v>0.92870372989327665</v>
      </c>
      <c r="L180">
        <f>-$B$5*$B$12-IF($B$3,Tabelle2[[#This Row],[Fd]]*Tabelle2[[#This Row],[vy]]/Tabelle2[[#This Row],[v]],0)</f>
        <v>-17.037373216258811</v>
      </c>
      <c r="M180">
        <f t="shared" si="25"/>
        <v>-11.358248810839207</v>
      </c>
      <c r="N180">
        <f t="shared" si="26"/>
        <v>-0.22716497621678414</v>
      </c>
      <c r="O180">
        <f t="shared" si="27"/>
        <v>0.49580972688975056</v>
      </c>
      <c r="P180" s="1">
        <f t="shared" si="29"/>
        <v>46.464072515459215</v>
      </c>
      <c r="Q180" s="1">
        <f t="shared" si="30"/>
        <v>24.904068832595918</v>
      </c>
      <c r="R180">
        <f>SQRT(Tabelle2[[#This Row],[vx]]*Tabelle2[[#This Row],[vx]]+Tabelle2[[#This Row],[vy]]*Tabelle2[[#This Row],[vy]])</f>
        <v>52.717384980104313</v>
      </c>
      <c r="S180">
        <f t="shared" si="31"/>
        <v>189.03880575328947</v>
      </c>
      <c r="T180" s="1">
        <f t="shared" si="32"/>
        <v>171.17987888991181</v>
      </c>
    </row>
    <row r="181" spans="6:20" x14ac:dyDescent="0.35">
      <c r="F181" s="1">
        <f t="shared" si="28"/>
        <v>3.5600000000000027</v>
      </c>
      <c r="G181">
        <f>1/2*$B$8*$B$6*$B$7*(Tabelle2[[#This Row],[vx]]*Tabelle2[[#This Row],[vx]]+Tabelle2[[#This Row],[vy]]*Tabelle2[[#This Row],[vy]])/1000000</f>
        <v>4.8866275458562196</v>
      </c>
      <c r="H181">
        <f>IF($B$3,-Tabelle2[[#This Row],[Fd]]*Tabelle2[[#This Row],[vx]]/Tabelle2[[#This Row],[v]],0)</f>
        <v>-4.3145498441677752</v>
      </c>
      <c r="I181">
        <f t="shared" si="22"/>
        <v>-2.8763665627785167</v>
      </c>
      <c r="J181">
        <f t="shared" si="23"/>
        <v>-5.7527331255570337E-2</v>
      </c>
      <c r="K181">
        <f t="shared" si="24"/>
        <v>0.92755073616481309</v>
      </c>
      <c r="L181">
        <f>-$B$5*$B$12-IF($B$3,Tabelle2[[#This Row],[Fd]]*Tabelle2[[#This Row],[vy]]/Tabelle2[[#This Row],[v]],0)</f>
        <v>-17.009294753102271</v>
      </c>
      <c r="M181">
        <f t="shared" si="25"/>
        <v>-11.339529835401514</v>
      </c>
      <c r="N181">
        <f t="shared" si="26"/>
        <v>-0.22679059670803028</v>
      </c>
      <c r="O181">
        <f t="shared" si="27"/>
        <v>0.49127017116050242</v>
      </c>
      <c r="P181" s="1">
        <f t="shared" si="29"/>
        <v>46.406300473868441</v>
      </c>
      <c r="Q181" s="1">
        <f t="shared" si="30"/>
        <v>24.676903856379134</v>
      </c>
      <c r="R181">
        <f>SQRT(Tabelle2[[#This Row],[vx]]*Tabelle2[[#This Row],[vx]]+Tabelle2[[#This Row],[vy]]*Tabelle2[[#This Row],[vy]])</f>
        <v>52.559435952147943</v>
      </c>
      <c r="S181">
        <f t="shared" si="31"/>
        <v>189.96750948318274</v>
      </c>
      <c r="T181" s="1">
        <f t="shared" si="32"/>
        <v>171.67568861680155</v>
      </c>
    </row>
    <row r="182" spans="6:20" x14ac:dyDescent="0.35">
      <c r="F182" s="1">
        <f t="shared" si="28"/>
        <v>3.5800000000000027</v>
      </c>
      <c r="G182">
        <f>1/2*$B$8*$B$6*$B$7*(Tabelle2[[#This Row],[vx]]*Tabelle2[[#This Row],[vx]]+Tabelle2[[#This Row],[vy]]*Tabelle2[[#This Row],[vy]])/1000000</f>
        <v>4.8574801943767678</v>
      </c>
      <c r="H182">
        <f>IF($B$3,-Tabelle2[[#This Row],[Fd]]*Tabelle2[[#This Row],[vx]]/Tabelle2[[#This Row],[v]],0)</f>
        <v>-4.2963305295956147</v>
      </c>
      <c r="I182">
        <f t="shared" si="22"/>
        <v>-2.8642203530637431</v>
      </c>
      <c r="J182">
        <f t="shared" si="23"/>
        <v>-5.7284407061274863E-2</v>
      </c>
      <c r="K182">
        <f t="shared" si="24"/>
        <v>0.92640261878164465</v>
      </c>
      <c r="L182">
        <f>-$B$5*$B$12-IF($B$3,Tabelle2[[#This Row],[Fd]]*Tabelle2[[#This Row],[vy]]/Tabelle2[[#This Row],[v]],0)</f>
        <v>-16.981419603521648</v>
      </c>
      <c r="M182">
        <f t="shared" si="25"/>
        <v>-11.320946402347765</v>
      </c>
      <c r="N182">
        <f t="shared" si="26"/>
        <v>-0.22641892804695529</v>
      </c>
      <c r="O182">
        <f t="shared" si="27"/>
        <v>0.48673807591295254</v>
      </c>
      <c r="P182" s="1">
        <f t="shared" si="29"/>
        <v>46.34877314261287</v>
      </c>
      <c r="Q182" s="1">
        <f t="shared" si="30"/>
        <v>24.450113259671102</v>
      </c>
      <c r="R182">
        <f>SQRT(Tabelle2[[#This Row],[vx]]*Tabelle2[[#This Row],[vx]]+Tabelle2[[#This Row],[vy]]*Tabelle2[[#This Row],[vy]])</f>
        <v>52.402450422056951</v>
      </c>
      <c r="S182">
        <f t="shared" si="31"/>
        <v>190.89506021934756</v>
      </c>
      <c r="T182" s="1">
        <f t="shared" si="32"/>
        <v>172.16695878796205</v>
      </c>
    </row>
    <row r="183" spans="6:20" x14ac:dyDescent="0.35">
      <c r="F183" s="1">
        <f t="shared" si="28"/>
        <v>3.6000000000000028</v>
      </c>
      <c r="G183">
        <f>1/2*$B$8*$B$6*$B$7*(Tabelle2[[#This Row],[vx]]*Tabelle2[[#This Row],[vx]]+Tabelle2[[#This Row],[vy]]*Tabelle2[[#This Row],[vy]])/1000000</f>
        <v>4.8285981516077063</v>
      </c>
      <c r="H183">
        <f>IF($B$3,-Tabelle2[[#This Row],[Fd]]*Tabelle2[[#This Row],[vx]]/Tabelle2[[#This Row],[v]],0)</f>
        <v>-4.2782445257811395</v>
      </c>
      <c r="I183">
        <f t="shared" si="22"/>
        <v>-2.8521630171874262</v>
      </c>
      <c r="J183">
        <f t="shared" si="23"/>
        <v>-5.7043260343748521E-2</v>
      </c>
      <c r="K183">
        <f t="shared" si="24"/>
        <v>0.92525934210759442</v>
      </c>
      <c r="L183">
        <f>-$B$5*$B$12-IF($B$3,Tabelle2[[#This Row],[Fd]]*Tabelle2[[#This Row],[vy]]/Tabelle2[[#This Row],[v]],0)</f>
        <v>-16.953746052443883</v>
      </c>
      <c r="M183">
        <f t="shared" si="25"/>
        <v>-11.302497368295922</v>
      </c>
      <c r="N183">
        <f t="shared" si="26"/>
        <v>-0.22604994736591846</v>
      </c>
      <c r="O183">
        <f t="shared" si="27"/>
        <v>0.48221338715882384</v>
      </c>
      <c r="P183" s="1">
        <f t="shared" si="29"/>
        <v>46.291488735551596</v>
      </c>
      <c r="Q183" s="1">
        <f t="shared" si="30"/>
        <v>24.223694331624149</v>
      </c>
      <c r="R183">
        <f>SQRT(Tabelle2[[#This Row],[vx]]*Tabelle2[[#This Row],[vx]]+Tabelle2[[#This Row],[vy]]*Tabelle2[[#This Row],[vy]])</f>
        <v>52.246428551870032</v>
      </c>
      <c r="S183">
        <f t="shared" si="31"/>
        <v>191.82146283812921</v>
      </c>
      <c r="T183" s="1">
        <f t="shared" si="32"/>
        <v>172.65369686387498</v>
      </c>
    </row>
    <row r="184" spans="6:20" x14ac:dyDescent="0.35">
      <c r="F184" s="1">
        <f t="shared" si="28"/>
        <v>3.6200000000000028</v>
      </c>
      <c r="G184">
        <f>1/2*$B$8*$B$6*$B$7*(Tabelle2[[#This Row],[vx]]*Tabelle2[[#This Row],[vx]]+Tabelle2[[#This Row],[vy]]*Tabelle2[[#This Row],[vy]])/1000000</f>
        <v>4.799979857746294</v>
      </c>
      <c r="H184">
        <f>IF($B$3,-Tabelle2[[#This Row],[Fd]]*Tabelle2[[#This Row],[vx]]/Tabelle2[[#This Row],[v]],0)</f>
        <v>-4.2602911908154244</v>
      </c>
      <c r="I184">
        <f t="shared" si="22"/>
        <v>-2.8401941272102831</v>
      </c>
      <c r="J184">
        <f t="shared" si="23"/>
        <v>-5.680388254420566E-2</v>
      </c>
      <c r="K184">
        <f t="shared" si="24"/>
        <v>0.92412087067871496</v>
      </c>
      <c r="L184">
        <f>-$B$5*$B$12-IF($B$3,Tabelle2[[#This Row],[Fd]]*Tabelle2[[#This Row],[vy]]/Tabelle2[[#This Row],[v]],0)</f>
        <v>-16.926272394851125</v>
      </c>
      <c r="M184">
        <f t="shared" si="25"/>
        <v>-11.284181596567416</v>
      </c>
      <c r="N184">
        <f t="shared" si="26"/>
        <v>-0.22568363193134833</v>
      </c>
      <c r="O184">
        <f t="shared" si="27"/>
        <v>0.47769605136585114</v>
      </c>
      <c r="P184" s="1">
        <f t="shared" si="29"/>
        <v>46.234445475207849</v>
      </c>
      <c r="Q184" s="1">
        <f t="shared" si="30"/>
        <v>23.99764438425823</v>
      </c>
      <c r="R184">
        <f>SQRT(Tabelle2[[#This Row],[vx]]*Tabelle2[[#This Row],[vx]]+Tabelle2[[#This Row],[vy]]*Tabelle2[[#This Row],[vy]])</f>
        <v>52.091370536714507</v>
      </c>
      <c r="S184">
        <f t="shared" si="31"/>
        <v>192.74672218023682</v>
      </c>
      <c r="T184" s="1">
        <f t="shared" si="32"/>
        <v>173.13591025103381</v>
      </c>
    </row>
    <row r="185" spans="6:20" x14ac:dyDescent="0.35">
      <c r="F185" s="1">
        <f t="shared" si="28"/>
        <v>3.6400000000000028</v>
      </c>
      <c r="G185">
        <f>1/2*$B$8*$B$6*$B$7*(Tabelle2[[#This Row],[vx]]*Tabelle2[[#This Row],[vx]]+Tabelle2[[#This Row],[vy]]*Tabelle2[[#This Row],[vy]])/1000000</f>
        <v>4.771623768405691</v>
      </c>
      <c r="H185">
        <f>IF($B$3,-Tabelle2[[#This Row],[Fd]]*Tabelle2[[#This Row],[vx]]/Tabelle2[[#This Row],[v]],0)</f>
        <v>-4.242469890580808</v>
      </c>
      <c r="I185">
        <f t="shared" si="22"/>
        <v>-2.8283132603872052</v>
      </c>
      <c r="J185">
        <f t="shared" si="23"/>
        <v>-5.6566265207744104E-2</v>
      </c>
      <c r="K185">
        <f t="shared" si="24"/>
        <v>0.92298716920119528</v>
      </c>
      <c r="L185">
        <f>-$B$5*$B$12-IF($B$3,Tabelle2[[#This Row],[Fd]]*Tabelle2[[#This Row],[vy]]/Tabelle2[[#This Row],[v]],0)</f>
        <v>-16.898996935604394</v>
      </c>
      <c r="M185">
        <f t="shared" si="25"/>
        <v>-11.265997957069596</v>
      </c>
      <c r="N185">
        <f t="shared" si="26"/>
        <v>-0.22531995914139191</v>
      </c>
      <c r="O185">
        <f t="shared" si="27"/>
        <v>0.47318601545512368</v>
      </c>
      <c r="P185" s="1">
        <f t="shared" si="29"/>
        <v>46.17764159266364</v>
      </c>
      <c r="Q185" s="1">
        <f t="shared" si="30"/>
        <v>23.77196075232688</v>
      </c>
      <c r="R185">
        <f>SQRT(Tabelle2[[#This Row],[vx]]*Tabelle2[[#This Row],[vx]]+Tabelle2[[#This Row],[vy]]*Tabelle2[[#This Row],[vy]])</f>
        <v>51.937276604291341</v>
      </c>
      <c r="S185">
        <f t="shared" si="31"/>
        <v>193.67084305091552</v>
      </c>
      <c r="T185" s="1">
        <f t="shared" si="32"/>
        <v>173.61360630239966</v>
      </c>
    </row>
    <row r="186" spans="6:20" x14ac:dyDescent="0.35">
      <c r="F186" s="1">
        <f t="shared" si="28"/>
        <v>3.6600000000000028</v>
      </c>
      <c r="G186">
        <f>1/2*$B$8*$B$6*$B$7*(Tabelle2[[#This Row],[vx]]*Tabelle2[[#This Row],[vx]]+Tabelle2[[#This Row],[vy]]*Tabelle2[[#This Row],[vy]])/1000000</f>
        <v>4.7435283544377915</v>
      </c>
      <c r="H186">
        <f>IF($B$3,-Tabelle2[[#This Row],[Fd]]*Tabelle2[[#This Row],[vx]]/Tabelle2[[#This Row],[v]],0)</f>
        <v>-4.2247799986414423</v>
      </c>
      <c r="I186">
        <f t="shared" si="22"/>
        <v>-2.8165199990942948</v>
      </c>
      <c r="J186">
        <f t="shared" si="23"/>
        <v>-5.6330399981885895E-2</v>
      </c>
      <c r="K186">
        <f t="shared" si="24"/>
        <v>0.92185820254929907</v>
      </c>
      <c r="L186">
        <f>-$B$5*$B$12-IF($B$3,Tabelle2[[#This Row],[Fd]]*Tabelle2[[#This Row],[vy]]/Tabelle2[[#This Row],[v]],0)</f>
        <v>-16.87191798926953</v>
      </c>
      <c r="M186">
        <f t="shared" si="25"/>
        <v>-11.247945326179687</v>
      </c>
      <c r="N186">
        <f t="shared" si="26"/>
        <v>-0.22495890652359374</v>
      </c>
      <c r="O186">
        <f t="shared" si="27"/>
        <v>0.4686832267984738</v>
      </c>
      <c r="P186" s="1">
        <f t="shared" si="29"/>
        <v>46.121075327455898</v>
      </c>
      <c r="Q186" s="1">
        <f t="shared" si="30"/>
        <v>23.546640793185489</v>
      </c>
      <c r="R186">
        <f>SQRT(Tabelle2[[#This Row],[vx]]*Tabelle2[[#This Row],[vx]]+Tabelle2[[#This Row],[vy]]*Tabelle2[[#This Row],[vy]])</f>
        <v>51.784147014353422</v>
      </c>
      <c r="S186">
        <f t="shared" si="31"/>
        <v>194.59383022011673</v>
      </c>
      <c r="T186" s="1">
        <f t="shared" si="32"/>
        <v>174.08679231785479</v>
      </c>
    </row>
    <row r="187" spans="6:20" x14ac:dyDescent="0.35">
      <c r="F187" s="1">
        <f t="shared" si="28"/>
        <v>3.6800000000000028</v>
      </c>
      <c r="G187">
        <f>1/2*$B$8*$B$6*$B$7*(Tabelle2[[#This Row],[vx]]*Tabelle2[[#This Row],[vx]]+Tabelle2[[#This Row],[vy]]*Tabelle2[[#This Row],[vy]])/1000000</f>
        <v>4.7156921017581448</v>
      </c>
      <c r="H187">
        <f>IF($B$3,-Tabelle2[[#This Row],[Fd]]*Tabelle2[[#This Row],[vx]]/Tabelle2[[#This Row],[v]],0)</f>
        <v>-4.207220896134297</v>
      </c>
      <c r="I187">
        <f t="shared" si="22"/>
        <v>-2.8048139307561981</v>
      </c>
      <c r="J187">
        <f t="shared" si="23"/>
        <v>-5.6096278615123965E-2</v>
      </c>
      <c r="K187">
        <f t="shared" si="24"/>
        <v>0.92073393576332896</v>
      </c>
      <c r="L187">
        <f>-$B$5*$B$12-IF($B$3,Tabelle2[[#This Row],[Fd]]*Tabelle2[[#This Row],[vy]]/Tabelle2[[#This Row],[v]],0)</f>
        <v>-16.845033879945355</v>
      </c>
      <c r="M187">
        <f t="shared" si="25"/>
        <v>-11.230022586630236</v>
      </c>
      <c r="N187">
        <f t="shared" si="26"/>
        <v>-0.22460045173260473</v>
      </c>
      <c r="O187">
        <f t="shared" si="27"/>
        <v>0.46418763321591189</v>
      </c>
      <c r="P187" s="1">
        <f t="shared" si="29"/>
        <v>46.06474492747401</v>
      </c>
      <c r="Q187" s="1">
        <f t="shared" si="30"/>
        <v>23.321681886661896</v>
      </c>
      <c r="R187">
        <f>SQRT(Tabelle2[[#This Row],[vx]]*Tabelle2[[#This Row],[vx]]+Tabelle2[[#This Row],[vy]]*Tabelle2[[#This Row],[vy]])</f>
        <v>51.631982058176852</v>
      </c>
      <c r="S187">
        <f t="shared" si="31"/>
        <v>195.51568842266602</v>
      </c>
      <c r="T187" s="1">
        <f t="shared" si="32"/>
        <v>174.55547554465326</v>
      </c>
    </row>
    <row r="188" spans="6:20" x14ac:dyDescent="0.35">
      <c r="F188" s="1">
        <f t="shared" si="28"/>
        <v>3.7000000000000028</v>
      </c>
      <c r="G188">
        <f>1/2*$B$8*$B$6*$B$7*(Tabelle2[[#This Row],[vx]]*Tabelle2[[#This Row],[vx]]+Tabelle2[[#This Row],[vy]]*Tabelle2[[#This Row],[vy]])/1000000</f>
        <v>4.6881135111729488</v>
      </c>
      <c r="H188">
        <f>IF($B$3,-Tabelle2[[#This Row],[Fd]]*Tabelle2[[#This Row],[vx]]/Tabelle2[[#This Row],[v]],0)</f>
        <v>-4.1897919716606182</v>
      </c>
      <c r="I188">
        <f t="shared" si="22"/>
        <v>-2.7931946477737455</v>
      </c>
      <c r="J188">
        <f t="shared" si="23"/>
        <v>-5.5863892955474913E-2</v>
      </c>
      <c r="K188">
        <f t="shared" si="24"/>
        <v>0.91961433404762305</v>
      </c>
      <c r="L188">
        <f>-$B$5*$B$12-IF($B$3,Tabelle2[[#This Row],[Fd]]*Tabelle2[[#This Row],[vy]]/Tabelle2[[#This Row],[v]],0)</f>
        <v>-16.818342941094151</v>
      </c>
      <c r="M188">
        <f t="shared" si="25"/>
        <v>-11.212228627396101</v>
      </c>
      <c r="N188">
        <f t="shared" si="26"/>
        <v>-0.22424457254792202</v>
      </c>
      <c r="O188">
        <f t="shared" si="27"/>
        <v>0.45969918297310658</v>
      </c>
      <c r="P188" s="1">
        <f t="shared" si="29"/>
        <v>46.008648648858887</v>
      </c>
      <c r="Q188" s="1">
        <f t="shared" si="30"/>
        <v>23.09708143492929</v>
      </c>
      <c r="R188">
        <f>SQRT(Tabelle2[[#This Row],[vx]]*Tabelle2[[#This Row],[vx]]+Tabelle2[[#This Row],[vy]]*Tabelle2[[#This Row],[vy]])</f>
        <v>51.480782058025298</v>
      </c>
      <c r="S188">
        <f t="shared" si="31"/>
        <v>196.43642235842935</v>
      </c>
      <c r="T188" s="1">
        <f t="shared" si="32"/>
        <v>175.01966317786918</v>
      </c>
    </row>
    <row r="189" spans="6:20" x14ac:dyDescent="0.35">
      <c r="F189" s="1">
        <f t="shared" si="28"/>
        <v>3.7200000000000029</v>
      </c>
      <c r="G189">
        <f>1/2*$B$8*$B$6*$B$7*(Tabelle2[[#This Row],[vx]]*Tabelle2[[#This Row],[vx]]+Tabelle2[[#This Row],[vy]]*Tabelle2[[#This Row],[vy]])/1000000</f>
        <v>4.6607910982080574</v>
      </c>
      <c r="H189">
        <f>IF($B$3,-Tabelle2[[#This Row],[Fd]]*Tabelle2[[#This Row],[vx]]/Tabelle2[[#This Row],[v]],0)</f>
        <v>-4.1724926211777928</v>
      </c>
      <c r="I189">
        <f t="shared" si="22"/>
        <v>-2.7816617474518619</v>
      </c>
      <c r="J189">
        <f t="shared" si="23"/>
        <v>-5.5633234949037241E-2</v>
      </c>
      <c r="K189">
        <f t="shared" si="24"/>
        <v>0.91849936276857791</v>
      </c>
      <c r="L189">
        <f>-$B$5*$B$12-IF($B$3,Tabelle2[[#This Row],[Fd]]*Tabelle2[[#This Row],[vy]]/Tabelle2[[#This Row],[v]],0)</f>
        <v>-16.791843515374314</v>
      </c>
      <c r="M189">
        <f t="shared" si="25"/>
        <v>-11.194562343582875</v>
      </c>
      <c r="N189">
        <f t="shared" si="26"/>
        <v>-0.22389124687165751</v>
      </c>
      <c r="O189">
        <f t="shared" si="27"/>
        <v>0.45521782477891082</v>
      </c>
      <c r="P189" s="1">
        <f t="shared" si="29"/>
        <v>45.952784755903416</v>
      </c>
      <c r="Q189" s="1">
        <f t="shared" si="30"/>
        <v>22.872836862381369</v>
      </c>
      <c r="R189">
        <f>SQRT(Tabelle2[[#This Row],[vx]]*Tabelle2[[#This Row],[vx]]+Tabelle2[[#This Row],[vy]]*Tabelle2[[#This Row],[vy]])</f>
        <v>51.330547366607156</v>
      </c>
      <c r="S189">
        <f t="shared" si="31"/>
        <v>197.35603669247698</v>
      </c>
      <c r="T189" s="1">
        <f t="shared" si="32"/>
        <v>175.47936236084229</v>
      </c>
    </row>
    <row r="190" spans="6:20" x14ac:dyDescent="0.35">
      <c r="F190" s="1">
        <f t="shared" si="28"/>
        <v>3.7400000000000029</v>
      </c>
      <c r="G190">
        <f>1/2*$B$8*$B$6*$B$7*(Tabelle2[[#This Row],[vx]]*Tabelle2[[#This Row],[vx]]+Tabelle2[[#This Row],[vy]]*Tabelle2[[#This Row],[vy]])/1000000</f>
        <v>4.6337233929399888</v>
      </c>
      <c r="H190">
        <f>IF($B$3,-Tabelle2[[#This Row],[Fd]]*Tabelle2[[#This Row],[vx]]/Tabelle2[[#This Row],[v]],0)</f>
        <v>-4.1553222478916281</v>
      </c>
      <c r="I190">
        <f t="shared" si="22"/>
        <v>-2.7702148319277522</v>
      </c>
      <c r="J190">
        <f t="shared" si="23"/>
        <v>-5.5404296638555048E-2</v>
      </c>
      <c r="K190">
        <f t="shared" si="24"/>
        <v>0.91738898745270203</v>
      </c>
      <c r="L190">
        <f>-$B$5*$B$12-IF($B$3,Tabelle2[[#This Row],[Fd]]*Tabelle2[[#This Row],[vy]]/Tabelle2[[#This Row],[v]],0)</f>
        <v>-16.765533954475309</v>
      </c>
      <c r="M190">
        <f t="shared" si="25"/>
        <v>-11.177022636316872</v>
      </c>
      <c r="N190">
        <f t="shared" si="26"/>
        <v>-0.22354045272633744</v>
      </c>
      <c r="O190">
        <f t="shared" si="27"/>
        <v>0.45074350778293082</v>
      </c>
      <c r="P190" s="1">
        <f t="shared" si="29"/>
        <v>45.897151520954381</v>
      </c>
      <c r="Q190" s="1">
        <f t="shared" si="30"/>
        <v>22.64894561550971</v>
      </c>
      <c r="R190">
        <f>SQRT(Tabelle2[[#This Row],[vx]]*Tabelle2[[#This Row],[vx]]+Tabelle2[[#This Row],[vy]]*Tabelle2[[#This Row],[vy]])</f>
        <v>51.181278366525405</v>
      </c>
      <c r="S190">
        <f t="shared" si="31"/>
        <v>198.27453605524556</v>
      </c>
      <c r="T190" s="1">
        <f t="shared" si="32"/>
        <v>175.9345801856212</v>
      </c>
    </row>
    <row r="191" spans="6:20" x14ac:dyDescent="0.35">
      <c r="F191" s="1">
        <f t="shared" si="28"/>
        <v>3.7600000000000029</v>
      </c>
      <c r="G191">
        <f>1/2*$B$8*$B$6*$B$7*(Tabelle2[[#This Row],[vx]]*Tabelle2[[#This Row],[vx]]+Tabelle2[[#This Row],[vy]]*Tabelle2[[#This Row],[vy]])/1000000</f>
        <v>4.6069089398288989</v>
      </c>
      <c r="H191">
        <f>IF($B$3,-Tabelle2[[#This Row],[Fd]]*Tabelle2[[#This Row],[vx]]/Tabelle2[[#This Row],[v]],0)</f>
        <v>-4.1382802621490038</v>
      </c>
      <c r="I191">
        <f t="shared" si="22"/>
        <v>-2.7588535080993357</v>
      </c>
      <c r="J191">
        <f t="shared" si="23"/>
        <v>-5.5177070161986717E-2</v>
      </c>
      <c r="K191">
        <f t="shared" si="24"/>
        <v>0.91628317378469659</v>
      </c>
      <c r="L191">
        <f>-$B$5*$B$12-IF($B$3,Tabelle2[[#This Row],[Fd]]*Tabelle2[[#This Row],[vy]]/Tabelle2[[#This Row],[v]],0)</f>
        <v>-16.739412618954795</v>
      </c>
      <c r="M191">
        <f t="shared" si="25"/>
        <v>-11.15960841263653</v>
      </c>
      <c r="N191">
        <f t="shared" si="26"/>
        <v>-0.22319216825273061</v>
      </c>
      <c r="O191">
        <f t="shared" si="27"/>
        <v>0.4462761815731402</v>
      </c>
      <c r="P191" s="1">
        <f t="shared" si="29"/>
        <v>45.841747224315824</v>
      </c>
      <c r="Q191" s="1">
        <f t="shared" si="30"/>
        <v>22.425405162783374</v>
      </c>
      <c r="R191">
        <f>SQRT(Tabelle2[[#This Row],[vx]]*Tabelle2[[#This Row],[vx]]+Tabelle2[[#This Row],[vy]]*Tabelle2[[#This Row],[vy]])</f>
        <v>51.032975469720149</v>
      </c>
      <c r="S191">
        <f t="shared" si="31"/>
        <v>199.19192504269827</v>
      </c>
      <c r="T191" s="1">
        <f t="shared" si="32"/>
        <v>176.38532369340413</v>
      </c>
    </row>
    <row r="192" spans="6:20" x14ac:dyDescent="0.35">
      <c r="F192" s="1">
        <f t="shared" si="28"/>
        <v>3.7800000000000029</v>
      </c>
      <c r="G192">
        <f>1/2*$B$8*$B$6*$B$7*(Tabelle2[[#This Row],[vx]]*Tabelle2[[#This Row],[vx]]+Tabelle2[[#This Row],[vy]]*Tabelle2[[#This Row],[vy]])/1000000</f>
        <v>4.5803462975534837</v>
      </c>
      <c r="H192">
        <f>IF($B$3,-Tabelle2[[#This Row],[Fd]]*Tabelle2[[#This Row],[vx]]/Tabelle2[[#This Row],[v]],0)</f>
        <v>-4.121366081330895</v>
      </c>
      <c r="I192">
        <f t="shared" si="22"/>
        <v>-2.74757738755393</v>
      </c>
      <c r="J192">
        <f t="shared" si="23"/>
        <v>-5.4951547751078599E-2</v>
      </c>
      <c r="K192">
        <f t="shared" si="24"/>
        <v>0.91518188760556596</v>
      </c>
      <c r="L192">
        <f>-$B$5*$B$12-IF($B$3,Tabelle2[[#This Row],[Fd]]*Tabelle2[[#This Row],[vy]]/Tabelle2[[#This Row],[v]],0)</f>
        <v>-16.713477878077995</v>
      </c>
      <c r="M192">
        <f t="shared" si="25"/>
        <v>-11.142318585385331</v>
      </c>
      <c r="N192">
        <f t="shared" si="26"/>
        <v>-0.22284637170770663</v>
      </c>
      <c r="O192">
        <f t="shared" si="27"/>
        <v>0.44181579617353584</v>
      </c>
      <c r="P192" s="1">
        <f t="shared" si="29"/>
        <v>45.786570154153836</v>
      </c>
      <c r="Q192" s="1">
        <f t="shared" si="30"/>
        <v>22.202212994530644</v>
      </c>
      <c r="R192">
        <f>SQRT(Tabelle2[[#This Row],[vx]]*Tabelle2[[#This Row],[vx]]+Tabelle2[[#This Row],[vy]]*Tabelle2[[#This Row],[vy]])</f>
        <v>50.885639116903668</v>
      </c>
      <c r="S192">
        <f t="shared" si="31"/>
        <v>200.10820821648298</v>
      </c>
      <c r="T192" s="1">
        <f t="shared" si="32"/>
        <v>176.83159987497729</v>
      </c>
    </row>
    <row r="193" spans="6:20" x14ac:dyDescent="0.35">
      <c r="F193" s="1">
        <f t="shared" si="28"/>
        <v>3.8000000000000029</v>
      </c>
      <c r="G193">
        <f>1/2*$B$8*$B$6*$B$7*(Tabelle2[[#This Row],[vx]]*Tabelle2[[#This Row],[vx]]+Tabelle2[[#This Row],[vy]]*Tabelle2[[#This Row],[vy]])/1000000</f>
        <v>4.5540340388477851</v>
      </c>
      <c r="H193">
        <f>IF($B$3,-Tabelle2[[#This Row],[Fd]]*Tabelle2[[#This Row],[vx]]/Tabelle2[[#This Row],[v]],0)</f>
        <v>-4.1045791297457406</v>
      </c>
      <c r="I193">
        <f t="shared" si="22"/>
        <v>-2.7363860864971605</v>
      </c>
      <c r="J193">
        <f t="shared" si="23"/>
        <v>-5.472772172994321E-2</v>
      </c>
      <c r="K193">
        <f t="shared" si="24"/>
        <v>0.91408509491075562</v>
      </c>
      <c r="L193">
        <f>-$B$5*$B$12-IF($B$3,Tabelle2[[#This Row],[Fd]]*Tabelle2[[#This Row],[vy]]/Tabelle2[[#This Row],[v]],0)</f>
        <v>-16.687728109659304</v>
      </c>
      <c r="M193">
        <f t="shared" si="25"/>
        <v>-11.125152073106202</v>
      </c>
      <c r="N193">
        <f t="shared" si="26"/>
        <v>-0.22250304146212405</v>
      </c>
      <c r="O193">
        <f t="shared" si="27"/>
        <v>0.43736230204183751</v>
      </c>
      <c r="P193" s="1">
        <f t="shared" si="29"/>
        <v>45.731618606402755</v>
      </c>
      <c r="Q193" s="1">
        <f t="shared" si="30"/>
        <v>21.979366622822937</v>
      </c>
      <c r="R193">
        <f>SQRT(Tabelle2[[#This Row],[vx]]*Tabelle2[[#This Row],[vx]]+Tabelle2[[#This Row],[vy]]*Tabelle2[[#This Row],[vy]])</f>
        <v>50.739269776987783</v>
      </c>
      <c r="S193">
        <f t="shared" si="31"/>
        <v>201.02339010408855</v>
      </c>
      <c r="T193" s="1">
        <f t="shared" si="32"/>
        <v>177.27341567115081</v>
      </c>
    </row>
    <row r="194" spans="6:20" x14ac:dyDescent="0.35">
      <c r="F194" s="1">
        <f t="shared" si="28"/>
        <v>3.8200000000000029</v>
      </c>
      <c r="G194">
        <f>1/2*$B$8*$B$6*$B$7*(Tabelle2[[#This Row],[vx]]*Tabelle2[[#This Row],[vx]]+Tabelle2[[#This Row],[vy]]*Tabelle2[[#This Row],[vy]])/1000000</f>
        <v>4.5279707503398772</v>
      </c>
      <c r="H194">
        <f>IF($B$3,-Tabelle2[[#This Row],[Fd]]*Tabelle2[[#This Row],[vx]]/Tabelle2[[#This Row],[v]],0)</f>
        <v>-4.0879188385231453</v>
      </c>
      <c r="I194">
        <f t="shared" si="22"/>
        <v>-2.725279225682097</v>
      </c>
      <c r="J194">
        <f t="shared" si="23"/>
        <v>-5.4505584513641944E-2</v>
      </c>
      <c r="K194">
        <f t="shared" si="24"/>
        <v>0.91299276184831968</v>
      </c>
      <c r="L194">
        <f>-$B$5*$B$12-IF($B$3,Tabelle2[[#This Row],[Fd]]*Tabelle2[[#This Row],[vy]]/Tabelle2[[#This Row],[v]],0)</f>
        <v>-16.662161699906058</v>
      </c>
      <c r="M194">
        <f t="shared" si="25"/>
        <v>-11.108107799937372</v>
      </c>
      <c r="N194">
        <f t="shared" si="26"/>
        <v>-0.22216215599874745</v>
      </c>
      <c r="O194">
        <f t="shared" si="27"/>
        <v>0.43291565006722887</v>
      </c>
      <c r="P194" s="1">
        <f t="shared" si="29"/>
        <v>45.676890884672808</v>
      </c>
      <c r="Q194" s="1">
        <f t="shared" si="30"/>
        <v>21.756863581360815</v>
      </c>
      <c r="R194">
        <f>SQRT(Tabelle2[[#This Row],[vx]]*Tabelle2[[#This Row],[vx]]+Tabelle2[[#This Row],[vy]]*Tabelle2[[#This Row],[vy]])</f>
        <v>50.593867946503657</v>
      </c>
      <c r="S194">
        <f t="shared" si="31"/>
        <v>201.93747519899929</v>
      </c>
      <c r="T194" s="1">
        <f t="shared" si="32"/>
        <v>177.71077797319265</v>
      </c>
    </row>
    <row r="195" spans="6:20" x14ac:dyDescent="0.35">
      <c r="F195" s="1">
        <f t="shared" si="28"/>
        <v>3.840000000000003</v>
      </c>
      <c r="G195">
        <f>1/2*$B$8*$B$6*$B$7*(Tabelle2[[#This Row],[vx]]*Tabelle2[[#This Row],[vx]]+Tabelle2[[#This Row],[vy]]*Tabelle2[[#This Row],[vy]])/1000000</f>
        <v>4.502155032392376</v>
      </c>
      <c r="H195">
        <f>IF($B$3,-Tabelle2[[#This Row],[Fd]]*Tabelle2[[#This Row],[vx]]/Tabelle2[[#This Row],[v]],0)</f>
        <v>-4.0713846455078855</v>
      </c>
      <c r="I195">
        <f t="shared" ref="I195:I258" si="33">H195/$B$5</f>
        <v>-2.7142564303385903</v>
      </c>
      <c r="J195">
        <f t="shared" ref="J195:J258" si="34">I195*$B$13</f>
        <v>-5.4285128606771808E-2</v>
      </c>
      <c r="K195">
        <f t="shared" ref="K195:K258" si="35">$B$13*(P195+J195/2)</f>
        <v>0.91190485471711558</v>
      </c>
      <c r="L195">
        <f>-$B$5*$B$12-IF($B$3,Tabelle2[[#This Row],[Fd]]*Tabelle2[[#This Row],[vy]]/Tabelle2[[#This Row],[v]],0)</f>
        <v>-16.636777043264548</v>
      </c>
      <c r="M195">
        <f t="shared" ref="M195:M258" si="36">L195/$B$5</f>
        <v>-11.091184695509698</v>
      </c>
      <c r="N195">
        <f t="shared" ref="N195:N258" si="37">M195*$B$13</f>
        <v>-0.22182369391019396</v>
      </c>
      <c r="O195">
        <f t="shared" ref="O195:O258" si="38">$B$13*(Q195+N195/2)</f>
        <v>0.42847579156813936</v>
      </c>
      <c r="P195" s="1">
        <f t="shared" si="29"/>
        <v>45.622385300159166</v>
      </c>
      <c r="Q195" s="1">
        <f t="shared" si="30"/>
        <v>21.534701425362066</v>
      </c>
      <c r="R195">
        <f>SQRT(Tabelle2[[#This Row],[vx]]*Tabelle2[[#This Row],[vx]]+Tabelle2[[#This Row],[vy]]*Tabelle2[[#This Row],[vy]])</f>
        <v>50.449434149013705</v>
      </c>
      <c r="S195">
        <f t="shared" si="31"/>
        <v>202.85046796084762</v>
      </c>
      <c r="T195" s="1">
        <f t="shared" si="32"/>
        <v>178.14369362325988</v>
      </c>
    </row>
    <row r="196" spans="6:20" x14ac:dyDescent="0.35">
      <c r="F196" s="1">
        <f t="shared" ref="F196:F259" si="39">F195+$B$13</f>
        <v>3.860000000000003</v>
      </c>
      <c r="G196">
        <f>1/2*$B$8*$B$6*$B$7*(Tabelle2[[#This Row],[vx]]*Tabelle2[[#This Row],[vx]]+Tabelle2[[#This Row],[vy]]*Tabelle2[[#This Row],[vy]])/1000000</f>
        <v>4.4765854989447913</v>
      </c>
      <c r="H196">
        <f>IF($B$3,-Tabelle2[[#This Row],[Fd]]*Tabelle2[[#This Row],[vx]]/Tabelle2[[#This Row],[v]],0)</f>
        <v>-4.0549759951542272</v>
      </c>
      <c r="I196">
        <f t="shared" si="33"/>
        <v>-2.7033173301028182</v>
      </c>
      <c r="J196">
        <f t="shared" si="34"/>
        <v>-5.4066346602056364E-2</v>
      </c>
      <c r="K196">
        <f t="shared" si="35"/>
        <v>0.91082133996502734</v>
      </c>
      <c r="L196">
        <f>-$B$5*$B$12-IF($B$3,Tabelle2[[#This Row],[Fd]]*Tabelle2[[#This Row],[vy]]/Tabelle2[[#This Row],[v]],0)</f>
        <v>-16.611572542268227</v>
      </c>
      <c r="M196">
        <f t="shared" si="36"/>
        <v>-11.074381694845485</v>
      </c>
      <c r="N196">
        <f t="shared" si="37"/>
        <v>-0.2214876338969097</v>
      </c>
      <c r="O196">
        <f t="shared" si="38"/>
        <v>0.42404267829006836</v>
      </c>
      <c r="P196" s="1">
        <f t="shared" ref="P196:P259" si="40">P195+J195</f>
        <v>45.568100171552395</v>
      </c>
      <c r="Q196" s="1">
        <f t="shared" ref="Q196:Q259" si="41">Q195+N195</f>
        <v>21.31287773145187</v>
      </c>
      <c r="R196">
        <f>SQRT(Tabelle2[[#This Row],[vx]]*Tabelle2[[#This Row],[vx]]+Tabelle2[[#This Row],[vy]]*Tabelle2[[#This Row],[vy]])</f>
        <v>50.305968934515619</v>
      </c>
      <c r="S196">
        <f t="shared" ref="S196:S259" si="42">S195+K195</f>
        <v>203.76237281556473</v>
      </c>
      <c r="T196" s="1">
        <f t="shared" ref="T196:T259" si="43">T195+O195</f>
        <v>178.57216941482801</v>
      </c>
    </row>
    <row r="197" spans="6:20" x14ac:dyDescent="0.35">
      <c r="F197" s="1">
        <f t="shared" si="39"/>
        <v>3.880000000000003</v>
      </c>
      <c r="G197">
        <f>1/2*$B$8*$B$6*$B$7*(Tabelle2[[#This Row],[vx]]*Tabelle2[[#This Row],[vx]]+Tabelle2[[#This Row],[vy]]*Tabelle2[[#This Row],[vy]])/1000000</f>
        <v>4.4512607773576329</v>
      </c>
      <c r="H197">
        <f>IF($B$3,-Tabelle2[[#This Row],[Fd]]*Tabelle2[[#This Row],[vx]]/Tabelle2[[#This Row],[v]],0)</f>
        <v>-4.0386923384205113</v>
      </c>
      <c r="I197">
        <f t="shared" si="33"/>
        <v>-2.6924615589470076</v>
      </c>
      <c r="J197">
        <f t="shared" si="34"/>
        <v>-5.3849231178940152E-2</v>
      </c>
      <c r="K197">
        <f t="shared" si="35"/>
        <v>0.90974218418721731</v>
      </c>
      <c r="L197">
        <f>-$B$5*$B$12-IF($B$3,Tabelle2[[#This Row],[Fd]]*Tabelle2[[#This Row],[vy]]/Tabelle2[[#This Row],[v]],0)</f>
        <v>-16.586546607388108</v>
      </c>
      <c r="M197">
        <f t="shared" si="36"/>
        <v>-11.057697738258739</v>
      </c>
      <c r="N197">
        <f t="shared" si="37"/>
        <v>-0.22115395476517477</v>
      </c>
      <c r="O197">
        <f t="shared" si="38"/>
        <v>0.4196162624034474</v>
      </c>
      <c r="P197" s="1">
        <f t="shared" si="40"/>
        <v>45.514033824950339</v>
      </c>
      <c r="Q197" s="1">
        <f t="shared" si="41"/>
        <v>21.09139009755496</v>
      </c>
      <c r="R197">
        <f>SQRT(Tabelle2[[#This Row],[vx]]*Tabelle2[[#This Row],[vx]]+Tabelle2[[#This Row],[vy]]*Tabelle2[[#This Row],[vy]])</f>
        <v>50.163472878838469</v>
      </c>
      <c r="S197">
        <f t="shared" si="42"/>
        <v>204.67319415552976</v>
      </c>
      <c r="T197" s="1">
        <f t="shared" si="43"/>
        <v>178.99621209311809</v>
      </c>
    </row>
    <row r="198" spans="6:20" x14ac:dyDescent="0.35">
      <c r="F198" s="1">
        <f t="shared" si="39"/>
        <v>3.900000000000003</v>
      </c>
      <c r="G198">
        <f>1/2*$B$8*$B$6*$B$7*(Tabelle2[[#This Row],[vx]]*Tabelle2[[#This Row],[vx]]+Tabelle2[[#This Row],[vy]]*Tabelle2[[#This Row],[vy]])/1000000</f>
        <v>4.4261795082583086</v>
      </c>
      <c r="H198">
        <f>IF($B$3,-Tabelle2[[#This Row],[Fd]]*Tabelle2[[#This Row],[vx]]/Tabelle2[[#This Row],[v]],0)</f>
        <v>-4.0225331326640239</v>
      </c>
      <c r="I198">
        <f t="shared" si="33"/>
        <v>-2.6816887551093491</v>
      </c>
      <c r="J198">
        <f t="shared" si="34"/>
        <v>-5.3633775102186983E-2</v>
      </c>
      <c r="K198">
        <f t="shared" si="35"/>
        <v>0.90866735412440625</v>
      </c>
      <c r="L198">
        <f>-$B$5*$B$12-IF($B$3,Tabelle2[[#This Row],[Fd]]*Tabelle2[[#This Row],[vy]]/Tabelle2[[#This Row],[v]],0)</f>
        <v>-16.561697656885372</v>
      </c>
      <c r="M198">
        <f t="shared" si="36"/>
        <v>-11.041131771256914</v>
      </c>
      <c r="N198">
        <f t="shared" si="37"/>
        <v>-0.2208226354251383</v>
      </c>
      <c r="O198">
        <f t="shared" si="38"/>
        <v>0.41519649650154433</v>
      </c>
      <c r="P198" s="1">
        <f t="shared" si="40"/>
        <v>45.460184593771402</v>
      </c>
      <c r="Q198" s="1">
        <f t="shared" si="41"/>
        <v>20.870236142789786</v>
      </c>
      <c r="R198">
        <f>SQRT(Tabelle2[[#This Row],[vx]]*Tabelle2[[#This Row],[vx]]+Tabelle2[[#This Row],[vy]]*Tabelle2[[#This Row],[vy]])</f>
        <v>50.021946583030726</v>
      </c>
      <c r="S198">
        <f t="shared" si="42"/>
        <v>205.58293633971698</v>
      </c>
      <c r="T198" s="1">
        <f t="shared" si="43"/>
        <v>179.41582835552154</v>
      </c>
    </row>
    <row r="199" spans="6:20" x14ac:dyDescent="0.35">
      <c r="F199" s="1">
        <f t="shared" si="39"/>
        <v>3.920000000000003</v>
      </c>
      <c r="G199">
        <f>1/2*$B$8*$B$6*$B$7*(Tabelle2[[#This Row],[vx]]*Tabelle2[[#This Row],[vx]]+Tabelle2[[#This Row],[vy]]*Tabelle2[[#This Row],[vy]])/1000000</f>
        <v>4.4013403453887179</v>
      </c>
      <c r="H199">
        <f>IF($B$3,-Tabelle2[[#This Row],[Fd]]*Tabelle2[[#This Row],[vx]]/Tabelle2[[#This Row],[v]],0)</f>
        <v>-4.0064978415360955</v>
      </c>
      <c r="I199">
        <f t="shared" si="33"/>
        <v>-2.6709985610240636</v>
      </c>
      <c r="J199">
        <f t="shared" si="34"/>
        <v>-5.3419971220481276E-2</v>
      </c>
      <c r="K199">
        <f t="shared" si="35"/>
        <v>0.90759681666117953</v>
      </c>
      <c r="L199">
        <f>-$B$5*$B$12-IF($B$3,Tabelle2[[#This Row],[Fd]]*Tabelle2[[#This Row],[vy]]/Tabelle2[[#This Row],[v]],0)</f>
        <v>-16.537024116666156</v>
      </c>
      <c r="M199">
        <f t="shared" si="36"/>
        <v>-11.024682744444105</v>
      </c>
      <c r="N199">
        <f t="shared" si="37"/>
        <v>-0.22049365488888209</v>
      </c>
      <c r="O199">
        <f t="shared" si="38"/>
        <v>0.41078333359840413</v>
      </c>
      <c r="P199" s="1">
        <f t="shared" si="40"/>
        <v>45.406550818669217</v>
      </c>
      <c r="Q199" s="1">
        <f t="shared" si="41"/>
        <v>20.649413507364649</v>
      </c>
      <c r="R199">
        <f>SQRT(Tabelle2[[#This Row],[vx]]*Tabelle2[[#This Row],[vx]]+Tabelle2[[#This Row],[vy]]*Tabelle2[[#This Row],[vy]])</f>
        <v>49.881390672740103</v>
      </c>
      <c r="S199">
        <f t="shared" si="42"/>
        <v>206.4916036938414</v>
      </c>
      <c r="T199" s="1">
        <f t="shared" si="43"/>
        <v>179.83102485202309</v>
      </c>
    </row>
    <row r="200" spans="6:20" x14ac:dyDescent="0.35">
      <c r="F200" s="1">
        <f t="shared" si="39"/>
        <v>3.9400000000000031</v>
      </c>
      <c r="G200">
        <f>1/2*$B$8*$B$6*$B$7*(Tabelle2[[#This Row],[vx]]*Tabelle2[[#This Row],[vx]]+Tabelle2[[#This Row],[vy]]*Tabelle2[[#This Row],[vy]])/1000000</f>
        <v>4.3767419554545803</v>
      </c>
      <c r="H200">
        <f>IF($B$3,-Tabelle2[[#This Row],[Fd]]*Tabelle2[[#This Row],[vx]]/Tabelle2[[#This Row],[v]],0)</f>
        <v>-3.9905859348774695</v>
      </c>
      <c r="I200">
        <f t="shared" si="33"/>
        <v>-2.6603906232516463</v>
      </c>
      <c r="J200">
        <f t="shared" si="34"/>
        <v>-5.3207812465032929E-2</v>
      </c>
      <c r="K200">
        <f t="shared" si="35"/>
        <v>0.90653053882432444</v>
      </c>
      <c r="L200">
        <f>-$B$5*$B$12-IF($B$3,Tabelle2[[#This Row],[Fd]]*Tabelle2[[#This Row],[vy]]/Tabelle2[[#This Row],[v]],0)</f>
        <v>-16.512524420138568</v>
      </c>
      <c r="M200">
        <f t="shared" si="36"/>
        <v>-11.008349613425713</v>
      </c>
      <c r="N200">
        <f t="shared" si="37"/>
        <v>-0.22016699226851427</v>
      </c>
      <c r="O200">
        <f t="shared" si="38"/>
        <v>0.40637672712683015</v>
      </c>
      <c r="P200" s="1">
        <f t="shared" si="40"/>
        <v>45.353130847448739</v>
      </c>
      <c r="Q200" s="1">
        <f t="shared" si="41"/>
        <v>20.428919852475765</v>
      </c>
      <c r="R200">
        <f>SQRT(Tabelle2[[#This Row],[vx]]*Tabelle2[[#This Row],[vx]]+Tabelle2[[#This Row],[vy]]*Tabelle2[[#This Row],[vy]])</f>
        <v>49.741805797585243</v>
      </c>
      <c r="S200">
        <f t="shared" si="42"/>
        <v>207.39920051050257</v>
      </c>
      <c r="T200" s="1">
        <f t="shared" si="43"/>
        <v>180.24180818562149</v>
      </c>
    </row>
    <row r="201" spans="6:20" x14ac:dyDescent="0.35">
      <c r="F201" s="1">
        <f t="shared" si="39"/>
        <v>3.9600000000000031</v>
      </c>
      <c r="G201">
        <f>1/2*$B$8*$B$6*$B$7*(Tabelle2[[#This Row],[vx]]*Tabelle2[[#This Row],[vx]]+Tabelle2[[#This Row],[vy]]*Tabelle2[[#This Row],[vy]])/1000000</f>
        <v>4.3523830179764182</v>
      </c>
      <c r="H201">
        <f>IF($B$3,-Tabelle2[[#This Row],[Fd]]*Tabelle2[[#This Row],[vx]]/Tabelle2[[#This Row],[v]],0)</f>
        <v>-3.974796888613874</v>
      </c>
      <c r="I201">
        <f t="shared" si="33"/>
        <v>-2.6498645924092492</v>
      </c>
      <c r="J201">
        <f t="shared" si="34"/>
        <v>-5.2997291848184983E-2</v>
      </c>
      <c r="K201">
        <f t="shared" si="35"/>
        <v>0.90546848778119227</v>
      </c>
      <c r="L201">
        <f>-$B$5*$B$12-IF($B$3,Tabelle2[[#This Row],[Fd]]*Tabelle2[[#This Row],[vy]]/Tabelle2[[#This Row],[v]],0)</f>
        <v>-16.488197008071857</v>
      </c>
      <c r="M201">
        <f t="shared" si="36"/>
        <v>-10.992131338714572</v>
      </c>
      <c r="N201">
        <f t="shared" si="37"/>
        <v>-0.21984262677429145</v>
      </c>
      <c r="O201">
        <f t="shared" si="38"/>
        <v>0.40197663093640212</v>
      </c>
      <c r="P201" s="1">
        <f t="shared" si="40"/>
        <v>45.299923034983706</v>
      </c>
      <c r="Q201" s="1">
        <f t="shared" si="41"/>
        <v>20.208752860207252</v>
      </c>
      <c r="R201">
        <f>SQRT(Tabelle2[[#This Row],[vx]]*Tabelle2[[#This Row],[vx]]+Tabelle2[[#This Row],[vy]]*Tabelle2[[#This Row],[vy]])</f>
        <v>49.603192630519075</v>
      </c>
      <c r="S201">
        <f t="shared" si="42"/>
        <v>208.30573104932688</v>
      </c>
      <c r="T201" s="1">
        <f t="shared" si="43"/>
        <v>180.64818491274832</v>
      </c>
    </row>
    <row r="202" spans="6:20" x14ac:dyDescent="0.35">
      <c r="F202" s="1">
        <f t="shared" si="39"/>
        <v>3.9800000000000031</v>
      </c>
      <c r="G202">
        <f>1/2*$B$8*$B$6*$B$7*(Tabelle2[[#This Row],[vx]]*Tabelle2[[#This Row],[vx]]+Tabelle2[[#This Row],[vy]]*Tabelle2[[#This Row],[vy]])/1000000</f>
        <v>4.3282622251422049</v>
      </c>
      <c r="H202">
        <f>IF($B$3,-Tabelle2[[#This Row],[Fd]]*Tabelle2[[#This Row],[vx]]/Tabelle2[[#This Row],[v]],0)</f>
        <v>-3.9591301846518179</v>
      </c>
      <c r="I202">
        <f t="shared" si="33"/>
        <v>-2.6394201231012118</v>
      </c>
      <c r="J202">
        <f t="shared" si="34"/>
        <v>-5.2788402462024236E-2</v>
      </c>
      <c r="K202">
        <f t="shared" si="35"/>
        <v>0.90441063083809015</v>
      </c>
      <c r="L202">
        <f>-$B$5*$B$12-IF($B$3,Tabelle2[[#This Row],[Fd]]*Tabelle2[[#This Row],[vy]]/Tabelle2[[#This Row],[v]],0)</f>
        <v>-16.464040328457813</v>
      </c>
      <c r="M202">
        <f t="shared" si="36"/>
        <v>-10.976026885638541</v>
      </c>
      <c r="N202">
        <f t="shared" si="37"/>
        <v>-0.21952053771277083</v>
      </c>
      <c r="O202">
        <f t="shared" si="38"/>
        <v>0.39758299929153157</v>
      </c>
      <c r="P202" s="1">
        <f t="shared" si="40"/>
        <v>45.24692574313552</v>
      </c>
      <c r="Q202" s="1">
        <f t="shared" si="41"/>
        <v>19.988910233432961</v>
      </c>
      <c r="R202">
        <f>SQRT(Tabelle2[[#This Row],[vx]]*Tabelle2[[#This Row],[vx]]+Tabelle2[[#This Row],[vy]]*Tabelle2[[#This Row],[vy]])</f>
        <v>49.465551867183898</v>
      </c>
      <c r="S202">
        <f t="shared" si="42"/>
        <v>209.21119953710809</v>
      </c>
      <c r="T202" s="1">
        <f t="shared" si="43"/>
        <v>181.05016154368471</v>
      </c>
    </row>
    <row r="203" spans="6:20" x14ac:dyDescent="0.35">
      <c r="F203" s="1">
        <f t="shared" si="39"/>
        <v>4.0000000000000027</v>
      </c>
      <c r="G203">
        <f>1/2*$B$8*$B$6*$B$7*(Tabelle2[[#This Row],[vx]]*Tabelle2[[#This Row],[vx]]+Tabelle2[[#This Row],[vy]]*Tabelle2[[#This Row],[vy]])/1000000</f>
        <v>4.3043782816616272</v>
      </c>
      <c r="H203">
        <f>IF($B$3,-Tabelle2[[#This Row],[Fd]]*Tabelle2[[#This Row],[vx]]/Tabelle2[[#This Row],[v]],0)</f>
        <v>-3.9435853107745897</v>
      </c>
      <c r="I203">
        <f t="shared" si="33"/>
        <v>-2.6290568738497266</v>
      </c>
      <c r="J203">
        <f t="shared" si="34"/>
        <v>-5.2581137476994534E-2</v>
      </c>
      <c r="K203">
        <f t="shared" si="35"/>
        <v>0.90335693543869999</v>
      </c>
      <c r="L203">
        <f>-$B$5*$B$12-IF($B$3,Tabelle2[[#This Row],[Fd]]*Tabelle2[[#This Row],[vy]]/Tabelle2[[#This Row],[v]],0)</f>
        <v>-16.440052836374349</v>
      </c>
      <c r="M203">
        <f t="shared" si="36"/>
        <v>-10.960035224249566</v>
      </c>
      <c r="N203">
        <f t="shared" si="37"/>
        <v>-0.21920070448499132</v>
      </c>
      <c r="O203">
        <f t="shared" si="38"/>
        <v>0.39319578686955392</v>
      </c>
      <c r="P203" s="1">
        <f t="shared" si="40"/>
        <v>45.194137340673493</v>
      </c>
      <c r="Q203" s="1">
        <f t="shared" si="41"/>
        <v>19.769389695720189</v>
      </c>
      <c r="R203">
        <f>SQRT(Tabelle2[[#This Row],[vx]]*Tabelle2[[#This Row],[vx]]+Tabelle2[[#This Row],[vy]]*Tabelle2[[#This Row],[vy]])</f>
        <v>49.32888422525798</v>
      </c>
      <c r="S203">
        <f t="shared" si="42"/>
        <v>210.11561016794619</v>
      </c>
      <c r="T203" s="1">
        <f t="shared" si="43"/>
        <v>181.44774454297624</v>
      </c>
    </row>
    <row r="204" spans="6:20" x14ac:dyDescent="0.35">
      <c r="F204" s="1">
        <f t="shared" si="39"/>
        <v>4.0200000000000022</v>
      </c>
      <c r="G204">
        <f>1/2*$B$8*$B$6*$B$7*(Tabelle2[[#This Row],[vx]]*Tabelle2[[#This Row],[vx]]+Tabelle2[[#This Row],[vy]]*Tabelle2[[#This Row],[vy]])/1000000</f>
        <v>4.280729904621956</v>
      </c>
      <c r="H204">
        <f>IF($B$3,-Tabelle2[[#This Row],[Fd]]*Tabelle2[[#This Row],[vx]]/Tabelle2[[#This Row],[v]],0)</f>
        <v>-3.9281617605384471</v>
      </c>
      <c r="I204">
        <f t="shared" si="33"/>
        <v>-2.6187745070256314</v>
      </c>
      <c r="J204">
        <f t="shared" si="34"/>
        <v>-5.2375490140512626E-2</v>
      </c>
      <c r="K204">
        <f t="shared" si="35"/>
        <v>0.90230736916252496</v>
      </c>
      <c r="L204">
        <f>-$B$5*$B$12-IF($B$3,Tabelle2[[#This Row],[Fd]]*Tabelle2[[#This Row],[vy]]/Tabelle2[[#This Row],[v]],0)</f>
        <v>-16.416232993851281</v>
      </c>
      <c r="M204">
        <f t="shared" si="36"/>
        <v>-10.944155329234187</v>
      </c>
      <c r="N204">
        <f t="shared" si="37"/>
        <v>-0.21888310658468374</v>
      </c>
      <c r="O204">
        <f t="shared" si="38"/>
        <v>0.38881494875885714</v>
      </c>
      <c r="P204" s="1">
        <f t="shared" si="40"/>
        <v>45.141556203196501</v>
      </c>
      <c r="Q204" s="1">
        <f t="shared" si="41"/>
        <v>19.550188991235199</v>
      </c>
      <c r="R204">
        <f>SQRT(Tabelle2[[#This Row],[vx]]*Tabelle2[[#This Row],[vx]]+Tabelle2[[#This Row],[vy]]*Tabelle2[[#This Row],[vy]])</f>
        <v>49.193190443793767</v>
      </c>
      <c r="S204">
        <f t="shared" si="42"/>
        <v>211.01896710338488</v>
      </c>
      <c r="T204" s="1">
        <f t="shared" si="43"/>
        <v>181.84094032984578</v>
      </c>
    </row>
    <row r="205" spans="6:20" x14ac:dyDescent="0.35">
      <c r="F205" s="1">
        <f t="shared" si="39"/>
        <v>4.0400000000000018</v>
      </c>
      <c r="G205">
        <f>1/2*$B$8*$B$6*$B$7*(Tabelle2[[#This Row],[vx]]*Tabelle2[[#This Row],[vx]]+Tabelle2[[#This Row],[vy]]*Tabelle2[[#This Row],[vy]])/1000000</f>
        <v>4.2573158233454835</v>
      </c>
      <c r="H205">
        <f>IF($B$3,-Tabelle2[[#This Row],[Fd]]*Tabelle2[[#This Row],[vx]]/Tabelle2[[#This Row],[v]],0)</f>
        <v>-3.912859033168981</v>
      </c>
      <c r="I205">
        <f t="shared" si="33"/>
        <v>-2.6085726887793208</v>
      </c>
      <c r="J205">
        <f t="shared" si="34"/>
        <v>-5.2171453775586414E-2</v>
      </c>
      <c r="K205">
        <f t="shared" si="35"/>
        <v>0.9012618997233639</v>
      </c>
      <c r="L205">
        <f>-$B$5*$B$12-IF($B$3,Tabelle2[[#This Row],[Fd]]*Tabelle2[[#This Row],[vy]]/Tabelle2[[#This Row],[v]],0)</f>
        <v>-16.392579269738317</v>
      </c>
      <c r="M205">
        <f t="shared" si="36"/>
        <v>-10.928386179825544</v>
      </c>
      <c r="N205">
        <f t="shared" si="37"/>
        <v>-0.21856772359651089</v>
      </c>
      <c r="O205">
        <f t="shared" si="38"/>
        <v>0.38444044045704517</v>
      </c>
      <c r="P205" s="1">
        <f t="shared" si="40"/>
        <v>45.089180713055988</v>
      </c>
      <c r="Q205" s="1">
        <f t="shared" si="41"/>
        <v>19.331305884650515</v>
      </c>
      <c r="R205">
        <f>SQRT(Tabelle2[[#This Row],[vx]]*Tabelle2[[#This Row],[vx]]+Tabelle2[[#This Row],[vy]]*Tabelle2[[#This Row],[vy]])</f>
        <v>49.058471282547558</v>
      </c>
      <c r="S205">
        <f t="shared" si="42"/>
        <v>211.9212744725474</v>
      </c>
      <c r="T205" s="1">
        <f t="shared" si="43"/>
        <v>182.22975527860464</v>
      </c>
    </row>
    <row r="206" spans="6:20" x14ac:dyDescent="0.35">
      <c r="F206" s="1">
        <f t="shared" si="39"/>
        <v>4.0600000000000014</v>
      </c>
      <c r="G206">
        <f>1/2*$B$8*$B$6*$B$7*(Tabelle2[[#This Row],[vx]]*Tabelle2[[#This Row],[vx]]+Tabelle2[[#This Row],[vy]]*Tabelle2[[#This Row],[vy]])/1000000</f>
        <v>4.2341347792485227</v>
      </c>
      <c r="H206">
        <f>IF($B$3,-Tabelle2[[#This Row],[Fd]]*Tabelle2[[#This Row],[vx]]/Tabelle2[[#This Row],[v]],0)</f>
        <v>-3.8976766334576651</v>
      </c>
      <c r="I206">
        <f t="shared" si="33"/>
        <v>-2.5984510889717769</v>
      </c>
      <c r="J206">
        <f t="shared" si="34"/>
        <v>-5.1969021779435541E-2</v>
      </c>
      <c r="K206">
        <f t="shared" si="35"/>
        <v>0.90022049496781364</v>
      </c>
      <c r="L206">
        <f>-$B$5*$B$12-IF($B$3,Tabelle2[[#This Row],[Fd]]*Tabelle2[[#This Row],[vy]]/Tabelle2[[#This Row],[v]],0)</f>
        <v>-16.369090139575246</v>
      </c>
      <c r="M206">
        <f t="shared" si="36"/>
        <v>-10.912726759716831</v>
      </c>
      <c r="N206">
        <f t="shared" si="37"/>
        <v>-0.21825453519433663</v>
      </c>
      <c r="O206">
        <f t="shared" si="38"/>
        <v>0.38007221786913675</v>
      </c>
      <c r="P206" s="1">
        <f t="shared" si="40"/>
        <v>45.037009259280403</v>
      </c>
      <c r="Q206" s="1">
        <f t="shared" si="41"/>
        <v>19.112738161054004</v>
      </c>
      <c r="R206">
        <f>SQRT(Tabelle2[[#This Row],[vx]]*Tabelle2[[#This Row],[vx]]+Tabelle2[[#This Row],[vy]]*Tabelle2[[#This Row],[vy]])</f>
        <v>48.924727521300703</v>
      </c>
      <c r="S206">
        <f t="shared" si="42"/>
        <v>212.82253637227075</v>
      </c>
      <c r="T206" s="1">
        <f t="shared" si="43"/>
        <v>182.61419571906168</v>
      </c>
    </row>
    <row r="207" spans="6:20" x14ac:dyDescent="0.35">
      <c r="F207" s="1">
        <f t="shared" si="39"/>
        <v>4.080000000000001</v>
      </c>
      <c r="G207">
        <f>1/2*$B$8*$B$6*$B$7*(Tabelle2[[#This Row],[vx]]*Tabelle2[[#This Row],[vx]]+Tabelle2[[#This Row],[vy]]*Tabelle2[[#This Row],[vy]])/1000000</f>
        <v>4.2111855257019197</v>
      </c>
      <c r="H207">
        <f>IF($B$3,-Tabelle2[[#This Row],[Fd]]*Tabelle2[[#This Row],[vx]]/Tabelle2[[#This Row],[v]],0)</f>
        <v>-3.8826140716585527</v>
      </c>
      <c r="I207">
        <f t="shared" si="33"/>
        <v>-2.5884093811057016</v>
      </c>
      <c r="J207">
        <f t="shared" si="34"/>
        <v>-5.1768187622114034E-2</v>
      </c>
      <c r="K207">
        <f t="shared" si="35"/>
        <v>0.8991831228737982</v>
      </c>
      <c r="L207">
        <f>-$B$5*$B$12-IF($B$3,Tabelle2[[#This Row],[Fd]]*Tabelle2[[#This Row],[vy]]/Tabelle2[[#This Row],[v]],0)</f>
        <v>-16.345764085464342</v>
      </c>
      <c r="M207">
        <f t="shared" si="36"/>
        <v>-10.897176056976228</v>
      </c>
      <c r="N207">
        <f t="shared" si="37"/>
        <v>-0.21794352113952456</v>
      </c>
      <c r="O207">
        <f t="shared" si="38"/>
        <v>0.37571023730579811</v>
      </c>
      <c r="P207" s="1">
        <f t="shared" si="40"/>
        <v>44.985040237500968</v>
      </c>
      <c r="Q207" s="1">
        <f t="shared" si="41"/>
        <v>18.894483625859667</v>
      </c>
      <c r="R207">
        <f>SQRT(Tabelle2[[#This Row],[vx]]*Tabelle2[[#This Row],[vx]]+Tabelle2[[#This Row],[vy]]*Tabelle2[[#This Row],[vy]])</f>
        <v>48.791959959172168</v>
      </c>
      <c r="S207">
        <f t="shared" si="42"/>
        <v>213.72275686723856</v>
      </c>
      <c r="T207" s="1">
        <f t="shared" si="43"/>
        <v>182.99426793693081</v>
      </c>
    </row>
    <row r="208" spans="6:20" x14ac:dyDescent="0.35">
      <c r="F208" s="1">
        <f t="shared" si="39"/>
        <v>4.1000000000000005</v>
      </c>
      <c r="G208">
        <f>1/2*$B$8*$B$6*$B$7*(Tabelle2[[#This Row],[vx]]*Tabelle2[[#This Row],[vx]]+Tabelle2[[#This Row],[vy]]*Tabelle2[[#This Row],[vy]])/1000000</f>
        <v>4.1884668278930786</v>
      </c>
      <c r="H208">
        <f>IF($B$3,-Tabelle2[[#This Row],[Fd]]*Tabelle2[[#This Row],[vx]]/Tabelle2[[#This Row],[v]],0)</f>
        <v>-3.8676708633851353</v>
      </c>
      <c r="I208">
        <f t="shared" si="33"/>
        <v>-2.578447242256757</v>
      </c>
      <c r="J208">
        <f t="shared" si="34"/>
        <v>-5.1568944845135141E-2</v>
      </c>
      <c r="K208">
        <f t="shared" si="35"/>
        <v>0.8981497515491258</v>
      </c>
      <c r="L208">
        <f>-$B$5*$B$12-IF($B$3,Tabelle2[[#This Row],[Fd]]*Tabelle2[[#This Row],[vy]]/Tabelle2[[#This Row],[v]],0)</f>
        <v>-16.322599595944958</v>
      </c>
      <c r="M208">
        <f t="shared" si="36"/>
        <v>-10.881733063963305</v>
      </c>
      <c r="N208">
        <f t="shared" si="37"/>
        <v>-0.21763466127926609</v>
      </c>
      <c r="O208">
        <f t="shared" si="38"/>
        <v>0.37135445548161022</v>
      </c>
      <c r="P208" s="1">
        <f t="shared" si="40"/>
        <v>44.933272049878852</v>
      </c>
      <c r="Q208" s="1">
        <f t="shared" si="41"/>
        <v>18.676540104720143</v>
      </c>
      <c r="R208">
        <f>SQRT(Tabelle2[[#This Row],[vx]]*Tabelle2[[#This Row],[vx]]+Tabelle2[[#This Row],[vy]]*Tabelle2[[#This Row],[vy]])</f>
        <v>48.660169413922553</v>
      </c>
      <c r="S208">
        <f t="shared" si="42"/>
        <v>214.62193999011237</v>
      </c>
      <c r="T208" s="1">
        <f t="shared" si="43"/>
        <v>183.36997817423662</v>
      </c>
    </row>
    <row r="209" spans="6:20" x14ac:dyDescent="0.35">
      <c r="F209" s="1">
        <f t="shared" si="39"/>
        <v>4.12</v>
      </c>
      <c r="G209">
        <f>1/2*$B$8*$B$6*$B$7*(Tabelle2[[#This Row],[vx]]*Tabelle2[[#This Row],[vx]]+Tabelle2[[#This Row],[vy]]*Tabelle2[[#This Row],[vy]])/1000000</f>
        <v>4.165977462689467</v>
      </c>
      <c r="H209">
        <f>IF($B$3,-Tabelle2[[#This Row],[Fd]]*Tabelle2[[#This Row],[vx]]/Tabelle2[[#This Row],[v]],0)</f>
        <v>-3.8528465295073504</v>
      </c>
      <c r="I209">
        <f t="shared" si="33"/>
        <v>-2.5685643530049003</v>
      </c>
      <c r="J209">
        <f t="shared" si="34"/>
        <v>-5.1371287060098005E-2</v>
      </c>
      <c r="K209">
        <f t="shared" si="35"/>
        <v>0.89712034923007344</v>
      </c>
      <c r="L209">
        <f>-$B$5*$B$12-IF($B$3,Tabelle2[[#This Row],[Fd]]*Tabelle2[[#This Row],[vy]]/Tabelle2[[#This Row],[v]],0)</f>
        <v>-16.299595165870368</v>
      </c>
      <c r="M209">
        <f t="shared" si="36"/>
        <v>-10.866396777246912</v>
      </c>
      <c r="N209">
        <f t="shared" si="37"/>
        <v>-0.21732793554493823</v>
      </c>
      <c r="O209">
        <f t="shared" si="38"/>
        <v>0.36700482951336816</v>
      </c>
      <c r="P209" s="1">
        <f t="shared" si="40"/>
        <v>44.881703105033715</v>
      </c>
      <c r="Q209" s="1">
        <f t="shared" si="41"/>
        <v>18.458905443440877</v>
      </c>
      <c r="R209">
        <f>SQRT(Tabelle2[[#This Row],[vx]]*Tabelle2[[#This Row],[vx]]+Tabelle2[[#This Row],[vy]]*Tabelle2[[#This Row],[vy]])</f>
        <v>48.529356721249499</v>
      </c>
      <c r="S209">
        <f t="shared" si="42"/>
        <v>215.52008974166148</v>
      </c>
      <c r="T209" s="1">
        <f t="shared" si="43"/>
        <v>183.74133262971824</v>
      </c>
    </row>
    <row r="210" spans="6:20" x14ac:dyDescent="0.35">
      <c r="F210" s="1">
        <f t="shared" si="39"/>
        <v>4.1399999999999997</v>
      </c>
      <c r="G210">
        <f>1/2*$B$8*$B$6*$B$7*(Tabelle2[[#This Row],[vx]]*Tabelle2[[#This Row],[vx]]+Tabelle2[[#This Row],[vy]]*Tabelle2[[#This Row],[vy]])/1000000</f>
        <v>4.1437162185035712</v>
      </c>
      <c r="H210">
        <f>IF($B$3,-Tabelle2[[#This Row],[Fd]]*Tabelle2[[#This Row],[vx]]/Tabelle2[[#This Row],[v]],0)</f>
        <v>-3.8381405960487149</v>
      </c>
      <c r="I210">
        <f t="shared" si="33"/>
        <v>-2.55876039736581</v>
      </c>
      <c r="J210">
        <f t="shared" si="34"/>
        <v>-5.1175207947316198E-2</v>
      </c>
      <c r="K210">
        <f t="shared" si="35"/>
        <v>0.89609488427999917</v>
      </c>
      <c r="L210">
        <f>-$B$5*$B$12-IF($B$3,Tabelle2[[#This Row],[Fd]]*Tabelle2[[#This Row],[vy]]/Tabelle2[[#This Row],[v]],0)</f>
        <v>-16.276749296286813</v>
      </c>
      <c r="M210">
        <f t="shared" si="36"/>
        <v>-10.851166197524542</v>
      </c>
      <c r="N210">
        <f t="shared" si="37"/>
        <v>-0.21702332395049084</v>
      </c>
      <c r="O210">
        <f t="shared" si="38"/>
        <v>0.36266131691841386</v>
      </c>
      <c r="P210" s="1">
        <f t="shared" si="40"/>
        <v>44.830331817973615</v>
      </c>
      <c r="Q210" s="1">
        <f t="shared" si="41"/>
        <v>18.24157750789594</v>
      </c>
      <c r="R210">
        <f>SQRT(Tabelle2[[#This Row],[vx]]*Tabelle2[[#This Row],[vx]]+Tabelle2[[#This Row],[vy]]*Tabelle2[[#This Row],[vy]])</f>
        <v>48.39952273407448</v>
      </c>
      <c r="S210">
        <f t="shared" si="42"/>
        <v>216.41721009089156</v>
      </c>
      <c r="T210" s="1">
        <f t="shared" si="43"/>
        <v>184.10833745923162</v>
      </c>
    </row>
    <row r="211" spans="6:20" x14ac:dyDescent="0.35">
      <c r="F211" s="1">
        <f t="shared" si="39"/>
        <v>4.1599999999999993</v>
      </c>
      <c r="G211">
        <f>1/2*$B$8*$B$6*$B$7*(Tabelle2[[#This Row],[vx]]*Tabelle2[[#This Row],[vx]]+Tabelle2[[#This Row],[vy]]*Tabelle2[[#This Row],[vy]])/1000000</f>
        <v>4.121681895159286</v>
      </c>
      <c r="H211">
        <f>IF($B$3,-Tabelle2[[#This Row],[Fd]]*Tabelle2[[#This Row],[vx]]/Tabelle2[[#This Row],[v]],0)</f>
        <v>-3.8235525940836035</v>
      </c>
      <c r="I211">
        <f t="shared" si="33"/>
        <v>-2.5490350627224023</v>
      </c>
      <c r="J211">
        <f t="shared" si="34"/>
        <v>-5.0980701254448049E-2</v>
      </c>
      <c r="K211">
        <f t="shared" si="35"/>
        <v>0.89507332518798155</v>
      </c>
      <c r="L211">
        <f>-$B$5*$B$12-IF($B$3,Tabelle2[[#This Row],[Fd]]*Tabelle2[[#This Row],[vy]]/Tabelle2[[#This Row],[v]],0)</f>
        <v>-16.254060494314757</v>
      </c>
      <c r="M211">
        <f t="shared" si="36"/>
        <v>-10.836040329543172</v>
      </c>
      <c r="N211">
        <f t="shared" si="37"/>
        <v>-0.21672080659086346</v>
      </c>
      <c r="O211">
        <f t="shared" si="38"/>
        <v>0.35832387561300033</v>
      </c>
      <c r="P211" s="1">
        <f t="shared" si="40"/>
        <v>44.779156610026298</v>
      </c>
      <c r="Q211" s="1">
        <f t="shared" si="41"/>
        <v>18.024554183945448</v>
      </c>
      <c r="R211">
        <f>SQRT(Tabelle2[[#This Row],[vx]]*Tabelle2[[#This Row],[vx]]+Tabelle2[[#This Row],[vy]]*Tabelle2[[#This Row],[vy]])</f>
        <v>48.270668321820935</v>
      </c>
      <c r="S211">
        <f t="shared" si="42"/>
        <v>217.31330497517155</v>
      </c>
      <c r="T211" s="1">
        <f t="shared" si="43"/>
        <v>184.47099877615003</v>
      </c>
    </row>
    <row r="212" spans="6:20" x14ac:dyDescent="0.35">
      <c r="F212" s="1">
        <f t="shared" si="39"/>
        <v>4.1799999999999988</v>
      </c>
      <c r="G212">
        <f>1/2*$B$8*$B$6*$B$7*(Tabelle2[[#This Row],[vx]]*Tabelle2[[#This Row],[vx]]+Tabelle2[[#This Row],[vy]]*Tabelle2[[#This Row],[vy]])/1000000</f>
        <v>4.0998733037597299</v>
      </c>
      <c r="H212">
        <f>IF($B$3,-Tabelle2[[#This Row],[Fd]]*Tabelle2[[#This Row],[vx]]/Tabelle2[[#This Row],[v]],0)</f>
        <v>-3.8090820596346506</v>
      </c>
      <c r="I212">
        <f t="shared" si="33"/>
        <v>-2.5393880397564339</v>
      </c>
      <c r="J212">
        <f t="shared" si="34"/>
        <v>-5.0787760795128679E-2</v>
      </c>
      <c r="K212">
        <f t="shared" si="35"/>
        <v>0.89405564056748577</v>
      </c>
      <c r="L212">
        <f>-$B$5*$B$12-IF($B$3,Tabelle2[[#This Row],[Fd]]*Tabelle2[[#This Row],[vy]]/Tabelle2[[#This Row],[v]],0)</f>
        <v>-16.231527273032427</v>
      </c>
      <c r="M212">
        <f t="shared" si="36"/>
        <v>-10.821018182021618</v>
      </c>
      <c r="N212">
        <f t="shared" si="37"/>
        <v>-0.21642036364043235</v>
      </c>
      <c r="O212">
        <f t="shared" si="38"/>
        <v>0.35399246391068739</v>
      </c>
      <c r="P212" s="1">
        <f t="shared" si="40"/>
        <v>44.728175908771853</v>
      </c>
      <c r="Q212" s="1">
        <f t="shared" si="41"/>
        <v>17.807833377354584</v>
      </c>
      <c r="R212">
        <f>SQRT(Tabelle2[[#This Row],[vx]]*Tabelle2[[#This Row],[vx]]+Tabelle2[[#This Row],[vy]]*Tabelle2[[#This Row],[vy]])</f>
        <v>48.142794369683848</v>
      </c>
      <c r="S212">
        <f t="shared" si="42"/>
        <v>218.20837830035953</v>
      </c>
      <c r="T212" s="1">
        <f t="shared" si="43"/>
        <v>184.82932265176302</v>
      </c>
    </row>
    <row r="213" spans="6:20" x14ac:dyDescent="0.35">
      <c r="F213" s="1">
        <f t="shared" si="39"/>
        <v>4.1999999999999984</v>
      </c>
      <c r="G213">
        <f>1/2*$B$8*$B$6*$B$7*(Tabelle2[[#This Row],[vx]]*Tabelle2[[#This Row],[vx]]+Tabelle2[[#This Row],[vy]]*Tabelle2[[#This Row],[vy]])/1000000</f>
        <v>4.0782892665564319</v>
      </c>
      <c r="H213">
        <f>IF($B$3,-Tabelle2[[#This Row],[Fd]]*Tabelle2[[#This Row],[vx]]/Tabelle2[[#This Row],[v]],0)</f>
        <v>-3.7947285335702676</v>
      </c>
      <c r="I213">
        <f t="shared" si="33"/>
        <v>-2.5298190223801784</v>
      </c>
      <c r="J213">
        <f t="shared" si="34"/>
        <v>-5.0596380447603569E-2</v>
      </c>
      <c r="K213">
        <f t="shared" si="35"/>
        <v>0.89304179915505844</v>
      </c>
      <c r="L213">
        <f>-$B$5*$B$12-IF($B$3,Tabelle2[[#This Row],[Fd]]*Tabelle2[[#This Row],[vy]]/Tabelle2[[#This Row],[v]],0)</f>
        <v>-16.209148151361518</v>
      </c>
      <c r="M213">
        <f t="shared" si="36"/>
        <v>-10.806098767574346</v>
      </c>
      <c r="N213">
        <f t="shared" si="37"/>
        <v>-0.21612197535148692</v>
      </c>
      <c r="O213">
        <f t="shared" si="38"/>
        <v>0.34966704052076819</v>
      </c>
      <c r="P213" s="1">
        <f t="shared" si="40"/>
        <v>44.677388147976721</v>
      </c>
      <c r="Q213" s="1">
        <f t="shared" si="41"/>
        <v>17.591413013714153</v>
      </c>
      <c r="R213">
        <f>SQRT(Tabelle2[[#This Row],[vx]]*Tabelle2[[#This Row],[vx]]+Tabelle2[[#This Row],[vy]]*Tabelle2[[#This Row],[vy]])</f>
        <v>48.015901777890655</v>
      </c>
      <c r="S213">
        <f t="shared" si="42"/>
        <v>219.102433940927</v>
      </c>
      <c r="T213" s="1">
        <f t="shared" si="43"/>
        <v>185.18331511567371</v>
      </c>
    </row>
    <row r="214" spans="6:20" x14ac:dyDescent="0.35">
      <c r="F214" s="1">
        <f t="shared" si="39"/>
        <v>4.219999999999998</v>
      </c>
      <c r="G214">
        <f>1/2*$B$8*$B$6*$B$7*(Tabelle2[[#This Row],[vx]]*Tabelle2[[#This Row],[vx]]+Tabelle2[[#This Row],[vy]]*Tabelle2[[#This Row],[vy]])/1000000</f>
        <v>4.0569286168199072</v>
      </c>
      <c r="H214">
        <f>IF($B$3,-Tabelle2[[#This Row],[Fd]]*Tabelle2[[#This Row],[vx]]/Tabelle2[[#This Row],[v]],0)</f>
        <v>-3.7804915615022909</v>
      </c>
      <c r="I214">
        <f t="shared" si="33"/>
        <v>-2.5203277076681938</v>
      </c>
      <c r="J214">
        <f t="shared" si="34"/>
        <v>-5.0406554153363876E-2</v>
      </c>
      <c r="K214">
        <f t="shared" si="35"/>
        <v>0.89203176980904875</v>
      </c>
      <c r="L214">
        <f>-$B$5*$B$12-IF($B$3,Tabelle2[[#This Row],[Fd]]*Tabelle2[[#This Row],[vy]]/Tabelle2[[#This Row],[v]],0)</f>
        <v>-16.186921653955213</v>
      </c>
      <c r="M214">
        <f t="shared" si="36"/>
        <v>-10.791281102636809</v>
      </c>
      <c r="N214">
        <f t="shared" si="37"/>
        <v>-0.21582562205273617</v>
      </c>
      <c r="O214">
        <f t="shared" si="38"/>
        <v>0.34534756454672599</v>
      </c>
      <c r="P214" s="1">
        <f t="shared" si="40"/>
        <v>44.62679176752912</v>
      </c>
      <c r="Q214" s="1">
        <f t="shared" si="41"/>
        <v>17.375291038362665</v>
      </c>
      <c r="R214">
        <f>SQRT(Tabelle2[[#This Row],[vx]]*Tabelle2[[#This Row],[vx]]+Tabelle2[[#This Row],[vy]]*Tabelle2[[#This Row],[vy]])</f>
        <v>47.889991460953624</v>
      </c>
      <c r="S214">
        <f t="shared" si="42"/>
        <v>219.99547574008207</v>
      </c>
      <c r="T214" s="1">
        <f t="shared" si="43"/>
        <v>185.53298215619446</v>
      </c>
    </row>
    <row r="215" spans="6:20" x14ac:dyDescent="0.35">
      <c r="F215" s="1">
        <f t="shared" si="39"/>
        <v>4.2399999999999975</v>
      </c>
      <c r="G215">
        <f>1/2*$B$8*$B$6*$B$7*(Tabelle2[[#This Row],[vx]]*Tabelle2[[#This Row],[vx]]+Tabelle2[[#This Row],[vy]]*Tabelle2[[#This Row],[vy]])/1000000</f>
        <v>4.0357901987115632</v>
      </c>
      <c r="H215">
        <f>IF($B$3,-Tabelle2[[#This Row],[Fd]]*Tabelle2[[#This Row],[vx]]/Tabelle2[[#This Row],[v]],0)</f>
        <v>-3.7663706936837258</v>
      </c>
      <c r="I215">
        <f t="shared" si="33"/>
        <v>-2.5109137957891505</v>
      </c>
      <c r="J215">
        <f t="shared" si="34"/>
        <v>-5.0218275915783012E-2</v>
      </c>
      <c r="K215">
        <f t="shared" si="35"/>
        <v>0.89102552150835734</v>
      </c>
      <c r="L215">
        <f>-$B$5*$B$12-IF($B$3,Tabelle2[[#This Row],[Fd]]*Tabelle2[[#This Row],[vy]]/Tabelle2[[#This Row],[v]],0)</f>
        <v>-16.164846311088418</v>
      </c>
      <c r="M215">
        <f t="shared" si="36"/>
        <v>-10.776564207392278</v>
      </c>
      <c r="N215">
        <f t="shared" si="37"/>
        <v>-0.21553128414784556</v>
      </c>
      <c r="O215">
        <f t="shared" si="38"/>
        <v>0.34103399548472013</v>
      </c>
      <c r="P215" s="1">
        <f t="shared" si="40"/>
        <v>44.576385213375758</v>
      </c>
      <c r="Q215" s="1">
        <f t="shared" si="41"/>
        <v>17.159465416309928</v>
      </c>
      <c r="R215">
        <f>SQRT(Tabelle2[[#This Row],[vx]]*Tabelle2[[#This Row],[vx]]+Tabelle2[[#This Row],[vy]]*Tabelle2[[#This Row],[vy]])</f>
        <v>47.765064346913647</v>
      </c>
      <c r="S215">
        <f t="shared" si="42"/>
        <v>220.88750750989112</v>
      </c>
      <c r="T215" s="1">
        <f t="shared" si="43"/>
        <v>185.87832972074119</v>
      </c>
    </row>
    <row r="216" spans="6:20" x14ac:dyDescent="0.35">
      <c r="F216" s="1">
        <f t="shared" si="39"/>
        <v>4.2599999999999971</v>
      </c>
      <c r="G216">
        <f>1/2*$B$8*$B$6*$B$7*(Tabelle2[[#This Row],[vx]]*Tabelle2[[#This Row],[vx]]+Tabelle2[[#This Row],[vy]]*Tabelle2[[#This Row],[vy]])/1000000</f>
        <v>4.014872867156952</v>
      </c>
      <c r="H216">
        <f>IF($B$3,-Tabelle2[[#This Row],[Fd]]*Tabelle2[[#This Row],[vx]]/Tabelle2[[#This Row],[v]],0)</f>
        <v>-3.7523654849066217</v>
      </c>
      <c r="I216">
        <f t="shared" si="33"/>
        <v>-2.5015769899377478</v>
      </c>
      <c r="J216">
        <f t="shared" si="34"/>
        <v>-5.0031539798754958E-2</v>
      </c>
      <c r="K216">
        <f t="shared" si="35"/>
        <v>0.89002302335121197</v>
      </c>
      <c r="L216">
        <f>-$B$5*$B$12-IF($B$3,Tabelle2[[#This Row],[Fd]]*Tabelle2[[#This Row],[vy]]/Tabelle2[[#This Row],[v]],0)</f>
        <v>-16.142920658550249</v>
      </c>
      <c r="M216">
        <f t="shared" si="36"/>
        <v>-10.761947105700166</v>
      </c>
      <c r="N216">
        <f t="shared" si="37"/>
        <v>-0.21523894211400332</v>
      </c>
      <c r="O216">
        <f t="shared" si="38"/>
        <v>0.33672629322210157</v>
      </c>
      <c r="P216" s="1">
        <f t="shared" si="40"/>
        <v>44.526166937459976</v>
      </c>
      <c r="Q216" s="1">
        <f t="shared" si="41"/>
        <v>16.943934132162081</v>
      </c>
      <c r="R216">
        <f>SQRT(Tabelle2[[#This Row],[vx]]*Tabelle2[[#This Row],[vx]]+Tabelle2[[#This Row],[vy]]*Tabelle2[[#This Row],[vy]])</f>
        <v>47.641121376575519</v>
      </c>
      <c r="S216">
        <f t="shared" si="42"/>
        <v>221.77853303139949</v>
      </c>
      <c r="T216" s="1">
        <f t="shared" si="43"/>
        <v>186.2193637162259</v>
      </c>
    </row>
    <row r="217" spans="6:20" x14ac:dyDescent="0.35">
      <c r="F217" s="1">
        <f t="shared" si="39"/>
        <v>4.2799999999999967</v>
      </c>
      <c r="G217">
        <f>1/2*$B$8*$B$6*$B$7*(Tabelle2[[#This Row],[vx]]*Tabelle2[[#This Row],[vx]]+Tabelle2[[#This Row],[vy]]*Tabelle2[[#This Row],[vy]])/1000000</f>
        <v>3.9941754877203146</v>
      </c>
      <c r="H217">
        <f>IF($B$3,-Tabelle2[[#This Row],[Fd]]*Tabelle2[[#This Row],[vx]]/Tabelle2[[#This Row],[v]],0)</f>
        <v>-3.738475494400042</v>
      </c>
      <c r="I217">
        <f t="shared" si="33"/>
        <v>-2.4923169962666947</v>
      </c>
      <c r="J217">
        <f t="shared" si="34"/>
        <v>-4.9846339925333896E-2</v>
      </c>
      <c r="K217">
        <f t="shared" si="35"/>
        <v>0.88902424455397111</v>
      </c>
      <c r="L217">
        <f>-$B$5*$B$12-IF($B$3,Tabelle2[[#This Row],[Fd]]*Tabelle2[[#This Row],[vy]]/Tabelle2[[#This Row],[v]],0)</f>
        <v>-16.121143237538828</v>
      </c>
      <c r="M217">
        <f t="shared" si="36"/>
        <v>-10.747428825025885</v>
      </c>
      <c r="N217">
        <f t="shared" si="37"/>
        <v>-0.21494857650051771</v>
      </c>
      <c r="O217">
        <f t="shared" si="38"/>
        <v>0.3324244180359564</v>
      </c>
      <c r="P217" s="1">
        <f t="shared" si="40"/>
        <v>44.476135397661224</v>
      </c>
      <c r="Q217" s="1">
        <f t="shared" si="41"/>
        <v>16.728695190048079</v>
      </c>
      <c r="R217">
        <f>SQRT(Tabelle2[[#This Row],[vx]]*Tabelle2[[#This Row],[vx]]+Tabelle2[[#This Row],[vy]]*Tabelle2[[#This Row],[vy]])</f>
        <v>47.518163502734737</v>
      </c>
      <c r="S217">
        <f t="shared" si="42"/>
        <v>222.6685560547507</v>
      </c>
      <c r="T217" s="1">
        <f t="shared" si="43"/>
        <v>186.55609000944801</v>
      </c>
    </row>
    <row r="218" spans="6:20" x14ac:dyDescent="0.35">
      <c r="F218" s="1">
        <f t="shared" si="39"/>
        <v>4.2999999999999963</v>
      </c>
      <c r="G218">
        <f>1/2*$B$8*$B$6*$B$7*(Tabelle2[[#This Row],[vx]]*Tabelle2[[#This Row],[vx]]+Tabelle2[[#This Row],[vy]]*Tabelle2[[#This Row],[vy]])/1000000</f>
        <v>3.9736969364804189</v>
      </c>
      <c r="H218">
        <f>IF($B$3,-Tabelle2[[#This Row],[Fd]]*Tabelle2[[#This Row],[vx]]/Tabelle2[[#This Row],[v]],0)</f>
        <v>-3.7247002857281442</v>
      </c>
      <c r="I218">
        <f t="shared" si="33"/>
        <v>-2.4831335238187626</v>
      </c>
      <c r="J218">
        <f t="shared" si="34"/>
        <v>-4.9662670476375251E-2</v>
      </c>
      <c r="K218">
        <f t="shared" si="35"/>
        <v>0.88802915444995412</v>
      </c>
      <c r="L218">
        <f>-$B$5*$B$12-IF($B$3,Tabelle2[[#This Row],[Fd]]*Tabelle2[[#This Row],[vy]]/Tabelle2[[#This Row],[v]],0)</f>
        <v>-16.099512594558295</v>
      </c>
      <c r="M218">
        <f t="shared" si="36"/>
        <v>-10.733008396372197</v>
      </c>
      <c r="N218">
        <f t="shared" si="37"/>
        <v>-0.21466016792744394</v>
      </c>
      <c r="O218">
        <f t="shared" si="38"/>
        <v>0.32812833059167679</v>
      </c>
      <c r="P218" s="1">
        <f t="shared" si="40"/>
        <v>44.426289057735893</v>
      </c>
      <c r="Q218" s="1">
        <f t="shared" si="41"/>
        <v>16.513746613547561</v>
      </c>
      <c r="R218">
        <f>SQRT(Tabelle2[[#This Row],[vx]]*Tabelle2[[#This Row],[vx]]+Tabelle2[[#This Row],[vy]]*Tabelle2[[#This Row],[vy]])</f>
        <v>47.396191689395863</v>
      </c>
      <c r="S218">
        <f t="shared" si="42"/>
        <v>223.55758029930468</v>
      </c>
      <c r="T218" s="1">
        <f t="shared" si="43"/>
        <v>186.88851442748398</v>
      </c>
    </row>
    <row r="219" spans="6:20" x14ac:dyDescent="0.35">
      <c r="F219" s="1">
        <f t="shared" si="39"/>
        <v>4.3199999999999958</v>
      </c>
      <c r="G219">
        <f>1/2*$B$8*$B$6*$B$7*(Tabelle2[[#This Row],[vx]]*Tabelle2[[#This Row],[vx]]+Tabelle2[[#This Row],[vy]]*Tabelle2[[#This Row],[vy]])/1000000</f>
        <v>3.9534360999076754</v>
      </c>
      <c r="H219">
        <f>IF($B$3,-Tabelle2[[#This Row],[Fd]]*Tabelle2[[#This Row],[vx]]/Tabelle2[[#This Row],[v]],0)</f>
        <v>-3.7110394266883793</v>
      </c>
      <c r="I219">
        <f t="shared" si="33"/>
        <v>-2.4740262844589194</v>
      </c>
      <c r="J219">
        <f t="shared" si="34"/>
        <v>-4.9480525689178385E-2</v>
      </c>
      <c r="K219">
        <f t="shared" si="35"/>
        <v>0.88703772248829871</v>
      </c>
      <c r="L219">
        <f>-$B$5*$B$12-IF($B$3,Tabelle2[[#This Row],[Fd]]*Tabelle2[[#This Row],[vy]]/Tabelle2[[#This Row],[v]],0)</f>
        <v>-16.078027281318167</v>
      </c>
      <c r="M219">
        <f t="shared" si="36"/>
        <v>-10.718684854212112</v>
      </c>
      <c r="N219">
        <f t="shared" si="37"/>
        <v>-0.21437369708424225</v>
      </c>
      <c r="O219">
        <f t="shared" si="38"/>
        <v>0.32383799194155993</v>
      </c>
      <c r="P219" s="1">
        <f t="shared" si="40"/>
        <v>44.37662638725952</v>
      </c>
      <c r="Q219" s="1">
        <f t="shared" si="41"/>
        <v>16.299086445620116</v>
      </c>
      <c r="R219">
        <f>SQRT(Tabelle2[[#This Row],[vx]]*Tabelle2[[#This Row],[vx]]+Tabelle2[[#This Row],[vy]]*Tabelle2[[#This Row],[vy]])</f>
        <v>47.275206910982583</v>
      </c>
      <c r="S219">
        <f t="shared" si="42"/>
        <v>224.44560945375463</v>
      </c>
      <c r="T219" s="1">
        <f t="shared" si="43"/>
        <v>187.21664275807566</v>
      </c>
    </row>
    <row r="220" spans="6:20" x14ac:dyDescent="0.35">
      <c r="F220" s="1">
        <f t="shared" si="39"/>
        <v>4.3399999999999954</v>
      </c>
      <c r="G220">
        <f>1/2*$B$8*$B$6*$B$7*(Tabelle2[[#This Row],[vx]]*Tabelle2[[#This Row],[vx]]+Tabelle2[[#This Row],[vy]]*Tabelle2[[#This Row],[vy]])/1000000</f>
        <v>3.9333918747424863</v>
      </c>
      <c r="H220">
        <f>IF($B$3,-Tabelle2[[#This Row],[Fd]]*Tabelle2[[#This Row],[vx]]/Tabelle2[[#This Row],[v]],0)</f>
        <v>-3.6974924892097816</v>
      </c>
      <c r="I220">
        <f t="shared" si="33"/>
        <v>-2.4649949928065209</v>
      </c>
      <c r="J220">
        <f t="shared" si="34"/>
        <v>-4.9299899856130418E-2</v>
      </c>
      <c r="K220">
        <f t="shared" si="35"/>
        <v>0.88604991823284562</v>
      </c>
      <c r="L220">
        <f>-$B$5*$B$12-IF($B$3,Tabelle2[[#This Row],[Fd]]*Tabelle2[[#This Row],[vy]]/Tabelle2[[#This Row],[v]],0)</f>
        <v>-16.056685854634932</v>
      </c>
      <c r="M220">
        <f t="shared" si="36"/>
        <v>-10.704457236423288</v>
      </c>
      <c r="N220">
        <f t="shared" si="37"/>
        <v>-0.21408914472846577</v>
      </c>
      <c r="O220">
        <f t="shared" si="38"/>
        <v>0.31955336352343283</v>
      </c>
      <c r="P220" s="1">
        <f t="shared" si="40"/>
        <v>44.327145861570344</v>
      </c>
      <c r="Q220" s="1">
        <f t="shared" si="41"/>
        <v>16.084712748535875</v>
      </c>
      <c r="R220">
        <f>SQRT(Tabelle2[[#This Row],[vx]]*Tabelle2[[#This Row],[vx]]+Tabelle2[[#This Row],[vy]]*Tabelle2[[#This Row],[vy]])</f>
        <v>47.155210151539407</v>
      </c>
      <c r="S220">
        <f t="shared" si="42"/>
        <v>225.33264717624292</v>
      </c>
      <c r="T220" s="1">
        <f t="shared" si="43"/>
        <v>187.54048075001722</v>
      </c>
    </row>
    <row r="221" spans="6:20" x14ac:dyDescent="0.35">
      <c r="F221" s="1">
        <f t="shared" si="39"/>
        <v>4.359999999999995</v>
      </c>
      <c r="G221">
        <f>1/2*$B$8*$B$6*$B$7*(Tabelle2[[#This Row],[vx]]*Tabelle2[[#This Row],[vx]]+Tabelle2[[#This Row],[vy]]*Tabelle2[[#This Row],[vy]])/1000000</f>
        <v>3.9135631678748388</v>
      </c>
      <c r="H221">
        <f>IF($B$3,-Tabelle2[[#This Row],[Fd]]*Tabelle2[[#This Row],[vx]]/Tabelle2[[#This Row],[v]],0)</f>
        <v>-3.6840590492513838</v>
      </c>
      <c r="I221">
        <f t="shared" si="33"/>
        <v>-2.4560393661675892</v>
      </c>
      <c r="J221">
        <f t="shared" si="34"/>
        <v>-4.9120787323351789E-2</v>
      </c>
      <c r="K221">
        <f t="shared" si="35"/>
        <v>0.88506571136105083</v>
      </c>
      <c r="L221">
        <f>-$B$5*$B$12-IF($B$3,Tabelle2[[#This Row],[Fd]]*Tabelle2[[#This Row],[vy]]/Tabelle2[[#This Row],[v]],0)</f>
        <v>-16.03548687633597</v>
      </c>
      <c r="M221">
        <f t="shared" si="36"/>
        <v>-10.69032458422398</v>
      </c>
      <c r="N221">
        <f t="shared" si="37"/>
        <v>-0.2138064916844796</v>
      </c>
      <c r="O221">
        <f t="shared" si="38"/>
        <v>0.31527440715930338</v>
      </c>
      <c r="P221" s="1">
        <f t="shared" si="40"/>
        <v>44.277845961714213</v>
      </c>
      <c r="Q221" s="1">
        <f t="shared" si="41"/>
        <v>15.87062360380741</v>
      </c>
      <c r="R221">
        <f>SQRT(Tabelle2[[#This Row],[vx]]*Tabelle2[[#This Row],[vx]]+Tabelle2[[#This Row],[vy]]*Tabelle2[[#This Row],[vy]])</f>
        <v>47.036202403925223</v>
      </c>
      <c r="S221">
        <f t="shared" si="42"/>
        <v>226.21869709447577</v>
      </c>
      <c r="T221" s="1">
        <f t="shared" si="43"/>
        <v>187.86003411354065</v>
      </c>
    </row>
    <row r="222" spans="6:20" x14ac:dyDescent="0.35">
      <c r="F222" s="1">
        <f t="shared" si="39"/>
        <v>4.3799999999999946</v>
      </c>
      <c r="G222">
        <f>1/2*$B$8*$B$6*$B$7*(Tabelle2[[#This Row],[vx]]*Tabelle2[[#This Row],[vx]]+Tabelle2[[#This Row],[vy]]*Tabelle2[[#This Row],[vy]])/1000000</f>
        <v>3.8939488962250981</v>
      </c>
      <c r="H222">
        <f>IF($B$3,-Tabelle2[[#This Row],[Fd]]*Tabelle2[[#This Row],[vx]]/Tabelle2[[#This Row],[v]],0)</f>
        <v>-3.6707386867007306</v>
      </c>
      <c r="I222">
        <f t="shared" si="33"/>
        <v>-2.4471591244671536</v>
      </c>
      <c r="J222">
        <f t="shared" si="34"/>
        <v>-4.8943182489343075E-2</v>
      </c>
      <c r="K222">
        <f t="shared" si="35"/>
        <v>0.88408507166292383</v>
      </c>
      <c r="L222">
        <f>-$B$5*$B$12-IF($B$3,Tabelle2[[#This Row],[Fd]]*Tabelle2[[#This Row],[vy]]/Tabelle2[[#This Row],[v]],0)</f>
        <v>-16.014428913165801</v>
      </c>
      <c r="M222">
        <f t="shared" si="36"/>
        <v>-10.676285942110534</v>
      </c>
      <c r="N222">
        <f t="shared" si="37"/>
        <v>-0.21352571884221067</v>
      </c>
      <c r="O222">
        <f t="shared" si="38"/>
        <v>0.31100108505403651</v>
      </c>
      <c r="P222" s="1">
        <f t="shared" si="40"/>
        <v>44.22872517439086</v>
      </c>
      <c r="Q222" s="1">
        <f t="shared" si="41"/>
        <v>15.65681711212293</v>
      </c>
      <c r="R222">
        <f>SQRT(Tabelle2[[#This Row],[vx]]*Tabelle2[[#This Row],[vx]]+Tabelle2[[#This Row],[vy]]*Tabelle2[[#This Row],[vy]])</f>
        <v>46.918184668998663</v>
      </c>
      <c r="S222">
        <f t="shared" si="42"/>
        <v>227.10376280583682</v>
      </c>
      <c r="T222" s="1">
        <f t="shared" si="43"/>
        <v>188.17530852069996</v>
      </c>
    </row>
    <row r="223" spans="6:20" x14ac:dyDescent="0.35">
      <c r="F223" s="1">
        <f t="shared" si="39"/>
        <v>4.3999999999999941</v>
      </c>
      <c r="G223">
        <f>1/2*$B$8*$B$6*$B$7*(Tabelle2[[#This Row],[vx]]*Tabelle2[[#This Row],[vx]]+Tabelle2[[#This Row],[vy]]*Tabelle2[[#This Row],[vy]])/1000000</f>
        <v>3.8745479866260104</v>
      </c>
      <c r="H223">
        <f>IF($B$3,-Tabelle2[[#This Row],[Fd]]*Tabelle2[[#This Row],[vx]]/Tabelle2[[#This Row],[v]],0)</f>
        <v>-3.6575309852725169</v>
      </c>
      <c r="I223">
        <f t="shared" si="33"/>
        <v>-2.4383539901816778</v>
      </c>
      <c r="J223">
        <f t="shared" si="34"/>
        <v>-4.8767079803633553E-2</v>
      </c>
      <c r="K223">
        <f t="shared" si="35"/>
        <v>0.88310796903999389</v>
      </c>
      <c r="L223">
        <f>-$B$5*$B$12-IF($B$3,Tabelle2[[#This Row],[Fd]]*Tabelle2[[#This Row],[vy]]/Tabelle2[[#This Row],[v]],0)</f>
        <v>-15.993510536694604</v>
      </c>
      <c r="M223">
        <f t="shared" si="36"/>
        <v>-10.662340357796403</v>
      </c>
      <c r="N223">
        <f t="shared" si="37"/>
        <v>-0.21324680715592806</v>
      </c>
      <c r="O223">
        <f t="shared" si="38"/>
        <v>0.30673335979405508</v>
      </c>
      <c r="P223" s="1">
        <f t="shared" si="40"/>
        <v>44.179781991901514</v>
      </c>
      <c r="Q223" s="1">
        <f t="shared" si="41"/>
        <v>15.443291393280719</v>
      </c>
      <c r="R223">
        <f>SQRT(Tabelle2[[#This Row],[vx]]*Tabelle2[[#This Row],[vx]]+Tabelle2[[#This Row],[vy]]*Tabelle2[[#This Row],[vy]])</f>
        <v>46.801157954795556</v>
      </c>
      <c r="S223">
        <f t="shared" si="42"/>
        <v>227.98784787749975</v>
      </c>
      <c r="T223" s="1">
        <f t="shared" si="43"/>
        <v>188.486309605754</v>
      </c>
    </row>
    <row r="224" spans="6:20" x14ac:dyDescent="0.35">
      <c r="F224" s="1">
        <f t="shared" si="39"/>
        <v>4.4199999999999937</v>
      </c>
      <c r="G224">
        <f>1/2*$B$8*$B$6*$B$7*(Tabelle2[[#This Row],[vx]]*Tabelle2[[#This Row],[vx]]+Tabelle2[[#This Row],[vy]]*Tabelle2[[#This Row],[vy]])/1000000</f>
        <v>3.855359375705866</v>
      </c>
      <c r="H224">
        <f>IF($B$3,-Tabelle2[[#This Row],[Fd]]*Tabelle2[[#This Row],[vx]]/Tabelle2[[#This Row],[v]],0)</f>
        <v>-3.6444355324073361</v>
      </c>
      <c r="I224">
        <f t="shared" si="33"/>
        <v>-2.4296236882715574</v>
      </c>
      <c r="J224">
        <f t="shared" si="34"/>
        <v>-4.8592473765431146E-2</v>
      </c>
      <c r="K224">
        <f t="shared" si="35"/>
        <v>0.88213437350430346</v>
      </c>
      <c r="L224">
        <f>-$B$5*$B$12-IF($B$3,Tabelle2[[#This Row],[Fd]]*Tabelle2[[#This Row],[vy]]/Tabelle2[[#This Row],[v]],0)</f>
        <v>-15.972730323229101</v>
      </c>
      <c r="M224">
        <f t="shared" si="36"/>
        <v>-10.648486882152733</v>
      </c>
      <c r="N224">
        <f t="shared" si="37"/>
        <v>-0.21296973764305466</v>
      </c>
      <c r="O224">
        <f t="shared" si="38"/>
        <v>0.30247119434606529</v>
      </c>
      <c r="P224" s="1">
        <f t="shared" si="40"/>
        <v>44.131014912097882</v>
      </c>
      <c r="Q224" s="1">
        <f t="shared" si="41"/>
        <v>15.230044586124791</v>
      </c>
      <c r="R224">
        <f>SQRT(Tabelle2[[#This Row],[vx]]*Tabelle2[[#This Row],[vx]]+Tabelle2[[#This Row],[vy]]*Tabelle2[[#This Row],[vy]])</f>
        <v>46.68512327569838</v>
      </c>
      <c r="S224">
        <f t="shared" si="42"/>
        <v>228.87095584653974</v>
      </c>
      <c r="T224" s="1">
        <f t="shared" si="43"/>
        <v>188.79304296554807</v>
      </c>
    </row>
    <row r="225" spans="6:20" x14ac:dyDescent="0.35">
      <c r="F225" s="1">
        <f t="shared" si="39"/>
        <v>4.4399999999999933</v>
      </c>
      <c r="G225">
        <f>1/2*$B$8*$B$6*$B$7*(Tabelle2[[#This Row],[vx]]*Tabelle2[[#This Row],[vx]]+Tabelle2[[#This Row],[vy]]*Tabelle2[[#This Row],[vy]])/1000000</f>
        <v>3.8363820097728287</v>
      </c>
      <c r="H225">
        <f>IF($B$3,-Tabelle2[[#This Row],[Fd]]*Tabelle2[[#This Row],[vx]]/Tabelle2[[#This Row],[v]],0)</f>
        <v>-3.6314519191705523</v>
      </c>
      <c r="I225">
        <f t="shared" si="33"/>
        <v>-2.4209679461137017</v>
      </c>
      <c r="J225">
        <f t="shared" si="34"/>
        <v>-4.8419358922274038E-2</v>
      </c>
      <c r="K225">
        <f t="shared" si="35"/>
        <v>0.88116425517742625</v>
      </c>
      <c r="L225">
        <f>-$B$5*$B$12-IF($B$3,Tabelle2[[#This Row],[Fd]]*Tabelle2[[#This Row],[vy]]/Tabelle2[[#This Row],[v]],0)</f>
        <v>-15.952086853725767</v>
      </c>
      <c r="M225">
        <f t="shared" si="36"/>
        <v>-10.634724569150512</v>
      </c>
      <c r="N225">
        <f t="shared" si="37"/>
        <v>-0.21269449138301025</v>
      </c>
      <c r="O225">
        <f t="shared" si="38"/>
        <v>0.2982145520558046</v>
      </c>
      <c r="P225" s="1">
        <f t="shared" si="40"/>
        <v>44.082422438332451</v>
      </c>
      <c r="Q225" s="1">
        <f t="shared" si="41"/>
        <v>15.017074848481736</v>
      </c>
      <c r="R225">
        <f>SQRT(Tabelle2[[#This Row],[vx]]*Tabelle2[[#This Row],[vx]]+Tabelle2[[#This Row],[vy]]*Tabelle2[[#This Row],[vy]])</f>
        <v>46.570081651597945</v>
      </c>
      <c r="S225">
        <f t="shared" si="42"/>
        <v>229.75309022004404</v>
      </c>
      <c r="T225" s="1">
        <f t="shared" si="43"/>
        <v>189.09551415989412</v>
      </c>
    </row>
    <row r="226" spans="6:20" x14ac:dyDescent="0.35">
      <c r="F226" s="1">
        <f t="shared" si="39"/>
        <v>4.4599999999999929</v>
      </c>
      <c r="G226">
        <f>1/2*$B$8*$B$6*$B$7*(Tabelle2[[#This Row],[vx]]*Tabelle2[[#This Row],[vx]]+Tabelle2[[#This Row],[vy]]*Tabelle2[[#This Row],[vy]])/1000000</f>
        <v>3.8176148447004072</v>
      </c>
      <c r="H226">
        <f>IF($B$3,-Tabelle2[[#This Row],[Fd]]*Tabelle2[[#This Row],[vx]]/Tabelle2[[#This Row],[v]],0)</f>
        <v>-3.6185797401513011</v>
      </c>
      <c r="I226">
        <f t="shared" si="33"/>
        <v>-2.4123864934342008</v>
      </c>
      <c r="J226">
        <f t="shared" si="34"/>
        <v>-4.8247729868684017E-2</v>
      </c>
      <c r="K226">
        <f t="shared" si="35"/>
        <v>0.88019758428951678</v>
      </c>
      <c r="L226">
        <f>-$B$5*$B$12-IF($B$3,Tabelle2[[#This Row],[Fd]]*Tabelle2[[#This Row],[vy]]/Tabelle2[[#This Row],[v]],0)</f>
        <v>-15.931578713706374</v>
      </c>
      <c r="M226">
        <f t="shared" si="36"/>
        <v>-10.62105247580425</v>
      </c>
      <c r="N226">
        <f t="shared" si="37"/>
        <v>-0.21242104951608501</v>
      </c>
      <c r="O226">
        <f t="shared" si="38"/>
        <v>0.2939633966468137</v>
      </c>
      <c r="P226" s="1">
        <f t="shared" si="40"/>
        <v>44.034003079410176</v>
      </c>
      <c r="Q226" s="1">
        <f t="shared" si="41"/>
        <v>14.804380357098726</v>
      </c>
      <c r="R226">
        <f>SQRT(Tabelle2[[#This Row],[vx]]*Tabelle2[[#This Row],[vx]]+Tabelle2[[#This Row],[vy]]*Tabelle2[[#This Row],[vy]])</f>
        <v>46.456034107047444</v>
      </c>
      <c r="S226">
        <f t="shared" si="42"/>
        <v>230.63425447522147</v>
      </c>
      <c r="T226" s="1">
        <f t="shared" si="43"/>
        <v>189.39372871194993</v>
      </c>
    </row>
    <row r="227" spans="6:20" x14ac:dyDescent="0.35">
      <c r="F227" s="1">
        <f t="shared" si="39"/>
        <v>4.4799999999999924</v>
      </c>
      <c r="G227">
        <f>1/2*$B$8*$B$6*$B$7*(Tabelle2[[#This Row],[vx]]*Tabelle2[[#This Row],[vx]]+Tabelle2[[#This Row],[vy]]*Tabelle2[[#This Row],[vy]])/1000000</f>
        <v>3.7990568458140497</v>
      </c>
      <c r="H227">
        <f>IF($B$3,-Tabelle2[[#This Row],[Fd]]*Tabelle2[[#This Row],[vx]]/Tabelle2[[#This Row],[v]],0)</f>
        <v>-3.60581859336162</v>
      </c>
      <c r="I227">
        <f t="shared" si="33"/>
        <v>-2.4038790622410802</v>
      </c>
      <c r="J227">
        <f t="shared" si="34"/>
        <v>-4.8077581244821602E-2</v>
      </c>
      <c r="K227">
        <f t="shared" si="35"/>
        <v>0.87923433117838157</v>
      </c>
      <c r="L227">
        <f>-$B$5*$B$12-IF($B$3,Tabelle2[[#This Row],[Fd]]*Tabelle2[[#This Row],[vy]]/Tabelle2[[#This Row],[v]],0)</f>
        <v>-15.911204493175905</v>
      </c>
      <c r="M227">
        <f t="shared" si="36"/>
        <v>-10.607469662117269</v>
      </c>
      <c r="N227">
        <f t="shared" si="37"/>
        <v>-0.21214939324234539</v>
      </c>
      <c r="O227">
        <f t="shared" si="38"/>
        <v>0.28971769221922938</v>
      </c>
      <c r="P227" s="1">
        <f t="shared" si="40"/>
        <v>43.985755349541492</v>
      </c>
      <c r="Q227" s="1">
        <f t="shared" si="41"/>
        <v>14.591959307582641</v>
      </c>
      <c r="R227">
        <f>SQRT(Tabelle2[[#This Row],[vx]]*Tabelle2[[#This Row],[vx]]+Tabelle2[[#This Row],[vy]]*Tabelle2[[#This Row],[vy]])</f>
        <v>46.34298167040901</v>
      </c>
      <c r="S227">
        <f t="shared" si="42"/>
        <v>231.51445205951097</v>
      </c>
      <c r="T227" s="1">
        <f t="shared" si="43"/>
        <v>189.68769210859674</v>
      </c>
    </row>
    <row r="228" spans="6:20" x14ac:dyDescent="0.35">
      <c r="F228" s="1">
        <f t="shared" si="39"/>
        <v>4.499999999999992</v>
      </c>
      <c r="G228">
        <f>1/2*$B$8*$B$6*$B$7*(Tabelle2[[#This Row],[vx]]*Tabelle2[[#This Row],[vx]]+Tabelle2[[#This Row],[vy]]*Tabelle2[[#This Row],[vy]])/1000000</f>
        <v>3.7807069877788475</v>
      </c>
      <c r="H228">
        <f>IF($B$3,-Tabelle2[[#This Row],[Fd]]*Tabelle2[[#This Row],[vx]]/Tabelle2[[#This Row],[v]],0)</f>
        <v>-3.5931680801357242</v>
      </c>
      <c r="I228">
        <f t="shared" si="33"/>
        <v>-2.3954453867571495</v>
      </c>
      <c r="J228">
        <f t="shared" si="34"/>
        <v>-4.7908907735142989E-2</v>
      </c>
      <c r="K228">
        <f t="shared" si="35"/>
        <v>0.87827446628858197</v>
      </c>
      <c r="L228">
        <f>-$B$5*$B$12-IF($B$3,Tabelle2[[#This Row],[Fd]]*Tabelle2[[#This Row],[vy]]/Tabelle2[[#This Row],[v]],0)</f>
        <v>-15.890962786542822</v>
      </c>
      <c r="M228">
        <f t="shared" si="36"/>
        <v>-10.593975191028548</v>
      </c>
      <c r="N228">
        <f t="shared" si="37"/>
        <v>-0.21187950382057097</v>
      </c>
      <c r="O228">
        <f t="shared" si="38"/>
        <v>0.28547740324860021</v>
      </c>
      <c r="P228" s="1">
        <f t="shared" si="40"/>
        <v>43.937677768296673</v>
      </c>
      <c r="Q228" s="1">
        <f t="shared" si="41"/>
        <v>14.379809914340296</v>
      </c>
      <c r="R228">
        <f>SQRT(Tabelle2[[#This Row],[vx]]*Tabelle2[[#This Row],[vx]]+Tabelle2[[#This Row],[vy]]*Tabelle2[[#This Row],[vy]])</f>
        <v>46.230925372992822</v>
      </c>
      <c r="S228">
        <f t="shared" si="42"/>
        <v>232.39368639068937</v>
      </c>
      <c r="T228" s="1">
        <f t="shared" si="43"/>
        <v>189.97740980081596</v>
      </c>
    </row>
    <row r="229" spans="6:20" x14ac:dyDescent="0.35">
      <c r="F229" s="1">
        <f t="shared" si="39"/>
        <v>4.5199999999999916</v>
      </c>
      <c r="G229">
        <f>1/2*$B$8*$B$6*$B$7*(Tabelle2[[#This Row],[vx]]*Tabelle2[[#This Row],[vx]]+Tabelle2[[#This Row],[vy]]*Tabelle2[[#This Row],[vy]])/1000000</f>
        <v>3.7625642544883258</v>
      </c>
      <c r="H229">
        <f>IF($B$3,-Tabelle2[[#This Row],[Fd]]*Tabelle2[[#This Row],[vx]]/Tabelle2[[#This Row],[v]],0)</f>
        <v>-3.5806278050294225</v>
      </c>
      <c r="I229">
        <f t="shared" si="33"/>
        <v>-2.3870852033529482</v>
      </c>
      <c r="J229">
        <f t="shared" si="34"/>
        <v>-4.7741704067058965E-2</v>
      </c>
      <c r="K229">
        <f t="shared" si="35"/>
        <v>0.87731796017055996</v>
      </c>
      <c r="L229">
        <f>-$B$5*$B$12-IF($B$3,Tabelle2[[#This Row],[Fd]]*Tabelle2[[#This Row],[vy]]/Tabelle2[[#This Row],[v]],0)</f>
        <v>-15.870852192541708</v>
      </c>
      <c r="M229">
        <f t="shared" si="36"/>
        <v>-10.580568128361138</v>
      </c>
      <c r="N229">
        <f t="shared" si="37"/>
        <v>-0.21161136256722277</v>
      </c>
      <c r="O229">
        <f t="shared" si="38"/>
        <v>0.28124249458472228</v>
      </c>
      <c r="P229" s="1">
        <f t="shared" si="40"/>
        <v>43.889768860561531</v>
      </c>
      <c r="Q229" s="1">
        <f t="shared" si="41"/>
        <v>14.167930410519725</v>
      </c>
      <c r="R229">
        <f>SQRT(Tabelle2[[#This Row],[vx]]*Tabelle2[[#This Row],[vx]]+Tabelle2[[#This Row],[vy]]*Tabelle2[[#This Row],[vy]])</f>
        <v>46.119866248189034</v>
      </c>
      <c r="S229">
        <f t="shared" si="42"/>
        <v>233.27196085697796</v>
      </c>
      <c r="T229" s="1">
        <f t="shared" si="43"/>
        <v>190.26288720406455</v>
      </c>
    </row>
    <row r="230" spans="6:20" x14ac:dyDescent="0.35">
      <c r="F230" s="1">
        <f t="shared" si="39"/>
        <v>4.5399999999999912</v>
      </c>
      <c r="G230">
        <f>1/2*$B$8*$B$6*$B$7*(Tabelle2[[#This Row],[vx]]*Tabelle2[[#This Row],[vx]]+Tabelle2[[#This Row],[vy]]*Tabelle2[[#This Row],[vy]])/1000000</f>
        <v>3.7446276389543183</v>
      </c>
      <c r="H230">
        <f>IF($B$3,-Tabelle2[[#This Row],[Fd]]*Tabelle2[[#This Row],[vx]]/Tabelle2[[#This Row],[v]],0)</f>
        <v>-3.5681973757196936</v>
      </c>
      <c r="I230">
        <f t="shared" si="33"/>
        <v>-2.3787982504797958</v>
      </c>
      <c r="J230">
        <f t="shared" si="34"/>
        <v>-4.7575965009595919E-2</v>
      </c>
      <c r="K230">
        <f t="shared" si="35"/>
        <v>0.87636478347979352</v>
      </c>
      <c r="L230">
        <f>-$B$5*$B$12-IF($B$3,Tabelle2[[#This Row],[Fd]]*Tabelle2[[#This Row],[vy]]/Tabelle2[[#This Row],[v]],0)</f>
        <v>-15.850871314158292</v>
      </c>
      <c r="M230">
        <f t="shared" si="36"/>
        <v>-10.567247542772195</v>
      </c>
      <c r="N230">
        <f t="shared" si="37"/>
        <v>-0.21134495085544391</v>
      </c>
      <c r="O230">
        <f t="shared" si="38"/>
        <v>0.2770129314504956</v>
      </c>
      <c r="P230" s="1">
        <f t="shared" si="40"/>
        <v>43.842027156494474</v>
      </c>
      <c r="Q230" s="1">
        <f t="shared" si="41"/>
        <v>13.956319047952503</v>
      </c>
      <c r="R230">
        <f>SQRT(Tabelle2[[#This Row],[vx]]*Tabelle2[[#This Row],[vx]]+Tabelle2[[#This Row],[vy]]*Tabelle2[[#This Row],[vy]])</f>
        <v>46.009805330592748</v>
      </c>
      <c r="S230">
        <f t="shared" si="42"/>
        <v>234.14927881714851</v>
      </c>
      <c r="T230" s="1">
        <f t="shared" si="43"/>
        <v>190.54412969864927</v>
      </c>
    </row>
    <row r="231" spans="6:20" x14ac:dyDescent="0.35">
      <c r="F231" s="1">
        <f t="shared" si="39"/>
        <v>4.5599999999999907</v>
      </c>
      <c r="G231">
        <f>1/2*$B$8*$B$6*$B$7*(Tabelle2[[#This Row],[vx]]*Tabelle2[[#This Row],[vx]]+Tabelle2[[#This Row],[vy]]*Tabelle2[[#This Row],[vy]])/1000000</f>
        <v>3.7268961431978953</v>
      </c>
      <c r="H231">
        <f>IF($B$3,-Tabelle2[[#This Row],[Fd]]*Tabelle2[[#This Row],[vx]]/Tabelle2[[#This Row],[v]],0)</f>
        <v>-3.5558764029044303</v>
      </c>
      <c r="I231">
        <f t="shared" si="33"/>
        <v>-2.3705842686029537</v>
      </c>
      <c r="J231">
        <f t="shared" si="34"/>
        <v>-4.7411685372059073E-2</v>
      </c>
      <c r="K231">
        <f t="shared" si="35"/>
        <v>0.87541490697597713</v>
      </c>
      <c r="L231">
        <f>-$B$5*$B$12-IF($B$3,Tabelle2[[#This Row],[Fd]]*Tabelle2[[#This Row],[vy]]/Tabelle2[[#This Row],[v]],0)</f>
        <v>-15.831018758556862</v>
      </c>
      <c r="M231">
        <f t="shared" si="36"/>
        <v>-10.554012505704575</v>
      </c>
      <c r="N231">
        <f t="shared" si="37"/>
        <v>-0.21108025011409151</v>
      </c>
      <c r="O231">
        <f t="shared" si="38"/>
        <v>0.27278867944080026</v>
      </c>
      <c r="P231" s="1">
        <f t="shared" si="40"/>
        <v>43.794451191484882</v>
      </c>
      <c r="Q231" s="1">
        <f t="shared" si="41"/>
        <v>13.744974097097058</v>
      </c>
      <c r="R231">
        <f>SQRT(Tabelle2[[#This Row],[vx]]*Tabelle2[[#This Row],[vx]]+Tabelle2[[#This Row],[vy]]*Tabelle2[[#This Row],[vy]])</f>
        <v>45.900743655121978</v>
      </c>
      <c r="S231">
        <f t="shared" si="42"/>
        <v>235.02564360062831</v>
      </c>
      <c r="T231" s="1">
        <f t="shared" si="43"/>
        <v>190.82114263009976</v>
      </c>
    </row>
    <row r="232" spans="6:20" x14ac:dyDescent="0.35">
      <c r="F232" s="1">
        <f t="shared" si="39"/>
        <v>4.5799999999999903</v>
      </c>
      <c r="G232">
        <f>1/2*$B$8*$B$6*$B$7*(Tabelle2[[#This Row],[vx]]*Tabelle2[[#This Row],[vx]]+Tabelle2[[#This Row],[vy]]*Tabelle2[[#This Row],[vy]])/1000000</f>
        <v>3.7093687781413389</v>
      </c>
      <c r="H232">
        <f>IF($B$3,-Tabelle2[[#This Row],[Fd]]*Tabelle2[[#This Row],[vx]]/Tabelle2[[#This Row],[v]],0)</f>
        <v>-3.5436645002023477</v>
      </c>
      <c r="I232">
        <f t="shared" si="33"/>
        <v>-2.3624430001348986</v>
      </c>
      <c r="J232">
        <f t="shared" si="34"/>
        <v>-4.724886000269797E-2</v>
      </c>
      <c r="K232">
        <f t="shared" si="35"/>
        <v>0.87446830152222943</v>
      </c>
      <c r="L232">
        <f>-$B$5*$B$12-IF($B$3,Tabelle2[[#This Row],[Fd]]*Tabelle2[[#This Row],[vy]]/Tabelle2[[#This Row],[v]],0)</f>
        <v>-15.811293137010084</v>
      </c>
      <c r="M232">
        <f t="shared" si="36"/>
        <v>-10.540862091340056</v>
      </c>
      <c r="N232">
        <f t="shared" si="37"/>
        <v>-0.21081724182680112</v>
      </c>
      <c r="O232">
        <f t="shared" si="38"/>
        <v>0.26856970452139128</v>
      </c>
      <c r="P232" s="1">
        <f t="shared" si="40"/>
        <v>43.74703950611282</v>
      </c>
      <c r="Q232" s="1">
        <f t="shared" si="41"/>
        <v>13.533893846982966</v>
      </c>
      <c r="R232">
        <f>SQRT(Tabelle2[[#This Row],[vx]]*Tabelle2[[#This Row],[vx]]+Tabelle2[[#This Row],[vy]]*Tabelle2[[#This Row],[vy]])</f>
        <v>45.792682256129083</v>
      </c>
      <c r="S232">
        <f t="shared" si="42"/>
        <v>235.90105850760429</v>
      </c>
      <c r="T232" s="1">
        <f t="shared" si="43"/>
        <v>191.09393130954055</v>
      </c>
    </row>
    <row r="233" spans="6:20" x14ac:dyDescent="0.35">
      <c r="F233" s="1">
        <f t="shared" si="39"/>
        <v>4.5999999999999899</v>
      </c>
      <c r="G233">
        <f>1/2*$B$8*$B$6*$B$7*(Tabelle2[[#This Row],[vx]]*Tabelle2[[#This Row],[vx]]+Tabelle2[[#This Row],[vy]]*Tabelle2[[#This Row],[vy]])/1000000</f>
        <v>3.6920445635011507</v>
      </c>
      <c r="H233">
        <f>IF($B$3,-Tabelle2[[#This Row],[Fd]]*Tabelle2[[#This Row],[vx]]/Tabelle2[[#This Row],[v]],0)</f>
        <v>-3.5315612840530957</v>
      </c>
      <c r="I233">
        <f t="shared" si="33"/>
        <v>-2.3543741893687304</v>
      </c>
      <c r="J233">
        <f t="shared" si="34"/>
        <v>-4.7087483787374609E-2</v>
      </c>
      <c r="K233">
        <f t="shared" si="35"/>
        <v>0.87352493808432874</v>
      </c>
      <c r="L233">
        <f>-$B$5*$B$12-IF($B$3,Tabelle2[[#This Row],[Fd]]*Tabelle2[[#This Row],[vy]]/Tabelle2[[#This Row],[v]],0)</f>
        <v>-15.791693064831222</v>
      </c>
      <c r="M233">
        <f t="shared" si="36"/>
        <v>-10.527795376554147</v>
      </c>
      <c r="N233">
        <f t="shared" si="37"/>
        <v>-0.21055590753108294</v>
      </c>
      <c r="O233">
        <f t="shared" si="38"/>
        <v>0.2643559730278125</v>
      </c>
      <c r="P233" s="1">
        <f t="shared" si="40"/>
        <v>43.699790646110124</v>
      </c>
      <c r="Q233" s="1">
        <f t="shared" si="41"/>
        <v>13.323076605156166</v>
      </c>
      <c r="R233">
        <f>SQRT(Tabelle2[[#This Row],[vx]]*Tabelle2[[#This Row],[vx]]+Tabelle2[[#This Row],[vy]]*Tabelle2[[#This Row],[vy]])</f>
        <v>45.685622166505667</v>
      </c>
      <c r="S233">
        <f t="shared" si="42"/>
        <v>236.77552680912652</v>
      </c>
      <c r="T233" s="1">
        <f t="shared" si="43"/>
        <v>191.36250101406193</v>
      </c>
    </row>
    <row r="234" spans="6:20" x14ac:dyDescent="0.35">
      <c r="F234" s="1">
        <f t="shared" si="39"/>
        <v>4.6199999999999894</v>
      </c>
      <c r="G234">
        <f>1/2*$B$8*$B$6*$B$7*(Tabelle2[[#This Row],[vx]]*Tabelle2[[#This Row],[vx]]+Tabelle2[[#This Row],[vy]]*Tabelle2[[#This Row],[vy]])/1000000</f>
        <v>3.6749225276820696</v>
      </c>
      <c r="H234">
        <f>IF($B$3,-Tabelle2[[#This Row],[Fd]]*Tabelle2[[#This Row],[vx]]/Tabelle2[[#This Row],[v]],0)</f>
        <v>-3.5195663736175495</v>
      </c>
      <c r="I234">
        <f t="shared" si="33"/>
        <v>-2.3463775824116997</v>
      </c>
      <c r="J234">
        <f t="shared" si="34"/>
        <v>-4.6927551648233992E-2</v>
      </c>
      <c r="K234">
        <f t="shared" si="35"/>
        <v>0.87258478772997261</v>
      </c>
      <c r="L234">
        <f>-$B$5*$B$12-IF($B$3,Tabelle2[[#This Row],[Fd]]*Tabelle2[[#This Row],[vy]]/Tabelle2[[#This Row],[v]],0)</f>
        <v>-15.772217161308774</v>
      </c>
      <c r="M234">
        <f t="shared" si="36"/>
        <v>-10.514811440872515</v>
      </c>
      <c r="N234">
        <f t="shared" si="37"/>
        <v>-0.2102962288174503</v>
      </c>
      <c r="O234">
        <f t="shared" si="38"/>
        <v>0.26014745166432712</v>
      </c>
      <c r="P234" s="1">
        <f t="shared" si="40"/>
        <v>43.652703162322751</v>
      </c>
      <c r="Q234" s="1">
        <f t="shared" si="41"/>
        <v>13.112520697625083</v>
      </c>
      <c r="R234">
        <f>SQRT(Tabelle2[[#This Row],[vx]]*Tabelle2[[#This Row],[vx]]+Tabelle2[[#This Row],[vy]]*Tabelle2[[#This Row],[vy]])</f>
        <v>45.579564416781224</v>
      </c>
      <c r="S234">
        <f t="shared" si="42"/>
        <v>237.64905174721085</v>
      </c>
      <c r="T234" s="1">
        <f t="shared" si="43"/>
        <v>191.62685698708975</v>
      </c>
    </row>
    <row r="235" spans="6:20" x14ac:dyDescent="0.35">
      <c r="F235" s="1">
        <f t="shared" si="39"/>
        <v>4.639999999999989</v>
      </c>
      <c r="G235">
        <f>1/2*$B$8*$B$6*$B$7*(Tabelle2[[#This Row],[vx]]*Tabelle2[[#This Row],[vx]]+Tabelle2[[#This Row],[vy]]*Tabelle2[[#This Row],[vy]])/1000000</f>
        <v>3.6580017076720939</v>
      </c>
      <c r="H235">
        <f>IF($B$3,-Tabelle2[[#This Row],[Fd]]*Tabelle2[[#This Row],[vx]]/Tabelle2[[#This Row],[v]],0)</f>
        <v>-3.5076793906783257</v>
      </c>
      <c r="I235">
        <f t="shared" si="33"/>
        <v>-2.3384529271188836</v>
      </c>
      <c r="J235">
        <f t="shared" si="34"/>
        <v>-4.6769058542377673E-2</v>
      </c>
      <c r="K235">
        <f t="shared" si="35"/>
        <v>0.87164782162806664</v>
      </c>
      <c r="L235">
        <f>-$B$5*$B$12-IF($B$3,Tabelle2[[#This Row],[Fd]]*Tabelle2[[#This Row],[vy]]/Tabelle2[[#This Row],[v]],0)</f>
        <v>-15.75286404964354</v>
      </c>
      <c r="M235">
        <f t="shared" si="36"/>
        <v>-10.501909366429027</v>
      </c>
      <c r="N235">
        <f t="shared" si="37"/>
        <v>-0.21003818732858054</v>
      </c>
      <c r="O235">
        <f t="shared" si="38"/>
        <v>0.25594410750286684</v>
      </c>
      <c r="P235" s="1">
        <f t="shared" si="40"/>
        <v>43.60577561067452</v>
      </c>
      <c r="Q235" s="1">
        <f t="shared" si="41"/>
        <v>12.902224468807633</v>
      </c>
      <c r="R235">
        <f>SQRT(Tabelle2[[#This Row],[vx]]*Tabelle2[[#This Row],[vx]]+Tabelle2[[#This Row],[vy]]*Tabelle2[[#This Row],[vy]])</f>
        <v>45.474510034215818</v>
      </c>
      <c r="S235">
        <f t="shared" si="42"/>
        <v>238.52163653494082</v>
      </c>
      <c r="T235" s="1">
        <f t="shared" si="43"/>
        <v>191.88700443875408</v>
      </c>
    </row>
    <row r="236" spans="6:20" x14ac:dyDescent="0.35">
      <c r="F236" s="1">
        <f t="shared" si="39"/>
        <v>4.6599999999999886</v>
      </c>
      <c r="G236">
        <f>1/2*$B$8*$B$6*$B$7*(Tabelle2[[#This Row],[vx]]*Tabelle2[[#This Row],[vx]]+Tabelle2[[#This Row],[vy]]*Tabelle2[[#This Row],[vy]])/1000000</f>
        <v>3.6412811489384871</v>
      </c>
      <c r="H236">
        <f>IF($B$3,-Tabelle2[[#This Row],[Fd]]*Tabelle2[[#This Row],[vx]]/Tabelle2[[#This Row],[v]],0)</f>
        <v>-3.4958999595405111</v>
      </c>
      <c r="I236">
        <f t="shared" si="33"/>
        <v>-2.3305999730270073</v>
      </c>
      <c r="J236">
        <f t="shared" si="34"/>
        <v>-4.6611999460540149E-2</v>
      </c>
      <c r="K236">
        <f t="shared" si="35"/>
        <v>0.87071401104803747</v>
      </c>
      <c r="L236">
        <f>-$B$5*$B$12-IF($B$3,Tabelle2[[#This Row],[Fd]]*Tabelle2[[#This Row],[vy]]/Tabelle2[[#This Row],[v]],0)</f>
        <v>-15.733632356888116</v>
      </c>
      <c r="M236">
        <f t="shared" si="36"/>
        <v>-10.48908823792541</v>
      </c>
      <c r="N236">
        <f t="shared" si="37"/>
        <v>-0.20978176475850821</v>
      </c>
      <c r="O236">
        <f t="shared" si="38"/>
        <v>0.25174590798199598</v>
      </c>
      <c r="P236" s="1">
        <f t="shared" si="40"/>
        <v>43.559006552132139</v>
      </c>
      <c r="Q236" s="1">
        <f t="shared" si="41"/>
        <v>12.692186281479053</v>
      </c>
      <c r="R236">
        <f>SQRT(Tabelle2[[#This Row],[vx]]*Tabelle2[[#This Row],[vx]]+Tabelle2[[#This Row],[vy]]*Tabelle2[[#This Row],[vy]])</f>
        <v>45.370460041886901</v>
      </c>
      <c r="S236">
        <f t="shared" si="42"/>
        <v>239.3932843565689</v>
      </c>
      <c r="T236" s="1">
        <f t="shared" si="43"/>
        <v>192.14294854625695</v>
      </c>
    </row>
    <row r="237" spans="6:20" x14ac:dyDescent="0.35">
      <c r="F237" s="1">
        <f t="shared" si="39"/>
        <v>4.6799999999999882</v>
      </c>
      <c r="G237">
        <f>1/2*$B$8*$B$6*$B$7*(Tabelle2[[#This Row],[vx]]*Tabelle2[[#This Row],[vx]]+Tabelle2[[#This Row],[vy]]*Tabelle2[[#This Row],[vy]])/1000000</f>
        <v>3.624759905324761</v>
      </c>
      <c r="H237">
        <f>IF($B$3,-Tabelle2[[#This Row],[Fd]]*Tabelle2[[#This Row],[vx]]/Tabelle2[[#This Row],[v]],0)</f>
        <v>-3.4842277069326459</v>
      </c>
      <c r="I237">
        <f t="shared" si="33"/>
        <v>-2.3228184712884308</v>
      </c>
      <c r="J237">
        <f t="shared" si="34"/>
        <v>-4.6456369425768619E-2</v>
      </c>
      <c r="K237">
        <f t="shared" si="35"/>
        <v>0.86978332735917441</v>
      </c>
      <c r="L237">
        <f>-$B$5*$B$12-IF($B$3,Tabelle2[[#This Row],[Fd]]*Tabelle2[[#This Row],[vy]]/Tabelle2[[#This Row],[v]],0)</f>
        <v>-15.714520713888835</v>
      </c>
      <c r="M237">
        <f t="shared" si="36"/>
        <v>-10.476347142592557</v>
      </c>
      <c r="N237">
        <f t="shared" si="37"/>
        <v>-0.20952694285185114</v>
      </c>
      <c r="O237">
        <f t="shared" si="38"/>
        <v>0.24755282090589237</v>
      </c>
      <c r="P237" s="1">
        <f t="shared" si="40"/>
        <v>43.512394552671601</v>
      </c>
      <c r="Q237" s="1">
        <f t="shared" si="41"/>
        <v>12.482404516720544</v>
      </c>
      <c r="R237">
        <f>SQRT(Tabelle2[[#This Row],[vx]]*Tabelle2[[#This Row],[vx]]+Tabelle2[[#This Row],[vy]]*Tabelle2[[#This Row],[vy]])</f>
        <v>45.267415457770625</v>
      </c>
      <c r="S237">
        <f t="shared" si="42"/>
        <v>240.26399836761695</v>
      </c>
      <c r="T237" s="1">
        <f t="shared" si="43"/>
        <v>192.39469445423893</v>
      </c>
    </row>
    <row r="238" spans="6:20" x14ac:dyDescent="0.35">
      <c r="F238" s="1">
        <f t="shared" si="39"/>
        <v>4.6999999999999877</v>
      </c>
      <c r="G238">
        <f>1/2*$B$8*$B$6*$B$7*(Tabelle2[[#This Row],[vx]]*Tabelle2[[#This Row],[vx]]+Tabelle2[[#This Row],[vy]]*Tabelle2[[#This Row],[vy]])/1000000</f>
        <v>3.6084370389486087</v>
      </c>
      <c r="H238">
        <f>IF($B$3,-Tabelle2[[#This Row],[Fd]]*Tabelle2[[#This Row],[vx]]/Tabelle2[[#This Row],[v]],0)</f>
        <v>-3.4726622619079373</v>
      </c>
      <c r="I238">
        <f t="shared" si="33"/>
        <v>-2.3151081746052915</v>
      </c>
      <c r="J238">
        <f t="shared" si="34"/>
        <v>-4.6302163492105829E-2</v>
      </c>
      <c r="K238">
        <f t="shared" si="35"/>
        <v>0.8688557420299956</v>
      </c>
      <c r="L238">
        <f>-$B$5*$B$12-IF($B$3,Tabelle2[[#This Row],[Fd]]*Tabelle2[[#This Row],[vy]]/Tabelle2[[#This Row],[v]],0)</f>
        <v>-15.69552775523014</v>
      </c>
      <c r="M238">
        <f t="shared" si="36"/>
        <v>-10.463685170153427</v>
      </c>
      <c r="N238">
        <f t="shared" si="37"/>
        <v>-0.20927370340306856</v>
      </c>
      <c r="O238">
        <f t="shared" si="38"/>
        <v>0.24336481444334321</v>
      </c>
      <c r="P238" s="1">
        <f t="shared" si="40"/>
        <v>43.465938183245832</v>
      </c>
      <c r="Q238" s="1">
        <f t="shared" si="41"/>
        <v>12.272877573868694</v>
      </c>
      <c r="R238">
        <f>SQRT(Tabelle2[[#This Row],[vx]]*Tabelle2[[#This Row],[vx]]+Tabelle2[[#This Row],[vy]]*Tabelle2[[#This Row],[vy]])</f>
        <v>45.165377293817848</v>
      </c>
      <c r="S238">
        <f t="shared" si="42"/>
        <v>241.13378169497614</v>
      </c>
      <c r="T238" s="1">
        <f t="shared" si="43"/>
        <v>192.64224727514483</v>
      </c>
    </row>
    <row r="239" spans="6:20" x14ac:dyDescent="0.35">
      <c r="F239" s="1">
        <f t="shared" si="39"/>
        <v>4.7199999999999873</v>
      </c>
      <c r="G239">
        <f>1/2*$B$8*$B$6*$B$7*(Tabelle2[[#This Row],[vx]]*Tabelle2[[#This Row],[vx]]+Tabelle2[[#This Row],[vy]]*Tabelle2[[#This Row],[vy]])/1000000</f>
        <v>3.592311620100793</v>
      </c>
      <c r="H239">
        <f>IF($B$3,-Tabelle2[[#This Row],[Fd]]*Tabelle2[[#This Row],[vx]]/Tabelle2[[#This Row],[v]],0)</f>
        <v>-3.4612032557457586</v>
      </c>
      <c r="I239">
        <f t="shared" si="33"/>
        <v>-2.3074688371638392</v>
      </c>
      <c r="J239">
        <f t="shared" si="34"/>
        <v>-4.6149376743276786E-2</v>
      </c>
      <c r="K239">
        <f t="shared" si="35"/>
        <v>0.86793122662764177</v>
      </c>
      <c r="L239">
        <f>-$B$5*$B$12-IF($B$3,Tabelle2[[#This Row],[Fd]]*Tabelle2[[#This Row],[vy]]/Tabelle2[[#This Row],[v]],0)</f>
        <v>-15.676652119181435</v>
      </c>
      <c r="M239">
        <f t="shared" si="36"/>
        <v>-10.451101412787624</v>
      </c>
      <c r="N239">
        <f t="shared" si="37"/>
        <v>-0.20902202825575247</v>
      </c>
      <c r="O239">
        <f t="shared" si="38"/>
        <v>0.23918185712675499</v>
      </c>
      <c r="P239" s="1">
        <f t="shared" si="40"/>
        <v>43.419636019753725</v>
      </c>
      <c r="Q239" s="1">
        <f t="shared" si="41"/>
        <v>12.063603870465625</v>
      </c>
      <c r="R239">
        <f>SQRT(Tabelle2[[#This Row],[vx]]*Tabelle2[[#This Row],[vx]]+Tabelle2[[#This Row],[vy]]*Tabelle2[[#This Row],[vy]])</f>
        <v>45.064346555025161</v>
      </c>
      <c r="S239">
        <f t="shared" si="42"/>
        <v>242.00263743700614</v>
      </c>
      <c r="T239" s="1">
        <f t="shared" si="43"/>
        <v>192.88561208958816</v>
      </c>
    </row>
    <row r="240" spans="6:20" x14ac:dyDescent="0.35">
      <c r="F240" s="1">
        <f t="shared" si="39"/>
        <v>4.7399999999999869</v>
      </c>
      <c r="G240">
        <f>1/2*$B$8*$B$6*$B$7*(Tabelle2[[#This Row],[vx]]*Tabelle2[[#This Row],[vx]]+Tabelle2[[#This Row],[vy]]*Tabelle2[[#This Row],[vy]])/1000000</f>
        <v>3.5763827271449626</v>
      </c>
      <c r="H240">
        <f>IF($B$3,-Tabelle2[[#This Row],[Fd]]*Tabelle2[[#This Row],[vx]]/Tabelle2[[#This Row],[v]],0)</f>
        <v>-3.4498503218534364</v>
      </c>
      <c r="I240">
        <f t="shared" si="33"/>
        <v>-2.2999002145689578</v>
      </c>
      <c r="J240">
        <f t="shared" si="34"/>
        <v>-4.5998004291379159E-2</v>
      </c>
      <c r="K240">
        <f t="shared" si="35"/>
        <v>0.86700975281729509</v>
      </c>
      <c r="L240">
        <f>-$B$5*$B$12-IF($B$3,Tabelle2[[#This Row],[Fd]]*Tabelle2[[#This Row],[vy]]/Tabelle2[[#This Row],[v]],0)</f>
        <v>-15.657892447646379</v>
      </c>
      <c r="M240">
        <f t="shared" si="36"/>
        <v>-10.438594965097586</v>
      </c>
      <c r="N240">
        <f t="shared" si="37"/>
        <v>-0.20877189930195172</v>
      </c>
      <c r="O240">
        <f t="shared" si="38"/>
        <v>0.23500391785117797</v>
      </c>
      <c r="P240" s="1">
        <f t="shared" si="40"/>
        <v>43.373486643010445</v>
      </c>
      <c r="Q240" s="1">
        <f t="shared" si="41"/>
        <v>11.854581842209873</v>
      </c>
      <c r="R240">
        <f>SQRT(Tabelle2[[#This Row],[vx]]*Tabelle2[[#This Row],[vx]]+Tabelle2[[#This Row],[vy]]*Tabelle2[[#This Row],[vy]])</f>
        <v>44.964324238501099</v>
      </c>
      <c r="S240">
        <f t="shared" si="42"/>
        <v>242.87056866363378</v>
      </c>
      <c r="T240" s="1">
        <f t="shared" si="43"/>
        <v>193.12479394671493</v>
      </c>
    </row>
    <row r="241" spans="6:20" x14ac:dyDescent="0.35">
      <c r="F241" s="1">
        <f t="shared" si="39"/>
        <v>4.7599999999999865</v>
      </c>
      <c r="G241">
        <f>1/2*$B$8*$B$6*$B$7*(Tabelle2[[#This Row],[vx]]*Tabelle2[[#This Row],[vx]]+Tabelle2[[#This Row],[vy]]*Tabelle2[[#This Row],[vy]])/1000000</f>
        <v>3.5606494464183851</v>
      </c>
      <c r="H241">
        <f>IF($B$3,-Tabelle2[[#This Row],[Fd]]*Tabelle2[[#This Row],[vx]]/Tabelle2[[#This Row],[v]],0)</f>
        <v>-3.4386030956683262</v>
      </c>
      <c r="I241">
        <f t="shared" si="33"/>
        <v>-2.292402063778884</v>
      </c>
      <c r="J241">
        <f t="shared" si="34"/>
        <v>-4.5848041275577678E-2</v>
      </c>
      <c r="K241">
        <f t="shared" si="35"/>
        <v>0.86609129236162563</v>
      </c>
      <c r="L241">
        <f>-$B$5*$B$12-IF($B$3,Tabelle2[[#This Row],[Fd]]*Tabelle2[[#This Row],[vy]]/Tabelle2[[#This Row],[v]],0)</f>
        <v>-15.639247386114647</v>
      </c>
      <c r="M241">
        <f t="shared" si="36"/>
        <v>-10.426164924076431</v>
      </c>
      <c r="N241">
        <f t="shared" si="37"/>
        <v>-0.20852329848152862</v>
      </c>
      <c r="O241">
        <f t="shared" si="38"/>
        <v>0.23083096587334315</v>
      </c>
      <c r="P241" s="1">
        <f t="shared" si="40"/>
        <v>43.327488638719068</v>
      </c>
      <c r="Q241" s="1">
        <f t="shared" si="41"/>
        <v>11.64580994290792</v>
      </c>
      <c r="R241">
        <f>SQRT(Tabelle2[[#This Row],[vx]]*Tabelle2[[#This Row],[vx]]+Tabelle2[[#This Row],[vy]]*Tabelle2[[#This Row],[vy]])</f>
        <v>44.865311332527973</v>
      </c>
      <c r="S241">
        <f t="shared" si="42"/>
        <v>243.73757841645107</v>
      </c>
      <c r="T241" s="1">
        <f t="shared" si="43"/>
        <v>193.3597978645661</v>
      </c>
    </row>
    <row r="242" spans="6:20" x14ac:dyDescent="0.35">
      <c r="F242" s="1">
        <f t="shared" si="39"/>
        <v>4.779999999999986</v>
      </c>
      <c r="G242">
        <f>1/2*$B$8*$B$6*$B$7*(Tabelle2[[#This Row],[vx]]*Tabelle2[[#This Row],[vx]]+Tabelle2[[#This Row],[vy]]*Tabelle2[[#This Row],[vy]])/1000000</f>
        <v>3.5451108721335922</v>
      </c>
      <c r="H242">
        <f>IF($B$3,-Tabelle2[[#This Row],[Fd]]*Tabelle2[[#This Row],[vx]]/Tabelle2[[#This Row],[v]],0)</f>
        <v>-3.427461214560219</v>
      </c>
      <c r="I242">
        <f t="shared" si="33"/>
        <v>-2.284974143040146</v>
      </c>
      <c r="J242">
        <f t="shared" si="34"/>
        <v>-4.5699482860802922E-2</v>
      </c>
      <c r="K242">
        <f t="shared" si="35"/>
        <v>0.86517581712026193</v>
      </c>
      <c r="L242">
        <f>-$B$5*$B$12-IF($B$3,Tabelle2[[#This Row],[Fd]]*Tabelle2[[#This Row],[vy]]/Tabelle2[[#This Row],[v]],0)</f>
        <v>-15.620715583616175</v>
      </c>
      <c r="M242">
        <f t="shared" si="36"/>
        <v>-10.413810389077449</v>
      </c>
      <c r="N242">
        <f t="shared" si="37"/>
        <v>-0.20827620778154898</v>
      </c>
      <c r="O242">
        <f t="shared" si="38"/>
        <v>0.22666297081071235</v>
      </c>
      <c r="P242" s="1">
        <f t="shared" si="40"/>
        <v>43.281640597443491</v>
      </c>
      <c r="Q242" s="1">
        <f t="shared" si="41"/>
        <v>11.437286644426392</v>
      </c>
      <c r="R242">
        <f>SQRT(Tabelle2[[#This Row],[vx]]*Tabelle2[[#This Row],[vx]]+Tabelle2[[#This Row],[vy]]*Tabelle2[[#This Row],[vy]])</f>
        <v>44.767308815619494</v>
      </c>
      <c r="S242">
        <f t="shared" si="42"/>
        <v>244.6036697088127</v>
      </c>
      <c r="T242" s="1">
        <f t="shared" si="43"/>
        <v>193.59062883043944</v>
      </c>
    </row>
    <row r="243" spans="6:20" x14ac:dyDescent="0.35">
      <c r="F243" s="1">
        <f t="shared" si="39"/>
        <v>4.7999999999999856</v>
      </c>
      <c r="G243">
        <f>1/2*$B$8*$B$6*$B$7*(Tabelle2[[#This Row],[vx]]*Tabelle2[[#This Row],[vx]]+Tabelle2[[#This Row],[vy]]*Tabelle2[[#This Row],[vy]])/1000000</f>
        <v>3.5297661062809134</v>
      </c>
      <c r="H243">
        <f>IF($B$3,-Tabelle2[[#This Row],[Fd]]*Tabelle2[[#This Row],[vx]]/Tabelle2[[#This Row],[v]],0)</f>
        <v>-3.4164243177340863</v>
      </c>
      <c r="I243">
        <f t="shared" si="33"/>
        <v>-2.2776162118227243</v>
      </c>
      <c r="J243">
        <f t="shared" si="34"/>
        <v>-4.5552324236454486E-2</v>
      </c>
      <c r="K243">
        <f t="shared" si="35"/>
        <v>0.86426329904928922</v>
      </c>
      <c r="L243">
        <f>-$B$5*$B$12-IF($B$3,Tabelle2[[#This Row],[Fd]]*Tabelle2[[#This Row],[vy]]/Tabelle2[[#This Row],[v]],0)</f>
        <v>-15.60229569267787</v>
      </c>
      <c r="M243">
        <f t="shared" si="36"/>
        <v>-10.401530461785248</v>
      </c>
      <c r="N243">
        <f t="shared" si="37"/>
        <v>-0.20803060923570496</v>
      </c>
      <c r="O243">
        <f t="shared" si="38"/>
        <v>0.22249990264053979</v>
      </c>
      <c r="P243" s="1">
        <f t="shared" si="40"/>
        <v>43.235941114582687</v>
      </c>
      <c r="Q243" s="1">
        <f t="shared" si="41"/>
        <v>11.229010436644842</v>
      </c>
      <c r="R243">
        <f>SQRT(Tabelle2[[#This Row],[vx]]*Tabelle2[[#This Row],[vx]]+Tabelle2[[#This Row],[vy]]*Tabelle2[[#This Row],[vy]])</f>
        <v>44.670317655574607</v>
      </c>
      <c r="S243">
        <f t="shared" si="42"/>
        <v>245.46884552593298</v>
      </c>
      <c r="T243" s="1">
        <f t="shared" si="43"/>
        <v>193.81729180125015</v>
      </c>
    </row>
    <row r="244" spans="6:20" x14ac:dyDescent="0.35">
      <c r="F244" s="1">
        <f t="shared" si="39"/>
        <v>4.8199999999999852</v>
      </c>
      <c r="G244">
        <f>1/2*$B$8*$B$6*$B$7*(Tabelle2[[#This Row],[vx]]*Tabelle2[[#This Row],[vx]]+Tabelle2[[#This Row],[vy]]*Tabelle2[[#This Row],[vy]])/1000000</f>
        <v>3.514614258531906</v>
      </c>
      <c r="H244">
        <f>IF($B$3,-Tabelle2[[#This Row],[Fd]]*Tabelle2[[#This Row],[vx]]/Tabelle2[[#This Row],[v]],0)</f>
        <v>-3.4054920461331939</v>
      </c>
      <c r="I244">
        <f t="shared" si="33"/>
        <v>-2.2703280307554627</v>
      </c>
      <c r="J244">
        <f t="shared" si="34"/>
        <v>-4.5406560615109254E-2</v>
      </c>
      <c r="K244">
        <f t="shared" si="35"/>
        <v>0.86335371020077367</v>
      </c>
      <c r="L244">
        <f>-$B$5*$B$12-IF($B$3,Tabelle2[[#This Row],[Fd]]*Tabelle2[[#This Row],[vy]]/Tabelle2[[#This Row],[v]],0)</f>
        <v>-15.583986369282815</v>
      </c>
      <c r="M244">
        <f t="shared" si="36"/>
        <v>-10.389324246188544</v>
      </c>
      <c r="N244">
        <f t="shared" si="37"/>
        <v>-0.20778648492377089</v>
      </c>
      <c r="O244">
        <f t="shared" si="38"/>
        <v>0.21834173169894505</v>
      </c>
      <c r="P244" s="1">
        <f t="shared" si="40"/>
        <v>43.190388790346233</v>
      </c>
      <c r="Q244" s="1">
        <f t="shared" si="41"/>
        <v>11.020979827409137</v>
      </c>
      <c r="R244">
        <f>SQRT(Tabelle2[[#This Row],[vx]]*Tabelle2[[#This Row],[vx]]+Tabelle2[[#This Row],[vy]]*Tabelle2[[#This Row],[vy]])</f>
        <v>44.57433880852777</v>
      </c>
      <c r="S244">
        <f t="shared" si="42"/>
        <v>246.33310882498228</v>
      </c>
      <c r="T244" s="1">
        <f t="shared" si="43"/>
        <v>194.0397917038907</v>
      </c>
    </row>
    <row r="245" spans="6:20" x14ac:dyDescent="0.35">
      <c r="F245" s="1">
        <f t="shared" si="39"/>
        <v>4.8399999999999848</v>
      </c>
      <c r="G245">
        <f>1/2*$B$8*$B$6*$B$7*(Tabelle2[[#This Row],[vx]]*Tabelle2[[#This Row],[vx]]+Tabelle2[[#This Row],[vy]]*Tabelle2[[#This Row],[vy]])/1000000</f>
        <v>3.4996544461436332</v>
      </c>
      <c r="H245">
        <f>IF($B$3,-Tabelle2[[#This Row],[Fd]]*Tabelle2[[#This Row],[vx]]/Tabelle2[[#This Row],[v]],0)</f>
        <v>-3.3946640423425762</v>
      </c>
      <c r="I245">
        <f t="shared" si="33"/>
        <v>-2.2631093615617175</v>
      </c>
      <c r="J245">
        <f t="shared" si="34"/>
        <v>-4.5262187231234353E-2</v>
      </c>
      <c r="K245">
        <f t="shared" si="35"/>
        <v>0.86244702272231022</v>
      </c>
      <c r="L245">
        <f>-$B$5*$B$12-IF($B$3,Tabelle2[[#This Row],[Fd]]*Tabelle2[[#This Row],[vy]]/Tabelle2[[#This Row],[v]],0)</f>
        <v>-15.565786272831939</v>
      </c>
      <c r="M245">
        <f t="shared" si="36"/>
        <v>-10.377190848554626</v>
      </c>
      <c r="N245">
        <f t="shared" si="37"/>
        <v>-0.20754381697109253</v>
      </c>
      <c r="O245">
        <f t="shared" si="38"/>
        <v>0.21418842867999641</v>
      </c>
      <c r="P245" s="1">
        <f t="shared" si="40"/>
        <v>43.144982229731127</v>
      </c>
      <c r="Q245" s="1">
        <f t="shared" si="41"/>
        <v>10.813193342485366</v>
      </c>
      <c r="R245">
        <f>SQRT(Tabelle2[[#This Row],[vx]]*Tabelle2[[#This Row],[vx]]+Tabelle2[[#This Row],[vy]]*Tabelle2[[#This Row],[vy]])</f>
        <v>44.479373217996049</v>
      </c>
      <c r="S245">
        <f t="shared" si="42"/>
        <v>247.19646253518306</v>
      </c>
      <c r="T245" s="1">
        <f t="shared" si="43"/>
        <v>194.25813343558966</v>
      </c>
    </row>
    <row r="246" spans="6:20" x14ac:dyDescent="0.35">
      <c r="F246" s="1">
        <f t="shared" si="39"/>
        <v>4.8599999999999843</v>
      </c>
      <c r="G246">
        <f>1/2*$B$8*$B$6*$B$7*(Tabelle2[[#This Row],[vx]]*Tabelle2[[#This Row],[vx]]+Tabelle2[[#This Row],[vy]]*Tabelle2[[#This Row],[vy]])/1000000</f>
        <v>3.4848857938638207</v>
      </c>
      <c r="H246">
        <f>IF($B$3,-Tabelle2[[#This Row],[Fd]]*Tabelle2[[#This Row],[vx]]/Tabelle2[[#This Row],[v]],0)</f>
        <v>-3.3839399504929268</v>
      </c>
      <c r="I246">
        <f t="shared" si="33"/>
        <v>-2.2559599669952846</v>
      </c>
      <c r="J246">
        <f t="shared" si="34"/>
        <v>-4.5119199339905693E-2</v>
      </c>
      <c r="K246">
        <f t="shared" si="35"/>
        <v>0.86154320885659874</v>
      </c>
      <c r="L246">
        <f>-$B$5*$B$12-IF($B$3,Tabelle2[[#This Row],[Fd]]*Tabelle2[[#This Row],[vy]]/Tabelle2[[#This Row],[v]],0)</f>
        <v>-15.547694066108194</v>
      </c>
      <c r="M246">
        <f t="shared" si="36"/>
        <v>-10.365129377405463</v>
      </c>
      <c r="N246">
        <f t="shared" si="37"/>
        <v>-0.20730258754810926</v>
      </c>
      <c r="O246">
        <f t="shared" si="38"/>
        <v>0.21003996463480437</v>
      </c>
      <c r="P246" s="1">
        <f t="shared" si="40"/>
        <v>43.099720042499889</v>
      </c>
      <c r="Q246" s="1">
        <f t="shared" si="41"/>
        <v>10.605649525514274</v>
      </c>
      <c r="R246">
        <f>SQRT(Tabelle2[[#This Row],[vx]]*Tabelle2[[#This Row],[vx]]+Tabelle2[[#This Row],[vy]]*Tabelle2[[#This Row],[vy]])</f>
        <v>44.385421813923408</v>
      </c>
      <c r="S246">
        <f t="shared" si="42"/>
        <v>248.05890955790537</v>
      </c>
      <c r="T246" s="1">
        <f t="shared" si="43"/>
        <v>194.47232186426965</v>
      </c>
    </row>
    <row r="247" spans="6:20" x14ac:dyDescent="0.35">
      <c r="F247" s="1">
        <f t="shared" si="39"/>
        <v>4.8799999999999839</v>
      </c>
      <c r="G247">
        <f>1/2*$B$8*$B$6*$B$7*(Tabelle2[[#This Row],[vx]]*Tabelle2[[#This Row],[vx]]+Tabelle2[[#This Row],[vy]]*Tabelle2[[#This Row],[vy]])/1000000</f>
        <v>3.4703074338368576</v>
      </c>
      <c r="H247">
        <f>IF($B$3,-Tabelle2[[#This Row],[Fd]]*Tabelle2[[#This Row],[vx]]/Tabelle2[[#This Row],[v]],0)</f>
        <v>-3.3733194161649203</v>
      </c>
      <c r="I247">
        <f t="shared" si="33"/>
        <v>-2.2488796107766134</v>
      </c>
      <c r="J247">
        <f t="shared" si="34"/>
        <v>-4.4977592215532269E-2</v>
      </c>
      <c r="K247">
        <f t="shared" si="35"/>
        <v>0.86064224094104436</v>
      </c>
      <c r="L247">
        <f>-$B$5*$B$12-IF($B$3,Tabelle2[[#This Row],[Fd]]*Tabelle2[[#This Row],[vy]]/Tabelle2[[#This Row],[v]],0)</f>
        <v>-15.529708415243221</v>
      </c>
      <c r="M247">
        <f t="shared" si="36"/>
        <v>-10.35313894349548</v>
      </c>
      <c r="N247">
        <f t="shared" si="37"/>
        <v>-0.20706277886990962</v>
      </c>
      <c r="O247">
        <f t="shared" si="38"/>
        <v>0.20589631097062416</v>
      </c>
      <c r="P247" s="1">
        <f t="shared" si="40"/>
        <v>43.054600843159982</v>
      </c>
      <c r="Q247" s="1">
        <f t="shared" si="41"/>
        <v>10.398346937966163</v>
      </c>
      <c r="R247">
        <f>SQRT(Tabelle2[[#This Row],[vx]]*Tabelle2[[#This Row],[vx]]+Tabelle2[[#This Row],[vy]]*Tabelle2[[#This Row],[vy]])</f>
        <v>44.29248551172244</v>
      </c>
      <c r="S247">
        <f t="shared" si="42"/>
        <v>248.92045276676197</v>
      </c>
      <c r="T247" s="1">
        <f t="shared" si="43"/>
        <v>194.68236182890445</v>
      </c>
    </row>
    <row r="248" spans="6:20" x14ac:dyDescent="0.35">
      <c r="F248" s="1">
        <f t="shared" si="39"/>
        <v>4.8999999999999835</v>
      </c>
      <c r="G248">
        <f>1/2*$B$8*$B$6*$B$7*(Tabelle2[[#This Row],[vx]]*Tabelle2[[#This Row],[vx]]+Tabelle2[[#This Row],[vy]]*Tabelle2[[#This Row],[vy]])/1000000</f>
        <v>3.4559185055106281</v>
      </c>
      <c r="H248">
        <f>IF($B$3,-Tabelle2[[#This Row],[Fd]]*Tabelle2[[#This Row],[vx]]/Tabelle2[[#This Row],[v]],0)</f>
        <v>-3.3628020862939585</v>
      </c>
      <c r="I248">
        <f t="shared" si="33"/>
        <v>-2.2418680575293055</v>
      </c>
      <c r="J248">
        <f t="shared" si="34"/>
        <v>-4.4837361150586112E-2</v>
      </c>
      <c r="K248">
        <f t="shared" si="35"/>
        <v>0.85974409140738317</v>
      </c>
      <c r="L248">
        <f>-$B$5*$B$12-IF($B$3,Tabelle2[[#This Row],[Fd]]*Tabelle2[[#This Row],[vy]]/Tabelle2[[#This Row],[v]],0)</f>
        <v>-15.511827989686491</v>
      </c>
      <c r="M248">
        <f t="shared" si="36"/>
        <v>-10.341218659790995</v>
      </c>
      <c r="N248">
        <f t="shared" si="37"/>
        <v>-0.20682437319581989</v>
      </c>
      <c r="O248">
        <f t="shared" si="38"/>
        <v>0.20175743944996691</v>
      </c>
      <c r="P248" s="1">
        <f t="shared" si="40"/>
        <v>43.00962325094445</v>
      </c>
      <c r="Q248" s="1">
        <f t="shared" si="41"/>
        <v>10.191284159096254</v>
      </c>
      <c r="R248">
        <f>SQRT(Tabelle2[[#This Row],[vx]]*Tabelle2[[#This Row],[vx]]+Tabelle2[[#This Row],[vy]]*Tabelle2[[#This Row],[vy]])</f>
        <v>44.200565211314071</v>
      </c>
      <c r="S248">
        <f t="shared" si="42"/>
        <v>249.78109500770302</v>
      </c>
      <c r="T248" s="1">
        <f t="shared" si="43"/>
        <v>194.88825813987506</v>
      </c>
    </row>
    <row r="249" spans="6:20" x14ac:dyDescent="0.35">
      <c r="F249" s="1">
        <f t="shared" si="39"/>
        <v>4.9199999999999831</v>
      </c>
      <c r="G249">
        <f>1/2*$B$8*$B$6*$B$7*(Tabelle2[[#This Row],[vx]]*Tabelle2[[#This Row],[vx]]+Tabelle2[[#This Row],[vy]]*Tabelle2[[#This Row],[vy]])/1000000</f>
        <v>3.441718155544172</v>
      </c>
      <c r="H249">
        <f>IF($B$3,-Tabelle2[[#This Row],[Fd]]*Tabelle2[[#This Row],[vx]]/Tabelle2[[#This Row],[v]],0)</f>
        <v>-3.3523876090754041</v>
      </c>
      <c r="I249">
        <f t="shared" si="33"/>
        <v>-2.2349250727169361</v>
      </c>
      <c r="J249">
        <f t="shared" si="34"/>
        <v>-4.4698501454338721E-2</v>
      </c>
      <c r="K249">
        <f t="shared" si="35"/>
        <v>0.858848732781334</v>
      </c>
      <c r="L249">
        <f>-$B$5*$B$12-IF($B$3,Tabelle2[[#This Row],[Fd]]*Tabelle2[[#This Row],[vy]]/Tabelle2[[#This Row],[v]],0)</f>
        <v>-15.494051462176968</v>
      </c>
      <c r="M249">
        <f t="shared" si="36"/>
        <v>-10.329367641451311</v>
      </c>
      <c r="N249">
        <f t="shared" si="37"/>
        <v>-0.20658735282902624</v>
      </c>
      <c r="O249">
        <f t="shared" si="38"/>
        <v>0.19762332218971843</v>
      </c>
      <c r="P249" s="1">
        <f t="shared" si="40"/>
        <v>42.964785889793866</v>
      </c>
      <c r="Q249" s="1">
        <f t="shared" si="41"/>
        <v>9.9844597859004338</v>
      </c>
      <c r="R249">
        <f>SQRT(Tabelle2[[#This Row],[vx]]*Tabelle2[[#This Row],[vx]]+Tabelle2[[#This Row],[vy]]*Tabelle2[[#This Row],[vy]])</f>
        <v>44.109661796165398</v>
      </c>
      <c r="S249">
        <f t="shared" si="42"/>
        <v>250.64083909911039</v>
      </c>
      <c r="T249" s="1">
        <f t="shared" si="43"/>
        <v>195.09001557932504</v>
      </c>
    </row>
    <row r="250" spans="6:20" x14ac:dyDescent="0.35">
      <c r="F250" s="1">
        <f t="shared" si="39"/>
        <v>4.9399999999999826</v>
      </c>
      <c r="G250">
        <f>1/2*$B$8*$B$6*$B$7*(Tabelle2[[#This Row],[vx]]*Tabelle2[[#This Row],[vx]]+Tabelle2[[#This Row],[vy]]*Tabelle2[[#This Row],[vy]])/1000000</f>
        <v>3.4277055377161654</v>
      </c>
      <c r="H250">
        <f>IF($B$3,-Tabelle2[[#This Row],[Fd]]*Tabelle2[[#This Row],[vx]]/Tabelle2[[#This Row],[v]],0)</f>
        <v>-3.342075633870305</v>
      </c>
      <c r="I250">
        <f t="shared" si="33"/>
        <v>-2.2280504225802034</v>
      </c>
      <c r="J250">
        <f t="shared" si="34"/>
        <v>-4.4561008451604066E-2</v>
      </c>
      <c r="K250">
        <f t="shared" si="35"/>
        <v>0.85795613768227441</v>
      </c>
      <c r="L250">
        <f>-$B$5*$B$12-IF($B$3,Tabelle2[[#This Row],[Fd]]*Tabelle2[[#This Row],[vy]]/Tabelle2[[#This Row],[v]],0)</f>
        <v>-15.476377508717238</v>
      </c>
      <c r="M250">
        <f t="shared" si="36"/>
        <v>-10.317585005811493</v>
      </c>
      <c r="N250">
        <f t="shared" si="37"/>
        <v>-0.20635170011622986</v>
      </c>
      <c r="O250">
        <f t="shared" si="38"/>
        <v>0.19349393166026588</v>
      </c>
      <c r="P250" s="1">
        <f t="shared" si="40"/>
        <v>42.920087388339525</v>
      </c>
      <c r="Q250" s="1">
        <f t="shared" si="41"/>
        <v>9.7778724330714084</v>
      </c>
      <c r="R250">
        <f>SQRT(Tabelle2[[#This Row],[vx]]*Tabelle2[[#This Row],[vx]]+Tabelle2[[#This Row],[vy]]*Tabelle2[[#This Row],[vy]])</f>
        <v>44.019776132326243</v>
      </c>
      <c r="S250">
        <f t="shared" si="42"/>
        <v>251.49968783189172</v>
      </c>
      <c r="T250" s="1">
        <f t="shared" si="43"/>
        <v>195.28763890151475</v>
      </c>
    </row>
    <row r="251" spans="6:20" x14ac:dyDescent="0.35">
      <c r="F251" s="1">
        <f t="shared" si="39"/>
        <v>4.9599999999999822</v>
      </c>
      <c r="G251">
        <f>1/2*$B$8*$B$6*$B$7*(Tabelle2[[#This Row],[vx]]*Tabelle2[[#This Row],[vx]]+Tabelle2[[#This Row],[vy]]*Tabelle2[[#This Row],[vy]])/1000000</f>
        <v>3.4138798128342018</v>
      </c>
      <c r="H251">
        <f>IF($B$3,-Tabelle2[[#This Row],[Fd]]*Tabelle2[[#This Row],[vx]]/Tabelle2[[#This Row],[v]],0)</f>
        <v>-3.3318658111116295</v>
      </c>
      <c r="I251">
        <f t="shared" si="33"/>
        <v>-2.2212438740744198</v>
      </c>
      <c r="J251">
        <f t="shared" si="34"/>
        <v>-4.4424877481488399E-2</v>
      </c>
      <c r="K251">
        <f t="shared" si="35"/>
        <v>0.85706627882294362</v>
      </c>
      <c r="L251">
        <f>-$B$5*$B$12-IF($B$3,Tabelle2[[#This Row],[Fd]]*Tabelle2[[#This Row],[vy]]/Tabelle2[[#This Row],[v]],0)</f>
        <v>-15.45880480855015</v>
      </c>
      <c r="M251">
        <f t="shared" si="36"/>
        <v>-10.305869872366767</v>
      </c>
      <c r="N251">
        <f t="shared" si="37"/>
        <v>-0.20611739744733534</v>
      </c>
      <c r="O251">
        <f t="shared" si="38"/>
        <v>0.18936924068463021</v>
      </c>
      <c r="P251" s="1">
        <f t="shared" si="40"/>
        <v>42.875526379887923</v>
      </c>
      <c r="Q251" s="1">
        <f t="shared" si="41"/>
        <v>9.5715207329551788</v>
      </c>
      <c r="R251">
        <f>SQRT(Tabelle2[[#This Row],[vx]]*Tabelle2[[#This Row],[vx]]+Tabelle2[[#This Row],[vy]]*Tabelle2[[#This Row],[vy]])</f>
        <v>43.930909067464746</v>
      </c>
      <c r="S251">
        <f t="shared" si="42"/>
        <v>252.35764396957399</v>
      </c>
      <c r="T251" s="1">
        <f t="shared" si="43"/>
        <v>195.48113283317502</v>
      </c>
    </row>
    <row r="252" spans="6:20" x14ac:dyDescent="0.35">
      <c r="F252" s="1">
        <f t="shared" si="39"/>
        <v>4.9799999999999818</v>
      </c>
      <c r="G252">
        <f>1/2*$B$8*$B$6*$B$7*(Tabelle2[[#This Row],[vx]]*Tabelle2[[#This Row],[vx]]+Tabelle2[[#This Row],[vy]]*Tabelle2[[#This Row],[vy]])/1000000</f>
        <v>3.4002401486448686</v>
      </c>
      <c r="H252">
        <f>IF($B$3,-Tabelle2[[#This Row],[Fd]]*Tabelle2[[#This Row],[vx]]/Tabelle2[[#This Row],[v]],0)</f>
        <v>-3.3217577922110566</v>
      </c>
      <c r="I252">
        <f t="shared" si="33"/>
        <v>-2.2145051948073711</v>
      </c>
      <c r="J252">
        <f t="shared" si="34"/>
        <v>-4.4290103896147424E-2</v>
      </c>
      <c r="K252">
        <f t="shared" si="35"/>
        <v>0.85617912900916726</v>
      </c>
      <c r="L252">
        <f>-$B$5*$B$12-IF($B$3,Tabelle2[[#This Row],[Fd]]*Tabelle2[[#This Row],[vy]]/Tabelle2[[#This Row],[v]],0)</f>
        <v>-15.441332044137944</v>
      </c>
      <c r="M252">
        <f t="shared" si="36"/>
        <v>-10.294221362758629</v>
      </c>
      <c r="N252">
        <f t="shared" si="37"/>
        <v>-0.20588442725517259</v>
      </c>
      <c r="O252">
        <f t="shared" si="38"/>
        <v>0.18524922243760519</v>
      </c>
      <c r="P252" s="1">
        <f t="shared" si="40"/>
        <v>42.831101502406433</v>
      </c>
      <c r="Q252" s="1">
        <f t="shared" si="41"/>
        <v>9.3654033355078443</v>
      </c>
      <c r="R252">
        <f>SQRT(Tabelle2[[#This Row],[vx]]*Tabelle2[[#This Row],[vx]]+Tabelle2[[#This Row],[vy]]*Tabelle2[[#This Row],[vy]])</f>
        <v>43.843061429902271</v>
      </c>
      <c r="S252">
        <f t="shared" si="42"/>
        <v>253.21471024839693</v>
      </c>
      <c r="T252" s="1">
        <f t="shared" si="43"/>
        <v>195.67050207385967</v>
      </c>
    </row>
    <row r="253" spans="6:20" x14ac:dyDescent="0.35">
      <c r="F253" s="1">
        <f t="shared" si="39"/>
        <v>4.9999999999999813</v>
      </c>
      <c r="G253">
        <f>1/2*$B$8*$B$6*$B$7*(Tabelle2[[#This Row],[vx]]*Tabelle2[[#This Row],[vx]]+Tabelle2[[#This Row],[vy]]*Tabelle2[[#This Row],[vy]])/1000000</f>
        <v>3.386785719744613</v>
      </c>
      <c r="H253">
        <f>IF($B$3,-Tabelle2[[#This Row],[Fd]]*Tabelle2[[#This Row],[vx]]/Tabelle2[[#This Row],[v]],0)</f>
        <v>-3.3117512294663278</v>
      </c>
      <c r="I253">
        <f t="shared" si="33"/>
        <v>-2.207834152977552</v>
      </c>
      <c r="J253">
        <f t="shared" si="34"/>
        <v>-4.415668305955104E-2</v>
      </c>
      <c r="K253">
        <f t="shared" si="35"/>
        <v>0.85529466113961028</v>
      </c>
      <c r="L253">
        <f>-$B$5*$B$12-IF($B$3,Tabelle2[[#This Row],[Fd]]*Tabelle2[[#This Row],[vy]]/Tabelle2[[#This Row],[v]],0)</f>
        <v>-15.423957901143856</v>
      </c>
      <c r="M253">
        <f t="shared" si="36"/>
        <v>-10.282638600762571</v>
      </c>
      <c r="N253">
        <f t="shared" si="37"/>
        <v>-0.20565277201525142</v>
      </c>
      <c r="O253">
        <f t="shared" si="38"/>
        <v>0.18113385044490091</v>
      </c>
      <c r="P253" s="1">
        <f t="shared" si="40"/>
        <v>42.786811398510288</v>
      </c>
      <c r="Q253" s="1">
        <f t="shared" si="41"/>
        <v>9.1595189082526716</v>
      </c>
      <c r="R253">
        <f>SQRT(Tabelle2[[#This Row],[vx]]*Tabelle2[[#This Row],[vx]]+Tabelle2[[#This Row],[vy]]*Tabelle2[[#This Row],[vy]])</f>
        <v>43.756234027648311</v>
      </c>
      <c r="S253">
        <f t="shared" si="42"/>
        <v>254.0708893774061</v>
      </c>
      <c r="T253" s="1">
        <f t="shared" si="43"/>
        <v>195.85575129629729</v>
      </c>
    </row>
    <row r="254" spans="6:20" x14ac:dyDescent="0.35">
      <c r="F254" s="1">
        <f t="shared" si="39"/>
        <v>5.0199999999999809</v>
      </c>
      <c r="G254">
        <f>1/2*$B$8*$B$6*$B$7*(Tabelle2[[#This Row],[vx]]*Tabelle2[[#This Row],[vx]]+Tabelle2[[#This Row],[vy]]*Tabelle2[[#This Row],[vy]])/1000000</f>
        <v>3.3735157074913795</v>
      </c>
      <c r="H254">
        <f>IF($B$3,-Tabelle2[[#This Row],[Fd]]*Tabelle2[[#This Row],[vx]]/Tabelle2[[#This Row],[v]],0)</f>
        <v>-3.3018457759691984</v>
      </c>
      <c r="I254">
        <f t="shared" si="33"/>
        <v>-2.2012305173127991</v>
      </c>
      <c r="J254">
        <f t="shared" si="34"/>
        <v>-4.4024610346255981E-2</v>
      </c>
      <c r="K254">
        <f t="shared" si="35"/>
        <v>0.8544128482055523</v>
      </c>
      <c r="L254">
        <f>-$B$5*$B$12-IF($B$3,Tabelle2[[#This Row],[Fd]]*Tabelle2[[#This Row],[vy]]/Tabelle2[[#This Row],[v]],0)</f>
        <v>-15.406681068416235</v>
      </c>
      <c r="M254">
        <f t="shared" si="36"/>
        <v>-10.27112071227749</v>
      </c>
      <c r="N254">
        <f t="shared" si="37"/>
        <v>-0.2054224142455498</v>
      </c>
      <c r="O254">
        <f t="shared" si="38"/>
        <v>0.17702309858229293</v>
      </c>
      <c r="P254" s="1">
        <f t="shared" si="40"/>
        <v>42.74265471545074</v>
      </c>
      <c r="Q254" s="1">
        <f t="shared" si="41"/>
        <v>8.953866136237421</v>
      </c>
      <c r="R254">
        <f>SQRT(Tabelle2[[#This Row],[vx]]*Tabelle2[[#This Row],[vx]]+Tabelle2[[#This Row],[vy]]*Tabelle2[[#This Row],[vy]])</f>
        <v>43.670427647435545</v>
      </c>
      <c r="S254">
        <f t="shared" si="42"/>
        <v>254.92618403854573</v>
      </c>
      <c r="T254" s="1">
        <f t="shared" si="43"/>
        <v>196.03688514674218</v>
      </c>
    </row>
    <row r="255" spans="6:20" x14ac:dyDescent="0.35">
      <c r="F255" s="1">
        <f t="shared" si="39"/>
        <v>5.0399999999999805</v>
      </c>
      <c r="G255">
        <f>1/2*$B$8*$B$6*$B$7*(Tabelle2[[#This Row],[vx]]*Tabelle2[[#This Row],[vx]]+Tabelle2[[#This Row],[vy]]*Tabelle2[[#This Row],[vy]])/1000000</f>
        <v>3.3604292999170156</v>
      </c>
      <c r="H255">
        <f>IF($B$3,-Tabelle2[[#This Row],[Fd]]*Tabelle2[[#This Row],[vx]]/Tabelle2[[#This Row],[v]],0)</f>
        <v>-3.2920410855140125</v>
      </c>
      <c r="I255">
        <f t="shared" si="33"/>
        <v>-2.1946940570093418</v>
      </c>
      <c r="J255">
        <f t="shared" si="34"/>
        <v>-4.3893881140186837E-2</v>
      </c>
      <c r="K255">
        <f t="shared" si="35"/>
        <v>0.85353366329068781</v>
      </c>
      <c r="L255">
        <f>-$B$5*$B$12-IF($B$3,Tabelle2[[#This Row],[Fd]]*Tabelle2[[#This Row],[vy]]/Tabelle2[[#This Row],[v]],0)</f>
        <v>-15.389500237975115</v>
      </c>
      <c r="M255">
        <f t="shared" si="36"/>
        <v>-10.259666825316744</v>
      </c>
      <c r="N255">
        <f t="shared" si="37"/>
        <v>-0.20519333650633489</v>
      </c>
      <c r="O255">
        <f t="shared" si="38"/>
        <v>0.17291694107477409</v>
      </c>
      <c r="P255" s="1">
        <f t="shared" si="40"/>
        <v>42.698630105104485</v>
      </c>
      <c r="Q255" s="1">
        <f t="shared" si="41"/>
        <v>8.7484437219918707</v>
      </c>
      <c r="R255">
        <f>SQRT(Tabelle2[[#This Row],[vx]]*Tabelle2[[#This Row],[vx]]+Tabelle2[[#This Row],[vy]]*Tabelle2[[#This Row],[vy]])</f>
        <v>43.585643053755604</v>
      </c>
      <c r="S255">
        <f t="shared" si="42"/>
        <v>255.78059688675128</v>
      </c>
      <c r="T255" s="1">
        <f t="shared" si="43"/>
        <v>196.21390824532446</v>
      </c>
    </row>
    <row r="256" spans="6:20" x14ac:dyDescent="0.35">
      <c r="F256" s="1">
        <f t="shared" si="39"/>
        <v>5.0599999999999801</v>
      </c>
      <c r="G256">
        <f>1/2*$B$8*$B$6*$B$7*(Tabelle2[[#This Row],[vx]]*Tabelle2[[#This Row],[vx]]+Tabelle2[[#This Row],[vy]]*Tabelle2[[#This Row],[vy]])/1000000</f>
        <v>3.3475256916404366</v>
      </c>
      <c r="H256">
        <f>IF($B$3,-Tabelle2[[#This Row],[Fd]]*Tabelle2[[#This Row],[vx]]/Tabelle2[[#This Row],[v]],0)</f>
        <v>-3.2823368125069292</v>
      </c>
      <c r="I256">
        <f t="shared" si="33"/>
        <v>-2.188224541671286</v>
      </c>
      <c r="J256">
        <f t="shared" si="34"/>
        <v>-4.376449083342572E-2</v>
      </c>
      <c r="K256">
        <f t="shared" si="35"/>
        <v>0.85265707957095171</v>
      </c>
      <c r="L256">
        <f>-$B$5*$B$12-IF($B$3,Tabelle2[[#This Row],[Fd]]*Tabelle2[[#This Row],[vy]]/Tabelle2[[#This Row],[v]],0)</f>
        <v>-15.37241410500128</v>
      </c>
      <c r="M256">
        <f t="shared" si="36"/>
        <v>-10.248276070000854</v>
      </c>
      <c r="N256">
        <f t="shared" si="37"/>
        <v>-0.20496552140001709</v>
      </c>
      <c r="O256">
        <f t="shared" si="38"/>
        <v>0.16881535249571056</v>
      </c>
      <c r="P256" s="1">
        <f t="shared" si="40"/>
        <v>42.654736223964299</v>
      </c>
      <c r="Q256" s="1">
        <f t="shared" si="41"/>
        <v>8.5432503854855355</v>
      </c>
      <c r="R256">
        <f>SQRT(Tabelle2[[#This Row],[vx]]*Tabelle2[[#This Row],[vx]]+Tabelle2[[#This Row],[vy]]*Tabelle2[[#This Row],[vy]])</f>
        <v>43.501880987896037</v>
      </c>
      <c r="S256">
        <f t="shared" si="42"/>
        <v>256.63413055004196</v>
      </c>
      <c r="T256" s="1">
        <f t="shared" si="43"/>
        <v>196.38682518639922</v>
      </c>
    </row>
    <row r="257" spans="6:20" x14ac:dyDescent="0.35">
      <c r="F257" s="1">
        <f t="shared" si="39"/>
        <v>5.0799999999999796</v>
      </c>
      <c r="G257">
        <f>1/2*$B$8*$B$6*$B$7*(Tabelle2[[#This Row],[vx]]*Tabelle2[[#This Row],[vx]]+Tabelle2[[#This Row],[vy]]*Tabelle2[[#This Row],[vy]])/1000000</f>
        <v>3.3348040837815356</v>
      </c>
      <c r="H257">
        <f>IF($B$3,-Tabelle2[[#This Row],[Fd]]*Tabelle2[[#This Row],[vx]]/Tabelle2[[#This Row],[v]],0)</f>
        <v>-3.2727326118758282</v>
      </c>
      <c r="I257">
        <f t="shared" si="33"/>
        <v>-2.1818217412505523</v>
      </c>
      <c r="J257">
        <f t="shared" si="34"/>
        <v>-4.3636434825011047E-2</v>
      </c>
      <c r="K257">
        <f t="shared" si="35"/>
        <v>0.85178307031436729</v>
      </c>
      <c r="L257">
        <f>-$B$5*$B$12-IF($B$3,Tabelle2[[#This Row],[Fd]]*Tabelle2[[#This Row],[vy]]/Tabelle2[[#This Row],[v]],0)</f>
        <v>-15.355421367827796</v>
      </c>
      <c r="M257">
        <f t="shared" si="36"/>
        <v>-10.236947578551865</v>
      </c>
      <c r="N257">
        <f t="shared" si="37"/>
        <v>-0.2047389515710373</v>
      </c>
      <c r="O257">
        <f t="shared" si="38"/>
        <v>0.16471830776599997</v>
      </c>
      <c r="P257" s="1">
        <f t="shared" si="40"/>
        <v>42.610971733130874</v>
      </c>
      <c r="Q257" s="1">
        <f t="shared" si="41"/>
        <v>8.3382848640855176</v>
      </c>
      <c r="R257">
        <f>SQRT(Tabelle2[[#This Row],[vx]]*Tabelle2[[#This Row],[vx]]+Tabelle2[[#This Row],[vy]]*Tabelle2[[#This Row],[vy]])</f>
        <v>43.419142166978794</v>
      </c>
      <c r="S257">
        <f t="shared" si="42"/>
        <v>257.48678762961293</v>
      </c>
      <c r="T257" s="1">
        <f t="shared" si="43"/>
        <v>196.55564053889492</v>
      </c>
    </row>
    <row r="258" spans="6:20" x14ac:dyDescent="0.35">
      <c r="F258" s="1">
        <f t="shared" si="39"/>
        <v>5.0999999999999792</v>
      </c>
      <c r="G258">
        <f>1/2*$B$8*$B$6*$B$7*(Tabelle2[[#This Row],[vx]]*Tabelle2[[#This Row],[vx]]+Tabelle2[[#This Row],[vy]]*Tabelle2[[#This Row],[vy]])/1000000</f>
        <v>3.3222636838758337</v>
      </c>
      <c r="H258">
        <f>IF($B$3,-Tabelle2[[#This Row],[Fd]]*Tabelle2[[#This Row],[vx]]/Tabelle2[[#This Row],[v]],0)</f>
        <v>-3.2632281389809195</v>
      </c>
      <c r="I258">
        <f t="shared" si="33"/>
        <v>-2.1754854259872798</v>
      </c>
      <c r="J258">
        <f t="shared" si="34"/>
        <v>-4.3509708519745595E-2</v>
      </c>
      <c r="K258">
        <f t="shared" si="35"/>
        <v>0.85091160888091977</v>
      </c>
      <c r="L258">
        <f>-$B$5*$B$12-IF($B$3,Tabelle2[[#This Row],[Fd]]*Tabelle2[[#This Row],[vy]]/Tabelle2[[#This Row],[v]],0)</f>
        <v>-15.338520727934004</v>
      </c>
      <c r="M258">
        <f t="shared" si="36"/>
        <v>-10.225680485289336</v>
      </c>
      <c r="N258">
        <f t="shared" si="37"/>
        <v>-0.20451360970578672</v>
      </c>
      <c r="O258">
        <f t="shared" si="38"/>
        <v>0.16062578215323173</v>
      </c>
      <c r="P258" s="1">
        <f t="shared" si="40"/>
        <v>42.567335298305863</v>
      </c>
      <c r="Q258" s="1">
        <f t="shared" si="41"/>
        <v>8.1335459125144798</v>
      </c>
      <c r="R258">
        <f>SQRT(Tabelle2[[#This Row],[vx]]*Tabelle2[[#This Row],[vx]]+Tabelle2[[#This Row],[vy]]*Tabelle2[[#This Row],[vy]])</f>
        <v>43.337427283000743</v>
      </c>
      <c r="S258">
        <f t="shared" si="42"/>
        <v>258.33857069992729</v>
      </c>
      <c r="T258" s="1">
        <f t="shared" si="43"/>
        <v>196.72035884666093</v>
      </c>
    </row>
    <row r="259" spans="6:20" x14ac:dyDescent="0.35">
      <c r="F259" s="1">
        <f t="shared" si="39"/>
        <v>5.1199999999999788</v>
      </c>
      <c r="G259">
        <f>1/2*$B$8*$B$6*$B$7*(Tabelle2[[#This Row],[vx]]*Tabelle2[[#This Row],[vx]]+Tabelle2[[#This Row],[vy]]*Tabelle2[[#This Row],[vy]])/1000000</f>
        <v>3.3099037057898664</v>
      </c>
      <c r="H259">
        <f>IF($B$3,-Tabelle2[[#This Row],[Fd]]*Tabelle2[[#This Row],[vx]]/Tabelle2[[#This Row],[v]],0)</f>
        <v>-3.2538230495260989</v>
      </c>
      <c r="I259">
        <f t="shared" ref="I259:I322" si="44">H259/$B$5</f>
        <v>-2.1692153663507328</v>
      </c>
      <c r="J259">
        <f t="shared" ref="J259:J322" si="45">I259*$B$13</f>
        <v>-4.3384307327014655E-2</v>
      </c>
      <c r="K259">
        <f t="shared" ref="K259:K322" si="46">$B$13*(P259+J259/2)</f>
        <v>0.85004266872245227</v>
      </c>
      <c r="L259">
        <f>-$B$5*$B$12-IF($B$3,Tabelle2[[#This Row],[Fd]]*Tabelle2[[#This Row],[vy]]/Tabelle2[[#This Row],[v]],0)</f>
        <v>-15.321710889941961</v>
      </c>
      <c r="M259">
        <f t="shared" ref="M259:M322" si="47">L259/$B$5</f>
        <v>-10.214473926627974</v>
      </c>
      <c r="N259">
        <f t="shared" ref="N259:N322" si="48">M259*$B$13</f>
        <v>-0.20428947853255949</v>
      </c>
      <c r="O259">
        <f t="shared" ref="O259:O322" si="49">$B$13*(Q259+N259/2)</f>
        <v>0.15653775127084829</v>
      </c>
      <c r="P259" s="1">
        <f t="shared" si="40"/>
        <v>42.523825589786121</v>
      </c>
      <c r="Q259" s="1">
        <f t="shared" si="41"/>
        <v>7.9290323028086931</v>
      </c>
      <c r="R259">
        <f>SQRT(Tabelle2[[#This Row],[vx]]*Tabelle2[[#This Row],[vx]]+Tabelle2[[#This Row],[vy]]*Tabelle2[[#This Row],[vy]])</f>
        <v>43.256737001876743</v>
      </c>
      <c r="S259">
        <f t="shared" si="42"/>
        <v>259.18948230880818</v>
      </c>
      <c r="T259" s="1">
        <f t="shared" si="43"/>
        <v>196.88098462881416</v>
      </c>
    </row>
    <row r="260" spans="6:20" x14ac:dyDescent="0.35">
      <c r="F260" s="1">
        <f t="shared" ref="F260:F323" si="50">F259+$B$13</f>
        <v>5.1399999999999784</v>
      </c>
      <c r="G260">
        <f>1/2*$B$8*$B$6*$B$7*(Tabelle2[[#This Row],[vx]]*Tabelle2[[#This Row],[vx]]+Tabelle2[[#This Row],[vy]]*Tabelle2[[#This Row],[vy]])/1000000</f>
        <v>3.2977233696372834</v>
      </c>
      <c r="H260">
        <f>IF($B$3,-Tabelle2[[#This Row],[Fd]]*Tabelle2[[#This Row],[vx]]/Tabelle2[[#This Row],[v]],0)</f>
        <v>-3.2445169994710588</v>
      </c>
      <c r="I260">
        <f t="shared" si="44"/>
        <v>-2.1630113329807057</v>
      </c>
      <c r="J260">
        <f t="shared" si="45"/>
        <v>-4.3260226659614112E-2</v>
      </c>
      <c r="K260">
        <f t="shared" si="46"/>
        <v>0.84917622338258603</v>
      </c>
      <c r="L260">
        <f>-$B$5*$B$12-IF($B$3,Tabelle2[[#This Row],[Fd]]*Tabelle2[[#This Row],[vy]]/Tabelle2[[#This Row],[v]],0)</f>
        <v>-15.304990561615352</v>
      </c>
      <c r="M260">
        <f t="shared" si="47"/>
        <v>-10.203327041076902</v>
      </c>
      <c r="N260">
        <f t="shared" si="48"/>
        <v>-0.20406654082153805</v>
      </c>
      <c r="O260">
        <f t="shared" si="49"/>
        <v>0.15245419107730729</v>
      </c>
      <c r="P260" s="1">
        <f t="shared" ref="P260:P323" si="51">P259+J259</f>
        <v>42.480441282459104</v>
      </c>
      <c r="Q260" s="1">
        <f t="shared" ref="Q260:Q323" si="52">Q259+N259</f>
        <v>7.7247428242761336</v>
      </c>
      <c r="R260">
        <f>SQRT(Tabelle2[[#This Row],[vx]]*Tabelle2[[#This Row],[vx]]+Tabelle2[[#This Row],[vy]]*Tabelle2[[#This Row],[vy]])</f>
        <v>43.177071962485613</v>
      </c>
      <c r="S260">
        <f t="shared" ref="S260:S323" si="53">S259+K259</f>
        <v>260.03952497753062</v>
      </c>
      <c r="T260" s="1">
        <f t="shared" ref="T260:T323" si="54">T259+O259</f>
        <v>197.03752238008502</v>
      </c>
    </row>
    <row r="261" spans="6:20" x14ac:dyDescent="0.35">
      <c r="F261" s="1">
        <f t="shared" si="50"/>
        <v>5.1599999999999779</v>
      </c>
      <c r="G261">
        <f>1/2*$B$8*$B$6*$B$7*(Tabelle2[[#This Row],[vx]]*Tabelle2[[#This Row],[vx]]+Tabelle2[[#This Row],[vy]]*Tabelle2[[#This Row],[vy]])/1000000</f>
        <v>3.285721901695676</v>
      </c>
      <c r="H261">
        <f>IF($B$3,-Tabelle2[[#This Row],[Fd]]*Tabelle2[[#This Row],[vx]]/Tabelle2[[#This Row],[v]],0)</f>
        <v>-3.2353096449442065</v>
      </c>
      <c r="I261">
        <f t="shared" si="44"/>
        <v>-2.1568730966294711</v>
      </c>
      <c r="J261">
        <f t="shared" si="45"/>
        <v>-4.3137461932589424E-2</v>
      </c>
      <c r="K261">
        <f t="shared" si="46"/>
        <v>0.84831224649666392</v>
      </c>
      <c r="L261">
        <f>-$B$5*$B$12-IF($B$3,Tabelle2[[#This Row],[Fd]]*Tabelle2[[#This Row],[vy]]/Tabelle2[[#This Row],[v]],0)</f>
        <v>-15.288358453860795</v>
      </c>
      <c r="M261">
        <f t="shared" si="47"/>
        <v>-10.192238969240529</v>
      </c>
      <c r="N261">
        <f t="shared" si="48"/>
        <v>-0.2038447793848106</v>
      </c>
      <c r="O261">
        <f t="shared" si="49"/>
        <v>0.14837507787524382</v>
      </c>
      <c r="P261" s="1">
        <f t="shared" si="51"/>
        <v>42.437181055799492</v>
      </c>
      <c r="Q261" s="1">
        <f t="shared" si="52"/>
        <v>7.5206762834545957</v>
      </c>
      <c r="R261">
        <f>SQRT(Tabelle2[[#This Row],[vx]]*Tabelle2[[#This Row],[vx]]+Tabelle2[[#This Row],[vy]]*Tabelle2[[#This Row],[vy]])</f>
        <v>43.09843277571963</v>
      </c>
      <c r="S261">
        <f t="shared" si="53"/>
        <v>260.8887012009132</v>
      </c>
      <c r="T261" s="1">
        <f t="shared" si="54"/>
        <v>197.18997657116233</v>
      </c>
    </row>
    <row r="262" spans="6:20" x14ac:dyDescent="0.35">
      <c r="F262" s="1">
        <f t="shared" si="50"/>
        <v>5.1799999999999775</v>
      </c>
      <c r="G262">
        <f>1/2*$B$8*$B$6*$B$7*(Tabelle2[[#This Row],[vx]]*Tabelle2[[#This Row],[vx]]+Tabelle2[[#This Row],[vy]]*Tabelle2[[#This Row],[vy]])/1000000</f>
        <v>3.2738985343240961</v>
      </c>
      <c r="H262">
        <f>IF($B$3,-Tabelle2[[#This Row],[Fd]]*Tabelle2[[#This Row],[vx]]/Tabelle2[[#This Row],[v]],0)</f>
        <v>-3.2262006421563991</v>
      </c>
      <c r="I262">
        <f t="shared" si="44"/>
        <v>-2.1508004281042661</v>
      </c>
      <c r="J262">
        <f t="shared" si="45"/>
        <v>-4.3016008562085324E-2</v>
      </c>
      <c r="K262">
        <f t="shared" si="46"/>
        <v>0.84745071179171716</v>
      </c>
      <c r="L262">
        <f>-$B$5*$B$12-IF($B$3,Tabelle2[[#This Row],[Fd]]*Tabelle2[[#This Row],[vy]]/Tabelle2[[#This Row],[v]],0)</f>
        <v>-15.271813280731614</v>
      </c>
      <c r="M262">
        <f t="shared" si="47"/>
        <v>-10.181208853821076</v>
      </c>
      <c r="N262">
        <f t="shared" si="48"/>
        <v>-0.20362417707642153</v>
      </c>
      <c r="O262">
        <f t="shared" si="49"/>
        <v>0.14430038831063149</v>
      </c>
      <c r="P262" s="1">
        <f t="shared" si="51"/>
        <v>42.394043593866904</v>
      </c>
      <c r="Q262" s="1">
        <f t="shared" si="52"/>
        <v>7.3168315040697856</v>
      </c>
      <c r="R262">
        <f>SQRT(Tabelle2[[#This Row],[vx]]*Tabelle2[[#This Row],[vx]]+Tabelle2[[#This Row],[vy]]*Tabelle2[[#This Row],[vy]])</f>
        <v>43.020820023537851</v>
      </c>
      <c r="S262">
        <f t="shared" si="53"/>
        <v>261.73701344740988</v>
      </c>
      <c r="T262" s="1">
        <f t="shared" si="54"/>
        <v>197.33835164903758</v>
      </c>
    </row>
    <row r="263" spans="6:20" x14ac:dyDescent="0.35">
      <c r="F263" s="1">
        <f t="shared" si="50"/>
        <v>5.1999999999999771</v>
      </c>
      <c r="G263">
        <f>1/2*$B$8*$B$6*$B$7*(Tabelle2[[#This Row],[vx]]*Tabelle2[[#This Row],[vx]]+Tabelle2[[#This Row],[vy]]*Tabelle2[[#This Row],[vy]])/1000000</f>
        <v>3.2622525058812912</v>
      </c>
      <c r="H263">
        <f>IF($B$3,-Tabelle2[[#This Row],[Fd]]*Tabelle2[[#This Row],[vx]]/Tabelle2[[#This Row],[v]],0)</f>
        <v>-3.2171896473155446</v>
      </c>
      <c r="I263">
        <f t="shared" si="44"/>
        <v>-2.1447930982103629</v>
      </c>
      <c r="J263">
        <f t="shared" si="45"/>
        <v>-4.2895861964207256E-2</v>
      </c>
      <c r="K263">
        <f t="shared" si="46"/>
        <v>0.84659159308645426</v>
      </c>
      <c r="L263">
        <f>-$B$5*$B$12-IF($B$3,Tabelle2[[#This Row],[Fd]]*Tabelle2[[#This Row],[vy]]/Tabelle2[[#This Row],[v]],0)</f>
        <v>-15.255353759433991</v>
      </c>
      <c r="M263">
        <f t="shared" si="47"/>
        <v>-10.170235839622661</v>
      </c>
      <c r="N263">
        <f t="shared" si="48"/>
        <v>-0.20340471679245323</v>
      </c>
      <c r="O263">
        <f t="shared" si="49"/>
        <v>0.14023009937194275</v>
      </c>
      <c r="P263" s="1">
        <f t="shared" si="51"/>
        <v>42.35102758530482</v>
      </c>
      <c r="Q263" s="1">
        <f t="shared" si="52"/>
        <v>7.113207326993364</v>
      </c>
      <c r="R263">
        <f>SQRT(Tabelle2[[#This Row],[vx]]*Tabelle2[[#This Row],[vx]]+Tabelle2[[#This Row],[vy]]*Tabelle2[[#This Row],[vy]])</f>
        <v>42.944234258023997</v>
      </c>
      <c r="S263">
        <f t="shared" si="53"/>
        <v>262.58446415920162</v>
      </c>
      <c r="T263" s="1">
        <f t="shared" si="54"/>
        <v>197.4826520373482</v>
      </c>
    </row>
    <row r="264" spans="6:20" x14ac:dyDescent="0.35">
      <c r="F264" s="1">
        <f t="shared" si="50"/>
        <v>5.2199999999999767</v>
      </c>
      <c r="G264">
        <f>1/2*$B$8*$B$6*$B$7*(Tabelle2[[#This Row],[vx]]*Tabelle2[[#This Row],[vx]]+Tabelle2[[#This Row],[vy]]*Tabelle2[[#This Row],[vy]])/1000000</f>
        <v>3.2507830606446193</v>
      </c>
      <c r="H264">
        <f>IF($B$3,-Tabelle2[[#This Row],[Fd]]*Tabelle2[[#This Row],[vx]]/Tabelle2[[#This Row],[v]],0)</f>
        <v>-3.208276316542086</v>
      </c>
      <c r="I264">
        <f t="shared" si="44"/>
        <v>-2.1388508776947242</v>
      </c>
      <c r="J264">
        <f t="shared" si="45"/>
        <v>-4.2777017553894486E-2</v>
      </c>
      <c r="K264">
        <f t="shared" si="46"/>
        <v>0.84573486429127342</v>
      </c>
      <c r="L264">
        <f>-$B$5*$B$12-IF($B$3,Tabelle2[[#This Row],[Fd]]*Tabelle2[[#This Row],[vy]]/Tabelle2[[#This Row],[v]],0)</f>
        <v>-15.238978610335522</v>
      </c>
      <c r="M264">
        <f t="shared" si="47"/>
        <v>-10.159319073557015</v>
      </c>
      <c r="N264">
        <f t="shared" si="48"/>
        <v>-0.20318638147114029</v>
      </c>
      <c r="O264">
        <f t="shared" si="49"/>
        <v>0.13616418838930683</v>
      </c>
      <c r="P264" s="1">
        <f t="shared" si="51"/>
        <v>42.308131723340615</v>
      </c>
      <c r="Q264" s="1">
        <f t="shared" si="52"/>
        <v>6.9098026102009111</v>
      </c>
      <c r="R264">
        <f>SQRT(Tabelle2[[#This Row],[vx]]*Tabelle2[[#This Row],[vx]]+Tabelle2[[#This Row],[vy]]*Tabelle2[[#This Row],[vy]])</f>
        <v>42.868676000449092</v>
      </c>
      <c r="S264">
        <f t="shared" si="53"/>
        <v>263.43105575228805</v>
      </c>
      <c r="T264" s="1">
        <f t="shared" si="54"/>
        <v>197.62288213672014</v>
      </c>
    </row>
    <row r="265" spans="6:20" x14ac:dyDescent="0.35">
      <c r="F265" s="1">
        <f t="shared" si="50"/>
        <v>5.2399999999999762</v>
      </c>
      <c r="G265">
        <f>1/2*$B$8*$B$6*$B$7*(Tabelle2[[#This Row],[vx]]*Tabelle2[[#This Row],[vx]]+Tabelle2[[#This Row],[vy]]*Tabelle2[[#This Row],[vy]])/1000000</f>
        <v>3.2394894487296506</v>
      </c>
      <c r="H265">
        <f>IF($B$3,-Tabelle2[[#This Row],[Fd]]*Tabelle2[[#This Row],[vx]]/Tabelle2[[#This Row],[v]],0)</f>
        <v>-3.1994603057854034</v>
      </c>
      <c r="I265">
        <f t="shared" si="44"/>
        <v>-2.1329735371902689</v>
      </c>
      <c r="J265">
        <f t="shared" si="45"/>
        <v>-4.2659470743805376E-2</v>
      </c>
      <c r="K265">
        <f t="shared" si="46"/>
        <v>0.84488049940829646</v>
      </c>
      <c r="L265">
        <f>-$B$5*$B$12-IF($B$3,Tabelle2[[#This Row],[Fd]]*Tabelle2[[#This Row],[vy]]/Tabelle2[[#This Row],[v]],0)</f>
        <v>-15.222686556976162</v>
      </c>
      <c r="M265">
        <f t="shared" si="47"/>
        <v>-10.148457704650776</v>
      </c>
      <c r="N265">
        <f t="shared" si="48"/>
        <v>-0.20296915409301552</v>
      </c>
      <c r="O265">
        <f t="shared" si="49"/>
        <v>0.13210263303366526</v>
      </c>
      <c r="P265" s="1">
        <f t="shared" si="51"/>
        <v>42.26535470578672</v>
      </c>
      <c r="Q265" s="1">
        <f t="shared" si="52"/>
        <v>6.7066162287297706</v>
      </c>
      <c r="R265">
        <f>SQRT(Tabelle2[[#This Row],[vx]]*Tabelle2[[#This Row],[vx]]+Tabelle2[[#This Row],[vy]]*Tabelle2[[#This Row],[vy]])</f>
        <v>42.794145740339637</v>
      </c>
      <c r="S265">
        <f t="shared" si="53"/>
        <v>264.27679061657932</v>
      </c>
      <c r="T265" s="1">
        <f t="shared" si="54"/>
        <v>197.75904632510944</v>
      </c>
    </row>
    <row r="266" spans="6:20" x14ac:dyDescent="0.35">
      <c r="F266" s="1">
        <f t="shared" si="50"/>
        <v>5.2599999999999758</v>
      </c>
      <c r="G266">
        <f>1/2*$B$8*$B$6*$B$7*(Tabelle2[[#This Row],[vx]]*Tabelle2[[#This Row],[vx]]+Tabelle2[[#This Row],[vy]]*Tabelle2[[#This Row],[vy]])/1000000</f>
        <v>3.2283709260104549</v>
      </c>
      <c r="H266">
        <f>IF($B$3,-Tabelle2[[#This Row],[Fd]]*Tabelle2[[#This Row],[vx]]/Tabelle2[[#This Row],[v]],0)</f>
        <v>-3.1907412707411758</v>
      </c>
      <c r="I266">
        <f t="shared" si="44"/>
        <v>-2.1271608471607837</v>
      </c>
      <c r="J266">
        <f t="shared" si="45"/>
        <v>-4.2543216943215674E-2</v>
      </c>
      <c r="K266">
        <f t="shared" si="46"/>
        <v>0.8440284725314261</v>
      </c>
      <c r="L266">
        <f>-$B$5*$B$12-IF($B$3,Tabelle2[[#This Row],[Fd]]*Tabelle2[[#This Row],[vy]]/Tabelle2[[#This Row],[v]],0)</f>
        <v>-15.206476326081521</v>
      </c>
      <c r="M266">
        <f t="shared" si="47"/>
        <v>-10.137650884054347</v>
      </c>
      <c r="N266">
        <f t="shared" si="48"/>
        <v>-0.20275301768108694</v>
      </c>
      <c r="O266">
        <f t="shared" si="49"/>
        <v>0.12804541131592426</v>
      </c>
      <c r="P266" s="1">
        <f t="shared" si="51"/>
        <v>42.222695235042913</v>
      </c>
      <c r="Q266" s="1">
        <f t="shared" si="52"/>
        <v>6.5036470746367554</v>
      </c>
      <c r="R266">
        <f>SQRT(Tabelle2[[#This Row],[vx]]*Tabelle2[[#This Row],[vx]]+Tabelle2[[#This Row],[vy]]*Tabelle2[[#This Row],[vy]])</f>
        <v>42.720643934551674</v>
      </c>
      <c r="S266">
        <f t="shared" si="53"/>
        <v>265.12167111598762</v>
      </c>
      <c r="T266" s="1">
        <f t="shared" si="54"/>
        <v>197.89114895814311</v>
      </c>
    </row>
    <row r="267" spans="6:20" x14ac:dyDescent="0.35">
      <c r="F267" s="1">
        <f t="shared" si="50"/>
        <v>5.2799999999999754</v>
      </c>
      <c r="G267">
        <f>1/2*$B$8*$B$6*$B$7*(Tabelle2[[#This Row],[vx]]*Tabelle2[[#This Row],[vx]]+Tabelle2[[#This Row],[vy]]*Tabelle2[[#This Row],[vy]])/1000000</f>
        <v>3.2174267540405497</v>
      </c>
      <c r="H267">
        <f>IF($B$3,-Tabelle2[[#This Row],[Fd]]*Tabelle2[[#This Row],[vx]]/Tabelle2[[#This Row],[v]],0)</f>
        <v>-3.1821188667697147</v>
      </c>
      <c r="I267">
        <f t="shared" si="44"/>
        <v>-2.1214125778464763</v>
      </c>
      <c r="J267">
        <f t="shared" si="45"/>
        <v>-4.2428251556929523E-2</v>
      </c>
      <c r="K267">
        <f t="shared" si="46"/>
        <v>0.84317875784642471</v>
      </c>
      <c r="L267">
        <f>-$B$5*$B$12-IF($B$3,Tabelle2[[#This Row],[Fd]]*Tabelle2[[#This Row],[vy]]/Tabelle2[[#This Row],[v]],0)</f>
        <v>-15.190346647578515</v>
      </c>
      <c r="M267">
        <f t="shared" si="47"/>
        <v>-10.126897765052343</v>
      </c>
      <c r="N267">
        <f t="shared" si="48"/>
        <v>-0.20253795530104687</v>
      </c>
      <c r="O267">
        <f t="shared" si="49"/>
        <v>0.12399250158610289</v>
      </c>
      <c r="P267" s="1">
        <f t="shared" si="51"/>
        <v>42.180152018099697</v>
      </c>
      <c r="Q267" s="1">
        <f t="shared" si="52"/>
        <v>6.3008940569556682</v>
      </c>
      <c r="R267">
        <f>SQRT(Tabelle2[[#This Row],[vx]]*Tabelle2[[#This Row],[vx]]+Tabelle2[[#This Row],[vy]]*Tabelle2[[#This Row],[vy]])</f>
        <v>42.648171006351248</v>
      </c>
      <c r="S267">
        <f t="shared" si="53"/>
        <v>265.96569958851904</v>
      </c>
      <c r="T267" s="1">
        <f t="shared" si="54"/>
        <v>198.01919436945903</v>
      </c>
    </row>
    <row r="268" spans="6:20" x14ac:dyDescent="0.35">
      <c r="F268" s="1">
        <f t="shared" si="50"/>
        <v>5.299999999999975</v>
      </c>
      <c r="G268">
        <f>1/2*$B$8*$B$6*$B$7*(Tabelle2[[#This Row],[vx]]*Tabelle2[[#This Row],[vx]]+Tabelle2[[#This Row],[vy]]*Tabelle2[[#This Row],[vy]])/1000000</f>
        <v>3.2066561999745167</v>
      </c>
      <c r="H268">
        <f>IF($B$3,-Tabelle2[[#This Row],[Fd]]*Tabelle2[[#This Row],[vx]]/Tabelle2[[#This Row],[v]],0)</f>
        <v>-3.1735927488153179</v>
      </c>
      <c r="I268">
        <f t="shared" si="44"/>
        <v>-2.1157284992102121</v>
      </c>
      <c r="J268">
        <f t="shared" si="45"/>
        <v>-4.2314569984204242E-2</v>
      </c>
      <c r="K268">
        <f t="shared" si="46"/>
        <v>0.84233132963101343</v>
      </c>
      <c r="L268">
        <f>-$B$5*$B$12-IF($B$3,Tabelle2[[#This Row],[Fd]]*Tabelle2[[#This Row],[vy]]/Tabelle2[[#This Row],[v]],0)</f>
        <v>-15.174296254613344</v>
      </c>
      <c r="M268">
        <f t="shared" si="47"/>
        <v>-10.116197503075563</v>
      </c>
      <c r="N268">
        <f t="shared" si="48"/>
        <v>-0.20232395006151127</v>
      </c>
      <c r="O268">
        <f t="shared" si="49"/>
        <v>0.11994388253247731</v>
      </c>
      <c r="P268" s="1">
        <f t="shared" si="51"/>
        <v>42.13772376654277</v>
      </c>
      <c r="Q268" s="1">
        <f t="shared" si="52"/>
        <v>6.0983561016546215</v>
      </c>
      <c r="R268">
        <f>SQRT(Tabelle2[[#This Row],[vx]]*Tabelle2[[#This Row],[vx]]+Tabelle2[[#This Row],[vy]]*Tabelle2[[#This Row],[vy]])</f>
        <v>42.576727344501847</v>
      </c>
      <c r="S268">
        <f t="shared" si="53"/>
        <v>266.80887834636547</v>
      </c>
      <c r="T268" s="1">
        <f t="shared" si="54"/>
        <v>198.14318687104515</v>
      </c>
    </row>
    <row r="269" spans="6:20" x14ac:dyDescent="0.35">
      <c r="F269" s="1">
        <f t="shared" si="50"/>
        <v>5.3199999999999745</v>
      </c>
      <c r="G269">
        <f>1/2*$B$8*$B$6*$B$7*(Tabelle2[[#This Row],[vx]]*Tabelle2[[#This Row],[vx]]+Tabelle2[[#This Row],[vy]]*Tabelle2[[#This Row],[vy]])/1000000</f>
        <v>3.1960585364902805</v>
      </c>
      <c r="H269">
        <f>IF($B$3,-Tabelle2[[#This Row],[Fd]]*Tabelle2[[#This Row],[vx]]/Tabelle2[[#This Row],[v]],0)</f>
        <v>-3.1651625713266665</v>
      </c>
      <c r="I269">
        <f t="shared" si="44"/>
        <v>-2.1101083808844443</v>
      </c>
      <c r="J269">
        <f t="shared" si="45"/>
        <v>-4.2202167617688885E-2</v>
      </c>
      <c r="K269">
        <f t="shared" si="46"/>
        <v>0.8414861622549944</v>
      </c>
      <c r="L269">
        <f>-$B$5*$B$12-IF($B$3,Tabelle2[[#This Row],[Fd]]*Tabelle2[[#This Row],[vy]]/Tabelle2[[#This Row],[v]],0)</f>
        <v>-15.15832388357177</v>
      </c>
      <c r="M269">
        <f t="shared" si="47"/>
        <v>-10.105549255714513</v>
      </c>
      <c r="N269">
        <f t="shared" si="48"/>
        <v>-0.20211098511429026</v>
      </c>
      <c r="O269">
        <f t="shared" si="49"/>
        <v>0.11589953318071931</v>
      </c>
      <c r="P269" s="1">
        <f t="shared" si="51"/>
        <v>42.095409196558563</v>
      </c>
      <c r="Q269" s="1">
        <f t="shared" si="52"/>
        <v>5.8960321515931104</v>
      </c>
      <c r="R269">
        <f>SQRT(Tabelle2[[#This Row],[vx]]*Tabelle2[[#This Row],[vx]]+Tabelle2[[#This Row],[vy]]*Tabelle2[[#This Row],[vy]])</f>
        <v>42.506313302359302</v>
      </c>
      <c r="S269">
        <f t="shared" si="53"/>
        <v>267.65120967599648</v>
      </c>
      <c r="T269" s="1">
        <f t="shared" si="54"/>
        <v>198.26313075357763</v>
      </c>
    </row>
    <row r="270" spans="6:20" x14ac:dyDescent="0.35">
      <c r="F270" s="1">
        <f t="shared" si="50"/>
        <v>5.3399999999999741</v>
      </c>
      <c r="G270">
        <f>1/2*$B$8*$B$6*$B$7*(Tabelle2[[#This Row],[vx]]*Tabelle2[[#This Row],[vx]]+Tabelle2[[#This Row],[vy]]*Tabelle2[[#This Row],[vy]])/1000000</f>
        <v>3.1856330417120295</v>
      </c>
      <c r="H270">
        <f>IF($B$3,-Tabelle2[[#This Row],[Fd]]*Tabelle2[[#This Row],[vx]]/Tabelle2[[#This Row],[v]],0)</f>
        <v>-3.1568279881783057</v>
      </c>
      <c r="I270">
        <f t="shared" si="44"/>
        <v>-2.1045519921188705</v>
      </c>
      <c r="J270">
        <f t="shared" si="45"/>
        <v>-4.2091039842377408E-2</v>
      </c>
      <c r="K270">
        <f t="shared" si="46"/>
        <v>0.84064323018039377</v>
      </c>
      <c r="L270">
        <f>-$B$5*$B$12-IF($B$3,Tabelle2[[#This Row],[Fd]]*Tabelle2[[#This Row],[vy]]/Tabelle2[[#This Row],[v]],0)</f>
        <v>-15.14242827410169</v>
      </c>
      <c r="M270">
        <f t="shared" si="47"/>
        <v>-10.09495218273446</v>
      </c>
      <c r="N270">
        <f t="shared" si="48"/>
        <v>-0.20189904365468919</v>
      </c>
      <c r="O270">
        <f t="shared" si="49"/>
        <v>0.11185943289302952</v>
      </c>
      <c r="P270" s="1">
        <f t="shared" si="51"/>
        <v>42.053207028940875</v>
      </c>
      <c r="Q270" s="1">
        <f t="shared" si="52"/>
        <v>5.6939211664788205</v>
      </c>
      <c r="R270">
        <f>SQRT(Tabelle2[[#This Row],[vx]]*Tabelle2[[#This Row],[vx]]+Tabelle2[[#This Row],[vy]]*Tabelle2[[#This Row],[vy]])</f>
        <v>42.436929196974631</v>
      </c>
      <c r="S270">
        <f t="shared" si="53"/>
        <v>268.49269583825145</v>
      </c>
      <c r="T270" s="1">
        <f t="shared" si="54"/>
        <v>198.37903028675834</v>
      </c>
    </row>
    <row r="271" spans="6:20" x14ac:dyDescent="0.35">
      <c r="F271" s="1">
        <f t="shared" si="50"/>
        <v>5.3599999999999737</v>
      </c>
      <c r="G271">
        <f>1/2*$B$8*$B$6*$B$7*(Tabelle2[[#This Row],[vx]]*Tabelle2[[#This Row],[vx]]+Tabelle2[[#This Row],[vy]]*Tabelle2[[#This Row],[vy]])/1000000</f>
        <v>3.1753789991337937</v>
      </c>
      <c r="H271">
        <f>IF($B$3,-Tabelle2[[#This Row],[Fd]]*Tabelle2[[#This Row],[vx]]/Tabelle2[[#This Row],[v]],0)</f>
        <v>-3.1485886525932272</v>
      </c>
      <c r="I271">
        <f t="shared" si="44"/>
        <v>-2.0990591017288183</v>
      </c>
      <c r="J271">
        <f t="shared" si="45"/>
        <v>-4.1981182034576368E-2</v>
      </c>
      <c r="K271">
        <f t="shared" si="46"/>
        <v>0.83980250796162426</v>
      </c>
      <c r="L271">
        <f>-$B$5*$B$12-IF($B$3,Tabelle2[[#This Row],[Fd]]*Tabelle2[[#This Row],[vy]]/Tabelle2[[#This Row],[v]],0)</f>
        <v>-15.126608169137953</v>
      </c>
      <c r="M271">
        <f t="shared" si="47"/>
        <v>-10.084405446091969</v>
      </c>
      <c r="N271">
        <f t="shared" si="48"/>
        <v>-0.20168810892183939</v>
      </c>
      <c r="O271">
        <f t="shared" si="49"/>
        <v>0.10782356136726425</v>
      </c>
      <c r="P271" s="1">
        <f t="shared" si="51"/>
        <v>42.011115989098499</v>
      </c>
      <c r="Q271" s="1">
        <f t="shared" si="52"/>
        <v>5.4920221228241317</v>
      </c>
      <c r="R271">
        <f>SQRT(Tabelle2[[#This Row],[vx]]*Tabelle2[[#This Row],[vx]]+Tabelle2[[#This Row],[vy]]*Tabelle2[[#This Row],[vy]])</f>
        <v>42.368575308205457</v>
      </c>
      <c r="S271">
        <f t="shared" si="53"/>
        <v>269.33333906843183</v>
      </c>
      <c r="T271" s="1">
        <f t="shared" si="54"/>
        <v>198.49088971965136</v>
      </c>
    </row>
    <row r="272" spans="6:20" x14ac:dyDescent="0.35">
      <c r="F272" s="1">
        <f t="shared" si="50"/>
        <v>5.3799999999999732</v>
      </c>
      <c r="G272">
        <f>1/2*$B$8*$B$6*$B$7*(Tabelle2[[#This Row],[vx]]*Tabelle2[[#This Row],[vx]]+Tabelle2[[#This Row],[vy]]*Tabelle2[[#This Row],[vy]])/1000000</f>
        <v>3.1652956975436504</v>
      </c>
      <c r="H272">
        <f>IF($B$3,-Tabelle2[[#This Row],[Fd]]*Tabelle2[[#This Row],[vx]]/Tabelle2[[#This Row],[v]],0)</f>
        <v>-3.1404442170665994</v>
      </c>
      <c r="I272">
        <f t="shared" si="44"/>
        <v>-2.0936294780443996</v>
      </c>
      <c r="J272">
        <f t="shared" si="45"/>
        <v>-4.1872589560887991E-2</v>
      </c>
      <c r="K272">
        <f t="shared" si="46"/>
        <v>0.83896397024566971</v>
      </c>
      <c r="L272">
        <f>-$B$5*$B$12-IF($B$3,Tabelle2[[#This Row],[Fd]]*Tabelle2[[#This Row],[vy]]/Tabelle2[[#This Row],[v]],0)</f>
        <v>-15.110862314929443</v>
      </c>
      <c r="M272">
        <f t="shared" si="47"/>
        <v>-10.073908209952963</v>
      </c>
      <c r="N272">
        <f t="shared" si="48"/>
        <v>-0.20147816419905926</v>
      </c>
      <c r="O272">
        <f t="shared" si="49"/>
        <v>0.10379189863605526</v>
      </c>
      <c r="P272" s="1">
        <f t="shared" si="51"/>
        <v>41.969134807063924</v>
      </c>
      <c r="Q272" s="1">
        <f t="shared" si="52"/>
        <v>5.2903340139022923</v>
      </c>
      <c r="R272">
        <f>SQRT(Tabelle2[[#This Row],[vx]]*Tabelle2[[#This Row],[vx]]+Tabelle2[[#This Row],[vy]]*Tabelle2[[#This Row],[vy]])</f>
        <v>42.301251877836386</v>
      </c>
      <c r="S272">
        <f t="shared" si="53"/>
        <v>270.17314157639345</v>
      </c>
      <c r="T272" s="1">
        <f t="shared" si="54"/>
        <v>198.59871328101863</v>
      </c>
    </row>
    <row r="273" spans="6:20" x14ac:dyDescent="0.35">
      <c r="F273" s="1">
        <f t="shared" si="50"/>
        <v>5.3999999999999728</v>
      </c>
      <c r="G273">
        <f>1/2*$B$8*$B$6*$B$7*(Tabelle2[[#This Row],[vx]]*Tabelle2[[#This Row],[vx]]+Tabelle2[[#This Row],[vy]]*Tabelle2[[#This Row],[vy]])/1000000</f>
        <v>3.1553824309485741</v>
      </c>
      <c r="H273">
        <f>IF($B$3,-Tabelle2[[#This Row],[Fd]]*Tabelle2[[#This Row],[vx]]/Tabelle2[[#This Row],[v]],0)</f>
        <v>-3.1323943332906694</v>
      </c>
      <c r="I273">
        <f t="shared" si="44"/>
        <v>-2.0882628888604464</v>
      </c>
      <c r="J273">
        <f t="shared" si="45"/>
        <v>-4.1765257777208929E-2</v>
      </c>
      <c r="K273">
        <f t="shared" si="46"/>
        <v>0.83812759177228857</v>
      </c>
      <c r="L273">
        <f>-$B$5*$B$12-IF($B$3,Tabelle2[[#This Row],[Fd]]*Tabelle2[[#This Row],[vy]]/Tabelle2[[#This Row],[v]],0)</f>
        <v>-15.09518946106834</v>
      </c>
      <c r="M273">
        <f t="shared" si="47"/>
        <v>-10.063459640712226</v>
      </c>
      <c r="N273">
        <f t="shared" si="48"/>
        <v>-0.20126919281424452</v>
      </c>
      <c r="O273">
        <f t="shared" si="49"/>
        <v>9.9764425065922216E-2</v>
      </c>
      <c r="P273" s="1">
        <f t="shared" si="51"/>
        <v>41.927262217503035</v>
      </c>
      <c r="Q273" s="1">
        <f t="shared" si="52"/>
        <v>5.0888558497032328</v>
      </c>
      <c r="R273">
        <f>SQRT(Tabelle2[[#This Row],[vx]]*Tabelle2[[#This Row],[vx]]+Tabelle2[[#This Row],[vy]]*Tabelle2[[#This Row],[vy]])</f>
        <v>42.234959108708942</v>
      </c>
      <c r="S273">
        <f t="shared" si="53"/>
        <v>271.01210554663913</v>
      </c>
      <c r="T273" s="1">
        <f t="shared" si="54"/>
        <v>198.70250517965468</v>
      </c>
    </row>
    <row r="274" spans="6:20" x14ac:dyDescent="0.35">
      <c r="F274" s="1">
        <f t="shared" si="50"/>
        <v>5.4199999999999724</v>
      </c>
      <c r="G274">
        <f>1/2*$B$8*$B$6*$B$7*(Tabelle2[[#This Row],[vx]]*Tabelle2[[#This Row],[vx]]+Tabelle2[[#This Row],[vy]]*Tabelle2[[#This Row],[vy]])/1000000</f>
        <v>3.1456384984999106</v>
      </c>
      <c r="H274">
        <f>IF($B$3,-Tabelle2[[#This Row],[Fd]]*Tabelle2[[#This Row],[vx]]/Tabelle2[[#This Row],[v]],0)</f>
        <v>-3.1244386520808738</v>
      </c>
      <c r="I274">
        <f t="shared" si="44"/>
        <v>-2.082959101387249</v>
      </c>
      <c r="J274">
        <f t="shared" si="45"/>
        <v>-4.1659182027744983E-2</v>
      </c>
      <c r="K274">
        <f t="shared" si="46"/>
        <v>0.83729334737423911</v>
      </c>
      <c r="L274">
        <f>-$B$5*$B$12-IF($B$3,Tabelle2[[#This Row],[Fd]]*Tabelle2[[#This Row],[vy]]/Tabelle2[[#This Row],[v]],0)</f>
        <v>-15.079588360521594</v>
      </c>
      <c r="M274">
        <f t="shared" si="47"/>
        <v>-10.053058907014396</v>
      </c>
      <c r="N274">
        <f t="shared" si="48"/>
        <v>-0.20106117814028793</v>
      </c>
      <c r="O274">
        <f t="shared" si="49"/>
        <v>9.5741121356376899E-2</v>
      </c>
      <c r="P274" s="1">
        <f t="shared" si="51"/>
        <v>41.885496959725828</v>
      </c>
      <c r="Q274" s="1">
        <f t="shared" si="52"/>
        <v>4.8875866568889883</v>
      </c>
      <c r="R274">
        <f>SQRT(Tabelle2[[#This Row],[vx]]*Tabelle2[[#This Row],[vx]]+Tabelle2[[#This Row],[vy]]*Tabelle2[[#This Row],[vy]])</f>
        <v>42.169697163861642</v>
      </c>
      <c r="S274">
        <f t="shared" si="53"/>
        <v>271.8502331384114</v>
      </c>
      <c r="T274" s="1">
        <f t="shared" si="54"/>
        <v>198.80226960472061</v>
      </c>
    </row>
    <row r="275" spans="6:20" x14ac:dyDescent="0.35">
      <c r="F275" s="1">
        <f t="shared" si="50"/>
        <v>5.439999999999972</v>
      </c>
      <c r="G275">
        <f>1/2*$B$8*$B$6*$B$7*(Tabelle2[[#This Row],[vx]]*Tabelle2[[#This Row],[vx]]+Tabelle2[[#This Row],[vy]]*Tabelle2[[#This Row],[vy]])/1000000</f>
        <v>3.1360632044194707</v>
      </c>
      <c r="H275">
        <f>IF($B$3,-Tabelle2[[#This Row],[Fd]]*Tabelle2[[#This Row],[vx]]/Tabelle2[[#This Row],[v]],0)</f>
        <v>-3.1165768233031792</v>
      </c>
      <c r="I275">
        <f t="shared" si="44"/>
        <v>-2.0777178822021196</v>
      </c>
      <c r="J275">
        <f t="shared" si="45"/>
        <v>-4.1554357644042396E-2</v>
      </c>
      <c r="K275">
        <f t="shared" si="46"/>
        <v>0.83646121197752121</v>
      </c>
      <c r="L275">
        <f>-$B$5*$B$12-IF($B$3,Tabelle2[[#This Row],[Fd]]*Tabelle2[[#This Row],[vy]]/Tabelle2[[#This Row],[v]],0)</f>
        <v>-15.064057769664538</v>
      </c>
      <c r="M275">
        <f t="shared" si="47"/>
        <v>-10.042705179776359</v>
      </c>
      <c r="N275">
        <f t="shared" si="48"/>
        <v>-0.20085410359552719</v>
      </c>
      <c r="O275">
        <f t="shared" si="49"/>
        <v>9.1721968539018747E-2</v>
      </c>
      <c r="P275" s="1">
        <f t="shared" si="51"/>
        <v>41.843837777698084</v>
      </c>
      <c r="Q275" s="1">
        <f t="shared" si="52"/>
        <v>4.6865254787487007</v>
      </c>
      <c r="R275">
        <f>SQRT(Tabelle2[[#This Row],[vx]]*Tabelle2[[#This Row],[vx]]+Tabelle2[[#This Row],[vy]]*Tabelle2[[#This Row],[vy]])</f>
        <v>42.105466165680603</v>
      </c>
      <c r="S275">
        <f t="shared" si="53"/>
        <v>272.68752648578561</v>
      </c>
      <c r="T275" s="1">
        <f t="shared" si="54"/>
        <v>198.89801072607699</v>
      </c>
    </row>
    <row r="276" spans="6:20" x14ac:dyDescent="0.35">
      <c r="F276" s="1">
        <f t="shared" si="50"/>
        <v>5.4599999999999715</v>
      </c>
      <c r="G276">
        <f>1/2*$B$8*$B$6*$B$7*(Tabelle2[[#This Row],[vx]]*Tabelle2[[#This Row],[vx]]+Tabelle2[[#This Row],[vy]]*Tabelle2[[#This Row],[vy]])/1000000</f>
        <v>3.1266558579262482</v>
      </c>
      <c r="H276">
        <f>IF($B$3,-Tabelle2[[#This Row],[Fd]]*Tabelle2[[#This Row],[vx]]/Tabelle2[[#This Row],[v]],0)</f>
        <v>-3.1088084958027014</v>
      </c>
      <c r="I276">
        <f t="shared" si="44"/>
        <v>-2.0725389972018009</v>
      </c>
      <c r="J276">
        <f t="shared" si="45"/>
        <v>-4.1450779944036016E-2</v>
      </c>
      <c r="K276">
        <f t="shared" si="46"/>
        <v>0.83563116060164033</v>
      </c>
      <c r="L276">
        <f>-$B$5*$B$12-IF($B$3,Tabelle2[[#This Row],[Fd]]*Tabelle2[[#This Row],[vy]]/Tabelle2[[#This Row],[v]],0)</f>
        <v>-15.04859644831663</v>
      </c>
      <c r="M276">
        <f t="shared" si="47"/>
        <v>-10.032397632211087</v>
      </c>
      <c r="N276">
        <f t="shared" si="48"/>
        <v>-0.20064795264422175</v>
      </c>
      <c r="O276">
        <f t="shared" si="49"/>
        <v>8.770694797662125E-2</v>
      </c>
      <c r="P276" s="1">
        <f t="shared" si="51"/>
        <v>41.802283420054039</v>
      </c>
      <c r="Q276" s="1">
        <f t="shared" si="52"/>
        <v>4.4856713751531734</v>
      </c>
      <c r="R276">
        <f>SQRT(Tabelle2[[#This Row],[vx]]*Tabelle2[[#This Row],[vx]]+Tabelle2[[#This Row],[vy]]*Tabelle2[[#This Row],[vy]])</f>
        <v>42.042266195061288</v>
      </c>
      <c r="S276">
        <f t="shared" si="53"/>
        <v>273.52398769776312</v>
      </c>
      <c r="T276" s="1">
        <f t="shared" si="54"/>
        <v>198.98973269461601</v>
      </c>
    </row>
    <row r="277" spans="6:20" x14ac:dyDescent="0.35">
      <c r="F277" s="1">
        <f t="shared" si="50"/>
        <v>5.4799999999999711</v>
      </c>
      <c r="G277">
        <f>1/2*$B$8*$B$6*$B$7*(Tabelle2[[#This Row],[vx]]*Tabelle2[[#This Row],[vx]]+Tabelle2[[#This Row],[vy]]*Tabelle2[[#This Row],[vy]])/1000000</f>
        <v>3.1174157731637484</v>
      </c>
      <c r="H277">
        <f>IF($B$3,-Tabelle2[[#This Row],[Fd]]*Tabelle2[[#This Row],[vx]]/Tabelle2[[#This Row],[v]],0)</f>
        <v>-3.1011333173336166</v>
      </c>
      <c r="I277">
        <f t="shared" si="44"/>
        <v>-2.0674222115557446</v>
      </c>
      <c r="J277">
        <f t="shared" si="45"/>
        <v>-4.1348444231114889E-2</v>
      </c>
      <c r="K277">
        <f t="shared" si="46"/>
        <v>0.83480316835988888</v>
      </c>
      <c r="L277">
        <f>-$B$5*$B$12-IF($B$3,Tabelle2[[#This Row],[Fd]]*Tabelle2[[#This Row],[vy]]/Tabelle2[[#This Row],[v]],0)</f>
        <v>-15.033203159779298</v>
      </c>
      <c r="M277">
        <f t="shared" si="47"/>
        <v>-10.022135439852866</v>
      </c>
      <c r="N277">
        <f t="shared" si="48"/>
        <v>-0.20044270879705731</v>
      </c>
      <c r="O277">
        <f t="shared" si="49"/>
        <v>8.3696041362208456E-2</v>
      </c>
      <c r="P277" s="1">
        <f t="shared" si="51"/>
        <v>41.760832640110003</v>
      </c>
      <c r="Q277" s="1">
        <f t="shared" si="52"/>
        <v>4.2850234225089512</v>
      </c>
      <c r="R277">
        <f>SQRT(Tabelle2[[#This Row],[vx]]*Tabelle2[[#This Row],[vx]]+Tabelle2[[#This Row],[vy]]*Tabelle2[[#This Row],[vy]])</f>
        <v>41.980097290581966</v>
      </c>
      <c r="S277">
        <f t="shared" si="53"/>
        <v>274.35961885836474</v>
      </c>
      <c r="T277" s="1">
        <f t="shared" si="54"/>
        <v>199.07743964259262</v>
      </c>
    </row>
    <row r="278" spans="6:20" x14ac:dyDescent="0.35">
      <c r="F278" s="1">
        <f t="shared" si="50"/>
        <v>5.4999999999999707</v>
      </c>
      <c r="G278">
        <f>1/2*$B$8*$B$6*$B$7*(Tabelle2[[#This Row],[vx]]*Tabelle2[[#This Row],[vx]]+Tabelle2[[#This Row],[vy]]*Tabelle2[[#This Row],[vy]])/1000000</f>
        <v>3.1083422691279261</v>
      </c>
      <c r="H278">
        <f>IF($B$3,-Tabelle2[[#This Row],[Fd]]*Tabelle2[[#This Row],[vx]]/Tabelle2[[#This Row],[v]],0)</f>
        <v>-3.0935509344904135</v>
      </c>
      <c r="I278">
        <f t="shared" si="44"/>
        <v>-2.0623672896602758</v>
      </c>
      <c r="J278">
        <f t="shared" si="45"/>
        <v>-4.124734579320552E-2</v>
      </c>
      <c r="K278">
        <f t="shared" si="46"/>
        <v>0.83397721045964579</v>
      </c>
      <c r="L278">
        <f>-$B$5*$B$12-IF($B$3,Tabelle2[[#This Row],[Fd]]*Tabelle2[[#This Row],[vy]]/Tabelle2[[#This Row],[v]],0)</f>
        <v>-15.017876670875838</v>
      </c>
      <c r="M278">
        <f t="shared" si="47"/>
        <v>-10.011917780583891</v>
      </c>
      <c r="N278">
        <f t="shared" si="48"/>
        <v>-0.20023835561167783</v>
      </c>
      <c r="O278">
        <f t="shared" si="49"/>
        <v>7.9689230718121104E-2</v>
      </c>
      <c r="P278" s="1">
        <f t="shared" si="51"/>
        <v>41.719484195878891</v>
      </c>
      <c r="Q278" s="1">
        <f t="shared" si="52"/>
        <v>4.0845807137118939</v>
      </c>
      <c r="R278">
        <f>SQRT(Tabelle2[[#This Row],[vx]]*Tabelle2[[#This Row],[vx]]+Tabelle2[[#This Row],[vy]]*Tabelle2[[#This Row],[vy]])</f>
        <v>41.918959447689254</v>
      </c>
      <c r="S278">
        <f t="shared" si="53"/>
        <v>275.19442202672462</v>
      </c>
      <c r="T278" s="1">
        <f t="shared" si="54"/>
        <v>199.16113568395483</v>
      </c>
    </row>
    <row r="279" spans="6:20" x14ac:dyDescent="0.35">
      <c r="F279" s="1">
        <f t="shared" si="50"/>
        <v>5.5199999999999703</v>
      </c>
      <c r="G279">
        <f>1/2*$B$8*$B$6*$B$7*(Tabelle2[[#This Row],[vx]]*Tabelle2[[#This Row],[vx]]+Tabelle2[[#This Row],[vy]]*Tabelle2[[#This Row],[vy]])/1000000</f>
        <v>3.0994346695957193</v>
      </c>
      <c r="H279">
        <f>IF($B$3,-Tabelle2[[#This Row],[Fd]]*Tabelle2[[#This Row],[vx]]/Tabelle2[[#This Row],[v]],0)</f>
        <v>-3.0860609926404936</v>
      </c>
      <c r="I279">
        <f t="shared" si="44"/>
        <v>-2.0573739950936623</v>
      </c>
      <c r="J279">
        <f t="shared" si="45"/>
        <v>-4.1147479901873243E-2</v>
      </c>
      <c r="K279">
        <f t="shared" si="46"/>
        <v>0.83315326220269514</v>
      </c>
      <c r="L279">
        <f>-$B$5*$B$12-IF($B$3,Tabelle2[[#This Row],[Fd]]*Tabelle2[[#This Row],[vy]]/Tabelle2[[#This Row],[v]],0)</f>
        <v>-15.002615751993348</v>
      </c>
      <c r="M279">
        <f t="shared" si="47"/>
        <v>-10.001743834662232</v>
      </c>
      <c r="N279">
        <f t="shared" si="48"/>
        <v>-0.20003487669324466</v>
      </c>
      <c r="O279">
        <f t="shared" si="49"/>
        <v>7.5686498395071869E-2</v>
      </c>
      <c r="P279" s="1">
        <f t="shared" si="51"/>
        <v>41.678236850085689</v>
      </c>
      <c r="Q279" s="1">
        <f t="shared" si="52"/>
        <v>3.8843423581002159</v>
      </c>
      <c r="R279">
        <f>SQRT(Tabelle2[[#This Row],[vx]]*Tabelle2[[#This Row],[vx]]+Tabelle2[[#This Row],[vy]]*Tabelle2[[#This Row],[vy]])</f>
        <v>41.858852617896396</v>
      </c>
      <c r="S279">
        <f t="shared" si="53"/>
        <v>276.02839923718426</v>
      </c>
      <c r="T279" s="1">
        <f t="shared" si="54"/>
        <v>199.24082491467294</v>
      </c>
    </row>
    <row r="280" spans="6:20" x14ac:dyDescent="0.35">
      <c r="F280" s="1">
        <f t="shared" si="50"/>
        <v>5.5399999999999698</v>
      </c>
      <c r="G280">
        <f>1/2*$B$8*$B$6*$B$7*(Tabelle2[[#This Row],[vx]]*Tabelle2[[#This Row],[vx]]+Tabelle2[[#This Row],[vy]]*Tabelle2[[#This Row],[vy]])/1000000</f>
        <v>3.0906923030541944</v>
      </c>
      <c r="H280">
        <f>IF($B$3,-Tabelle2[[#This Row],[Fd]]*Tabelle2[[#This Row],[vx]]/Tabelle2[[#This Row],[v]],0)</f>
        <v>-3.0786631358581733</v>
      </c>
      <c r="I280">
        <f t="shared" si="44"/>
        <v>-2.0524420905721157</v>
      </c>
      <c r="J280">
        <f t="shared" si="45"/>
        <v>-4.1048841811442312E-2</v>
      </c>
      <c r="K280">
        <f t="shared" si="46"/>
        <v>0.83233129898556191</v>
      </c>
      <c r="L280">
        <f>-$B$5*$B$12-IF($B$3,Tabelle2[[#This Row],[Fd]]*Tabelle2[[#This Row],[vy]]/Tabelle2[[#This Row],[v]],0)</f>
        <v>-14.987419177126647</v>
      </c>
      <c r="M280">
        <f t="shared" si="47"/>
        <v>-9.9916127847510978</v>
      </c>
      <c r="N280">
        <f t="shared" si="48"/>
        <v>-0.19983225569502197</v>
      </c>
      <c r="O280">
        <f t="shared" si="49"/>
        <v>7.1687827071189203E-2</v>
      </c>
      <c r="P280" s="1">
        <f t="shared" si="51"/>
        <v>41.637089370183816</v>
      </c>
      <c r="Q280" s="1">
        <f t="shared" si="52"/>
        <v>3.6843074814069712</v>
      </c>
      <c r="R280">
        <f>SQRT(Tabelle2[[#This Row],[vx]]*Tabelle2[[#This Row],[vx]]+Tabelle2[[#This Row],[vy]]*Tabelle2[[#This Row],[vy]])</f>
        <v>41.799776707994809</v>
      </c>
      <c r="S280">
        <f t="shared" si="53"/>
        <v>276.86155249938696</v>
      </c>
      <c r="T280" s="1">
        <f t="shared" si="54"/>
        <v>199.31651141306801</v>
      </c>
    </row>
    <row r="281" spans="6:20" x14ac:dyDescent="0.35">
      <c r="F281" s="1">
        <f t="shared" si="50"/>
        <v>5.5599999999999694</v>
      </c>
      <c r="G281">
        <f>1/2*$B$8*$B$6*$B$7*(Tabelle2[[#This Row],[vx]]*Tabelle2[[#This Row],[vx]]+Tabelle2[[#This Row],[vy]]*Tabelle2[[#This Row],[vy]])/1000000</f>
        <v>3.0821145026302781</v>
      </c>
      <c r="H281">
        <f>IF($B$3,-Tabelle2[[#This Row],[Fd]]*Tabelle2[[#This Row],[vx]]/Tabelle2[[#This Row],[v]],0)</f>
        <v>-3.0713570068601124</v>
      </c>
      <c r="I281">
        <f t="shared" si="44"/>
        <v>-2.0475713379067417</v>
      </c>
      <c r="J281">
        <f t="shared" si="45"/>
        <v>-4.0951426758134839E-2</v>
      </c>
      <c r="K281">
        <f t="shared" si="46"/>
        <v>0.83151129629986598</v>
      </c>
      <c r="L281">
        <f>-$B$5*$B$12-IF($B$3,Tabelle2[[#This Row],[Fd]]*Tabelle2[[#This Row],[vy]]/Tabelle2[[#This Row],[v]],0)</f>
        <v>-14.972285723924157</v>
      </c>
      <c r="M281">
        <f t="shared" si="47"/>
        <v>-9.9815238159494388</v>
      </c>
      <c r="N281">
        <f t="shared" si="48"/>
        <v>-0.19963047631898878</v>
      </c>
      <c r="O281">
        <f t="shared" si="49"/>
        <v>6.7693199751049107E-2</v>
      </c>
      <c r="P281" s="1">
        <f t="shared" si="51"/>
        <v>41.59604052837237</v>
      </c>
      <c r="Q281" s="1">
        <f t="shared" si="52"/>
        <v>3.4844752257119493</v>
      </c>
      <c r="R281">
        <f>SQRT(Tabelle2[[#This Row],[vx]]*Tabelle2[[#This Row],[vx]]+Tabelle2[[#This Row],[vy]]*Tabelle2[[#This Row],[vy]])</f>
        <v>41.741731579279232</v>
      </c>
      <c r="S281">
        <f t="shared" si="53"/>
        <v>277.6938837983725</v>
      </c>
      <c r="T281" s="1">
        <f t="shared" si="54"/>
        <v>199.38819924013922</v>
      </c>
    </row>
    <row r="282" spans="6:20" x14ac:dyDescent="0.35">
      <c r="F282" s="1">
        <f t="shared" si="50"/>
        <v>5.579999999999969</v>
      </c>
      <c r="G282">
        <f>1/2*$B$8*$B$6*$B$7*(Tabelle2[[#This Row],[vx]]*Tabelle2[[#This Row],[vx]]+Tabelle2[[#This Row],[vy]]*Tabelle2[[#This Row],[vy]])/1000000</f>
        <v>3.0737006060210819</v>
      </c>
      <c r="H282">
        <f>IF($B$3,-Tabelle2[[#This Row],[Fd]]*Tabelle2[[#This Row],[vx]]/Tabelle2[[#This Row],[v]],0)</f>
        <v>-3.0641422469421835</v>
      </c>
      <c r="I282">
        <f t="shared" si="44"/>
        <v>-2.0427614979614557</v>
      </c>
      <c r="J282">
        <f t="shared" si="45"/>
        <v>-4.0855229959229113E-2</v>
      </c>
      <c r="K282">
        <f t="shared" si="46"/>
        <v>0.83069322973269244</v>
      </c>
      <c r="L282">
        <f>-$B$5*$B$12-IF($B$3,Tabelle2[[#This Row],[Fd]]*Tabelle2[[#This Row],[vy]]/Tabelle2[[#This Row],[v]],0)</f>
        <v>-14.957214173735707</v>
      </c>
      <c r="M282">
        <f t="shared" si="47"/>
        <v>-9.9714761158238048</v>
      </c>
      <c r="N282">
        <f t="shared" si="48"/>
        <v>-0.19942952231647609</v>
      </c>
      <c r="O282">
        <f t="shared" si="49"/>
        <v>6.3702599764694459E-2</v>
      </c>
      <c r="P282" s="1">
        <f t="shared" si="51"/>
        <v>41.555089101614236</v>
      </c>
      <c r="Q282" s="1">
        <f t="shared" si="52"/>
        <v>3.2848447493929607</v>
      </c>
      <c r="R282">
        <f>SQRT(Tabelle2[[#This Row],[vx]]*Tabelle2[[#This Row],[vx]]+Tabelle2[[#This Row],[vy]]*Tabelle2[[#This Row],[vy]])</f>
        <v>41.68471704678722</v>
      </c>
      <c r="S282">
        <f t="shared" si="53"/>
        <v>278.52539509467238</v>
      </c>
      <c r="T282" s="1">
        <f t="shared" si="54"/>
        <v>199.45589243989028</v>
      </c>
    </row>
    <row r="283" spans="6:20" x14ac:dyDescent="0.35">
      <c r="F283" s="1">
        <f t="shared" si="50"/>
        <v>5.5999999999999686</v>
      </c>
      <c r="G283">
        <f>1/2*$B$8*$B$6*$B$7*(Tabelle2[[#This Row],[vx]]*Tabelle2[[#This Row],[vx]]+Tabelle2[[#This Row],[vy]]*Tabelle2[[#This Row],[vy]])/1000000</f>
        <v>3.0654499554248122</v>
      </c>
      <c r="H283">
        <f>IF($B$3,-Tabelle2[[#This Row],[Fd]]*Tabelle2[[#This Row],[vx]]/Tabelle2[[#This Row],[v]],0)</f>
        <v>-3.0570184959178297</v>
      </c>
      <c r="I283">
        <f t="shared" si="44"/>
        <v>-2.0380123306118865</v>
      </c>
      <c r="J283">
        <f t="shared" si="45"/>
        <v>-4.0760246612237733E-2</v>
      </c>
      <c r="K283">
        <f t="shared" si="46"/>
        <v>0.82987707496697782</v>
      </c>
      <c r="L283">
        <f>-$B$5*$B$12-IF($B$3,Tabelle2[[#This Row],[Fd]]*Tabelle2[[#This Row],[vy]]/Tabelle2[[#This Row],[v]],0)</f>
        <v>-14.942203311662205</v>
      </c>
      <c r="M283">
        <f t="shared" si="47"/>
        <v>-9.9614688744414703</v>
      </c>
      <c r="N283">
        <f t="shared" si="48"/>
        <v>-0.19922937748882941</v>
      </c>
      <c r="O283">
        <f t="shared" si="49"/>
        <v>5.9716010766641396E-2</v>
      </c>
      <c r="P283" s="1">
        <f t="shared" si="51"/>
        <v>41.514233871655009</v>
      </c>
      <c r="Q283" s="1">
        <f t="shared" si="52"/>
        <v>3.0854152270764845</v>
      </c>
      <c r="R283">
        <f>SQRT(Tabelle2[[#This Row],[vx]]*Tabelle2[[#This Row],[vx]]+Tabelle2[[#This Row],[vy]]*Tabelle2[[#This Row],[vy]])</f>
        <v>41.628732878553286</v>
      </c>
      <c r="S283">
        <f t="shared" si="53"/>
        <v>279.35608832440505</v>
      </c>
      <c r="T283" s="1">
        <f t="shared" si="54"/>
        <v>199.51959503965497</v>
      </c>
    </row>
    <row r="284" spans="6:20" x14ac:dyDescent="0.35">
      <c r="F284" s="1">
        <f t="shared" si="50"/>
        <v>5.6199999999999681</v>
      </c>
      <c r="G284">
        <f>1/2*$B$8*$B$6*$B$7*(Tabelle2[[#This Row],[vx]]*Tabelle2[[#This Row],[vx]]+Tabelle2[[#This Row],[vy]]*Tabelle2[[#This Row],[vy]])/1000000</f>
        <v>3.0573618974722629</v>
      </c>
      <c r="H284">
        <f>IF($B$3,-Tabelle2[[#This Row],[Fd]]*Tabelle2[[#This Row],[vx]]/Tabelle2[[#This Row],[v]],0)</f>
        <v>-3.0499853920579265</v>
      </c>
      <c r="I284">
        <f t="shared" si="44"/>
        <v>-2.0333235947052843</v>
      </c>
      <c r="J284">
        <f t="shared" si="45"/>
        <v>-4.0666471894105688E-2</v>
      </c>
      <c r="K284">
        <f t="shared" si="46"/>
        <v>0.82906280778191443</v>
      </c>
      <c r="L284">
        <f>-$B$5*$B$12-IF($B$3,Tabelle2[[#This Row],[Fd]]*Tabelle2[[#This Row],[vy]]/Tabelle2[[#This Row],[v]],0)</f>
        <v>-14.927251926607163</v>
      </c>
      <c r="M284">
        <f t="shared" si="47"/>
        <v>-9.9515012844047757</v>
      </c>
      <c r="N284">
        <f t="shared" si="48"/>
        <v>-0.19903002568809552</v>
      </c>
      <c r="O284">
        <f t="shared" si="49"/>
        <v>5.5733416734872143E-2</v>
      </c>
      <c r="P284" s="1">
        <f t="shared" si="51"/>
        <v>41.473473625042772</v>
      </c>
      <c r="Q284" s="1">
        <f t="shared" si="52"/>
        <v>2.8861858495876551</v>
      </c>
      <c r="R284">
        <f>SQRT(Tabelle2[[#This Row],[vx]]*Tabelle2[[#This Row],[vx]]+Tabelle2[[#This Row],[vy]]*Tabelle2[[#This Row],[vy]])</f>
        <v>41.573778794878372</v>
      </c>
      <c r="S284">
        <f t="shared" si="53"/>
        <v>280.18596539937204</v>
      </c>
      <c r="T284" s="1">
        <f t="shared" si="54"/>
        <v>199.57931105042161</v>
      </c>
    </row>
    <row r="285" spans="6:20" x14ac:dyDescent="0.35">
      <c r="F285" s="1">
        <f t="shared" si="50"/>
        <v>5.6399999999999677</v>
      </c>
      <c r="G285">
        <f>1/2*$B$8*$B$6*$B$7*(Tabelle2[[#This Row],[vx]]*Tabelle2[[#This Row],[vx]]+Tabelle2[[#This Row],[vy]]*Tabelle2[[#This Row],[vy]])/1000000</f>
        <v>3.0494357831588879</v>
      </c>
      <c r="H285">
        <f>IF($B$3,-Tabelle2[[#This Row],[Fd]]*Tabelle2[[#This Row],[vx]]/Tabelle2[[#This Row],[v]],0)</f>
        <v>-3.0430425720321872</v>
      </c>
      <c r="I285">
        <f t="shared" si="44"/>
        <v>-2.0286950480214583</v>
      </c>
      <c r="J285">
        <f t="shared" si="45"/>
        <v>-4.057390096042917E-2</v>
      </c>
      <c r="K285">
        <f t="shared" si="46"/>
        <v>0.82825040405336914</v>
      </c>
      <c r="L285">
        <f>-$B$5*$B$12-IF($B$3,Tabelle2[[#This Row],[Fd]]*Tabelle2[[#This Row],[vy]]/Tabelle2[[#This Row],[v]],0)</f>
        <v>-14.912358811330002</v>
      </c>
      <c r="M285">
        <f t="shared" si="47"/>
        <v>-9.9415725408866678</v>
      </c>
      <c r="N285">
        <f t="shared" si="48"/>
        <v>-0.19883145081773335</v>
      </c>
      <c r="O285">
        <f t="shared" si="49"/>
        <v>5.1754801969813857E-2</v>
      </c>
      <c r="P285" s="1">
        <f t="shared" si="51"/>
        <v>41.432807153148666</v>
      </c>
      <c r="Q285" s="1">
        <f t="shared" si="52"/>
        <v>2.6871558238995594</v>
      </c>
      <c r="R285">
        <f>SQRT(Tabelle2[[#This Row],[vx]]*Tabelle2[[#This Row],[vx]]+Tabelle2[[#This Row],[vy]]*Tabelle2[[#This Row],[vy]])</f>
        <v>41.519854467614941</v>
      </c>
      <c r="S285">
        <f t="shared" si="53"/>
        <v>281.01502820715393</v>
      </c>
      <c r="T285" s="1">
        <f t="shared" si="54"/>
        <v>199.63504446715649</v>
      </c>
    </row>
    <row r="286" spans="6:20" x14ac:dyDescent="0.35">
      <c r="F286" s="1">
        <f t="shared" si="50"/>
        <v>5.6599999999999673</v>
      </c>
      <c r="G286">
        <f>1/2*$B$8*$B$6*$B$7*(Tabelle2[[#This Row],[vx]]*Tabelle2[[#This Row],[vx]]+Tabelle2[[#This Row],[vy]]*Tabelle2[[#This Row],[vy]])/1000000</f>
        <v>3.0416709677774509</v>
      </c>
      <c r="H286">
        <f>IF($B$3,-Tabelle2[[#This Row],[Fd]]*Tabelle2[[#This Row],[vx]]/Tabelle2[[#This Row],[v]],0)</f>
        <v>-3.036189670852131</v>
      </c>
      <c r="I286">
        <f t="shared" si="44"/>
        <v>-2.024126447234754</v>
      </c>
      <c r="J286">
        <f t="shared" si="45"/>
        <v>-4.0482528944695083E-2</v>
      </c>
      <c r="K286">
        <f t="shared" si="46"/>
        <v>0.82743983975431779</v>
      </c>
      <c r="L286">
        <f>-$B$5*$B$12-IF($B$3,Tabelle2[[#This Row],[Fd]]*Tabelle2[[#This Row],[vy]]/Tabelle2[[#This Row],[v]],0)</f>
        <v>-14.897522762501133</v>
      </c>
      <c r="M286">
        <f t="shared" si="47"/>
        <v>-9.9316818416674213</v>
      </c>
      <c r="N286">
        <f t="shared" si="48"/>
        <v>-0.19863363683334842</v>
      </c>
      <c r="O286">
        <f t="shared" si="49"/>
        <v>4.7780151093303039E-2</v>
      </c>
      <c r="P286" s="1">
        <f t="shared" si="51"/>
        <v>41.392233252188234</v>
      </c>
      <c r="Q286" s="1">
        <f t="shared" si="52"/>
        <v>2.4883243730818263</v>
      </c>
      <c r="R286">
        <f>SQRT(Tabelle2[[#This Row],[vx]]*Tabelle2[[#This Row],[vx]]+Tabelle2[[#This Row],[vy]]*Tabelle2[[#This Row],[vy]])</f>
        <v>41.466959519468389</v>
      </c>
      <c r="S286">
        <f t="shared" si="53"/>
        <v>281.84327861120732</v>
      </c>
      <c r="T286" s="1">
        <f t="shared" si="54"/>
        <v>199.68679926912631</v>
      </c>
    </row>
    <row r="287" spans="6:20" x14ac:dyDescent="0.35">
      <c r="F287" s="1">
        <f t="shared" si="50"/>
        <v>5.6799999999999669</v>
      </c>
      <c r="G287">
        <f>1/2*$B$8*$B$6*$B$7*(Tabelle2[[#This Row],[vx]]*Tabelle2[[#This Row],[vx]]+Tabelle2[[#This Row],[vy]]*Tabelle2[[#This Row],[vy]])/1000000</f>
        <v>3.0340668108512432</v>
      </c>
      <c r="H287">
        <f>IF($B$3,-Tabelle2[[#This Row],[Fd]]*Tabelle2[[#This Row],[vx]]/Tabelle2[[#This Row],[v]],0)</f>
        <v>-3.0294263218156394</v>
      </c>
      <c r="I287">
        <f t="shared" si="44"/>
        <v>-2.0196175478770928</v>
      </c>
      <c r="J287">
        <f t="shared" si="45"/>
        <v>-4.0392350957541859E-2</v>
      </c>
      <c r="K287">
        <f t="shared" si="46"/>
        <v>0.82663109095529541</v>
      </c>
      <c r="L287">
        <f>-$B$5*$B$12-IF($B$3,Tabelle2[[#This Row],[Fd]]*Tabelle2[[#This Row],[vy]]/Tabelle2[[#This Row],[v]],0)</f>
        <v>-14.88274258075873</v>
      </c>
      <c r="M287">
        <f t="shared" si="47"/>
        <v>-9.9218283871724875</v>
      </c>
      <c r="N287">
        <f t="shared" si="48"/>
        <v>-0.19843656774344975</v>
      </c>
      <c r="O287">
        <f t="shared" si="49"/>
        <v>4.3809449047535066E-2</v>
      </c>
      <c r="P287" s="1">
        <f t="shared" si="51"/>
        <v>41.351750723243541</v>
      </c>
      <c r="Q287" s="1">
        <f t="shared" si="52"/>
        <v>2.289690736248478</v>
      </c>
      <c r="R287">
        <f>SQRT(Tabelle2[[#This Row],[vx]]*Tabelle2[[#This Row],[vx]]+Tabelle2[[#This Row],[vy]]*Tabelle2[[#This Row],[vy]])</f>
        <v>41.415093523315079</v>
      </c>
      <c r="S287">
        <f t="shared" si="53"/>
        <v>282.67071845096166</v>
      </c>
      <c r="T287" s="1">
        <f t="shared" si="54"/>
        <v>199.7345794202196</v>
      </c>
    </row>
    <row r="288" spans="6:20" x14ac:dyDescent="0.35">
      <c r="F288" s="1">
        <f t="shared" si="50"/>
        <v>5.6999999999999664</v>
      </c>
      <c r="G288">
        <f>1/2*$B$8*$B$6*$B$7*(Tabelle2[[#This Row],[vx]]*Tabelle2[[#This Row],[vx]]+Tabelle2[[#This Row],[vy]]*Tabelle2[[#This Row],[vy]])/1000000</f>
        <v>3.0266226760678694</v>
      </c>
      <c r="H288">
        <f>IF($B$3,-Tabelle2[[#This Row],[Fd]]*Tabelle2[[#This Row],[vx]]/Tabelle2[[#This Row],[v]],0)</f>
        <v>-3.0227521564531328</v>
      </c>
      <c r="I288">
        <f t="shared" si="44"/>
        <v>-2.0151681043020884</v>
      </c>
      <c r="J288">
        <f t="shared" si="45"/>
        <v>-4.0303362086041766E-2</v>
      </c>
      <c r="K288">
        <f t="shared" si="46"/>
        <v>0.82582413382485964</v>
      </c>
      <c r="L288">
        <f>-$B$5*$B$12-IF($B$3,Tabelle2[[#This Row],[Fd]]*Tabelle2[[#This Row],[vy]]/Tabelle2[[#This Row],[v]],0)</f>
        <v>-14.868017070767173</v>
      </c>
      <c r="M288">
        <f t="shared" si="47"/>
        <v>-9.9120113805114496</v>
      </c>
      <c r="N288">
        <f t="shared" si="48"/>
        <v>-0.198240227610229</v>
      </c>
      <c r="O288">
        <f t="shared" si="49"/>
        <v>3.9842681093998279E-2</v>
      </c>
      <c r="P288" s="1">
        <f t="shared" si="51"/>
        <v>41.311358372286001</v>
      </c>
      <c r="Q288" s="1">
        <f t="shared" si="52"/>
        <v>2.0912541685050283</v>
      </c>
      <c r="R288">
        <f>SQRT(Tabelle2[[#This Row],[vx]]*Tabelle2[[#This Row],[vx]]+Tabelle2[[#This Row],[vy]]*Tabelle2[[#This Row],[vy]])</f>
        <v>41.364256001537541</v>
      </c>
      <c r="S288">
        <f t="shared" si="53"/>
        <v>283.49734954191695</v>
      </c>
      <c r="T288" s="1">
        <f t="shared" si="54"/>
        <v>199.77838886926713</v>
      </c>
    </row>
    <row r="289" spans="6:20" x14ac:dyDescent="0.35">
      <c r="F289" s="1">
        <f t="shared" si="50"/>
        <v>5.719999999999966</v>
      </c>
      <c r="G289">
        <f>1/2*$B$8*$B$6*$B$7*(Tabelle2[[#This Row],[vx]]*Tabelle2[[#This Row],[vx]]+Tabelle2[[#This Row],[vy]]*Tabelle2[[#This Row],[vy]])/1000000</f>
        <v>3.0193379312136015</v>
      </c>
      <c r="H289">
        <f>IF($B$3,-Tabelle2[[#This Row],[Fd]]*Tabelle2[[#This Row],[vx]]/Tabelle2[[#This Row],[v]],0)</f>
        <v>-3.0161668044753864</v>
      </c>
      <c r="I289">
        <f t="shared" si="44"/>
        <v>-2.0107778696502576</v>
      </c>
      <c r="J289">
        <f t="shared" si="45"/>
        <v>-4.0215557393005155E-2</v>
      </c>
      <c r="K289">
        <f t="shared" si="46"/>
        <v>0.82501894463006908</v>
      </c>
      <c r="L289">
        <f>-$B$5*$B$12-IF($B$3,Tabelle2[[#This Row],[Fd]]*Tabelle2[[#This Row],[vy]]/Tabelle2[[#This Row],[v]],0)</f>
        <v>-14.853345041277111</v>
      </c>
      <c r="M289">
        <f t="shared" si="47"/>
        <v>-9.9022300275180744</v>
      </c>
      <c r="N289">
        <f t="shared" si="48"/>
        <v>-0.19804460055036149</v>
      </c>
      <c r="O289">
        <f t="shared" si="49"/>
        <v>3.5879832812392369E-2</v>
      </c>
      <c r="P289" s="1">
        <f t="shared" si="51"/>
        <v>41.271055010199959</v>
      </c>
      <c r="Q289" s="1">
        <f t="shared" si="52"/>
        <v>1.8930139408947992</v>
      </c>
      <c r="R289">
        <f>SQRT(Tabelle2[[#This Row],[vx]]*Tabelle2[[#This Row],[vx]]+Tabelle2[[#This Row],[vy]]*Tabelle2[[#This Row],[vy]])</f>
        <v>41.314446425377326</v>
      </c>
      <c r="S289">
        <f t="shared" si="53"/>
        <v>284.32317367574183</v>
      </c>
      <c r="T289" s="1">
        <f t="shared" si="54"/>
        <v>199.81823155036113</v>
      </c>
    </row>
    <row r="290" spans="6:20" x14ac:dyDescent="0.35">
      <c r="F290" s="1">
        <f t="shared" si="50"/>
        <v>5.7399999999999656</v>
      </c>
      <c r="G290">
        <f>1/2*$B$8*$B$6*$B$7*(Tabelle2[[#This Row],[vx]]*Tabelle2[[#This Row],[vx]]+Tabelle2[[#This Row],[vy]]*Tabelle2[[#This Row],[vy]])/1000000</f>
        <v>3.0122119481082987</v>
      </c>
      <c r="H290">
        <f>IF($B$3,-Tabelle2[[#This Row],[Fd]]*Tabelle2[[#This Row],[vx]]/Tabelle2[[#This Row],[v]],0)</f>
        <v>-3.0096698937230233</v>
      </c>
      <c r="I290">
        <f t="shared" si="44"/>
        <v>-2.006446595815349</v>
      </c>
      <c r="J290">
        <f t="shared" si="45"/>
        <v>-4.0128931916306981E-2</v>
      </c>
      <c r="K290">
        <f t="shared" si="46"/>
        <v>0.82421549973697594</v>
      </c>
      <c r="L290">
        <f>-$B$5*$B$12-IF($B$3,Tabelle2[[#This Row],[Fd]]*Tabelle2[[#This Row],[vy]]/Tabelle2[[#This Row],[v]],0)</f>
        <v>-14.838725305187085</v>
      </c>
      <c r="M290">
        <f t="shared" si="47"/>
        <v>-9.8924835367913904</v>
      </c>
      <c r="N290">
        <f t="shared" si="48"/>
        <v>-0.19784967073582782</v>
      </c>
      <c r="O290">
        <f t="shared" si="49"/>
        <v>3.1920890099530475E-2</v>
      </c>
      <c r="P290" s="1">
        <f t="shared" si="51"/>
        <v>41.230839452806954</v>
      </c>
      <c r="Q290" s="1">
        <f t="shared" si="52"/>
        <v>1.6949693403444377</v>
      </c>
      <c r="R290">
        <f>SQRT(Tabelle2[[#This Row],[vx]]*Tabelle2[[#This Row],[vx]]+Tabelle2[[#This Row],[vy]]*Tabelle2[[#This Row],[vy]])</f>
        <v>41.265664214305943</v>
      </c>
      <c r="S290">
        <f t="shared" si="53"/>
        <v>285.1481926203719</v>
      </c>
      <c r="T290" s="1">
        <f t="shared" si="54"/>
        <v>199.85411138317352</v>
      </c>
    </row>
    <row r="291" spans="6:20" x14ac:dyDescent="0.35">
      <c r="F291" s="1">
        <f t="shared" si="50"/>
        <v>5.7599999999999651</v>
      </c>
      <c r="G291">
        <f>1/2*$B$8*$B$6*$B$7*(Tabelle2[[#This Row],[vx]]*Tabelle2[[#This Row],[vx]]+Tabelle2[[#This Row],[vy]]*Tabelle2[[#This Row],[vy]])/1000000</f>
        <v>3.0052441025408756</v>
      </c>
      <c r="H291">
        <f>IF($B$3,-Tabelle2[[#This Row],[Fd]]*Tabelle2[[#This Row],[vx]]/Tabelle2[[#This Row],[v]],0)</f>
        <v>-3.0032610501176809</v>
      </c>
      <c r="I291">
        <f t="shared" si="44"/>
        <v>-2.0021740334117872</v>
      </c>
      <c r="J291">
        <f t="shared" si="45"/>
        <v>-4.0043480668235744E-2</v>
      </c>
      <c r="K291">
        <f t="shared" si="46"/>
        <v>0.82341377561113061</v>
      </c>
      <c r="L291">
        <f>-$B$5*$B$12-IF($B$3,Tabelle2[[#This Row],[Fd]]*Tabelle2[[#This Row],[vy]]/Tabelle2[[#This Row],[v]],0)</f>
        <v>-14.824156679606686</v>
      </c>
      <c r="M291">
        <f t="shared" si="47"/>
        <v>-9.8827711197377912</v>
      </c>
      <c r="N291">
        <f t="shared" si="48"/>
        <v>-0.19765542239475584</v>
      </c>
      <c r="O291">
        <f t="shared" si="49"/>
        <v>2.7965839168224642E-2</v>
      </c>
      <c r="P291" s="1">
        <f t="shared" si="51"/>
        <v>41.190710520890647</v>
      </c>
      <c r="Q291" s="1">
        <f t="shared" si="52"/>
        <v>1.49711966960861</v>
      </c>
      <c r="R291">
        <f>SQRT(Tabelle2[[#This Row],[vx]]*Tabelle2[[#This Row],[vx]]+Tabelle2[[#This Row],[vy]]*Tabelle2[[#This Row],[vy]])</f>
        <v>41.217908735414277</v>
      </c>
      <c r="S291">
        <f t="shared" si="53"/>
        <v>285.97240812010887</v>
      </c>
      <c r="T291" s="1">
        <f t="shared" si="54"/>
        <v>199.88603227327306</v>
      </c>
    </row>
    <row r="292" spans="6:20" x14ac:dyDescent="0.35">
      <c r="F292" s="1">
        <f t="shared" si="50"/>
        <v>5.7799999999999647</v>
      </c>
      <c r="G292">
        <f>1/2*$B$8*$B$6*$B$7*(Tabelle2[[#This Row],[vx]]*Tabelle2[[#This Row],[vx]]+Tabelle2[[#This Row],[vy]]*Tabelle2[[#This Row],[vy]])/1000000</f>
        <v>2.9984337742053406</v>
      </c>
      <c r="H292">
        <f>IF($B$3,-Tabelle2[[#This Row],[Fd]]*Tabelle2[[#This Row],[vx]]/Tabelle2[[#This Row],[v]],0)</f>
        <v>-2.9969398976149098</v>
      </c>
      <c r="I292">
        <f t="shared" si="44"/>
        <v>-1.9979599317432732</v>
      </c>
      <c r="J292">
        <f t="shared" si="45"/>
        <v>-3.9959198634865467E-2</v>
      </c>
      <c r="K292">
        <f t="shared" si="46"/>
        <v>0.82261374881809957</v>
      </c>
      <c r="L292">
        <f>-$B$5*$B$12-IF($B$3,Tabelle2[[#This Row],[Fd]]*Tabelle2[[#This Row],[vy]]/Tabelle2[[#This Row],[v]],0)</f>
        <v>-14.809637985921169</v>
      </c>
      <c r="M292">
        <f t="shared" si="47"/>
        <v>-9.8730919906141121</v>
      </c>
      <c r="N292">
        <f t="shared" si="48"/>
        <v>-0.19746183981228224</v>
      </c>
      <c r="O292">
        <f t="shared" si="49"/>
        <v>2.4014666546154265E-2</v>
      </c>
      <c r="P292" s="1">
        <f t="shared" si="51"/>
        <v>41.150667040222409</v>
      </c>
      <c r="Q292" s="1">
        <f t="shared" si="52"/>
        <v>1.2994642472138542</v>
      </c>
      <c r="R292">
        <f>SQRT(Tabelle2[[#This Row],[vx]]*Tabelle2[[#This Row],[vx]]+Tabelle2[[#This Row],[vy]]*Tabelle2[[#This Row],[vy]])</f>
        <v>41.171179302820974</v>
      </c>
      <c r="S292">
        <f t="shared" si="53"/>
        <v>286.79582189572</v>
      </c>
      <c r="T292" s="1">
        <f t="shared" si="54"/>
        <v>199.91399811244128</v>
      </c>
    </row>
    <row r="293" spans="6:20" x14ac:dyDescent="0.35">
      <c r="F293" s="1">
        <f t="shared" si="50"/>
        <v>5.7999999999999643</v>
      </c>
      <c r="G293">
        <f>1/2*$B$8*$B$6*$B$7*(Tabelle2[[#This Row],[vx]]*Tabelle2[[#This Row],[vx]]+Tabelle2[[#This Row],[vy]]*Tabelle2[[#This Row],[vy]])/1000000</f>
        <v>2.9917803466373747</v>
      </c>
      <c r="H293">
        <f>IF($B$3,-Tabelle2[[#This Row],[Fd]]*Tabelle2[[#This Row],[vx]]/Tabelle2[[#This Row],[v]],0)</f>
        <v>-2.990706058158791</v>
      </c>
      <c r="I293">
        <f t="shared" si="44"/>
        <v>-1.9938040387725273</v>
      </c>
      <c r="J293">
        <f t="shared" si="45"/>
        <v>-3.9876080775450545E-2</v>
      </c>
      <c r="K293">
        <f t="shared" si="46"/>
        <v>0.82181539602399623</v>
      </c>
      <c r="L293">
        <f>-$B$5*$B$12-IF($B$3,Tabelle2[[#This Row],[Fd]]*Tabelle2[[#This Row],[vy]]/Tabelle2[[#This Row],[v]],0)</f>
        <v>-14.795168049857498</v>
      </c>
      <c r="M293">
        <f t="shared" si="47"/>
        <v>-9.8634453665716659</v>
      </c>
      <c r="N293">
        <f t="shared" si="48"/>
        <v>-0.19726890733143332</v>
      </c>
      <c r="O293">
        <f t="shared" si="49"/>
        <v>2.0067359074717107E-2</v>
      </c>
      <c r="P293" s="1">
        <f t="shared" si="51"/>
        <v>41.110707841587541</v>
      </c>
      <c r="Q293" s="1">
        <f t="shared" si="52"/>
        <v>1.102002407401572</v>
      </c>
      <c r="R293">
        <f>SQRT(Tabelle2[[#This Row],[vx]]*Tabelle2[[#This Row],[vx]]+Tabelle2[[#This Row],[vy]]*Tabelle2[[#This Row],[vy]])</f>
        <v>41.12547517710022</v>
      </c>
      <c r="S293">
        <f t="shared" si="53"/>
        <v>287.61843564453807</v>
      </c>
      <c r="T293" s="1">
        <f t="shared" si="54"/>
        <v>199.93801277898743</v>
      </c>
    </row>
    <row r="294" spans="6:20" x14ac:dyDescent="0.35">
      <c r="F294" s="1">
        <f t="shared" si="50"/>
        <v>5.8199999999999639</v>
      </c>
      <c r="G294">
        <f>1/2*$B$8*$B$6*$B$7*(Tabelle2[[#This Row],[vx]]*Tabelle2[[#This Row],[vx]]+Tabelle2[[#This Row],[vy]]*Tabelle2[[#This Row],[vy]])/1000000</f>
        <v>2.9852832071514741</v>
      </c>
      <c r="H294">
        <f>IF($B$3,-Tabelle2[[#This Row],[Fd]]*Tabelle2[[#This Row],[vx]]/Tabelle2[[#This Row],[v]],0)</f>
        <v>-2.9845591516383219</v>
      </c>
      <c r="I294">
        <f t="shared" si="44"/>
        <v>-1.9897061010922146</v>
      </c>
      <c r="J294">
        <f t="shared" si="45"/>
        <v>-3.9794122021844291E-2</v>
      </c>
      <c r="K294">
        <f t="shared" si="46"/>
        <v>0.82101869399602334</v>
      </c>
      <c r="L294">
        <f>-$B$5*$B$12-IF($B$3,Tabelle2[[#This Row],[Fd]]*Tabelle2[[#This Row],[vy]]/Tabelle2[[#This Row],[v]],0)</f>
        <v>-14.780745701551741</v>
      </c>
      <c r="M294">
        <f t="shared" si="47"/>
        <v>-9.8538304677011599</v>
      </c>
      <c r="N294">
        <f t="shared" si="48"/>
        <v>-0.19707660935402321</v>
      </c>
      <c r="O294">
        <f t="shared" si="49"/>
        <v>1.6123903907862541E-2</v>
      </c>
      <c r="P294" s="1">
        <f t="shared" si="51"/>
        <v>41.070831760812091</v>
      </c>
      <c r="Q294" s="1">
        <f t="shared" si="52"/>
        <v>0.90473350007013864</v>
      </c>
      <c r="R294">
        <f>SQRT(Tabelle2[[#This Row],[vx]]*Tabelle2[[#This Row],[vx]]+Tabelle2[[#This Row],[vy]]*Tabelle2[[#This Row],[vy]])</f>
        <v>41.080795564729272</v>
      </c>
      <c r="S294">
        <f t="shared" si="53"/>
        <v>288.44025104056209</v>
      </c>
      <c r="T294" s="1">
        <f t="shared" si="54"/>
        <v>199.95808013806214</v>
      </c>
    </row>
    <row r="295" spans="6:20" x14ac:dyDescent="0.35">
      <c r="F295" s="1">
        <f t="shared" si="50"/>
        <v>5.8399999999999634</v>
      </c>
      <c r="G295">
        <f>1/2*$B$8*$B$6*$B$7*(Tabelle2[[#This Row],[vx]]*Tabelle2[[#This Row],[vx]]+Tabelle2[[#This Row],[vy]]*Tabelle2[[#This Row],[vy]])/1000000</f>
        <v>2.9789417467786334</v>
      </c>
      <c r="H295">
        <f>IF($B$3,-Tabelle2[[#This Row],[Fd]]*Tabelle2[[#This Row],[vx]]/Tabelle2[[#This Row],[v]],0)</f>
        <v>-2.9784987958455704</v>
      </c>
      <c r="I295">
        <f t="shared" si="44"/>
        <v>-1.985665863897047</v>
      </c>
      <c r="J295">
        <f t="shared" si="45"/>
        <v>-3.9713317277940939E-2</v>
      </c>
      <c r="K295">
        <f t="shared" si="46"/>
        <v>0.82022361960302548</v>
      </c>
      <c r="L295">
        <f>-$B$5*$B$12-IF($B$3,Tabelle2[[#This Row],[Fd]]*Tabelle2[[#This Row],[vy]]/Tabelle2[[#This Row],[v]],0)</f>
        <v>-14.76636977561779</v>
      </c>
      <c r="M295">
        <f t="shared" si="47"/>
        <v>-9.8442465170785258</v>
      </c>
      <c r="N295">
        <f t="shared" si="48"/>
        <v>-0.19688493034157051</v>
      </c>
      <c r="O295">
        <f t="shared" si="49"/>
        <v>1.2184288510906603E-2</v>
      </c>
      <c r="P295" s="1">
        <f t="shared" si="51"/>
        <v>41.031037638790245</v>
      </c>
      <c r="Q295" s="1">
        <f t="shared" si="52"/>
        <v>0.70765689071611537</v>
      </c>
      <c r="R295">
        <f>SQRT(Tabelle2[[#This Row],[vx]]*Tabelle2[[#This Row],[vx]]+Tabelle2[[#This Row],[vy]]*Tabelle2[[#This Row],[vy]])</f>
        <v>41.037139617556193</v>
      </c>
      <c r="S295">
        <f t="shared" si="53"/>
        <v>289.26126973455808</v>
      </c>
      <c r="T295" s="1">
        <f t="shared" si="54"/>
        <v>199.97420404197001</v>
      </c>
    </row>
    <row r="296" spans="6:20" x14ac:dyDescent="0.35">
      <c r="F296" s="1">
        <f t="shared" si="50"/>
        <v>5.859999999999963</v>
      </c>
      <c r="G296">
        <f>1/2*$B$8*$B$6*$B$7*(Tabelle2[[#This Row],[vx]]*Tabelle2[[#This Row],[vx]]+Tabelle2[[#This Row],[vy]]*Tabelle2[[#This Row],[vy]])/1000000</f>
        <v>2.9727553602045798</v>
      </c>
      <c r="H296">
        <f>IF($B$3,-Tabelle2[[#This Row],[Fd]]*Tabelle2[[#This Row],[vx]]/Tabelle2[[#This Row],[v]],0)</f>
        <v>-2.9725246064356288</v>
      </c>
      <c r="I296">
        <f t="shared" si="44"/>
        <v>-1.9816830709570858</v>
      </c>
      <c r="J296">
        <f t="shared" si="45"/>
        <v>-3.9633661419141715E-2</v>
      </c>
      <c r="K296">
        <f t="shared" si="46"/>
        <v>0.81943014981605455</v>
      </c>
      <c r="L296">
        <f>-$B$5*$B$12-IF($B$3,Tabelle2[[#This Row],[Fd]]*Tabelle2[[#This Row],[vy]]/Tabelle2[[#This Row],[v]],0)</f>
        <v>-14.752039111217343</v>
      </c>
      <c r="M296">
        <f t="shared" si="47"/>
        <v>-9.8346927408115619</v>
      </c>
      <c r="N296">
        <f t="shared" si="48"/>
        <v>-0.19669385481623125</v>
      </c>
      <c r="O296">
        <f t="shared" si="49"/>
        <v>8.2485006593285854E-3</v>
      </c>
      <c r="P296" s="1">
        <f t="shared" si="51"/>
        <v>40.991324321512302</v>
      </c>
      <c r="Q296" s="1">
        <f t="shared" si="52"/>
        <v>0.51077196037454486</v>
      </c>
      <c r="R296">
        <f>SQRT(Tabelle2[[#This Row],[vx]]*Tabelle2[[#This Row],[vx]]+Tabelle2[[#This Row],[vy]]*Tabelle2[[#This Row],[vy]])</f>
        <v>40.994506432288105</v>
      </c>
      <c r="S296">
        <f t="shared" si="53"/>
        <v>290.08149335416113</v>
      </c>
      <c r="T296" s="1">
        <f t="shared" si="54"/>
        <v>199.98638833048091</v>
      </c>
    </row>
    <row r="297" spans="6:20" x14ac:dyDescent="0.35">
      <c r="F297" s="1">
        <f t="shared" si="50"/>
        <v>5.8799999999999626</v>
      </c>
      <c r="G297">
        <f>1/2*$B$8*$B$6*$B$7*(Tabelle2[[#This Row],[vx]]*Tabelle2[[#This Row],[vx]]+Tabelle2[[#This Row],[vy]]*Tabelle2[[#This Row],[vy]])/1000000</f>
        <v>2.9667234457085492</v>
      </c>
      <c r="H297">
        <f>IF($B$3,-Tabelle2[[#This Row],[Fd]]*Tabelle2[[#This Row],[vx]]/Tabelle2[[#This Row],[v]],0)</f>
        <v>-2.9666361968883765</v>
      </c>
      <c r="I297">
        <f t="shared" si="44"/>
        <v>-1.9777574645922511</v>
      </c>
      <c r="J297">
        <f t="shared" si="45"/>
        <v>-3.9555149291845025E-2</v>
      </c>
      <c r="K297">
        <f t="shared" si="46"/>
        <v>0.81863826170894483</v>
      </c>
      <c r="L297">
        <f>-$B$5*$B$12-IF($B$3,Tabelle2[[#This Row],[Fd]]*Tabelle2[[#This Row],[vy]]/Tabelle2[[#This Row],[v]],0)</f>
        <v>-14.737752552131075</v>
      </c>
      <c r="M297">
        <f t="shared" si="47"/>
        <v>-9.8251683680873843</v>
      </c>
      <c r="N297">
        <f t="shared" si="48"/>
        <v>-0.1965033673617477</v>
      </c>
      <c r="O297">
        <f t="shared" si="49"/>
        <v>4.3165284375487958E-3</v>
      </c>
      <c r="P297" s="1">
        <f t="shared" si="51"/>
        <v>40.951690660093163</v>
      </c>
      <c r="Q297" s="1">
        <f t="shared" si="52"/>
        <v>0.31407810555831361</v>
      </c>
      <c r="R297">
        <f>SQRT(Tabelle2[[#This Row],[vx]]*Tabelle2[[#This Row],[vx]]+Tabelle2[[#This Row],[vy]]*Tabelle2[[#This Row],[vy]])</f>
        <v>40.952895050000464</v>
      </c>
      <c r="S297">
        <f t="shared" si="53"/>
        <v>290.9009235039772</v>
      </c>
      <c r="T297" s="1">
        <f t="shared" si="54"/>
        <v>199.99463683114024</v>
      </c>
    </row>
    <row r="298" spans="6:20" x14ac:dyDescent="0.35">
      <c r="F298" s="1">
        <f t="shared" si="50"/>
        <v>5.8999999999999622</v>
      </c>
      <c r="G298">
        <f>1/2*$B$8*$B$6*$B$7*(Tabelle2[[#This Row],[vx]]*Tabelle2[[#This Row],[vx]]+Tabelle2[[#This Row],[vy]]*Tabelle2[[#This Row],[vy]])/1000000</f>
        <v>2.9608454051026061</v>
      </c>
      <c r="H298">
        <f>IF($B$3,-Tabelle2[[#This Row],[Fd]]*Tabelle2[[#This Row],[vx]]/Tabelle2[[#This Row],[v]],0)</f>
        <v>-2.9608331784720736</v>
      </c>
      <c r="I298">
        <f t="shared" si="44"/>
        <v>-1.9738887856480491</v>
      </c>
      <c r="J298">
        <f t="shared" si="45"/>
        <v>-3.9477775712960982E-2</v>
      </c>
      <c r="K298">
        <f t="shared" si="46"/>
        <v>0.81784793245889675</v>
      </c>
      <c r="L298">
        <f>-$B$5*$B$12-IF($B$3,Tabelle2[[#This Row],[Fd]]*Tabelle2[[#This Row],[vy]]/Tabelle2[[#This Row],[v]],0)</f>
        <v>-14.723508946830963</v>
      </c>
      <c r="M298">
        <f t="shared" si="47"/>
        <v>-9.8156726312206413</v>
      </c>
      <c r="N298">
        <f t="shared" si="48"/>
        <v>-0.19631345262441283</v>
      </c>
      <c r="O298">
        <f t="shared" si="49"/>
        <v>3.8836023768719005E-4</v>
      </c>
      <c r="P298" s="1">
        <f t="shared" si="51"/>
        <v>40.91213551080132</v>
      </c>
      <c r="Q298" s="1">
        <f t="shared" si="52"/>
        <v>0.11757473819656591</v>
      </c>
      <c r="R298">
        <f>SQRT(Tabelle2[[#This Row],[vx]]*Tabelle2[[#This Row],[vx]]+Tabelle2[[#This Row],[vy]]*Tabelle2[[#This Row],[vy]])</f>
        <v>40.912304455667524</v>
      </c>
      <c r="S298">
        <f t="shared" si="53"/>
        <v>291.71956176568614</v>
      </c>
      <c r="T298" s="1">
        <f t="shared" si="54"/>
        <v>199.9989533595778</v>
      </c>
    </row>
    <row r="299" spans="6:20" x14ac:dyDescent="0.35">
      <c r="F299" s="1">
        <f t="shared" si="50"/>
        <v>5.9199999999999617</v>
      </c>
      <c r="G299">
        <f>1/2*$B$8*$B$6*$B$7*(Tabelle2[[#This Row],[vx]]*Tabelle2[[#This Row],[vx]]+Tabelle2[[#This Row],[vy]]*Tabelle2[[#This Row],[vy]])/1000000</f>
        <v>2.9551206436715041</v>
      </c>
      <c r="H299">
        <f>IF($B$3,-Tabelle2[[#This Row],[Fd]]*Tabelle2[[#This Row],[vx]]/Tabelle2[[#This Row],[v]],0)</f>
        <v>-2.9551151602088024</v>
      </c>
      <c r="I299">
        <f t="shared" si="44"/>
        <v>-1.9700767734725348</v>
      </c>
      <c r="J299">
        <f t="shared" si="45"/>
        <v>-3.9401535469450695E-2</v>
      </c>
      <c r="K299">
        <f t="shared" si="46"/>
        <v>0.81705913934707275</v>
      </c>
      <c r="L299">
        <f>-$B$5*$B$12-IF($B$3,Tabelle2[[#This Row],[Fd]]*Tabelle2[[#This Row],[vy]]/Tabelle2[[#This Row],[v]],0)</f>
        <v>-14.709307148553705</v>
      </c>
      <c r="M299">
        <f t="shared" si="47"/>
        <v>-9.8062047657024696</v>
      </c>
      <c r="N299">
        <f t="shared" si="48"/>
        <v>-0.1961240953140494</v>
      </c>
      <c r="O299">
        <f t="shared" si="49"/>
        <v>-3.5360152416974325E-3</v>
      </c>
      <c r="P299" s="1">
        <f t="shared" si="51"/>
        <v>40.87265773508836</v>
      </c>
      <c r="Q299" s="1">
        <f t="shared" si="52"/>
        <v>-7.8738714427846912E-2</v>
      </c>
      <c r="R299">
        <f>SQRT(Tabelle2[[#This Row],[vx]]*Tabelle2[[#This Row],[vx]]+Tabelle2[[#This Row],[vy]]*Tabelle2[[#This Row],[vy]])</f>
        <v>40.87273357771447</v>
      </c>
      <c r="S299">
        <f t="shared" si="53"/>
        <v>292.53740969814504</v>
      </c>
      <c r="T299" s="1">
        <f t="shared" si="54"/>
        <v>199.99934171981548</v>
      </c>
    </row>
    <row r="300" spans="6:20" x14ac:dyDescent="0.35">
      <c r="F300" s="1">
        <f t="shared" si="50"/>
        <v>5.9399999999999613</v>
      </c>
      <c r="G300">
        <f>1/2*$B$8*$B$6*$B$7*(Tabelle2[[#This Row],[vx]]*Tabelle2[[#This Row],[vx]]+Tabelle2[[#This Row],[vy]]*Tabelle2[[#This Row],[vy]])/1000000</f>
        <v>2.9495485701130866</v>
      </c>
      <c r="H300">
        <f>IF($B$3,-Tabelle2[[#This Row],[Fd]]*Tabelle2[[#This Row],[vx]]/Tabelle2[[#This Row],[v]],0)</f>
        <v>-2.9494817488417642</v>
      </c>
      <c r="I300">
        <f t="shared" si="44"/>
        <v>-1.9663211658945094</v>
      </c>
      <c r="J300">
        <f t="shared" si="45"/>
        <v>-3.9326423317890193E-2</v>
      </c>
      <c r="K300">
        <f t="shared" si="46"/>
        <v>0.81627185975919936</v>
      </c>
      <c r="L300">
        <f>-$B$5*$B$12-IF($B$3,Tabelle2[[#This Row],[Fd]]*Tabelle2[[#This Row],[vy]]/Tabelle2[[#This Row],[v]],0)</f>
        <v>-14.695146015375167</v>
      </c>
      <c r="M300">
        <f t="shared" si="47"/>
        <v>-9.7967640102501115</v>
      </c>
      <c r="N300">
        <f t="shared" si="48"/>
        <v>-0.19593528020500223</v>
      </c>
      <c r="O300">
        <f t="shared" si="49"/>
        <v>-7.456608996887948E-3</v>
      </c>
      <c r="P300" s="1">
        <f t="shared" si="51"/>
        <v>40.833256199618909</v>
      </c>
      <c r="Q300" s="1">
        <f t="shared" si="52"/>
        <v>-0.27486280974189631</v>
      </c>
      <c r="R300">
        <f>SQRT(Tabelle2[[#This Row],[vx]]*Tabelle2[[#This Row],[vx]]+Tabelle2[[#This Row],[vy]]*Tabelle2[[#This Row],[vy]])</f>
        <v>40.834181287591591</v>
      </c>
      <c r="S300">
        <f t="shared" si="53"/>
        <v>293.35446883749211</v>
      </c>
      <c r="T300" s="1">
        <f t="shared" si="54"/>
        <v>199.99580570457377</v>
      </c>
    </row>
    <row r="301" spans="6:20" x14ac:dyDescent="0.35">
      <c r="F301" s="1">
        <f t="shared" si="50"/>
        <v>5.9599999999999609</v>
      </c>
      <c r="G301">
        <f>1/2*$B$8*$B$6*$B$7*(Tabelle2[[#This Row],[vx]]*Tabelle2[[#This Row],[vx]]+Tabelle2[[#This Row],[vy]]*Tabelle2[[#This Row],[vy]])/1000000</f>
        <v>2.9441285964792194</v>
      </c>
      <c r="H301">
        <f>IF($B$3,-Tabelle2[[#This Row],[Fd]]*Tabelle2[[#This Row],[vx]]/Tabelle2[[#This Row],[v]],0)</f>
        <v>-2.943932548804451</v>
      </c>
      <c r="I301">
        <f t="shared" si="44"/>
        <v>-1.9626216992029673</v>
      </c>
      <c r="J301">
        <f t="shared" si="45"/>
        <v>-3.9252433984059344E-2</v>
      </c>
      <c r="K301">
        <f t="shared" si="46"/>
        <v>0.81548607118617977</v>
      </c>
      <c r="L301">
        <f>-$B$5*$B$12-IF($B$3,Tabelle2[[#This Row],[Fd]]*Tabelle2[[#This Row],[vy]]/Tabelle2[[#This Row],[v]],0)</f>
        <v>-14.681024410285795</v>
      </c>
      <c r="M301">
        <f t="shared" si="47"/>
        <v>-9.7873496068571963</v>
      </c>
      <c r="N301">
        <f t="shared" si="48"/>
        <v>-0.19574699213714394</v>
      </c>
      <c r="O301">
        <f t="shared" si="49"/>
        <v>-1.1373431720309411E-2</v>
      </c>
      <c r="P301" s="1">
        <f t="shared" si="51"/>
        <v>40.79392977630102</v>
      </c>
      <c r="Q301" s="1">
        <f t="shared" si="52"/>
        <v>-0.47079808994689853</v>
      </c>
      <c r="R301">
        <f>SQRT(Tabelle2[[#This Row],[vx]]*Tabelle2[[#This Row],[vx]]+Tabelle2[[#This Row],[vy]]*Tabelle2[[#This Row],[vy]])</f>
        <v>40.79664639937058</v>
      </c>
      <c r="S301">
        <f t="shared" si="53"/>
        <v>294.17074069725129</v>
      </c>
      <c r="T301" s="1">
        <f t="shared" si="54"/>
        <v>199.98834909557689</v>
      </c>
    </row>
    <row r="302" spans="6:20" x14ac:dyDescent="0.35">
      <c r="F302" s="1">
        <f t="shared" si="50"/>
        <v>5.9799999999999605</v>
      </c>
      <c r="G302">
        <f>1/2*$B$8*$B$6*$B$7*(Tabelle2[[#This Row],[vx]]*Tabelle2[[#This Row],[vx]]+Tabelle2[[#This Row],[vy]]*Tabelle2[[#This Row],[vy]])/1000000</f>
        <v>2.9388601381172617</v>
      </c>
      <c r="H302">
        <f>IF($B$3,-Tabelle2[[#This Row],[Fd]]*Tabelle2[[#This Row],[vx]]/Tabelle2[[#This Row],[v]],0)</f>
        <v>-2.9384671621917011</v>
      </c>
      <c r="I302">
        <f t="shared" si="44"/>
        <v>-1.9589781081278008</v>
      </c>
      <c r="J302">
        <f t="shared" si="45"/>
        <v>-3.9179562162556018E-2</v>
      </c>
      <c r="K302">
        <f t="shared" si="46"/>
        <v>0.81470175122471367</v>
      </c>
      <c r="L302">
        <f>-$B$5*$B$12-IF($B$3,Tabelle2[[#This Row],[Fd]]*Tabelle2[[#This Row],[vy]]/Tabelle2[[#This Row],[v]],0)</f>
        <v>-14.666941201266962</v>
      </c>
      <c r="M302">
        <f t="shared" si="47"/>
        <v>-9.7779608008446406</v>
      </c>
      <c r="N302">
        <f t="shared" si="48"/>
        <v>-0.19555921601689283</v>
      </c>
      <c r="O302">
        <f t="shared" si="49"/>
        <v>-1.5286493801849779E-2</v>
      </c>
      <c r="P302" s="1">
        <f t="shared" si="51"/>
        <v>40.75467734231696</v>
      </c>
      <c r="Q302" s="1">
        <f t="shared" si="52"/>
        <v>-0.66654508208404251</v>
      </c>
      <c r="R302">
        <f>SQRT(Tabelle2[[#This Row],[vx]]*Tabelle2[[#This Row],[vx]]+Tabelle2[[#This Row],[vy]]*Tabelle2[[#This Row],[vy]])</f>
        <v>40.76012766936352</v>
      </c>
      <c r="S302">
        <f t="shared" si="53"/>
        <v>294.98622676843746</v>
      </c>
      <c r="T302" s="1">
        <f t="shared" si="54"/>
        <v>199.97697566385659</v>
      </c>
    </row>
    <row r="303" spans="6:20" x14ac:dyDescent="0.35">
      <c r="F303" s="1">
        <f t="shared" si="50"/>
        <v>5.99999999999996</v>
      </c>
      <c r="G303">
        <f>1/2*$B$8*$B$6*$B$7*(Tabelle2[[#This Row],[vx]]*Tabelle2[[#This Row],[vx]]+Tabelle2[[#This Row],[vy]]*Tabelle2[[#This Row],[vy]])/1000000</f>
        <v>2.9337426136120737</v>
      </c>
      <c r="H303">
        <f>IF($B$3,-Tabelle2[[#This Row],[Fd]]*Tabelle2[[#This Row],[vx]]/Tabelle2[[#This Row],[v]],0)</f>
        <v>-2.9330851887326541</v>
      </c>
      <c r="I303">
        <f t="shared" si="44"/>
        <v>-1.9553901258217694</v>
      </c>
      <c r="J303">
        <f t="shared" si="45"/>
        <v>-3.9107802516435392E-2</v>
      </c>
      <c r="K303">
        <f t="shared" si="46"/>
        <v>0.81391887757792358</v>
      </c>
      <c r="L303">
        <f>-$B$5*$B$12-IF($B$3,Tabelle2[[#This Row],[Fd]]*Tabelle2[[#This Row],[vy]]/Tabelle2[[#This Row],[v]],0)</f>
        <v>-14.652895261368139</v>
      </c>
      <c r="M303">
        <f t="shared" si="47"/>
        <v>-9.7685968409120925</v>
      </c>
      <c r="N303">
        <f t="shared" si="48"/>
        <v>-0.19537193681824186</v>
      </c>
      <c r="O303">
        <f t="shared" si="49"/>
        <v>-1.9195805330201127E-2</v>
      </c>
      <c r="P303" s="1">
        <f t="shared" si="51"/>
        <v>40.715497780154401</v>
      </c>
      <c r="Q303" s="1">
        <f t="shared" si="52"/>
        <v>-0.86210429810093536</v>
      </c>
      <c r="R303">
        <f>SQRT(Tabelle2[[#This Row],[vx]]*Tabelle2[[#This Row],[vx]]+Tabelle2[[#This Row],[vy]]*Tabelle2[[#This Row],[vy]])</f>
        <v>40.724623795764671</v>
      </c>
      <c r="S303">
        <f t="shared" si="53"/>
        <v>295.80092851966219</v>
      </c>
      <c r="T303" s="1">
        <f t="shared" si="54"/>
        <v>199.96168917005474</v>
      </c>
    </row>
    <row r="304" spans="6:20" x14ac:dyDescent="0.35">
      <c r="F304" s="1">
        <f t="shared" si="50"/>
        <v>6.0199999999999596</v>
      </c>
      <c r="G304">
        <f>1/2*$B$8*$B$6*$B$7*(Tabelle2[[#This Row],[vx]]*Tabelle2[[#This Row],[vx]]+Tabelle2[[#This Row],[vy]]*Tabelle2[[#This Row],[vy]])/1000000</f>
        <v>2.9287754447285481</v>
      </c>
      <c r="H304">
        <f>IF($B$3,-Tabelle2[[#This Row],[Fd]]*Tabelle2[[#This Row],[vx]]/Tabelle2[[#This Row],[v]],0)</f>
        <v>-2.9277862257656051</v>
      </c>
      <c r="I304">
        <f t="shared" si="44"/>
        <v>-1.9518574838437368</v>
      </c>
      <c r="J304">
        <f t="shared" si="45"/>
        <v>-3.9037149676874737E-2</v>
      </c>
      <c r="K304">
        <f t="shared" si="46"/>
        <v>0.81313742805599065</v>
      </c>
      <c r="L304">
        <f>-$B$5*$B$12-IF($B$3,Tabelle2[[#This Row],[Fd]]*Tabelle2[[#This Row],[vy]]/Tabelle2[[#This Row],[v]],0)</f>
        <v>-14.638885468784892</v>
      </c>
      <c r="M304">
        <f t="shared" si="47"/>
        <v>-9.759256979189928</v>
      </c>
      <c r="N304">
        <f t="shared" si="48"/>
        <v>-0.19518513958379857</v>
      </c>
      <c r="O304">
        <f t="shared" si="49"/>
        <v>-2.3101376094221533E-2</v>
      </c>
      <c r="P304" s="1">
        <f t="shared" si="51"/>
        <v>40.676389977637967</v>
      </c>
      <c r="Q304" s="1">
        <f t="shared" si="52"/>
        <v>-1.0574762349191773</v>
      </c>
      <c r="R304">
        <f>SQRT(Tabelle2[[#This Row],[vx]]*Tabelle2[[#This Row],[vx]]+Tabelle2[[#This Row],[vy]]*Tabelle2[[#This Row],[vy]])</f>
        <v>40.690133418315376</v>
      </c>
      <c r="S304">
        <f t="shared" si="53"/>
        <v>296.61484739724011</v>
      </c>
      <c r="T304" s="1">
        <f t="shared" si="54"/>
        <v>199.94249336472453</v>
      </c>
    </row>
    <row r="305" spans="6:20" x14ac:dyDescent="0.35">
      <c r="F305" s="1">
        <f t="shared" si="50"/>
        <v>6.0399999999999592</v>
      </c>
      <c r="G305">
        <f>1/2*$B$8*$B$6*$B$7*(Tabelle2[[#This Row],[vx]]*Tabelle2[[#This Row],[vx]]+Tabelle2[[#This Row],[vy]]*Tabelle2[[#This Row],[vy]])/1000000</f>
        <v>2.923958056354679</v>
      </c>
      <c r="H305">
        <f>IF($B$3,-Tabelle2[[#This Row],[Fd]]*Tabelle2[[#This Row],[vx]]/Tabelle2[[#This Row],[v]],0)</f>
        <v>-2.9225698682147785</v>
      </c>
      <c r="I305">
        <f t="shared" si="44"/>
        <v>-1.9483799121431857</v>
      </c>
      <c r="J305">
        <f t="shared" si="45"/>
        <v>-3.8967598242863714E-2</v>
      </c>
      <c r="K305">
        <f t="shared" si="46"/>
        <v>0.8123573805767933</v>
      </c>
      <c r="L305">
        <f>-$B$5*$B$12-IF($B$3,Tabelle2[[#This Row],[Fd]]*Tabelle2[[#This Row],[vy]]/Tabelle2[[#This Row],[v]],0)</f>
        <v>-14.624910706937586</v>
      </c>
      <c r="M305">
        <f t="shared" si="47"/>
        <v>-9.7499404712917244</v>
      </c>
      <c r="N305">
        <f t="shared" si="48"/>
        <v>-0.1949988094258345</v>
      </c>
      <c r="O305">
        <f t="shared" si="49"/>
        <v>-2.7003215584317865E-2</v>
      </c>
      <c r="P305" s="1">
        <f t="shared" si="51"/>
        <v>40.637352827961095</v>
      </c>
      <c r="Q305" s="1">
        <f t="shared" si="52"/>
        <v>-1.252661374502976</v>
      </c>
      <c r="R305">
        <f>SQRT(Tabelle2[[#This Row],[vx]]*Tabelle2[[#This Row],[vx]]+Tabelle2[[#This Row],[vy]]*Tabelle2[[#This Row],[vy]])</f>
        <v>40.656655117992294</v>
      </c>
      <c r="S305">
        <f t="shared" si="53"/>
        <v>297.42798482529611</v>
      </c>
      <c r="T305" s="1">
        <f t="shared" si="54"/>
        <v>199.91939198863031</v>
      </c>
    </row>
    <row r="306" spans="6:20" x14ac:dyDescent="0.35">
      <c r="F306" s="1">
        <f t="shared" si="50"/>
        <v>6.0599999999999588</v>
      </c>
      <c r="G306">
        <f>1/2*$B$8*$B$6*$B$7*(Tabelle2[[#This Row],[vx]]*Tabelle2[[#This Row],[vx]]+Tabelle2[[#This Row],[vy]]*Tabelle2[[#This Row],[vy]])/1000000</f>
        <v>2.9192898764451591</v>
      </c>
      <c r="H306">
        <f>IF($B$3,-Tabelle2[[#This Row],[Fd]]*Tabelle2[[#This Row],[vx]]/Tabelle2[[#This Row],[v]],0)</f>
        <v>-2.9174357085690183</v>
      </c>
      <c r="I306">
        <f t="shared" si="44"/>
        <v>-1.9449571390460123</v>
      </c>
      <c r="J306">
        <f t="shared" si="45"/>
        <v>-3.889914278092025E-2</v>
      </c>
      <c r="K306">
        <f t="shared" si="46"/>
        <v>0.8115787131665555</v>
      </c>
      <c r="L306">
        <f>-$B$5*$B$12-IF($B$3,Tabelle2[[#This Row],[Fd]]*Tabelle2[[#This Row],[vy]]/Tabelle2[[#This Row],[v]],0)</f>
        <v>-14.610969864550773</v>
      </c>
      <c r="M306">
        <f t="shared" si="47"/>
        <v>-9.7406465763671815</v>
      </c>
      <c r="N306">
        <f t="shared" si="48"/>
        <v>-0.19481293152734364</v>
      </c>
      <c r="O306">
        <f t="shared" si="49"/>
        <v>-3.0901332993849649E-2</v>
      </c>
      <c r="P306" s="1">
        <f t="shared" si="51"/>
        <v>40.598385229718232</v>
      </c>
      <c r="Q306" s="1">
        <f t="shared" si="52"/>
        <v>-1.4476601839288106</v>
      </c>
      <c r="R306">
        <f>SQRT(Tabelle2[[#This Row],[vx]]*Tabelle2[[#This Row],[vx]]+Tabelle2[[#This Row],[vy]]*Tabelle2[[#This Row],[vy]])</f>
        <v>40.624187416719316</v>
      </c>
      <c r="S306">
        <f t="shared" si="53"/>
        <v>298.24034220587288</v>
      </c>
      <c r="T306" s="1">
        <f t="shared" si="54"/>
        <v>199.89238877304598</v>
      </c>
    </row>
    <row r="307" spans="6:20" x14ac:dyDescent="0.35">
      <c r="F307" s="1">
        <f t="shared" si="50"/>
        <v>6.0799999999999583</v>
      </c>
      <c r="G307">
        <f>1/2*$B$8*$B$6*$B$7*(Tabelle2[[#This Row],[vx]]*Tabelle2[[#This Row],[vx]]+Tabelle2[[#This Row],[vy]]*Tabelle2[[#This Row],[vy]])/1000000</f>
        <v>2.9147703359655011</v>
      </c>
      <c r="H307">
        <f>IF($B$3,-Tabelle2[[#This Row],[Fd]]*Tabelle2[[#This Row],[vx]]/Tabelle2[[#This Row],[v]],0)</f>
        <v>-2.9123833368624075</v>
      </c>
      <c r="I307">
        <f t="shared" si="44"/>
        <v>-1.9415888912416051</v>
      </c>
      <c r="J307">
        <f t="shared" si="45"/>
        <v>-3.8831777824832103E-2</v>
      </c>
      <c r="K307">
        <f t="shared" si="46"/>
        <v>0.81080140396049805</v>
      </c>
      <c r="L307">
        <f>-$B$5*$B$12-IF($B$3,Tabelle2[[#This Row],[Fd]]*Tabelle2[[#This Row],[vy]]/Tabelle2[[#This Row],[v]],0)</f>
        <v>-14.597061835733181</v>
      </c>
      <c r="M307">
        <f t="shared" si="47"/>
        <v>-9.7313745571554531</v>
      </c>
      <c r="N307">
        <f t="shared" si="48"/>
        <v>-0.19462749114310907</v>
      </c>
      <c r="O307">
        <f t="shared" si="49"/>
        <v>-3.4795737220554172E-2</v>
      </c>
      <c r="P307" s="1">
        <f t="shared" si="51"/>
        <v>40.559486086937312</v>
      </c>
      <c r="Q307" s="1">
        <f t="shared" si="52"/>
        <v>-1.6424731154561543</v>
      </c>
      <c r="R307">
        <f>SQRT(Tabelle2[[#This Row],[vx]]*Tabelle2[[#This Row],[vx]]+Tabelle2[[#This Row],[vy]]*Tabelle2[[#This Row],[vy]])</f>
        <v>40.592728777103147</v>
      </c>
      <c r="S307">
        <f t="shared" si="53"/>
        <v>299.05192091903945</v>
      </c>
      <c r="T307" s="1">
        <f t="shared" si="54"/>
        <v>199.86148744005212</v>
      </c>
    </row>
    <row r="308" spans="6:20" x14ac:dyDescent="0.35">
      <c r="F308" s="1">
        <f t="shared" si="50"/>
        <v>6.0999999999999579</v>
      </c>
      <c r="G308">
        <f>1/2*$B$8*$B$6*$B$7*(Tabelle2[[#This Row],[vx]]*Tabelle2[[#This Row],[vx]]+Tabelle2[[#This Row],[vy]]*Tabelle2[[#This Row],[vy]])/1000000</f>
        <v>2.9103988688366882</v>
      </c>
      <c r="H308">
        <f>IF($B$3,-Tabelle2[[#This Row],[Fd]]*Tabelle2[[#This Row],[vx]]/Tabelle2[[#This Row],[v]],0)</f>
        <v>-2.9074123406568191</v>
      </c>
      <c r="I308">
        <f t="shared" si="44"/>
        <v>-1.9382748937712126</v>
      </c>
      <c r="J308">
        <f t="shared" si="45"/>
        <v>-3.8765497875424257E-2</v>
      </c>
      <c r="K308">
        <f t="shared" si="46"/>
        <v>0.81002543120349535</v>
      </c>
      <c r="L308">
        <f>-$B$5*$B$12-IF($B$3,Tabelle2[[#This Row],[Fd]]*Tabelle2[[#This Row],[vy]]/Tabelle2[[#This Row],[v]],0)</f>
        <v>-14.583185520058256</v>
      </c>
      <c r="M308">
        <f t="shared" si="47"/>
        <v>-9.7221236800388375</v>
      </c>
      <c r="N308">
        <f t="shared" si="48"/>
        <v>-0.19444247360077677</v>
      </c>
      <c r="O308">
        <f t="shared" si="49"/>
        <v>-3.8686436867993036E-2</v>
      </c>
      <c r="P308" s="1">
        <f t="shared" si="51"/>
        <v>40.52065430911248</v>
      </c>
      <c r="Q308" s="1">
        <f t="shared" si="52"/>
        <v>-1.8371006065992632</v>
      </c>
      <c r="R308">
        <f>SQRT(Tabelle2[[#This Row],[vx]]*Tabelle2[[#This Row],[vx]]+Tabelle2[[#This Row],[vy]]*Tabelle2[[#This Row],[vy]])</f>
        <v>40.562277602192943</v>
      </c>
      <c r="S308">
        <f t="shared" si="53"/>
        <v>299.86272232299996</v>
      </c>
      <c r="T308" s="1">
        <f t="shared" si="54"/>
        <v>199.82669170283157</v>
      </c>
    </row>
    <row r="309" spans="6:20" x14ac:dyDescent="0.35">
      <c r="F309" s="1">
        <f t="shared" si="50"/>
        <v>6.1199999999999575</v>
      </c>
      <c r="G309">
        <f>1/2*$B$8*$B$6*$B$7*(Tabelle2[[#This Row],[vx]]*Tabelle2[[#This Row],[vx]]+Tabelle2[[#This Row],[vy]]*Tabelle2[[#This Row],[vy]])/1000000</f>
        <v>2.906174911880353</v>
      </c>
      <c r="H309">
        <f>IF($B$3,-Tabelle2[[#This Row],[Fd]]*Tabelle2[[#This Row],[vx]]/Tabelle2[[#This Row],[v]],0)</f>
        <v>-2.9025223050263955</v>
      </c>
      <c r="I309">
        <f t="shared" si="44"/>
        <v>-1.9350148700175971</v>
      </c>
      <c r="J309">
        <f t="shared" si="45"/>
        <v>-3.8700297400351941E-2</v>
      </c>
      <c r="K309">
        <f t="shared" si="46"/>
        <v>0.80925077325073758</v>
      </c>
      <c r="L309">
        <f>-$B$5*$B$12-IF($B$3,Tabelle2[[#This Row],[Fd]]*Tabelle2[[#This Row],[vy]]/Tabelle2[[#This Row],[v]],0)</f>
        <v>-14.569339822645187</v>
      </c>
      <c r="M309">
        <f t="shared" si="47"/>
        <v>-9.7128932150967913</v>
      </c>
      <c r="N309">
        <f t="shared" si="48"/>
        <v>-0.19425786430193584</v>
      </c>
      <c r="O309">
        <f t="shared" si="49"/>
        <v>-4.2573440247020165E-2</v>
      </c>
      <c r="P309" s="1">
        <f t="shared" si="51"/>
        <v>40.481888811237056</v>
      </c>
      <c r="Q309" s="1">
        <f t="shared" si="52"/>
        <v>-2.03154308020004</v>
      </c>
      <c r="R309">
        <f>SQRT(Tabelle2[[#This Row],[vx]]*Tabelle2[[#This Row],[vx]]+Tabelle2[[#This Row],[vy]]*Tabelle2[[#This Row],[vy]])</f>
        <v>40.532832235264152</v>
      </c>
      <c r="S309">
        <f t="shared" si="53"/>
        <v>300.67274775420344</v>
      </c>
      <c r="T309" s="1">
        <f t="shared" si="54"/>
        <v>199.78800526596356</v>
      </c>
    </row>
    <row r="310" spans="6:20" x14ac:dyDescent="0.35">
      <c r="F310" s="1">
        <f t="shared" si="50"/>
        <v>6.139999999999957</v>
      </c>
      <c r="G310">
        <f>1/2*$B$8*$B$6*$B$7*(Tabelle2[[#This Row],[vx]]*Tabelle2[[#This Row],[vx]]+Tabelle2[[#This Row],[vy]]*Tabelle2[[#This Row],[vy]])/1000000</f>
        <v>2.9020979047644748</v>
      </c>
      <c r="H310">
        <f>IF($B$3,-Tabelle2[[#This Row],[Fd]]*Tabelle2[[#This Row],[vx]]/Tabelle2[[#This Row],[v]],0)</f>
        <v>-2.8977128125439724</v>
      </c>
      <c r="I310">
        <f t="shared" si="44"/>
        <v>-1.9318085416959816</v>
      </c>
      <c r="J310">
        <f t="shared" si="45"/>
        <v>-3.8636170833919632E-2</v>
      </c>
      <c r="K310">
        <f t="shared" si="46"/>
        <v>0.80847740856839478</v>
      </c>
      <c r="L310">
        <f>-$B$5*$B$12-IF($B$3,Tabelle2[[#This Row],[Fd]]*Tabelle2[[#This Row],[vy]]/Tabelle2[[#This Row],[v]],0)</f>
        <v>-14.555523654240337</v>
      </c>
      <c r="M310">
        <f t="shared" si="47"/>
        <v>-9.703682436160225</v>
      </c>
      <c r="N310">
        <f t="shared" si="48"/>
        <v>-0.19407364872320451</v>
      </c>
      <c r="O310">
        <f t="shared" si="49"/>
        <v>-4.6456755377271557E-2</v>
      </c>
      <c r="P310" s="1">
        <f t="shared" si="51"/>
        <v>40.443188513836702</v>
      </c>
      <c r="Q310" s="1">
        <f t="shared" si="52"/>
        <v>-2.2258009445019757</v>
      </c>
      <c r="R310">
        <f>SQRT(Tabelle2[[#This Row],[vx]]*Tabelle2[[#This Row],[vx]]+Tabelle2[[#This Row],[vy]]*Tabelle2[[#This Row],[vy]])</f>
        <v>40.504390959626576</v>
      </c>
      <c r="S310">
        <f t="shared" si="53"/>
        <v>301.48199852745415</v>
      </c>
      <c r="T310" s="1">
        <f t="shared" si="54"/>
        <v>199.74543182571654</v>
      </c>
    </row>
    <row r="311" spans="6:20" x14ac:dyDescent="0.35">
      <c r="F311" s="1">
        <f t="shared" si="50"/>
        <v>6.1599999999999566</v>
      </c>
      <c r="G311">
        <f>1/2*$B$8*$B$6*$B$7*(Tabelle2[[#This Row],[vx]]*Tabelle2[[#This Row],[vx]]+Tabelle2[[#This Row],[vy]]*Tabelle2[[#This Row],[vy]])/1000000</f>
        <v>2.8981672899496069</v>
      </c>
      <c r="H311">
        <f>IF($B$3,-Tabelle2[[#This Row],[Fd]]*Tabelle2[[#This Row],[vx]]/Tabelle2[[#This Row],[v]],0)</f>
        <v>-2.8929834432694297</v>
      </c>
      <c r="I311">
        <f t="shared" si="44"/>
        <v>-1.9286556288462864</v>
      </c>
      <c r="J311">
        <f t="shared" si="45"/>
        <v>-3.8573112576925729E-2</v>
      </c>
      <c r="K311">
        <f t="shared" si="46"/>
        <v>0.80770531573428639</v>
      </c>
      <c r="L311">
        <f>-$B$5*$B$12-IF($B$3,Tabelle2[[#This Row],[Fd]]*Tabelle2[[#This Row],[vy]]/Tabelle2[[#This Row],[v]],0)</f>
        <v>-14.541735931299058</v>
      </c>
      <c r="M311">
        <f t="shared" si="47"/>
        <v>-9.6944906208660395</v>
      </c>
      <c r="N311">
        <f t="shared" si="48"/>
        <v>-0.19388981241732078</v>
      </c>
      <c r="O311">
        <f t="shared" si="49"/>
        <v>-5.0336389988676809E-2</v>
      </c>
      <c r="P311" s="1">
        <f t="shared" si="51"/>
        <v>40.404552343002784</v>
      </c>
      <c r="Q311" s="1">
        <f t="shared" si="52"/>
        <v>-2.4198745932251802</v>
      </c>
      <c r="R311">
        <f>SQRT(Tabelle2[[#This Row],[vx]]*Tabelle2[[#This Row],[vx]]+Tabelle2[[#This Row],[vy]]*Tabelle2[[#This Row],[vy]])</f>
        <v>40.476951998456954</v>
      </c>
      <c r="S311">
        <f t="shared" si="53"/>
        <v>302.29047593602257</v>
      </c>
      <c r="T311" s="1">
        <f t="shared" si="54"/>
        <v>199.69897507033926</v>
      </c>
    </row>
    <row r="312" spans="6:20" x14ac:dyDescent="0.35">
      <c r="F312" s="1">
        <f t="shared" si="50"/>
        <v>6.1799999999999562</v>
      </c>
      <c r="G312">
        <f>1/2*$B$8*$B$6*$B$7*(Tabelle2[[#This Row],[vx]]*Tabelle2[[#This Row],[vx]]+Tabelle2[[#This Row],[vy]]*Tabelle2[[#This Row],[vy]])/1000000</f>
        <v>2.8943825126356209</v>
      </c>
      <c r="H312">
        <f>IF($B$3,-Tabelle2[[#This Row],[Fd]]*Tabelle2[[#This Row],[vx]]/Tabelle2[[#This Row],[v]],0)</f>
        <v>-2.8883337747399813</v>
      </c>
      <c r="I312">
        <f t="shared" si="44"/>
        <v>-1.9255558498266543</v>
      </c>
      <c r="J312">
        <f t="shared" si="45"/>
        <v>-3.8511116996533083E-2</v>
      </c>
      <c r="K312">
        <f t="shared" si="46"/>
        <v>0.80693447343855185</v>
      </c>
      <c r="L312">
        <f>-$B$5*$B$12-IF($B$3,Tabelle2[[#This Row],[Fd]]*Tabelle2[[#This Row],[vy]]/Tabelle2[[#This Row],[v]],0)</f>
        <v>-14.527975576067778</v>
      </c>
      <c r="M312">
        <f t="shared" si="47"/>
        <v>-9.685317050711852</v>
      </c>
      <c r="N312">
        <f t="shared" si="48"/>
        <v>-0.19370634101423703</v>
      </c>
      <c r="O312">
        <f t="shared" si="49"/>
        <v>-5.4212351522992391E-2</v>
      </c>
      <c r="P312" s="1">
        <f t="shared" si="51"/>
        <v>40.365979230425857</v>
      </c>
      <c r="Q312" s="1">
        <f t="shared" si="52"/>
        <v>-2.6137644056425011</v>
      </c>
      <c r="R312">
        <f>SQRT(Tabelle2[[#This Row],[vx]]*Tabelle2[[#This Row],[vx]]+Tabelle2[[#This Row],[vy]]*Tabelle2[[#This Row],[vy]])</f>
        <v>40.450513514656095</v>
      </c>
      <c r="S312">
        <f t="shared" si="53"/>
        <v>303.09818125175684</v>
      </c>
      <c r="T312" s="1">
        <f t="shared" si="54"/>
        <v>199.64863868035059</v>
      </c>
    </row>
    <row r="313" spans="6:20" x14ac:dyDescent="0.35">
      <c r="F313" s="1">
        <f t="shared" si="50"/>
        <v>6.1999999999999558</v>
      </c>
      <c r="G313">
        <f>1/2*$B$8*$B$6*$B$7*(Tabelle2[[#This Row],[vx]]*Tabelle2[[#This Row],[vx]]+Tabelle2[[#This Row],[vy]]*Tabelle2[[#This Row],[vy]])/1000000</f>
        <v>2.8907430207089755</v>
      </c>
      <c r="H313">
        <f>IF($B$3,-Tabelle2[[#This Row],[Fd]]*Tabelle2[[#This Row],[vx]]/Tabelle2[[#This Row],[v]],0)</f>
        <v>-2.8837633819623991</v>
      </c>
      <c r="I313">
        <f t="shared" si="44"/>
        <v>-1.922508921308266</v>
      </c>
      <c r="J313">
        <f t="shared" si="45"/>
        <v>-3.845017842616532E-2</v>
      </c>
      <c r="K313">
        <f t="shared" si="46"/>
        <v>0.8061648604843249</v>
      </c>
      <c r="L313">
        <f>-$B$5*$B$12-IF($B$3,Tabelle2[[#This Row],[Fd]]*Tabelle2[[#This Row],[vy]]/Tabelle2[[#This Row],[v]],0)</f>
        <v>-14.514241516666322</v>
      </c>
      <c r="M313">
        <f t="shared" si="47"/>
        <v>-9.6761610111108816</v>
      </c>
      <c r="N313">
        <f t="shared" si="48"/>
        <v>-0.19352322022221763</v>
      </c>
      <c r="O313">
        <f t="shared" si="49"/>
        <v>-5.8084647135356937E-2</v>
      </c>
      <c r="P313" s="1">
        <f t="shared" si="51"/>
        <v>40.327468113429326</v>
      </c>
      <c r="Q313" s="1">
        <f t="shared" si="52"/>
        <v>-2.8074707466567381</v>
      </c>
      <c r="R313">
        <f>SQRT(Tabelle2[[#This Row],[vx]]*Tabelle2[[#This Row],[vx]]+Tabelle2[[#This Row],[vy]]*Tabelle2[[#This Row],[vy]])</f>
        <v>40.425073610730657</v>
      </c>
      <c r="S313">
        <f t="shared" si="53"/>
        <v>303.9051157251954</v>
      </c>
      <c r="T313" s="1">
        <f t="shared" si="54"/>
        <v>199.59442632882758</v>
      </c>
    </row>
    <row r="314" spans="6:20" x14ac:dyDescent="0.35">
      <c r="F314" s="1">
        <f t="shared" si="50"/>
        <v>6.2199999999999553</v>
      </c>
      <c r="G314">
        <f>1/2*$B$8*$B$6*$B$7*(Tabelle2[[#This Row],[vx]]*Tabelle2[[#This Row],[vx]]+Tabelle2[[#This Row],[vy]]*Tabelle2[[#This Row],[vy]])/1000000</f>
        <v>2.8872482646905082</v>
      </c>
      <c r="H314">
        <f>IF($B$3,-Tabelle2[[#This Row],[Fd]]*Tabelle2[[#This Row],[vx]]/Tabelle2[[#This Row],[v]],0)</f>
        <v>-2.8792718374071598</v>
      </c>
      <c r="I314">
        <f t="shared" si="44"/>
        <v>-1.9195145582714399</v>
      </c>
      <c r="J314">
        <f t="shared" si="45"/>
        <v>-3.8390291165428796E-2</v>
      </c>
      <c r="K314">
        <f t="shared" si="46"/>
        <v>0.8053964557884089</v>
      </c>
      <c r="L314">
        <f>-$B$5*$B$12-IF($B$3,Tabelle2[[#This Row],[Fd]]*Tabelle2[[#This Row],[vy]]/Tabelle2[[#This Row],[v]],0)</f>
        <v>-14.500532687170407</v>
      </c>
      <c r="M314">
        <f t="shared" si="47"/>
        <v>-9.6670217914469383</v>
      </c>
      <c r="N314">
        <f t="shared" si="48"/>
        <v>-0.19334043582893878</v>
      </c>
      <c r="O314">
        <f t="shared" si="49"/>
        <v>-6.19532836958685E-2</v>
      </c>
      <c r="P314" s="1">
        <f t="shared" si="51"/>
        <v>40.289017935003159</v>
      </c>
      <c r="Q314" s="1">
        <f t="shared" si="52"/>
        <v>-3.0009939668789558</v>
      </c>
      <c r="R314">
        <f>SQRT(Tabelle2[[#This Row],[vx]]*Tabelle2[[#This Row],[vx]]+Tabelle2[[#This Row],[vy]]*Tabelle2[[#This Row],[vy]])</f>
        <v>40.400630328699705</v>
      </c>
      <c r="S314">
        <f t="shared" si="53"/>
        <v>304.71128058567973</v>
      </c>
      <c r="T314" s="1">
        <f t="shared" si="54"/>
        <v>199.53634168169222</v>
      </c>
    </row>
    <row r="315" spans="6:20" x14ac:dyDescent="0.35">
      <c r="F315" s="1">
        <f t="shared" si="50"/>
        <v>6.2399999999999549</v>
      </c>
      <c r="G315">
        <f>1/2*$B$8*$B$6*$B$7*(Tabelle2[[#This Row],[vx]]*Tabelle2[[#This Row],[vx]]+Tabelle2[[#This Row],[vy]]*Tabelle2[[#This Row],[vy]])/1000000</f>
        <v>2.8838976976837434</v>
      </c>
      <c r="H315">
        <f>IF($B$3,-Tabelle2[[#This Row],[Fd]]*Tabelle2[[#This Row],[vx]]/Tabelle2[[#This Row],[v]],0)</f>
        <v>-2.8748587110045234</v>
      </c>
      <c r="I315">
        <f t="shared" si="44"/>
        <v>-1.9165724740030157</v>
      </c>
      <c r="J315">
        <f t="shared" si="45"/>
        <v>-3.8331449480060314E-2</v>
      </c>
      <c r="K315">
        <f t="shared" si="46"/>
        <v>0.8046292383819541</v>
      </c>
      <c r="L315">
        <f>-$B$5*$B$12-IF($B$3,Tabelle2[[#This Row],[Fd]]*Tabelle2[[#This Row],[vy]]/Tabelle2[[#This Row],[v]],0)</f>
        <v>-14.486848027694242</v>
      </c>
      <c r="M315">
        <f t="shared" si="47"/>
        <v>-9.6578986851294939</v>
      </c>
      <c r="N315">
        <f t="shared" si="48"/>
        <v>-0.19315797370258989</v>
      </c>
      <c r="O315">
        <f t="shared" si="49"/>
        <v>-6.5818267791183799E-2</v>
      </c>
      <c r="P315" s="1">
        <f t="shared" si="51"/>
        <v>40.250627643837731</v>
      </c>
      <c r="Q315" s="1">
        <f t="shared" si="52"/>
        <v>-3.1943344027078946</v>
      </c>
      <c r="R315">
        <f>SQRT(Tabelle2[[#This Row],[vx]]*Tabelle2[[#This Row],[vx]]+Tabelle2[[#This Row],[vy]]*Tabelle2[[#This Row],[vy]])</f>
        <v>40.37718165002601</v>
      </c>
      <c r="S315">
        <f t="shared" si="53"/>
        <v>305.51667704146814</v>
      </c>
      <c r="T315" s="1">
        <f t="shared" si="54"/>
        <v>199.47438839799636</v>
      </c>
    </row>
    <row r="316" spans="6:20" x14ac:dyDescent="0.35">
      <c r="F316" s="1">
        <f t="shared" si="50"/>
        <v>6.2599999999999545</v>
      </c>
      <c r="G316">
        <f>1/2*$B$8*$B$6*$B$7*(Tabelle2[[#This Row],[vx]]*Tabelle2[[#This Row],[vx]]+Tabelle2[[#This Row],[vy]]*Tabelle2[[#This Row],[vy]])/1000000</f>
        <v>2.880690775323719</v>
      </c>
      <c r="H316">
        <f>IF($B$3,-Tabelle2[[#This Row],[Fd]]*Tabelle2[[#This Row],[vx]]/Tabelle2[[#This Row],[v]],0)</f>
        <v>-2.8705235701425127</v>
      </c>
      <c r="I316">
        <f t="shared" si="44"/>
        <v>-1.9136823800950085</v>
      </c>
      <c r="J316">
        <f t="shared" si="45"/>
        <v>-3.827364760190017E-2</v>
      </c>
      <c r="K316">
        <f t="shared" si="46"/>
        <v>0.80386318741113438</v>
      </c>
      <c r="L316">
        <f>-$B$5*$B$12-IF($B$3,Tabelle2[[#This Row],[Fd]]*Tabelle2[[#This Row],[vy]]/Tabelle2[[#This Row],[v]],0)</f>
        <v>-14.473186484473155</v>
      </c>
      <c r="M316">
        <f t="shared" si="47"/>
        <v>-9.64879098964877</v>
      </c>
      <c r="N316">
        <f t="shared" si="48"/>
        <v>-0.1929758197929754</v>
      </c>
      <c r="O316">
        <f t="shared" si="49"/>
        <v>-6.9679605726139446E-2</v>
      </c>
      <c r="P316" s="1">
        <f t="shared" si="51"/>
        <v>40.21229619435767</v>
      </c>
      <c r="Q316" s="1">
        <f t="shared" si="52"/>
        <v>-3.3874923764104845</v>
      </c>
      <c r="R316">
        <f>SQRT(Tabelle2[[#This Row],[vx]]*Tabelle2[[#This Row],[vx]]+Tabelle2[[#This Row],[vy]]*Tabelle2[[#This Row],[vy]])</f>
        <v>40.354725495572282</v>
      </c>
      <c r="S316">
        <f t="shared" si="53"/>
        <v>306.32130627985009</v>
      </c>
      <c r="T316" s="1">
        <f t="shared" si="54"/>
        <v>199.40857013020519</v>
      </c>
    </row>
    <row r="317" spans="6:20" x14ac:dyDescent="0.35">
      <c r="F317" s="1">
        <f t="shared" si="50"/>
        <v>6.2799999999999541</v>
      </c>
      <c r="G317">
        <f>1/2*$B$8*$B$6*$B$7*(Tabelle2[[#This Row],[vx]]*Tabelle2[[#This Row],[vx]]+Tabelle2[[#This Row],[vy]]*Tabelle2[[#This Row],[vy]])/1000000</f>
        <v>2.8776269557263414</v>
      </c>
      <c r="H317">
        <f>IF($B$3,-Tabelle2[[#This Row],[Fd]]*Tabelle2[[#This Row],[vx]]/Tabelle2[[#This Row],[v]],0)</f>
        <v>-2.8662659796668262</v>
      </c>
      <c r="I317">
        <f t="shared" si="44"/>
        <v>-1.9108439864445508</v>
      </c>
      <c r="J317">
        <f t="shared" si="45"/>
        <v>-3.8216879728891019E-2</v>
      </c>
      <c r="K317">
        <f t="shared" si="46"/>
        <v>0.80309828213782652</v>
      </c>
      <c r="L317">
        <f>-$B$5*$B$12-IF($B$3,Tabelle2[[#This Row],[Fd]]*Tabelle2[[#This Row],[vy]]/Tabelle2[[#This Row],[v]],0)</f>
        <v>-14.459547009946213</v>
      </c>
      <c r="M317">
        <f t="shared" si="47"/>
        <v>-9.6396980066308089</v>
      </c>
      <c r="N317">
        <f t="shared" si="48"/>
        <v>-0.19279396013261618</v>
      </c>
      <c r="O317">
        <f t="shared" si="49"/>
        <v>-7.3537303525395364E-2</v>
      </c>
      <c r="P317" s="1">
        <f t="shared" si="51"/>
        <v>40.174022546755772</v>
      </c>
      <c r="Q317" s="1">
        <f t="shared" si="52"/>
        <v>-3.5804681962034599</v>
      </c>
      <c r="R317">
        <f>SQRT(Tabelle2[[#This Row],[vx]]*Tabelle2[[#This Row],[vx]]+Tabelle2[[#This Row],[vy]]*Tabelle2[[#This Row],[vy]])</f>
        <v>40.333259725582131</v>
      </c>
      <c r="S317">
        <f t="shared" si="53"/>
        <v>307.12516946726123</v>
      </c>
      <c r="T317" s="1">
        <f t="shared" si="54"/>
        <v>199.33889052447904</v>
      </c>
    </row>
    <row r="318" spans="6:20" x14ac:dyDescent="0.35">
      <c r="F318" s="1">
        <f t="shared" si="50"/>
        <v>6.2999999999999536</v>
      </c>
      <c r="G318">
        <f>1/2*$B$8*$B$6*$B$7*(Tabelle2[[#This Row],[vx]]*Tabelle2[[#This Row],[vx]]+Tabelle2[[#This Row],[vy]]*Tabelle2[[#This Row],[vy]])/1000000</f>
        <v>2.8747056994382421</v>
      </c>
      <c r="H318">
        <f>IF($B$3,-Tabelle2[[#This Row],[Fd]]*Tabelle2[[#This Row],[vx]]/Tabelle2[[#This Row],[v]],0)</f>
        <v>-2.8620855018826199</v>
      </c>
      <c r="I318">
        <f t="shared" si="44"/>
        <v>-1.9080570012550799</v>
      </c>
      <c r="J318">
        <f t="shared" si="45"/>
        <v>-3.8161140025101598E-2</v>
      </c>
      <c r="K318">
        <f t="shared" si="46"/>
        <v>0.80233450194028666</v>
      </c>
      <c r="L318">
        <f>-$B$5*$B$12-IF($B$3,Tabelle2[[#This Row],[Fd]]*Tabelle2[[#This Row],[vy]]/Tabelle2[[#This Row],[v]],0)</f>
        <v>-14.445928562838743</v>
      </c>
      <c r="M318">
        <f t="shared" si="47"/>
        <v>-9.630619041892496</v>
      </c>
      <c r="N318">
        <f t="shared" si="48"/>
        <v>-0.19261238083784993</v>
      </c>
      <c r="O318">
        <f t="shared" si="49"/>
        <v>-7.7391366935100014E-2</v>
      </c>
      <c r="P318" s="1">
        <f t="shared" si="51"/>
        <v>40.135805667026879</v>
      </c>
      <c r="Q318" s="1">
        <f t="shared" si="52"/>
        <v>-3.773262156336076</v>
      </c>
      <c r="R318">
        <f>SQRT(Tabelle2[[#This Row],[vx]]*Tabelle2[[#This Row],[vx]]+Tabelle2[[#This Row],[vy]]*Tabelle2[[#This Row],[vy]])</f>
        <v>40.312782139685979</v>
      </c>
      <c r="S318">
        <f t="shared" si="53"/>
        <v>307.92826774939908</v>
      </c>
      <c r="T318" s="1">
        <f t="shared" si="54"/>
        <v>199.26535322095364</v>
      </c>
    </row>
    <row r="319" spans="6:20" x14ac:dyDescent="0.35">
      <c r="F319" s="1">
        <f t="shared" si="50"/>
        <v>6.3199999999999532</v>
      </c>
      <c r="G319">
        <f>1/2*$B$8*$B$6*$B$7*(Tabelle2[[#This Row],[vx]]*Tabelle2[[#This Row],[vx]]+Tabelle2[[#This Row],[vy]]*Tabelle2[[#This Row],[vy]])/1000000</f>
        <v>2.8719264693871693</v>
      </c>
      <c r="H319">
        <f>IF($B$3,-Tabelle2[[#This Row],[Fd]]*Tabelle2[[#This Row],[vx]]/Tabelle2[[#This Row],[v]],0)</f>
        <v>-2.8579816965582037</v>
      </c>
      <c r="I319">
        <f t="shared" si="44"/>
        <v>-1.9053211310388025</v>
      </c>
      <c r="J319">
        <f t="shared" si="45"/>
        <v>-3.810642262077605E-2</v>
      </c>
      <c r="K319">
        <f t="shared" si="46"/>
        <v>0.80157182631382784</v>
      </c>
      <c r="L319">
        <f>-$B$5*$B$12-IF($B$3,Tabelle2[[#This Row],[Fd]]*Tabelle2[[#This Row],[vy]]/Tabelle2[[#This Row],[v]],0)</f>
        <v>-14.432330108244718</v>
      </c>
      <c r="M319">
        <f t="shared" si="47"/>
        <v>-9.6215534054964795</v>
      </c>
      <c r="N319">
        <f t="shared" si="48"/>
        <v>-0.1924310681099296</v>
      </c>
      <c r="O319">
        <f t="shared" si="49"/>
        <v>-8.124180142457782E-2</v>
      </c>
      <c r="P319" s="1">
        <f t="shared" si="51"/>
        <v>40.097644527001776</v>
      </c>
      <c r="Q319" s="1">
        <f t="shared" si="52"/>
        <v>-3.9658745371739261</v>
      </c>
      <c r="R319">
        <f>SQRT(Tabelle2[[#This Row],[vx]]*Tabelle2[[#This Row],[vx]]+Tabelle2[[#This Row],[vy]]*Tabelle2[[#This Row],[vy]])</f>
        <v>40.293290476931766</v>
      </c>
      <c r="S319">
        <f t="shared" si="53"/>
        <v>308.73060225133935</v>
      </c>
      <c r="T319" s="1">
        <f t="shared" si="54"/>
        <v>199.18796185401854</v>
      </c>
    </row>
    <row r="320" spans="6:20" x14ac:dyDescent="0.35">
      <c r="F320" s="1">
        <f t="shared" si="50"/>
        <v>6.3399999999999528</v>
      </c>
      <c r="G320">
        <f>1/2*$B$8*$B$6*$B$7*(Tabelle2[[#This Row],[vx]]*Tabelle2[[#This Row],[vx]]+Tabelle2[[#This Row],[vy]]*Tabelle2[[#This Row],[vy]])/1000000</f>
        <v>2.869288730832884</v>
      </c>
      <c r="H320">
        <f>IF($B$3,-Tabelle2[[#This Row],[Fd]]*Tabelle2[[#This Row],[vx]]/Tabelle2[[#This Row],[v]],0)</f>
        <v>-2.8539541209305974</v>
      </c>
      <c r="I320">
        <f t="shared" si="44"/>
        <v>-1.9026360806203984</v>
      </c>
      <c r="J320">
        <f t="shared" si="45"/>
        <v>-3.8052721612407969E-2</v>
      </c>
      <c r="K320">
        <f t="shared" si="46"/>
        <v>0.80081023487149594</v>
      </c>
      <c r="L320">
        <f>-$B$5*$B$12-IF($B$3,Tabelle2[[#This Row],[Fd]]*Tabelle2[[#This Row],[vy]]/Tabelle2[[#This Row],[v]],0)</f>
        <v>-14.418750617708925</v>
      </c>
      <c r="M320">
        <f t="shared" si="47"/>
        <v>-9.6125004118059501</v>
      </c>
      <c r="N320">
        <f t="shared" si="48"/>
        <v>-0.19225000823611901</v>
      </c>
      <c r="O320">
        <f t="shared" si="49"/>
        <v>-8.5088612188038301E-2</v>
      </c>
      <c r="P320" s="1">
        <f t="shared" si="51"/>
        <v>40.059538104380998</v>
      </c>
      <c r="Q320" s="1">
        <f t="shared" si="52"/>
        <v>-4.1583056052838554</v>
      </c>
      <c r="R320">
        <f>SQRT(Tabelle2[[#This Row],[vx]]*Tabelle2[[#This Row],[vx]]+Tabelle2[[#This Row],[vy]]*Tabelle2[[#This Row],[vy]])</f>
        <v>40.274782415840413</v>
      </c>
      <c r="S320">
        <f t="shared" si="53"/>
        <v>309.53217407765317</v>
      </c>
      <c r="T320" s="1">
        <f t="shared" si="54"/>
        <v>199.10672005259397</v>
      </c>
    </row>
    <row r="321" spans="6:20" x14ac:dyDescent="0.35">
      <c r="F321" s="1">
        <f t="shared" si="50"/>
        <v>6.3599999999999524</v>
      </c>
      <c r="G321">
        <f>1/2*$B$8*$B$6*$B$7*(Tabelle2[[#This Row],[vx]]*Tabelle2[[#This Row],[vx]]+Tabelle2[[#This Row],[vy]]*Tabelle2[[#This Row],[vy]])/1000000</f>
        <v>2.8667919513185778</v>
      </c>
      <c r="H321">
        <f>IF($B$3,-Tabelle2[[#This Row],[Fd]]*Tabelle2[[#This Row],[vx]]/Tabelle2[[#This Row],[v]],0)</f>
        <v>-2.8500023297129538</v>
      </c>
      <c r="I321">
        <f t="shared" si="44"/>
        <v>-1.9000015531419692</v>
      </c>
      <c r="J321">
        <f t="shared" si="45"/>
        <v>-3.8000031062839383E-2</v>
      </c>
      <c r="K321">
        <f t="shared" si="46"/>
        <v>0.80004970734474345</v>
      </c>
      <c r="L321">
        <f>-$B$5*$B$12-IF($B$3,Tabelle2[[#This Row],[Fd]]*Tabelle2[[#This Row],[vy]]/Tabelle2[[#This Row],[v]],0)</f>
        <v>-14.405189069308852</v>
      </c>
      <c r="M321">
        <f t="shared" si="47"/>
        <v>-9.6034593795392347</v>
      </c>
      <c r="N321">
        <f t="shared" si="48"/>
        <v>-0.1920691875907847</v>
      </c>
      <c r="O321">
        <f t="shared" si="49"/>
        <v>-8.8931804146307331E-2</v>
      </c>
      <c r="P321" s="1">
        <f t="shared" si="51"/>
        <v>40.021485382768589</v>
      </c>
      <c r="Q321" s="1">
        <f t="shared" si="52"/>
        <v>-4.3505556135199743</v>
      </c>
      <c r="R321">
        <f>SQRT(Tabelle2[[#This Row],[vx]]*Tabelle2[[#This Row],[vx]]+Tabelle2[[#This Row],[vy]]*Tabelle2[[#This Row],[vy]])</f>
        <v>40.257255574486074</v>
      </c>
      <c r="S321">
        <f t="shared" si="53"/>
        <v>310.33298431252467</v>
      </c>
      <c r="T321" s="1">
        <f t="shared" si="54"/>
        <v>199.02163144040594</v>
      </c>
    </row>
    <row r="322" spans="6:20" x14ac:dyDescent="0.35">
      <c r="F322" s="1">
        <f t="shared" si="50"/>
        <v>6.3799999999999519</v>
      </c>
      <c r="G322">
        <f>1/2*$B$8*$B$6*$B$7*(Tabelle2[[#This Row],[vx]]*Tabelle2[[#This Row],[vx]]+Tabelle2[[#This Row],[vy]]*Tabelle2[[#This Row],[vy]])/1000000</f>
        <v>2.8644356006228073</v>
      </c>
      <c r="H322">
        <f>IF($B$3,-Tabelle2[[#This Row],[Fd]]*Tabelle2[[#This Row],[vx]]/Tabelle2[[#This Row],[v]],0)</f>
        <v>-2.8461258751038327</v>
      </c>
      <c r="I322">
        <f t="shared" si="44"/>
        <v>-1.8974172500692219</v>
      </c>
      <c r="J322">
        <f t="shared" si="45"/>
        <v>-3.7948345001384436E-2</v>
      </c>
      <c r="K322">
        <f t="shared" si="46"/>
        <v>0.79929022358410129</v>
      </c>
      <c r="L322">
        <f>-$B$5*$B$12-IF($B$3,Tabelle2[[#This Row],[Fd]]*Tabelle2[[#This Row],[vy]]/Tabelle2[[#This Row],[v]],0)</f>
        <v>-14.391644447736265</v>
      </c>
      <c r="M322">
        <f t="shared" si="47"/>
        <v>-9.5944296318241769</v>
      </c>
      <c r="N322">
        <f t="shared" si="48"/>
        <v>-0.19188859263648353</v>
      </c>
      <c r="O322">
        <f t="shared" si="49"/>
        <v>-9.277138194858002E-2</v>
      </c>
      <c r="P322" s="1">
        <f t="shared" si="51"/>
        <v>39.983485351705752</v>
      </c>
      <c r="Q322" s="1">
        <f t="shared" si="52"/>
        <v>-4.5426248011107591</v>
      </c>
      <c r="R322">
        <f>SQRT(Tabelle2[[#This Row],[vx]]*Tabelle2[[#This Row],[vx]]+Tabelle2[[#This Row],[vy]]*Tabelle2[[#This Row],[vy]])</f>
        <v>40.240707510600942</v>
      </c>
      <c r="S322">
        <f t="shared" si="53"/>
        <v>311.1330340198694</v>
      </c>
      <c r="T322" s="1">
        <f t="shared" si="54"/>
        <v>198.93269963625963</v>
      </c>
    </row>
    <row r="323" spans="6:20" x14ac:dyDescent="0.35">
      <c r="F323" s="1">
        <f t="shared" si="50"/>
        <v>6.3999999999999515</v>
      </c>
      <c r="G323">
        <f>1/2*$B$8*$B$6*$B$7*(Tabelle2[[#This Row],[vx]]*Tabelle2[[#This Row],[vx]]+Tabelle2[[#This Row],[vy]]*Tabelle2[[#This Row],[vy]])/1000000</f>
        <v>2.8622191507119399</v>
      </c>
      <c r="H323">
        <f>IF($B$3,-Tabelle2[[#This Row],[Fd]]*Tabelle2[[#This Row],[vx]]/Tabelle2[[#This Row],[v]],0)</f>
        <v>-2.8423243067983006</v>
      </c>
      <c r="I323">
        <f t="shared" ref="I323:I386" si="55">H323/$B$5</f>
        <v>-1.894882871198867</v>
      </c>
      <c r="J323">
        <f t="shared" ref="J323:J386" si="56">I323*$B$13</f>
        <v>-3.7897657423977341E-2</v>
      </c>
      <c r="K323">
        <f t="shared" ref="K323:K386" si="57">$B$13*(P323+J323/2)</f>
        <v>0.79853176355984756</v>
      </c>
      <c r="L323">
        <f>-$B$5*$B$12-IF($B$3,Tabelle2[[#This Row],[Fd]]*Tabelle2[[#This Row],[vy]]/Tabelle2[[#This Row],[v]],0)</f>
        <v>-14.37811574437837</v>
      </c>
      <c r="M323">
        <f t="shared" ref="M323:M386" si="58">L323/$B$5</f>
        <v>-9.5854104962522459</v>
      </c>
      <c r="N323">
        <f t="shared" ref="N323:N386" si="59">M323*$B$13</f>
        <v>-0.19170820992504492</v>
      </c>
      <c r="O323">
        <f t="shared" ref="O323:O386" si="60">$B$13*(Q323+N323/2)</f>
        <v>-9.6607349974195303E-2</v>
      </c>
      <c r="P323" s="1">
        <f t="shared" si="51"/>
        <v>39.94553700670437</v>
      </c>
      <c r="Q323" s="1">
        <f t="shared" si="52"/>
        <v>-4.7345133937472426</v>
      </c>
      <c r="R323">
        <f>SQRT(Tabelle2[[#This Row],[vx]]*Tabelle2[[#This Row],[vx]]+Tabelle2[[#This Row],[vy]]*Tabelle2[[#This Row],[vy]])</f>
        <v>40.22513572170466</v>
      </c>
      <c r="S323">
        <f t="shared" si="53"/>
        <v>311.93232424345348</v>
      </c>
      <c r="T323" s="1">
        <f t="shared" si="54"/>
        <v>198.83992825431105</v>
      </c>
    </row>
    <row r="324" spans="6:20" x14ac:dyDescent="0.35">
      <c r="F324" s="1">
        <f t="shared" ref="F324:F387" si="61">F323+$B$13</f>
        <v>6.4199999999999511</v>
      </c>
      <c r="G324">
        <f>1/2*$B$8*$B$6*$B$7*(Tabelle2[[#This Row],[vx]]*Tabelle2[[#This Row],[vx]]+Tabelle2[[#This Row],[vy]]*Tabelle2[[#This Row],[vy]])/1000000</f>
        <v>2.8601420756931177</v>
      </c>
      <c r="H324">
        <f>IF($B$3,-Tabelle2[[#This Row],[Fd]]*Tabelle2[[#This Row],[vx]]/Tabelle2[[#This Row],[v]],0)</f>
        <v>-2.8385971720008438</v>
      </c>
      <c r="I324">
        <f t="shared" si="55"/>
        <v>-1.8923981146672293</v>
      </c>
      <c r="J324">
        <f t="shared" si="56"/>
        <v>-3.7847962293344584E-2</v>
      </c>
      <c r="K324">
        <f t="shared" si="57"/>
        <v>0.79777430736267452</v>
      </c>
      <c r="L324">
        <f>-$B$5*$B$12-IF($B$3,Tabelle2[[#This Row],[Fd]]*Tabelle2[[#This Row],[vy]]/Tabelle2[[#This Row],[v]],0)</f>
        <v>-14.36460195739852</v>
      </c>
      <c r="M324">
        <f t="shared" si="58"/>
        <v>-9.5764013049323466</v>
      </c>
      <c r="N324">
        <f t="shared" si="59"/>
        <v>-0.19152802609864694</v>
      </c>
      <c r="O324">
        <f t="shared" si="60"/>
        <v>-0.10043971233443222</v>
      </c>
      <c r="P324" s="1">
        <f t="shared" ref="P324:P387" si="62">P323+J323</f>
        <v>39.907639349280394</v>
      </c>
      <c r="Q324" s="1">
        <f t="shared" ref="Q324:Q387" si="63">Q323+N323</f>
        <v>-4.9262216036722872</v>
      </c>
      <c r="R324">
        <f>SQRT(Tabelle2[[#This Row],[vx]]*Tabelle2[[#This Row],[vx]]+Tabelle2[[#This Row],[vy]]*Tabelle2[[#This Row],[vy]])</f>
        <v>40.210537645258121</v>
      </c>
      <c r="S324">
        <f t="shared" ref="S324:S387" si="64">S323+K323</f>
        <v>312.7308560070133</v>
      </c>
      <c r="T324" s="1">
        <f t="shared" ref="T324:T387" si="65">T323+O323</f>
        <v>198.74332090433685</v>
      </c>
    </row>
    <row r="325" spans="6:20" x14ac:dyDescent="0.35">
      <c r="F325" s="1">
        <f t="shared" si="61"/>
        <v>6.4399999999999507</v>
      </c>
      <c r="G325">
        <f>1/2*$B$8*$B$6*$B$7*(Tabelle2[[#This Row],[vx]]*Tabelle2[[#This Row],[vx]]+Tabelle2[[#This Row],[vy]]*Tabelle2[[#This Row],[vy]])/1000000</f>
        <v>2.8582038517677399</v>
      </c>
      <c r="H325">
        <f>IF($B$3,-Tabelle2[[#This Row],[Fd]]*Tabelle2[[#This Row],[vx]]/Tabelle2[[#This Row],[v]],0)</f>
        <v>-2.8349440154400876</v>
      </c>
      <c r="I325">
        <f t="shared" si="55"/>
        <v>-1.8899626769600584</v>
      </c>
      <c r="J325">
        <f t="shared" si="56"/>
        <v>-3.7799253539201168E-2</v>
      </c>
      <c r="K325">
        <f t="shared" si="57"/>
        <v>0.79701783520434899</v>
      </c>
      <c r="L325">
        <f>-$B$5*$B$12-IF($B$3,Tabelle2[[#This Row],[Fd]]*Tabelle2[[#This Row],[vy]]/Tabelle2[[#This Row],[v]],0)</f>
        <v>-14.351102091816431</v>
      </c>
      <c r="M325">
        <f t="shared" si="58"/>
        <v>-9.5674013945442873</v>
      </c>
      <c r="N325">
        <f t="shared" si="59"/>
        <v>-0.19134802789088576</v>
      </c>
      <c r="O325">
        <f t="shared" si="60"/>
        <v>-0.10426847287432754</v>
      </c>
      <c r="P325" s="1">
        <f t="shared" si="62"/>
        <v>39.869791386987053</v>
      </c>
      <c r="Q325" s="1">
        <f t="shared" si="63"/>
        <v>-5.117749629770934</v>
      </c>
      <c r="R325">
        <f>SQRT(Tabelle2[[#This Row],[vx]]*Tabelle2[[#This Row],[vx]]+Tabelle2[[#This Row],[vy]]*Tabelle2[[#This Row],[vy]])</f>
        <v>40.196910658841524</v>
      </c>
      <c r="S325">
        <f t="shared" si="64"/>
        <v>313.52863031437596</v>
      </c>
      <c r="T325" s="1">
        <f t="shared" si="65"/>
        <v>198.64288119200242</v>
      </c>
    </row>
    <row r="326" spans="6:20" x14ac:dyDescent="0.35">
      <c r="F326" s="1">
        <f t="shared" si="61"/>
        <v>6.4599999999999502</v>
      </c>
      <c r="G326">
        <f>1/2*$B$8*$B$6*$B$7*(Tabelle2[[#This Row],[vx]]*Tabelle2[[#This Row],[vx]]+Tabelle2[[#This Row],[vy]]*Tabelle2[[#This Row],[vy]])/1000000</f>
        <v>2.8564039571854485</v>
      </c>
      <c r="H326">
        <f>IF($B$3,-Tabelle2[[#This Row],[Fd]]*Tabelle2[[#This Row],[vx]]/Tabelle2[[#This Row],[v]],0)</f>
        <v>-2.8313643793852714</v>
      </c>
      <c r="I326">
        <f t="shared" si="55"/>
        <v>-1.8875762529235143</v>
      </c>
      <c r="J326">
        <f t="shared" si="56"/>
        <v>-3.7751525058470285E-2</v>
      </c>
      <c r="K326">
        <f t="shared" si="57"/>
        <v>0.79626232741837244</v>
      </c>
      <c r="L326">
        <f>-$B$5*$B$12-IF($B$3,Tabelle2[[#This Row],[Fd]]*Tabelle2[[#This Row],[vy]]/Tabelle2[[#This Row],[v]],0)</f>
        <v>-14.337615159587795</v>
      </c>
      <c r="M326">
        <f t="shared" si="58"/>
        <v>-9.5584101063918627</v>
      </c>
      <c r="N326">
        <f t="shared" si="59"/>
        <v>-0.19116820212783725</v>
      </c>
      <c r="O326">
        <f t="shared" si="60"/>
        <v>-0.10809363517451477</v>
      </c>
      <c r="P326" s="1">
        <f t="shared" si="62"/>
        <v>39.831992133447855</v>
      </c>
      <c r="Q326" s="1">
        <f t="shared" si="63"/>
        <v>-5.3090976576618196</v>
      </c>
      <c r="R326">
        <f>SQRT(Tabelle2[[#This Row],[vx]]*Tabelle2[[#This Row],[vx]]+Tabelle2[[#This Row],[vy]]*Tabelle2[[#This Row],[vy]])</f>
        <v>40.184252080356579</v>
      </c>
      <c r="S326">
        <f t="shared" si="64"/>
        <v>314.32564814958033</v>
      </c>
      <c r="T326" s="1">
        <f t="shared" si="65"/>
        <v>198.53861271912808</v>
      </c>
    </row>
    <row r="327" spans="6:20" x14ac:dyDescent="0.35">
      <c r="F327" s="1">
        <f t="shared" si="61"/>
        <v>6.4799999999999498</v>
      </c>
      <c r="G327">
        <f>1/2*$B$8*$B$6*$B$7*(Tabelle2[[#This Row],[vx]]*Tabelle2[[#This Row],[vx]]+Tabelle2[[#This Row],[vy]]*Tabelle2[[#This Row],[vy]])/1000000</f>
        <v>2.8547418721986384</v>
      </c>
      <c r="H327">
        <f>IF($B$3,-Tabelle2[[#This Row],[Fd]]*Tabelle2[[#This Row],[vx]]/Tabelle2[[#This Row],[v]],0)</f>
        <v>-2.8278578036644921</v>
      </c>
      <c r="I327">
        <f t="shared" si="55"/>
        <v>-1.8852385357763282</v>
      </c>
      <c r="J327">
        <f t="shared" si="56"/>
        <v>-3.7704770715526567E-2</v>
      </c>
      <c r="K327">
        <f t="shared" si="57"/>
        <v>0.79550776446063254</v>
      </c>
      <c r="L327">
        <f>-$B$5*$B$12-IF($B$3,Tabelle2[[#This Row],[Fd]]*Tabelle2[[#This Row],[vy]]/Tabelle2[[#This Row],[v]],0)</f>
        <v>-14.324140179683276</v>
      </c>
      <c r="M327">
        <f t="shared" si="58"/>
        <v>-9.549426786455518</v>
      </c>
      <c r="N327">
        <f t="shared" si="59"/>
        <v>-0.19098853572911037</v>
      </c>
      <c r="O327">
        <f t="shared" si="60"/>
        <v>-0.11191520255308424</v>
      </c>
      <c r="P327" s="1">
        <f t="shared" si="62"/>
        <v>39.794240608389387</v>
      </c>
      <c r="Q327" s="1">
        <f t="shared" si="63"/>
        <v>-5.500265859789657</v>
      </c>
      <c r="R327">
        <f>SQRT(Tabelle2[[#This Row],[vx]]*Tabelle2[[#This Row],[vx]]+Tabelle2[[#This Row],[vy]]*Tabelle2[[#This Row],[vy]])</f>
        <v>40.172559168252583</v>
      </c>
      <c r="S327">
        <f t="shared" si="64"/>
        <v>315.12191047699872</v>
      </c>
      <c r="T327" s="1">
        <f t="shared" si="65"/>
        <v>198.43051908395356</v>
      </c>
    </row>
    <row r="328" spans="6:20" x14ac:dyDescent="0.35">
      <c r="F328" s="1">
        <f t="shared" si="61"/>
        <v>6.4999999999999494</v>
      </c>
      <c r="G328">
        <f>1/2*$B$8*$B$6*$B$7*(Tabelle2[[#This Row],[vx]]*Tabelle2[[#This Row],[vx]]+Tabelle2[[#This Row],[vy]]*Tabelle2[[#This Row],[vy]])/1000000</f>
        <v>2.8532170790174778</v>
      </c>
      <c r="H328">
        <f>IF($B$3,-Tabelle2[[#This Row],[Fd]]*Tabelle2[[#This Row],[vx]]/Tabelle2[[#This Row],[v]],0)</f>
        <v>-2.824423825684673</v>
      </c>
      <c r="I328">
        <f t="shared" si="55"/>
        <v>-1.8829492171231152</v>
      </c>
      <c r="J328">
        <f t="shared" si="56"/>
        <v>-3.7658984342462308E-2</v>
      </c>
      <c r="K328">
        <f t="shared" si="57"/>
        <v>0.79475412691005265</v>
      </c>
      <c r="L328">
        <f>-$B$5*$B$12-IF($B$3,Tabelle2[[#This Row],[Fd]]*Tabelle2[[#This Row],[vy]]/Tabelle2[[#This Row],[v]],0)</f>
        <v>-14.310676178166826</v>
      </c>
      <c r="M328">
        <f t="shared" si="58"/>
        <v>-9.5404507854445502</v>
      </c>
      <c r="N328">
        <f t="shared" si="59"/>
        <v>-0.190809015708891</v>
      </c>
      <c r="O328">
        <f t="shared" si="60"/>
        <v>-0.11573317806746428</v>
      </c>
      <c r="P328" s="1">
        <f t="shared" si="62"/>
        <v>39.756535837673859</v>
      </c>
      <c r="Q328" s="1">
        <f t="shared" si="63"/>
        <v>-5.6912543955187678</v>
      </c>
      <c r="R328">
        <f>SQRT(Tabelle2[[#This Row],[vx]]*Tabelle2[[#This Row],[vx]]+Tabelle2[[#This Row],[vy]]*Tabelle2[[#This Row],[vy]])</f>
        <v>40.161829121776286</v>
      </c>
      <c r="S328">
        <f t="shared" si="64"/>
        <v>315.91741824145936</v>
      </c>
      <c r="T328" s="1">
        <f t="shared" si="65"/>
        <v>198.31860388140046</v>
      </c>
    </row>
    <row r="329" spans="6:20" x14ac:dyDescent="0.35">
      <c r="F329" s="1">
        <f t="shared" si="61"/>
        <v>6.5199999999999489</v>
      </c>
      <c r="G329">
        <f>1/2*$B$8*$B$6*$B$7*(Tabelle2[[#This Row],[vx]]*Tabelle2[[#This Row],[vx]]+Tabelle2[[#This Row],[vy]]*Tabelle2[[#This Row],[vy]])/1000000</f>
        <v>2.8518290617654367</v>
      </c>
      <c r="H329">
        <f>IF($B$3,-Tabelle2[[#This Row],[Fd]]*Tabelle2[[#This Row],[vx]]/Tabelle2[[#This Row],[v]],0)</f>
        <v>-2.8210619804532358</v>
      </c>
      <c r="I329">
        <f t="shared" si="55"/>
        <v>-1.8807079869688239</v>
      </c>
      <c r="J329">
        <f t="shared" si="56"/>
        <v>-3.7614159739376478E-2</v>
      </c>
      <c r="K329">
        <f t="shared" si="57"/>
        <v>0.79400139546923409</v>
      </c>
      <c r="L329">
        <f>-$B$5*$B$12-IF($B$3,Tabelle2[[#This Row],[Fd]]*Tabelle2[[#This Row],[vy]]/Tabelle2[[#This Row],[v]],0)</f>
        <v>-14.29722218827324</v>
      </c>
      <c r="M329">
        <f t="shared" si="58"/>
        <v>-9.5314814588488268</v>
      </c>
      <c r="N329">
        <f t="shared" si="59"/>
        <v>-0.19062962917697654</v>
      </c>
      <c r="O329">
        <f t="shared" si="60"/>
        <v>-0.11954756451632294</v>
      </c>
      <c r="P329" s="1">
        <f t="shared" si="62"/>
        <v>39.718876853331395</v>
      </c>
      <c r="Q329" s="1">
        <f t="shared" si="63"/>
        <v>-5.8820634112276586</v>
      </c>
      <c r="R329">
        <f>SQRT(Tabelle2[[#This Row],[vx]]*Tabelle2[[#This Row],[vx]]+Tabelle2[[#This Row],[vy]]*Tabelle2[[#This Row],[vy]])</f>
        <v>40.152059081245227</v>
      </c>
      <c r="S329">
        <f t="shared" si="64"/>
        <v>316.71217236836941</v>
      </c>
      <c r="T329" s="1">
        <f t="shared" si="65"/>
        <v>198.20287070333299</v>
      </c>
    </row>
    <row r="330" spans="6:20" x14ac:dyDescent="0.35">
      <c r="F330" s="1">
        <f t="shared" si="61"/>
        <v>6.5399999999999485</v>
      </c>
      <c r="G330">
        <f>1/2*$B$8*$B$6*$B$7*(Tabelle2[[#This Row],[vx]]*Tabelle2[[#This Row],[vx]]+Tabelle2[[#This Row],[vy]]*Tabelle2[[#This Row],[vy]])/1000000</f>
        <v>2.8505773064353375</v>
      </c>
      <c r="H330">
        <f>IF($B$3,-Tabelle2[[#This Row],[Fd]]*Tabelle2[[#This Row],[vx]]/Tabelle2[[#This Row],[v]],0)</f>
        <v>-2.8177718006014607</v>
      </c>
      <c r="I330">
        <f t="shared" si="55"/>
        <v>-1.8785145337343072</v>
      </c>
      <c r="J330">
        <f t="shared" si="56"/>
        <v>-3.7570290674686146E-2</v>
      </c>
      <c r="K330">
        <f t="shared" si="57"/>
        <v>0.79324955096509353</v>
      </c>
      <c r="L330">
        <f>-$B$5*$B$12-IF($B$3,Tabelle2[[#This Row],[Fd]]*Tabelle2[[#This Row],[vy]]/Tabelle2[[#This Row],[v]],0)</f>
        <v>-14.283777250484921</v>
      </c>
      <c r="M330">
        <f t="shared" si="58"/>
        <v>-9.522518166989947</v>
      </c>
      <c r="N330">
        <f t="shared" si="59"/>
        <v>-0.19045036333979895</v>
      </c>
      <c r="O330">
        <f t="shared" si="60"/>
        <v>-0.1233583644414907</v>
      </c>
      <c r="P330" s="1">
        <f t="shared" si="62"/>
        <v>39.681262693592018</v>
      </c>
      <c r="Q330" s="1">
        <f t="shared" si="63"/>
        <v>-6.0726930404046353</v>
      </c>
      <c r="R330">
        <f>SQRT(Tabelle2[[#This Row],[vx]]*Tabelle2[[#This Row],[vx]]+Tabelle2[[#This Row],[vy]]*Tabelle2[[#This Row],[vy]])</f>
        <v>40.143246128344387</v>
      </c>
      <c r="S330">
        <f t="shared" si="64"/>
        <v>317.50617376383866</v>
      </c>
      <c r="T330" s="1">
        <f t="shared" si="65"/>
        <v>198.08332313881667</v>
      </c>
    </row>
    <row r="331" spans="6:20" x14ac:dyDescent="0.35">
      <c r="F331" s="1">
        <f t="shared" si="61"/>
        <v>6.5599999999999481</v>
      </c>
      <c r="G331">
        <f>1/2*$B$8*$B$6*$B$7*(Tabelle2[[#This Row],[vx]]*Tabelle2[[#This Row],[vx]]+Tabelle2[[#This Row],[vy]]*Tabelle2[[#This Row],[vy]])/1000000</f>
        <v>2.8494613008459075</v>
      </c>
      <c r="H331">
        <f>IF($B$3,-Tabelle2[[#This Row],[Fd]]*Tabelle2[[#This Row],[vx]]/Tabelle2[[#This Row],[v]],0)</f>
        <v>-2.8145528164094964</v>
      </c>
      <c r="I331">
        <f t="shared" si="55"/>
        <v>-1.8763685442729976</v>
      </c>
      <c r="J331">
        <f t="shared" si="56"/>
        <v>-3.7527370885459953E-2</v>
      </c>
      <c r="K331">
        <f t="shared" si="57"/>
        <v>0.79249857434949211</v>
      </c>
      <c r="L331">
        <f>-$B$5*$B$12-IF($B$3,Tabelle2[[#This Row],[Fd]]*Tabelle2[[#This Row],[vy]]/Tabelle2[[#This Row],[v]],0)</f>
        <v>-14.270340412607776</v>
      </c>
      <c r="M331">
        <f t="shared" si="58"/>
        <v>-9.5135602750718515</v>
      </c>
      <c r="N331">
        <f t="shared" si="59"/>
        <v>-0.19027120550143703</v>
      </c>
      <c r="O331">
        <f t="shared" si="60"/>
        <v>-0.12716558012990306</v>
      </c>
      <c r="P331" s="1">
        <f t="shared" si="62"/>
        <v>39.643692402917331</v>
      </c>
      <c r="Q331" s="1">
        <f t="shared" si="63"/>
        <v>-6.2631434037444347</v>
      </c>
      <c r="R331">
        <f>SQRT(Tabelle2[[#This Row],[vx]]*Tabelle2[[#This Row],[vx]]+Tabelle2[[#This Row],[vy]]*Tabelle2[[#This Row],[vy]])</f>
        <v>40.13538728644577</v>
      </c>
      <c r="S331">
        <f t="shared" si="64"/>
        <v>318.29942331480373</v>
      </c>
      <c r="T331" s="1">
        <f t="shared" si="65"/>
        <v>197.95996477437518</v>
      </c>
    </row>
    <row r="332" spans="6:20" x14ac:dyDescent="0.35">
      <c r="F332" s="1">
        <f t="shared" si="61"/>
        <v>6.5799999999999477</v>
      </c>
      <c r="G332">
        <f>1/2*$B$8*$B$6*$B$7*(Tabelle2[[#This Row],[vx]]*Tabelle2[[#This Row],[vx]]+Tabelle2[[#This Row],[vy]]*Tabelle2[[#This Row],[vy]])/1000000</f>
        <v>2.848480534598854</v>
      </c>
      <c r="H332">
        <f>IF($B$3,-Tabelle2[[#This Row],[Fd]]*Tabelle2[[#This Row],[vx]]/Tabelle2[[#This Row],[v]],0)</f>
        <v>-2.8114045558330023</v>
      </c>
      <c r="I332">
        <f t="shared" si="55"/>
        <v>-1.8742697038886682</v>
      </c>
      <c r="J332">
        <f t="shared" si="56"/>
        <v>-3.7485394077773362E-2</v>
      </c>
      <c r="K332">
        <f t="shared" si="57"/>
        <v>0.79174844669985978</v>
      </c>
      <c r="L332">
        <f>-$B$5*$B$12-IF($B$3,Tabelle2[[#This Row],[Fd]]*Tabelle2[[#This Row],[vy]]/Tabelle2[[#This Row],[v]],0)</f>
        <v>-14.256910729846233</v>
      </c>
      <c r="M332">
        <f t="shared" si="58"/>
        <v>-9.5046071532308218</v>
      </c>
      <c r="N332">
        <f t="shared" si="59"/>
        <v>-0.19009214306461644</v>
      </c>
      <c r="O332">
        <f t="shared" si="60"/>
        <v>-0.1309692136155636</v>
      </c>
      <c r="P332" s="1">
        <f t="shared" si="62"/>
        <v>39.606165032031875</v>
      </c>
      <c r="Q332" s="1">
        <f t="shared" si="63"/>
        <v>-6.453414609245872</v>
      </c>
      <c r="R332">
        <f>SQRT(Tabelle2[[#This Row],[vx]]*Tabelle2[[#This Row],[vx]]+Tabelle2[[#This Row],[vy]]*Tabelle2[[#This Row],[vy]])</f>
        <v>40.128479520950862</v>
      </c>
      <c r="S332">
        <f t="shared" si="64"/>
        <v>319.09192188915324</v>
      </c>
      <c r="T332" s="1">
        <f t="shared" si="65"/>
        <v>197.83279919424527</v>
      </c>
    </row>
    <row r="333" spans="6:20" x14ac:dyDescent="0.35">
      <c r="F333" s="1">
        <f t="shared" si="61"/>
        <v>6.5999999999999472</v>
      </c>
      <c r="G333">
        <f>1/2*$B$8*$B$6*$B$7*(Tabelle2[[#This Row],[vx]]*Tabelle2[[#This Row],[vx]]+Tabelle2[[#This Row],[vy]]*Tabelle2[[#This Row],[vy]])/1000000</f>
        <v>2.8476344990364377</v>
      </c>
      <c r="H333">
        <f>IF($B$3,-Tabelle2[[#This Row],[Fd]]*Tabelle2[[#This Row],[vx]]/Tabelle2[[#This Row],[v]],0)</f>
        <v>-2.8083265445313832</v>
      </c>
      <c r="I333">
        <f t="shared" si="55"/>
        <v>-1.8722176963542554</v>
      </c>
      <c r="J333">
        <f t="shared" si="56"/>
        <v>-3.744435392708511E-2</v>
      </c>
      <c r="K333">
        <f t="shared" si="57"/>
        <v>0.79099914921981107</v>
      </c>
      <c r="L333">
        <f>-$B$5*$B$12-IF($B$3,Tabelle2[[#This Row],[Fd]]*Tabelle2[[#This Row],[vy]]/Tabelle2[[#This Row],[v]],0)</f>
        <v>-14.243487264877265</v>
      </c>
      <c r="M333">
        <f t="shared" si="58"/>
        <v>-9.4956581765848433</v>
      </c>
      <c r="N333">
        <f t="shared" si="59"/>
        <v>-0.18991316353169688</v>
      </c>
      <c r="O333">
        <f t="shared" si="60"/>
        <v>-0.13476926668152675</v>
      </c>
      <c r="P333" s="1">
        <f t="shared" si="62"/>
        <v>39.568679637954098</v>
      </c>
      <c r="Q333" s="1">
        <f t="shared" si="63"/>
        <v>-6.643506752310488</v>
      </c>
      <c r="R333">
        <f>SQRT(Tabelle2[[#This Row],[vx]]*Tabelle2[[#This Row],[vx]]+Tabelle2[[#This Row],[vy]]*Tabelle2[[#This Row],[vy]])</f>
        <v>40.122519739655417</v>
      </c>
      <c r="S333">
        <f t="shared" si="64"/>
        <v>319.88367033585308</v>
      </c>
      <c r="T333" s="1">
        <f t="shared" si="65"/>
        <v>197.7018299806297</v>
      </c>
    </row>
    <row r="334" spans="6:20" x14ac:dyDescent="0.35">
      <c r="F334" s="1">
        <f t="shared" si="61"/>
        <v>6.6199999999999468</v>
      </c>
      <c r="G334">
        <f>1/2*$B$8*$B$6*$B$7*(Tabelle2[[#This Row],[vx]]*Tabelle2[[#This Row],[vx]]+Tabelle2[[#This Row],[vy]]*Tabelle2[[#This Row],[vy]])/1000000</f>
        <v>2.8469226871995761</v>
      </c>
      <c r="H334">
        <f>IF($B$3,-Tabelle2[[#This Row],[Fd]]*Tabelle2[[#This Row],[vx]]/Tabelle2[[#This Row],[v]],0)</f>
        <v>-2.8053183058976079</v>
      </c>
      <c r="I334">
        <f t="shared" si="55"/>
        <v>-1.8702122039317386</v>
      </c>
      <c r="J334">
        <f t="shared" si="56"/>
        <v>-3.7404244078634775E-2</v>
      </c>
      <c r="K334">
        <f t="shared" si="57"/>
        <v>0.79025066323975401</v>
      </c>
      <c r="L334">
        <f>-$B$5*$B$12-IF($B$3,Tabelle2[[#This Row],[Fd]]*Tabelle2[[#This Row],[vy]]/Tabelle2[[#This Row],[v]],0)</f>
        <v>-14.230069087923413</v>
      </c>
      <c r="M334">
        <f t="shared" si="58"/>
        <v>-9.4867127252822758</v>
      </c>
      <c r="N334">
        <f t="shared" si="59"/>
        <v>-0.18973425450564552</v>
      </c>
      <c r="O334">
        <f t="shared" si="60"/>
        <v>-0.13856574086190016</v>
      </c>
      <c r="P334" s="1">
        <f t="shared" si="62"/>
        <v>39.531235284027012</v>
      </c>
      <c r="Q334" s="1">
        <f t="shared" si="63"/>
        <v>-6.8334199158421853</v>
      </c>
      <c r="R334">
        <f>SQRT(Tabelle2[[#This Row],[vx]]*Tabelle2[[#This Row],[vx]]+Tabelle2[[#This Row],[vy]]*Tabelle2[[#This Row],[vy]])</f>
        <v>40.117504793136511</v>
      </c>
      <c r="S334">
        <f t="shared" si="64"/>
        <v>320.67466948507291</v>
      </c>
      <c r="T334" s="1">
        <f t="shared" si="65"/>
        <v>197.56706071394817</v>
      </c>
    </row>
    <row r="335" spans="6:20" x14ac:dyDescent="0.35">
      <c r="F335" s="1">
        <f t="shared" si="61"/>
        <v>6.6399999999999464</v>
      </c>
      <c r="G335">
        <f>1/2*$B$8*$B$6*$B$7*(Tabelle2[[#This Row],[vx]]*Tabelle2[[#This Row],[vx]]+Tabelle2[[#This Row],[vy]]*Tabelle2[[#This Row],[vy]])/1000000</f>
        <v>2.8463445937864371</v>
      </c>
      <c r="H335">
        <f>IF($B$3,-Tabelle2[[#This Row],[Fd]]*Tabelle2[[#This Row],[vx]]/Tabelle2[[#This Row],[v]],0)</f>
        <v>-2.8023793610895495</v>
      </c>
      <c r="I335">
        <f t="shared" si="55"/>
        <v>-1.868252907393033</v>
      </c>
      <c r="J335">
        <f t="shared" si="56"/>
        <v>-3.7365058147860661E-2</v>
      </c>
      <c r="K335">
        <f t="shared" si="57"/>
        <v>0.78950297021748894</v>
      </c>
      <c r="L335">
        <f>-$B$5*$B$12-IF($B$3,Tabelle2[[#This Row],[Fd]]*Tabelle2[[#This Row],[vy]]/Tabelle2[[#This Row],[v]],0)</f>
        <v>-14.21665527682476</v>
      </c>
      <c r="M335">
        <f t="shared" si="58"/>
        <v>-9.4777701845498399</v>
      </c>
      <c r="N335">
        <f t="shared" si="59"/>
        <v>-0.1895554036909968</v>
      </c>
      <c r="O335">
        <f t="shared" si="60"/>
        <v>-0.14235863744386659</v>
      </c>
      <c r="P335" s="1">
        <f t="shared" si="62"/>
        <v>39.493831039948375</v>
      </c>
      <c r="Q335" s="1">
        <f t="shared" si="63"/>
        <v>-7.0231541703478308</v>
      </c>
      <c r="R335">
        <f>SQRT(Tabelle2[[#This Row],[vx]]*Tabelle2[[#This Row],[vx]]+Tabelle2[[#This Row],[vy]]*Tabelle2[[#This Row],[vy]])</f>
        <v>40.113431475161335</v>
      </c>
      <c r="S335">
        <f t="shared" si="64"/>
        <v>321.46492014831267</v>
      </c>
      <c r="T335" s="1">
        <f t="shared" si="65"/>
        <v>197.42849497308626</v>
      </c>
    </row>
    <row r="336" spans="6:20" x14ac:dyDescent="0.35">
      <c r="F336" s="1">
        <f t="shared" si="61"/>
        <v>6.659999999999946</v>
      </c>
      <c r="G336">
        <f>1/2*$B$8*$B$6*$B$7*(Tabelle2[[#This Row],[vx]]*Tabelle2[[#This Row],[vx]]+Tabelle2[[#This Row],[vy]]*Tabelle2[[#This Row],[vy]])/1000000</f>
        <v>2.8458997151115577</v>
      </c>
      <c r="H336">
        <f>IF($B$3,-Tabelle2[[#This Row],[Fd]]*Tabelle2[[#This Row],[vx]]/Tabelle2[[#This Row],[v]],0)</f>
        <v>-2.7995092290628483</v>
      </c>
      <c r="I336">
        <f t="shared" si="55"/>
        <v>-1.8663394860418989</v>
      </c>
      <c r="J336">
        <f t="shared" si="56"/>
        <v>-3.7326789720837979E-2</v>
      </c>
      <c r="K336">
        <f t="shared" si="57"/>
        <v>0.78875605173880192</v>
      </c>
      <c r="L336">
        <f>-$B$5*$B$12-IF($B$3,Tabelle2[[#This Row],[Fd]]*Tabelle2[[#This Row],[vy]]/Tabelle2[[#This Row],[v]],0)</f>
        <v>-14.203244917109775</v>
      </c>
      <c r="M336">
        <f t="shared" si="58"/>
        <v>-9.4688299447398503</v>
      </c>
      <c r="N336">
        <f t="shared" si="59"/>
        <v>-0.18937659889479702</v>
      </c>
      <c r="O336">
        <f t="shared" si="60"/>
        <v>-0.1461479574697245</v>
      </c>
      <c r="P336" s="1">
        <f t="shared" si="62"/>
        <v>39.456465981800513</v>
      </c>
      <c r="Q336" s="1">
        <f t="shared" si="63"/>
        <v>-7.2127095740388274</v>
      </c>
      <c r="R336">
        <f>SQRT(Tabelle2[[#This Row],[vx]]*Tabelle2[[#This Row],[vx]]+Tabelle2[[#This Row],[vy]]*Tabelle2[[#This Row],[vy]])</f>
        <v>40.110296523117512</v>
      </c>
      <c r="S336">
        <f t="shared" si="64"/>
        <v>322.25442311853016</v>
      </c>
      <c r="T336" s="1">
        <f t="shared" si="65"/>
        <v>197.2861363356424</v>
      </c>
    </row>
    <row r="337" spans="6:20" x14ac:dyDescent="0.35">
      <c r="F337" s="1">
        <f t="shared" si="61"/>
        <v>6.6799999999999455</v>
      </c>
      <c r="G337">
        <f>1/2*$B$8*$B$6*$B$7*(Tabelle2[[#This Row],[vx]]*Tabelle2[[#This Row],[vx]]+Tabelle2[[#This Row],[vy]]*Tabelle2[[#This Row],[vy]])/1000000</f>
        <v>2.8455875490654678</v>
      </c>
      <c r="H337">
        <f>IF($B$3,-Tabelle2[[#This Row],[Fd]]*Tabelle2[[#This Row],[vx]]/Tabelle2[[#This Row],[v]],0)</f>
        <v>-2.7967074266052458</v>
      </c>
      <c r="I337">
        <f t="shared" si="55"/>
        <v>-1.8644716177368306</v>
      </c>
      <c r="J337">
        <f t="shared" si="56"/>
        <v>-3.7289432354736612E-2</v>
      </c>
      <c r="K337">
        <f t="shared" si="57"/>
        <v>0.78800988951804618</v>
      </c>
      <c r="L337">
        <f>-$B$5*$B$12-IF($B$3,Tabelle2[[#This Row],[Fd]]*Tabelle2[[#This Row],[vy]]/Tabelle2[[#This Row],[v]],0)</f>
        <v>-14.189837102065006</v>
      </c>
      <c r="M337">
        <f t="shared" si="58"/>
        <v>-9.4598914013766713</v>
      </c>
      <c r="N337">
        <f t="shared" si="59"/>
        <v>-0.18919782802753343</v>
      </c>
      <c r="O337">
        <f t="shared" si="60"/>
        <v>-0.14993370173894782</v>
      </c>
      <c r="P337" s="1">
        <f t="shared" si="62"/>
        <v>39.419139192079676</v>
      </c>
      <c r="Q337" s="1">
        <f t="shared" si="63"/>
        <v>-7.4020861729336245</v>
      </c>
      <c r="R337">
        <f>SQRT(Tabelle2[[#This Row],[vx]]*Tabelle2[[#This Row],[vx]]+Tabelle2[[#This Row],[vy]]*Tabelle2[[#This Row],[vy]])</f>
        <v>40.108096618464543</v>
      </c>
      <c r="S337">
        <f t="shared" si="64"/>
        <v>323.04317917026896</v>
      </c>
      <c r="T337" s="1">
        <f t="shared" si="65"/>
        <v>197.13998837817266</v>
      </c>
    </row>
    <row r="338" spans="6:20" x14ac:dyDescent="0.35">
      <c r="F338" s="1">
        <f t="shared" si="61"/>
        <v>6.6999999999999451</v>
      </c>
      <c r="G338">
        <f>1/2*$B$8*$B$6*$B$7*(Tabelle2[[#This Row],[vx]]*Tabelle2[[#This Row],[vx]]+Tabelle2[[#This Row],[vy]]*Tabelle2[[#This Row],[vy]])/1000000</f>
        <v>2.8454075950748234</v>
      </c>
      <c r="H338">
        <f>IF($B$3,-Tabelle2[[#This Row],[Fd]]*Tabelle2[[#This Row],[vx]]/Tabelle2[[#This Row],[v]],0)</f>
        <v>-2.7939734683723567</v>
      </c>
      <c r="I338">
        <f t="shared" si="55"/>
        <v>-1.8626489789149046</v>
      </c>
      <c r="J338">
        <f t="shared" si="56"/>
        <v>-3.7252979578298089E-2</v>
      </c>
      <c r="K338">
        <f t="shared" si="57"/>
        <v>0.78726446539871575</v>
      </c>
      <c r="L338">
        <f>-$B$5*$B$12-IF($B$3,Tabelle2[[#This Row],[Fd]]*Tabelle2[[#This Row],[vy]]/Tabelle2[[#This Row],[v]],0)</f>
        <v>-14.176430932803569</v>
      </c>
      <c r="M338">
        <f t="shared" si="58"/>
        <v>-9.4509539552023796</v>
      </c>
      <c r="N338">
        <f t="shared" si="59"/>
        <v>-0.18901907910404758</v>
      </c>
      <c r="O338">
        <f t="shared" si="60"/>
        <v>-0.15371587081026364</v>
      </c>
      <c r="P338" s="1">
        <f t="shared" si="62"/>
        <v>39.381849759724936</v>
      </c>
      <c r="Q338" s="1">
        <f t="shared" si="63"/>
        <v>-7.5912840009611582</v>
      </c>
      <c r="R338">
        <f>SQRT(Tabelle2[[#This Row],[vx]]*Tabelle2[[#This Row],[vx]]+Tabelle2[[#This Row],[vy]]*Tabelle2[[#This Row],[vy]])</f>
        <v>40.106828387206036</v>
      </c>
      <c r="S338">
        <f t="shared" si="64"/>
        <v>323.83118905978699</v>
      </c>
      <c r="T338" s="1">
        <f t="shared" si="65"/>
        <v>196.99005467643372</v>
      </c>
    </row>
    <row r="339" spans="6:20" x14ac:dyDescent="0.35">
      <c r="F339" s="1">
        <f t="shared" si="61"/>
        <v>6.7199999999999447</v>
      </c>
      <c r="G339">
        <f>1/2*$B$8*$B$6*$B$7*(Tabelle2[[#This Row],[vx]]*Tabelle2[[#This Row],[vx]]+Tabelle2[[#This Row],[vy]]*Tabelle2[[#This Row],[vy]])/1000000</f>
        <v>2.8453593540630489</v>
      </c>
      <c r="H339">
        <f>IF($B$3,-Tabelle2[[#This Row],[Fd]]*Tabelle2[[#This Row],[vx]]/Tabelle2[[#This Row],[v]],0)</f>
        <v>-2.7913068669248569</v>
      </c>
      <c r="I339">
        <f t="shared" si="55"/>
        <v>-1.8608712446165712</v>
      </c>
      <c r="J339">
        <f t="shared" si="56"/>
        <v>-3.7217424892331423E-2</v>
      </c>
      <c r="K339">
        <f t="shared" si="57"/>
        <v>0.78651976135400947</v>
      </c>
      <c r="L339">
        <f>-$B$5*$B$12-IF($B$3,Tabelle2[[#This Row],[Fd]]*Tabelle2[[#This Row],[vy]]/Tabelle2[[#This Row],[v]],0)</f>
        <v>-14.163025518332388</v>
      </c>
      <c r="M339">
        <f t="shared" si="58"/>
        <v>-9.4420170122215925</v>
      </c>
      <c r="N339">
        <f t="shared" si="59"/>
        <v>-0.18884034024443186</v>
      </c>
      <c r="O339">
        <f t="shared" si="60"/>
        <v>-0.15749446500374845</v>
      </c>
      <c r="P339" s="1">
        <f t="shared" si="62"/>
        <v>39.344596780146638</v>
      </c>
      <c r="Q339" s="1">
        <f t="shared" si="63"/>
        <v>-7.780303080065206</v>
      </c>
      <c r="R339">
        <f>SQRT(Tabelle2[[#This Row],[vx]]*Tabelle2[[#This Row],[vx]]+Tabelle2[[#This Row],[vy]]*Tabelle2[[#This Row],[vy]])</f>
        <v>40.106488400382268</v>
      </c>
      <c r="S339">
        <f t="shared" si="64"/>
        <v>324.61845352518571</v>
      </c>
      <c r="T339" s="1">
        <f t="shared" si="65"/>
        <v>196.83633880562346</v>
      </c>
    </row>
    <row r="340" spans="6:20" x14ac:dyDescent="0.35">
      <c r="F340" s="1">
        <f t="shared" si="61"/>
        <v>6.7399999999999443</v>
      </c>
      <c r="G340">
        <f>1/2*$B$8*$B$6*$B$7*(Tabelle2[[#This Row],[vx]]*Tabelle2[[#This Row],[vx]]+Tabelle2[[#This Row],[vy]]*Tabelle2[[#This Row],[vy]])/1000000</f>
        <v>2.8454423284114898</v>
      </c>
      <c r="H340">
        <f>IF($B$3,-Tabelle2[[#This Row],[Fd]]*Tabelle2[[#This Row],[vx]]/Tabelle2[[#This Row],[v]],0)</f>
        <v>-2.7887071327670392</v>
      </c>
      <c r="I340">
        <f t="shared" si="55"/>
        <v>-1.8591380885113595</v>
      </c>
      <c r="J340">
        <f t="shared" si="56"/>
        <v>-3.7182761770227189E-2</v>
      </c>
      <c r="K340">
        <f t="shared" si="57"/>
        <v>0.78577575948738387</v>
      </c>
      <c r="L340">
        <f>-$B$5*$B$12-IF($B$3,Tabelle2[[#This Row],[Fd]]*Tabelle2[[#This Row],[vy]]/Tabelle2[[#This Row],[v]],0)</f>
        <v>-14.149619975618132</v>
      </c>
      <c r="M340">
        <f t="shared" si="58"/>
        <v>-9.4330799837454204</v>
      </c>
      <c r="N340">
        <f t="shared" si="59"/>
        <v>-0.18866159967490842</v>
      </c>
      <c r="O340">
        <f t="shared" si="60"/>
        <v>-0.16126948440294184</v>
      </c>
      <c r="P340" s="1">
        <f t="shared" si="62"/>
        <v>39.307379355254305</v>
      </c>
      <c r="Q340" s="1">
        <f t="shared" si="63"/>
        <v>-7.9691434203096376</v>
      </c>
      <c r="R340">
        <f>SQRT(Tabelle2[[#This Row],[vx]]*Tabelle2[[#This Row],[vx]]+Tabelle2[[#This Row],[vy]]*Tabelle2[[#This Row],[vy]])</f>
        <v>40.107073174582766</v>
      </c>
      <c r="S340">
        <f t="shared" si="64"/>
        <v>325.4049732865397</v>
      </c>
      <c r="T340" s="1">
        <f t="shared" si="65"/>
        <v>196.67884434061972</v>
      </c>
    </row>
    <row r="341" spans="6:20" x14ac:dyDescent="0.35">
      <c r="F341" s="1">
        <f t="shared" si="61"/>
        <v>6.7599999999999438</v>
      </c>
      <c r="G341">
        <f>1/2*$B$8*$B$6*$B$7*(Tabelle2[[#This Row],[vx]]*Tabelle2[[#This Row],[vx]]+Tabelle2[[#This Row],[vy]]*Tabelle2[[#This Row],[vy]])/1000000</f>
        <v>2.8456560219210734</v>
      </c>
      <c r="H341">
        <f>IF($B$3,-Tabelle2[[#This Row],[Fd]]*Tabelle2[[#This Row],[vx]]/Tabelle2[[#This Row],[v]],0)</f>
        <v>-2.7861737743867065</v>
      </c>
      <c r="I341">
        <f t="shared" si="55"/>
        <v>-1.857449182924471</v>
      </c>
      <c r="J341">
        <f t="shared" si="56"/>
        <v>-3.7148983658489419E-2</v>
      </c>
      <c r="K341">
        <f t="shared" si="57"/>
        <v>0.78503244203309674</v>
      </c>
      <c r="L341">
        <f>-$B$5*$B$12-IF($B$3,Tabelle2[[#This Row],[Fd]]*Tabelle2[[#This Row],[vy]]/Tabelle2[[#This Row],[v]],0)</f>
        <v>-14.136213429651827</v>
      </c>
      <c r="M341">
        <f t="shared" si="58"/>
        <v>-9.4241422864345505</v>
      </c>
      <c r="N341">
        <f t="shared" si="59"/>
        <v>-0.18848284572869101</v>
      </c>
      <c r="O341">
        <f t="shared" si="60"/>
        <v>-0.1650409288569778</v>
      </c>
      <c r="P341" s="1">
        <f t="shared" si="62"/>
        <v>39.27019659348408</v>
      </c>
      <c r="Q341" s="1">
        <f t="shared" si="63"/>
        <v>-8.1578050199845453</v>
      </c>
      <c r="R341">
        <f>SQRT(Tabelle2[[#This Row],[vx]]*Tabelle2[[#This Row],[vx]]+Tabelle2[[#This Row],[vy]]*Tabelle2[[#This Row],[vy]])</f>
        <v>40.108579172478471</v>
      </c>
      <c r="S341">
        <f t="shared" si="64"/>
        <v>326.19074904602707</v>
      </c>
      <c r="T341" s="1">
        <f t="shared" si="65"/>
        <v>196.51757485621678</v>
      </c>
    </row>
    <row r="342" spans="6:20" x14ac:dyDescent="0.35">
      <c r="F342" s="1">
        <f t="shared" si="61"/>
        <v>6.7799999999999434</v>
      </c>
      <c r="G342">
        <f>1/2*$B$8*$B$6*$B$7*(Tabelle2[[#This Row],[vx]]*Tabelle2[[#This Row],[vx]]+Tabelle2[[#This Row],[vy]]*Tabelle2[[#This Row],[vy]])/1000000</f>
        <v>2.845999939774476</v>
      </c>
      <c r="H342">
        <f>IF($B$3,-Tabelle2[[#This Row],[Fd]]*Tabelle2[[#This Row],[vx]]/Tabelle2[[#This Row],[v]],0)</f>
        <v>-2.7837062982963729</v>
      </c>
      <c r="I342">
        <f t="shared" si="55"/>
        <v>-1.8558041988642486</v>
      </c>
      <c r="J342">
        <f t="shared" si="56"/>
        <v>-3.7116083977284976E-2</v>
      </c>
      <c r="K342">
        <f t="shared" si="57"/>
        <v>0.78428979135673904</v>
      </c>
      <c r="L342">
        <f>-$B$5*$B$12-IF($B$3,Tabelle2[[#This Row],[Fd]]*Tabelle2[[#This Row],[vy]]/Tabelle2[[#This Row],[v]],0)</f>
        <v>-14.122805013512082</v>
      </c>
      <c r="M342">
        <f t="shared" si="58"/>
        <v>-9.4152033423413872</v>
      </c>
      <c r="N342">
        <f t="shared" si="59"/>
        <v>-0.18830406684682774</v>
      </c>
      <c r="O342">
        <f t="shared" si="60"/>
        <v>-0.16880879798273302</v>
      </c>
      <c r="P342" s="1">
        <f t="shared" si="62"/>
        <v>39.23304760982559</v>
      </c>
      <c r="Q342" s="1">
        <f t="shared" si="63"/>
        <v>-8.3462878657132364</v>
      </c>
      <c r="R342">
        <f>SQRT(Tabelle2[[#This Row],[vx]]*Tabelle2[[#This Row],[vx]]+Tabelle2[[#This Row],[vy]]*Tabelle2[[#This Row],[vy]])</f>
        <v>40.111002803372955</v>
      </c>
      <c r="S342">
        <f t="shared" si="64"/>
        <v>326.97578148806014</v>
      </c>
      <c r="T342" s="1">
        <f t="shared" si="65"/>
        <v>196.35253392735981</v>
      </c>
    </row>
    <row r="343" spans="6:20" x14ac:dyDescent="0.35">
      <c r="F343" s="1">
        <f t="shared" si="61"/>
        <v>6.799999999999943</v>
      </c>
      <c r="G343">
        <f>1/2*$B$8*$B$6*$B$7*(Tabelle2[[#This Row],[vx]]*Tabelle2[[#This Row],[vx]]+Tabelle2[[#This Row],[vy]]*Tabelle2[[#This Row],[vy]])/1000000</f>
        <v>2.8464735884987973</v>
      </c>
      <c r="H343">
        <f>IF($B$3,-Tabelle2[[#This Row],[Fd]]*Tabelle2[[#This Row],[vx]]/Tabelle2[[#This Row],[v]],0)</f>
        <v>-2.781304209075715</v>
      </c>
      <c r="I343">
        <f t="shared" si="55"/>
        <v>-1.8542028060504767</v>
      </c>
      <c r="J343">
        <f t="shared" si="56"/>
        <v>-3.7084056121009533E-2</v>
      </c>
      <c r="K343">
        <f t="shared" si="57"/>
        <v>0.78354778995575602</v>
      </c>
      <c r="L343">
        <f>-$B$5*$B$12-IF($B$3,Tabelle2[[#This Row],[Fd]]*Tabelle2[[#This Row],[vy]]/Tabelle2[[#This Row],[v]],0)</f>
        <v>-14.109393868426904</v>
      </c>
      <c r="M343">
        <f t="shared" si="58"/>
        <v>-9.406262578951269</v>
      </c>
      <c r="N343">
        <f t="shared" si="59"/>
        <v>-0.18812525157902538</v>
      </c>
      <c r="O343">
        <f t="shared" si="60"/>
        <v>-0.17257309116699152</v>
      </c>
      <c r="P343" s="1">
        <f t="shared" si="62"/>
        <v>39.195931525848302</v>
      </c>
      <c r="Q343" s="1">
        <f t="shared" si="63"/>
        <v>-8.5345919325600637</v>
      </c>
      <c r="R343">
        <f>SQRT(Tabelle2[[#This Row],[vx]]*Tabelle2[[#This Row],[vx]]+Tabelle2[[#This Row],[vy]]*Tabelle2[[#This Row],[vy]])</f>
        <v>40.114340423772497</v>
      </c>
      <c r="S343">
        <f t="shared" si="64"/>
        <v>327.76007127941688</v>
      </c>
      <c r="T343" s="1">
        <f t="shared" si="65"/>
        <v>196.18372512937708</v>
      </c>
    </row>
    <row r="344" spans="6:20" x14ac:dyDescent="0.35">
      <c r="F344" s="1">
        <f t="shared" si="61"/>
        <v>6.8199999999999426</v>
      </c>
      <c r="G344">
        <f>1/2*$B$8*$B$6*$B$7*(Tabelle2[[#This Row],[vx]]*Tabelle2[[#This Row],[vx]]+Tabelle2[[#This Row],[vy]]*Tabelle2[[#This Row],[vy]])/1000000</f>
        <v>2.8470764759287466</v>
      </c>
      <c r="H344">
        <f>IF($B$3,-Tabelle2[[#This Row],[Fd]]*Tabelle2[[#This Row],[vx]]/Tabelle2[[#This Row],[v]],0)</f>
        <v>-2.778967009415267</v>
      </c>
      <c r="I344">
        <f t="shared" si="55"/>
        <v>-1.8526446729435113</v>
      </c>
      <c r="J344">
        <f t="shared" si="56"/>
        <v>-3.705289345887023E-2</v>
      </c>
      <c r="K344">
        <f t="shared" si="57"/>
        <v>0.78280642045995719</v>
      </c>
      <c r="L344">
        <f>-$B$5*$B$12-IF($B$3,Tabelle2[[#This Row],[Fd]]*Tabelle2[[#This Row],[vy]]/Tabelle2[[#This Row],[v]],0)</f>
        <v>-14.095979143834057</v>
      </c>
      <c r="M344">
        <f t="shared" si="58"/>
        <v>-9.3973194292227049</v>
      </c>
      <c r="N344">
        <f t="shared" si="59"/>
        <v>-0.18794638858445412</v>
      </c>
      <c r="O344">
        <f t="shared" si="60"/>
        <v>-0.17633380756862632</v>
      </c>
      <c r="P344" s="1">
        <f t="shared" si="62"/>
        <v>39.158847469727291</v>
      </c>
      <c r="Q344" s="1">
        <f t="shared" si="63"/>
        <v>-8.7227171841390891</v>
      </c>
      <c r="R344">
        <f>SQRT(Tabelle2[[#This Row],[vx]]*Tabelle2[[#This Row],[vx]]+Tabelle2[[#This Row],[vy]]*Tabelle2[[#This Row],[vy]])</f>
        <v>40.118588337974245</v>
      </c>
      <c r="S344">
        <f t="shared" si="64"/>
        <v>328.54361906937265</v>
      </c>
      <c r="T344" s="1">
        <f t="shared" si="65"/>
        <v>196.0111520382101</v>
      </c>
    </row>
    <row r="345" spans="6:20" x14ac:dyDescent="0.35">
      <c r="F345" s="1">
        <f t="shared" si="61"/>
        <v>6.8399999999999421</v>
      </c>
      <c r="G345">
        <f>1/2*$B$8*$B$6*$B$7*(Tabelle2[[#This Row],[vx]]*Tabelle2[[#This Row],[vx]]+Tabelle2[[#This Row],[vy]]*Tabelle2[[#This Row],[vy]])/1000000</f>
        <v>2.8478081111703273</v>
      </c>
      <c r="H345">
        <f>IF($B$3,-Tabelle2[[#This Row],[Fd]]*Tabelle2[[#This Row],[vx]]/Tabelle2[[#This Row],[v]],0)</f>
        <v>-2.7766942001612853</v>
      </c>
      <c r="I345">
        <f t="shared" si="55"/>
        <v>-1.8511294667741902</v>
      </c>
      <c r="J345">
        <f t="shared" si="56"/>
        <v>-3.7022589335483802E-2</v>
      </c>
      <c r="K345">
        <f t="shared" si="57"/>
        <v>0.78206566563201363</v>
      </c>
      <c r="L345">
        <f>-$B$5*$B$12-IF($B$3,Tabelle2[[#This Row],[Fd]]*Tabelle2[[#This Row],[vy]]/Tabelle2[[#This Row],[v]],0)</f>
        <v>-14.082559997439926</v>
      </c>
      <c r="M345">
        <f t="shared" si="58"/>
        <v>-9.3883733316266174</v>
      </c>
      <c r="N345">
        <f t="shared" si="59"/>
        <v>-0.18776746663253235</v>
      </c>
      <c r="O345">
        <f t="shared" si="60"/>
        <v>-0.18009094612079618</v>
      </c>
      <c r="P345" s="1">
        <f t="shared" si="62"/>
        <v>39.121794576268421</v>
      </c>
      <c r="Q345" s="1">
        <f t="shared" si="63"/>
        <v>-8.9106635727235428</v>
      </c>
      <c r="R345">
        <f>SQRT(Tabelle2[[#This Row],[vx]]*Tabelle2[[#This Row],[vx]]+Tabelle2[[#This Row],[vy]]*Tabelle2[[#This Row],[vy]])</f>
        <v>40.123742798672303</v>
      </c>
      <c r="S345">
        <f t="shared" si="64"/>
        <v>329.32642548983262</v>
      </c>
      <c r="T345" s="1">
        <f t="shared" si="65"/>
        <v>195.83481823064147</v>
      </c>
    </row>
    <row r="346" spans="6:20" x14ac:dyDescent="0.35">
      <c r="F346" s="1">
        <f t="shared" si="61"/>
        <v>6.8599999999999417</v>
      </c>
      <c r="G346">
        <f>1/2*$B$8*$B$6*$B$7*(Tabelle2[[#This Row],[vx]]*Tabelle2[[#This Row],[vx]]+Tabelle2[[#This Row],[vy]]*Tabelle2[[#This Row],[vy]])/1000000</f>
        <v>2.8486680045650328</v>
      </c>
      <c r="H346">
        <f>IF($B$3,-Tabelle2[[#This Row],[Fd]]*Tabelle2[[#This Row],[vx]]/Tabelle2[[#This Row],[v]],0)</f>
        <v>-2.7744852803617732</v>
      </c>
      <c r="I346">
        <f t="shared" si="55"/>
        <v>-1.8496568535745155</v>
      </c>
      <c r="J346">
        <f t="shared" si="56"/>
        <v>-3.6993137071490309E-2</v>
      </c>
      <c r="K346">
        <f t="shared" si="57"/>
        <v>0.78132550836794379</v>
      </c>
      <c r="L346">
        <f>-$B$5*$B$12-IF($B$3,Tabelle2[[#This Row],[Fd]]*Tabelle2[[#This Row],[vy]]/Tabelle2[[#This Row],[v]],0)</f>
        <v>-14.06913559527686</v>
      </c>
      <c r="M346">
        <f t="shared" si="58"/>
        <v>-9.3794237301845733</v>
      </c>
      <c r="N346">
        <f t="shared" si="59"/>
        <v>-0.18758847460369146</v>
      </c>
      <c r="O346">
        <f t="shared" si="60"/>
        <v>-0.18384450553315845</v>
      </c>
      <c r="P346" s="1">
        <f t="shared" si="62"/>
        <v>39.084771986932935</v>
      </c>
      <c r="Q346" s="1">
        <f t="shared" si="63"/>
        <v>-9.0984310393560754</v>
      </c>
      <c r="R346">
        <f>SQRT(Tabelle2[[#This Row],[vx]]*Tabelle2[[#This Row],[vx]]+Tabelle2[[#This Row],[vy]]*Tabelle2[[#This Row],[vy]])</f>
        <v>40.129800007581096</v>
      </c>
      <c r="S346">
        <f t="shared" si="64"/>
        <v>330.10849115546461</v>
      </c>
      <c r="T346" s="1">
        <f t="shared" si="65"/>
        <v>195.65472728452067</v>
      </c>
    </row>
    <row r="347" spans="6:20" x14ac:dyDescent="0.35">
      <c r="F347" s="1">
        <f t="shared" si="61"/>
        <v>6.8799999999999413</v>
      </c>
      <c r="G347">
        <f>1/2*$B$8*$B$6*$B$7*(Tabelle2[[#This Row],[vx]]*Tabelle2[[#This Row],[vx]]+Tabelle2[[#This Row],[vy]]*Tabelle2[[#This Row],[vy]])/1000000</f>
        <v>2.8496556676545453</v>
      </c>
      <c r="H347">
        <f>IF($B$3,-Tabelle2[[#This Row],[Fd]]*Tabelle2[[#This Row],[vx]]/Tabelle2[[#This Row],[v]],0)</f>
        <v>-2.7723397473136111</v>
      </c>
      <c r="I347">
        <f t="shared" si="55"/>
        <v>-1.8482264982090741</v>
      </c>
      <c r="J347">
        <f t="shared" si="56"/>
        <v>-3.6964529964181481E-2</v>
      </c>
      <c r="K347">
        <f t="shared" si="57"/>
        <v>0.78058593169758705</v>
      </c>
      <c r="L347">
        <f>-$B$5*$B$12-IF($B$3,Tabelle2[[#This Row],[Fd]]*Tabelle2[[#This Row],[vy]]/Tabelle2[[#This Row],[v]],0)</f>
        <v>-14.055705111758954</v>
      </c>
      <c r="M347">
        <f t="shared" si="58"/>
        <v>-9.3704700745059686</v>
      </c>
      <c r="N347">
        <f t="shared" si="59"/>
        <v>-0.18740940149011936</v>
      </c>
      <c r="O347">
        <f t="shared" si="60"/>
        <v>-0.18759448429409653</v>
      </c>
      <c r="P347" s="1">
        <f t="shared" si="62"/>
        <v>39.047778849861444</v>
      </c>
      <c r="Q347" s="1">
        <f t="shared" si="63"/>
        <v>-9.2860195139597668</v>
      </c>
      <c r="R347">
        <f>SQRT(Tabelle2[[#This Row],[vx]]*Tabelle2[[#This Row],[vx]]+Tabelle2[[#This Row],[vy]]*Tabelle2[[#This Row],[vy]])</f>
        <v>40.136756116075553</v>
      </c>
      <c r="S347">
        <f t="shared" si="64"/>
        <v>330.88981666383256</v>
      </c>
      <c r="T347" s="1">
        <f t="shared" si="65"/>
        <v>195.47088277898752</v>
      </c>
    </row>
    <row r="348" spans="6:20" x14ac:dyDescent="0.35">
      <c r="F348" s="1">
        <f t="shared" si="61"/>
        <v>6.8999999999999408</v>
      </c>
      <c r="G348">
        <f>1/2*$B$8*$B$6*$B$7*(Tabelle2[[#This Row],[vx]]*Tabelle2[[#This Row],[vx]]+Tabelle2[[#This Row],[vy]]*Tabelle2[[#This Row],[vy]])/1000000</f>
        <v>2.85077061314594</v>
      </c>
      <c r="H348">
        <f>IF($B$3,-Tabelle2[[#This Row],[Fd]]*Tabelle2[[#This Row],[vx]]/Tabelle2[[#This Row],[v]],0)</f>
        <v>-2.770257096610754</v>
      </c>
      <c r="I348">
        <f t="shared" si="55"/>
        <v>-1.8468380644071694</v>
      </c>
      <c r="J348">
        <f t="shared" si="56"/>
        <v>-3.693676128814339E-2</v>
      </c>
      <c r="K348">
        <f t="shared" si="57"/>
        <v>0.77984691878506385</v>
      </c>
      <c r="L348">
        <f>-$B$5*$B$12-IF($B$3,Tabelle2[[#This Row],[Fd]]*Tabelle2[[#This Row],[vy]]/Tabelle2[[#This Row],[v]],0)</f>
        <v>-14.042267729736238</v>
      </c>
      <c r="M348">
        <f t="shared" si="58"/>
        <v>-9.3615118198241589</v>
      </c>
      <c r="N348">
        <f t="shared" si="59"/>
        <v>-0.18723023639648317</v>
      </c>
      <c r="O348">
        <f t="shared" si="60"/>
        <v>-0.19134088067296259</v>
      </c>
      <c r="P348" s="1">
        <f t="shared" si="62"/>
        <v>39.010814319897264</v>
      </c>
      <c r="Q348" s="1">
        <f t="shared" si="63"/>
        <v>-9.4734289154498867</v>
      </c>
      <c r="R348">
        <f>SQRT(Tabelle2[[#This Row],[vx]]*Tabelle2[[#This Row],[vx]]+Tabelle2[[#This Row],[vy]]*Tabelle2[[#This Row],[vy]])</f>
        <v>40.1446072258477</v>
      </c>
      <c r="S348">
        <f t="shared" si="64"/>
        <v>331.67040259553016</v>
      </c>
      <c r="T348" s="1">
        <f t="shared" si="65"/>
        <v>195.28328829469342</v>
      </c>
    </row>
    <row r="349" spans="6:20" x14ac:dyDescent="0.35">
      <c r="F349" s="1">
        <f t="shared" si="61"/>
        <v>6.9199999999999404</v>
      </c>
      <c r="G349">
        <f>1/2*$B$8*$B$6*$B$7*(Tabelle2[[#This Row],[vx]]*Tabelle2[[#This Row],[vx]]+Tabelle2[[#This Row],[vy]]*Tabelle2[[#This Row],[vy]])/1000000</f>
        <v>2.852012354877393</v>
      </c>
      <c r="H349">
        <f>IF($B$3,-Tabelle2[[#This Row],[Fd]]*Tabelle2[[#This Row],[vx]]/Tabelle2[[#This Row],[v]],0)</f>
        <v>-2.768236822193459</v>
      </c>
      <c r="I349">
        <f t="shared" si="55"/>
        <v>-1.8454912147956393</v>
      </c>
      <c r="J349">
        <f t="shared" si="56"/>
        <v>-3.6909824295912788E-2</v>
      </c>
      <c r="K349">
        <f t="shared" si="57"/>
        <v>0.77910845292922315</v>
      </c>
      <c r="L349">
        <f>-$B$5*$B$12-IF($B$3,Tabelle2[[#This Row],[Fd]]*Tabelle2[[#This Row],[vy]]/Tabelle2[[#This Row],[v]],0)</f>
        <v>-14.028822640547245</v>
      </c>
      <c r="M349">
        <f t="shared" si="58"/>
        <v>-9.3525484270314969</v>
      </c>
      <c r="N349">
        <f t="shared" si="59"/>
        <v>-0.18705096854062994</v>
      </c>
      <c r="O349">
        <f t="shared" si="60"/>
        <v>-0.19508369272233367</v>
      </c>
      <c r="P349" s="1">
        <f t="shared" si="62"/>
        <v>38.973877558609118</v>
      </c>
      <c r="Q349" s="1">
        <f t="shared" si="63"/>
        <v>-9.6606591518463691</v>
      </c>
      <c r="R349">
        <f>SQRT(Tabelle2[[#This Row],[vx]]*Tabelle2[[#This Row],[vx]]+Tabelle2[[#This Row],[vy]]*Tabelle2[[#This Row],[vy]])</f>
        <v>40.153349389579049</v>
      </c>
      <c r="S349">
        <f t="shared" si="64"/>
        <v>332.4502495143152</v>
      </c>
      <c r="T349" s="1">
        <f t="shared" si="65"/>
        <v>195.09194741402047</v>
      </c>
    </row>
    <row r="350" spans="6:20" x14ac:dyDescent="0.35">
      <c r="F350" s="1">
        <f t="shared" si="61"/>
        <v>6.93999999999994</v>
      </c>
      <c r="G350">
        <f>1/2*$B$8*$B$6*$B$7*(Tabelle2[[#This Row],[vx]]*Tabelle2[[#This Row],[vx]]+Tabelle2[[#This Row],[vy]]*Tabelle2[[#This Row],[vy]])/1000000</f>
        <v>2.8533804077843912</v>
      </c>
      <c r="H350">
        <f>IF($B$3,-Tabelle2[[#This Row],[Fd]]*Tabelle2[[#This Row],[vx]]/Tabelle2[[#This Row],[v]],0)</f>
        <v>-2.7662784163985017</v>
      </c>
      <c r="I350">
        <f t="shared" si="55"/>
        <v>-1.8441856109323345</v>
      </c>
      <c r="J350">
        <f t="shared" si="56"/>
        <v>-3.688371221864669E-2</v>
      </c>
      <c r="K350">
        <f t="shared" si="57"/>
        <v>0.7783705175640776</v>
      </c>
      <c r="L350">
        <f>-$B$5*$B$12-IF($B$3,Tabelle2[[#This Row],[Fd]]*Tabelle2[[#This Row],[vy]]/Tabelle2[[#This Row],[v]],0)</f>
        <v>-14.015369044069935</v>
      </c>
      <c r="M350">
        <f t="shared" si="58"/>
        <v>-9.3435793627132906</v>
      </c>
      <c r="N350">
        <f t="shared" si="59"/>
        <v>-0.18687158725426581</v>
      </c>
      <c r="O350">
        <f t="shared" si="60"/>
        <v>-0.19882291828028265</v>
      </c>
      <c r="P350" s="1">
        <f t="shared" si="62"/>
        <v>38.936967734313207</v>
      </c>
      <c r="Q350" s="1">
        <f t="shared" si="63"/>
        <v>-9.8477101203869992</v>
      </c>
      <c r="R350">
        <f>SQRT(Tabelle2[[#This Row],[vx]]*Tabelle2[[#This Row],[vx]]+Tabelle2[[#This Row],[vy]]*Tabelle2[[#This Row],[vy]])</f>
        <v>40.162978611628397</v>
      </c>
      <c r="S350">
        <f t="shared" si="64"/>
        <v>333.22935796724443</v>
      </c>
      <c r="T350" s="1">
        <f t="shared" si="65"/>
        <v>194.89686372129813</v>
      </c>
    </row>
    <row r="351" spans="6:20" x14ac:dyDescent="0.35">
      <c r="F351" s="1">
        <f t="shared" si="61"/>
        <v>6.9599999999999396</v>
      </c>
      <c r="G351">
        <f>1/2*$B$8*$B$6*$B$7*(Tabelle2[[#This Row],[vx]]*Tabelle2[[#This Row],[vx]]+Tabelle2[[#This Row],[vy]]*Tabelle2[[#This Row],[vy]])/1000000</f>
        <v>2.8548742878664424</v>
      </c>
      <c r="H351">
        <f>IF($B$3,-Tabelle2[[#This Row],[Fd]]*Tabelle2[[#This Row],[vx]]/Tabelle2[[#This Row],[v]],0)</f>
        <v>-2.7643813700103341</v>
      </c>
      <c r="I351">
        <f t="shared" si="55"/>
        <v>-1.8429209133402227</v>
      </c>
      <c r="J351">
        <f t="shared" si="56"/>
        <v>-3.6858418266804457E-2</v>
      </c>
      <c r="K351">
        <f t="shared" si="57"/>
        <v>0.77763309625922317</v>
      </c>
      <c r="L351">
        <f>-$B$5*$B$12-IF($B$3,Tabelle2[[#This Row],[Fd]]*Tabelle2[[#This Row],[vy]]/Tabelle2[[#This Row],[v]],0)</f>
        <v>-14.001906148770924</v>
      </c>
      <c r="M351">
        <f t="shared" si="58"/>
        <v>-9.3346040991806163</v>
      </c>
      <c r="N351">
        <f t="shared" si="59"/>
        <v>-0.18669208198361234</v>
      </c>
      <c r="O351">
        <f t="shared" si="60"/>
        <v>-0.20255855497266143</v>
      </c>
      <c r="P351" s="1">
        <f t="shared" si="62"/>
        <v>38.900084022094561</v>
      </c>
      <c r="Q351" s="1">
        <f t="shared" si="63"/>
        <v>-10.034581707641266</v>
      </c>
      <c r="R351">
        <f>SQRT(Tabelle2[[#This Row],[vx]]*Tabelle2[[#This Row],[vx]]+Tabelle2[[#This Row],[vy]]*Tabelle2[[#This Row],[vy]])</f>
        <v>40.173490848734382</v>
      </c>
      <c r="S351">
        <f t="shared" si="64"/>
        <v>334.00772848480852</v>
      </c>
      <c r="T351" s="1">
        <f t="shared" si="65"/>
        <v>194.69804080301785</v>
      </c>
    </row>
    <row r="352" spans="6:20" x14ac:dyDescent="0.35">
      <c r="F352" s="1">
        <f t="shared" si="61"/>
        <v>6.9799999999999391</v>
      </c>
      <c r="G352">
        <f>1/2*$B$8*$B$6*$B$7*(Tabelle2[[#This Row],[vx]]*Tabelle2[[#This Row],[vx]]+Tabelle2[[#This Row],[vy]]*Tabelle2[[#This Row],[vy]])/1000000</f>
        <v>2.8564935121542923</v>
      </c>
      <c r="H352">
        <f>IF($B$3,-Tabelle2[[#This Row],[Fd]]*Tabelle2[[#This Row],[vx]]/Tabelle2[[#This Row],[v]],0)</f>
        <v>-2.7625451723131547</v>
      </c>
      <c r="I352">
        <f t="shared" si="55"/>
        <v>-1.841696781542103</v>
      </c>
      <c r="J352">
        <f t="shared" si="56"/>
        <v>-3.6833935630842064E-2</v>
      </c>
      <c r="K352">
        <f t="shared" si="57"/>
        <v>0.7768961727202468</v>
      </c>
      <c r="L352">
        <f>-$B$5*$B$12-IF($B$3,Tabelle2[[#This Row],[Fd]]*Tabelle2[[#This Row],[vy]]/Tabelle2[[#This Row],[v]],0)</f>
        <v>-13.988433171753039</v>
      </c>
      <c r="M352">
        <f t="shared" si="58"/>
        <v>-9.3256221145020266</v>
      </c>
      <c r="N352">
        <f t="shared" si="59"/>
        <v>-0.18651244229004055</v>
      </c>
      <c r="O352">
        <f t="shared" si="60"/>
        <v>-0.20629060021539797</v>
      </c>
      <c r="P352" s="1">
        <f t="shared" si="62"/>
        <v>38.863225603827757</v>
      </c>
      <c r="Q352" s="1">
        <f t="shared" si="63"/>
        <v>-10.221273789624878</v>
      </c>
      <c r="R352">
        <f>SQRT(Tabelle2[[#This Row],[vx]]*Tabelle2[[#This Row],[vx]]+Tabelle2[[#This Row],[vy]]*Tabelle2[[#This Row],[vy]])</f>
        <v>40.184882010732416</v>
      </c>
      <c r="S352">
        <f t="shared" si="64"/>
        <v>334.78536158106778</v>
      </c>
      <c r="T352" s="1">
        <f t="shared" si="65"/>
        <v>194.49548224804519</v>
      </c>
    </row>
    <row r="353" spans="6:20" x14ac:dyDescent="0.35">
      <c r="F353" s="1">
        <f t="shared" si="61"/>
        <v>6.9999999999999387</v>
      </c>
      <c r="G353">
        <f>1/2*$B$8*$B$6*$B$7*(Tabelle2[[#This Row],[vx]]*Tabelle2[[#This Row],[vx]]+Tabelle2[[#This Row],[vy]]*Tabelle2[[#This Row],[vy]])/1000000</f>
        <v>2.8582375986776367</v>
      </c>
      <c r="H353">
        <f>IF($B$3,-Tabelle2[[#This Row],[Fd]]*Tabelle2[[#This Row],[vx]]/Tabelle2[[#This Row],[v]],0)</f>
        <v>-2.7607693111438332</v>
      </c>
      <c r="I353">
        <f t="shared" si="55"/>
        <v>-1.8405128740958887</v>
      </c>
      <c r="J353">
        <f t="shared" si="56"/>
        <v>-3.6810257481917776E-2</v>
      </c>
      <c r="K353">
        <f t="shared" si="57"/>
        <v>0.77615973078911904</v>
      </c>
      <c r="L353">
        <f>-$B$5*$B$12-IF($B$3,Tabelle2[[#This Row],[Fd]]*Tabelle2[[#This Row],[vy]]/Tabelle2[[#This Row],[v]],0)</f>
        <v>-13.974949338801114</v>
      </c>
      <c r="M353">
        <f t="shared" si="58"/>
        <v>-9.3166328925340753</v>
      </c>
      <c r="N353">
        <f t="shared" si="59"/>
        <v>-0.18633265785068151</v>
      </c>
      <c r="O353">
        <f t="shared" si="60"/>
        <v>-0.21001905121680517</v>
      </c>
      <c r="P353" s="1">
        <f t="shared" si="62"/>
        <v>38.826391668196912</v>
      </c>
      <c r="Q353" s="1">
        <f t="shared" si="63"/>
        <v>-10.407786231914917</v>
      </c>
      <c r="R353">
        <f>SQRT(Tabelle2[[#This Row],[vx]]*Tabelle2[[#This Row],[vx]]+Tabelle2[[#This Row],[vy]]*Tabelle2[[#This Row],[vy]])</f>
        <v>40.197147961285367</v>
      </c>
      <c r="S353">
        <f t="shared" si="64"/>
        <v>335.562257753788</v>
      </c>
      <c r="T353" s="1">
        <f t="shared" si="65"/>
        <v>194.2891916478298</v>
      </c>
    </row>
    <row r="354" spans="6:20" x14ac:dyDescent="0.35">
      <c r="F354" s="1">
        <f t="shared" si="61"/>
        <v>7.0199999999999383</v>
      </c>
      <c r="G354">
        <f>1/2*$B$8*$B$6*$B$7*(Tabelle2[[#This Row],[vx]]*Tabelle2[[#This Row],[vx]]+Tabelle2[[#This Row],[vy]]*Tabelle2[[#This Row],[vy]])/1000000</f>
        <v>2.8601060664333384</v>
      </c>
      <c r="H354">
        <f>IF($B$3,-Tabelle2[[#This Row],[Fd]]*Tabelle2[[#This Row],[vx]]/Tabelle2[[#This Row],[v]],0)</f>
        <v>-2.7590532729456698</v>
      </c>
      <c r="I354">
        <f t="shared" si="55"/>
        <v>-1.8393688486304465</v>
      </c>
      <c r="J354">
        <f t="shared" si="56"/>
        <v>-3.6787376972608928E-2</v>
      </c>
      <c r="K354">
        <f t="shared" si="57"/>
        <v>0.77542375444457379</v>
      </c>
      <c r="L354">
        <f>-$B$5*$B$12-IF($B$3,Tabelle2[[#This Row],[Fd]]*Tabelle2[[#This Row],[vy]]/Tabelle2[[#This Row],[v]],0)</f>
        <v>-13.961453884426062</v>
      </c>
      <c r="M354">
        <f t="shared" si="58"/>
        <v>-9.3076359229507073</v>
      </c>
      <c r="N354">
        <f t="shared" si="59"/>
        <v>-0.18615271845901415</v>
      </c>
      <c r="O354">
        <f t="shared" si="60"/>
        <v>-0.21374390497990209</v>
      </c>
      <c r="P354" s="1">
        <f t="shared" si="62"/>
        <v>38.789581410714995</v>
      </c>
      <c r="Q354" s="1">
        <f t="shared" si="63"/>
        <v>-10.594118889765598</v>
      </c>
      <c r="R354">
        <f>SQRT(Tabelle2[[#This Row],[vx]]*Tabelle2[[#This Row],[vx]]+Tabelle2[[#This Row],[vy]]*Tabelle2[[#This Row],[vy]])</f>
        <v>40.210284518627503</v>
      </c>
      <c r="S354">
        <f t="shared" si="64"/>
        <v>336.33841748457712</v>
      </c>
      <c r="T354" s="1">
        <f t="shared" si="65"/>
        <v>194.07917259661298</v>
      </c>
    </row>
    <row r="355" spans="6:20" x14ac:dyDescent="0.35">
      <c r="F355" s="1">
        <f t="shared" si="61"/>
        <v>7.0399999999999379</v>
      </c>
      <c r="G355">
        <f>1/2*$B$8*$B$6*$B$7*(Tabelle2[[#This Row],[vx]]*Tabelle2[[#This Row],[vx]]+Tabelle2[[#This Row],[vy]]*Tabelle2[[#This Row],[vy]])/1000000</f>
        <v>2.8620984353541346</v>
      </c>
      <c r="H355">
        <f>IF($B$3,-Tabelle2[[#This Row],[Fd]]*Tabelle2[[#This Row],[vx]]/Tabelle2[[#This Row],[v]],0)</f>
        <v>-2.7573965428229177</v>
      </c>
      <c r="I355">
        <f t="shared" si="55"/>
        <v>-1.8382643618819452</v>
      </c>
      <c r="J355">
        <f t="shared" si="56"/>
        <v>-3.6765287237638902E-2</v>
      </c>
      <c r="K355">
        <f t="shared" si="57"/>
        <v>0.77468822780247126</v>
      </c>
      <c r="L355">
        <f>-$B$5*$B$12-IF($B$3,Tabelle2[[#This Row],[Fd]]*Tabelle2[[#This Row],[vy]]/Tabelle2[[#This Row],[v]],0)</f>
        <v>-13.947946051907163</v>
      </c>
      <c r="M355">
        <f t="shared" si="58"/>
        <v>-9.298630701271442</v>
      </c>
      <c r="N355">
        <f t="shared" si="59"/>
        <v>-0.18597261402542883</v>
      </c>
      <c r="O355">
        <f t="shared" si="60"/>
        <v>-0.21746515830474653</v>
      </c>
      <c r="P355" s="1">
        <f t="shared" si="62"/>
        <v>38.752794033742383</v>
      </c>
      <c r="Q355" s="1">
        <f t="shared" si="63"/>
        <v>-10.780271608224613</v>
      </c>
      <c r="R355">
        <f>SQRT(Tabelle2[[#This Row],[vx]]*Tabelle2[[#This Row],[vx]]+Tabelle2[[#This Row],[vy]]*Tabelle2[[#This Row],[vy]])</f>
        <v>40.224287456321122</v>
      </c>
      <c r="S355">
        <f t="shared" si="64"/>
        <v>337.11384123902167</v>
      </c>
      <c r="T355" s="1">
        <f t="shared" si="65"/>
        <v>193.86542869163307</v>
      </c>
    </row>
    <row r="356" spans="6:20" x14ac:dyDescent="0.35">
      <c r="F356" s="1">
        <f t="shared" si="61"/>
        <v>7.0599999999999374</v>
      </c>
      <c r="G356">
        <f>1/2*$B$8*$B$6*$B$7*(Tabelle2[[#This Row],[vx]]*Tabelle2[[#This Row],[vx]]+Tabelle2[[#This Row],[vy]]*Tabelle2[[#This Row],[vy]])/1000000</f>
        <v>2.864214226277852</v>
      </c>
      <c r="H356">
        <f>IF($B$3,-Tabelle2[[#This Row],[Fd]]*Tabelle2[[#This Row],[vx]]/Tabelle2[[#This Row],[v]],0)</f>
        <v>-2.7557986045960572</v>
      </c>
      <c r="I356">
        <f t="shared" si="55"/>
        <v>-1.8371990697307048</v>
      </c>
      <c r="J356">
        <f t="shared" si="56"/>
        <v>-3.6743981394614093E-2</v>
      </c>
      <c r="K356">
        <f t="shared" si="57"/>
        <v>0.77395313511614894</v>
      </c>
      <c r="L356">
        <f>-$B$5*$B$12-IF($B$3,Tabelle2[[#This Row],[Fd]]*Tabelle2[[#This Row],[vy]]/Tabelle2[[#This Row],[v]],0)</f>
        <v>-13.934425093332576</v>
      </c>
      <c r="M356">
        <f t="shared" si="58"/>
        <v>-9.2896167288883849</v>
      </c>
      <c r="N356">
        <f t="shared" si="59"/>
        <v>-0.1857923345777677</v>
      </c>
      <c r="O356">
        <f t="shared" si="60"/>
        <v>-0.22118280779077854</v>
      </c>
      <c r="P356" s="1">
        <f t="shared" si="62"/>
        <v>38.716028746504747</v>
      </c>
      <c r="Q356" s="1">
        <f t="shared" si="63"/>
        <v>-10.966244222250042</v>
      </c>
      <c r="R356">
        <f>SQRT(Tabelle2[[#This Row],[vx]]*Tabelle2[[#This Row],[vx]]+Tabelle2[[#This Row],[vy]]*Tabelle2[[#This Row],[vy]])</f>
        <v>40.239152504025412</v>
      </c>
      <c r="S356">
        <f t="shared" si="64"/>
        <v>337.88852946682414</v>
      </c>
      <c r="T356" s="1">
        <f t="shared" si="65"/>
        <v>193.64796353332832</v>
      </c>
    </row>
    <row r="357" spans="6:20" x14ac:dyDescent="0.35">
      <c r="F357" s="1">
        <f t="shared" si="61"/>
        <v>7.079999999999937</v>
      </c>
      <c r="G357">
        <f>1/2*$B$8*$B$6*$B$7*(Tabelle2[[#This Row],[vx]]*Tabelle2[[#This Row],[vx]]+Tabelle2[[#This Row],[vy]]*Tabelle2[[#This Row],[vy]])/1000000</f>
        <v>2.8664529609171105</v>
      </c>
      <c r="H357">
        <f>IF($B$3,-Tabelle2[[#This Row],[Fd]]*Tabelle2[[#This Row],[vx]]/Tabelle2[[#This Row],[v]],0)</f>
        <v>-2.7542589408577589</v>
      </c>
      <c r="I357">
        <f t="shared" si="55"/>
        <v>-1.8361726272385059</v>
      </c>
      <c r="J357">
        <f t="shared" si="56"/>
        <v>-3.6723452544770122E-2</v>
      </c>
      <c r="K357">
        <f t="shared" si="57"/>
        <v>0.77321846077675493</v>
      </c>
      <c r="L357">
        <f>-$B$5*$B$12-IF($B$3,Tabelle2[[#This Row],[Fd]]*Tabelle2[[#This Row],[vy]]/Tabelle2[[#This Row],[v]],0)</f>
        <v>-13.920890269638027</v>
      </c>
      <c r="M357">
        <f t="shared" si="58"/>
        <v>-9.2805935130920183</v>
      </c>
      <c r="N357">
        <f t="shared" si="59"/>
        <v>-0.18561187026184037</v>
      </c>
      <c r="O357">
        <f t="shared" si="60"/>
        <v>-0.2248968498391746</v>
      </c>
      <c r="P357" s="1">
        <f t="shared" si="62"/>
        <v>38.679284765110133</v>
      </c>
      <c r="Q357" s="1">
        <f t="shared" si="63"/>
        <v>-11.152036556827809</v>
      </c>
      <c r="R357">
        <f>SQRT(Tabelle2[[#This Row],[vx]]*Tabelle2[[#This Row],[vx]]+Tabelle2[[#This Row],[vy]]*Tabelle2[[#This Row],[vy]])</f>
        <v>40.254875348276819</v>
      </c>
      <c r="S357">
        <f t="shared" si="64"/>
        <v>338.66248260194027</v>
      </c>
      <c r="T357" s="1">
        <f t="shared" si="65"/>
        <v>193.42678072553755</v>
      </c>
    </row>
    <row r="358" spans="6:20" x14ac:dyDescent="0.35">
      <c r="F358" s="1">
        <f t="shared" si="61"/>
        <v>7.0999999999999366</v>
      </c>
      <c r="G358">
        <f>1/2*$B$8*$B$6*$B$7*(Tabelle2[[#This Row],[vx]]*Tabelle2[[#This Row],[vx]]+Tabelle2[[#This Row],[vy]]*Tabelle2[[#This Row],[vy]])/1000000</f>
        <v>2.8688141618295275</v>
      </c>
      <c r="H358">
        <f>IF($B$3,-Tabelle2[[#This Row],[Fd]]*Tabelle2[[#This Row],[vx]]/Tabelle2[[#This Row],[v]],0)</f>
        <v>-2.7527770330295014</v>
      </c>
      <c r="I358">
        <f t="shared" si="55"/>
        <v>-1.8351846886863343</v>
      </c>
      <c r="J358">
        <f t="shared" si="56"/>
        <v>-3.6703693773726689E-2</v>
      </c>
      <c r="K358">
        <f t="shared" si="57"/>
        <v>0.77248418931356999</v>
      </c>
      <c r="L358">
        <f>-$B$5*$B$12-IF($B$3,Tabelle2[[#This Row],[Fd]]*Tabelle2[[#This Row],[vy]]/Tabelle2[[#This Row],[v]],0)</f>
        <v>-13.907340850643694</v>
      </c>
      <c r="M358">
        <f t="shared" si="58"/>
        <v>-9.2715605670957952</v>
      </c>
      <c r="N358">
        <f t="shared" si="59"/>
        <v>-0.1854312113419159</v>
      </c>
      <c r="O358">
        <f t="shared" si="60"/>
        <v>-0.22860728065521219</v>
      </c>
      <c r="P358" s="1">
        <f t="shared" si="62"/>
        <v>38.642561312565363</v>
      </c>
      <c r="Q358" s="1">
        <f t="shared" si="63"/>
        <v>-11.33764842708965</v>
      </c>
      <c r="R358">
        <f>SQRT(Tabelle2[[#This Row],[vx]]*Tabelle2[[#This Row],[vx]]+Tabelle2[[#This Row],[vy]]*Tabelle2[[#This Row],[vy]])</f>
        <v>40.271451633280634</v>
      </c>
      <c r="S358">
        <f t="shared" si="64"/>
        <v>339.43570106271704</v>
      </c>
      <c r="T358" s="1">
        <f t="shared" si="65"/>
        <v>193.20188387569837</v>
      </c>
    </row>
    <row r="359" spans="6:20" x14ac:dyDescent="0.35">
      <c r="F359" s="1">
        <f t="shared" si="61"/>
        <v>7.1199999999999362</v>
      </c>
      <c r="G359">
        <f>1/2*$B$8*$B$6*$B$7*(Tabelle2[[#This Row],[vx]]*Tabelle2[[#This Row],[vx]]+Tabelle2[[#This Row],[vy]]*Tabelle2[[#This Row],[vy]])/1000000</f>
        <v>2.8712973523884138</v>
      </c>
      <c r="H359">
        <f>IF($B$3,-Tabelle2[[#This Row],[Fd]]*Tabelle2[[#This Row],[vx]]/Tabelle2[[#This Row],[v]],0)</f>
        <v>-2.7513523614187987</v>
      </c>
      <c r="I359">
        <f t="shared" si="55"/>
        <v>-1.8342349076125324</v>
      </c>
      <c r="J359">
        <f t="shared" si="56"/>
        <v>-3.6684698152250651E-2</v>
      </c>
      <c r="K359">
        <f t="shared" si="57"/>
        <v>0.77175030539431022</v>
      </c>
      <c r="L359">
        <f>-$B$5*$B$12-IF($B$3,Tabelle2[[#This Row],[Fd]]*Tabelle2[[#This Row],[vy]]/Tabelle2[[#This Row],[v]],0)</f>
        <v>-13.893776115089244</v>
      </c>
      <c r="M359">
        <f t="shared" si="58"/>
        <v>-9.2625174100594965</v>
      </c>
      <c r="N359">
        <f t="shared" si="59"/>
        <v>-0.18525034820118993</v>
      </c>
      <c r="O359">
        <f t="shared" si="60"/>
        <v>-0.23231409625064323</v>
      </c>
      <c r="P359" s="1">
        <f t="shared" si="62"/>
        <v>38.605857618791639</v>
      </c>
      <c r="Q359" s="1">
        <f t="shared" si="63"/>
        <v>-11.523079638431566</v>
      </c>
      <c r="R359">
        <f>SQRT(Tabelle2[[#This Row],[vx]]*Tabelle2[[#This Row],[vx]]+Tabelle2[[#This Row],[vy]]*Tabelle2[[#This Row],[vy]])</f>
        <v>40.288876961713001</v>
      </c>
      <c r="S359">
        <f t="shared" si="64"/>
        <v>340.2081852520306</v>
      </c>
      <c r="T359" s="1">
        <f t="shared" si="65"/>
        <v>192.97327659504316</v>
      </c>
    </row>
    <row r="360" spans="6:20" x14ac:dyDescent="0.35">
      <c r="F360" s="1">
        <f t="shared" si="61"/>
        <v>7.1399999999999357</v>
      </c>
      <c r="G360">
        <f>1/2*$B$8*$B$6*$B$7*(Tabelle2[[#This Row],[vx]]*Tabelle2[[#This Row],[vx]]+Tabelle2[[#This Row],[vy]]*Tabelle2[[#This Row],[vy]])/1000000</f>
        <v>2.8739020567539608</v>
      </c>
      <c r="H360">
        <f>IF($B$3,-Tabelle2[[#This Row],[Fd]]*Tabelle2[[#This Row],[vx]]/Tabelle2[[#This Row],[v]],0)</f>
        <v>-2.7499844052770008</v>
      </c>
      <c r="I360">
        <f t="shared" si="55"/>
        <v>-1.833322936851334</v>
      </c>
      <c r="J360">
        <f t="shared" si="56"/>
        <v>-3.6666458737026682E-2</v>
      </c>
      <c r="K360">
        <f t="shared" si="57"/>
        <v>0.77101679382541743</v>
      </c>
      <c r="L360">
        <f>-$B$5*$B$12-IF($B$3,Tabelle2[[#This Row],[Fd]]*Tabelle2[[#This Row],[vy]]/Tabelle2[[#This Row],[v]],0)</f>
        <v>-13.880195350667027</v>
      </c>
      <c r="M360">
        <f t="shared" si="58"/>
        <v>-9.2534635671113517</v>
      </c>
      <c r="N360">
        <f t="shared" si="59"/>
        <v>-0.18506927134222703</v>
      </c>
      <c r="O360">
        <f t="shared" si="60"/>
        <v>-0.23601729244607739</v>
      </c>
      <c r="P360" s="1">
        <f t="shared" si="62"/>
        <v>38.569172920639389</v>
      </c>
      <c r="Q360" s="1">
        <f t="shared" si="63"/>
        <v>-11.708329986632757</v>
      </c>
      <c r="R360">
        <f>SQRT(Tabelle2[[#This Row],[vx]]*Tabelle2[[#This Row],[vx]]+Tabelle2[[#This Row],[vy]]*Tabelle2[[#This Row],[vy]])</f>
        <v>40.307146895532888</v>
      </c>
      <c r="S360">
        <f t="shared" si="64"/>
        <v>340.97993555742494</v>
      </c>
      <c r="T360" s="1">
        <f t="shared" si="65"/>
        <v>192.74096249879253</v>
      </c>
    </row>
    <row r="361" spans="6:20" x14ac:dyDescent="0.35">
      <c r="F361" s="1">
        <f t="shared" si="61"/>
        <v>7.1599999999999353</v>
      </c>
      <c r="G361">
        <f>1/2*$B$8*$B$6*$B$7*(Tabelle2[[#This Row],[vx]]*Tabelle2[[#This Row],[vx]]+Tabelle2[[#This Row],[vy]]*Tabelle2[[#This Row],[vy]])/1000000</f>
        <v>2.876627799844929</v>
      </c>
      <c r="H361">
        <f>IF($B$3,-Tabelle2[[#This Row],[Fd]]*Tabelle2[[#This Row],[vx]]/Tabelle2[[#This Row],[v]],0)</f>
        <v>-2.7486726428576196</v>
      </c>
      <c r="I361">
        <f t="shared" si="55"/>
        <v>-1.8324484285717464</v>
      </c>
      <c r="J361">
        <f t="shared" si="56"/>
        <v>-3.6648968571434931E-2</v>
      </c>
      <c r="K361">
        <f t="shared" si="57"/>
        <v>0.77028363955233292</v>
      </c>
      <c r="L361">
        <f>-$B$5*$B$12-IF($B$3,Tabelle2[[#This Row],[Fd]]*Tabelle2[[#This Row],[vy]]/Tabelle2[[#This Row],[v]],0)</f>
        <v>-13.866597854053406</v>
      </c>
      <c r="M361">
        <f t="shared" si="58"/>
        <v>-9.2443985693689381</v>
      </c>
      <c r="N361">
        <f t="shared" si="59"/>
        <v>-0.18488797138737875</v>
      </c>
      <c r="O361">
        <f t="shared" si="60"/>
        <v>-0.23971686487337349</v>
      </c>
      <c r="P361" s="1">
        <f t="shared" si="62"/>
        <v>38.532506461902365</v>
      </c>
      <c r="Q361" s="1">
        <f t="shared" si="63"/>
        <v>-11.893399257974984</v>
      </c>
      <c r="R361">
        <f>SQRT(Tabelle2[[#This Row],[vx]]*Tabelle2[[#This Row],[vx]]+Tabelle2[[#This Row],[vy]]*Tabelle2[[#This Row],[vy]])</f>
        <v>40.326256956803562</v>
      </c>
      <c r="S361">
        <f t="shared" si="64"/>
        <v>341.75095235125036</v>
      </c>
      <c r="T361" s="1">
        <f t="shared" si="65"/>
        <v>192.50494520634646</v>
      </c>
    </row>
    <row r="362" spans="6:20" x14ac:dyDescent="0.35">
      <c r="F362" s="1">
        <f t="shared" si="61"/>
        <v>7.1799999999999349</v>
      </c>
      <c r="G362">
        <f>1/2*$B$8*$B$6*$B$7*(Tabelle2[[#This Row],[vx]]*Tabelle2[[#This Row],[vx]]+Tabelle2[[#This Row],[vy]]*Tabelle2[[#This Row],[vy]])/1000000</f>
        <v>2.8794741073108141</v>
      </c>
      <c r="H362">
        <f>IF($B$3,-Tabelle2[[#This Row],[Fd]]*Tabelle2[[#This Row],[vx]]/Tabelle2[[#This Row],[v]],0)</f>
        <v>-2.7474165514751405</v>
      </c>
      <c r="I362">
        <f t="shared" si="55"/>
        <v>-1.8316110343167604</v>
      </c>
      <c r="J362">
        <f t="shared" si="56"/>
        <v>-3.6632220686335211E-2</v>
      </c>
      <c r="K362">
        <f t="shared" si="57"/>
        <v>0.76955082765975535</v>
      </c>
      <c r="L362">
        <f>-$B$5*$B$12-IF($B$3,Tabelle2[[#This Row],[Fd]]*Tabelle2[[#This Row],[vy]]/Tabelle2[[#This Row],[v]],0)</f>
        <v>-13.852982930938223</v>
      </c>
      <c r="M362">
        <f t="shared" si="58"/>
        <v>-9.2353219539588149</v>
      </c>
      <c r="N362">
        <f t="shared" si="59"/>
        <v>-0.1847064390791763</v>
      </c>
      <c r="O362">
        <f t="shared" si="60"/>
        <v>-0.24341280897803902</v>
      </c>
      <c r="P362" s="1">
        <f t="shared" si="62"/>
        <v>38.495857493330931</v>
      </c>
      <c r="Q362" s="1">
        <f t="shared" si="63"/>
        <v>-12.078287229362363</v>
      </c>
      <c r="R362">
        <f>SQRT(Tabelle2[[#This Row],[vx]]*Tabelle2[[#This Row],[vx]]+Tabelle2[[#This Row],[vy]]*Tabelle2[[#This Row],[vy]])</f>
        <v>40.346202628522811</v>
      </c>
      <c r="S362">
        <f t="shared" si="64"/>
        <v>342.52123599080272</v>
      </c>
      <c r="T362" s="1">
        <f t="shared" si="65"/>
        <v>192.26522834147309</v>
      </c>
    </row>
    <row r="363" spans="6:20" x14ac:dyDescent="0.35">
      <c r="F363" s="1">
        <f t="shared" si="61"/>
        <v>7.1999999999999345</v>
      </c>
      <c r="G363">
        <f>1/2*$B$8*$B$6*$B$7*(Tabelle2[[#This Row],[vx]]*Tabelle2[[#This Row],[vx]]+Tabelle2[[#This Row],[vy]]*Tabelle2[[#This Row],[vy]])/1000000</f>
        <v>2.8824405055045141</v>
      </c>
      <c r="H363">
        <f>IF($B$3,-Tabelle2[[#This Row],[Fd]]*Tabelle2[[#This Row],[vx]]/Tabelle2[[#This Row],[v]],0)</f>
        <v>-2.7462156075642796</v>
      </c>
      <c r="I363">
        <f t="shared" si="55"/>
        <v>-1.8308104050428531</v>
      </c>
      <c r="J363">
        <f t="shared" si="56"/>
        <v>-3.6616208100857063E-2</v>
      </c>
      <c r="K363">
        <f t="shared" si="57"/>
        <v>0.76881834337188337</v>
      </c>
      <c r="L363">
        <f>-$B$5*$B$12-IF($B$3,Tabelle2[[#This Row],[Fd]]*Tabelle2[[#This Row],[vy]]/Tabelle2[[#This Row],[v]],0)</f>
        <v>-13.839349896052381</v>
      </c>
      <c r="M363">
        <f t="shared" si="58"/>
        <v>-9.2262332640349207</v>
      </c>
      <c r="N363">
        <f t="shared" si="59"/>
        <v>-0.18452466528069841</v>
      </c>
      <c r="O363">
        <f t="shared" si="60"/>
        <v>-0.24710512002163779</v>
      </c>
      <c r="P363" s="1">
        <f t="shared" si="62"/>
        <v>38.459225272644595</v>
      </c>
      <c r="Q363" s="1">
        <f t="shared" si="63"/>
        <v>-12.26299366844154</v>
      </c>
      <c r="R363">
        <f>SQRT(Tabelle2[[#This Row],[vx]]*Tabelle2[[#This Row],[vx]]+Tabelle2[[#This Row],[vy]]*Tabelle2[[#This Row],[vy]])</f>
        <v>40.366979355461588</v>
      </c>
      <c r="S363">
        <f t="shared" si="64"/>
        <v>343.29078681846249</v>
      </c>
      <c r="T363" s="1">
        <f t="shared" si="65"/>
        <v>192.02181553249505</v>
      </c>
    </row>
    <row r="364" spans="6:20" x14ac:dyDescent="0.35">
      <c r="F364" s="1">
        <f t="shared" si="61"/>
        <v>7.219999999999934</v>
      </c>
      <c r="G364">
        <f>1/2*$B$8*$B$6*$B$7*(Tabelle2[[#This Row],[vx]]*Tabelle2[[#This Row],[vx]]+Tabelle2[[#This Row],[vy]]*Tabelle2[[#This Row],[vy]])/1000000</f>
        <v>2.8855265214554744</v>
      </c>
      <c r="H364">
        <f>IF($B$3,-Tabelle2[[#This Row],[Fd]]*Tabelle2[[#This Row],[vx]]/Tabelle2[[#This Row],[v]],0)</f>
        <v>-2.74506928673964</v>
      </c>
      <c r="I364">
        <f t="shared" si="55"/>
        <v>-1.8300461911597601</v>
      </c>
      <c r="J364">
        <f t="shared" si="56"/>
        <v>-3.66009238231952E-2</v>
      </c>
      <c r="K364">
        <f t="shared" si="57"/>
        <v>0.76808617205264273</v>
      </c>
      <c r="L364">
        <f>-$B$5*$B$12-IF($B$3,Tabelle2[[#This Row],[Fd]]*Tabelle2[[#This Row],[vy]]/Tabelle2[[#This Row],[v]],0)</f>
        <v>-13.825698073193555</v>
      </c>
      <c r="M364">
        <f t="shared" si="58"/>
        <v>-9.2171320487957029</v>
      </c>
      <c r="N364">
        <f t="shared" si="59"/>
        <v>-0.18434264097591407</v>
      </c>
      <c r="O364">
        <f t="shared" si="60"/>
        <v>-0.25079379308420391</v>
      </c>
      <c r="P364" s="1">
        <f t="shared" si="62"/>
        <v>38.422609064543735</v>
      </c>
      <c r="Q364" s="1">
        <f t="shared" si="63"/>
        <v>-12.447518333722238</v>
      </c>
      <c r="R364">
        <f>SQRT(Tabelle2[[#This Row],[vx]]*Tabelle2[[#This Row],[vx]]+Tabelle2[[#This Row],[vy]]*Tabelle2[[#This Row],[vy]])</f>
        <v>40.388582545010287</v>
      </c>
      <c r="S364">
        <f t="shared" si="64"/>
        <v>344.05960516183438</v>
      </c>
      <c r="T364" s="1">
        <f t="shared" si="65"/>
        <v>191.77471041247341</v>
      </c>
    </row>
    <row r="365" spans="6:20" x14ac:dyDescent="0.35">
      <c r="F365" s="1">
        <f t="shared" si="61"/>
        <v>7.2399999999999336</v>
      </c>
      <c r="G365">
        <f>1/2*$B$8*$B$6*$B$7*(Tabelle2[[#This Row],[vx]]*Tabelle2[[#This Row],[vx]]+Tabelle2[[#This Row],[vy]]*Tabelle2[[#This Row],[vy]])/1000000</f>
        <v>2.8887316828433294</v>
      </c>
      <c r="H365">
        <f>IF($B$3,-Tabelle2[[#This Row],[Fd]]*Tabelle2[[#This Row],[vx]]/Tabelle2[[#This Row],[v]],0)</f>
        <v>-2.743977063855739</v>
      </c>
      <c r="I365">
        <f t="shared" si="55"/>
        <v>-1.8293180425704927</v>
      </c>
      <c r="J365">
        <f t="shared" si="56"/>
        <v>-3.6586360851409858E-2</v>
      </c>
      <c r="K365">
        <f t="shared" si="57"/>
        <v>0.76735429920589671</v>
      </c>
      <c r="L365">
        <f>-$B$5*$B$12-IF($B$3,Tabelle2[[#This Row],[Fd]]*Tabelle2[[#This Row],[vy]]/Tabelle2[[#This Row],[v]],0)</f>
        <v>-13.812026795249997</v>
      </c>
      <c r="M365">
        <f t="shared" si="58"/>
        <v>-9.2080178634999985</v>
      </c>
      <c r="N365">
        <f t="shared" si="59"/>
        <v>-0.18416035726999996</v>
      </c>
      <c r="O365">
        <f t="shared" si="60"/>
        <v>-0.25447882306666303</v>
      </c>
      <c r="P365" s="1">
        <f t="shared" si="62"/>
        <v>38.386008140720541</v>
      </c>
      <c r="Q365" s="1">
        <f t="shared" si="63"/>
        <v>-12.631860974698151</v>
      </c>
      <c r="R365">
        <f>SQRT(Tabelle2[[#This Row],[vx]]*Tabelle2[[#This Row],[vx]]+Tabelle2[[#This Row],[vy]]*Tabelle2[[#This Row],[vy]])</f>
        <v>40.411007568032325</v>
      </c>
      <c r="S365">
        <f t="shared" si="64"/>
        <v>344.827691333887</v>
      </c>
      <c r="T365" s="1">
        <f t="shared" si="65"/>
        <v>191.52391661938921</v>
      </c>
    </row>
    <row r="366" spans="6:20" x14ac:dyDescent="0.35">
      <c r="F366" s="1">
        <f t="shared" si="61"/>
        <v>7.2599999999999332</v>
      </c>
      <c r="G366">
        <f>1/2*$B$8*$B$6*$B$7*(Tabelle2[[#This Row],[vx]]*Tabelle2[[#This Row],[vx]]+Tabelle2[[#This Row],[vy]]*Tabelle2[[#This Row],[vy]])/1000000</f>
        <v>2.8920555179720204</v>
      </c>
      <c r="H366">
        <f>IF($B$3,-Tabelle2[[#This Row],[Fd]]*Tabelle2[[#This Row],[vx]]/Tabelle2[[#This Row],[v]],0)</f>
        <v>-2.7429384130673471</v>
      </c>
      <c r="I366">
        <f t="shared" si="55"/>
        <v>-1.8286256087115647</v>
      </c>
      <c r="J366">
        <f t="shared" si="56"/>
        <v>-3.6572512174231291E-2</v>
      </c>
      <c r="K366">
        <f t="shared" si="57"/>
        <v>0.76662271047564035</v>
      </c>
      <c r="L366">
        <f>-$B$5*$B$12-IF($B$3,Tabelle2[[#This Row],[Fd]]*Tabelle2[[#This Row],[vy]]/Tabelle2[[#This Row],[v]],0)</f>
        <v>-13.798335404222463</v>
      </c>
      <c r="M366">
        <f t="shared" si="58"/>
        <v>-9.1988902694816428</v>
      </c>
      <c r="N366">
        <f t="shared" si="59"/>
        <v>-0.18397780538963285</v>
      </c>
      <c r="O366">
        <f t="shared" si="60"/>
        <v>-0.2581602046932594</v>
      </c>
      <c r="P366" s="1">
        <f t="shared" si="62"/>
        <v>38.349421779869132</v>
      </c>
      <c r="Q366" s="1">
        <f t="shared" si="63"/>
        <v>-12.816021331968152</v>
      </c>
      <c r="R366">
        <f>SQRT(Tabelle2[[#This Row],[vx]]*Tabelle2[[#This Row],[vx]]+Tabelle2[[#This Row],[vy]]*Tabelle2[[#This Row],[vy]])</f>
        <v>40.434249759724288</v>
      </c>
      <c r="S366">
        <f t="shared" si="64"/>
        <v>345.59504563309292</v>
      </c>
      <c r="T366" s="1">
        <f t="shared" si="65"/>
        <v>191.26943779632253</v>
      </c>
    </row>
    <row r="367" spans="6:20" x14ac:dyDescent="0.35">
      <c r="F367" s="1">
        <f t="shared" si="61"/>
        <v>7.2799999999999327</v>
      </c>
      <c r="G367">
        <f>1/2*$B$8*$B$6*$B$7*(Tabelle2[[#This Row],[vx]]*Tabelle2[[#This Row],[vx]]+Tabelle2[[#This Row],[vy]]*Tabelle2[[#This Row],[vy]])/1000000</f>
        <v>2.8954975557444036</v>
      </c>
      <c r="H367">
        <f>IF($B$3,-Tabelle2[[#This Row],[Fd]]*Tabelle2[[#This Row],[vx]]/Tabelle2[[#This Row],[v]],0)</f>
        <v>-2.7419528078901152</v>
      </c>
      <c r="I367">
        <f t="shared" si="55"/>
        <v>-1.8279685385934101</v>
      </c>
      <c r="J367">
        <f t="shared" si="56"/>
        <v>-3.6559370771868202E-2</v>
      </c>
      <c r="K367">
        <f t="shared" si="57"/>
        <v>0.76589139164617936</v>
      </c>
      <c r="L367">
        <f>-$B$5*$B$12-IF($B$3,Tabelle2[[#This Row],[Fd]]*Tabelle2[[#This Row],[vy]]/Tabelle2[[#This Row],[v]],0)</f>
        <v>-13.784623251244247</v>
      </c>
      <c r="M367">
        <f t="shared" si="58"/>
        <v>-9.1897488341628311</v>
      </c>
      <c r="N367">
        <f t="shared" si="59"/>
        <v>-0.18379497668325662</v>
      </c>
      <c r="O367">
        <f t="shared" si="60"/>
        <v>-0.26183793251398824</v>
      </c>
      <c r="P367" s="1">
        <f t="shared" si="62"/>
        <v>38.312849267694901</v>
      </c>
      <c r="Q367" s="1">
        <f t="shared" si="63"/>
        <v>-12.999999137357785</v>
      </c>
      <c r="R367">
        <f>SQRT(Tabelle2[[#This Row],[vx]]*Tabelle2[[#This Row],[vx]]+Tabelle2[[#This Row],[vy]]*Tabelle2[[#This Row],[vy]])</f>
        <v>40.458304420482243</v>
      </c>
      <c r="S367">
        <f t="shared" si="64"/>
        <v>346.36166834356857</v>
      </c>
      <c r="T367" s="1">
        <f t="shared" si="65"/>
        <v>191.01127759162927</v>
      </c>
    </row>
    <row r="368" spans="6:20" x14ac:dyDescent="0.35">
      <c r="F368" s="1">
        <f t="shared" si="61"/>
        <v>7.2999999999999323</v>
      </c>
      <c r="G368">
        <f>1/2*$B$8*$B$6*$B$7*(Tabelle2[[#This Row],[vx]]*Tabelle2[[#This Row],[vx]]+Tabelle2[[#This Row],[vy]]*Tabelle2[[#This Row],[vy]])/1000000</f>
        <v>2.8990573256373335</v>
      </c>
      <c r="H368">
        <f>IF($B$3,-Tabelle2[[#This Row],[Fd]]*Tabelle2[[#This Row],[vx]]/Tabelle2[[#This Row],[v]],0)</f>
        <v>-2.7410197212614387</v>
      </c>
      <c r="I368">
        <f t="shared" si="55"/>
        <v>-1.8273464808409592</v>
      </c>
      <c r="J368">
        <f t="shared" si="56"/>
        <v>-3.6546929616819185E-2</v>
      </c>
      <c r="K368">
        <f t="shared" si="57"/>
        <v>0.76516032864229244</v>
      </c>
      <c r="L368">
        <f>-$B$5*$B$12-IF($B$3,Tabelle2[[#This Row],[Fd]]*Tabelle2[[#This Row],[vy]]/Tabelle2[[#This Row],[v]],0)</f>
        <v>-13.770889696599305</v>
      </c>
      <c r="M368">
        <f t="shared" si="58"/>
        <v>-9.1805931310662032</v>
      </c>
      <c r="N368">
        <f t="shared" si="59"/>
        <v>-0.18361186262132406</v>
      </c>
      <c r="O368">
        <f t="shared" si="60"/>
        <v>-0.26551200090703403</v>
      </c>
      <c r="P368" s="1">
        <f t="shared" si="62"/>
        <v>38.276289896923032</v>
      </c>
      <c r="Q368" s="1">
        <f t="shared" si="63"/>
        <v>-13.18379411404104</v>
      </c>
      <c r="R368">
        <f>SQRT(Tabelle2[[#This Row],[vx]]*Tabelle2[[#This Row],[vx]]+Tabelle2[[#This Row],[vy]]*Tabelle2[[#This Row],[vy]])</f>
        <v>40.483166816773554</v>
      </c>
      <c r="S368">
        <f t="shared" si="64"/>
        <v>347.12755973521473</v>
      </c>
      <c r="T368" s="1">
        <f t="shared" si="65"/>
        <v>190.74943965911527</v>
      </c>
    </row>
    <row r="369" spans="6:20" x14ac:dyDescent="0.35">
      <c r="F369" s="1">
        <f t="shared" si="61"/>
        <v>7.3199999999999319</v>
      </c>
      <c r="G369">
        <f>1/2*$B$8*$B$6*$B$7*(Tabelle2[[#This Row],[vx]]*Tabelle2[[#This Row],[vx]]+Tabelle2[[#This Row],[vy]]*Tabelle2[[#This Row],[vy]])/1000000</f>
        <v>2.9027343576772364</v>
      </c>
      <c r="H369">
        <f>IF($B$3,-Tabelle2[[#This Row],[Fd]]*Tabelle2[[#This Row],[vx]]/Tabelle2[[#This Row],[v]],0)</f>
        <v>-2.7401386256015301</v>
      </c>
      <c r="I369">
        <f t="shared" si="55"/>
        <v>-1.8267590837343535</v>
      </c>
      <c r="J369">
        <f t="shared" si="56"/>
        <v>-3.653518167468707E-2</v>
      </c>
      <c r="K369">
        <f t="shared" si="57"/>
        <v>0.76442950752937733</v>
      </c>
      <c r="L369">
        <f>-$B$5*$B$12-IF($B$3,Tabelle2[[#This Row],[Fd]]*Tabelle2[[#This Row],[vy]]/Tabelle2[[#This Row],[v]],0)</f>
        <v>-13.75713410973851</v>
      </c>
      <c r="M369">
        <f t="shared" si="58"/>
        <v>-9.1714227398256742</v>
      </c>
      <c r="N369">
        <f t="shared" si="59"/>
        <v>-0.18342845479651348</v>
      </c>
      <c r="O369">
        <f t="shared" si="60"/>
        <v>-0.26918240408121241</v>
      </c>
      <c r="P369" s="1">
        <f t="shared" si="62"/>
        <v>38.239742967306213</v>
      </c>
      <c r="Q369" s="1">
        <f t="shared" si="63"/>
        <v>-13.367405976662365</v>
      </c>
      <c r="R369">
        <f>SQRT(Tabelle2[[#This Row],[vx]]*Tabelle2[[#This Row],[vx]]+Tabelle2[[#This Row],[vy]]*Tabelle2[[#This Row],[vy]])</f>
        <v>40.508832182013762</v>
      </c>
      <c r="S369">
        <f t="shared" si="64"/>
        <v>347.89272006385704</v>
      </c>
      <c r="T369" s="1">
        <f t="shared" si="65"/>
        <v>190.48392765820824</v>
      </c>
    </row>
    <row r="370" spans="6:20" x14ac:dyDescent="0.35">
      <c r="F370" s="1">
        <f t="shared" si="61"/>
        <v>7.3399999999999315</v>
      </c>
      <c r="G370">
        <f>1/2*$B$8*$B$6*$B$7*(Tabelle2[[#This Row],[vx]]*Tabelle2[[#This Row],[vx]]+Tabelle2[[#This Row],[vy]]*Tabelle2[[#This Row],[vy]])/1000000</f>
        <v>2.9065281824161491</v>
      </c>
      <c r="H370">
        <f>IF($B$3,-Tabelle2[[#This Row],[Fd]]*Tabelle2[[#This Row],[vx]]/Tabelle2[[#This Row],[v]],0)</f>
        <v>-2.7393089928746455</v>
      </c>
      <c r="I370">
        <f t="shared" si="55"/>
        <v>-1.8262059952497636</v>
      </c>
      <c r="J370">
        <f t="shared" si="56"/>
        <v>-3.6524119904995274E-2</v>
      </c>
      <c r="K370">
        <f t="shared" si="57"/>
        <v>0.76369891451358063</v>
      </c>
      <c r="L370">
        <f>-$B$5*$B$12-IF($B$3,Tabelle2[[#This Row],[Fd]]*Tabelle2[[#This Row],[vy]]/Tabelle2[[#This Row],[v]],0)</f>
        <v>-13.743355869293998</v>
      </c>
      <c r="M370">
        <f t="shared" si="58"/>
        <v>-9.162237246195998</v>
      </c>
      <c r="N370">
        <f t="shared" si="59"/>
        <v>-0.18324474492391996</v>
      </c>
      <c r="O370">
        <f t="shared" si="60"/>
        <v>-0.27284913607841677</v>
      </c>
      <c r="P370" s="1">
        <f t="shared" si="62"/>
        <v>38.203207785631527</v>
      </c>
      <c r="Q370" s="1">
        <f t="shared" si="63"/>
        <v>-13.550834431458878</v>
      </c>
      <c r="R370">
        <f>SQRT(Tabelle2[[#This Row],[vx]]*Tabelle2[[#This Row],[vx]]+Tabelle2[[#This Row],[vy]]*Tabelle2[[#This Row],[vy]])</f>
        <v>40.53529571744788</v>
      </c>
      <c r="S370">
        <f t="shared" si="64"/>
        <v>348.65714957138641</v>
      </c>
      <c r="T370" s="1">
        <f t="shared" si="65"/>
        <v>190.21474525412702</v>
      </c>
    </row>
    <row r="371" spans="6:20" x14ac:dyDescent="0.35">
      <c r="F371" s="1">
        <f t="shared" si="61"/>
        <v>7.359999999999931</v>
      </c>
      <c r="G371">
        <f>1/2*$B$8*$B$6*$B$7*(Tabelle2[[#This Row],[vx]]*Tabelle2[[#This Row],[vx]]+Tabelle2[[#This Row],[vy]]*Tabelle2[[#This Row],[vy]])/1000000</f>
        <v>2.9104383309082462</v>
      </c>
      <c r="H371">
        <f>IF($B$3,-Tabelle2[[#This Row],[Fd]]*Tabelle2[[#This Row],[vx]]/Tabelle2[[#This Row],[v]],0)</f>
        <v>-2.7385302946504422</v>
      </c>
      <c r="I371">
        <f t="shared" si="55"/>
        <v>-1.8256868631002947</v>
      </c>
      <c r="J371">
        <f t="shared" si="56"/>
        <v>-3.6513737262005894E-2</v>
      </c>
      <c r="K371">
        <f t="shared" si="57"/>
        <v>0.7629685359419105</v>
      </c>
      <c r="L371">
        <f>-$B$5*$B$12-IF($B$3,Tabelle2[[#This Row],[Fd]]*Tabelle2[[#This Row],[vy]]/Tabelle2[[#This Row],[v]],0)</f>
        <v>-13.729554363091632</v>
      </c>
      <c r="M371">
        <f t="shared" si="58"/>
        <v>-9.1530362420610878</v>
      </c>
      <c r="N371">
        <f t="shared" si="59"/>
        <v>-0.18306072484122177</v>
      </c>
      <c r="O371">
        <f t="shared" si="60"/>
        <v>-0.2765121907760682</v>
      </c>
      <c r="P371" s="1">
        <f t="shared" si="62"/>
        <v>38.166683665726531</v>
      </c>
      <c r="Q371" s="1">
        <f t="shared" si="63"/>
        <v>-13.734079176382798</v>
      </c>
      <c r="R371">
        <f>SQRT(Tabelle2[[#This Row],[vx]]*Tabelle2[[#This Row],[vx]]+Tabelle2[[#This Row],[vy]]*Tabelle2[[#This Row],[vy]])</f>
        <v>40.562552593035711</v>
      </c>
      <c r="S371">
        <f t="shared" si="64"/>
        <v>349.42084848589997</v>
      </c>
      <c r="T371" s="1">
        <f t="shared" si="65"/>
        <v>189.94189611804862</v>
      </c>
    </row>
    <row r="372" spans="6:20" x14ac:dyDescent="0.35">
      <c r="F372" s="1">
        <f t="shared" si="61"/>
        <v>7.3799999999999306</v>
      </c>
      <c r="G372">
        <f>1/2*$B$8*$B$6*$B$7*(Tabelle2[[#This Row],[vx]]*Tabelle2[[#This Row],[vx]]+Tabelle2[[#This Row],[vy]]*Tabelle2[[#This Row],[vy]])/1000000</f>
        <v>2.9144643346868393</v>
      </c>
      <c r="H372">
        <f>IF($B$3,-Tabelle2[[#This Row],[Fd]]*Tabelle2[[#This Row],[vx]]/Tabelle2[[#This Row],[v]],0)</f>
        <v>-2.7378020021654281</v>
      </c>
      <c r="I372">
        <f t="shared" si="55"/>
        <v>-1.825201334776952</v>
      </c>
      <c r="J372">
        <f t="shared" si="56"/>
        <v>-3.6504026695539038E-2</v>
      </c>
      <c r="K372">
        <f t="shared" si="57"/>
        <v>0.76223835830233511</v>
      </c>
      <c r="L372">
        <f>-$B$5*$B$12-IF($B$3,Tabelle2[[#This Row],[Fd]]*Tabelle2[[#This Row],[vy]]/Tabelle2[[#This Row],[v]],0)</f>
        <v>-13.715728988161583</v>
      </c>
      <c r="M372">
        <f t="shared" si="58"/>
        <v>-9.143819325441056</v>
      </c>
      <c r="N372">
        <f t="shared" si="59"/>
        <v>-0.18287638650882113</v>
      </c>
      <c r="O372">
        <f t="shared" si="60"/>
        <v>-0.2801715618895686</v>
      </c>
      <c r="P372" s="1">
        <f t="shared" si="62"/>
        <v>38.130169928464525</v>
      </c>
      <c r="Q372" s="1">
        <f t="shared" si="63"/>
        <v>-13.917139901224019</v>
      </c>
      <c r="R372">
        <f>SQRT(Tabelle2[[#This Row],[vx]]*Tabelle2[[#This Row],[vx]]+Tabelle2[[#This Row],[vy]]*Tabelle2[[#This Row],[vy]])</f>
        <v>40.590597948340481</v>
      </c>
      <c r="S372">
        <f t="shared" si="64"/>
        <v>350.18381702184189</v>
      </c>
      <c r="T372" s="1">
        <f t="shared" si="65"/>
        <v>189.66538392727256</v>
      </c>
    </row>
    <row r="373" spans="6:20" x14ac:dyDescent="0.35">
      <c r="F373" s="1">
        <f t="shared" si="61"/>
        <v>7.3999999999999302</v>
      </c>
      <c r="G373">
        <f>1/2*$B$8*$B$6*$B$7*(Tabelle2[[#This Row],[vx]]*Tabelle2[[#This Row],[vx]]+Tabelle2[[#This Row],[vy]]*Tabelle2[[#This Row],[vy]])/1000000</f>
        <v>2.9186057257418425</v>
      </c>
      <c r="H373">
        <f>IF($B$3,-Tabelle2[[#This Row],[Fd]]*Tabelle2[[#This Row],[vx]]/Tabelle2[[#This Row],[v]],0)</f>
        <v>-2.7371235863844445</v>
      </c>
      <c r="I373">
        <f t="shared" si="55"/>
        <v>-1.8247490575896297</v>
      </c>
      <c r="J373">
        <f t="shared" si="56"/>
        <v>-3.6494981151792595E-2</v>
      </c>
      <c r="K373">
        <f t="shared" si="57"/>
        <v>0.76150836822386181</v>
      </c>
      <c r="L373">
        <f>-$B$5*$B$12-IF($B$3,Tabelle2[[#This Row],[Fd]]*Tabelle2[[#This Row],[vy]]/Tabelle2[[#This Row],[v]],0)</f>
        <v>-13.701879150747049</v>
      </c>
      <c r="M373">
        <f t="shared" si="58"/>
        <v>-9.1345861004980318</v>
      </c>
      <c r="N373">
        <f t="shared" si="59"/>
        <v>-0.18269172200996064</v>
      </c>
      <c r="O373">
        <f t="shared" si="60"/>
        <v>-0.28382724297475642</v>
      </c>
      <c r="P373" s="1">
        <f t="shared" si="62"/>
        <v>38.093665901768986</v>
      </c>
      <c r="Q373" s="1">
        <f t="shared" si="63"/>
        <v>-14.10001628773284</v>
      </c>
      <c r="R373">
        <f>SQRT(Tabelle2[[#This Row],[vx]]*Tabelle2[[#This Row],[vx]]+Tabelle2[[#This Row],[vy]]*Tabelle2[[#This Row],[vy]])</f>
        <v>40.619426893420453</v>
      </c>
      <c r="S373">
        <f t="shared" si="64"/>
        <v>350.94605538014423</v>
      </c>
      <c r="T373" s="1">
        <f t="shared" si="65"/>
        <v>189.38521236538298</v>
      </c>
    </row>
    <row r="374" spans="6:20" x14ac:dyDescent="0.35">
      <c r="F374" s="1">
        <f t="shared" si="61"/>
        <v>7.4199999999999298</v>
      </c>
      <c r="G374">
        <f>1/2*$B$8*$B$6*$B$7*(Tabelle2[[#This Row],[vx]]*Tabelle2[[#This Row],[vx]]+Tabelle2[[#This Row],[vy]]*Tabelle2[[#This Row],[vy]])/1000000</f>
        <v>2.9228620364977185</v>
      </c>
      <c r="H374">
        <f>IF($B$3,-Tabelle2[[#This Row],[Fd]]*Tabelle2[[#This Row],[vx]]/Tabelle2[[#This Row],[v]],0)</f>
        <v>-2.7364945180621767</v>
      </c>
      <c r="I374">
        <f t="shared" si="55"/>
        <v>-1.8243296787081178</v>
      </c>
      <c r="J374">
        <f t="shared" si="56"/>
        <v>-3.6486593574162354E-2</v>
      </c>
      <c r="K374">
        <f t="shared" si="57"/>
        <v>0.76077855247660231</v>
      </c>
      <c r="L374">
        <f>-$B$5*$B$12-IF($B$3,Tabelle2[[#This Row],[Fd]]*Tabelle2[[#This Row],[vy]]/Tabelle2[[#This Row],[v]],0)</f>
        <v>-13.688004266311079</v>
      </c>
      <c r="M374">
        <f t="shared" si="58"/>
        <v>-9.1253361775407189</v>
      </c>
      <c r="N374">
        <f t="shared" si="59"/>
        <v>-0.18250672355081438</v>
      </c>
      <c r="O374">
        <f t="shared" si="60"/>
        <v>-0.28747922743036419</v>
      </c>
      <c r="P374" s="1">
        <f t="shared" si="62"/>
        <v>38.057170920617196</v>
      </c>
      <c r="Q374" s="1">
        <f t="shared" si="63"/>
        <v>-14.282708009742802</v>
      </c>
      <c r="R374">
        <f>SQRT(Tabelle2[[#This Row],[vx]]*Tabelle2[[#This Row],[vx]]+Tabelle2[[#This Row],[vy]]*Tabelle2[[#This Row],[vy]])</f>
        <v>40.649034509722888</v>
      </c>
      <c r="S374">
        <f t="shared" si="64"/>
        <v>351.7075637483681</v>
      </c>
      <c r="T374" s="1">
        <f t="shared" si="65"/>
        <v>189.10138512240823</v>
      </c>
    </row>
    <row r="375" spans="6:20" x14ac:dyDescent="0.35">
      <c r="F375" s="1">
        <f t="shared" si="61"/>
        <v>7.4399999999999293</v>
      </c>
      <c r="G375">
        <f>1/2*$B$8*$B$6*$B$7*(Tabelle2[[#This Row],[vx]]*Tabelle2[[#This Row],[vx]]+Tabelle2[[#This Row],[vy]]*Tabelle2[[#This Row],[vy]])/1000000</f>
        <v>2.9272327997918905</v>
      </c>
      <c r="H375">
        <f>IF($B$3,-Tabelle2[[#This Row],[Fd]]*Tabelle2[[#This Row],[vx]]/Tabelle2[[#This Row],[v]],0)</f>
        <v>-2.735914267804636</v>
      </c>
      <c r="I375">
        <f t="shared" si="55"/>
        <v>-1.8239428452030906</v>
      </c>
      <c r="J375">
        <f t="shared" si="56"/>
        <v>-3.6478856904061815E-2</v>
      </c>
      <c r="K375">
        <f t="shared" si="57"/>
        <v>0.76004889797182007</v>
      </c>
      <c r="L375">
        <f>-$B$5*$B$12-IF($B$3,Tabelle2[[#This Row],[Fd]]*Tabelle2[[#This Row],[vy]]/Tabelle2[[#This Row],[v]],0)</f>
        <v>-13.67410375954157</v>
      </c>
      <c r="M375">
        <f t="shared" si="58"/>
        <v>-9.1160691730277126</v>
      </c>
      <c r="N375">
        <f t="shared" si="59"/>
        <v>-0.18232138346055426</v>
      </c>
      <c r="O375">
        <f t="shared" si="60"/>
        <v>-0.29112750850047786</v>
      </c>
      <c r="P375" s="1">
        <f t="shared" si="62"/>
        <v>38.020684327043035</v>
      </c>
      <c r="Q375" s="1">
        <f t="shared" si="63"/>
        <v>-14.465214733293616</v>
      </c>
      <c r="R375">
        <f>SQRT(Tabelle2[[#This Row],[vx]]*Tabelle2[[#This Row],[vx]]+Tabelle2[[#This Row],[vy]]*Tabelle2[[#This Row],[vy]])</f>
        <v>40.679415850979851</v>
      </c>
      <c r="S375">
        <f t="shared" si="64"/>
        <v>352.46834230084471</v>
      </c>
      <c r="T375" s="1">
        <f t="shared" si="65"/>
        <v>188.81390589497786</v>
      </c>
    </row>
    <row r="376" spans="6:20" x14ac:dyDescent="0.35">
      <c r="F376" s="1">
        <f t="shared" si="61"/>
        <v>7.4599999999999289</v>
      </c>
      <c r="G376">
        <f>1/2*$B$8*$B$6*$B$7*(Tabelle2[[#This Row],[vx]]*Tabelle2[[#This Row],[vx]]+Tabelle2[[#This Row],[vy]]*Tabelle2[[#This Row],[vy]])/1000000</f>
        <v>2.9317175488536167</v>
      </c>
      <c r="H376">
        <f>IF($B$3,-Tabelle2[[#This Row],[Fd]]*Tabelle2[[#This Row],[vx]]/Tabelle2[[#This Row],[v]],0)</f>
        <v>-2.7353823061305782</v>
      </c>
      <c r="I376">
        <f t="shared" si="55"/>
        <v>-1.8235882040870521</v>
      </c>
      <c r="J376">
        <f t="shared" si="56"/>
        <v>-3.6471764081741041E-2</v>
      </c>
      <c r="K376">
        <f t="shared" si="57"/>
        <v>0.75931939176196206</v>
      </c>
      <c r="L376">
        <f>-$B$5*$B$12-IF($B$3,Tabelle2[[#This Row],[Fd]]*Tabelle2[[#This Row],[vy]]/Tabelle2[[#This Row],[v]],0)</f>
        <v>-13.660177064354391</v>
      </c>
      <c r="M376">
        <f t="shared" si="58"/>
        <v>-9.1067847095695935</v>
      </c>
      <c r="N376">
        <f t="shared" si="59"/>
        <v>-0.18213569419139186</v>
      </c>
      <c r="O376">
        <f t="shared" si="60"/>
        <v>-0.29477207927699733</v>
      </c>
      <c r="P376" s="1">
        <f t="shared" si="62"/>
        <v>37.984205470138974</v>
      </c>
      <c r="Q376" s="1">
        <f t="shared" si="63"/>
        <v>-14.64753611675417</v>
      </c>
      <c r="R376">
        <f>SQRT(Tabelle2[[#This Row],[vx]]*Tabelle2[[#This Row],[vx]]+Tabelle2[[#This Row],[vy]]*Tabelle2[[#This Row],[vy]])</f>
        <v>40.710565944105383</v>
      </c>
      <c r="S376">
        <f t="shared" si="64"/>
        <v>353.22839119881655</v>
      </c>
      <c r="T376" s="1">
        <f t="shared" si="65"/>
        <v>188.5227783864774</v>
      </c>
    </row>
    <row r="377" spans="6:20" x14ac:dyDescent="0.35">
      <c r="F377" s="1">
        <f t="shared" si="61"/>
        <v>7.4799999999999285</v>
      </c>
      <c r="G377">
        <f>1/2*$B$8*$B$6*$B$7*(Tabelle2[[#This Row],[vx]]*Tabelle2[[#This Row],[vx]]+Tabelle2[[#This Row],[vy]]*Tabelle2[[#This Row],[vy]])/1000000</f>
        <v>2.9363158172833383</v>
      </c>
      <c r="H377">
        <f>IF($B$3,-Tabelle2[[#This Row],[Fd]]*Tabelle2[[#This Row],[vx]]/Tabelle2[[#This Row],[v]],0)</f>
        <v>-2.7348981035328372</v>
      </c>
      <c r="I377">
        <f t="shared" si="55"/>
        <v>-1.8232654023552248</v>
      </c>
      <c r="J377">
        <f t="shared" si="56"/>
        <v>-3.6465308047104496E-2</v>
      </c>
      <c r="K377">
        <f t="shared" si="57"/>
        <v>0.75859002104067375</v>
      </c>
      <c r="L377">
        <f>-$B$5*$B$12-IF($B$3,Tabelle2[[#This Row],[Fd]]*Tabelle2[[#This Row],[vy]]/Tabelle2[[#This Row],[v]],0)</f>
        <v>-13.646223623894684</v>
      </c>
      <c r="M377">
        <f t="shared" si="58"/>
        <v>-9.0974824159297896</v>
      </c>
      <c r="N377">
        <f t="shared" si="59"/>
        <v>-0.18194964831859581</v>
      </c>
      <c r="O377">
        <f t="shared" si="60"/>
        <v>-0.29841293270209718</v>
      </c>
      <c r="P377" s="1">
        <f t="shared" si="62"/>
        <v>37.947733706057235</v>
      </c>
      <c r="Q377" s="1">
        <f t="shared" si="63"/>
        <v>-14.829671810945561</v>
      </c>
      <c r="R377">
        <f>SQRT(Tabelle2[[#This Row],[vx]]*Tabelle2[[#This Row],[vx]]+Tabelle2[[#This Row],[vy]]*Tabelle2[[#This Row],[vy]])</f>
        <v>40.742479790093604</v>
      </c>
      <c r="S377">
        <f t="shared" si="64"/>
        <v>353.9877105905785</v>
      </c>
      <c r="T377" s="1">
        <f t="shared" si="65"/>
        <v>188.22800630720039</v>
      </c>
    </row>
    <row r="378" spans="6:20" x14ac:dyDescent="0.35">
      <c r="F378" s="1">
        <f t="shared" si="61"/>
        <v>7.4999999999999281</v>
      </c>
      <c r="G378">
        <f>1/2*$B$8*$B$6*$B$7*(Tabelle2[[#This Row],[vx]]*Tabelle2[[#This Row],[vx]]+Tabelle2[[#This Row],[vy]]*Tabelle2[[#This Row],[vy]])/1000000</f>
        <v>2.9410271390324816</v>
      </c>
      <c r="H378">
        <f>IF($B$3,-Tabelle2[[#This Row],[Fd]]*Tabelle2[[#This Row],[vx]]/Tabelle2[[#This Row],[v]],0)</f>
        <v>-2.7344611305395192</v>
      </c>
      <c r="I378">
        <f t="shared" si="55"/>
        <v>-1.8229740870263462</v>
      </c>
      <c r="J378">
        <f t="shared" si="56"/>
        <v>-3.6459481740526926E-2</v>
      </c>
      <c r="K378">
        <f t="shared" si="57"/>
        <v>0.75786077314279743</v>
      </c>
      <c r="L378">
        <f>-$B$5*$B$12-IF($B$3,Tabelle2[[#This Row],[Fd]]*Tabelle2[[#This Row],[vy]]/Tabelle2[[#This Row],[v]],0)</f>
        <v>-13.632242890536331</v>
      </c>
      <c r="M378">
        <f t="shared" si="58"/>
        <v>-9.0881619270242204</v>
      </c>
      <c r="N378">
        <f t="shared" si="59"/>
        <v>-0.1817632385404844</v>
      </c>
      <c r="O378">
        <f t="shared" si="60"/>
        <v>-0.30205006157068798</v>
      </c>
      <c r="P378" s="1">
        <f t="shared" si="62"/>
        <v>37.911268398010129</v>
      </c>
      <c r="Q378" s="1">
        <f t="shared" si="63"/>
        <v>-15.011621459264157</v>
      </c>
      <c r="R378">
        <f>SQRT(Tabelle2[[#This Row],[vx]]*Tabelle2[[#This Row],[vx]]+Tabelle2[[#This Row],[vy]]*Tabelle2[[#This Row],[vy]])</f>
        <v>40.775152364917062</v>
      </c>
      <c r="S378">
        <f t="shared" si="64"/>
        <v>354.74630061161918</v>
      </c>
      <c r="T378" s="1">
        <f t="shared" si="65"/>
        <v>187.9295933744983</v>
      </c>
    </row>
    <row r="379" spans="6:20" x14ac:dyDescent="0.35">
      <c r="F379" s="1">
        <f t="shared" si="61"/>
        <v>7.5199999999999276</v>
      </c>
      <c r="G379">
        <f>1/2*$B$8*$B$6*$B$7*(Tabelle2[[#This Row],[vx]]*Tabelle2[[#This Row],[vx]]+Tabelle2[[#This Row],[vy]]*Tabelle2[[#This Row],[vy]])/1000000</f>
        <v>2.9458510483837315</v>
      </c>
      <c r="H379">
        <f>IF($B$3,-Tabelle2[[#This Row],[Fd]]*Tabelle2[[#This Row],[vx]]/Tabelle2[[#This Row],[v]],0)</f>
        <v>-2.7340708577750492</v>
      </c>
      <c r="I379">
        <f t="shared" si="55"/>
        <v>-1.8227139051833661</v>
      </c>
      <c r="J379">
        <f t="shared" si="56"/>
        <v>-3.6454278103667324E-2</v>
      </c>
      <c r="K379">
        <f t="shared" si="57"/>
        <v>0.75713163554435536</v>
      </c>
      <c r="L379">
        <f>-$B$5*$B$12-IF($B$3,Tabelle2[[#This Row],[Fd]]*Tabelle2[[#This Row],[vy]]/Tabelle2[[#This Row],[v]],0)</f>
        <v>-13.618234325879619</v>
      </c>
      <c r="M379">
        <f t="shared" si="58"/>
        <v>-9.0788228839197469</v>
      </c>
      <c r="N379">
        <f t="shared" si="59"/>
        <v>-0.18157645767839495</v>
      </c>
      <c r="O379">
        <f t="shared" si="60"/>
        <v>-0.30568345853287682</v>
      </c>
      <c r="P379" s="1">
        <f t="shared" si="62"/>
        <v>37.8748089162696</v>
      </c>
      <c r="Q379" s="1">
        <f t="shared" si="63"/>
        <v>-15.193384697804643</v>
      </c>
      <c r="R379">
        <f>SQRT(Tabelle2[[#This Row],[vx]]*Tabelle2[[#This Row],[vx]]+Tabelle2[[#This Row],[vy]]*Tabelle2[[#This Row],[vy]])</f>
        <v>40.808578620425138</v>
      </c>
      <c r="S379">
        <f t="shared" si="64"/>
        <v>355.50416138476197</v>
      </c>
      <c r="T379" s="1">
        <f t="shared" si="65"/>
        <v>187.6275433129276</v>
      </c>
    </row>
    <row r="380" spans="6:20" x14ac:dyDescent="0.35">
      <c r="F380" s="1">
        <f t="shared" si="61"/>
        <v>7.5399999999999272</v>
      </c>
      <c r="G380">
        <f>1/2*$B$8*$B$6*$B$7*(Tabelle2[[#This Row],[vx]]*Tabelle2[[#This Row],[vx]]+Tabelle2[[#This Row],[vy]]*Tabelle2[[#This Row],[vy]])/1000000</f>
        <v>2.9507870799317497</v>
      </c>
      <c r="H380">
        <f>IF($B$3,-Tabelle2[[#This Row],[Fd]]*Tabelle2[[#This Row],[vx]]/Tabelle2[[#This Row],[v]],0)</f>
        <v>-2.7337267560210088</v>
      </c>
      <c r="I380">
        <f t="shared" si="55"/>
        <v>-1.8224845040140059</v>
      </c>
      <c r="J380">
        <f t="shared" si="56"/>
        <v>-3.6449690080280116E-2</v>
      </c>
      <c r="K380">
        <f t="shared" si="57"/>
        <v>0.7564025958625159</v>
      </c>
      <c r="L380">
        <f>-$B$5*$B$12-IF($B$3,Tabelle2[[#This Row],[Fd]]*Tabelle2[[#This Row],[vy]]/Tabelle2[[#This Row],[v]],0)</f>
        <v>-13.604197400747102</v>
      </c>
      <c r="M380">
        <f t="shared" si="58"/>
        <v>-9.0694649338314015</v>
      </c>
      <c r="N380">
        <f t="shared" si="59"/>
        <v>-0.18138929867662804</v>
      </c>
      <c r="O380">
        <f t="shared" si="60"/>
        <v>-0.30931311609642703</v>
      </c>
      <c r="P380" s="1">
        <f t="shared" si="62"/>
        <v>37.838354638165931</v>
      </c>
      <c r="Q380" s="1">
        <f t="shared" si="63"/>
        <v>-15.374961155483037</v>
      </c>
      <c r="R380">
        <f>SQRT(Tabelle2[[#This Row],[vx]]*Tabelle2[[#This Row],[vx]]+Tabelle2[[#This Row],[vy]]*Tabelle2[[#This Row],[vy]])</f>
        <v>40.84275348524173</v>
      </c>
      <c r="S380">
        <f t="shared" si="64"/>
        <v>356.26129302030631</v>
      </c>
      <c r="T380" s="1">
        <f t="shared" si="65"/>
        <v>187.32185985439472</v>
      </c>
    </row>
    <row r="381" spans="6:20" x14ac:dyDescent="0.35">
      <c r="F381" s="1">
        <f t="shared" si="61"/>
        <v>7.5599999999999268</v>
      </c>
      <c r="G381">
        <f>1/2*$B$8*$B$6*$B$7*(Tabelle2[[#This Row],[vx]]*Tabelle2[[#This Row],[vx]]+Tabelle2[[#This Row],[vy]]*Tabelle2[[#This Row],[vy]])/1000000</f>
        <v>2.9558347685643631</v>
      </c>
      <c r="H381">
        <f>IF($B$3,-Tabelle2[[#This Row],[Fd]]*Tabelle2[[#This Row],[vx]]/Tabelle2[[#This Row],[v]],0)</f>
        <v>-2.733428296276756</v>
      </c>
      <c r="I381">
        <f t="shared" si="55"/>
        <v>-1.8222855308511707</v>
      </c>
      <c r="J381">
        <f t="shared" si="56"/>
        <v>-3.6445710617023418E-2</v>
      </c>
      <c r="K381">
        <f t="shared" si="57"/>
        <v>0.75567364185554287</v>
      </c>
      <c r="L381">
        <f>-$B$5*$B$12-IF($B$3,Tabelle2[[#This Row],[Fd]]*Tabelle2[[#This Row],[vy]]/Tabelle2[[#This Row],[v]],0)</f>
        <v>-13.590131595177688</v>
      </c>
      <c r="M381">
        <f t="shared" si="58"/>
        <v>-9.0600877301184592</v>
      </c>
      <c r="N381">
        <f t="shared" si="59"/>
        <v>-0.18120175460236917</v>
      </c>
      <c r="O381">
        <f t="shared" si="60"/>
        <v>-0.31293902662921702</v>
      </c>
      <c r="P381" s="1">
        <f t="shared" si="62"/>
        <v>37.801904948085649</v>
      </c>
      <c r="Q381" s="1">
        <f t="shared" si="63"/>
        <v>-15.556350454159665</v>
      </c>
      <c r="R381">
        <f>SQRT(Tabelle2[[#This Row],[vx]]*Tabelle2[[#This Row],[vx]]+Tabelle2[[#This Row],[vy]]*Tabelle2[[#This Row],[vy]])</f>
        <v>40.877671865662016</v>
      </c>
      <c r="S381">
        <f t="shared" si="64"/>
        <v>357.01769561616885</v>
      </c>
      <c r="T381" s="1">
        <f t="shared" si="65"/>
        <v>187.01254673829828</v>
      </c>
    </row>
    <row r="382" spans="6:20" x14ac:dyDescent="0.35">
      <c r="F382" s="1">
        <f t="shared" si="61"/>
        <v>7.5799999999999264</v>
      </c>
      <c r="G382">
        <f>1/2*$B$8*$B$6*$B$7*(Tabelle2[[#This Row],[vx]]*Tabelle2[[#This Row],[vx]]+Tabelle2[[#This Row],[vy]]*Tabelle2[[#This Row],[vy]])/1000000</f>
        <v>2.960993649444196</v>
      </c>
      <c r="H382">
        <f>IF($B$3,-Tabelle2[[#This Row],[Fd]]*Tabelle2[[#This Row],[vx]]/Tabelle2[[#This Row],[v]],0)</f>
        <v>-2.7331749498197859</v>
      </c>
      <c r="I382">
        <f t="shared" si="55"/>
        <v>-1.8221166332131906</v>
      </c>
      <c r="J382">
        <f t="shared" si="56"/>
        <v>-3.6442332664263812E-2</v>
      </c>
      <c r="K382">
        <f t="shared" si="57"/>
        <v>0.75494476142272993</v>
      </c>
      <c r="L382">
        <f>-$B$5*$B$12-IF($B$3,Tabelle2[[#This Row],[Fd]]*Tabelle2[[#This Row],[vy]]/Tabelle2[[#This Row],[v]],0)</f>
        <v>-13.576036398418953</v>
      </c>
      <c r="M382">
        <f t="shared" si="58"/>
        <v>-9.0506909322793021</v>
      </c>
      <c r="N382">
        <f t="shared" si="59"/>
        <v>-0.18101381864558605</v>
      </c>
      <c r="O382">
        <f t="shared" si="60"/>
        <v>-0.31656118236169656</v>
      </c>
      <c r="P382" s="1">
        <f t="shared" si="62"/>
        <v>37.765459237468626</v>
      </c>
      <c r="Q382" s="1">
        <f t="shared" si="63"/>
        <v>-15.737552208762034</v>
      </c>
      <c r="R382">
        <f>SQRT(Tabelle2[[#This Row],[vx]]*Tabelle2[[#This Row],[vx]]+Tabelle2[[#This Row],[vy]]*Tabelle2[[#This Row],[vy]])</f>
        <v>40.913328646547633</v>
      </c>
      <c r="S382">
        <f t="shared" si="64"/>
        <v>357.77336925802439</v>
      </c>
      <c r="T382" s="1">
        <f t="shared" si="65"/>
        <v>186.69960771166907</v>
      </c>
    </row>
    <row r="383" spans="6:20" x14ac:dyDescent="0.35">
      <c r="F383" s="1">
        <f t="shared" si="61"/>
        <v>7.5999999999999259</v>
      </c>
      <c r="G383">
        <f>1/2*$B$8*$B$6*$B$7*(Tabelle2[[#This Row],[vx]]*Tabelle2[[#This Row],[vx]]+Tabelle2[[#This Row],[vy]]*Tabelle2[[#This Row],[vy]])/1000000</f>
        <v>2.9662632579907582</v>
      </c>
      <c r="H383">
        <f>IF($B$3,-Tabelle2[[#This Row],[Fd]]*Tabelle2[[#This Row],[vx]]/Tabelle2[[#This Row],[v]],0)</f>
        <v>-2.7329661882658045</v>
      </c>
      <c r="I383">
        <f t="shared" si="55"/>
        <v>-1.8219774588438697</v>
      </c>
      <c r="J383">
        <f t="shared" si="56"/>
        <v>-3.6439549176877396E-2</v>
      </c>
      <c r="K383">
        <f t="shared" si="57"/>
        <v>0.75421594260431846</v>
      </c>
      <c r="L383">
        <f>-$B$5*$B$12-IF($B$3,Tabelle2[[#This Row],[Fd]]*Tabelle2[[#This Row],[vy]]/Tabelle2[[#This Row],[v]],0)</f>
        <v>-13.561911308917729</v>
      </c>
      <c r="M383">
        <f t="shared" si="58"/>
        <v>-9.0412742059451521</v>
      </c>
      <c r="N383">
        <f t="shared" si="59"/>
        <v>-0.18082548411890303</v>
      </c>
      <c r="O383">
        <f t="shared" si="60"/>
        <v>-0.32017957538934144</v>
      </c>
      <c r="P383" s="1">
        <f t="shared" si="62"/>
        <v>37.729016904804361</v>
      </c>
      <c r="Q383" s="1">
        <f t="shared" si="63"/>
        <v>-15.91856602740762</v>
      </c>
      <c r="R383">
        <f>SQRT(Tabelle2[[#This Row],[vx]]*Tabelle2[[#This Row],[vx]]+Tabelle2[[#This Row],[vy]]*Tabelle2[[#This Row],[vy]])</f>
        <v>40.949718692219967</v>
      </c>
      <c r="S383">
        <f t="shared" si="64"/>
        <v>358.52831401944712</v>
      </c>
      <c r="T383" s="1">
        <f t="shared" si="65"/>
        <v>186.38304652930736</v>
      </c>
    </row>
    <row r="384" spans="6:20" x14ac:dyDescent="0.35">
      <c r="F384" s="1">
        <f t="shared" si="61"/>
        <v>7.6199999999999255</v>
      </c>
      <c r="G384">
        <f>1/2*$B$8*$B$6*$B$7*(Tabelle2[[#This Row],[vx]]*Tabelle2[[#This Row],[vx]]+Tabelle2[[#This Row],[vy]]*Tabelle2[[#This Row],[vy]])/1000000</f>
        <v>2.9716431298629828</v>
      </c>
      <c r="H384">
        <f>IF($B$3,-Tabelle2[[#This Row],[Fd]]*Tabelle2[[#This Row],[vx]]/Tabelle2[[#This Row],[v]],0)</f>
        <v>-2.7328014836284806</v>
      </c>
      <c r="I384">
        <f t="shared" si="55"/>
        <v>-1.8218676557523203</v>
      </c>
      <c r="J384">
        <f t="shared" si="56"/>
        <v>-3.6437353115046409E-2</v>
      </c>
      <c r="K384">
        <f t="shared" si="57"/>
        <v>0.75348717358139927</v>
      </c>
      <c r="L384">
        <f>-$B$5*$B$12-IF($B$3,Tabelle2[[#This Row],[Fd]]*Tabelle2[[#This Row],[vy]]/Tabelle2[[#This Row],[v]],0)</f>
        <v>-13.547755834308932</v>
      </c>
      <c r="M384">
        <f t="shared" si="58"/>
        <v>-9.0318372228726211</v>
      </c>
      <c r="N384">
        <f t="shared" si="59"/>
        <v>-0.18063674445745243</v>
      </c>
      <c r="O384">
        <f t="shared" si="60"/>
        <v>-0.32379419767510498</v>
      </c>
      <c r="P384" s="1">
        <f t="shared" si="62"/>
        <v>37.692577355627485</v>
      </c>
      <c r="Q384" s="1">
        <f t="shared" si="63"/>
        <v>-16.099391511526523</v>
      </c>
      <c r="R384">
        <f>SQRT(Tabelle2[[#This Row],[vx]]*Tabelle2[[#This Row],[vx]]+Tabelle2[[#This Row],[vy]]*Tabelle2[[#This Row],[vy]])</f>
        <v>40.986836847351057</v>
      </c>
      <c r="S384">
        <f t="shared" si="64"/>
        <v>359.28252996205146</v>
      </c>
      <c r="T384" s="1">
        <f t="shared" si="65"/>
        <v>186.06286695391802</v>
      </c>
    </row>
    <row r="385" spans="6:20" x14ac:dyDescent="0.35">
      <c r="F385" s="1">
        <f t="shared" si="61"/>
        <v>7.6399999999999251</v>
      </c>
      <c r="G385">
        <f>1/2*$B$8*$B$6*$B$7*(Tabelle2[[#This Row],[vx]]*Tabelle2[[#This Row],[vx]]+Tabelle2[[#This Row],[vy]]*Tabelle2[[#This Row],[vy]])/1000000</f>
        <v>2.9771328009422056</v>
      </c>
      <c r="H385">
        <f>IF($B$3,-Tabelle2[[#This Row],[Fd]]*Tabelle2[[#This Row],[vx]]/Tabelle2[[#This Row],[v]],0)</f>
        <v>-2.7326803083788538</v>
      </c>
      <c r="I385">
        <f t="shared" si="55"/>
        <v>-1.8217868722525692</v>
      </c>
      <c r="J385">
        <f t="shared" si="56"/>
        <v>-3.6435737445051387E-2</v>
      </c>
      <c r="K385">
        <f t="shared" si="57"/>
        <v>0.75275844267579828</v>
      </c>
      <c r="L385">
        <f>-$B$5*$B$12-IF($B$3,Tabelle2[[#This Row],[Fd]]*Tabelle2[[#This Row],[vy]]/Tabelle2[[#This Row],[v]],0)</f>
        <v>-13.533569491402718</v>
      </c>
      <c r="M385">
        <f t="shared" si="58"/>
        <v>-9.0223796609351457</v>
      </c>
      <c r="N385">
        <f t="shared" si="59"/>
        <v>-0.18044759321870291</v>
      </c>
      <c r="O385">
        <f t="shared" si="60"/>
        <v>-0.32740504105186652</v>
      </c>
      <c r="P385" s="1">
        <f t="shared" si="62"/>
        <v>37.656140002512437</v>
      </c>
      <c r="Q385" s="1">
        <f t="shared" si="63"/>
        <v>-16.280028255983975</v>
      </c>
      <c r="R385">
        <f>SQRT(Tabelle2[[#This Row],[vx]]*Tabelle2[[#This Row],[vx]]+Tabelle2[[#This Row],[vy]]*Tabelle2[[#This Row],[vy]])</f>
        <v>41.024677937851678</v>
      </c>
      <c r="S385">
        <f t="shared" si="64"/>
        <v>360.03601713563285</v>
      </c>
      <c r="T385" s="1">
        <f t="shared" si="65"/>
        <v>185.7390727562429</v>
      </c>
    </row>
    <row r="386" spans="6:20" x14ac:dyDescent="0.35">
      <c r="F386" s="1">
        <f t="shared" si="61"/>
        <v>7.6599999999999246</v>
      </c>
      <c r="G386">
        <f>1/2*$B$8*$B$6*$B$7*(Tabelle2[[#This Row],[vx]]*Tabelle2[[#This Row],[vx]]+Tabelle2[[#This Row],[vy]]*Tabelle2[[#This Row],[vy]])/1000000</f>
        <v>2.9827318073155942</v>
      </c>
      <c r="H386">
        <f>IF($B$3,-Tabelle2[[#This Row],[Fd]]*Tabelle2[[#This Row],[vx]]/Tabelle2[[#This Row],[v]],0)</f>
        <v>-2.7326021355043686</v>
      </c>
      <c r="I386">
        <f t="shared" si="55"/>
        <v>-1.8217347570029123</v>
      </c>
      <c r="J386">
        <f t="shared" si="56"/>
        <v>-3.6434695140058246E-2</v>
      </c>
      <c r="K386">
        <f t="shared" si="57"/>
        <v>0.75202973834994713</v>
      </c>
      <c r="L386">
        <f>-$B$5*$B$12-IF($B$3,Tabelle2[[#This Row],[Fd]]*Tabelle2[[#This Row],[vy]]/Tabelle2[[#This Row],[v]],0)</f>
        <v>-13.519351806169926</v>
      </c>
      <c r="M386">
        <f t="shared" si="58"/>
        <v>-9.0129012041132839</v>
      </c>
      <c r="N386">
        <f t="shared" si="59"/>
        <v>-0.18025802408226568</v>
      </c>
      <c r="O386">
        <f t="shared" si="60"/>
        <v>-0.33101209722487618</v>
      </c>
      <c r="P386" s="1">
        <f t="shared" si="62"/>
        <v>37.619704265067384</v>
      </c>
      <c r="Q386" s="1">
        <f t="shared" si="63"/>
        <v>-16.460475849202677</v>
      </c>
      <c r="R386">
        <f>SQRT(Tabelle2[[#This Row],[vx]]*Tabelle2[[#This Row],[vx]]+Tabelle2[[#This Row],[vy]]*Tabelle2[[#This Row],[vy]])</f>
        <v>41.063236771756237</v>
      </c>
      <c r="S386">
        <f t="shared" si="64"/>
        <v>360.78877557830867</v>
      </c>
      <c r="T386" s="1">
        <f t="shared" si="65"/>
        <v>185.41166771519104</v>
      </c>
    </row>
    <row r="387" spans="6:20" x14ac:dyDescent="0.35">
      <c r="F387" s="1">
        <f t="shared" si="61"/>
        <v>7.6799999999999242</v>
      </c>
      <c r="G387">
        <f>1/2*$B$8*$B$6*$B$7*(Tabelle2[[#This Row],[vx]]*Tabelle2[[#This Row],[vx]]+Tabelle2[[#This Row],[vy]]*Tabelle2[[#This Row],[vy]])/1000000</f>
        <v>2.9884396852600164</v>
      </c>
      <c r="H387">
        <f>IF($B$3,-Tabelle2[[#This Row],[Fd]]*Tabelle2[[#This Row],[vx]]/Tabelle2[[#This Row],[v]],0)</f>
        <v>-2.7325664385675053</v>
      </c>
      <c r="I387">
        <f t="shared" ref="I387:I450" si="66">H387/$B$5</f>
        <v>-1.8217109590450036</v>
      </c>
      <c r="J387">
        <f t="shared" ref="J387:J450" si="67">I387*$B$13</f>
        <v>-3.643421918090007E-2</v>
      </c>
      <c r="K387">
        <f t="shared" ref="K387:K450" si="68">$B$13*(P387+J387/2)</f>
        <v>0.75130104920673746</v>
      </c>
      <c r="L387">
        <f>-$B$5*$B$12-IF($B$3,Tabelle2[[#This Row],[Fd]]*Tabelle2[[#This Row],[vy]]/Tabelle2[[#This Row],[v]],0)</f>
        <v>-13.505102313725873</v>
      </c>
      <c r="M387">
        <f t="shared" ref="M387:M450" si="69">L387/$B$5</f>
        <v>-9.0034015424839158</v>
      </c>
      <c r="N387">
        <f t="shared" ref="N387:N450" si="70">M387*$B$13</f>
        <v>-0.18006803084967832</v>
      </c>
      <c r="O387">
        <f t="shared" ref="O387:O450" si="71">$B$13*(Q387+N387/2)</f>
        <v>-0.33461535777419565</v>
      </c>
      <c r="P387" s="1">
        <f t="shared" si="62"/>
        <v>37.583269569927324</v>
      </c>
      <c r="Q387" s="1">
        <f t="shared" si="63"/>
        <v>-16.640733873284944</v>
      </c>
      <c r="R387">
        <f>SQRT(Tabelle2[[#This Row],[vx]]*Tabelle2[[#This Row],[vx]]+Tabelle2[[#This Row],[vy]]*Tabelle2[[#This Row],[vy]])</f>
        <v>41.102508140104028</v>
      </c>
      <c r="S387">
        <f t="shared" si="64"/>
        <v>361.54080531665863</v>
      </c>
      <c r="T387" s="1">
        <f t="shared" si="65"/>
        <v>185.08065561796616</v>
      </c>
    </row>
    <row r="388" spans="6:20" x14ac:dyDescent="0.35">
      <c r="F388" s="1">
        <f t="shared" ref="F388:F451" si="72">F387+$B$13</f>
        <v>7.6999999999999238</v>
      </c>
      <c r="G388">
        <f>1/2*$B$8*$B$6*$B$7*(Tabelle2[[#This Row],[vx]]*Tabelle2[[#This Row],[vx]]+Tabelle2[[#This Row],[vy]]*Tabelle2[[#This Row],[vy]])/1000000</f>
        <v>2.994255971226345</v>
      </c>
      <c r="H388">
        <f>IF($B$3,-Tabelle2[[#This Row],[Fd]]*Tabelle2[[#This Row],[vx]]/Tabelle2[[#This Row],[v]],0)</f>
        <v>-2.7325726917639832</v>
      </c>
      <c r="I388">
        <f t="shared" si="66"/>
        <v>-1.8217151278426555</v>
      </c>
      <c r="J388">
        <f t="shared" si="67"/>
        <v>-3.6434302556853114E-2</v>
      </c>
      <c r="K388">
        <f t="shared" si="68"/>
        <v>0.75057236398936</v>
      </c>
      <c r="L388">
        <f>-$B$5*$B$12-IF($B$3,Tabelle2[[#This Row],[Fd]]*Tabelle2[[#This Row],[vy]]/Tabelle2[[#This Row],[v]],0)</f>
        <v>-13.490820558312484</v>
      </c>
      <c r="M388">
        <f t="shared" si="69"/>
        <v>-8.9938803722083218</v>
      </c>
      <c r="N388">
        <f t="shared" si="70"/>
        <v>-0.17987760744416645</v>
      </c>
      <c r="O388">
        <f t="shared" si="71"/>
        <v>-0.33821481415713417</v>
      </c>
      <c r="P388" s="1">
        <f t="shared" ref="P388:P451" si="73">P387+J387</f>
        <v>37.546835350746427</v>
      </c>
      <c r="Q388" s="1">
        <f t="shared" ref="Q388:Q451" si="74">Q387+N387</f>
        <v>-16.820801904134623</v>
      </c>
      <c r="R388">
        <f>SQRT(Tabelle2[[#This Row],[vx]]*Tabelle2[[#This Row],[vx]]+Tabelle2[[#This Row],[vy]]*Tabelle2[[#This Row],[vy]])</f>
        <v>41.142486817816454</v>
      </c>
      <c r="S388">
        <f t="shared" ref="S388:S451" si="75">S387+K387</f>
        <v>362.29210636586538</v>
      </c>
      <c r="T388" s="1">
        <f t="shared" ref="T388:T451" si="76">T387+O387</f>
        <v>184.74604026019196</v>
      </c>
    </row>
    <row r="389" spans="6:20" x14ac:dyDescent="0.35">
      <c r="F389" s="1">
        <f t="shared" si="72"/>
        <v>7.7199999999999234</v>
      </c>
      <c r="G389">
        <f>1/2*$B$8*$B$6*$B$7*(Tabelle2[[#This Row],[vx]]*Tabelle2[[#This Row],[vx]]+Tabelle2[[#This Row],[vy]]*Tabelle2[[#This Row],[vy]])/1000000</f>
        <v>3.0001802018241981</v>
      </c>
      <c r="H389">
        <f>IF($B$3,-Tabelle2[[#This Row],[Fd]]*Tabelle2[[#This Row],[vx]]/Tabelle2[[#This Row],[v]],0)</f>
        <v>-2.7326203699805065</v>
      </c>
      <c r="I389">
        <f t="shared" si="66"/>
        <v>-1.8217469133203377</v>
      </c>
      <c r="J389">
        <f t="shared" si="67"/>
        <v>-3.6434938266406751E-2</v>
      </c>
      <c r="K389">
        <f t="shared" si="68"/>
        <v>0.7498436715811273</v>
      </c>
      <c r="L389">
        <f>-$B$5*$B$12-IF($B$3,Tabelle2[[#This Row],[Fd]]*Tabelle2[[#This Row],[vy]]/Tabelle2[[#This Row],[v]],0)</f>
        <v>-13.476506093278822</v>
      </c>
      <c r="M389">
        <f t="shared" si="69"/>
        <v>-8.9843373955192138</v>
      </c>
      <c r="N389">
        <f t="shared" si="70"/>
        <v>-0.17968674791038428</v>
      </c>
      <c r="O389">
        <f t="shared" si="71"/>
        <v>-0.34181045771067958</v>
      </c>
      <c r="P389" s="1">
        <f t="shared" si="73"/>
        <v>37.510401048189571</v>
      </c>
      <c r="Q389" s="1">
        <f t="shared" si="74"/>
        <v>-17.000679511578788</v>
      </c>
      <c r="R389">
        <f>SQRT(Tabelle2[[#This Row],[vx]]*Tabelle2[[#This Row],[vx]]+Tabelle2[[#This Row],[vy]]*Tabelle2[[#This Row],[vy]])</f>
        <v>41.183167564569828</v>
      </c>
      <c r="S389">
        <f t="shared" si="75"/>
        <v>363.04267872985474</v>
      </c>
      <c r="T389" s="1">
        <f t="shared" si="76"/>
        <v>184.40782544603482</v>
      </c>
    </row>
    <row r="390" spans="6:20" x14ac:dyDescent="0.35">
      <c r="F390" s="1">
        <f t="shared" si="72"/>
        <v>7.7399999999999229</v>
      </c>
      <c r="G390">
        <f>1/2*$B$8*$B$6*$B$7*(Tabelle2[[#This Row],[vx]]*Tabelle2[[#This Row],[vx]]+Tabelle2[[#This Row],[vy]]*Tabelle2[[#This Row],[vy]])/1000000</f>
        <v>3.0062119138071215</v>
      </c>
      <c r="H390">
        <f>IF($B$3,-Tabelle2[[#This Row],[Fd]]*Tabelle2[[#This Row],[vx]]/Tabelle2[[#This Row],[v]],0)</f>
        <v>-2.7327089488520406</v>
      </c>
      <c r="I390">
        <f t="shared" si="66"/>
        <v>-1.8218059659013603</v>
      </c>
      <c r="J390">
        <f t="shared" si="67"/>
        <v>-3.6436119318027205E-2</v>
      </c>
      <c r="K390">
        <f t="shared" si="68"/>
        <v>0.74911496100528296</v>
      </c>
      <c r="L390">
        <f>-$B$5*$B$12-IF($B$3,Tabelle2[[#This Row],[Fd]]*Tabelle2[[#This Row],[vy]]/Tabelle2[[#This Row],[v]],0)</f>
        <v>-13.462158481060014</v>
      </c>
      <c r="M390">
        <f t="shared" si="69"/>
        <v>-8.9747723207066752</v>
      </c>
      <c r="N390">
        <f t="shared" si="70"/>
        <v>-0.17949544641413351</v>
      </c>
      <c r="O390">
        <f t="shared" si="71"/>
        <v>-0.34540227965392484</v>
      </c>
      <c r="P390" s="1">
        <f t="shared" si="73"/>
        <v>37.473966109923161</v>
      </c>
      <c r="Q390" s="1">
        <f t="shared" si="74"/>
        <v>-17.180366259489173</v>
      </c>
      <c r="R390">
        <f>SQRT(Tabelle2[[#This Row],[vx]]*Tabelle2[[#This Row],[vx]]+Tabelle2[[#This Row],[vy]]*Tabelle2[[#This Row],[vy]])</f>
        <v>41.224545125663468</v>
      </c>
      <c r="S390">
        <f t="shared" si="75"/>
        <v>363.79252240143586</v>
      </c>
      <c r="T390" s="1">
        <f t="shared" si="76"/>
        <v>184.06601498832413</v>
      </c>
    </row>
    <row r="391" spans="6:20" x14ac:dyDescent="0.35">
      <c r="F391" s="1">
        <f t="shared" si="72"/>
        <v>7.7599999999999225</v>
      </c>
      <c r="G391">
        <f>1/2*$B$8*$B$6*$B$7*(Tabelle2[[#This Row],[vx]]*Tabelle2[[#This Row],[vx]]+Tabelle2[[#This Row],[vy]]*Tabelle2[[#This Row],[vy]])/1000000</f>
        <v>3.0123506440581886</v>
      </c>
      <c r="H391">
        <f>IF($B$3,-Tabelle2[[#This Row],[Fd]]*Tabelle2[[#This Row],[vx]]/Tabelle2[[#This Row],[v]],0)</f>
        <v>-2.7328379048185729</v>
      </c>
      <c r="I391">
        <f t="shared" si="66"/>
        <v>-1.8218919365457154</v>
      </c>
      <c r="J391">
        <f t="shared" si="67"/>
        <v>-3.6437838730914308E-2</v>
      </c>
      <c r="K391">
        <f t="shared" si="68"/>
        <v>0.7483862214247935</v>
      </c>
      <c r="L391">
        <f>-$B$5*$B$12-IF($B$3,Tabelle2[[#This Row],[Fd]]*Tabelle2[[#This Row],[vy]]/Tabelle2[[#This Row],[v]],0)</f>
        <v>-13.447777293154587</v>
      </c>
      <c r="M391">
        <f t="shared" si="69"/>
        <v>-8.9651848621030581</v>
      </c>
      <c r="N391">
        <f t="shared" si="70"/>
        <v>-0.17930369724206116</v>
      </c>
      <c r="O391">
        <f t="shared" si="71"/>
        <v>-0.34899027109048675</v>
      </c>
      <c r="P391" s="1">
        <f t="shared" si="73"/>
        <v>37.437529990605135</v>
      </c>
      <c r="Q391" s="1">
        <f t="shared" si="74"/>
        <v>-17.359861705903306</v>
      </c>
      <c r="R391">
        <f>SQRT(Tabelle2[[#This Row],[vx]]*Tabelle2[[#This Row],[vx]]+Tabelle2[[#This Row],[vy]]*Tabelle2[[#This Row],[vy]])</f>
        <v>41.266614232882581</v>
      </c>
      <c r="S391">
        <f t="shared" si="75"/>
        <v>364.54163736244112</v>
      </c>
      <c r="T391" s="1">
        <f t="shared" si="76"/>
        <v>183.72061270867022</v>
      </c>
    </row>
    <row r="392" spans="6:20" x14ac:dyDescent="0.35">
      <c r="F392" s="1">
        <f t="shared" si="72"/>
        <v>7.7799999999999221</v>
      </c>
      <c r="G392">
        <f>1/2*$B$8*$B$6*$B$7*(Tabelle2[[#This Row],[vx]]*Tabelle2[[#This Row],[vx]]+Tabelle2[[#This Row],[vy]]*Tabelle2[[#This Row],[vy]])/1000000</f>
        <v>3.0185959295760343</v>
      </c>
      <c r="H392">
        <f>IF($B$3,-Tabelle2[[#This Row],[Fd]]*Tabelle2[[#This Row],[vx]]/Tabelle2[[#This Row],[v]],0)</f>
        <v>-2.73300671518136</v>
      </c>
      <c r="I392">
        <f t="shared" si="66"/>
        <v>-1.8220044767875734</v>
      </c>
      <c r="J392">
        <f t="shared" si="67"/>
        <v>-3.6440089535751466E-2</v>
      </c>
      <c r="K392">
        <f t="shared" si="68"/>
        <v>0.74765744214212704</v>
      </c>
      <c r="L392">
        <f>-$B$5*$B$12-IF($B$3,Tabelle2[[#This Row],[Fd]]*Tabelle2[[#This Row],[vy]]/Tabelle2[[#This Row],[v]],0)</f>
        <v>-13.433362110100285</v>
      </c>
      <c r="M392">
        <f t="shared" si="69"/>
        <v>-8.9555747400668562</v>
      </c>
      <c r="N392">
        <f t="shared" si="70"/>
        <v>-0.17911149480133712</v>
      </c>
      <c r="O392">
        <f t="shared" si="71"/>
        <v>-0.35257442301092079</v>
      </c>
      <c r="P392" s="1">
        <f t="shared" si="73"/>
        <v>37.401092151874224</v>
      </c>
      <c r="Q392" s="1">
        <f t="shared" si="74"/>
        <v>-17.539165403145368</v>
      </c>
      <c r="R392">
        <f>SQRT(Tabelle2[[#This Row],[vx]]*Tabelle2[[#This Row],[vx]]+Tabelle2[[#This Row],[vy]]*Tabelle2[[#This Row],[vy]])</f>
        <v>41.309369605355627</v>
      </c>
      <c r="S392">
        <f t="shared" si="75"/>
        <v>365.29002358386589</v>
      </c>
      <c r="T392" s="1">
        <f t="shared" si="76"/>
        <v>183.37162243757973</v>
      </c>
    </row>
    <row r="393" spans="6:20" x14ac:dyDescent="0.35">
      <c r="F393" s="1">
        <f t="shared" si="72"/>
        <v>7.7999999999999217</v>
      </c>
      <c r="G393">
        <f>1/2*$B$8*$B$6*$B$7*(Tabelle2[[#This Row],[vx]]*Tabelle2[[#This Row],[vx]]+Tabelle2[[#This Row],[vy]]*Tabelle2[[#This Row],[vy]])/1000000</f>
        <v>3.0249473074613151</v>
      </c>
      <c r="H393">
        <f>IF($B$3,-Tabelle2[[#This Row],[Fd]]*Tabelle2[[#This Row],[vx]]/Tabelle2[[#This Row],[v]],0)</f>
        <v>-2.7332148581586195</v>
      </c>
      <c r="I393">
        <f t="shared" si="66"/>
        <v>-1.822143238772413</v>
      </c>
      <c r="J393">
        <f t="shared" si="67"/>
        <v>-3.644286477544826E-2</v>
      </c>
      <c r="K393">
        <f t="shared" si="68"/>
        <v>0.74692861259901489</v>
      </c>
      <c r="L393">
        <f>-$B$5*$B$12-IF($B$3,Tabelle2[[#This Row],[Fd]]*Tabelle2[[#This Row],[vy]]/Tabelle2[[#This Row],[v]],0)</f>
        <v>-13.418912521448334</v>
      </c>
      <c r="M393">
        <f t="shared" si="69"/>
        <v>-8.9459416809655554</v>
      </c>
      <c r="N393">
        <f t="shared" si="70"/>
        <v>-0.1789188336193111</v>
      </c>
      <c r="O393">
        <f t="shared" si="71"/>
        <v>-0.35615472629512723</v>
      </c>
      <c r="P393" s="1">
        <f t="shared" si="73"/>
        <v>37.364652062338472</v>
      </c>
      <c r="Q393" s="1">
        <f t="shared" si="74"/>
        <v>-17.718276897946705</v>
      </c>
      <c r="R393">
        <f>SQRT(Tabelle2[[#This Row],[vx]]*Tabelle2[[#This Row],[vx]]+Tabelle2[[#This Row],[vy]]*Tabelle2[[#This Row],[vy]])</f>
        <v>41.352805950405916</v>
      </c>
      <c r="S393">
        <f t="shared" si="75"/>
        <v>366.03768102600799</v>
      </c>
      <c r="T393" s="1">
        <f t="shared" si="76"/>
        <v>183.01904801456882</v>
      </c>
    </row>
    <row r="394" spans="6:20" x14ac:dyDescent="0.35">
      <c r="F394" s="1">
        <f t="shared" si="72"/>
        <v>7.8199999999999212</v>
      </c>
      <c r="G394">
        <f>1/2*$B$8*$B$6*$B$7*(Tabelle2[[#This Row],[vx]]*Tabelle2[[#This Row],[vx]]+Tabelle2[[#This Row],[vy]]*Tabelle2[[#This Row],[vy]])/1000000</f>
        <v>3.0314043149035879</v>
      </c>
      <c r="H394">
        <f>IF($B$3,-Tabelle2[[#This Row],[Fd]]*Tabelle2[[#This Row],[vx]]/Tabelle2[[#This Row],[v]],0)</f>
        <v>-2.7334618129406598</v>
      </c>
      <c r="I394">
        <f t="shared" si="66"/>
        <v>-1.8223078752937731</v>
      </c>
      <c r="J394">
        <f t="shared" si="67"/>
        <v>-3.6446157505875466E-2</v>
      </c>
      <c r="K394">
        <f t="shared" si="68"/>
        <v>0.7461997223762018</v>
      </c>
      <c r="L394">
        <f>-$B$5*$B$12-IF($B$3,Tabelle2[[#This Row],[Fd]]*Tabelle2[[#This Row],[vy]]/Tabelle2[[#This Row],[v]],0)</f>
        <v>-13.40442812573623</v>
      </c>
      <c r="M394">
        <f t="shared" si="69"/>
        <v>-8.936285417157487</v>
      </c>
      <c r="N394">
        <f t="shared" si="70"/>
        <v>-0.17872570834314974</v>
      </c>
      <c r="O394">
        <f t="shared" si="71"/>
        <v>-0.35973117171475183</v>
      </c>
      <c r="P394" s="1">
        <f t="shared" si="73"/>
        <v>37.328209197563027</v>
      </c>
      <c r="Q394" s="1">
        <f t="shared" si="74"/>
        <v>-17.897195731566015</v>
      </c>
      <c r="R394">
        <f>SQRT(Tabelle2[[#This Row],[vx]]*Tabelle2[[#This Row],[vx]]+Tabelle2[[#This Row],[vy]]*Tabelle2[[#This Row],[vy]])</f>
        <v>41.396917964396984</v>
      </c>
      <c r="S394">
        <f t="shared" si="75"/>
        <v>366.78460963860698</v>
      </c>
      <c r="T394" s="1">
        <f t="shared" si="76"/>
        <v>182.66289328827369</v>
      </c>
    </row>
    <row r="395" spans="6:20" x14ac:dyDescent="0.35">
      <c r="F395" s="1">
        <f t="shared" si="72"/>
        <v>7.8399999999999208</v>
      </c>
      <c r="G395">
        <f>1/2*$B$8*$B$6*$B$7*(Tabelle2[[#This Row],[vx]]*Tabelle2[[#This Row],[vx]]+Tabelle2[[#This Row],[vy]]*Tabelle2[[#This Row],[vy]])/1000000</f>
        <v>3.0379664891686078</v>
      </c>
      <c r="H395">
        <f>IF($B$3,-Tabelle2[[#This Row],[Fd]]*Tabelle2[[#This Row],[vx]]/Tabelle2[[#This Row],[v]],0)</f>
        <v>-2.7337470597444109</v>
      </c>
      <c r="I395">
        <f t="shared" si="66"/>
        <v>-1.8224980398296073</v>
      </c>
      <c r="J395">
        <f t="shared" si="67"/>
        <v>-3.644996079659215E-2</v>
      </c>
      <c r="K395">
        <f t="shared" si="68"/>
        <v>0.74547076119317712</v>
      </c>
      <c r="L395">
        <f>-$B$5*$B$12-IF($B$3,Tabelle2[[#This Row],[Fd]]*Tabelle2[[#This Row],[vy]]/Tabelle2[[#This Row],[v]],0)</f>
        <v>-13.389908530459039</v>
      </c>
      <c r="M395">
        <f t="shared" si="69"/>
        <v>-8.9266056869726924</v>
      </c>
      <c r="N395">
        <f t="shared" si="70"/>
        <v>-0.17853211373945385</v>
      </c>
      <c r="O395">
        <f t="shared" si="71"/>
        <v>-0.36330374993557785</v>
      </c>
      <c r="P395" s="1">
        <f t="shared" si="73"/>
        <v>37.291763040057148</v>
      </c>
      <c r="Q395" s="1">
        <f t="shared" si="74"/>
        <v>-18.075921439909166</v>
      </c>
      <c r="R395">
        <f>SQRT(Tabelle2[[#This Row],[vx]]*Tabelle2[[#This Row],[vx]]+Tabelle2[[#This Row],[vy]]*Tabelle2[[#This Row],[vy]])</f>
        <v>41.441700333571504</v>
      </c>
      <c r="S395">
        <f t="shared" si="75"/>
        <v>367.5308093609832</v>
      </c>
      <c r="T395" s="1">
        <f t="shared" si="76"/>
        <v>182.30316211655895</v>
      </c>
    </row>
    <row r="396" spans="6:20" x14ac:dyDescent="0.35">
      <c r="F396" s="1">
        <f t="shared" si="72"/>
        <v>7.8599999999999204</v>
      </c>
      <c r="G396">
        <f>1/2*$B$8*$B$6*$B$7*(Tabelle2[[#This Row],[vx]]*Tabelle2[[#This Row],[vx]]+Tabelle2[[#This Row],[vy]]*Tabelle2[[#This Row],[vy]])/1000000</f>
        <v>3.0446333675860409</v>
      </c>
      <c r="H396">
        <f>IF($B$3,-Tabelle2[[#This Row],[Fd]]*Tabelle2[[#This Row],[vx]]/Tabelle2[[#This Row],[v]],0)</f>
        <v>-2.7340700798673558</v>
      </c>
      <c r="I396">
        <f t="shared" si="66"/>
        <v>-1.8227133865782372</v>
      </c>
      <c r="J396">
        <f t="shared" si="67"/>
        <v>-3.6454267731564745E-2</v>
      </c>
      <c r="K396">
        <f t="shared" si="68"/>
        <v>0.74474171890789531</v>
      </c>
      <c r="L396">
        <f>-$B$5*$B$12-IF($B$3,Tabelle2[[#This Row],[Fd]]*Tabelle2[[#This Row],[vy]]/Tabelle2[[#This Row],[v]],0)</f>
        <v>-13.375353352039268</v>
      </c>
      <c r="M396">
        <f t="shared" si="69"/>
        <v>-8.916902234692845</v>
      </c>
      <c r="N396">
        <f t="shared" si="70"/>
        <v>-0.17833804469385692</v>
      </c>
      <c r="O396">
        <f t="shared" si="71"/>
        <v>-0.36687245151991099</v>
      </c>
      <c r="P396" s="1">
        <f t="shared" si="73"/>
        <v>37.255313079260553</v>
      </c>
      <c r="Q396" s="1">
        <f t="shared" si="74"/>
        <v>-18.25445355364862</v>
      </c>
      <c r="R396">
        <f>SQRT(Tabelle2[[#This Row],[vx]]*Tabelle2[[#This Row],[vx]]+Tabelle2[[#This Row],[vy]]*Tabelle2[[#This Row],[vy]])</f>
        <v>41.487147734883358</v>
      </c>
      <c r="S396">
        <f t="shared" si="75"/>
        <v>368.27628012217639</v>
      </c>
      <c r="T396" s="1">
        <f t="shared" si="76"/>
        <v>181.93985836662338</v>
      </c>
    </row>
    <row r="397" spans="6:20" x14ac:dyDescent="0.35">
      <c r="F397" s="1">
        <f t="shared" si="72"/>
        <v>7.87999999999992</v>
      </c>
      <c r="G397">
        <f>1/2*$B$8*$B$6*$B$7*(Tabelle2[[#This Row],[vx]]*Tabelle2[[#This Row],[vx]]+Tabelle2[[#This Row],[vy]]*Tabelle2[[#This Row],[vy]])/1000000</f>
        <v>3.051404487537595</v>
      </c>
      <c r="H397">
        <f>IF($B$3,-Tabelle2[[#This Row],[Fd]]*Tabelle2[[#This Row],[vx]]/Tabelle2[[#This Row],[v]],0)</f>
        <v>-2.7344303557408338</v>
      </c>
      <c r="I397">
        <f t="shared" si="66"/>
        <v>-1.8229535704938893</v>
      </c>
      <c r="J397">
        <f t="shared" si="67"/>
        <v>-3.6459071409877787E-2</v>
      </c>
      <c r="K397">
        <f t="shared" si="68"/>
        <v>0.74401258551648097</v>
      </c>
      <c r="L397">
        <f>-$B$5*$B$12-IF($B$3,Tabelle2[[#This Row],[Fd]]*Tabelle2[[#This Row],[vy]]/Tabelle2[[#This Row],[v]],0)</f>
        <v>-13.360762215795308</v>
      </c>
      <c r="M397">
        <f t="shared" si="69"/>
        <v>-8.907174810530206</v>
      </c>
      <c r="N397">
        <f t="shared" si="70"/>
        <v>-0.17814349621060413</v>
      </c>
      <c r="O397">
        <f t="shared" si="71"/>
        <v>-0.37043726692895557</v>
      </c>
      <c r="P397" s="1">
        <f t="shared" si="73"/>
        <v>37.218858811528989</v>
      </c>
      <c r="Q397" s="1">
        <f t="shared" si="74"/>
        <v>-18.432791598342476</v>
      </c>
      <c r="R397">
        <f>SQRT(Tabelle2[[#This Row],[vx]]*Tabelle2[[#This Row],[vx]]+Tabelle2[[#This Row],[vy]]*Tabelle2[[#This Row],[vy]])</f>
        <v>41.533254836822671</v>
      </c>
      <c r="S397">
        <f t="shared" si="75"/>
        <v>369.02102184108429</v>
      </c>
      <c r="T397" s="1">
        <f t="shared" si="76"/>
        <v>181.57298591510346</v>
      </c>
    </row>
    <row r="398" spans="6:20" x14ac:dyDescent="0.35">
      <c r="F398" s="1">
        <f t="shared" si="72"/>
        <v>7.8999999999999195</v>
      </c>
      <c r="G398">
        <f>1/2*$B$8*$B$6*$B$7*(Tabelle2[[#This Row],[vx]]*Tabelle2[[#This Row],[vx]]+Tabelle2[[#This Row],[vy]]*Tabelle2[[#This Row],[vy]])/1000000</f>
        <v>3.05827938644555</v>
      </c>
      <c r="H398">
        <f>IF($B$3,-Tabelle2[[#This Row],[Fd]]*Tabelle2[[#This Row],[vx]]/Tabelle2[[#This Row],[v]],0)</f>
        <v>-2.7348273709826869</v>
      </c>
      <c r="I398">
        <f t="shared" si="66"/>
        <v>-1.8232182473217913</v>
      </c>
      <c r="J398">
        <f t="shared" si="67"/>
        <v>-3.6464364946435825E-2</v>
      </c>
      <c r="K398">
        <f t="shared" si="68"/>
        <v>0.74328335115291777</v>
      </c>
      <c r="L398">
        <f>-$B$5*$B$12-IF($B$3,Tabelle2[[#This Row],[Fd]]*Tabelle2[[#This Row],[vy]]/Tabelle2[[#This Row],[v]],0)</f>
        <v>-13.346134755908496</v>
      </c>
      <c r="M398">
        <f t="shared" si="69"/>
        <v>-8.8974231706056646</v>
      </c>
      <c r="N398">
        <f t="shared" si="70"/>
        <v>-0.17794846341211329</v>
      </c>
      <c r="O398">
        <f t="shared" si="71"/>
        <v>-0.3739981865251828</v>
      </c>
      <c r="P398" s="1">
        <f t="shared" si="73"/>
        <v>37.182399740119109</v>
      </c>
      <c r="Q398" s="1">
        <f t="shared" si="74"/>
        <v>-18.610935094553081</v>
      </c>
      <c r="R398">
        <f>SQRT(Tabelle2[[#This Row],[vx]]*Tabelle2[[#This Row],[vx]]+Tabelle2[[#This Row],[vy]]*Tabelle2[[#This Row],[vy]])</f>
        <v>41.580016300233424</v>
      </c>
      <c r="S398">
        <f t="shared" si="75"/>
        <v>369.76503442660078</v>
      </c>
      <c r="T398" s="1">
        <f t="shared" si="76"/>
        <v>181.20254864817451</v>
      </c>
    </row>
    <row r="399" spans="6:20" x14ac:dyDescent="0.35">
      <c r="F399" s="1">
        <f t="shared" si="72"/>
        <v>7.9199999999999191</v>
      </c>
      <c r="G399">
        <f>1/2*$B$8*$B$6*$B$7*(Tabelle2[[#This Row],[vx]]*Tabelle2[[#This Row],[vx]]+Tabelle2[[#This Row],[vy]]*Tabelle2[[#This Row],[vy]])/1000000</f>
        <v>3.0652576017617026</v>
      </c>
      <c r="H399">
        <f>IF($B$3,-Tabelle2[[#This Row],[Fd]]*Tabelle2[[#This Row],[vx]]/Tabelle2[[#This Row],[v]],0)</f>
        <v>-2.7352606104492612</v>
      </c>
      <c r="I399">
        <f t="shared" si="66"/>
        <v>-1.8235070736328407</v>
      </c>
      <c r="J399">
        <f t="shared" si="67"/>
        <v>-3.6470141472656814E-2</v>
      </c>
      <c r="K399">
        <f t="shared" si="68"/>
        <v>0.7425540060887269</v>
      </c>
      <c r="L399">
        <f>-$B$5*$B$12-IF($B$3,Tabelle2[[#This Row],[Fd]]*Tabelle2[[#This Row],[vy]]/Tabelle2[[#This Row],[v]],0)</f>
        <v>-13.331470615388803</v>
      </c>
      <c r="M399">
        <f t="shared" si="69"/>
        <v>-8.8876470769258678</v>
      </c>
      <c r="N399">
        <f t="shared" si="70"/>
        <v>-0.17775294153851737</v>
      </c>
      <c r="O399">
        <f t="shared" si="71"/>
        <v>-0.37755520057468905</v>
      </c>
      <c r="P399" s="1">
        <f t="shared" si="73"/>
        <v>37.145935375172677</v>
      </c>
      <c r="Q399" s="1">
        <f t="shared" si="74"/>
        <v>-18.788883557965196</v>
      </c>
      <c r="R399">
        <f>SQRT(Tabelle2[[#This Row],[vx]]*Tabelle2[[#This Row],[vx]]+Tabelle2[[#This Row],[vy]]*Tabelle2[[#This Row],[vy]])</f>
        <v>41.627426779123397</v>
      </c>
      <c r="S399">
        <f t="shared" si="75"/>
        <v>370.50831777775369</v>
      </c>
      <c r="T399" s="1">
        <f t="shared" si="76"/>
        <v>180.82855046164934</v>
      </c>
    </row>
    <row r="400" spans="6:20" x14ac:dyDescent="0.35">
      <c r="F400" s="1">
        <f t="shared" si="72"/>
        <v>7.9399999999999187</v>
      </c>
      <c r="G400">
        <f>1/2*$B$8*$B$6*$B$7*(Tabelle2[[#This Row],[vx]]*Tabelle2[[#This Row],[vx]]+Tabelle2[[#This Row],[vy]]*Tabelle2[[#This Row],[vy]])/1000000</f>
        <v>3.0723386709567118</v>
      </c>
      <c r="H400">
        <f>IF($B$3,-Tabelle2[[#This Row],[Fd]]*Tabelle2[[#This Row],[vx]]/Tabelle2[[#This Row],[v]],0)</f>
        <v>-2.7357295602867149</v>
      </c>
      <c r="I400">
        <f t="shared" si="66"/>
        <v>-1.8238197068578099</v>
      </c>
      <c r="J400">
        <f t="shared" si="67"/>
        <v>-3.6476394137156198E-2</v>
      </c>
      <c r="K400">
        <f t="shared" si="68"/>
        <v>0.74182454073262893</v>
      </c>
      <c r="L400">
        <f>-$B$5*$B$12-IF($B$3,Tabelle2[[#This Row],[Fd]]*Tabelle2[[#This Row],[vy]]/Tabelle2[[#This Row],[v]],0)</f>
        <v>-13.316769446039205</v>
      </c>
      <c r="M400">
        <f t="shared" si="69"/>
        <v>-8.8778462973594703</v>
      </c>
      <c r="N400">
        <f t="shared" si="70"/>
        <v>-0.17755692594718941</v>
      </c>
      <c r="O400">
        <f t="shared" si="71"/>
        <v>-0.38110829924954615</v>
      </c>
      <c r="P400" s="1">
        <f t="shared" si="73"/>
        <v>37.109465233700021</v>
      </c>
      <c r="Q400" s="1">
        <f t="shared" si="74"/>
        <v>-18.966636499503714</v>
      </c>
      <c r="R400">
        <f>SQRT(Tabelle2[[#This Row],[vx]]*Tabelle2[[#This Row],[vx]]+Tabelle2[[#This Row],[vy]]*Tabelle2[[#This Row],[vy]])</f>
        <v>41.675480921466246</v>
      </c>
      <c r="S400">
        <f t="shared" si="75"/>
        <v>371.2508717838424</v>
      </c>
      <c r="T400" s="1">
        <f t="shared" si="76"/>
        <v>180.45099526107467</v>
      </c>
    </row>
    <row r="401" spans="6:20" x14ac:dyDescent="0.35">
      <c r="F401" s="1">
        <f t="shared" si="72"/>
        <v>7.9599999999999183</v>
      </c>
      <c r="G401">
        <f>1/2*$B$8*$B$6*$B$7*(Tabelle2[[#This Row],[vx]]*Tabelle2[[#This Row],[vx]]+Tabelle2[[#This Row],[vy]]*Tabelle2[[#This Row],[vy]])/1000000</f>
        <v>3.0795221315098429</v>
      </c>
      <c r="H401">
        <f>IF($B$3,-Tabelle2[[#This Row],[Fd]]*Tabelle2[[#This Row],[vx]]/Tabelle2[[#This Row],[v]],0)</f>
        <v>-2.7362337079816403</v>
      </c>
      <c r="I401">
        <f t="shared" si="66"/>
        <v>-1.8241558053210936</v>
      </c>
      <c r="J401">
        <f t="shared" si="67"/>
        <v>-3.6483116106421874E-2</v>
      </c>
      <c r="K401">
        <f t="shared" si="68"/>
        <v>0.74109494563019307</v>
      </c>
      <c r="L401">
        <f>-$B$5*$B$12-IF($B$3,Tabelle2[[#This Row],[Fd]]*Tabelle2[[#This Row],[vy]]/Tabelle2[[#This Row],[v]],0)</f>
        <v>-13.302030908418741</v>
      </c>
      <c r="M401">
        <f t="shared" si="69"/>
        <v>-8.8680206056124948</v>
      </c>
      <c r="N401">
        <f t="shared" si="70"/>
        <v>-0.1773604121122499</v>
      </c>
      <c r="O401">
        <f t="shared" si="71"/>
        <v>-0.38465747263014061</v>
      </c>
      <c r="P401" s="1">
        <f t="shared" si="73"/>
        <v>37.072988839562868</v>
      </c>
      <c r="Q401" s="1">
        <f t="shared" si="74"/>
        <v>-19.144193425450904</v>
      </c>
      <c r="R401">
        <f>SQRT(Tabelle2[[#This Row],[vx]]*Tabelle2[[#This Row],[vx]]+Tabelle2[[#This Row],[vy]]*Tabelle2[[#This Row],[vy]])</f>
        <v>41.72417336999537</v>
      </c>
      <c r="S401">
        <f t="shared" si="75"/>
        <v>371.99269632457504</v>
      </c>
      <c r="T401" s="1">
        <f t="shared" si="76"/>
        <v>180.06988696182512</v>
      </c>
    </row>
    <row r="402" spans="6:20" x14ac:dyDescent="0.35">
      <c r="F402" s="1">
        <f t="shared" si="72"/>
        <v>7.9799999999999178</v>
      </c>
      <c r="G402">
        <f>1/2*$B$8*$B$6*$B$7*(Tabelle2[[#This Row],[vx]]*Tabelle2[[#This Row],[vx]]+Tabelle2[[#This Row],[vy]]*Tabelle2[[#This Row],[vy]])/1000000</f>
        <v>3.0868075208991077</v>
      </c>
      <c r="H402">
        <f>IF($B$3,-Tabelle2[[#This Row],[Fd]]*Tabelle2[[#This Row],[vx]]/Tabelle2[[#This Row],[v]],0)</f>
        <v>-2.7367725424109777</v>
      </c>
      <c r="I402">
        <f t="shared" si="66"/>
        <v>-1.824515028273985</v>
      </c>
      <c r="J402">
        <f t="shared" si="67"/>
        <v>-3.6490300565479701E-2</v>
      </c>
      <c r="K402">
        <f t="shared" si="68"/>
        <v>0.74036521146347412</v>
      </c>
      <c r="L402">
        <f>-$B$5*$B$12-IF($B$3,Tabelle2[[#This Row],[Fd]]*Tabelle2[[#This Row],[vy]]/Tabelle2[[#This Row],[v]],0)</f>
        <v>-13.287254671804298</v>
      </c>
      <c r="M402">
        <f t="shared" si="69"/>
        <v>-8.8581697812028661</v>
      </c>
      <c r="N402">
        <f t="shared" si="70"/>
        <v>-0.17716339562405733</v>
      </c>
      <c r="O402">
        <f t="shared" si="71"/>
        <v>-0.38820271070750367</v>
      </c>
      <c r="P402" s="1">
        <f t="shared" si="73"/>
        <v>37.036505723456443</v>
      </c>
      <c r="Q402" s="1">
        <f t="shared" si="74"/>
        <v>-19.321553837563155</v>
      </c>
      <c r="R402">
        <f>SQRT(Tabelle2[[#This Row],[vx]]*Tabelle2[[#This Row],[vx]]+Tabelle2[[#This Row],[vy]]*Tabelle2[[#This Row],[vy]])</f>
        <v>41.773498762989355</v>
      </c>
      <c r="S402">
        <f t="shared" si="75"/>
        <v>372.73379127020524</v>
      </c>
      <c r="T402" s="1">
        <f t="shared" si="76"/>
        <v>179.68522948919497</v>
      </c>
    </row>
    <row r="403" spans="6:20" x14ac:dyDescent="0.35">
      <c r="F403" s="1">
        <f t="shared" si="72"/>
        <v>7.9999999999999174</v>
      </c>
      <c r="G403">
        <f>1/2*$B$8*$B$6*$B$7*(Tabelle2[[#This Row],[vx]]*Tabelle2[[#This Row],[vx]]+Tabelle2[[#This Row],[vy]]*Tabelle2[[#This Row],[vy]])/1000000</f>
        <v>3.0941943765918056</v>
      </c>
      <c r="H403">
        <f>IF($B$3,-Tabelle2[[#This Row],[Fd]]*Tabelle2[[#This Row],[vx]]/Tabelle2[[#This Row],[v]],0)</f>
        <v>-2.737345553891203</v>
      </c>
      <c r="I403">
        <f t="shared" si="66"/>
        <v>-1.8248970359274688</v>
      </c>
      <c r="J403">
        <f t="shared" si="67"/>
        <v>-3.6497940718549379E-2</v>
      </c>
      <c r="K403">
        <f t="shared" si="68"/>
        <v>0.73963532905063378</v>
      </c>
      <c r="L403">
        <f>-$B$5*$B$12-IF($B$3,Tabelle2[[#This Row],[Fd]]*Tabelle2[[#This Row],[vy]]/Tabelle2[[#This Row],[v]],0)</f>
        <v>-13.272440414151147</v>
      </c>
      <c r="M403">
        <f t="shared" si="69"/>
        <v>-8.8482936094340978</v>
      </c>
      <c r="N403">
        <f t="shared" si="70"/>
        <v>-0.17696587218868196</v>
      </c>
      <c r="O403">
        <f t="shared" si="71"/>
        <v>-0.39174400338563103</v>
      </c>
      <c r="P403" s="1">
        <f t="shared" si="73"/>
        <v>37.000015422890961</v>
      </c>
      <c r="Q403" s="1">
        <f t="shared" si="74"/>
        <v>-19.498717233187211</v>
      </c>
      <c r="R403">
        <f>SQRT(Tabelle2[[#This Row],[vx]]*Tabelle2[[#This Row],[vx]]+Tabelle2[[#This Row],[vy]]*Tabelle2[[#This Row],[vy]])</f>
        <v>41.823451735048849</v>
      </c>
      <c r="S403">
        <f t="shared" si="75"/>
        <v>373.47415648166873</v>
      </c>
      <c r="T403" s="1">
        <f t="shared" si="76"/>
        <v>179.29702677848746</v>
      </c>
    </row>
    <row r="404" spans="6:20" x14ac:dyDescent="0.35">
      <c r="F404" s="1">
        <f t="shared" si="72"/>
        <v>8.0199999999999179</v>
      </c>
      <c r="G404">
        <f>1/2*$B$8*$B$6*$B$7*(Tabelle2[[#This Row],[vx]]*Tabelle2[[#This Row],[vx]]+Tabelle2[[#This Row],[vy]]*Tabelle2[[#This Row],[vy]])/1000000</f>
        <v>3.1016822360354412</v>
      </c>
      <c r="H404">
        <f>IF($B$3,-Tabelle2[[#This Row],[Fd]]*Tabelle2[[#This Row],[vx]]/Tabelle2[[#This Row],[v]],0)</f>
        <v>-2.7379522342267859</v>
      </c>
      <c r="I404">
        <f t="shared" si="66"/>
        <v>-1.8253014894845239</v>
      </c>
      <c r="J404">
        <f t="shared" si="67"/>
        <v>-3.6506029789690475E-2</v>
      </c>
      <c r="K404">
        <f t="shared" si="68"/>
        <v>0.73890528934555133</v>
      </c>
      <c r="L404">
        <f>-$B$5*$B$12-IF($B$3,Tabelle2[[#This Row],[Fd]]*Tabelle2[[#This Row],[vy]]/Tabelle2[[#This Row],[v]],0)</f>
        <v>-13.257587822052264</v>
      </c>
      <c r="M404">
        <f t="shared" si="69"/>
        <v>-8.8383918813681763</v>
      </c>
      <c r="N404">
        <f t="shared" si="70"/>
        <v>-0.17676783762736353</v>
      </c>
      <c r="O404">
        <f t="shared" si="71"/>
        <v>-0.39528134048379154</v>
      </c>
      <c r="P404" s="1">
        <f t="shared" si="73"/>
        <v>36.963517482172414</v>
      </c>
      <c r="Q404" s="1">
        <f t="shared" si="74"/>
        <v>-19.675683105375892</v>
      </c>
      <c r="R404">
        <f>SQRT(Tabelle2[[#This Row],[vx]]*Tabelle2[[#This Row],[vx]]+Tabelle2[[#This Row],[vy]]*Tabelle2[[#This Row],[vy]])</f>
        <v>41.874026917864491</v>
      </c>
      <c r="S404">
        <f t="shared" si="75"/>
        <v>374.21379181071939</v>
      </c>
      <c r="T404" s="1">
        <f t="shared" si="76"/>
        <v>178.90528277510182</v>
      </c>
    </row>
    <row r="405" spans="6:20" x14ac:dyDescent="0.35">
      <c r="F405" s="1">
        <f t="shared" si="72"/>
        <v>8.0399999999999174</v>
      </c>
      <c r="G405">
        <f>1/2*$B$8*$B$6*$B$7*(Tabelle2[[#This Row],[vx]]*Tabelle2[[#This Row],[vx]]+Tabelle2[[#This Row],[vy]]*Tabelle2[[#This Row],[vy]])/1000000</f>
        <v>3.1092706366490375</v>
      </c>
      <c r="H405">
        <f>IF($B$3,-Tabelle2[[#This Row],[Fd]]*Tabelle2[[#This Row],[vx]]/Tabelle2[[#This Row],[v]],0)</f>
        <v>-2.7385920767578944</v>
      </c>
      <c r="I405">
        <f t="shared" si="66"/>
        <v>-1.8257280511719296</v>
      </c>
      <c r="J405">
        <f t="shared" si="67"/>
        <v>-3.6514561023438592E-2</v>
      </c>
      <c r="K405">
        <f t="shared" si="68"/>
        <v>0.73817508343742011</v>
      </c>
      <c r="L405">
        <f>-$B$5*$B$12-IF($B$3,Tabelle2[[#This Row],[Fd]]*Tabelle2[[#This Row],[vy]]/Tabelle2[[#This Row],[v]],0)</f>
        <v>-13.242696590696472</v>
      </c>
      <c r="M405">
        <f t="shared" si="69"/>
        <v>-8.8284643937976472</v>
      </c>
      <c r="N405">
        <f t="shared" si="70"/>
        <v>-0.17656928787595294</v>
      </c>
      <c r="O405">
        <f t="shared" si="71"/>
        <v>-0.3988147117388246</v>
      </c>
      <c r="P405" s="1">
        <f t="shared" si="73"/>
        <v>36.927011452382722</v>
      </c>
      <c r="Q405" s="1">
        <f t="shared" si="74"/>
        <v>-19.852450943003255</v>
      </c>
      <c r="R405">
        <f>SQRT(Tabelle2[[#This Row],[vx]]*Tabelle2[[#This Row],[vx]]+Tabelle2[[#This Row],[vy]]*Tabelle2[[#This Row],[vy]])</f>
        <v>41.925218940975796</v>
      </c>
      <c r="S405">
        <f t="shared" si="75"/>
        <v>374.95269710006494</v>
      </c>
      <c r="T405" s="1">
        <f t="shared" si="76"/>
        <v>178.51000143461803</v>
      </c>
    </row>
    <row r="406" spans="6:20" x14ac:dyDescent="0.35">
      <c r="F406" s="1">
        <f t="shared" si="72"/>
        <v>8.059999999999917</v>
      </c>
      <c r="G406">
        <f>1/2*$B$8*$B$6*$B$7*(Tabelle2[[#This Row],[vx]]*Tabelle2[[#This Row],[vx]]+Tabelle2[[#This Row],[vy]]*Tabelle2[[#This Row],[vy]])/1000000</f>
        <v>3.1169591158148306</v>
      </c>
      <c r="H406">
        <f>IF($B$3,-Tabelle2[[#This Row],[Fd]]*Tabelle2[[#This Row],[vx]]/Tabelle2[[#This Row],[v]],0)</f>
        <v>-2.7392645764073498</v>
      </c>
      <c r="I406">
        <f t="shared" si="66"/>
        <v>-1.8261763842715666</v>
      </c>
      <c r="J406">
        <f t="shared" si="67"/>
        <v>-3.652352768543133E-2</v>
      </c>
      <c r="K406">
        <f t="shared" si="68"/>
        <v>0.73744470255033134</v>
      </c>
      <c r="L406">
        <f>-$B$5*$B$12-IF($B$3,Tabelle2[[#This Row],[Fd]]*Tabelle2[[#This Row],[vy]]/Tabelle2[[#This Row],[v]],0)</f>
        <v>-13.227766423825418</v>
      </c>
      <c r="M406">
        <f t="shared" si="69"/>
        <v>-8.8185109492169449</v>
      </c>
      <c r="N406">
        <f t="shared" si="70"/>
        <v>-0.17637021898433891</v>
      </c>
      <c r="O406">
        <f t="shared" si="71"/>
        <v>-0.40234410680742755</v>
      </c>
      <c r="P406" s="1">
        <f t="shared" si="73"/>
        <v>36.890496891359284</v>
      </c>
      <c r="Q406" s="1">
        <f t="shared" si="74"/>
        <v>-20.029020230879208</v>
      </c>
      <c r="R406">
        <f>SQRT(Tabelle2[[#This Row],[vx]]*Tabelle2[[#This Row],[vx]]+Tabelle2[[#This Row],[vy]]*Tabelle2[[#This Row],[vy]])</f>
        <v>41.977022432520833</v>
      </c>
      <c r="S406">
        <f t="shared" si="75"/>
        <v>375.69087218350234</v>
      </c>
      <c r="T406" s="1">
        <f t="shared" si="76"/>
        <v>178.11118672287921</v>
      </c>
    </row>
    <row r="407" spans="6:20" x14ac:dyDescent="0.35">
      <c r="F407" s="1">
        <f t="shared" si="72"/>
        <v>8.0799999999999166</v>
      </c>
      <c r="G407">
        <f>1/2*$B$8*$B$6*$B$7*(Tabelle2[[#This Row],[vx]]*Tabelle2[[#This Row],[vx]]+Tabelle2[[#This Row],[vy]]*Tabelle2[[#This Row],[vy]])/1000000</f>
        <v>3.124747210870348</v>
      </c>
      <c r="H407">
        <f>IF($B$3,-Tabelle2[[#This Row],[Fd]]*Tabelle2[[#This Row],[vx]]/Tabelle2[[#This Row],[v]],0)</f>
        <v>-2.7399692297268072</v>
      </c>
      <c r="I407">
        <f t="shared" si="66"/>
        <v>-1.8266461531512048</v>
      </c>
      <c r="J407">
        <f t="shared" si="67"/>
        <v>-3.6532923063024095E-2</v>
      </c>
      <c r="K407">
        <f t="shared" si="68"/>
        <v>0.7367141380428468</v>
      </c>
      <c r="L407">
        <f>-$B$5*$B$12-IF($B$3,Tabelle2[[#This Row],[Fd]]*Tabelle2[[#This Row],[vy]]/Tabelle2[[#This Row],[v]],0)</f>
        <v>-13.212797033689419</v>
      </c>
      <c r="M407">
        <f t="shared" si="69"/>
        <v>-8.8085313557929457</v>
      </c>
      <c r="N407">
        <f t="shared" si="70"/>
        <v>-0.17617062711585893</v>
      </c>
      <c r="O407">
        <f t="shared" si="71"/>
        <v>-0.40586951526842951</v>
      </c>
      <c r="P407" s="1">
        <f t="shared" si="73"/>
        <v>36.853973363673852</v>
      </c>
      <c r="Q407" s="1">
        <f t="shared" si="74"/>
        <v>-20.205390449863547</v>
      </c>
      <c r="R407">
        <f>SQRT(Tabelle2[[#This Row],[vx]]*Tabelle2[[#This Row],[vx]]+Tabelle2[[#This Row],[vy]]*Tabelle2[[#This Row],[vy]])</f>
        <v>42.029432019976412</v>
      </c>
      <c r="S407">
        <f t="shared" si="75"/>
        <v>376.42831688605264</v>
      </c>
      <c r="T407" s="1">
        <f t="shared" si="76"/>
        <v>177.70884261607179</v>
      </c>
    </row>
    <row r="408" spans="6:20" x14ac:dyDescent="0.35">
      <c r="F408" s="1">
        <f t="shared" si="72"/>
        <v>8.0999999999999162</v>
      </c>
      <c r="G408">
        <f>1/2*$B$8*$B$6*$B$7*(Tabelle2[[#This Row],[vx]]*Tabelle2[[#This Row],[vx]]+Tabelle2[[#This Row],[vy]]*Tabelle2[[#This Row],[vy]])/1000000</f>
        <v>3.1326344591008515</v>
      </c>
      <c r="H408">
        <f>IF($B$3,-Tabelle2[[#This Row],[Fd]]*Tabelle2[[#This Row],[vx]]/Tabelle2[[#This Row],[v]],0)</f>
        <v>-2.7407055349421601</v>
      </c>
      <c r="I408">
        <f t="shared" si="66"/>
        <v>-1.8271370232947735</v>
      </c>
      <c r="J408">
        <f t="shared" si="67"/>
        <v>-3.6542740465895472E-2</v>
      </c>
      <c r="K408">
        <f t="shared" si="68"/>
        <v>0.7359833814075577</v>
      </c>
      <c r="L408">
        <f>-$B$5*$B$12-IF($B$3,Tabelle2[[#This Row],[Fd]]*Tabelle2[[#This Row],[vy]]/Tabelle2[[#This Row],[v]],0)</f>
        <v>-13.197788141002221</v>
      </c>
      <c r="M408">
        <f t="shared" si="69"/>
        <v>-8.7985254273348144</v>
      </c>
      <c r="N408">
        <f t="shared" si="70"/>
        <v>-0.1759705085466963</v>
      </c>
      <c r="O408">
        <f t="shared" si="71"/>
        <v>-0.40939092662505511</v>
      </c>
      <c r="P408" s="1">
        <f t="shared" si="73"/>
        <v>36.817440440610831</v>
      </c>
      <c r="Q408" s="1">
        <f t="shared" si="74"/>
        <v>-20.381561076979406</v>
      </c>
      <c r="R408">
        <f>SQRT(Tabelle2[[#This Row],[vx]]*Tabelle2[[#This Row],[vx]]+Tabelle2[[#This Row],[vy]]*Tabelle2[[#This Row],[vy]])</f>
        <v>42.082442330888632</v>
      </c>
      <c r="S408">
        <f t="shared" si="75"/>
        <v>377.16503102409547</v>
      </c>
      <c r="T408" s="1">
        <f t="shared" si="76"/>
        <v>177.30297310080337</v>
      </c>
    </row>
    <row r="409" spans="6:20" x14ac:dyDescent="0.35">
      <c r="F409" s="1">
        <f t="shared" si="72"/>
        <v>8.1199999999999157</v>
      </c>
      <c r="G409">
        <f>1/2*$B$8*$B$6*$B$7*(Tabelle2[[#This Row],[vx]]*Tabelle2[[#This Row],[vx]]+Tabelle2[[#This Row],[vy]]*Tabelle2[[#This Row],[vy]])/1000000</f>
        <v>3.1406203977321638</v>
      </c>
      <c r="H409">
        <f>IF($B$3,-Tabelle2[[#This Row],[Fd]]*Tabelle2[[#This Row],[vx]]/Tabelle2[[#This Row],[v]],0)</f>
        <v>-2.7414729919981573</v>
      </c>
      <c r="I409">
        <f t="shared" si="66"/>
        <v>-1.8276486613321048</v>
      </c>
      <c r="J409">
        <f t="shared" si="67"/>
        <v>-3.6552973226642096E-2</v>
      </c>
      <c r="K409">
        <f t="shared" si="68"/>
        <v>0.7352524242706322</v>
      </c>
      <c r="L409">
        <f>-$B$5*$B$12-IF($B$3,Tabelle2[[#This Row],[Fd]]*Tabelle2[[#This Row],[vy]]/Tabelle2[[#This Row],[v]],0)</f>
        <v>-13.182739474894687</v>
      </c>
      <c r="M409">
        <f t="shared" si="69"/>
        <v>-8.788492983263124</v>
      </c>
      <c r="N409">
        <f t="shared" si="70"/>
        <v>-0.17576985966526248</v>
      </c>
      <c r="O409">
        <f t="shared" si="71"/>
        <v>-0.41290833030717472</v>
      </c>
      <c r="P409" s="1">
        <f t="shared" si="73"/>
        <v>36.780897700144934</v>
      </c>
      <c r="Q409" s="1">
        <f t="shared" si="74"/>
        <v>-20.557531585526103</v>
      </c>
      <c r="R409">
        <f>SQRT(Tabelle2[[#This Row],[vx]]*Tabelle2[[#This Row],[vx]]+Tabelle2[[#This Row],[vy]]*Tabelle2[[#This Row],[vy]])</f>
        <v>42.136047993593678</v>
      </c>
      <c r="S409">
        <f t="shared" si="75"/>
        <v>377.90101440550302</v>
      </c>
      <c r="T409" s="1">
        <f t="shared" si="76"/>
        <v>176.89358217417831</v>
      </c>
    </row>
    <row r="410" spans="6:20" x14ac:dyDescent="0.35">
      <c r="F410" s="1">
        <f t="shared" si="72"/>
        <v>8.1399999999999153</v>
      </c>
      <c r="G410">
        <f>1/2*$B$8*$B$6*$B$7*(Tabelle2[[#This Row],[vx]]*Tabelle2[[#This Row],[vx]]+Tabelle2[[#This Row],[vy]]*Tabelle2[[#This Row],[vy]])/1000000</f>
        <v>3.1487045639238631</v>
      </c>
      <c r="H410">
        <f>IF($B$3,-Tabelle2[[#This Row],[Fd]]*Tabelle2[[#This Row],[vx]]/Tabelle2[[#This Row],[v]],0)</f>
        <v>-2.7422711026022282</v>
      </c>
      <c r="I410">
        <f t="shared" si="66"/>
        <v>-1.828180735068152</v>
      </c>
      <c r="J410">
        <f t="shared" si="67"/>
        <v>-3.6563614701363038E-2</v>
      </c>
      <c r="K410">
        <f t="shared" si="68"/>
        <v>0.73452125839135218</v>
      </c>
      <c r="L410">
        <f>-$B$5*$B$12-IF($B$3,Tabelle2[[#This Row],[Fd]]*Tabelle2[[#This Row],[vy]]/Tabelle2[[#This Row],[v]],0)</f>
        <v>-13.167650772867443</v>
      </c>
      <c r="M410">
        <f t="shared" si="69"/>
        <v>-8.7784338485782953</v>
      </c>
      <c r="N410">
        <f t="shared" si="70"/>
        <v>-0.17556867697156592</v>
      </c>
      <c r="O410">
        <f t="shared" si="71"/>
        <v>-0.41642171567354297</v>
      </c>
      <c r="P410" s="1">
        <f t="shared" si="73"/>
        <v>36.744344726918293</v>
      </c>
      <c r="Q410" s="1">
        <f t="shared" si="74"/>
        <v>-20.733301445191366</v>
      </c>
      <c r="R410">
        <f>SQRT(Tabelle2[[#This Row],[vx]]*Tabelle2[[#This Row],[vx]]+Tabelle2[[#This Row],[vy]]*Tabelle2[[#This Row],[vy]])</f>
        <v>42.190243637928695</v>
      </c>
      <c r="S410">
        <f t="shared" si="75"/>
        <v>378.63626682977366</v>
      </c>
      <c r="T410" s="1">
        <f t="shared" si="76"/>
        <v>176.48067384387113</v>
      </c>
    </row>
    <row r="411" spans="6:20" x14ac:dyDescent="0.35">
      <c r="F411" s="1">
        <f t="shared" si="72"/>
        <v>8.1599999999999149</v>
      </c>
      <c r="G411">
        <f>1/2*$B$8*$B$6*$B$7*(Tabelle2[[#This Row],[vx]]*Tabelle2[[#This Row],[vx]]+Tabelle2[[#This Row],[vy]]*Tabelle2[[#This Row],[vy]])/1000000</f>
        <v>3.1568864947628366</v>
      </c>
      <c r="H411">
        <f>IF($B$3,-Tabelle2[[#This Row],[Fd]]*Tabelle2[[#This Row],[vx]]/Tabelle2[[#This Row],[v]],0)</f>
        <v>-2.7430993702675011</v>
      </c>
      <c r="I411">
        <f t="shared" si="66"/>
        <v>-1.8287329135116674</v>
      </c>
      <c r="J411">
        <f t="shared" si="67"/>
        <v>-3.6574658270233353E-2</v>
      </c>
      <c r="K411">
        <f t="shared" si="68"/>
        <v>0.73378987566163623</v>
      </c>
      <c r="L411">
        <f>-$B$5*$B$12-IF($B$3,Tabelle2[[#This Row],[Fd]]*Tabelle2[[#This Row],[vy]]/Tabelle2[[#This Row],[v]],0)</f>
        <v>-13.15252178074252</v>
      </c>
      <c r="M411">
        <f t="shared" si="69"/>
        <v>-8.768347853828347</v>
      </c>
      <c r="N411">
        <f t="shared" si="70"/>
        <v>-0.17536695707656694</v>
      </c>
      <c r="O411">
        <f t="shared" si="71"/>
        <v>-0.4199310720140243</v>
      </c>
      <c r="P411" s="1">
        <f t="shared" si="73"/>
        <v>36.707781112216928</v>
      </c>
      <c r="Q411" s="1">
        <f t="shared" si="74"/>
        <v>-20.908870122162931</v>
      </c>
      <c r="R411">
        <f>SQRT(Tabelle2[[#This Row],[vx]]*Tabelle2[[#This Row],[vx]]+Tabelle2[[#This Row],[vy]]*Tabelle2[[#This Row],[vy]])</f>
        <v>42.245023895932498</v>
      </c>
      <c r="S411">
        <f t="shared" si="75"/>
        <v>379.370788088165</v>
      </c>
      <c r="T411" s="1">
        <f t="shared" si="76"/>
        <v>176.06425212819758</v>
      </c>
    </row>
    <row r="412" spans="6:20" x14ac:dyDescent="0.35">
      <c r="F412" s="1">
        <f t="shared" si="72"/>
        <v>8.1799999999999145</v>
      </c>
      <c r="G412">
        <f>1/2*$B$8*$B$6*$B$7*(Tabelle2[[#This Row],[vx]]*Tabelle2[[#This Row],[vx]]+Tabelle2[[#This Row],[vy]]*Tabelle2[[#This Row],[vy]])/1000000</f>
        <v>3.1651657272572025</v>
      </c>
      <c r="H412">
        <f>IF($B$3,-Tabelle2[[#This Row],[Fd]]*Tabelle2[[#This Row],[vx]]/Tabelle2[[#This Row],[v]],0)</f>
        <v>-2.7439573003550133</v>
      </c>
      <c r="I412">
        <f t="shared" si="66"/>
        <v>-1.8293048669033423</v>
      </c>
      <c r="J412">
        <f t="shared" si="67"/>
        <v>-3.6586097338066843E-2</v>
      </c>
      <c r="K412">
        <f t="shared" si="68"/>
        <v>0.73305826810555319</v>
      </c>
      <c r="L412">
        <f>-$B$5*$B$12-IF($B$3,Tabelle2[[#This Row],[Fd]]*Tabelle2[[#This Row],[vy]]/Tabelle2[[#This Row],[v]],0)</f>
        <v>-13.137352252614024</v>
      </c>
      <c r="M412">
        <f t="shared" si="69"/>
        <v>-8.7582348350760153</v>
      </c>
      <c r="N412">
        <f t="shared" si="70"/>
        <v>-0.17516469670152032</v>
      </c>
      <c r="O412">
        <f t="shared" si="71"/>
        <v>-0.42343638855180515</v>
      </c>
      <c r="P412" s="1">
        <f t="shared" si="73"/>
        <v>36.671206453946695</v>
      </c>
      <c r="Q412" s="1">
        <f t="shared" si="74"/>
        <v>-21.084237079239497</v>
      </c>
      <c r="R412">
        <f>SQRT(Tabelle2[[#This Row],[vx]]*Tabelle2[[#This Row],[vx]]+Tabelle2[[#This Row],[vy]]*Tabelle2[[#This Row],[vy]])</f>
        <v>42.300383402536191</v>
      </c>
      <c r="S412">
        <f t="shared" si="75"/>
        <v>380.10457796382661</v>
      </c>
      <c r="T412" s="1">
        <f t="shared" si="76"/>
        <v>175.64432105618354</v>
      </c>
    </row>
    <row r="413" spans="6:20" x14ac:dyDescent="0.35">
      <c r="F413" s="1">
        <f t="shared" si="72"/>
        <v>8.199999999999914</v>
      </c>
      <c r="G413">
        <f>1/2*$B$8*$B$6*$B$7*(Tabelle2[[#This Row],[vx]]*Tabelle2[[#This Row],[vx]]+Tabelle2[[#This Row],[vy]]*Tabelle2[[#This Row],[vy]])/1000000</f>
        <v>3.1735417983305889</v>
      </c>
      <c r="H413">
        <f>IF($B$3,-Tabelle2[[#This Row],[Fd]]*Tabelle2[[#This Row],[vx]]/Tabelle2[[#This Row],[v]],0)</f>
        <v>-2.7448444001151096</v>
      </c>
      <c r="I413">
        <f t="shared" si="66"/>
        <v>-1.8298962667434064</v>
      </c>
      <c r="J413">
        <f t="shared" si="67"/>
        <v>-3.659792533486813E-2</v>
      </c>
      <c r="K413">
        <f t="shared" si="68"/>
        <v>0.73232642787882385</v>
      </c>
      <c r="L413">
        <f>-$B$5*$B$12-IF($B$3,Tabelle2[[#This Row],[Fd]]*Tabelle2[[#This Row],[vy]]/Tabelle2[[#This Row],[v]],0)</f>
        <v>-13.122141950797852</v>
      </c>
      <c r="M413">
        <f t="shared" si="69"/>
        <v>-8.7480946338652341</v>
      </c>
      <c r="N413">
        <f t="shared" si="70"/>
        <v>-0.17496189267730469</v>
      </c>
      <c r="O413">
        <f t="shared" si="71"/>
        <v>-0.4269376544455934</v>
      </c>
      <c r="P413" s="1">
        <f t="shared" si="73"/>
        <v>36.634620356608629</v>
      </c>
      <c r="Q413" s="1">
        <f t="shared" si="74"/>
        <v>-21.259401775941019</v>
      </c>
      <c r="R413">
        <f>SQRT(Tabelle2[[#This Row],[vx]]*Tabelle2[[#This Row],[vx]]+Tabelle2[[#This Row],[vy]]*Tabelle2[[#This Row],[vy]])</f>
        <v>42.356316796243362</v>
      </c>
      <c r="S413">
        <f t="shared" si="75"/>
        <v>380.83763623193215</v>
      </c>
      <c r="T413" s="1">
        <f t="shared" si="76"/>
        <v>175.22088466763174</v>
      </c>
    </row>
    <row r="414" spans="6:20" x14ac:dyDescent="0.35">
      <c r="F414" s="1">
        <f t="shared" si="72"/>
        <v>8.2199999999999136</v>
      </c>
      <c r="G414">
        <f>1/2*$B$8*$B$6*$B$7*(Tabelle2[[#This Row],[vx]]*Tabelle2[[#This Row],[vx]]+Tabelle2[[#This Row],[vy]]*Tabelle2[[#This Row],[vy]])/1000000</f>
        <v>3.1820142448167639</v>
      </c>
      <c r="H414">
        <f>IF($B$3,-Tabelle2[[#This Row],[Fd]]*Tabelle2[[#This Row],[vx]]/Tabelle2[[#This Row],[v]],0)</f>
        <v>-2.745760178728017</v>
      </c>
      <c r="I414">
        <f t="shared" si="66"/>
        <v>-1.8305067858186781</v>
      </c>
      <c r="J414">
        <f t="shared" si="67"/>
        <v>-3.661013571637356E-2</v>
      </c>
      <c r="K414">
        <f t="shared" si="68"/>
        <v>0.73159434726831152</v>
      </c>
      <c r="L414">
        <f>-$B$5*$B$12-IF($B$3,Tabelle2[[#This Row],[Fd]]*Tabelle2[[#This Row],[vy]]/Tabelle2[[#This Row],[v]],0)</f>
        <v>-13.10689064578049</v>
      </c>
      <c r="M414">
        <f t="shared" si="69"/>
        <v>-8.7379270971869936</v>
      </c>
      <c r="N414">
        <f t="shared" si="70"/>
        <v>-0.17475854194373988</v>
      </c>
      <c r="O414">
        <f t="shared" si="71"/>
        <v>-0.43043485879180388</v>
      </c>
      <c r="P414" s="1">
        <f t="shared" si="73"/>
        <v>36.598022431273762</v>
      </c>
      <c r="Q414" s="1">
        <f t="shared" si="74"/>
        <v>-21.434363668618325</v>
      </c>
      <c r="R414">
        <f>SQRT(Tabelle2[[#This Row],[vx]]*Tabelle2[[#This Row],[vx]]+Tabelle2[[#This Row],[vy]]*Tabelle2[[#This Row],[vy]])</f>
        <v>42.412818719799823</v>
      </c>
      <c r="S414">
        <f t="shared" si="75"/>
        <v>381.56996265981098</v>
      </c>
      <c r="T414" s="1">
        <f t="shared" si="76"/>
        <v>174.79394701318614</v>
      </c>
    </row>
    <row r="415" spans="6:20" x14ac:dyDescent="0.35">
      <c r="F415" s="1">
        <f t="shared" si="72"/>
        <v>8.2399999999999132</v>
      </c>
      <c r="G415">
        <f>1/2*$B$8*$B$6*$B$7*(Tabelle2[[#This Row],[vx]]*Tabelle2[[#This Row],[vx]]+Tabelle2[[#This Row],[vy]]*Tabelle2[[#This Row],[vy]])/1000000</f>
        <v>3.1905826034546219</v>
      </c>
      <c r="H415">
        <f>IF($B$3,-Tabelle2[[#This Row],[Fd]]*Tabelle2[[#This Row],[vx]]/Tabelle2[[#This Row],[v]],0)</f>
        <v>-2.7467041473435962</v>
      </c>
      <c r="I415">
        <f t="shared" si="66"/>
        <v>-1.8311360982290641</v>
      </c>
      <c r="J415">
        <f t="shared" si="67"/>
        <v>-3.662272196458128E-2</v>
      </c>
      <c r="K415">
        <f t="shared" si="68"/>
        <v>0.73086201869150202</v>
      </c>
      <c r="L415">
        <f>-$B$5*$B$12-IF($B$3,Tabelle2[[#This Row],[Fd]]*Tabelle2[[#This Row],[vy]]/Tabelle2[[#This Row],[v]],0)</f>
        <v>-13.09159811616693</v>
      </c>
      <c r="M415">
        <f t="shared" si="69"/>
        <v>-8.7277320774446192</v>
      </c>
      <c r="N415">
        <f t="shared" si="70"/>
        <v>-0.17455464154889239</v>
      </c>
      <c r="O415">
        <f t="shared" si="71"/>
        <v>-0.43392799062673021</v>
      </c>
      <c r="P415" s="1">
        <f t="shared" si="73"/>
        <v>36.561412295557389</v>
      </c>
      <c r="Q415" s="1">
        <f t="shared" si="74"/>
        <v>-21.609122210562063</v>
      </c>
      <c r="R415">
        <f>SQRT(Tabelle2[[#This Row],[vx]]*Tabelle2[[#This Row],[vx]]+Tabelle2[[#This Row],[vy]]*Tabelle2[[#This Row],[vy]])</f>
        <v>42.469883820852885</v>
      </c>
      <c r="S415">
        <f t="shared" si="75"/>
        <v>382.30155700707928</v>
      </c>
      <c r="T415" s="1">
        <f t="shared" si="76"/>
        <v>174.36351215439433</v>
      </c>
    </row>
    <row r="416" spans="6:20" x14ac:dyDescent="0.35">
      <c r="F416" s="1">
        <f t="shared" si="72"/>
        <v>8.2599999999999127</v>
      </c>
      <c r="G416">
        <f>1/2*$B$8*$B$6*$B$7*(Tabelle2[[#This Row],[vx]]*Tabelle2[[#This Row],[vx]]+Tabelle2[[#This Row],[vy]]*Tabelle2[[#This Row],[vy]])/1000000</f>
        <v>3.1992464108835152</v>
      </c>
      <c r="H416">
        <f>IF($B$3,-Tabelle2[[#This Row],[Fd]]*Tabelle2[[#This Row],[vx]]/Tabelle2[[#This Row],[v]],0)</f>
        <v>-2.7476758191202633</v>
      </c>
      <c r="I416">
        <f t="shared" si="66"/>
        <v>-1.8317838794135088</v>
      </c>
      <c r="J416">
        <f t="shared" si="67"/>
        <v>-3.6635677588270181E-2</v>
      </c>
      <c r="K416">
        <f t="shared" si="68"/>
        <v>0.73012943469597347</v>
      </c>
      <c r="L416">
        <f>-$B$5*$B$12-IF($B$3,Tabelle2[[#This Row],[Fd]]*Tabelle2[[#This Row],[vy]]/Tabelle2[[#This Row],[v]],0)</f>
        <v>-13.076264148627716</v>
      </c>
      <c r="M416">
        <f t="shared" si="69"/>
        <v>-8.7175094324184776</v>
      </c>
      <c r="N416">
        <f t="shared" si="70"/>
        <v>-0.17435018864836957</v>
      </c>
      <c r="O416">
        <f t="shared" si="71"/>
        <v>-0.43741703892870276</v>
      </c>
      <c r="P416" s="1">
        <f t="shared" si="73"/>
        <v>36.524789573592805</v>
      </c>
      <c r="Q416" s="1">
        <f t="shared" si="74"/>
        <v>-21.783676852110954</v>
      </c>
      <c r="R416">
        <f>SQRT(Tabelle2[[#This Row],[vx]]*Tabelle2[[#This Row],[vx]]+Tabelle2[[#This Row],[vy]]*Tabelle2[[#This Row],[vy]])</f>
        <v>42.527506752599884</v>
      </c>
      <c r="S416">
        <f t="shared" si="75"/>
        <v>383.03241902577076</v>
      </c>
      <c r="T416" s="1">
        <f t="shared" si="76"/>
        <v>173.9295841637676</v>
      </c>
    </row>
    <row r="417" spans="6:20" x14ac:dyDescent="0.35">
      <c r="F417" s="1">
        <f t="shared" si="72"/>
        <v>8.2799999999999123</v>
      </c>
      <c r="G417">
        <f>1/2*$B$8*$B$6*$B$7*(Tabelle2[[#This Row],[vx]]*Tabelle2[[#This Row],[vx]]+Tabelle2[[#This Row],[vy]]*Tabelle2[[#This Row],[vy]])/1000000</f>
        <v>3.2080052036389284</v>
      </c>
      <c r="H417">
        <f>IF($B$3,-Tabelle2[[#This Row],[Fd]]*Tabelle2[[#This Row],[vx]]/Tabelle2[[#This Row],[v]],0)</f>
        <v>-2.7486747092630832</v>
      </c>
      <c r="I417">
        <f t="shared" si="66"/>
        <v>-1.8324498061753889</v>
      </c>
      <c r="J417">
        <f t="shared" si="67"/>
        <v>-3.6648996123507777E-2</v>
      </c>
      <c r="K417">
        <f t="shared" si="68"/>
        <v>0.72939658795885565</v>
      </c>
      <c r="L417">
        <f>-$B$5*$B$12-IF($B$3,Tabelle2[[#This Row],[Fd]]*Tabelle2[[#This Row],[vy]]/Tabelle2[[#This Row],[v]],0)</f>
        <v>-13.060888537845182</v>
      </c>
      <c r="M417">
        <f t="shared" si="69"/>
        <v>-8.7072590252301207</v>
      </c>
      <c r="N417">
        <f t="shared" si="70"/>
        <v>-0.17414518050460243</v>
      </c>
      <c r="O417">
        <f t="shared" si="71"/>
        <v>-0.4409019926202325</v>
      </c>
      <c r="P417" s="1">
        <f t="shared" si="73"/>
        <v>36.488153896004533</v>
      </c>
      <c r="Q417" s="1">
        <f t="shared" si="74"/>
        <v>-21.958027040759323</v>
      </c>
      <c r="R417">
        <f>SQRT(Tabelle2[[#This Row],[vx]]*Tabelle2[[#This Row],[vx]]+Tabelle2[[#This Row],[vy]]*Tabelle2[[#This Row],[vy]])</f>
        <v>42.585682174426047</v>
      </c>
      <c r="S417">
        <f t="shared" si="75"/>
        <v>383.76254846046675</v>
      </c>
      <c r="T417" s="1">
        <f t="shared" si="76"/>
        <v>173.49216712483889</v>
      </c>
    </row>
    <row r="418" spans="6:20" x14ac:dyDescent="0.35">
      <c r="F418" s="1">
        <f t="shared" si="72"/>
        <v>8.2999999999999119</v>
      </c>
      <c r="G418">
        <f>1/2*$B$8*$B$6*$B$7*(Tabelle2[[#This Row],[vx]]*Tabelle2[[#This Row],[vx]]+Tabelle2[[#This Row],[vy]]*Tabelle2[[#This Row],[vy]])/1000000</f>
        <v>3.2168585181484932</v>
      </c>
      <c r="H418">
        <f>IF($B$3,-Tabelle2[[#This Row],[Fd]]*Tabelle2[[#This Row],[vx]]/Tabelle2[[#This Row],[v]],0)</f>
        <v>-2.7497003350610201</v>
      </c>
      <c r="I418">
        <f t="shared" si="66"/>
        <v>-1.8331335567073468</v>
      </c>
      <c r="J418">
        <f t="shared" si="67"/>
        <v>-3.6662671134146937E-2</v>
      </c>
      <c r="K418">
        <f t="shared" si="68"/>
        <v>0.72866347128627895</v>
      </c>
      <c r="L418">
        <f>-$B$5*$B$12-IF($B$3,Tabelle2[[#This Row],[Fd]]*Tabelle2[[#This Row],[vy]]/Tabelle2[[#This Row],[v]],0)</f>
        <v>-13.045471086458868</v>
      </c>
      <c r="M418">
        <f t="shared" si="69"/>
        <v>-8.6969807243059112</v>
      </c>
      <c r="N418">
        <f t="shared" si="70"/>
        <v>-0.17393961448611822</v>
      </c>
      <c r="O418">
        <f t="shared" si="71"/>
        <v>-0.44438284057013966</v>
      </c>
      <c r="P418" s="1">
        <f t="shared" si="73"/>
        <v>36.451504899881023</v>
      </c>
      <c r="Q418" s="1">
        <f t="shared" si="74"/>
        <v>-22.132172221263925</v>
      </c>
      <c r="R418">
        <f>SQRT(Tabelle2[[#This Row],[vx]]*Tabelle2[[#This Row],[vx]]+Tabelle2[[#This Row],[vy]]*Tabelle2[[#This Row],[vy]])</f>
        <v>42.644404752531564</v>
      </c>
      <c r="S418">
        <f t="shared" si="75"/>
        <v>384.49194504842558</v>
      </c>
      <c r="T418" s="1">
        <f t="shared" si="76"/>
        <v>173.05126513221865</v>
      </c>
    </row>
    <row r="419" spans="6:20" x14ac:dyDescent="0.35">
      <c r="F419" s="1">
        <f t="shared" si="72"/>
        <v>8.3199999999999115</v>
      </c>
      <c r="G419">
        <f>1/2*$B$8*$B$6*$B$7*(Tabelle2[[#This Row],[vx]]*Tabelle2[[#This Row],[vx]]+Tabelle2[[#This Row],[vy]]*Tabelle2[[#This Row],[vy]])/1000000</f>
        <v>3.2258058907283416</v>
      </c>
      <c r="H419">
        <f>IF($B$3,-Tabelle2[[#This Row],[Fd]]*Tabelle2[[#This Row],[vx]]/Tabelle2[[#This Row],[v]],0)</f>
        <v>-2.7507522159233631</v>
      </c>
      <c r="I419">
        <f t="shared" si="66"/>
        <v>-1.8338348106155753</v>
      </c>
      <c r="J419">
        <f t="shared" si="67"/>
        <v>-3.6676696212311503E-2</v>
      </c>
      <c r="K419">
        <f t="shared" si="68"/>
        <v>0.72793007761281447</v>
      </c>
      <c r="L419">
        <f>-$B$5*$B$12-IF($B$3,Tabelle2[[#This Row],[Fd]]*Tabelle2[[#This Row],[vy]]/Tabelle2[[#This Row],[v]],0)</f>
        <v>-13.030011605010177</v>
      </c>
      <c r="M419">
        <f t="shared" si="69"/>
        <v>-8.6866744033401186</v>
      </c>
      <c r="N419">
        <f t="shared" si="70"/>
        <v>-0.17373348806680239</v>
      </c>
      <c r="O419">
        <f t="shared" si="71"/>
        <v>-0.44785957159566891</v>
      </c>
      <c r="P419" s="1">
        <f t="shared" si="73"/>
        <v>36.414842228746878</v>
      </c>
      <c r="Q419" s="1">
        <f t="shared" si="74"/>
        <v>-22.306111835750045</v>
      </c>
      <c r="R419">
        <f>SQRT(Tabelle2[[#This Row],[vx]]*Tabelle2[[#This Row],[vx]]+Tabelle2[[#This Row],[vy]]*Tabelle2[[#This Row],[vy]])</f>
        <v>42.703669160547726</v>
      </c>
      <c r="S419">
        <f t="shared" si="75"/>
        <v>385.22060851971185</v>
      </c>
      <c r="T419" s="1">
        <f t="shared" si="76"/>
        <v>172.6068822916485</v>
      </c>
    </row>
    <row r="420" spans="6:20" x14ac:dyDescent="0.35">
      <c r="F420" s="1">
        <f t="shared" si="72"/>
        <v>8.339999999999911</v>
      </c>
      <c r="G420">
        <f>1/2*$B$8*$B$6*$B$7*(Tabelle2[[#This Row],[vx]]*Tabelle2[[#This Row],[vx]]+Tabelle2[[#This Row],[vy]]*Tabelle2[[#This Row],[vy]])/1000000</f>
        <v>3.234846857579786</v>
      </c>
      <c r="H420">
        <f>IF($B$3,-Tabelle2[[#This Row],[Fd]]*Tabelle2[[#This Row],[vx]]/Tabelle2[[#This Row],[v]],0)</f>
        <v>-2.7518298734153017</v>
      </c>
      <c r="I420">
        <f t="shared" si="66"/>
        <v>-1.8345532489435346</v>
      </c>
      <c r="J420">
        <f t="shared" si="67"/>
        <v>-3.6691064978870695E-2</v>
      </c>
      <c r="K420">
        <f t="shared" si="68"/>
        <v>0.72719640000090269</v>
      </c>
      <c r="L420">
        <f>-$B$5*$B$12-IF($B$3,Tabelle2[[#This Row],[Fd]]*Tabelle2[[#This Row],[vy]]/Tabelle2[[#This Row],[v]],0)</f>
        <v>-13.0145099118863</v>
      </c>
      <c r="M420">
        <f t="shared" si="69"/>
        <v>-8.6763399412575328</v>
      </c>
      <c r="N420">
        <f t="shared" si="70"/>
        <v>-0.17352679882515065</v>
      </c>
      <c r="O420">
        <f t="shared" si="71"/>
        <v>-0.45133217446458845</v>
      </c>
      <c r="P420" s="1">
        <f t="shared" si="73"/>
        <v>36.378165532534567</v>
      </c>
      <c r="Q420" s="1">
        <f t="shared" si="74"/>
        <v>-22.479845323816846</v>
      </c>
      <c r="R420">
        <f>SQRT(Tabelle2[[#This Row],[vx]]*Tabelle2[[#This Row],[vx]]+Tabelle2[[#This Row],[vy]]*Tabelle2[[#This Row],[vy]])</f>
        <v>42.763470080142184</v>
      </c>
      <c r="S420">
        <f t="shared" si="75"/>
        <v>385.94853859732467</v>
      </c>
      <c r="T420" s="1">
        <f t="shared" si="76"/>
        <v>172.15902272005283</v>
      </c>
    </row>
    <row r="421" spans="6:20" x14ac:dyDescent="0.35">
      <c r="F421" s="1">
        <f t="shared" si="72"/>
        <v>8.3599999999999106</v>
      </c>
      <c r="G421">
        <f>1/2*$B$8*$B$6*$B$7*(Tabelle2[[#This Row],[vx]]*Tabelle2[[#This Row],[vx]]+Tabelle2[[#This Row],[vy]]*Tabelle2[[#This Row],[vy]])/1000000</f>
        <v>3.2439809547863363</v>
      </c>
      <c r="H421">
        <f>IF($B$3,-Tabelle2[[#This Row],[Fd]]*Tabelle2[[#This Row],[vx]]/Tabelle2[[#This Row],[v]],0)</f>
        <v>-2.7529328312926733</v>
      </c>
      <c r="I421">
        <f t="shared" si="66"/>
        <v>-1.8352885541951156</v>
      </c>
      <c r="J421">
        <f t="shared" si="67"/>
        <v>-3.6705771083902314E-2</v>
      </c>
      <c r="K421">
        <f t="shared" si="68"/>
        <v>0.72646243164027502</v>
      </c>
      <c r="L421">
        <f>-$B$5*$B$12-IF($B$3,Tabelle2[[#This Row],[Fd]]*Tabelle2[[#This Row],[vy]]/Tabelle2[[#This Row],[v]],0)</f>
        <v>-12.9989658332634</v>
      </c>
      <c r="M421">
        <f t="shared" si="69"/>
        <v>-8.6659772221756004</v>
      </c>
      <c r="N421">
        <f t="shared" si="70"/>
        <v>-0.17331954444351202</v>
      </c>
      <c r="O421">
        <f t="shared" si="71"/>
        <v>-0.4548006378972751</v>
      </c>
      <c r="P421" s="1">
        <f t="shared" si="73"/>
        <v>36.341474467555699</v>
      </c>
      <c r="Q421" s="1">
        <f t="shared" si="74"/>
        <v>-22.653372122641997</v>
      </c>
      <c r="R421">
        <f>SQRT(Tabelle2[[#This Row],[vx]]*Tabelle2[[#This Row],[vx]]+Tabelle2[[#This Row],[vy]]*Tabelle2[[#This Row],[vy]])</f>
        <v>42.823802201613255</v>
      </c>
      <c r="S421">
        <f t="shared" si="75"/>
        <v>386.67573499732555</v>
      </c>
      <c r="T421" s="1">
        <f t="shared" si="76"/>
        <v>171.70769054558824</v>
      </c>
    </row>
    <row r="422" spans="6:20" x14ac:dyDescent="0.35">
      <c r="F422" s="1">
        <f t="shared" si="72"/>
        <v>8.3799999999999102</v>
      </c>
      <c r="G422">
        <f>1/2*$B$8*$B$6*$B$7*(Tabelle2[[#This Row],[vx]]*Tabelle2[[#This Row],[vx]]+Tabelle2[[#This Row],[vy]]*Tabelle2[[#This Row],[vy]])/1000000</f>
        <v>3.2532077183110339</v>
      </c>
      <c r="H422">
        <f>IF($B$3,-Tabelle2[[#This Row],[Fd]]*Tabelle2[[#This Row],[vx]]/Tabelle2[[#This Row],[v]],0)</f>
        <v>-2.7540606155358627</v>
      </c>
      <c r="I422">
        <f t="shared" si="66"/>
        <v>-1.8360404103572419</v>
      </c>
      <c r="J422">
        <f t="shared" si="67"/>
        <v>-3.6720808207144837E-2</v>
      </c>
      <c r="K422">
        <f t="shared" si="68"/>
        <v>0.72572816584736444</v>
      </c>
      <c r="L422">
        <f>-$B$5*$B$12-IF($B$3,Tabelle2[[#This Row],[Fd]]*Tabelle2[[#This Row],[vy]]/Tabelle2[[#This Row],[v]],0)</f>
        <v>-12.983379203049147</v>
      </c>
      <c r="M422">
        <f t="shared" si="69"/>
        <v>-8.6555861353660983</v>
      </c>
      <c r="N422">
        <f t="shared" si="70"/>
        <v>-0.17311172270732197</v>
      </c>
      <c r="O422">
        <f t="shared" si="71"/>
        <v>-0.45826495056878336</v>
      </c>
      <c r="P422" s="1">
        <f t="shared" si="73"/>
        <v>36.304768696471797</v>
      </c>
      <c r="Q422" s="1">
        <f t="shared" si="74"/>
        <v>-22.826691667085509</v>
      </c>
      <c r="R422">
        <f>SQRT(Tabelle2[[#This Row],[vx]]*Tabelle2[[#This Row],[vx]]+Tabelle2[[#This Row],[vy]]*Tabelle2[[#This Row],[vy]])</f>
        <v>42.884660224473151</v>
      </c>
      <c r="S422">
        <f t="shared" si="75"/>
        <v>387.40219742896585</v>
      </c>
      <c r="T422" s="1">
        <f t="shared" si="76"/>
        <v>171.25288990769096</v>
      </c>
    </row>
    <row r="423" spans="6:20" x14ac:dyDescent="0.35">
      <c r="F423" s="1">
        <f t="shared" si="72"/>
        <v>8.3999999999999098</v>
      </c>
      <c r="G423">
        <f>1/2*$B$8*$B$6*$B$7*(Tabelle2[[#This Row],[vx]]*Tabelle2[[#This Row],[vx]]+Tabelle2[[#This Row],[vy]]*Tabelle2[[#This Row],[vy]])/1000000</f>
        <v>3.2625266839941127</v>
      </c>
      <c r="H423">
        <f>IF($B$3,-Tabelle2[[#This Row],[Fd]]*Tabelle2[[#This Row],[vx]]/Tabelle2[[#This Row],[v]],0)</f>
        <v>-2.7552127543828715</v>
      </c>
      <c r="I423">
        <f t="shared" si="66"/>
        <v>-1.8368085029219143</v>
      </c>
      <c r="J423">
        <f t="shared" si="67"/>
        <v>-3.6736170058438287E-2</v>
      </c>
      <c r="K423">
        <f t="shared" si="68"/>
        <v>0.72499359606470881</v>
      </c>
      <c r="L423">
        <f>-$B$5*$B$12-IF($B$3,Tabelle2[[#This Row],[Fd]]*Tabelle2[[#This Row],[vy]]/Tabelle2[[#This Row],[v]],0)</f>
        <v>-12.967749862824567</v>
      </c>
      <c r="M423">
        <f t="shared" si="69"/>
        <v>-8.6451665752163773</v>
      </c>
      <c r="N423">
        <f t="shared" si="70"/>
        <v>-0.17290333150432755</v>
      </c>
      <c r="O423">
        <f t="shared" si="71"/>
        <v>-0.46172510111089993</v>
      </c>
      <c r="P423" s="1">
        <f t="shared" si="73"/>
        <v>36.268047888264654</v>
      </c>
      <c r="Q423" s="1">
        <f t="shared" si="74"/>
        <v>-22.999803389792831</v>
      </c>
      <c r="R423">
        <f>SQRT(Tabelle2[[#This Row],[vx]]*Tabelle2[[#This Row],[vx]]+Tabelle2[[#This Row],[vy]]*Tabelle2[[#This Row],[vy]])</f>
        <v>42.946038858020238</v>
      </c>
      <c r="S423">
        <f t="shared" si="75"/>
        <v>388.12792559481323</v>
      </c>
      <c r="T423" s="1">
        <f t="shared" si="76"/>
        <v>170.79462495712218</v>
      </c>
    </row>
    <row r="424" spans="6:20" x14ac:dyDescent="0.35">
      <c r="F424" s="1">
        <f t="shared" si="72"/>
        <v>8.4199999999999093</v>
      </c>
      <c r="G424">
        <f>1/2*$B$8*$B$6*$B$7*(Tabelle2[[#This Row],[vx]]*Tabelle2[[#This Row],[vx]]+Tabelle2[[#This Row],[vy]]*Tabelle2[[#This Row],[vy]])/1000000</f>
        <v>3.2719373875509707</v>
      </c>
      <c r="H424">
        <f>IF($B$3,-Tabelle2[[#This Row],[Fd]]*Tabelle2[[#This Row],[vx]]/Tabelle2[[#This Row],[v]],0)</f>
        <v>-2.7563887783615386</v>
      </c>
      <c r="I424">
        <f t="shared" si="66"/>
        <v>-1.8375925189076925</v>
      </c>
      <c r="J424">
        <f t="shared" si="67"/>
        <v>-3.6751850378153851E-2</v>
      </c>
      <c r="K424">
        <f t="shared" si="68"/>
        <v>0.72425871586034274</v>
      </c>
      <c r="L424">
        <f>-$B$5*$B$12-IF($B$3,Tabelle2[[#This Row],[Fd]]*Tabelle2[[#This Row],[vy]]/Tabelle2[[#This Row],[v]],0)</f>
        <v>-12.95207766178528</v>
      </c>
      <c r="M424">
        <f t="shared" si="69"/>
        <v>-8.6347184411901861</v>
      </c>
      <c r="N424">
        <f t="shared" si="70"/>
        <v>-0.17269436882380373</v>
      </c>
      <c r="O424">
        <f t="shared" si="71"/>
        <v>-0.46518107811418119</v>
      </c>
      <c r="P424" s="1">
        <f t="shared" si="73"/>
        <v>36.231311718206214</v>
      </c>
      <c r="Q424" s="1">
        <f t="shared" si="74"/>
        <v>-23.172706721297157</v>
      </c>
      <c r="R424">
        <f>SQRT(Tabelle2[[#This Row],[vx]]*Tabelle2[[#This Row],[vx]]+Tabelle2[[#This Row],[vy]]*Tabelle2[[#This Row],[vy]])</f>
        <v>43.007932821900162</v>
      </c>
      <c r="S424">
        <f t="shared" si="75"/>
        <v>388.85291919087797</v>
      </c>
      <c r="T424" s="1">
        <f t="shared" si="76"/>
        <v>170.3328998560113</v>
      </c>
    </row>
    <row r="425" spans="6:20" x14ac:dyDescent="0.35">
      <c r="F425" s="1">
        <f t="shared" si="72"/>
        <v>8.4399999999999089</v>
      </c>
      <c r="G425">
        <f>1/2*$B$8*$B$6*$B$7*(Tabelle2[[#This Row],[vx]]*Tabelle2[[#This Row],[vx]]+Tabelle2[[#This Row],[vy]]*Tabelle2[[#This Row],[vy]])/1000000</f>
        <v>3.2814393645704665</v>
      </c>
      <c r="H425">
        <f>IF($B$3,-Tabelle2[[#This Row],[Fd]]*Tabelle2[[#This Row],[vx]]/Tabelle2[[#This Row],[v]],0)</f>
        <v>-2.7575882203209394</v>
      </c>
      <c r="I425">
        <f t="shared" si="66"/>
        <v>-1.8383921468806264</v>
      </c>
      <c r="J425">
        <f t="shared" si="67"/>
        <v>-3.6767842937612531E-2</v>
      </c>
      <c r="K425">
        <f t="shared" si="68"/>
        <v>0.72352351892718514</v>
      </c>
      <c r="L425">
        <f>-$B$5*$B$12-IF($B$3,Tabelle2[[#This Row],[Fd]]*Tabelle2[[#This Row],[vy]]/Tabelle2[[#This Row],[v]],0)</f>
        <v>-12.936362456682133</v>
      </c>
      <c r="M425">
        <f t="shared" si="69"/>
        <v>-8.6242416377880886</v>
      </c>
      <c r="N425">
        <f t="shared" si="70"/>
        <v>-0.17248483275576176</v>
      </c>
      <c r="O425">
        <f t="shared" si="71"/>
        <v>-0.4686328701299769</v>
      </c>
      <c r="P425" s="1">
        <f t="shared" si="73"/>
        <v>36.194559867828062</v>
      </c>
      <c r="Q425" s="1">
        <f t="shared" si="74"/>
        <v>-23.345401090120962</v>
      </c>
      <c r="R425">
        <f>SQRT(Tabelle2[[#This Row],[vx]]*Tabelle2[[#This Row],[vx]]+Tabelle2[[#This Row],[vy]]*Tabelle2[[#This Row],[vy]])</f>
        <v>43.07033684665597</v>
      </c>
      <c r="S425">
        <f t="shared" si="75"/>
        <v>389.57717790673831</v>
      </c>
      <c r="T425" s="1">
        <f t="shared" si="76"/>
        <v>169.86771877789712</v>
      </c>
    </row>
    <row r="426" spans="6:20" x14ac:dyDescent="0.35">
      <c r="F426" s="1">
        <f t="shared" si="72"/>
        <v>8.4599999999999085</v>
      </c>
      <c r="G426">
        <f>1/2*$B$8*$B$6*$B$7*(Tabelle2[[#This Row],[vx]]*Tabelle2[[#This Row],[vx]]+Tabelle2[[#This Row],[vy]]*Tabelle2[[#This Row],[vy]])/1000000</f>
        <v>3.2910321505135092</v>
      </c>
      <c r="H426">
        <f>IF($B$3,-Tabelle2[[#This Row],[Fd]]*Tabelle2[[#This Row],[vx]]/Tabelle2[[#This Row],[v]],0)</f>
        <v>-2.7588106154619347</v>
      </c>
      <c r="I426">
        <f t="shared" si="66"/>
        <v>-1.8392070769746232</v>
      </c>
      <c r="J426">
        <f t="shared" si="67"/>
        <v>-3.6784141539492464E-2</v>
      </c>
      <c r="K426">
        <f t="shared" si="68"/>
        <v>0.72278799908241398</v>
      </c>
      <c r="L426">
        <f>-$B$5*$B$12-IF($B$3,Tabelle2[[#This Row],[Fd]]*Tabelle2[[#This Row],[vy]]/Tabelle2[[#This Row],[v]],0)</f>
        <v>-12.920604111761255</v>
      </c>
      <c r="M426">
        <f t="shared" si="69"/>
        <v>-8.6137360745075036</v>
      </c>
      <c r="N426">
        <f t="shared" si="70"/>
        <v>-0.17227472149015008</v>
      </c>
      <c r="O426">
        <f t="shared" si="71"/>
        <v>-0.47208046567243594</v>
      </c>
      <c r="P426" s="1">
        <f t="shared" si="73"/>
        <v>36.157792024890448</v>
      </c>
      <c r="Q426" s="1">
        <f t="shared" si="74"/>
        <v>-23.517885922876722</v>
      </c>
      <c r="R426">
        <f>SQRT(Tabelle2[[#This Row],[vx]]*Tabelle2[[#This Row],[vx]]+Tabelle2[[#This Row],[vy]]*Tabelle2[[#This Row],[vy]])</f>
        <v>43.133245674267016</v>
      </c>
      <c r="S426">
        <f t="shared" si="75"/>
        <v>390.30070142566552</v>
      </c>
      <c r="T426" s="1">
        <f t="shared" si="76"/>
        <v>169.39908590776716</v>
      </c>
    </row>
    <row r="427" spans="6:20" x14ac:dyDescent="0.35">
      <c r="F427" s="1">
        <f t="shared" si="72"/>
        <v>8.4799999999999081</v>
      </c>
      <c r="G427">
        <f>1/2*$B$8*$B$6*$B$7*(Tabelle2[[#This Row],[vx]]*Tabelle2[[#This Row],[vx]]+Tabelle2[[#This Row],[vy]]*Tabelle2[[#This Row],[vy]])/1000000</f>
        <v>3.3007152807119713</v>
      </c>
      <c r="H427">
        <f>IF($B$3,-Tabelle2[[#This Row],[Fd]]*Tabelle2[[#This Row],[vx]]/Tabelle2[[#This Row],[v]],0)</f>
        <v>-2.760055501366899</v>
      </c>
      <c r="I427">
        <f t="shared" si="66"/>
        <v>-1.8400370009112661</v>
      </c>
      <c r="J427">
        <f t="shared" si="67"/>
        <v>-3.6800740018225322E-2</v>
      </c>
      <c r="K427">
        <f t="shared" si="68"/>
        <v>0.72205215026683689</v>
      </c>
      <c r="L427">
        <f>-$B$5*$B$12-IF($B$3,Tabelle2[[#This Row],[Fd]]*Tabelle2[[#This Row],[vy]]/Tabelle2[[#This Row],[v]],0)</f>
        <v>-12.904802498703575</v>
      </c>
      <c r="M427">
        <f t="shared" si="69"/>
        <v>-8.6032016658023824</v>
      </c>
      <c r="N427">
        <f t="shared" si="70"/>
        <v>-0.17206403331604767</v>
      </c>
      <c r="O427">
        <f t="shared" si="71"/>
        <v>-0.47552385322049795</v>
      </c>
      <c r="P427" s="1">
        <f t="shared" si="73"/>
        <v>36.121007883350956</v>
      </c>
      <c r="Q427" s="1">
        <f t="shared" si="74"/>
        <v>-23.690160644366873</v>
      </c>
      <c r="R427">
        <f>SQRT(Tabelle2[[#This Row],[vx]]*Tabelle2[[#This Row],[vx]]+Tabelle2[[#This Row],[vy]]*Tabelle2[[#This Row],[vy]])</f>
        <v>43.196654058676941</v>
      </c>
      <c r="S427">
        <f t="shared" si="75"/>
        <v>391.02348942474794</v>
      </c>
      <c r="T427" s="1">
        <f t="shared" si="76"/>
        <v>168.92700544209472</v>
      </c>
    </row>
    <row r="428" spans="6:20" x14ac:dyDescent="0.35">
      <c r="F428" s="1">
        <f t="shared" si="72"/>
        <v>8.4999999999999076</v>
      </c>
      <c r="G428">
        <f>1/2*$B$8*$B$6*$B$7*(Tabelle2[[#This Row],[vx]]*Tabelle2[[#This Row],[vx]]+Tabelle2[[#This Row],[vy]]*Tabelle2[[#This Row],[vy]])/1000000</f>
        <v>3.3104882903678883</v>
      </c>
      <c r="H428">
        <f>IF($B$3,-Tabelle2[[#This Row],[Fd]]*Tabelle2[[#This Row],[vx]]/Tabelle2[[#This Row],[v]],0)</f>
        <v>-2.7613224180286129</v>
      </c>
      <c r="I428">
        <f t="shared" si="66"/>
        <v>-1.8408816120190752</v>
      </c>
      <c r="J428">
        <f t="shared" si="67"/>
        <v>-3.6817632240381502E-2</v>
      </c>
      <c r="K428">
        <f t="shared" si="68"/>
        <v>0.72131596654425079</v>
      </c>
      <c r="L428">
        <f>-$B$5*$B$12-IF($B$3,Tabelle2[[#This Row],[Fd]]*Tabelle2[[#This Row],[vy]]/Tabelle2[[#This Row],[v]],0)</f>
        <v>-12.888957496563808</v>
      </c>
      <c r="M428">
        <f t="shared" si="69"/>
        <v>-8.5926383310425383</v>
      </c>
      <c r="N428">
        <f t="shared" si="70"/>
        <v>-0.17185276662085078</v>
      </c>
      <c r="O428">
        <f t="shared" si="71"/>
        <v>-0.47896302121986695</v>
      </c>
      <c r="P428" s="1">
        <f t="shared" si="73"/>
        <v>36.084207143332733</v>
      </c>
      <c r="Q428" s="1">
        <f t="shared" si="74"/>
        <v>-23.862224677682921</v>
      </c>
      <c r="R428">
        <f>SQRT(Tabelle2[[#This Row],[vx]]*Tabelle2[[#This Row],[vx]]+Tabelle2[[#This Row],[vy]]*Tabelle2[[#This Row],[vy]])</f>
        <v>43.260556766310408</v>
      </c>
      <c r="S428">
        <f t="shared" si="75"/>
        <v>391.74554157501478</v>
      </c>
      <c r="T428" s="1">
        <f t="shared" si="76"/>
        <v>168.45148158887423</v>
      </c>
    </row>
    <row r="429" spans="6:20" x14ac:dyDescent="0.35">
      <c r="F429" s="1">
        <f t="shared" si="72"/>
        <v>8.5199999999999072</v>
      </c>
      <c r="G429">
        <f>1/2*$B$8*$B$6*$B$7*(Tabelle2[[#This Row],[vx]]*Tabelle2[[#This Row],[vx]]+Tabelle2[[#This Row],[vy]]*Tabelle2[[#This Row],[vy]])/1000000</f>
        <v>3.3203507145529656</v>
      </c>
      <c r="H429">
        <f>IF($B$3,-Tabelle2[[#This Row],[Fd]]*Tabelle2[[#This Row],[vx]]/Tabelle2[[#This Row],[v]],0)</f>
        <v>-2.7626109078783321</v>
      </c>
      <c r="I429">
        <f t="shared" si="66"/>
        <v>-1.8417406052522214</v>
      </c>
      <c r="J429">
        <f t="shared" si="67"/>
        <v>-3.6834812105044426E-2</v>
      </c>
      <c r="K429">
        <f t="shared" si="68"/>
        <v>0.72057944210079672</v>
      </c>
      <c r="L429">
        <f>-$B$5*$B$12-IF($B$3,Tabelle2[[#This Row],[Fd]]*Tabelle2[[#This Row],[vy]]/Tabelle2[[#This Row],[v]],0)</f>
        <v>-12.87306899170896</v>
      </c>
      <c r="M429">
        <f t="shared" si="69"/>
        <v>-8.5820459944726402</v>
      </c>
      <c r="N429">
        <f t="shared" si="70"/>
        <v>-0.17164091988945282</v>
      </c>
      <c r="O429">
        <f t="shared" si="71"/>
        <v>-0.48239795808496999</v>
      </c>
      <c r="P429" s="1">
        <f t="shared" si="73"/>
        <v>36.047389511092355</v>
      </c>
      <c r="Q429" s="1">
        <f t="shared" si="74"/>
        <v>-24.034077444303772</v>
      </c>
      <c r="R429">
        <f>SQRT(Tabelle2[[#This Row],[vx]]*Tabelle2[[#This Row],[vx]]+Tabelle2[[#This Row],[vy]]*Tabelle2[[#This Row],[vy]])</f>
        <v>43.324948576578862</v>
      </c>
      <c r="S429">
        <f t="shared" si="75"/>
        <v>392.46685754155902</v>
      </c>
      <c r="T429" s="1">
        <f t="shared" si="76"/>
        <v>167.97251856765436</v>
      </c>
    </row>
    <row r="430" spans="6:20" x14ac:dyDescent="0.35">
      <c r="F430" s="1">
        <f t="shared" si="72"/>
        <v>8.5399999999999068</v>
      </c>
      <c r="G430">
        <f>1/2*$B$8*$B$6*$B$7*(Tabelle2[[#This Row],[vx]]*Tabelle2[[#This Row],[vx]]+Tabelle2[[#This Row],[vy]]*Tabelle2[[#This Row],[vy]])/1000000</f>
        <v>3.3303020882083763</v>
      </c>
      <c r="H430">
        <f>IF($B$3,-Tabelle2[[#This Row],[Fd]]*Tabelle2[[#This Row],[vx]]/Tabelle2[[#This Row],[v]],0)</f>
        <v>-2.7639205158130338</v>
      </c>
      <c r="I430">
        <f t="shared" si="66"/>
        <v>-1.8426136772086892</v>
      </c>
      <c r="J430">
        <f t="shared" si="67"/>
        <v>-3.6852273544173787E-2</v>
      </c>
      <c r="K430">
        <f t="shared" si="68"/>
        <v>0.71984257124430462</v>
      </c>
      <c r="L430">
        <f>-$B$5*$B$12-IF($B$3,Tabelle2[[#This Row],[Fd]]*Tabelle2[[#This Row],[vy]]/Tabelle2[[#This Row],[v]],0)</f>
        <v>-12.857136877756359</v>
      </c>
      <c r="M430">
        <f t="shared" si="69"/>
        <v>-8.5714245851709059</v>
      </c>
      <c r="N430">
        <f t="shared" si="70"/>
        <v>-0.17142849170341812</v>
      </c>
      <c r="O430">
        <f t="shared" si="71"/>
        <v>-0.48582865220089866</v>
      </c>
      <c r="P430" s="1">
        <f t="shared" si="73"/>
        <v>36.010554698987313</v>
      </c>
      <c r="Q430" s="1">
        <f t="shared" si="74"/>
        <v>-24.205718364193224</v>
      </c>
      <c r="R430">
        <f>SQRT(Tabelle2[[#This Row],[vx]]*Tabelle2[[#This Row],[vx]]+Tabelle2[[#This Row],[vy]]*Tabelle2[[#This Row],[vy]])</f>
        <v>43.389824282375216</v>
      </c>
      <c r="S430">
        <f t="shared" si="75"/>
        <v>393.18743698365984</v>
      </c>
      <c r="T430" s="1">
        <f t="shared" si="76"/>
        <v>167.4901206095694</v>
      </c>
    </row>
    <row r="431" spans="6:20" x14ac:dyDescent="0.35">
      <c r="F431" s="1">
        <f t="shared" si="72"/>
        <v>8.5599999999999064</v>
      </c>
      <c r="G431">
        <f>1/2*$B$8*$B$6*$B$7*(Tabelle2[[#This Row],[vx]]*Tabelle2[[#This Row],[vx]]+Tabelle2[[#This Row],[vy]]*Tabelle2[[#This Row],[vy]])/1000000</f>
        <v>3.3403419461448527</v>
      </c>
      <c r="H431">
        <f>IF($B$3,-Tabelle2[[#This Row],[Fd]]*Tabelle2[[#This Row],[vx]]/Tabelle2[[#This Row],[v]],0)</f>
        <v>-2.7652507892218461</v>
      </c>
      <c r="I431">
        <f t="shared" si="66"/>
        <v>-1.8435005261478974</v>
      </c>
      <c r="J431">
        <f t="shared" si="67"/>
        <v>-3.6870010522957949E-2</v>
      </c>
      <c r="K431">
        <f t="shared" si="68"/>
        <v>0.71910534840363316</v>
      </c>
      <c r="L431">
        <f>-$B$5*$B$12-IF($B$3,Tabelle2[[#This Row],[Fd]]*Tabelle2[[#This Row],[vy]]/Tabelle2[[#This Row],[v]],0)</f>
        <v>-12.841161055511243</v>
      </c>
      <c r="M431">
        <f t="shared" si="69"/>
        <v>-8.5607740370074961</v>
      </c>
      <c r="N431">
        <f t="shared" si="70"/>
        <v>-0.17121548074014992</v>
      </c>
      <c r="O431">
        <f t="shared" si="71"/>
        <v>-0.48925509192533434</v>
      </c>
      <c r="P431" s="1">
        <f t="shared" si="73"/>
        <v>35.973702425443136</v>
      </c>
      <c r="Q431" s="1">
        <f t="shared" si="74"/>
        <v>-24.37714685589664</v>
      </c>
      <c r="R431">
        <f>SQRT(Tabelle2[[#This Row],[vx]]*Tabelle2[[#This Row],[vx]]+Tabelle2[[#This Row],[vy]]*Tabelle2[[#This Row],[vy]])</f>
        <v>43.455178690557524</v>
      </c>
      <c r="S431">
        <f t="shared" si="75"/>
        <v>393.90727955490416</v>
      </c>
      <c r="T431" s="1">
        <f t="shared" si="76"/>
        <v>167.00429195736851</v>
      </c>
    </row>
    <row r="432" spans="6:20" x14ac:dyDescent="0.35">
      <c r="F432" s="1">
        <f t="shared" si="72"/>
        <v>8.5799999999999059</v>
      </c>
      <c r="G432">
        <f>1/2*$B$8*$B$6*$B$7*(Tabelle2[[#This Row],[vx]]*Tabelle2[[#This Row],[vx]]+Tabelle2[[#This Row],[vy]]*Tabelle2[[#This Row],[vy]])/1000000</f>
        <v>3.3504698230430559</v>
      </c>
      <c r="H432">
        <f>IF($B$3,-Tabelle2[[#This Row],[Fd]]*Tabelle2[[#This Row],[vx]]/Tabelle2[[#This Row],[v]],0)</f>
        <v>-2.7666012780116604</v>
      </c>
      <c r="I432">
        <f t="shared" si="66"/>
        <v>-1.8444008520077737</v>
      </c>
      <c r="J432">
        <f t="shared" si="67"/>
        <v>-3.6888017040155478E-2</v>
      </c>
      <c r="K432">
        <f t="shared" si="68"/>
        <v>0.71836776812800196</v>
      </c>
      <c r="L432">
        <f>-$B$5*$B$12-IF($B$3,Tabelle2[[#This Row],[Fd]]*Tabelle2[[#This Row],[vy]]/Tabelle2[[#This Row],[v]],0)</f>
        <v>-12.82514143290393</v>
      </c>
      <c r="M432">
        <f t="shared" si="69"/>
        <v>-8.5500942886026206</v>
      </c>
      <c r="N432">
        <f t="shared" si="70"/>
        <v>-0.17100188577205241</v>
      </c>
      <c r="O432">
        <f t="shared" si="71"/>
        <v>-0.49267726559045627</v>
      </c>
      <c r="P432" s="1">
        <f t="shared" si="73"/>
        <v>35.936832414920175</v>
      </c>
      <c r="Q432" s="1">
        <f t="shared" si="74"/>
        <v>-24.548362336636789</v>
      </c>
      <c r="R432">
        <f>SQRT(Tabelle2[[#This Row],[vx]]*Tabelle2[[#This Row],[vx]]+Tabelle2[[#This Row],[vy]]*Tabelle2[[#This Row],[vy]])</f>
        <v>43.521006622421602</v>
      </c>
      <c r="S432">
        <f t="shared" si="75"/>
        <v>394.62638490330778</v>
      </c>
      <c r="T432" s="1">
        <f t="shared" si="76"/>
        <v>166.51503686544316</v>
      </c>
    </row>
    <row r="433" spans="6:20" x14ac:dyDescent="0.35">
      <c r="F433" s="1">
        <f t="shared" si="72"/>
        <v>8.5999999999999055</v>
      </c>
      <c r="G433">
        <f>1/2*$B$8*$B$6*$B$7*(Tabelle2[[#This Row],[vx]]*Tabelle2[[#This Row],[vx]]+Tabelle2[[#This Row],[vy]]*Tabelle2[[#This Row],[vy]])/1000000</f>
        <v>3.360685253454236</v>
      </c>
      <c r="H433">
        <f>IF($B$3,-Tabelle2[[#This Row],[Fd]]*Tabelle2[[#This Row],[vx]]/Tabelle2[[#This Row],[v]],0)</f>
        <v>-2.7679715346319402</v>
      </c>
      <c r="I433">
        <f t="shared" si="66"/>
        <v>-1.8453143564212935</v>
      </c>
      <c r="J433">
        <f t="shared" si="67"/>
        <v>-3.690628712842587E-2</v>
      </c>
      <c r="K433">
        <f t="shared" si="68"/>
        <v>0.71762982508631612</v>
      </c>
      <c r="L433">
        <f>-$B$5*$B$12-IF($B$3,Tabelle2[[#This Row],[Fd]]*Tabelle2[[#This Row],[vy]]/Tabelle2[[#This Row],[v]],0)</f>
        <v>-12.809077924926608</v>
      </c>
      <c r="M433">
        <f t="shared" si="69"/>
        <v>-8.539385283284405</v>
      </c>
      <c r="N433">
        <f t="shared" si="70"/>
        <v>-0.1707877056656881</v>
      </c>
      <c r="O433">
        <f t="shared" si="71"/>
        <v>-0.49609516150483374</v>
      </c>
      <c r="P433" s="1">
        <f t="shared" si="73"/>
        <v>35.89994439788002</v>
      </c>
      <c r="Q433" s="1">
        <f t="shared" si="74"/>
        <v>-24.719364222408842</v>
      </c>
      <c r="R433">
        <f>SQRT(Tabelle2[[#This Row],[vx]]*Tabelle2[[#This Row],[vx]]+Tabelle2[[#This Row],[vy]]*Tabelle2[[#This Row],[vy]])</f>
        <v>43.587302914162777</v>
      </c>
      <c r="S433">
        <f t="shared" si="75"/>
        <v>395.3447526714358</v>
      </c>
      <c r="T433" s="1">
        <f t="shared" si="76"/>
        <v>166.02235959985271</v>
      </c>
    </row>
    <row r="434" spans="6:20" x14ac:dyDescent="0.35">
      <c r="F434" s="1">
        <f t="shared" si="72"/>
        <v>8.6199999999999051</v>
      </c>
      <c r="G434">
        <f>1/2*$B$8*$B$6*$B$7*(Tabelle2[[#This Row],[vx]]*Tabelle2[[#This Row],[vx]]+Tabelle2[[#This Row],[vy]]*Tabelle2[[#This Row],[vy]])/1000000</f>
        <v>3.3709877718011678</v>
      </c>
      <c r="H434">
        <f>IF($B$3,-Tabelle2[[#This Row],[Fd]]*Tabelle2[[#This Row],[vx]]/Tabelle2[[#This Row],[v]],0)</f>
        <v>-2.7693611140987207</v>
      </c>
      <c r="I434">
        <f t="shared" si="66"/>
        <v>-1.8462407427324805</v>
      </c>
      <c r="J434">
        <f t="shared" si="67"/>
        <v>-3.6924814854649608E-2</v>
      </c>
      <c r="K434">
        <f t="shared" si="68"/>
        <v>0.71689151406648555</v>
      </c>
      <c r="L434">
        <f>-$B$5*$B$12-IF($B$3,Tabelle2[[#This Row],[Fd]]*Tabelle2[[#This Row],[vy]]/Tabelle2[[#This Row],[v]],0)</f>
        <v>-12.792970453569744</v>
      </c>
      <c r="M434">
        <f t="shared" si="69"/>
        <v>-8.5286469690464966</v>
      </c>
      <c r="N434">
        <f t="shared" si="70"/>
        <v>-0.17057293938092993</v>
      </c>
      <c r="O434">
        <f t="shared" si="71"/>
        <v>-0.49950876795529991</v>
      </c>
      <c r="P434" s="1">
        <f t="shared" si="73"/>
        <v>35.863038110751596</v>
      </c>
      <c r="Q434" s="1">
        <f t="shared" si="74"/>
        <v>-24.89015192807453</v>
      </c>
      <c r="R434">
        <f>SQRT(Tabelle2[[#This Row],[vx]]*Tabelle2[[#This Row],[vx]]+Tabelle2[[#This Row],[vy]]*Tabelle2[[#This Row],[vy]])</f>
        <v>43.654062417326678</v>
      </c>
      <c r="S434">
        <f t="shared" si="75"/>
        <v>396.0623824965221</v>
      </c>
      <c r="T434" s="1">
        <f t="shared" si="76"/>
        <v>165.52626443834788</v>
      </c>
    </row>
    <row r="435" spans="6:20" x14ac:dyDescent="0.35">
      <c r="F435" s="1">
        <f t="shared" si="72"/>
        <v>8.6399999999999046</v>
      </c>
      <c r="G435">
        <f>1/2*$B$8*$B$6*$B$7*(Tabelle2[[#This Row],[vx]]*Tabelle2[[#This Row],[vx]]+Tabelle2[[#This Row],[vy]]*Tabelle2[[#This Row],[vy]])/1000000</f>
        <v>3.3813769123793582</v>
      </c>
      <c r="H435">
        <f>IF($B$3,-Tabelle2[[#This Row],[Fd]]*Tabelle2[[#This Row],[vx]]/Tabelle2[[#This Row],[v]],0)</f>
        <v>-2.7707695740178124</v>
      </c>
      <c r="I435">
        <f t="shared" si="66"/>
        <v>-1.847179716011875</v>
      </c>
      <c r="J435">
        <f t="shared" si="67"/>
        <v>-3.6943594320237499E-2</v>
      </c>
      <c r="K435">
        <f t="shared" si="68"/>
        <v>0.71615282997473662</v>
      </c>
      <c r="L435">
        <f>-$B$5*$B$12-IF($B$3,Tabelle2[[#This Row],[Fd]]*Tabelle2[[#This Row],[vy]]/Tabelle2[[#This Row],[v]],0)</f>
        <v>-12.776818947758153</v>
      </c>
      <c r="M435">
        <f t="shared" si="69"/>
        <v>-8.5178792985054361</v>
      </c>
      <c r="N435">
        <f t="shared" si="70"/>
        <v>-0.17035758597010872</v>
      </c>
      <c r="O435">
        <f t="shared" si="71"/>
        <v>-0.50291807320881032</v>
      </c>
      <c r="P435" s="1">
        <f t="shared" si="73"/>
        <v>35.826113295896945</v>
      </c>
      <c r="Q435" s="1">
        <f t="shared" si="74"/>
        <v>-25.060724867455459</v>
      </c>
      <c r="R435">
        <f>SQRT(Tabelle2[[#This Row],[vx]]*Tabelle2[[#This Row],[vx]]+Tabelle2[[#This Row],[vy]]*Tabelle2[[#This Row],[vy]])</f>
        <v>43.721279999249155</v>
      </c>
      <c r="S435">
        <f t="shared" si="75"/>
        <v>396.77927401058861</v>
      </c>
      <c r="T435" s="1">
        <f t="shared" si="76"/>
        <v>165.02675567039259</v>
      </c>
    </row>
    <row r="436" spans="6:20" x14ac:dyDescent="0.35">
      <c r="F436" s="1">
        <f t="shared" si="72"/>
        <v>8.6599999999999042</v>
      </c>
      <c r="G436">
        <f>1/2*$B$8*$B$6*$B$7*(Tabelle2[[#This Row],[vx]]*Tabelle2[[#This Row],[vx]]+Tabelle2[[#This Row],[vy]]*Tabelle2[[#This Row],[vy]])/1000000</f>
        <v>3.3918522093585319</v>
      </c>
      <c r="H436">
        <f>IF($B$3,-Tabelle2[[#This Row],[Fd]]*Tabelle2[[#This Row],[vx]]/Tabelle2[[#This Row],[v]],0)</f>
        <v>-2.7721964746072216</v>
      </c>
      <c r="I436">
        <f t="shared" si="66"/>
        <v>-1.8481309830714812</v>
      </c>
      <c r="J436">
        <f t="shared" si="67"/>
        <v>-3.6962619661429622E-2</v>
      </c>
      <c r="K436">
        <f t="shared" si="68"/>
        <v>0.71541376783491994</v>
      </c>
      <c r="L436">
        <f>-$B$5*$B$12-IF($B$3,Tabelle2[[#This Row],[Fd]]*Tabelle2[[#This Row],[vy]]/Tabelle2[[#This Row],[v]],0)</f>
        <v>-12.760623343286754</v>
      </c>
      <c r="M436">
        <f t="shared" si="69"/>
        <v>-8.5070822288578363</v>
      </c>
      <c r="N436">
        <f t="shared" si="70"/>
        <v>-0.17014164457715672</v>
      </c>
      <c r="O436">
        <f t="shared" si="71"/>
        <v>-0.50632306551428297</v>
      </c>
      <c r="P436" s="1">
        <f t="shared" si="73"/>
        <v>35.789169701576711</v>
      </c>
      <c r="Q436" s="1">
        <f t="shared" si="74"/>
        <v>-25.231082453425568</v>
      </c>
      <c r="R436">
        <f>SQRT(Tabelle2[[#This Row],[vx]]*Tabelle2[[#This Row],[vx]]+Tabelle2[[#This Row],[vy]]*Tabelle2[[#This Row],[vy]])</f>
        <v>43.78895054348547</v>
      </c>
      <c r="S436">
        <f t="shared" si="75"/>
        <v>397.49542684056337</v>
      </c>
      <c r="T436" s="1">
        <f t="shared" si="76"/>
        <v>164.52383759718379</v>
      </c>
    </row>
    <row r="437" spans="6:20" x14ac:dyDescent="0.35">
      <c r="F437" s="1">
        <f t="shared" si="72"/>
        <v>8.6799999999999038</v>
      </c>
      <c r="G437">
        <f>1/2*$B$8*$B$6*$B$7*(Tabelle2[[#This Row],[vx]]*Tabelle2[[#This Row],[vx]]+Tabelle2[[#This Row],[vy]]*Tabelle2[[#This Row],[vy]])/1000000</f>
        <v>3.4024131967843712</v>
      </c>
      <c r="H437">
        <f>IF($B$3,-Tabelle2[[#This Row],[Fd]]*Tabelle2[[#This Row],[vx]]/Tabelle2[[#This Row],[v]],0)</f>
        <v>-2.7736413787187684</v>
      </c>
      <c r="I437">
        <f t="shared" si="66"/>
        <v>-1.8490942524791789</v>
      </c>
      <c r="J437">
        <f t="shared" si="67"/>
        <v>-3.6981885049583579E-2</v>
      </c>
      <c r="K437">
        <f t="shared" si="68"/>
        <v>0.71467432278780973</v>
      </c>
      <c r="L437">
        <f>-$B$5*$B$12-IF($B$3,Tabelle2[[#This Row],[Fd]]*Tabelle2[[#This Row],[vy]]/Tabelle2[[#This Row],[v]],0)</f>
        <v>-12.744383582756022</v>
      </c>
      <c r="M437">
        <f t="shared" si="69"/>
        <v>-8.4962557218373487</v>
      </c>
      <c r="N437">
        <f t="shared" si="70"/>
        <v>-0.16992511443674699</v>
      </c>
      <c r="O437">
        <f t="shared" si="71"/>
        <v>-0.50972373310442198</v>
      </c>
      <c r="P437" s="1">
        <f t="shared" si="73"/>
        <v>35.75220708191528</v>
      </c>
      <c r="Q437" s="1">
        <f t="shared" si="74"/>
        <v>-25.401224098002725</v>
      </c>
      <c r="R437">
        <f>SQRT(Tabelle2[[#This Row],[vx]]*Tabelle2[[#This Row],[vx]]+Tabelle2[[#This Row],[vy]]*Tabelle2[[#This Row],[vy]])</f>
        <v>43.857068950228623</v>
      </c>
      <c r="S437">
        <f t="shared" si="75"/>
        <v>398.21084060839831</v>
      </c>
      <c r="T437" s="1">
        <f t="shared" si="76"/>
        <v>164.01751453166949</v>
      </c>
    </row>
    <row r="438" spans="6:20" x14ac:dyDescent="0.35">
      <c r="F438" s="1">
        <f t="shared" si="72"/>
        <v>8.6999999999999034</v>
      </c>
      <c r="G438">
        <f>1/2*$B$8*$B$6*$B$7*(Tabelle2[[#This Row],[vx]]*Tabelle2[[#This Row],[vx]]+Tabelle2[[#This Row],[vy]]*Tabelle2[[#This Row],[vy]])/1000000</f>
        <v>3.4130594085805352</v>
      </c>
      <c r="H438">
        <f>IF($B$3,-Tabelle2[[#This Row],[Fd]]*Tabelle2[[#This Row],[vx]]/Tabelle2[[#This Row],[v]],0)</f>
        <v>-2.7751038518589435</v>
      </c>
      <c r="I438">
        <f t="shared" si="66"/>
        <v>-1.8500692345726291</v>
      </c>
      <c r="J438">
        <f t="shared" si="67"/>
        <v>-3.7001384691452581E-2</v>
      </c>
      <c r="K438">
        <f t="shared" si="68"/>
        <v>0.71393449009039944</v>
      </c>
      <c r="L438">
        <f>-$B$5*$B$12-IF($B$3,Tabelle2[[#This Row],[Fd]]*Tabelle2[[#This Row],[vy]]/Tabelle2[[#This Row],[v]],0)</f>
        <v>-12.728099615507167</v>
      </c>
      <c r="M438">
        <f t="shared" si="69"/>
        <v>-8.4853997436714454</v>
      </c>
      <c r="N438">
        <f t="shared" si="70"/>
        <v>-0.16970799487342891</v>
      </c>
      <c r="O438">
        <f t="shared" si="71"/>
        <v>-0.51312006419752376</v>
      </c>
      <c r="P438" s="1">
        <f t="shared" si="73"/>
        <v>35.715225196865696</v>
      </c>
      <c r="Q438" s="1">
        <f t="shared" si="74"/>
        <v>-25.571149212439472</v>
      </c>
      <c r="R438">
        <f>SQRT(Tabelle2[[#This Row],[vx]]*Tabelle2[[#This Row],[vx]]+Tabelle2[[#This Row],[vy]]*Tabelle2[[#This Row],[vy]])</f>
        <v>43.925630136717153</v>
      </c>
      <c r="S438">
        <f t="shared" si="75"/>
        <v>398.92551493118611</v>
      </c>
      <c r="T438" s="1">
        <f t="shared" si="76"/>
        <v>163.50779079856508</v>
      </c>
    </row>
    <row r="439" spans="6:20" x14ac:dyDescent="0.35">
      <c r="F439" s="1">
        <f t="shared" si="72"/>
        <v>8.7199999999999029</v>
      </c>
      <c r="G439">
        <f>1/2*$B$8*$B$6*$B$7*(Tabelle2[[#This Row],[vx]]*Tabelle2[[#This Row],[vx]]+Tabelle2[[#This Row],[vy]]*Tabelle2[[#This Row],[vy]])/1000000</f>
        <v>3.4237903785509243</v>
      </c>
      <c r="H439">
        <f>IF($B$3,-Tabelle2[[#This Row],[Fd]]*Tabelle2[[#This Row],[vx]]/Tabelle2[[#This Row],[v]],0)</f>
        <v>-2.7765834622089831</v>
      </c>
      <c r="I439">
        <f t="shared" si="66"/>
        <v>-1.8510556414726553</v>
      </c>
      <c r="J439">
        <f t="shared" si="67"/>
        <v>-3.7021112829453105E-2</v>
      </c>
      <c r="K439">
        <f t="shared" si="68"/>
        <v>0.71319426511519046</v>
      </c>
      <c r="L439">
        <f>-$B$5*$B$12-IF($B$3,Tabelle2[[#This Row],[Fd]]*Tabelle2[[#This Row],[vy]]/Tabelle2[[#This Row],[v]],0)</f>
        <v>-12.711771397557069</v>
      </c>
      <c r="M439">
        <f t="shared" si="69"/>
        <v>-8.4745142650380458</v>
      </c>
      <c r="N439">
        <f t="shared" si="70"/>
        <v>-0.16949028530076091</v>
      </c>
      <c r="O439">
        <f t="shared" si="71"/>
        <v>-0.51651204699926567</v>
      </c>
      <c r="P439" s="1">
        <f t="shared" si="73"/>
        <v>35.678223812174245</v>
      </c>
      <c r="Q439" s="1">
        <f t="shared" si="74"/>
        <v>-25.740857207312903</v>
      </c>
      <c r="R439">
        <f>SQRT(Tabelle2[[#This Row],[vx]]*Tabelle2[[#This Row],[vx]]+Tabelle2[[#This Row],[vy]]*Tabelle2[[#This Row],[vy]])</f>
        <v>43.994629037632194</v>
      </c>
      <c r="S439">
        <f t="shared" si="75"/>
        <v>399.63944942127654</v>
      </c>
      <c r="T439" s="1">
        <f t="shared" si="76"/>
        <v>162.99467073436756</v>
      </c>
    </row>
    <row r="440" spans="6:20" x14ac:dyDescent="0.35">
      <c r="F440" s="1">
        <f t="shared" si="72"/>
        <v>8.7399999999999025</v>
      </c>
      <c r="G440">
        <f>1/2*$B$8*$B$6*$B$7*(Tabelle2[[#This Row],[vx]]*Tabelle2[[#This Row],[vx]]+Tabelle2[[#This Row],[vy]]*Tabelle2[[#This Row],[vy]])/1000000</f>
        <v>3.4346056403822014</v>
      </c>
      <c r="H440">
        <f>IF($B$3,-Tabelle2[[#This Row],[Fd]]*Tabelle2[[#This Row],[vx]]/Tabelle2[[#This Row],[v]],0)</f>
        <v>-2.7780797806441777</v>
      </c>
      <c r="I440">
        <f t="shared" si="66"/>
        <v>-1.8520531870961185</v>
      </c>
      <c r="J440">
        <f t="shared" si="67"/>
        <v>-3.704106374192237E-2</v>
      </c>
      <c r="K440">
        <f t="shared" si="68"/>
        <v>0.7124536433494767</v>
      </c>
      <c r="L440">
        <f>-$B$5*$B$12-IF($B$3,Tabelle2[[#This Row],[Fd]]*Tabelle2[[#This Row],[vy]]/Tabelle2[[#This Row],[v]],0)</f>
        <v>-12.695398891532978</v>
      </c>
      <c r="M440">
        <f t="shared" si="69"/>
        <v>-8.4635992610219848</v>
      </c>
      <c r="N440">
        <f t="shared" si="70"/>
        <v>-0.16927198522043971</v>
      </c>
      <c r="O440">
        <f t="shared" si="71"/>
        <v>-0.51989966970447765</v>
      </c>
      <c r="P440" s="1">
        <f t="shared" si="73"/>
        <v>35.641202699344795</v>
      </c>
      <c r="Q440" s="1">
        <f t="shared" si="74"/>
        <v>-25.910347492613663</v>
      </c>
      <c r="R440">
        <f>SQRT(Tabelle2[[#This Row],[vx]]*Tabelle2[[#This Row],[vx]]+Tabelle2[[#This Row],[vy]]*Tabelle2[[#This Row],[vy]])</f>
        <v>44.06406060548408</v>
      </c>
      <c r="S440">
        <f t="shared" si="75"/>
        <v>400.35264368639173</v>
      </c>
      <c r="T440" s="1">
        <f t="shared" si="76"/>
        <v>162.47815868736831</v>
      </c>
    </row>
    <row r="441" spans="6:20" x14ac:dyDescent="0.35">
      <c r="F441" s="1">
        <f t="shared" si="72"/>
        <v>8.7599999999999021</v>
      </c>
      <c r="G441">
        <f>1/2*$B$8*$B$6*$B$7*(Tabelle2[[#This Row],[vx]]*Tabelle2[[#This Row],[vx]]+Tabelle2[[#This Row],[vy]]*Tabelle2[[#This Row],[vy]])/1000000</f>
        <v>3.4455047276465733</v>
      </c>
      <c r="H441">
        <f>IF($B$3,-Tabelle2[[#This Row],[Fd]]*Tabelle2[[#This Row],[vx]]/Tabelle2[[#This Row],[v]],0)</f>
        <v>-2.779592380752435</v>
      </c>
      <c r="I441">
        <f t="shared" si="66"/>
        <v>-1.8530615871682901</v>
      </c>
      <c r="J441">
        <f t="shared" si="67"/>
        <v>-3.70612317433658E-2</v>
      </c>
      <c r="K441">
        <f t="shared" si="68"/>
        <v>0.7117126203946238</v>
      </c>
      <c r="L441">
        <f>-$B$5*$B$12-IF($B$3,Tabelle2[[#This Row],[Fd]]*Tabelle2[[#This Row],[vy]]/Tabelle2[[#This Row],[v]],0)</f>
        <v>-12.678982066607</v>
      </c>
      <c r="M441">
        <f t="shared" si="69"/>
        <v>-8.4526547110713341</v>
      </c>
      <c r="N441">
        <f t="shared" si="70"/>
        <v>-0.1690530942214267</v>
      </c>
      <c r="O441">
        <f t="shared" si="71"/>
        <v>-0.52328292049889635</v>
      </c>
      <c r="P441" s="1">
        <f t="shared" si="73"/>
        <v>35.604161635602871</v>
      </c>
      <c r="Q441" s="1">
        <f t="shared" si="74"/>
        <v>-26.079619477834104</v>
      </c>
      <c r="R441">
        <f>SQRT(Tabelle2[[#This Row],[vx]]*Tabelle2[[#This Row],[vx]]+Tabelle2[[#This Row],[vy]]*Tabelle2[[#This Row],[vy]])</f>
        <v>44.133919810988452</v>
      </c>
      <c r="S441">
        <f t="shared" si="75"/>
        <v>401.06509732974121</v>
      </c>
      <c r="T441" s="1">
        <f t="shared" si="76"/>
        <v>161.95825901766383</v>
      </c>
    </row>
    <row r="442" spans="6:20" x14ac:dyDescent="0.35">
      <c r="F442" s="1">
        <f t="shared" si="72"/>
        <v>8.7799999999999017</v>
      </c>
      <c r="G442">
        <f>1/2*$B$8*$B$6*$B$7*(Tabelle2[[#This Row],[vx]]*Tabelle2[[#This Row],[vx]]+Tabelle2[[#This Row],[vy]]*Tabelle2[[#This Row],[vy]])/1000000</f>
        <v>3.4564871738048102</v>
      </c>
      <c r="H442">
        <f>IF($B$3,-Tabelle2[[#This Row],[Fd]]*Tabelle2[[#This Row],[vx]]/Tabelle2[[#This Row],[v]],0)</f>
        <v>-2.7811208388520789</v>
      </c>
      <c r="I442">
        <f t="shared" si="66"/>
        <v>-1.8540805592347194</v>
      </c>
      <c r="J442">
        <f t="shared" si="67"/>
        <v>-3.7081611184694385E-2</v>
      </c>
      <c r="K442">
        <f t="shared" si="68"/>
        <v>0.7109711919653432</v>
      </c>
      <c r="L442">
        <f>-$B$5*$B$12-IF($B$3,Tabelle2[[#This Row],[Fd]]*Tabelle2[[#This Row],[vy]]/Tabelle2[[#This Row],[v]],0)</f>
        <v>-12.662520898430419</v>
      </c>
      <c r="M442">
        <f t="shared" si="69"/>
        <v>-8.4416805989536119</v>
      </c>
      <c r="N442">
        <f t="shared" si="70"/>
        <v>-0.16883361197907223</v>
      </c>
      <c r="O442">
        <f t="shared" si="71"/>
        <v>-0.52666178756090132</v>
      </c>
      <c r="P442" s="1">
        <f t="shared" si="73"/>
        <v>35.567100403859506</v>
      </c>
      <c r="Q442" s="1">
        <f t="shared" si="74"/>
        <v>-26.248672572055529</v>
      </c>
      <c r="R442">
        <f>SQRT(Tabelle2[[#This Row],[vx]]*Tabelle2[[#This Row],[vx]]+Tabelle2[[#This Row],[vy]]*Tabelle2[[#This Row],[vy]])</f>
        <v>44.204201643432079</v>
      </c>
      <c r="S442">
        <f t="shared" si="75"/>
        <v>401.77680995013583</v>
      </c>
      <c r="T442" s="1">
        <f t="shared" si="76"/>
        <v>161.43497609716493</v>
      </c>
    </row>
    <row r="443" spans="6:20" x14ac:dyDescent="0.35">
      <c r="F443" s="1">
        <f t="shared" si="72"/>
        <v>8.7999999999999012</v>
      </c>
      <c r="G443">
        <f>1/2*$B$8*$B$6*$B$7*(Tabelle2[[#This Row],[vx]]*Tabelle2[[#This Row],[vx]]+Tabelle2[[#This Row],[vy]]*Tabelle2[[#This Row],[vy]])/1000000</f>
        <v>3.4675525122095103</v>
      </c>
      <c r="H443">
        <f>IF($B$3,-Tabelle2[[#This Row],[Fd]]*Tabelle2[[#This Row],[vx]]/Tabelle2[[#This Row],[v]],0)</f>
        <v>-2.782664734008919</v>
      </c>
      <c r="I443">
        <f t="shared" si="66"/>
        <v>-1.8551098226726126</v>
      </c>
      <c r="J443">
        <f t="shared" si="67"/>
        <v>-3.7102196453452252E-2</v>
      </c>
      <c r="K443">
        <f t="shared" si="68"/>
        <v>0.71022935388896169</v>
      </c>
      <c r="L443">
        <f>-$B$5*$B$12-IF($B$3,Tabelle2[[#This Row],[Fd]]*Tabelle2[[#This Row],[vy]]/Tabelle2[[#This Row],[v]],0)</f>
        <v>-12.646015369067822</v>
      </c>
      <c r="M443">
        <f t="shared" si="69"/>
        <v>-8.4306769127118812</v>
      </c>
      <c r="N443">
        <f t="shared" si="70"/>
        <v>-0.16861353825423764</v>
      </c>
      <c r="O443">
        <f t="shared" si="71"/>
        <v>-0.53003625906323437</v>
      </c>
      <c r="P443" s="1">
        <f t="shared" si="73"/>
        <v>35.530018792674809</v>
      </c>
      <c r="Q443" s="1">
        <f t="shared" si="74"/>
        <v>-26.4175061840346</v>
      </c>
      <c r="R443">
        <f>SQRT(Tabelle2[[#This Row],[vx]]*Tabelle2[[#This Row],[vx]]+Tabelle2[[#This Row],[vy]]*Tabelle2[[#This Row],[vy]])</f>
        <v>44.274901111028264</v>
      </c>
      <c r="S443">
        <f t="shared" si="75"/>
        <v>402.4877811421012</v>
      </c>
      <c r="T443" s="1">
        <f t="shared" si="76"/>
        <v>160.90831430960404</v>
      </c>
    </row>
    <row r="444" spans="6:20" x14ac:dyDescent="0.35">
      <c r="F444" s="1">
        <f t="shared" si="72"/>
        <v>8.8199999999999008</v>
      </c>
      <c r="G444">
        <f>1/2*$B$8*$B$6*$B$7*(Tabelle2[[#This Row],[vx]]*Tabelle2[[#This Row],[vx]]+Tabelle2[[#This Row],[vy]]*Tabelle2[[#This Row],[vy]])/1000000</f>
        <v>3.4787002761086074</v>
      </c>
      <c r="H444">
        <f>IF($B$3,-Tabelle2[[#This Row],[Fd]]*Tabelle2[[#This Row],[vx]]/Tabelle2[[#This Row],[v]],0)</f>
        <v>-2.7842236480525799</v>
      </c>
      <c r="I444">
        <f t="shared" si="66"/>
        <v>-1.85614909870172</v>
      </c>
      <c r="J444">
        <f t="shared" si="67"/>
        <v>-3.7122981974034401E-2</v>
      </c>
      <c r="K444">
        <f t="shared" si="68"/>
        <v>0.7094871021046868</v>
      </c>
      <c r="L444">
        <f>-$B$5*$B$12-IF($B$3,Tabelle2[[#This Row],[Fd]]*Tabelle2[[#This Row],[vy]]/Tabelle2[[#This Row],[v]],0)</f>
        <v>-12.629465466931107</v>
      </c>
      <c r="M444">
        <f t="shared" si="69"/>
        <v>-8.4196436446207379</v>
      </c>
      <c r="N444">
        <f t="shared" si="70"/>
        <v>-0.16839287289241475</v>
      </c>
      <c r="O444">
        <f t="shared" si="71"/>
        <v>-0.53340632317470094</v>
      </c>
      <c r="P444" s="1">
        <f t="shared" si="73"/>
        <v>35.492916596221356</v>
      </c>
      <c r="Q444" s="1">
        <f t="shared" si="74"/>
        <v>-26.586119722288839</v>
      </c>
      <c r="R444">
        <f>SQRT(Tabelle2[[#This Row],[vx]]*Tabelle2[[#This Row],[vx]]+Tabelle2[[#This Row],[vy]]*Tabelle2[[#This Row],[vy]])</f>
        <v>44.346013241262185</v>
      </c>
      <c r="S444">
        <f t="shared" si="75"/>
        <v>403.19801049599016</v>
      </c>
      <c r="T444" s="1">
        <f t="shared" si="76"/>
        <v>160.37827805054081</v>
      </c>
    </row>
    <row r="445" spans="6:20" x14ac:dyDescent="0.35">
      <c r="F445" s="1">
        <f t="shared" si="72"/>
        <v>8.8399999999999004</v>
      </c>
      <c r="G445">
        <f>1/2*$B$8*$B$6*$B$7*(Tabelle2[[#This Row],[vx]]*Tabelle2[[#This Row],[vx]]+Tabelle2[[#This Row],[vy]]*Tabelle2[[#This Row],[vy]])/1000000</f>
        <v>3.4899299986491101</v>
      </c>
      <c r="H445">
        <f>IF($B$3,-Tabelle2[[#This Row],[Fd]]*Tabelle2[[#This Row],[vx]]/Tabelle2[[#This Row],[v]],0)</f>
        <v>-2.7857971655921072</v>
      </c>
      <c r="I445">
        <f t="shared" si="66"/>
        <v>-1.8571981103947381</v>
      </c>
      <c r="J445">
        <f t="shared" si="67"/>
        <v>-3.7143962207894766E-2</v>
      </c>
      <c r="K445">
        <f t="shared" si="68"/>
        <v>0.70874443266286746</v>
      </c>
      <c r="L445">
        <f>-$B$5*$B$12-IF($B$3,Tabelle2[[#This Row],[Fd]]*Tabelle2[[#This Row],[vy]]/Tabelle2[[#This Row],[v]],0)</f>
        <v>-12.612871186713345</v>
      </c>
      <c r="M445">
        <f t="shared" si="69"/>
        <v>-8.4085807911422297</v>
      </c>
      <c r="N445">
        <f t="shared" si="70"/>
        <v>-0.16817161582284459</v>
      </c>
      <c r="O445">
        <f t="shared" si="71"/>
        <v>-0.53677196806185357</v>
      </c>
      <c r="P445" s="1">
        <f t="shared" si="73"/>
        <v>35.45579361424732</v>
      </c>
      <c r="Q445" s="1">
        <f t="shared" si="74"/>
        <v>-26.754512595181254</v>
      </c>
      <c r="R445">
        <f>SQRT(Tabelle2[[#This Row],[vx]]*Tabelle2[[#This Row],[vx]]+Tabelle2[[#This Row],[vy]]*Tabelle2[[#This Row],[vy]])</f>
        <v>44.417533081226082</v>
      </c>
      <c r="S445">
        <f t="shared" si="75"/>
        <v>403.90749759809484</v>
      </c>
      <c r="T445" s="1">
        <f t="shared" si="76"/>
        <v>159.84487172736613</v>
      </c>
    </row>
    <row r="446" spans="6:20" x14ac:dyDescent="0.35">
      <c r="F446" s="1">
        <f t="shared" si="72"/>
        <v>8.8599999999999</v>
      </c>
      <c r="G446">
        <f>1/2*$B$8*$B$6*$B$7*(Tabelle2[[#This Row],[vx]]*Tabelle2[[#This Row],[vx]]+Tabelle2[[#This Row],[vy]]*Tabelle2[[#This Row],[vy]])/1000000</f>
        <v>3.5012412128810744</v>
      </c>
      <c r="H446">
        <f>IF($B$3,-Tabelle2[[#This Row],[Fd]]*Tabelle2[[#This Row],[vx]]/Tabelle2[[#This Row],[v]],0)</f>
        <v>-2.7873848740308587</v>
      </c>
      <c r="I446">
        <f t="shared" si="66"/>
        <v>-1.858256582687239</v>
      </c>
      <c r="J446">
        <f t="shared" si="67"/>
        <v>-3.7165131653744785E-2</v>
      </c>
      <c r="K446">
        <f t="shared" si="68"/>
        <v>0.708001341724251</v>
      </c>
      <c r="L446">
        <f>-$B$5*$B$12-IF($B$3,Tabelle2[[#This Row],[Fd]]*Tabelle2[[#This Row],[vy]]/Tabelle2[[#This Row],[v]],0)</f>
        <v>-12.596232529322553</v>
      </c>
      <c r="M446">
        <f t="shared" si="69"/>
        <v>-8.3974883528817017</v>
      </c>
      <c r="N446">
        <f t="shared" si="70"/>
        <v>-0.16794976705763404</v>
      </c>
      <c r="O446">
        <f t="shared" si="71"/>
        <v>-0.5401331818906584</v>
      </c>
      <c r="P446" s="1">
        <f t="shared" si="73"/>
        <v>35.418649652039427</v>
      </c>
      <c r="Q446" s="1">
        <f t="shared" si="74"/>
        <v>-26.9226842110041</v>
      </c>
      <c r="R446">
        <f>SQRT(Tabelle2[[#This Row],[vx]]*Tabelle2[[#This Row],[vx]]+Tabelle2[[#This Row],[vy]]*Tabelle2[[#This Row],[vy]])</f>
        <v>44.489455697944457</v>
      </c>
      <c r="S446">
        <f t="shared" si="75"/>
        <v>404.61624203075769</v>
      </c>
      <c r="T446" s="1">
        <f t="shared" si="76"/>
        <v>159.30809975930427</v>
      </c>
    </row>
    <row r="447" spans="6:20" x14ac:dyDescent="0.35">
      <c r="F447" s="1">
        <f t="shared" si="72"/>
        <v>8.8799999999998995</v>
      </c>
      <c r="G447">
        <f>1/2*$B$8*$B$6*$B$7*(Tabelle2[[#This Row],[vx]]*Tabelle2[[#This Row],[vx]]+Tabelle2[[#This Row],[vy]]*Tabelle2[[#This Row],[vy]])/1000000</f>
        <v>3.512633451761801</v>
      </c>
      <c r="H447">
        <f>IF($B$3,-Tabelle2[[#This Row],[Fd]]*Tabelle2[[#This Row],[vx]]/Tabelle2[[#This Row],[v]],0)</f>
        <v>-2.7889863635806829</v>
      </c>
      <c r="I447">
        <f t="shared" si="66"/>
        <v>-1.8593242423871219</v>
      </c>
      <c r="J447">
        <f t="shared" si="67"/>
        <v>-3.7186484847742438E-2</v>
      </c>
      <c r="K447">
        <f t="shared" si="68"/>
        <v>0.70725782555923633</v>
      </c>
      <c r="L447">
        <f>-$B$5*$B$12-IF($B$3,Tabelle2[[#This Row],[Fd]]*Tabelle2[[#This Row],[vy]]/Tabelle2[[#This Row],[v]],0)</f>
        <v>-12.579549501815361</v>
      </c>
      <c r="M447">
        <f t="shared" si="69"/>
        <v>-8.3863663345435739</v>
      </c>
      <c r="N447">
        <f t="shared" si="70"/>
        <v>-0.16772732669087148</v>
      </c>
      <c r="O447">
        <f t="shared" si="71"/>
        <v>-0.5434899528281435</v>
      </c>
      <c r="P447" s="1">
        <f t="shared" si="73"/>
        <v>35.381484520385683</v>
      </c>
      <c r="Q447" s="1">
        <f t="shared" si="74"/>
        <v>-27.090633978061735</v>
      </c>
      <c r="R447">
        <f>SQRT(Tabelle2[[#This Row],[vx]]*Tabelle2[[#This Row],[vx]]+Tabelle2[[#This Row],[vy]]*Tabelle2[[#This Row],[vy]])</f>
        <v>44.561776178689342</v>
      </c>
      <c r="S447">
        <f t="shared" si="75"/>
        <v>405.32424337248193</v>
      </c>
      <c r="T447" s="1">
        <f t="shared" si="76"/>
        <v>158.7679665774136</v>
      </c>
    </row>
    <row r="448" spans="6:20" x14ac:dyDescent="0.35">
      <c r="F448" s="1">
        <f t="shared" si="72"/>
        <v>8.8999999999998991</v>
      </c>
      <c r="G448">
        <f>1/2*$B$8*$B$6*$B$7*(Tabelle2[[#This Row],[vx]]*Tabelle2[[#This Row],[vx]]+Tabelle2[[#This Row],[vy]]*Tabelle2[[#This Row],[vy]])/1000000</f>
        <v>3.5241062481602636</v>
      </c>
      <c r="H448">
        <f>IF($B$3,-Tabelle2[[#This Row],[Fd]]*Tabelle2[[#This Row],[vx]]/Tabelle2[[#This Row],[v]],0)</f>
        <v>-2.790601227275407</v>
      </c>
      <c r="I448">
        <f t="shared" si="66"/>
        <v>-1.8604008181836047</v>
      </c>
      <c r="J448">
        <f t="shared" si="67"/>
        <v>-3.7208016363672096E-2</v>
      </c>
      <c r="K448">
        <f t="shared" si="68"/>
        <v>0.70651388054712205</v>
      </c>
      <c r="L448">
        <f>-$B$5*$B$12-IF($B$3,Tabelle2[[#This Row],[Fd]]*Tabelle2[[#This Row],[vy]]/Tabelle2[[#This Row],[v]],0)</f>
        <v>-12.562822117330633</v>
      </c>
      <c r="M448">
        <f t="shared" si="69"/>
        <v>-8.3752147448870886</v>
      </c>
      <c r="N448">
        <f t="shared" si="70"/>
        <v>-0.16750429489774177</v>
      </c>
      <c r="O448">
        <f t="shared" si="71"/>
        <v>-0.54684226904402955</v>
      </c>
      <c r="P448" s="1">
        <f t="shared" si="73"/>
        <v>35.344298035537939</v>
      </c>
      <c r="Q448" s="1">
        <f t="shared" si="74"/>
        <v>-27.258361304752608</v>
      </c>
      <c r="R448">
        <f>SQRT(Tabelle2[[#This Row],[vx]]*Tabelle2[[#This Row],[vx]]+Tabelle2[[#This Row],[vy]]*Tabelle2[[#This Row],[vy]])</f>
        <v>44.634489631285867</v>
      </c>
      <c r="S448">
        <f t="shared" si="75"/>
        <v>406.03150119804116</v>
      </c>
      <c r="T448" s="1">
        <f t="shared" si="76"/>
        <v>158.22447662458546</v>
      </c>
    </row>
    <row r="449" spans="6:20" x14ac:dyDescent="0.35">
      <c r="F449" s="1">
        <f t="shared" si="72"/>
        <v>8.9199999999998987</v>
      </c>
      <c r="G449">
        <f>1/2*$B$8*$B$6*$B$7*(Tabelle2[[#This Row],[vx]]*Tabelle2[[#This Row],[vx]]+Tabelle2[[#This Row],[vy]]*Tabelle2[[#This Row],[vy]])/1000000</f>
        <v>3.5356591348617514</v>
      </c>
      <c r="H449">
        <f>IF($B$3,-Tabelle2[[#This Row],[Fd]]*Tabelle2[[#This Row],[vx]]/Tabelle2[[#This Row],[v]],0)</f>
        <v>-2.79222906098363</v>
      </c>
      <c r="I449">
        <f t="shared" si="66"/>
        <v>-1.8614860406557534</v>
      </c>
      <c r="J449">
        <f t="shared" si="67"/>
        <v>-3.7229720813115069E-2</v>
      </c>
      <c r="K449">
        <f t="shared" si="68"/>
        <v>0.70576950317535425</v>
      </c>
      <c r="L449">
        <f>-$B$5*$B$12-IF($B$3,Tabelle2[[#This Row],[Fd]]*Tabelle2[[#This Row],[vy]]/Tabelle2[[#This Row],[v]],0)</f>
        <v>-12.546050395023013</v>
      </c>
      <c r="M449">
        <f t="shared" si="69"/>
        <v>-8.3640335966820079</v>
      </c>
      <c r="N449">
        <f t="shared" si="70"/>
        <v>-0.16728067193364016</v>
      </c>
      <c r="O449">
        <f t="shared" si="71"/>
        <v>-0.55019011871234347</v>
      </c>
      <c r="P449" s="1">
        <f t="shared" si="73"/>
        <v>35.307090019174268</v>
      </c>
      <c r="Q449" s="1">
        <f t="shared" si="74"/>
        <v>-27.425865599650351</v>
      </c>
      <c r="R449">
        <f>SQRT(Tabelle2[[#This Row],[vx]]*Tabelle2[[#This Row],[vx]]+Tabelle2[[#This Row],[vy]]*Tabelle2[[#This Row],[vy]])</f>
        <v>44.707591184408038</v>
      </c>
      <c r="S449">
        <f t="shared" si="75"/>
        <v>406.73801507858826</v>
      </c>
      <c r="T449" s="1">
        <f t="shared" si="76"/>
        <v>157.67763435554144</v>
      </c>
    </row>
    <row r="450" spans="6:20" x14ac:dyDescent="0.35">
      <c r="F450" s="1">
        <f t="shared" si="72"/>
        <v>8.9399999999998983</v>
      </c>
      <c r="G450">
        <f>1/2*$B$8*$B$6*$B$7*(Tabelle2[[#This Row],[vx]]*Tabelle2[[#This Row],[vx]]+Tabelle2[[#This Row],[vy]]*Tabelle2[[#This Row],[vy]])/1000000</f>
        <v>3.5472916445727267</v>
      </c>
      <c r="H450">
        <f>IF($B$3,-Tabelle2[[#This Row],[Fd]]*Tabelle2[[#This Row],[vx]]/Tabelle2[[#This Row],[v]],0)</f>
        <v>-2.7938694634208296</v>
      </c>
      <c r="I450">
        <f t="shared" si="66"/>
        <v>-1.8625796422805532</v>
      </c>
      <c r="J450">
        <f t="shared" si="67"/>
        <v>-3.7251592845611067E-2</v>
      </c>
      <c r="K450">
        <f t="shared" si="68"/>
        <v>0.705024690038767</v>
      </c>
      <c r="L450">
        <f>-$B$5*$B$12-IF($B$3,Tabelle2[[#This Row],[Fd]]*Tabelle2[[#This Row],[vy]]/Tabelle2[[#This Row],[v]],0)</f>
        <v>-12.52923435999646</v>
      </c>
      <c r="M450">
        <f t="shared" si="69"/>
        <v>-8.352822906664306</v>
      </c>
      <c r="N450">
        <f t="shared" si="70"/>
        <v>-0.16705645813328612</v>
      </c>
      <c r="O450">
        <f t="shared" si="71"/>
        <v>-0.55353349001301266</v>
      </c>
      <c r="P450" s="1">
        <f t="shared" si="73"/>
        <v>35.269860298361152</v>
      </c>
      <c r="Q450" s="1">
        <f t="shared" si="74"/>
        <v>-27.59314627158399</v>
      </c>
      <c r="R450">
        <f>SQRT(Tabelle2[[#This Row],[vx]]*Tabelle2[[#This Row],[vx]]+Tabelle2[[#This Row],[vy]]*Tabelle2[[#This Row],[vy]])</f>
        <v>44.781075987865023</v>
      </c>
      <c r="S450">
        <f t="shared" si="75"/>
        <v>407.44378458176362</v>
      </c>
      <c r="T450" s="1">
        <f t="shared" si="76"/>
        <v>157.12744423682909</v>
      </c>
    </row>
    <row r="451" spans="6:20" x14ac:dyDescent="0.35">
      <c r="F451" s="1">
        <f t="shared" si="72"/>
        <v>8.9599999999998978</v>
      </c>
      <c r="G451">
        <f>1/2*$B$8*$B$6*$B$7*(Tabelle2[[#This Row],[vx]]*Tabelle2[[#This Row],[vx]]+Tabelle2[[#This Row],[vy]]*Tabelle2[[#This Row],[vy]])/1000000</f>
        <v>3.5590033099259002</v>
      </c>
      <c r="H451">
        <f>IF($B$3,-Tabelle2[[#This Row],[Fd]]*Tabelle2[[#This Row],[vx]]/Tabelle2[[#This Row],[v]],0)</f>
        <v>-2.7955220361608117</v>
      </c>
      <c r="I451">
        <f t="shared" ref="I451:I514" si="77">H451/$B$5</f>
        <v>-1.8636813574405411</v>
      </c>
      <c r="J451">
        <f t="shared" ref="J451:J514" si="78">I451*$B$13</f>
        <v>-3.7273627148810821E-2</v>
      </c>
      <c r="K451">
        <f t="shared" ref="K451:K514" si="79">$B$13*(P451+J451/2)</f>
        <v>0.70427943783882274</v>
      </c>
      <c r="L451">
        <f>-$B$5*$B$12-IF($B$3,Tabelle2[[#This Row],[Fd]]*Tabelle2[[#This Row],[vy]]/Tabelle2[[#This Row],[v]],0)</f>
        <v>-12.512374043237749</v>
      </c>
      <c r="M451">
        <f t="shared" ref="M451:M514" si="80">L451/$B$5</f>
        <v>-8.341582695491832</v>
      </c>
      <c r="N451">
        <f t="shared" ref="N451:N514" si="81">M451*$B$13</f>
        <v>-0.16683165390983665</v>
      </c>
      <c r="O451">
        <f t="shared" ref="O451:O514" si="82">$B$13*(Q451+N451/2)</f>
        <v>-0.5568723711334439</v>
      </c>
      <c r="P451" s="1">
        <f t="shared" si="73"/>
        <v>35.232608705515538</v>
      </c>
      <c r="Q451" s="1">
        <f t="shared" si="74"/>
        <v>-27.760202729717275</v>
      </c>
      <c r="R451">
        <f>SQRT(Tabelle2[[#This Row],[vx]]*Tabelle2[[#This Row],[vx]]+Tabelle2[[#This Row],[vy]]*Tabelle2[[#This Row],[vy]])</f>
        <v>44.854939212877902</v>
      </c>
      <c r="S451">
        <f t="shared" si="75"/>
        <v>408.14880927180241</v>
      </c>
      <c r="T451" s="1">
        <f t="shared" si="76"/>
        <v>156.57391074681607</v>
      </c>
    </row>
    <row r="452" spans="6:20" x14ac:dyDescent="0.35">
      <c r="F452" s="1">
        <f t="shared" ref="F452:F515" si="83">F451+$B$13</f>
        <v>8.9799999999998974</v>
      </c>
      <c r="G452">
        <f>1/2*$B$8*$B$6*$B$7*(Tabelle2[[#This Row],[vx]]*Tabelle2[[#This Row],[vx]]+Tabelle2[[#This Row],[vy]]*Tabelle2[[#This Row],[vy]])/1000000</f>
        <v>3.5707936634855098</v>
      </c>
      <c r="H452">
        <f>IF($B$3,-Tabelle2[[#This Row],[Fd]]*Tabelle2[[#This Row],[vx]]/Tabelle2[[#This Row],[v]],0)</f>
        <v>-2.797186383646487</v>
      </c>
      <c r="I452">
        <f t="shared" si="77"/>
        <v>-1.8647909224309913</v>
      </c>
      <c r="J452">
        <f t="shared" si="78"/>
        <v>-3.729581844861983E-2</v>
      </c>
      <c r="K452">
        <f t="shared" si="79"/>
        <v>0.70353374338284824</v>
      </c>
      <c r="L452">
        <f>-$B$5*$B$12-IF($B$3,Tabelle2[[#This Row],[Fd]]*Tabelle2[[#This Row],[vy]]/Tabelle2[[#This Row],[v]],0)</f>
        <v>-12.495469481549993</v>
      </c>
      <c r="M452">
        <f t="shared" si="80"/>
        <v>-8.3303129876999957</v>
      </c>
      <c r="N452">
        <f t="shared" si="81"/>
        <v>-0.16660625975399992</v>
      </c>
      <c r="O452">
        <f t="shared" si="82"/>
        <v>-0.56020675027008215</v>
      </c>
      <c r="P452" s="1">
        <f t="shared" ref="P452:P515" si="84">P451+J451</f>
        <v>35.195335078366725</v>
      </c>
      <c r="Q452" s="1">
        <f t="shared" ref="Q452:Q515" si="85">Q451+N451</f>
        <v>-27.92703438362711</v>
      </c>
      <c r="R452">
        <f>SQRT(Tabelle2[[#This Row],[vx]]*Tabelle2[[#This Row],[vx]]+Tabelle2[[#This Row],[vy]]*Tabelle2[[#This Row],[vy]])</f>
        <v>44.929176052347124</v>
      </c>
      <c r="S452">
        <f t="shared" ref="S452:S515" si="86">S451+K451</f>
        <v>408.85308870964121</v>
      </c>
      <c r="T452" s="1">
        <f t="shared" ref="T452:T515" si="87">T451+O451</f>
        <v>156.01703837568263</v>
      </c>
    </row>
    <row r="453" spans="6:20" x14ac:dyDescent="0.35">
      <c r="F453" s="1">
        <f t="shared" si="83"/>
        <v>8.999999999999897</v>
      </c>
      <c r="G453">
        <f>1/2*$B$8*$B$6*$B$7*(Tabelle2[[#This Row],[vx]]*Tabelle2[[#This Row],[vx]]+Tabelle2[[#This Row],[vy]]*Tabelle2[[#This Row],[vy]])/1000000</f>
        <v>3.5826622377528072</v>
      </c>
      <c r="H453">
        <f>IF($B$3,-Tabelle2[[#This Row],[Fd]]*Tabelle2[[#This Row],[vx]]/Tabelle2[[#This Row],[v]],0)</f>
        <v>-2.7988621131999958</v>
      </c>
      <c r="I453">
        <f t="shared" si="77"/>
        <v>-1.8659080754666639</v>
      </c>
      <c r="J453">
        <f t="shared" si="78"/>
        <v>-3.7318161509333279E-2</v>
      </c>
      <c r="K453">
        <f t="shared" si="79"/>
        <v>0.70278760358326875</v>
      </c>
      <c r="L453">
        <f>-$B$5*$B$12-IF($B$3,Tabelle2[[#This Row],[Fd]]*Tabelle2[[#This Row],[vy]]/Tabelle2[[#This Row],[v]],0)</f>
        <v>-12.478520717486163</v>
      </c>
      <c r="M453">
        <f t="shared" si="80"/>
        <v>-8.3190138116574417</v>
      </c>
      <c r="N453">
        <f t="shared" si="81"/>
        <v>-0.16638027623314883</v>
      </c>
      <c r="O453">
        <f t="shared" si="82"/>
        <v>-0.56353661562995372</v>
      </c>
      <c r="P453" s="1">
        <f t="shared" si="84"/>
        <v>35.158039259918105</v>
      </c>
      <c r="Q453" s="1">
        <f t="shared" si="85"/>
        <v>-28.093640643381111</v>
      </c>
      <c r="R453">
        <f>SQRT(Tabelle2[[#This Row],[vx]]*Tabelle2[[#This Row],[vx]]+Tabelle2[[#This Row],[vy]]*Tabelle2[[#This Row],[vy]])</f>
        <v>45.003781721110705</v>
      </c>
      <c r="S453">
        <f t="shared" si="86"/>
        <v>409.55662245302403</v>
      </c>
      <c r="T453" s="1">
        <f t="shared" si="87"/>
        <v>155.45683162541255</v>
      </c>
    </row>
    <row r="454" spans="6:20" x14ac:dyDescent="0.35">
      <c r="F454" s="1">
        <f t="shared" si="83"/>
        <v>9.0199999999998965</v>
      </c>
      <c r="G454">
        <f>1/2*$B$8*$B$6*$B$7*(Tabelle2[[#This Row],[vx]]*Tabelle2[[#This Row],[vx]]+Tabelle2[[#This Row],[vy]]*Tabelle2[[#This Row],[vy]])/1000000</f>
        <v>3.5946085651717437</v>
      </c>
      <c r="H454">
        <f>IF($B$3,-Tabelle2[[#This Row],[Fd]]*Tabelle2[[#This Row],[vx]]/Tabelle2[[#This Row],[v]],0)</f>
        <v>-2.8005488350321972</v>
      </c>
      <c r="I454">
        <f t="shared" si="77"/>
        <v>-1.8670325566881314</v>
      </c>
      <c r="J454">
        <f t="shared" si="78"/>
        <v>-3.7340651133762628E-2</v>
      </c>
      <c r="K454">
        <f t="shared" si="79"/>
        <v>0.70204101545683784</v>
      </c>
      <c r="L454">
        <f>-$B$5*$B$12-IF($B$3,Tabelle2[[#This Row],[Fd]]*Tabelle2[[#This Row],[vy]]/Tabelle2[[#This Row],[v]],0)</f>
        <v>-12.461527799282656</v>
      </c>
      <c r="M454">
        <f t="shared" si="80"/>
        <v>-8.3076851995217709</v>
      </c>
      <c r="N454">
        <f t="shared" si="81"/>
        <v>-0.16615370399043541</v>
      </c>
      <c r="O454">
        <f t="shared" si="82"/>
        <v>-0.56686195543218953</v>
      </c>
      <c r="P454" s="1">
        <f t="shared" si="84"/>
        <v>35.120721098408772</v>
      </c>
      <c r="Q454" s="1">
        <f t="shared" si="85"/>
        <v>-28.260020919614259</v>
      </c>
      <c r="R454">
        <f>SQRT(Tabelle2[[#This Row],[vx]]*Tabelle2[[#This Row],[vx]]+Tabelle2[[#This Row],[vy]]*Tabelle2[[#This Row],[vy]])</f>
        <v>45.078751456193309</v>
      </c>
      <c r="S454">
        <f t="shared" si="86"/>
        <v>410.25941005660729</v>
      </c>
      <c r="T454" s="1">
        <f t="shared" si="87"/>
        <v>154.89329500978261</v>
      </c>
    </row>
    <row r="455" spans="6:20" x14ac:dyDescent="0.35">
      <c r="F455" s="1">
        <f t="shared" si="83"/>
        <v>9.0399999999998961</v>
      </c>
      <c r="G455">
        <f>1/2*$B$8*$B$6*$B$7*(Tabelle2[[#This Row],[vx]]*Tabelle2[[#This Row],[vx]]+Tabelle2[[#This Row],[vy]]*Tabelle2[[#This Row],[vy]])/1000000</f>
        <v>3.6066321781348556</v>
      </c>
      <c r="H455">
        <f>IF($B$3,-Tabelle2[[#This Row],[Fd]]*Tabelle2[[#This Row],[vx]]/Tabelle2[[#This Row],[v]],0)</f>
        <v>-2.8022461622515191</v>
      </c>
      <c r="I455">
        <f t="shared" si="77"/>
        <v>-1.8681641081676794</v>
      </c>
      <c r="J455">
        <f t="shared" si="78"/>
        <v>-3.7363282163353592E-2</v>
      </c>
      <c r="K455">
        <f t="shared" si="79"/>
        <v>0.70129397612386668</v>
      </c>
      <c r="L455">
        <f>-$B$5*$B$12-IF($B$3,Tabelle2[[#This Row],[Fd]]*Tabelle2[[#This Row],[vy]]/Tabelle2[[#This Row],[v]],0)</f>
        <v>-12.444490780792908</v>
      </c>
      <c r="M455">
        <f t="shared" si="80"/>
        <v>-8.2963271871952724</v>
      </c>
      <c r="N455">
        <f t="shared" si="81"/>
        <v>-0.16592654374390545</v>
      </c>
      <c r="O455">
        <f t="shared" si="82"/>
        <v>-0.57018275790953299</v>
      </c>
      <c r="P455" s="1">
        <f t="shared" si="84"/>
        <v>35.083380447275012</v>
      </c>
      <c r="Q455" s="1">
        <f t="shared" si="85"/>
        <v>-28.426174623604695</v>
      </c>
      <c r="R455">
        <f>SQRT(Tabelle2[[#This Row],[vx]]*Tabelle2[[#This Row],[vx]]+Tabelle2[[#This Row],[vy]]*Tabelle2[[#This Row],[vy]])</f>
        <v>45.154080517046367</v>
      </c>
      <c r="S455">
        <f t="shared" si="86"/>
        <v>410.96145107206411</v>
      </c>
      <c r="T455" s="1">
        <f t="shared" si="87"/>
        <v>154.32643305435042</v>
      </c>
    </row>
    <row r="456" spans="6:20" x14ac:dyDescent="0.35">
      <c r="F456" s="1">
        <f t="shared" si="83"/>
        <v>9.0599999999998957</v>
      </c>
      <c r="G456">
        <f>1/2*$B$8*$B$6*$B$7*(Tabelle2[[#This Row],[vx]]*Tabelle2[[#This Row],[vx]]+Tabelle2[[#This Row],[vy]]*Tabelle2[[#This Row],[vy]])/1000000</f>
        <v>3.6187326089893368</v>
      </c>
      <c r="H456">
        <f>IF($B$3,-Tabelle2[[#This Row],[Fd]]*Tabelle2[[#This Row],[vx]]/Tabelle2[[#This Row],[v]],0)</f>
        <v>-2.8039537108721859</v>
      </c>
      <c r="I456">
        <f t="shared" si="77"/>
        <v>-1.8693024739147905</v>
      </c>
      <c r="J456">
        <f t="shared" si="78"/>
        <v>-3.738604947829581E-2</v>
      </c>
      <c r="K456">
        <f t="shared" si="79"/>
        <v>0.70054648280745013</v>
      </c>
      <c r="L456">
        <f>-$B$5*$B$12-IF($B$3,Tabelle2[[#This Row],[Fd]]*Tabelle2[[#This Row],[vy]]/Tabelle2[[#This Row],[v]],0)</f>
        <v>-12.427409721421061</v>
      </c>
      <c r="M456">
        <f t="shared" si="80"/>
        <v>-8.2849398142807065</v>
      </c>
      <c r="N456">
        <f t="shared" si="81"/>
        <v>-0.16569879628561412</v>
      </c>
      <c r="O456">
        <f t="shared" si="82"/>
        <v>-0.57349901130982806</v>
      </c>
      <c r="P456" s="1">
        <f t="shared" si="84"/>
        <v>35.046017165111657</v>
      </c>
      <c r="Q456" s="1">
        <f t="shared" si="85"/>
        <v>-28.592101167348599</v>
      </c>
      <c r="R456">
        <f>SQRT(Tabelle2[[#This Row],[vx]]*Tabelle2[[#This Row],[vx]]+Tabelle2[[#This Row],[vy]]*Tabelle2[[#This Row],[vy]])</f>
        <v>45.229764185779239</v>
      </c>
      <c r="S456">
        <f t="shared" si="86"/>
        <v>411.66274504818796</v>
      </c>
      <c r="T456" s="1">
        <f t="shared" si="87"/>
        <v>153.7562502964409</v>
      </c>
    </row>
    <row r="457" spans="6:20" x14ac:dyDescent="0.35">
      <c r="F457" s="1">
        <f t="shared" si="83"/>
        <v>9.0799999999998953</v>
      </c>
      <c r="G457">
        <f>1/2*$B$8*$B$6*$B$7*(Tabelle2[[#This Row],[vx]]*Tabelle2[[#This Row],[vx]]+Tabelle2[[#This Row],[vy]]*Tabelle2[[#This Row],[vy]])/1000000</f>
        <v>3.6309093900433118</v>
      </c>
      <c r="H457">
        <f>IF($B$3,-Tabelle2[[#This Row],[Fd]]*Tabelle2[[#This Row],[vx]]/Tabelle2[[#This Row],[v]],0)</f>
        <v>-2.8056710998218368</v>
      </c>
      <c r="I457">
        <f t="shared" si="77"/>
        <v>-1.8704473998812245</v>
      </c>
      <c r="J457">
        <f t="shared" si="78"/>
        <v>-3.7408947997624495E-2</v>
      </c>
      <c r="K457">
        <f t="shared" si="79"/>
        <v>0.69979853283269111</v>
      </c>
      <c r="L457">
        <f>-$B$5*$B$12-IF($B$3,Tabelle2[[#This Row],[Fd]]*Tabelle2[[#This Row],[vy]]/Tabelle2[[#This Row],[v]],0)</f>
        <v>-12.410284686055732</v>
      </c>
      <c r="M457">
        <f t="shared" si="80"/>
        <v>-8.2735231240371547</v>
      </c>
      <c r="N457">
        <f t="shared" si="81"/>
        <v>-0.1654704624807431</v>
      </c>
      <c r="O457">
        <f t="shared" si="82"/>
        <v>-0.57681070389749167</v>
      </c>
      <c r="P457" s="1">
        <f t="shared" si="84"/>
        <v>35.008631115633364</v>
      </c>
      <c r="Q457" s="1">
        <f t="shared" si="85"/>
        <v>-28.757799963634213</v>
      </c>
      <c r="R457">
        <f>SQRT(Tabelle2[[#This Row],[vx]]*Tabelle2[[#This Row],[vx]]+Tabelle2[[#This Row],[vy]]*Tabelle2[[#This Row],[vy]])</f>
        <v>45.30579776738174</v>
      </c>
      <c r="S457">
        <f t="shared" si="86"/>
        <v>412.36329153099541</v>
      </c>
      <c r="T457" s="1">
        <f t="shared" si="87"/>
        <v>153.18275128513108</v>
      </c>
    </row>
    <row r="458" spans="6:20" x14ac:dyDescent="0.35">
      <c r="F458" s="1">
        <f t="shared" si="83"/>
        <v>9.0999999999998948</v>
      </c>
      <c r="G458">
        <f>1/2*$B$8*$B$6*$B$7*(Tabelle2[[#This Row],[vx]]*Tabelle2[[#This Row],[vx]]+Tabelle2[[#This Row],[vy]]*Tabelle2[[#This Row],[vy]])/1000000</f>
        <v>3.6431620535722797</v>
      </c>
      <c r="H458">
        <f>IF($B$3,-Tabelle2[[#This Row],[Fd]]*Tabelle2[[#This Row],[vx]]/Tabelle2[[#This Row],[v]],0)</f>
        <v>-2.8073979509485318</v>
      </c>
      <c r="I458">
        <f t="shared" si="77"/>
        <v>-1.8715986339656878</v>
      </c>
      <c r="J458">
        <f t="shared" si="78"/>
        <v>-3.7431972679313759E-2</v>
      </c>
      <c r="K458">
        <f t="shared" si="79"/>
        <v>0.69905012362592156</v>
      </c>
      <c r="L458">
        <f>-$B$5*$B$12-IF($B$3,Tabelle2[[#This Row],[Fd]]*Tabelle2[[#This Row],[vy]]/Tabelle2[[#This Row],[v]],0)</f>
        <v>-12.393115745003859</v>
      </c>
      <c r="M458">
        <f t="shared" si="80"/>
        <v>-8.2620771633359062</v>
      </c>
      <c r="N458">
        <f t="shared" si="81"/>
        <v>-0.16524154326671814</v>
      </c>
      <c r="O458">
        <f t="shared" si="82"/>
        <v>-0.58011782395496636</v>
      </c>
      <c r="P458" s="1">
        <f t="shared" si="84"/>
        <v>34.971222167635737</v>
      </c>
      <c r="Q458" s="1">
        <f t="shared" si="85"/>
        <v>-28.923270426114957</v>
      </c>
      <c r="R458">
        <f>SQRT(Tabelle2[[#This Row],[vx]]*Tabelle2[[#This Row],[vx]]+Tabelle2[[#This Row],[vy]]*Tabelle2[[#This Row],[vy]])</f>
        <v>45.382176589937956</v>
      </c>
      <c r="S458">
        <f t="shared" si="86"/>
        <v>413.0630900638281</v>
      </c>
      <c r="T458" s="1">
        <f t="shared" si="87"/>
        <v>152.6059405812336</v>
      </c>
    </row>
    <row r="459" spans="6:20" x14ac:dyDescent="0.35">
      <c r="F459" s="1">
        <f t="shared" si="83"/>
        <v>9.1199999999998944</v>
      </c>
      <c r="G459">
        <f>1/2*$B$8*$B$6*$B$7*(Tabelle2[[#This Row],[vx]]*Tabelle2[[#This Row],[vx]]+Tabelle2[[#This Row],[vy]]*Tabelle2[[#This Row],[vy]])/1000000</f>
        <v>3.6554901318257591</v>
      </c>
      <c r="H459">
        <f>IF($B$3,-Tabelle2[[#This Row],[Fd]]*Tabelle2[[#This Row],[vx]]/Tabelle2[[#This Row],[v]],0)</f>
        <v>-2.8091338890271786</v>
      </c>
      <c r="I459">
        <f t="shared" si="77"/>
        <v>-1.872755926018119</v>
      </c>
      <c r="J459">
        <f t="shared" si="78"/>
        <v>-3.7455118520362381E-2</v>
      </c>
      <c r="K459">
        <f t="shared" si="79"/>
        <v>0.69830125271392496</v>
      </c>
      <c r="L459">
        <f>-$B$5*$B$12-IF($B$3,Tabelle2[[#This Row],[Fd]]*Tabelle2[[#This Row],[vy]]/Tabelle2[[#This Row],[v]],0)</f>
        <v>-12.375902973924649</v>
      </c>
      <c r="M459">
        <f t="shared" si="80"/>
        <v>-8.2506019826164323</v>
      </c>
      <c r="N459">
        <f t="shared" si="81"/>
        <v>-0.16501203965232866</v>
      </c>
      <c r="O459">
        <f t="shared" si="82"/>
        <v>-0.58342035978415685</v>
      </c>
      <c r="P459" s="1">
        <f t="shared" si="84"/>
        <v>34.933790194956423</v>
      </c>
      <c r="Q459" s="1">
        <f t="shared" si="85"/>
        <v>-29.088511969381674</v>
      </c>
      <c r="R459">
        <f>SQRT(Tabelle2[[#This Row],[vx]]*Tabelle2[[#This Row],[vx]]+Tabelle2[[#This Row],[vy]]*Tabelle2[[#This Row],[vy]])</f>
        <v>45.458896004831601</v>
      </c>
      <c r="S459">
        <f t="shared" si="86"/>
        <v>413.76214018745401</v>
      </c>
      <c r="T459" s="1">
        <f t="shared" si="87"/>
        <v>152.02582275727863</v>
      </c>
    </row>
    <row r="460" spans="6:20" x14ac:dyDescent="0.35">
      <c r="F460" s="1">
        <f t="shared" si="83"/>
        <v>9.139999999999894</v>
      </c>
      <c r="G460">
        <f>1/2*$B$8*$B$6*$B$7*(Tabelle2[[#This Row],[vx]]*Tabelle2[[#This Row],[vx]]+Tabelle2[[#This Row],[vy]]*Tabelle2[[#This Row],[vy]])/1000000</f>
        <v>3.6678931570340887</v>
      </c>
      <c r="H460">
        <f>IF($B$3,-Tabelle2[[#This Row],[Fd]]*Tabelle2[[#This Row],[vx]]/Tabelle2[[#This Row],[v]],0)</f>
        <v>-2.8108785417653595</v>
      </c>
      <c r="I460">
        <f t="shared" si="77"/>
        <v>-1.8739190278435729</v>
      </c>
      <c r="J460">
        <f t="shared" si="78"/>
        <v>-3.7478380556871457E-2</v>
      </c>
      <c r="K460">
        <f t="shared" si="79"/>
        <v>0.69755191772315239</v>
      </c>
      <c r="L460">
        <f>-$B$5*$B$12-IF($B$3,Tabelle2[[#This Row],[Fd]]*Tabelle2[[#This Row],[vy]]/Tabelle2[[#This Row],[v]],0)</f>
        <v>-12.358646453763667</v>
      </c>
      <c r="M460">
        <f t="shared" si="80"/>
        <v>-8.2390976358424446</v>
      </c>
      <c r="N460">
        <f t="shared" si="81"/>
        <v>-0.1647819527168489</v>
      </c>
      <c r="O460">
        <f t="shared" si="82"/>
        <v>-0.58671829970784861</v>
      </c>
      <c r="P460" s="1">
        <f t="shared" si="84"/>
        <v>34.89633507643606</v>
      </c>
      <c r="Q460" s="1">
        <f t="shared" si="85"/>
        <v>-29.253524009034003</v>
      </c>
      <c r="R460">
        <f>SQRT(Tabelle2[[#This Row],[vx]]*Tabelle2[[#This Row],[vx]]+Tabelle2[[#This Row],[vy]]*Tabelle2[[#This Row],[vy]])</f>
        <v>45.535951386942941</v>
      </c>
      <c r="S460">
        <f t="shared" si="86"/>
        <v>414.46044144016793</v>
      </c>
      <c r="T460" s="1">
        <f t="shared" si="87"/>
        <v>151.44240239749448</v>
      </c>
    </row>
    <row r="461" spans="6:20" x14ac:dyDescent="0.35">
      <c r="F461" s="1">
        <f t="shared" si="83"/>
        <v>9.1599999999998936</v>
      </c>
      <c r="G461">
        <f>1/2*$B$8*$B$6*$B$7*(Tabelle2[[#This Row],[vx]]*Tabelle2[[#This Row],[vx]]+Tabelle2[[#This Row],[vy]]*Tabelle2[[#This Row],[vy]])/1000000</f>
        <v>3.680370661415425</v>
      </c>
      <c r="H461">
        <f>IF($B$3,-Tabelle2[[#This Row],[Fd]]*Tabelle2[[#This Row],[vx]]/Tabelle2[[#This Row],[v]],0)</f>
        <v>-2.8126315398085975</v>
      </c>
      <c r="I461">
        <f t="shared" si="77"/>
        <v>-1.8750876932057317</v>
      </c>
      <c r="J461">
        <f t="shared" si="78"/>
        <v>-3.7501753864114633E-2</v>
      </c>
      <c r="K461">
        <f t="shared" si="79"/>
        <v>0.69680211637894263</v>
      </c>
      <c r="L461">
        <f>-$B$5*$B$12-IF($B$3,Tabelle2[[#This Row],[Fd]]*Tabelle2[[#This Row],[vy]]/Tabelle2[[#This Row],[v]],0)</f>
        <v>-12.341346270687039</v>
      </c>
      <c r="M461">
        <f t="shared" si="80"/>
        <v>-8.2275641804580264</v>
      </c>
      <c r="N461">
        <f t="shared" si="81"/>
        <v>-0.16455128360916052</v>
      </c>
      <c r="O461">
        <f t="shared" si="82"/>
        <v>-0.59001163207110863</v>
      </c>
      <c r="P461" s="1">
        <f t="shared" si="84"/>
        <v>34.85885669587919</v>
      </c>
      <c r="Q461" s="1">
        <f t="shared" si="85"/>
        <v>-29.41830596175085</v>
      </c>
      <c r="R461">
        <f>SQRT(Tabelle2[[#This Row],[vx]]*Tabelle2[[#This Row],[vx]]+Tabelle2[[#This Row],[vy]]*Tabelle2[[#This Row],[vy]])</f>
        <v>45.613338134837569</v>
      </c>
      <c r="S461">
        <f t="shared" si="86"/>
        <v>415.15799335789109</v>
      </c>
      <c r="T461" s="1">
        <f t="shared" si="87"/>
        <v>150.85568409778662</v>
      </c>
    </row>
    <row r="462" spans="6:20" x14ac:dyDescent="0.35">
      <c r="F462" s="1">
        <f t="shared" si="83"/>
        <v>9.1799999999998931</v>
      </c>
      <c r="G462">
        <f>1/2*$B$8*$B$6*$B$7*(Tabelle2[[#This Row],[vx]]*Tabelle2[[#This Row],[vx]]+Tabelle2[[#This Row],[vy]]*Tabelle2[[#This Row],[vy]])/1000000</f>
        <v>3.6929221771828944</v>
      </c>
      <c r="H462">
        <f>IF($B$3,-Tabelle2[[#This Row],[Fd]]*Tabelle2[[#This Row],[vx]]/Tabelle2[[#This Row],[v]],0)</f>
        <v>-2.8143925167450514</v>
      </c>
      <c r="I462">
        <f t="shared" si="77"/>
        <v>-1.8762616778300343</v>
      </c>
      <c r="J462">
        <f t="shared" si="78"/>
        <v>-3.7525233556600687E-2</v>
      </c>
      <c r="K462">
        <f t="shared" si="79"/>
        <v>0.69605184650473551</v>
      </c>
      <c r="L462">
        <f>-$B$5*$B$12-IF($B$3,Tabelle2[[#This Row],[Fd]]*Tabelle2[[#This Row],[vy]]/Tabelle2[[#This Row],[v]],0)</f>
        <v>-12.324002516015813</v>
      </c>
      <c r="M462">
        <f t="shared" si="80"/>
        <v>-8.2160016773438755</v>
      </c>
      <c r="N462">
        <f t="shared" si="81"/>
        <v>-0.16432003354687752</v>
      </c>
      <c r="O462">
        <f t="shared" si="82"/>
        <v>-0.59330034524266906</v>
      </c>
      <c r="P462" s="1">
        <f t="shared" si="84"/>
        <v>34.821354942015077</v>
      </c>
      <c r="Q462" s="1">
        <f t="shared" si="85"/>
        <v>-29.58285724536001</v>
      </c>
      <c r="R462">
        <f>SQRT(Tabelle2[[#This Row],[vx]]*Tabelle2[[#This Row],[vx]]+Tabelle2[[#This Row],[vy]]*Tabelle2[[#This Row],[vy]])</f>
        <v>45.691051670946983</v>
      </c>
      <c r="S462">
        <f t="shared" si="86"/>
        <v>415.85479547427002</v>
      </c>
      <c r="T462" s="1">
        <f t="shared" si="87"/>
        <v>150.26567246571551</v>
      </c>
    </row>
    <row r="463" spans="6:20" x14ac:dyDescent="0.35">
      <c r="F463" s="1">
        <f t="shared" si="83"/>
        <v>9.1999999999998927</v>
      </c>
      <c r="G463">
        <f>1/2*$B$8*$B$6*$B$7*(Tabelle2[[#This Row],[vx]]*Tabelle2[[#This Row],[vx]]+Tabelle2[[#This Row],[vy]]*Tabelle2[[#This Row],[vy]])/1000000</f>
        <v>3.7055472365519226</v>
      </c>
      <c r="H463">
        <f>IF($B$3,-Tabelle2[[#This Row],[Fd]]*Tabelle2[[#This Row],[vx]]/Tabelle2[[#This Row],[v]],0)</f>
        <v>-2.816161109109661</v>
      </c>
      <c r="I463">
        <f t="shared" si="77"/>
        <v>-1.8774407394064407</v>
      </c>
      <c r="J463">
        <f t="shared" si="78"/>
        <v>-3.7548814788128819E-2</v>
      </c>
      <c r="K463">
        <f t="shared" si="79"/>
        <v>0.69530110602128825</v>
      </c>
      <c r="L463">
        <f>-$B$5*$B$12-IF($B$3,Tabelle2[[#This Row],[Fd]]*Tabelle2[[#This Row],[vy]]/Tabelle2[[#This Row],[v]],0)</f>
        <v>-12.306615286160486</v>
      </c>
      <c r="M463">
        <f t="shared" si="80"/>
        <v>-8.2044101907736575</v>
      </c>
      <c r="N463">
        <f t="shared" si="81"/>
        <v>-0.16408820381547315</v>
      </c>
      <c r="O463">
        <f t="shared" si="82"/>
        <v>-0.59658442761629249</v>
      </c>
      <c r="P463" s="1">
        <f t="shared" si="84"/>
        <v>34.783829708458477</v>
      </c>
      <c r="Q463" s="1">
        <f t="shared" si="85"/>
        <v>-29.747177278906889</v>
      </c>
      <c r="R463">
        <f>SQRT(Tabelle2[[#This Row],[vx]]*Tabelle2[[#This Row],[vx]]+Tabelle2[[#This Row],[vy]]*Tabelle2[[#This Row],[vy]])</f>
        <v>45.769087441741206</v>
      </c>
      <c r="S463">
        <f t="shared" si="86"/>
        <v>416.55084732077478</v>
      </c>
      <c r="T463" s="1">
        <f t="shared" si="87"/>
        <v>149.67237212047283</v>
      </c>
    </row>
    <row r="464" spans="6:20" x14ac:dyDescent="0.35">
      <c r="F464" s="1">
        <f t="shared" si="83"/>
        <v>9.2199999999998923</v>
      </c>
      <c r="G464">
        <f>1/2*$B$8*$B$6*$B$7*(Tabelle2[[#This Row],[vx]]*Tabelle2[[#This Row],[vx]]+Tabelle2[[#This Row],[vy]]*Tabelle2[[#This Row],[vy]])/1000000</f>
        <v>3.7182453717477233</v>
      </c>
      <c r="H464">
        <f>IF($B$3,-Tabelle2[[#This Row],[Fd]]*Tabelle2[[#This Row],[vx]]/Tabelle2[[#This Row],[v]],0)</f>
        <v>-2.817936956387749</v>
      </c>
      <c r="I464">
        <f t="shared" si="77"/>
        <v>-1.8786246375918327</v>
      </c>
      <c r="J464">
        <f t="shared" si="78"/>
        <v>-3.7572492751836654E-2</v>
      </c>
      <c r="K464">
        <f t="shared" si="79"/>
        <v>0.69454989294588854</v>
      </c>
      <c r="L464">
        <f>-$B$5*$B$12-IF($B$3,Tabelle2[[#This Row],[Fd]]*Tabelle2[[#This Row],[vy]]/Tabelle2[[#This Row],[v]],0)</f>
        <v>-12.289184682555675</v>
      </c>
      <c r="M464">
        <f t="shared" si="80"/>
        <v>-8.1927897883704492</v>
      </c>
      <c r="N464">
        <f t="shared" si="81"/>
        <v>-0.163855795767409</v>
      </c>
      <c r="O464">
        <f t="shared" si="82"/>
        <v>-0.5998638676121214</v>
      </c>
      <c r="P464" s="1">
        <f t="shared" si="84"/>
        <v>34.746280893670345</v>
      </c>
      <c r="Q464" s="1">
        <f t="shared" si="85"/>
        <v>-29.911265482722364</v>
      </c>
      <c r="R464">
        <f>SQRT(Tabelle2[[#This Row],[vx]]*Tabelle2[[#This Row],[vx]]+Tabelle2[[#This Row],[vy]]*Tabelle2[[#This Row],[vy]])</f>
        <v>45.84744091789355</v>
      </c>
      <c r="S464">
        <f t="shared" si="86"/>
        <v>417.24614842679608</v>
      </c>
      <c r="T464" s="1">
        <f t="shared" si="87"/>
        <v>149.07578769285655</v>
      </c>
    </row>
    <row r="465" spans="6:20" x14ac:dyDescent="0.35">
      <c r="F465" s="1">
        <f t="shared" si="83"/>
        <v>9.2399999999998919</v>
      </c>
      <c r="G465">
        <f>1/2*$B$8*$B$6*$B$7*(Tabelle2[[#This Row],[vx]]*Tabelle2[[#This Row],[vx]]+Tabelle2[[#This Row],[vy]]*Tabelle2[[#This Row],[vy]])/1000000</f>
        <v>3.7310161150129453</v>
      </c>
      <c r="H465">
        <f>IF($B$3,-Tabelle2[[#This Row],[Fd]]*Tabelle2[[#This Row],[vx]]/Tabelle2[[#This Row],[v]],0)</f>
        <v>-2.8197197010180886</v>
      </c>
      <c r="I465">
        <f t="shared" si="77"/>
        <v>-1.879813134012059</v>
      </c>
      <c r="J465">
        <f t="shared" si="78"/>
        <v>-3.7596262680241181E-2</v>
      </c>
      <c r="K465">
        <f t="shared" si="79"/>
        <v>0.69379820539156778</v>
      </c>
      <c r="L465">
        <f>-$B$5*$B$12-IF($B$3,Tabelle2[[#This Row],[Fd]]*Tabelle2[[#This Row],[vy]]/Tabelle2[[#This Row],[v]],0)</f>
        <v>-12.271710811595002</v>
      </c>
      <c r="M465">
        <f t="shared" si="80"/>
        <v>-8.1811405410633338</v>
      </c>
      <c r="N465">
        <f t="shared" si="81"/>
        <v>-0.16362281082126667</v>
      </c>
      <c r="O465">
        <f t="shared" si="82"/>
        <v>-0.60313865367800812</v>
      </c>
      <c r="P465" s="1">
        <f t="shared" si="84"/>
        <v>34.708708400918511</v>
      </c>
      <c r="Q465" s="1">
        <f t="shared" si="85"/>
        <v>-30.075121278489771</v>
      </c>
      <c r="R465">
        <f>SQRT(Tabelle2[[#This Row],[vx]]*Tabelle2[[#This Row],[vx]]+Tabelle2[[#This Row],[vy]]*Tabelle2[[#This Row],[vy]])</f>
        <v>45.926107594437603</v>
      </c>
      <c r="S465">
        <f t="shared" si="86"/>
        <v>417.94069831974195</v>
      </c>
      <c r="T465" s="1">
        <f t="shared" si="87"/>
        <v>148.47592382524442</v>
      </c>
    </row>
    <row r="466" spans="6:20" x14ac:dyDescent="0.35">
      <c r="F466" s="1">
        <f t="shared" si="83"/>
        <v>9.2599999999998914</v>
      </c>
      <c r="G466">
        <f>1/2*$B$8*$B$6*$B$7*(Tabelle2[[#This Row],[vx]]*Tabelle2[[#This Row],[vx]]+Tabelle2[[#This Row],[vy]]*Tabelle2[[#This Row],[vy]])/1000000</f>
        <v>3.7438589986154818</v>
      </c>
      <c r="H466">
        <f>IF($B$3,-Tabelle2[[#This Row],[Fd]]*Tabelle2[[#This Row],[vx]]/Tabelle2[[#This Row],[v]],0)</f>
        <v>-2.8215089883954412</v>
      </c>
      <c r="I466">
        <f t="shared" si="77"/>
        <v>-1.8810059922636275</v>
      </c>
      <c r="J466">
        <f t="shared" si="78"/>
        <v>-3.7620119845272554E-2</v>
      </c>
      <c r="K466">
        <f t="shared" si="79"/>
        <v>0.69304604156631278</v>
      </c>
      <c r="L466">
        <f>-$B$5*$B$12-IF($B$3,Tabelle2[[#This Row],[Fd]]*Tabelle2[[#This Row],[vy]]/Tabelle2[[#This Row],[v]],0)</f>
        <v>-12.254193784566153</v>
      </c>
      <c r="M466">
        <f t="shared" si="80"/>
        <v>-8.1694625230441016</v>
      </c>
      <c r="N466">
        <f t="shared" si="81"/>
        <v>-0.16338925046088204</v>
      </c>
      <c r="O466">
        <f t="shared" si="82"/>
        <v>-0.60640877429082962</v>
      </c>
      <c r="P466" s="1">
        <f t="shared" si="84"/>
        <v>34.671112138238271</v>
      </c>
      <c r="Q466" s="1">
        <f t="shared" si="85"/>
        <v>-30.238744089311037</v>
      </c>
      <c r="R466">
        <f>SQRT(Tabelle2[[#This Row],[vx]]*Tabelle2[[#This Row],[vx]]+Tabelle2[[#This Row],[vy]]*Tabelle2[[#This Row],[vy]])</f>
        <v>46.00508299091674</v>
      </c>
      <c r="S466">
        <f t="shared" si="86"/>
        <v>418.6344965251335</v>
      </c>
      <c r="T466" s="1">
        <f t="shared" si="87"/>
        <v>147.87278517156642</v>
      </c>
    </row>
    <row r="467" spans="6:20" x14ac:dyDescent="0.35">
      <c r="F467" s="1">
        <f t="shared" si="83"/>
        <v>9.279999999999891</v>
      </c>
      <c r="G467">
        <f>1/2*$B$8*$B$6*$B$7*(Tabelle2[[#This Row],[vx]]*Tabelle2[[#This Row],[vx]]+Tabelle2[[#This Row],[vy]]*Tabelle2[[#This Row],[vy]])/1000000</f>
        <v>3.7567735548564287</v>
      </c>
      <c r="H467">
        <f>IF($B$3,-Tabelle2[[#This Row],[Fd]]*Tabelle2[[#This Row],[vx]]/Tabelle2[[#This Row],[v]],0)</f>
        <v>-2.8233044668725973</v>
      </c>
      <c r="I467">
        <f t="shared" si="77"/>
        <v>-1.8822029779150649</v>
      </c>
      <c r="J467">
        <f t="shared" si="78"/>
        <v>-3.7644059558301295E-2</v>
      </c>
      <c r="K467">
        <f t="shared" si="79"/>
        <v>0.692293399772277</v>
      </c>
      <c r="L467">
        <f>-$B$5*$B$12-IF($B$3,Tabelle2[[#This Row],[Fd]]*Tabelle2[[#This Row],[vy]]/Tabelle2[[#This Row],[v]],0)</f>
        <v>-12.236633717586152</v>
      </c>
      <c r="M467">
        <f t="shared" si="80"/>
        <v>-8.1577558117241011</v>
      </c>
      <c r="N467">
        <f t="shared" si="81"/>
        <v>-0.16315511623448203</v>
      </c>
      <c r="O467">
        <f t="shared" si="82"/>
        <v>-0.6096742179577832</v>
      </c>
      <c r="P467" s="1">
        <f t="shared" si="84"/>
        <v>34.633492018393</v>
      </c>
      <c r="Q467" s="1">
        <f t="shared" si="85"/>
        <v>-30.402133339771918</v>
      </c>
      <c r="R467">
        <f>SQRT(Tabelle2[[#This Row],[vx]]*Tabelle2[[#This Row],[vx]]+Tabelle2[[#This Row],[vy]]*Tabelle2[[#This Row],[vy]])</f>
        <v>46.084362651525986</v>
      </c>
      <c r="S467">
        <f t="shared" si="86"/>
        <v>419.32754256669983</v>
      </c>
      <c r="T467" s="1">
        <f t="shared" si="87"/>
        <v>147.26637639727559</v>
      </c>
    </row>
    <row r="468" spans="6:20" x14ac:dyDescent="0.35">
      <c r="F468" s="1">
        <f t="shared" si="83"/>
        <v>9.2999999999998906</v>
      </c>
      <c r="G468">
        <f>1/2*$B$8*$B$6*$B$7*(Tabelle2[[#This Row],[vx]]*Tabelle2[[#This Row],[vx]]+Tabelle2[[#This Row],[vy]]*Tabelle2[[#This Row],[vy]])/1000000</f>
        <v>3.7697593160781904</v>
      </c>
      <c r="H468">
        <f>IF($B$3,-Tabelle2[[#This Row],[Fd]]*Tabelle2[[#This Row],[vx]]/Tabelle2[[#This Row],[v]],0)</f>
        <v>-2.825105787761895</v>
      </c>
      <c r="I468">
        <f t="shared" si="77"/>
        <v>-1.88340385850793</v>
      </c>
      <c r="J468">
        <f t="shared" si="78"/>
        <v>-3.7668077170158604E-2</v>
      </c>
      <c r="K468">
        <f t="shared" si="79"/>
        <v>0.69154027840499244</v>
      </c>
      <c r="L468">
        <f>-$B$5*$B$12-IF($B$3,Tabelle2[[#This Row],[Fd]]*Tabelle2[[#This Row],[vy]]/Tabelle2[[#This Row],[v]],0)</f>
        <v>-12.219030731536835</v>
      </c>
      <c r="M468">
        <f t="shared" si="80"/>
        <v>-8.1460204876912226</v>
      </c>
      <c r="N468">
        <f t="shared" si="81"/>
        <v>-0.16292040975382446</v>
      </c>
      <c r="O468">
        <f t="shared" si="82"/>
        <v>-0.61293497321766621</v>
      </c>
      <c r="P468" s="1">
        <f t="shared" si="84"/>
        <v>34.595847958834696</v>
      </c>
      <c r="Q468" s="1">
        <f t="shared" si="85"/>
        <v>-30.5652884560064</v>
      </c>
      <c r="R468">
        <f>SQRT(Tabelle2[[#This Row],[vx]]*Tabelle2[[#This Row],[vx]]+Tabelle2[[#This Row],[vy]]*Tabelle2[[#This Row],[vy]])</f>
        <v>46.163942145246708</v>
      </c>
      <c r="S468">
        <f t="shared" si="86"/>
        <v>420.0198359664721</v>
      </c>
      <c r="T468" s="1">
        <f t="shared" si="87"/>
        <v>146.65670217931782</v>
      </c>
    </row>
    <row r="469" spans="6:20" x14ac:dyDescent="0.35">
      <c r="F469" s="1">
        <f t="shared" si="83"/>
        <v>9.3199999999998902</v>
      </c>
      <c r="G469">
        <f>1/2*$B$8*$B$6*$B$7*(Tabelle2[[#This Row],[vx]]*Tabelle2[[#This Row],[vx]]+Tabelle2[[#This Row],[vy]]*Tabelle2[[#This Row],[vy]])/1000000</f>
        <v>3.7828158146727375</v>
      </c>
      <c r="H469">
        <f>IF($B$3,-Tabelle2[[#This Row],[Fd]]*Tabelle2[[#This Row],[vx]]/Tabelle2[[#This Row],[v]],0)</f>
        <v>-2.8269126053362572</v>
      </c>
      <c r="I469">
        <f t="shared" si="77"/>
        <v>-1.8846084035575048</v>
      </c>
      <c r="J469">
        <f t="shared" si="78"/>
        <v>-3.7692168071150098E-2</v>
      </c>
      <c r="K469">
        <f t="shared" si="79"/>
        <v>0.69078667595257925</v>
      </c>
      <c r="L469">
        <f>-$B$5*$B$12-IF($B$3,Tabelle2[[#This Row],[Fd]]*Tabelle2[[#This Row],[vy]]/Tabelle2[[#This Row],[v]],0)</f>
        <v>-12.201384952000577</v>
      </c>
      <c r="M469">
        <f t="shared" si="80"/>
        <v>-8.134256634667052</v>
      </c>
      <c r="N469">
        <f t="shared" si="81"/>
        <v>-0.16268513269334103</v>
      </c>
      <c r="O469">
        <f t="shared" si="82"/>
        <v>-0.61619102864213793</v>
      </c>
      <c r="P469" s="1">
        <f t="shared" si="84"/>
        <v>34.558179881664536</v>
      </c>
      <c r="Q469" s="1">
        <f t="shared" si="85"/>
        <v>-30.728208865760223</v>
      </c>
      <c r="R469">
        <f>SQRT(Tabelle2[[#This Row],[vx]]*Tabelle2[[#This Row],[vx]]+Tabelle2[[#This Row],[vy]]*Tabelle2[[#This Row],[vy]])</f>
        <v>46.243817065974007</v>
      </c>
      <c r="S469">
        <f t="shared" si="86"/>
        <v>420.7113762448771</v>
      </c>
      <c r="T469" s="1">
        <f t="shared" si="87"/>
        <v>146.04376720610014</v>
      </c>
    </row>
    <row r="470" spans="6:20" x14ac:dyDescent="0.35">
      <c r="F470" s="1">
        <f t="shared" si="83"/>
        <v>9.3399999999998897</v>
      </c>
      <c r="G470">
        <f>1/2*$B$8*$B$6*$B$7*(Tabelle2[[#This Row],[vx]]*Tabelle2[[#This Row],[vx]]+Tabelle2[[#This Row],[vy]]*Tabelle2[[#This Row],[vy]])/1000000</f>
        <v>3.7959425830900013</v>
      </c>
      <c r="H470">
        <f>IF($B$3,-Tabelle2[[#This Row],[Fd]]*Tabelle2[[#This Row],[vx]]/Tabelle2[[#This Row],[v]],0)</f>
        <v>-2.8287245768297402</v>
      </c>
      <c r="I470">
        <f t="shared" si="77"/>
        <v>-1.8858163845531601</v>
      </c>
      <c r="J470">
        <f t="shared" si="78"/>
        <v>-3.7716327691063201E-2</v>
      </c>
      <c r="K470">
        <f t="shared" si="79"/>
        <v>0.69003259099495706</v>
      </c>
      <c r="L470">
        <f>-$B$5*$B$12-IF($B$3,Tabelle2[[#This Row],[Fd]]*Tabelle2[[#This Row],[vy]]/Tabelle2[[#This Row],[v]],0)</f>
        <v>-12.183696509196221</v>
      </c>
      <c r="M470">
        <f t="shared" si="80"/>
        <v>-8.1224643394641465</v>
      </c>
      <c r="N470">
        <f t="shared" si="81"/>
        <v>-0.16244928678928294</v>
      </c>
      <c r="O470">
        <f t="shared" si="82"/>
        <v>-0.61944237283696413</v>
      </c>
      <c r="P470" s="1">
        <f t="shared" si="84"/>
        <v>34.520487713593383</v>
      </c>
      <c r="Q470" s="1">
        <f t="shared" si="85"/>
        <v>-30.890893998453564</v>
      </c>
      <c r="R470">
        <f>SQRT(Tabelle2[[#This Row],[vx]]*Tabelle2[[#This Row],[vx]]+Tabelle2[[#This Row],[vy]]*Tabelle2[[#This Row],[vy]])</f>
        <v>46.323983032637059</v>
      </c>
      <c r="S470">
        <f t="shared" si="86"/>
        <v>421.40216292082965</v>
      </c>
      <c r="T470" s="1">
        <f t="shared" si="87"/>
        <v>145.42757617745801</v>
      </c>
    </row>
    <row r="471" spans="6:20" x14ac:dyDescent="0.35">
      <c r="F471" s="1">
        <f t="shared" si="83"/>
        <v>9.3599999999998893</v>
      </c>
      <c r="G471">
        <f>1/2*$B$8*$B$6*$B$7*(Tabelle2[[#This Row],[vx]]*Tabelle2[[#This Row],[vx]]+Tabelle2[[#This Row],[vy]]*Tabelle2[[#This Row],[vy]])/1000000</f>
        <v>3.8091391538464063</v>
      </c>
      <c r="H471">
        <f>IF($B$3,-Tabelle2[[#This Row],[Fd]]*Tabelle2[[#This Row],[vx]]/Tabelle2[[#This Row],[v]],0)</f>
        <v>-2.830541362437609</v>
      </c>
      <c r="I471">
        <f t="shared" si="77"/>
        <v>-1.887027574958406</v>
      </c>
      <c r="J471">
        <f t="shared" si="78"/>
        <v>-3.7740551499168121E-2</v>
      </c>
      <c r="K471">
        <f t="shared" si="79"/>
        <v>0.68927802220305467</v>
      </c>
      <c r="L471">
        <f>-$B$5*$B$12-IF($B$3,Tabelle2[[#This Row],[Fd]]*Tabelle2[[#This Row],[vy]]/Tabelle2[[#This Row],[v]],0)</f>
        <v>-12.165965537915275</v>
      </c>
      <c r="M471">
        <f t="shared" si="80"/>
        <v>-8.1106436919435172</v>
      </c>
      <c r="N471">
        <f t="shared" si="81"/>
        <v>-0.16221287383887034</v>
      </c>
      <c r="O471">
        <f t="shared" si="82"/>
        <v>-0.62268899444324566</v>
      </c>
      <c r="P471" s="1">
        <f t="shared" si="84"/>
        <v>34.482771385902318</v>
      </c>
      <c r="Q471" s="1">
        <f t="shared" si="85"/>
        <v>-31.053343285242846</v>
      </c>
      <c r="R471">
        <f>SQRT(Tabelle2[[#This Row],[vx]]*Tabelle2[[#This Row],[vx]]+Tabelle2[[#This Row],[vy]]*Tabelle2[[#This Row],[vy]])</f>
        <v>46.404435689312507</v>
      </c>
      <c r="S471">
        <f t="shared" si="86"/>
        <v>422.09219551182463</v>
      </c>
      <c r="T471" s="1">
        <f t="shared" si="87"/>
        <v>144.80813380462104</v>
      </c>
    </row>
    <row r="472" spans="6:20" x14ac:dyDescent="0.35">
      <c r="F472" s="1">
        <f t="shared" si="83"/>
        <v>9.3799999999998889</v>
      </c>
      <c r="G472">
        <f>1/2*$B$8*$B$6*$B$7*(Tabelle2[[#This Row],[vx]]*Tabelle2[[#This Row],[vx]]+Tabelle2[[#This Row],[vy]]*Tabelle2[[#This Row],[vy]])/1000000</f>
        <v>3.8224050595335473</v>
      </c>
      <c r="H472">
        <f>IF($B$3,-Tabelle2[[#This Row],[Fd]]*Tabelle2[[#This Row],[vx]]/Tabelle2[[#This Row],[v]],0)</f>
        <v>-2.8323626253159517</v>
      </c>
      <c r="I472">
        <f t="shared" si="77"/>
        <v>-1.8882417502106346</v>
      </c>
      <c r="J472">
        <f t="shared" si="78"/>
        <v>-3.7764835004212689E-2</v>
      </c>
      <c r="K472">
        <f t="shared" si="79"/>
        <v>0.68852296833802085</v>
      </c>
      <c r="L472">
        <f>-$B$5*$B$12-IF($B$3,Tabelle2[[#This Row],[Fd]]*Tabelle2[[#This Row],[vy]]/Tabelle2[[#This Row],[v]],0)</f>
        <v>-12.148192177458354</v>
      </c>
      <c r="M472">
        <f t="shared" si="80"/>
        <v>-8.0987947849722364</v>
      </c>
      <c r="N472">
        <f t="shared" si="81"/>
        <v>-0.16197589569944473</v>
      </c>
      <c r="O472">
        <f t="shared" si="82"/>
        <v>-0.6259308821386288</v>
      </c>
      <c r="P472" s="1">
        <f t="shared" si="84"/>
        <v>34.445030834403148</v>
      </c>
      <c r="Q472" s="1">
        <f t="shared" si="85"/>
        <v>-31.215556159081718</v>
      </c>
      <c r="R472">
        <f>SQRT(Tabelle2[[#This Row],[vx]]*Tabelle2[[#This Row],[vx]]+Tabelle2[[#This Row],[vy]]*Tabelle2[[#This Row],[vy]])</f>
        <v>46.485170705331051</v>
      </c>
      <c r="S472">
        <f t="shared" si="86"/>
        <v>422.78147353402767</v>
      </c>
      <c r="T472" s="1">
        <f t="shared" si="87"/>
        <v>144.18544481017778</v>
      </c>
    </row>
    <row r="473" spans="6:20" x14ac:dyDescent="0.35">
      <c r="F473" s="1">
        <f t="shared" si="83"/>
        <v>9.3999999999998884</v>
      </c>
      <c r="G473">
        <f>1/2*$B$8*$B$6*$B$7*(Tabelle2[[#This Row],[vx]]*Tabelle2[[#This Row],[vx]]+Tabelle2[[#This Row],[vy]]*Tabelle2[[#This Row],[vy]])/1000000</f>
        <v>3.8357398328269841</v>
      </c>
      <c r="H473">
        <f>IF($B$3,-Tabelle2[[#This Row],[Fd]]*Tabelle2[[#This Row],[vx]]/Tabelle2[[#This Row],[v]],0)</f>
        <v>-2.8341880315808345</v>
      </c>
      <c r="I473">
        <f t="shared" si="77"/>
        <v>-1.8894586877205564</v>
      </c>
      <c r="J473">
        <f t="shared" si="78"/>
        <v>-3.7789173754411126E-2</v>
      </c>
      <c r="K473">
        <f t="shared" si="79"/>
        <v>0.68776742825043469</v>
      </c>
      <c r="L473">
        <f>-$B$5*$B$12-IF($B$3,Tabelle2[[#This Row],[Fd]]*Tabelle2[[#This Row],[vy]]/Tabelle2[[#This Row],[v]],0)</f>
        <v>-12.13037657157188</v>
      </c>
      <c r="M473">
        <f t="shared" si="80"/>
        <v>-8.0869177143812525</v>
      </c>
      <c r="N473">
        <f t="shared" si="81"/>
        <v>-0.16173835428762506</v>
      </c>
      <c r="O473">
        <f t="shared" si="82"/>
        <v>-0.62916802463849952</v>
      </c>
      <c r="P473" s="1">
        <f t="shared" si="84"/>
        <v>34.407265999398938</v>
      </c>
      <c r="Q473" s="1">
        <f t="shared" si="85"/>
        <v>-31.377532054781163</v>
      </c>
      <c r="R473">
        <f>SQRT(Tabelle2[[#This Row],[vx]]*Tabelle2[[#This Row],[vx]]+Tabelle2[[#This Row],[vy]]*Tabelle2[[#This Row],[vy]])</f>
        <v>46.566183775377318</v>
      </c>
      <c r="S473">
        <f t="shared" si="86"/>
        <v>423.46999650236569</v>
      </c>
      <c r="T473" s="1">
        <f t="shared" si="87"/>
        <v>143.55951392803917</v>
      </c>
    </row>
    <row r="474" spans="6:20" x14ac:dyDescent="0.35">
      <c r="F474" s="1">
        <f t="shared" si="83"/>
        <v>9.419999999999888</v>
      </c>
      <c r="G474">
        <f>1/2*$B$8*$B$6*$B$7*(Tabelle2[[#This Row],[vx]]*Tabelle2[[#This Row],[vx]]+Tabelle2[[#This Row],[vy]]*Tabelle2[[#This Row],[vy]])/1000000</f>
        <v>3.8491430064951753</v>
      </c>
      <c r="H474">
        <f>IF($B$3,-Tabelle2[[#This Row],[Fd]]*Tabelle2[[#This Row],[vx]]/Tabelle2[[#This Row],[v]],0)</f>
        <v>-2.8360172503070151</v>
      </c>
      <c r="I474">
        <f t="shared" si="77"/>
        <v>-1.8906781668713435</v>
      </c>
      <c r="J474">
        <f t="shared" si="78"/>
        <v>-3.7813563337426873E-2</v>
      </c>
      <c r="K474">
        <f t="shared" si="79"/>
        <v>0.68701140087951629</v>
      </c>
      <c r="L474">
        <f>-$B$5*$B$12-IF($B$3,Tabelle2[[#This Row],[Fd]]*Tabelle2[[#This Row],[vy]]/Tabelle2[[#This Row],[v]],0)</f>
        <v>-12.112518868385065</v>
      </c>
      <c r="M474">
        <f t="shared" si="80"/>
        <v>-8.075012578923376</v>
      </c>
      <c r="N474">
        <f t="shared" si="81"/>
        <v>-0.16150025157846754</v>
      </c>
      <c r="O474">
        <f t="shared" si="82"/>
        <v>-0.63240041069716046</v>
      </c>
      <c r="P474" s="1">
        <f t="shared" si="84"/>
        <v>34.369476825644526</v>
      </c>
      <c r="Q474" s="1">
        <f t="shared" si="85"/>
        <v>-31.539270409068788</v>
      </c>
      <c r="R474">
        <f>SQRT(Tabelle2[[#This Row],[vx]]*Tabelle2[[#This Row],[vx]]+Tabelle2[[#This Row],[vy]]*Tabelle2[[#This Row],[vy]])</f>
        <v>46.647470619583203</v>
      </c>
      <c r="S474">
        <f t="shared" si="86"/>
        <v>424.15776393061611</v>
      </c>
      <c r="T474" s="1">
        <f t="shared" si="87"/>
        <v>142.93034590340068</v>
      </c>
    </row>
    <row r="475" spans="6:20" x14ac:dyDescent="0.35">
      <c r="F475" s="1">
        <f t="shared" si="83"/>
        <v>9.4399999999998876</v>
      </c>
      <c r="G475">
        <f>1/2*$B$8*$B$6*$B$7*(Tabelle2[[#This Row],[vx]]*Tabelle2[[#This Row],[vx]]+Tabelle2[[#This Row],[vy]]*Tabelle2[[#This Row],[vy]])/1000000</f>
        <v>3.8626141134085366</v>
      </c>
      <c r="H475">
        <f>IF($B$3,-Tabelle2[[#This Row],[Fd]]*Tabelle2[[#This Row],[vx]]/Tabelle2[[#This Row],[v]],0)</f>
        <v>-2.83784995352622</v>
      </c>
      <c r="I475">
        <f t="shared" si="77"/>
        <v>-1.89189996901748</v>
      </c>
      <c r="J475">
        <f t="shared" si="78"/>
        <v>-3.7837999380349603E-2</v>
      </c>
      <c r="K475">
        <f t="shared" si="79"/>
        <v>0.68625488525233846</v>
      </c>
      <c r="L475">
        <f>-$B$5*$B$12-IF($B$3,Tabelle2[[#This Row],[Fd]]*Tabelle2[[#This Row],[vy]]/Tabelle2[[#This Row],[v]],0)</f>
        <v>-12.094619220347155</v>
      </c>
      <c r="M475">
        <f t="shared" si="80"/>
        <v>-8.0630794802314369</v>
      </c>
      <c r="N475">
        <f t="shared" si="81"/>
        <v>-0.16126158960462875</v>
      </c>
      <c r="O475">
        <f t="shared" si="82"/>
        <v>-0.63562802910899141</v>
      </c>
      <c r="P475" s="1">
        <f t="shared" si="84"/>
        <v>34.331663262307096</v>
      </c>
      <c r="Q475" s="1">
        <f t="shared" si="85"/>
        <v>-31.700770660647255</v>
      </c>
      <c r="R475">
        <f>SQRT(Tabelle2[[#This Row],[vx]]*Tabelle2[[#This Row],[vx]]+Tabelle2[[#This Row],[vy]]*Tabelle2[[#This Row],[vy]])</f>
        <v>46.729026983614808</v>
      </c>
      <c r="S475">
        <f t="shared" si="86"/>
        <v>424.84477533149561</v>
      </c>
      <c r="T475" s="1">
        <f t="shared" si="87"/>
        <v>142.29794549270352</v>
      </c>
    </row>
    <row r="476" spans="6:20" x14ac:dyDescent="0.35">
      <c r="F476" s="1">
        <f t="shared" si="83"/>
        <v>9.4599999999998872</v>
      </c>
      <c r="G476">
        <f>1/2*$B$8*$B$6*$B$7*(Tabelle2[[#This Row],[vx]]*Tabelle2[[#This Row],[vx]]+Tabelle2[[#This Row],[vy]]*Tabelle2[[#This Row],[vy]])/1000000</f>
        <v>3.8761526865486102</v>
      </c>
      <c r="H476">
        <f>IF($B$3,-Tabelle2[[#This Row],[Fd]]*Tabelle2[[#This Row],[vx]]/Tabelle2[[#This Row],[v]],0)</f>
        <v>-2.8396858162249972</v>
      </c>
      <c r="I476">
        <f t="shared" si="77"/>
        <v>-1.8931238774833314</v>
      </c>
      <c r="J476">
        <f t="shared" si="78"/>
        <v>-3.786247754966663E-2</v>
      </c>
      <c r="K476">
        <f t="shared" si="79"/>
        <v>0.68549788048303828</v>
      </c>
      <c r="L476">
        <f>-$B$5*$B$12-IF($B$3,Tabelle2[[#This Row],[Fd]]*Tabelle2[[#This Row],[vy]]/Tabelle2[[#This Row],[v]],0)</f>
        <v>-12.076677784164985</v>
      </c>
      <c r="M476">
        <f t="shared" si="80"/>
        <v>-8.0511185227766564</v>
      </c>
      <c r="N476">
        <f t="shared" si="81"/>
        <v>-0.16102237045553314</v>
      </c>
      <c r="O476">
        <f t="shared" si="82"/>
        <v>-0.63885086870959296</v>
      </c>
      <c r="P476" s="1">
        <f t="shared" si="84"/>
        <v>34.293825262926745</v>
      </c>
      <c r="Q476" s="1">
        <f t="shared" si="85"/>
        <v>-31.862032250251882</v>
      </c>
      <c r="R476">
        <f>SQRT(Tabelle2[[#This Row],[vx]]*Tabelle2[[#This Row],[vx]]+Tabelle2[[#This Row],[vy]]*Tabelle2[[#This Row],[vy]])</f>
        <v>46.810848638753001</v>
      </c>
      <c r="S476">
        <f t="shared" si="86"/>
        <v>425.53103021674792</v>
      </c>
      <c r="T476" s="1">
        <f t="shared" si="87"/>
        <v>141.66231746359452</v>
      </c>
    </row>
    <row r="477" spans="6:20" x14ac:dyDescent="0.35">
      <c r="F477" s="1">
        <f t="shared" si="83"/>
        <v>9.4799999999998867</v>
      </c>
      <c r="G477">
        <f>1/2*$B$8*$B$6*$B$7*(Tabelle2[[#This Row],[vx]]*Tabelle2[[#This Row],[vx]]+Tabelle2[[#This Row],[vy]]*Tabelle2[[#This Row],[vy]])/1000000</f>
        <v>3.889758259017372</v>
      </c>
      <c r="H477">
        <f>IF($B$3,-Tabelle2[[#This Row],[Fd]]*Tabelle2[[#This Row],[vx]]/Tabelle2[[#This Row],[v]],0)</f>
        <v>-2.8415245163421559</v>
      </c>
      <c r="I477">
        <f t="shared" si="77"/>
        <v>-1.8943496775614372</v>
      </c>
      <c r="J477">
        <f t="shared" si="78"/>
        <v>-3.7886993551228744E-2</v>
      </c>
      <c r="K477">
        <f t="shared" si="79"/>
        <v>0.68474038577202934</v>
      </c>
      <c r="L477">
        <f>-$B$5*$B$12-IF($B$3,Tabelle2[[#This Row],[Fd]]*Tabelle2[[#This Row],[vy]]/Tabelle2[[#This Row],[v]],0)</f>
        <v>-12.058694720740792</v>
      </c>
      <c r="M477">
        <f t="shared" si="80"/>
        <v>-8.0391298138271949</v>
      </c>
      <c r="N477">
        <f t="shared" si="81"/>
        <v>-0.1607825962765439</v>
      </c>
      <c r="O477">
        <f t="shared" si="82"/>
        <v>-0.64206891837691371</v>
      </c>
      <c r="P477" s="1">
        <f t="shared" si="84"/>
        <v>34.255962785377079</v>
      </c>
      <c r="Q477" s="1">
        <f t="shared" si="85"/>
        <v>-32.023054620707413</v>
      </c>
      <c r="R477">
        <f>SQRT(Tabelle2[[#This Row],[vx]]*Tabelle2[[#This Row],[vx]]+Tabelle2[[#This Row],[vy]]*Tabelle2[[#This Row],[vy]])</f>
        <v>46.892931381967898</v>
      </c>
      <c r="S477">
        <f t="shared" si="86"/>
        <v>426.21652809723093</v>
      </c>
      <c r="T477" s="1">
        <f t="shared" si="87"/>
        <v>141.02346659488492</v>
      </c>
    </row>
    <row r="478" spans="6:20" x14ac:dyDescent="0.35">
      <c r="F478" s="1">
        <f t="shared" si="83"/>
        <v>9.4999999999998863</v>
      </c>
      <c r="G478">
        <f>1/2*$B$8*$B$6*$B$7*(Tabelle2[[#This Row],[vx]]*Tabelle2[[#This Row],[vx]]+Tabelle2[[#This Row],[vy]]*Tabelle2[[#This Row],[vy]])/1000000</f>
        <v>3.9034303640466277</v>
      </c>
      <c r="H478">
        <f>IF($B$3,-Tabelle2[[#This Row],[Fd]]*Tabelle2[[#This Row],[vx]]/Tabelle2[[#This Row],[v]],0)</f>
        <v>-2.8433657347657886</v>
      </c>
      <c r="I478">
        <f t="shared" si="77"/>
        <v>-1.8955771565105257</v>
      </c>
      <c r="J478">
        <f t="shared" si="78"/>
        <v>-3.7911543130210515E-2</v>
      </c>
      <c r="K478">
        <f t="shared" si="79"/>
        <v>0.68398240040521496</v>
      </c>
      <c r="L478">
        <f>-$B$5*$B$12-IF($B$3,Tabelle2[[#This Row],[Fd]]*Tabelle2[[#This Row],[vy]]/Tabelle2[[#This Row],[v]],0)</f>
        <v>-12.040670195110373</v>
      </c>
      <c r="M478">
        <f t="shared" si="80"/>
        <v>-8.0271134634069146</v>
      </c>
      <c r="N478">
        <f t="shared" si="81"/>
        <v>-0.1605422692681383</v>
      </c>
      <c r="O478">
        <f t="shared" si="82"/>
        <v>-0.64528216703236052</v>
      </c>
      <c r="P478" s="1">
        <f t="shared" si="84"/>
        <v>34.218075791825854</v>
      </c>
      <c r="Q478" s="1">
        <f t="shared" si="85"/>
        <v>-32.18383721698396</v>
      </c>
      <c r="R478">
        <f>SQRT(Tabelle2[[#This Row],[vx]]*Tabelle2[[#This Row],[vx]]+Tabelle2[[#This Row],[vy]]*Tabelle2[[#This Row],[vy]])</f>
        <v>46.975271035987227</v>
      </c>
      <c r="S478">
        <f t="shared" si="86"/>
        <v>426.90126848300298</v>
      </c>
      <c r="T478" s="1">
        <f t="shared" si="87"/>
        <v>140.38139767650802</v>
      </c>
    </row>
    <row r="479" spans="6:20" x14ac:dyDescent="0.35">
      <c r="F479" s="1">
        <f t="shared" si="83"/>
        <v>9.5199999999998859</v>
      </c>
      <c r="G479">
        <f>1/2*$B$8*$B$6*$B$7*(Tabelle2[[#This Row],[vx]]*Tabelle2[[#This Row],[vx]]+Tabelle2[[#This Row],[vy]]*Tabelle2[[#This Row],[vy]])/1000000</f>
        <v>3.9171685350075447</v>
      </c>
      <c r="H479">
        <f>IF($B$3,-Tabelle2[[#This Row],[Fd]]*Tabelle2[[#This Row],[vx]]/Tabelle2[[#This Row],[v]],0)</f>
        <v>-2.8452091553299099</v>
      </c>
      <c r="I479">
        <f t="shared" si="77"/>
        <v>-1.8968061035532733</v>
      </c>
      <c r="J479">
        <f t="shared" si="78"/>
        <v>-3.7936122071065469E-2</v>
      </c>
      <c r="K479">
        <f t="shared" si="79"/>
        <v>0.68322392375320218</v>
      </c>
      <c r="L479">
        <f>-$B$5*$B$12-IF($B$3,Tabelle2[[#This Row],[Fd]]*Tabelle2[[#This Row],[vy]]/Tabelle2[[#This Row],[v]],0)</f>
        <v>-12.022604376381507</v>
      </c>
      <c r="M479">
        <f t="shared" si="80"/>
        <v>-8.0150695842543378</v>
      </c>
      <c r="N479">
        <f t="shared" si="81"/>
        <v>-0.16030139168508675</v>
      </c>
      <c r="O479">
        <f t="shared" si="82"/>
        <v>-0.64849060364189282</v>
      </c>
      <c r="P479" s="1">
        <f t="shared" si="84"/>
        <v>34.18016424869564</v>
      </c>
      <c r="Q479" s="1">
        <f t="shared" si="85"/>
        <v>-32.344379486252102</v>
      </c>
      <c r="R479">
        <f>SQRT(Tabelle2[[#This Row],[vx]]*Tabelle2[[#This Row],[vx]]+Tabelle2[[#This Row],[vy]]*Tabelle2[[#This Row],[vy]])</f>
        <v>47.057863449358784</v>
      </c>
      <c r="S479">
        <f t="shared" si="86"/>
        <v>427.58525088340821</v>
      </c>
      <c r="T479" s="1">
        <f t="shared" si="87"/>
        <v>139.73611550947567</v>
      </c>
    </row>
    <row r="480" spans="6:20" x14ac:dyDescent="0.35">
      <c r="F480" s="1">
        <f t="shared" si="83"/>
        <v>9.5399999999998855</v>
      </c>
      <c r="G480">
        <f>1/2*$B$8*$B$6*$B$7*(Tabelle2[[#This Row],[vx]]*Tabelle2[[#This Row],[vx]]+Tabelle2[[#This Row],[vy]]*Tabelle2[[#This Row],[vy]])/1000000</f>
        <v>3.9309723054202803</v>
      </c>
      <c r="H480">
        <f>IF($B$3,-Tabelle2[[#This Row],[Fd]]*Tabelle2[[#This Row],[vx]]/Tabelle2[[#This Row],[v]],0)</f>
        <v>-2.8470544648106997</v>
      </c>
      <c r="I480">
        <f t="shared" si="77"/>
        <v>-1.8980363098737998</v>
      </c>
      <c r="J480">
        <f t="shared" si="78"/>
        <v>-3.7960726197475994E-2</v>
      </c>
      <c r="K480">
        <f t="shared" si="79"/>
        <v>0.68246495527051665</v>
      </c>
      <c r="L480">
        <f>-$B$5*$B$12-IF($B$3,Tabelle2[[#This Row],[Fd]]*Tabelle2[[#This Row],[vy]]/Tabelle2[[#This Row],[v]],0)</f>
        <v>-12.004497437672731</v>
      </c>
      <c r="M480">
        <f t="shared" si="80"/>
        <v>-8.0029982917818199</v>
      </c>
      <c r="N480">
        <f t="shared" si="81"/>
        <v>-0.16005996583563639</v>
      </c>
      <c r="O480">
        <f t="shared" si="82"/>
        <v>-0.65169421721710019</v>
      </c>
      <c r="P480" s="1">
        <f t="shared" si="84"/>
        <v>34.142228126624573</v>
      </c>
      <c r="Q480" s="1">
        <f t="shared" si="85"/>
        <v>-32.50468087793719</v>
      </c>
      <c r="R480">
        <f>SQRT(Tabelle2[[#This Row],[vx]]*Tabelle2[[#This Row],[vx]]+Tabelle2[[#This Row],[vy]]*Tabelle2[[#This Row],[vy]])</f>
        <v>47.140704496507155</v>
      </c>
      <c r="S480">
        <f t="shared" si="86"/>
        <v>428.2684748071614</v>
      </c>
      <c r="T480" s="1">
        <f t="shared" si="87"/>
        <v>139.08762490583376</v>
      </c>
    </row>
    <row r="481" spans="6:20" x14ac:dyDescent="0.35">
      <c r="F481" s="1">
        <f t="shared" si="83"/>
        <v>9.559999999999885</v>
      </c>
      <c r="G481">
        <f>1/2*$B$8*$B$6*$B$7*(Tabelle2[[#This Row],[vx]]*Tabelle2[[#This Row],[vx]]+Tabelle2[[#This Row],[vy]]*Tabelle2[[#This Row],[vy]])/1000000</f>
        <v>3.9448412089637106</v>
      </c>
      <c r="H481">
        <f>IF($B$3,-Tabelle2[[#This Row],[Fd]]*Tabelle2[[#This Row],[vx]]/Tabelle2[[#This Row],[v]],0)</f>
        <v>-2.8489013529223639</v>
      </c>
      <c r="I481">
        <f t="shared" si="77"/>
        <v>-1.8992675686149092</v>
      </c>
      <c r="J481">
        <f t="shared" si="78"/>
        <v>-3.7985351372298186E-2</v>
      </c>
      <c r="K481">
        <f t="shared" si="79"/>
        <v>0.68170549449481899</v>
      </c>
      <c r="L481">
        <f>-$B$5*$B$12-IF($B$3,Tabelle2[[#This Row],[Fd]]*Tabelle2[[#This Row],[vy]]/Tabelle2[[#This Row],[v]],0)</f>
        <v>-11.986349556052406</v>
      </c>
      <c r="M481">
        <f t="shared" si="80"/>
        <v>-7.9908997040349377</v>
      </c>
      <c r="N481">
        <f t="shared" si="81"/>
        <v>-0.15981799408069874</v>
      </c>
      <c r="O481">
        <f t="shared" si="82"/>
        <v>-0.65489299681626345</v>
      </c>
      <c r="P481" s="1">
        <f t="shared" si="84"/>
        <v>34.104267400427098</v>
      </c>
      <c r="Q481" s="1">
        <f t="shared" si="85"/>
        <v>-32.664740843772826</v>
      </c>
      <c r="R481">
        <f>SQRT(Tabelle2[[#This Row],[vx]]*Tabelle2[[#This Row],[vx]]+Tabelle2[[#This Row],[vy]]*Tabelle2[[#This Row],[vy]])</f>
        <v>47.223790077784685</v>
      </c>
      <c r="S481">
        <f t="shared" si="86"/>
        <v>428.95093976243191</v>
      </c>
      <c r="T481" s="1">
        <f t="shared" si="87"/>
        <v>138.43593068861665</v>
      </c>
    </row>
    <row r="482" spans="6:20" x14ac:dyDescent="0.35">
      <c r="F482" s="1">
        <f t="shared" si="83"/>
        <v>9.5799999999998846</v>
      </c>
      <c r="G482">
        <f>1/2*$B$8*$B$6*$B$7*(Tabelle2[[#This Row],[vx]]*Tabelle2[[#This Row],[vx]]+Tabelle2[[#This Row],[vy]]*Tabelle2[[#This Row],[vy]])/1000000</f>
        <v>3.9587747794852763</v>
      </c>
      <c r="H482">
        <f>IF($B$3,-Tabelle2[[#This Row],[Fd]]*Tabelle2[[#This Row],[vx]]/Tabelle2[[#This Row],[v]],0)</f>
        <v>-2.850749512312635</v>
      </c>
      <c r="I482">
        <f t="shared" si="77"/>
        <v>-1.90049967487509</v>
      </c>
      <c r="J482">
        <f t="shared" si="78"/>
        <v>-3.8009993497501803E-2</v>
      </c>
      <c r="K482">
        <f t="shared" si="79"/>
        <v>0.68094554104612104</v>
      </c>
      <c r="L482">
        <f>-$B$5*$B$12-IF($B$3,Tabelle2[[#This Row],[Fd]]*Tabelle2[[#This Row],[vy]]/Tabelle2[[#This Row],[v]],0)</f>
        <v>-11.968160912478131</v>
      </c>
      <c r="M482">
        <f t="shared" si="80"/>
        <v>-7.9787739416520873</v>
      </c>
      <c r="N482">
        <f t="shared" si="81"/>
        <v>-0.15957547883304174</v>
      </c>
      <c r="O482">
        <f t="shared" si="82"/>
        <v>-0.65808693154540099</v>
      </c>
      <c r="P482" s="1">
        <f t="shared" si="84"/>
        <v>34.066282049054799</v>
      </c>
      <c r="Q482" s="1">
        <f t="shared" si="85"/>
        <v>-32.824558837853523</v>
      </c>
      <c r="R482">
        <f>SQRT(Tabelle2[[#This Row],[vx]]*Tabelle2[[#This Row],[vx]]+Tabelle2[[#This Row],[vy]]*Tabelle2[[#This Row],[vy]])</f>
        <v>47.307116119516955</v>
      </c>
      <c r="S482">
        <f t="shared" si="86"/>
        <v>429.63264525692671</v>
      </c>
      <c r="T482" s="1">
        <f t="shared" si="87"/>
        <v>137.78103769180038</v>
      </c>
    </row>
    <row r="483" spans="6:20" x14ac:dyDescent="0.35">
      <c r="F483" s="1">
        <f t="shared" si="83"/>
        <v>9.5999999999998842</v>
      </c>
      <c r="G483">
        <f>1/2*$B$8*$B$6*$B$7*(Tabelle2[[#This Row],[vx]]*Tabelle2[[#This Row],[vx]]+Tabelle2[[#This Row],[vy]]*Tabelle2[[#This Row],[vy]])/1000000</f>
        <v>3.9727725510109129</v>
      </c>
      <c r="H483">
        <f>IF($B$3,-Tabelle2[[#This Row],[Fd]]*Tabelle2[[#This Row],[vx]]/Tabelle2[[#This Row],[v]],0)</f>
        <v>-2.8525986385579025</v>
      </c>
      <c r="I483">
        <f t="shared" si="77"/>
        <v>-1.9017324257052683</v>
      </c>
      <c r="J483">
        <f t="shared" si="78"/>
        <v>-3.8034648514105367E-2</v>
      </c>
      <c r="K483">
        <f t="shared" si="79"/>
        <v>0.68018509462600496</v>
      </c>
      <c r="L483">
        <f>-$B$5*$B$12-IF($B$3,Tabelle2[[#This Row],[Fd]]*Tabelle2[[#This Row],[vy]]/Tabelle2[[#This Row],[v]],0)</f>
        <v>-11.949931691736467</v>
      </c>
      <c r="M483">
        <f t="shared" si="80"/>
        <v>-7.9666211278243111</v>
      </c>
      <c r="N483">
        <f t="shared" si="81"/>
        <v>-0.15933242255648622</v>
      </c>
      <c r="O483">
        <f t="shared" si="82"/>
        <v>-0.66127601055929619</v>
      </c>
      <c r="P483" s="1">
        <f t="shared" si="84"/>
        <v>34.028272055557295</v>
      </c>
      <c r="Q483" s="1">
        <f t="shared" si="85"/>
        <v>-32.984134316686564</v>
      </c>
      <c r="R483">
        <f>SQRT(Tabelle2[[#This Row],[vx]]*Tabelle2[[#This Row],[vx]]+Tabelle2[[#This Row],[vy]]*Tabelle2[[#This Row],[vy]])</f>
        <v>47.390678574042823</v>
      </c>
      <c r="S483">
        <f t="shared" si="86"/>
        <v>430.31359079797284</v>
      </c>
      <c r="T483" s="1">
        <f t="shared" si="87"/>
        <v>137.12295076025498</v>
      </c>
    </row>
    <row r="484" spans="6:20" x14ac:dyDescent="0.35">
      <c r="F484" s="1">
        <f t="shared" si="83"/>
        <v>9.6199999999998838</v>
      </c>
      <c r="G484">
        <f>1/2*$B$8*$B$6*$B$7*(Tabelle2[[#This Row],[vx]]*Tabelle2[[#This Row],[vx]]+Tabelle2[[#This Row],[vy]]*Tabelle2[[#This Row],[vy]])/1000000</f>
        <v>3.9868340577550812</v>
      </c>
      <c r="H484">
        <f>IF($B$3,-Tabelle2[[#This Row],[Fd]]*Tabelle2[[#This Row],[vx]]/Tabelle2[[#This Row],[v]],0)</f>
        <v>-2.8544484301579973</v>
      </c>
      <c r="I484">
        <f t="shared" si="77"/>
        <v>-1.9029656201053315</v>
      </c>
      <c r="J484">
        <f t="shared" si="78"/>
        <v>-3.8059312402106631E-2</v>
      </c>
      <c r="K484">
        <f t="shared" si="79"/>
        <v>0.67942415501684272</v>
      </c>
      <c r="L484">
        <f>-$B$5*$B$12-IF($B$3,Tabelle2[[#This Row],[Fd]]*Tabelle2[[#This Row],[vy]]/Tabelle2[[#This Row],[v]],0)</f>
        <v>-11.931662082383028</v>
      </c>
      <c r="M484">
        <f t="shared" si="80"/>
        <v>-7.9544413882553515</v>
      </c>
      <c r="N484">
        <f t="shared" si="81"/>
        <v>-0.15908882776510702</v>
      </c>
      <c r="O484">
        <f t="shared" si="82"/>
        <v>-0.66446022306251207</v>
      </c>
      <c r="P484" s="1">
        <f t="shared" si="84"/>
        <v>33.990237407043189</v>
      </c>
      <c r="Q484" s="1">
        <f t="shared" si="85"/>
        <v>-33.143466739243053</v>
      </c>
      <c r="R484">
        <f>SQRT(Tabelle2[[#This Row],[vx]]*Tabelle2[[#This Row],[vx]]+Tabelle2[[#This Row],[vy]]*Tabelle2[[#This Row],[vy]])</f>
        <v>47.474473419749152</v>
      </c>
      <c r="S484">
        <f t="shared" si="86"/>
        <v>430.99377589259882</v>
      </c>
      <c r="T484" s="1">
        <f t="shared" si="87"/>
        <v>136.46167474969567</v>
      </c>
    </row>
    <row r="485" spans="6:20" x14ac:dyDescent="0.35">
      <c r="F485" s="1">
        <f t="shared" si="83"/>
        <v>9.6399999999998833</v>
      </c>
      <c r="G485">
        <f>1/2*$B$8*$B$6*$B$7*(Tabelle2[[#This Row],[vx]]*Tabelle2[[#This Row],[vx]]+Tabelle2[[#This Row],[vy]]*Tabelle2[[#This Row],[vy]])/1000000</f>
        <v>4.0009588341308895</v>
      </c>
      <c r="H485">
        <f>IF($B$3,-Tabelle2[[#This Row],[Fd]]*Tabelle2[[#This Row],[vx]]/Tabelle2[[#This Row],[v]],0)</f>
        <v>-2.8562985885306285</v>
      </c>
      <c r="I485">
        <f t="shared" si="77"/>
        <v>-1.904199059020419</v>
      </c>
      <c r="J485">
        <f t="shared" si="78"/>
        <v>-3.8083981180408379E-2</v>
      </c>
      <c r="K485">
        <f t="shared" si="79"/>
        <v>0.67866272208101763</v>
      </c>
      <c r="L485">
        <f>-$B$5*$B$12-IF($B$3,Tabelle2[[#This Row],[Fd]]*Tabelle2[[#This Row],[vy]]/Tabelle2[[#This Row],[v]],0)</f>
        <v>-11.91335227668289</v>
      </c>
      <c r="M485">
        <f t="shared" si="80"/>
        <v>-7.9422348511219267</v>
      </c>
      <c r="N485">
        <f t="shared" si="81"/>
        <v>-0.15884469702243853</v>
      </c>
      <c r="O485">
        <f t="shared" si="82"/>
        <v>-0.66763955831038768</v>
      </c>
      <c r="P485" s="1">
        <f t="shared" si="84"/>
        <v>33.952178094641084</v>
      </c>
      <c r="Q485" s="1">
        <f t="shared" si="85"/>
        <v>-33.302555567008163</v>
      </c>
      <c r="R485">
        <f>SQRT(Tabelle2[[#This Row],[vx]]*Tabelle2[[#This Row],[vx]]+Tabelle2[[#This Row],[vy]]*Tabelle2[[#This Row],[vy]])</f>
        <v>47.558496661100342</v>
      </c>
      <c r="S485">
        <f t="shared" si="86"/>
        <v>431.67320004761564</v>
      </c>
      <c r="T485" s="1">
        <f t="shared" si="87"/>
        <v>135.79721452663316</v>
      </c>
    </row>
    <row r="486" spans="6:20" x14ac:dyDescent="0.35">
      <c r="F486" s="1">
        <f t="shared" si="83"/>
        <v>9.6599999999998829</v>
      </c>
      <c r="G486">
        <f>1/2*$B$8*$B$6*$B$7*(Tabelle2[[#This Row],[vx]]*Tabelle2[[#This Row],[vx]]+Tabelle2[[#This Row],[vy]]*Tabelle2[[#This Row],[vy]])/1000000</f>
        <v>4.0151464147603066</v>
      </c>
      <c r="H486">
        <f>IF($B$3,-Tabelle2[[#This Row],[Fd]]*Tabelle2[[#This Row],[vx]]/Tabelle2[[#This Row],[v]],0)</f>
        <v>-2.8581488180054855</v>
      </c>
      <c r="I486">
        <f t="shared" si="77"/>
        <v>-1.9054325453369902</v>
      </c>
      <c r="J486">
        <f t="shared" si="78"/>
        <v>-3.8108650906739809E-2</v>
      </c>
      <c r="K486">
        <f t="shared" si="79"/>
        <v>0.67790079576014617</v>
      </c>
      <c r="L486">
        <f>-$B$5*$B$12-IF($B$3,Tabelle2[[#This Row],[Fd]]*Tabelle2[[#This Row],[vy]]/Tabelle2[[#This Row],[v]],0)</f>
        <v>-11.895002470551368</v>
      </c>
      <c r="M486">
        <f t="shared" si="80"/>
        <v>-7.9300016470342456</v>
      </c>
      <c r="N486">
        <f t="shared" si="81"/>
        <v>-0.15860003294068492</v>
      </c>
      <c r="O486">
        <f t="shared" si="82"/>
        <v>-0.67081400561001892</v>
      </c>
      <c r="P486" s="1">
        <f t="shared" si="84"/>
        <v>33.914094113460678</v>
      </c>
      <c r="Q486" s="1">
        <f t="shared" si="85"/>
        <v>-33.461400264030601</v>
      </c>
      <c r="R486">
        <f>SQRT(Tabelle2[[#This Row],[vx]]*Tabelle2[[#This Row],[vx]]+Tabelle2[[#This Row],[vy]]*Tabelle2[[#This Row],[vy]])</f>
        <v>47.642744328662843</v>
      </c>
      <c r="S486">
        <f t="shared" si="86"/>
        <v>432.35186276969665</v>
      </c>
      <c r="T486" s="1">
        <f t="shared" si="87"/>
        <v>135.12957496832277</v>
      </c>
    </row>
    <row r="487" spans="6:20" x14ac:dyDescent="0.35">
      <c r="F487" s="1">
        <f t="shared" si="83"/>
        <v>9.6799999999998825</v>
      </c>
      <c r="G487">
        <f>1/2*$B$8*$B$6*$B$7*(Tabelle2[[#This Row],[vx]]*Tabelle2[[#This Row],[vx]]+Tabelle2[[#This Row],[vy]]*Tabelle2[[#This Row],[vy]])/1000000</f>
        <v>4.0293963344844634</v>
      </c>
      <c r="H487">
        <f>IF($B$3,-Tabelle2[[#This Row],[Fd]]*Tabelle2[[#This Row],[vx]]/Tabelle2[[#This Row],[v]],0)</f>
        <v>-2.8599988258180211</v>
      </c>
      <c r="I487">
        <f t="shared" si="77"/>
        <v>-1.9066658838786807</v>
      </c>
      <c r="J487">
        <f t="shared" si="78"/>
        <v>-3.8133317677573615E-2</v>
      </c>
      <c r="K487">
        <f t="shared" si="79"/>
        <v>0.67713837607430294</v>
      </c>
      <c r="L487">
        <f>-$B$5*$B$12-IF($B$3,Tabelle2[[#This Row],[Fd]]*Tabelle2[[#This Row],[vy]]/Tabelle2[[#This Row],[v]],0)</f>
        <v>-11.87661286349512</v>
      </c>
      <c r="M487">
        <f t="shared" si="80"/>
        <v>-7.9177419089967467</v>
      </c>
      <c r="N487">
        <f t="shared" si="81"/>
        <v>-0.15835483817993493</v>
      </c>
      <c r="O487">
        <f t="shared" si="82"/>
        <v>-0.67398355432122503</v>
      </c>
      <c r="P487" s="1">
        <f t="shared" si="84"/>
        <v>33.875985462553935</v>
      </c>
      <c r="Q487" s="1">
        <f t="shared" si="85"/>
        <v>-33.620000296971284</v>
      </c>
      <c r="R487">
        <f>SQRT(Tabelle2[[#This Row],[vx]]*Tabelle2[[#This Row],[vx]]+Tabelle2[[#This Row],[vy]]*Tabelle2[[#This Row],[vy]])</f>
        <v>47.727212479124681</v>
      </c>
      <c r="S487">
        <f t="shared" si="86"/>
        <v>433.02976356545679</v>
      </c>
      <c r="T487" s="1">
        <f t="shared" si="87"/>
        <v>134.45876096271274</v>
      </c>
    </row>
    <row r="488" spans="6:20" x14ac:dyDescent="0.35">
      <c r="F488" s="1">
        <f t="shared" si="83"/>
        <v>9.699999999999882</v>
      </c>
      <c r="G488">
        <f>1/2*$B$8*$B$6*$B$7*(Tabelle2[[#This Row],[vx]]*Tabelle2[[#This Row],[vx]]+Tabelle2[[#This Row],[vy]]*Tabelle2[[#This Row],[vy]])/1000000</f>
        <v>4.0437081283740248</v>
      </c>
      <c r="H488">
        <f>IF($B$3,-Tabelle2[[#This Row],[Fd]]*Tabelle2[[#This Row],[vx]]/Tabelle2[[#This Row],[v]],0)</f>
        <v>-2.8618483221029032</v>
      </c>
      <c r="I488">
        <f t="shared" si="77"/>
        <v>-1.9078988814019355</v>
      </c>
      <c r="J488">
        <f t="shared" si="78"/>
        <v>-3.8157977628038714E-2</v>
      </c>
      <c r="K488">
        <f t="shared" si="79"/>
        <v>0.67637546312124686</v>
      </c>
      <c r="L488">
        <f>-$B$5*$B$12-IF($B$3,Tabelle2[[#This Row],[Fd]]*Tabelle2[[#This Row],[vy]]/Tabelle2[[#This Row],[v]],0)</f>
        <v>-11.858183658553642</v>
      </c>
      <c r="M488">
        <f t="shared" si="80"/>
        <v>-7.9054557723690948</v>
      </c>
      <c r="N488">
        <f t="shared" si="81"/>
        <v>-0.1581091154473819</v>
      </c>
      <c r="O488">
        <f t="shared" si="82"/>
        <v>-0.67714819385749825</v>
      </c>
      <c r="P488" s="1">
        <f t="shared" si="84"/>
        <v>33.837852144876358</v>
      </c>
      <c r="Q488" s="1">
        <f t="shared" si="85"/>
        <v>-33.778355135151216</v>
      </c>
      <c r="R488">
        <f>SQRT(Tabelle2[[#This Row],[vx]]*Tabelle2[[#This Row],[vx]]+Tabelle2[[#This Row],[vy]]*Tabelle2[[#This Row],[vy]])</f>
        <v>47.811897195310188</v>
      </c>
      <c r="S488">
        <f t="shared" si="86"/>
        <v>433.7069019415311</v>
      </c>
      <c r="T488" s="1">
        <f t="shared" si="87"/>
        <v>133.78477740839153</v>
      </c>
    </row>
    <row r="489" spans="6:20" x14ac:dyDescent="0.35">
      <c r="F489" s="1">
        <f t="shared" si="83"/>
        <v>9.7199999999998816</v>
      </c>
      <c r="G489">
        <f>1/2*$B$8*$B$6*$B$7*(Tabelle2[[#This Row],[vx]]*Tabelle2[[#This Row],[vx]]+Tabelle2[[#This Row],[vy]]*Tabelle2[[#This Row],[vy]])/1000000</f>
        <v>4.0580813317396576</v>
      </c>
      <c r="H489">
        <f>IF($B$3,-Tabelle2[[#This Row],[Fd]]*Tabelle2[[#This Row],[vx]]/Tabelle2[[#This Row],[v]],0)</f>
        <v>-2.8636970198871707</v>
      </c>
      <c r="I489">
        <f t="shared" si="77"/>
        <v>-1.9091313465914472</v>
      </c>
      <c r="J489">
        <f t="shared" si="78"/>
        <v>-3.8182626931828945E-2</v>
      </c>
      <c r="K489">
        <f t="shared" si="79"/>
        <v>0.67561205707564809</v>
      </c>
      <c r="L489">
        <f>-$B$5*$B$12-IF($B$3,Tabelle2[[#This Row],[Fd]]*Tabelle2[[#This Row],[vy]]/Tabelle2[[#This Row],[v]],0)</f>
        <v>-11.839715062241092</v>
      </c>
      <c r="M489">
        <f t="shared" si="80"/>
        <v>-7.8931433748273951</v>
      </c>
      <c r="N489">
        <f t="shared" si="81"/>
        <v>-0.1578628674965479</v>
      </c>
      <c r="O489">
        <f t="shared" si="82"/>
        <v>-0.68030791368693744</v>
      </c>
      <c r="P489" s="1">
        <f t="shared" si="84"/>
        <v>33.799694167248319</v>
      </c>
      <c r="Q489" s="1">
        <f t="shared" si="85"/>
        <v>-33.936464250598597</v>
      </c>
      <c r="R489">
        <f>SQRT(Tabelle2[[#This Row],[vx]]*Tabelle2[[#This Row],[vx]]+Tabelle2[[#This Row],[vy]]*Tabelle2[[#This Row],[vy]])</f>
        <v>47.896794586189969</v>
      </c>
      <c r="S489">
        <f t="shared" si="86"/>
        <v>434.38327740465235</v>
      </c>
      <c r="T489" s="1">
        <f t="shared" si="87"/>
        <v>133.10762921453403</v>
      </c>
    </row>
    <row r="490" spans="6:20" x14ac:dyDescent="0.35">
      <c r="F490" s="1">
        <f t="shared" si="83"/>
        <v>9.7399999999998812</v>
      </c>
      <c r="G490">
        <f>1/2*$B$8*$B$6*$B$7*(Tabelle2[[#This Row],[vx]]*Tabelle2[[#This Row],[vx]]+Tabelle2[[#This Row],[vy]]*Tabelle2[[#This Row],[vy]])/1000000</f>
        <v>4.0725154801425649</v>
      </c>
      <c r="H490">
        <f>IF($B$3,-Tabelle2[[#This Row],[Fd]]*Tabelle2[[#This Row],[vx]]/Tabelle2[[#This Row],[v]],0)</f>
        <v>-2.8655446350830815</v>
      </c>
      <c r="I490">
        <f t="shared" si="77"/>
        <v>-1.9103630900553876</v>
      </c>
      <c r="J490">
        <f t="shared" si="78"/>
        <v>-3.8207261801107756E-2</v>
      </c>
      <c r="K490">
        <f t="shared" si="79"/>
        <v>0.67484815818831878</v>
      </c>
      <c r="L490">
        <f>-$B$5*$B$12-IF($B$3,Tabelle2[[#This Row],[Fd]]*Tabelle2[[#This Row],[vy]]/Tabelle2[[#This Row],[v]],0)</f>
        <v>-11.821207284488505</v>
      </c>
      <c r="M490">
        <f t="shared" si="80"/>
        <v>-7.8808048563256703</v>
      </c>
      <c r="N490">
        <f t="shared" si="81"/>
        <v>-0.15761609712651342</v>
      </c>
      <c r="O490">
        <f t="shared" si="82"/>
        <v>-0.68346270333316794</v>
      </c>
      <c r="P490" s="1">
        <f t="shared" si="84"/>
        <v>33.761511540316491</v>
      </c>
      <c r="Q490" s="1">
        <f t="shared" si="85"/>
        <v>-34.094327118095144</v>
      </c>
      <c r="R490">
        <f>SQRT(Tabelle2[[#This Row],[vx]]*Tabelle2[[#This Row],[vx]]+Tabelle2[[#This Row],[vy]]*Tabelle2[[#This Row],[vy]])</f>
        <v>47.981900786886314</v>
      </c>
      <c r="S490">
        <f t="shared" si="86"/>
        <v>435.05888946172797</v>
      </c>
      <c r="T490" s="1">
        <f t="shared" si="87"/>
        <v>132.4273213008471</v>
      </c>
    </row>
    <row r="491" spans="6:20" x14ac:dyDescent="0.35">
      <c r="F491" s="1">
        <f t="shared" si="83"/>
        <v>9.7599999999998808</v>
      </c>
      <c r="G491">
        <f>1/2*$B$8*$B$6*$B$7*(Tabelle2[[#This Row],[vx]]*Tabelle2[[#This Row],[vx]]+Tabelle2[[#This Row],[vy]]*Tabelle2[[#This Row],[vy]])/1000000</f>
        <v>4.0870101094050968</v>
      </c>
      <c r="H491">
        <f>IF($B$3,-Tabelle2[[#This Row],[Fd]]*Tabelle2[[#This Row],[vx]]/Tabelle2[[#This Row],[v]],0)</f>
        <v>-2.8673908864806643</v>
      </c>
      <c r="I491">
        <f t="shared" si="77"/>
        <v>-1.9115939243204429</v>
      </c>
      <c r="J491">
        <f t="shared" si="78"/>
        <v>-3.8231878486408861E-2</v>
      </c>
      <c r="K491">
        <f t="shared" si="79"/>
        <v>0.67408376678544357</v>
      </c>
      <c r="L491">
        <f>-$B$5*$B$12-IF($B$3,Tabelle2[[#This Row],[Fd]]*Tabelle2[[#This Row],[vy]]/Tabelle2[[#This Row],[v]],0)</f>
        <v>-11.802660538586359</v>
      </c>
      <c r="M491">
        <f t="shared" si="80"/>
        <v>-7.8684403590575727</v>
      </c>
      <c r="N491">
        <f t="shared" si="81"/>
        <v>-0.15736880718115145</v>
      </c>
      <c r="O491">
        <f t="shared" si="82"/>
        <v>-0.68661255237624474</v>
      </c>
      <c r="P491" s="1">
        <f t="shared" si="84"/>
        <v>33.723304278515386</v>
      </c>
      <c r="Q491" s="1">
        <f t="shared" si="85"/>
        <v>-34.251943215221658</v>
      </c>
      <c r="R491">
        <f>SQRT(Tabelle2[[#This Row],[vx]]*Tabelle2[[#This Row],[vx]]+Tabelle2[[#This Row],[vy]]*Tabelle2[[#This Row],[vy]])</f>
        <v>48.067211958674108</v>
      </c>
      <c r="S491">
        <f t="shared" si="86"/>
        <v>435.73373761991627</v>
      </c>
      <c r="T491" s="1">
        <f t="shared" si="87"/>
        <v>131.74385859751393</v>
      </c>
    </row>
    <row r="492" spans="6:20" x14ac:dyDescent="0.35">
      <c r="F492" s="1">
        <f t="shared" si="83"/>
        <v>9.7799999999998803</v>
      </c>
      <c r="G492">
        <f>1/2*$B$8*$B$6*$B$7*(Tabelle2[[#This Row],[vx]]*Tabelle2[[#This Row],[vx]]+Tabelle2[[#This Row],[vy]]*Tabelle2[[#This Row],[vy]])/1000000</f>
        <v>4.1015647556214292</v>
      </c>
      <c r="H492">
        <f>IF($B$3,-Tabelle2[[#This Row],[Fd]]*Tabelle2[[#This Row],[vx]]/Tabelle2[[#This Row],[v]],0)</f>
        <v>-2.8692354957399915</v>
      </c>
      <c r="I492">
        <f t="shared" si="77"/>
        <v>-1.9128236638266609</v>
      </c>
      <c r="J492">
        <f t="shared" si="78"/>
        <v>-3.8256473276533219E-2</v>
      </c>
      <c r="K492">
        <f t="shared" si="79"/>
        <v>0.67331888326781431</v>
      </c>
      <c r="L492">
        <f>-$B$5*$B$12-IF($B$3,Tabelle2[[#This Row],[Fd]]*Tabelle2[[#This Row],[vy]]/Tabelle2[[#This Row],[v]],0)</f>
        <v>-11.784075041127533</v>
      </c>
      <c r="M492">
        <f t="shared" si="80"/>
        <v>-7.8560500274183553</v>
      </c>
      <c r="N492">
        <f t="shared" si="81"/>
        <v>-0.15712100054836711</v>
      </c>
      <c r="O492">
        <f t="shared" si="82"/>
        <v>-0.68975745045353987</v>
      </c>
      <c r="P492" s="1">
        <f t="shared" si="84"/>
        <v>33.685072400028979</v>
      </c>
      <c r="Q492" s="1">
        <f t="shared" si="85"/>
        <v>-34.409312022402808</v>
      </c>
      <c r="R492">
        <f>SQRT(Tabelle2[[#This Row],[vx]]*Tabelle2[[#This Row],[vx]]+Tabelle2[[#This Row],[vy]]*Tabelle2[[#This Row],[vy]])</f>
        <v>48.152724288977339</v>
      </c>
      <c r="S492">
        <f t="shared" si="86"/>
        <v>436.4078213867017</v>
      </c>
      <c r="T492" s="1">
        <f t="shared" si="87"/>
        <v>131.0572460451377</v>
      </c>
    </row>
    <row r="493" spans="6:20" x14ac:dyDescent="0.35">
      <c r="F493" s="1">
        <f t="shared" si="83"/>
        <v>9.7999999999998799</v>
      </c>
      <c r="G493">
        <f>1/2*$B$8*$B$6*$B$7*(Tabelle2[[#This Row],[vx]]*Tabelle2[[#This Row],[vx]]+Tabelle2[[#This Row],[vy]]*Tabelle2[[#This Row],[vy]])/1000000</f>
        <v>4.1161789551683192</v>
      </c>
      <c r="H493">
        <f>IF($B$3,-Tabelle2[[#This Row],[Fd]]*Tabelle2[[#This Row],[vx]]/Tabelle2[[#This Row],[v]],0)</f>
        <v>-2.871078187383171</v>
      </c>
      <c r="I493">
        <f t="shared" si="77"/>
        <v>-1.9140521249221141</v>
      </c>
      <c r="J493">
        <f t="shared" si="78"/>
        <v>-3.8281042498442282E-2</v>
      </c>
      <c r="K493">
        <f t="shared" si="79"/>
        <v>0.67255350811006454</v>
      </c>
      <c r="L493">
        <f>-$B$5*$B$12-IF($B$3,Tabelle2[[#This Row],[Fd]]*Tabelle2[[#This Row],[vy]]/Tabelle2[[#This Row],[v]],0)</f>
        <v>-11.765451011950621</v>
      </c>
      <c r="M493">
        <f t="shared" si="80"/>
        <v>-7.8436340079670801</v>
      </c>
      <c r="N493">
        <f t="shared" si="81"/>
        <v>-0.15687268015934161</v>
      </c>
      <c r="O493">
        <f t="shared" si="82"/>
        <v>-0.69289738726061689</v>
      </c>
      <c r="P493" s="1">
        <f t="shared" si="84"/>
        <v>33.646815926752446</v>
      </c>
      <c r="Q493" s="1">
        <f t="shared" si="85"/>
        <v>-34.566433022951173</v>
      </c>
      <c r="R493">
        <f>SQRT(Tabelle2[[#This Row],[vx]]*Tabelle2[[#This Row],[vx]]+Tabelle2[[#This Row],[vy]]*Tabelle2[[#This Row],[vy]])</f>
        <v>48.238433991361404</v>
      </c>
      <c r="S493">
        <f t="shared" si="86"/>
        <v>437.08114026996952</v>
      </c>
      <c r="T493" s="1">
        <f t="shared" si="87"/>
        <v>130.36748859468418</v>
      </c>
    </row>
    <row r="494" spans="6:20" x14ac:dyDescent="0.35">
      <c r="F494" s="1">
        <f t="shared" si="83"/>
        <v>9.8199999999998795</v>
      </c>
      <c r="G494">
        <f>1/2*$B$8*$B$6*$B$7*(Tabelle2[[#This Row],[vx]]*Tabelle2[[#This Row],[vx]]+Tabelle2[[#This Row],[vy]]*Tabelle2[[#This Row],[vy]])/1000000</f>
        <v>4.1308522447159142</v>
      </c>
      <c r="H494">
        <f>IF($B$3,-Tabelle2[[#This Row],[Fd]]*Tabelle2[[#This Row],[vx]]/Tabelle2[[#This Row],[v]],0)</f>
        <v>-2.872918688786072</v>
      </c>
      <c r="I494">
        <f t="shared" si="77"/>
        <v>-1.9152791258573814</v>
      </c>
      <c r="J494">
        <f t="shared" si="78"/>
        <v>-3.8305582517147628E-2</v>
      </c>
      <c r="K494">
        <f t="shared" si="79"/>
        <v>0.67178764185990858</v>
      </c>
      <c r="L494">
        <f>-$B$5*$B$12-IF($B$3,Tabelle2[[#This Row],[Fd]]*Tabelle2[[#This Row],[vy]]/Tabelle2[[#This Row],[v]],0)</f>
        <v>-11.746788674083628</v>
      </c>
      <c r="M494">
        <f t="shared" si="80"/>
        <v>-7.8311924493890857</v>
      </c>
      <c r="N494">
        <f t="shared" si="81"/>
        <v>-0.15662384898778173</v>
      </c>
      <c r="O494">
        <f t="shared" si="82"/>
        <v>-0.69603235255208806</v>
      </c>
      <c r="P494" s="1">
        <f t="shared" si="84"/>
        <v>33.608534884254006</v>
      </c>
      <c r="Q494" s="1">
        <f t="shared" si="85"/>
        <v>-34.723305703110512</v>
      </c>
      <c r="R494">
        <f>SQRT(Tabelle2[[#This Row],[vx]]*Tabelle2[[#This Row],[vx]]+Tabelle2[[#This Row],[vy]]*Tabelle2[[#This Row],[vy]])</f>
        <v>48.324337305521176</v>
      </c>
      <c r="S494">
        <f t="shared" si="86"/>
        <v>437.75369377807959</v>
      </c>
      <c r="T494" s="1">
        <f t="shared" si="87"/>
        <v>129.67459120742356</v>
      </c>
    </row>
    <row r="495" spans="6:20" x14ac:dyDescent="0.35">
      <c r="F495" s="1">
        <f t="shared" si="83"/>
        <v>9.8399999999998791</v>
      </c>
      <c r="G495">
        <f>1/2*$B$8*$B$6*$B$7*(Tabelle2[[#This Row],[vx]]*Tabelle2[[#This Row],[vx]]+Tabelle2[[#This Row],[vy]]*Tabelle2[[#This Row],[vy]])/1000000</f>
        <v>4.1455841612386326</v>
      </c>
      <c r="H495">
        <f>IF($B$3,-Tabelle2[[#This Row],[Fd]]*Tabelle2[[#This Row],[vx]]/Tabelle2[[#This Row],[v]],0)</f>
        <v>-2.8747567301697847</v>
      </c>
      <c r="I495">
        <f t="shared" si="77"/>
        <v>-1.9165044867798564</v>
      </c>
      <c r="J495">
        <f t="shared" si="78"/>
        <v>-3.833008973559713E-2</v>
      </c>
      <c r="K495">
        <f t="shared" si="79"/>
        <v>0.67102128513738124</v>
      </c>
      <c r="L495">
        <f>-$B$5*$B$12-IF($B$3,Tabelle2[[#This Row],[Fd]]*Tabelle2[[#This Row],[vy]]/Tabelle2[[#This Row],[v]],0)</f>
        <v>-11.728088253688076</v>
      </c>
      <c r="M495">
        <f t="shared" si="80"/>
        <v>-7.8187255024587179</v>
      </c>
      <c r="N495">
        <f t="shared" si="81"/>
        <v>-0.15637451004917435</v>
      </c>
      <c r="O495">
        <f t="shared" si="82"/>
        <v>-0.69916233614245771</v>
      </c>
      <c r="P495" s="1">
        <f t="shared" si="84"/>
        <v>33.570229301736859</v>
      </c>
      <c r="Q495" s="1">
        <f t="shared" si="85"/>
        <v>-34.879929552098297</v>
      </c>
      <c r="R495">
        <f>SQRT(Tabelle2[[#This Row],[vx]]*Tabelle2[[#This Row],[vx]]+Tabelle2[[#This Row],[vy]]*Tabelle2[[#This Row],[vy]])</f>
        <v>48.410430497265068</v>
      </c>
      <c r="S495">
        <f t="shared" si="86"/>
        <v>438.4254814199395</v>
      </c>
      <c r="T495" s="1">
        <f t="shared" si="87"/>
        <v>128.97855885487147</v>
      </c>
    </row>
    <row r="496" spans="6:20" x14ac:dyDescent="0.35">
      <c r="F496" s="1">
        <f t="shared" si="83"/>
        <v>9.8599999999998786</v>
      </c>
      <c r="G496">
        <f>1/2*$B$8*$B$6*$B$7*(Tabelle2[[#This Row],[vx]]*Tabelle2[[#This Row],[vx]]+Tabelle2[[#This Row],[vy]]*Tabelle2[[#This Row],[vy]])/1000000</f>
        <v>4.1603742420260907</v>
      </c>
      <c r="H496">
        <f>IF($B$3,-Tabelle2[[#This Row],[Fd]]*Tabelle2[[#This Row],[vx]]/Tabelle2[[#This Row],[v]],0)</f>
        <v>-2.8765920445918232</v>
      </c>
      <c r="I496">
        <f t="shared" si="77"/>
        <v>-1.917728029727882</v>
      </c>
      <c r="J496">
        <f t="shared" si="78"/>
        <v>-3.8354560594557642E-2</v>
      </c>
      <c r="K496">
        <f t="shared" si="79"/>
        <v>0.67025443863407974</v>
      </c>
      <c r="L496">
        <f>-$B$5*$B$12-IF($B$3,Tabelle2[[#This Row],[Fd]]*Tabelle2[[#This Row],[vy]]/Tabelle2[[#This Row],[v]],0)</f>
        <v>-11.709349980003459</v>
      </c>
      <c r="M496">
        <f t="shared" si="80"/>
        <v>-7.8062333200023062</v>
      </c>
      <c r="N496">
        <f t="shared" si="81"/>
        <v>-0.15612466640004613</v>
      </c>
      <c r="O496">
        <f t="shared" si="82"/>
        <v>-0.70228732790694992</v>
      </c>
      <c r="P496" s="1">
        <f t="shared" si="84"/>
        <v>33.531899212001264</v>
      </c>
      <c r="Q496" s="1">
        <f t="shared" si="85"/>
        <v>-35.036304062147472</v>
      </c>
      <c r="R496">
        <f>SQRT(Tabelle2[[#This Row],[vx]]*Tabelle2[[#This Row],[vx]]+Tabelle2[[#This Row],[vy]]*Tabelle2[[#This Row],[vy]])</f>
        <v>48.496709858495166</v>
      </c>
      <c r="S496">
        <f t="shared" si="86"/>
        <v>439.09650270507689</v>
      </c>
      <c r="T496" s="1">
        <f t="shared" si="87"/>
        <v>128.27939651872902</v>
      </c>
    </row>
    <row r="497" spans="6:20" x14ac:dyDescent="0.35">
      <c r="F497" s="1">
        <f t="shared" si="83"/>
        <v>9.8799999999998782</v>
      </c>
      <c r="G497">
        <f>1/2*$B$8*$B$6*$B$7*(Tabelle2[[#This Row],[vx]]*Tabelle2[[#This Row],[vx]]+Tabelle2[[#This Row],[vy]]*Tabelle2[[#This Row],[vy]])/1000000</f>
        <v>4.1752220246941079</v>
      </c>
      <c r="H497">
        <f>IF($B$3,-Tabelle2[[#This Row],[Fd]]*Tabelle2[[#This Row],[vx]]/Tabelle2[[#This Row],[v]],0)</f>
        <v>-2.8784243679370931</v>
      </c>
      <c r="I497">
        <f t="shared" si="77"/>
        <v>-1.9189495786247288</v>
      </c>
      <c r="J497">
        <f t="shared" si="78"/>
        <v>-3.8378991572494574E-2</v>
      </c>
      <c r="K497">
        <f t="shared" si="79"/>
        <v>0.66948710311240922</v>
      </c>
      <c r="L497">
        <f>-$B$5*$B$12-IF($B$3,Tabelle2[[#This Row],[Fd]]*Tabelle2[[#This Row],[vy]]/Tabelle2[[#This Row],[v]],0)</f>
        <v>-11.690574085292102</v>
      </c>
      <c r="M497">
        <f t="shared" si="80"/>
        <v>-7.7937160568614017</v>
      </c>
      <c r="N497">
        <f t="shared" si="81"/>
        <v>-0.15587432113722804</v>
      </c>
      <c r="O497">
        <f t="shared" si="82"/>
        <v>-0.70540731778232268</v>
      </c>
      <c r="P497" s="1">
        <f t="shared" si="84"/>
        <v>33.493544651406708</v>
      </c>
      <c r="Q497" s="1">
        <f t="shared" si="85"/>
        <v>-35.192428728547519</v>
      </c>
      <c r="R497">
        <f>SQRT(Tabelle2[[#This Row],[vx]]*Tabelle2[[#This Row],[vx]]+Tabelle2[[#This Row],[vy]]*Tabelle2[[#This Row],[vy]])</f>
        <v>48.58317170718346</v>
      </c>
      <c r="S497">
        <f t="shared" si="86"/>
        <v>439.76675714371095</v>
      </c>
      <c r="T497" s="1">
        <f t="shared" si="87"/>
        <v>127.57710919082207</v>
      </c>
    </row>
    <row r="498" spans="6:20" x14ac:dyDescent="0.35">
      <c r="F498" s="1">
        <f t="shared" si="83"/>
        <v>9.8999999999998778</v>
      </c>
      <c r="G498">
        <f>1/2*$B$8*$B$6*$B$7*(Tabelle2[[#This Row],[vx]]*Tabelle2[[#This Row],[vx]]+Tabelle2[[#This Row],[vy]]*Tabelle2[[#This Row],[vy]])/1000000</f>
        <v>4.1901270471957348</v>
      </c>
      <c r="H498">
        <f>IF($B$3,-Tabelle2[[#This Row],[Fd]]*Tabelle2[[#This Row],[vx]]/Tabelle2[[#This Row],[v]],0)</f>
        <v>-2.8802534389086047</v>
      </c>
      <c r="I498">
        <f t="shared" si="77"/>
        <v>-1.9201689592724032</v>
      </c>
      <c r="J498">
        <f t="shared" si="78"/>
        <v>-3.8403379185448061E-2</v>
      </c>
      <c r="K498">
        <f t="shared" si="79"/>
        <v>0.66871927940482978</v>
      </c>
      <c r="L498">
        <f>-$B$5*$B$12-IF($B$3,Tabelle2[[#This Row],[Fd]]*Tabelle2[[#This Row],[vy]]/Tabelle2[[#This Row],[v]],0)</f>
        <v>-11.671760804784412</v>
      </c>
      <c r="M498">
        <f t="shared" si="80"/>
        <v>-7.7811738698562749</v>
      </c>
      <c r="N498">
        <f t="shared" si="81"/>
        <v>-0.15562347739712551</v>
      </c>
      <c r="O498">
        <f t="shared" si="82"/>
        <v>-0.70852229576766623</v>
      </c>
      <c r="P498" s="1">
        <f t="shared" si="84"/>
        <v>33.455165659834215</v>
      </c>
      <c r="Q498" s="1">
        <f t="shared" si="85"/>
        <v>-35.348303049684745</v>
      </c>
      <c r="R498">
        <f>SQRT(Tabelle2[[#This Row],[vx]]*Tabelle2[[#This Row],[vx]]+Tabelle2[[#This Row],[vy]]*Tabelle2[[#This Row],[vy]])</f>
        <v>48.669812387344393</v>
      </c>
      <c r="S498">
        <f t="shared" si="86"/>
        <v>440.43624424682338</v>
      </c>
      <c r="T498" s="1">
        <f t="shared" si="87"/>
        <v>126.87170187303975</v>
      </c>
    </row>
    <row r="499" spans="6:20" x14ac:dyDescent="0.35">
      <c r="F499" s="1">
        <f t="shared" si="83"/>
        <v>9.9199999999998774</v>
      </c>
      <c r="G499">
        <f>1/2*$B$8*$B$6*$B$7*(Tabelle2[[#This Row],[vx]]*Tabelle2[[#This Row],[vx]]+Tabelle2[[#This Row],[vy]]*Tabelle2[[#This Row],[vy]])/1000000</f>
        <v>4.2050888478323687</v>
      </c>
      <c r="H499">
        <f>IF($B$3,-Tabelle2[[#This Row],[Fd]]*Tabelle2[[#This Row],[vx]]/Tabelle2[[#This Row],[v]],0)</f>
        <v>-2.8820789990179665</v>
      </c>
      <c r="I499">
        <f t="shared" si="77"/>
        <v>-1.9213859993453111</v>
      </c>
      <c r="J499">
        <f t="shared" si="78"/>
        <v>-3.8427719986906222E-2</v>
      </c>
      <c r="K499">
        <f t="shared" si="79"/>
        <v>0.66795096841310631</v>
      </c>
      <c r="L499">
        <f>-$B$5*$B$12-IF($B$3,Tabelle2[[#This Row],[Fd]]*Tabelle2[[#This Row],[vy]]/Tabelle2[[#This Row],[v]],0)</f>
        <v>-11.652910376624526</v>
      </c>
      <c r="M499">
        <f t="shared" si="80"/>
        <v>-7.7686069177496835</v>
      </c>
      <c r="N499">
        <f t="shared" si="81"/>
        <v>-0.15537213835499367</v>
      </c>
      <c r="O499">
        <f t="shared" si="82"/>
        <v>-0.71163225192518742</v>
      </c>
      <c r="P499" s="1">
        <f t="shared" si="84"/>
        <v>33.416762280648769</v>
      </c>
      <c r="Q499" s="1">
        <f t="shared" si="85"/>
        <v>-35.503926527081873</v>
      </c>
      <c r="R499">
        <f>SQRT(Tabelle2[[#This Row],[vx]]*Tabelle2[[#This Row],[vx]]+Tabelle2[[#This Row],[vy]]*Tabelle2[[#This Row],[vy]])</f>
        <v>48.756628269003777</v>
      </c>
      <c r="S499">
        <f t="shared" si="86"/>
        <v>441.10496352622823</v>
      </c>
      <c r="T499" s="1">
        <f t="shared" si="87"/>
        <v>126.16317957727209</v>
      </c>
    </row>
    <row r="500" spans="6:20" x14ac:dyDescent="0.35">
      <c r="F500" s="1">
        <f t="shared" si="83"/>
        <v>9.9399999999998769</v>
      </c>
      <c r="G500">
        <f>1/2*$B$8*$B$6*$B$7*(Tabelle2[[#This Row],[vx]]*Tabelle2[[#This Row],[vx]]+Tabelle2[[#This Row],[vy]]*Tabelle2[[#This Row],[vy]])/1000000</f>
        <v>4.2201069652648746</v>
      </c>
      <c r="H500">
        <f>IF($B$3,-Tabelle2[[#This Row],[Fd]]*Tabelle2[[#This Row],[vx]]/Tabelle2[[#This Row],[v]],0)</f>
        <v>-2.8839007925756404</v>
      </c>
      <c r="I500">
        <f t="shared" si="77"/>
        <v>-1.9226005283837602</v>
      </c>
      <c r="J500">
        <f t="shared" si="78"/>
        <v>-3.8452010567675207E-2</v>
      </c>
      <c r="K500">
        <f t="shared" si="79"/>
        <v>0.6671821711075604</v>
      </c>
      <c r="L500">
        <f>-$B$5*$B$12-IF($B$3,Tabelle2[[#This Row],[Fd]]*Tabelle2[[#This Row],[vy]]/Tabelle2[[#This Row],[v]],0)</f>
        <v>-11.634023041816331</v>
      </c>
      <c r="M500">
        <f t="shared" si="80"/>
        <v>-7.7560153612108875</v>
      </c>
      <c r="N500">
        <f t="shared" si="81"/>
        <v>-0.15512030722421774</v>
      </c>
      <c r="O500">
        <f t="shared" si="82"/>
        <v>-0.71473717638097956</v>
      </c>
      <c r="P500" s="1">
        <f t="shared" si="84"/>
        <v>33.378334560661862</v>
      </c>
      <c r="Q500" s="1">
        <f t="shared" si="85"/>
        <v>-35.659298665436864</v>
      </c>
      <c r="R500">
        <f>SQRT(Tabelle2[[#This Row],[vx]]*Tabelle2[[#This Row],[vx]]+Tabelle2[[#This Row],[vy]]*Tabelle2[[#This Row],[vy]])</f>
        <v>48.843615748164076</v>
      </c>
      <c r="S500">
        <f t="shared" si="86"/>
        <v>441.77291449464133</v>
      </c>
      <c r="T500" s="1">
        <f t="shared" si="87"/>
        <v>125.45154732534691</v>
      </c>
    </row>
    <row r="501" spans="6:20" x14ac:dyDescent="0.35">
      <c r="F501" s="1">
        <f t="shared" si="83"/>
        <v>9.9599999999998765</v>
      </c>
      <c r="G501">
        <f>1/2*$B$8*$B$6*$B$7*(Tabelle2[[#This Row],[vx]]*Tabelle2[[#This Row],[vx]]+Tabelle2[[#This Row],[vy]]*Tabelle2[[#This Row],[vy]])/1000000</f>
        <v>4.2351809385247936</v>
      </c>
      <c r="H501">
        <f>IF($B$3,-Tabelle2[[#This Row],[Fd]]*Tabelle2[[#This Row],[vx]]/Tabelle2[[#This Row],[v]],0)</f>
        <v>-2.8857185666809939</v>
      </c>
      <c r="I501">
        <f t="shared" si="77"/>
        <v>-1.9238123777873293</v>
      </c>
      <c r="J501">
        <f t="shared" si="78"/>
        <v>-3.8476247555746586E-2</v>
      </c>
      <c r="K501">
        <f t="shared" si="79"/>
        <v>0.6664128885263263</v>
      </c>
      <c r="L501">
        <f>-$B$5*$B$12-IF($B$3,Tabelle2[[#This Row],[Fd]]*Tabelle2[[#This Row],[vy]]/Tabelle2[[#This Row],[v]],0)</f>
        <v>-11.615099044169904</v>
      </c>
      <c r="M501">
        <f t="shared" si="80"/>
        <v>-7.743399362779936</v>
      </c>
      <c r="N501">
        <f t="shared" si="81"/>
        <v>-0.15486798725559872</v>
      </c>
      <c r="O501">
        <f t="shared" si="82"/>
        <v>-0.71783705932577757</v>
      </c>
      <c r="P501" s="1">
        <f t="shared" si="84"/>
        <v>33.339882550094188</v>
      </c>
      <c r="Q501" s="1">
        <f t="shared" si="85"/>
        <v>-35.81441897266108</v>
      </c>
      <c r="R501">
        <f>SQRT(Tabelle2[[#This Row],[vx]]*Tabelle2[[#This Row],[vx]]+Tabelle2[[#This Row],[vy]]*Tabelle2[[#This Row],[vy]])</f>
        <v>48.93077124676639</v>
      </c>
      <c r="S501">
        <f t="shared" si="86"/>
        <v>442.44009666574891</v>
      </c>
      <c r="T501" s="1">
        <f t="shared" si="87"/>
        <v>124.73681014896593</v>
      </c>
    </row>
    <row r="502" spans="6:20" x14ac:dyDescent="0.35">
      <c r="F502" s="1">
        <f t="shared" si="83"/>
        <v>9.9799999999998761</v>
      </c>
      <c r="G502">
        <f>1/2*$B$8*$B$6*$B$7*(Tabelle2[[#This Row],[vx]]*Tabelle2[[#This Row],[vx]]+Tabelle2[[#This Row],[vy]]*Tabelle2[[#This Row],[vy]])/1000000</f>
        <v>4.2503103070255666</v>
      </c>
      <c r="H502">
        <f>IF($B$3,-Tabelle2[[#This Row],[Fd]]*Tabelle2[[#This Row],[vx]]/Tabelle2[[#This Row],[v]],0)</f>
        <v>-2.8875320712121253</v>
      </c>
      <c r="I502">
        <f t="shared" si="77"/>
        <v>-1.9250213808080836</v>
      </c>
      <c r="J502">
        <f t="shared" si="78"/>
        <v>-3.8500427616161674E-2</v>
      </c>
      <c r="K502">
        <f t="shared" si="79"/>
        <v>0.66564312177460727</v>
      </c>
      <c r="L502">
        <f>-$B$5*$B$12-IF($B$3,Tabelle2[[#This Row],[Fd]]*Tabelle2[[#This Row],[vy]]/Tabelle2[[#This Row],[v]],0)</f>
        <v>-11.596138630248342</v>
      </c>
      <c r="M502">
        <f t="shared" si="80"/>
        <v>-7.7307590868322285</v>
      </c>
      <c r="N502">
        <f t="shared" si="81"/>
        <v>-0.15461518173664457</v>
      </c>
      <c r="O502">
        <f t="shared" si="82"/>
        <v>-0.7209318910157001</v>
      </c>
      <c r="P502" s="1">
        <f t="shared" si="84"/>
        <v>33.301406302538439</v>
      </c>
      <c r="Q502" s="1">
        <f t="shared" si="85"/>
        <v>-35.96928695991668</v>
      </c>
      <c r="R502">
        <f>SQRT(Tabelle2[[#This Row],[vx]]*Tabelle2[[#This Row],[vx]]+Tabelle2[[#This Row],[vy]]*Tabelle2[[#This Row],[vy]])</f>
        <v>49.018091212649018</v>
      </c>
      <c r="S502">
        <f t="shared" si="86"/>
        <v>443.10650955427525</v>
      </c>
      <c r="T502" s="1">
        <f t="shared" si="87"/>
        <v>124.01897308964016</v>
      </c>
    </row>
    <row r="503" spans="6:20" x14ac:dyDescent="0.35">
      <c r="F503" s="1">
        <f t="shared" si="83"/>
        <v>9.9999999999998757</v>
      </c>
      <c r="G503">
        <f>1/2*$B$8*$B$6*$B$7*(Tabelle2[[#This Row],[vx]]*Tabelle2[[#This Row],[vx]]+Tabelle2[[#This Row],[vy]]*Tabelle2[[#This Row],[vy]])/1000000</f>
        <v>4.2654946105738025</v>
      </c>
      <c r="H503">
        <f>IF($B$3,-Tabelle2[[#This Row],[Fd]]*Tabelle2[[#This Row],[vx]]/Tabelle2[[#This Row],[v]],0)</f>
        <v>-2.8893410588154937</v>
      </c>
      <c r="I503">
        <f t="shared" si="77"/>
        <v>-1.9262273725436625</v>
      </c>
      <c r="J503">
        <f t="shared" si="78"/>
        <v>-3.8524547450873248E-2</v>
      </c>
      <c r="K503">
        <f t="shared" si="79"/>
        <v>0.66487287202393675</v>
      </c>
      <c r="L503">
        <f>-$B$5*$B$12-IF($B$3,Tabelle2[[#This Row],[Fd]]*Tabelle2[[#This Row],[vy]]/Tabelle2[[#This Row],[v]],0)</f>
        <v>-11.577142049314993</v>
      </c>
      <c r="M503">
        <f t="shared" si="80"/>
        <v>-7.7180946995433288</v>
      </c>
      <c r="N503">
        <f t="shared" si="81"/>
        <v>-0.15436189399086658</v>
      </c>
      <c r="O503">
        <f t="shared" si="82"/>
        <v>-0.72402166177297522</v>
      </c>
      <c r="P503" s="1">
        <f t="shared" si="84"/>
        <v>33.262905874922275</v>
      </c>
      <c r="Q503" s="1">
        <f t="shared" si="85"/>
        <v>-36.123902141653325</v>
      </c>
      <c r="R503">
        <f>SQRT(Tabelle2[[#This Row],[vx]]*Tabelle2[[#This Row],[vx]]+Tabelle2[[#This Row],[vy]]*Tabelle2[[#This Row],[vy]])</f>
        <v>49.105572119502739</v>
      </c>
      <c r="S503">
        <f t="shared" si="86"/>
        <v>443.77215267604987</v>
      </c>
      <c r="T503" s="1">
        <f t="shared" si="87"/>
        <v>123.29804119862446</v>
      </c>
    </row>
    <row r="504" spans="6:20" x14ac:dyDescent="0.35">
      <c r="F504" s="1">
        <f t="shared" si="83"/>
        <v>10.019999999999875</v>
      </c>
      <c r="G504">
        <f>1/2*$B$8*$B$6*$B$7*(Tabelle2[[#This Row],[vx]]*Tabelle2[[#This Row],[vx]]+Tabelle2[[#This Row],[vy]]*Tabelle2[[#This Row],[vy]])/1000000</f>
        <v>4.280733389380587</v>
      </c>
      <c r="H504">
        <f>IF($B$3,-Tabelle2[[#This Row],[Fd]]*Tabelle2[[#This Row],[vx]]/Tabelle2[[#This Row],[v]],0)</f>
        <v>-2.8911452848953463</v>
      </c>
      <c r="I504">
        <f t="shared" si="77"/>
        <v>-1.9274301899302309</v>
      </c>
      <c r="J504">
        <f t="shared" si="78"/>
        <v>-3.8548603798604621E-2</v>
      </c>
      <c r="K504">
        <f t="shared" si="79"/>
        <v>0.66410214051144201</v>
      </c>
      <c r="L504">
        <f>-$B$5*$B$12-IF($B$3,Tabelle2[[#This Row],[Fd]]*Tabelle2[[#This Row],[vy]]/Tabelle2[[#This Row],[v]],0)</f>
        <v>-11.558109553281074</v>
      </c>
      <c r="M504">
        <f t="shared" si="80"/>
        <v>-7.7054063688540495</v>
      </c>
      <c r="N504">
        <f t="shared" si="81"/>
        <v>-0.15410812737708099</v>
      </c>
      <c r="O504">
        <f t="shared" si="82"/>
        <v>-0.72710636198665468</v>
      </c>
      <c r="P504" s="1">
        <f t="shared" si="84"/>
        <v>33.224381327471399</v>
      </c>
      <c r="Q504" s="1">
        <f t="shared" si="85"/>
        <v>-36.278264035644192</v>
      </c>
      <c r="R504">
        <f>SQRT(Tabelle2[[#This Row],[vx]]*Tabelle2[[#This Row],[vx]]+Tabelle2[[#This Row],[vy]]*Tabelle2[[#This Row],[vy]])</f>
        <v>49.193210466823011</v>
      </c>
      <c r="S504">
        <f t="shared" si="86"/>
        <v>444.43702554807379</v>
      </c>
      <c r="T504" s="1">
        <f t="shared" si="87"/>
        <v>122.57401953685148</v>
      </c>
    </row>
    <row r="505" spans="6:20" x14ac:dyDescent="0.35">
      <c r="F505" s="1">
        <f t="shared" si="83"/>
        <v>10.039999999999875</v>
      </c>
      <c r="G505">
        <f>1/2*$B$8*$B$6*$B$7*(Tabelle2[[#This Row],[vx]]*Tabelle2[[#This Row],[vx]]+Tabelle2[[#This Row],[vy]]*Tabelle2[[#This Row],[vy]])/1000000</f>
        <v>4.2960261840728338</v>
      </c>
      <c r="H505">
        <f>IF($B$3,-Tabelle2[[#This Row],[Fd]]*Tabelle2[[#This Row],[vx]]/Tabelle2[[#This Row],[v]],0)</f>
        <v>-2.892944507602957</v>
      </c>
      <c r="I505">
        <f t="shared" si="77"/>
        <v>-1.9286296717353046</v>
      </c>
      <c r="J505">
        <f t="shared" si="78"/>
        <v>-3.8572593434706093E-2</v>
      </c>
      <c r="K505">
        <f t="shared" si="79"/>
        <v>0.6633309285391088</v>
      </c>
      <c r="L505">
        <f>-$B$5*$B$12-IF($B$3,Tabelle2[[#This Row],[Fd]]*Tabelle2[[#This Row],[vy]]/Tabelle2[[#This Row],[v]],0)</f>
        <v>-11.539041396653715</v>
      </c>
      <c r="M505">
        <f t="shared" si="80"/>
        <v>-7.6926942644358105</v>
      </c>
      <c r="N505">
        <f t="shared" si="81"/>
        <v>-0.15385388528871621</v>
      </c>
      <c r="O505">
        <f t="shared" si="82"/>
        <v>-0.73018598211331254</v>
      </c>
      <c r="P505" s="1">
        <f t="shared" si="84"/>
        <v>33.185832723672796</v>
      </c>
      <c r="Q505" s="1">
        <f t="shared" si="85"/>
        <v>-36.43237216302127</v>
      </c>
      <c r="R505">
        <f>SQRT(Tabelle2[[#This Row],[vx]]*Tabelle2[[#This Row],[vx]]+Tabelle2[[#This Row],[vy]]*Tabelle2[[#This Row],[vy]])</f>
        <v>49.281002779859087</v>
      </c>
      <c r="S505">
        <f t="shared" si="86"/>
        <v>445.10112768858522</v>
      </c>
      <c r="T505" s="1">
        <f t="shared" si="87"/>
        <v>121.84691317486482</v>
      </c>
    </row>
    <row r="506" spans="6:20" x14ac:dyDescent="0.35">
      <c r="F506" s="1">
        <f t="shared" si="83"/>
        <v>10.059999999999874</v>
      </c>
      <c r="G506">
        <f>1/2*$B$8*$B$6*$B$7*(Tabelle2[[#This Row],[vx]]*Tabelle2[[#This Row],[vx]]+Tabelle2[[#This Row],[vy]]*Tabelle2[[#This Row],[vy]])/1000000</f>
        <v>4.3113725357046482</v>
      </c>
      <c r="H506">
        <f>IF($B$3,-Tabelle2[[#This Row],[Fd]]*Tabelle2[[#This Row],[vx]]/Tabelle2[[#This Row],[v]],0)</f>
        <v>-2.8947384878256761</v>
      </c>
      <c r="I506">
        <f t="shared" si="77"/>
        <v>-1.9298256585504507</v>
      </c>
      <c r="J506">
        <f t="shared" si="78"/>
        <v>-3.8596513171009018E-2</v>
      </c>
      <c r="K506">
        <f t="shared" si="79"/>
        <v>0.66255923747305168</v>
      </c>
      <c r="L506">
        <f>-$B$5*$B$12-IF($B$3,Tabelle2[[#This Row],[Fd]]*Tabelle2[[#This Row],[vy]]/Tabelle2[[#This Row],[v]],0)</f>
        <v>-11.51993783648439</v>
      </c>
      <c r="M506">
        <f t="shared" si="80"/>
        <v>-7.6799585576562599</v>
      </c>
      <c r="N506">
        <f t="shared" si="81"/>
        <v>-0.15359917115312521</v>
      </c>
      <c r="O506">
        <f t="shared" si="82"/>
        <v>-0.73326051267773096</v>
      </c>
      <c r="P506" s="1">
        <f t="shared" si="84"/>
        <v>33.147260130238088</v>
      </c>
      <c r="Q506" s="1">
        <f t="shared" si="85"/>
        <v>-36.586226048309989</v>
      </c>
      <c r="R506">
        <f>SQRT(Tabelle2[[#This Row],[vx]]*Tabelle2[[#This Row],[vx]]+Tabelle2[[#This Row],[vy]]*Tabelle2[[#This Row],[vy]])</f>
        <v>49.368945609560143</v>
      </c>
      <c r="S506">
        <f t="shared" si="86"/>
        <v>445.76445861712432</v>
      </c>
      <c r="T506" s="1">
        <f t="shared" si="87"/>
        <v>121.11672719275151</v>
      </c>
    </row>
    <row r="507" spans="6:20" x14ac:dyDescent="0.35">
      <c r="F507" s="1">
        <f t="shared" si="83"/>
        <v>10.079999999999874</v>
      </c>
      <c r="G507">
        <f>1/2*$B$8*$B$6*$B$7*(Tabelle2[[#This Row],[vx]]*Tabelle2[[#This Row],[vx]]+Tabelle2[[#This Row],[vy]]*Tabelle2[[#This Row],[vy]])/1000000</f>
        <v>4.3267719857687386</v>
      </c>
      <c r="H507">
        <f>IF($B$3,-Tabelle2[[#This Row],[Fd]]*Tabelle2[[#This Row],[vx]]/Tabelle2[[#This Row],[v]],0)</f>
        <v>-2.8965269891758019</v>
      </c>
      <c r="I507">
        <f t="shared" si="77"/>
        <v>-1.931017992783868</v>
      </c>
      <c r="J507">
        <f t="shared" si="78"/>
        <v>-3.8620359855677362E-2</v>
      </c>
      <c r="K507">
        <f t="shared" si="79"/>
        <v>0.66178706874278492</v>
      </c>
      <c r="L507">
        <f>-$B$5*$B$12-IF($B$3,Tabelle2[[#This Row],[Fd]]*Tabelle2[[#This Row],[vy]]/Tabelle2[[#This Row],[v]],0)</f>
        <v>-11.500799132317752</v>
      </c>
      <c r="M507">
        <f t="shared" si="80"/>
        <v>-7.6671994215451678</v>
      </c>
      <c r="N507">
        <f t="shared" si="81"/>
        <v>-0.15334398843090336</v>
      </c>
      <c r="O507">
        <f t="shared" si="82"/>
        <v>-0.73632994427357135</v>
      </c>
      <c r="P507" s="1">
        <f t="shared" si="84"/>
        <v>33.10866361706708</v>
      </c>
      <c r="Q507" s="1">
        <f t="shared" si="85"/>
        <v>-36.739825219463114</v>
      </c>
      <c r="R507">
        <f>SQRT(Tabelle2[[#This Row],[vx]]*Tabelle2[[#This Row],[vx]]+Tabelle2[[#This Row],[vy]]*Tabelle2[[#This Row],[vy]])</f>
        <v>49.457035532518518</v>
      </c>
      <c r="S507">
        <f t="shared" si="86"/>
        <v>446.42701785459735</v>
      </c>
      <c r="T507" s="1">
        <f t="shared" si="87"/>
        <v>120.38346668007378</v>
      </c>
    </row>
    <row r="508" spans="6:20" x14ac:dyDescent="0.35">
      <c r="F508" s="1">
        <f t="shared" si="83"/>
        <v>10.099999999999874</v>
      </c>
      <c r="G508">
        <f>1/2*$B$8*$B$6*$B$7*(Tabelle2[[#This Row],[vx]]*Tabelle2[[#This Row],[vx]]+Tabelle2[[#This Row],[vy]]*Tabelle2[[#This Row],[vy]])/1000000</f>
        <v>4.3422240762078408</v>
      </c>
      <c r="H508">
        <f>IF($B$3,-Tabelle2[[#This Row],[Fd]]*Tabelle2[[#This Row],[vx]]/Tabelle2[[#This Row],[v]],0)</f>
        <v>-2.8983097779792786</v>
      </c>
      <c r="I508">
        <f t="shared" si="77"/>
        <v>-1.9322065186528523</v>
      </c>
      <c r="J508">
        <f t="shared" si="78"/>
        <v>-3.8644130373057049E-2</v>
      </c>
      <c r="K508">
        <f t="shared" si="79"/>
        <v>0.66101442384049747</v>
      </c>
      <c r="L508">
        <f>-$B$5*$B$12-IF($B$3,Tabelle2[[#This Row],[Fd]]*Tabelle2[[#This Row],[vy]]/Tabelle2[[#This Row],[v]],0)</f>
        <v>-11.481625546140883</v>
      </c>
      <c r="M508">
        <f t="shared" si="80"/>
        <v>-7.6544170307605883</v>
      </c>
      <c r="N508">
        <f t="shared" si="81"/>
        <v>-0.15308834061521176</v>
      </c>
      <c r="O508">
        <f t="shared" si="82"/>
        <v>-0.73939426756403248</v>
      </c>
      <c r="P508" s="1">
        <f t="shared" si="84"/>
        <v>33.070043257211402</v>
      </c>
      <c r="Q508" s="1">
        <f t="shared" si="85"/>
        <v>-36.893169207894019</v>
      </c>
      <c r="R508">
        <f>SQRT(Tabelle2[[#This Row],[vx]]*Tabelle2[[#This Row],[vx]]+Tabelle2[[#This Row],[vy]]*Tabelle2[[#This Row],[vy]])</f>
        <v>49.545269150910187</v>
      </c>
      <c r="S508">
        <f t="shared" si="86"/>
        <v>447.08880492334015</v>
      </c>
      <c r="T508" s="1">
        <f t="shared" si="87"/>
        <v>119.6471367358002</v>
      </c>
    </row>
    <row r="509" spans="6:20" x14ac:dyDescent="0.35">
      <c r="F509" s="1">
        <f t="shared" si="83"/>
        <v>10.119999999999873</v>
      </c>
      <c r="G509">
        <f>1/2*$B$8*$B$6*$B$7*(Tabelle2[[#This Row],[vx]]*Tabelle2[[#This Row],[vx]]+Tabelle2[[#This Row],[vy]]*Tabelle2[[#This Row],[vy]])/1000000</f>
        <v>4.3577283494261838</v>
      </c>
      <c r="H509">
        <f>IF($B$3,-Tabelle2[[#This Row],[Fd]]*Tabelle2[[#This Row],[vx]]/Tabelle2[[#This Row],[v]],0)</f>
        <v>-2.9000866232642335</v>
      </c>
      <c r="I509">
        <f t="shared" si="77"/>
        <v>-1.9333910821761557</v>
      </c>
      <c r="J509">
        <f t="shared" si="78"/>
        <v>-3.8667821643523115E-2</v>
      </c>
      <c r="K509">
        <f t="shared" si="79"/>
        <v>0.66024130432033157</v>
      </c>
      <c r="L509">
        <f>-$B$5*$B$12-IF($B$3,Tabelle2[[#This Row],[Fd]]*Tabelle2[[#This Row],[vy]]/Tabelle2[[#This Row],[v]],0)</f>
        <v>-11.462417342332941</v>
      </c>
      <c r="M509">
        <f t="shared" si="80"/>
        <v>-7.641611561555294</v>
      </c>
      <c r="N509">
        <f t="shared" si="81"/>
        <v>-0.15283223123110587</v>
      </c>
      <c r="O509">
        <f t="shared" si="82"/>
        <v>-0.74245347328249567</v>
      </c>
      <c r="P509" s="1">
        <f t="shared" si="84"/>
        <v>33.031399126838345</v>
      </c>
      <c r="Q509" s="1">
        <f t="shared" si="85"/>
        <v>-37.046257548509232</v>
      </c>
      <c r="R509">
        <f>SQRT(Tabelle2[[#This Row],[vx]]*Tabelle2[[#This Row],[vx]]+Tabelle2[[#This Row],[vy]]*Tabelle2[[#This Row],[vy]])</f>
        <v>49.633643092432514</v>
      </c>
      <c r="S509">
        <f t="shared" si="86"/>
        <v>447.74981934718062</v>
      </c>
      <c r="T509" s="1">
        <f t="shared" si="87"/>
        <v>118.90774246823617</v>
      </c>
    </row>
    <row r="510" spans="6:20" x14ac:dyDescent="0.35">
      <c r="F510" s="1">
        <f t="shared" si="83"/>
        <v>10.139999999999873</v>
      </c>
      <c r="G510">
        <f>1/2*$B$8*$B$6*$B$7*(Tabelle2[[#This Row],[vx]]*Tabelle2[[#This Row],[vx]]+Tabelle2[[#This Row],[vy]]*Tabelle2[[#This Row],[vy]])/1000000</f>
        <v>4.3732843483009578</v>
      </c>
      <c r="H510">
        <f>IF($B$3,-Tabelle2[[#This Row],[Fd]]*Tabelle2[[#This Row],[vx]]/Tabelle2[[#This Row],[v]],0)</f>
        <v>-2.9018572967493386</v>
      </c>
      <c r="I510">
        <f t="shared" si="77"/>
        <v>-1.9345715311662257</v>
      </c>
      <c r="J510">
        <f t="shared" si="78"/>
        <v>-3.8691430623324516E-2</v>
      </c>
      <c r="K510">
        <f t="shared" si="79"/>
        <v>0.65946771179766317</v>
      </c>
      <c r="L510">
        <f>-$B$5*$B$12-IF($B$3,Tabelle2[[#This Row],[Fd]]*Tabelle2[[#This Row],[vy]]/Tabelle2[[#This Row],[v]],0)</f>
        <v>-11.443174787615213</v>
      </c>
      <c r="M510">
        <f t="shared" si="80"/>
        <v>-7.6287831917434756</v>
      </c>
      <c r="N510">
        <f t="shared" si="81"/>
        <v>-0.15257566383486951</v>
      </c>
      <c r="O510">
        <f t="shared" si="82"/>
        <v>-0.74550755223315546</v>
      </c>
      <c r="P510" s="1">
        <f t="shared" si="84"/>
        <v>32.992731305194823</v>
      </c>
      <c r="Q510" s="1">
        <f t="shared" si="85"/>
        <v>-37.199089779740341</v>
      </c>
      <c r="R510">
        <f>SQRT(Tabelle2[[#This Row],[vx]]*Tabelle2[[#This Row],[vx]]+Tabelle2[[#This Row],[vy]]*Tabelle2[[#This Row],[vy]])</f>
        <v>49.722154010239386</v>
      </c>
      <c r="S510">
        <f t="shared" si="86"/>
        <v>448.41006065150094</v>
      </c>
      <c r="T510" s="1">
        <f t="shared" si="87"/>
        <v>118.16528899495367</v>
      </c>
    </row>
    <row r="511" spans="6:20" x14ac:dyDescent="0.35">
      <c r="F511" s="1">
        <f t="shared" si="83"/>
        <v>10.159999999999872</v>
      </c>
      <c r="G511">
        <f>1/2*$B$8*$B$6*$B$7*(Tabelle2[[#This Row],[vx]]*Tabelle2[[#This Row],[vx]]+Tabelle2[[#This Row],[vy]]*Tabelle2[[#This Row],[vy]])/1000000</f>
        <v>4.3888916161938143</v>
      </c>
      <c r="H511">
        <f>IF($B$3,-Tabelle2[[#This Row],[Fd]]*Tabelle2[[#This Row],[vx]]/Tabelle2[[#This Row],[v]],0)</f>
        <v>-2.9036215728320327</v>
      </c>
      <c r="I511">
        <f t="shared" si="77"/>
        <v>-1.9357477152213551</v>
      </c>
      <c r="J511">
        <f t="shared" si="78"/>
        <v>-3.8714954304427104E-2</v>
      </c>
      <c r="K511">
        <f t="shared" si="79"/>
        <v>0.65869364794838581</v>
      </c>
      <c r="L511">
        <f>-$B$5*$B$12-IF($B$3,Tabelle2[[#This Row],[Fd]]*Tabelle2[[#This Row],[vy]]/Tabelle2[[#This Row],[v]],0)</f>
        <v>-11.423898151001586</v>
      </c>
      <c r="M511">
        <f t="shared" si="80"/>
        <v>-7.6159321006677239</v>
      </c>
      <c r="N511">
        <f t="shared" si="81"/>
        <v>-0.15231864201335449</v>
      </c>
      <c r="O511">
        <f t="shared" si="82"/>
        <v>-0.7485564952916377</v>
      </c>
      <c r="P511" s="1">
        <f t="shared" si="84"/>
        <v>32.9540398745715</v>
      </c>
      <c r="Q511" s="1">
        <f t="shared" si="85"/>
        <v>-37.351665443575207</v>
      </c>
      <c r="R511">
        <f>SQRT(Tabelle2[[#This Row],[vx]]*Tabelle2[[#This Row],[vx]]+Tabelle2[[#This Row],[vy]]*Tabelle2[[#This Row],[vy]])</f>
        <v>49.810798582873765</v>
      </c>
      <c r="S511">
        <f t="shared" si="86"/>
        <v>449.06952836329862</v>
      </c>
      <c r="T511" s="1">
        <f t="shared" si="87"/>
        <v>117.41978144272052</v>
      </c>
    </row>
    <row r="512" spans="6:20" x14ac:dyDescent="0.35">
      <c r="F512" s="1">
        <f t="shared" si="83"/>
        <v>10.179999999999872</v>
      </c>
      <c r="G512">
        <f>1/2*$B$8*$B$6*$B$7*(Tabelle2[[#This Row],[vx]]*Tabelle2[[#This Row],[vx]]+Tabelle2[[#This Row],[vy]]*Tabelle2[[#This Row],[vy]])/1000000</f>
        <v>4.4045496969623787</v>
      </c>
      <c r="H512">
        <f>IF($B$3,-Tabelle2[[#This Row],[Fd]]*Tabelle2[[#This Row],[vx]]/Tabelle2[[#This Row],[v]],0)</f>
        <v>-2.9053792285765825</v>
      </c>
      <c r="I512">
        <f t="shared" si="77"/>
        <v>-1.9369194857177217</v>
      </c>
      <c r="J512">
        <f t="shared" si="78"/>
        <v>-3.8738389714354435E-2</v>
      </c>
      <c r="K512">
        <f t="shared" si="79"/>
        <v>0.65791911450819796</v>
      </c>
      <c r="L512">
        <f>-$B$5*$B$12-IF($B$3,Tabelle2[[#This Row],[Fd]]*Tabelle2[[#This Row],[vy]]/Tabelle2[[#This Row],[v]],0)</f>
        <v>-11.404587703749407</v>
      </c>
      <c r="M512">
        <f t="shared" si="80"/>
        <v>-7.603058469166271</v>
      </c>
      <c r="N512">
        <f t="shared" si="81"/>
        <v>-0.15206116938332542</v>
      </c>
      <c r="O512">
        <f t="shared" si="82"/>
        <v>-0.75160029340560452</v>
      </c>
      <c r="P512" s="1">
        <f t="shared" si="84"/>
        <v>32.915324920267075</v>
      </c>
      <c r="Q512" s="1">
        <f t="shared" si="85"/>
        <v>-37.503984085588563</v>
      </c>
      <c r="R512">
        <f>SQRT(Tabelle2[[#This Row],[vx]]*Tabelle2[[#This Row],[vx]]+Tabelle2[[#This Row],[vy]]*Tabelle2[[#This Row],[vy]])</f>
        <v>49.89957351419784</v>
      </c>
      <c r="S512">
        <f t="shared" si="86"/>
        <v>449.728222011247</v>
      </c>
      <c r="T512" s="1">
        <f t="shared" si="87"/>
        <v>116.67122494742888</v>
      </c>
    </row>
    <row r="513" spans="6:20" x14ac:dyDescent="0.35">
      <c r="F513" s="1">
        <f t="shared" si="83"/>
        <v>10.199999999999871</v>
      </c>
      <c r="G513">
        <f>1/2*$B$8*$B$6*$B$7*(Tabelle2[[#This Row],[vx]]*Tabelle2[[#This Row],[vx]]+Tabelle2[[#This Row],[vy]]*Tabelle2[[#This Row],[vy]])/1000000</f>
        <v>4.4202581349717818</v>
      </c>
      <c r="H513">
        <f>IF($B$3,-Tabelle2[[#This Row],[Fd]]*Tabelle2[[#This Row],[vx]]/Tabelle2[[#This Row],[v]],0)</f>
        <v>-2.9071300437020029</v>
      </c>
      <c r="I513">
        <f t="shared" si="77"/>
        <v>-1.9380866958013352</v>
      </c>
      <c r="J513">
        <f t="shared" si="78"/>
        <v>-3.8761733916026705E-2</v>
      </c>
      <c r="K513">
        <f t="shared" si="79"/>
        <v>0.65714411327189415</v>
      </c>
      <c r="L513">
        <f>-$B$5*$B$12-IF($B$3,Tabelle2[[#This Row],[Fd]]*Tabelle2[[#This Row],[vy]]/Tabelle2[[#This Row],[v]],0)</f>
        <v>-11.385243719310765</v>
      </c>
      <c r="M513">
        <f t="shared" si="80"/>
        <v>-7.5901624795405098</v>
      </c>
      <c r="N513">
        <f t="shared" si="81"/>
        <v>-0.15180324959081021</v>
      </c>
      <c r="O513">
        <f t="shared" si="82"/>
        <v>-0.75463893759534584</v>
      </c>
      <c r="P513" s="1">
        <f t="shared" si="84"/>
        <v>32.876586530552721</v>
      </c>
      <c r="Q513" s="1">
        <f t="shared" si="85"/>
        <v>-37.656045254971886</v>
      </c>
      <c r="R513">
        <f>SQRT(Tabelle2[[#This Row],[vx]]*Tabelle2[[#This Row],[vx]]+Tabelle2[[#This Row],[vy]]*Tabelle2[[#This Row],[vy]])</f>
        <v>49.988475533320788</v>
      </c>
      <c r="S513">
        <f t="shared" si="86"/>
        <v>450.38614112575522</v>
      </c>
      <c r="T513" s="1">
        <f t="shared" si="87"/>
        <v>115.91962465402328</v>
      </c>
    </row>
    <row r="514" spans="6:20" x14ac:dyDescent="0.35">
      <c r="F514" s="1">
        <f t="shared" si="83"/>
        <v>10.219999999999871</v>
      </c>
      <c r="G514">
        <f>1/2*$B$8*$B$6*$B$7*(Tabelle2[[#This Row],[vx]]*Tabelle2[[#This Row],[vx]]+Tabelle2[[#This Row],[vy]]*Tabelle2[[#This Row],[vy]])/1000000</f>
        <v>4.4360164751061992</v>
      </c>
      <c r="H514">
        <f>IF($B$3,-Tabelle2[[#This Row],[Fd]]*Tabelle2[[#This Row],[vx]]/Tabelle2[[#This Row],[v]],0)</f>
        <v>-2.9088738005698445</v>
      </c>
      <c r="I514">
        <f t="shared" si="77"/>
        <v>-1.9392492003798962</v>
      </c>
      <c r="J514">
        <f t="shared" si="78"/>
        <v>-3.8784984007597924E-2</v>
      </c>
      <c r="K514">
        <f t="shared" si="79"/>
        <v>0.65636864609265799</v>
      </c>
      <c r="L514">
        <f>-$B$5*$B$12-IF($B$3,Tabelle2[[#This Row],[Fd]]*Tabelle2[[#This Row],[vy]]/Tabelle2[[#This Row],[v]],0)</f>
        <v>-11.365866473284175</v>
      </c>
      <c r="M514">
        <f t="shared" si="80"/>
        <v>-7.5772443155227833</v>
      </c>
      <c r="N514">
        <f t="shared" si="81"/>
        <v>-0.15154488631045568</v>
      </c>
      <c r="O514">
        <f t="shared" si="82"/>
        <v>-0.75767241895435866</v>
      </c>
      <c r="P514" s="1">
        <f t="shared" si="84"/>
        <v>32.837824796636696</v>
      </c>
      <c r="Q514" s="1">
        <f t="shared" si="85"/>
        <v>-37.807848504562699</v>
      </c>
      <c r="R514">
        <f>SQRT(Tabelle2[[#This Row],[vx]]*Tabelle2[[#This Row],[vx]]+Tabelle2[[#This Row],[vy]]*Tabelle2[[#This Row],[vy]])</f>
        <v>50.077501394524184</v>
      </c>
      <c r="S514">
        <f t="shared" si="86"/>
        <v>451.04328523902711</v>
      </c>
      <c r="T514" s="1">
        <f t="shared" si="87"/>
        <v>115.16498571642794</v>
      </c>
    </row>
    <row r="515" spans="6:20" x14ac:dyDescent="0.35">
      <c r="F515" s="1">
        <f t="shared" si="83"/>
        <v>10.239999999999871</v>
      </c>
      <c r="G515">
        <f>1/2*$B$8*$B$6*$B$7*(Tabelle2[[#This Row],[vx]]*Tabelle2[[#This Row],[vx]]+Tabelle2[[#This Row],[vy]]*Tabelle2[[#This Row],[vy]])/1000000</f>
        <v>4.4518242627803986</v>
      </c>
      <c r="H515">
        <f>IF($B$3,-Tabelle2[[#This Row],[Fd]]*Tabelle2[[#This Row],[vx]]/Tabelle2[[#This Row],[v]],0)</f>
        <v>-2.9106102841718346</v>
      </c>
      <c r="I515">
        <f t="shared" ref="I515:I578" si="88">H515/$B$5</f>
        <v>-1.9404068561145564</v>
      </c>
      <c r="J515">
        <f t="shared" ref="J515:J578" si="89">I515*$B$13</f>
        <v>-3.8808137122291128E-2</v>
      </c>
      <c r="K515">
        <f t="shared" ref="K515:K578" si="90">$B$13*(P515+J515/2)</f>
        <v>0.65559271488135906</v>
      </c>
      <c r="L515">
        <f>-$B$5*$B$12-IF($B$3,Tabelle2[[#This Row],[Fd]]*Tabelle2[[#This Row],[vy]]/Tabelle2[[#This Row],[v]],0)</f>
        <v>-11.346456243366669</v>
      </c>
      <c r="M515">
        <f t="shared" ref="M515:M578" si="91">L515/$B$5</f>
        <v>-7.5643041622444462</v>
      </c>
      <c r="N515">
        <f t="shared" ref="N515:N578" si="92">M515*$B$13</f>
        <v>-0.15128608324488893</v>
      </c>
      <c r="O515">
        <f t="shared" ref="O515:O578" si="93">$B$13*(Q515+N515/2)</f>
        <v>-0.76070072864991189</v>
      </c>
      <c r="P515" s="1">
        <f t="shared" si="84"/>
        <v>32.799039812629097</v>
      </c>
      <c r="Q515" s="1">
        <f t="shared" si="85"/>
        <v>-37.959393390873153</v>
      </c>
      <c r="R515">
        <f>SQRT(Tabelle2[[#This Row],[vx]]*Tabelle2[[#This Row],[vx]]+Tabelle2[[#This Row],[vy]]*Tabelle2[[#This Row],[vy]])</f>
        <v>50.166647877185227</v>
      </c>
      <c r="S515">
        <f t="shared" si="86"/>
        <v>451.69965388511974</v>
      </c>
      <c r="T515" s="1">
        <f t="shared" si="87"/>
        <v>114.40731329747358</v>
      </c>
    </row>
    <row r="516" spans="6:20" x14ac:dyDescent="0.35">
      <c r="F516" s="1">
        <f t="shared" ref="F516:F579" si="94">F515+$B$13</f>
        <v>10.25999999999987</v>
      </c>
      <c r="G516">
        <f>1/2*$B$8*$B$6*$B$7*(Tabelle2[[#This Row],[vx]]*Tabelle2[[#This Row],[vx]]+Tabelle2[[#This Row],[vy]]*Tabelle2[[#This Row],[vy]])/1000000</f>
        <v>4.4676810439513037</v>
      </c>
      <c r="H516">
        <f>IF($B$3,-Tabelle2[[#This Row],[Fd]]*Tabelle2[[#This Row],[vx]]/Tabelle2[[#This Row],[v]],0)</f>
        <v>-2.9123392821174048</v>
      </c>
      <c r="I516">
        <f t="shared" si="88"/>
        <v>-1.9415595214116033</v>
      </c>
      <c r="J516">
        <f t="shared" si="89"/>
        <v>-3.8831190428232069E-2</v>
      </c>
      <c r="K516">
        <f t="shared" si="90"/>
        <v>0.6548163216058539</v>
      </c>
      <c r="L516">
        <f>-$B$5*$B$12-IF($B$3,Tabelle2[[#This Row],[Fd]]*Tabelle2[[#This Row],[vy]]/Tabelle2[[#This Row],[v]],0)</f>
        <v>-11.327013309306293</v>
      </c>
      <c r="M516">
        <f t="shared" si="91"/>
        <v>-7.5513422062041959</v>
      </c>
      <c r="N516">
        <f t="shared" si="92"/>
        <v>-0.15102684412408393</v>
      </c>
      <c r="O516">
        <f t="shared" si="93"/>
        <v>-0.76372385792360176</v>
      </c>
      <c r="P516" s="1">
        <f t="shared" ref="P516:P579" si="95">P515+J515</f>
        <v>32.760231675506809</v>
      </c>
      <c r="Q516" s="1">
        <f t="shared" ref="Q516:Q579" si="96">Q515+N515</f>
        <v>-38.110679474118044</v>
      </c>
      <c r="R516">
        <f>SQRT(Tabelle2[[#This Row],[vx]]*Tabelle2[[#This Row],[vx]]+Tabelle2[[#This Row],[vy]]*Tabelle2[[#This Row],[vy]])</f>
        <v>50.255911785697826</v>
      </c>
      <c r="S516">
        <f t="shared" ref="S516:S579" si="97">S515+K515</f>
        <v>452.35524660000112</v>
      </c>
      <c r="T516" s="1">
        <f t="shared" ref="T516:T579" si="98">T515+O515</f>
        <v>113.64661256882367</v>
      </c>
    </row>
    <row r="517" spans="6:20" x14ac:dyDescent="0.35">
      <c r="F517" s="1">
        <f t="shared" si="94"/>
        <v>10.27999999999987</v>
      </c>
      <c r="G517">
        <f>1/2*$B$8*$B$6*$B$7*(Tabelle2[[#This Row],[vx]]*Tabelle2[[#This Row],[vx]]+Tabelle2[[#This Row],[vy]]*Tabelle2[[#This Row],[vy]])/1000000</f>
        <v>4.483586365129554</v>
      </c>
      <c r="H517">
        <f>IF($B$3,-Tabelle2[[#This Row],[Fd]]*Tabelle2[[#This Row],[vx]]/Tabelle2[[#This Row],[v]],0)</f>
        <v>-2.9140605846210805</v>
      </c>
      <c r="I517">
        <f t="shared" si="88"/>
        <v>-1.9427070564140536</v>
      </c>
      <c r="J517">
        <f t="shared" si="89"/>
        <v>-3.8854141128281075E-2</v>
      </c>
      <c r="K517">
        <f t="shared" si="90"/>
        <v>0.65403946829028869</v>
      </c>
      <c r="L517">
        <f>-$B$5*$B$12-IF($B$3,Tabelle2[[#This Row],[Fd]]*Tabelle2[[#This Row],[vy]]/Tabelle2[[#This Row],[v]],0)</f>
        <v>-11.307537952855014</v>
      </c>
      <c r="M517">
        <f t="shared" si="91"/>
        <v>-7.5383586352366763</v>
      </c>
      <c r="N517">
        <f t="shared" si="92"/>
        <v>-0.15076717270473353</v>
      </c>
      <c r="O517">
        <f t="shared" si="93"/>
        <v>-0.76674179809188991</v>
      </c>
      <c r="P517" s="1">
        <f t="shared" si="95"/>
        <v>32.721400485078576</v>
      </c>
      <c r="Q517" s="1">
        <f t="shared" si="96"/>
        <v>-38.261706318242126</v>
      </c>
      <c r="R517">
        <f>SQRT(Tabelle2[[#This Row],[vx]]*Tabelle2[[#This Row],[vx]]+Tabelle2[[#This Row],[vy]]*Tabelle2[[#This Row],[vy]])</f>
        <v>50.345289949391592</v>
      </c>
      <c r="S517">
        <f t="shared" si="97"/>
        <v>453.01006292160696</v>
      </c>
      <c r="T517" s="1">
        <f t="shared" si="98"/>
        <v>112.88288871090006</v>
      </c>
    </row>
    <row r="518" spans="6:20" x14ac:dyDescent="0.35">
      <c r="F518" s="1">
        <f t="shared" si="94"/>
        <v>10.299999999999869</v>
      </c>
      <c r="G518">
        <f>1/2*$B$8*$B$6*$B$7*(Tabelle2[[#This Row],[vx]]*Tabelle2[[#This Row],[vx]]+Tabelle2[[#This Row],[vy]]*Tabelle2[[#This Row],[vy]])/1000000</f>
        <v>4.4995397733910716</v>
      </c>
      <c r="H518">
        <f>IF($B$3,-Tabelle2[[#This Row],[Fd]]*Tabelle2[[#This Row],[vx]]/Tabelle2[[#This Row],[v]],0)</f>
        <v>-2.9157739844897677</v>
      </c>
      <c r="I518">
        <f t="shared" si="88"/>
        <v>-1.9438493229931784</v>
      </c>
      <c r="J518">
        <f t="shared" si="89"/>
        <v>-3.8876986459863566E-2</v>
      </c>
      <c r="K518">
        <f t="shared" si="90"/>
        <v>0.65326215701440715</v>
      </c>
      <c r="L518">
        <f>-$B$5*$B$12-IF($B$3,Tabelle2[[#This Row],[Fd]]*Tabelle2[[#This Row],[vy]]/Tabelle2[[#This Row],[v]],0)</f>
        <v>-11.288030457722035</v>
      </c>
      <c r="M518">
        <f t="shared" si="91"/>
        <v>-7.5253536384813566</v>
      </c>
      <c r="N518">
        <f t="shared" si="92"/>
        <v>-0.15050707276962713</v>
      </c>
      <c r="O518">
        <f t="shared" si="93"/>
        <v>-0.7697545405466335</v>
      </c>
      <c r="P518" s="1">
        <f t="shared" si="95"/>
        <v>32.682546343950293</v>
      </c>
      <c r="Q518" s="1">
        <f t="shared" si="96"/>
        <v>-38.412473490946859</v>
      </c>
      <c r="R518">
        <f>SQRT(Tabelle2[[#This Row],[vx]]*Tabelle2[[#This Row],[vx]]+Tabelle2[[#This Row],[vy]]*Tabelle2[[#This Row],[vy]])</f>
        <v>50.434779222448803</v>
      </c>
      <c r="S518">
        <f t="shared" si="97"/>
        <v>453.66410238989727</v>
      </c>
      <c r="T518" s="1">
        <f t="shared" si="98"/>
        <v>112.11614691280818</v>
      </c>
    </row>
    <row r="519" spans="6:20" x14ac:dyDescent="0.35">
      <c r="F519" s="1">
        <f t="shared" si="94"/>
        <v>10.319999999999869</v>
      </c>
      <c r="G519">
        <f>1/2*$B$8*$B$6*$B$7*(Tabelle2[[#This Row],[vx]]*Tabelle2[[#This Row],[vx]]+Tabelle2[[#This Row],[vy]]*Tabelle2[[#This Row],[vy]])/1000000</f>
        <v>4.5155408163886355</v>
      </c>
      <c r="H519">
        <f>IF($B$3,-Tabelle2[[#This Row],[Fd]]*Tabelle2[[#This Row],[vx]]/Tabelle2[[#This Row],[v]],0)</f>
        <v>-2.9174792771099161</v>
      </c>
      <c r="I519">
        <f t="shared" si="88"/>
        <v>-1.9449861847399441</v>
      </c>
      <c r="J519">
        <f t="shared" si="89"/>
        <v>-3.8899723694798882E-2</v>
      </c>
      <c r="K519">
        <f t="shared" si="90"/>
        <v>0.65248438991286062</v>
      </c>
      <c r="L519">
        <f>-$B$5*$B$12-IF($B$3,Tabelle2[[#This Row],[Fd]]*Tabelle2[[#This Row],[vy]]/Tabelle2[[#This Row],[v]],0)</f>
        <v>-11.268491109527506</v>
      </c>
      <c r="M519">
        <f t="shared" si="91"/>
        <v>-7.5123274063516705</v>
      </c>
      <c r="N519">
        <f t="shared" si="92"/>
        <v>-0.15024654812703342</v>
      </c>
      <c r="O519">
        <f t="shared" si="93"/>
        <v>-0.77276207675560005</v>
      </c>
      <c r="P519" s="1">
        <f t="shared" si="95"/>
        <v>32.643669357490431</v>
      </c>
      <c r="Q519" s="1">
        <f t="shared" si="96"/>
        <v>-38.562980563716486</v>
      </c>
      <c r="R519">
        <f>SQRT(Tabelle2[[#This Row],[vx]]*Tabelle2[[#This Row],[vx]]+Tabelle2[[#This Row],[vy]]*Tabelle2[[#This Row],[vy]])</f>
        <v>50.524376483819523</v>
      </c>
      <c r="S519">
        <f t="shared" si="97"/>
        <v>454.31736454691168</v>
      </c>
      <c r="T519" s="1">
        <f t="shared" si="98"/>
        <v>111.34639237226155</v>
      </c>
    </row>
    <row r="520" spans="6:20" x14ac:dyDescent="0.35">
      <c r="F520" s="1">
        <f t="shared" si="94"/>
        <v>10.339999999999868</v>
      </c>
      <c r="G520">
        <f>1/2*$B$8*$B$6*$B$7*(Tabelle2[[#This Row],[vx]]*Tabelle2[[#This Row],[vx]]+Tabelle2[[#This Row],[vy]]*Tabelle2[[#This Row],[vy]])/1000000</f>
        <v>4.5315890423634393</v>
      </c>
      <c r="H520">
        <f>IF($B$3,-Tabelle2[[#This Row],[Fd]]*Tabelle2[[#This Row],[vx]]/Tabelle2[[#This Row],[v]],0)</f>
        <v>-2.9191762604345755</v>
      </c>
      <c r="I520">
        <f t="shared" si="88"/>
        <v>-1.9461175069563836</v>
      </c>
      <c r="J520">
        <f t="shared" si="89"/>
        <v>-3.8922350139127676E-2</v>
      </c>
      <c r="K520">
        <f t="shared" si="90"/>
        <v>0.6517061691745214</v>
      </c>
      <c r="L520">
        <f>-$B$5*$B$12-IF($B$3,Tabelle2[[#This Row],[Fd]]*Tabelle2[[#This Row],[vy]]/Tabelle2[[#This Row],[v]],0)</f>
        <v>-11.248920195756654</v>
      </c>
      <c r="M520">
        <f t="shared" si="91"/>
        <v>-7.4992801305044354</v>
      </c>
      <c r="N520">
        <f t="shared" si="92"/>
        <v>-0.14998560261008873</v>
      </c>
      <c r="O520">
        <f t="shared" si="93"/>
        <v>-0.77576439826297139</v>
      </c>
      <c r="P520" s="1">
        <f t="shared" si="95"/>
        <v>32.604769633795634</v>
      </c>
      <c r="Q520" s="1">
        <f t="shared" si="96"/>
        <v>-38.713227111843523</v>
      </c>
      <c r="R520">
        <f>SQRT(Tabelle2[[#This Row],[vx]]*Tabelle2[[#This Row],[vx]]+Tabelle2[[#This Row],[vy]]*Tabelle2[[#This Row],[vy]])</f>
        <v>50.614078637134732</v>
      </c>
      <c r="S520">
        <f t="shared" si="97"/>
        <v>454.96984893682452</v>
      </c>
      <c r="T520" s="1">
        <f t="shared" si="98"/>
        <v>110.57363029550595</v>
      </c>
    </row>
    <row r="521" spans="6:20" x14ac:dyDescent="0.35">
      <c r="F521" s="1">
        <f t="shared" si="94"/>
        <v>10.359999999999868</v>
      </c>
      <c r="G521">
        <f>1/2*$B$8*$B$6*$B$7*(Tabelle2[[#This Row],[vx]]*Tabelle2[[#This Row],[vx]]+Tabelle2[[#This Row],[vy]]*Tabelle2[[#This Row],[vy]])/1000000</f>
        <v>4.547684000156659</v>
      </c>
      <c r="H521">
        <f>IF($B$3,-Tabelle2[[#This Row],[Fd]]*Tabelle2[[#This Row],[vx]]/Tabelle2[[#This Row],[v]],0)</f>
        <v>-2.920864734970352</v>
      </c>
      <c r="I521">
        <f t="shared" si="88"/>
        <v>-1.9472431566469013</v>
      </c>
      <c r="J521">
        <f t="shared" si="89"/>
        <v>-3.8944863132938025E-2</v>
      </c>
      <c r="K521">
        <f t="shared" si="90"/>
        <v>0.65092749704180075</v>
      </c>
      <c r="L521">
        <f>-$B$5*$B$12-IF($B$3,Tabelle2[[#This Row],[Fd]]*Tabelle2[[#This Row],[vy]]/Tabelle2[[#This Row],[v]],0)</f>
        <v>-11.229318005714312</v>
      </c>
      <c r="M521">
        <f t="shared" si="91"/>
        <v>-7.4862120038095412</v>
      </c>
      <c r="N521">
        <f t="shared" si="92"/>
        <v>-0.14972424007619084</v>
      </c>
      <c r="O521">
        <f t="shared" si="93"/>
        <v>-0.77876149668983419</v>
      </c>
      <c r="P521" s="1">
        <f t="shared" si="95"/>
        <v>32.56584728365651</v>
      </c>
      <c r="Q521" s="1">
        <f t="shared" si="96"/>
        <v>-38.86321271445361</v>
      </c>
      <c r="R521">
        <f>SQRT(Tabelle2[[#This Row],[vx]]*Tabelle2[[#This Row],[vx]]+Tabelle2[[#This Row],[vy]]*Tabelle2[[#This Row],[vy]])</f>
        <v>50.703882610617768</v>
      </c>
      <c r="S521">
        <f t="shared" si="97"/>
        <v>455.62155510599905</v>
      </c>
      <c r="T521" s="1">
        <f t="shared" si="98"/>
        <v>109.79786589724299</v>
      </c>
    </row>
    <row r="522" spans="6:20" x14ac:dyDescent="0.35">
      <c r="F522" s="1">
        <f t="shared" si="94"/>
        <v>10.379999999999868</v>
      </c>
      <c r="G522">
        <f>1/2*$B$8*$B$6*$B$7*(Tabelle2[[#This Row],[vx]]*Tabelle2[[#This Row],[vx]]+Tabelle2[[#This Row],[vy]]*Tabelle2[[#This Row],[vy]])/1000000</f>
        <v>4.5638252392210106</v>
      </c>
      <c r="H522">
        <f>IF($B$3,-Tabelle2[[#This Row],[Fd]]*Tabelle2[[#This Row],[vx]]/Tabelle2[[#This Row],[v]],0)</f>
        <v>-2.9225445037642612</v>
      </c>
      <c r="I522">
        <f t="shared" si="88"/>
        <v>-1.9483630025095076</v>
      </c>
      <c r="J522">
        <f t="shared" si="89"/>
        <v>-3.8967260050190154E-2</v>
      </c>
      <c r="K522">
        <f t="shared" si="90"/>
        <v>0.65014837580996954</v>
      </c>
      <c r="L522">
        <f>-$B$5*$B$12-IF($B$3,Tabelle2[[#This Row],[Fd]]*Tabelle2[[#This Row],[vy]]/Tabelle2[[#This Row],[v]],0)</f>
        <v>-11.209684830479858</v>
      </c>
      <c r="M522">
        <f t="shared" si="91"/>
        <v>-7.4731232203199056</v>
      </c>
      <c r="N522">
        <f t="shared" si="92"/>
        <v>-0.14946246440639813</v>
      </c>
      <c r="O522">
        <f t="shared" si="93"/>
        <v>-0.78175336373465998</v>
      </c>
      <c r="P522" s="1">
        <f t="shared" si="95"/>
        <v>32.52690242052357</v>
      </c>
      <c r="Q522" s="1">
        <f t="shared" si="96"/>
        <v>-39.012936954529799</v>
      </c>
      <c r="R522">
        <f>SQRT(Tabelle2[[#This Row],[vx]]*Tabelle2[[#This Row],[vx]]+Tabelle2[[#This Row],[vy]]*Tabelle2[[#This Row],[vy]])</f>
        <v>50.793785356994007</v>
      </c>
      <c r="S522">
        <f t="shared" si="97"/>
        <v>456.27248260304083</v>
      </c>
      <c r="T522" s="1">
        <f t="shared" si="98"/>
        <v>109.01910440055315</v>
      </c>
    </row>
    <row r="523" spans="6:20" x14ac:dyDescent="0.35">
      <c r="F523" s="1">
        <f t="shared" si="94"/>
        <v>10.399999999999867</v>
      </c>
      <c r="G523">
        <f>1/2*$B$8*$B$6*$B$7*(Tabelle2[[#This Row],[vx]]*Tabelle2[[#This Row],[vx]]+Tabelle2[[#This Row],[vy]]*Tabelle2[[#This Row],[vy]])/1000000</f>
        <v>4.5800123096322993</v>
      </c>
      <c r="H523">
        <f>IF($B$3,-Tabelle2[[#This Row],[Fd]]*Tabelle2[[#This Row],[vx]]/Tabelle2[[#This Row],[v]],0)</f>
        <v>-2.9242153723904907</v>
      </c>
      <c r="I523">
        <f t="shared" si="88"/>
        <v>-1.9494769149269937</v>
      </c>
      <c r="J523">
        <f t="shared" si="89"/>
        <v>-3.8989538298539878E-2</v>
      </c>
      <c r="K523">
        <f t="shared" si="90"/>
        <v>0.64936880782648221</v>
      </c>
      <c r="L523">
        <f>-$B$5*$B$12-IF($B$3,Tabelle2[[#This Row],[Fd]]*Tabelle2[[#This Row],[vy]]/Tabelle2[[#This Row],[v]],0)</f>
        <v>-11.19002096286254</v>
      </c>
      <c r="M523">
        <f t="shared" si="91"/>
        <v>-7.4600139752416936</v>
      </c>
      <c r="N523">
        <f t="shared" si="92"/>
        <v>-0.14920027950483389</v>
      </c>
      <c r="O523">
        <f t="shared" si="93"/>
        <v>-0.78473999117377236</v>
      </c>
      <c r="P523" s="1">
        <f t="shared" si="95"/>
        <v>32.487935160473377</v>
      </c>
      <c r="Q523" s="1">
        <f t="shared" si="96"/>
        <v>-39.162399418936197</v>
      </c>
      <c r="R523">
        <f>SQRT(Tabelle2[[#This Row],[vx]]*Tabelle2[[#This Row],[vx]]+Tabelle2[[#This Row],[vy]]*Tabelle2[[#This Row],[vy]])</f>
        <v>50.883783853398882</v>
      </c>
      <c r="S523">
        <f t="shared" si="97"/>
        <v>456.9226309788508</v>
      </c>
      <c r="T523" s="1">
        <f t="shared" si="98"/>
        <v>108.23735103681848</v>
      </c>
    </row>
    <row r="524" spans="6:20" x14ac:dyDescent="0.35">
      <c r="F524" s="1">
        <f t="shared" si="94"/>
        <v>10.419999999999867</v>
      </c>
      <c r="G524">
        <f>1/2*$B$8*$B$6*$B$7*(Tabelle2[[#This Row],[vx]]*Tabelle2[[#This Row],[vx]]+Tabelle2[[#This Row],[vy]]*Tabelle2[[#This Row],[vy]])/1000000</f>
        <v>4.5962447621009632</v>
      </c>
      <c r="H524">
        <f>IF($B$3,-Tabelle2[[#This Row],[Fd]]*Tabelle2[[#This Row],[vx]]/Tabelle2[[#This Row],[v]],0)</f>
        <v>-2.9258771489370732</v>
      </c>
      <c r="I524">
        <f t="shared" si="88"/>
        <v>-1.9505847659580489</v>
      </c>
      <c r="J524">
        <f t="shared" si="89"/>
        <v>-3.9011695319160981E-2</v>
      </c>
      <c r="K524">
        <f t="shared" si="90"/>
        <v>0.64858879549030524</v>
      </c>
      <c r="L524">
        <f>-$B$5*$B$12-IF($B$3,Tabelle2[[#This Row],[Fd]]*Tabelle2[[#This Row],[vy]]/Tabelle2[[#This Row],[v]],0)</f>
        <v>-11.170326697357229</v>
      </c>
      <c r="M524">
        <f t="shared" si="91"/>
        <v>-7.4468844649048194</v>
      </c>
      <c r="N524">
        <f t="shared" si="92"/>
        <v>-0.14893768929809639</v>
      </c>
      <c r="O524">
        <f t="shared" si="93"/>
        <v>-0.7877213708618015</v>
      </c>
      <c r="P524" s="1">
        <f t="shared" si="95"/>
        <v>32.44894562217484</v>
      </c>
      <c r="Q524" s="1">
        <f t="shared" si="96"/>
        <v>-39.311599698441029</v>
      </c>
      <c r="R524">
        <f>SQRT(Tabelle2[[#This Row],[vx]]*Tabelle2[[#This Row],[vx]]+Tabelle2[[#This Row],[vy]]*Tabelle2[[#This Row],[vy]])</f>
        <v>50.973875101284271</v>
      </c>
      <c r="S524">
        <f t="shared" si="97"/>
        <v>457.57199978667728</v>
      </c>
      <c r="T524" s="1">
        <f t="shared" si="98"/>
        <v>107.45261104564472</v>
      </c>
    </row>
    <row r="525" spans="6:20" x14ac:dyDescent="0.35">
      <c r="F525" s="1">
        <f t="shared" si="94"/>
        <v>10.439999999999866</v>
      </c>
      <c r="G525">
        <f>1/2*$B$8*$B$6*$B$7*(Tabelle2[[#This Row],[vx]]*Tabelle2[[#This Row],[vx]]+Tabelle2[[#This Row],[vy]]*Tabelle2[[#This Row],[vy]])/1000000</f>
        <v>4.6125221479835954</v>
      </c>
      <c r="H525">
        <f>IF($B$3,-Tabelle2[[#This Row],[Fd]]*Tabelle2[[#This Row],[vx]]/Tabelle2[[#This Row],[v]],0)</f>
        <v>-2.9275296439924636</v>
      </c>
      <c r="I525">
        <f t="shared" si="88"/>
        <v>-1.9516864293283092</v>
      </c>
      <c r="J525">
        <f t="shared" si="89"/>
        <v>-3.9033728586566181E-2</v>
      </c>
      <c r="K525">
        <f t="shared" si="90"/>
        <v>0.64780834125124798</v>
      </c>
      <c r="L525">
        <f>-$B$5*$B$12-IF($B$3,Tabelle2[[#This Row],[Fd]]*Tabelle2[[#This Row],[vy]]/Tabelle2[[#This Row],[v]],0)</f>
        <v>-11.150602330100559</v>
      </c>
      <c r="M525">
        <f t="shared" si="91"/>
        <v>-7.4337348867337063</v>
      </c>
      <c r="N525">
        <f t="shared" si="92"/>
        <v>-0.14867469773467412</v>
      </c>
      <c r="O525">
        <f t="shared" si="93"/>
        <v>-0.79069749473212925</v>
      </c>
      <c r="P525" s="1">
        <f t="shared" si="95"/>
        <v>32.409933926855679</v>
      </c>
      <c r="Q525" s="1">
        <f t="shared" si="96"/>
        <v>-39.460537387739123</v>
      </c>
      <c r="R525">
        <f>SQRT(Tabelle2[[#This Row],[vx]]*Tabelle2[[#This Row],[vx]]+Tabelle2[[#This Row],[vy]]*Tabelle2[[#This Row],[vy]])</f>
        <v>51.064056126323415</v>
      </c>
      <c r="S525">
        <f t="shared" si="97"/>
        <v>458.22058858216758</v>
      </c>
      <c r="T525" s="1">
        <f t="shared" si="98"/>
        <v>106.66488967478291</v>
      </c>
    </row>
    <row r="526" spans="6:20" x14ac:dyDescent="0.35">
      <c r="F526" s="1">
        <f t="shared" si="94"/>
        <v>10.459999999999866</v>
      </c>
      <c r="G526">
        <f>1/2*$B$8*$B$6*$B$7*(Tabelle2[[#This Row],[vx]]*Tabelle2[[#This Row],[vx]]+Tabelle2[[#This Row],[vy]]*Tabelle2[[#This Row],[vy]])/1000000</f>
        <v>4.6288440192944673</v>
      </c>
      <c r="H526">
        <f>IF($B$3,-Tabelle2[[#This Row],[Fd]]*Tabelle2[[#This Row],[vx]]/Tabelle2[[#This Row],[v]],0)</f>
        <v>-2.9291726706320502</v>
      </c>
      <c r="I526">
        <f t="shared" si="88"/>
        <v>-1.9527817804213667</v>
      </c>
      <c r="J526">
        <f t="shared" si="89"/>
        <v>-3.9055635608427335E-2</v>
      </c>
      <c r="K526">
        <f t="shared" si="90"/>
        <v>0.64702744760929809</v>
      </c>
      <c r="L526">
        <f>-$B$5*$B$12-IF($B$3,Tabelle2[[#This Row],[Fd]]*Tabelle2[[#This Row],[vy]]/Tabelle2[[#This Row],[v]],0)</f>
        <v>-11.130848158827467</v>
      </c>
      <c r="M526">
        <f t="shared" si="91"/>
        <v>-7.4205654392183114</v>
      </c>
      <c r="N526">
        <f t="shared" si="92"/>
        <v>-0.14841130878436623</v>
      </c>
      <c r="O526">
        <f t="shared" si="93"/>
        <v>-0.79366835479731968</v>
      </c>
      <c r="P526" s="1">
        <f t="shared" si="95"/>
        <v>32.370900198269112</v>
      </c>
      <c r="Q526" s="1">
        <f t="shared" si="96"/>
        <v>-39.6092120854738</v>
      </c>
      <c r="R526">
        <f>SQRT(Tabelle2[[#This Row],[vx]]*Tabelle2[[#This Row],[vx]]+Tabelle2[[#This Row],[vy]]*Tabelle2[[#This Row],[vy]])</f>
        <v>51.154323978314316</v>
      </c>
      <c r="S526">
        <f t="shared" si="97"/>
        <v>458.8683969234188</v>
      </c>
      <c r="T526" s="1">
        <f t="shared" si="98"/>
        <v>105.87419218005078</v>
      </c>
    </row>
    <row r="527" spans="6:20" x14ac:dyDescent="0.35">
      <c r="F527" s="1">
        <f t="shared" si="94"/>
        <v>10.479999999999865</v>
      </c>
      <c r="G527">
        <f>1/2*$B$8*$B$6*$B$7*(Tabelle2[[#This Row],[vx]]*Tabelle2[[#This Row],[vx]]+Tabelle2[[#This Row],[vy]]*Tabelle2[[#This Row],[vy]])/1000000</f>
        <v>4.6452099287170183</v>
      </c>
      <c r="H527">
        <f>IF($B$3,-Tabelle2[[#This Row],[Fd]]*Tabelle2[[#This Row],[vx]]/Tabelle2[[#This Row],[v]],0)</f>
        <v>-2.9308060444045752</v>
      </c>
      <c r="I527">
        <f t="shared" si="88"/>
        <v>-1.9538706962697168</v>
      </c>
      <c r="J527">
        <f t="shared" si="89"/>
        <v>-3.9077413925394336E-2</v>
      </c>
      <c r="K527">
        <f t="shared" si="90"/>
        <v>0.64624611711395974</v>
      </c>
      <c r="L527">
        <f>-$B$5*$B$12-IF($B$3,Tabelle2[[#This Row],[Fd]]*Tabelle2[[#This Row],[vy]]/Tabelle2[[#This Row],[v]],0)</f>
        <v>-11.111064482828144</v>
      </c>
      <c r="M527">
        <f t="shared" si="91"/>
        <v>-7.4073763218854296</v>
      </c>
      <c r="N527">
        <f t="shared" si="92"/>
        <v>-0.14814752643770859</v>
      </c>
      <c r="O527">
        <f t="shared" si="93"/>
        <v>-0.7966339431495405</v>
      </c>
      <c r="P527" s="1">
        <f t="shared" si="95"/>
        <v>32.331844562660685</v>
      </c>
      <c r="Q527" s="1">
        <f t="shared" si="96"/>
        <v>-39.757623394258168</v>
      </c>
      <c r="R527">
        <f>SQRT(Tabelle2[[#This Row],[vx]]*Tabelle2[[#This Row],[vx]]+Tabelle2[[#This Row],[vy]]*Tabelle2[[#This Row],[vy]])</f>
        <v>51.24467573108172</v>
      </c>
      <c r="S527">
        <f t="shared" si="97"/>
        <v>459.51542437102808</v>
      </c>
      <c r="T527" s="1">
        <f t="shared" si="98"/>
        <v>105.08052382525347</v>
      </c>
    </row>
    <row r="528" spans="6:20" x14ac:dyDescent="0.35">
      <c r="F528" s="1">
        <f t="shared" si="94"/>
        <v>10.499999999999865</v>
      </c>
      <c r="G528">
        <f>1/2*$B$8*$B$6*$B$7*(Tabelle2[[#This Row],[vx]]*Tabelle2[[#This Row],[vx]]+Tabelle2[[#This Row],[vy]]*Tabelle2[[#This Row],[vy]])/1000000</f>
        <v>4.6616194296153433</v>
      </c>
      <c r="H528">
        <f>IF($B$3,-Tabelle2[[#This Row],[Fd]]*Tabelle2[[#This Row],[vx]]/Tabelle2[[#This Row],[v]],0)</f>
        <v>-2.932429583318489</v>
      </c>
      <c r="I528">
        <f t="shared" si="88"/>
        <v>-1.9549530555456593</v>
      </c>
      <c r="J528">
        <f t="shared" si="89"/>
        <v>-3.9099061110913186E-2</v>
      </c>
      <c r="K528">
        <f t="shared" si="90"/>
        <v>0.64546435236359656</v>
      </c>
      <c r="L528">
        <f>-$B$5*$B$12-IF($B$3,Tabelle2[[#This Row],[Fd]]*Tabelle2[[#This Row],[vy]]/Tabelle2[[#This Row],[v]],0)</f>
        <v>-11.09125160290538</v>
      </c>
      <c r="M528">
        <f t="shared" si="91"/>
        <v>-7.3941677352702539</v>
      </c>
      <c r="N528">
        <f t="shared" si="92"/>
        <v>-0.14788335470540509</v>
      </c>
      <c r="O528">
        <f t="shared" si="93"/>
        <v>-0.79959425196097156</v>
      </c>
      <c r="P528" s="1">
        <f t="shared" si="95"/>
        <v>32.292767148735287</v>
      </c>
      <c r="Q528" s="1">
        <f t="shared" si="96"/>
        <v>-39.905770920695879</v>
      </c>
      <c r="R528">
        <f>SQRT(Tabelle2[[#This Row],[vx]]*Tabelle2[[#This Row],[vx]]+Tabelle2[[#This Row],[vy]]*Tabelle2[[#This Row],[vy]])</f>
        <v>51.33510848237777</v>
      </c>
      <c r="S528">
        <f t="shared" si="97"/>
        <v>460.16167048814202</v>
      </c>
      <c r="T528" s="1">
        <f t="shared" si="98"/>
        <v>104.28388988210392</v>
      </c>
    </row>
    <row r="529" spans="6:20" x14ac:dyDescent="0.35">
      <c r="F529" s="1">
        <f t="shared" si="94"/>
        <v>10.519999999999865</v>
      </c>
      <c r="G529">
        <f>1/2*$B$8*$B$6*$B$7*(Tabelle2[[#This Row],[vx]]*Tabelle2[[#This Row],[vx]]+Tabelle2[[#This Row],[vy]]*Tabelle2[[#This Row],[vy]])/1000000</f>
        <v>4.6780720760456544</v>
      </c>
      <c r="H529">
        <f>IF($B$3,-Tabelle2[[#This Row],[Fd]]*Tabelle2[[#This Row],[vx]]/Tabelle2[[#This Row],[v]],0)</f>
        <v>-2.9340431078282347</v>
      </c>
      <c r="I529">
        <f t="shared" si="88"/>
        <v>-1.9560287385521564</v>
      </c>
      <c r="J529">
        <f t="shared" si="89"/>
        <v>-3.912057477104313E-2</v>
      </c>
      <c r="K529">
        <f t="shared" si="90"/>
        <v>0.64468215600477707</v>
      </c>
      <c r="L529">
        <f>-$B$5*$B$12-IF($B$3,Tabelle2[[#This Row],[Fd]]*Tabelle2[[#This Row],[vy]]/Tabelle2[[#This Row],[v]],0)</f>
        <v>-11.071409821332299</v>
      </c>
      <c r="M529">
        <f t="shared" si="91"/>
        <v>-7.3809398808881994</v>
      </c>
      <c r="N529">
        <f t="shared" si="92"/>
        <v>-0.147618797617764</v>
      </c>
      <c r="O529">
        <f t="shared" si="93"/>
        <v>-0.80254927348420335</v>
      </c>
      <c r="P529" s="1">
        <f t="shared" si="95"/>
        <v>32.253668087624376</v>
      </c>
      <c r="Q529" s="1">
        <f t="shared" si="96"/>
        <v>-40.053654275401286</v>
      </c>
      <c r="R529">
        <f>SQRT(Tabelle2[[#This Row],[vx]]*Tabelle2[[#This Row],[vx]]+Tabelle2[[#This Row],[vy]]*Tabelle2[[#This Row],[vy]])</f>
        <v>51.42561935378135</v>
      </c>
      <c r="S529">
        <f t="shared" si="97"/>
        <v>460.80713484050563</v>
      </c>
      <c r="T529" s="1">
        <f t="shared" si="98"/>
        <v>103.48429563014295</v>
      </c>
    </row>
    <row r="530" spans="6:20" x14ac:dyDescent="0.35">
      <c r="F530" s="1">
        <f t="shared" si="94"/>
        <v>10.539999999999864</v>
      </c>
      <c r="G530">
        <f>1/2*$B$8*$B$6*$B$7*(Tabelle2[[#This Row],[vx]]*Tabelle2[[#This Row],[vx]]+Tabelle2[[#This Row],[vy]]*Tabelle2[[#This Row],[vy]])/1000000</f>
        <v>4.6945674227677205</v>
      </c>
      <c r="H530">
        <f>IF($B$3,-Tabelle2[[#This Row],[Fd]]*Tabelle2[[#This Row],[vx]]/Tabelle2[[#This Row],[v]],0)</f>
        <v>-2.9356464408204608</v>
      </c>
      <c r="I530">
        <f t="shared" si="88"/>
        <v>-1.9570976272136404</v>
      </c>
      <c r="J530">
        <f t="shared" si="89"/>
        <v>-3.9141952544272808E-2</v>
      </c>
      <c r="K530">
        <f t="shared" si="90"/>
        <v>0.64389953073162409</v>
      </c>
      <c r="L530">
        <f>-$B$5*$B$12-IF($B$3,Tabelle2[[#This Row],[Fd]]*Tabelle2[[#This Row],[vy]]/Tabelle2[[#This Row],[v]],0)</f>
        <v>-11.051539441810501</v>
      </c>
      <c r="M530">
        <f t="shared" si="91"/>
        <v>-7.367692961207001</v>
      </c>
      <c r="N530">
        <f t="shared" si="92"/>
        <v>-0.14735385922414002</v>
      </c>
      <c r="O530">
        <f t="shared" si="93"/>
        <v>-0.80549900005262243</v>
      </c>
      <c r="P530" s="1">
        <f t="shared" si="95"/>
        <v>32.214547512853336</v>
      </c>
      <c r="Q530" s="1">
        <f t="shared" si="96"/>
        <v>-40.201273073019053</v>
      </c>
      <c r="R530">
        <f>SQRT(Tabelle2[[#This Row],[vx]]*Tabelle2[[#This Row],[vx]]+Tabelle2[[#This Row],[vy]]*Tabelle2[[#This Row],[vy]])</f>
        <v>51.516205490596178</v>
      </c>
      <c r="S530">
        <f t="shared" si="97"/>
        <v>461.45181699651039</v>
      </c>
      <c r="T530" s="1">
        <f t="shared" si="98"/>
        <v>102.68174635665875</v>
      </c>
    </row>
    <row r="531" spans="6:20" x14ac:dyDescent="0.35">
      <c r="F531" s="1">
        <f t="shared" si="94"/>
        <v>10.559999999999864</v>
      </c>
      <c r="G531">
        <f>1/2*$B$8*$B$6*$B$7*(Tabelle2[[#This Row],[vx]]*Tabelle2[[#This Row],[vx]]+Tabelle2[[#This Row],[vy]]*Tabelle2[[#This Row],[vy]])/1000000</f>
        <v>4.7111050252562796</v>
      </c>
      <c r="H531">
        <f>IF($B$3,-Tabelle2[[#This Row],[Fd]]*Tabelle2[[#This Row],[vx]]/Tabelle2[[#This Row],[v]],0)</f>
        <v>-2.9372394076001802</v>
      </c>
      <c r="I531">
        <f t="shared" si="88"/>
        <v>-1.9581596050667869</v>
      </c>
      <c r="J531">
        <f t="shared" si="89"/>
        <v>-3.9163192101335738E-2</v>
      </c>
      <c r="K531">
        <f t="shared" si="90"/>
        <v>0.64311647928516791</v>
      </c>
      <c r="L531">
        <f>-$B$5*$B$12-IF($B$3,Tabelle2[[#This Row],[Fd]]*Tabelle2[[#This Row],[vy]]/Tabelle2[[#This Row],[v]],0)</f>
        <v>-11.031640769428602</v>
      </c>
      <c r="M531">
        <f t="shared" si="91"/>
        <v>-7.3544271796190683</v>
      </c>
      <c r="N531">
        <f t="shared" si="92"/>
        <v>-0.14708854359238138</v>
      </c>
      <c r="O531">
        <f t="shared" si="93"/>
        <v>-0.80844342408078762</v>
      </c>
      <c r="P531" s="1">
        <f t="shared" si="95"/>
        <v>32.175405560309066</v>
      </c>
      <c r="Q531" s="1">
        <f t="shared" si="96"/>
        <v>-40.348626932243192</v>
      </c>
      <c r="R531">
        <f>SQRT(Tabelle2[[#This Row],[vx]]*Tabelle2[[#This Row],[vx]]+Tabelle2[[#This Row],[vy]]*Tabelle2[[#This Row],[vy]])</f>
        <v>51.606864061747721</v>
      </c>
      <c r="S531">
        <f t="shared" si="97"/>
        <v>462.09571652724202</v>
      </c>
      <c r="T531" s="1">
        <f t="shared" si="98"/>
        <v>101.87624735660613</v>
      </c>
    </row>
    <row r="532" spans="6:20" x14ac:dyDescent="0.35">
      <c r="F532" s="1">
        <f t="shared" si="94"/>
        <v>10.579999999999863</v>
      </c>
      <c r="G532">
        <f>1/2*$B$8*$B$6*$B$7*(Tabelle2[[#This Row],[vx]]*Tabelle2[[#This Row],[vx]]+Tabelle2[[#This Row],[vy]]*Tabelle2[[#This Row],[vy]])/1000000</f>
        <v>4.727684439712438</v>
      </c>
      <c r="H532">
        <f>IF($B$3,-Tabelle2[[#This Row],[Fd]]*Tabelle2[[#This Row],[vx]]/Tabelle2[[#This Row],[v]],0)</f>
        <v>-2.9388218358768641</v>
      </c>
      <c r="I532">
        <f t="shared" si="88"/>
        <v>-1.9592145572512427</v>
      </c>
      <c r="J532">
        <f t="shared" si="89"/>
        <v>-3.9184291145024856E-2</v>
      </c>
      <c r="K532">
        <f t="shared" si="90"/>
        <v>0.64233300445270447</v>
      </c>
      <c r="L532">
        <f>-$B$5*$B$12-IF($B$3,Tabelle2[[#This Row],[Fd]]*Tabelle2[[#This Row],[vy]]/Tabelle2[[#This Row],[v]],0)</f>
        <v>-11.011714110621156</v>
      </c>
      <c r="M532">
        <f t="shared" si="91"/>
        <v>-7.3411427404141039</v>
      </c>
      <c r="N532">
        <f t="shared" si="92"/>
        <v>-0.14682285480828208</v>
      </c>
      <c r="O532">
        <f t="shared" si="93"/>
        <v>-0.81138253806479432</v>
      </c>
      <c r="P532" s="1">
        <f t="shared" si="95"/>
        <v>32.136242368207732</v>
      </c>
      <c r="Q532" s="1">
        <f t="shared" si="96"/>
        <v>-40.495715475835574</v>
      </c>
      <c r="R532">
        <f>SQRT(Tabelle2[[#This Row],[vx]]*Tabelle2[[#This Row],[vx]]+Tabelle2[[#This Row],[vy]]*Tabelle2[[#This Row],[vy]])</f>
        <v>51.697592259678963</v>
      </c>
      <c r="S532">
        <f t="shared" si="97"/>
        <v>462.73883300652716</v>
      </c>
      <c r="T532" s="1">
        <f t="shared" si="98"/>
        <v>101.06780393252534</v>
      </c>
    </row>
    <row r="533" spans="6:20" x14ac:dyDescent="0.35">
      <c r="F533" s="1">
        <f t="shared" si="94"/>
        <v>10.599999999999863</v>
      </c>
      <c r="G533">
        <f>1/2*$B$8*$B$6*$B$7*(Tabelle2[[#This Row],[vx]]*Tabelle2[[#This Row],[vx]]+Tabelle2[[#This Row],[vy]]*Tabelle2[[#This Row],[vy]])/1000000</f>
        <v>4.7443052230750311</v>
      </c>
      <c r="H533">
        <f>IF($B$3,-Tabelle2[[#This Row],[Fd]]*Tabelle2[[#This Row],[vx]]/Tabelle2[[#This Row],[v]],0)</f>
        <v>-2.9403935557504881</v>
      </c>
      <c r="I533">
        <f t="shared" si="88"/>
        <v>-1.9602623705003255</v>
      </c>
      <c r="J533">
        <f t="shared" si="89"/>
        <v>-3.9205247410006513E-2</v>
      </c>
      <c r="K533">
        <f t="shared" si="90"/>
        <v>0.64154910906715401</v>
      </c>
      <c r="L533">
        <f>-$B$5*$B$12-IF($B$3,Tabelle2[[#This Row],[Fd]]*Tabelle2[[#This Row],[vy]]/Tabelle2[[#This Row],[v]],0)</f>
        <v>-10.991759773127978</v>
      </c>
      <c r="M533">
        <f t="shared" si="91"/>
        <v>-7.3278398487519851</v>
      </c>
      <c r="N533">
        <f t="shared" si="92"/>
        <v>-0.1465567969750397</v>
      </c>
      <c r="O533">
        <f t="shared" si="93"/>
        <v>-0.81431633458262753</v>
      </c>
      <c r="P533" s="1">
        <f t="shared" si="95"/>
        <v>32.097058077062705</v>
      </c>
      <c r="Q533" s="1">
        <f t="shared" si="96"/>
        <v>-40.642538330643859</v>
      </c>
      <c r="R533">
        <f>SQRT(Tabelle2[[#This Row],[vx]]*Tabelle2[[#This Row],[vx]]+Tabelle2[[#This Row],[vy]]*Tabelle2[[#This Row],[vy]])</f>
        <v>51.788387300245134</v>
      </c>
      <c r="S533">
        <f t="shared" si="97"/>
        <v>463.38116601097988</v>
      </c>
      <c r="T533" s="1">
        <f t="shared" si="98"/>
        <v>100.25642139446055</v>
      </c>
    </row>
    <row r="534" spans="6:20" x14ac:dyDescent="0.35">
      <c r="F534" s="1">
        <f t="shared" si="94"/>
        <v>10.619999999999862</v>
      </c>
      <c r="G534">
        <f>1/2*$B$8*$B$6*$B$7*(Tabelle2[[#This Row],[vx]]*Tabelle2[[#This Row],[vx]]+Tabelle2[[#This Row],[vy]]*Tabelle2[[#This Row],[vy]])/1000000</f>
        <v>4.7609669330319555</v>
      </c>
      <c r="H534">
        <f>IF($B$3,-Tabelle2[[#This Row],[Fd]]*Tabelle2[[#This Row],[vx]]/Tabelle2[[#This Row],[v]],0)</f>
        <v>-2.9419543996975195</v>
      </c>
      <c r="I534">
        <f t="shared" si="88"/>
        <v>-1.9613029331316796</v>
      </c>
      <c r="J534">
        <f t="shared" si="89"/>
        <v>-3.9226058662633595E-2</v>
      </c>
      <c r="K534">
        <f t="shared" si="90"/>
        <v>0.64076479600642755</v>
      </c>
      <c r="L534">
        <f>-$B$5*$B$12-IF($B$3,Tabelle2[[#This Row],[Fd]]*Tabelle2[[#This Row],[vy]]/Tabelle2[[#This Row],[v]],0)</f>
        <v>-10.97177806595386</v>
      </c>
      <c r="M534">
        <f t="shared" si="91"/>
        <v>-7.3145187106359062</v>
      </c>
      <c r="N534">
        <f t="shared" si="92"/>
        <v>-0.14629037421271812</v>
      </c>
      <c r="O534">
        <f t="shared" si="93"/>
        <v>-0.81724480629450513</v>
      </c>
      <c r="P534" s="1">
        <f t="shared" si="95"/>
        <v>32.057852829652695</v>
      </c>
      <c r="Q534" s="1">
        <f t="shared" si="96"/>
        <v>-40.7890951276189</v>
      </c>
      <c r="R534">
        <f>SQRT(Tabelle2[[#This Row],[vx]]*Tabelle2[[#This Row],[vx]]+Tabelle2[[#This Row],[vy]]*Tabelle2[[#This Row],[vy]])</f>
        <v>51.879246422607324</v>
      </c>
      <c r="S534">
        <f t="shared" si="97"/>
        <v>464.02271512004705</v>
      </c>
      <c r="T534" s="1">
        <f t="shared" si="98"/>
        <v>99.442105059877917</v>
      </c>
    </row>
    <row r="535" spans="6:20" x14ac:dyDescent="0.35">
      <c r="F535" s="1">
        <f t="shared" si="94"/>
        <v>10.639999999999862</v>
      </c>
      <c r="G535">
        <f>1/2*$B$8*$B$6*$B$7*(Tabelle2[[#This Row],[vx]]*Tabelle2[[#This Row],[vx]]+Tabelle2[[#This Row],[vy]]*Tabelle2[[#This Row],[vy]])/1000000</f>
        <v>4.7776691280314818</v>
      </c>
      <c r="H535">
        <f>IF($B$3,-Tabelle2[[#This Row],[Fd]]*Tabelle2[[#This Row],[vx]]/Tabelle2[[#This Row],[v]],0)</f>
        <v>-2.9435042025568614</v>
      </c>
      <c r="I535">
        <f t="shared" si="88"/>
        <v>-1.9623361350379076</v>
      </c>
      <c r="J535">
        <f t="shared" si="89"/>
        <v>-3.9246722700758151E-2</v>
      </c>
      <c r="K535">
        <f t="shared" si="90"/>
        <v>0.63998006819279363</v>
      </c>
      <c r="L535">
        <f>-$B$5*$B$12-IF($B$3,Tabelle2[[#This Row],[Fd]]*Tabelle2[[#This Row],[vy]]/Tabelle2[[#This Row],[v]],0)</f>
        <v>-10.951769299328674</v>
      </c>
      <c r="M535">
        <f t="shared" si="91"/>
        <v>-7.3011795328857829</v>
      </c>
      <c r="N535">
        <f t="shared" si="92"/>
        <v>-0.14602359065771567</v>
      </c>
      <c r="O535">
        <f t="shared" si="93"/>
        <v>-0.82016794594320963</v>
      </c>
      <c r="P535" s="1">
        <f t="shared" si="95"/>
        <v>32.01862677099006</v>
      </c>
      <c r="Q535" s="1">
        <f t="shared" si="96"/>
        <v>-40.935385501831618</v>
      </c>
      <c r="R535">
        <f>SQRT(Tabelle2[[#This Row],[vx]]*Tabelle2[[#This Row],[vx]]+Tabelle2[[#This Row],[vy]]*Tabelle2[[#This Row],[vy]])</f>
        <v>51.970166889125224</v>
      </c>
      <c r="S535">
        <f t="shared" si="97"/>
        <v>464.66347991605346</v>
      </c>
      <c r="T535" s="1">
        <f t="shared" si="98"/>
        <v>98.624860253583407</v>
      </c>
    </row>
    <row r="536" spans="6:20" x14ac:dyDescent="0.35">
      <c r="F536" s="1">
        <f t="shared" si="94"/>
        <v>10.659999999999862</v>
      </c>
      <c r="G536">
        <f>1/2*$B$8*$B$6*$B$7*(Tabelle2[[#This Row],[vx]]*Tabelle2[[#This Row],[vx]]+Tabelle2[[#This Row],[vy]]*Tabelle2[[#This Row],[vy]])/1000000</f>
        <v>4.7944113672935194</v>
      </c>
      <c r="H536">
        <f>IF($B$3,-Tabelle2[[#This Row],[Fd]]*Tabelle2[[#This Row],[vx]]/Tabelle2[[#This Row],[v]],0)</f>
        <v>-2.9450428015157533</v>
      </c>
      <c r="I536">
        <f t="shared" si="88"/>
        <v>-1.9633618676771689</v>
      </c>
      <c r="J536">
        <f t="shared" si="89"/>
        <v>-3.9267237353543379E-2</v>
      </c>
      <c r="K536">
        <f t="shared" si="90"/>
        <v>0.63919492859225069</v>
      </c>
      <c r="L536">
        <f>-$B$5*$B$12-IF($B$3,Tabelle2[[#This Row],[Fd]]*Tabelle2[[#This Row],[vy]]/Tabelle2[[#This Row],[v]],0)</f>
        <v>-10.931733784667863</v>
      </c>
      <c r="M536">
        <f t="shared" si="91"/>
        <v>-7.2878225231119087</v>
      </c>
      <c r="N536">
        <f t="shared" si="92"/>
        <v>-0.14575645046223817</v>
      </c>
      <c r="O536">
        <f t="shared" si="93"/>
        <v>-0.82308574635440912</v>
      </c>
      <c r="P536" s="1">
        <f t="shared" si="95"/>
        <v>31.979380048289304</v>
      </c>
      <c r="Q536" s="1">
        <f t="shared" si="96"/>
        <v>-41.081409092489331</v>
      </c>
      <c r="R536">
        <f>SQRT(Tabelle2[[#This Row],[vx]]*Tabelle2[[#This Row],[vx]]+Tabelle2[[#This Row],[vy]]*Tabelle2[[#This Row],[vy]])</f>
        <v>52.061145985248821</v>
      </c>
      <c r="S536">
        <f t="shared" si="97"/>
        <v>465.30345998424627</v>
      </c>
      <c r="T536" s="1">
        <f t="shared" si="98"/>
        <v>97.804692307640195</v>
      </c>
    </row>
    <row r="537" spans="6:20" x14ac:dyDescent="0.35">
      <c r="F537" s="1">
        <f t="shared" si="94"/>
        <v>10.679999999999861</v>
      </c>
      <c r="G537">
        <f>1/2*$B$8*$B$6*$B$7*(Tabelle2[[#This Row],[vx]]*Tabelle2[[#This Row],[vx]]+Tabelle2[[#This Row],[vy]]*Tabelle2[[#This Row],[vy]])/1000000</f>
        <v>4.8111932108208579</v>
      </c>
      <c r="H537">
        <f>IF($B$3,-Tabelle2[[#This Row],[Fd]]*Tabelle2[[#This Row],[vx]]/Tabelle2[[#This Row],[v]],0)</f>
        <v>-2.9465700360956251</v>
      </c>
      <c r="I537">
        <f t="shared" si="88"/>
        <v>-1.9643800240637501</v>
      </c>
      <c r="J537">
        <f t="shared" si="89"/>
        <v>-3.9287600481275005E-2</v>
      </c>
      <c r="K537">
        <f t="shared" si="90"/>
        <v>0.63840938021390248</v>
      </c>
      <c r="L537">
        <f>-$B$5*$B$12-IF($B$3,Tabelle2[[#This Row],[Fd]]*Tabelle2[[#This Row],[vy]]/Tabelle2[[#This Row],[v]],0)</f>
        <v>-10.911671834533319</v>
      </c>
      <c r="M537">
        <f t="shared" si="91"/>
        <v>-7.2744478896888793</v>
      </c>
      <c r="N537">
        <f t="shared" si="92"/>
        <v>-0.1454889577937776</v>
      </c>
      <c r="O537">
        <f t="shared" si="93"/>
        <v>-0.82599820043696914</v>
      </c>
      <c r="P537" s="1">
        <f t="shared" si="95"/>
        <v>31.940112810935762</v>
      </c>
      <c r="Q537" s="1">
        <f t="shared" si="96"/>
        <v>-41.227165542951568</v>
      </c>
      <c r="R537">
        <f>SQRT(Tabelle2[[#This Row],[vx]]*Tabelle2[[#This Row],[vx]]+Tabelle2[[#This Row],[vy]]*Tabelle2[[#This Row],[vy]])</f>
        <v>52.152181019409305</v>
      </c>
      <c r="S537">
        <f t="shared" si="97"/>
        <v>465.94265491283852</v>
      </c>
      <c r="T537" s="1">
        <f t="shared" si="98"/>
        <v>96.981606561285787</v>
      </c>
    </row>
    <row r="538" spans="6:20" x14ac:dyDescent="0.35">
      <c r="F538" s="1">
        <f t="shared" si="94"/>
        <v>10.699999999999861</v>
      </c>
      <c r="G538">
        <f>1/2*$B$8*$B$6*$B$7*(Tabelle2[[#This Row],[vx]]*Tabelle2[[#This Row],[vx]]+Tabelle2[[#This Row],[vy]]*Tabelle2[[#This Row],[vy]])/1000000</f>
        <v>4.828014219410373</v>
      </c>
      <c r="H538">
        <f>IF($B$3,-Tabelle2[[#This Row],[Fd]]*Tabelle2[[#This Row],[vx]]/Tabelle2[[#This Row],[v]],0)</f>
        <v>-2.9480857481379181</v>
      </c>
      <c r="I538">
        <f t="shared" si="88"/>
        <v>-1.9653904987586122</v>
      </c>
      <c r="J538">
        <f t="shared" si="89"/>
        <v>-3.9307809975172241E-2</v>
      </c>
      <c r="K538">
        <f t="shared" si="90"/>
        <v>0.63762342610933809</v>
      </c>
      <c r="L538">
        <f>-$B$5*$B$12-IF($B$3,Tabelle2[[#This Row],[Fd]]*Tabelle2[[#This Row],[vy]]/Tabelle2[[#This Row],[v]],0)</f>
        <v>-10.891583762594655</v>
      </c>
      <c r="M538">
        <f t="shared" si="91"/>
        <v>-7.2610558417297701</v>
      </c>
      <c r="N538">
        <f t="shared" si="92"/>
        <v>-0.1452211168345954</v>
      </c>
      <c r="O538">
        <f t="shared" si="93"/>
        <v>-0.8289053011832529</v>
      </c>
      <c r="P538" s="1">
        <f t="shared" si="95"/>
        <v>31.900825210454489</v>
      </c>
      <c r="Q538" s="1">
        <f t="shared" si="96"/>
        <v>-41.372654500745348</v>
      </c>
      <c r="R538">
        <f>SQRT(Tabelle2[[#This Row],[vx]]*Tabelle2[[#This Row],[vx]]+Tabelle2[[#This Row],[vy]]*Tabelle2[[#This Row],[vy]])</f>
        <v>52.243269322909079</v>
      </c>
      <c r="S538">
        <f t="shared" si="97"/>
        <v>466.58106429305241</v>
      </c>
      <c r="T538" s="1">
        <f t="shared" si="98"/>
        <v>96.155608360848817</v>
      </c>
    </row>
    <row r="539" spans="6:20" x14ac:dyDescent="0.35">
      <c r="F539" s="1">
        <f t="shared" si="94"/>
        <v>10.71999999999986</v>
      </c>
      <c r="G539">
        <f>1/2*$B$8*$B$6*$B$7*(Tabelle2[[#This Row],[vx]]*Tabelle2[[#This Row],[vx]]+Tabelle2[[#This Row],[vy]]*Tabelle2[[#This Row],[vy]])/1000000</f>
        <v>4.8448739546641848</v>
      </c>
      <c r="H539">
        <f>IF($B$3,-Tabelle2[[#This Row],[Fd]]*Tabelle2[[#This Row],[vx]]/Tabelle2[[#This Row],[v]],0)</f>
        <v>-2.9495897817898697</v>
      </c>
      <c r="I539">
        <f t="shared" si="88"/>
        <v>-1.9663931878599132</v>
      </c>
      <c r="J539">
        <f t="shared" si="89"/>
        <v>-3.9327863757198267E-2</v>
      </c>
      <c r="K539">
        <f t="shared" si="90"/>
        <v>0.63683706937201434</v>
      </c>
      <c r="L539">
        <f>-$B$5*$B$12-IF($B$3,Tabelle2[[#This Row],[Fd]]*Tabelle2[[#This Row],[vy]]/Tabelle2[[#This Row],[v]],0)</f>
        <v>-10.871469883590844</v>
      </c>
      <c r="M539">
        <f t="shared" si="91"/>
        <v>-7.2476465890605626</v>
      </c>
      <c r="N539">
        <f t="shared" si="92"/>
        <v>-0.14495293178121124</v>
      </c>
      <c r="O539">
        <f t="shared" si="93"/>
        <v>-0.831807041669411</v>
      </c>
      <c r="P539" s="1">
        <f t="shared" si="95"/>
        <v>31.861517400479318</v>
      </c>
      <c r="Q539" s="1">
        <f t="shared" si="96"/>
        <v>-41.517875617579946</v>
      </c>
      <c r="R539">
        <f>SQRT(Tabelle2[[#This Row],[vx]]*Tabelle2[[#This Row],[vx]]+Tabelle2[[#This Row],[vy]]*Tabelle2[[#This Row],[vy]])</f>
        <v>52.334408249810998</v>
      </c>
      <c r="S539">
        <f t="shared" si="97"/>
        <v>467.21868771916172</v>
      </c>
      <c r="T539" s="1">
        <f t="shared" si="98"/>
        <v>95.326703059665562</v>
      </c>
    </row>
    <row r="540" spans="6:20" x14ac:dyDescent="0.35">
      <c r="F540" s="1">
        <f t="shared" si="94"/>
        <v>10.73999999999986</v>
      </c>
      <c r="G540">
        <f>1/2*$B$8*$B$6*$B$7*(Tabelle2[[#This Row],[vx]]*Tabelle2[[#This Row],[vx]]+Tabelle2[[#This Row],[vy]]*Tabelle2[[#This Row],[vy]])/1000000</f>
        <v>4.8617719790007916</v>
      </c>
      <c r="H540">
        <f>IF($B$3,-Tabelle2[[#This Row],[Fd]]*Tabelle2[[#This Row],[vx]]/Tabelle2[[#This Row],[v]],0)</f>
        <v>-2.9510819834902637</v>
      </c>
      <c r="I540">
        <f t="shared" si="88"/>
        <v>-1.9673879889935091</v>
      </c>
      <c r="J540">
        <f t="shared" si="89"/>
        <v>-3.9347759779870185E-2</v>
      </c>
      <c r="K540">
        <f t="shared" si="90"/>
        <v>0.63605031313664373</v>
      </c>
      <c r="L540">
        <f>-$B$5*$B$12-IF($B$3,Tabelle2[[#This Row],[Fd]]*Tabelle2[[#This Row],[vy]]/Tabelle2[[#This Row],[v]],0)</f>
        <v>-10.851330513292261</v>
      </c>
      <c r="M540">
        <f t="shared" si="91"/>
        <v>-7.234220342194841</v>
      </c>
      <c r="N540">
        <f t="shared" si="92"/>
        <v>-0.14468440684389683</v>
      </c>
      <c r="O540">
        <f t="shared" si="93"/>
        <v>-0.83470341505566215</v>
      </c>
      <c r="P540" s="1">
        <f t="shared" si="95"/>
        <v>31.822189536722121</v>
      </c>
      <c r="Q540" s="1">
        <f t="shared" si="96"/>
        <v>-41.662828549361159</v>
      </c>
      <c r="R540">
        <f>SQRT(Tabelle2[[#This Row],[vx]]*Tabelle2[[#This Row],[vx]]+Tabelle2[[#This Row],[vy]]*Tabelle2[[#This Row],[vy]])</f>
        <v>52.425595176826846</v>
      </c>
      <c r="S540">
        <f t="shared" si="97"/>
        <v>467.85552478853373</v>
      </c>
      <c r="T540" s="1">
        <f t="shared" si="98"/>
        <v>94.494896017996155</v>
      </c>
    </row>
    <row r="541" spans="6:20" x14ac:dyDescent="0.35">
      <c r="F541" s="1">
        <f t="shared" si="94"/>
        <v>10.759999999999859</v>
      </c>
      <c r="G541">
        <f>1/2*$B$8*$B$6*$B$7*(Tabelle2[[#This Row],[vx]]*Tabelle2[[#This Row],[vx]]+Tabelle2[[#This Row],[vy]]*Tabelle2[[#This Row],[vy]])/1000000</f>
        <v>4.8787078556661481</v>
      </c>
      <c r="H541">
        <f>IF($B$3,-Tabelle2[[#This Row],[Fd]]*Tabelle2[[#This Row],[vx]]/Tabelle2[[#This Row],[v]],0)</f>
        <v>-2.9525622019551578</v>
      </c>
      <c r="I541">
        <f t="shared" si="88"/>
        <v>-1.9683748013034386</v>
      </c>
      <c r="J541">
        <f t="shared" si="89"/>
        <v>-3.9367496026068774E-2</v>
      </c>
      <c r="K541">
        <f t="shared" si="90"/>
        <v>0.63526316057858434</v>
      </c>
      <c r="L541">
        <f>-$B$5*$B$12-IF($B$3,Tabelle2[[#This Row],[Fd]]*Tabelle2[[#This Row],[vy]]/Tabelle2[[#This Row],[v]],0)</f>
        <v>-10.831165968463083</v>
      </c>
      <c r="M541">
        <f t="shared" si="91"/>
        <v>-7.220777312308722</v>
      </c>
      <c r="N541">
        <f t="shared" si="92"/>
        <v>-0.14441554624617445</v>
      </c>
      <c r="O541">
        <f t="shared" si="93"/>
        <v>-0.83759441458656281</v>
      </c>
      <c r="P541" s="1">
        <f t="shared" si="95"/>
        <v>31.782841776942252</v>
      </c>
      <c r="Q541" s="1">
        <f t="shared" si="96"/>
        <v>-41.807512956205052</v>
      </c>
      <c r="R541">
        <f>SQRT(Tabelle2[[#This Row],[vx]]*Tabelle2[[#This Row],[vx]]+Tabelle2[[#This Row],[vy]]*Tabelle2[[#This Row],[vy]])</f>
        <v>52.516827503205093</v>
      </c>
      <c r="S541">
        <f t="shared" si="97"/>
        <v>468.49157510167038</v>
      </c>
      <c r="T541" s="1">
        <f t="shared" si="98"/>
        <v>93.660192602940498</v>
      </c>
    </row>
    <row r="542" spans="6:20" x14ac:dyDescent="0.35">
      <c r="F542" s="1">
        <f t="shared" si="94"/>
        <v>10.779999999999859</v>
      </c>
      <c r="G542">
        <f>1/2*$B$8*$B$6*$B$7*(Tabelle2[[#This Row],[vx]]*Tabelle2[[#This Row],[vx]]+Tabelle2[[#This Row],[vy]]*Tabelle2[[#This Row],[vy]])/1000000</f>
        <v>4.8956811487447141</v>
      </c>
      <c r="H542">
        <f>IF($B$3,-Tabelle2[[#This Row],[Fd]]*Tabelle2[[#This Row],[vx]]/Tabelle2[[#This Row],[v]],0)</f>
        <v>-2.9540302881635716</v>
      </c>
      <c r="I542">
        <f t="shared" si="88"/>
        <v>-1.9693535254423811</v>
      </c>
      <c r="J542">
        <f t="shared" si="89"/>
        <v>-3.938707050884762E-2</v>
      </c>
      <c r="K542">
        <f t="shared" si="90"/>
        <v>0.63447561491323523</v>
      </c>
      <c r="L542">
        <f>-$B$5*$B$12-IF($B$3,Tabelle2[[#This Row],[Fd]]*Tabelle2[[#This Row],[vy]]/Tabelle2[[#This Row],[v]],0)</f>
        <v>-10.810976566824092</v>
      </c>
      <c r="M542">
        <f t="shared" si="91"/>
        <v>-7.2073177112160609</v>
      </c>
      <c r="N542">
        <f t="shared" si="92"/>
        <v>-0.14414635422432123</v>
      </c>
      <c r="O542">
        <f t="shared" si="93"/>
        <v>-0.84048003359126766</v>
      </c>
      <c r="P542" s="1">
        <f t="shared" si="95"/>
        <v>31.743474280916182</v>
      </c>
      <c r="Q542" s="1">
        <f t="shared" si="96"/>
        <v>-41.951928502451224</v>
      </c>
      <c r="R542">
        <f>SQRT(Tabelle2[[#This Row],[vx]]*Tabelle2[[#This Row],[vx]]+Tabelle2[[#This Row],[vy]]*Tabelle2[[#This Row],[vy]])</f>
        <v>52.608102650618058</v>
      </c>
      <c r="S542">
        <f t="shared" si="97"/>
        <v>469.12683826224895</v>
      </c>
      <c r="T542" s="1">
        <f t="shared" si="98"/>
        <v>92.822598188353936</v>
      </c>
    </row>
    <row r="543" spans="6:20" x14ac:dyDescent="0.35">
      <c r="F543" s="1">
        <f t="shared" si="94"/>
        <v>10.799999999999859</v>
      </c>
      <c r="G543">
        <f>1/2*$B$8*$B$6*$B$7*(Tabelle2[[#This Row],[vx]]*Tabelle2[[#This Row],[vx]]+Tabelle2[[#This Row],[vy]]*Tabelle2[[#This Row],[vy]])/1000000</f>
        <v>4.9126914231704539</v>
      </c>
      <c r="H543">
        <f>IF($B$3,-Tabelle2[[#This Row],[Fd]]*Tabelle2[[#This Row],[vx]]/Tabelle2[[#This Row],[v]],0)</f>
        <v>-2.9554860953431734</v>
      </c>
      <c r="I543">
        <f t="shared" si="88"/>
        <v>-1.9703240635621155</v>
      </c>
      <c r="J543">
        <f t="shared" si="89"/>
        <v>-3.9406481271242313E-2</v>
      </c>
      <c r="K543">
        <f t="shared" si="90"/>
        <v>0.63368767939543424</v>
      </c>
      <c r="L543">
        <f>-$B$5*$B$12-IF($B$3,Tabelle2[[#This Row],[Fd]]*Tabelle2[[#This Row],[vy]]/Tabelle2[[#This Row],[v]],0)</f>
        <v>-10.790762627015829</v>
      </c>
      <c r="M543">
        <f t="shared" si="91"/>
        <v>-7.1938417513438857</v>
      </c>
      <c r="N543">
        <f t="shared" si="92"/>
        <v>-0.14387683502687773</v>
      </c>
      <c r="O543">
        <f t="shared" si="93"/>
        <v>-0.84336026548377963</v>
      </c>
      <c r="P543" s="1">
        <f t="shared" si="95"/>
        <v>31.704087210407334</v>
      </c>
      <c r="Q543" s="1">
        <f t="shared" si="96"/>
        <v>-42.096074856675543</v>
      </c>
      <c r="R543">
        <f>SQRT(Tabelle2[[#This Row],[vx]]*Tabelle2[[#This Row],[vx]]+Tabelle2[[#This Row],[vy]]*Tabelle2[[#This Row],[vy]])</f>
        <v>52.699418063048327</v>
      </c>
      <c r="S543">
        <f t="shared" si="97"/>
        <v>469.76131387716219</v>
      </c>
      <c r="T543" s="1">
        <f t="shared" si="98"/>
        <v>91.982118154762674</v>
      </c>
    </row>
    <row r="544" spans="6:20" x14ac:dyDescent="0.35">
      <c r="F544" s="1">
        <f t="shared" si="94"/>
        <v>10.819999999999858</v>
      </c>
      <c r="G544">
        <f>1/2*$B$8*$B$6*$B$7*(Tabelle2[[#This Row],[vx]]*Tabelle2[[#This Row],[vx]]+Tabelle2[[#This Row],[vy]]*Tabelle2[[#This Row],[vy]])/1000000</f>
        <v>4.9297382447377869</v>
      </c>
      <c r="H544">
        <f>IF($B$3,-Tabelle2[[#This Row],[Fd]]*Tabelle2[[#This Row],[vx]]/Tabelle2[[#This Row],[v]],0)</f>
        <v>-2.9569294789559186</v>
      </c>
      <c r="I544">
        <f t="shared" si="88"/>
        <v>-1.9712863193039458</v>
      </c>
      <c r="J544">
        <f t="shared" si="89"/>
        <v>-3.942572638607892E-2</v>
      </c>
      <c r="K544">
        <f t="shared" si="90"/>
        <v>0.63289935731886104</v>
      </c>
      <c r="L544">
        <f>-$B$5*$B$12-IF($B$3,Tabelle2[[#This Row],[Fd]]*Tabelle2[[#This Row],[vy]]/Tabelle2[[#This Row],[v]],0)</f>
        <v>-10.770524468562154</v>
      </c>
      <c r="M544">
        <f t="shared" si="91"/>
        <v>-7.1803496457081026</v>
      </c>
      <c r="N544">
        <f t="shared" si="92"/>
        <v>-0.14360699291416207</v>
      </c>
      <c r="O544">
        <f t="shared" si="93"/>
        <v>-0.84623510376319011</v>
      </c>
      <c r="P544" s="1">
        <f t="shared" si="95"/>
        <v>31.664680729136091</v>
      </c>
      <c r="Q544" s="1">
        <f t="shared" si="96"/>
        <v>-42.239951691702423</v>
      </c>
      <c r="R544">
        <f>SQRT(Tabelle2[[#This Row],[vx]]*Tabelle2[[#This Row],[vx]]+Tabelle2[[#This Row],[vy]]*Tabelle2[[#This Row],[vy]])</f>
        <v>52.790771206674719</v>
      </c>
      <c r="S544">
        <f t="shared" si="97"/>
        <v>470.39500155655765</v>
      </c>
      <c r="T544" s="1">
        <f t="shared" si="98"/>
        <v>91.138757889278892</v>
      </c>
    </row>
    <row r="545" spans="6:20" x14ac:dyDescent="0.35">
      <c r="F545" s="1">
        <f t="shared" si="94"/>
        <v>10.839999999999858</v>
      </c>
      <c r="G545">
        <f>1/2*$B$8*$B$6*$B$7*(Tabelle2[[#This Row],[vx]]*Tabelle2[[#This Row],[vx]]+Tabelle2[[#This Row],[vy]]*Tabelle2[[#This Row],[vy]])/1000000</f>
        <v>4.9468211801124964</v>
      </c>
      <c r="H545">
        <f>IF($B$3,-Tabelle2[[#This Row],[Fd]]*Tabelle2[[#This Row],[vx]]/Tabelle2[[#This Row],[v]],0)</f>
        <v>-2.958360296683693</v>
      </c>
      <c r="I545">
        <f t="shared" si="88"/>
        <v>-1.9722401977891286</v>
      </c>
      <c r="J545">
        <f t="shared" si="89"/>
        <v>-3.9444803955782572E-2</v>
      </c>
      <c r="K545">
        <f t="shared" si="90"/>
        <v>0.63211065201544248</v>
      </c>
      <c r="L545">
        <f>-$B$5*$B$12-IF($B$3,Tabelle2[[#This Row],[Fd]]*Tabelle2[[#This Row],[vy]]/Tabelle2[[#This Row],[v]],0)</f>
        <v>-10.75026241183415</v>
      </c>
      <c r="M545">
        <f t="shared" si="91"/>
        <v>-7.1668416078894337</v>
      </c>
      <c r="N545">
        <f t="shared" si="92"/>
        <v>-0.14333683215778867</v>
      </c>
      <c r="O545">
        <f t="shared" si="93"/>
        <v>-0.84910454201390961</v>
      </c>
      <c r="P545" s="1">
        <f t="shared" si="95"/>
        <v>31.625255002750013</v>
      </c>
      <c r="Q545" s="1">
        <f t="shared" si="96"/>
        <v>-42.383558684616588</v>
      </c>
      <c r="R545">
        <f>SQRT(Tabelle2[[#This Row],[vx]]*Tabelle2[[#This Row],[vx]]+Tabelle2[[#This Row],[vy]]*Tabelle2[[#This Row],[vy]])</f>
        <v>52.882159569757583</v>
      </c>
      <c r="S545">
        <f t="shared" si="97"/>
        <v>471.02790091387652</v>
      </c>
      <c r="T545" s="1">
        <f t="shared" si="98"/>
        <v>90.2925227855157</v>
      </c>
    </row>
    <row r="546" spans="6:20" x14ac:dyDescent="0.35">
      <c r="F546" s="1">
        <f t="shared" si="94"/>
        <v>10.859999999999857</v>
      </c>
      <c r="G546">
        <f>1/2*$B$8*$B$6*$B$7*(Tabelle2[[#This Row],[vx]]*Tabelle2[[#This Row],[vx]]+Tabelle2[[#This Row],[vy]]*Tabelle2[[#This Row],[vy]])/1000000</f>
        <v>4.9639397968425856</v>
      </c>
      <c r="H546">
        <f>IF($B$3,-Tabelle2[[#This Row],[Fd]]*Tabelle2[[#This Row],[vx]]/Tabelle2[[#This Row],[v]],0)</f>
        <v>-2.9597784084139294</v>
      </c>
      <c r="I546">
        <f t="shared" si="88"/>
        <v>-1.9731856056092862</v>
      </c>
      <c r="J546">
        <f t="shared" si="89"/>
        <v>-3.9463712112185724E-2</v>
      </c>
      <c r="K546">
        <f t="shared" si="90"/>
        <v>0.63132156685476282</v>
      </c>
      <c r="L546">
        <f>-$B$5*$B$12-IF($B$3,Tabelle2[[#This Row],[Fd]]*Tabelle2[[#This Row],[vy]]/Tabelle2[[#This Row],[v]],0)</f>
        <v>-10.729976778014422</v>
      </c>
      <c r="M546">
        <f t="shared" si="91"/>
        <v>-7.1533178520096143</v>
      </c>
      <c r="N546">
        <f t="shared" si="92"/>
        <v>-0.1430663570401923</v>
      </c>
      <c r="O546">
        <f t="shared" si="93"/>
        <v>-0.85196857390588943</v>
      </c>
      <c r="P546" s="1">
        <f t="shared" si="95"/>
        <v>31.585810198794231</v>
      </c>
      <c r="Q546" s="1">
        <f t="shared" si="96"/>
        <v>-42.526895516774374</v>
      </c>
      <c r="R546">
        <f>SQRT(Tabelle2[[#This Row],[vx]]*Tabelle2[[#This Row],[vx]]+Tabelle2[[#This Row],[vy]]*Tabelle2[[#This Row],[vy]])</f>
        <v>52.973580662523638</v>
      </c>
      <c r="S546">
        <f t="shared" si="97"/>
        <v>471.66001156589198</v>
      </c>
      <c r="T546" s="1">
        <f t="shared" si="98"/>
        <v>89.443418243501796</v>
      </c>
    </row>
    <row r="547" spans="6:20" x14ac:dyDescent="0.35">
      <c r="F547" s="1">
        <f t="shared" si="94"/>
        <v>10.879999999999857</v>
      </c>
      <c r="G547">
        <f>1/2*$B$8*$B$6*$B$7*(Tabelle2[[#This Row],[vx]]*Tabelle2[[#This Row],[vx]]+Tabelle2[[#This Row],[vy]]*Tabelle2[[#This Row],[vy]])/1000000</f>
        <v>4.9810936633690952</v>
      </c>
      <c r="H547">
        <f>IF($B$3,-Tabelle2[[#This Row],[Fd]]*Tabelle2[[#This Row],[vx]]/Tabelle2[[#This Row],[v]],0)</f>
        <v>-2.9611836762252111</v>
      </c>
      <c r="I547">
        <f t="shared" si="88"/>
        <v>-1.9741224508168074</v>
      </c>
      <c r="J547">
        <f t="shared" si="89"/>
        <v>-3.9482449016336151E-2</v>
      </c>
      <c r="K547">
        <f t="shared" si="90"/>
        <v>0.63053210524347758</v>
      </c>
      <c r="L547">
        <f>-$B$5*$B$12-IF($B$3,Tabelle2[[#This Row],[Fd]]*Tabelle2[[#This Row],[vy]]/Tabelle2[[#This Row],[v]],0)</f>
        <v>-10.709667889061745</v>
      </c>
      <c r="M547">
        <f t="shared" si="91"/>
        <v>-7.1397785927078301</v>
      </c>
      <c r="N547">
        <f t="shared" si="92"/>
        <v>-0.14279557185415662</v>
      </c>
      <c r="O547">
        <f t="shared" si="93"/>
        <v>-0.8548271931948328</v>
      </c>
      <c r="P547" s="1">
        <f t="shared" si="95"/>
        <v>31.546346486682044</v>
      </c>
      <c r="Q547" s="1">
        <f t="shared" si="96"/>
        <v>-42.669961873814565</v>
      </c>
      <c r="R547">
        <f>SQRT(Tabelle2[[#This Row],[vx]]*Tabelle2[[#This Row],[vx]]+Tabelle2[[#This Row],[vy]]*Tabelle2[[#This Row],[vy]])</f>
        <v>53.065032017050406</v>
      </c>
      <c r="S547">
        <f t="shared" si="97"/>
        <v>472.29133313274673</v>
      </c>
      <c r="T547" s="1">
        <f t="shared" si="98"/>
        <v>88.591449669595903</v>
      </c>
    </row>
    <row r="548" spans="6:20" x14ac:dyDescent="0.35">
      <c r="F548" s="1">
        <f t="shared" si="94"/>
        <v>10.899999999999856</v>
      </c>
      <c r="G548">
        <f>1/2*$B$8*$B$6*$B$7*(Tabelle2[[#This Row],[vx]]*Tabelle2[[#This Row],[vx]]+Tabelle2[[#This Row],[vy]]*Tabelle2[[#This Row],[vy]])/1000000</f>
        <v>4.9982823490368569</v>
      </c>
      <c r="H548">
        <f>IF($B$3,-Tabelle2[[#This Row],[Fd]]*Tabelle2[[#This Row],[vx]]/Tabelle2[[#This Row],[v]],0)</f>
        <v>-2.962575964372872</v>
      </c>
      <c r="I548">
        <f t="shared" si="88"/>
        <v>-1.9750506429152479</v>
      </c>
      <c r="J548">
        <f t="shared" si="89"/>
        <v>-3.9501012858304957E-2</v>
      </c>
      <c r="K548">
        <f t="shared" si="90"/>
        <v>0.62974227062473109</v>
      </c>
      <c r="L548">
        <f>-$B$5*$B$12-IF($B$3,Tabelle2[[#This Row],[Fd]]*Tabelle2[[#This Row],[vy]]/Tabelle2[[#This Row],[v]],0)</f>
        <v>-10.689336067676098</v>
      </c>
      <c r="M548">
        <f t="shared" si="91"/>
        <v>-7.1262240451173993</v>
      </c>
      <c r="N548">
        <f t="shared" si="92"/>
        <v>-0.14252448090234798</v>
      </c>
      <c r="O548">
        <f t="shared" si="93"/>
        <v>-0.85768039372239802</v>
      </c>
      <c r="P548" s="1">
        <f t="shared" si="95"/>
        <v>31.506864037665707</v>
      </c>
      <c r="Q548" s="1">
        <f t="shared" si="96"/>
        <v>-42.812757445668723</v>
      </c>
      <c r="R548">
        <f>SQRT(Tabelle2[[#This Row],[vx]]*Tabelle2[[#This Row],[vx]]+Tabelle2[[#This Row],[vy]]*Tabelle2[[#This Row],[vy]])</f>
        <v>53.156511187150116</v>
      </c>
      <c r="S548">
        <f t="shared" si="97"/>
        <v>472.92186523799023</v>
      </c>
      <c r="T548" s="1">
        <f t="shared" si="98"/>
        <v>87.736622476401067</v>
      </c>
    </row>
    <row r="549" spans="6:20" x14ac:dyDescent="0.35">
      <c r="F549" s="1">
        <f t="shared" si="94"/>
        <v>10.919999999999856</v>
      </c>
      <c r="G549">
        <f>1/2*$B$8*$B$6*$B$7*(Tabelle2[[#This Row],[vx]]*Tabelle2[[#This Row],[vx]]+Tabelle2[[#This Row],[vy]]*Tabelle2[[#This Row],[vy]])/1000000</f>
        <v>5.0155054241051928</v>
      </c>
      <c r="H549">
        <f>IF($B$3,-Tabelle2[[#This Row],[Fd]]*Tabelle2[[#This Row],[vx]]/Tabelle2[[#This Row],[v]],0)</f>
        <v>-2.9639551392745784</v>
      </c>
      <c r="I549">
        <f t="shared" si="88"/>
        <v>-1.975970092849719</v>
      </c>
      <c r="J549">
        <f t="shared" si="89"/>
        <v>-3.9519401856994381E-2</v>
      </c>
      <c r="K549">
        <f t="shared" si="90"/>
        <v>0.62895206647757806</v>
      </c>
      <c r="L549">
        <f>-$B$5*$B$12-IF($B$3,Tabelle2[[#This Row],[Fd]]*Tabelle2[[#This Row],[vy]]/Tabelle2[[#This Row],[v]],0)</f>
        <v>-10.668981637264059</v>
      </c>
      <c r="M549">
        <f t="shared" si="91"/>
        <v>-7.1126544248427059</v>
      </c>
      <c r="N549">
        <f t="shared" si="92"/>
        <v>-0.14225308849685411</v>
      </c>
      <c r="O549">
        <f t="shared" si="93"/>
        <v>-0.86052816941638999</v>
      </c>
      <c r="P549" s="1">
        <f t="shared" si="95"/>
        <v>31.467363024807401</v>
      </c>
      <c r="Q549" s="1">
        <f t="shared" si="96"/>
        <v>-42.955281926571068</v>
      </c>
      <c r="R549">
        <f>SQRT(Tabelle2[[#This Row],[vx]]*Tabelle2[[#This Row],[vx]]+Tabelle2[[#This Row],[vy]]*Tabelle2[[#This Row],[vy]])</f>
        <v>53.248015748253188</v>
      </c>
      <c r="S549">
        <f t="shared" si="97"/>
        <v>473.55160750861495</v>
      </c>
      <c r="T549" s="1">
        <f t="shared" si="98"/>
        <v>86.878942082678662</v>
      </c>
    </row>
    <row r="550" spans="6:20" x14ac:dyDescent="0.35">
      <c r="F550" s="1">
        <f t="shared" si="94"/>
        <v>10.939999999999856</v>
      </c>
      <c r="G550">
        <f>1/2*$B$8*$B$6*$B$7*(Tabelle2[[#This Row],[vx]]*Tabelle2[[#This Row],[vx]]+Tabelle2[[#This Row],[vy]]*Tabelle2[[#This Row],[vy]])/1000000</f>
        <v>5.0327624597585787</v>
      </c>
      <c r="H550">
        <f>IF($B$3,-Tabelle2[[#This Row],[Fd]]*Tabelle2[[#This Row],[vx]]/Tabelle2[[#This Row],[v]],0)</f>
        <v>-2.9653210694959129</v>
      </c>
      <c r="I550">
        <f t="shared" si="88"/>
        <v>-1.9768807129972752</v>
      </c>
      <c r="J550">
        <f t="shared" si="89"/>
        <v>-3.9537614259945501E-2</v>
      </c>
      <c r="K550">
        <f t="shared" si="90"/>
        <v>0.62816149631640861</v>
      </c>
      <c r="L550">
        <f>-$B$5*$B$12-IF($B$3,Tabelle2[[#This Row],[Fd]]*Tabelle2[[#This Row],[vy]]/Tabelle2[[#This Row],[v]],0)</f>
        <v>-10.648604921904557</v>
      </c>
      <c r="M550">
        <f t="shared" si="91"/>
        <v>-7.0990699479363712</v>
      </c>
      <c r="N550">
        <f t="shared" si="92"/>
        <v>-0.14198139895872744</v>
      </c>
      <c r="O550">
        <f t="shared" si="93"/>
        <v>-0.86337051429094569</v>
      </c>
      <c r="P550" s="1">
        <f t="shared" si="95"/>
        <v>31.427843622950405</v>
      </c>
      <c r="Q550" s="1">
        <f t="shared" si="96"/>
        <v>-43.097535015067919</v>
      </c>
      <c r="R550">
        <f>SQRT(Tabelle2[[#This Row],[vx]]*Tabelle2[[#This Row],[vx]]+Tabelle2[[#This Row],[vy]]*Tabelle2[[#This Row],[vy]])</f>
        <v>53.339543297291456</v>
      </c>
      <c r="S550">
        <f t="shared" si="97"/>
        <v>474.1805595750925</v>
      </c>
      <c r="T550" s="1">
        <f t="shared" si="98"/>
        <v>86.018413913262279</v>
      </c>
    </row>
    <row r="551" spans="6:20" x14ac:dyDescent="0.35">
      <c r="F551" s="1">
        <f t="shared" si="94"/>
        <v>10.959999999999855</v>
      </c>
      <c r="G551">
        <f>1/2*$B$8*$B$6*$B$7*(Tabelle2[[#This Row],[vx]]*Tabelle2[[#This Row],[vx]]+Tabelle2[[#This Row],[vy]]*Tabelle2[[#This Row],[vy]])/1000000</f>
        <v>5.050053028117234</v>
      </c>
      <c r="H551">
        <f>IF($B$3,-Tabelle2[[#This Row],[Fd]]*Tabelle2[[#This Row],[vx]]/Tabelle2[[#This Row],[v]],0)</f>
        <v>-2.9666736257359507</v>
      </c>
      <c r="I551">
        <f t="shared" si="88"/>
        <v>-1.9777824171573004</v>
      </c>
      <c r="J551">
        <f t="shared" si="89"/>
        <v>-3.955564834314601E-2</v>
      </c>
      <c r="K551">
        <f t="shared" si="90"/>
        <v>0.6273705636903778</v>
      </c>
      <c r="L551">
        <f>-$B$5*$B$12-IF($B$3,Tabelle2[[#This Row],[Fd]]*Tabelle2[[#This Row],[vy]]/Tabelle2[[#This Row],[v]],0)</f>
        <v>-10.628206246314999</v>
      </c>
      <c r="M551">
        <f t="shared" si="91"/>
        <v>-7.0854708308766661</v>
      </c>
      <c r="N551">
        <f t="shared" si="92"/>
        <v>-0.14170941661753333</v>
      </c>
      <c r="O551">
        <f t="shared" si="93"/>
        <v>-0.86620742244670823</v>
      </c>
      <c r="P551" s="1">
        <f t="shared" si="95"/>
        <v>31.38830600869046</v>
      </c>
      <c r="Q551" s="1">
        <f t="shared" si="96"/>
        <v>-43.239516414026646</v>
      </c>
      <c r="R551">
        <f>SQRT(Tabelle2[[#This Row],[vx]]*Tabelle2[[#This Row],[vx]]+Tabelle2[[#This Row],[vy]]*Tabelle2[[#This Row],[vy]])</f>
        <v>53.431091452580993</v>
      </c>
      <c r="S551">
        <f t="shared" si="97"/>
        <v>474.80872107140891</v>
      </c>
      <c r="T551" s="1">
        <f t="shared" si="98"/>
        <v>85.15504339897133</v>
      </c>
    </row>
    <row r="552" spans="6:20" x14ac:dyDescent="0.35">
      <c r="F552" s="1">
        <f t="shared" si="94"/>
        <v>10.979999999999855</v>
      </c>
      <c r="G552">
        <f>1/2*$B$8*$B$6*$B$7*(Tabelle2[[#This Row],[vx]]*Tabelle2[[#This Row],[vx]]+Tabelle2[[#This Row],[vy]]*Tabelle2[[#This Row],[vy]])/1000000</f>
        <v>5.0673767022476577</v>
      </c>
      <c r="H552">
        <f>IF($B$3,-Tabelle2[[#This Row],[Fd]]*Tabelle2[[#This Row],[vx]]/Tabelle2[[#This Row],[v]],0)</f>
        <v>-2.968012680812834</v>
      </c>
      <c r="I552">
        <f t="shared" si="88"/>
        <v>-1.9786751205418893</v>
      </c>
      <c r="J552">
        <f t="shared" si="89"/>
        <v>-3.9573502410837784E-2</v>
      </c>
      <c r="K552">
        <f t="shared" si="90"/>
        <v>0.62657927218283793</v>
      </c>
      <c r="L552">
        <f>-$B$5*$B$12-IF($B$3,Tabelle2[[#This Row],[Fd]]*Tabelle2[[#This Row],[vy]]/Tabelle2[[#This Row],[v]],0)</f>
        <v>-10.60778593581774</v>
      </c>
      <c r="M552">
        <f t="shared" si="91"/>
        <v>-7.07185729054516</v>
      </c>
      <c r="N552">
        <f t="shared" si="92"/>
        <v>-0.14143714581090319</v>
      </c>
      <c r="O552">
        <f t="shared" si="93"/>
        <v>-0.8690388880709925</v>
      </c>
      <c r="P552" s="1">
        <f t="shared" si="95"/>
        <v>31.348750360347314</v>
      </c>
      <c r="Q552" s="1">
        <f t="shared" si="96"/>
        <v>-43.381225830644176</v>
      </c>
      <c r="R552">
        <f>SQRT(Tabelle2[[#This Row],[vx]]*Tabelle2[[#This Row],[vx]]+Tabelle2[[#This Row],[vy]]*Tabelle2[[#This Row],[vy]])</f>
        <v>53.522657853704587</v>
      </c>
      <c r="S552">
        <f t="shared" si="97"/>
        <v>475.43609163509927</v>
      </c>
      <c r="T552" s="1">
        <f t="shared" si="98"/>
        <v>84.288835976524624</v>
      </c>
    </row>
    <row r="553" spans="6:20" x14ac:dyDescent="0.35">
      <c r="F553" s="1">
        <f t="shared" si="94"/>
        <v>10.999999999999854</v>
      </c>
      <c r="G553">
        <f>1/2*$B$8*$B$6*$B$7*(Tabelle2[[#This Row],[vx]]*Tabelle2[[#This Row],[vx]]+Tabelle2[[#This Row],[vy]]*Tabelle2[[#This Row],[vy]])/1000000</f>
        <v>5.0847330561731203</v>
      </c>
      <c r="H553">
        <f>IF($B$3,-Tabelle2[[#This Row],[Fd]]*Tabelle2[[#This Row],[vx]]/Tabelle2[[#This Row],[v]],0)</f>
        <v>-2.9693381096493496</v>
      </c>
      <c r="I553">
        <f t="shared" si="88"/>
        <v>-1.9795587397662331</v>
      </c>
      <c r="J553">
        <f t="shared" si="89"/>
        <v>-3.959117479532466E-2</v>
      </c>
      <c r="K553">
        <f t="shared" si="90"/>
        <v>0.62578762541077626</v>
      </c>
      <c r="L553">
        <f>-$B$5*$B$12-IF($B$3,Tabelle2[[#This Row],[Fd]]*Tabelle2[[#This Row],[vy]]/Tabelle2[[#This Row],[v]],0)</f>
        <v>-10.587344316306936</v>
      </c>
      <c r="M553">
        <f t="shared" si="91"/>
        <v>-7.0582295442046243</v>
      </c>
      <c r="N553">
        <f t="shared" si="92"/>
        <v>-0.1411645908840925</v>
      </c>
      <c r="O553">
        <f t="shared" si="93"/>
        <v>-0.87186490543794248</v>
      </c>
      <c r="P553" s="1">
        <f t="shared" si="95"/>
        <v>31.309176857936475</v>
      </c>
      <c r="Q553" s="1">
        <f t="shared" si="96"/>
        <v>-43.522662976455081</v>
      </c>
      <c r="R553">
        <f>SQRT(Tabelle2[[#This Row],[vx]]*Tabelle2[[#This Row],[vx]]+Tabelle2[[#This Row],[vy]]*Tabelle2[[#This Row],[vy]])</f>
        <v>53.614240161394051</v>
      </c>
      <c r="S553">
        <f t="shared" si="97"/>
        <v>476.0626709072821</v>
      </c>
      <c r="T553" s="1">
        <f t="shared" si="98"/>
        <v>83.419797088453635</v>
      </c>
    </row>
    <row r="554" spans="6:20" x14ac:dyDescent="0.35">
      <c r="F554" s="1">
        <f t="shared" si="94"/>
        <v>11.019999999999854</v>
      </c>
      <c r="G554">
        <f>1/2*$B$8*$B$6*$B$7*(Tabelle2[[#This Row],[vx]]*Tabelle2[[#This Row],[vx]]+Tabelle2[[#This Row],[vy]]*Tabelle2[[#This Row],[vy]])/1000000</f>
        <v>5.1021216648840788</v>
      </c>
      <c r="H554">
        <f>IF($B$3,-Tabelle2[[#This Row],[Fd]]*Tabelle2[[#This Row],[vx]]/Tabelle2[[#This Row],[v]],0)</f>
        <v>-2.9706497892585082</v>
      </c>
      <c r="I554">
        <f t="shared" si="88"/>
        <v>-1.9804331928390055</v>
      </c>
      <c r="J554">
        <f t="shared" si="89"/>
        <v>-3.9608663856780114E-2</v>
      </c>
      <c r="K554">
        <f t="shared" si="90"/>
        <v>0.62499562702425515</v>
      </c>
      <c r="L554">
        <f>-$B$5*$B$12-IF($B$3,Tabelle2[[#This Row],[Fd]]*Tabelle2[[#This Row],[vy]]/Tabelle2[[#This Row],[v]],0)</f>
        <v>-10.566881714215725</v>
      </c>
      <c r="M554">
        <f t="shared" si="91"/>
        <v>-7.0445878094771501</v>
      </c>
      <c r="N554">
        <f t="shared" si="92"/>
        <v>-0.140891756189543</v>
      </c>
      <c r="O554">
        <f t="shared" si="93"/>
        <v>-0.87468546890867904</v>
      </c>
      <c r="P554" s="1">
        <f t="shared" si="95"/>
        <v>31.269585683141148</v>
      </c>
      <c r="Q554" s="1">
        <f t="shared" si="96"/>
        <v>-43.663827567339176</v>
      </c>
      <c r="R554">
        <f>SQRT(Tabelle2[[#This Row],[vx]]*Tabelle2[[#This Row],[vx]]+Tabelle2[[#This Row],[vy]]*Tabelle2[[#This Row],[vy]])</f>
        <v>53.705836057412178</v>
      </c>
      <c r="S554">
        <f t="shared" si="97"/>
        <v>476.68845853269289</v>
      </c>
      <c r="T554" s="1">
        <f t="shared" si="98"/>
        <v>82.547932183015689</v>
      </c>
    </row>
    <row r="555" spans="6:20" x14ac:dyDescent="0.35">
      <c r="F555" s="1">
        <f t="shared" si="94"/>
        <v>11.039999999999853</v>
      </c>
      <c r="G555">
        <f>1/2*$B$8*$B$6*$B$7*(Tabelle2[[#This Row],[vx]]*Tabelle2[[#This Row],[vx]]+Tabelle2[[#This Row],[vy]]*Tabelle2[[#This Row],[vy]])/1000000</f>
        <v>5.1195421043485441</v>
      </c>
      <c r="H555">
        <f>IF($B$3,-Tabelle2[[#This Row],[Fd]]*Tabelle2[[#This Row],[vx]]/Tabelle2[[#This Row],[v]],0)</f>
        <v>-2.9719475987291251</v>
      </c>
      <c r="I555">
        <f t="shared" si="88"/>
        <v>-1.98129839915275</v>
      </c>
      <c r="J555">
        <f t="shared" si="89"/>
        <v>-3.9625967983055004E-2</v>
      </c>
      <c r="K555">
        <f t="shared" si="90"/>
        <v>0.62420328070585684</v>
      </c>
      <c r="L555">
        <f>-$B$5*$B$12-IF($B$3,Tabelle2[[#This Row],[Fd]]*Tabelle2[[#This Row],[vy]]/Tabelle2[[#This Row],[v]],0)</f>
        <v>-10.546398456483793</v>
      </c>
      <c r="M555">
        <f t="shared" si="91"/>
        <v>-7.0309323043225289</v>
      </c>
      <c r="N555">
        <f t="shared" si="92"/>
        <v>-0.14061864608645058</v>
      </c>
      <c r="O555">
        <f t="shared" si="93"/>
        <v>-0.87750057293143902</v>
      </c>
      <c r="P555" s="1">
        <f t="shared" si="95"/>
        <v>31.22997701928437</v>
      </c>
      <c r="Q555" s="1">
        <f t="shared" si="96"/>
        <v>-43.804719323528722</v>
      </c>
      <c r="R555">
        <f>SQRT(Tabelle2[[#This Row],[vx]]*Tabelle2[[#This Row],[vx]]+Tabelle2[[#This Row],[vy]]*Tabelle2[[#This Row],[vy]])</f>
        <v>53.797443244434589</v>
      </c>
      <c r="S555">
        <f t="shared" si="97"/>
        <v>477.31345415971714</v>
      </c>
      <c r="T555" s="1">
        <f t="shared" si="98"/>
        <v>81.673246714107009</v>
      </c>
    </row>
    <row r="556" spans="6:20" x14ac:dyDescent="0.35">
      <c r="F556" s="1">
        <f t="shared" si="94"/>
        <v>11.059999999999853</v>
      </c>
      <c r="G556">
        <f>1/2*$B$8*$B$6*$B$7*(Tabelle2[[#This Row],[vx]]*Tabelle2[[#This Row],[vx]]+Tabelle2[[#This Row],[vy]]*Tabelle2[[#This Row],[vy]])/1000000</f>
        <v>5.1369939515223768</v>
      </c>
      <c r="H556">
        <f>IF($B$3,-Tabelle2[[#This Row],[Fd]]*Tabelle2[[#This Row],[vx]]/Tabelle2[[#This Row],[v]],0)</f>
        <v>-2.9732314192114133</v>
      </c>
      <c r="I556">
        <f t="shared" si="88"/>
        <v>-1.9821542794742755</v>
      </c>
      <c r="J556">
        <f t="shared" si="89"/>
        <v>-3.9643085589485511E-2</v>
      </c>
      <c r="K556">
        <f t="shared" si="90"/>
        <v>0.62341059017013145</v>
      </c>
      <c r="L556">
        <f>-$B$5*$B$12-IF($B$3,Tabelle2[[#This Row],[Fd]]*Tabelle2[[#This Row],[vy]]/Tabelle2[[#This Row],[v]],0)</f>
        <v>-10.52589487052526</v>
      </c>
      <c r="M556">
        <f t="shared" si="91"/>
        <v>-7.0172632470168397</v>
      </c>
      <c r="N556">
        <f t="shared" si="92"/>
        <v>-0.14034526494033681</v>
      </c>
      <c r="O556">
        <f t="shared" si="93"/>
        <v>-0.8803102120417069</v>
      </c>
      <c r="P556" s="1">
        <f t="shared" si="95"/>
        <v>31.190351051301313</v>
      </c>
      <c r="Q556" s="1">
        <f t="shared" si="96"/>
        <v>-43.945337969615174</v>
      </c>
      <c r="R556">
        <f>SQRT(Tabelle2[[#This Row],[vx]]*Tabelle2[[#This Row],[vx]]+Tabelle2[[#This Row],[vy]]*Tabelle2[[#This Row],[vy]])</f>
        <v>53.889059445931267</v>
      </c>
      <c r="S556">
        <f t="shared" si="97"/>
        <v>477.93765744042298</v>
      </c>
      <c r="T556" s="1">
        <f t="shared" si="98"/>
        <v>80.79574614117557</v>
      </c>
    </row>
    <row r="557" spans="6:20" x14ac:dyDescent="0.35">
      <c r="F557" s="1">
        <f t="shared" si="94"/>
        <v>11.079999999999853</v>
      </c>
      <c r="G557">
        <f>1/2*$B$8*$B$6*$B$7*(Tabelle2[[#This Row],[vx]]*Tabelle2[[#This Row],[vx]]+Tabelle2[[#This Row],[vy]]*Tabelle2[[#This Row],[vy]])/1000000</f>
        <v>5.1544767843595274</v>
      </c>
      <c r="H557">
        <f>IF($B$3,-Tabelle2[[#This Row],[Fd]]*Tabelle2[[#This Row],[vx]]/Tabelle2[[#This Row],[v]],0)</f>
        <v>-2.974501133902578</v>
      </c>
      <c r="I557">
        <f t="shared" si="88"/>
        <v>-1.983000755935052</v>
      </c>
      <c r="J557">
        <f t="shared" si="89"/>
        <v>-3.9660015118701042E-2</v>
      </c>
      <c r="K557">
        <f t="shared" si="90"/>
        <v>0.62261755916304962</v>
      </c>
      <c r="L557">
        <f>-$B$5*$B$12-IF($B$3,Tabelle2[[#This Row],[Fd]]*Tabelle2[[#This Row],[vy]]/Tabelle2[[#This Row],[v]],0)</f>
        <v>-10.505371284196952</v>
      </c>
      <c r="M557">
        <f t="shared" si="91"/>
        <v>-7.0035808561313013</v>
      </c>
      <c r="N557">
        <f t="shared" si="92"/>
        <v>-0.14007161712262603</v>
      </c>
      <c r="O557">
        <f t="shared" si="93"/>
        <v>-0.88311438086233651</v>
      </c>
      <c r="P557" s="1">
        <f t="shared" si="95"/>
        <v>31.150707965711828</v>
      </c>
      <c r="Q557" s="1">
        <f t="shared" si="96"/>
        <v>-44.085683234555511</v>
      </c>
      <c r="R557">
        <f>SQRT(Tabelle2[[#This Row],[vx]]*Tabelle2[[#This Row],[vx]]+Tabelle2[[#This Row],[vy]]*Tabelle2[[#This Row],[vy]])</f>
        <v>53.980682406048103</v>
      </c>
      <c r="S557">
        <f t="shared" si="97"/>
        <v>478.56106803059311</v>
      </c>
      <c r="T557" s="1">
        <f t="shared" si="98"/>
        <v>79.915435929133864</v>
      </c>
    </row>
    <row r="558" spans="6:20" x14ac:dyDescent="0.35">
      <c r="F558" s="1">
        <f t="shared" si="94"/>
        <v>11.099999999999852</v>
      </c>
      <c r="G558">
        <f>1/2*$B$8*$B$6*$B$7*(Tabelle2[[#This Row],[vx]]*Tabelle2[[#This Row],[vx]]+Tabelle2[[#This Row],[vy]]*Tabelle2[[#This Row],[vy]])/1000000</f>
        <v>5.1719901818222169</v>
      </c>
      <c r="H558">
        <f>IF($B$3,-Tabelle2[[#This Row],[Fd]]*Tabelle2[[#This Row],[vx]]/Tabelle2[[#This Row],[v]],0)</f>
        <v>-2.9757566280324297</v>
      </c>
      <c r="I558">
        <f t="shared" si="88"/>
        <v>-1.9838377520216197</v>
      </c>
      <c r="J558">
        <f t="shared" si="89"/>
        <v>-3.9676755040432395E-2</v>
      </c>
      <c r="K558">
        <f t="shared" si="90"/>
        <v>0.62182419146145818</v>
      </c>
      <c r="L558">
        <f>-$B$5*$B$12-IF($B$3,Tabelle2[[#This Row],[Fd]]*Tabelle2[[#This Row],[vy]]/Tabelle2[[#This Row],[v]],0)</f>
        <v>-10.484828025766982</v>
      </c>
      <c r="M558">
        <f t="shared" si="91"/>
        <v>-6.9898853505113214</v>
      </c>
      <c r="N558">
        <f t="shared" si="92"/>
        <v>-0.13979770701022642</v>
      </c>
      <c r="O558">
        <f t="shared" si="93"/>
        <v>-0.88591307410366515</v>
      </c>
      <c r="P558" s="1">
        <f t="shared" si="95"/>
        <v>31.111047950593125</v>
      </c>
      <c r="Q558" s="1">
        <f t="shared" si="96"/>
        <v>-44.22575485167814</v>
      </c>
      <c r="R558">
        <f>SQRT(Tabelle2[[#This Row],[vx]]*Tabelle2[[#This Row],[vx]]+Tabelle2[[#This Row],[vy]]*Tabelle2[[#This Row],[vy]])</f>
        <v>54.072309889488146</v>
      </c>
      <c r="S558">
        <f t="shared" si="97"/>
        <v>479.18368558975618</v>
      </c>
      <c r="T558" s="1">
        <f t="shared" si="98"/>
        <v>79.032321548271526</v>
      </c>
    </row>
    <row r="559" spans="6:20" x14ac:dyDescent="0.35">
      <c r="F559" s="1">
        <f t="shared" si="94"/>
        <v>11.119999999999852</v>
      </c>
      <c r="G559">
        <f>1/2*$B$8*$B$6*$B$7*(Tabelle2[[#This Row],[vx]]*Tabelle2[[#This Row],[vx]]+Tabelle2[[#This Row],[vy]]*Tabelle2[[#This Row],[vy]])/1000000</f>
        <v>5.189533723891036</v>
      </c>
      <c r="H559">
        <f>IF($B$3,-Tabelle2[[#This Row],[Fd]]*Tabelle2[[#This Row],[vx]]/Tabelle2[[#This Row],[v]],0)</f>
        <v>-2.9769977888490025</v>
      </c>
      <c r="I559">
        <f t="shared" si="88"/>
        <v>-1.9846651925660017</v>
      </c>
      <c r="J559">
        <f t="shared" si="89"/>
        <v>-3.9693303851320035E-2</v>
      </c>
      <c r="K559">
        <f t="shared" si="90"/>
        <v>0.6210304908725407</v>
      </c>
      <c r="L559">
        <f>-$B$5*$B$12-IF($B$3,Tabelle2[[#This Row],[Fd]]*Tabelle2[[#This Row],[vy]]/Tabelle2[[#This Row],[v]],0)</f>
        <v>-10.464265423883713</v>
      </c>
      <c r="M559">
        <f t="shared" si="91"/>
        <v>-6.9761769492558088</v>
      </c>
      <c r="N559">
        <f t="shared" si="92"/>
        <v>-0.13952353898511619</v>
      </c>
      <c r="O559">
        <f t="shared" si="93"/>
        <v>-0.8887062865636185</v>
      </c>
      <c r="P559" s="1">
        <f t="shared" si="95"/>
        <v>31.071371195552693</v>
      </c>
      <c r="Q559" s="1">
        <f t="shared" si="96"/>
        <v>-44.365552558688364</v>
      </c>
      <c r="R559">
        <f>SQRT(Tabelle2[[#This Row],[vx]]*Tabelle2[[#This Row],[vx]]+Tabelle2[[#This Row],[vy]]*Tabelle2[[#This Row],[vy]])</f>
        <v>54.16393968139284</v>
      </c>
      <c r="S559">
        <f t="shared" si="97"/>
        <v>479.80550978121767</v>
      </c>
      <c r="T559" s="1">
        <f t="shared" si="98"/>
        <v>78.146408474167856</v>
      </c>
    </row>
    <row r="560" spans="6:20" x14ac:dyDescent="0.35">
      <c r="F560" s="1">
        <f t="shared" si="94"/>
        <v>11.139999999999851</v>
      </c>
      <c r="G560">
        <f>1/2*$B$8*$B$6*$B$7*(Tabelle2[[#This Row],[vx]]*Tabelle2[[#This Row],[vx]]+Tabelle2[[#This Row],[vy]]*Tabelle2[[#This Row],[vy]])/1000000</f>
        <v>5.2071069915749923</v>
      </c>
      <c r="H560">
        <f>IF($B$3,-Tabelle2[[#This Row],[Fd]]*Tabelle2[[#This Row],[vx]]/Tabelle2[[#This Row],[v]],0)</f>
        <v>-2.9782245056041883</v>
      </c>
      <c r="I560">
        <f t="shared" si="88"/>
        <v>-1.9854830037361255</v>
      </c>
      <c r="J560">
        <f t="shared" si="89"/>
        <v>-3.9709660074722514E-2</v>
      </c>
      <c r="K560">
        <f t="shared" si="90"/>
        <v>0.62023646123328025</v>
      </c>
      <c r="L560">
        <f>-$B$5*$B$12-IF($B$3,Tabelle2[[#This Row],[Fd]]*Tabelle2[[#This Row],[vy]]/Tabelle2[[#This Row],[v]],0)</f>
        <v>-10.44368380754505</v>
      </c>
      <c r="M560">
        <f t="shared" si="91"/>
        <v>-6.9624558716967</v>
      </c>
      <c r="N560">
        <f t="shared" si="92"/>
        <v>-0.13924911743393401</v>
      </c>
      <c r="O560">
        <f t="shared" si="93"/>
        <v>-0.89149401312780896</v>
      </c>
      <c r="P560" s="1">
        <f t="shared" si="95"/>
        <v>31.031677891701374</v>
      </c>
      <c r="Q560" s="1">
        <f t="shared" si="96"/>
        <v>-44.505076097673481</v>
      </c>
      <c r="R560">
        <f>SQRT(Tabelle2[[#This Row],[vx]]*Tabelle2[[#This Row],[vx]]+Tabelle2[[#This Row],[vy]]*Tabelle2[[#This Row],[vy]])</f>
        <v>54.255569587223164</v>
      </c>
      <c r="S560">
        <f t="shared" si="97"/>
        <v>480.42654027209022</v>
      </c>
      <c r="T560" s="1">
        <f t="shared" si="98"/>
        <v>77.257702187604238</v>
      </c>
    </row>
    <row r="561" spans="6:20" x14ac:dyDescent="0.35">
      <c r="F561" s="1">
        <f t="shared" si="94"/>
        <v>11.159999999999851</v>
      </c>
      <c r="G561">
        <f>1/2*$B$8*$B$6*$B$7*(Tabelle2[[#This Row],[vx]]*Tabelle2[[#This Row],[vx]]+Tabelle2[[#This Row],[vy]]*Tabelle2[[#This Row],[vy]])/1000000</f>
        <v>5.22470956692149</v>
      </c>
      <c r="H561">
        <f>IF($B$3,-Tabelle2[[#This Row],[Fd]]*Tabelle2[[#This Row],[vx]]/Tabelle2[[#This Row],[v]],0)</f>
        <v>-2.9794366695393872</v>
      </c>
      <c r="I561">
        <f t="shared" si="88"/>
        <v>-1.9862911130262582</v>
      </c>
      <c r="J561">
        <f t="shared" si="89"/>
        <v>-3.9725822260525165E-2</v>
      </c>
      <c r="K561">
        <f t="shared" si="90"/>
        <v>0.61944210640992781</v>
      </c>
      <c r="L561">
        <f>-$B$5*$B$12-IF($B$3,Tabelle2[[#This Row],[Fd]]*Tabelle2[[#This Row],[vy]]/Tabelle2[[#This Row],[v]],0)</f>
        <v>-10.423083506068066</v>
      </c>
      <c r="M561">
        <f t="shared" si="91"/>
        <v>-6.9487223373787108</v>
      </c>
      <c r="N561">
        <f t="shared" si="92"/>
        <v>-0.13897444674757423</v>
      </c>
      <c r="O561">
        <f t="shared" si="93"/>
        <v>-0.89427624876962397</v>
      </c>
      <c r="P561" s="1">
        <f t="shared" si="95"/>
        <v>30.99196823162665</v>
      </c>
      <c r="Q561" s="1">
        <f t="shared" si="96"/>
        <v>-44.644325215107415</v>
      </c>
      <c r="R561">
        <f>SQRT(Tabelle2[[#This Row],[vx]]*Tabelle2[[#This Row],[vx]]+Tabelle2[[#This Row],[vy]]*Tabelle2[[#This Row],[vy]])</f>
        <v>54.347197432640733</v>
      </c>
      <c r="S561">
        <f t="shared" si="97"/>
        <v>481.0467767333235</v>
      </c>
      <c r="T561" s="1">
        <f t="shared" si="98"/>
        <v>76.366208174476427</v>
      </c>
    </row>
    <row r="562" spans="6:20" x14ac:dyDescent="0.35">
      <c r="F562" s="1">
        <f t="shared" si="94"/>
        <v>11.179999999999851</v>
      </c>
      <c r="G562">
        <f>1/2*$B$8*$B$6*$B$7*(Tabelle2[[#This Row],[vx]]*Tabelle2[[#This Row],[vx]]+Tabelle2[[#This Row],[vy]]*Tabelle2[[#This Row],[vy]])/1000000</f>
        <v>5.2423410330262294</v>
      </c>
      <c r="H562">
        <f>IF($B$3,-Tabelle2[[#This Row],[Fd]]*Tabelle2[[#This Row],[vx]]/Tabelle2[[#This Row],[v]],0)</f>
        <v>-2.9806341738711764</v>
      </c>
      <c r="I562">
        <f t="shared" si="88"/>
        <v>-1.9870894492474509</v>
      </c>
      <c r="J562">
        <f t="shared" si="89"/>
        <v>-3.9741788984949018E-2</v>
      </c>
      <c r="K562">
        <f t="shared" si="90"/>
        <v>0.61864743029747304</v>
      </c>
      <c r="L562">
        <f>-$B$5*$B$12-IF($B$3,Tabelle2[[#This Row],[Fd]]*Tabelle2[[#This Row],[vy]]/Tabelle2[[#This Row],[v]],0)</f>
        <v>-10.40246484905899</v>
      </c>
      <c r="M562">
        <f t="shared" si="91"/>
        <v>-6.9349765660393272</v>
      </c>
      <c r="N562">
        <f t="shared" si="92"/>
        <v>-0.13869953132078655</v>
      </c>
      <c r="O562">
        <f t="shared" si="93"/>
        <v>-0.89705298855030768</v>
      </c>
      <c r="P562" s="1">
        <f t="shared" si="95"/>
        <v>30.952242409366125</v>
      </c>
      <c r="Q562" s="1">
        <f t="shared" si="96"/>
        <v>-44.78329966185499</v>
      </c>
      <c r="R562">
        <f>SQRT(Tabelle2[[#This Row],[vx]]*Tabelle2[[#This Row],[vx]]+Tabelle2[[#This Row],[vy]]*Tabelle2[[#This Row],[vy]])</f>
        <v>54.438821063388801</v>
      </c>
      <c r="S562">
        <f t="shared" si="97"/>
        <v>481.6662188397334</v>
      </c>
      <c r="T562" s="1">
        <f t="shared" si="98"/>
        <v>75.471931925706798</v>
      </c>
    </row>
    <row r="563" spans="6:20" x14ac:dyDescent="0.35">
      <c r="F563" s="1">
        <f t="shared" si="94"/>
        <v>11.19999999999985</v>
      </c>
      <c r="G563">
        <f>1/2*$B$8*$B$6*$B$7*(Tabelle2[[#This Row],[vx]]*Tabelle2[[#This Row],[vx]]+Tabelle2[[#This Row],[vy]]*Tabelle2[[#This Row],[vy]])/1000000</f>
        <v>5.2600009740430513</v>
      </c>
      <c r="H563">
        <f>IF($B$3,-Tabelle2[[#This Row],[Fd]]*Tabelle2[[#This Row],[vx]]/Tabelle2[[#This Row],[v]],0)</f>
        <v>-2.9818169137769934</v>
      </c>
      <c r="I563">
        <f t="shared" si="88"/>
        <v>-1.9878779425179955</v>
      </c>
      <c r="J563">
        <f t="shared" si="89"/>
        <v>-3.9757558850359913E-2</v>
      </c>
      <c r="K563">
        <f t="shared" si="90"/>
        <v>0.61785243681911994</v>
      </c>
      <c r="L563">
        <f>-$B$5*$B$12-IF($B$3,Tabelle2[[#This Row],[Fd]]*Tabelle2[[#This Row],[vy]]/Tabelle2[[#This Row],[v]],0)</f>
        <v>-10.38182816638351</v>
      </c>
      <c r="M563">
        <f t="shared" si="91"/>
        <v>-6.9212187775890071</v>
      </c>
      <c r="N563">
        <f t="shared" si="92"/>
        <v>-0.13842437555178014</v>
      </c>
      <c r="O563">
        <f t="shared" si="93"/>
        <v>-0.89982422761903336</v>
      </c>
      <c r="P563" s="1">
        <f t="shared" si="95"/>
        <v>30.912500620381177</v>
      </c>
      <c r="Q563" s="1">
        <f t="shared" si="96"/>
        <v>-44.921999193175779</v>
      </c>
      <c r="R563">
        <f>SQRT(Tabelle2[[#This Row],[vx]]*Tabelle2[[#This Row],[vx]]+Tabelle2[[#This Row],[vy]]*Tabelle2[[#This Row],[vy]])</f>
        <v>54.530438345173351</v>
      </c>
      <c r="S563">
        <f t="shared" si="97"/>
        <v>482.28486627003088</v>
      </c>
      <c r="T563" s="1">
        <f t="shared" si="98"/>
        <v>74.574878937156484</v>
      </c>
    </row>
    <row r="564" spans="6:20" x14ac:dyDescent="0.35">
      <c r="F564" s="1">
        <f t="shared" si="94"/>
        <v>11.21999999999985</v>
      </c>
      <c r="G564">
        <f>1/2*$B$8*$B$6*$B$7*(Tabelle2[[#This Row],[vx]]*Tabelle2[[#This Row],[vx]]+Tabelle2[[#This Row],[vy]]*Tabelle2[[#This Row],[vy]])/1000000</f>
        <v>5.2776889751936986</v>
      </c>
      <c r="H564">
        <f>IF($B$3,-Tabelle2[[#This Row],[Fd]]*Tabelle2[[#This Row],[vx]]/Tabelle2[[#This Row],[v]],0)</f>
        <v>-2.9829847863808427</v>
      </c>
      <c r="I564">
        <f t="shared" si="88"/>
        <v>-1.9886565242538952</v>
      </c>
      <c r="J564">
        <f t="shared" si="89"/>
        <v>-3.9773130485077905E-2</v>
      </c>
      <c r="K564">
        <f t="shared" si="90"/>
        <v>0.61705712992576556</v>
      </c>
      <c r="L564">
        <f>-$B$5*$B$12-IF($B$3,Tabelle2[[#This Row],[Fd]]*Tabelle2[[#This Row],[vy]]/Tabelle2[[#This Row],[v]],0)</f>
        <v>-10.361173788137432</v>
      </c>
      <c r="M564">
        <f t="shared" si="91"/>
        <v>-6.9074491920916214</v>
      </c>
      <c r="N564">
        <f t="shared" si="92"/>
        <v>-0.13814898384183244</v>
      </c>
      <c r="O564">
        <f t="shared" si="93"/>
        <v>-0.90258996121296953</v>
      </c>
      <c r="P564" s="1">
        <f t="shared" si="95"/>
        <v>30.872743061530816</v>
      </c>
      <c r="Q564" s="1">
        <f t="shared" si="96"/>
        <v>-45.060423568727558</v>
      </c>
      <c r="R564">
        <f>SQRT(Tabelle2[[#This Row],[vx]]*Tabelle2[[#This Row],[vx]]+Tabelle2[[#This Row],[vy]]*Tabelle2[[#This Row],[vy]])</f>
        <v>54.62204716354411</v>
      </c>
      <c r="S564">
        <f t="shared" si="97"/>
        <v>482.90271870685001</v>
      </c>
      <c r="T564" s="1">
        <f t="shared" si="98"/>
        <v>73.675054709537449</v>
      </c>
    </row>
    <row r="565" spans="6:20" x14ac:dyDescent="0.35">
      <c r="F565" s="1">
        <f t="shared" si="94"/>
        <v>11.239999999999849</v>
      </c>
      <c r="G565">
        <f>1/2*$B$8*$B$6*$B$7*(Tabelle2[[#This Row],[vx]]*Tabelle2[[#This Row],[vx]]+Tabelle2[[#This Row],[vy]]*Tabelle2[[#This Row],[vy]])/1000000</f>
        <v>5.2954046227775189</v>
      </c>
      <c r="H565">
        <f>IF($B$3,-Tabelle2[[#This Row],[Fd]]*Tabelle2[[#This Row],[vx]]/Tabelle2[[#This Row],[v]],0)</f>
        <v>-2.9841376907390265</v>
      </c>
      <c r="I565">
        <f t="shared" si="88"/>
        <v>-1.989425127159351</v>
      </c>
      <c r="J565">
        <f t="shared" si="89"/>
        <v>-3.978850254318702E-2</v>
      </c>
      <c r="K565">
        <f t="shared" si="90"/>
        <v>0.61626151359548287</v>
      </c>
      <c r="L565">
        <f>-$B$5*$B$12-IF($B$3,Tabelle2[[#This Row],[Fd]]*Tabelle2[[#This Row],[vy]]/Tabelle2[[#This Row],[v]],0)</f>
        <v>-10.340502044617661</v>
      </c>
      <c r="M565">
        <f t="shared" si="91"/>
        <v>-6.8936680297451076</v>
      </c>
      <c r="N565">
        <f t="shared" si="92"/>
        <v>-0.13787336059490216</v>
      </c>
      <c r="O565">
        <f t="shared" si="93"/>
        <v>-0.90535018465733674</v>
      </c>
      <c r="P565" s="1">
        <f t="shared" si="95"/>
        <v>30.832969931045739</v>
      </c>
      <c r="Q565" s="1">
        <f t="shared" si="96"/>
        <v>-45.198572552569388</v>
      </c>
      <c r="R565">
        <f>SQRT(Tabelle2[[#This Row],[vx]]*Tabelle2[[#This Row],[vx]]+Tabelle2[[#This Row],[vy]]*Tabelle2[[#This Row],[vy]])</f>
        <v>54.713645423775681</v>
      </c>
      <c r="S565">
        <f t="shared" si="97"/>
        <v>483.51977583677575</v>
      </c>
      <c r="T565" s="1">
        <f t="shared" si="98"/>
        <v>72.772464748324481</v>
      </c>
    </row>
    <row r="566" spans="6:20" x14ac:dyDescent="0.35">
      <c r="F566" s="1">
        <f t="shared" si="94"/>
        <v>11.259999999999849</v>
      </c>
      <c r="G566">
        <f>1/2*$B$8*$B$6*$B$7*(Tabelle2[[#This Row],[vx]]*Tabelle2[[#This Row],[vx]]+Tabelle2[[#This Row],[vy]]*Tabelle2[[#This Row],[vy]])/1000000</f>
        <v>5.3131475041810816</v>
      </c>
      <c r="H566">
        <f>IF($B$3,-Tabelle2[[#This Row],[Fd]]*Tabelle2[[#This Row],[vx]]/Tabelle2[[#This Row],[v]],0)</f>
        <v>-2.9852755278258898</v>
      </c>
      <c r="I566">
        <f t="shared" si="88"/>
        <v>-1.9901836852172599</v>
      </c>
      <c r="J566">
        <f t="shared" si="89"/>
        <v>-3.9803673704345198E-2</v>
      </c>
      <c r="K566">
        <f t="shared" si="90"/>
        <v>0.61546559183300764</v>
      </c>
      <c r="L566">
        <f>-$B$5*$B$12-IF($B$3,Tabelle2[[#This Row],[Fd]]*Tabelle2[[#This Row],[vy]]/Tabelle2[[#This Row],[v]],0)</f>
        <v>-10.319813266293512</v>
      </c>
      <c r="M566">
        <f t="shared" si="91"/>
        <v>-6.8798755108623411</v>
      </c>
      <c r="N566">
        <f t="shared" si="92"/>
        <v>-0.13759751021724684</v>
      </c>
      <c r="O566">
        <f t="shared" si="93"/>
        <v>-0.9081048933654583</v>
      </c>
      <c r="P566" s="1">
        <f t="shared" si="95"/>
        <v>30.793181428502553</v>
      </c>
      <c r="Q566" s="1">
        <f t="shared" si="96"/>
        <v>-45.33644591316429</v>
      </c>
      <c r="R566">
        <f>SQRT(Tabelle2[[#This Row],[vx]]*Tabelle2[[#This Row],[vx]]+Tabelle2[[#This Row],[vy]]*Tabelle2[[#This Row],[vy]])</f>
        <v>54.805231050748667</v>
      </c>
      <c r="S566">
        <f t="shared" si="97"/>
        <v>484.13603735037123</v>
      </c>
      <c r="T566" s="1">
        <f t="shared" si="98"/>
        <v>71.867114563667144</v>
      </c>
    </row>
    <row r="567" spans="6:20" x14ac:dyDescent="0.35">
      <c r="F567" s="1">
        <f t="shared" si="94"/>
        <v>11.279999999999848</v>
      </c>
      <c r="G567">
        <f>1/2*$B$8*$B$6*$B$7*(Tabelle2[[#This Row],[vx]]*Tabelle2[[#This Row],[vx]]+Tabelle2[[#This Row],[vy]]*Tabelle2[[#This Row],[vy]])/1000000</f>
        <v>5.3309172078877323</v>
      </c>
      <c r="H567">
        <f>IF($B$3,-Tabelle2[[#This Row],[Fd]]*Tabelle2[[#This Row],[vx]]/Tabelle2[[#This Row],[v]],0)</f>
        <v>-2.9863982005196035</v>
      </c>
      <c r="I567">
        <f t="shared" si="88"/>
        <v>-1.9909321336797356</v>
      </c>
      <c r="J567">
        <f t="shared" si="89"/>
        <v>-3.9818642673594716E-2</v>
      </c>
      <c r="K567">
        <f t="shared" si="90"/>
        <v>0.61466936866922828</v>
      </c>
      <c r="L567">
        <f>-$B$5*$B$12-IF($B$3,Tabelle2[[#This Row],[Fd]]*Tabelle2[[#This Row],[vy]]/Tabelle2[[#This Row],[v]],0)</f>
        <v>-10.299107783778366</v>
      </c>
      <c r="M567">
        <f t="shared" si="91"/>
        <v>-6.866071855852244</v>
      </c>
      <c r="N567">
        <f t="shared" si="92"/>
        <v>-0.13732143711704489</v>
      </c>
      <c r="O567">
        <f t="shared" si="93"/>
        <v>-0.91085408283880132</v>
      </c>
      <c r="P567" s="1">
        <f t="shared" si="95"/>
        <v>30.753377754798208</v>
      </c>
      <c r="Q567" s="1">
        <f t="shared" si="96"/>
        <v>-45.474043423381538</v>
      </c>
      <c r="R567">
        <f>SQRT(Tabelle2[[#This Row],[vx]]*Tabelle2[[#This Row],[vx]]+Tabelle2[[#This Row],[vy]]*Tabelle2[[#This Row],[vy]])</f>
        <v>54.896801988830887</v>
      </c>
      <c r="S567">
        <f t="shared" si="97"/>
        <v>484.75150294220424</v>
      </c>
      <c r="T567" s="1">
        <f t="shared" si="98"/>
        <v>70.959009670301683</v>
      </c>
    </row>
    <row r="568" spans="6:20" x14ac:dyDescent="0.35">
      <c r="F568" s="1">
        <f t="shared" si="94"/>
        <v>11.299999999999848</v>
      </c>
      <c r="G568">
        <f>1/2*$B$8*$B$6*$B$7*(Tabelle2[[#This Row],[vx]]*Tabelle2[[#This Row],[vx]]+Tabelle2[[#This Row],[vy]]*Tabelle2[[#This Row],[vy]])/1000000</f>
        <v>5.3487133234870665</v>
      </c>
      <c r="H568">
        <f>IF($B$3,-Tabelle2[[#This Row],[Fd]]*Tabelle2[[#This Row],[vx]]/Tabelle2[[#This Row],[v]],0)</f>
        <v>-2.9875056135879601</v>
      </c>
      <c r="I568">
        <f t="shared" si="88"/>
        <v>-1.9916704090586401</v>
      </c>
      <c r="J568">
        <f t="shared" si="89"/>
        <v>-3.9833408181172807E-2</v>
      </c>
      <c r="K568">
        <f t="shared" si="90"/>
        <v>0.61387284816068055</v>
      </c>
      <c r="L568">
        <f>-$B$5*$B$12-IF($B$3,Tabelle2[[#This Row],[Fd]]*Tabelle2[[#This Row],[vy]]/Tabelle2[[#This Row],[v]],0)</f>
        <v>-10.278385927801644</v>
      </c>
      <c r="M568">
        <f t="shared" si="91"/>
        <v>-6.8522572852010954</v>
      </c>
      <c r="N568">
        <f t="shared" si="92"/>
        <v>-0.1370451457040219</v>
      </c>
      <c r="O568">
        <f t="shared" si="93"/>
        <v>-0.91359774866701193</v>
      </c>
      <c r="P568" s="1">
        <f t="shared" si="95"/>
        <v>30.713559112124614</v>
      </c>
      <c r="Q568" s="1">
        <f t="shared" si="96"/>
        <v>-45.611364860498583</v>
      </c>
      <c r="R568">
        <f>SQRT(Tabelle2[[#This Row],[vx]]*Tabelle2[[#This Row],[vx]]+Tabelle2[[#This Row],[vy]]*Tabelle2[[#This Row],[vy]])</f>
        <v>54.988356201758727</v>
      </c>
      <c r="S568">
        <f t="shared" si="97"/>
        <v>485.36617231087348</v>
      </c>
      <c r="T568" s="1">
        <f t="shared" si="98"/>
        <v>70.048155587462887</v>
      </c>
    </row>
    <row r="569" spans="6:20" x14ac:dyDescent="0.35">
      <c r="F569" s="1">
        <f t="shared" si="94"/>
        <v>11.319999999999848</v>
      </c>
      <c r="G569">
        <f>1/2*$B$8*$B$6*$B$7*(Tabelle2[[#This Row],[vx]]*Tabelle2[[#This Row],[vx]]+Tabelle2[[#This Row],[vy]]*Tabelle2[[#This Row],[vy]])/1000000</f>
        <v>5.3665354416843325</v>
      </c>
      <c r="H569">
        <f>IF($B$3,-Tabelle2[[#This Row],[Fd]]*Tabelle2[[#This Row],[vx]]/Tabelle2[[#This Row],[v]],0)</f>
        <v>-2.9885976736742053</v>
      </c>
      <c r="I569">
        <f t="shared" si="88"/>
        <v>-1.9923984491161368</v>
      </c>
      <c r="J569">
        <f t="shared" si="89"/>
        <v>-3.9847968982322735E-2</v>
      </c>
      <c r="K569">
        <f t="shared" si="90"/>
        <v>0.61307603438904557</v>
      </c>
      <c r="L569">
        <f>-$B$5*$B$12-IF($B$3,Tabelle2[[#This Row],[Fd]]*Tabelle2[[#This Row],[vy]]/Tabelle2[[#This Row],[v]],0)</f>
        <v>-10.257648029181095</v>
      </c>
      <c r="M569">
        <f t="shared" si="91"/>
        <v>-6.8384320194540633</v>
      </c>
      <c r="N569">
        <f t="shared" si="92"/>
        <v>-0.13676864038908126</v>
      </c>
      <c r="O569">
        <f t="shared" si="93"/>
        <v>-0.91633588652794284</v>
      </c>
      <c r="P569" s="1">
        <f t="shared" si="95"/>
        <v>30.67372570394344</v>
      </c>
      <c r="Q569" s="1">
        <f t="shared" si="96"/>
        <v>-45.748410006202604</v>
      </c>
      <c r="R569">
        <f>SQRT(Tabelle2[[#This Row],[vx]]*Tabelle2[[#This Row],[vx]]+Tabelle2[[#This Row],[vy]]*Tabelle2[[#This Row],[vy]])</f>
        <v>55.079891672518556</v>
      </c>
      <c r="S569">
        <f t="shared" si="97"/>
        <v>485.98004515903415</v>
      </c>
      <c r="T569" s="1">
        <f t="shared" si="98"/>
        <v>69.134557838795871</v>
      </c>
    </row>
    <row r="570" spans="6:20" x14ac:dyDescent="0.35">
      <c r="F570" s="1">
        <f t="shared" si="94"/>
        <v>11.339999999999847</v>
      </c>
      <c r="G570">
        <f>1/2*$B$8*$B$6*$B$7*(Tabelle2[[#This Row],[vx]]*Tabelle2[[#This Row],[vx]]+Tabelle2[[#This Row],[vy]]*Tabelle2[[#This Row],[vy]])/1000000</f>
        <v>5.3843831543097531</v>
      </c>
      <c r="H570">
        <f>IF($B$3,-Tabelle2[[#This Row],[Fd]]*Tabelle2[[#This Row],[vx]]/Tabelle2[[#This Row],[v]],0)</f>
        <v>-2.9896742892828936</v>
      </c>
      <c r="I570">
        <f t="shared" si="88"/>
        <v>-1.9931161928552623</v>
      </c>
      <c r="J570">
        <f t="shared" si="89"/>
        <v>-3.9862323857105246E-2</v>
      </c>
      <c r="K570">
        <f t="shared" si="90"/>
        <v>0.61227893146065127</v>
      </c>
      <c r="L570">
        <f>-$B$5*$B$12-IF($B$3,Tabelle2[[#This Row],[Fd]]*Tabelle2[[#This Row],[vy]]/Tabelle2[[#This Row],[v]],0)</f>
        <v>-10.236894418795437</v>
      </c>
      <c r="M570">
        <f t="shared" si="91"/>
        <v>-6.8245962791969577</v>
      </c>
      <c r="N570">
        <f t="shared" si="92"/>
        <v>-0.13649192558393916</v>
      </c>
      <c r="O570">
        <f t="shared" si="93"/>
        <v>-0.91906849218767306</v>
      </c>
      <c r="P570" s="1">
        <f t="shared" si="95"/>
        <v>30.633877734961118</v>
      </c>
      <c r="Q570" s="1">
        <f t="shared" si="96"/>
        <v>-45.885178646591683</v>
      </c>
      <c r="R570">
        <f>SQRT(Tabelle2[[#This Row],[vx]]*Tabelle2[[#This Row],[vx]]+Tabelle2[[#This Row],[vy]]*Tabelle2[[#This Row],[vy]])</f>
        <v>55.171406403228296</v>
      </c>
      <c r="S570">
        <f t="shared" si="97"/>
        <v>486.5931211934232</v>
      </c>
      <c r="T570" s="1">
        <f t="shared" si="98"/>
        <v>68.218221952267925</v>
      </c>
    </row>
    <row r="571" spans="6:20" x14ac:dyDescent="0.35">
      <c r="F571" s="1">
        <f t="shared" si="94"/>
        <v>11.359999999999847</v>
      </c>
      <c r="G571">
        <f>1/2*$B$8*$B$6*$B$7*(Tabelle2[[#This Row],[vx]]*Tabelle2[[#This Row],[vx]]+Tabelle2[[#This Row],[vy]]*Tabelle2[[#This Row],[vy]])/1000000</f>
        <v>5.4022560543277747</v>
      </c>
      <c r="H571">
        <f>IF($B$3,-Tabelle2[[#This Row],[Fd]]*Tabelle2[[#This Row],[vx]]/Tabelle2[[#This Row],[v]],0)</f>
        <v>-2.9907353707657798</v>
      </c>
      <c r="I571">
        <f t="shared" si="88"/>
        <v>-1.9938235805105198</v>
      </c>
      <c r="J571">
        <f t="shared" si="89"/>
        <v>-3.98764716102104E-2</v>
      </c>
      <c r="K571">
        <f t="shared" si="90"/>
        <v>0.61148154350597816</v>
      </c>
      <c r="L571">
        <f>-$B$5*$B$12-IF($B$3,Tabelle2[[#This Row],[Fd]]*Tabelle2[[#This Row],[vy]]/Tabelle2[[#This Row],[v]],0)</f>
        <v>-10.216125427557291</v>
      </c>
      <c r="M571">
        <f t="shared" si="91"/>
        <v>-6.8107502850381936</v>
      </c>
      <c r="N571">
        <f t="shared" si="92"/>
        <v>-0.13621500570076386</v>
      </c>
      <c r="O571">
        <f t="shared" si="93"/>
        <v>-0.92179556150052011</v>
      </c>
      <c r="P571" s="1">
        <f t="shared" si="95"/>
        <v>30.594015411104014</v>
      </c>
      <c r="Q571" s="1">
        <f t="shared" si="96"/>
        <v>-46.021670572175623</v>
      </c>
      <c r="R571">
        <f>SQRT(Tabelle2[[#This Row],[vx]]*Tabelle2[[#This Row],[vx]]+Tabelle2[[#This Row],[vy]]*Tabelle2[[#This Row],[vy]])</f>
        <v>55.262898415019144</v>
      </c>
      <c r="S571">
        <f t="shared" si="97"/>
        <v>487.20540012488385</v>
      </c>
      <c r="T571" s="1">
        <f t="shared" si="98"/>
        <v>67.299153460080248</v>
      </c>
    </row>
    <row r="572" spans="6:20" x14ac:dyDescent="0.35">
      <c r="F572" s="1">
        <f t="shared" si="94"/>
        <v>11.379999999999846</v>
      </c>
      <c r="G572">
        <f>1/2*$B$8*$B$6*$B$7*(Tabelle2[[#This Row],[vx]]*Tabelle2[[#This Row],[vx]]+Tabelle2[[#This Row],[vy]]*Tabelle2[[#This Row],[vy]])/1000000</f>
        <v>5.4201537358462355</v>
      </c>
      <c r="H572">
        <f>IF($B$3,-Tabelle2[[#This Row],[Fd]]*Tabelle2[[#This Row],[vx]]/Tabelle2[[#This Row],[v]],0)</f>
        <v>-2.9917808303077291</v>
      </c>
      <c r="I572">
        <f t="shared" si="88"/>
        <v>-1.994520553538486</v>
      </c>
      <c r="J572">
        <f t="shared" si="89"/>
        <v>-3.9890411070769724E-2</v>
      </c>
      <c r="K572">
        <f t="shared" si="90"/>
        <v>0.6106838746791684</v>
      </c>
      <c r="L572">
        <f>-$B$5*$B$12-IF($B$3,Tabelle2[[#This Row],[Fd]]*Tabelle2[[#This Row],[vy]]/Tabelle2[[#This Row],[v]],0)</f>
        <v>-10.195341386386456</v>
      </c>
      <c r="M572">
        <f t="shared" si="91"/>
        <v>-6.7968942575909708</v>
      </c>
      <c r="N572">
        <f t="shared" si="92"/>
        <v>-0.13593788515181943</v>
      </c>
      <c r="O572">
        <f t="shared" si="93"/>
        <v>-0.92451709040904595</v>
      </c>
      <c r="P572" s="1">
        <f t="shared" si="95"/>
        <v>30.554138939493804</v>
      </c>
      <c r="Q572" s="1">
        <f t="shared" si="96"/>
        <v>-46.157885577876385</v>
      </c>
      <c r="R572">
        <f>SQRT(Tabelle2[[#This Row],[vx]]*Tabelle2[[#This Row],[vx]]+Tabelle2[[#This Row],[vy]]*Tabelle2[[#This Row],[vy]])</f>
        <v>55.354365747917484</v>
      </c>
      <c r="S572">
        <f t="shared" si="97"/>
        <v>487.81688166838984</v>
      </c>
      <c r="T572" s="1">
        <f t="shared" si="98"/>
        <v>66.377357898579731</v>
      </c>
    </row>
    <row r="573" spans="6:20" x14ac:dyDescent="0.35">
      <c r="F573" s="1">
        <f t="shared" si="94"/>
        <v>11.399999999999846</v>
      </c>
      <c r="G573">
        <f>1/2*$B$8*$B$6*$B$7*(Tabelle2[[#This Row],[vx]]*Tabelle2[[#This Row],[vx]]+Tabelle2[[#This Row],[vy]]*Tabelle2[[#This Row],[vy]])/1000000</f>
        <v>5.43807579412546</v>
      </c>
      <c r="H573">
        <f>IF($B$3,-Tabelle2[[#This Row],[Fd]]*Tabelle2[[#This Row],[vx]]/Tabelle2[[#This Row],[v]],0)</f>
        <v>-2.9928105819126758</v>
      </c>
      <c r="I573">
        <f t="shared" si="88"/>
        <v>-1.9952070546084506</v>
      </c>
      <c r="J573">
        <f t="shared" si="89"/>
        <v>-3.9904141092169013E-2</v>
      </c>
      <c r="K573">
        <f t="shared" si="90"/>
        <v>0.60988592915753903</v>
      </c>
      <c r="L573">
        <f>-$B$5*$B$12-IF($B$3,Tabelle2[[#This Row],[Fd]]*Tabelle2[[#This Row],[vy]]/Tabelle2[[#This Row],[v]],0)</f>
        <v>-10.174542626183484</v>
      </c>
      <c r="M573">
        <f t="shared" si="91"/>
        <v>-6.7830284174556565</v>
      </c>
      <c r="N573">
        <f t="shared" si="92"/>
        <v>-0.13566056834911314</v>
      </c>
      <c r="O573">
        <f t="shared" si="93"/>
        <v>-0.92723307494405516</v>
      </c>
      <c r="P573" s="1">
        <f t="shared" si="95"/>
        <v>30.514248528423035</v>
      </c>
      <c r="Q573" s="1">
        <f t="shared" si="96"/>
        <v>-46.293823463028204</v>
      </c>
      <c r="R573">
        <f>SQRT(Tabelle2[[#This Row],[vx]]*Tabelle2[[#This Row],[vx]]+Tabelle2[[#This Row],[vy]]*Tabelle2[[#This Row],[vy]])</f>
        <v>55.445806460726928</v>
      </c>
      <c r="S573">
        <f t="shared" si="97"/>
        <v>488.42756554306902</v>
      </c>
      <c r="T573" s="1">
        <f t="shared" si="98"/>
        <v>65.452840808170691</v>
      </c>
    </row>
    <row r="574" spans="6:20" x14ac:dyDescent="0.35">
      <c r="F574" s="1">
        <f t="shared" si="94"/>
        <v>11.419999999999845</v>
      </c>
      <c r="G574">
        <f>1/2*$B$8*$B$6*$B$7*(Tabelle2[[#This Row],[vx]]*Tabelle2[[#This Row],[vx]]+Tabelle2[[#This Row],[vy]]*Tabelle2[[#This Row],[vy]])/1000000</f>
        <v>5.456021825587265</v>
      </c>
      <c r="H574">
        <f>IF($B$3,-Tabelle2[[#This Row],[Fd]]*Tabelle2[[#This Row],[vx]]/Tabelle2[[#This Row],[v]],0)</f>
        <v>-2.9938245413896012</v>
      </c>
      <c r="I574">
        <f t="shared" si="88"/>
        <v>-1.9958830275930675</v>
      </c>
      <c r="J574">
        <f t="shared" si="89"/>
        <v>-3.9917660551861349E-2</v>
      </c>
      <c r="K574">
        <f t="shared" si="90"/>
        <v>0.60908771114109872</v>
      </c>
      <c r="L574">
        <f>-$B$5*$B$12-IF($B$3,Tabelle2[[#This Row],[Fd]]*Tabelle2[[#This Row],[vy]]/Tabelle2[[#This Row],[v]],0)</f>
        <v>-10.153729477803587</v>
      </c>
      <c r="M574">
        <f t="shared" si="91"/>
        <v>-6.7691529852023917</v>
      </c>
      <c r="N574">
        <f t="shared" si="92"/>
        <v>-0.13538305970404785</v>
      </c>
      <c r="O574">
        <f t="shared" si="93"/>
        <v>-0.92994351122458685</v>
      </c>
      <c r="P574" s="1">
        <f t="shared" si="95"/>
        <v>30.474344387330866</v>
      </c>
      <c r="Q574" s="1">
        <f t="shared" si="96"/>
        <v>-46.429484031377314</v>
      </c>
      <c r="R574">
        <f>SQRT(Tabelle2[[#This Row],[vx]]*Tabelle2[[#This Row],[vx]]+Tabelle2[[#This Row],[vy]]*Tabelle2[[#This Row],[vy]])</f>
        <v>55.537218630910616</v>
      </c>
      <c r="S574">
        <f t="shared" si="97"/>
        <v>489.03745147222656</v>
      </c>
      <c r="T574" s="1">
        <f t="shared" si="98"/>
        <v>64.525607733226636</v>
      </c>
    </row>
    <row r="575" spans="6:20" x14ac:dyDescent="0.35">
      <c r="F575" s="1">
        <f t="shared" si="94"/>
        <v>11.439999999999845</v>
      </c>
      <c r="G575">
        <f>1/2*$B$8*$B$6*$B$7*(Tabelle2[[#This Row],[vx]]*Tabelle2[[#This Row],[vx]]+Tabelle2[[#This Row],[vy]]*Tabelle2[[#This Row],[vy]])/1000000</f>
        <v>5.4739914278239006</v>
      </c>
      <c r="H575">
        <f>IF($B$3,-Tabelle2[[#This Row],[Fd]]*Tabelle2[[#This Row],[vx]]/Tabelle2[[#This Row],[v]],0)</f>
        <v>-2.9948226263385567</v>
      </c>
      <c r="I575">
        <f t="shared" si="88"/>
        <v>-1.9965484175590378</v>
      </c>
      <c r="J575">
        <f t="shared" si="89"/>
        <v>-3.9930968351180755E-2</v>
      </c>
      <c r="K575">
        <f t="shared" si="90"/>
        <v>0.60828922485206838</v>
      </c>
      <c r="L575">
        <f>-$B$5*$B$12-IF($B$3,Tabelle2[[#This Row],[Fd]]*Tabelle2[[#This Row],[vy]]/Tabelle2[[#This Row],[v]],0)</f>
        <v>-10.132902272030835</v>
      </c>
      <c r="M575">
        <f t="shared" si="91"/>
        <v>-6.7552681813538902</v>
      </c>
      <c r="N575">
        <f t="shared" si="92"/>
        <v>-0.13510536362707781</v>
      </c>
      <c r="O575">
        <f t="shared" si="93"/>
        <v>-0.93264839545789802</v>
      </c>
      <c r="P575" s="1">
        <f t="shared" si="95"/>
        <v>30.434426726779005</v>
      </c>
      <c r="Q575" s="1">
        <f t="shared" si="96"/>
        <v>-46.564867091081361</v>
      </c>
      <c r="R575">
        <f>SQRT(Tabelle2[[#This Row],[vx]]*Tabelle2[[#This Row],[vx]]+Tabelle2[[#This Row],[vy]]*Tabelle2[[#This Row],[vy]])</f>
        <v>55.628600354473704</v>
      </c>
      <c r="S575">
        <f t="shared" si="97"/>
        <v>489.64653918336768</v>
      </c>
      <c r="T575" s="1">
        <f t="shared" si="98"/>
        <v>63.59566422200205</v>
      </c>
    </row>
    <row r="576" spans="6:20" x14ac:dyDescent="0.35">
      <c r="F576" s="1">
        <f t="shared" si="94"/>
        <v>11.459999999999845</v>
      </c>
      <c r="G576">
        <f>1/2*$B$8*$B$6*$B$7*(Tabelle2[[#This Row],[vx]]*Tabelle2[[#This Row],[vx]]+Tabelle2[[#This Row],[vy]]*Tabelle2[[#This Row],[vy]])/1000000</f>
        <v>5.491984199606887</v>
      </c>
      <c r="H576">
        <f>IF($B$3,-Tabelle2[[#This Row],[Fd]]*Tabelle2[[#This Row],[vx]]/Tabelle2[[#This Row],[v]],0)</f>
        <v>-2.9958047561367098</v>
      </c>
      <c r="I576">
        <f t="shared" si="88"/>
        <v>-1.9972031707578066</v>
      </c>
      <c r="J576">
        <f t="shared" si="89"/>
        <v>-3.9944063415156134E-2</v>
      </c>
      <c r="K576">
        <f t="shared" si="90"/>
        <v>0.60749047453440486</v>
      </c>
      <c r="L576">
        <f>-$B$5*$B$12-IF($B$3,Tabelle2[[#This Row],[Fd]]*Tabelle2[[#This Row],[vy]]/Tabelle2[[#This Row],[v]],0)</f>
        <v>-10.112061339552701</v>
      </c>
      <c r="M576">
        <f t="shared" si="91"/>
        <v>-6.7413742263684675</v>
      </c>
      <c r="N576">
        <f t="shared" si="92"/>
        <v>-0.13482748452736934</v>
      </c>
      <c r="O576">
        <f t="shared" si="93"/>
        <v>-0.93534772393944243</v>
      </c>
      <c r="P576" s="1">
        <f t="shared" si="95"/>
        <v>30.394495758427823</v>
      </c>
      <c r="Q576" s="1">
        <f t="shared" si="96"/>
        <v>-46.699972454708437</v>
      </c>
      <c r="R576">
        <f>SQRT(Tabelle2[[#This Row],[vx]]*Tabelle2[[#This Row],[vx]]+Tabelle2[[#This Row],[vy]]*Tabelle2[[#This Row],[vy]])</f>
        <v>55.719949745846087</v>
      </c>
      <c r="S576">
        <f t="shared" si="97"/>
        <v>490.25482840821974</v>
      </c>
      <c r="T576" s="1">
        <f t="shared" si="98"/>
        <v>62.663015826544154</v>
      </c>
    </row>
    <row r="577" spans="6:20" x14ac:dyDescent="0.35">
      <c r="F577" s="1">
        <f t="shared" si="94"/>
        <v>11.479999999999844</v>
      </c>
      <c r="G577">
        <f>1/2*$B$8*$B$6*$B$7*(Tabelle2[[#This Row],[vx]]*Tabelle2[[#This Row],[vx]]+Tabelle2[[#This Row],[vy]]*Tabelle2[[#This Row],[vy]])/1000000</f>
        <v>5.5099997408957968</v>
      </c>
      <c r="H577">
        <f>IF($B$3,-Tabelle2[[#This Row],[Fd]]*Tabelle2[[#This Row],[vx]]/Tabelle2[[#This Row],[v]],0)</f>
        <v>-2.9967708519244418</v>
      </c>
      <c r="I577">
        <f t="shared" si="88"/>
        <v>-1.9978472346162945</v>
      </c>
      <c r="J577">
        <f t="shared" si="89"/>
        <v>-3.9956944692325892E-2</v>
      </c>
      <c r="K577">
        <f t="shared" si="90"/>
        <v>0.60669146445333011</v>
      </c>
      <c r="L577">
        <f>-$B$5*$B$12-IF($B$3,Tabelle2[[#This Row],[Fd]]*Tabelle2[[#This Row],[vy]]/Tabelle2[[#This Row],[v]],0)</f>
        <v>-10.091207010934873</v>
      </c>
      <c r="M577">
        <f t="shared" si="91"/>
        <v>-6.7274713406232491</v>
      </c>
      <c r="N577">
        <f t="shared" si="92"/>
        <v>-0.13454942681246498</v>
      </c>
      <c r="O577">
        <f t="shared" si="93"/>
        <v>-0.9380414930528409</v>
      </c>
      <c r="P577" s="1">
        <f t="shared" si="95"/>
        <v>30.354551695012667</v>
      </c>
      <c r="Q577" s="1">
        <f t="shared" si="96"/>
        <v>-46.834799939235808</v>
      </c>
      <c r="R577">
        <f>SQRT(Tabelle2[[#This Row],[vx]]*Tabelle2[[#This Row],[vx]]+Tabelle2[[#This Row],[vy]]*Tabelle2[[#This Row],[vy]])</f>
        <v>55.811264937765372</v>
      </c>
      <c r="S577">
        <f t="shared" si="97"/>
        <v>490.86231888275415</v>
      </c>
      <c r="T577" s="1">
        <f t="shared" si="98"/>
        <v>61.72766810260471</v>
      </c>
    </row>
    <row r="578" spans="6:20" x14ac:dyDescent="0.35">
      <c r="F578" s="1">
        <f t="shared" si="94"/>
        <v>11.499999999999844</v>
      </c>
      <c r="G578">
        <f>1/2*$B$8*$B$6*$B$7*(Tabelle2[[#This Row],[vx]]*Tabelle2[[#This Row],[vx]]+Tabelle2[[#This Row],[vy]]*Tabelle2[[#This Row],[vy]])/1000000</f>
        <v>5.5280376528469315</v>
      </c>
      <c r="H578">
        <f>IF($B$3,-Tabelle2[[#This Row],[Fd]]*Tabelle2[[#This Row],[vx]]/Tabelle2[[#This Row],[v]],0)</f>
        <v>-2.9977208365914696</v>
      </c>
      <c r="I578">
        <f t="shared" si="88"/>
        <v>-1.9984805577276463</v>
      </c>
      <c r="J578">
        <f t="shared" si="89"/>
        <v>-3.9969611154552928E-2</v>
      </c>
      <c r="K578">
        <f t="shared" si="90"/>
        <v>0.60589219889486134</v>
      </c>
      <c r="L578">
        <f>-$B$5*$B$12-IF($B$3,Tabelle2[[#This Row],[Fd]]*Tabelle2[[#This Row],[vy]]/Tabelle2[[#This Row],[v]],0)</f>
        <v>-10.070339616596414</v>
      </c>
      <c r="M578">
        <f t="shared" si="91"/>
        <v>-6.7135597443976094</v>
      </c>
      <c r="N578">
        <f t="shared" si="92"/>
        <v>-0.13427119488795219</v>
      </c>
      <c r="O578">
        <f t="shared" si="93"/>
        <v>-0.94072969926984495</v>
      </c>
      <c r="P578" s="1">
        <f t="shared" si="95"/>
        <v>30.314594750320342</v>
      </c>
      <c r="Q578" s="1">
        <f t="shared" si="96"/>
        <v>-46.96934936604827</v>
      </c>
      <c r="R578">
        <f>SQRT(Tabelle2[[#This Row],[vx]]*Tabelle2[[#This Row],[vx]]+Tabelle2[[#This Row],[vy]]*Tabelle2[[#This Row],[vy]])</f>
        <v>55.902544081160102</v>
      </c>
      <c r="S578">
        <f t="shared" si="97"/>
        <v>491.46901034720747</v>
      </c>
      <c r="T578" s="1">
        <f t="shared" si="98"/>
        <v>60.789626609551867</v>
      </c>
    </row>
    <row r="579" spans="6:20" x14ac:dyDescent="0.35">
      <c r="F579" s="1">
        <f t="shared" si="94"/>
        <v>11.519999999999843</v>
      </c>
      <c r="G579">
        <f>1/2*$B$8*$B$6*$B$7*(Tabelle2[[#This Row],[vx]]*Tabelle2[[#This Row],[vx]]+Tabelle2[[#This Row],[vy]]*Tabelle2[[#This Row],[vy]])/1000000</f>
        <v>5.5460975378219288</v>
      </c>
      <c r="H579">
        <f>IF($B$3,-Tabelle2[[#This Row],[Fd]]*Tabelle2[[#This Row],[vx]]/Tabelle2[[#This Row],[v]],0)</f>
        <v>-2.9986546347630125</v>
      </c>
      <c r="I579">
        <f t="shared" ref="I579:I642" si="99">H579/$B$5</f>
        <v>-1.9991030898420084</v>
      </c>
      <c r="J579">
        <f t="shared" ref="J579:J642" si="100">I579*$B$13</f>
        <v>-3.998206179684017E-2</v>
      </c>
      <c r="K579">
        <f t="shared" ref="K579:K642" si="101">$B$13*(P579+J579/2)</f>
        <v>0.6050926821653474</v>
      </c>
      <c r="L579">
        <f>-$B$5*$B$12-IF($B$3,Tabelle2[[#This Row],[Fd]]*Tabelle2[[#This Row],[vy]]/Tabelle2[[#This Row],[v]],0)</f>
        <v>-10.049459486785185</v>
      </c>
      <c r="M579">
        <f t="shared" ref="M579:M642" si="102">L579/$B$5</f>
        <v>-6.6996396578567898</v>
      </c>
      <c r="N579">
        <f t="shared" ref="N579:N642" si="103">M579*$B$13</f>
        <v>-0.1339927931571358</v>
      </c>
      <c r="O579">
        <f t="shared" ref="O579:O642" si="104">$B$13*(Q579+N579/2)</f>
        <v>-0.94341233915029576</v>
      </c>
      <c r="P579" s="1">
        <f t="shared" si="95"/>
        <v>30.274625139165789</v>
      </c>
      <c r="Q579" s="1">
        <f t="shared" si="96"/>
        <v>-47.103620560936221</v>
      </c>
      <c r="R579">
        <f>SQRT(Tabelle2[[#This Row],[vx]]*Tabelle2[[#This Row],[vx]]+Tabelle2[[#This Row],[vy]]*Tabelle2[[#This Row],[vy]])</f>
        <v>55.993785345033267</v>
      </c>
      <c r="S579">
        <f t="shared" si="97"/>
        <v>492.07490254610235</v>
      </c>
      <c r="T579" s="1">
        <f t="shared" si="98"/>
        <v>59.848896910282022</v>
      </c>
    </row>
    <row r="580" spans="6:20" x14ac:dyDescent="0.35">
      <c r="F580" s="1">
        <f t="shared" ref="F580:F643" si="105">F579+$B$13</f>
        <v>11.539999999999843</v>
      </c>
      <c r="G580">
        <f>1/2*$B$8*$B$6*$B$7*(Tabelle2[[#This Row],[vx]]*Tabelle2[[#This Row],[vx]]+Tabelle2[[#This Row],[vy]]*Tabelle2[[#This Row],[vy]])/1000000</f>
        <v>5.5641789993962858</v>
      </c>
      <c r="H580">
        <f>IF($B$3,-Tabelle2[[#This Row],[Fd]]*Tabelle2[[#This Row],[vx]]/Tabelle2[[#This Row],[v]],0)</f>
        <v>-2.999572172785999</v>
      </c>
      <c r="I580">
        <f t="shared" si="99"/>
        <v>-1.9997147818573326</v>
      </c>
      <c r="J580">
        <f t="shared" si="100"/>
        <v>-3.9994295637146654E-2</v>
      </c>
      <c r="K580">
        <f t="shared" si="101"/>
        <v>0.60429291859100753</v>
      </c>
      <c r="L580">
        <f>-$B$5*$B$12-IF($B$3,Tabelle2[[#This Row],[Fd]]*Tabelle2[[#This Row],[vy]]/Tabelle2[[#This Row],[v]],0)</f>
        <v>-10.028566951553609</v>
      </c>
      <c r="M580">
        <f t="shared" si="102"/>
        <v>-6.685711301035739</v>
      </c>
      <c r="N580">
        <f t="shared" si="103"/>
        <v>-0.13371422602071478</v>
      </c>
      <c r="O580">
        <f t="shared" si="104"/>
        <v>-0.94608940934207431</v>
      </c>
      <c r="P580" s="1">
        <f t="shared" ref="P580:P643" si="106">P579+J579</f>
        <v>30.234643077368947</v>
      </c>
      <c r="Q580" s="1">
        <f t="shared" ref="Q580:Q643" si="107">Q579+N579</f>
        <v>-47.237613354093355</v>
      </c>
      <c r="R580">
        <f>SQRT(Tabelle2[[#This Row],[vx]]*Tabelle2[[#This Row],[vx]]+Tabelle2[[#This Row],[vy]]*Tabelle2[[#This Row],[vy]])</f>
        <v>56.084986916346097</v>
      </c>
      <c r="S580">
        <f t="shared" ref="S580:S643" si="108">S579+K579</f>
        <v>492.67999522826767</v>
      </c>
      <c r="T580" s="1">
        <f t="shared" ref="T580:T643" si="109">T579+O579</f>
        <v>58.905484571131723</v>
      </c>
    </row>
    <row r="581" spans="6:20" x14ac:dyDescent="0.35">
      <c r="F581" s="1">
        <f t="shared" si="105"/>
        <v>11.559999999999842</v>
      </c>
      <c r="G581">
        <f>1/2*$B$8*$B$6*$B$7*(Tabelle2[[#This Row],[vx]]*Tabelle2[[#This Row],[vx]]+Tabelle2[[#This Row],[vy]]*Tabelle2[[#This Row],[vy]])/1000000</f>
        <v>5.5822816423677857</v>
      </c>
      <c r="H581">
        <f>IF($B$3,-Tabelle2[[#This Row],[Fd]]*Tabelle2[[#This Row],[vx]]/Tabelle2[[#This Row],[v]],0)</f>
        <v>-3.0004733787153097</v>
      </c>
      <c r="I581">
        <f t="shared" si="99"/>
        <v>-2.0003155858102066</v>
      </c>
      <c r="J581">
        <f t="shared" si="100"/>
        <v>-4.0006311716204133E-2</v>
      </c>
      <c r="K581">
        <f t="shared" si="101"/>
        <v>0.60349291251747395</v>
      </c>
      <c r="L581">
        <f>-$B$5*$B$12-IF($B$3,Tabelle2[[#This Row],[Fd]]*Tabelle2[[#This Row],[vy]]/Tabelle2[[#This Row],[v]],0)</f>
        <v>-10.007662340734722</v>
      </c>
      <c r="M581">
        <f t="shared" si="102"/>
        <v>-6.671774893823148</v>
      </c>
      <c r="N581">
        <f t="shared" si="103"/>
        <v>-0.13343549787646297</v>
      </c>
      <c r="O581">
        <f t="shared" si="104"/>
        <v>-0.94876090658104606</v>
      </c>
      <c r="P581" s="1">
        <f t="shared" si="106"/>
        <v>30.1946487817318</v>
      </c>
      <c r="Q581" s="1">
        <f t="shared" si="107"/>
        <v>-47.37132758011407</v>
      </c>
      <c r="R581">
        <f>SQRT(Tabelle2[[#This Row],[vx]]*Tabelle2[[#This Row],[vx]]+Tabelle2[[#This Row],[vy]]*Tabelle2[[#This Row],[vy]])</f>
        <v>56.176146999902137</v>
      </c>
      <c r="S581">
        <f t="shared" si="108"/>
        <v>493.28428814685867</v>
      </c>
      <c r="T581" s="1">
        <f t="shared" si="109"/>
        <v>57.959395161789651</v>
      </c>
    </row>
    <row r="582" spans="6:20" x14ac:dyDescent="0.35">
      <c r="F582" s="1">
        <f t="shared" si="105"/>
        <v>11.579999999999842</v>
      </c>
      <c r="G582">
        <f>1/2*$B$8*$B$6*$B$7*(Tabelle2[[#This Row],[vx]]*Tabelle2[[#This Row],[vx]]+Tabelle2[[#This Row],[vy]]*Tabelle2[[#This Row],[vy]])/1000000</f>
        <v>5.6004050727648531</v>
      </c>
      <c r="H582">
        <f>IF($B$3,-Tabelle2[[#This Row],[Fd]]*Tabelle2[[#This Row],[vx]]/Tabelle2[[#This Row],[v]],0)</f>
        <v>-3.0013581823000623</v>
      </c>
      <c r="I582">
        <f t="shared" si="99"/>
        <v>-2.0009054548667082</v>
      </c>
      <c r="J582">
        <f t="shared" si="100"/>
        <v>-4.0018109097334165E-2</v>
      </c>
      <c r="K582">
        <f t="shared" si="101"/>
        <v>0.60269266830933865</v>
      </c>
      <c r="L582">
        <f>-$B$5*$B$12-IF($B$3,Tabelle2[[#This Row],[Fd]]*Tabelle2[[#This Row],[vy]]/Tabelle2[[#This Row],[v]],0)</f>
        <v>-9.9867459839185067</v>
      </c>
      <c r="M582">
        <f t="shared" si="102"/>
        <v>-6.6578306559456708</v>
      </c>
      <c r="N582">
        <f t="shared" si="103"/>
        <v>-0.13315661311891341</v>
      </c>
      <c r="O582">
        <f t="shared" si="104"/>
        <v>-0.95142682769099984</v>
      </c>
      <c r="P582" s="1">
        <f t="shared" si="106"/>
        <v>30.154642470015595</v>
      </c>
      <c r="Q582" s="1">
        <f t="shared" si="107"/>
        <v>-47.504763077990532</v>
      </c>
      <c r="R582">
        <f>SQRT(Tabelle2[[#This Row],[vx]]*Tabelle2[[#This Row],[vx]]+Tabelle2[[#This Row],[vy]]*Tabelle2[[#This Row],[vy]])</f>
        <v>56.267263818231655</v>
      </c>
      <c r="S582">
        <f t="shared" si="108"/>
        <v>493.88778105937615</v>
      </c>
      <c r="T582" s="1">
        <f t="shared" si="109"/>
        <v>57.010634255208608</v>
      </c>
    </row>
    <row r="583" spans="6:20" x14ac:dyDescent="0.35">
      <c r="F583" s="1">
        <f t="shared" si="105"/>
        <v>11.599999999999842</v>
      </c>
      <c r="G583">
        <f>1/2*$B$8*$B$6*$B$7*(Tabelle2[[#This Row],[vx]]*Tabelle2[[#This Row],[vx]]+Tabelle2[[#This Row],[vy]]*Tabelle2[[#This Row],[vy]])/1000000</f>
        <v>5.6185488978548186</v>
      </c>
      <c r="H583">
        <f>IF($B$3,-Tabelle2[[#This Row],[Fd]]*Tabelle2[[#This Row],[vx]]/Tabelle2[[#This Row],[v]],0)</f>
        <v>-3.0022265149699439</v>
      </c>
      <c r="I583">
        <f t="shared" si="99"/>
        <v>-2.0014843433132961</v>
      </c>
      <c r="J583">
        <f t="shared" si="100"/>
        <v>-4.0029686866265922E-2</v>
      </c>
      <c r="K583">
        <f t="shared" si="101"/>
        <v>0.60189219034970254</v>
      </c>
      <c r="L583">
        <f>-$B$5*$B$12-IF($B$3,Tabelle2[[#This Row],[Fd]]*Tabelle2[[#This Row],[vy]]/Tabelle2[[#This Row],[v]],0)</f>
        <v>-9.9658182104285551</v>
      </c>
      <c r="M583">
        <f t="shared" si="102"/>
        <v>-6.6438788069523698</v>
      </c>
      <c r="N583">
        <f t="shared" si="103"/>
        <v>-0.13287757613904741</v>
      </c>
      <c r="O583">
        <f t="shared" si="104"/>
        <v>-0.95408716958357942</v>
      </c>
      <c r="P583" s="1">
        <f t="shared" si="106"/>
        <v>30.11462436091826</v>
      </c>
      <c r="Q583" s="1">
        <f t="shared" si="107"/>
        <v>-47.637919691109445</v>
      </c>
      <c r="R583">
        <f>SQRT(Tabelle2[[#This Row],[vx]]*Tabelle2[[#This Row],[vx]]+Tabelle2[[#This Row],[vy]]*Tabelle2[[#This Row],[vy]])</f>
        <v>56.358335611476363</v>
      </c>
      <c r="S583">
        <f t="shared" si="108"/>
        <v>494.49047372768547</v>
      </c>
      <c r="T583" s="1">
        <f t="shared" si="109"/>
        <v>56.059207427517606</v>
      </c>
    </row>
    <row r="584" spans="6:20" x14ac:dyDescent="0.35">
      <c r="F584" s="1">
        <f t="shared" si="105"/>
        <v>11.619999999999841</v>
      </c>
      <c r="G584">
        <f>1/2*$B$8*$B$6*$B$7*(Tabelle2[[#This Row],[vx]]*Tabelle2[[#This Row],[vx]]+Tabelle2[[#This Row],[vy]]*Tabelle2[[#This Row],[vy]])/1000000</f>
        <v>5.6367127261520951</v>
      </c>
      <c r="H584">
        <f>IF($B$3,-Tabelle2[[#This Row],[Fd]]*Tabelle2[[#This Row],[vx]]/Tabelle2[[#This Row],[v]],0)</f>
        <v>-3.0030783098215772</v>
      </c>
      <c r="I584">
        <f t="shared" si="99"/>
        <v>-2.002052206547718</v>
      </c>
      <c r="J584">
        <f t="shared" si="100"/>
        <v>-4.0041044130954363E-2</v>
      </c>
      <c r="K584">
        <f t="shared" si="101"/>
        <v>0.60109148303973037</v>
      </c>
      <c r="L584">
        <f>-$B$5*$B$12-IF($B$3,Tabelle2[[#This Row],[Fd]]*Tabelle2[[#This Row],[vy]]/Tabelle2[[#This Row],[v]],0)</f>
        <v>-9.9448793492989971</v>
      </c>
      <c r="M584">
        <f t="shared" si="102"/>
        <v>-6.6299195661993311</v>
      </c>
      <c r="N584">
        <f t="shared" si="103"/>
        <v>-0.13259839132398663</v>
      </c>
      <c r="O584">
        <f t="shared" si="104"/>
        <v>-0.95674192925820967</v>
      </c>
      <c r="P584" s="1">
        <f t="shared" si="106"/>
        <v>30.074594674051994</v>
      </c>
      <c r="Q584" s="1">
        <f t="shared" si="107"/>
        <v>-47.77079726724849</v>
      </c>
      <c r="R584">
        <f>SQRT(Tabelle2[[#This Row],[vx]]*Tabelle2[[#This Row],[vx]]+Tabelle2[[#This Row],[vy]]*Tabelle2[[#This Row],[vy]])</f>
        <v>56.449360637274474</v>
      </c>
      <c r="S584">
        <f t="shared" si="108"/>
        <v>495.09236591803517</v>
      </c>
      <c r="T584" s="1">
        <f t="shared" si="109"/>
        <v>55.105120257934026</v>
      </c>
    </row>
    <row r="585" spans="6:20" x14ac:dyDescent="0.35">
      <c r="F585" s="1">
        <f t="shared" si="105"/>
        <v>11.639999999999841</v>
      </c>
      <c r="G585">
        <f>1/2*$B$8*$B$6*$B$7*(Tabelle2[[#This Row],[vx]]*Tabelle2[[#This Row],[vx]]+Tabelle2[[#This Row],[vy]]*Tabelle2[[#This Row],[vy]])/1000000</f>
        <v>5.6548961674262683</v>
      </c>
      <c r="H585">
        <f>IF($B$3,-Tabelle2[[#This Row],[Fd]]*Tabelle2[[#This Row],[vx]]/Tabelle2[[#This Row],[v]],0)</f>
        <v>-3.0039135016049361</v>
      </c>
      <c r="I585">
        <f t="shared" si="99"/>
        <v>-2.0026090010699575</v>
      </c>
      <c r="J585">
        <f t="shared" si="100"/>
        <v>-4.0052180021399153E-2</v>
      </c>
      <c r="K585">
        <f t="shared" si="101"/>
        <v>0.60029055079820681</v>
      </c>
      <c r="L585">
        <f>-$B$5*$B$12-IF($B$3,Tabelle2[[#This Row],[Fd]]*Tabelle2[[#This Row],[vy]]/Tabelle2[[#This Row],[v]],0)</f>
        <v>-9.9239297292517321</v>
      </c>
      <c r="M585">
        <f t="shared" si="102"/>
        <v>-6.6159531528344884</v>
      </c>
      <c r="N585">
        <f t="shared" si="103"/>
        <v>-0.13231906305668978</v>
      </c>
      <c r="O585">
        <f t="shared" si="104"/>
        <v>-0.95939110380201642</v>
      </c>
      <c r="P585" s="1">
        <f t="shared" si="106"/>
        <v>30.034553629921039</v>
      </c>
      <c r="Q585" s="1">
        <f t="shared" si="107"/>
        <v>-47.903395658572478</v>
      </c>
      <c r="R585">
        <f>SQRT(Tabelle2[[#This Row],[vx]]*Tabelle2[[#This Row],[vx]]+Tabelle2[[#This Row],[vy]]*Tabelle2[[#This Row],[vy]])</f>
        <v>56.540337170646083</v>
      </c>
      <c r="S585">
        <f t="shared" si="108"/>
        <v>495.69345740107491</v>
      </c>
      <c r="T585" s="1">
        <f t="shared" si="109"/>
        <v>54.148378328675818</v>
      </c>
    </row>
    <row r="586" spans="6:20" x14ac:dyDescent="0.35">
      <c r="F586" s="1">
        <f t="shared" si="105"/>
        <v>11.65999999999984</v>
      </c>
      <c r="G586">
        <f>1/2*$B$8*$B$6*$B$7*(Tabelle2[[#This Row],[vx]]*Tabelle2[[#This Row],[vx]]+Tabelle2[[#This Row],[vy]]*Tabelle2[[#This Row],[vy]])/1000000</f>
        <v>5.6730988327101048</v>
      </c>
      <c r="H586">
        <f>IF($B$3,-Tabelle2[[#This Row],[Fd]]*Tabelle2[[#This Row],[vx]]/Tabelle2[[#This Row],[v]],0)</f>
        <v>-3.0047320267098039</v>
      </c>
      <c r="I586">
        <f t="shared" si="99"/>
        <v>-2.0031546844732024</v>
      </c>
      <c r="J586">
        <f t="shared" si="100"/>
        <v>-4.0063093689464049E-2</v>
      </c>
      <c r="K586">
        <f t="shared" si="101"/>
        <v>0.59948939806109824</v>
      </c>
      <c r="L586">
        <f>-$B$5*$B$12-IF($B$3,Tabelle2[[#This Row],[Fd]]*Tabelle2[[#This Row],[vy]]/Tabelle2[[#This Row],[v]],0)</f>
        <v>-9.9029696786739656</v>
      </c>
      <c r="M586">
        <f t="shared" si="102"/>
        <v>-6.6019797857826434</v>
      </c>
      <c r="N586">
        <f t="shared" si="103"/>
        <v>-0.13203959571565288</v>
      </c>
      <c r="O586">
        <f t="shared" si="104"/>
        <v>-0.96203469038973999</v>
      </c>
      <c r="P586" s="1">
        <f t="shared" si="106"/>
        <v>29.994501449899641</v>
      </c>
      <c r="Q586" s="1">
        <f t="shared" si="107"/>
        <v>-48.035714721629169</v>
      </c>
      <c r="R586">
        <f>SQRT(Tabelle2[[#This Row],[vx]]*Tabelle2[[#This Row],[vx]]+Tabelle2[[#This Row],[vy]]*Tabelle2[[#This Row],[vy]])</f>
        <v>56.631263503878962</v>
      </c>
      <c r="S586">
        <f t="shared" si="108"/>
        <v>496.29374795187312</v>
      </c>
      <c r="T586" s="1">
        <f t="shared" si="109"/>
        <v>53.188987224873799</v>
      </c>
    </row>
    <row r="587" spans="6:20" x14ac:dyDescent="0.35">
      <c r="F587" s="1">
        <f t="shared" si="105"/>
        <v>11.67999999999984</v>
      </c>
      <c r="G587">
        <f>1/2*$B$8*$B$6*$B$7*(Tabelle2[[#This Row],[vx]]*Tabelle2[[#This Row],[vx]]+Tabelle2[[#This Row],[vy]]*Tabelle2[[#This Row],[vy]])/1000000</f>
        <v>5.6913203343074601</v>
      </c>
      <c r="H587">
        <f>IF($B$3,-Tabelle2[[#This Row],[Fd]]*Tabelle2[[#This Row],[vx]]/Tabelle2[[#This Row],[v]],0)</f>
        <v>-3.0055338231522772</v>
      </c>
      <c r="I587">
        <f t="shared" si="99"/>
        <v>-2.0036892154348513</v>
      </c>
      <c r="J587">
        <f t="shared" si="100"/>
        <v>-4.0073784308697027E-2</v>
      </c>
      <c r="K587">
        <f t="shared" si="101"/>
        <v>0.59868802928111653</v>
      </c>
      <c r="L587">
        <f>-$B$5*$B$12-IF($B$3,Tabelle2[[#This Row],[Fd]]*Tabelle2[[#This Row],[vy]]/Tabelle2[[#This Row],[v]],0)</f>
        <v>-9.8819995255960045</v>
      </c>
      <c r="M587">
        <f t="shared" si="102"/>
        <v>-6.5879996837306694</v>
      </c>
      <c r="N587">
        <f t="shared" si="103"/>
        <v>-0.13175999367461338</v>
      </c>
      <c r="O587">
        <f t="shared" si="104"/>
        <v>-0.96467268628364256</v>
      </c>
      <c r="P587" s="1">
        <f t="shared" si="106"/>
        <v>29.954438356210176</v>
      </c>
      <c r="Q587" s="1">
        <f t="shared" si="107"/>
        <v>-48.167754317344823</v>
      </c>
      <c r="R587">
        <f>SQRT(Tabelle2[[#This Row],[vx]]*Tabelle2[[#This Row],[vx]]+Tabelle2[[#This Row],[vy]]*Tabelle2[[#This Row],[vy]])</f>
        <v>56.722137946414591</v>
      </c>
      <c r="S587">
        <f t="shared" si="108"/>
        <v>496.89323734993422</v>
      </c>
      <c r="T587" s="1">
        <f t="shared" si="109"/>
        <v>52.226952534484056</v>
      </c>
    </row>
    <row r="588" spans="6:20" x14ac:dyDescent="0.35">
      <c r="F588" s="1">
        <f t="shared" si="105"/>
        <v>11.699999999999839</v>
      </c>
      <c r="G588">
        <f>1/2*$B$8*$B$6*$B$7*(Tabelle2[[#This Row],[vx]]*Tabelle2[[#This Row],[vx]]+Tabelle2[[#This Row],[vy]]*Tabelle2[[#This Row],[vy]])/1000000</f>
        <v>5.7095602858011176</v>
      </c>
      <c r="H588">
        <f>IF($B$3,-Tabelle2[[#This Row],[Fd]]*Tabelle2[[#This Row],[vx]]/Tabelle2[[#This Row],[v]],0)</f>
        <v>-3.0063188305613138</v>
      </c>
      <c r="I588">
        <f t="shared" si="99"/>
        <v>-2.0042125537075424</v>
      </c>
      <c r="J588">
        <f t="shared" si="100"/>
        <v>-4.0084251074150846E-2</v>
      </c>
      <c r="K588">
        <f t="shared" si="101"/>
        <v>0.59788644892728815</v>
      </c>
      <c r="L588">
        <f>-$B$5*$B$12-IF($B$3,Tabelle2[[#This Row],[Fd]]*Tabelle2[[#This Row],[vy]]/Tabelle2[[#This Row],[v]],0)</f>
        <v>-9.8610195976693724</v>
      </c>
      <c r="M588">
        <f t="shared" si="102"/>
        <v>-6.5740130651129149</v>
      </c>
      <c r="N588">
        <f t="shared" si="103"/>
        <v>-0.13148026130225829</v>
      </c>
      <c r="O588">
        <f t="shared" si="104"/>
        <v>-0.96730508883341138</v>
      </c>
      <c r="P588" s="1">
        <f t="shared" si="106"/>
        <v>29.91436457190148</v>
      </c>
      <c r="Q588" s="1">
        <f t="shared" si="107"/>
        <v>-48.299514311019436</v>
      </c>
      <c r="R588">
        <f>SQRT(Tabelle2[[#This Row],[vx]]*Tabelle2[[#This Row],[vx]]+Tabelle2[[#This Row],[vy]]*Tabelle2[[#This Row],[vy]])</f>
        <v>56.81295882473475</v>
      </c>
      <c r="S588">
        <f t="shared" si="108"/>
        <v>497.49192537921533</v>
      </c>
      <c r="T588" s="1">
        <f t="shared" si="109"/>
        <v>51.262279848200414</v>
      </c>
    </row>
    <row r="589" spans="6:20" x14ac:dyDescent="0.35">
      <c r="F589" s="1">
        <f t="shared" si="105"/>
        <v>11.719999999999839</v>
      </c>
      <c r="G589">
        <f>1/2*$B$8*$B$6*$B$7*(Tabelle2[[#This Row],[vx]]*Tabelle2[[#This Row],[vx]]+Tabelle2[[#This Row],[vy]]*Tabelle2[[#This Row],[vy]])/1000000</f>
        <v>5.7278183020605118</v>
      </c>
      <c r="H589">
        <f>IF($B$3,-Tabelle2[[#This Row],[Fd]]*Tabelle2[[#This Row],[vx]]/Tabelle2[[#This Row],[v]],0)</f>
        <v>-3.0070869901653245</v>
      </c>
      <c r="I589">
        <f t="shared" si="99"/>
        <v>-2.0047246601102162</v>
      </c>
      <c r="J589">
        <f t="shared" si="100"/>
        <v>-4.0094493202204325E-2</v>
      </c>
      <c r="K589">
        <f t="shared" si="101"/>
        <v>0.59708466148452455</v>
      </c>
      <c r="L589">
        <f>-$B$5*$B$12-IF($B$3,Tabelle2[[#This Row],[Fd]]*Tabelle2[[#This Row],[vy]]/Tabelle2[[#This Row],[v]],0)</f>
        <v>-9.8400302221451863</v>
      </c>
      <c r="M589">
        <f t="shared" si="102"/>
        <v>-6.5600201480967906</v>
      </c>
      <c r="N589">
        <f t="shared" si="103"/>
        <v>-0.1312004029619358</v>
      </c>
      <c r="O589">
        <f t="shared" si="104"/>
        <v>-0.9699318954760533</v>
      </c>
      <c r="P589" s="1">
        <f t="shared" si="106"/>
        <v>29.874280320827328</v>
      </c>
      <c r="Q589" s="1">
        <f t="shared" si="107"/>
        <v>-48.430994572321694</v>
      </c>
      <c r="R589">
        <f>SQRT(Tabelle2[[#This Row],[vx]]*Tabelle2[[#This Row],[vx]]+Tabelle2[[#This Row],[vy]]*Tabelle2[[#This Row],[vy]])</f>
        <v>56.9037244822483</v>
      </c>
      <c r="S589">
        <f t="shared" si="108"/>
        <v>498.08981182814262</v>
      </c>
      <c r="T589" s="1">
        <f t="shared" si="109"/>
        <v>50.294974759367001</v>
      </c>
    </row>
    <row r="590" spans="6:20" x14ac:dyDescent="0.35">
      <c r="F590" s="1">
        <f t="shared" si="105"/>
        <v>11.739999999999839</v>
      </c>
      <c r="G590">
        <f>1/2*$B$8*$B$6*$B$7*(Tabelle2[[#This Row],[vx]]*Tabelle2[[#This Row],[vx]]+Tabelle2[[#This Row],[vy]]*Tabelle2[[#This Row],[vy]])/1000000</f>
        <v>5.7460939992493945</v>
      </c>
      <c r="H590">
        <f>IF($B$3,-Tabelle2[[#This Row],[Fd]]*Tabelle2[[#This Row],[vx]]/Tabelle2[[#This Row],[v]],0)</f>
        <v>-3.0078382447788234</v>
      </c>
      <c r="I590">
        <f t="shared" si="99"/>
        <v>-2.0052254965192158</v>
      </c>
      <c r="J590">
        <f t="shared" si="100"/>
        <v>-4.0104509930384315E-2</v>
      </c>
      <c r="K590">
        <f t="shared" si="101"/>
        <v>0.59628267145319858</v>
      </c>
      <c r="L590">
        <f>-$B$5*$B$12-IF($B$3,Tabelle2[[#This Row],[Fd]]*Tabelle2[[#This Row],[vy]]/Tabelle2[[#This Row],[v]],0)</f>
        <v>-9.8190317258528168</v>
      </c>
      <c r="M590">
        <f t="shared" si="102"/>
        <v>-6.5460211505685448</v>
      </c>
      <c r="N590">
        <f t="shared" si="103"/>
        <v>-0.13092042301137091</v>
      </c>
      <c r="O590">
        <f t="shared" si="104"/>
        <v>-0.97255310373578641</v>
      </c>
      <c r="P590" s="1">
        <f t="shared" si="106"/>
        <v>29.834185827625124</v>
      </c>
      <c r="Q590" s="1">
        <f t="shared" si="107"/>
        <v>-48.562194975283631</v>
      </c>
      <c r="R590">
        <f>SQRT(Tabelle2[[#This Row],[vx]]*Tabelle2[[#This Row],[vx]]+Tabelle2[[#This Row],[vy]]*Tabelle2[[#This Row],[vy]])</f>
        <v>56.994433279178509</v>
      </c>
      <c r="S590">
        <f t="shared" si="108"/>
        <v>498.68689648962715</v>
      </c>
      <c r="T590" s="1">
        <f t="shared" si="109"/>
        <v>49.32504286389095</v>
      </c>
    </row>
    <row r="591" spans="6:20" x14ac:dyDescent="0.35">
      <c r="F591" s="1">
        <f t="shared" si="105"/>
        <v>11.759999999999838</v>
      </c>
      <c r="G591">
        <f>1/2*$B$8*$B$6*$B$7*(Tabelle2[[#This Row],[vx]]*Tabelle2[[#This Row],[vx]]+Tabelle2[[#This Row],[vy]]*Tabelle2[[#This Row],[vy]])/1000000</f>
        <v>5.764386994833381</v>
      </c>
      <c r="H591">
        <f>IF($B$3,-Tabelle2[[#This Row],[Fd]]*Tabelle2[[#This Row],[vx]]/Tabelle2[[#This Row],[v]],0)</f>
        <v>-3.0085725387891076</v>
      </c>
      <c r="I591">
        <f t="shared" si="99"/>
        <v>-2.0057150258594052</v>
      </c>
      <c r="J591">
        <f t="shared" si="100"/>
        <v>-4.0114300517188103E-2</v>
      </c>
      <c r="K591">
        <f t="shared" si="101"/>
        <v>0.59548048334872294</v>
      </c>
      <c r="L591">
        <f>-$B$5*$B$12-IF($B$3,Tabelle2[[#This Row],[Fd]]*Tabelle2[[#This Row],[vy]]/Tabelle2[[#This Row],[v]],0)</f>
        <v>-9.7980244351788492</v>
      </c>
      <c r="M591">
        <f t="shared" si="102"/>
        <v>-6.5320162901192331</v>
      </c>
      <c r="N591">
        <f t="shared" si="103"/>
        <v>-0.13064032580238466</v>
      </c>
      <c r="O591">
        <f t="shared" si="104"/>
        <v>-0.9751687112239239</v>
      </c>
      <c r="P591" s="1">
        <f t="shared" si="106"/>
        <v>29.79408131769474</v>
      </c>
      <c r="Q591" s="1">
        <f t="shared" si="107"/>
        <v>-48.693115398294999</v>
      </c>
      <c r="R591">
        <f>SQRT(Tabelle2[[#This Row],[vx]]*Tabelle2[[#This Row],[vx]]+Tabelle2[[#This Row],[vy]]*Tabelle2[[#This Row],[vy]])</f>
        <v>57.085083592450673</v>
      </c>
      <c r="S591">
        <f t="shared" si="108"/>
        <v>499.28317916108034</v>
      </c>
      <c r="T591" s="1">
        <f t="shared" si="109"/>
        <v>48.352489760155166</v>
      </c>
    </row>
    <row r="592" spans="6:20" x14ac:dyDescent="0.35">
      <c r="F592" s="1">
        <f t="shared" si="105"/>
        <v>11.779999999999838</v>
      </c>
      <c r="G592">
        <f>1/2*$B$8*$B$6*$B$7*(Tabelle2[[#This Row],[vx]]*Tabelle2[[#This Row],[vx]]+Tabelle2[[#This Row],[vy]]*Tabelle2[[#This Row],[vy]])/1000000</f>
        <v>5.7826969075874262</v>
      </c>
      <c r="H592">
        <f>IF($B$3,-Tabelle2[[#This Row],[Fd]]*Tabelle2[[#This Row],[vx]]/Tabelle2[[#This Row],[v]],0)</f>
        <v>-3.0092898181430021</v>
      </c>
      <c r="I592">
        <f t="shared" si="99"/>
        <v>-2.0061932120953347</v>
      </c>
      <c r="J592">
        <f t="shared" si="100"/>
        <v>-4.0123864241906698E-2</v>
      </c>
      <c r="K592">
        <f t="shared" si="101"/>
        <v>0.594678101701132</v>
      </c>
      <c r="L592">
        <f>-$B$5*$B$12-IF($B$3,Tabelle2[[#This Row],[Fd]]*Tabelle2[[#This Row],[vy]]/Tabelle2[[#This Row],[v]],0)</f>
        <v>-9.7770086760462966</v>
      </c>
      <c r="M592">
        <f t="shared" si="102"/>
        <v>-6.5180057840308647</v>
      </c>
      <c r="N592">
        <f t="shared" si="103"/>
        <v>-0.13036011568061728</v>
      </c>
      <c r="O592">
        <f t="shared" si="104"/>
        <v>-0.97777871563875385</v>
      </c>
      <c r="P592" s="1">
        <f t="shared" si="106"/>
        <v>29.753967017177551</v>
      </c>
      <c r="Q592" s="1">
        <f t="shared" si="107"/>
        <v>-48.823755724097381</v>
      </c>
      <c r="R592">
        <f>SQRT(Tabelle2[[#This Row],[vx]]*Tabelle2[[#This Row],[vx]]+Tabelle2[[#This Row],[vy]]*Tabelle2[[#This Row],[vy]])</f>
        <v>57.175673815580183</v>
      </c>
      <c r="S592">
        <f t="shared" si="108"/>
        <v>499.87865964442904</v>
      </c>
      <c r="T592" s="1">
        <f t="shared" si="109"/>
        <v>47.377321048931243</v>
      </c>
    </row>
    <row r="593" spans="6:20" x14ac:dyDescent="0.35">
      <c r="F593" s="1">
        <f t="shared" si="105"/>
        <v>11.799999999999837</v>
      </c>
      <c r="G593">
        <f>1/2*$B$8*$B$6*$B$7*(Tabelle2[[#This Row],[vx]]*Tabelle2[[#This Row],[vx]]+Tabelle2[[#This Row],[vy]]*Tabelle2[[#This Row],[vy]])/1000000</f>
        <v>5.8010233576031984</v>
      </c>
      <c r="H593">
        <f>IF($B$3,-Tabelle2[[#This Row],[Fd]]*Tabelle2[[#This Row],[vx]]/Tabelle2[[#This Row],[v]],0)</f>
        <v>-3.0099900303336398</v>
      </c>
      <c r="I593">
        <f t="shared" si="99"/>
        <v>-2.0066600202224265</v>
      </c>
      <c r="J593">
        <f t="shared" si="100"/>
        <v>-4.0133200404448531E-2</v>
      </c>
      <c r="K593">
        <f t="shared" si="101"/>
        <v>0.59387553105466839</v>
      </c>
      <c r="L593">
        <f>-$B$5*$B$12-IF($B$3,Tabelle2[[#This Row],[Fd]]*Tabelle2[[#This Row],[vy]]/Tabelle2[[#This Row],[v]],0)</f>
        <v>-9.7559847738941166</v>
      </c>
      <c r="M593">
        <f t="shared" si="102"/>
        <v>-6.5039898492627444</v>
      </c>
      <c r="N593">
        <f t="shared" si="103"/>
        <v>-0.1300797969852549</v>
      </c>
      <c r="O593">
        <f t="shared" si="104"/>
        <v>-0.98038311476541251</v>
      </c>
      <c r="P593" s="1">
        <f t="shared" si="106"/>
        <v>29.713843152935645</v>
      </c>
      <c r="Q593" s="1">
        <f t="shared" si="107"/>
        <v>-48.954115839777998</v>
      </c>
      <c r="R593">
        <f>SQRT(Tabelle2[[#This Row],[vx]]*Tabelle2[[#This Row],[vx]]+Tabelle2[[#This Row],[vy]]*Tabelle2[[#This Row],[vy]])</f>
        <v>57.266202358561053</v>
      </c>
      <c r="S593">
        <f t="shared" si="108"/>
        <v>500.47333774613014</v>
      </c>
      <c r="T593" s="1">
        <f t="shared" si="109"/>
        <v>46.399542333292487</v>
      </c>
    </row>
    <row r="594" spans="6:20" x14ac:dyDescent="0.35">
      <c r="F594" s="1">
        <f t="shared" si="105"/>
        <v>11.819999999999837</v>
      </c>
      <c r="G594">
        <f>1/2*$B$8*$B$6*$B$7*(Tabelle2[[#This Row],[vx]]*Tabelle2[[#This Row],[vx]]+Tabelle2[[#This Row],[vy]]*Tabelle2[[#This Row],[vy]])/1000000</f>
        <v>5.8193659662963748</v>
      </c>
      <c r="H594">
        <f>IF($B$3,-Tabelle2[[#This Row],[Fd]]*Tabelle2[[#This Row],[vx]]/Tabelle2[[#This Row],[v]],0)</f>
        <v>-3.0106731243873046</v>
      </c>
      <c r="I594">
        <f t="shared" si="99"/>
        <v>-2.0071154162582032</v>
      </c>
      <c r="J594">
        <f t="shared" si="100"/>
        <v>-4.0142308325164064E-2</v>
      </c>
      <c r="K594">
        <f t="shared" si="101"/>
        <v>0.59307277596737229</v>
      </c>
      <c r="L594">
        <f>-$B$5*$B$12-IF($B$3,Tabelle2[[#This Row],[Fd]]*Tabelle2[[#This Row],[vy]]/Tabelle2[[#This Row],[v]],0)</f>
        <v>-9.7349530536569713</v>
      </c>
      <c r="M594">
        <f t="shared" si="102"/>
        <v>-6.4899687024379809</v>
      </c>
      <c r="N594">
        <f t="shared" si="103"/>
        <v>-0.12979937404875963</v>
      </c>
      <c r="O594">
        <f t="shared" si="104"/>
        <v>-0.98298190647575268</v>
      </c>
      <c r="P594" s="1">
        <f t="shared" si="106"/>
        <v>29.673709952531198</v>
      </c>
      <c r="Q594" s="1">
        <f t="shared" si="107"/>
        <v>-49.084195636763255</v>
      </c>
      <c r="R594">
        <f>SQRT(Tabelle2[[#This Row],[vx]]*Tabelle2[[#This Row],[vx]]+Tabelle2[[#This Row],[vy]]*Tabelle2[[#This Row],[vy]])</f>
        <v>57.356667647754762</v>
      </c>
      <c r="S594">
        <f t="shared" si="108"/>
        <v>501.06721327718481</v>
      </c>
      <c r="T594" s="1">
        <f t="shared" si="109"/>
        <v>45.419159218527078</v>
      </c>
    </row>
    <row r="595" spans="6:20" x14ac:dyDescent="0.35">
      <c r="F595" s="1">
        <f t="shared" si="105"/>
        <v>11.839999999999836</v>
      </c>
      <c r="G595">
        <f>1/2*$B$8*$B$6*$B$7*(Tabelle2[[#This Row],[vx]]*Tabelle2[[#This Row],[vx]]+Tabelle2[[#This Row],[vy]]*Tabelle2[[#This Row],[vy]])/1000000</f>
        <v>5.8377243564138226</v>
      </c>
      <c r="H595">
        <f>IF($B$3,-Tabelle2[[#This Row],[Fd]]*Tabelle2[[#This Row],[vx]]/Tabelle2[[#This Row],[v]],0)</f>
        <v>-3.0113390508503071</v>
      </c>
      <c r="I595">
        <f t="shared" si="99"/>
        <v>-2.0075593672335379</v>
      </c>
      <c r="J595">
        <f t="shared" si="100"/>
        <v>-4.0151187344670762E-2</v>
      </c>
      <c r="K595">
        <f t="shared" si="101"/>
        <v>0.59226984101067393</v>
      </c>
      <c r="L595">
        <f>-$B$5*$B$12-IF($B$3,Tabelle2[[#This Row],[Fd]]*Tabelle2[[#This Row],[vy]]/Tabelle2[[#This Row],[v]],0)</f>
        <v>-9.7139138397452953</v>
      </c>
      <c r="M595">
        <f t="shared" si="102"/>
        <v>-6.4759425598301972</v>
      </c>
      <c r="N595">
        <f t="shared" si="103"/>
        <v>-0.12951885119660395</v>
      </c>
      <c r="O595">
        <f t="shared" si="104"/>
        <v>-0.98557508872820632</v>
      </c>
      <c r="P595" s="1">
        <f t="shared" si="106"/>
        <v>29.633567644206032</v>
      </c>
      <c r="Q595" s="1">
        <f t="shared" si="107"/>
        <v>-49.213995010812013</v>
      </c>
      <c r="R595">
        <f>SQRT(Tabelle2[[#This Row],[vx]]*Tabelle2[[#This Row],[vx]]+Tabelle2[[#This Row],[vy]]*Tabelle2[[#This Row],[vy]])</f>
        <v>57.447068125779616</v>
      </c>
      <c r="S595">
        <f t="shared" si="108"/>
        <v>501.66028605315216</v>
      </c>
      <c r="T595" s="1">
        <f t="shared" si="109"/>
        <v>44.436177312051328</v>
      </c>
    </row>
    <row r="596" spans="6:20" x14ac:dyDescent="0.35">
      <c r="F596" s="1">
        <f t="shared" si="105"/>
        <v>11.859999999999836</v>
      </c>
      <c r="G596">
        <f>1/2*$B$8*$B$6*$B$7*(Tabelle2[[#This Row],[vx]]*Tabelle2[[#This Row],[vx]]+Tabelle2[[#This Row],[vy]]*Tabelle2[[#This Row],[vy]])/1000000</f>
        <v>5.8560981520407189</v>
      </c>
      <c r="H596">
        <f>IF($B$3,-Tabelle2[[#This Row],[Fd]]*Tabelle2[[#This Row],[vx]]/Tabelle2[[#This Row],[v]],0)</f>
        <v>-3.0119877617759303</v>
      </c>
      <c r="I596">
        <f t="shared" si="99"/>
        <v>-2.0079918411839537</v>
      </c>
      <c r="J596">
        <f t="shared" si="100"/>
        <v>-4.0159836823679074E-2</v>
      </c>
      <c r="K596">
        <f t="shared" si="101"/>
        <v>0.59146673076899048</v>
      </c>
      <c r="L596">
        <f>-$B$5*$B$12-IF($B$3,Tabelle2[[#This Row],[Fd]]*Tabelle2[[#This Row],[vy]]/Tabelle2[[#This Row],[v]],0)</f>
        <v>-9.6928674560256027</v>
      </c>
      <c r="M596">
        <f t="shared" si="102"/>
        <v>-6.4619116373504015</v>
      </c>
      <c r="N596">
        <f t="shared" si="103"/>
        <v>-0.12923823274700802</v>
      </c>
      <c r="O596">
        <f t="shared" si="104"/>
        <v>-0.9881626595676426</v>
      </c>
      <c r="P596" s="1">
        <f t="shared" si="106"/>
        <v>29.593416456861362</v>
      </c>
      <c r="Q596" s="1">
        <f t="shared" si="107"/>
        <v>-49.343513862008621</v>
      </c>
      <c r="R596">
        <f>SQRT(Tabelle2[[#This Row],[vx]]*Tabelle2[[#This Row],[vx]]+Tabelle2[[#This Row],[vy]]*Tabelle2[[#This Row],[vy]])</f>
        <v>57.537402251400522</v>
      </c>
      <c r="S596">
        <f t="shared" si="108"/>
        <v>502.25255589416281</v>
      </c>
      <c r="T596" s="1">
        <f t="shared" si="109"/>
        <v>43.450602223323123</v>
      </c>
    </row>
    <row r="597" spans="6:20" x14ac:dyDescent="0.35">
      <c r="F597" s="1">
        <f t="shared" si="105"/>
        <v>11.879999999999836</v>
      </c>
      <c r="G597">
        <f>1/2*$B$8*$B$6*$B$7*(Tabelle2[[#This Row],[vx]]*Tabelle2[[#This Row],[vx]]+Tabelle2[[#This Row],[vy]]*Tabelle2[[#This Row],[vy]])/1000000</f>
        <v>5.8744869786075515</v>
      </c>
      <c r="H597">
        <f>IF($B$3,-Tabelle2[[#This Row],[Fd]]*Tabelle2[[#This Row],[vx]]/Tabelle2[[#This Row],[v]],0)</f>
        <v>-3.0126192107114069</v>
      </c>
      <c r="I597">
        <f t="shared" si="99"/>
        <v>-2.008412807140938</v>
      </c>
      <c r="J597">
        <f t="shared" si="100"/>
        <v>-4.0168256142818763E-2</v>
      </c>
      <c r="K597">
        <f t="shared" si="101"/>
        <v>0.59066344983932551</v>
      </c>
      <c r="L597">
        <f>-$B$5*$B$12-IF($B$3,Tabelle2[[#This Row],[Fd]]*Tabelle2[[#This Row],[vy]]/Tabelle2[[#This Row],[v]],0)</f>
        <v>-9.6718142258010893</v>
      </c>
      <c r="M597">
        <f t="shared" si="102"/>
        <v>-6.4478761505340598</v>
      </c>
      <c r="N597">
        <f t="shared" si="103"/>
        <v>-0.1289575230106812</v>
      </c>
      <c r="O597">
        <f t="shared" si="104"/>
        <v>-0.99074461712521944</v>
      </c>
      <c r="P597" s="1">
        <f t="shared" si="106"/>
        <v>29.553256620037683</v>
      </c>
      <c r="Q597" s="1">
        <f t="shared" si="107"/>
        <v>-49.472752094755627</v>
      </c>
      <c r="R597">
        <f>SQRT(Tabelle2[[#This Row],[vx]]*Tabelle2[[#This Row],[vx]]+Tabelle2[[#This Row],[vy]]*Tabelle2[[#This Row],[vy]])</f>
        <v>57.627668499419165</v>
      </c>
      <c r="S597">
        <f t="shared" si="108"/>
        <v>502.84402262493182</v>
      </c>
      <c r="T597" s="1">
        <f t="shared" si="109"/>
        <v>42.462439563755481</v>
      </c>
    </row>
    <row r="598" spans="6:20" x14ac:dyDescent="0.35">
      <c r="F598" s="1">
        <f t="shared" si="105"/>
        <v>11.899999999999835</v>
      </c>
      <c r="G598">
        <f>1/2*$B$8*$B$6*$B$7*(Tabelle2[[#This Row],[vx]]*Tabelle2[[#This Row],[vx]]+Tabelle2[[#This Row],[vy]]*Tabelle2[[#This Row],[vy]])/1000000</f>
        <v>5.8928904628970429</v>
      </c>
      <c r="H598">
        <f>IF($B$3,-Tabelle2[[#This Row],[Fd]]*Tabelle2[[#This Row],[vx]]/Tabelle2[[#This Row],[v]],0)</f>
        <v>-3.0132333526849631</v>
      </c>
      <c r="I598">
        <f t="shared" si="99"/>
        <v>-2.0088222351233087</v>
      </c>
      <c r="J598">
        <f t="shared" si="100"/>
        <v>-4.0176444702466174E-2</v>
      </c>
      <c r="K598">
        <f t="shared" si="101"/>
        <v>0.58986000283087259</v>
      </c>
      <c r="L598">
        <f>-$B$5*$B$12-IF($B$3,Tabelle2[[#This Row],[Fd]]*Tabelle2[[#This Row],[vy]]/Tabelle2[[#This Row],[v]],0)</f>
        <v>-9.6507544717924798</v>
      </c>
      <c r="M598">
        <f t="shared" si="102"/>
        <v>-6.4338363145283202</v>
      </c>
      <c r="N598">
        <f t="shared" si="103"/>
        <v>-0.1286767262905664</v>
      </c>
      <c r="O598">
        <f t="shared" si="104"/>
        <v>-0.99332095961823186</v>
      </c>
      <c r="P598" s="1">
        <f t="shared" si="106"/>
        <v>29.513088363894862</v>
      </c>
      <c r="Q598" s="1">
        <f t="shared" si="107"/>
        <v>-49.601709617766311</v>
      </c>
      <c r="R598">
        <f>SQRT(Tabelle2[[#This Row],[vx]]*Tabelle2[[#This Row],[vx]]+Tabelle2[[#This Row],[vy]]*Tabelle2[[#This Row],[vy]])</f>
        <v>57.717865360564723</v>
      </c>
      <c r="S598">
        <f t="shared" si="108"/>
        <v>503.43468607477115</v>
      </c>
      <c r="T598" s="1">
        <f t="shared" si="109"/>
        <v>41.471694946630265</v>
      </c>
    </row>
    <row r="599" spans="6:20" x14ac:dyDescent="0.35">
      <c r="F599" s="1">
        <f t="shared" si="105"/>
        <v>11.919999999999835</v>
      </c>
      <c r="G599">
        <f>1/2*$B$8*$B$6*$B$7*(Tabelle2[[#This Row],[vx]]*Tabelle2[[#This Row],[vx]]+Tabelle2[[#This Row],[vy]]*Tabelle2[[#This Row],[vy]])/1000000</f>
        <v>5.9113082330509759</v>
      </c>
      <c r="H599">
        <f>IF($B$3,-Tabelle2[[#This Row],[Fd]]*Tabelle2[[#This Row],[vx]]/Tabelle2[[#This Row],[v]],0)</f>
        <v>-3.0138301441929047</v>
      </c>
      <c r="I599">
        <f t="shared" si="99"/>
        <v>-2.0092200961286033</v>
      </c>
      <c r="J599">
        <f t="shared" si="100"/>
        <v>-4.0184401922572069E-2</v>
      </c>
      <c r="K599">
        <f t="shared" si="101"/>
        <v>0.5890563943646222</v>
      </c>
      <c r="L599">
        <f>-$B$5*$B$12-IF($B$3,Tabelle2[[#This Row],[Fd]]*Tabelle2[[#This Row],[vy]]/Tabelle2[[#This Row],[v]],0)</f>
        <v>-9.6296885161191526</v>
      </c>
      <c r="M599">
        <f t="shared" si="102"/>
        <v>-6.4197923440794353</v>
      </c>
      <c r="N599">
        <f t="shared" si="103"/>
        <v>-0.1283958468815887</v>
      </c>
      <c r="O599">
        <f t="shared" si="104"/>
        <v>-0.99589168534995343</v>
      </c>
      <c r="P599" s="1">
        <f t="shared" si="106"/>
        <v>29.472911919192395</v>
      </c>
      <c r="Q599" s="1">
        <f t="shared" si="107"/>
        <v>-49.730386344056875</v>
      </c>
      <c r="R599">
        <f>SQRT(Tabelle2[[#This Row],[vx]]*Tabelle2[[#This Row],[vx]]+Tabelle2[[#This Row],[vy]]*Tabelle2[[#This Row],[vy]])</f>
        <v>57.807991341384898</v>
      </c>
      <c r="S599">
        <f t="shared" si="108"/>
        <v>504.024546077602</v>
      </c>
      <c r="T599" s="1">
        <f t="shared" si="109"/>
        <v>40.478373987012034</v>
      </c>
    </row>
    <row r="600" spans="6:20" x14ac:dyDescent="0.35">
      <c r="F600" s="1">
        <f t="shared" si="105"/>
        <v>11.939999999999834</v>
      </c>
      <c r="G600">
        <f>1/2*$B$8*$B$6*$B$7*(Tabelle2[[#This Row],[vx]]*Tabelle2[[#This Row],[vx]]+Tabelle2[[#This Row],[vy]]*Tabelle2[[#This Row],[vy]])/1000000</f>
        <v>5.9297399185769262</v>
      </c>
      <c r="H600">
        <f>IF($B$3,-Tabelle2[[#This Row],[Fd]]*Tabelle2[[#This Row],[vx]]/Tabelle2[[#This Row],[v]],0)</f>
        <v>-3.0144095431867601</v>
      </c>
      <c r="I600">
        <f t="shared" si="99"/>
        <v>-2.0096063621245066</v>
      </c>
      <c r="J600">
        <f t="shared" si="100"/>
        <v>-4.0192127242490133E-2</v>
      </c>
      <c r="K600">
        <f t="shared" si="101"/>
        <v>0.58825262907297149</v>
      </c>
      <c r="L600">
        <f>-$B$5*$B$12-IF($B$3,Tabelle2[[#This Row],[Fd]]*Tabelle2[[#This Row],[vy]]/Tabelle2[[#This Row],[v]],0)</f>
        <v>-9.6086166802805266</v>
      </c>
      <c r="M600">
        <f t="shared" si="102"/>
        <v>-6.4057444535203514</v>
      </c>
      <c r="N600">
        <f t="shared" si="103"/>
        <v>-0.12811488907040702</v>
      </c>
      <c r="O600">
        <f t="shared" si="104"/>
        <v>-0.9984567927094733</v>
      </c>
      <c r="P600" s="1">
        <f t="shared" si="106"/>
        <v>29.432727517269822</v>
      </c>
      <c r="Q600" s="1">
        <f t="shared" si="107"/>
        <v>-49.858782190938463</v>
      </c>
      <c r="R600">
        <f>SQRT(Tabelle2[[#This Row],[vx]]*Tabelle2[[#This Row],[vx]]+Tabelle2[[#This Row],[vy]]*Tabelle2[[#This Row],[vy]])</f>
        <v>57.898044964137561</v>
      </c>
      <c r="S600">
        <f t="shared" si="108"/>
        <v>504.6136024719666</v>
      </c>
      <c r="T600" s="1">
        <f t="shared" si="109"/>
        <v>39.482482301662081</v>
      </c>
    </row>
    <row r="601" spans="6:20" x14ac:dyDescent="0.35">
      <c r="F601" s="1">
        <f t="shared" si="105"/>
        <v>11.959999999999834</v>
      </c>
      <c r="G601">
        <f>1/2*$B$8*$B$6*$B$7*(Tabelle2[[#This Row],[vx]]*Tabelle2[[#This Row],[vx]]+Tabelle2[[#This Row],[vy]]*Tabelle2[[#This Row],[vy]])/1000000</f>
        <v>5.9481851503549024</v>
      </c>
      <c r="H601">
        <f>IF($B$3,-Tabelle2[[#This Row],[Fd]]*Tabelle2[[#This Row],[vx]]/Tabelle2[[#This Row],[v]],0)</f>
        <v>-3.0149715090604734</v>
      </c>
      <c r="I601">
        <f t="shared" si="99"/>
        <v>-2.0099810060403156</v>
      </c>
      <c r="J601">
        <f t="shared" si="100"/>
        <v>-4.0199620120806315E-2</v>
      </c>
      <c r="K601">
        <f t="shared" si="101"/>
        <v>0.58744871159933854</v>
      </c>
      <c r="L601">
        <f>-$B$5*$B$12-IF($B$3,Tabelle2[[#This Row],[Fd]]*Tabelle2[[#This Row],[vy]]/Tabelle2[[#This Row],[v]],0)</f>
        <v>-9.5875392851377015</v>
      </c>
      <c r="M601">
        <f t="shared" si="102"/>
        <v>-6.3916928567584677</v>
      </c>
      <c r="N601">
        <f t="shared" si="103"/>
        <v>-0.12783385713516934</v>
      </c>
      <c r="O601">
        <f t="shared" si="104"/>
        <v>-1.0010162801715292</v>
      </c>
      <c r="P601" s="1">
        <f t="shared" si="106"/>
        <v>29.39253539002733</v>
      </c>
      <c r="Q601" s="1">
        <f t="shared" si="107"/>
        <v>-49.986897080008873</v>
      </c>
      <c r="R601">
        <f>SQRT(Tabelle2[[#This Row],[vx]]*Tabelle2[[#This Row],[vx]]+Tabelle2[[#This Row],[vy]]*Tabelle2[[#This Row],[vy]])</f>
        <v>57.98802476668272</v>
      </c>
      <c r="S601">
        <f t="shared" si="108"/>
        <v>505.2018551010396</v>
      </c>
      <c r="T601" s="1">
        <f t="shared" si="109"/>
        <v>38.484025508952605</v>
      </c>
    </row>
    <row r="602" spans="6:20" x14ac:dyDescent="0.35">
      <c r="F602" s="1">
        <f t="shared" si="105"/>
        <v>11.979999999999833</v>
      </c>
      <c r="G602">
        <f>1/2*$B$8*$B$6*$B$7*(Tabelle2[[#This Row],[vx]]*Tabelle2[[#This Row],[vx]]+Tabelle2[[#This Row],[vy]]*Tabelle2[[#This Row],[vy]])/1000000</f>
        <v>5.9666435606438935</v>
      </c>
      <c r="H602">
        <f>IF($B$3,-Tabelle2[[#This Row],[Fd]]*Tabelle2[[#This Row],[vx]]/Tabelle2[[#This Row],[v]],0)</f>
        <v>-3.0155160026376513</v>
      </c>
      <c r="I602">
        <f t="shared" si="99"/>
        <v>-2.0103440017584342</v>
      </c>
      <c r="J602">
        <f t="shared" si="100"/>
        <v>-4.0206880035168688E-2</v>
      </c>
      <c r="K602">
        <f t="shared" si="101"/>
        <v>0.58664464659777882</v>
      </c>
      <c r="L602">
        <f>-$B$5*$B$12-IF($B$3,Tabelle2[[#This Row],[Fd]]*Tabelle2[[#This Row],[vy]]/Tabelle2[[#This Row],[v]],0)</f>
        <v>-9.5664566508953754</v>
      </c>
      <c r="M602">
        <f t="shared" si="102"/>
        <v>-6.3776377672635833</v>
      </c>
      <c r="N602">
        <f t="shared" si="103"/>
        <v>-0.12755275534527166</v>
      </c>
      <c r="O602">
        <f t="shared" si="104"/>
        <v>-1.0035701462963338</v>
      </c>
      <c r="P602" s="1">
        <f t="shared" si="106"/>
        <v>29.352335769906524</v>
      </c>
      <c r="Q602" s="1">
        <f t="shared" si="107"/>
        <v>-50.114730937144046</v>
      </c>
      <c r="R602">
        <f>SQRT(Tabelle2[[#This Row],[vx]]*Tabelle2[[#This Row],[vx]]+Tabelle2[[#This Row],[vy]]*Tabelle2[[#This Row],[vy]])</f>
        <v>58.077929302375068</v>
      </c>
      <c r="S602">
        <f t="shared" si="108"/>
        <v>505.78930381263893</v>
      </c>
      <c r="T602" s="1">
        <f t="shared" si="109"/>
        <v>37.483009228781079</v>
      </c>
    </row>
    <row r="603" spans="6:20" x14ac:dyDescent="0.35">
      <c r="F603" s="1">
        <f t="shared" si="105"/>
        <v>11.999999999999833</v>
      </c>
      <c r="G603">
        <f>1/2*$B$8*$B$6*$B$7*(Tabelle2[[#This Row],[vx]]*Tabelle2[[#This Row],[vx]]+Tabelle2[[#This Row],[vy]]*Tabelle2[[#This Row],[vy]])/1000000</f>
        <v>5.985114783088318</v>
      </c>
      <c r="H603">
        <f>IF($B$3,-Tabelle2[[#This Row],[Fd]]*Tabelle2[[#This Row],[vx]]/Tabelle2[[#This Row],[v]],0)</f>
        <v>-3.0160429861588636</v>
      </c>
      <c r="I603">
        <f t="shared" si="99"/>
        <v>-2.0106953241059089</v>
      </c>
      <c r="J603">
        <f t="shared" si="100"/>
        <v>-4.0213906482118179E-2</v>
      </c>
      <c r="K603">
        <f t="shared" si="101"/>
        <v>0.58584043873260594</v>
      </c>
      <c r="L603">
        <f>-$B$5*$B$12-IF($B$3,Tabelle2[[#This Row],[Fd]]*Tabelle2[[#This Row],[vy]]/Tabelle2[[#This Row],[v]],0)</f>
        <v>-9.5453690970839844</v>
      </c>
      <c r="M603">
        <f t="shared" si="102"/>
        <v>-6.3635793980559896</v>
      </c>
      <c r="N603">
        <f t="shared" si="103"/>
        <v>-0.12727158796111979</v>
      </c>
      <c r="O603">
        <f t="shared" si="104"/>
        <v>-1.0061183897293975</v>
      </c>
      <c r="P603" s="1">
        <f t="shared" si="106"/>
        <v>29.312128889871357</v>
      </c>
      <c r="Q603" s="1">
        <f t="shared" si="107"/>
        <v>-50.242283692489316</v>
      </c>
      <c r="R603">
        <f>SQRT(Tabelle2[[#This Row],[vx]]*Tabelle2[[#This Row],[vx]]+Tabelle2[[#This Row],[vy]]*Tabelle2[[#This Row],[vy]])</f>
        <v>58.167757139956919</v>
      </c>
      <c r="S603">
        <f t="shared" si="108"/>
        <v>506.37594845923672</v>
      </c>
      <c r="T603" s="1">
        <f t="shared" si="109"/>
        <v>36.479439082484745</v>
      </c>
    </row>
    <row r="604" spans="6:20" x14ac:dyDescent="0.35">
      <c r="F604" s="1">
        <f t="shared" si="105"/>
        <v>12.019999999999833</v>
      </c>
      <c r="G604">
        <f>1/2*$B$8*$B$6*$B$7*(Tabelle2[[#This Row],[vx]]*Tabelle2[[#This Row],[vx]]+Tabelle2[[#This Row],[vy]]*Tabelle2[[#This Row],[vy]])/1000000</f>
        <v>6.0035984527243853</v>
      </c>
      <c r="H604">
        <f>IF($B$3,-Tabelle2[[#This Row],[Fd]]*Tabelle2[[#This Row],[vx]]/Tabelle2[[#This Row],[v]],0)</f>
        <v>-3.0165524232689966</v>
      </c>
      <c r="I604">
        <f t="shared" si="99"/>
        <v>-2.0110349488459978</v>
      </c>
      <c r="J604">
        <f t="shared" si="100"/>
        <v>-4.0220698976919954E-2</v>
      </c>
      <c r="K604">
        <f t="shared" si="101"/>
        <v>0.5850360926780156</v>
      </c>
      <c r="L604">
        <f>-$B$5*$B$12-IF($B$3,Tabelle2[[#This Row],[Fd]]*Tabelle2[[#This Row],[vy]]/Tabelle2[[#This Row],[v]],0)</f>
        <v>-9.5242769425421479</v>
      </c>
      <c r="M604">
        <f t="shared" si="102"/>
        <v>-6.3495179616947652</v>
      </c>
      <c r="N604">
        <f t="shared" si="103"/>
        <v>-0.12699035923389532</v>
      </c>
      <c r="O604">
        <f t="shared" si="104"/>
        <v>-1.0086610092013477</v>
      </c>
      <c r="P604" s="1">
        <f t="shared" si="106"/>
        <v>29.271914983389237</v>
      </c>
      <c r="Q604" s="1">
        <f t="shared" si="107"/>
        <v>-50.369555280450435</v>
      </c>
      <c r="R604">
        <f>SQRT(Tabelle2[[#This Row],[vx]]*Tabelle2[[#This Row],[vx]]+Tabelle2[[#This Row],[vy]]*Tabelle2[[#This Row],[vy]])</f>
        <v>58.257506863451681</v>
      </c>
      <c r="S604">
        <f t="shared" si="108"/>
        <v>506.96178889796931</v>
      </c>
      <c r="T604" s="1">
        <f t="shared" si="109"/>
        <v>35.473320692755351</v>
      </c>
    </row>
    <row r="605" spans="6:20" x14ac:dyDescent="0.35">
      <c r="F605" s="1">
        <f t="shared" si="105"/>
        <v>12.039999999999832</v>
      </c>
      <c r="G605">
        <f>1/2*$B$8*$B$6*$B$7*(Tabelle2[[#This Row],[vx]]*Tabelle2[[#This Row],[vx]]+Tabelle2[[#This Row],[vy]]*Tabelle2[[#This Row],[vy]])/1000000</f>
        <v>6.0220942059863578</v>
      </c>
      <c r="H605">
        <f>IF($B$3,-Tabelle2[[#This Row],[Fd]]*Tabelle2[[#This Row],[vx]]/Tabelle2[[#This Row],[v]],0)</f>
        <v>-3.0170442790046623</v>
      </c>
      <c r="I605">
        <f t="shared" si="99"/>
        <v>-2.0113628526697749</v>
      </c>
      <c r="J605">
        <f t="shared" si="100"/>
        <v>-4.0227257053395499E-2</v>
      </c>
      <c r="K605">
        <f t="shared" si="101"/>
        <v>0.58423161311771243</v>
      </c>
      <c r="L605">
        <f>-$B$5*$B$12-IF($B$3,Tabelle2[[#This Row],[Fd]]*Tabelle2[[#This Row],[vy]]/Tabelle2[[#This Row],[v]],0)</f>
        <v>-9.5031805053993175</v>
      </c>
      <c r="M605">
        <f t="shared" si="102"/>
        <v>-6.3354536702662116</v>
      </c>
      <c r="N605">
        <f t="shared" si="103"/>
        <v>-0.12670907340532422</v>
      </c>
      <c r="O605">
        <f t="shared" si="104"/>
        <v>-1.0111980035277397</v>
      </c>
      <c r="P605" s="1">
        <f t="shared" si="106"/>
        <v>29.231694284412317</v>
      </c>
      <c r="Q605" s="1">
        <f t="shared" si="107"/>
        <v>-50.496545639684328</v>
      </c>
      <c r="R605">
        <f>SQRT(Tabelle2[[#This Row],[vx]]*Tabelle2[[#This Row],[vx]]+Tabelle2[[#This Row],[vy]]*Tabelle2[[#This Row],[vy]])</f>
        <v>58.347177072057789</v>
      </c>
      <c r="S605">
        <f t="shared" si="108"/>
        <v>507.54682499064734</v>
      </c>
      <c r="T605" s="1">
        <f t="shared" si="109"/>
        <v>34.464659683554004</v>
      </c>
    </row>
    <row r="606" spans="6:20" x14ac:dyDescent="0.35">
      <c r="F606" s="1">
        <f t="shared" si="105"/>
        <v>12.059999999999832</v>
      </c>
      <c r="G606">
        <f>1/2*$B$8*$B$6*$B$7*(Tabelle2[[#This Row],[vx]]*Tabelle2[[#This Row],[vx]]+Tabelle2[[#This Row],[vy]]*Tabelle2[[#This Row],[vy]])/1000000</f>
        <v>6.0406016807127223</v>
      </c>
      <c r="H606">
        <f>IF($B$3,-Tabelle2[[#This Row],[Fd]]*Tabelle2[[#This Row],[vx]]/Tabelle2[[#This Row],[v]],0)</f>
        <v>-3.017518519781659</v>
      </c>
      <c r="I606">
        <f t="shared" si="99"/>
        <v>-2.0116790131877726</v>
      </c>
      <c r="J606">
        <f t="shared" si="100"/>
        <v>-4.0233580263755453E-2</v>
      </c>
      <c r="K606">
        <f t="shared" si="101"/>
        <v>0.5834270047445409</v>
      </c>
      <c r="L606">
        <f>-$B$5*$B$12-IF($B$3,Tabelle2[[#This Row],[Fd]]*Tabelle2[[#This Row],[vy]]/Tabelle2[[#This Row],[v]],0)</f>
        <v>-9.4820801030587063</v>
      </c>
      <c r="M606">
        <f t="shared" si="102"/>
        <v>-6.3213867353724709</v>
      </c>
      <c r="N606">
        <f t="shared" si="103"/>
        <v>-0.12642773470744942</v>
      </c>
      <c r="O606">
        <f t="shared" si="104"/>
        <v>-1.0137293716088676</v>
      </c>
      <c r="P606" s="1">
        <f t="shared" si="106"/>
        <v>29.191467027358922</v>
      </c>
      <c r="Q606" s="1">
        <f t="shared" si="107"/>
        <v>-50.623254713089651</v>
      </c>
      <c r="R606">
        <f>SQRT(Tabelle2[[#This Row],[vx]]*Tabelle2[[#This Row],[vx]]+Tabelle2[[#This Row],[vy]]*Tabelle2[[#This Row],[vy]])</f>
        <v>58.43676638004311</v>
      </c>
      <c r="S606">
        <f t="shared" si="108"/>
        <v>508.13105660376505</v>
      </c>
      <c r="T606" s="1">
        <f t="shared" si="109"/>
        <v>33.453461680026265</v>
      </c>
    </row>
    <row r="607" spans="6:20" x14ac:dyDescent="0.35">
      <c r="F607" s="1">
        <f t="shared" si="105"/>
        <v>12.079999999999831</v>
      </c>
      <c r="G607">
        <f>1/2*$B$8*$B$6*$B$7*(Tabelle2[[#This Row],[vx]]*Tabelle2[[#This Row],[vx]]+Tabelle2[[#This Row],[vy]]*Tabelle2[[#This Row],[vy]])/1000000</f>
        <v>6.0591205161522605</v>
      </c>
      <c r="H607">
        <f>IF($B$3,-Tabelle2[[#This Row],[Fd]]*Tabelle2[[#This Row],[vx]]/Tabelle2[[#This Row],[v]],0)</f>
        <v>-3.0179751133824904</v>
      </c>
      <c r="I607">
        <f t="shared" si="99"/>
        <v>-2.0119834089216604</v>
      </c>
      <c r="J607">
        <f t="shared" si="100"/>
        <v>-4.0239668178433212E-2</v>
      </c>
      <c r="K607">
        <f t="shared" si="101"/>
        <v>0.58262227226011898</v>
      </c>
      <c r="L607">
        <f>-$B$5*$B$12-IF($B$3,Tabelle2[[#This Row],[Fd]]*Tabelle2[[#This Row],[vy]]/Tabelle2[[#This Row],[v]],0)</f>
        <v>-9.4609760521804649</v>
      </c>
      <c r="M607">
        <f t="shared" si="102"/>
        <v>-6.3073173681203096</v>
      </c>
      <c r="N607">
        <f t="shared" si="103"/>
        <v>-0.12614634736240621</v>
      </c>
      <c r="O607">
        <f t="shared" si="104"/>
        <v>-1.016255112429566</v>
      </c>
      <c r="P607" s="1">
        <f t="shared" si="106"/>
        <v>29.151233447095166</v>
      </c>
      <c r="Q607" s="1">
        <f t="shared" si="107"/>
        <v>-50.749682447797099</v>
      </c>
      <c r="R607">
        <f>SQRT(Tabelle2[[#This Row],[vx]]*Tabelle2[[#This Row],[vx]]+Tabelle2[[#This Row],[vy]]*Tabelle2[[#This Row],[vy]])</f>
        <v>58.52627341663986</v>
      </c>
      <c r="S607">
        <f t="shared" si="108"/>
        <v>508.71448360850957</v>
      </c>
      <c r="T607" s="1">
        <f t="shared" si="109"/>
        <v>32.439732308417398</v>
      </c>
    </row>
    <row r="608" spans="6:20" x14ac:dyDescent="0.35">
      <c r="F608" s="1">
        <f t="shared" si="105"/>
        <v>12.099999999999831</v>
      </c>
      <c r="G608">
        <f>1/2*$B$8*$B$6*$B$7*(Tabelle2[[#This Row],[vx]]*Tabelle2[[#This Row],[vx]]+Tabelle2[[#This Row],[vy]]*Tabelle2[[#This Row],[vy]])/1000000</f>
        <v>6.0776503529700312</v>
      </c>
      <c r="H608">
        <f>IF($B$3,-Tabelle2[[#This Row],[Fd]]*Tabelle2[[#This Row],[vx]]/Tabelle2[[#This Row],[v]],0)</f>
        <v>-3.0184140289439338</v>
      </c>
      <c r="I608">
        <f t="shared" si="99"/>
        <v>-2.0122760192959559</v>
      </c>
      <c r="J608">
        <f t="shared" si="100"/>
        <v>-4.0245520385919116E-2</v>
      </c>
      <c r="K608">
        <f t="shared" si="101"/>
        <v>0.58181742037447548</v>
      </c>
      <c r="L608">
        <f>-$B$5*$B$12-IF($B$3,Tabelle2[[#This Row],[Fd]]*Tabelle2[[#This Row],[vy]]/Tabelle2[[#This Row],[v]],0)</f>
        <v>-9.4398686686650919</v>
      </c>
      <c r="M608">
        <f t="shared" si="102"/>
        <v>-6.2932457791100616</v>
      </c>
      <c r="N608">
        <f t="shared" si="103"/>
        <v>-0.12586491558220123</v>
      </c>
      <c r="O608">
        <f t="shared" si="104"/>
        <v>-1.0187752250590121</v>
      </c>
      <c r="P608" s="1">
        <f t="shared" si="106"/>
        <v>29.110993778916733</v>
      </c>
      <c r="Q608" s="1">
        <f t="shared" si="107"/>
        <v>-50.875828795159507</v>
      </c>
      <c r="R608">
        <f>SQRT(Tabelle2[[#This Row],[vx]]*Tabelle2[[#This Row],[vx]]+Tabelle2[[#This Row],[vy]]*Tabelle2[[#This Row],[vy]])</f>
        <v>58.615696825939978</v>
      </c>
      <c r="S608">
        <f t="shared" si="108"/>
        <v>509.29710588076966</v>
      </c>
      <c r="T608" s="1">
        <f t="shared" si="109"/>
        <v>31.423477195987832</v>
      </c>
    </row>
    <row r="609" spans="6:20" x14ac:dyDescent="0.35">
      <c r="F609" s="1">
        <f t="shared" si="105"/>
        <v>12.11999999999983</v>
      </c>
      <c r="G609">
        <f>1/2*$B$8*$B$6*$B$7*(Tabelle2[[#This Row],[vx]]*Tabelle2[[#This Row],[vx]]+Tabelle2[[#This Row],[vy]]*Tabelle2[[#This Row],[vy]])/1000000</f>
        <v>6.0961908332532539</v>
      </c>
      <c r="H609">
        <f>IF($B$3,-Tabelle2[[#This Row],[Fd]]*Tabelle2[[#This Row],[vx]]/Tabelle2[[#This Row],[v]],0)</f>
        <v>-3.018835236944672</v>
      </c>
      <c r="I609">
        <f t="shared" si="99"/>
        <v>-2.0125568246297814</v>
      </c>
      <c r="J609">
        <f t="shared" si="100"/>
        <v>-4.0251136492595631E-2</v>
      </c>
      <c r="K609">
        <f t="shared" si="101"/>
        <v>0.58101245380569033</v>
      </c>
      <c r="L609">
        <f>-$B$5*$B$12-IF($B$3,Tabelle2[[#This Row],[Fd]]*Tabelle2[[#This Row],[vy]]/Tabelle2[[#This Row],[v]],0)</f>
        <v>-9.4187582676371164</v>
      </c>
      <c r="M609">
        <f t="shared" si="102"/>
        <v>-6.2791721784247443</v>
      </c>
      <c r="N609">
        <f t="shared" si="103"/>
        <v>-0.12558344356849488</v>
      </c>
      <c r="O609">
        <f t="shared" si="104"/>
        <v>-1.021289708650519</v>
      </c>
      <c r="P609" s="1">
        <f t="shared" si="106"/>
        <v>29.070748258530813</v>
      </c>
      <c r="Q609" s="1">
        <f t="shared" si="107"/>
        <v>-51.001693710741705</v>
      </c>
      <c r="R609">
        <f>SQRT(Tabelle2[[#This Row],[vx]]*Tabelle2[[#This Row],[vx]]+Tabelle2[[#This Row],[vy]]*Tabelle2[[#This Row],[vy]])</f>
        <v>58.705035266791064</v>
      </c>
      <c r="S609">
        <f t="shared" si="108"/>
        <v>509.87892330114414</v>
      </c>
      <c r="T609" s="1">
        <f t="shared" si="109"/>
        <v>30.404701970928819</v>
      </c>
    </row>
    <row r="610" spans="6:20" x14ac:dyDescent="0.35">
      <c r="F610" s="1">
        <f t="shared" si="105"/>
        <v>12.13999999999983</v>
      </c>
      <c r="G610">
        <f>1/2*$B$8*$B$6*$B$7*(Tabelle2[[#This Row],[vx]]*Tabelle2[[#This Row],[vx]]+Tabelle2[[#This Row],[vy]]*Tabelle2[[#This Row],[vy]])/1000000</f>
        <v>6.1147416005171005</v>
      </c>
      <c r="H610">
        <f>IF($B$3,-Tabelle2[[#This Row],[Fd]]*Tabelle2[[#This Row],[vx]]/Tabelle2[[#This Row],[v]],0)</f>
        <v>-3.0192387091929729</v>
      </c>
      <c r="I610">
        <f t="shared" si="99"/>
        <v>-2.0128258061286486</v>
      </c>
      <c r="J610">
        <f t="shared" si="100"/>
        <v>-4.0256516122572972E-2</v>
      </c>
      <c r="K610">
        <f t="shared" si="101"/>
        <v>0.58020737727953864</v>
      </c>
      <c r="L610">
        <f>-$B$5*$B$12-IF($B$3,Tabelle2[[#This Row],[Fd]]*Tabelle2[[#This Row],[vy]]/Tabelle2[[#This Row],[v]],0)</f>
        <v>-9.397645163428983</v>
      </c>
      <c r="M610">
        <f t="shared" si="102"/>
        <v>-6.2650967756193223</v>
      </c>
      <c r="N610">
        <f t="shared" si="103"/>
        <v>-0.12530193551238644</v>
      </c>
      <c r="O610">
        <f t="shared" si="104"/>
        <v>-1.0237985624413279</v>
      </c>
      <c r="P610" s="1">
        <f t="shared" si="106"/>
        <v>29.030497122038216</v>
      </c>
      <c r="Q610" s="1">
        <f t="shared" si="107"/>
        <v>-51.1272771543102</v>
      </c>
      <c r="R610">
        <f>SQRT(Tabelle2[[#This Row],[vx]]*Tabelle2[[#This Row],[vx]]+Tabelle2[[#This Row],[vy]]*Tabelle2[[#This Row],[vy]])</f>
        <v>58.794287412692725</v>
      </c>
      <c r="S610">
        <f t="shared" si="108"/>
        <v>510.45993575494981</v>
      </c>
      <c r="T610" s="1">
        <f t="shared" si="109"/>
        <v>29.383412262278298</v>
      </c>
    </row>
    <row r="611" spans="6:20" x14ac:dyDescent="0.35">
      <c r="F611" s="1">
        <f t="shared" si="105"/>
        <v>12.15999999999983</v>
      </c>
      <c r="G611">
        <f>1/2*$B$8*$B$6*$B$7*(Tabelle2[[#This Row],[vx]]*Tabelle2[[#This Row],[vx]]+Tabelle2[[#This Row],[vy]]*Tabelle2[[#This Row],[vy]])/1000000</f>
        <v>6.1333022997103912</v>
      </c>
      <c r="H611">
        <f>IF($B$3,-Tabelle2[[#This Row],[Fd]]*Tabelle2[[#This Row],[vx]]/Tabelle2[[#This Row],[v]],0)</f>
        <v>-3.0196244188144306</v>
      </c>
      <c r="I611">
        <f t="shared" si="99"/>
        <v>-2.0130829458762869</v>
      </c>
      <c r="J611">
        <f t="shared" si="100"/>
        <v>-4.0261658917525742E-2</v>
      </c>
      <c r="K611">
        <f t="shared" si="101"/>
        <v>0.57940219552913763</v>
      </c>
      <c r="L611">
        <f>-$B$5*$B$12-IF($B$3,Tabelle2[[#This Row],[Fd]]*Tabelle2[[#This Row],[vy]]/Tabelle2[[#This Row],[v]],0)</f>
        <v>-9.3765296695652225</v>
      </c>
      <c r="M611">
        <f t="shared" si="102"/>
        <v>-6.2510197797101483</v>
      </c>
      <c r="N611">
        <f t="shared" si="103"/>
        <v>-0.12502039559420297</v>
      </c>
      <c r="O611">
        <f t="shared" si="104"/>
        <v>-1.0263017857523939</v>
      </c>
      <c r="P611" s="1">
        <f t="shared" si="106"/>
        <v>28.990240605915645</v>
      </c>
      <c r="Q611" s="1">
        <f t="shared" si="107"/>
        <v>-51.252579089822589</v>
      </c>
      <c r="R611">
        <f>SQRT(Tabelle2[[#This Row],[vx]]*Tabelle2[[#This Row],[vx]]+Tabelle2[[#This Row],[vy]]*Tabelle2[[#This Row],[vy]])</f>
        <v>58.883451951693523</v>
      </c>
      <c r="S611">
        <f t="shared" si="108"/>
        <v>511.04014313222933</v>
      </c>
      <c r="T611" s="1">
        <f t="shared" si="109"/>
        <v>28.35961369983697</v>
      </c>
    </row>
    <row r="612" spans="6:20" x14ac:dyDescent="0.35">
      <c r="F612" s="1">
        <f t="shared" si="105"/>
        <v>12.179999999999829</v>
      </c>
      <c r="G612">
        <f>1/2*$B$8*$B$6*$B$7*(Tabelle2[[#This Row],[vx]]*Tabelle2[[#This Row],[vx]]+Tabelle2[[#This Row],[vy]]*Tabelle2[[#This Row],[vy]])/1000000</f>
        <v>6.1518725772211793</v>
      </c>
      <c r="H612">
        <f>IF($B$3,-Tabelle2[[#This Row],[Fd]]*Tabelle2[[#This Row],[vx]]/Tabelle2[[#This Row],[v]],0)</f>
        <v>-3.019992340239753</v>
      </c>
      <c r="I612">
        <f t="shared" si="99"/>
        <v>-2.013328226826502</v>
      </c>
      <c r="J612">
        <f t="shared" si="100"/>
        <v>-4.026656453653004E-2</v>
      </c>
      <c r="K612">
        <f t="shared" si="101"/>
        <v>0.57859691329459706</v>
      </c>
      <c r="L612">
        <f>-$B$5*$B$12-IF($B$3,Tabelle2[[#This Row],[Fd]]*Tabelle2[[#This Row],[vy]]/Tabelle2[[#This Row],[v]],0)</f>
        <v>-9.3554120987468465</v>
      </c>
      <c r="M612">
        <f t="shared" si="102"/>
        <v>-6.2369413991645644</v>
      </c>
      <c r="N612">
        <f t="shared" si="103"/>
        <v>-0.12473882798329129</v>
      </c>
      <c r="O612">
        <f t="shared" si="104"/>
        <v>-1.0287993779881688</v>
      </c>
      <c r="P612" s="1">
        <f t="shared" si="106"/>
        <v>28.949978946998119</v>
      </c>
      <c r="Q612" s="1">
        <f t="shared" si="107"/>
        <v>-51.377599485416795</v>
      </c>
      <c r="R612">
        <f>SQRT(Tabelle2[[#This Row],[vx]]*Tabelle2[[#This Row],[vx]]+Tabelle2[[#This Row],[vy]]*Tabelle2[[#This Row],[vy]])</f>
        <v>58.972527586288301</v>
      </c>
      <c r="S612">
        <f t="shared" si="108"/>
        <v>511.61954532775849</v>
      </c>
      <c r="T612" s="1">
        <f t="shared" si="109"/>
        <v>27.333311914084575</v>
      </c>
    </row>
    <row r="613" spans="6:20" x14ac:dyDescent="0.35">
      <c r="F613" s="1">
        <f t="shared" si="105"/>
        <v>12.199999999999829</v>
      </c>
      <c r="G613">
        <f>1/2*$B$8*$B$6*$B$7*(Tabelle2[[#This Row],[vx]]*Tabelle2[[#This Row],[vx]]+Tabelle2[[#This Row],[vy]]*Tabelle2[[#This Row],[vy]])/1000000</f>
        <v>6.1704520808822734</v>
      </c>
      <c r="H613">
        <f>IF($B$3,-Tabelle2[[#This Row],[Fd]]*Tabelle2[[#This Row],[vx]]/Tabelle2[[#This Row],[v]],0)</f>
        <v>-3.0203424491926238</v>
      </c>
      <c r="I613">
        <f t="shared" si="99"/>
        <v>-2.0135616327950827</v>
      </c>
      <c r="J613">
        <f t="shared" si="100"/>
        <v>-4.0271232655901656E-2</v>
      </c>
      <c r="K613">
        <f t="shared" si="101"/>
        <v>0.57779153532267269</v>
      </c>
      <c r="L613">
        <f>-$B$5*$B$12-IF($B$3,Tabelle2[[#This Row],[Fd]]*Tabelle2[[#This Row],[vy]]/Tabelle2[[#This Row],[v]],0)</f>
        <v>-9.3342927628359593</v>
      </c>
      <c r="M613">
        <f t="shared" si="102"/>
        <v>-6.2228618418906398</v>
      </c>
      <c r="N613">
        <f t="shared" si="103"/>
        <v>-0.1244572368378128</v>
      </c>
      <c r="O613">
        <f t="shared" si="104"/>
        <v>-1.03129133863638</v>
      </c>
      <c r="P613" s="1">
        <f t="shared" si="106"/>
        <v>28.909712382461588</v>
      </c>
      <c r="Q613" s="1">
        <f t="shared" si="107"/>
        <v>-51.502338313400088</v>
      </c>
      <c r="R613">
        <f>SQRT(Tabelle2[[#This Row],[vx]]*Tabelle2[[#This Row],[vx]]+Tabelle2[[#This Row],[vy]]*Tabelle2[[#This Row],[vy]])</f>
        <v>59.061513033316132</v>
      </c>
      <c r="S613">
        <f t="shared" si="108"/>
        <v>512.19814224105312</v>
      </c>
      <c r="T613" s="1">
        <f t="shared" si="109"/>
        <v>26.304512536096407</v>
      </c>
    </row>
    <row r="614" spans="6:20" x14ac:dyDescent="0.35">
      <c r="F614" s="1">
        <f t="shared" si="105"/>
        <v>12.219999999999828</v>
      </c>
      <c r="G614">
        <f>1/2*$B$8*$B$6*$B$7*(Tabelle2[[#This Row],[vx]]*Tabelle2[[#This Row],[vx]]+Tabelle2[[#This Row],[vy]]*Tabelle2[[#This Row],[vy]])/1000000</f>
        <v>6.1890404599766349</v>
      </c>
      <c r="H614">
        <f>IF($B$3,-Tabelle2[[#This Row],[Fd]]*Tabelle2[[#This Row],[vx]]/Tabelle2[[#This Row],[v]],0)</f>
        <v>-3.0206747226776023</v>
      </c>
      <c r="I614">
        <f t="shared" si="99"/>
        <v>-2.013783148451735</v>
      </c>
      <c r="J614">
        <f t="shared" si="100"/>
        <v>-4.0275662969034703E-2</v>
      </c>
      <c r="K614">
        <f t="shared" si="101"/>
        <v>0.57698606636642336</v>
      </c>
      <c r="L614">
        <f>-$B$5*$B$12-IF($B$3,Tabelle2[[#This Row],[Fd]]*Tabelle2[[#This Row],[vy]]/Tabelle2[[#This Row],[v]],0)</f>
        <v>-9.3131719728406388</v>
      </c>
      <c r="M614">
        <f t="shared" si="102"/>
        <v>-6.2087813152270925</v>
      </c>
      <c r="N614">
        <f t="shared" si="103"/>
        <v>-0.12417562630454185</v>
      </c>
      <c r="O614">
        <f t="shared" si="104"/>
        <v>-1.0337776672678036</v>
      </c>
      <c r="P614" s="1">
        <f t="shared" si="106"/>
        <v>28.869441149805688</v>
      </c>
      <c r="Q614" s="1">
        <f t="shared" si="107"/>
        <v>-51.626795550237901</v>
      </c>
      <c r="R614">
        <f>SQRT(Tabelle2[[#This Row],[vx]]*Tabelle2[[#This Row],[vx]]+Tabelle2[[#This Row],[vy]]*Tabelle2[[#This Row],[vy]])</f>
        <v>59.15040702385874</v>
      </c>
      <c r="S614">
        <f t="shared" si="108"/>
        <v>512.77593377637584</v>
      </c>
      <c r="T614" s="1">
        <f t="shared" si="109"/>
        <v>25.273221197460028</v>
      </c>
    </row>
    <row r="615" spans="6:20" x14ac:dyDescent="0.35">
      <c r="F615" s="1">
        <f t="shared" si="105"/>
        <v>12.239999999999828</v>
      </c>
      <c r="G615">
        <f>1/2*$B$8*$B$6*$B$7*(Tabelle2[[#This Row],[vx]]*Tabelle2[[#This Row],[vx]]+Tabelle2[[#This Row],[vy]]*Tabelle2[[#This Row],[vy]])/1000000</f>
        <v>6.2076373652426913</v>
      </c>
      <c r="H615">
        <f>IF($B$3,-Tabelle2[[#This Row],[Fd]]*Tabelle2[[#This Row],[vx]]/Tabelle2[[#This Row],[v]],0)</f>
        <v>-3.020989138968087</v>
      </c>
      <c r="I615">
        <f t="shared" si="99"/>
        <v>-2.0139927593120581</v>
      </c>
      <c r="J615">
        <f t="shared" si="100"/>
        <v>-4.0279855186241165E-2</v>
      </c>
      <c r="K615">
        <f t="shared" si="101"/>
        <v>0.57618051118487068</v>
      </c>
      <c r="L615">
        <f>-$B$5*$B$12-IF($B$3,Tabelle2[[#This Row],[Fd]]*Tabelle2[[#This Row],[vy]]/Tabelle2[[#This Row],[v]],0)</f>
        <v>-9.2920500389000367</v>
      </c>
      <c r="M615">
        <f t="shared" si="102"/>
        <v>-6.1947000259333578</v>
      </c>
      <c r="N615">
        <f t="shared" si="103"/>
        <v>-0.12389400051866716</v>
      </c>
      <c r="O615">
        <f t="shared" si="104"/>
        <v>-1.0362583635360354</v>
      </c>
      <c r="P615" s="1">
        <f t="shared" si="106"/>
        <v>28.829165486836654</v>
      </c>
      <c r="Q615" s="1">
        <f t="shared" si="107"/>
        <v>-51.750971176542443</v>
      </c>
      <c r="R615">
        <f>SQRT(Tabelle2[[#This Row],[vx]]*Tabelle2[[#This Row],[vx]]+Tabelle2[[#This Row],[vy]]*Tabelle2[[#This Row],[vy]])</f>
        <v>59.239208303139399</v>
      </c>
      <c r="S615">
        <f t="shared" si="108"/>
        <v>513.35291984274227</v>
      </c>
      <c r="T615" s="1">
        <f t="shared" si="109"/>
        <v>24.239443530192226</v>
      </c>
    </row>
    <row r="616" spans="6:20" x14ac:dyDescent="0.35">
      <c r="F616" s="1">
        <f t="shared" si="105"/>
        <v>12.259999999999827</v>
      </c>
      <c r="G616">
        <f>1/2*$B$8*$B$6*$B$7*(Tabelle2[[#This Row],[vx]]*Tabelle2[[#This Row],[vx]]+Tabelle2[[#This Row],[vy]]*Tabelle2[[#This Row],[vy]])/1000000</f>
        <v>6.226242448879554</v>
      </c>
      <c r="H616">
        <f>IF($B$3,-Tabelle2[[#This Row],[Fd]]*Tabelle2[[#This Row],[vx]]/Tabelle2[[#This Row],[v]],0)</f>
        <v>-3.02128567759434</v>
      </c>
      <c r="I616">
        <f t="shared" si="99"/>
        <v>-2.0141904517295601</v>
      </c>
      <c r="J616">
        <f t="shared" si="100"/>
        <v>-4.0283809034591202E-2</v>
      </c>
      <c r="K616">
        <f t="shared" si="101"/>
        <v>0.57537487454266234</v>
      </c>
      <c r="L616">
        <f>-$B$5*$B$12-IF($B$3,Tabelle2[[#This Row],[Fd]]*Tabelle2[[#This Row],[vy]]/Tabelle2[[#This Row],[v]],0)</f>
        <v>-9.2709272702697127</v>
      </c>
      <c r="M616">
        <f t="shared" si="102"/>
        <v>-6.1806181801798088</v>
      </c>
      <c r="N616">
        <f t="shared" si="103"/>
        <v>-0.12361236360359618</v>
      </c>
      <c r="O616">
        <f t="shared" si="104"/>
        <v>-1.0387334271772581</v>
      </c>
      <c r="P616" s="1">
        <f t="shared" si="106"/>
        <v>28.788885631650412</v>
      </c>
      <c r="Q616" s="1">
        <f t="shared" si="107"/>
        <v>-51.87486517706111</v>
      </c>
      <c r="R616">
        <f>SQRT(Tabelle2[[#This Row],[vx]]*Tabelle2[[#This Row],[vx]]+Tabelle2[[#This Row],[vy]]*Tabelle2[[#This Row],[vy]])</f>
        <v>59.327915630422368</v>
      </c>
      <c r="S616">
        <f t="shared" si="108"/>
        <v>513.92910035392708</v>
      </c>
      <c r="T616" s="1">
        <f t="shared" si="109"/>
        <v>23.203185166656191</v>
      </c>
    </row>
    <row r="617" spans="6:20" x14ac:dyDescent="0.35">
      <c r="F617" s="1">
        <f t="shared" si="105"/>
        <v>12.279999999999827</v>
      </c>
      <c r="G617">
        <f>1/2*$B$8*$B$6*$B$7*(Tabelle2[[#This Row],[vx]]*Tabelle2[[#This Row],[vx]]+Tabelle2[[#This Row],[vy]]*Tabelle2[[#This Row],[vy]])/1000000</f>
        <v>6.2448553645521363</v>
      </c>
      <c r="H617">
        <f>IF($B$3,-Tabelle2[[#This Row],[Fd]]*Tabelle2[[#This Row],[vx]]/Tabelle2[[#This Row],[v]],0)</f>
        <v>-3.0215643193315636</v>
      </c>
      <c r="I617">
        <f t="shared" si="99"/>
        <v>-2.0143762128877092</v>
      </c>
      <c r="J617">
        <f t="shared" si="100"/>
        <v>-4.0287524257754184E-2</v>
      </c>
      <c r="K617">
        <f t="shared" si="101"/>
        <v>0.57456916120973889</v>
      </c>
      <c r="L617">
        <f>-$B$5*$B$12-IF($B$3,Tabelle2[[#This Row],[Fd]]*Tabelle2[[#This Row],[vy]]/Tabelle2[[#This Row],[v]],0)</f>
        <v>-9.2498039753072003</v>
      </c>
      <c r="M617">
        <f t="shared" si="102"/>
        <v>-6.1665359835381333</v>
      </c>
      <c r="N617">
        <f t="shared" si="103"/>
        <v>-0.12333071967076267</v>
      </c>
      <c r="O617">
        <f t="shared" si="104"/>
        <v>-1.0412028580100019</v>
      </c>
      <c r="P617" s="1">
        <f t="shared" si="106"/>
        <v>28.748601822615822</v>
      </c>
      <c r="Q617" s="1">
        <f t="shared" si="107"/>
        <v>-51.998477540664709</v>
      </c>
      <c r="R617">
        <f>SQRT(Tabelle2[[#This Row],[vx]]*Tabelle2[[#This Row],[vx]]+Tabelle2[[#This Row],[vy]]*Tabelle2[[#This Row],[vy]])</f>
        <v>59.416527778912844</v>
      </c>
      <c r="S617">
        <f t="shared" si="108"/>
        <v>514.5044752284698</v>
      </c>
      <c r="T617" s="1">
        <f t="shared" si="109"/>
        <v>22.164451739478931</v>
      </c>
    </row>
    <row r="618" spans="6:20" x14ac:dyDescent="0.35">
      <c r="F618" s="1">
        <f t="shared" si="105"/>
        <v>12.299999999999827</v>
      </c>
      <c r="G618">
        <f>1/2*$B$8*$B$6*$B$7*(Tabelle2[[#This Row],[vx]]*Tabelle2[[#This Row],[vx]]+Tabelle2[[#This Row],[vy]]*Tabelle2[[#This Row],[vy]])/1000000</f>
        <v>6.2634757673961818</v>
      </c>
      <c r="H618">
        <f>IF($B$3,-Tabelle2[[#This Row],[Fd]]*Tabelle2[[#This Row],[vx]]/Tabelle2[[#This Row],[v]],0)</f>
        <v>-3.0218250461880358</v>
      </c>
      <c r="I618">
        <f t="shared" si="99"/>
        <v>-2.0145500307920239</v>
      </c>
      <c r="J618">
        <f t="shared" si="100"/>
        <v>-4.0291000615840476E-2</v>
      </c>
      <c r="K618">
        <f t="shared" si="101"/>
        <v>0.57376337596100302</v>
      </c>
      <c r="L618">
        <f>-$B$5*$B$12-IF($B$3,Tabelle2[[#This Row],[Fd]]*Tabelle2[[#This Row],[vy]]/Tabelle2[[#This Row],[v]],0)</f>
        <v>-9.2286804614578042</v>
      </c>
      <c r="M618">
        <f t="shared" si="102"/>
        <v>-6.1524536409718698</v>
      </c>
      <c r="N618">
        <f t="shared" si="103"/>
        <v>-0.1230490728194374</v>
      </c>
      <c r="O618">
        <f t="shared" si="104"/>
        <v>-1.0436666559349039</v>
      </c>
      <c r="P618" s="1">
        <f t="shared" si="106"/>
        <v>28.708314298358069</v>
      </c>
      <c r="Q618" s="1">
        <f t="shared" si="107"/>
        <v>-52.12180826033547</v>
      </c>
      <c r="R618">
        <f>SQRT(Tabelle2[[#This Row],[vx]]*Tabelle2[[#This Row],[vx]]+Tabelle2[[#This Row],[vy]]*Tabelle2[[#This Row],[vy]])</f>
        <v>59.505043535657428</v>
      </c>
      <c r="S618">
        <f t="shared" si="108"/>
        <v>515.07904438967955</v>
      </c>
      <c r="T618" s="1">
        <f t="shared" si="109"/>
        <v>21.123248881468928</v>
      </c>
    </row>
    <row r="619" spans="6:20" x14ac:dyDescent="0.35">
      <c r="F619" s="1">
        <f t="shared" si="105"/>
        <v>12.319999999999826</v>
      </c>
      <c r="G619">
        <f>1/2*$B$8*$B$6*$B$7*(Tabelle2[[#This Row],[vx]]*Tabelle2[[#This Row],[vx]]+Tabelle2[[#This Row],[vy]]*Tabelle2[[#This Row],[vy]])/1000000</f>
        <v>6.2821033140231881</v>
      </c>
      <c r="H619">
        <f>IF($B$3,-Tabelle2[[#This Row],[Fd]]*Tabelle2[[#This Row],[vx]]/Tabelle2[[#This Row],[v]],0)</f>
        <v>-3.0220678413933002</v>
      </c>
      <c r="I619">
        <f t="shared" si="99"/>
        <v>-2.0147118942622</v>
      </c>
      <c r="J619">
        <f t="shared" si="100"/>
        <v>-4.0294237885244E-2</v>
      </c>
      <c r="K619">
        <f t="shared" si="101"/>
        <v>0.57295752357599217</v>
      </c>
      <c r="L619">
        <f>-$B$5*$B$12-IF($B$3,Tabelle2[[#This Row],[Fd]]*Tabelle2[[#This Row],[vy]]/Tabelle2[[#This Row],[v]],0)</f>
        <v>-9.2075570352406224</v>
      </c>
      <c r="M619">
        <f t="shared" si="102"/>
        <v>-6.1383713568270819</v>
      </c>
      <c r="N619">
        <f t="shared" si="103"/>
        <v>-0.12276742713654164</v>
      </c>
      <c r="O619">
        <f t="shared" si="104"/>
        <v>-1.0461248209344636</v>
      </c>
      <c r="P619" s="1">
        <f t="shared" si="106"/>
        <v>28.668023297742227</v>
      </c>
      <c r="Q619" s="1">
        <f t="shared" si="107"/>
        <v>-52.244857333154904</v>
      </c>
      <c r="R619">
        <f>SQRT(Tabelle2[[#This Row],[vx]]*Tabelle2[[#This Row],[vx]]+Tabelle2[[#This Row],[vy]]*Tabelle2[[#This Row],[vy]])</f>
        <v>59.593461701445072</v>
      </c>
      <c r="S619">
        <f t="shared" si="108"/>
        <v>515.65280776564055</v>
      </c>
      <c r="T619" s="1">
        <f t="shared" si="109"/>
        <v>20.079582225534025</v>
      </c>
    </row>
    <row r="620" spans="6:20" x14ac:dyDescent="0.35">
      <c r="F620" s="1">
        <f t="shared" si="105"/>
        <v>12.339999999999826</v>
      </c>
      <c r="G620">
        <f>1/2*$B$8*$B$6*$B$7*(Tabelle2[[#This Row],[vx]]*Tabelle2[[#This Row],[vx]]+Tabelle2[[#This Row],[vy]]*Tabelle2[[#This Row],[vy]])/1000000</f>
        <v>6.3007376625252549</v>
      </c>
      <c r="H620">
        <f>IF($B$3,-Tabelle2[[#This Row],[Fd]]*Tabelle2[[#This Row],[vx]]/Tabelle2[[#This Row],[v]],0)</f>
        <v>-3.0222926893864224</v>
      </c>
      <c r="I620">
        <f t="shared" si="99"/>
        <v>-2.0148617929242816</v>
      </c>
      <c r="J620">
        <f t="shared" si="100"/>
        <v>-4.029723585848563E-2</v>
      </c>
      <c r="K620">
        <f t="shared" si="101"/>
        <v>0.57215160883855476</v>
      </c>
      <c r="L620">
        <f>-$B$5*$B$12-IF($B$3,Tabelle2[[#This Row],[Fd]]*Tabelle2[[#This Row],[vy]]/Tabelle2[[#This Row],[v]],0)</f>
        <v>-9.1864340022347939</v>
      </c>
      <c r="M620">
        <f t="shared" si="102"/>
        <v>-6.1242893348231959</v>
      </c>
      <c r="N620">
        <f t="shared" si="103"/>
        <v>-0.12248578669646393</v>
      </c>
      <c r="O620">
        <f t="shared" si="104"/>
        <v>-1.0485773530727935</v>
      </c>
      <c r="P620" s="1">
        <f t="shared" si="106"/>
        <v>28.627729059856982</v>
      </c>
      <c r="Q620" s="1">
        <f t="shared" si="107"/>
        <v>-52.367624760291449</v>
      </c>
      <c r="R620">
        <f>SQRT(Tabelle2[[#This Row],[vx]]*Tabelle2[[#This Row],[vx]]+Tabelle2[[#This Row],[vy]]*Tabelle2[[#This Row],[vy]])</f>
        <v>59.681781090708661</v>
      </c>
      <c r="S620">
        <f t="shared" si="108"/>
        <v>516.2257652892165</v>
      </c>
      <c r="T620" s="1">
        <f t="shared" si="109"/>
        <v>19.033457404599563</v>
      </c>
    </row>
    <row r="621" spans="6:20" x14ac:dyDescent="0.35">
      <c r="F621" s="1">
        <f t="shared" si="105"/>
        <v>12.359999999999825</v>
      </c>
      <c r="G621">
        <f>1/2*$B$8*$B$6*$B$7*(Tabelle2[[#This Row],[vx]]*Tabelle2[[#This Row],[vx]]+Tabelle2[[#This Row],[vy]]*Tabelle2[[#This Row],[vy]])/1000000</f>
        <v>6.3193784724797997</v>
      </c>
      <c r="H621">
        <f>IF($B$3,-Tabelle2[[#This Row],[Fd]]*Tabelle2[[#This Row],[vx]]/Tabelle2[[#This Row],[v]],0)</f>
        <v>-3.0224995758042899</v>
      </c>
      <c r="I621">
        <f t="shared" si="99"/>
        <v>-2.0149997172028598</v>
      </c>
      <c r="J621">
        <f t="shared" si="100"/>
        <v>-4.0299994344057198E-2</v>
      </c>
      <c r="K621">
        <f t="shared" si="101"/>
        <v>0.57134563653652937</v>
      </c>
      <c r="L621">
        <f>-$B$5*$B$12-IF($B$3,Tabelle2[[#This Row],[Fd]]*Tabelle2[[#This Row],[vy]]/Tabelle2[[#This Row],[v]],0)</f>
        <v>-9.1653116670659767</v>
      </c>
      <c r="M621">
        <f t="shared" si="102"/>
        <v>-6.1102077780439847</v>
      </c>
      <c r="N621">
        <f t="shared" si="103"/>
        <v>-0.1222041555608797</v>
      </c>
      <c r="O621">
        <f t="shared" si="104"/>
        <v>-1.051024252495367</v>
      </c>
      <c r="P621" s="1">
        <f t="shared" si="106"/>
        <v>28.587431823998497</v>
      </c>
      <c r="Q621" s="1">
        <f t="shared" si="107"/>
        <v>-52.490110546987914</v>
      </c>
      <c r="R621">
        <f>SQRT(Tabelle2[[#This Row],[vx]]*Tabelle2[[#This Row],[vx]]+Tabelle2[[#This Row],[vy]]*Tabelle2[[#This Row],[vy]])</f>
        <v>59.770000531426916</v>
      </c>
      <c r="S621">
        <f t="shared" si="108"/>
        <v>516.79791689805506</v>
      </c>
      <c r="T621" s="1">
        <f t="shared" si="109"/>
        <v>17.984880051526769</v>
      </c>
    </row>
    <row r="622" spans="6:20" x14ac:dyDescent="0.35">
      <c r="F622" s="1">
        <f t="shared" si="105"/>
        <v>12.379999999999825</v>
      </c>
      <c r="G622">
        <f>1/2*$B$8*$B$6*$B$7*(Tabelle2[[#This Row],[vx]]*Tabelle2[[#This Row],[vx]]+Tabelle2[[#This Row],[vy]]*Tabelle2[[#This Row],[vy]])/1000000</f>
        <v>6.3380254049542204</v>
      </c>
      <c r="H622">
        <f>IF($B$3,-Tabelle2[[#This Row],[Fd]]*Tabelle2[[#This Row],[vx]]/Tabelle2[[#This Row],[v]],0)</f>
        <v>-3.0226884874699858</v>
      </c>
      <c r="I622">
        <f t="shared" si="99"/>
        <v>-2.0151256583133237</v>
      </c>
      <c r="J622">
        <f t="shared" si="100"/>
        <v>-4.0302513166266478E-2</v>
      </c>
      <c r="K622">
        <f t="shared" si="101"/>
        <v>0.57053961146142618</v>
      </c>
      <c r="L622">
        <f>-$B$5*$B$12-IF($B$3,Tabelle2[[#This Row],[Fd]]*Tabelle2[[#This Row],[vy]]/Tabelle2[[#This Row],[v]],0)</f>
        <v>-9.144190333393043</v>
      </c>
      <c r="M622">
        <f t="shared" si="102"/>
        <v>-6.096126888928695</v>
      </c>
      <c r="N622">
        <f t="shared" si="103"/>
        <v>-0.1219225377785739</v>
      </c>
      <c r="O622">
        <f t="shared" si="104"/>
        <v>-1.0534655194287617</v>
      </c>
      <c r="P622" s="1">
        <f t="shared" si="106"/>
        <v>28.54713182965444</v>
      </c>
      <c r="Q622" s="1">
        <f t="shared" si="107"/>
        <v>-52.612314702548794</v>
      </c>
      <c r="R622">
        <f>SQRT(Tabelle2[[#This Row],[vx]]*Tabelle2[[#This Row],[vx]]+Tabelle2[[#This Row],[vy]]*Tabelle2[[#This Row],[vy]])</f>
        <v>59.858118865027002</v>
      </c>
      <c r="S622">
        <f t="shared" si="108"/>
        <v>517.3692625345916</v>
      </c>
      <c r="T622" s="1">
        <f t="shared" si="109"/>
        <v>16.933855799031402</v>
      </c>
    </row>
    <row r="623" spans="6:20" x14ac:dyDescent="0.35">
      <c r="F623" s="1">
        <f t="shared" si="105"/>
        <v>12.399999999999824</v>
      </c>
      <c r="G623">
        <f>1/2*$B$8*$B$6*$B$7*(Tabelle2[[#This Row],[vx]]*Tabelle2[[#This Row],[vx]]+Tabelle2[[#This Row],[vy]]*Tabelle2[[#This Row],[vy]])/1000000</f>
        <v>6.356678122510429</v>
      </c>
      <c r="H623">
        <f>IF($B$3,-Tabelle2[[#This Row],[Fd]]*Tabelle2[[#This Row],[vx]]/Tabelle2[[#This Row],[v]],0)</f>
        <v>-3.022859412381206</v>
      </c>
      <c r="I623">
        <f t="shared" si="99"/>
        <v>-2.0152396082541375</v>
      </c>
      <c r="J623">
        <f t="shared" si="100"/>
        <v>-4.0304792165082752E-2</v>
      </c>
      <c r="K623">
        <f t="shared" si="101"/>
        <v>0.56973353840811269</v>
      </c>
      <c r="L623">
        <f>-$B$5*$B$12-IF($B$3,Tabelle2[[#This Row],[Fd]]*Tabelle2[[#This Row],[vy]]/Tabelle2[[#This Row],[v]],0)</f>
        <v>-9.1230703038949912</v>
      </c>
      <c r="M623">
        <f t="shared" si="102"/>
        <v>-6.0820468692633272</v>
      </c>
      <c r="N623">
        <f t="shared" si="103"/>
        <v>-0.12164093738526655</v>
      </c>
      <c r="O623">
        <f t="shared" si="104"/>
        <v>-1.0559011541804</v>
      </c>
      <c r="P623" s="1">
        <f t="shared" si="106"/>
        <v>28.506829316488172</v>
      </c>
      <c r="Q623" s="1">
        <f t="shared" si="107"/>
        <v>-52.734237240327367</v>
      </c>
      <c r="R623">
        <f>SQRT(Tabelle2[[#This Row],[vx]]*Tabelle2[[#This Row],[vx]]+Tabelle2[[#This Row],[vy]]*Tabelle2[[#This Row],[vy]])</f>
        <v>59.946134946287565</v>
      </c>
      <c r="S623">
        <f t="shared" si="108"/>
        <v>517.93980214605301</v>
      </c>
      <c r="T623" s="1">
        <f t="shared" si="109"/>
        <v>15.88039027960264</v>
      </c>
    </row>
    <row r="624" spans="6:20" x14ac:dyDescent="0.35">
      <c r="F624" s="1">
        <f t="shared" si="105"/>
        <v>12.419999999999824</v>
      </c>
      <c r="G624">
        <f>1/2*$B$8*$B$6*$B$7*(Tabelle2[[#This Row],[vx]]*Tabelle2[[#This Row],[vx]]+Tabelle2[[#This Row],[vy]]*Tabelle2[[#This Row],[vy]])/1000000</f>
        <v>6.3753362892093071</v>
      </c>
      <c r="H624">
        <f>IF($B$3,-Tabelle2[[#This Row],[Fd]]*Tabelle2[[#This Row],[vx]]/Tabelle2[[#This Row],[v]],0)</f>
        <v>-3.0230123396987429</v>
      </c>
      <c r="I624">
        <f t="shared" si="99"/>
        <v>-2.015341559799162</v>
      </c>
      <c r="J624">
        <f t="shared" si="100"/>
        <v>-4.0306831195983238E-2</v>
      </c>
      <c r="K624">
        <f t="shared" si="101"/>
        <v>0.56892742217450198</v>
      </c>
      <c r="L624">
        <f>-$B$5*$B$12-IF($B$3,Tabelle2[[#This Row],[Fd]]*Tabelle2[[#This Row],[vy]]/Tabelle2[[#This Row],[v]],0)</f>
        <v>-9.1019518802580848</v>
      </c>
      <c r="M624">
        <f t="shared" si="102"/>
        <v>-6.0679679201720562</v>
      </c>
      <c r="N624">
        <f t="shared" si="103"/>
        <v>-0.12135935840344113</v>
      </c>
      <c r="O624">
        <f t="shared" si="104"/>
        <v>-1.058331157138287</v>
      </c>
      <c r="P624" s="1">
        <f t="shared" si="106"/>
        <v>28.466524524323091</v>
      </c>
      <c r="Q624" s="1">
        <f t="shared" si="107"/>
        <v>-52.855878177712633</v>
      </c>
      <c r="R624">
        <f>SQRT(Tabelle2[[#This Row],[vx]]*Tabelle2[[#This Row],[vx]]+Tabelle2[[#This Row],[vy]]*Tabelle2[[#This Row],[vy]])</f>
        <v>60.034047643242296</v>
      </c>
      <c r="S624">
        <f t="shared" si="108"/>
        <v>518.50953568446107</v>
      </c>
      <c r="T624" s="1">
        <f t="shared" si="109"/>
        <v>14.82448912542224</v>
      </c>
    </row>
    <row r="625" spans="6:20" x14ac:dyDescent="0.35">
      <c r="F625" s="1">
        <f t="shared" si="105"/>
        <v>12.439999999999824</v>
      </c>
      <c r="G625">
        <f>1/2*$B$8*$B$6*$B$7*(Tabelle2[[#This Row],[vx]]*Tabelle2[[#This Row],[vx]]+Tabelle2[[#This Row],[vy]]*Tabelle2[[#This Row],[vy]])/1000000</f>
        <v>6.3939995706150663</v>
      </c>
      <c r="H625">
        <f>IF($B$3,-Tabelle2[[#This Row],[Fd]]*Tabelle2[[#This Row],[vx]]/Tabelle2[[#This Row],[v]],0)</f>
        <v>-3.0231472597350288</v>
      </c>
      <c r="I625">
        <f t="shared" si="99"/>
        <v>-2.0154315064900192</v>
      </c>
      <c r="J625">
        <f t="shared" si="100"/>
        <v>-4.0308630129800384E-2</v>
      </c>
      <c r="K625">
        <f t="shared" si="101"/>
        <v>0.56812126756124415</v>
      </c>
      <c r="L625">
        <f>-$B$5*$B$12-IF($B$3,Tabelle2[[#This Row],[Fd]]*Tabelle2[[#This Row],[vy]]/Tabelle2[[#This Row],[v]],0)</f>
        <v>-9.0808353631632102</v>
      </c>
      <c r="M625">
        <f t="shared" si="102"/>
        <v>-6.0538902421088068</v>
      </c>
      <c r="N625">
        <f t="shared" si="103"/>
        <v>-0.12107780484217613</v>
      </c>
      <c r="O625">
        <f t="shared" si="104"/>
        <v>-1.0607555287707431</v>
      </c>
      <c r="P625" s="1">
        <f t="shared" si="106"/>
        <v>28.426217693127107</v>
      </c>
      <c r="Q625" s="1">
        <f t="shared" si="107"/>
        <v>-52.977237536116071</v>
      </c>
      <c r="R625">
        <f>SQRT(Tabelle2[[#This Row],[vx]]*Tabelle2[[#This Row],[vx]]+Tabelle2[[#This Row],[vy]]*Tabelle2[[#This Row],[vy]])</f>
        <v>60.121855837084055</v>
      </c>
      <c r="S625">
        <f t="shared" si="108"/>
        <v>519.07846310663558</v>
      </c>
      <c r="T625" s="1">
        <f t="shared" si="109"/>
        <v>13.766157968283952</v>
      </c>
    </row>
    <row r="626" spans="6:20" x14ac:dyDescent="0.35">
      <c r="F626" s="1">
        <f t="shared" si="105"/>
        <v>12.459999999999823</v>
      </c>
      <c r="G626">
        <f>1/2*$B$8*$B$6*$B$7*(Tabelle2[[#This Row],[vx]]*Tabelle2[[#This Row],[vx]]+Tabelle2[[#This Row],[vy]]*Tabelle2[[#This Row],[vy]])/1000000</f>
        <v>6.4126676337995017</v>
      </c>
      <c r="H626">
        <f>IF($B$3,-Tabelle2[[#This Row],[Fd]]*Tabelle2[[#This Row],[vx]]/Tabelle2[[#This Row],[v]],0)</f>
        <v>-3.0232641639427302</v>
      </c>
      <c r="I626">
        <f t="shared" si="99"/>
        <v>-2.015509442628487</v>
      </c>
      <c r="J626">
        <f t="shared" si="100"/>
        <v>-4.0310188852569741E-2</v>
      </c>
      <c r="K626">
        <f t="shared" si="101"/>
        <v>0.56731507937142045</v>
      </c>
      <c r="L626">
        <f>-$B$5*$B$12-IF($B$3,Tabelle2[[#This Row],[Fd]]*Tabelle2[[#This Row],[vy]]/Tabelle2[[#This Row],[v]],0)</f>
        <v>-9.0597210522734279</v>
      </c>
      <c r="M626">
        <f t="shared" si="102"/>
        <v>-6.039814034848952</v>
      </c>
      <c r="N626">
        <f t="shared" si="103"/>
        <v>-0.12079628069697904</v>
      </c>
      <c r="O626">
        <f t="shared" si="104"/>
        <v>-1.0631742696261346</v>
      </c>
      <c r="P626" s="1">
        <f t="shared" si="106"/>
        <v>28.385909062997307</v>
      </c>
      <c r="Q626" s="1">
        <f t="shared" si="107"/>
        <v>-53.098315340958244</v>
      </c>
      <c r="R626">
        <f>SQRT(Tabelle2[[#This Row],[vx]]*Tabelle2[[#This Row],[vx]]+Tabelle2[[#This Row],[vy]]*Tabelle2[[#This Row],[vy]])</f>
        <v>60.209558422069449</v>
      </c>
      <c r="S626">
        <f t="shared" si="108"/>
        <v>519.64658437419678</v>
      </c>
      <c r="T626" s="1">
        <f t="shared" si="109"/>
        <v>12.705402439513209</v>
      </c>
    </row>
    <row r="627" spans="6:20" x14ac:dyDescent="0.35">
      <c r="F627" s="1">
        <f t="shared" si="105"/>
        <v>12.479999999999823</v>
      </c>
      <c r="G627">
        <f>1/2*$B$8*$B$6*$B$7*(Tabelle2[[#This Row],[vx]]*Tabelle2[[#This Row],[vx]]+Tabelle2[[#This Row],[vy]]*Tabelle2[[#This Row],[vy]])/1000000</f>
        <v>6.4313401473461607</v>
      </c>
      <c r="H627">
        <f>IF($B$3,-Tabelle2[[#This Row],[Fd]]*Tabelle2[[#This Row],[vx]]/Tabelle2[[#This Row],[v]],0)</f>
        <v>-3.0233630449034044</v>
      </c>
      <c r="I627">
        <f t="shared" si="99"/>
        <v>-2.0155753632689364</v>
      </c>
      <c r="J627">
        <f t="shared" si="100"/>
        <v>-4.0311507265378729E-2</v>
      </c>
      <c r="K627">
        <f t="shared" si="101"/>
        <v>0.56650886241024101</v>
      </c>
      <c r="L627">
        <f>-$B$5*$B$12-IF($B$3,Tabelle2[[#This Row],[Fd]]*Tabelle2[[#This Row],[vy]]/Tabelle2[[#This Row],[v]],0)</f>
        <v>-9.0386092462217729</v>
      </c>
      <c r="M627">
        <f t="shared" si="102"/>
        <v>-6.0257394974811822</v>
      </c>
      <c r="N627">
        <f t="shared" si="103"/>
        <v>-0.12051478994962364</v>
      </c>
      <c r="O627">
        <f t="shared" si="104"/>
        <v>-1.0655873803326008</v>
      </c>
      <c r="P627" s="1">
        <f t="shared" si="106"/>
        <v>28.345598874144738</v>
      </c>
      <c r="Q627" s="1">
        <f t="shared" si="107"/>
        <v>-53.219111621655223</v>
      </c>
      <c r="R627">
        <f>SQRT(Tabelle2[[#This Row],[vx]]*Tabelle2[[#This Row],[vx]]+Tabelle2[[#This Row],[vy]]*Tabelle2[[#This Row],[vy]])</f>
        <v>60.297154305424016</v>
      </c>
      <c r="S627">
        <f t="shared" si="108"/>
        <v>520.21389945356816</v>
      </c>
      <c r="T627" s="1">
        <f t="shared" si="109"/>
        <v>11.642228169887074</v>
      </c>
    </row>
    <row r="628" spans="6:20" x14ac:dyDescent="0.35">
      <c r="F628" s="1">
        <f t="shared" si="105"/>
        <v>12.499999999999822</v>
      </c>
      <c r="G628">
        <f>1/2*$B$8*$B$6*$B$7*(Tabelle2[[#This Row],[vx]]*Tabelle2[[#This Row],[vx]]+Tabelle2[[#This Row],[vy]]*Tabelle2[[#This Row],[vy]])/1000000</f>
        <v>6.4500167813544085</v>
      </c>
      <c r="H628">
        <f>IF($B$3,-Tabelle2[[#This Row],[Fd]]*Tabelle2[[#This Row],[vx]]/Tabelle2[[#This Row],[v]],0)</f>
        <v>-3.0234438963162158</v>
      </c>
      <c r="I628">
        <f t="shared" si="99"/>
        <v>-2.0156292642108107</v>
      </c>
      <c r="J628">
        <f t="shared" si="100"/>
        <v>-4.0312585284216211E-2</v>
      </c>
      <c r="K628">
        <f t="shared" si="101"/>
        <v>0.56570262148474504</v>
      </c>
      <c r="L628">
        <f>-$B$5*$B$12-IF($B$3,Tabelle2[[#This Row],[Fd]]*Tabelle2[[#This Row],[vy]]/Tabelle2[[#This Row],[v]],0)</f>
        <v>-9.0175002425992421</v>
      </c>
      <c r="M628">
        <f t="shared" si="102"/>
        <v>-6.0116668283994947</v>
      </c>
      <c r="N628">
        <f t="shared" si="103"/>
        <v>-0.1202333365679899</v>
      </c>
      <c r="O628">
        <f t="shared" si="104"/>
        <v>-1.0679948615977768</v>
      </c>
      <c r="P628" s="1">
        <f t="shared" si="106"/>
        <v>28.305287366879359</v>
      </c>
      <c r="Q628" s="1">
        <f t="shared" si="107"/>
        <v>-53.339626411604847</v>
      </c>
      <c r="R628">
        <f>SQRT(Tabelle2[[#This Row],[vx]]*Tabelle2[[#This Row],[vx]]+Tabelle2[[#This Row],[vy]]*Tabelle2[[#This Row],[vy]])</f>
        <v>60.384642407247838</v>
      </c>
      <c r="S628">
        <f t="shared" si="108"/>
        <v>520.78040831597843</v>
      </c>
      <c r="T628" s="1">
        <f t="shared" si="109"/>
        <v>10.576640789554475</v>
      </c>
    </row>
    <row r="629" spans="6:20" x14ac:dyDescent="0.35">
      <c r="F629" s="1">
        <f t="shared" si="105"/>
        <v>12.519999999999822</v>
      </c>
      <c r="G629">
        <f>1/2*$B$8*$B$6*$B$7*(Tabelle2[[#This Row],[vx]]*Tabelle2[[#This Row],[vx]]+Tabelle2[[#This Row],[vy]]*Tabelle2[[#This Row],[vy]])/1000000</f>
        <v>6.4686972074434115</v>
      </c>
      <c r="H629">
        <f>IF($B$3,-Tabelle2[[#This Row],[Fd]]*Tabelle2[[#This Row],[vx]]/Tabelle2[[#This Row],[v]],0)</f>
        <v>-3.0235067129867099</v>
      </c>
      <c r="I629">
        <f t="shared" si="99"/>
        <v>-2.0156711419911399</v>
      </c>
      <c r="J629">
        <f t="shared" si="100"/>
        <v>-4.0313422839822803E-2</v>
      </c>
      <c r="K629">
        <f t="shared" si="101"/>
        <v>0.56489636140350463</v>
      </c>
      <c r="L629">
        <f>-$B$5*$B$12-IF($B$3,Tabelle2[[#This Row],[Fd]]*Tabelle2[[#This Row],[vy]]/Tabelle2[[#This Row],[v]],0)</f>
        <v>-8.9963943379429914</v>
      </c>
      <c r="M629">
        <f t="shared" si="102"/>
        <v>-5.9975962252953279</v>
      </c>
      <c r="N629">
        <f t="shared" si="103"/>
        <v>-0.11995192450590655</v>
      </c>
      <c r="O629">
        <f t="shared" si="104"/>
        <v>-1.070396714208516</v>
      </c>
      <c r="P629" s="1">
        <f t="shared" si="106"/>
        <v>28.264974781595143</v>
      </c>
      <c r="Q629" s="1">
        <f t="shared" si="107"/>
        <v>-53.459859748172839</v>
      </c>
      <c r="R629">
        <f>SQRT(Tabelle2[[#This Row],[vx]]*Tabelle2[[#This Row],[vx]]+Tabelle2[[#This Row],[vy]]*Tabelle2[[#This Row],[vy]])</f>
        <v>60.472021660421774</v>
      </c>
      <c r="S629">
        <f t="shared" si="108"/>
        <v>521.34611093746321</v>
      </c>
      <c r="T629" s="1">
        <f t="shared" si="109"/>
        <v>9.5086459279566977</v>
      </c>
    </row>
    <row r="630" spans="6:20" x14ac:dyDescent="0.35">
      <c r="F630" s="1">
        <f t="shared" si="105"/>
        <v>12.539999999999822</v>
      </c>
      <c r="G630">
        <f>1/2*$B$8*$B$6*$B$7*(Tabelle2[[#This Row],[vx]]*Tabelle2[[#This Row],[vx]]+Tabelle2[[#This Row],[vy]]*Tabelle2[[#This Row],[vy]])/1000000</f>
        <v>6.4873810987560079</v>
      </c>
      <c r="H630">
        <f>IF($B$3,-Tabelle2[[#This Row],[Fd]]*Tabelle2[[#This Row],[vx]]/Tabelle2[[#This Row],[v]],0)</f>
        <v>-3.0235514908156427</v>
      </c>
      <c r="I630">
        <f t="shared" si="99"/>
        <v>-2.0157009938770951</v>
      </c>
      <c r="J630">
        <f t="shared" si="100"/>
        <v>-4.03140198775419E-2</v>
      </c>
      <c r="K630">
        <f t="shared" si="101"/>
        <v>0.56409008697633101</v>
      </c>
      <c r="L630">
        <f>-$B$5*$B$12-IF($B$3,Tabelle2[[#This Row],[Fd]]*Tabelle2[[#This Row],[vy]]/Tabelle2[[#This Row],[v]],0)</f>
        <v>-8.9752918277247566</v>
      </c>
      <c r="M630">
        <f t="shared" si="102"/>
        <v>-5.9835278851498375</v>
      </c>
      <c r="N630">
        <f t="shared" si="103"/>
        <v>-0.11967055770299675</v>
      </c>
      <c r="O630">
        <f t="shared" si="104"/>
        <v>-1.072792939030605</v>
      </c>
      <c r="P630" s="1">
        <f t="shared" si="106"/>
        <v>28.22466135875532</v>
      </c>
      <c r="Q630" s="1">
        <f t="shared" si="107"/>
        <v>-53.579811672678744</v>
      </c>
      <c r="R630">
        <f>SQRT(Tabelle2[[#This Row],[vx]]*Tabelle2[[#This Row],[vx]]+Tabelle2[[#This Row],[vy]]*Tabelle2[[#This Row],[vy]])</f>
        <v>60.559291010514123</v>
      </c>
      <c r="S630">
        <f t="shared" si="108"/>
        <v>521.91100729886671</v>
      </c>
      <c r="T630" s="1">
        <f t="shared" si="109"/>
        <v>8.4382492137481826</v>
      </c>
    </row>
    <row r="631" spans="6:20" x14ac:dyDescent="0.35">
      <c r="F631" s="1">
        <f t="shared" si="105"/>
        <v>12.559999999999821</v>
      </c>
      <c r="G631">
        <f>1/2*$B$8*$B$6*$B$7*(Tabelle2[[#This Row],[vx]]*Tabelle2[[#This Row],[vx]]+Tabelle2[[#This Row],[vy]]*Tabelle2[[#This Row],[vy]])/1000000</f>
        <v>6.5060681299625021</v>
      </c>
      <c r="H631">
        <f>IF($B$3,-Tabelle2[[#This Row],[Fd]]*Tabelle2[[#This Row],[vx]]/Tabelle2[[#This Row],[v]],0)</f>
        <v>-3.0235782267878752</v>
      </c>
      <c r="I631">
        <f t="shared" si="99"/>
        <v>-2.0157188178585836</v>
      </c>
      <c r="J631">
        <f t="shared" si="100"/>
        <v>-4.0314376357171673E-2</v>
      </c>
      <c r="K631">
        <f t="shared" si="101"/>
        <v>0.56328380301398384</v>
      </c>
      <c r="L631">
        <f>-$B$5*$B$12-IF($B$3,Tabelle2[[#This Row],[Fd]]*Tabelle2[[#This Row],[vy]]/Tabelle2[[#This Row],[v]],0)</f>
        <v>-8.9541930063394712</v>
      </c>
      <c r="M631">
        <f t="shared" si="102"/>
        <v>-5.9694620042263145</v>
      </c>
      <c r="N631">
        <f t="shared" si="103"/>
        <v>-0.1193892400845263</v>
      </c>
      <c r="O631">
        <f t="shared" si="104"/>
        <v>-1.0751835370084801</v>
      </c>
      <c r="P631" s="1">
        <f t="shared" si="106"/>
        <v>28.184347338877778</v>
      </c>
      <c r="Q631" s="1">
        <f t="shared" si="107"/>
        <v>-53.69948223038174</v>
      </c>
      <c r="R631">
        <f>SQRT(Tabelle2[[#This Row],[vx]]*Tabelle2[[#This Row],[vx]]+Tabelle2[[#This Row],[vy]]*Tabelle2[[#This Row],[vy]])</f>
        <v>60.646449415687897</v>
      </c>
      <c r="S631">
        <f t="shared" si="108"/>
        <v>522.47509738584301</v>
      </c>
      <c r="T631" s="1">
        <f t="shared" si="109"/>
        <v>7.3654562747175776</v>
      </c>
    </row>
    <row r="632" spans="6:20" x14ac:dyDescent="0.35">
      <c r="F632" s="1">
        <f t="shared" si="105"/>
        <v>12.579999999999821</v>
      </c>
      <c r="G632">
        <f>1/2*$B$8*$B$6*$B$7*(Tabelle2[[#This Row],[vx]]*Tabelle2[[#This Row],[vx]]+Tabelle2[[#This Row],[vy]]*Tabelle2[[#This Row],[vy]])/1000000</f>
        <v>6.5247579772643443</v>
      </c>
      <c r="H632">
        <f>IF($B$3,-Tabelle2[[#This Row],[Fd]]*Tabelle2[[#This Row],[vx]]/Tabelle2[[#This Row],[v]],0)</f>
        <v>-3.0235869189613167</v>
      </c>
      <c r="I632">
        <f t="shared" si="99"/>
        <v>-2.0157246126408777</v>
      </c>
      <c r="J632">
        <f t="shared" si="100"/>
        <v>-4.0314492252817552E-2</v>
      </c>
      <c r="K632">
        <f t="shared" si="101"/>
        <v>0.56247751432788395</v>
      </c>
      <c r="L632">
        <f>-$B$5*$B$12-IF($B$3,Tabelle2[[#This Row],[Fd]]*Tabelle2[[#This Row],[vy]]/Tabelle2[[#This Row],[v]],0)</f>
        <v>-8.9330981670940908</v>
      </c>
      <c r="M632">
        <f t="shared" si="102"/>
        <v>-5.9553987780627269</v>
      </c>
      <c r="N632">
        <f t="shared" si="103"/>
        <v>-0.11910797556125453</v>
      </c>
      <c r="O632">
        <f t="shared" si="104"/>
        <v>-1.0775685091649378</v>
      </c>
      <c r="P632" s="1">
        <f t="shared" si="106"/>
        <v>28.144032962520605</v>
      </c>
      <c r="Q632" s="1">
        <f t="shared" si="107"/>
        <v>-53.818871470466263</v>
      </c>
      <c r="R632">
        <f>SQRT(Tabelle2[[#This Row],[vx]]*Tabelle2[[#This Row],[vx]]+Tabelle2[[#This Row],[vy]]*Tabelle2[[#This Row],[vy]])</f>
        <v>60.733495846608513</v>
      </c>
      <c r="S632">
        <f t="shared" si="108"/>
        <v>523.03838118885699</v>
      </c>
      <c r="T632" s="1">
        <f t="shared" si="109"/>
        <v>6.2902727377090972</v>
      </c>
    </row>
    <row r="633" spans="6:20" x14ac:dyDescent="0.35">
      <c r="F633" s="1">
        <f t="shared" si="105"/>
        <v>12.59999999999982</v>
      </c>
      <c r="G633">
        <f>1/2*$B$8*$B$6*$B$7*(Tabelle2[[#This Row],[vx]]*Tabelle2[[#This Row],[vx]]+Tabelle2[[#This Row],[vy]]*Tabelle2[[#This Row],[vy]])/1000000</f>
        <v>6.5434503183977419</v>
      </c>
      <c r="H633">
        <f>IF($B$3,-Tabelle2[[#This Row],[Fd]]*Tabelle2[[#This Row],[vx]]/Tabelle2[[#This Row],[v]],0)</f>
        <v>-3.0235775664559421</v>
      </c>
      <c r="I633">
        <f t="shared" si="99"/>
        <v>-2.0157183776372949</v>
      </c>
      <c r="J633">
        <f t="shared" si="100"/>
        <v>-4.0314367552745901E-2</v>
      </c>
      <c r="K633">
        <f t="shared" si="101"/>
        <v>0.56167122572982831</v>
      </c>
      <c r="L633">
        <f>-$B$5*$B$12-IF($B$3,Tabelle2[[#This Row],[Fd]]*Tabelle2[[#This Row],[vy]]/Tabelle2[[#This Row],[v]],0)</f>
        <v>-8.9120076021966153</v>
      </c>
      <c r="M633">
        <f t="shared" si="102"/>
        <v>-5.9413384014644102</v>
      </c>
      <c r="N633">
        <f t="shared" si="103"/>
        <v>-0.11882676802928821</v>
      </c>
      <c r="O633">
        <f t="shared" si="104"/>
        <v>-1.0799478566008434</v>
      </c>
      <c r="P633" s="1">
        <f t="shared" si="106"/>
        <v>28.103718470267786</v>
      </c>
      <c r="Q633" s="1">
        <f t="shared" si="107"/>
        <v>-53.937979446027519</v>
      </c>
      <c r="R633">
        <f>SQRT(Tabelle2[[#This Row],[vx]]*Tabelle2[[#This Row],[vx]]+Tabelle2[[#This Row],[vy]]*Tabelle2[[#This Row],[vy]])</f>
        <v>60.820429286352116</v>
      </c>
      <c r="S633">
        <f t="shared" si="108"/>
        <v>523.60085870318483</v>
      </c>
      <c r="T633" s="1">
        <f t="shared" si="109"/>
        <v>5.2127042285441592</v>
      </c>
    </row>
    <row r="634" spans="6:20" x14ac:dyDescent="0.35">
      <c r="F634" s="1">
        <f t="shared" si="105"/>
        <v>12.61999999999982</v>
      </c>
      <c r="G634">
        <f>1/2*$B$8*$B$6*$B$7*(Tabelle2[[#This Row],[vx]]*Tabelle2[[#This Row],[vx]]+Tabelle2[[#This Row],[vy]]*Tabelle2[[#This Row],[vy]])/1000000</f>
        <v>6.562144832637145</v>
      </c>
      <c r="H634">
        <f>IF($B$3,-Tabelle2[[#This Row],[Fd]]*Tabelle2[[#This Row],[vx]]/Tabelle2[[#This Row],[v]],0)</f>
        <v>-3.0235501694428488</v>
      </c>
      <c r="I634">
        <f t="shared" si="99"/>
        <v>-2.0157001129618992</v>
      </c>
      <c r="J634">
        <f t="shared" si="100"/>
        <v>-4.0314002259237987E-2</v>
      </c>
      <c r="K634">
        <f t="shared" si="101"/>
        <v>0.56086494203170845</v>
      </c>
      <c r="L634">
        <f>-$B$5*$B$12-IF($B$3,Tabelle2[[#This Row],[Fd]]*Tabelle2[[#This Row],[vy]]/Tabelle2[[#This Row],[v]],0)</f>
        <v>-8.8909216027453315</v>
      </c>
      <c r="M634">
        <f t="shared" si="102"/>
        <v>-5.927281068496888</v>
      </c>
      <c r="N634">
        <f t="shared" si="103"/>
        <v>-0.11854562136993776</v>
      </c>
      <c r="O634">
        <f t="shared" si="104"/>
        <v>-1.0823215804948354</v>
      </c>
      <c r="P634" s="1">
        <f t="shared" si="106"/>
        <v>28.06340410271504</v>
      </c>
      <c r="Q634" s="1">
        <f t="shared" si="107"/>
        <v>-54.056806214056806</v>
      </c>
      <c r="R634">
        <f>SQRT(Tabelle2[[#This Row],[vx]]*Tabelle2[[#This Row],[vx]]+Tabelle2[[#This Row],[vy]]*Tabelle2[[#This Row],[vy]])</f>
        <v>60.907248730314308</v>
      </c>
      <c r="S634">
        <f t="shared" si="108"/>
        <v>524.16252992891464</v>
      </c>
      <c r="T634" s="1">
        <f t="shared" si="109"/>
        <v>4.1327563719433158</v>
      </c>
    </row>
    <row r="635" spans="6:20" x14ac:dyDescent="0.35">
      <c r="F635" s="1">
        <f t="shared" si="105"/>
        <v>12.639999999999819</v>
      </c>
      <c r="G635">
        <f>1/2*$B$8*$B$6*$B$7*(Tabelle2[[#This Row],[vx]]*Tabelle2[[#This Row],[vx]]+Tabelle2[[#This Row],[vy]]*Tabelle2[[#This Row],[vy]])/1000000</f>
        <v>6.5808412007986679</v>
      </c>
      <c r="H635">
        <f>IF($B$3,-Tabelle2[[#This Row],[Fd]]*Tabelle2[[#This Row],[vx]]/Tabelle2[[#This Row],[v]],0)</f>
        <v>-3.0235047291333879</v>
      </c>
      <c r="I635">
        <f t="shared" si="99"/>
        <v>-2.0156698194222584</v>
      </c>
      <c r="J635">
        <f t="shared" si="100"/>
        <v>-4.0313396388445166E-2</v>
      </c>
      <c r="K635">
        <f t="shared" si="101"/>
        <v>0.56005866804523163</v>
      </c>
      <c r="L635">
        <f>-$B$5*$B$12-IF($B$3,Tabelle2[[#This Row],[Fd]]*Tabelle2[[#This Row],[vy]]/Tabelle2[[#This Row],[v]],0)</f>
        <v>-8.8698404587182296</v>
      </c>
      <c r="M635">
        <f t="shared" si="102"/>
        <v>-5.91322697247882</v>
      </c>
      <c r="N635">
        <f t="shared" si="103"/>
        <v>-0.11826453944957641</v>
      </c>
      <c r="O635">
        <f t="shared" si="104"/>
        <v>-1.0846896821030307</v>
      </c>
      <c r="P635" s="1">
        <f t="shared" si="106"/>
        <v>28.023090100455804</v>
      </c>
      <c r="Q635" s="1">
        <f t="shared" si="107"/>
        <v>-54.175351835426746</v>
      </c>
      <c r="R635">
        <f>SQRT(Tabelle2[[#This Row],[vx]]*Tabelle2[[#This Row],[vx]]+Tabelle2[[#This Row],[vy]]*Tabelle2[[#This Row],[vy]])</f>
        <v>60.993953186119519</v>
      </c>
      <c r="S635">
        <f t="shared" si="108"/>
        <v>524.72339487094632</v>
      </c>
      <c r="T635" s="1">
        <f t="shared" si="109"/>
        <v>3.0504347914484802</v>
      </c>
    </row>
    <row r="636" spans="6:20" x14ac:dyDescent="0.35">
      <c r="F636" s="1">
        <f t="shared" si="105"/>
        <v>12.659999999999819</v>
      </c>
      <c r="G636">
        <f>1/2*$B$8*$B$6*$B$7*(Tabelle2[[#This Row],[vx]]*Tabelle2[[#This Row],[vx]]+Tabelle2[[#This Row],[vy]]*Tabelle2[[#This Row],[vy]])/1000000</f>
        <v>6.5995391052433954</v>
      </c>
      <c r="H636">
        <f>IF($B$3,-Tabelle2[[#This Row],[Fd]]*Tabelle2[[#This Row],[vx]]/Tabelle2[[#This Row],[v]],0)</f>
        <v>-3.0234412477683463</v>
      </c>
      <c r="I636">
        <f t="shared" si="99"/>
        <v>-2.0156274985122309</v>
      </c>
      <c r="J636">
        <f t="shared" si="100"/>
        <v>-4.0312549970244617E-2</v>
      </c>
      <c r="K636">
        <f t="shared" si="101"/>
        <v>0.55925240858164471</v>
      </c>
      <c r="L636">
        <f>-$B$5*$B$12-IF($B$3,Tabelle2[[#This Row],[Fd]]*Tabelle2[[#This Row],[vy]]/Tabelle2[[#This Row],[v]],0)</f>
        <v>-8.8487644589626484</v>
      </c>
      <c r="M636">
        <f t="shared" si="102"/>
        <v>-5.8991763059750992</v>
      </c>
      <c r="N636">
        <f t="shared" si="103"/>
        <v>-0.11798352611950198</v>
      </c>
      <c r="O636">
        <f t="shared" si="104"/>
        <v>-1.0870521627587215</v>
      </c>
      <c r="P636" s="1">
        <f t="shared" si="106"/>
        <v>27.982776704067359</v>
      </c>
      <c r="Q636" s="1">
        <f t="shared" si="107"/>
        <v>-54.293616374876322</v>
      </c>
      <c r="R636">
        <f>SQRT(Tabelle2[[#This Row],[vx]]*Tabelle2[[#This Row],[vx]]+Tabelle2[[#This Row],[vy]]*Tabelle2[[#This Row],[vy]])</f>
        <v>61.080541673530803</v>
      </c>
      <c r="S636">
        <f t="shared" si="108"/>
        <v>525.28345353899158</v>
      </c>
      <c r="T636" s="1">
        <f t="shared" si="109"/>
        <v>1.9657451093454494</v>
      </c>
    </row>
    <row r="637" spans="6:20" x14ac:dyDescent="0.35">
      <c r="F637" s="1">
        <f t="shared" si="105"/>
        <v>12.679999999999819</v>
      </c>
      <c r="G637">
        <f>1/2*$B$8*$B$6*$B$7*(Tabelle2[[#This Row],[vx]]*Tabelle2[[#This Row],[vx]]+Tabelle2[[#This Row],[vy]]*Tabelle2[[#This Row],[vy]])/1000000</f>
        <v>6.6182382298806059</v>
      </c>
      <c r="H637">
        <f>IF($B$3,-Tabelle2[[#This Row],[Fd]]*Tabelle2[[#This Row],[vx]]/Tabelle2[[#This Row],[v]],0)</f>
        <v>-3.0233597286071903</v>
      </c>
      <c r="I637">
        <f t="shared" si="99"/>
        <v>-2.0155731524047935</v>
      </c>
      <c r="J637">
        <f t="shared" si="100"/>
        <v>-4.0311463048095873E-2</v>
      </c>
      <c r="K637">
        <f t="shared" si="101"/>
        <v>0.55844616845146133</v>
      </c>
      <c r="L637">
        <f>-$B$5*$B$12-IF($B$3,Tabelle2[[#This Row],[Fd]]*Tabelle2[[#This Row],[vy]]/Tabelle2[[#This Row],[v]],0)</f>
        <v>-8.8276938911850831</v>
      </c>
      <c r="M637">
        <f t="shared" si="102"/>
        <v>-5.8851292607900554</v>
      </c>
      <c r="N637">
        <f t="shared" si="103"/>
        <v>-0.11770258521580111</v>
      </c>
      <c r="O637">
        <f t="shared" si="104"/>
        <v>-1.0894090238720744</v>
      </c>
      <c r="P637" s="1">
        <f t="shared" si="106"/>
        <v>27.942464154097113</v>
      </c>
      <c r="Q637" s="1">
        <f t="shared" si="107"/>
        <v>-54.411599900995824</v>
      </c>
      <c r="R637">
        <f>SQRT(Tabelle2[[#This Row],[vx]]*Tabelle2[[#This Row],[vx]]+Tabelle2[[#This Row],[vy]]*Tabelle2[[#This Row],[vy]])</f>
        <v>61.167013224360161</v>
      </c>
      <c r="S637">
        <f t="shared" si="108"/>
        <v>525.84270594757322</v>
      </c>
      <c r="T637" s="1">
        <f t="shared" si="109"/>
        <v>0.87869294658672792</v>
      </c>
    </row>
    <row r="638" spans="6:20" x14ac:dyDescent="0.35">
      <c r="F638" s="1">
        <f t="shared" si="105"/>
        <v>12.699999999999818</v>
      </c>
      <c r="G638">
        <f>1/2*$B$8*$B$6*$B$7*(Tabelle2[[#This Row],[vx]]*Tabelle2[[#This Row],[vx]]+Tabelle2[[#This Row],[vy]]*Tabelle2[[#This Row],[vy]])/1000000</f>
        <v>6.6369382601709006</v>
      </c>
      <c r="H638">
        <f>IF($B$3,-Tabelle2[[#This Row],[Fd]]*Tabelle2[[#This Row],[vx]]/Tabelle2[[#This Row],[v]],0)</f>
        <v>-3.0232601759173696</v>
      </c>
      <c r="I638">
        <f t="shared" si="99"/>
        <v>-2.0155067839449132</v>
      </c>
      <c r="J638">
        <f t="shared" si="100"/>
        <v>-4.0310135678898268E-2</v>
      </c>
      <c r="K638">
        <f t="shared" si="101"/>
        <v>0.5576399524641914</v>
      </c>
      <c r="L638">
        <f>-$B$5*$B$12-IF($B$3,Tabelle2[[#This Row],[Fd]]*Tabelle2[[#This Row],[vy]]/Tabelle2[[#This Row],[v]],0)</f>
        <v>-8.8066290419412212</v>
      </c>
      <c r="M638">
        <f t="shared" si="102"/>
        <v>-5.8710860279608141</v>
      </c>
      <c r="N638">
        <f t="shared" si="103"/>
        <v>-0.11742172055921629</v>
      </c>
      <c r="O638">
        <f t="shared" si="104"/>
        <v>-1.0917602669298248</v>
      </c>
      <c r="P638" s="1">
        <f t="shared" si="106"/>
        <v>27.902152691049018</v>
      </c>
      <c r="Q638" s="1">
        <f t="shared" si="107"/>
        <v>-54.529302486211627</v>
      </c>
      <c r="R638">
        <f>SQRT(Tabelle2[[#This Row],[vx]]*Tabelle2[[#This Row],[vx]]+Tabelle2[[#This Row],[vy]]*Tabelle2[[#This Row],[vy]])</f>
        <v>61.253366882379453</v>
      </c>
      <c r="S638">
        <f t="shared" si="108"/>
        <v>526.40115211602472</v>
      </c>
      <c r="T638" s="1">
        <f t="shared" si="109"/>
        <v>-0.21071607728534647</v>
      </c>
    </row>
    <row r="639" spans="6:20" x14ac:dyDescent="0.35">
      <c r="F639" s="1">
        <f t="shared" si="105"/>
        <v>12.719999999999818</v>
      </c>
      <c r="G639">
        <f>1/2*$B$8*$B$6*$B$7*(Tabelle2[[#This Row],[vx]]*Tabelle2[[#This Row],[vx]]+Tabelle2[[#This Row],[vy]]*Tabelle2[[#This Row],[vy]])/1000000</f>
        <v>6.6556388831292317</v>
      </c>
      <c r="H639">
        <f>IF($B$3,-Tabelle2[[#This Row],[Fd]]*Tabelle2[[#This Row],[vx]]/Tabelle2[[#This Row],[v]],0)</f>
        <v>-3.023142594963673</v>
      </c>
      <c r="I639">
        <f t="shared" si="99"/>
        <v>-2.0154283966424487</v>
      </c>
      <c r="J639">
        <f t="shared" si="100"/>
        <v>-4.0308567932848975E-2</v>
      </c>
      <c r="K639">
        <f t="shared" si="101"/>
        <v>0.55683376542807395</v>
      </c>
      <c r="L639">
        <f>-$B$5*$B$12-IF($B$3,Tabelle2[[#This Row],[Fd]]*Tabelle2[[#This Row],[vy]]/Tabelle2[[#This Row],[v]],0)</f>
        <v>-8.7855701966261517</v>
      </c>
      <c r="M639">
        <f t="shared" si="102"/>
        <v>-5.8570467977507681</v>
      </c>
      <c r="N639">
        <f t="shared" si="103"/>
        <v>-0.11714093595501536</v>
      </c>
      <c r="O639">
        <f t="shared" si="104"/>
        <v>-1.094105893494967</v>
      </c>
      <c r="P639" s="1">
        <f t="shared" si="106"/>
        <v>27.861842555370121</v>
      </c>
      <c r="Q639" s="1">
        <f t="shared" si="107"/>
        <v>-54.646724206770841</v>
      </c>
      <c r="R639">
        <f>SQRT(Tabelle2[[#This Row],[vx]]*Tabelle2[[#This Row],[vx]]+Tabelle2[[#This Row],[vy]]*Tabelle2[[#This Row],[vy]])</f>
        <v>61.339601703231722</v>
      </c>
      <c r="S639">
        <f t="shared" si="108"/>
        <v>526.95879206848895</v>
      </c>
      <c r="T639" s="1">
        <f t="shared" si="109"/>
        <v>-1.3024763442151712</v>
      </c>
    </row>
    <row r="640" spans="6:20" x14ac:dyDescent="0.35">
      <c r="F640" s="1">
        <f t="shared" si="105"/>
        <v>12.739999999999817</v>
      </c>
      <c r="G640">
        <f>1/2*$B$8*$B$6*$B$7*(Tabelle2[[#This Row],[vx]]*Tabelle2[[#This Row],[vx]]+Tabelle2[[#This Row],[vy]]*Tabelle2[[#This Row],[vy]])/1000000</f>
        <v>6.6743397873278498</v>
      </c>
      <c r="H640">
        <f>IF($B$3,-Tabelle2[[#This Row],[Fd]]*Tabelle2[[#This Row],[vx]]/Tabelle2[[#This Row],[v]],0)</f>
        <v>-3.0230069919976521</v>
      </c>
      <c r="I640">
        <f t="shared" si="99"/>
        <v>-2.0153379946651016</v>
      </c>
      <c r="J640">
        <f t="shared" si="100"/>
        <v>-4.0306759893302034E-2</v>
      </c>
      <c r="K640">
        <f t="shared" si="101"/>
        <v>0.55602761214981233</v>
      </c>
      <c r="L640">
        <f>-$B$5*$B$12-IF($B$3,Tabelle2[[#This Row],[Fd]]*Tabelle2[[#This Row],[vy]]/Tabelle2[[#This Row],[v]],0)</f>
        <v>-8.7645176394647741</v>
      </c>
      <c r="M640">
        <f t="shared" si="102"/>
        <v>-5.8430117596431828</v>
      </c>
      <c r="N640">
        <f t="shared" si="103"/>
        <v>-0.11686023519286366</v>
      </c>
      <c r="O640">
        <f t="shared" si="104"/>
        <v>-1.0964459052064457</v>
      </c>
      <c r="P640" s="1">
        <f t="shared" si="106"/>
        <v>27.82153398743727</v>
      </c>
      <c r="Q640" s="1">
        <f t="shared" si="107"/>
        <v>-54.763865142725855</v>
      </c>
      <c r="R640">
        <f>SQRT(Tabelle2[[#This Row],[vx]]*Tabelle2[[#This Row],[vx]]+Tabelle2[[#This Row],[vy]]*Tabelle2[[#This Row],[vy]])</f>
        <v>61.425716754343135</v>
      </c>
      <c r="S640">
        <f t="shared" si="108"/>
        <v>527.51562583391706</v>
      </c>
      <c r="T640" s="1">
        <f t="shared" si="109"/>
        <v>-2.3965822377101382</v>
      </c>
    </row>
    <row r="641" spans="6:20" x14ac:dyDescent="0.35">
      <c r="F641" s="1">
        <f t="shared" si="105"/>
        <v>12.759999999999817</v>
      </c>
      <c r="G641">
        <f>1/2*$B$8*$B$6*$B$7*(Tabelle2[[#This Row],[vx]]*Tabelle2[[#This Row],[vx]]+Tabelle2[[#This Row],[vy]]*Tabelle2[[#This Row],[vy]])/1000000</f>
        <v>6.6930406628991541</v>
      </c>
      <c r="H641">
        <f>IF($B$3,-Tabelle2[[#This Row],[Fd]]*Tabelle2[[#This Row],[vx]]/Tabelle2[[#This Row],[v]],0)</f>
        <v>-3.0228533742470991</v>
      </c>
      <c r="I641">
        <f t="shared" si="99"/>
        <v>-2.0152355828313993</v>
      </c>
      <c r="J641">
        <f t="shared" si="100"/>
        <v>-4.0304711656627988E-2</v>
      </c>
      <c r="K641">
        <f t="shared" si="101"/>
        <v>0.55522149743431304</v>
      </c>
      <c r="L641">
        <f>-$B$5*$B$12-IF($B$3,Tabelle2[[#This Row],[Fd]]*Tabelle2[[#This Row],[vy]]/Tabelle2[[#This Row],[v]],0)</f>
        <v>-8.7434716535023895</v>
      </c>
      <c r="M641">
        <f t="shared" si="102"/>
        <v>-5.8289811023349261</v>
      </c>
      <c r="N641">
        <f t="shared" si="103"/>
        <v>-0.11657962204669853</v>
      </c>
      <c r="O641">
        <f t="shared" si="104"/>
        <v>-1.0987803037788415</v>
      </c>
      <c r="P641" s="1">
        <f t="shared" si="106"/>
        <v>27.781227227543969</v>
      </c>
      <c r="Q641" s="1">
        <f t="shared" si="107"/>
        <v>-54.880725377918722</v>
      </c>
      <c r="R641">
        <f>SQRT(Tabelle2[[#This Row],[vx]]*Tabelle2[[#This Row],[vx]]+Tabelle2[[#This Row],[vy]]*Tabelle2[[#This Row],[vy]])</f>
        <v>61.511711114835379</v>
      </c>
      <c r="S641">
        <f t="shared" si="108"/>
        <v>528.07165344606688</v>
      </c>
      <c r="T641" s="1">
        <f t="shared" si="109"/>
        <v>-3.4930281429165841</v>
      </c>
    </row>
    <row r="642" spans="6:20" x14ac:dyDescent="0.35">
      <c r="F642" s="1">
        <f t="shared" si="105"/>
        <v>12.779999999999816</v>
      </c>
      <c r="G642">
        <f>1/2*$B$8*$B$6*$B$7*(Tabelle2[[#This Row],[vx]]*Tabelle2[[#This Row],[vx]]+Tabelle2[[#This Row],[vy]]*Tabelle2[[#This Row],[vy]])/1000000</f>
        <v>6.7117412015384357</v>
      </c>
      <c r="H642">
        <f>IF($B$3,-Tabelle2[[#This Row],[Fd]]*Tabelle2[[#This Row],[vx]]/Tabelle2[[#This Row],[v]],0)</f>
        <v>-3.0226817499055803</v>
      </c>
      <c r="I642">
        <f t="shared" si="99"/>
        <v>-2.0151211666037203</v>
      </c>
      <c r="J642">
        <f t="shared" si="100"/>
        <v>-4.0302423332074407E-2</v>
      </c>
      <c r="K642">
        <f t="shared" si="101"/>
        <v>0.55441542608442607</v>
      </c>
      <c r="L642">
        <f>-$B$5*$B$12-IF($B$3,Tabelle2[[#This Row],[Fd]]*Tabelle2[[#This Row],[vy]]/Tabelle2[[#This Row],[v]],0)</f>
        <v>-8.7224325205955058</v>
      </c>
      <c r="M642">
        <f t="shared" si="102"/>
        <v>-5.8149550137303372</v>
      </c>
      <c r="N642">
        <f t="shared" si="103"/>
        <v>-0.11629910027460674</v>
      </c>
      <c r="O642">
        <f t="shared" si="104"/>
        <v>-1.1011090910020545</v>
      </c>
      <c r="P642" s="1">
        <f t="shared" si="106"/>
        <v>27.740922515887341</v>
      </c>
      <c r="Q642" s="1">
        <f t="shared" si="107"/>
        <v>-54.997304999965422</v>
      </c>
      <c r="R642">
        <f>SQRT(Tabelle2[[#This Row],[vx]]*Tabelle2[[#This Row],[vx]]+Tabelle2[[#This Row],[vy]]*Tabelle2[[#This Row],[vy]])</f>
        <v>61.597583875438552</v>
      </c>
      <c r="S642">
        <f t="shared" si="108"/>
        <v>528.62687494350121</v>
      </c>
      <c r="T642" s="1">
        <f t="shared" si="109"/>
        <v>-4.5918084466954259</v>
      </c>
    </row>
    <row r="643" spans="6:20" x14ac:dyDescent="0.35">
      <c r="F643" s="1">
        <f t="shared" si="105"/>
        <v>12.799999999999816</v>
      </c>
      <c r="G643">
        <f>1/2*$B$8*$B$6*$B$7*(Tabelle2[[#This Row],[vx]]*Tabelle2[[#This Row],[vx]]+Tabelle2[[#This Row],[vy]]*Tabelle2[[#This Row],[vy]])/1000000</f>
        <v>6.7304410965065555</v>
      </c>
      <c r="H643">
        <f>IF($B$3,-Tabelle2[[#This Row],[Fd]]*Tabelle2[[#This Row],[vx]]/Tabelle2[[#This Row],[v]],0)</f>
        <v>-3.0224921281220363</v>
      </c>
      <c r="I643">
        <f t="shared" ref="I643:I706" si="110">H643/$B$5</f>
        <v>-2.0149947520813574</v>
      </c>
      <c r="J643">
        <f t="shared" ref="J643:J706" si="111">I643*$B$13</f>
        <v>-4.0299895041627148E-2</v>
      </c>
      <c r="K643">
        <f t="shared" ref="K643:K706" si="112">$B$13*(P643+J643/2)</f>
        <v>0.55360940290068905</v>
      </c>
      <c r="L643">
        <f>-$B$5*$B$12-IF($B$3,Tabelle2[[#This Row],[Fd]]*Tabelle2[[#This Row],[vy]]/Tabelle2[[#This Row],[v]],0)</f>
        <v>-8.7014005214027854</v>
      </c>
      <c r="M643">
        <f t="shared" ref="M643:M706" si="113">L643/$B$5</f>
        <v>-5.8009336809351906</v>
      </c>
      <c r="N643">
        <f t="shared" ref="N643:N706" si="114">M643*$B$13</f>
        <v>-0.11601867361870381</v>
      </c>
      <c r="O643">
        <f t="shared" ref="O643:O706" si="115">$B$13*(Q643+N643/2)</f>
        <v>-1.1034322687409877</v>
      </c>
      <c r="P643" s="1">
        <f t="shared" si="106"/>
        <v>27.700620092555265</v>
      </c>
      <c r="Q643" s="1">
        <f t="shared" si="107"/>
        <v>-55.113604100240032</v>
      </c>
      <c r="R643">
        <f>SQRT(Tabelle2[[#This Row],[vx]]*Tabelle2[[#This Row],[vx]]+Tabelle2[[#This Row],[vy]]*Tabelle2[[#This Row],[vy]])</f>
        <v>61.683334138404611</v>
      </c>
      <c r="S643">
        <f t="shared" si="108"/>
        <v>529.18129036958567</v>
      </c>
      <c r="T643" s="1">
        <f t="shared" si="109"/>
        <v>-5.6929175376974808</v>
      </c>
    </row>
    <row r="644" spans="6:20" x14ac:dyDescent="0.35">
      <c r="F644" s="1">
        <f t="shared" ref="F644:F707" si="116">F643+$B$13</f>
        <v>12.819999999999816</v>
      </c>
      <c r="G644">
        <f>1/2*$B$8*$B$6*$B$7*(Tabelle2[[#This Row],[vx]]*Tabelle2[[#This Row],[vx]]+Tabelle2[[#This Row],[vy]]*Tabelle2[[#This Row],[vy]])/1000000</f>
        <v>6.7491400426325097</v>
      </c>
      <c r="H644">
        <f>IF($B$3,-Tabelle2[[#This Row],[Fd]]*Tabelle2[[#This Row],[vx]]/Tabelle2[[#This Row],[v]],0)</f>
        <v>-3.0222845189904337</v>
      </c>
      <c r="I644">
        <f t="shared" si="110"/>
        <v>-2.0148563459936226</v>
      </c>
      <c r="J644">
        <f t="shared" si="111"/>
        <v>-4.0297126919872452E-2</v>
      </c>
      <c r="K644">
        <f t="shared" si="112"/>
        <v>0.55280343268107401</v>
      </c>
      <c r="L644">
        <f>-$B$5*$B$12-IF($B$3,Tabelle2[[#This Row],[Fd]]*Tabelle2[[#This Row],[vy]]/Tabelle2[[#This Row],[v]],0)</f>
        <v>-8.6803759353762295</v>
      </c>
      <c r="M644">
        <f t="shared" si="113"/>
        <v>-5.7869172902508197</v>
      </c>
      <c r="N644">
        <f t="shared" si="114"/>
        <v>-0.11573834580501639</v>
      </c>
      <c r="O644">
        <f t="shared" si="115"/>
        <v>-1.1057498389352249</v>
      </c>
      <c r="P644" s="1">
        <f t="shared" ref="P644:P707" si="117">P643+J643</f>
        <v>27.660320197513638</v>
      </c>
      <c r="Q644" s="1">
        <f t="shared" ref="Q644:Q707" si="118">Q643+N643</f>
        <v>-55.229622773858736</v>
      </c>
      <c r="R644">
        <f>SQRT(Tabelle2[[#This Row],[vx]]*Tabelle2[[#This Row],[vx]]+Tabelle2[[#This Row],[vy]]*Tabelle2[[#This Row],[vy]])</f>
        <v>61.768961017421333</v>
      </c>
      <c r="S644">
        <f t="shared" ref="S644:S707" si="119">S643+K643</f>
        <v>529.7348997724863</v>
      </c>
      <c r="T644" s="1">
        <f t="shared" ref="T644:T707" si="120">T643+O643</f>
        <v>-6.7963498064384682</v>
      </c>
    </row>
    <row r="645" spans="6:20" x14ac:dyDescent="0.35">
      <c r="F645" s="1">
        <f t="shared" si="116"/>
        <v>12.839999999999815</v>
      </c>
      <c r="G645">
        <f>1/2*$B$8*$B$6*$B$7*(Tabelle2[[#This Row],[vx]]*Tabelle2[[#This Row],[vx]]+Tabelle2[[#This Row],[vy]]*Tabelle2[[#This Row],[vy]])/1000000</f>
        <v>6.7678377363159123</v>
      </c>
      <c r="H645">
        <f>IF($B$3,-Tabelle2[[#This Row],[Fd]]*Tabelle2[[#This Row],[vx]]/Tabelle2[[#This Row],[v]],0)</f>
        <v>-3.0220589335394785</v>
      </c>
      <c r="I645">
        <f t="shared" si="110"/>
        <v>-2.0147059556929858</v>
      </c>
      <c r="J645">
        <f t="shared" si="111"/>
        <v>-4.0294119113859717E-2</v>
      </c>
      <c r="K645">
        <f t="shared" si="112"/>
        <v>0.55199752022073678</v>
      </c>
      <c r="L645">
        <f>-$B$5*$B$12-IF($B$3,Tabelle2[[#This Row],[Fd]]*Tabelle2[[#This Row],[vy]]/Tabelle2[[#This Row],[v]],0)</f>
        <v>-8.6593590407525056</v>
      </c>
      <c r="M645">
        <f t="shared" si="113"/>
        <v>-5.7729060271683368</v>
      </c>
      <c r="N645">
        <f t="shared" si="114"/>
        <v>-0.11545812054336674</v>
      </c>
      <c r="O645">
        <f t="shared" si="115"/>
        <v>-1.1080618035987087</v>
      </c>
      <c r="P645" s="1">
        <f t="shared" si="117"/>
        <v>27.620023070593767</v>
      </c>
      <c r="Q645" s="1">
        <f t="shared" si="118"/>
        <v>-55.34536111966375</v>
      </c>
      <c r="R645">
        <f>SQRT(Tabelle2[[#This Row],[vx]]*Tabelle2[[#This Row],[vx]]+Tabelle2[[#This Row],[vy]]*Tabelle2[[#This Row],[vy]])</f>
        <v>61.854463637526763</v>
      </c>
      <c r="S645">
        <f t="shared" si="119"/>
        <v>530.28770320516742</v>
      </c>
      <c r="T645" s="1">
        <f t="shared" si="120"/>
        <v>-7.9020996453736929</v>
      </c>
    </row>
    <row r="646" spans="6:20" x14ac:dyDescent="0.35">
      <c r="F646" s="1">
        <f t="shared" si="116"/>
        <v>12.859999999999815</v>
      </c>
      <c r="G646">
        <f>1/2*$B$8*$B$6*$B$7*(Tabelle2[[#This Row],[vx]]*Tabelle2[[#This Row],[vx]]+Tabelle2[[#This Row],[vy]]*Tabelle2[[#This Row],[vy]])/1000000</f>
        <v>6.7865338755293818</v>
      </c>
      <c r="H646">
        <f>IF($B$3,-Tabelle2[[#This Row],[Fd]]*Tabelle2[[#This Row],[vx]]/Tabelle2[[#This Row],[v]],0)</f>
        <v>-3.0218153837223904</v>
      </c>
      <c r="I646">
        <f t="shared" si="110"/>
        <v>-2.0145435891482601</v>
      </c>
      <c r="J646">
        <f t="shared" si="111"/>
        <v>-4.0290871782965205E-2</v>
      </c>
      <c r="K646">
        <f t="shared" si="112"/>
        <v>0.55119167031176852</v>
      </c>
      <c r="L646">
        <f>-$B$5*$B$12-IF($B$3,Tabelle2[[#This Row],[Fd]]*Tabelle2[[#This Row],[vy]]/Tabelle2[[#This Row],[v]],0)</f>
        <v>-8.6383501145444832</v>
      </c>
      <c r="M646">
        <f t="shared" si="113"/>
        <v>-5.7589000763629885</v>
      </c>
      <c r="N646">
        <f t="shared" si="114"/>
        <v>-0.11517800152725977</v>
      </c>
      <c r="O646">
        <f t="shared" si="115"/>
        <v>-1.1103681648194148</v>
      </c>
      <c r="P646" s="1">
        <f t="shared" si="117"/>
        <v>27.579728951479908</v>
      </c>
      <c r="Q646" s="1">
        <f t="shared" si="118"/>
        <v>-55.460819240207115</v>
      </c>
      <c r="R646">
        <f>SQRT(Tabelle2[[#This Row],[vx]]*Tabelle2[[#This Row],[vx]]+Tabelle2[[#This Row],[vy]]*Tabelle2[[#This Row],[vy]])</f>
        <v>61.939841135024125</v>
      </c>
      <c r="S646">
        <f t="shared" si="119"/>
        <v>530.83970072538818</v>
      </c>
      <c r="T646" s="1">
        <f t="shared" si="120"/>
        <v>-9.0101614489724007</v>
      </c>
    </row>
    <row r="647" spans="6:20" x14ac:dyDescent="0.35">
      <c r="F647" s="1">
        <f t="shared" si="116"/>
        <v>12.879999999999814</v>
      </c>
      <c r="G647">
        <f>1/2*$B$8*$B$6*$B$7*(Tabelle2[[#This Row],[vx]]*Tabelle2[[#This Row],[vx]]+Tabelle2[[#This Row],[vy]]*Tabelle2[[#This Row],[vy]])/1000000</f>
        <v>6.8052281598208406</v>
      </c>
      <c r="H647">
        <f>IF($B$3,-Tabelle2[[#This Row],[Fd]]*Tabelle2[[#This Row],[vx]]/Tabelle2[[#This Row],[v]],0)</f>
        <v>-3.0215538824067276</v>
      </c>
      <c r="I647">
        <f t="shared" si="110"/>
        <v>-2.0143692549378183</v>
      </c>
      <c r="J647">
        <f t="shared" si="111"/>
        <v>-4.0287385098756366E-2</v>
      </c>
      <c r="K647">
        <f t="shared" si="112"/>
        <v>0.55038588774295127</v>
      </c>
      <c r="L647">
        <f>-$B$5*$B$12-IF($B$3,Tabelle2[[#This Row],[Fd]]*Tabelle2[[#This Row],[vy]]/Tabelle2[[#This Row],[v]],0)</f>
        <v>-8.6173494325329365</v>
      </c>
      <c r="M647">
        <f t="shared" si="113"/>
        <v>-5.7448996216886243</v>
      </c>
      <c r="N647">
        <f t="shared" si="114"/>
        <v>-0.11489799243377249</v>
      </c>
      <c r="O647">
        <f t="shared" si="115"/>
        <v>-1.1126689247590253</v>
      </c>
      <c r="P647" s="1">
        <f t="shared" si="117"/>
        <v>27.539438079696943</v>
      </c>
      <c r="Q647" s="1">
        <f t="shared" si="118"/>
        <v>-55.575997241734377</v>
      </c>
      <c r="R647">
        <f>SQRT(Tabelle2[[#This Row],[vx]]*Tabelle2[[#This Row],[vx]]+Tabelle2[[#This Row],[vy]]*Tabelle2[[#This Row],[vy]])</f>
        <v>62.025092657397366</v>
      </c>
      <c r="S647">
        <f t="shared" si="119"/>
        <v>531.39089239570001</v>
      </c>
      <c r="T647" s="1">
        <f t="shared" si="120"/>
        <v>-10.120529613791815</v>
      </c>
    </row>
    <row r="648" spans="6:20" x14ac:dyDescent="0.35">
      <c r="F648" s="1">
        <f t="shared" si="116"/>
        <v>12.899999999999814</v>
      </c>
      <c r="G648">
        <f>1/2*$B$8*$B$6*$B$7*(Tabelle2[[#This Row],[vx]]*Tabelle2[[#This Row],[vx]]+Tabelle2[[#This Row],[vy]]*Tabelle2[[#This Row],[vy]])/1000000</f>
        <v>6.823920290315729</v>
      </c>
      <c r="H648">
        <f>IF($B$3,-Tabelle2[[#This Row],[Fd]]*Tabelle2[[#This Row],[vx]]/Tabelle2[[#This Row],[v]],0)</f>
        <v>-3.0212744433642822</v>
      </c>
      <c r="I648">
        <f t="shared" si="110"/>
        <v>-2.0141829622428546</v>
      </c>
      <c r="J648">
        <f t="shared" si="111"/>
        <v>-4.0283659244857092E-2</v>
      </c>
      <c r="K648">
        <f t="shared" si="112"/>
        <v>0.54958017729951514</v>
      </c>
      <c r="L648">
        <f>-$B$5*$B$12-IF($B$3,Tabelle2[[#This Row],[Fd]]*Tabelle2[[#This Row],[vy]]/Tabelle2[[#This Row],[v]],0)</f>
        <v>-8.5963572692584389</v>
      </c>
      <c r="M648">
        <f t="shared" si="113"/>
        <v>-5.7309048461722929</v>
      </c>
      <c r="N648">
        <f t="shared" si="114"/>
        <v>-0.11461809692344586</v>
      </c>
      <c r="O648">
        <f t="shared" si="115"/>
        <v>-1.1149640856525975</v>
      </c>
      <c r="P648" s="1">
        <f t="shared" si="117"/>
        <v>27.499150694598185</v>
      </c>
      <c r="Q648" s="1">
        <f t="shared" si="118"/>
        <v>-55.690895234168153</v>
      </c>
      <c r="R648">
        <f>SQRT(Tabelle2[[#This Row],[vx]]*Tabelle2[[#This Row],[vx]]+Tabelle2[[#This Row],[vy]]*Tabelle2[[#This Row],[vy]])</f>
        <v>62.110217363227065</v>
      </c>
      <c r="S648">
        <f t="shared" si="119"/>
        <v>531.94127828344301</v>
      </c>
      <c r="T648" s="1">
        <f t="shared" si="120"/>
        <v>-11.233198538550841</v>
      </c>
    </row>
    <row r="649" spans="6:20" x14ac:dyDescent="0.35">
      <c r="F649" s="1">
        <f t="shared" si="116"/>
        <v>12.919999999999813</v>
      </c>
      <c r="G649">
        <f>1/2*$B$8*$B$6*$B$7*(Tabelle2[[#This Row],[vx]]*Tabelle2[[#This Row],[vx]]+Tabelle2[[#This Row],[vy]]*Tabelle2[[#This Row],[vy]])/1000000</f>
        <v>6.8426099697191054</v>
      </c>
      <c r="H649">
        <f>IF($B$3,-Tabelle2[[#This Row],[Fd]]*Tabelle2[[#This Row],[vx]]/Tabelle2[[#This Row],[v]],0)</f>
        <v>-3.0209770812610226</v>
      </c>
      <c r="I649">
        <f t="shared" si="110"/>
        <v>-2.0139847208406816</v>
      </c>
      <c r="J649">
        <f t="shared" si="111"/>
        <v>-4.027969441681363E-2</v>
      </c>
      <c r="K649">
        <f t="shared" si="112"/>
        <v>0.54877454376289847</v>
      </c>
      <c r="L649">
        <f>-$B$5*$B$12-IF($B$3,Tabelle2[[#This Row],[Fd]]*Tabelle2[[#This Row],[vy]]/Tabelle2[[#This Row],[v]],0)</f>
        <v>-8.5753738980134191</v>
      </c>
      <c r="M649">
        <f t="shared" si="113"/>
        <v>-5.7169159320089458</v>
      </c>
      <c r="N649">
        <f t="shared" si="114"/>
        <v>-0.11433831864017892</v>
      </c>
      <c r="O649">
        <f t="shared" si="115"/>
        <v>-1.1172536498082337</v>
      </c>
      <c r="P649" s="1">
        <f t="shared" si="117"/>
        <v>27.458867035353329</v>
      </c>
      <c r="Q649" s="1">
        <f t="shared" si="118"/>
        <v>-55.805513331091596</v>
      </c>
      <c r="R649">
        <f>SQRT(Tabelle2[[#This Row],[vx]]*Tabelle2[[#This Row],[vx]]+Tabelle2[[#This Row],[vy]]*Tabelle2[[#This Row],[vy]])</f>
        <v>62.195214422106908</v>
      </c>
      <c r="S649">
        <f t="shared" si="119"/>
        <v>532.49085846074252</v>
      </c>
      <c r="T649" s="1">
        <f t="shared" si="120"/>
        <v>-12.348162624203439</v>
      </c>
    </row>
    <row r="650" spans="6:20" x14ac:dyDescent="0.35">
      <c r="F650" s="1">
        <f t="shared" si="116"/>
        <v>12.939999999999813</v>
      </c>
      <c r="G650">
        <f>1/2*$B$8*$B$6*$B$7*(Tabelle2[[#This Row],[vx]]*Tabelle2[[#This Row],[vx]]+Tabelle2[[#This Row],[vy]]*Tabelle2[[#This Row],[vy]])/1000000</f>
        <v>6.8612969023177</v>
      </c>
      <c r="H650">
        <f>IF($B$3,-Tabelle2[[#This Row],[Fd]]*Tabelle2[[#This Row],[vx]]/Tabelle2[[#This Row],[v]],0)</f>
        <v>-3.0206618116471042</v>
      </c>
      <c r="I650">
        <f t="shared" si="110"/>
        <v>-2.0137745410980696</v>
      </c>
      <c r="J650">
        <f t="shared" si="111"/>
        <v>-4.0275490821961392E-2</v>
      </c>
      <c r="K650">
        <f t="shared" si="112"/>
        <v>0.54796899191051074</v>
      </c>
      <c r="L650">
        <f>-$B$5*$B$12-IF($B$3,Tabelle2[[#This Row],[Fd]]*Tabelle2[[#This Row],[vy]]/Tabelle2[[#This Row],[v]],0)</f>
        <v>-8.5543995908344055</v>
      </c>
      <c r="M650">
        <f t="shared" si="113"/>
        <v>-5.70293306055627</v>
      </c>
      <c r="N650">
        <f t="shared" si="114"/>
        <v>-0.1140586612111254</v>
      </c>
      <c r="O650">
        <f t="shared" si="115"/>
        <v>-1.1195376196067468</v>
      </c>
      <c r="P650" s="1">
        <f t="shared" si="117"/>
        <v>27.418587340936515</v>
      </c>
      <c r="Q650" s="1">
        <f t="shared" si="118"/>
        <v>-55.919851649731775</v>
      </c>
      <c r="R650">
        <f>SQRT(Tabelle2[[#This Row],[vx]]*Tabelle2[[#This Row],[vx]]+Tabelle2[[#This Row],[vy]]*Tabelle2[[#This Row],[vy]])</f>
        <v>62.280083014560716</v>
      </c>
      <c r="S650">
        <f t="shared" si="119"/>
        <v>533.03963300450539</v>
      </c>
      <c r="T650" s="1">
        <f t="shared" si="120"/>
        <v>-13.465416274011673</v>
      </c>
    </row>
    <row r="651" spans="6:20" x14ac:dyDescent="0.35">
      <c r="F651" s="1">
        <f t="shared" si="116"/>
        <v>12.959999999999813</v>
      </c>
      <c r="G651">
        <f>1/2*$B$8*$B$6*$B$7*(Tabelle2[[#This Row],[vx]]*Tabelle2[[#This Row],[vx]]+Tabelle2[[#This Row],[vy]]*Tabelle2[[#This Row],[vy]])/1000000</f>
        <v>6.8799807939818249</v>
      </c>
      <c r="H651">
        <f>IF($B$3,-Tabelle2[[#This Row],[Fd]]*Tabelle2[[#This Row],[vx]]/Tabelle2[[#This Row],[v]],0)</f>
        <v>-3.0203286509469285</v>
      </c>
      <c r="I651">
        <f t="shared" si="110"/>
        <v>-2.0135524339646191</v>
      </c>
      <c r="J651">
        <f t="shared" si="111"/>
        <v>-4.0271048679292383E-2</v>
      </c>
      <c r="K651">
        <f t="shared" si="112"/>
        <v>0.54716352651549816</v>
      </c>
      <c r="L651">
        <f>-$B$5*$B$12-IF($B$3,Tabelle2[[#This Row],[Fd]]*Tabelle2[[#This Row],[vy]]/Tabelle2[[#This Row],[v]],0)</f>
        <v>-8.5334346184944465</v>
      </c>
      <c r="M651">
        <f t="shared" si="113"/>
        <v>-5.688956412329631</v>
      </c>
      <c r="N651">
        <f t="shared" si="114"/>
        <v>-0.11377912824659263</v>
      </c>
      <c r="O651">
        <f t="shared" si="115"/>
        <v>-1.121815997501324</v>
      </c>
      <c r="P651" s="1">
        <f t="shared" si="117"/>
        <v>27.378311850114553</v>
      </c>
      <c r="Q651" s="1">
        <f t="shared" si="118"/>
        <v>-56.0339103109429</v>
      </c>
      <c r="R651">
        <f>SQRT(Tabelle2[[#This Row],[vx]]*Tabelle2[[#This Row],[vx]]+Tabelle2[[#This Row],[vy]]*Tabelle2[[#This Row],[vy]])</f>
        <v>62.364822331959836</v>
      </c>
      <c r="S651">
        <f t="shared" si="119"/>
        <v>533.58760199641586</v>
      </c>
      <c r="T651" s="1">
        <f t="shared" si="120"/>
        <v>-14.584953893618421</v>
      </c>
    </row>
    <row r="652" spans="6:20" x14ac:dyDescent="0.35">
      <c r="F652" s="1">
        <f t="shared" si="116"/>
        <v>12.979999999999812</v>
      </c>
      <c r="G652">
        <f>1/2*$B$8*$B$6*$B$7*(Tabelle2[[#This Row],[vx]]*Tabelle2[[#This Row],[vx]]+Tabelle2[[#This Row],[vy]]*Tabelle2[[#This Row],[vy]])/1000000</f>
        <v>6.8986613521672435</v>
      </c>
      <c r="H652">
        <f>IF($B$3,-Tabelle2[[#This Row],[Fd]]*Tabelle2[[#This Row],[vx]]/Tabelle2[[#This Row],[v]],0)</f>
        <v>-3.0199776164492698</v>
      </c>
      <c r="I652">
        <f t="shared" si="110"/>
        <v>-2.0133184109661797</v>
      </c>
      <c r="J652">
        <f t="shared" si="111"/>
        <v>-4.0266368219323598E-2</v>
      </c>
      <c r="K652">
        <f t="shared" si="112"/>
        <v>0.54635815234651197</v>
      </c>
      <c r="L652">
        <f>-$B$5*$B$12-IF($B$3,Tabelle2[[#This Row],[Fd]]*Tabelle2[[#This Row],[vy]]/Tabelle2[[#This Row],[v]],0)</f>
        <v>-8.5124792504957014</v>
      </c>
      <c r="M652">
        <f t="shared" si="113"/>
        <v>-5.674986166997134</v>
      </c>
      <c r="N652">
        <f t="shared" si="114"/>
        <v>-0.11349972333994268</v>
      </c>
      <c r="O652">
        <f t="shared" si="115"/>
        <v>-1.1240887860171893</v>
      </c>
      <c r="P652" s="1">
        <f t="shared" si="117"/>
        <v>27.338040801435259</v>
      </c>
      <c r="Q652" s="1">
        <f t="shared" si="118"/>
        <v>-56.147689439189492</v>
      </c>
      <c r="R652">
        <f>SQRT(Tabelle2[[#This Row],[vx]]*Tabelle2[[#This Row],[vx]]+Tabelle2[[#This Row],[vy]]*Tabelle2[[#This Row],[vy]])</f>
        <v>62.449431576441192</v>
      </c>
      <c r="S652">
        <f t="shared" si="119"/>
        <v>534.13476552293139</v>
      </c>
      <c r="T652" s="1">
        <f t="shared" si="120"/>
        <v>-15.706769891119745</v>
      </c>
    </row>
    <row r="653" spans="6:20" x14ac:dyDescent="0.35">
      <c r="F653" s="1">
        <f t="shared" si="116"/>
        <v>12.999999999999812</v>
      </c>
      <c r="G653">
        <f>1/2*$B$8*$B$6*$B$7*(Tabelle2[[#This Row],[vx]]*Tabelle2[[#This Row],[vx]]+Tabelle2[[#This Row],[vy]]*Tabelle2[[#This Row],[vy]])/1000000</f>
        <v>6.9173382859169195</v>
      </c>
      <c r="H653">
        <f>IF($B$3,-Tabelle2[[#This Row],[Fd]]*Tabelle2[[#This Row],[vx]]/Tabelle2[[#This Row],[v]],0)</f>
        <v>-3.0196087262974545</v>
      </c>
      <c r="I653">
        <f t="shared" si="110"/>
        <v>-2.013072484198303</v>
      </c>
      <c r="J653">
        <f t="shared" si="111"/>
        <v>-4.0261449683966062E-2</v>
      </c>
      <c r="K653">
        <f t="shared" si="112"/>
        <v>0.545552874167479</v>
      </c>
      <c r="L653">
        <f>-$B$5*$B$12-IF($B$3,Tabelle2[[#This Row],[Fd]]*Tabelle2[[#This Row],[vy]]/Tabelle2[[#This Row],[v]],0)</f>
        <v>-8.4915337550621928</v>
      </c>
      <c r="M653">
        <f t="shared" si="113"/>
        <v>-5.6610225033747952</v>
      </c>
      <c r="N653">
        <f t="shared" si="114"/>
        <v>-0.11322045006749591</v>
      </c>
      <c r="O653">
        <f t="shared" si="115"/>
        <v>-1.1263559877512637</v>
      </c>
      <c r="P653" s="1">
        <f t="shared" si="117"/>
        <v>27.297774433215935</v>
      </c>
      <c r="Q653" s="1">
        <f t="shared" si="118"/>
        <v>-56.261189162529433</v>
      </c>
      <c r="R653">
        <f>SQRT(Tabelle2[[#This Row],[vx]]*Tabelle2[[#This Row],[vx]]+Tabelle2[[#This Row],[vy]]*Tabelle2[[#This Row],[vy]])</f>
        <v>62.53390996082571</v>
      </c>
      <c r="S653">
        <f t="shared" si="119"/>
        <v>534.68112367527795</v>
      </c>
      <c r="T653" s="1">
        <f t="shared" si="120"/>
        <v>-16.830858677136934</v>
      </c>
    </row>
    <row r="654" spans="6:20" x14ac:dyDescent="0.35">
      <c r="F654" s="1">
        <f t="shared" si="116"/>
        <v>13.019999999999811</v>
      </c>
      <c r="G654">
        <f>1/2*$B$8*$B$6*$B$7*(Tabelle2[[#This Row],[vx]]*Tabelle2[[#This Row],[vx]]+Tabelle2[[#This Row],[vy]]*Tabelle2[[#This Row],[vy]])/1000000</f>
        <v>6.9360113058626913</v>
      </c>
      <c r="H654">
        <f>IF($B$3,-Tabelle2[[#This Row],[Fd]]*Tabelle2[[#This Row],[vx]]/Tabelle2[[#This Row],[v]],0)</f>
        <v>-3.0192219994796003</v>
      </c>
      <c r="I654">
        <f t="shared" si="110"/>
        <v>-2.0128146663197337</v>
      </c>
      <c r="J654">
        <f t="shared" si="111"/>
        <v>-4.0256293326394674E-2</v>
      </c>
      <c r="K654">
        <f t="shared" si="112"/>
        <v>0.54474769673737544</v>
      </c>
      <c r="L654">
        <f>-$B$5*$B$12-IF($B$3,Tabelle2[[#This Row],[Fd]]*Tabelle2[[#This Row],[vy]]/Tabelle2[[#This Row],[v]],0)</f>
        <v>-8.4705983991327489</v>
      </c>
      <c r="M654">
        <f t="shared" si="113"/>
        <v>-5.6470655994218326</v>
      </c>
      <c r="N654">
        <f t="shared" si="114"/>
        <v>-0.11294131198843665</v>
      </c>
      <c r="O654">
        <f t="shared" si="115"/>
        <v>-1.1286176053718229</v>
      </c>
      <c r="P654" s="1">
        <f t="shared" si="117"/>
        <v>27.257512983531967</v>
      </c>
      <c r="Q654" s="1">
        <f t="shared" si="118"/>
        <v>-56.374409612596928</v>
      </c>
      <c r="R654">
        <f>SQRT(Tabelle2[[#This Row],[vx]]*Tabelle2[[#This Row],[vx]]+Tabelle2[[#This Row],[vy]]*Tabelle2[[#This Row],[vy]])</f>
        <v>62.618256708537281</v>
      </c>
      <c r="S654">
        <f t="shared" si="119"/>
        <v>535.22667654944541</v>
      </c>
      <c r="T654" s="1">
        <f t="shared" si="120"/>
        <v>-17.957214664888198</v>
      </c>
    </row>
    <row r="655" spans="6:20" x14ac:dyDescent="0.35">
      <c r="F655" s="1">
        <f t="shared" si="116"/>
        <v>13.039999999999811</v>
      </c>
      <c r="G655">
        <f>1/2*$B$8*$B$6*$B$7*(Tabelle2[[#This Row],[vx]]*Tabelle2[[#This Row],[vx]]+Tabelle2[[#This Row],[vy]]*Tabelle2[[#This Row],[vy]])/1000000</f>
        <v>6.9546801242268561</v>
      </c>
      <c r="H655">
        <f>IF($B$3,-Tabelle2[[#This Row],[Fd]]*Tabelle2[[#This Row],[vx]]/Tabelle2[[#This Row],[v]],0)</f>
        <v>-3.018817455818914</v>
      </c>
      <c r="I655">
        <f t="shared" si="110"/>
        <v>-2.0125449705459428</v>
      </c>
      <c r="J655">
        <f t="shared" si="111"/>
        <v>-4.0250899410918854E-2</v>
      </c>
      <c r="K655">
        <f t="shared" si="112"/>
        <v>0.54394262481000222</v>
      </c>
      <c r="L655">
        <f>-$B$5*$B$12-IF($B$3,Tabelle2[[#This Row],[Fd]]*Tabelle2[[#This Row],[vy]]/Tabelle2[[#This Row],[v]],0)</f>
        <v>-8.4496734483541012</v>
      </c>
      <c r="M655">
        <f t="shared" si="113"/>
        <v>-5.6331156322360671</v>
      </c>
      <c r="N655">
        <f t="shared" si="114"/>
        <v>-0.11266231264472135</v>
      </c>
      <c r="O655">
        <f t="shared" si="115"/>
        <v>-1.1308736416181544</v>
      </c>
      <c r="P655" s="1">
        <f t="shared" si="117"/>
        <v>27.217256690205573</v>
      </c>
      <c r="Q655" s="1">
        <f t="shared" si="118"/>
        <v>-56.487350924585364</v>
      </c>
      <c r="R655">
        <f>SQRT(Tabelle2[[#This Row],[vx]]*Tabelle2[[#This Row],[vx]]+Tabelle2[[#This Row],[vy]]*Tabelle2[[#This Row],[vy]])</f>
        <v>62.702471053522245</v>
      </c>
      <c r="S655">
        <f t="shared" si="119"/>
        <v>535.77142424618285</v>
      </c>
      <c r="T655" s="1">
        <f t="shared" si="120"/>
        <v>-19.08583227026002</v>
      </c>
    </row>
    <row r="656" spans="6:20" x14ac:dyDescent="0.35">
      <c r="F656" s="1">
        <f t="shared" si="116"/>
        <v>13.05999999999981</v>
      </c>
      <c r="G656">
        <f>1/2*$B$8*$B$6*$B$7*(Tabelle2[[#This Row],[vx]]*Tabelle2[[#This Row],[vx]]+Tabelle2[[#This Row],[vy]]*Tabelle2[[#This Row],[vy]])/1000000</f>
        <v>6.9733444548236596</v>
      </c>
      <c r="H656">
        <f>IF($B$3,-Tabelle2[[#This Row],[Fd]]*Tabelle2[[#This Row],[vx]]/Tabelle2[[#This Row],[v]],0)</f>
        <v>-3.0183951159640459</v>
      </c>
      <c r="I656">
        <f t="shared" si="110"/>
        <v>-2.0122634106426971</v>
      </c>
      <c r="J656">
        <f t="shared" si="111"/>
        <v>-4.0245268212853944E-2</v>
      </c>
      <c r="K656">
        <f t="shared" si="112"/>
        <v>0.54313766313376455</v>
      </c>
      <c r="L656">
        <f>-$B$5*$B$12-IF($B$3,Tabelle2[[#This Row],[Fd]]*Tabelle2[[#This Row],[vy]]/Tabelle2[[#This Row],[v]],0)</f>
        <v>-8.4287591670741513</v>
      </c>
      <c r="M656">
        <f t="shared" si="113"/>
        <v>-5.6191727780494345</v>
      </c>
      <c r="N656">
        <f t="shared" si="114"/>
        <v>-0.11238345556098869</v>
      </c>
      <c r="O656">
        <f t="shared" si="115"/>
        <v>-1.1331240993002116</v>
      </c>
      <c r="P656" s="1">
        <f t="shared" si="117"/>
        <v>27.177005790794656</v>
      </c>
      <c r="Q656" s="1">
        <f t="shared" si="118"/>
        <v>-56.600013237230087</v>
      </c>
      <c r="R656">
        <f>SQRT(Tabelle2[[#This Row],[vx]]*Tabelle2[[#This Row],[vx]]+Tabelle2[[#This Row],[vy]]*Tabelle2[[#This Row],[vy]])</f>
        <v>62.786552240169293</v>
      </c>
      <c r="S656">
        <f t="shared" si="119"/>
        <v>536.31536687099288</v>
      </c>
      <c r="T656" s="1">
        <f t="shared" si="120"/>
        <v>-20.216705911878176</v>
      </c>
    </row>
    <row r="657" spans="6:20" x14ac:dyDescent="0.35">
      <c r="F657" s="1">
        <f t="shared" si="116"/>
        <v>13.07999999999981</v>
      </c>
      <c r="G657">
        <f>1/2*$B$8*$B$6*$B$7*(Tabelle2[[#This Row],[vx]]*Tabelle2[[#This Row],[vx]]+Tabelle2[[#This Row],[vy]]*Tabelle2[[#This Row],[vy]])/1000000</f>
        <v>6.9920040130607113</v>
      </c>
      <c r="H657">
        <f>IF($B$3,-Tabelle2[[#This Row],[Fd]]*Tabelle2[[#This Row],[vx]]/Tabelle2[[#This Row],[v]],0)</f>
        <v>-3.0179550013795033</v>
      </c>
      <c r="I657">
        <f t="shared" si="110"/>
        <v>-2.011970000919669</v>
      </c>
      <c r="J657">
        <f t="shared" si="111"/>
        <v>-4.0239400018393379E-2</v>
      </c>
      <c r="K657">
        <f t="shared" si="112"/>
        <v>0.54233281645145215</v>
      </c>
      <c r="L657">
        <f>-$B$5*$B$12-IF($B$3,Tabelle2[[#This Row],[Fd]]*Tabelle2[[#This Row],[vy]]/Tabelle2[[#This Row],[v]],0)</f>
        <v>-8.4078558183354062</v>
      </c>
      <c r="M657">
        <f t="shared" si="113"/>
        <v>-5.6052372122236038</v>
      </c>
      <c r="N657">
        <f t="shared" si="114"/>
        <v>-0.11210474424447207</v>
      </c>
      <c r="O657">
        <f t="shared" si="115"/>
        <v>-1.1353689812982664</v>
      </c>
      <c r="P657" s="1">
        <f t="shared" si="117"/>
        <v>27.136760522581802</v>
      </c>
      <c r="Q657" s="1">
        <f t="shared" si="118"/>
        <v>-56.712396692791074</v>
      </c>
      <c r="R657">
        <f>SQRT(Tabelle2[[#This Row],[vx]]*Tabelle2[[#This Row],[vx]]+Tabelle2[[#This Row],[vy]]*Tabelle2[[#This Row],[vy]])</f>
        <v>62.870499523229924</v>
      </c>
      <c r="S657">
        <f t="shared" si="119"/>
        <v>536.85850453412661</v>
      </c>
      <c r="T657" s="1">
        <f t="shared" si="120"/>
        <v>-21.349830011178387</v>
      </c>
    </row>
    <row r="658" spans="6:20" x14ac:dyDescent="0.35">
      <c r="F658" s="1">
        <f t="shared" si="116"/>
        <v>13.09999999999981</v>
      </c>
      <c r="G658">
        <f>1/2*$B$8*$B$6*$B$7*(Tabelle2[[#This Row],[vx]]*Tabelle2[[#This Row],[vx]]+Tabelle2[[#This Row],[vy]]*Tabelle2[[#This Row],[vy]])/1000000</f>
        <v>7.0106585159403005</v>
      </c>
      <c r="H658">
        <f>IF($B$3,-Tabelle2[[#This Row],[Fd]]*Tabelle2[[#This Row],[vx]]/Tabelle2[[#This Row],[v]],0)</f>
        <v>-3.0174971343361241</v>
      </c>
      <c r="I658">
        <f t="shared" si="110"/>
        <v>-2.0116647562240826</v>
      </c>
      <c r="J658">
        <f t="shared" si="111"/>
        <v>-4.0233295124481649E-2</v>
      </c>
      <c r="K658">
        <f t="shared" si="112"/>
        <v>0.5415280895000234</v>
      </c>
      <c r="L658">
        <f>-$B$5*$B$12-IF($B$3,Tabelle2[[#This Row],[Fd]]*Tabelle2[[#This Row],[vy]]/Tabelle2[[#This Row],[v]],0)</f>
        <v>-8.3869636638685812</v>
      </c>
      <c r="M658">
        <f t="shared" si="113"/>
        <v>-5.5913091092457208</v>
      </c>
      <c r="N658">
        <f t="shared" si="114"/>
        <v>-0.11182618218491441</v>
      </c>
      <c r="O658">
        <f t="shared" si="115"/>
        <v>-1.13760829056256</v>
      </c>
      <c r="P658" s="1">
        <f t="shared" si="117"/>
        <v>27.096521122563409</v>
      </c>
      <c r="Q658" s="1">
        <f t="shared" si="118"/>
        <v>-56.824501437035543</v>
      </c>
      <c r="R658">
        <f>SQRT(Tabelle2[[#This Row],[vx]]*Tabelle2[[#This Row],[vx]]+Tabelle2[[#This Row],[vy]]*Tabelle2[[#This Row],[vy]])</f>
        <v>62.954312167739388</v>
      </c>
      <c r="S658">
        <f t="shared" si="119"/>
        <v>537.40083735057806</v>
      </c>
      <c r="T658" s="1">
        <f t="shared" si="120"/>
        <v>-22.485198992476654</v>
      </c>
    </row>
    <row r="659" spans="6:20" x14ac:dyDescent="0.35">
      <c r="F659" s="1">
        <f t="shared" si="116"/>
        <v>13.119999999999809</v>
      </c>
      <c r="G659">
        <f>1/2*$B$8*$B$6*$B$7*(Tabelle2[[#This Row],[vx]]*Tabelle2[[#This Row],[vx]]+Tabelle2[[#This Row],[vy]]*Tabelle2[[#This Row],[vy]])/1000000</f>
        <v>7.0293076820606339</v>
      </c>
      <c r="H659">
        <f>IF($B$3,-Tabelle2[[#This Row],[Fd]]*Tabelle2[[#This Row],[vx]]/Tabelle2[[#This Row],[v]],0)</f>
        <v>-3.0170215379016021</v>
      </c>
      <c r="I659">
        <f t="shared" si="110"/>
        <v>-2.0113476919344015</v>
      </c>
      <c r="J659">
        <f t="shared" si="111"/>
        <v>-4.0226953838688032E-2</v>
      </c>
      <c r="K659">
        <f t="shared" si="112"/>
        <v>0.54072348701039175</v>
      </c>
      <c r="L659">
        <f>-$B$5*$B$12-IF($B$3,Tabelle2[[#This Row],[Fd]]*Tabelle2[[#This Row],[vy]]/Tabelle2[[#This Row],[v]],0)</f>
        <v>-8.3660829640863561</v>
      </c>
      <c r="M659">
        <f t="shared" si="113"/>
        <v>-5.5773886427242374</v>
      </c>
      <c r="N659">
        <f t="shared" si="114"/>
        <v>-0.11154777285448475</v>
      </c>
      <c r="O659">
        <f t="shared" si="115"/>
        <v>-1.1398420301129539</v>
      </c>
      <c r="P659" s="1">
        <f t="shared" si="117"/>
        <v>27.056287827438929</v>
      </c>
      <c r="Q659" s="1">
        <f t="shared" si="118"/>
        <v>-56.936327619220457</v>
      </c>
      <c r="R659">
        <f>SQRT(Tabelle2[[#This Row],[vx]]*Tabelle2[[#This Row],[vx]]+Tabelle2[[#This Row],[vy]]*Tabelle2[[#This Row],[vy]])</f>
        <v>63.037989448938063</v>
      </c>
      <c r="S659">
        <f t="shared" si="119"/>
        <v>537.94236544007811</v>
      </c>
      <c r="T659" s="1">
        <f t="shared" si="120"/>
        <v>-23.622807283039215</v>
      </c>
    </row>
    <row r="660" spans="6:20" x14ac:dyDescent="0.35">
      <c r="F660" s="1">
        <f t="shared" si="116"/>
        <v>13.139999999999809</v>
      </c>
      <c r="G660">
        <f>1/2*$B$8*$B$6*$B$7*(Tabelle2[[#This Row],[vx]]*Tabelle2[[#This Row],[vx]]+Tabelle2[[#This Row],[vy]]*Tabelle2[[#This Row],[vy]])/1000000</f>
        <v>7.0479512316169783</v>
      </c>
      <c r="H660">
        <f>IF($B$3,-Tabelle2[[#This Row],[Fd]]*Tabelle2[[#This Row],[vx]]/Tabelle2[[#This Row],[v]],0)</f>
        <v>-3.0165282359310752</v>
      </c>
      <c r="I660">
        <f t="shared" si="110"/>
        <v>-2.0110188239540503</v>
      </c>
      <c r="J660">
        <f t="shared" si="111"/>
        <v>-4.0220376479081006E-2</v>
      </c>
      <c r="K660">
        <f t="shared" si="112"/>
        <v>0.53991901370721407</v>
      </c>
      <c r="L660">
        <f>-$B$5*$B$12-IF($B$3,Tabelle2[[#This Row],[Fd]]*Tabelle2[[#This Row],[vy]]/Tabelle2[[#This Row],[v]],0)</f>
        <v>-8.3452139780772985</v>
      </c>
      <c r="M660">
        <f t="shared" si="113"/>
        <v>-5.5634759853848657</v>
      </c>
      <c r="N660">
        <f t="shared" si="114"/>
        <v>-0.11126951970769731</v>
      </c>
      <c r="O660">
        <f t="shared" si="115"/>
        <v>-1.1420702030385759</v>
      </c>
      <c r="P660" s="1">
        <f t="shared" si="117"/>
        <v>27.016060873600242</v>
      </c>
      <c r="Q660" s="1">
        <f t="shared" si="118"/>
        <v>-57.047875392074943</v>
      </c>
      <c r="R660">
        <f>SQRT(Tabelle2[[#This Row],[vx]]*Tabelle2[[#This Row],[vx]]+Tabelle2[[#This Row],[vy]]*Tabelle2[[#This Row],[vy]])</f>
        <v>63.121530652193343</v>
      </c>
      <c r="S660">
        <f t="shared" si="119"/>
        <v>538.48308892708849</v>
      </c>
      <c r="T660" s="1">
        <f t="shared" si="120"/>
        <v>-24.762649313152171</v>
      </c>
    </row>
    <row r="661" spans="6:20" x14ac:dyDescent="0.35">
      <c r="F661" s="1">
        <f t="shared" si="116"/>
        <v>13.159999999999808</v>
      </c>
      <c r="G661">
        <f>1/2*$B$8*$B$6*$B$7*(Tabelle2[[#This Row],[vx]]*Tabelle2[[#This Row],[vx]]+Tabelle2[[#This Row],[vy]]*Tabelle2[[#This Row],[vy]])/1000000</f>
        <v>7.0665888864027311</v>
      </c>
      <c r="H661">
        <f>IF($B$3,-Tabelle2[[#This Row],[Fd]]*Tabelle2[[#This Row],[vx]]/Tabelle2[[#This Row],[v]],0)</f>
        <v>-3.0160172530577718</v>
      </c>
      <c r="I661">
        <f t="shared" si="110"/>
        <v>-2.0106781687051813</v>
      </c>
      <c r="J661">
        <f t="shared" si="111"/>
        <v>-4.0213563374103631E-2</v>
      </c>
      <c r="K661">
        <f t="shared" si="112"/>
        <v>0.53911467430868221</v>
      </c>
      <c r="L661">
        <f>-$B$5*$B$12-IF($B$3,Tabelle2[[#This Row],[Fd]]*Tabelle2[[#This Row],[vy]]/Tabelle2[[#This Row],[v]],0)</f>
        <v>-8.3243569635999499</v>
      </c>
      <c r="M661">
        <f t="shared" si="113"/>
        <v>-5.549571309066633</v>
      </c>
      <c r="N661">
        <f t="shared" si="114"/>
        <v>-0.11099142618133266</v>
      </c>
      <c r="O661">
        <f t="shared" si="115"/>
        <v>-1.1442928124974661</v>
      </c>
      <c r="P661" s="1">
        <f t="shared" si="117"/>
        <v>26.975840497121162</v>
      </c>
      <c r="Q661" s="1">
        <f t="shared" si="118"/>
        <v>-57.15914491178264</v>
      </c>
      <c r="R661">
        <f>SQRT(Tabelle2[[#This Row],[vx]]*Tabelle2[[#This Row],[vx]]+Tabelle2[[#This Row],[vy]]*Tabelle2[[#This Row],[vy]])</f>
        <v>63.204935072922034</v>
      </c>
      <c r="S661">
        <f t="shared" si="119"/>
        <v>539.02300794079565</v>
      </c>
      <c r="T661" s="1">
        <f t="shared" si="120"/>
        <v>-25.904719516190745</v>
      </c>
    </row>
    <row r="662" spans="6:20" x14ac:dyDescent="0.35">
      <c r="F662" s="1">
        <f t="shared" si="116"/>
        <v>13.179999999999808</v>
      </c>
      <c r="G662">
        <f>1/2*$B$8*$B$6*$B$7*(Tabelle2[[#This Row],[vx]]*Tabelle2[[#This Row],[vx]]+Tabelle2[[#This Row],[vy]]*Tabelle2[[#This Row],[vy]])/1000000</f>
        <v>7.0852203698103873</v>
      </c>
      <c r="H662">
        <f>IF($B$3,-Tabelle2[[#This Row],[Fd]]*Tabelle2[[#This Row],[vx]]/Tabelle2[[#This Row],[v]],0)</f>
        <v>-3.0154886146837083</v>
      </c>
      <c r="I662">
        <f t="shared" si="110"/>
        <v>-2.0103257431224724</v>
      </c>
      <c r="J662">
        <f t="shared" si="111"/>
        <v>-4.0206514862449451E-2</v>
      </c>
      <c r="K662">
        <f t="shared" si="112"/>
        <v>0.53831047352631678</v>
      </c>
      <c r="L662">
        <f>-$B$5*$B$12-IF($B$3,Tabelle2[[#This Row],[Fd]]*Tabelle2[[#This Row],[vy]]/Tabelle2[[#This Row],[v]],0)</f>
        <v>-8.3035121770770726</v>
      </c>
      <c r="M662">
        <f t="shared" si="113"/>
        <v>-5.5356747847180481</v>
      </c>
      <c r="N662">
        <f t="shared" si="114"/>
        <v>-0.11071349569436097</v>
      </c>
      <c r="O662">
        <f t="shared" si="115"/>
        <v>-1.146509861716223</v>
      </c>
      <c r="P662" s="1">
        <f t="shared" si="117"/>
        <v>26.935626933747059</v>
      </c>
      <c r="Q662" s="1">
        <f t="shared" si="118"/>
        <v>-57.270136337963976</v>
      </c>
      <c r="R662">
        <f>SQRT(Tabelle2[[#This Row],[vx]]*Tabelle2[[#This Row],[vx]]+Tabelle2[[#This Row],[vy]]*Tabelle2[[#This Row],[vy]])</f>
        <v>63.288202016513168</v>
      </c>
      <c r="S662">
        <f t="shared" si="119"/>
        <v>539.56212261510439</v>
      </c>
      <c r="T662" s="1">
        <f t="shared" si="120"/>
        <v>-27.04901232868821</v>
      </c>
    </row>
    <row r="663" spans="6:20" x14ac:dyDescent="0.35">
      <c r="F663" s="1">
        <f t="shared" si="116"/>
        <v>13.199999999999807</v>
      </c>
      <c r="G663">
        <f>1/2*$B$8*$B$6*$B$7*(Tabelle2[[#This Row],[vx]]*Tabelle2[[#This Row],[vx]]+Tabelle2[[#This Row],[vy]]*Tabelle2[[#This Row],[vy]])/1000000</f>
        <v>7.1038454068324413</v>
      </c>
      <c r="H663">
        <f>IF($B$3,-Tabelle2[[#This Row],[Fd]]*Tabelle2[[#This Row],[vx]]/Tabelle2[[#This Row],[v]],0)</f>
        <v>-3.0149423469704524</v>
      </c>
      <c r="I663">
        <f t="shared" si="110"/>
        <v>-2.0099615646469684</v>
      </c>
      <c r="J663">
        <f t="shared" si="111"/>
        <v>-4.0199231292939369E-2</v>
      </c>
      <c r="K663">
        <f t="shared" si="112"/>
        <v>0.53750641606476279</v>
      </c>
      <c r="L663">
        <f>-$B$5*$B$12-IF($B$3,Tabelle2[[#This Row],[Fd]]*Tabelle2[[#This Row],[vy]]/Tabelle2[[#This Row],[v]],0)</f>
        <v>-8.2826798735900375</v>
      </c>
      <c r="M663">
        <f t="shared" si="113"/>
        <v>-5.5217865823933581</v>
      </c>
      <c r="N663">
        <f t="shared" si="114"/>
        <v>-0.11043573164786716</v>
      </c>
      <c r="O663">
        <f t="shared" si="115"/>
        <v>-1.1487213539896455</v>
      </c>
      <c r="P663" s="1">
        <f t="shared" si="117"/>
        <v>26.895420418884608</v>
      </c>
      <c r="Q663" s="1">
        <f t="shared" si="118"/>
        <v>-57.380849833658338</v>
      </c>
      <c r="R663">
        <f>SQRT(Tabelle2[[#This Row],[vx]]*Tabelle2[[#This Row],[vx]]+Tabelle2[[#This Row],[vy]]*Tabelle2[[#This Row],[vy]])</f>
        <v>63.371330798251371</v>
      </c>
      <c r="S663">
        <f t="shared" si="119"/>
        <v>540.10043308863067</v>
      </c>
      <c r="T663" s="1">
        <f t="shared" si="120"/>
        <v>-28.195522190404432</v>
      </c>
    </row>
    <row r="664" spans="6:20" x14ac:dyDescent="0.35">
      <c r="F664" s="1">
        <f t="shared" si="116"/>
        <v>13.219999999999807</v>
      </c>
      <c r="G664">
        <f>1/2*$B$8*$B$6*$B$7*(Tabelle2[[#This Row],[vx]]*Tabelle2[[#This Row],[vx]]+Tabelle2[[#This Row],[vy]]*Tabelle2[[#This Row],[vy]])/1000000</f>
        <v>7.1224637240621904</v>
      </c>
      <c r="H664">
        <f>IF($B$3,-Tabelle2[[#This Row],[Fd]]*Tabelle2[[#This Row],[vx]]/Tabelle2[[#This Row],[v]],0)</f>
        <v>-3.0143784768299375</v>
      </c>
      <c r="I664">
        <f t="shared" si="110"/>
        <v>-2.0095856512199584</v>
      </c>
      <c r="J664">
        <f t="shared" si="111"/>
        <v>-4.0191713024399167E-2</v>
      </c>
      <c r="K664">
        <f t="shared" si="112"/>
        <v>0.53670250662158947</v>
      </c>
      <c r="L664">
        <f>-$B$5*$B$12-IF($B$3,Tabelle2[[#This Row],[Fd]]*Tabelle2[[#This Row],[vy]]/Tabelle2[[#This Row],[v]],0)</f>
        <v>-8.261860306873384</v>
      </c>
      <c r="M664">
        <f t="shared" si="113"/>
        <v>-5.507906871248923</v>
      </c>
      <c r="N664">
        <f t="shared" si="114"/>
        <v>-0.11015813742497846</v>
      </c>
      <c r="O664">
        <f t="shared" si="115"/>
        <v>-1.150927292680374</v>
      </c>
      <c r="P664" s="1">
        <f t="shared" si="117"/>
        <v>26.85522118759167</v>
      </c>
      <c r="Q664" s="1">
        <f t="shared" si="118"/>
        <v>-57.491285565306207</v>
      </c>
      <c r="R664">
        <f>SQRT(Tabelle2[[#This Row],[vx]]*Tabelle2[[#This Row],[vx]]+Tabelle2[[#This Row],[vy]]*Tabelle2[[#This Row],[vy]])</f>
        <v>63.454320743240629</v>
      </c>
      <c r="S664">
        <f t="shared" si="119"/>
        <v>540.6379395046954</v>
      </c>
      <c r="T664" s="1">
        <f t="shared" si="120"/>
        <v>-29.344243544394079</v>
      </c>
    </row>
    <row r="665" spans="6:20" x14ac:dyDescent="0.35">
      <c r="F665" s="1">
        <f t="shared" si="116"/>
        <v>13.239999999999807</v>
      </c>
      <c r="G665">
        <f>1/2*$B$8*$B$6*$B$7*(Tabelle2[[#This Row],[vx]]*Tabelle2[[#This Row],[vx]]+Tabelle2[[#This Row],[vy]]*Tabelle2[[#This Row],[vy]])/1000000</f>
        <v>7.1410750496944582</v>
      </c>
      <c r="H665">
        <f>IF($B$3,-Tabelle2[[#This Row],[Fd]]*Tabelle2[[#This Row],[vx]]/Tabelle2[[#This Row],[v]],0)</f>
        <v>-3.0137970319153387</v>
      </c>
      <c r="I665">
        <f t="shared" si="110"/>
        <v>-2.0091980212768923</v>
      </c>
      <c r="J665">
        <f t="shared" si="111"/>
        <v>-4.0183960425537846E-2</v>
      </c>
      <c r="K665">
        <f t="shared" si="112"/>
        <v>0.53589874988709008</v>
      </c>
      <c r="L665">
        <f>-$B$5*$B$12-IF($B$3,Tabelle2[[#This Row],[Fd]]*Tabelle2[[#This Row],[vy]]/Tabelle2[[#This Row],[v]],0)</f>
        <v>-8.2410537293095345</v>
      </c>
      <c r="M665">
        <f t="shared" si="113"/>
        <v>-5.4940358195396897</v>
      </c>
      <c r="N665">
        <f t="shared" si="114"/>
        <v>-0.10988071639079379</v>
      </c>
      <c r="O665">
        <f t="shared" si="115"/>
        <v>-1.1531276812185316</v>
      </c>
      <c r="P665" s="1">
        <f t="shared" si="117"/>
        <v>26.815029474567272</v>
      </c>
      <c r="Q665" s="1">
        <f t="shared" si="118"/>
        <v>-57.601443702731189</v>
      </c>
      <c r="R665">
        <f>SQRT(Tabelle2[[#This Row],[vx]]*Tabelle2[[#This Row],[vx]]+Tabelle2[[#This Row],[vy]]*Tabelle2[[#This Row],[vy]])</f>
        <v>63.537171186328578</v>
      </c>
      <c r="S665">
        <f t="shared" si="119"/>
        <v>541.17464201131702</v>
      </c>
      <c r="T665" s="1">
        <f t="shared" si="120"/>
        <v>-30.495170837074454</v>
      </c>
    </row>
    <row r="666" spans="6:20" x14ac:dyDescent="0.35">
      <c r="F666" s="1">
        <f t="shared" si="116"/>
        <v>13.259999999999806</v>
      </c>
      <c r="G666">
        <f>1/2*$B$8*$B$6*$B$7*(Tabelle2[[#This Row],[vx]]*Tabelle2[[#This Row],[vx]]+Tabelle2[[#This Row],[vy]]*Tabelle2[[#This Row],[vy]])/1000000</f>
        <v>7.1596791135262308</v>
      </c>
      <c r="H666">
        <f>IF($B$3,-Tabelle2[[#This Row],[Fd]]*Tabelle2[[#This Row],[vx]]/Tabelle2[[#This Row],[v]],0)</f>
        <v>-3.0131980406119987</v>
      </c>
      <c r="I666">
        <f t="shared" si="110"/>
        <v>-2.0087986937413325</v>
      </c>
      <c r="J666">
        <f t="shared" si="111"/>
        <v>-4.0175973874826652E-2</v>
      </c>
      <c r="K666">
        <f t="shared" si="112"/>
        <v>0.53509515054408652</v>
      </c>
      <c r="L666">
        <f>-$B$5*$B$12-IF($B$3,Tabelle2[[#This Row],[Fd]]*Tabelle2[[#This Row],[vy]]/Tabelle2[[#This Row],[v]],0)</f>
        <v>-8.2202603919236488</v>
      </c>
      <c r="M666">
        <f t="shared" si="113"/>
        <v>-5.4801735946157661</v>
      </c>
      <c r="N666">
        <f t="shared" si="114"/>
        <v>-0.10960347189231533</v>
      </c>
      <c r="O666">
        <f t="shared" si="115"/>
        <v>-1.1553225231013629</v>
      </c>
      <c r="P666" s="1">
        <f t="shared" si="117"/>
        <v>26.774845514141735</v>
      </c>
      <c r="Q666" s="1">
        <f t="shared" si="118"/>
        <v>-57.711324419121979</v>
      </c>
      <c r="R666">
        <f>SQRT(Tabelle2[[#This Row],[vx]]*Tabelle2[[#This Row],[vx]]+Tabelle2[[#This Row],[vy]]*Tabelle2[[#This Row],[vy]])</f>
        <v>63.619881472031217</v>
      </c>
      <c r="S666">
        <f t="shared" si="119"/>
        <v>541.71054076120413</v>
      </c>
      <c r="T666" s="1">
        <f t="shared" si="120"/>
        <v>-31.648298518292986</v>
      </c>
    </row>
    <row r="667" spans="6:20" x14ac:dyDescent="0.35">
      <c r="F667" s="1">
        <f t="shared" si="116"/>
        <v>13.279999999999806</v>
      </c>
      <c r="G667">
        <f>1/2*$B$8*$B$6*$B$7*(Tabelle2[[#This Row],[vx]]*Tabelle2[[#This Row],[vx]]+Tabelle2[[#This Row],[vy]]*Tabelle2[[#This Row],[vy]])/1000000</f>
        <v>7.1782756469572258</v>
      </c>
      <c r="H667">
        <f>IF($B$3,-Tabelle2[[#This Row],[Fd]]*Tabelle2[[#This Row],[vx]]/Tabelle2[[#This Row],[v]],0)</f>
        <v>-3.0125815320284226</v>
      </c>
      <c r="I667">
        <f t="shared" si="110"/>
        <v>-2.0083876880189484</v>
      </c>
      <c r="J667">
        <f t="shared" si="111"/>
        <v>-4.0167753760378969E-2</v>
      </c>
      <c r="K667">
        <f t="shared" si="112"/>
        <v>0.53429171326773439</v>
      </c>
      <c r="L667">
        <f>-$B$5*$B$12-IF($B$3,Tabelle2[[#This Row],[Fd]]*Tabelle2[[#This Row],[vy]]/Tabelle2[[#This Row],[v]],0)</f>
        <v>-8.1994805443786412</v>
      </c>
      <c r="M667">
        <f t="shared" si="113"/>
        <v>-5.4663203629190944</v>
      </c>
      <c r="N667">
        <f t="shared" si="114"/>
        <v>-0.10932640725838189</v>
      </c>
      <c r="O667">
        <f t="shared" si="115"/>
        <v>-1.1575118218928697</v>
      </c>
      <c r="P667" s="1">
        <f t="shared" si="117"/>
        <v>26.734669540266907</v>
      </c>
      <c r="Q667" s="1">
        <f t="shared" si="118"/>
        <v>-57.820927891014293</v>
      </c>
      <c r="R667">
        <f>SQRT(Tabelle2[[#This Row],[vx]]*Tabelle2[[#This Row],[vx]]+Tabelle2[[#This Row],[vy]]*Tabelle2[[#This Row],[vy]])</f>
        <v>63.702450954458179</v>
      </c>
      <c r="S667">
        <f t="shared" si="119"/>
        <v>542.2456359117482</v>
      </c>
      <c r="T667" s="1">
        <f t="shared" si="120"/>
        <v>-32.803621041394351</v>
      </c>
    </row>
    <row r="668" spans="6:20" x14ac:dyDescent="0.35">
      <c r="F668" s="1">
        <f t="shared" si="116"/>
        <v>13.299999999999805</v>
      </c>
      <c r="G668">
        <f>1/2*$B$8*$B$6*$B$7*(Tabelle2[[#This Row],[vx]]*Tabelle2[[#This Row],[vx]]+Tabelle2[[#This Row],[vy]]*Tabelle2[[#This Row],[vy]])/1000000</f>
        <v>7.1968643829903565</v>
      </c>
      <c r="H668">
        <f>IF($B$3,-Tabelle2[[#This Row],[Fd]]*Tabelle2[[#This Row],[vx]]/Tabelle2[[#This Row],[v]],0)</f>
        <v>-3.0119475359873173</v>
      </c>
      <c r="I668">
        <f t="shared" si="110"/>
        <v>-2.0079650239915448</v>
      </c>
      <c r="J668">
        <f t="shared" si="111"/>
        <v>-4.0159300479830899E-2</v>
      </c>
      <c r="K668">
        <f t="shared" si="112"/>
        <v>0.53348844272533225</v>
      </c>
      <c r="L668">
        <f>-$B$5*$B$12-IF($B$3,Tabelle2[[#This Row],[Fd]]*Tabelle2[[#This Row],[vy]]/Tabelle2[[#This Row],[v]],0)</f>
        <v>-8.1787144349703418</v>
      </c>
      <c r="M668">
        <f t="shared" si="113"/>
        <v>-5.4524762899802282</v>
      </c>
      <c r="N668">
        <f t="shared" si="114"/>
        <v>-0.10904952579960457</v>
      </c>
      <c r="O668">
        <f t="shared" si="115"/>
        <v>-1.1596955812234495</v>
      </c>
      <c r="P668" s="1">
        <f t="shared" si="117"/>
        <v>26.694501786506528</v>
      </c>
      <c r="Q668" s="1">
        <f t="shared" si="118"/>
        <v>-57.930254298272672</v>
      </c>
      <c r="R668">
        <f>SQRT(Tabelle2[[#This Row],[vx]]*Tabelle2[[#This Row],[vx]]+Tabelle2[[#This Row],[vy]]*Tabelle2[[#This Row],[vy]])</f>
        <v>63.784878997238366</v>
      </c>
      <c r="S668">
        <f t="shared" si="119"/>
        <v>542.77992762501594</v>
      </c>
      <c r="T668" s="1">
        <f t="shared" si="120"/>
        <v>-33.961132863287219</v>
      </c>
    </row>
    <row r="669" spans="6:20" x14ac:dyDescent="0.35">
      <c r="F669" s="1">
        <f t="shared" si="116"/>
        <v>13.319999999999805</v>
      </c>
      <c r="G669">
        <f>1/2*$B$8*$B$6*$B$7*(Tabelle2[[#This Row],[vx]]*Tabelle2[[#This Row],[vx]]+Tabelle2[[#This Row],[vy]]*Tabelle2[[#This Row],[vy]])/1000000</f>
        <v>7.2154450562321255</v>
      </c>
      <c r="H669">
        <f>IF($B$3,-Tabelle2[[#This Row],[Fd]]*Tabelle2[[#This Row],[vx]]/Tabelle2[[#This Row],[v]],0)</f>
        <v>-3.0112960830166946</v>
      </c>
      <c r="I669">
        <f t="shared" si="110"/>
        <v>-2.0075307220111296</v>
      </c>
      <c r="J669">
        <f t="shared" si="111"/>
        <v>-4.0150614440222596E-2</v>
      </c>
      <c r="K669">
        <f t="shared" si="112"/>
        <v>0.53268534357613173</v>
      </c>
      <c r="L669">
        <f>-$B$5*$B$12-IF($B$3,Tabelle2[[#This Row],[Fd]]*Tabelle2[[#This Row],[vy]]/Tabelle2[[#This Row],[v]],0)</f>
        <v>-8.1579623106228123</v>
      </c>
      <c r="M669">
        <f t="shared" si="113"/>
        <v>-5.4386415404152082</v>
      </c>
      <c r="N669">
        <f t="shared" si="114"/>
        <v>-0.10877283080830416</v>
      </c>
      <c r="O669">
        <f t="shared" si="115"/>
        <v>-1.1618738047895287</v>
      </c>
      <c r="P669" s="1">
        <f t="shared" si="117"/>
        <v>26.654342486026696</v>
      </c>
      <c r="Q669" s="1">
        <f t="shared" si="118"/>
        <v>-58.039303824072277</v>
      </c>
      <c r="R669">
        <f>SQRT(Tabelle2[[#This Row],[vx]]*Tabelle2[[#This Row],[vx]]+Tabelle2[[#This Row],[vy]]*Tabelle2[[#This Row],[vy]])</f>
        <v>63.867164973446087</v>
      </c>
      <c r="S669">
        <f t="shared" si="119"/>
        <v>543.31341606774129</v>
      </c>
      <c r="T669" s="1">
        <f t="shared" si="120"/>
        <v>-35.120828444510671</v>
      </c>
    </row>
    <row r="670" spans="6:20" x14ac:dyDescent="0.35">
      <c r="F670" s="1">
        <f t="shared" si="116"/>
        <v>13.339999999999804</v>
      </c>
      <c r="G670">
        <f>1/2*$B$8*$B$6*$B$7*(Tabelle2[[#This Row],[vx]]*Tabelle2[[#This Row],[vx]]+Tabelle2[[#This Row],[vy]]*Tabelle2[[#This Row],[vy]])/1000000</f>
        <v>7.2340174028929409</v>
      </c>
      <c r="H670">
        <f>IF($B$3,-Tabelle2[[#This Row],[Fd]]*Tabelle2[[#This Row],[vx]]/Tabelle2[[#This Row],[v]],0)</f>
        <v>-3.0106272043410311</v>
      </c>
      <c r="I670">
        <f t="shared" si="110"/>
        <v>-2.0070848028940209</v>
      </c>
      <c r="J670">
        <f t="shared" si="111"/>
        <v>-4.014169605788042E-2</v>
      </c>
      <c r="K670">
        <f t="shared" si="112"/>
        <v>0.53188242047115064</v>
      </c>
      <c r="L670">
        <f>-$B$5*$B$12-IF($B$3,Tabelle2[[#This Row],[Fd]]*Tabelle2[[#This Row],[vy]]/Tabelle2[[#This Row],[v]],0)</f>
        <v>-8.1372244168838002</v>
      </c>
      <c r="M670">
        <f t="shared" si="113"/>
        <v>-5.4248162779225337</v>
      </c>
      <c r="N670">
        <f t="shared" si="114"/>
        <v>-0.10849632555845068</v>
      </c>
      <c r="O670">
        <f t="shared" si="115"/>
        <v>-1.1640464963531962</v>
      </c>
      <c r="P670" s="1">
        <f t="shared" si="117"/>
        <v>26.614191871586474</v>
      </c>
      <c r="Q670" s="1">
        <f t="shared" si="118"/>
        <v>-58.148076654880583</v>
      </c>
      <c r="R670">
        <f>SQRT(Tabelle2[[#This Row],[vx]]*Tabelle2[[#This Row],[vx]]+Tabelle2[[#This Row],[vy]]*Tabelle2[[#This Row],[vy]])</f>
        <v>63.949308265527684</v>
      </c>
      <c r="S670">
        <f t="shared" si="119"/>
        <v>543.84610141131736</v>
      </c>
      <c r="T670" s="1">
        <f t="shared" si="120"/>
        <v>-36.2827022493002</v>
      </c>
    </row>
    <row r="671" spans="6:20" x14ac:dyDescent="0.35">
      <c r="F671" s="1">
        <f t="shared" si="116"/>
        <v>13.359999999999804</v>
      </c>
      <c r="G671">
        <f>1/2*$B$8*$B$6*$B$7*(Tabelle2[[#This Row],[vx]]*Tabelle2[[#This Row],[vx]]+Tabelle2[[#This Row],[vy]]*Tabelle2[[#This Row],[vy]])/1000000</f>
        <v>7.2525811607873365</v>
      </c>
      <c r="H671">
        <f>IF($B$3,-Tabelle2[[#This Row],[Fd]]*Tabelle2[[#This Row],[vx]]/Tabelle2[[#This Row],[v]],0)</f>
        <v>-3.0099409318724786</v>
      </c>
      <c r="I671">
        <f t="shared" si="110"/>
        <v>-2.0066272879149856</v>
      </c>
      <c r="J671">
        <f t="shared" si="111"/>
        <v>-4.0132545758299713E-2</v>
      </c>
      <c r="K671">
        <f t="shared" si="112"/>
        <v>0.53107967805298895</v>
      </c>
      <c r="L671">
        <f>-$B$5*$B$12-IF($B$3,Tabelle2[[#This Row],[Fd]]*Tabelle2[[#This Row],[vy]]/Tabelle2[[#This Row],[v]],0)</f>
        <v>-8.1165009979203582</v>
      </c>
      <c r="M671">
        <f t="shared" si="113"/>
        <v>-5.4110006652802385</v>
      </c>
      <c r="N671">
        <f t="shared" si="114"/>
        <v>-0.10822001330560477</v>
      </c>
      <c r="O671">
        <f t="shared" si="115"/>
        <v>-1.1662136597418367</v>
      </c>
      <c r="P671" s="1">
        <f t="shared" si="117"/>
        <v>26.574050175528594</v>
      </c>
      <c r="Q671" s="1">
        <f t="shared" si="118"/>
        <v>-58.256572980439032</v>
      </c>
      <c r="R671">
        <f>SQRT(Tabelle2[[#This Row],[vx]]*Tabelle2[[#This Row],[vx]]+Tabelle2[[#This Row],[vy]]*Tabelle2[[#This Row],[vy]])</f>
        <v>64.031308265228589</v>
      </c>
      <c r="S671">
        <f t="shared" si="119"/>
        <v>544.37798383178847</v>
      </c>
      <c r="T671" s="1">
        <f t="shared" si="120"/>
        <v>-37.446748745653395</v>
      </c>
    </row>
    <row r="672" spans="6:20" x14ac:dyDescent="0.35">
      <c r="F672" s="1">
        <f t="shared" si="116"/>
        <v>13.379999999999804</v>
      </c>
      <c r="G672">
        <f>1/2*$B$8*$B$6*$B$7*(Tabelle2[[#This Row],[vx]]*Tabelle2[[#This Row],[vx]]+Tabelle2[[#This Row],[vy]]*Tabelle2[[#This Row],[vy]])/1000000</f>
        <v>7.2711360693341316</v>
      </c>
      <c r="H672">
        <f>IF($B$3,-Tabelle2[[#This Row],[Fd]]*Tabelle2[[#This Row],[vx]]/Tabelle2[[#This Row],[v]],0)</f>
        <v>-3.0092372982021423</v>
      </c>
      <c r="I672">
        <f t="shared" si="110"/>
        <v>-2.0061581988014283</v>
      </c>
      <c r="J672">
        <f t="shared" si="111"/>
        <v>-4.0123163976028567E-2</v>
      </c>
      <c r="K672">
        <f t="shared" si="112"/>
        <v>0.53027712095564561</v>
      </c>
      <c r="L672">
        <f>-$B$5*$B$12-IF($B$3,Tabelle2[[#This Row],[Fd]]*Tabelle2[[#This Row],[vy]]/Tabelle2[[#This Row],[v]],0)</f>
        <v>-8.0957922965145688</v>
      </c>
      <c r="M672">
        <f t="shared" si="113"/>
        <v>-5.3971948643430459</v>
      </c>
      <c r="N672">
        <f t="shared" si="114"/>
        <v>-0.10794389728686092</v>
      </c>
      <c r="O672">
        <f t="shared" si="115"/>
        <v>-1.1683752988477614</v>
      </c>
      <c r="P672" s="1">
        <f t="shared" si="117"/>
        <v>26.533917629770293</v>
      </c>
      <c r="Q672" s="1">
        <f t="shared" si="118"/>
        <v>-58.364792993744636</v>
      </c>
      <c r="R672">
        <f>SQRT(Tabelle2[[#This Row],[vx]]*Tabelle2[[#This Row],[vx]]+Tabelle2[[#This Row],[vy]]*Tabelle2[[#This Row],[vy]])</f>
        <v>64.113164373520803</v>
      </c>
      <c r="S672">
        <f t="shared" si="119"/>
        <v>544.90906350984142</v>
      </c>
      <c r="T672" s="1">
        <f t="shared" si="120"/>
        <v>-38.61296240539523</v>
      </c>
    </row>
    <row r="673" spans="6:20" x14ac:dyDescent="0.35">
      <c r="F673" s="1">
        <f t="shared" si="116"/>
        <v>13.399999999999803</v>
      </c>
      <c r="G673">
        <f>1/2*$B$8*$B$6*$B$7*(Tabelle2[[#This Row],[vx]]*Tabelle2[[#This Row],[vx]]+Tabelle2[[#This Row],[vy]]*Tabelle2[[#This Row],[vy]])/1000000</f>
        <v>7.2896818695564907</v>
      </c>
      <c r="H673">
        <f>IF($B$3,-Tabelle2[[#This Row],[Fd]]*Tabelle2[[#This Row],[vx]]/Tabelle2[[#This Row],[v]],0)</f>
        <v>-3.0085163365913994</v>
      </c>
      <c r="I673">
        <f t="shared" si="110"/>
        <v>-2.0056775577275996</v>
      </c>
      <c r="J673">
        <f t="shared" si="111"/>
        <v>-4.0113551154551993E-2</v>
      </c>
      <c r="K673">
        <f t="shared" si="112"/>
        <v>0.52947475380433984</v>
      </c>
      <c r="L673">
        <f>-$B$5*$B$12-IF($B$3,Tabelle2[[#This Row],[Fd]]*Tabelle2[[#This Row],[vy]]/Tabelle2[[#This Row],[v]],0)</f>
        <v>-8.0750985540594602</v>
      </c>
      <c r="M673">
        <f t="shared" si="113"/>
        <v>-5.3833990360396404</v>
      </c>
      <c r="N673">
        <f t="shared" si="114"/>
        <v>-0.10766798072079281</v>
      </c>
      <c r="O673">
        <f t="shared" si="115"/>
        <v>-1.1705314176278379</v>
      </c>
      <c r="P673" s="1">
        <f t="shared" si="117"/>
        <v>26.493794465794267</v>
      </c>
      <c r="Q673" s="1">
        <f t="shared" si="118"/>
        <v>-58.472736891031495</v>
      </c>
      <c r="R673">
        <f>SQRT(Tabelle2[[#This Row],[vx]]*Tabelle2[[#This Row],[vx]]+Tabelle2[[#This Row],[vy]]*Tabelle2[[#This Row],[vy]])</f>
        <v>64.194876000530968</v>
      </c>
      <c r="S673">
        <f t="shared" si="119"/>
        <v>545.43934063079712</v>
      </c>
      <c r="T673" s="1">
        <f t="shared" si="120"/>
        <v>-39.781337704242993</v>
      </c>
    </row>
    <row r="674" spans="6:20" x14ac:dyDescent="0.35">
      <c r="F674" s="1">
        <f t="shared" si="116"/>
        <v>13.419999999999803</v>
      </c>
      <c r="G674">
        <f>1/2*$B$8*$B$6*$B$7*(Tabelle2[[#This Row],[vx]]*Tabelle2[[#This Row],[vx]]+Tabelle2[[#This Row],[vy]]*Tabelle2[[#This Row],[vy]])/1000000</f>
        <v>7.3082183040819162</v>
      </c>
      <c r="H674">
        <f>IF($B$3,-Tabelle2[[#This Row],[Fd]]*Tabelle2[[#This Row],[vx]]/Tabelle2[[#This Row],[v]],0)</f>
        <v>-3.007778080963289</v>
      </c>
      <c r="I674">
        <f t="shared" si="110"/>
        <v>-2.0051853873088592</v>
      </c>
      <c r="J674">
        <f t="shared" si="111"/>
        <v>-4.0103707746177185E-2</v>
      </c>
      <c r="K674">
        <f t="shared" si="112"/>
        <v>0.52867258121533256</v>
      </c>
      <c r="L674">
        <f>-$B$5*$B$12-IF($B$3,Tabelle2[[#This Row],[Fd]]*Tabelle2[[#This Row],[vy]]/Tabelle2[[#This Row],[v]],0)</f>
        <v>-8.054420010555031</v>
      </c>
      <c r="M674">
        <f t="shared" si="113"/>
        <v>-5.3696133403700204</v>
      </c>
      <c r="N674">
        <f t="shared" si="114"/>
        <v>-0.10739226680740041</v>
      </c>
      <c r="O674">
        <f t="shared" si="115"/>
        <v>-1.1726820201031196</v>
      </c>
      <c r="P674" s="1">
        <f t="shared" si="117"/>
        <v>26.453680914639715</v>
      </c>
      <c r="Q674" s="1">
        <f t="shared" si="118"/>
        <v>-58.580404871752286</v>
      </c>
      <c r="R674">
        <f>SQRT(Tabelle2[[#This Row],[vx]]*Tabelle2[[#This Row],[vx]]+Tabelle2[[#This Row],[vy]]*Tabelle2[[#This Row],[vy]])</f>
        <v>64.27644256546867</v>
      </c>
      <c r="S674">
        <f t="shared" si="119"/>
        <v>545.9688153846015</v>
      </c>
      <c r="T674" s="1">
        <f t="shared" si="120"/>
        <v>-40.951869121870828</v>
      </c>
    </row>
    <row r="675" spans="6:20" x14ac:dyDescent="0.35">
      <c r="F675" s="1">
        <f t="shared" si="116"/>
        <v>13.439999999999802</v>
      </c>
      <c r="G675">
        <f>1/2*$B$8*$B$6*$B$7*(Tabelle2[[#This Row],[vx]]*Tabelle2[[#This Row],[vx]]+Tabelle2[[#This Row],[vy]]*Tabelle2[[#This Row],[vy]])/1000000</f>
        <v>7.3267451171421598</v>
      </c>
      <c r="H675">
        <f>IF($B$3,-Tabelle2[[#This Row],[Fd]]*Tabelle2[[#This Row],[vx]]/Tabelle2[[#This Row],[v]],0)</f>
        <v>-3.00702256589395</v>
      </c>
      <c r="I675">
        <f t="shared" si="110"/>
        <v>-2.0046817105959667</v>
      </c>
      <c r="J675">
        <f t="shared" si="111"/>
        <v>-4.0093634211919332E-2</v>
      </c>
      <c r="K675">
        <f t="shared" si="112"/>
        <v>0.52787060779575157</v>
      </c>
      <c r="L675">
        <f>-$B$5*$B$12-IF($B$3,Tabelle2[[#This Row],[Fd]]*Tabelle2[[#This Row],[vy]]/Tabelle2[[#This Row],[v]],0)</f>
        <v>-8.0337569046044255</v>
      </c>
      <c r="M675">
        <f t="shared" si="113"/>
        <v>-5.35583793640295</v>
      </c>
      <c r="N675">
        <f t="shared" si="114"/>
        <v>-0.10711675872805901</v>
      </c>
      <c r="O675">
        <f t="shared" si="115"/>
        <v>-1.1748271103584744</v>
      </c>
      <c r="P675" s="1">
        <f t="shared" si="117"/>
        <v>26.413577206893539</v>
      </c>
      <c r="Q675" s="1">
        <f t="shared" si="118"/>
        <v>-58.687797138559688</v>
      </c>
      <c r="R675">
        <f>SQRT(Tabelle2[[#This Row],[vx]]*Tabelle2[[#This Row],[vx]]+Tabelle2[[#This Row],[vy]]*Tabelle2[[#This Row],[vy]])</f>
        <v>64.357863496555424</v>
      </c>
      <c r="S675">
        <f t="shared" si="119"/>
        <v>546.49748796581684</v>
      </c>
      <c r="T675" s="1">
        <f t="shared" si="120"/>
        <v>-42.124551141973946</v>
      </c>
    </row>
    <row r="676" spans="6:20" x14ac:dyDescent="0.35">
      <c r="F676" s="1">
        <f t="shared" si="116"/>
        <v>13.459999999999802</v>
      </c>
      <c r="G676">
        <f>1/2*$B$8*$B$6*$B$7*(Tabelle2[[#This Row],[vx]]*Tabelle2[[#This Row],[vx]]+Tabelle2[[#This Row],[vy]]*Tabelle2[[#This Row],[vy]])/1000000</f>
        <v>7.3452620545730474</v>
      </c>
      <c r="H676">
        <f>IF($B$3,-Tabelle2[[#This Row],[Fd]]*Tabelle2[[#This Row],[vx]]/Tabelle2[[#This Row],[v]],0)</f>
        <v>-3.0062498266041158</v>
      </c>
      <c r="I676">
        <f t="shared" si="110"/>
        <v>-2.0041665510694107</v>
      </c>
      <c r="J676">
        <f t="shared" si="111"/>
        <v>-4.0083331021388217E-2</v>
      </c>
      <c r="K676">
        <f t="shared" si="112"/>
        <v>0.52706883814341854</v>
      </c>
      <c r="L676">
        <f>-$B$5*$B$12-IF($B$3,Tabelle2[[#This Row],[Fd]]*Tabelle2[[#This Row],[vy]]/Tabelle2[[#This Row],[v]],0)</f>
        <v>-8.013109473410255</v>
      </c>
      <c r="M676">
        <f t="shared" si="113"/>
        <v>-5.3420729822735034</v>
      </c>
      <c r="N676">
        <f t="shared" si="114"/>
        <v>-0.10684145964547007</v>
      </c>
      <c r="O676">
        <f t="shared" si="115"/>
        <v>-1.1769666925422098</v>
      </c>
      <c r="P676" s="1">
        <f t="shared" si="117"/>
        <v>26.373483572681618</v>
      </c>
      <c r="Q676" s="1">
        <f t="shared" si="118"/>
        <v>-58.794913897287749</v>
      </c>
      <c r="R676">
        <f>SQRT(Tabelle2[[#This Row],[vx]]*Tabelle2[[#This Row],[vx]]+Tabelle2[[#This Row],[vy]]*Tabelle2[[#This Row],[vy]])</f>
        <v>64.43913823095393</v>
      </c>
      <c r="S676">
        <f t="shared" si="119"/>
        <v>547.02535857361261</v>
      </c>
      <c r="T676" s="1">
        <f t="shared" si="120"/>
        <v>-43.299378252332417</v>
      </c>
    </row>
    <row r="677" spans="6:20" x14ac:dyDescent="0.35">
      <c r="F677" s="1">
        <f t="shared" si="116"/>
        <v>13.479999999999801</v>
      </c>
      <c r="G677">
        <f>1/2*$B$8*$B$6*$B$7*(Tabelle2[[#This Row],[vx]]*Tabelle2[[#This Row],[vx]]+Tabelle2[[#This Row],[vy]]*Tabelle2[[#This Row],[vy]])/1000000</f>
        <v>7.3637688638142365</v>
      </c>
      <c r="H677">
        <f>IF($B$3,-Tabelle2[[#This Row],[Fd]]*Tabelle2[[#This Row],[vx]]/Tabelle2[[#This Row],[v]],0)</f>
        <v>-3.005459898950666</v>
      </c>
      <c r="I677">
        <f t="shared" si="110"/>
        <v>-2.0036399326337775</v>
      </c>
      <c r="J677">
        <f t="shared" si="111"/>
        <v>-4.0072798652675552E-2</v>
      </c>
      <c r="K677">
        <f t="shared" si="112"/>
        <v>0.52626727684667785</v>
      </c>
      <c r="L677">
        <f>-$B$5*$B$12-IF($B$3,Tabelle2[[#This Row],[Fd]]*Tabelle2[[#This Row],[vy]]/Tabelle2[[#This Row],[v]],0)</f>
        <v>-7.9924779527710372</v>
      </c>
      <c r="M677">
        <f t="shared" si="113"/>
        <v>-5.3283186351806915</v>
      </c>
      <c r="N677">
        <f t="shared" si="114"/>
        <v>-0.10656637270361383</v>
      </c>
      <c r="O677">
        <f t="shared" si="115"/>
        <v>-1.1791007708657006</v>
      </c>
      <c r="P677" s="1">
        <f t="shared" si="117"/>
        <v>26.333400241660229</v>
      </c>
      <c r="Q677" s="1">
        <f t="shared" si="118"/>
        <v>-58.901755356933222</v>
      </c>
      <c r="R677">
        <f>SQRT(Tabelle2[[#This Row],[vx]]*Tabelle2[[#This Row],[vx]]+Tabelle2[[#This Row],[vy]]*Tabelle2[[#This Row],[vy]])</f>
        <v>64.520266214697855</v>
      </c>
      <c r="S677">
        <f t="shared" si="119"/>
        <v>547.55242741175607</v>
      </c>
      <c r="T677" s="1">
        <f t="shared" si="120"/>
        <v>-44.476344944874626</v>
      </c>
    </row>
    <row r="678" spans="6:20" x14ac:dyDescent="0.35">
      <c r="F678" s="1">
        <f t="shared" si="116"/>
        <v>13.499999999999801</v>
      </c>
      <c r="G678">
        <f>1/2*$B$8*$B$6*$B$7*(Tabelle2[[#This Row],[vx]]*Tabelle2[[#This Row],[vx]]+Tabelle2[[#This Row],[vy]]*Tabelle2[[#This Row],[vy]])/1000000</f>
        <v>7.3822652939088913</v>
      </c>
      <c r="H678">
        <f>IF($B$3,-Tabelle2[[#This Row],[Fd]]*Tabelle2[[#This Row],[vx]]/Tabelle2[[#This Row],[v]],0)</f>
        <v>-3.0046528194182316</v>
      </c>
      <c r="I678">
        <f t="shared" si="110"/>
        <v>-2.0031018796121542</v>
      </c>
      <c r="J678">
        <f t="shared" si="111"/>
        <v>-4.0062037592243083E-2</v>
      </c>
      <c r="K678">
        <f t="shared" si="112"/>
        <v>0.52546592848422857</v>
      </c>
      <c r="L678">
        <f>-$B$5*$B$12-IF($B$3,Tabelle2[[#This Row],[Fd]]*Tabelle2[[#This Row],[vy]]/Tabelle2[[#This Row],[v]],0)</f>
        <v>-7.9718625770778031</v>
      </c>
      <c r="M678">
        <f t="shared" si="113"/>
        <v>-5.3145750513852024</v>
      </c>
      <c r="N678">
        <f t="shared" si="114"/>
        <v>-0.10629150102770404</v>
      </c>
      <c r="O678">
        <f t="shared" si="115"/>
        <v>-1.1812293496030137</v>
      </c>
      <c r="P678" s="1">
        <f t="shared" si="117"/>
        <v>26.293327443007552</v>
      </c>
      <c r="Q678" s="1">
        <f t="shared" si="118"/>
        <v>-59.008321729636833</v>
      </c>
      <c r="R678">
        <f>SQRT(Tabelle2[[#This Row],[vx]]*Tabelle2[[#This Row],[vx]]+Tabelle2[[#This Row],[vy]]*Tabelle2[[#This Row],[vy]])</f>
        <v>64.601246902622123</v>
      </c>
      <c r="S678">
        <f t="shared" si="119"/>
        <v>548.0786946886027</v>
      </c>
      <c r="T678" s="1">
        <f t="shared" si="120"/>
        <v>-45.655445715740328</v>
      </c>
    </row>
    <row r="679" spans="6:20" x14ac:dyDescent="0.35">
      <c r="F679" s="1">
        <f t="shared" si="116"/>
        <v>13.519999999999801</v>
      </c>
      <c r="G679">
        <f>1/2*$B$8*$B$6*$B$7*(Tabelle2[[#This Row],[vx]]*Tabelle2[[#This Row],[vx]]+Tabelle2[[#This Row],[vy]]*Tabelle2[[#This Row],[vy]])/1000000</f>
        <v>7.4007510955032787</v>
      </c>
      <c r="H679">
        <f>IF($B$3,-Tabelle2[[#This Row],[Fd]]*Tabelle2[[#This Row],[vx]]/Tabelle2[[#This Row],[v]],0)</f>
        <v>-3.0038286251108608</v>
      </c>
      <c r="I679">
        <f t="shared" si="110"/>
        <v>-2.0025524167405737</v>
      </c>
      <c r="J679">
        <f t="shared" si="111"/>
        <v>-4.0051048334811476E-2</v>
      </c>
      <c r="K679">
        <f t="shared" si="112"/>
        <v>0.5246647976249581</v>
      </c>
      <c r="L679">
        <f>-$B$5*$B$12-IF($B$3,Tabelle2[[#This Row],[Fd]]*Tabelle2[[#This Row],[vy]]/Tabelle2[[#This Row],[v]],0)</f>
        <v>-7.9512635793107984</v>
      </c>
      <c r="M679">
        <f t="shared" si="113"/>
        <v>-5.3008423862071989</v>
      </c>
      <c r="N679">
        <f t="shared" si="114"/>
        <v>-0.10601684772414398</v>
      </c>
      <c r="O679">
        <f t="shared" si="115"/>
        <v>-1.1833524330905323</v>
      </c>
      <c r="P679" s="1">
        <f t="shared" si="117"/>
        <v>26.253265405415309</v>
      </c>
      <c r="Q679" s="1">
        <f t="shared" si="118"/>
        <v>-59.114613230664538</v>
      </c>
      <c r="R679">
        <f>SQRT(Tabelle2[[#This Row],[vx]]*Tabelle2[[#This Row],[vx]]+Tabelle2[[#This Row],[vy]]*Tabelle2[[#This Row],[vy]])</f>
        <v>64.682079758293455</v>
      </c>
      <c r="S679">
        <f t="shared" si="119"/>
        <v>548.6041606170869</v>
      </c>
      <c r="T679" s="1">
        <f t="shared" si="120"/>
        <v>-46.836675065343343</v>
      </c>
    </row>
    <row r="680" spans="6:20" x14ac:dyDescent="0.35">
      <c r="F680" s="1">
        <f t="shared" si="116"/>
        <v>13.5399999999998</v>
      </c>
      <c r="G680">
        <f>1/2*$B$8*$B$6*$B$7*(Tabelle2[[#This Row],[vx]]*Tabelle2[[#This Row],[vx]]+Tabelle2[[#This Row],[vy]]*Tabelle2[[#This Row],[vy]])/1000000</f>
        <v>7.4192260208462892</v>
      </c>
      <c r="H680">
        <f>IF($B$3,-Tabelle2[[#This Row],[Fd]]*Tabelle2[[#This Row],[vx]]/Tabelle2[[#This Row],[v]],0)</f>
        <v>-3.0029873537437344</v>
      </c>
      <c r="I680">
        <f t="shared" si="110"/>
        <v>-2.0019915691624894</v>
      </c>
      <c r="J680">
        <f t="shared" si="111"/>
        <v>-4.0039831383249791E-2</v>
      </c>
      <c r="K680">
        <f t="shared" si="112"/>
        <v>0.52386388882777757</v>
      </c>
      <c r="L680">
        <f>-$B$5*$B$12-IF($B$3,Tabelle2[[#This Row],[Fd]]*Tabelle2[[#This Row],[vy]]/Tabelle2[[#This Row],[v]],0)</f>
        <v>-7.9306811910363582</v>
      </c>
      <c r="M680">
        <f t="shared" si="113"/>
        <v>-5.2871207940242391</v>
      </c>
      <c r="N680">
        <f t="shared" si="114"/>
        <v>-0.10574241588048479</v>
      </c>
      <c r="O680">
        <f t="shared" si="115"/>
        <v>-1.1854700257265784</v>
      </c>
      <c r="P680" s="1">
        <f t="shared" si="117"/>
        <v>26.213214357080499</v>
      </c>
      <c r="Q680" s="1">
        <f t="shared" si="118"/>
        <v>-59.22063007838868</v>
      </c>
      <c r="R680">
        <f>SQRT(Tabelle2[[#This Row],[vx]]*Tabelle2[[#This Row],[vx]]+Tabelle2[[#This Row],[vy]]*Tabelle2[[#This Row],[vy]])</f>
        <v>64.762764253941526</v>
      </c>
      <c r="S680">
        <f t="shared" si="119"/>
        <v>549.12882541471186</v>
      </c>
      <c r="T680" s="1">
        <f t="shared" si="120"/>
        <v>-48.020027498433876</v>
      </c>
    </row>
    <row r="681" spans="6:20" x14ac:dyDescent="0.35">
      <c r="F681" s="1">
        <f t="shared" si="116"/>
        <v>13.5599999999998</v>
      </c>
      <c r="G681">
        <f>1/2*$B$8*$B$6*$B$7*(Tabelle2[[#This Row],[vx]]*Tabelle2[[#This Row],[vx]]+Tabelle2[[#This Row],[vy]]*Tabelle2[[#This Row],[vy]])/1000000</f>
        <v>7.4376898237888831</v>
      </c>
      <c r="H681">
        <f>IF($B$3,-Tabelle2[[#This Row],[Fd]]*Tabelle2[[#This Row],[vx]]/Tabelle2[[#This Row],[v]],0)</f>
        <v>-3.002129043634937</v>
      </c>
      <c r="I681">
        <f t="shared" si="110"/>
        <v>-2.0014193624232912</v>
      </c>
      <c r="J681">
        <f t="shared" si="111"/>
        <v>-4.0028387248465823E-2</v>
      </c>
      <c r="K681">
        <f t="shared" si="112"/>
        <v>0.52306320664146033</v>
      </c>
      <c r="L681">
        <f>-$B$5*$B$12-IF($B$3,Tabelle2[[#This Row],[Fd]]*Tabelle2[[#This Row],[vy]]/Tabelle2[[#This Row],[v]],0)</f>
        <v>-7.910115642403885</v>
      </c>
      <c r="M681">
        <f t="shared" si="113"/>
        <v>-5.2734104282692567</v>
      </c>
      <c r="N681">
        <f t="shared" si="114"/>
        <v>-0.10546820856538514</v>
      </c>
      <c r="O681">
        <f t="shared" si="115"/>
        <v>-1.1875821319710371</v>
      </c>
      <c r="P681" s="1">
        <f t="shared" si="117"/>
        <v>26.173174525697249</v>
      </c>
      <c r="Q681" s="1">
        <f t="shared" si="118"/>
        <v>-59.326372494269165</v>
      </c>
      <c r="R681">
        <f>SQRT(Tabelle2[[#This Row],[vx]]*Tabelle2[[#This Row],[vx]]+Tabelle2[[#This Row],[vy]]*Tabelle2[[#This Row],[vy]])</f>
        <v>64.843299870390496</v>
      </c>
      <c r="S681">
        <f t="shared" si="119"/>
        <v>549.65268930353966</v>
      </c>
      <c r="T681" s="1">
        <f t="shared" si="120"/>
        <v>-49.205497524160457</v>
      </c>
    </row>
    <row r="682" spans="6:20" x14ac:dyDescent="0.35">
      <c r="F682" s="1">
        <f t="shared" si="116"/>
        <v>13.579999999999799</v>
      </c>
      <c r="G682">
        <f>1/2*$B$8*$B$6*$B$7*(Tabelle2[[#This Row],[vx]]*Tabelle2[[#This Row],[vx]]+Tabelle2[[#This Row],[vy]]*Tabelle2[[#This Row],[vy]])/1000000</f>
        <v>7.456142259783463</v>
      </c>
      <c r="H682">
        <f>IF($B$3,-Tabelle2[[#This Row],[Fd]]*Tabelle2[[#This Row],[vx]]/Tabelle2[[#This Row],[v]],0)</f>
        <v>-3.0012537336972889</v>
      </c>
      <c r="I682">
        <f t="shared" si="110"/>
        <v>-2.0008358224648592</v>
      </c>
      <c r="J682">
        <f t="shared" si="111"/>
        <v>-4.0016716449297184E-2</v>
      </c>
      <c r="K682">
        <f t="shared" si="112"/>
        <v>0.52226275560448276</v>
      </c>
      <c r="L682">
        <f>-$B$5*$B$12-IF($B$3,Tabelle2[[#This Row],[Fd]]*Tabelle2[[#This Row],[vy]]/Tabelle2[[#This Row],[v]],0)</f>
        <v>-7.8895671621429795</v>
      </c>
      <c r="M682">
        <f t="shared" si="113"/>
        <v>-5.259711441428653</v>
      </c>
      <c r="N682">
        <f t="shared" si="114"/>
        <v>-0.10519422882857306</v>
      </c>
      <c r="O682">
        <f t="shared" si="115"/>
        <v>-1.1896887563449767</v>
      </c>
      <c r="P682" s="1">
        <f t="shared" si="117"/>
        <v>26.133146138448783</v>
      </c>
      <c r="Q682" s="1">
        <f t="shared" si="118"/>
        <v>-59.431840702834549</v>
      </c>
      <c r="R682">
        <f>SQRT(Tabelle2[[#This Row],[vx]]*Tabelle2[[#This Row],[vx]]+Tabelle2[[#This Row],[vy]]*Tabelle2[[#This Row],[vy]])</f>
        <v>64.923686096990991</v>
      </c>
      <c r="S682">
        <f t="shared" si="119"/>
        <v>550.17575251018116</v>
      </c>
      <c r="T682" s="1">
        <f t="shared" si="120"/>
        <v>-50.393079656131491</v>
      </c>
    </row>
    <row r="683" spans="6:20" x14ac:dyDescent="0.35">
      <c r="F683" s="1">
        <f t="shared" si="116"/>
        <v>13.599999999999799</v>
      </c>
      <c r="G683">
        <f>1/2*$B$8*$B$6*$B$7*(Tabelle2[[#This Row],[vx]]*Tabelle2[[#This Row],[vx]]+Tabelle2[[#This Row],[vy]]*Tabelle2[[#This Row],[vy]])/1000000</f>
        <v>7.4745830858831548</v>
      </c>
      <c r="H683">
        <f>IF($B$3,-Tabelle2[[#This Row],[Fd]]*Tabelle2[[#This Row],[vx]]/Tabelle2[[#This Row],[v]],0)</f>
        <v>-3.0003614634302229</v>
      </c>
      <c r="I683">
        <f t="shared" si="110"/>
        <v>-2.0002409756201485</v>
      </c>
      <c r="J683">
        <f t="shared" si="111"/>
        <v>-4.0004819512402971E-2</v>
      </c>
      <c r="K683">
        <f t="shared" si="112"/>
        <v>0.52146254024486571</v>
      </c>
      <c r="L683">
        <f>-$B$5*$B$12-IF($B$3,Tabelle2[[#This Row],[Fd]]*Tabelle2[[#This Row],[vy]]/Tabelle2[[#This Row],[v]],0)</f>
        <v>-7.8690359775606913</v>
      </c>
      <c r="M683">
        <f t="shared" si="113"/>
        <v>-5.2460239850404609</v>
      </c>
      <c r="N683">
        <f t="shared" si="114"/>
        <v>-0.10492047970080921</v>
      </c>
      <c r="O683">
        <f t="shared" si="115"/>
        <v>-1.1917899034302706</v>
      </c>
      <c r="P683" s="1">
        <f t="shared" si="117"/>
        <v>26.093129421999485</v>
      </c>
      <c r="Q683" s="1">
        <f t="shared" si="118"/>
        <v>-59.537034931663122</v>
      </c>
      <c r="R683">
        <f>SQRT(Tabelle2[[#This Row],[vx]]*Tabelle2[[#This Row],[vx]]+Tabelle2[[#This Row],[vy]]*Tabelle2[[#This Row],[vy]])</f>
        <v>65.003922431552468</v>
      </c>
      <c r="S683">
        <f t="shared" si="119"/>
        <v>550.69801526578567</v>
      </c>
      <c r="T683" s="1">
        <f t="shared" si="120"/>
        <v>-51.582768412476469</v>
      </c>
    </row>
    <row r="684" spans="6:20" x14ac:dyDescent="0.35">
      <c r="F684" s="1">
        <f t="shared" si="116"/>
        <v>13.619999999999798</v>
      </c>
      <c r="G684">
        <f>1/2*$B$8*$B$6*$B$7*(Tabelle2[[#This Row],[vx]]*Tabelle2[[#This Row],[vx]]+Tabelle2[[#This Row],[vy]]*Tabelle2[[#This Row],[vy]])/1000000</f>
        <v>7.4930120607410489</v>
      </c>
      <c r="H684">
        <f>IF($B$3,-Tabelle2[[#This Row],[Fd]]*Tabelle2[[#This Row],[vx]]/Tabelle2[[#This Row],[v]],0)</f>
        <v>-2.9994522729117303</v>
      </c>
      <c r="I684">
        <f t="shared" si="110"/>
        <v>-1.9996348486078201</v>
      </c>
      <c r="J684">
        <f t="shared" si="111"/>
        <v>-3.9992696972156405E-2</v>
      </c>
      <c r="K684">
        <f t="shared" si="112"/>
        <v>0.52066256508002007</v>
      </c>
      <c r="L684">
        <f>-$B$5*$B$12-IF($B$3,Tabelle2[[#This Row],[Fd]]*Tabelle2[[#This Row],[vy]]/Tabelle2[[#This Row],[v]],0)</f>
        <v>-7.8485223145388812</v>
      </c>
      <c r="M684">
        <f t="shared" si="113"/>
        <v>-5.2323482096925877</v>
      </c>
      <c r="N684">
        <f t="shared" si="114"/>
        <v>-0.10464696419385176</v>
      </c>
      <c r="O684">
        <f t="shared" si="115"/>
        <v>-1.193885577869217</v>
      </c>
      <c r="P684" s="1">
        <f t="shared" si="117"/>
        <v>26.053124602487081</v>
      </c>
      <c r="Q684" s="1">
        <f t="shared" si="118"/>
        <v>-59.641955411363931</v>
      </c>
      <c r="R684">
        <f>SQRT(Tabelle2[[#This Row],[vx]]*Tabelle2[[#This Row],[vx]]+Tabelle2[[#This Row],[vy]]*Tabelle2[[#This Row],[vy]])</f>
        <v>65.084008380276032</v>
      </c>
      <c r="S684">
        <f t="shared" si="119"/>
        <v>551.21947780603057</v>
      </c>
      <c r="T684" s="1">
        <f t="shared" si="120"/>
        <v>-52.774558315906738</v>
      </c>
    </row>
    <row r="685" spans="6:20" x14ac:dyDescent="0.35">
      <c r="F685" s="1">
        <f t="shared" si="116"/>
        <v>13.639999999999798</v>
      </c>
      <c r="G685">
        <f>1/2*$B$8*$B$6*$B$7*(Tabelle2[[#This Row],[vx]]*Tabelle2[[#This Row],[vx]]+Tabelle2[[#This Row],[vy]]*Tabelle2[[#This Row],[vy]])/1000000</f>
        <v>7.5114289446093307</v>
      </c>
      <c r="H685">
        <f>IF($B$3,-Tabelle2[[#This Row],[Fd]]*Tabelle2[[#This Row],[vx]]/Tabelle2[[#This Row],[v]],0)</f>
        <v>-2.9985262027903463</v>
      </c>
      <c r="I685">
        <f t="shared" si="110"/>
        <v>-1.9990174685268975</v>
      </c>
      <c r="J685">
        <f t="shared" si="111"/>
        <v>-3.9980349370537953E-2</v>
      </c>
      <c r="K685">
        <f t="shared" si="112"/>
        <v>0.51986283461659311</v>
      </c>
      <c r="L685">
        <f>-$B$5*$B$12-IF($B$3,Tabelle2[[#This Row],[Fd]]*Tabelle2[[#This Row],[vy]]/Tabelle2[[#This Row],[v]],0)</f>
        <v>-7.8280263975317474</v>
      </c>
      <c r="M685">
        <f t="shared" si="113"/>
        <v>-5.2186842650211647</v>
      </c>
      <c r="N685">
        <f t="shared" si="114"/>
        <v>-0.10437368530042329</v>
      </c>
      <c r="O685">
        <f t="shared" si="115"/>
        <v>-1.1959757843641599</v>
      </c>
      <c r="P685" s="1">
        <f t="shared" si="117"/>
        <v>26.013131905514925</v>
      </c>
      <c r="Q685" s="1">
        <f t="shared" si="118"/>
        <v>-59.746602375557785</v>
      </c>
      <c r="R685">
        <f>SQRT(Tabelle2[[#This Row],[vx]]*Tabelle2[[#This Row],[vx]]+Tabelle2[[#This Row],[vy]]*Tabelle2[[#This Row],[vy]])</f>
        <v>65.163943457687751</v>
      </c>
      <c r="S685">
        <f t="shared" si="119"/>
        <v>551.74014037111056</v>
      </c>
      <c r="T685" s="1">
        <f t="shared" si="120"/>
        <v>-53.968443893775955</v>
      </c>
    </row>
    <row r="686" spans="6:20" x14ac:dyDescent="0.35">
      <c r="F686" s="1">
        <f t="shared" si="116"/>
        <v>13.659999999999798</v>
      </c>
      <c r="G686">
        <f>1/2*$B$8*$B$6*$B$7*(Tabelle2[[#This Row],[vx]]*Tabelle2[[#This Row],[vx]]+Tabelle2[[#This Row],[vy]]*Tabelle2[[#This Row],[vy]])/1000000</f>
        <v>7.5298334993383529</v>
      </c>
      <c r="H686">
        <f>IF($B$3,-Tabelle2[[#This Row],[Fd]]*Tabelle2[[#This Row],[vx]]/Tabelle2[[#This Row],[v]],0)</f>
        <v>-2.9975832942771983</v>
      </c>
      <c r="I686">
        <f t="shared" si="110"/>
        <v>-1.9983888628514654</v>
      </c>
      <c r="J686">
        <f t="shared" si="111"/>
        <v>-3.9967777257029311E-2</v>
      </c>
      <c r="K686">
        <f t="shared" si="112"/>
        <v>0.51906335335031739</v>
      </c>
      <c r="L686">
        <f>-$B$5*$B$12-IF($B$3,Tabelle2[[#This Row],[Fd]]*Tabelle2[[#This Row],[vy]]/Tabelle2[[#This Row],[v]],0)</f>
        <v>-7.8075484495634475</v>
      </c>
      <c r="M686">
        <f t="shared" si="113"/>
        <v>-5.2050322997089653</v>
      </c>
      <c r="N686">
        <f t="shared" si="114"/>
        <v>-0.10410064599417931</v>
      </c>
      <c r="O686">
        <f t="shared" si="115"/>
        <v>-1.1980605276771059</v>
      </c>
      <c r="P686" s="1">
        <f t="shared" si="117"/>
        <v>25.973151556144387</v>
      </c>
      <c r="Q686" s="1">
        <f t="shared" si="118"/>
        <v>-59.850976060858208</v>
      </c>
      <c r="R686">
        <f>SQRT(Tabelle2[[#This Row],[vx]]*Tabelle2[[#This Row],[vx]]+Tabelle2[[#This Row],[vy]]*Tabelle2[[#This Row],[vy]])</f>
        <v>65.243727186572258</v>
      </c>
      <c r="S686">
        <f t="shared" si="119"/>
        <v>552.26000320572712</v>
      </c>
      <c r="T686" s="1">
        <f t="shared" si="120"/>
        <v>-55.164419678140113</v>
      </c>
    </row>
    <row r="687" spans="6:20" x14ac:dyDescent="0.35">
      <c r="F687" s="1">
        <f t="shared" si="116"/>
        <v>13.679999999999797</v>
      </c>
      <c r="G687">
        <f>1/2*$B$8*$B$6*$B$7*(Tabelle2[[#This Row],[vx]]*Tabelle2[[#This Row],[vx]]+Tabelle2[[#This Row],[vy]]*Tabelle2[[#This Row],[vy]])/1000000</f>
        <v>7.5482254883756426</v>
      </c>
      <c r="H687">
        <f>IF($B$3,-Tabelle2[[#This Row],[Fd]]*Tabelle2[[#This Row],[vx]]/Tabelle2[[#This Row],[v]],0)</f>
        <v>-2.9966235891381077</v>
      </c>
      <c r="I687">
        <f t="shared" si="110"/>
        <v>-1.997749059425405</v>
      </c>
      <c r="J687">
        <f t="shared" si="111"/>
        <v>-3.9954981188508099E-2</v>
      </c>
      <c r="K687">
        <f t="shared" si="112"/>
        <v>0.51826412576586212</v>
      </c>
      <c r="L687">
        <f>-$B$5*$B$12-IF($B$3,Tabelle2[[#This Row],[Fd]]*Tabelle2[[#This Row],[vy]]/Tabelle2[[#This Row],[v]],0)</f>
        <v>-7.7870886922258631</v>
      </c>
      <c r="M687">
        <f t="shared" si="113"/>
        <v>-5.1913924614839084</v>
      </c>
      <c r="N687">
        <f t="shared" si="114"/>
        <v>-0.10382784922967817</v>
      </c>
      <c r="O687">
        <f t="shared" si="115"/>
        <v>-1.2001398126293445</v>
      </c>
      <c r="P687" s="1">
        <f t="shared" si="117"/>
        <v>25.933183778887358</v>
      </c>
      <c r="Q687" s="1">
        <f t="shared" si="118"/>
        <v>-59.955076706852388</v>
      </c>
      <c r="R687">
        <f>SQRT(Tabelle2[[#This Row],[vx]]*Tabelle2[[#This Row],[vx]]+Tabelle2[[#This Row],[vy]]*Tabelle2[[#This Row],[vy]])</f>
        <v>65.323359097906931</v>
      </c>
      <c r="S687">
        <f t="shared" si="119"/>
        <v>552.77906655907748</v>
      </c>
      <c r="T687" s="1">
        <f t="shared" si="120"/>
        <v>-56.362480205817221</v>
      </c>
    </row>
    <row r="688" spans="6:20" x14ac:dyDescent="0.35">
      <c r="F688" s="1">
        <f t="shared" si="116"/>
        <v>13.699999999999797</v>
      </c>
      <c r="G688">
        <f>1/2*$B$8*$B$6*$B$7*(Tabelle2[[#This Row],[vx]]*Tabelle2[[#This Row],[vx]]+Tabelle2[[#This Row],[vy]]*Tabelle2[[#This Row],[vy]])/1000000</f>
        <v>7.5666046767648245</v>
      </c>
      <c r="H688">
        <f>IF($B$3,-Tabelle2[[#This Row],[Fd]]*Tabelle2[[#This Row],[vx]]/Tabelle2[[#This Row],[v]],0)</f>
        <v>-2.9956471296857443</v>
      </c>
      <c r="I688">
        <f t="shared" si="110"/>
        <v>-1.9970980864571628</v>
      </c>
      <c r="J688">
        <f t="shared" si="111"/>
        <v>-3.9941961729143258E-2</v>
      </c>
      <c r="K688">
        <f t="shared" si="112"/>
        <v>0.51746515633668555</v>
      </c>
      <c r="L688">
        <f>-$B$5*$B$12-IF($B$3,Tabelle2[[#This Row],[Fd]]*Tabelle2[[#This Row],[vy]]/Tabelle2[[#This Row],[v]],0)</f>
        <v>-7.7666473456764678</v>
      </c>
      <c r="M688">
        <f t="shared" si="113"/>
        <v>-5.1777648971176449</v>
      </c>
      <c r="N688">
        <f t="shared" si="114"/>
        <v>-0.10355529794235289</v>
      </c>
      <c r="O688">
        <f t="shared" si="115"/>
        <v>-1.2022136441010649</v>
      </c>
      <c r="P688" s="1">
        <f t="shared" si="117"/>
        <v>25.89322879769885</v>
      </c>
      <c r="Q688" s="1">
        <f t="shared" si="118"/>
        <v>-60.058904556082069</v>
      </c>
      <c r="R688">
        <f>SQRT(Tabelle2[[#This Row],[vx]]*Tabelle2[[#This Row],[vx]]+Tabelle2[[#This Row],[vy]]*Tabelle2[[#This Row],[vy]])</f>
        <v>65.402838730796361</v>
      </c>
      <c r="S688">
        <f t="shared" si="119"/>
        <v>553.29733068484336</v>
      </c>
      <c r="T688" s="1">
        <f t="shared" si="120"/>
        <v>-57.562620018446566</v>
      </c>
    </row>
    <row r="689" spans="6:20" x14ac:dyDescent="0.35">
      <c r="F689" s="1">
        <f t="shared" si="116"/>
        <v>13.719999999999796</v>
      </c>
      <c r="G689">
        <f>1/2*$B$8*$B$6*$B$7*(Tabelle2[[#This Row],[vx]]*Tabelle2[[#This Row],[vx]]+Tabelle2[[#This Row],[vy]]*Tabelle2[[#This Row],[vy]])/1000000</f>
        <v>7.5849708311444752</v>
      </c>
      <c r="H689">
        <f>IF($B$3,-Tabelle2[[#This Row],[Fd]]*Tabelle2[[#This Row],[vx]]/Tabelle2[[#This Row],[v]],0)</f>
        <v>-2.994653958771837</v>
      </c>
      <c r="I689">
        <f t="shared" si="110"/>
        <v>-1.996435972514558</v>
      </c>
      <c r="J689">
        <f t="shared" si="111"/>
        <v>-3.992871945029116E-2</v>
      </c>
      <c r="K689">
        <f t="shared" si="112"/>
        <v>0.51666644952489116</v>
      </c>
      <c r="L689">
        <f>-$B$5*$B$12-IF($B$3,Tabelle2[[#This Row],[Fd]]*Tabelle2[[#This Row],[vy]]/Tabelle2[[#This Row],[v]],0)</f>
        <v>-7.7462246286363419</v>
      </c>
      <c r="M689">
        <f t="shared" si="113"/>
        <v>-5.1641497524242279</v>
      </c>
      <c r="N689">
        <f t="shared" si="114"/>
        <v>-0.10328299504848457</v>
      </c>
      <c r="O689">
        <f t="shared" si="115"/>
        <v>-1.2042820270309733</v>
      </c>
      <c r="P689" s="1">
        <f t="shared" si="117"/>
        <v>25.853286835969705</v>
      </c>
      <c r="Q689" s="1">
        <f t="shared" si="118"/>
        <v>-60.162459854024419</v>
      </c>
      <c r="R689">
        <f>SQRT(Tabelle2[[#This Row],[vx]]*Tabelle2[[#This Row],[vx]]+Tabelle2[[#This Row],[vy]]*Tabelle2[[#This Row],[vy]])</f>
        <v>65.482165632407302</v>
      </c>
      <c r="S689">
        <f t="shared" si="119"/>
        <v>553.81479584118006</v>
      </c>
      <c r="T689" s="1">
        <f t="shared" si="120"/>
        <v>-58.76483366254763</v>
      </c>
    </row>
    <row r="690" spans="6:20" x14ac:dyDescent="0.35">
      <c r="F690" s="1">
        <f t="shared" si="116"/>
        <v>13.739999999999796</v>
      </c>
      <c r="G690">
        <f>1/2*$B$8*$B$6*$B$7*(Tabelle2[[#This Row],[vx]]*Tabelle2[[#This Row],[vx]]+Tabelle2[[#This Row],[vy]]*Tabelle2[[#This Row],[vy]])/1000000</f>
        <v>7.6033237197469132</v>
      </c>
      <c r="H690">
        <f>IF($B$3,-Tabelle2[[#This Row],[Fd]]*Tabelle2[[#This Row],[vx]]/Tabelle2[[#This Row],[v]],0)</f>
        <v>-2.9936441197794355</v>
      </c>
      <c r="I690">
        <f t="shared" si="110"/>
        <v>-1.9957627465196237</v>
      </c>
      <c r="J690">
        <f t="shared" si="111"/>
        <v>-3.9915254930392476E-2</v>
      </c>
      <c r="K690">
        <f t="shared" si="112"/>
        <v>0.51586800978108438</v>
      </c>
      <c r="L690">
        <f>-$B$5*$B$12-IF($B$3,Tabelle2[[#This Row],[Fd]]*Tabelle2[[#This Row],[vy]]/Tabelle2[[#This Row],[v]],0)</f>
        <v>-7.7258207583882896</v>
      </c>
      <c r="M690">
        <f t="shared" si="113"/>
        <v>-5.1505471722588601</v>
      </c>
      <c r="N690">
        <f t="shared" si="114"/>
        <v>-0.10301094344517721</v>
      </c>
      <c r="O690">
        <f t="shared" si="115"/>
        <v>-1.2063449664159098</v>
      </c>
      <c r="P690" s="1">
        <f t="shared" si="117"/>
        <v>25.813358116519414</v>
      </c>
      <c r="Q690" s="1">
        <f t="shared" si="118"/>
        <v>-60.2657428490729</v>
      </c>
      <c r="R690">
        <f>SQRT(Tabelle2[[#This Row],[vx]]*Tabelle2[[#This Row],[vx]]+Tabelle2[[#This Row],[vy]]*Tabelle2[[#This Row],[vy]])</f>
        <v>65.56133935790406</v>
      </c>
      <c r="S690">
        <f t="shared" si="119"/>
        <v>554.33146229070496</v>
      </c>
      <c r="T690" s="1">
        <f t="shared" si="120"/>
        <v>-59.969115689578601</v>
      </c>
    </row>
    <row r="691" spans="6:20" x14ac:dyDescent="0.35">
      <c r="F691" s="1">
        <f t="shared" si="116"/>
        <v>13.759999999999796</v>
      </c>
      <c r="G691">
        <f>1/2*$B$8*$B$6*$B$7*(Tabelle2[[#This Row],[vx]]*Tabelle2[[#This Row],[vx]]+Tabelle2[[#This Row],[vy]]*Tabelle2[[#This Row],[vy]])/1000000</f>
        <v>7.6216631123969041</v>
      </c>
      <c r="H691">
        <f>IF($B$3,-Tabelle2[[#This Row],[Fd]]*Tabelle2[[#This Row],[vx]]/Tabelle2[[#This Row],[v]],0)</f>
        <v>-2.9926176566152267</v>
      </c>
      <c r="I691">
        <f t="shared" si="110"/>
        <v>-1.9950784377434845</v>
      </c>
      <c r="J691">
        <f t="shared" si="111"/>
        <v>-3.9901568754869693E-2</v>
      </c>
      <c r="K691">
        <f t="shared" si="112"/>
        <v>0.51506984154423174</v>
      </c>
      <c r="L691">
        <f>-$B$5*$B$12-IF($B$3,Tabelle2[[#This Row],[Fd]]*Tabelle2[[#This Row],[vy]]/Tabelle2[[#This Row],[v]],0)</f>
        <v>-7.7054359507750805</v>
      </c>
      <c r="M691">
        <f t="shared" si="113"/>
        <v>-5.1369573005167206</v>
      </c>
      <c r="N691">
        <f t="shared" si="114"/>
        <v>-0.10273914601033442</v>
      </c>
      <c r="O691">
        <f t="shared" si="115"/>
        <v>-1.208402467310465</v>
      </c>
      <c r="P691" s="1">
        <f t="shared" si="117"/>
        <v>25.773442861589022</v>
      </c>
      <c r="Q691" s="1">
        <f t="shared" si="118"/>
        <v>-60.368753792518078</v>
      </c>
      <c r="R691">
        <f>SQRT(Tabelle2[[#This Row],[vx]]*Tabelle2[[#This Row],[vx]]+Tabelle2[[#This Row],[vy]]*Tabelle2[[#This Row],[vy]])</f>
        <v>65.640359470384226</v>
      </c>
      <c r="S691">
        <f t="shared" si="119"/>
        <v>554.84733030048608</v>
      </c>
      <c r="T691" s="1">
        <f t="shared" si="120"/>
        <v>-61.175460655994513</v>
      </c>
    </row>
    <row r="692" spans="6:20" x14ac:dyDescent="0.35">
      <c r="F692" s="1">
        <f t="shared" si="116"/>
        <v>13.779999999999795</v>
      </c>
      <c r="G692">
        <f>1/2*$B$8*$B$6*$B$7*(Tabelle2[[#This Row],[vx]]*Tabelle2[[#This Row],[vx]]+Tabelle2[[#This Row],[vy]]*Tabelle2[[#This Row],[vy]])/1000000</f>
        <v>7.6399887805103095</v>
      </c>
      <c r="H692">
        <f>IF($B$3,-Tabelle2[[#This Row],[Fd]]*Tabelle2[[#This Row],[vx]]/Tabelle2[[#This Row],[v]],0)</f>
        <v>-2.9915746137019061</v>
      </c>
      <c r="I692">
        <f t="shared" si="110"/>
        <v>-1.9943830758012708</v>
      </c>
      <c r="J692">
        <f t="shared" si="111"/>
        <v>-3.9887661516025415E-2</v>
      </c>
      <c r="K692">
        <f t="shared" si="112"/>
        <v>0.51427194924152275</v>
      </c>
      <c r="L692">
        <f>-$B$5*$B$12-IF($B$3,Tabelle2[[#This Row],[Fd]]*Tabelle2[[#This Row],[vy]]/Tabelle2[[#This Row],[v]],0)</f>
        <v>-7.6850704201978175</v>
      </c>
      <c r="M692">
        <f t="shared" si="113"/>
        <v>-5.1233802801318786</v>
      </c>
      <c r="N692">
        <f t="shared" si="114"/>
        <v>-0.10246760560263757</v>
      </c>
      <c r="O692">
        <f t="shared" si="115"/>
        <v>-1.2104545348265947</v>
      </c>
      <c r="P692" s="1">
        <f t="shared" si="117"/>
        <v>25.73354129283415</v>
      </c>
      <c r="Q692" s="1">
        <f t="shared" si="118"/>
        <v>-60.471492938528414</v>
      </c>
      <c r="R692">
        <f>SQRT(Tabelle2[[#This Row],[vx]]*Tabelle2[[#This Row],[vx]]+Tabelle2[[#This Row],[vy]]*Tabelle2[[#This Row],[vy]])</f>
        <v>65.719225540814861</v>
      </c>
      <c r="S692">
        <f t="shared" si="119"/>
        <v>555.36240014203031</v>
      </c>
      <c r="T692" s="1">
        <f t="shared" si="120"/>
        <v>-62.383863123304977</v>
      </c>
    </row>
    <row r="693" spans="6:20" x14ac:dyDescent="0.35">
      <c r="F693" s="1">
        <f t="shared" si="116"/>
        <v>13.799999999999795</v>
      </c>
      <c r="G693">
        <f>1/2*$B$8*$B$6*$B$7*(Tabelle2[[#This Row],[vx]]*Tabelle2[[#This Row],[vx]]+Tabelle2[[#This Row],[vy]]*Tabelle2[[#This Row],[vy]])/1000000</f>
        <v>7.6583004970926618</v>
      </c>
      <c r="H693">
        <f>IF($B$3,-Tabelle2[[#This Row],[Fd]]*Tabelle2[[#This Row],[vx]]/Tabelle2[[#This Row],[v]],0)</f>
        <v>-2.9905150359706023</v>
      </c>
      <c r="I693">
        <f t="shared" si="110"/>
        <v>-1.9936766906470682</v>
      </c>
      <c r="J693">
        <f t="shared" si="111"/>
        <v>-3.9873533812941363E-2</v>
      </c>
      <c r="K693">
        <f t="shared" si="112"/>
        <v>0.51347433728823311</v>
      </c>
      <c r="L693">
        <f>-$B$5*$B$12-IF($B$3,Tabelle2[[#This Row],[Fd]]*Tabelle2[[#This Row],[vy]]/Tabelle2[[#This Row],[v]],0)</f>
        <v>-7.664724379614408</v>
      </c>
      <c r="M693">
        <f t="shared" si="113"/>
        <v>-5.1098162530762723</v>
      </c>
      <c r="N693">
        <f t="shared" si="114"/>
        <v>-0.10219632506152544</v>
      </c>
      <c r="O693">
        <f t="shared" si="115"/>
        <v>-1.2125011741332363</v>
      </c>
      <c r="P693" s="1">
        <f t="shared" si="117"/>
        <v>25.693653631318124</v>
      </c>
      <c r="Q693" s="1">
        <f t="shared" si="118"/>
        <v>-60.573960544131054</v>
      </c>
      <c r="R693">
        <f>SQRT(Tabelle2[[#This Row],[vx]]*Tabelle2[[#This Row],[vx]]+Tabelle2[[#This Row],[vy]]*Tabelle2[[#This Row],[vy]])</f>
        <v>65.797937147969108</v>
      </c>
      <c r="S693">
        <f t="shared" si="119"/>
        <v>555.87667209127187</v>
      </c>
      <c r="T693" s="1">
        <f t="shared" si="120"/>
        <v>-63.594317658131573</v>
      </c>
    </row>
    <row r="694" spans="6:20" x14ac:dyDescent="0.35">
      <c r="F694" s="1">
        <f t="shared" si="116"/>
        <v>13.819999999999794</v>
      </c>
      <c r="G694">
        <f>1/2*$B$8*$B$6*$B$7*(Tabelle2[[#This Row],[vx]]*Tabelle2[[#This Row],[vx]]+Tabelle2[[#This Row],[vy]]*Tabelle2[[#This Row],[vy]])/1000000</f>
        <v>7.6765980367376638</v>
      </c>
      <c r="H694">
        <f>IF($B$3,-Tabelle2[[#This Row],[Fd]]*Tabelle2[[#This Row],[vx]]/Tabelle2[[#This Row],[v]],0)</f>
        <v>-2.9894389688533507</v>
      </c>
      <c r="I694">
        <f t="shared" si="110"/>
        <v>-1.9929593125689005</v>
      </c>
      <c r="J694">
        <f t="shared" si="111"/>
        <v>-3.9859186251378013E-2</v>
      </c>
      <c r="K694">
        <f t="shared" si="112"/>
        <v>0.51267701008758992</v>
      </c>
      <c r="L694">
        <f>-$B$5*$B$12-IF($B$3,Tabelle2[[#This Row],[Fd]]*Tabelle2[[#This Row],[vy]]/Tabelle2[[#This Row],[v]],0)</f>
        <v>-7.6443980405381629</v>
      </c>
      <c r="M694">
        <f t="shared" si="113"/>
        <v>-5.0962653603587755</v>
      </c>
      <c r="N694">
        <f t="shared" si="114"/>
        <v>-0.10192530720717552</v>
      </c>
      <c r="O694">
        <f t="shared" si="115"/>
        <v>-1.2145423904559234</v>
      </c>
      <c r="P694" s="1">
        <f t="shared" si="117"/>
        <v>25.653780097505184</v>
      </c>
      <c r="Q694" s="1">
        <f t="shared" si="118"/>
        <v>-60.676156869192582</v>
      </c>
      <c r="R694">
        <f>SQRT(Tabelle2[[#This Row],[vx]]*Tabelle2[[#This Row],[vx]]+Tabelle2[[#This Row],[vy]]*Tabelle2[[#This Row],[vy]])</f>
        <v>65.876493878363164</v>
      </c>
      <c r="S694">
        <f t="shared" si="119"/>
        <v>556.39014642856012</v>
      </c>
      <c r="T694" s="1">
        <f t="shared" si="120"/>
        <v>-64.80681883226481</v>
      </c>
    </row>
    <row r="695" spans="6:20" x14ac:dyDescent="0.35">
      <c r="F695" s="1">
        <f t="shared" si="116"/>
        <v>13.839999999999794</v>
      </c>
      <c r="G695">
        <f>1/2*$B$8*$B$6*$B$7*(Tabelle2[[#This Row],[vx]]*Tabelle2[[#This Row],[vx]]+Tabelle2[[#This Row],[vy]]*Tabelle2[[#This Row],[vy]])/1000000</f>
        <v>7.694881175625631</v>
      </c>
      <c r="H695">
        <f>IF($B$3,-Tabelle2[[#This Row],[Fd]]*Tabelle2[[#This Row],[vx]]/Tabelle2[[#This Row],[v]],0)</f>
        <v>-2.9883464582756272</v>
      </c>
      <c r="I695">
        <f t="shared" si="110"/>
        <v>-1.9922309721837514</v>
      </c>
      <c r="J695">
        <f t="shared" si="111"/>
        <v>-3.9844619443675032E-2</v>
      </c>
      <c r="K695">
        <f t="shared" si="112"/>
        <v>0.5118799720306394</v>
      </c>
      <c r="L695">
        <f>-$B$5*$B$12-IF($B$3,Tabelle2[[#This Row],[Fd]]*Tabelle2[[#This Row],[vy]]/Tabelle2[[#This Row],[v]],0)</f>
        <v>-7.6240916130365068</v>
      </c>
      <c r="M695">
        <f t="shared" si="113"/>
        <v>-5.0827277420243382</v>
      </c>
      <c r="N695">
        <f t="shared" si="114"/>
        <v>-0.10165455484048677</v>
      </c>
      <c r="O695">
        <f t="shared" si="115"/>
        <v>-1.2165781890764</v>
      </c>
      <c r="P695" s="1">
        <f t="shared" si="117"/>
        <v>25.613920911253807</v>
      </c>
      <c r="Q695" s="1">
        <f t="shared" si="118"/>
        <v>-60.778082176399757</v>
      </c>
      <c r="R695">
        <f>SQRT(Tabelle2[[#This Row],[vx]]*Tabelle2[[#This Row],[vx]]+Tabelle2[[#This Row],[vy]]*Tabelle2[[#This Row],[vy]])</f>
        <v>65.954895326193693</v>
      </c>
      <c r="S695">
        <f t="shared" si="119"/>
        <v>556.90282343864772</v>
      </c>
      <c r="T695" s="1">
        <f t="shared" si="120"/>
        <v>-66.021361222720728</v>
      </c>
    </row>
    <row r="696" spans="6:20" x14ac:dyDescent="0.35">
      <c r="F696" s="1">
        <f t="shared" si="116"/>
        <v>13.859999999999793</v>
      </c>
      <c r="G696">
        <f>1/2*$B$8*$B$6*$B$7*(Tabelle2[[#This Row],[vx]]*Tabelle2[[#This Row],[vx]]+Tabelle2[[#This Row],[vy]]*Tabelle2[[#This Row],[vy]])/1000000</f>
        <v>7.7131496915218563</v>
      </c>
      <c r="H696">
        <f>IF($B$3,-Tabelle2[[#This Row],[Fd]]*Tabelle2[[#This Row],[vx]]/Tabelle2[[#This Row],[v]],0)</f>
        <v>-2.9872375506489277</v>
      </c>
      <c r="I696">
        <f t="shared" si="110"/>
        <v>-1.9914917004326185</v>
      </c>
      <c r="J696">
        <f t="shared" si="111"/>
        <v>-3.9829834008652372E-2</v>
      </c>
      <c r="K696">
        <f t="shared" si="112"/>
        <v>0.51108322749611612</v>
      </c>
      <c r="L696">
        <f>-$B$5*$B$12-IF($B$3,Tabelle2[[#This Row],[Fd]]*Tabelle2[[#This Row],[vy]]/Tabelle2[[#This Row],[v]],0)</f>
        <v>-7.6038053057297956</v>
      </c>
      <c r="M696">
        <f t="shared" si="113"/>
        <v>-5.0692035371531974</v>
      </c>
      <c r="N696">
        <f t="shared" si="114"/>
        <v>-0.10138407074306395</v>
      </c>
      <c r="O696">
        <f t="shared" si="115"/>
        <v>-1.2186085753322355</v>
      </c>
      <c r="P696" s="1">
        <f t="shared" si="117"/>
        <v>25.574076291810133</v>
      </c>
      <c r="Q696" s="1">
        <f t="shared" si="118"/>
        <v>-60.879736731240243</v>
      </c>
      <c r="R696">
        <f>SQRT(Tabelle2[[#This Row],[vx]]*Tabelle2[[#This Row],[vx]]+Tabelle2[[#This Row],[vy]]*Tabelle2[[#This Row],[vy]])</f>
        <v>66.033141093275631</v>
      </c>
      <c r="S696">
        <f t="shared" si="119"/>
        <v>557.41470341067838</v>
      </c>
      <c r="T696" s="1">
        <f t="shared" si="120"/>
        <v>-67.237939411797129</v>
      </c>
    </row>
    <row r="697" spans="6:20" x14ac:dyDescent="0.35">
      <c r="F697" s="1">
        <f t="shared" si="116"/>
        <v>13.879999999999793</v>
      </c>
      <c r="G697">
        <f>1/2*$B$8*$B$6*$B$7*(Tabelle2[[#This Row],[vx]]*Tabelle2[[#This Row],[vx]]+Tabelle2[[#This Row],[vy]]*Tabelle2[[#This Row],[vy]])/1000000</f>
        <v>7.7314033637749144</v>
      </c>
      <c r="H697">
        <f>IF($B$3,-Tabelle2[[#This Row],[Fd]]*Tabelle2[[#This Row],[vx]]/Tabelle2[[#This Row],[v]],0)</f>
        <v>-2.9861122928634063</v>
      </c>
      <c r="I697">
        <f t="shared" si="110"/>
        <v>-1.9907415285756043</v>
      </c>
      <c r="J697">
        <f t="shared" si="111"/>
        <v>-3.9814830571512083E-2</v>
      </c>
      <c r="K697">
        <f t="shared" si="112"/>
        <v>0.51028678085031443</v>
      </c>
      <c r="L697">
        <f>-$B$5*$B$12-IF($B$3,Tabelle2[[#This Row],[Fd]]*Tabelle2[[#This Row],[vy]]/Tabelle2[[#This Row],[v]],0)</f>
        <v>-7.5835393257902544</v>
      </c>
      <c r="M697">
        <f t="shared" si="113"/>
        <v>-5.0556928838601696</v>
      </c>
      <c r="N697">
        <f t="shared" si="114"/>
        <v>-0.10111385767720339</v>
      </c>
      <c r="O697">
        <f t="shared" si="115"/>
        <v>-1.2206335546164382</v>
      </c>
      <c r="P697" s="1">
        <f t="shared" si="117"/>
        <v>25.53424645780148</v>
      </c>
      <c r="Q697" s="1">
        <f t="shared" si="118"/>
        <v>-60.981120801983309</v>
      </c>
      <c r="R697">
        <f>SQRT(Tabelle2[[#This Row],[vx]]*Tabelle2[[#This Row],[vx]]+Tabelle2[[#This Row],[vy]]*Tabelle2[[#This Row],[vy]])</f>
        <v>66.111230788980393</v>
      </c>
      <c r="S697">
        <f t="shared" si="119"/>
        <v>557.92578663817449</v>
      </c>
      <c r="T697" s="1">
        <f t="shared" si="120"/>
        <v>-68.456547987129369</v>
      </c>
    </row>
    <row r="698" spans="6:20" x14ac:dyDescent="0.35">
      <c r="F698" s="1">
        <f t="shared" si="116"/>
        <v>13.899999999999793</v>
      </c>
      <c r="G698">
        <f>1/2*$B$8*$B$6*$B$7*(Tabelle2[[#This Row],[vx]]*Tabelle2[[#This Row],[vx]]+Tabelle2[[#This Row],[vy]]*Tabelle2[[#This Row],[vy]])/1000000</f>
        <v>7.7496419733148976</v>
      </c>
      <c r="H698">
        <f>IF($B$3,-Tabelle2[[#This Row],[Fd]]*Tabelle2[[#This Row],[vx]]/Tabelle2[[#This Row],[v]],0)</f>
        <v>-2.9849707322805652</v>
      </c>
      <c r="I698">
        <f t="shared" si="110"/>
        <v>-1.9899804881870435</v>
      </c>
      <c r="J698">
        <f t="shared" si="111"/>
        <v>-3.9799609763740869E-2</v>
      </c>
      <c r="K698">
        <f t="shared" si="112"/>
        <v>0.50949063644696202</v>
      </c>
      <c r="L698">
        <f>-$B$5*$B$12-IF($B$3,Tabelle2[[#This Row],[Fd]]*Tabelle2[[#This Row],[vy]]/Tabelle2[[#This Row],[v]],0)</f>
        <v>-7.563293878941022</v>
      </c>
      <c r="M698">
        <f t="shared" si="113"/>
        <v>-5.0421959192940147</v>
      </c>
      <c r="N698">
        <f t="shared" si="114"/>
        <v>-0.10084391838588029</v>
      </c>
      <c r="O698">
        <f t="shared" si="115"/>
        <v>-1.2226531323770691</v>
      </c>
      <c r="P698" s="1">
        <f t="shared" si="117"/>
        <v>25.494431627229968</v>
      </c>
      <c r="Q698" s="1">
        <f t="shared" si="118"/>
        <v>-61.082234659660514</v>
      </c>
      <c r="R698">
        <f>SQRT(Tabelle2[[#This Row],[vx]]*Tabelle2[[#This Row],[vx]]+Tabelle2[[#This Row],[vy]]*Tabelle2[[#This Row],[vy]])</f>
        <v>66.189164030174425</v>
      </c>
      <c r="S698">
        <f t="shared" si="119"/>
        <v>558.43607341902475</v>
      </c>
      <c r="T698" s="1">
        <f t="shared" si="120"/>
        <v>-69.67718154174581</v>
      </c>
    </row>
    <row r="699" spans="6:20" x14ac:dyDescent="0.35">
      <c r="F699" s="1">
        <f t="shared" si="116"/>
        <v>13.919999999999792</v>
      </c>
      <c r="G699">
        <f>1/2*$B$8*$B$6*$B$7*(Tabelle2[[#This Row],[vx]]*Tabelle2[[#This Row],[vx]]+Tabelle2[[#This Row],[vy]]*Tabelle2[[#This Row],[vy]])/1000000</f>
        <v>7.7678653026515763</v>
      </c>
      <c r="H699">
        <f>IF($B$3,-Tabelle2[[#This Row],[Fd]]*Tabelle2[[#This Row],[vx]]/Tabelle2[[#This Row],[v]],0)</f>
        <v>-2.9838129167259888</v>
      </c>
      <c r="I699">
        <f t="shared" si="110"/>
        <v>-1.9892086111506593</v>
      </c>
      <c r="J699">
        <f t="shared" si="111"/>
        <v>-3.9784172223013184E-2</v>
      </c>
      <c r="K699">
        <f t="shared" si="112"/>
        <v>0.50869479862709444</v>
      </c>
      <c r="L699">
        <f>-$B$5*$B$12-IF($B$3,Tabelle2[[#This Row],[Fd]]*Tabelle2[[#This Row],[vy]]/Tabelle2[[#This Row],[v]],0)</f>
        <v>-7.5430691694553111</v>
      </c>
      <c r="M699">
        <f t="shared" si="113"/>
        <v>-5.0287127796368738</v>
      </c>
      <c r="N699">
        <f t="shared" si="114"/>
        <v>-0.10057425559273747</v>
      </c>
      <c r="O699">
        <f t="shared" si="115"/>
        <v>-1.2246673141168551</v>
      </c>
      <c r="P699" s="1">
        <f t="shared" si="117"/>
        <v>25.454632017466228</v>
      </c>
      <c r="Q699" s="1">
        <f t="shared" si="118"/>
        <v>-61.183078578046391</v>
      </c>
      <c r="R699">
        <f>SQRT(Tabelle2[[#This Row],[vx]]*Tabelle2[[#This Row],[vx]]+Tabelle2[[#This Row],[vy]]*Tabelle2[[#This Row],[vy]])</f>
        <v>66.266940441158255</v>
      </c>
      <c r="S699">
        <f t="shared" si="119"/>
        <v>558.94556405547166</v>
      </c>
      <c r="T699" s="1">
        <f t="shared" si="120"/>
        <v>-70.899834674122886</v>
      </c>
    </row>
    <row r="700" spans="6:20" x14ac:dyDescent="0.35">
      <c r="F700" s="1">
        <f t="shared" si="116"/>
        <v>13.939999999999792</v>
      </c>
      <c r="G700">
        <f>1/2*$B$8*$B$6*$B$7*(Tabelle2[[#This Row],[vx]]*Tabelle2[[#This Row],[vx]]+Tabelle2[[#This Row],[vy]]*Tabelle2[[#This Row],[vy]])/1000000</f>
        <v>7.7860731358725186</v>
      </c>
      <c r="H700">
        <f>IF($B$3,-Tabelle2[[#This Row],[Fd]]*Tabelle2[[#This Row],[vx]]/Tabelle2[[#This Row],[v]],0)</f>
        <v>-2.9826388944821449</v>
      </c>
      <c r="I700">
        <f t="shared" si="110"/>
        <v>-1.9884259296547633</v>
      </c>
      <c r="J700">
        <f t="shared" si="111"/>
        <v>-3.9768518593095263E-2</v>
      </c>
      <c r="K700">
        <f t="shared" si="112"/>
        <v>0.50789927171893345</v>
      </c>
      <c r="L700">
        <f>-$B$5*$B$12-IF($B$3,Tabelle2[[#This Row],[Fd]]*Tabelle2[[#This Row],[vy]]/Tabelle2[[#This Row],[v]],0)</f>
        <v>-7.5228654001556645</v>
      </c>
      <c r="M700">
        <f t="shared" si="113"/>
        <v>-5.0152436001037763</v>
      </c>
      <c r="N700">
        <f t="shared" si="114"/>
        <v>-0.10030487200207552</v>
      </c>
      <c r="O700">
        <f t="shared" si="115"/>
        <v>-1.2266761053928033</v>
      </c>
      <c r="P700" s="1">
        <f t="shared" si="117"/>
        <v>25.414847845243216</v>
      </c>
      <c r="Q700" s="1">
        <f t="shared" si="118"/>
        <v>-61.283652833639131</v>
      </c>
      <c r="R700">
        <f>SQRT(Tabelle2[[#This Row],[vx]]*Tabelle2[[#This Row],[vx]]+Tabelle2[[#This Row],[vy]]*Tabelle2[[#This Row],[vy]])</f>
        <v>66.344559653605884</v>
      </c>
      <c r="S700">
        <f t="shared" si="119"/>
        <v>559.45425885409873</v>
      </c>
      <c r="T700" s="1">
        <f t="shared" si="120"/>
        <v>-72.124501988239743</v>
      </c>
    </row>
    <row r="701" spans="6:20" x14ac:dyDescent="0.35">
      <c r="F701" s="1">
        <f t="shared" si="116"/>
        <v>13.959999999999791</v>
      </c>
      <c r="G701">
        <f>1/2*$B$8*$B$6*$B$7*(Tabelle2[[#This Row],[vx]]*Tabelle2[[#This Row],[vx]]+Tabelle2[[#This Row],[vy]]*Tabelle2[[#This Row],[vy]])/1000000</f>
        <v>7.8042652586411121</v>
      </c>
      <c r="H701">
        <f>IF($B$3,-Tabelle2[[#This Row],[Fd]]*Tabelle2[[#This Row],[vx]]/Tabelle2[[#This Row],[v]],0)</f>
        <v>-2.9814487142812238</v>
      </c>
      <c r="I701">
        <f t="shared" si="110"/>
        <v>-1.9876324761874826</v>
      </c>
      <c r="J701">
        <f t="shared" si="111"/>
        <v>-3.9752649523749656E-2</v>
      </c>
      <c r="K701">
        <f t="shared" si="112"/>
        <v>0.50710406003776487</v>
      </c>
      <c r="L701">
        <f>-$B$5*$B$12-IF($B$3,Tabelle2[[#This Row],[Fd]]*Tabelle2[[#This Row],[vy]]/Tabelle2[[#This Row],[v]],0)</f>
        <v>-7.5026827724133298</v>
      </c>
      <c r="M701">
        <f t="shared" si="113"/>
        <v>-5.0017885149422199</v>
      </c>
      <c r="N701">
        <f t="shared" si="114"/>
        <v>-0.1000357702988444</v>
      </c>
      <c r="O701">
        <f t="shared" si="115"/>
        <v>-1.2286795118158127</v>
      </c>
      <c r="P701" s="1">
        <f t="shared" si="117"/>
        <v>25.37507932665012</v>
      </c>
      <c r="Q701" s="1">
        <f t="shared" si="118"/>
        <v>-61.383957705641208</v>
      </c>
      <c r="R701">
        <f>SQRT(Tabelle2[[#This Row],[vx]]*Tabelle2[[#This Row],[vx]]+Tabelle2[[#This Row],[vy]]*Tabelle2[[#This Row],[vy]])</f>
        <v>66.422021306504476</v>
      </c>
      <c r="S701">
        <f t="shared" si="119"/>
        <v>559.96215812581761</v>
      </c>
      <c r="T701" s="1">
        <f t="shared" si="120"/>
        <v>-73.351178093632541</v>
      </c>
    </row>
    <row r="702" spans="6:20" x14ac:dyDescent="0.35">
      <c r="F702" s="1">
        <f t="shared" si="116"/>
        <v>13.979999999999791</v>
      </c>
      <c r="G702">
        <f>1/2*$B$8*$B$6*$B$7*(Tabelle2[[#This Row],[vx]]*Tabelle2[[#This Row],[vx]]+Tabelle2[[#This Row],[vy]]*Tabelle2[[#This Row],[vy]])/1000000</f>
        <v>7.8224414581945467</v>
      </c>
      <c r="H702">
        <f>IF($B$3,-Tabelle2[[#This Row],[Fd]]*Tabelle2[[#This Row],[vx]]/Tabelle2[[#This Row],[v]],0)</f>
        <v>-2.9802424252980373</v>
      </c>
      <c r="I702">
        <f t="shared" si="110"/>
        <v>-1.9868282835320248</v>
      </c>
      <c r="J702">
        <f t="shared" si="111"/>
        <v>-3.9736565670640496E-2</v>
      </c>
      <c r="K702">
        <f t="shared" si="112"/>
        <v>0.50630916788582103</v>
      </c>
      <c r="L702">
        <f>-$B$5*$B$12-IF($B$3,Tabelle2[[#This Row],[Fd]]*Tabelle2[[#This Row],[vy]]/Tabelle2[[#This Row],[v]],0)</f>
        <v>-7.4825214861477463</v>
      </c>
      <c r="M702">
        <f t="shared" si="113"/>
        <v>-4.9883476574318308</v>
      </c>
      <c r="N702">
        <f t="shared" si="114"/>
        <v>-9.9766953148636622E-2</v>
      </c>
      <c r="O702">
        <f t="shared" si="115"/>
        <v>-1.2306775390502873</v>
      </c>
      <c r="P702" s="1">
        <f t="shared" si="117"/>
        <v>25.335326677126371</v>
      </c>
      <c r="Q702" s="1">
        <f t="shared" si="118"/>
        <v>-61.483993475940053</v>
      </c>
      <c r="R702">
        <f>SQRT(Tabelle2[[#This Row],[vx]]*Tabelle2[[#This Row],[vx]]+Tabelle2[[#This Row],[vy]]*Tabelle2[[#This Row],[vy]])</f>
        <v>66.49932504609464</v>
      </c>
      <c r="S702">
        <f t="shared" si="119"/>
        <v>560.46926218585543</v>
      </c>
      <c r="T702" s="1">
        <f t="shared" si="120"/>
        <v>-74.579857605448353</v>
      </c>
    </row>
    <row r="703" spans="6:20" x14ac:dyDescent="0.35">
      <c r="F703" s="1">
        <f t="shared" si="116"/>
        <v>13.99999999999979</v>
      </c>
      <c r="G703">
        <f>1/2*$B$8*$B$6*$B$7*(Tabelle2[[#This Row],[vx]]*Tabelle2[[#This Row],[vx]]+Tabelle2[[#This Row],[vy]]*Tabelle2[[#This Row],[vy]])/1000000</f>
        <v>7.8406015233417232</v>
      </c>
      <c r="H703">
        <f>IF($B$3,-Tabelle2[[#This Row],[Fd]]*Tabelle2[[#This Row],[vx]]/Tabelle2[[#This Row],[v]],0)</f>
        <v>-2.9790200771429669</v>
      </c>
      <c r="I703">
        <f t="shared" si="110"/>
        <v>-1.9860133847619779</v>
      </c>
      <c r="J703">
        <f t="shared" si="111"/>
        <v>-3.9720267695239557E-2</v>
      </c>
      <c r="K703">
        <f t="shared" si="112"/>
        <v>0.50551459955216227</v>
      </c>
      <c r="L703">
        <f>-$B$5*$B$12-IF($B$3,Tabelle2[[#This Row],[Fd]]*Tabelle2[[#This Row],[vy]]/Tabelle2[[#This Row],[v]],0)</f>
        <v>-7.4623817398261147</v>
      </c>
      <c r="M703">
        <f t="shared" si="113"/>
        <v>-4.9749211598840768</v>
      </c>
      <c r="N703">
        <f t="shared" si="114"/>
        <v>-9.949842319768154E-2</v>
      </c>
      <c r="O703">
        <f t="shared" si="115"/>
        <v>-1.2326701928137507</v>
      </c>
      <c r="P703" s="1">
        <f t="shared" si="117"/>
        <v>25.295590111455731</v>
      </c>
      <c r="Q703" s="1">
        <f t="shared" si="118"/>
        <v>-61.583760429088692</v>
      </c>
      <c r="R703">
        <f>SQRT(Tabelle2[[#This Row],[vx]]*Tabelle2[[#This Row],[vx]]+Tabelle2[[#This Row],[vy]]*Tabelle2[[#This Row],[vy]])</f>
        <v>66.57647052581089</v>
      </c>
      <c r="S703">
        <f t="shared" si="119"/>
        <v>560.9755713537412</v>
      </c>
      <c r="T703" s="1">
        <f t="shared" si="120"/>
        <v>-75.810535144498644</v>
      </c>
    </row>
    <row r="704" spans="6:20" x14ac:dyDescent="0.35">
      <c r="F704" s="1">
        <f t="shared" si="116"/>
        <v>14.01999999999979</v>
      </c>
      <c r="G704">
        <f>1/2*$B$8*$B$6*$B$7*(Tabelle2[[#This Row],[vx]]*Tabelle2[[#This Row],[vx]]+Tabelle2[[#This Row],[vy]]*Tabelle2[[#This Row],[vy]])/1000000</f>
        <v>7.8587452444611019</v>
      </c>
      <c r="H704">
        <f>IF($B$3,-Tabelle2[[#This Row],[Fd]]*Tabelle2[[#This Row],[vx]]/Tabelle2[[#This Row],[v]],0)</f>
        <v>-2.9777817198549648</v>
      </c>
      <c r="I704">
        <f t="shared" si="110"/>
        <v>-1.9851878132366432</v>
      </c>
      <c r="J704">
        <f t="shared" si="111"/>
        <v>-3.9703756264732867E-2</v>
      </c>
      <c r="K704">
        <f t="shared" si="112"/>
        <v>0.50472035931256243</v>
      </c>
      <c r="L704">
        <f>-$B$5*$B$12-IF($B$3,Tabelle2[[#This Row],[Fd]]*Tabelle2[[#This Row],[vy]]/Tabelle2[[#This Row],[v]],0)</f>
        <v>-7.4422637304630941</v>
      </c>
      <c r="M704">
        <f t="shared" si="113"/>
        <v>-4.961509153642063</v>
      </c>
      <c r="N704">
        <f t="shared" si="114"/>
        <v>-9.923018307284126E-2</v>
      </c>
      <c r="O704">
        <f t="shared" si="115"/>
        <v>-1.2346574788764559</v>
      </c>
      <c r="P704" s="1">
        <f t="shared" si="117"/>
        <v>25.25586984376049</v>
      </c>
      <c r="Q704" s="1">
        <f t="shared" si="118"/>
        <v>-61.683258852286372</v>
      </c>
      <c r="R704">
        <f>SQRT(Tabelle2[[#This Row],[vx]]*Tabelle2[[#This Row],[vx]]+Tabelle2[[#This Row],[vy]]*Tabelle2[[#This Row],[vy]])</f>
        <v>66.653457406222643</v>
      </c>
      <c r="S704">
        <f t="shared" si="119"/>
        <v>561.48108595329336</v>
      </c>
      <c r="T704" s="1">
        <f t="shared" si="120"/>
        <v>-77.043205337312401</v>
      </c>
    </row>
    <row r="705" spans="6:20" x14ac:dyDescent="0.35">
      <c r="F705" s="1">
        <f t="shared" si="116"/>
        <v>14.03999999999979</v>
      </c>
      <c r="G705">
        <f>1/2*$B$8*$B$6*$B$7*(Tabelle2[[#This Row],[vx]]*Tabelle2[[#This Row],[vx]]+Tabelle2[[#This Row],[vy]]*Tabelle2[[#This Row],[vy]])/1000000</f>
        <v>7.8768724134984849</v>
      </c>
      <c r="H705">
        <f>IF($B$3,-Tabelle2[[#This Row],[Fd]]*Tabelle2[[#This Row],[vx]]/Tabelle2[[#This Row],[v]],0)</f>
        <v>-2.9765274038946057</v>
      </c>
      <c r="I705">
        <f t="shared" si="110"/>
        <v>-1.9843516025964039</v>
      </c>
      <c r="J705">
        <f t="shared" si="111"/>
        <v>-3.9687032051928077E-2</v>
      </c>
      <c r="K705">
        <f t="shared" si="112"/>
        <v>0.50392645142939585</v>
      </c>
      <c r="L705">
        <f>-$B$5*$B$12-IF($B$3,Tabelle2[[#This Row],[Fd]]*Tabelle2[[#This Row],[vy]]/Tabelle2[[#This Row],[v]],0)</f>
        <v>-7.4221676536205852</v>
      </c>
      <c r="M705">
        <f t="shared" si="113"/>
        <v>-4.9481117690803904</v>
      </c>
      <c r="N705">
        <f t="shared" si="114"/>
        <v>-9.896223538160781E-2</v>
      </c>
      <c r="O705">
        <f t="shared" si="115"/>
        <v>-1.2366394030610004</v>
      </c>
      <c r="P705" s="1">
        <f t="shared" si="117"/>
        <v>25.216166087495758</v>
      </c>
      <c r="Q705" s="1">
        <f t="shared" si="118"/>
        <v>-61.782489035359212</v>
      </c>
      <c r="R705">
        <f>SQRT(Tabelle2[[#This Row],[vx]]*Tabelle2[[#This Row],[vx]]+Tabelle2[[#This Row],[vy]]*Tabelle2[[#This Row],[vy]])</f>
        <v>66.730285354975464</v>
      </c>
      <c r="S705">
        <f t="shared" si="119"/>
        <v>561.98580631260597</v>
      </c>
      <c r="T705" s="1">
        <f t="shared" si="120"/>
        <v>-78.277862816188858</v>
      </c>
    </row>
    <row r="706" spans="6:20" x14ac:dyDescent="0.35">
      <c r="F706" s="1">
        <f t="shared" si="116"/>
        <v>14.059999999999789</v>
      </c>
      <c r="G706">
        <f>1/2*$B$8*$B$6*$B$7*(Tabelle2[[#This Row],[vx]]*Tabelle2[[#This Row],[vx]]+Tabelle2[[#This Row],[vy]]*Tabelle2[[#This Row],[vy]])/1000000</f>
        <v>7.8949828239647388</v>
      </c>
      <c r="H706">
        <f>IF($B$3,-Tabelle2[[#This Row],[Fd]]*Tabelle2[[#This Row],[vx]]/Tabelle2[[#This Row],[v]],0)</f>
        <v>-2.9752571801371879</v>
      </c>
      <c r="I706">
        <f t="shared" si="110"/>
        <v>-1.9835047867581252</v>
      </c>
      <c r="J706">
        <f t="shared" si="111"/>
        <v>-3.9670095735162503E-2</v>
      </c>
      <c r="K706">
        <f t="shared" si="112"/>
        <v>0.50313288015152491</v>
      </c>
      <c r="L706">
        <f>-$B$5*$B$12-IF($B$3,Tabelle2[[#This Row],[Fd]]*Tabelle2[[#This Row],[vy]]/Tabelle2[[#This Row],[v]],0)</f>
        <v>-7.402093703407628</v>
      </c>
      <c r="M706">
        <f t="shared" si="113"/>
        <v>-4.9347291356050853</v>
      </c>
      <c r="N706">
        <f t="shared" si="114"/>
        <v>-9.8694582712101714E-2</v>
      </c>
      <c r="O706">
        <f t="shared" si="115"/>
        <v>-1.2386159712419373</v>
      </c>
      <c r="P706" s="1">
        <f t="shared" si="117"/>
        <v>25.176479055443828</v>
      </c>
      <c r="Q706" s="1">
        <f t="shared" si="118"/>
        <v>-61.881451270740818</v>
      </c>
      <c r="R706">
        <f>SQRT(Tabelle2[[#This Row],[vx]]*Tabelle2[[#This Row],[vx]]+Tabelle2[[#This Row],[vy]]*Tabelle2[[#This Row],[vy]])</f>
        <v>66.806954046732827</v>
      </c>
      <c r="S706">
        <f t="shared" si="119"/>
        <v>562.48973276403535</v>
      </c>
      <c r="T706" s="1">
        <f t="shared" si="120"/>
        <v>-79.514502219249863</v>
      </c>
    </row>
    <row r="707" spans="6:20" x14ac:dyDescent="0.35">
      <c r="F707" s="1">
        <f t="shared" si="116"/>
        <v>14.079999999999789</v>
      </c>
      <c r="G707">
        <f>1/2*$B$8*$B$6*$B$7*(Tabelle2[[#This Row],[vx]]*Tabelle2[[#This Row],[vx]]+Tabelle2[[#This Row],[vy]]*Tabelle2[[#This Row],[vy]])/1000000</f>
        <v>7.9130762709334652</v>
      </c>
      <c r="H707">
        <f>IF($B$3,-Tabelle2[[#This Row],[Fd]]*Tabelle2[[#This Row],[vx]]/Tabelle2[[#This Row],[v]],0)</f>
        <v>-2.9739710998658913</v>
      </c>
      <c r="I707">
        <f t="shared" ref="I707:I770" si="121">H707/$B$5</f>
        <v>-1.9826473999105942</v>
      </c>
      <c r="J707">
        <f t="shared" ref="J707:J770" si="122">I707*$B$13</f>
        <v>-3.9652947998211889E-2</v>
      </c>
      <c r="K707">
        <f t="shared" ref="K707:K770" si="123">$B$13*(P707+J707/2)</f>
        <v>0.50233964971419121</v>
      </c>
      <c r="L707">
        <f>-$B$5*$B$12-IF($B$3,Tabelle2[[#This Row],[Fd]]*Tabelle2[[#This Row],[vy]]/Tabelle2[[#This Row],[v]],0)</f>
        <v>-7.3820420724803864</v>
      </c>
      <c r="M707">
        <f t="shared" ref="M707:M770" si="124">L707/$B$5</f>
        <v>-4.9213613816535906</v>
      </c>
      <c r="N707">
        <f t="shared" ref="N707:N770" si="125">M707*$B$13</f>
        <v>-9.8427227633071809E-2</v>
      </c>
      <c r="O707">
        <f t="shared" ref="O707:O770" si="126">$B$13*(Q707+N707/2)</f>
        <v>-1.240587189345389</v>
      </c>
      <c r="P707" s="1">
        <f t="shared" si="117"/>
        <v>25.136808959708667</v>
      </c>
      <c r="Q707" s="1">
        <f t="shared" si="118"/>
        <v>-61.980145853452917</v>
      </c>
      <c r="R707">
        <f>SQRT(Tabelle2[[#This Row],[vx]]*Tabelle2[[#This Row],[vx]]+Tabelle2[[#This Row],[vy]]*Tabelle2[[#This Row],[vy]])</f>
        <v>66.883463163118179</v>
      </c>
      <c r="S707">
        <f t="shared" si="119"/>
        <v>562.99286564418685</v>
      </c>
      <c r="T707" s="1">
        <f t="shared" si="120"/>
        <v>-80.753118190491804</v>
      </c>
    </row>
    <row r="708" spans="6:20" x14ac:dyDescent="0.35">
      <c r="F708" s="1">
        <f t="shared" ref="F708:F771" si="127">F707+$B$13</f>
        <v>14.099999999999788</v>
      </c>
      <c r="G708">
        <f>1/2*$B$8*$B$6*$B$7*(Tabelle2[[#This Row],[vx]]*Tabelle2[[#This Row],[vx]]+Tabelle2[[#This Row],[vy]]*Tabelle2[[#This Row],[vy]])/1000000</f>
        <v>7.9311525510385845</v>
      </c>
      <c r="H708">
        <f>IF($B$3,-Tabelle2[[#This Row],[Fd]]*Tabelle2[[#This Row],[vx]]/Tabelle2[[#This Row],[v]],0)</f>
        <v>-2.9726692147649745</v>
      </c>
      <c r="I708">
        <f t="shared" si="121"/>
        <v>-1.981779476509983</v>
      </c>
      <c r="J708">
        <f t="shared" si="122"/>
        <v>-3.9635589530199661E-2</v>
      </c>
      <c r="K708">
        <f t="shared" si="123"/>
        <v>0.5015467643389071</v>
      </c>
      <c r="L708">
        <f>-$B$5*$B$12-IF($B$3,Tabelle2[[#This Row],[Fd]]*Tabelle2[[#This Row],[vy]]/Tabelle2[[#This Row],[v]],0)</f>
        <v>-7.3620129520422486</v>
      </c>
      <c r="M708">
        <f t="shared" si="124"/>
        <v>-4.9080086346948324</v>
      </c>
      <c r="N708">
        <f t="shared" si="125"/>
        <v>-9.8160172693896652E-2</v>
      </c>
      <c r="O708">
        <f t="shared" si="126"/>
        <v>-1.2425530633486588</v>
      </c>
      <c r="P708" s="1">
        <f t="shared" ref="P708:P771" si="128">P707+J707</f>
        <v>25.097156011710453</v>
      </c>
      <c r="Q708" s="1">
        <f t="shared" ref="Q708:Q771" si="129">Q707+N707</f>
        <v>-62.078573081085992</v>
      </c>
      <c r="R708">
        <f>SQRT(Tabelle2[[#This Row],[vx]]*Tabelle2[[#This Row],[vx]]+Tabelle2[[#This Row],[vy]]*Tabelle2[[#This Row],[vy]])</f>
        <v>66.959812392657341</v>
      </c>
      <c r="S708">
        <f t="shared" ref="S708:S771" si="130">S707+K707</f>
        <v>563.49520529390099</v>
      </c>
      <c r="T708" s="1">
        <f t="shared" ref="T708:T771" si="131">T707+O707</f>
        <v>-81.993705379837195</v>
      </c>
    </row>
    <row r="709" spans="6:20" x14ac:dyDescent="0.35">
      <c r="F709" s="1">
        <f t="shared" si="127"/>
        <v>14.119999999999788</v>
      </c>
      <c r="G709">
        <f>1/2*$B$8*$B$6*$B$7*(Tabelle2[[#This Row],[vx]]*Tabelle2[[#This Row],[vx]]+Tabelle2[[#This Row],[vy]]*Tabelle2[[#This Row],[vy]])/1000000</f>
        <v>7.949211462471891</v>
      </c>
      <c r="H709">
        <f>IF($B$3,-Tabelle2[[#This Row],[Fd]]*Tabelle2[[#This Row],[vx]]/Tabelle2[[#This Row],[v]],0)</f>
        <v>-2.9713515769130403</v>
      </c>
      <c r="I709">
        <f t="shared" si="121"/>
        <v>-1.9809010512753602</v>
      </c>
      <c r="J709">
        <f t="shared" si="122"/>
        <v>-3.9618021025507204E-2</v>
      </c>
      <c r="K709">
        <f t="shared" si="123"/>
        <v>0.50075422823335003</v>
      </c>
      <c r="L709">
        <f>-$B$5*$B$12-IF($B$3,Tabelle2[[#This Row],[Fd]]*Tabelle2[[#This Row],[vy]]/Tabelle2[[#This Row],[v]],0)</f>
        <v>-7.3420065318440102</v>
      </c>
      <c r="M709">
        <f t="shared" si="124"/>
        <v>-4.8946710212293398</v>
      </c>
      <c r="N709">
        <f t="shared" si="125"/>
        <v>-9.7893420424586805E-2</v>
      </c>
      <c r="O709">
        <f t="shared" si="126"/>
        <v>-1.2445135992798435</v>
      </c>
      <c r="P709" s="1">
        <f t="shared" si="128"/>
        <v>25.057520422180254</v>
      </c>
      <c r="Q709" s="1">
        <f t="shared" si="129"/>
        <v>-62.176733253779886</v>
      </c>
      <c r="R709">
        <f>SQRT(Tabelle2[[#This Row],[vx]]*Tabelle2[[#This Row],[vx]]+Tabelle2[[#This Row],[vy]]*Tabelle2[[#This Row],[vy]])</f>
        <v>67.03600143072137</v>
      </c>
      <c r="S709">
        <f t="shared" si="130"/>
        <v>563.99675205823985</v>
      </c>
      <c r="T709" s="1">
        <f t="shared" si="131"/>
        <v>-83.236258443185847</v>
      </c>
    </row>
    <row r="710" spans="6:20" x14ac:dyDescent="0.35">
      <c r="F710" s="1">
        <f t="shared" si="127"/>
        <v>14.139999999999787</v>
      </c>
      <c r="G710">
        <f>1/2*$B$8*$B$6*$B$7*(Tabelle2[[#This Row],[vx]]*Tabelle2[[#This Row],[vx]]+Tabelle2[[#This Row],[vy]]*Tabelle2[[#This Row],[vy]])/1000000</f>
        <v>7.9672528049805313</v>
      </c>
      <c r="H710">
        <f>IF($B$3,-Tabelle2[[#This Row],[Fd]]*Tabelle2[[#This Row],[vx]]/Tabelle2[[#This Row],[v]],0)</f>
        <v>-2.9700182387763352</v>
      </c>
      <c r="I710">
        <f t="shared" si="121"/>
        <v>-1.9800121591842235</v>
      </c>
      <c r="J710">
        <f t="shared" si="122"/>
        <v>-3.9600243183684471E-2</v>
      </c>
      <c r="K710">
        <f t="shared" si="123"/>
        <v>0.49996204559125806</v>
      </c>
      <c r="L710">
        <f>-$B$5*$B$12-IF($B$3,Tabelle2[[#This Row],[Fd]]*Tabelle2[[#This Row],[vy]]/Tabelle2[[#This Row],[v]],0)</f>
        <v>-7.3220230001841582</v>
      </c>
      <c r="M710">
        <f t="shared" si="124"/>
        <v>-4.8813486667894388</v>
      </c>
      <c r="N710">
        <f t="shared" si="125"/>
        <v>-9.7626973335788778E-2</v>
      </c>
      <c r="O710">
        <f t="shared" si="126"/>
        <v>-1.2464688032174476</v>
      </c>
      <c r="P710" s="1">
        <f t="shared" si="128"/>
        <v>25.017902401154746</v>
      </c>
      <c r="Q710" s="1">
        <f t="shared" si="129"/>
        <v>-62.274626674204477</v>
      </c>
      <c r="R710">
        <f>SQRT(Tabelle2[[#This Row],[vx]]*Tabelle2[[#This Row],[vx]]+Tabelle2[[#This Row],[vy]]*Tabelle2[[#This Row],[vy]])</f>
        <v>67.112029979469739</v>
      </c>
      <c r="S710">
        <f t="shared" si="130"/>
        <v>564.49750628647325</v>
      </c>
      <c r="T710" s="1">
        <f t="shared" si="131"/>
        <v>-84.480772042465688</v>
      </c>
    </row>
    <row r="711" spans="6:20" x14ac:dyDescent="0.35">
      <c r="F711" s="1">
        <f t="shared" si="127"/>
        <v>14.159999999999787</v>
      </c>
      <c r="G711">
        <f>1/2*$B$8*$B$6*$B$7*(Tabelle2[[#This Row],[vx]]*Tabelle2[[#This Row],[vx]]+Tabelle2[[#This Row],[vy]]*Tabelle2[[#This Row],[vy]])/1000000</f>
        <v>7.9852763798644117</v>
      </c>
      <c r="H711">
        <f>IF($B$3,-Tabelle2[[#This Row],[Fd]]*Tabelle2[[#This Row],[vx]]/Tabelle2[[#This Row],[v]],0)</f>
        <v>-2.9686692532021057</v>
      </c>
      <c r="I711">
        <f t="shared" si="121"/>
        <v>-1.9791128354680705</v>
      </c>
      <c r="J711">
        <f t="shared" si="122"/>
        <v>-3.9582256709361413E-2</v>
      </c>
      <c r="K711">
        <f t="shared" si="123"/>
        <v>0.49917022059232763</v>
      </c>
      <c r="L711">
        <f>-$B$5*$B$12-IF($B$3,Tabelle2[[#This Row],[Fd]]*Tabelle2[[#This Row],[vy]]/Tabelle2[[#This Row],[v]],0)</f>
        <v>-7.3020625439092672</v>
      </c>
      <c r="M711">
        <f t="shared" si="124"/>
        <v>-4.8680416959395112</v>
      </c>
      <c r="N711">
        <f t="shared" si="125"/>
        <v>-9.7360833918790232E-2</v>
      </c>
      <c r="O711">
        <f t="shared" si="126"/>
        <v>-1.2484186812899931</v>
      </c>
      <c r="P711" s="1">
        <f t="shared" si="128"/>
        <v>24.978302157971061</v>
      </c>
      <c r="Q711" s="1">
        <f t="shared" si="129"/>
        <v>-62.372253647540262</v>
      </c>
      <c r="R711">
        <f>SQRT(Tabelle2[[#This Row],[vx]]*Tabelle2[[#This Row],[vx]]+Tabelle2[[#This Row],[vy]]*Tabelle2[[#This Row],[vy]])</f>
        <v>67.187897747793841</v>
      </c>
      <c r="S711">
        <f t="shared" si="130"/>
        <v>564.9974683320645</v>
      </c>
      <c r="T711" s="1">
        <f t="shared" si="131"/>
        <v>-85.727240845683141</v>
      </c>
    </row>
    <row r="712" spans="6:20" x14ac:dyDescent="0.35">
      <c r="F712" s="1">
        <f t="shared" si="127"/>
        <v>14.179999999999787</v>
      </c>
      <c r="G712">
        <f>1/2*$B$8*$B$6*$B$7*(Tabelle2[[#This Row],[vx]]*Tabelle2[[#This Row],[vx]]+Tabelle2[[#This Row],[vy]]*Tabelle2[[#This Row],[vy]])/1000000</f>
        <v>8.0032819899735888</v>
      </c>
      <c r="H712">
        <f>IF($B$3,-Tabelle2[[#This Row],[Fd]]*Tabelle2[[#This Row],[vx]]/Tabelle2[[#This Row],[v]],0)</f>
        <v>-2.9673046734120083</v>
      </c>
      <c r="I712">
        <f t="shared" si="121"/>
        <v>-1.9782031156080055</v>
      </c>
      <c r="J712">
        <f t="shared" si="122"/>
        <v>-3.9564062312160114E-2</v>
      </c>
      <c r="K712">
        <f t="shared" si="123"/>
        <v>0.4983787574021124</v>
      </c>
      <c r="L712">
        <f>-$B$5*$B$12-IF($B$3,Tabelle2[[#This Row],[Fd]]*Tabelle2[[#This Row],[vy]]/Tabelle2[[#This Row],[v]],0)</f>
        <v>-7.2821253484144597</v>
      </c>
      <c r="M712">
        <f t="shared" si="124"/>
        <v>-4.8547502322763068</v>
      </c>
      <c r="N712">
        <f t="shared" si="125"/>
        <v>-9.7095004645526131E-2</v>
      </c>
      <c r="O712">
        <f t="shared" si="126"/>
        <v>-1.2503632396756363</v>
      </c>
      <c r="P712" s="1">
        <f t="shared" si="128"/>
        <v>24.938719901261699</v>
      </c>
      <c r="Q712" s="1">
        <f t="shared" si="129"/>
        <v>-62.469614481459054</v>
      </c>
      <c r="R712">
        <f>SQRT(Tabelle2[[#This Row],[vx]]*Tabelle2[[#This Row],[vx]]+Tabelle2[[#This Row],[vy]]*Tabelle2[[#This Row],[vy]])</f>
        <v>67.263604451261045</v>
      </c>
      <c r="S712">
        <f t="shared" si="130"/>
        <v>565.4966385526568</v>
      </c>
      <c r="T712" s="1">
        <f t="shared" si="131"/>
        <v>-86.975659526973132</v>
      </c>
    </row>
    <row r="713" spans="6:20" x14ac:dyDescent="0.35">
      <c r="F713" s="1">
        <f t="shared" si="127"/>
        <v>14.199999999999786</v>
      </c>
      <c r="G713">
        <f>1/2*$B$8*$B$6*$B$7*(Tabelle2[[#This Row],[vx]]*Tabelle2[[#This Row],[vx]]+Tabelle2[[#This Row],[vy]]*Tabelle2[[#This Row],[vy]])/1000000</f>
        <v>8.0212694397055522</v>
      </c>
      <c r="H713">
        <f>IF($B$3,-Tabelle2[[#This Row],[Fd]]*Tabelle2[[#This Row],[vx]]/Tabelle2[[#This Row],[v]],0)</f>
        <v>-2.9659245529955651</v>
      </c>
      <c r="I713">
        <f t="shared" si="121"/>
        <v>-1.9772830353303767</v>
      </c>
      <c r="J713">
        <f t="shared" si="122"/>
        <v>-3.9545660706607533E-2</v>
      </c>
      <c r="K713">
        <f t="shared" si="123"/>
        <v>0.49758766017192474</v>
      </c>
      <c r="L713">
        <f>-$B$5*$B$12-IF($B$3,Tabelle2[[#This Row],[Fd]]*Tabelle2[[#This Row],[vy]]/Tabelle2[[#This Row],[v]],0)</f>
        <v>-7.2622115976439883</v>
      </c>
      <c r="M713">
        <f t="shared" si="124"/>
        <v>-4.8414743984293258</v>
      </c>
      <c r="N713">
        <f t="shared" si="125"/>
        <v>-9.6829487968586522E-2</v>
      </c>
      <c r="O713">
        <f t="shared" si="126"/>
        <v>-1.2523024846017774</v>
      </c>
      <c r="P713" s="1">
        <f t="shared" si="128"/>
        <v>24.89915583894954</v>
      </c>
      <c r="Q713" s="1">
        <f t="shared" si="129"/>
        <v>-62.566709486104578</v>
      </c>
      <c r="R713">
        <f>SQRT(Tabelle2[[#This Row],[vx]]*Tabelle2[[#This Row],[vx]]+Tabelle2[[#This Row],[vy]]*Tabelle2[[#This Row],[vy]])</f>
        <v>67.339149812058835</v>
      </c>
      <c r="S713">
        <f t="shared" si="130"/>
        <v>565.99501731005887</v>
      </c>
      <c r="T713" s="1">
        <f t="shared" si="131"/>
        <v>-88.226022766648768</v>
      </c>
    </row>
    <row r="714" spans="6:20" x14ac:dyDescent="0.35">
      <c r="F714" s="1">
        <f t="shared" si="127"/>
        <v>14.219999999999786</v>
      </c>
      <c r="G714">
        <f>1/2*$B$8*$B$6*$B$7*(Tabelle2[[#This Row],[vx]]*Tabelle2[[#This Row],[vx]]+Tabelle2[[#This Row],[vy]]*Tabelle2[[#This Row],[vy]])/1000000</f>
        <v>8.0392385350024806</v>
      </c>
      <c r="H714">
        <f>IF($B$3,-Tabelle2[[#This Row],[Fd]]*Tabelle2[[#This Row],[vx]]/Tabelle2[[#This Row],[v]],0)</f>
        <v>-2.9645289459036679</v>
      </c>
      <c r="I714">
        <f t="shared" si="121"/>
        <v>-1.9763526306024453</v>
      </c>
      <c r="J714">
        <f t="shared" si="122"/>
        <v>-3.9527052612048905E-2</v>
      </c>
      <c r="K714">
        <f t="shared" si="123"/>
        <v>0.49679693303873812</v>
      </c>
      <c r="L714">
        <f>-$B$5*$B$12-IF($B$3,Tabelle2[[#This Row],[Fd]]*Tabelle2[[#This Row],[vy]]/Tabelle2[[#This Row],[v]],0)</f>
        <v>-7.2423214740918951</v>
      </c>
      <c r="M714">
        <f t="shared" si="124"/>
        <v>-4.8282143160612634</v>
      </c>
      <c r="N714">
        <f t="shared" si="125"/>
        <v>-9.6564286321225268E-2</v>
      </c>
      <c r="O714">
        <f t="shared" si="126"/>
        <v>-1.2542364223446756</v>
      </c>
      <c r="P714" s="1">
        <f t="shared" si="128"/>
        <v>24.859610178242932</v>
      </c>
      <c r="Q714" s="1">
        <f t="shared" si="129"/>
        <v>-62.663538974073163</v>
      </c>
      <c r="R714">
        <f>SQRT(Tabelle2[[#This Row],[vx]]*Tabelle2[[#This Row],[vx]]+Tabelle2[[#This Row],[vy]]*Tabelle2[[#This Row],[vy]])</f>
        <v>67.414533558939539</v>
      </c>
      <c r="S714">
        <f t="shared" si="130"/>
        <v>566.49260497023079</v>
      </c>
      <c r="T714" s="1">
        <f t="shared" si="131"/>
        <v>-89.478325251250538</v>
      </c>
    </row>
    <row r="715" spans="6:20" x14ac:dyDescent="0.35">
      <c r="F715" s="1">
        <f t="shared" si="127"/>
        <v>14.239999999999785</v>
      </c>
      <c r="G715">
        <f>1/2*$B$8*$B$6*$B$7*(Tabelle2[[#This Row],[vx]]*Tabelle2[[#This Row],[vx]]+Tabelle2[[#This Row],[vy]]*Tabelle2[[#This Row],[vy]])/1000000</f>
        <v>8.0571890833484403</v>
      </c>
      <c r="H715">
        <f>IF($B$3,-Tabelle2[[#This Row],[Fd]]*Tabelle2[[#This Row],[vx]]/Tabelle2[[#This Row],[v]],0)</f>
        <v>-2.9631179064421369</v>
      </c>
      <c r="I715">
        <f t="shared" si="121"/>
        <v>-1.9754119376280912</v>
      </c>
      <c r="J715">
        <f t="shared" si="122"/>
        <v>-3.9508238752561826E-2</v>
      </c>
      <c r="K715">
        <f t="shared" si="123"/>
        <v>0.49600658012509208</v>
      </c>
      <c r="L715">
        <f>-$B$5*$B$12-IF($B$3,Tabelle2[[#This Row],[Fd]]*Tabelle2[[#This Row],[vy]]/Tabelle2[[#This Row],[v]],0)</f>
        <v>-7.2224551588027674</v>
      </c>
      <c r="M715">
        <f t="shared" si="124"/>
        <v>-4.8149701058685119</v>
      </c>
      <c r="N715">
        <f t="shared" si="125"/>
        <v>-9.6299402117370245E-2</v>
      </c>
      <c r="O715">
        <f t="shared" si="126"/>
        <v>-1.2561650592290614</v>
      </c>
      <c r="P715" s="1">
        <f t="shared" si="128"/>
        <v>24.820083125630884</v>
      </c>
      <c r="Q715" s="1">
        <f t="shared" si="129"/>
        <v>-62.760103260394388</v>
      </c>
      <c r="R715">
        <f>SQRT(Tabelle2[[#This Row],[vx]]*Tabelle2[[#This Row],[vx]]+Tabelle2[[#This Row],[vy]]*Tabelle2[[#This Row],[vy]])</f>
        <v>67.489755427165335</v>
      </c>
      <c r="S715">
        <f t="shared" si="130"/>
        <v>566.98940190326948</v>
      </c>
      <c r="T715" s="1">
        <f t="shared" si="131"/>
        <v>-90.732561673595214</v>
      </c>
    </row>
    <row r="716" spans="6:20" x14ac:dyDescent="0.35">
      <c r="F716" s="1">
        <f t="shared" si="127"/>
        <v>14.259999999999785</v>
      </c>
      <c r="G716">
        <f>1/2*$B$8*$B$6*$B$7*(Tabelle2[[#This Row],[vx]]*Tabelle2[[#This Row],[vx]]+Tabelle2[[#This Row],[vy]]*Tabelle2[[#This Row],[vy]])/1000000</f>
        <v>8.075120893766508</v>
      </c>
      <c r="H716">
        <f>IF($B$3,-Tabelle2[[#This Row],[Fd]]*Tabelle2[[#This Row],[vx]]/Tabelle2[[#This Row],[v]],0)</f>
        <v>-2.9616914892653243</v>
      </c>
      <c r="I716">
        <f t="shared" si="121"/>
        <v>-1.9744609928435495</v>
      </c>
      <c r="J716">
        <f t="shared" si="122"/>
        <v>-3.948921985687099E-2</v>
      </c>
      <c r="K716">
        <f t="shared" si="123"/>
        <v>0.49521660553899777</v>
      </c>
      <c r="L716">
        <f>-$B$5*$B$12-IF($B$3,Tabelle2[[#This Row],[Fd]]*Tabelle2[[#This Row],[vy]]/Tabelle2[[#This Row],[v]],0)</f>
        <v>-7.2026128313725906</v>
      </c>
      <c r="M716">
        <f t="shared" si="124"/>
        <v>-4.801741887581727</v>
      </c>
      <c r="N716">
        <f t="shared" si="125"/>
        <v>-9.6034837751634544E-2</v>
      </c>
      <c r="O716">
        <f t="shared" si="126"/>
        <v>-1.2580884016277514</v>
      </c>
      <c r="P716" s="1">
        <f t="shared" si="128"/>
        <v>24.780574886878323</v>
      </c>
      <c r="Q716" s="1">
        <f t="shared" si="129"/>
        <v>-62.856402662511755</v>
      </c>
      <c r="R716">
        <f>SQRT(Tabelle2[[#This Row],[vx]]*Tabelle2[[#This Row],[vx]]+Tabelle2[[#This Row],[vy]]*Tabelle2[[#This Row],[vy]])</f>
        <v>67.564815158453584</v>
      </c>
      <c r="S716">
        <f t="shared" si="130"/>
        <v>567.48540848339462</v>
      </c>
      <c r="T716" s="1">
        <f t="shared" si="131"/>
        <v>-91.988726732824276</v>
      </c>
    </row>
    <row r="717" spans="6:20" x14ac:dyDescent="0.35">
      <c r="F717" s="1">
        <f t="shared" si="127"/>
        <v>14.279999999999784</v>
      </c>
      <c r="G717">
        <f>1/2*$B$8*$B$6*$B$7*(Tabelle2[[#This Row],[vx]]*Tabelle2[[#This Row],[vx]]+Tabelle2[[#This Row],[vy]]*Tabelle2[[#This Row],[vy]])/1000000</f>
        <v>8.0930337768158669</v>
      </c>
      <c r="H717">
        <f>IF($B$3,-Tabelle2[[#This Row],[Fd]]*Tabelle2[[#This Row],[vx]]/Tabelle2[[#This Row],[v]],0)</f>
        <v>-2.9602497493697721</v>
      </c>
      <c r="I717">
        <f t="shared" si="121"/>
        <v>-1.9734998329131814</v>
      </c>
      <c r="J717">
        <f t="shared" si="122"/>
        <v>-3.9469996658263631E-2</v>
      </c>
      <c r="K717">
        <f t="shared" si="123"/>
        <v>0.49442701337384642</v>
      </c>
      <c r="L717">
        <f>-$B$5*$B$12-IF($B$3,Tabelle2[[#This Row],[Fd]]*Tabelle2[[#This Row],[vy]]/Tabelle2[[#This Row],[v]],0)</f>
        <v>-7.1827946699496641</v>
      </c>
      <c r="M717">
        <f t="shared" si="124"/>
        <v>-4.788529779966443</v>
      </c>
      <c r="N717">
        <f t="shared" si="125"/>
        <v>-9.5770595599328864E-2</v>
      </c>
      <c r="O717">
        <f t="shared" si="126"/>
        <v>-1.2600064559612612</v>
      </c>
      <c r="P717" s="1">
        <f t="shared" si="128"/>
        <v>24.741085667021451</v>
      </c>
      <c r="Q717" s="1">
        <f t="shared" si="129"/>
        <v>-62.952437500263386</v>
      </c>
      <c r="R717">
        <f>SQRT(Tabelle2[[#This Row],[vx]]*Tabelle2[[#This Row],[vx]]+Tabelle2[[#This Row],[vy]]*Tabelle2[[#This Row],[vy]])</f>
        <v>67.639712500922585</v>
      </c>
      <c r="S717">
        <f t="shared" si="130"/>
        <v>567.98062508893361</v>
      </c>
      <c r="T717" s="1">
        <f t="shared" si="131"/>
        <v>-93.246815134452021</v>
      </c>
    </row>
    <row r="718" spans="6:20" x14ac:dyDescent="0.35">
      <c r="F718" s="1">
        <f t="shared" si="127"/>
        <v>14.299999999999784</v>
      </c>
      <c r="G718">
        <f>1/2*$B$8*$B$6*$B$7*(Tabelle2[[#This Row],[vx]]*Tabelle2[[#This Row],[vx]]+Tabelle2[[#This Row],[vy]]*Tabelle2[[#This Row],[vy]])/1000000</f>
        <v>8.1109275445888205</v>
      </c>
      <c r="H718">
        <f>IF($B$3,-Tabelle2[[#This Row],[Fd]]*Tabelle2[[#This Row],[vx]]/Tabelle2[[#This Row],[v]],0)</f>
        <v>-2.9587927420879128</v>
      </c>
      <c r="I718">
        <f t="shared" si="121"/>
        <v>-1.9725284947252752</v>
      </c>
      <c r="J718">
        <f t="shared" si="122"/>
        <v>-3.9450569894505509E-2</v>
      </c>
      <c r="K718">
        <f t="shared" si="123"/>
        <v>0.49363780770831872</v>
      </c>
      <c r="L718">
        <f>-$B$5*$B$12-IF($B$3,Tabelle2[[#This Row],[Fd]]*Tabelle2[[#This Row],[vy]]/Tabelle2[[#This Row],[v]],0)</f>
        <v>-7.1630008512356476</v>
      </c>
      <c r="M718">
        <f t="shared" si="124"/>
        <v>-4.7753339008237647</v>
      </c>
      <c r="N718">
        <f t="shared" si="125"/>
        <v>-9.5506678016475291E-2</v>
      </c>
      <c r="O718">
        <f t="shared" si="126"/>
        <v>-1.261919228697419</v>
      </c>
      <c r="P718" s="1">
        <f t="shared" si="128"/>
        <v>24.701615670363189</v>
      </c>
      <c r="Q718" s="1">
        <f t="shared" si="129"/>
        <v>-63.048208095862712</v>
      </c>
      <c r="R718">
        <f>SQRT(Tabelle2[[#This Row],[vx]]*Tabelle2[[#This Row],[vx]]+Tabelle2[[#This Row],[vy]]*Tabelle2[[#This Row],[vy]])</f>
        <v>67.714447209037615</v>
      </c>
      <c r="S718">
        <f t="shared" si="130"/>
        <v>568.47505210230747</v>
      </c>
      <c r="T718" s="1">
        <f t="shared" si="131"/>
        <v>-94.506821590413281</v>
      </c>
    </row>
    <row r="719" spans="6:20" x14ac:dyDescent="0.35">
      <c r="F719" s="1">
        <f t="shared" si="127"/>
        <v>14.319999999999784</v>
      </c>
      <c r="G719">
        <f>1/2*$B$8*$B$6*$B$7*(Tabelle2[[#This Row],[vx]]*Tabelle2[[#This Row],[vx]]+Tabelle2[[#This Row],[vy]]*Tabelle2[[#This Row],[vy]])/1000000</f>
        <v>8.128802010707771</v>
      </c>
      <c r="H719">
        <f>IF($B$3,-Tabelle2[[#This Row],[Fd]]*Tabelle2[[#This Row],[vx]]/Tabelle2[[#This Row],[v]],0)</f>
        <v>-2.9573205230818242</v>
      </c>
      <c r="I719">
        <f t="shared" si="121"/>
        <v>-1.9715470153878829</v>
      </c>
      <c r="J719">
        <f t="shared" si="122"/>
        <v>-3.9430940307757657E-2</v>
      </c>
      <c r="K719">
        <f t="shared" si="123"/>
        <v>0.49284899260629611</v>
      </c>
      <c r="L719">
        <f>-$B$5*$B$12-IF($B$3,Tabelle2[[#This Row],[Fd]]*Tabelle2[[#This Row],[vy]]/Tabelle2[[#This Row],[v]],0)</f>
        <v>-7.1432315504866528</v>
      </c>
      <c r="M719">
        <f t="shared" si="124"/>
        <v>-4.7621543669911022</v>
      </c>
      <c r="N719">
        <f t="shared" si="125"/>
        <v>-9.524308733982205E-2</v>
      </c>
      <c r="O719">
        <f t="shared" si="126"/>
        <v>-1.2638267263509821</v>
      </c>
      <c r="P719" s="1">
        <f t="shared" si="128"/>
        <v>24.662165100468684</v>
      </c>
      <c r="Q719" s="1">
        <f t="shared" si="129"/>
        <v>-63.143714773879189</v>
      </c>
      <c r="R719">
        <f>SQRT(Tabelle2[[#This Row],[vx]]*Tabelle2[[#This Row],[vx]]+Tabelle2[[#This Row],[vy]]*Tabelle2[[#This Row],[vy]])</f>
        <v>67.789019043557374</v>
      </c>
      <c r="S719">
        <f t="shared" si="130"/>
        <v>568.96868991001577</v>
      </c>
      <c r="T719" s="1">
        <f t="shared" si="131"/>
        <v>-95.768740819110704</v>
      </c>
    </row>
    <row r="720" spans="6:20" x14ac:dyDescent="0.35">
      <c r="F720" s="1">
        <f t="shared" si="127"/>
        <v>14.339999999999783</v>
      </c>
      <c r="G720">
        <f>1/2*$B$8*$B$6*$B$7*(Tabelle2[[#This Row],[vx]]*Tabelle2[[#This Row],[vx]]+Tabelle2[[#This Row],[vy]]*Tabelle2[[#This Row],[vy]])/1000000</f>
        <v>8.1466569903221338</v>
      </c>
      <c r="H720">
        <f>IF($B$3,-Tabelle2[[#This Row],[Fd]]*Tabelle2[[#This Row],[vx]]/Tabelle2[[#This Row],[v]],0)</f>
        <v>-2.955833148337029</v>
      </c>
      <c r="I720">
        <f t="shared" si="121"/>
        <v>-1.9705554322246861</v>
      </c>
      <c r="J720">
        <f t="shared" si="122"/>
        <v>-3.9411108644493723E-2</v>
      </c>
      <c r="K720">
        <f t="shared" si="123"/>
        <v>0.49206057211677362</v>
      </c>
      <c r="L720">
        <f>-$B$5*$B$12-IF($B$3,Tabelle2[[#This Row],[Fd]]*Tabelle2[[#This Row],[vy]]/Tabelle2[[#This Row],[v]],0)</f>
        <v>-7.123486941514459</v>
      </c>
      <c r="M720">
        <f t="shared" si="124"/>
        <v>-4.7489912943429724</v>
      </c>
      <c r="N720">
        <f t="shared" si="125"/>
        <v>-9.4979825886859451E-2</v>
      </c>
      <c r="O720">
        <f t="shared" si="126"/>
        <v>-1.2657289554832489</v>
      </c>
      <c r="P720" s="1">
        <f t="shared" si="128"/>
        <v>24.622734160160928</v>
      </c>
      <c r="Q720" s="1">
        <f t="shared" si="129"/>
        <v>-63.238957861219014</v>
      </c>
      <c r="R720">
        <f>SQRT(Tabelle2[[#This Row],[vx]]*Tabelle2[[#This Row],[vx]]+Tabelle2[[#This Row],[vy]]*Tabelle2[[#This Row],[vy]])</f>
        <v>67.863427771480787</v>
      </c>
      <c r="S720">
        <f t="shared" si="130"/>
        <v>569.46153890262201</v>
      </c>
      <c r="T720" s="1">
        <f t="shared" si="131"/>
        <v>-97.032567545461688</v>
      </c>
    </row>
    <row r="721" spans="6:20" x14ac:dyDescent="0.35">
      <c r="F721" s="1">
        <f t="shared" si="127"/>
        <v>14.359999999999783</v>
      </c>
      <c r="G721">
        <f>1/2*$B$8*$B$6*$B$7*(Tabelle2[[#This Row],[vx]]*Tabelle2[[#This Row],[vx]]+Tabelle2[[#This Row],[vy]]*Tabelle2[[#This Row],[vy]])/1000000</f>
        <v>8.1644923001052074</v>
      </c>
      <c r="H721">
        <f>IF($B$3,-Tabelle2[[#This Row],[Fd]]*Tabelle2[[#This Row],[vx]]/Tabelle2[[#This Row],[v]],0)</f>
        <v>-2.9543306741563469</v>
      </c>
      <c r="I721">
        <f t="shared" si="121"/>
        <v>-1.969553782770898</v>
      </c>
      <c r="J721">
        <f t="shared" si="122"/>
        <v>-3.9391075655417961E-2</v>
      </c>
      <c r="K721">
        <f t="shared" si="123"/>
        <v>0.49127255027377453</v>
      </c>
      <c r="L721">
        <f>-$B$5*$B$12-IF($B$3,Tabelle2[[#This Row],[Fd]]*Tabelle2[[#This Row],[vy]]/Tabelle2[[#This Row],[v]],0)</f>
        <v>-7.1037671966877713</v>
      </c>
      <c r="M721">
        <f t="shared" si="124"/>
        <v>-4.7358447977918479</v>
      </c>
      <c r="N721">
        <f t="shared" si="125"/>
        <v>-9.4716895955836961E-2</v>
      </c>
      <c r="O721">
        <f t="shared" si="126"/>
        <v>-1.267625922701676</v>
      </c>
      <c r="P721" s="1">
        <f t="shared" si="128"/>
        <v>24.583323051516434</v>
      </c>
      <c r="Q721" s="1">
        <f t="shared" si="129"/>
        <v>-63.333937687105873</v>
      </c>
      <c r="R721">
        <f>SQRT(Tabelle2[[#This Row],[vx]]*Tabelle2[[#This Row],[vx]]+Tabelle2[[#This Row],[vy]]*Tabelle2[[#This Row],[vy]])</f>
        <v>67.937673165994056</v>
      </c>
      <c r="S721">
        <f t="shared" si="130"/>
        <v>569.95359947473878</v>
      </c>
      <c r="T721" s="1">
        <f t="shared" si="131"/>
        <v>-98.298296500944943</v>
      </c>
    </row>
    <row r="722" spans="6:20" x14ac:dyDescent="0.35">
      <c r="F722" s="1">
        <f t="shared" si="127"/>
        <v>14.379999999999782</v>
      </c>
      <c r="G722">
        <f>1/2*$B$8*$B$6*$B$7*(Tabelle2[[#This Row],[vx]]*Tabelle2[[#This Row],[vx]]+Tabelle2[[#This Row],[vy]]*Tabelle2[[#This Row],[vy]])/1000000</f>
        <v>8.1823077582509782</v>
      </c>
      <c r="H722">
        <f>IF($B$3,-Tabelle2[[#This Row],[Fd]]*Tabelle2[[#This Row],[vx]]/Tabelle2[[#This Row],[v]],0)</f>
        <v>-2.9528131571537921</v>
      </c>
      <c r="I722">
        <f t="shared" si="121"/>
        <v>-1.9685421047691947</v>
      </c>
      <c r="J722">
        <f t="shared" si="122"/>
        <v>-3.9370842095383891E-2</v>
      </c>
      <c r="K722">
        <f t="shared" si="123"/>
        <v>0.49048493109626651</v>
      </c>
      <c r="L722">
        <f>-$B$5*$B$12-IF($B$3,Tabelle2[[#This Row],[Fd]]*Tabelle2[[#This Row],[vy]]/Tabelle2[[#This Row],[v]],0)</f>
        <v>-7.0840724869336098</v>
      </c>
      <c r="M722">
        <f t="shared" si="124"/>
        <v>-4.7227149912890729</v>
      </c>
      <c r="N722">
        <f t="shared" si="125"/>
        <v>-9.4454299825781463E-2</v>
      </c>
      <c r="O722">
        <f t="shared" si="126"/>
        <v>-1.2695176346594921</v>
      </c>
      <c r="P722" s="1">
        <f t="shared" si="128"/>
        <v>24.543931975861017</v>
      </c>
      <c r="Q722" s="1">
        <f t="shared" si="129"/>
        <v>-63.428654583061707</v>
      </c>
      <c r="R722">
        <f>SQRT(Tabelle2[[#This Row],[vx]]*Tabelle2[[#This Row],[vx]]+Tabelle2[[#This Row],[vy]]*Tabelle2[[#This Row],[vy]])</f>
        <v>68.01175500641817</v>
      </c>
      <c r="S722">
        <f t="shared" si="130"/>
        <v>570.4448720250125</v>
      </c>
      <c r="T722" s="1">
        <f t="shared" si="131"/>
        <v>-99.565922423646626</v>
      </c>
    </row>
    <row r="723" spans="6:20" x14ac:dyDescent="0.35">
      <c r="F723" s="1">
        <f t="shared" si="127"/>
        <v>14.399999999999782</v>
      </c>
      <c r="G723">
        <f>1/2*$B$8*$B$6*$B$7*(Tabelle2[[#This Row],[vx]]*Tabelle2[[#This Row],[vx]]+Tabelle2[[#This Row],[vy]]*Tabelle2[[#This Row],[vy]])/1000000</f>
        <v>8.200103184470894</v>
      </c>
      <c r="H723">
        <f>IF($B$3,-Tabelle2[[#This Row],[Fd]]*Tabelle2[[#This Row],[vx]]/Tabelle2[[#This Row],[v]],0)</f>
        <v>-2.9512806542485199</v>
      </c>
      <c r="I723">
        <f t="shared" si="121"/>
        <v>-1.96752043616568</v>
      </c>
      <c r="J723">
        <f t="shared" si="122"/>
        <v>-3.93504087233136E-2</v>
      </c>
      <c r="K723">
        <f t="shared" si="123"/>
        <v>0.48969771858807953</v>
      </c>
      <c r="L723">
        <f>-$B$5*$B$12-IF($B$3,Tabelle2[[#This Row],[Fd]]*Tabelle2[[#This Row],[vy]]/Tabelle2[[#This Row],[v]],0)</f>
        <v>-7.0644029817387377</v>
      </c>
      <c r="M723">
        <f t="shared" si="124"/>
        <v>-4.7096019878258248</v>
      </c>
      <c r="N723">
        <f t="shared" si="125"/>
        <v>-9.4192039756516494E-2</v>
      </c>
      <c r="O723">
        <f t="shared" si="126"/>
        <v>-1.2714040980553152</v>
      </c>
      <c r="P723" s="1">
        <f t="shared" si="128"/>
        <v>24.504561133765634</v>
      </c>
      <c r="Q723" s="1">
        <f t="shared" si="129"/>
        <v>-63.523108882887492</v>
      </c>
      <c r="R723">
        <f>SQRT(Tabelle2[[#This Row],[vx]]*Tabelle2[[#This Row],[vx]]+Tabelle2[[#This Row],[vy]]*Tabelle2[[#This Row],[vy]])</f>
        <v>68.085673078156745</v>
      </c>
      <c r="S723">
        <f t="shared" si="130"/>
        <v>570.93535695610876</v>
      </c>
      <c r="T723" s="1">
        <f t="shared" si="131"/>
        <v>-100.83544005830612</v>
      </c>
    </row>
    <row r="724" spans="6:20" x14ac:dyDescent="0.35">
      <c r="F724" s="1">
        <f t="shared" si="127"/>
        <v>14.419999999999781</v>
      </c>
      <c r="G724">
        <f>1/2*$B$8*$B$6*$B$7*(Tabelle2[[#This Row],[vx]]*Tabelle2[[#This Row],[vx]]+Tabelle2[[#This Row],[vy]]*Tabelle2[[#This Row],[vy]])/1000000</f>
        <v>8.2178783999905587</v>
      </c>
      <c r="H724">
        <f>IF($B$3,-Tabelle2[[#This Row],[Fd]]*Tabelle2[[#This Row],[vx]]/Tabelle2[[#This Row],[v]],0)</f>
        <v>-2.9497332226588227</v>
      </c>
      <c r="I724">
        <f t="shared" si="121"/>
        <v>-1.9664888151058817</v>
      </c>
      <c r="J724">
        <f t="shared" si="122"/>
        <v>-3.9329776302117633E-2</v>
      </c>
      <c r="K724">
        <f t="shared" si="123"/>
        <v>0.48891091673782527</v>
      </c>
      <c r="L724">
        <f>-$B$5*$B$12-IF($B$3,Tabelle2[[#This Row],[Fd]]*Tabelle2[[#This Row],[vy]]/Tabelle2[[#This Row],[v]],0)</f>
        <v>-7.0447588491512096</v>
      </c>
      <c r="M724">
        <f t="shared" si="124"/>
        <v>-4.6965058994341398</v>
      </c>
      <c r="N724">
        <f t="shared" si="125"/>
        <v>-9.3930117988682796E-2</v>
      </c>
      <c r="O724">
        <f t="shared" si="126"/>
        <v>-1.2732853196327669</v>
      </c>
      <c r="P724" s="1">
        <f t="shared" si="128"/>
        <v>24.465210725042322</v>
      </c>
      <c r="Q724" s="1">
        <f t="shared" si="129"/>
        <v>-63.617300922644006</v>
      </c>
      <c r="R724">
        <f>SQRT(Tabelle2[[#This Row],[vx]]*Tabelle2[[#This Row],[vx]]+Tabelle2[[#This Row],[vy]]*Tabelle2[[#This Row],[vy]])</f>
        <v>68.159427172644044</v>
      </c>
      <c r="S724">
        <f t="shared" si="130"/>
        <v>571.42505467469687</v>
      </c>
      <c r="T724" s="1">
        <f t="shared" si="131"/>
        <v>-102.10684415636143</v>
      </c>
    </row>
    <row r="725" spans="6:20" x14ac:dyDescent="0.35">
      <c r="F725" s="1">
        <f t="shared" si="127"/>
        <v>14.439999999999781</v>
      </c>
      <c r="G725">
        <f>1/2*$B$8*$B$6*$B$7*(Tabelle2[[#This Row],[vx]]*Tabelle2[[#This Row],[vx]]+Tabelle2[[#This Row],[vy]]*Tabelle2[[#This Row],[vy]])/1000000</f>
        <v>8.2356332275464119</v>
      </c>
      <c r="H725">
        <f>IF($B$3,-Tabelle2[[#This Row],[Fd]]*Tabelle2[[#This Row],[vx]]/Tabelle2[[#This Row],[v]],0)</f>
        <v>-2.948170919896171</v>
      </c>
      <c r="I725">
        <f t="shared" si="121"/>
        <v>-1.9654472799307807</v>
      </c>
      <c r="J725">
        <f t="shared" si="122"/>
        <v>-3.9308945598615613E-2</v>
      </c>
      <c r="K725">
        <f t="shared" si="123"/>
        <v>0.48812452951881796</v>
      </c>
      <c r="L725">
        <f>-$B$5*$B$12-IF($B$3,Tabelle2[[#This Row],[Fd]]*Tabelle2[[#This Row],[vy]]/Tabelle2[[#This Row],[v]],0)</f>
        <v>-7.0251402557819622</v>
      </c>
      <c r="M725">
        <f t="shared" si="124"/>
        <v>-4.6834268371879748</v>
      </c>
      <c r="N725">
        <f t="shared" si="125"/>
        <v>-9.3668536743759495E-2</v>
      </c>
      <c r="O725">
        <f t="shared" si="126"/>
        <v>-1.2751613061800915</v>
      </c>
      <c r="P725" s="1">
        <f t="shared" si="128"/>
        <v>24.425880948740204</v>
      </c>
      <c r="Q725" s="1">
        <f t="shared" si="129"/>
        <v>-63.71123104063269</v>
      </c>
      <c r="R725">
        <f>SQRT(Tabelle2[[#This Row],[vx]]*Tabelle2[[#This Row],[vx]]+Tabelle2[[#This Row],[vy]]*Tabelle2[[#This Row],[vy]])</f>
        <v>68.233017087293661</v>
      </c>
      <c r="S725">
        <f t="shared" si="130"/>
        <v>571.9139655914347</v>
      </c>
      <c r="T725" s="1">
        <f t="shared" si="131"/>
        <v>-103.3801294759942</v>
      </c>
    </row>
    <row r="726" spans="6:20" x14ac:dyDescent="0.35">
      <c r="F726" s="1">
        <f t="shared" si="127"/>
        <v>14.459999999999781</v>
      </c>
      <c r="G726">
        <f>1/2*$B$8*$B$6*$B$7*(Tabelle2[[#This Row],[vx]]*Tabelle2[[#This Row],[vx]]+Tabelle2[[#This Row],[vy]]*Tabelle2[[#This Row],[vy]])/1000000</f>
        <v>8.2533674913823134</v>
      </c>
      <c r="H726">
        <f>IF($B$3,-Tabelle2[[#This Row],[Fd]]*Tabelle2[[#This Row],[vx]]/Tabelle2[[#This Row],[v]],0)</f>
        <v>-2.9465938037593022</v>
      </c>
      <c r="I726">
        <f t="shared" si="121"/>
        <v>-1.9643958691728682</v>
      </c>
      <c r="J726">
        <f t="shared" si="122"/>
        <v>-3.9287917383457369E-2</v>
      </c>
      <c r="K726">
        <f t="shared" si="123"/>
        <v>0.48733856088899724</v>
      </c>
      <c r="L726">
        <f>-$B$5*$B$12-IF($B$3,Tabelle2[[#This Row],[Fd]]*Tabelle2[[#This Row],[vy]]/Tabelle2[[#This Row],[v]],0)</f>
        <v>-7.0055473668065344</v>
      </c>
      <c r="M726">
        <f t="shared" si="124"/>
        <v>-4.6703649112043566</v>
      </c>
      <c r="N726">
        <f t="shared" si="125"/>
        <v>-9.3407298224087137E-2</v>
      </c>
      <c r="O726">
        <f t="shared" si="126"/>
        <v>-1.2770320645297699</v>
      </c>
      <c r="P726" s="1">
        <f t="shared" si="128"/>
        <v>24.386572003141588</v>
      </c>
      <c r="Q726" s="1">
        <f t="shared" si="129"/>
        <v>-63.804899577376446</v>
      </c>
      <c r="R726">
        <f>SQRT(Tabelle2[[#This Row],[vx]]*Tabelle2[[#This Row],[vx]]+Tabelle2[[#This Row],[vy]]*Tabelle2[[#This Row],[vy]])</f>
        <v>68.306442625447147</v>
      </c>
      <c r="S726">
        <f t="shared" si="130"/>
        <v>572.40209012095352</v>
      </c>
      <c r="T726" s="1">
        <f t="shared" si="131"/>
        <v>-104.65529078217429</v>
      </c>
    </row>
    <row r="727" spans="6:20" x14ac:dyDescent="0.35">
      <c r="F727" s="1">
        <f t="shared" si="127"/>
        <v>14.47999999999978</v>
      </c>
      <c r="G727">
        <f>1/2*$B$8*$B$6*$B$7*(Tabelle2[[#This Row],[vx]]*Tabelle2[[#This Row],[vx]]+Tabelle2[[#This Row],[vy]]*Tabelle2[[#This Row],[vy]])/1000000</f>
        <v>8.2710810172461287</v>
      </c>
      <c r="H727">
        <f>IF($B$3,-Tabelle2[[#This Row],[Fd]]*Tabelle2[[#This Row],[vx]]/Tabelle2[[#This Row],[v]],0)</f>
        <v>-2.9450019323283634</v>
      </c>
      <c r="I727">
        <f t="shared" si="121"/>
        <v>-1.9633346215522423</v>
      </c>
      <c r="J727">
        <f t="shared" si="122"/>
        <v>-3.9266692431044845E-2</v>
      </c>
      <c r="K727">
        <f t="shared" si="123"/>
        <v>0.48655301479085217</v>
      </c>
      <c r="L727">
        <f>-$B$5*$B$12-IF($B$3,Tabelle2[[#This Row],[Fd]]*Tabelle2[[#This Row],[vy]]/Tabelle2[[#This Row],[v]],0)</f>
        <v>-6.9859803459668015</v>
      </c>
      <c r="M727">
        <f t="shared" si="124"/>
        <v>-4.657320230644534</v>
      </c>
      <c r="N727">
        <f t="shared" si="125"/>
        <v>-9.3146404612890685E-2</v>
      </c>
      <c r="O727">
        <f t="shared" si="126"/>
        <v>-1.2788976015581397</v>
      </c>
      <c r="P727" s="1">
        <f t="shared" si="128"/>
        <v>24.34728408575813</v>
      </c>
      <c r="Q727" s="1">
        <f t="shared" si="129"/>
        <v>-63.898306875600532</v>
      </c>
      <c r="R727">
        <f>SQRT(Tabelle2[[#This Row],[vx]]*Tabelle2[[#This Row],[vx]]+Tabelle2[[#This Row],[vy]]*Tabelle2[[#This Row],[vy]])</f>
        <v>68.379703596323296</v>
      </c>
      <c r="S727">
        <f t="shared" si="130"/>
        <v>572.88942868184256</v>
      </c>
      <c r="T727" s="1">
        <f t="shared" si="131"/>
        <v>-105.93232284670405</v>
      </c>
    </row>
    <row r="728" spans="6:20" x14ac:dyDescent="0.35">
      <c r="F728" s="1">
        <f t="shared" si="127"/>
        <v>14.49999999999978</v>
      </c>
      <c r="G728">
        <f>1/2*$B$8*$B$6*$B$7*(Tabelle2[[#This Row],[vx]]*Tabelle2[[#This Row],[vx]]+Tabelle2[[#This Row],[vy]]*Tabelle2[[#This Row],[vy]])/1000000</f>
        <v>8.2887736323862171</v>
      </c>
      <c r="H728">
        <f>IF($B$3,-Tabelle2[[#This Row],[Fd]]*Tabelle2[[#This Row],[vx]]/Tabelle2[[#This Row],[v]],0)</f>
        <v>-2.9433953639590866</v>
      </c>
      <c r="I728">
        <f t="shared" si="121"/>
        <v>-1.9622635759727245</v>
      </c>
      <c r="J728">
        <f t="shared" si="122"/>
        <v>-3.9245271519454492E-2</v>
      </c>
      <c r="K728">
        <f t="shared" si="123"/>
        <v>0.48576789515134716</v>
      </c>
      <c r="L728">
        <f>-$B$5*$B$12-IF($B$3,Tabelle2[[#This Row],[Fd]]*Tabelle2[[#This Row],[vy]]/Tabelle2[[#This Row],[v]],0)</f>
        <v>-6.9664393555728585</v>
      </c>
      <c r="M728">
        <f t="shared" si="124"/>
        <v>-4.6442929037152387</v>
      </c>
      <c r="N728">
        <f t="shared" si="125"/>
        <v>-9.2885858074304772E-2</v>
      </c>
      <c r="O728">
        <f t="shared" si="126"/>
        <v>-1.2807579241850116</v>
      </c>
      <c r="P728" s="1">
        <f t="shared" si="128"/>
        <v>24.308017393327084</v>
      </c>
      <c r="Q728" s="1">
        <f t="shared" si="129"/>
        <v>-63.99145328021342</v>
      </c>
      <c r="R728">
        <f>SQRT(Tabelle2[[#This Row],[vx]]*Tabelle2[[#This Row],[vx]]+Tabelle2[[#This Row],[vy]]*Tabelle2[[#This Row],[vy]])</f>
        <v>68.452799814967605</v>
      </c>
      <c r="S728">
        <f t="shared" si="130"/>
        <v>573.3759816966334</v>
      </c>
      <c r="T728" s="1">
        <f t="shared" si="131"/>
        <v>-107.2112204482622</v>
      </c>
    </row>
    <row r="729" spans="6:20" x14ac:dyDescent="0.35">
      <c r="F729" s="1">
        <f t="shared" si="127"/>
        <v>14.519999999999779</v>
      </c>
      <c r="G729">
        <f>1/2*$B$8*$B$6*$B$7*(Tabelle2[[#This Row],[vx]]*Tabelle2[[#This Row],[vx]]+Tabelle2[[#This Row],[vy]]*Tabelle2[[#This Row],[vy]])/1000000</f>
        <v>8.3064451655479168</v>
      </c>
      <c r="H729">
        <f>IF($B$3,-Tabelle2[[#This Row],[Fd]]*Tabelle2[[#This Row],[vx]]/Tabelle2[[#This Row],[v]],0)</f>
        <v>-2.9417741572770328</v>
      </c>
      <c r="I729">
        <f t="shared" si="121"/>
        <v>-1.9611827715180219</v>
      </c>
      <c r="J729">
        <f t="shared" si="122"/>
        <v>-3.9223655430360438E-2</v>
      </c>
      <c r="K729">
        <f t="shared" si="123"/>
        <v>0.48498320588184896</v>
      </c>
      <c r="L729">
        <f>-$B$5*$B$12-IF($B$3,Tabelle2[[#This Row],[Fd]]*Tabelle2[[#This Row],[vy]]/Tabelle2[[#This Row],[v]],0)</f>
        <v>-6.9469245565049151</v>
      </c>
      <c r="M729">
        <f t="shared" si="124"/>
        <v>-4.6312830376699434</v>
      </c>
      <c r="N729">
        <f t="shared" si="125"/>
        <v>-9.262566075339887E-2</v>
      </c>
      <c r="O729">
        <f t="shared" si="126"/>
        <v>-1.2826130393732889</v>
      </c>
      <c r="P729" s="1">
        <f t="shared" si="128"/>
        <v>24.268772121807629</v>
      </c>
      <c r="Q729" s="1">
        <f t="shared" si="129"/>
        <v>-64.084339138287731</v>
      </c>
      <c r="R729">
        <f>SQRT(Tabelle2[[#This Row],[vx]]*Tabelle2[[#This Row],[vx]]+Tabelle2[[#This Row],[vy]]*Tabelle2[[#This Row],[vy]])</f>
        <v>68.525731102202073</v>
      </c>
      <c r="S729">
        <f t="shared" si="130"/>
        <v>573.8617495917847</v>
      </c>
      <c r="T729" s="1">
        <f t="shared" si="131"/>
        <v>-108.49197837244721</v>
      </c>
    </row>
    <row r="730" spans="6:20" x14ac:dyDescent="0.35">
      <c r="F730" s="1">
        <f t="shared" si="127"/>
        <v>14.539999999999779</v>
      </c>
      <c r="G730">
        <f>1/2*$B$8*$B$6*$B$7*(Tabelle2[[#This Row],[vx]]*Tabelle2[[#This Row],[vx]]+Tabelle2[[#This Row],[vy]]*Tabelle2[[#This Row],[vy]])/1000000</f>
        <v>8.3240954469699417</v>
      </c>
      <c r="H730">
        <f>IF($B$3,-Tabelle2[[#This Row],[Fd]]*Tabelle2[[#This Row],[vx]]/Tabelle2[[#This Row],[v]],0)</f>
        <v>-2.9401383711718596</v>
      </c>
      <c r="I730">
        <f t="shared" si="121"/>
        <v>-1.9600922474479063</v>
      </c>
      <c r="J730">
        <f t="shared" si="122"/>
        <v>-3.9201844948958127E-2</v>
      </c>
      <c r="K730">
        <f t="shared" si="123"/>
        <v>0.48419895087805581</v>
      </c>
      <c r="L730">
        <f>-$B$5*$B$12-IF($B$3,Tabelle2[[#This Row],[Fd]]*Tabelle2[[#This Row],[vy]]/Tabelle2[[#This Row],[v]],0)</f>
        <v>-6.9274361082153169</v>
      </c>
      <c r="M730">
        <f t="shared" si="124"/>
        <v>-4.6182907388102112</v>
      </c>
      <c r="N730">
        <f t="shared" si="125"/>
        <v>-9.236581477620423E-2</v>
      </c>
      <c r="O730">
        <f t="shared" si="126"/>
        <v>-1.2844629541285846</v>
      </c>
      <c r="P730" s="1">
        <f t="shared" si="128"/>
        <v>24.229548466377267</v>
      </c>
      <c r="Q730" s="1">
        <f t="shared" si="129"/>
        <v>-64.17696479904113</v>
      </c>
      <c r="R730">
        <f>SQRT(Tabelle2[[#This Row],[vx]]*Tabelle2[[#This Row],[vx]]+Tabelle2[[#This Row],[vy]]*Tabelle2[[#This Row],[vy]])</f>
        <v>68.59849728457533</v>
      </c>
      <c r="S730">
        <f t="shared" si="130"/>
        <v>574.3467327976665</v>
      </c>
      <c r="T730" s="1">
        <f t="shared" si="131"/>
        <v>-109.7745914118205</v>
      </c>
    </row>
    <row r="731" spans="6:20" x14ac:dyDescent="0.35">
      <c r="F731" s="1">
        <f t="shared" si="127"/>
        <v>14.559999999999778</v>
      </c>
      <c r="G731">
        <f>1/2*$B$8*$B$6*$B$7*(Tabelle2[[#This Row],[vx]]*Tabelle2[[#This Row],[vx]]+Tabelle2[[#This Row],[vy]]*Tabelle2[[#This Row],[vy]])/1000000</f>
        <v>8.341724308380762</v>
      </c>
      <c r="H731">
        <f>IF($B$3,-Tabelle2[[#This Row],[Fd]]*Tabelle2[[#This Row],[vx]]/Tabelle2[[#This Row],[v]],0)</f>
        <v>-2.9384880647916525</v>
      </c>
      <c r="I731">
        <f t="shared" si="121"/>
        <v>-1.958992043194435</v>
      </c>
      <c r="J731">
        <f t="shared" si="122"/>
        <v>-3.9179840863888697E-2</v>
      </c>
      <c r="K731">
        <f t="shared" si="123"/>
        <v>0.48341513401992731</v>
      </c>
      <c r="L731">
        <f>-$B$5*$B$12-IF($B$3,Tabelle2[[#This Row],[Fd]]*Tabelle2[[#This Row],[vy]]/Tabelle2[[#This Row],[v]],0)</f>
        <v>-6.9079741687306102</v>
      </c>
      <c r="M731">
        <f t="shared" si="124"/>
        <v>-4.6053161124870732</v>
      </c>
      <c r="N731">
        <f t="shared" si="125"/>
        <v>-9.2106322249741468E-2</v>
      </c>
      <c r="O731">
        <f t="shared" si="126"/>
        <v>-1.2863076754988441</v>
      </c>
      <c r="P731" s="1">
        <f t="shared" si="128"/>
        <v>24.190346621428308</v>
      </c>
      <c r="Q731" s="1">
        <f t="shared" si="129"/>
        <v>-64.269330613817331</v>
      </c>
      <c r="R731">
        <f>SQRT(Tabelle2[[#This Row],[vx]]*Tabelle2[[#This Row],[vx]]+Tabelle2[[#This Row],[vy]]*Tabelle2[[#This Row],[vy]])</f>
        <v>68.671098194313203</v>
      </c>
      <c r="S731">
        <f t="shared" si="130"/>
        <v>574.83093174854457</v>
      </c>
      <c r="T731" s="1">
        <f t="shared" si="131"/>
        <v>-111.05905436594908</v>
      </c>
    </row>
    <row r="732" spans="6:20" x14ac:dyDescent="0.35">
      <c r="F732" s="1">
        <f t="shared" si="127"/>
        <v>14.579999999999778</v>
      </c>
      <c r="G732">
        <f>1/2*$B$8*$B$6*$B$7*(Tabelle2[[#This Row],[vx]]*Tabelle2[[#This Row],[vx]]+Tabelle2[[#This Row],[vy]]*Tabelle2[[#This Row],[vy]])/1000000</f>
        <v>8.3593315829949262</v>
      </c>
      <c r="H732">
        <f>IF($B$3,-Tabelle2[[#This Row],[Fd]]*Tabelle2[[#This Row],[vx]]/Tabelle2[[#This Row],[v]],0)</f>
        <v>-2.9368232975372979</v>
      </c>
      <c r="I732">
        <f t="shared" si="121"/>
        <v>-1.9578821983581987</v>
      </c>
      <c r="J732">
        <f t="shared" si="122"/>
        <v>-3.9157643967163973E-2</v>
      </c>
      <c r="K732">
        <f t="shared" si="123"/>
        <v>0.48263175917161677</v>
      </c>
      <c r="L732">
        <f>-$B$5*$B$12-IF($B$3,Tabelle2[[#This Row],[Fd]]*Tabelle2[[#This Row],[vy]]/Tabelle2[[#This Row],[v]],0)</f>
        <v>-6.8885388946536867</v>
      </c>
      <c r="M732">
        <f t="shared" si="124"/>
        <v>-4.5923592631024581</v>
      </c>
      <c r="N732">
        <f t="shared" si="125"/>
        <v>-9.1847185262049158E-2</v>
      </c>
      <c r="O732">
        <f t="shared" si="126"/>
        <v>-1.2881472105739622</v>
      </c>
      <c r="P732" s="1">
        <f t="shared" si="128"/>
        <v>24.15116678056442</v>
      </c>
      <c r="Q732" s="1">
        <f t="shared" si="129"/>
        <v>-64.361436936067079</v>
      </c>
      <c r="R732">
        <f>SQRT(Tabelle2[[#This Row],[vx]]*Tabelle2[[#This Row],[vx]]+Tabelle2[[#This Row],[vy]]*Tabelle2[[#This Row],[vy]])</f>
        <v>68.743533669269411</v>
      </c>
      <c r="S732">
        <f t="shared" si="130"/>
        <v>575.31434688256445</v>
      </c>
      <c r="T732" s="1">
        <f t="shared" si="131"/>
        <v>-112.34536204144793</v>
      </c>
    </row>
    <row r="733" spans="6:20" x14ac:dyDescent="0.35">
      <c r="F733" s="1">
        <f t="shared" si="127"/>
        <v>14.599999999999778</v>
      </c>
      <c r="G733">
        <f>1/2*$B$8*$B$6*$B$7*(Tabelle2[[#This Row],[vx]]*Tabelle2[[#This Row],[vx]]+Tabelle2[[#This Row],[vy]]*Tabelle2[[#This Row],[vy]])/1000000</f>
        <v>8.3769171055093281</v>
      </c>
      <c r="H733">
        <f>IF($B$3,-Tabelle2[[#This Row],[Fd]]*Tabelle2[[#This Row],[vx]]/Tabelle2[[#This Row],[v]],0)</f>
        <v>-2.9351441290568929</v>
      </c>
      <c r="I733">
        <f t="shared" si="121"/>
        <v>-1.9567627527045952</v>
      </c>
      <c r="J733">
        <f t="shared" si="122"/>
        <v>-3.9135255054091905E-2</v>
      </c>
      <c r="K733">
        <f t="shared" si="123"/>
        <v>0.48184883018140418</v>
      </c>
      <c r="L733">
        <f>-$B$5*$B$12-IF($B$3,Tabelle2[[#This Row],[Fd]]*Tabelle2[[#This Row],[vy]]/Tabelle2[[#This Row],[v]],0)</f>
        <v>-6.8691304411660248</v>
      </c>
      <c r="M733">
        <f t="shared" si="124"/>
        <v>-4.5794202941106832</v>
      </c>
      <c r="N733">
        <f t="shared" si="125"/>
        <v>-9.1588405882213661E-2</v>
      </c>
      <c r="O733">
        <f t="shared" si="126"/>
        <v>-1.2899815664854049</v>
      </c>
      <c r="P733" s="1">
        <f t="shared" si="128"/>
        <v>24.112009136597255</v>
      </c>
      <c r="Q733" s="1">
        <f t="shared" si="129"/>
        <v>-64.453284121329133</v>
      </c>
      <c r="R733">
        <f>SQRT(Tabelle2[[#This Row],[vx]]*Tabelle2[[#This Row],[vx]]+Tabelle2[[#This Row],[vy]]*Tabelle2[[#This Row],[vy]])</f>
        <v>68.815803552876773</v>
      </c>
      <c r="S733">
        <f t="shared" si="130"/>
        <v>575.79697864173602</v>
      </c>
      <c r="T733" s="1">
        <f t="shared" si="131"/>
        <v>-113.6335092520219</v>
      </c>
    </row>
    <row r="734" spans="6:20" x14ac:dyDescent="0.35">
      <c r="F734" s="1">
        <f t="shared" si="127"/>
        <v>14.619999999999777</v>
      </c>
      <c r="G734">
        <f>1/2*$B$8*$B$6*$B$7*(Tabelle2[[#This Row],[vx]]*Tabelle2[[#This Row],[vx]]+Tabelle2[[#This Row],[vy]]*Tabelle2[[#This Row],[vy]])/1000000</f>
        <v>8.3944807120994493</v>
      </c>
      <c r="H734">
        <f>IF($B$3,-Tabelle2[[#This Row],[Fd]]*Tabelle2[[#This Row],[vx]]/Tabelle2[[#This Row],[v]],0)</f>
        <v>-2.933450619240221</v>
      </c>
      <c r="I734">
        <f t="shared" si="121"/>
        <v>-1.9556337461601474</v>
      </c>
      <c r="J734">
        <f t="shared" si="122"/>
        <v>-3.9112674923202952E-2</v>
      </c>
      <c r="K734">
        <f t="shared" si="123"/>
        <v>0.48106635088163124</v>
      </c>
      <c r="L734">
        <f>-$B$5*$B$12-IF($B$3,Tabelle2[[#This Row],[Fd]]*Tabelle2[[#This Row],[vy]]/Tabelle2[[#This Row],[v]],0)</f>
        <v>-6.8497489620299579</v>
      </c>
      <c r="M734">
        <f t="shared" si="124"/>
        <v>-4.5664993080199716</v>
      </c>
      <c r="N734">
        <f t="shared" si="125"/>
        <v>-9.1329986160399432E-2</v>
      </c>
      <c r="O734">
        <f t="shared" si="126"/>
        <v>-1.2918107504058309</v>
      </c>
      <c r="P734" s="1">
        <f t="shared" si="128"/>
        <v>24.072873881543163</v>
      </c>
      <c r="Q734" s="1">
        <f t="shared" si="129"/>
        <v>-64.544872527211353</v>
      </c>
      <c r="R734">
        <f>SQRT(Tabelle2[[#This Row],[vx]]*Tabelle2[[#This Row],[vx]]+Tabelle2[[#This Row],[vy]]*Tabelle2[[#This Row],[vy]])</f>
        <v>68.887907694098587</v>
      </c>
      <c r="S734">
        <f t="shared" si="130"/>
        <v>576.27882747191745</v>
      </c>
      <c r="T734" s="1">
        <f t="shared" si="131"/>
        <v>-114.9234908185073</v>
      </c>
    </row>
    <row r="735" spans="6:20" x14ac:dyDescent="0.35">
      <c r="F735" s="1">
        <f t="shared" si="127"/>
        <v>14.639999999999777</v>
      </c>
      <c r="G735">
        <f>1/2*$B$8*$B$6*$B$7*(Tabelle2[[#This Row],[vx]]*Tabelle2[[#This Row],[vx]]+Tabelle2[[#This Row],[vy]]*Tabelle2[[#This Row],[vy]])/1000000</f>
        <v>8.4120222404155367</v>
      </c>
      <c r="H735">
        <f>IF($B$3,-Tabelle2[[#This Row],[Fd]]*Tabelle2[[#This Row],[vx]]/Tabelle2[[#This Row],[v]],0)</f>
        <v>-2.9317428282132534</v>
      </c>
      <c r="I735">
        <f t="shared" si="121"/>
        <v>-1.9544952188088356</v>
      </c>
      <c r="J735">
        <f t="shared" si="122"/>
        <v>-3.908990437617671E-2</v>
      </c>
      <c r="K735">
        <f t="shared" si="123"/>
        <v>0.48028432508863744</v>
      </c>
      <c r="L735">
        <f>-$B$5*$B$12-IF($B$3,Tabelle2[[#This Row],[Fd]]*Tabelle2[[#This Row],[vy]]/Tabelle2[[#This Row],[v]],0)</f>
        <v>-6.8303946095910559</v>
      </c>
      <c r="M735">
        <f t="shared" si="124"/>
        <v>-4.5535964063940373</v>
      </c>
      <c r="N735">
        <f t="shared" si="125"/>
        <v>-9.1071928127880744E-2</v>
      </c>
      <c r="O735">
        <f t="shared" si="126"/>
        <v>-1.293634769548714</v>
      </c>
      <c r="P735" s="1">
        <f t="shared" si="128"/>
        <v>24.03376120661996</v>
      </c>
      <c r="Q735" s="1">
        <f t="shared" si="129"/>
        <v>-64.636202513371757</v>
      </c>
      <c r="R735">
        <f>SQRT(Tabelle2[[#This Row],[vx]]*Tabelle2[[#This Row],[vx]]+Tabelle2[[#This Row],[vy]]*Tabelle2[[#This Row],[vy]])</f>
        <v>68.959845947380387</v>
      </c>
      <c r="S735">
        <f t="shared" si="130"/>
        <v>576.75989382279909</v>
      </c>
      <c r="T735" s="1">
        <f t="shared" si="131"/>
        <v>-116.21530156891313</v>
      </c>
    </row>
    <row r="736" spans="6:20" x14ac:dyDescent="0.35">
      <c r="F736" s="1">
        <f t="shared" si="127"/>
        <v>14.659999999999776</v>
      </c>
      <c r="G736">
        <f>1/2*$B$8*$B$6*$B$7*(Tabelle2[[#This Row],[vx]]*Tabelle2[[#This Row],[vx]]+Tabelle2[[#This Row],[vy]]*Tabelle2[[#This Row],[vy]])/1000000</f>
        <v>8.4295415295787528</v>
      </c>
      <c r="H736">
        <f>IF($B$3,-Tabelle2[[#This Row],[Fd]]*Tabelle2[[#This Row],[vx]]/Tabelle2[[#This Row],[v]],0)</f>
        <v>-2.9300208163327079</v>
      </c>
      <c r="I736">
        <f t="shared" si="121"/>
        <v>-1.953347210888472</v>
      </c>
      <c r="J736">
        <f t="shared" si="122"/>
        <v>-3.9066944217769441E-2</v>
      </c>
      <c r="K736">
        <f t="shared" si="123"/>
        <v>0.47950275660269798</v>
      </c>
      <c r="L736">
        <f>-$B$5*$B$12-IF($B$3,Tabelle2[[#This Row],[Fd]]*Tabelle2[[#This Row],[vy]]/Tabelle2[[#This Row],[v]],0)</f>
        <v>-6.8110675347805545</v>
      </c>
      <c r="M736">
        <f t="shared" si="124"/>
        <v>-4.540711689853703</v>
      </c>
      <c r="N736">
        <f t="shared" si="125"/>
        <v>-9.0814233797074068E-2</v>
      </c>
      <c r="O736">
        <f t="shared" si="126"/>
        <v>-1.2954536311679632</v>
      </c>
      <c r="P736" s="1">
        <f t="shared" si="128"/>
        <v>23.994671302243784</v>
      </c>
      <c r="Q736" s="1">
        <f t="shared" si="129"/>
        <v>-64.727274441499631</v>
      </c>
      <c r="R736">
        <f>SQRT(Tabelle2[[#This Row],[vx]]*Tabelle2[[#This Row],[vx]]+Tabelle2[[#This Row],[vy]]*Tabelle2[[#This Row],[vy]])</f>
        <v>69.031618172602123</v>
      </c>
      <c r="S736">
        <f t="shared" si="130"/>
        <v>577.24017814788772</v>
      </c>
      <c r="T736" s="1">
        <f t="shared" si="131"/>
        <v>-117.50893633846185</v>
      </c>
    </row>
    <row r="737" spans="6:20" x14ac:dyDescent="0.35">
      <c r="F737" s="1">
        <f t="shared" si="127"/>
        <v>14.679999999999776</v>
      </c>
      <c r="G737">
        <f>1/2*$B$8*$B$6*$B$7*(Tabelle2[[#This Row],[vx]]*Tabelle2[[#This Row],[vx]]+Tabelle2[[#This Row],[vy]]*Tabelle2[[#This Row],[vy]])/1000000</f>
        <v>8.4470384201772788</v>
      </c>
      <c r="H737">
        <f>IF($B$3,-Tabelle2[[#This Row],[Fd]]*Tabelle2[[#This Row],[vx]]/Tabelle2[[#This Row],[v]],0)</f>
        <v>-2.9282846441806525</v>
      </c>
      <c r="I737">
        <f t="shared" si="121"/>
        <v>-1.9521897627871017</v>
      </c>
      <c r="J737">
        <f t="shared" si="122"/>
        <v>-3.9043795255742031E-2</v>
      </c>
      <c r="K737">
        <f t="shared" si="123"/>
        <v>0.4787216492079629</v>
      </c>
      <c r="L737">
        <f>-$B$5*$B$12-IF($B$3,Tabelle2[[#This Row],[Fd]]*Tabelle2[[#This Row],[vy]]/Tabelle2[[#This Row],[v]],0)</f>
        <v>-6.7917678871178548</v>
      </c>
      <c r="M737">
        <f t="shared" si="124"/>
        <v>-4.5278452580785702</v>
      </c>
      <c r="N737">
        <f t="shared" si="125"/>
        <v>-9.0556905161571402E-2</v>
      </c>
      <c r="O737">
        <f t="shared" si="126"/>
        <v>-1.2972673425575498</v>
      </c>
      <c r="P737" s="1">
        <f t="shared" si="128"/>
        <v>23.955604358026015</v>
      </c>
      <c r="Q737" s="1">
        <f t="shared" si="129"/>
        <v>-64.818088675296707</v>
      </c>
      <c r="R737">
        <f>SQRT(Tabelle2[[#This Row],[vx]]*Tabelle2[[#This Row],[vx]]+Tabelle2[[#This Row],[vy]]*Tabelle2[[#This Row],[vy]])</f>
        <v>69.103224235030467</v>
      </c>
      <c r="S737">
        <f t="shared" si="130"/>
        <v>577.71968090449036</v>
      </c>
      <c r="T737" s="1">
        <f t="shared" si="131"/>
        <v>-118.80438996962981</v>
      </c>
    </row>
    <row r="738" spans="6:20" x14ac:dyDescent="0.35">
      <c r="F738" s="1">
        <f t="shared" si="127"/>
        <v>14.699999999999775</v>
      </c>
      <c r="G738">
        <f>1/2*$B$8*$B$6*$B$7*(Tabelle2[[#This Row],[vx]]*Tabelle2[[#This Row],[vx]]+Tabelle2[[#This Row],[vy]]*Tabelle2[[#This Row],[vy]])/1000000</f>
        <v>8.4645127542623566</v>
      </c>
      <c r="H738">
        <f>IF($B$3,-Tabelle2[[#This Row],[Fd]]*Tabelle2[[#This Row],[vx]]/Tabelle2[[#This Row],[v]],0)</f>
        <v>-2.9265343725591468</v>
      </c>
      <c r="I738">
        <f t="shared" si="121"/>
        <v>-1.9510229150394311</v>
      </c>
      <c r="J738">
        <f t="shared" si="122"/>
        <v>-3.9020458300788624E-2</v>
      </c>
      <c r="K738">
        <f t="shared" si="123"/>
        <v>0.47794100667239753</v>
      </c>
      <c r="L738">
        <f>-$B$5*$B$12-IF($B$3,Tabelle2[[#This Row],[Fd]]*Tabelle2[[#This Row],[vy]]/Tabelle2[[#This Row],[v]],0)</f>
        <v>-6.7724958147130989</v>
      </c>
      <c r="M738">
        <f t="shared" si="124"/>
        <v>-4.5149972098087323</v>
      </c>
      <c r="N738">
        <f t="shared" si="125"/>
        <v>-9.0299944196174653E-2</v>
      </c>
      <c r="O738">
        <f t="shared" si="126"/>
        <v>-1.2990759110511274</v>
      </c>
      <c r="P738" s="1">
        <f t="shared" si="128"/>
        <v>23.916560562770272</v>
      </c>
      <c r="Q738" s="1">
        <f t="shared" si="129"/>
        <v>-64.908645580458284</v>
      </c>
      <c r="R738">
        <f>SQRT(Tabelle2[[#This Row],[vx]]*Tabelle2[[#This Row],[vx]]+Tabelle2[[#This Row],[vy]]*Tabelle2[[#This Row],[vy]])</f>
        <v>69.174664005271509</v>
      </c>
      <c r="S738">
        <f t="shared" si="130"/>
        <v>578.19840255369832</v>
      </c>
      <c r="T738" s="1">
        <f t="shared" si="131"/>
        <v>-120.10165731218736</v>
      </c>
    </row>
    <row r="739" spans="6:20" x14ac:dyDescent="0.35">
      <c r="F739" s="1">
        <f t="shared" si="127"/>
        <v>14.719999999999775</v>
      </c>
      <c r="G739">
        <f>1/2*$B$8*$B$6*$B$7*(Tabelle2[[#This Row],[vx]]*Tabelle2[[#This Row],[vx]]+Tabelle2[[#This Row],[vy]]*Tabelle2[[#This Row],[vy]])/1000000</f>
        <v>8.4819643753443135</v>
      </c>
      <c r="H739">
        <f>IF($B$3,-Tabelle2[[#This Row],[Fd]]*Tabelle2[[#This Row],[vx]]/Tabelle2[[#This Row],[v]],0)</f>
        <v>-2.9247700624849404</v>
      </c>
      <c r="I739">
        <f t="shared" si="121"/>
        <v>-1.9498467083232935</v>
      </c>
      <c r="J739">
        <f t="shared" si="122"/>
        <v>-3.8996934166465873E-2</v>
      </c>
      <c r="K739">
        <f t="shared" si="123"/>
        <v>0.47716083274772503</v>
      </c>
      <c r="L739">
        <f>-$B$5*$B$12-IF($B$3,Tabelle2[[#This Row],[Fd]]*Tabelle2[[#This Row],[vy]]/Tabelle2[[#This Row],[v]],0)</f>
        <v>-6.7532514642698054</v>
      </c>
      <c r="M739">
        <f t="shared" si="124"/>
        <v>-4.5021676428465369</v>
      </c>
      <c r="N739">
        <f t="shared" si="125"/>
        <v>-9.0043352856930742E-2</v>
      </c>
      <c r="O739">
        <f t="shared" si="126"/>
        <v>-1.3008793440216584</v>
      </c>
      <c r="P739" s="1">
        <f t="shared" si="128"/>
        <v>23.877540104469482</v>
      </c>
      <c r="Q739" s="1">
        <f t="shared" si="129"/>
        <v>-64.998945524654459</v>
      </c>
      <c r="R739">
        <f>SQRT(Tabelle2[[#This Row],[vx]]*Tabelle2[[#This Row],[vx]]+Tabelle2[[#This Row],[vy]]*Tabelle2[[#This Row],[vy]])</f>
        <v>69.245937359223802</v>
      </c>
      <c r="S739">
        <f t="shared" si="130"/>
        <v>578.6763435603707</v>
      </c>
      <c r="T739" s="1">
        <f t="shared" si="131"/>
        <v>-121.40073322323849</v>
      </c>
    </row>
    <row r="740" spans="6:20" x14ac:dyDescent="0.35">
      <c r="F740" s="1">
        <f t="shared" si="127"/>
        <v>14.739999999999775</v>
      </c>
      <c r="G740">
        <f>1/2*$B$8*$B$6*$B$7*(Tabelle2[[#This Row],[vx]]*Tabelle2[[#This Row],[vx]]+Tabelle2[[#This Row],[vy]]*Tabelle2[[#This Row],[vy]])/1000000</f>
        <v>8.4993931283885313</v>
      </c>
      <c r="H740">
        <f>IF($B$3,-Tabelle2[[#This Row],[Fd]]*Tabelle2[[#This Row],[vx]]/Tabelle2[[#This Row],[v]],0)</f>
        <v>-2.9229917751842036</v>
      </c>
      <c r="I740">
        <f t="shared" si="121"/>
        <v>-1.9486611834561358</v>
      </c>
      <c r="J740">
        <f t="shared" si="122"/>
        <v>-3.8973223669122717E-2</v>
      </c>
      <c r="K740">
        <f t="shared" si="123"/>
        <v>0.47638113116936909</v>
      </c>
      <c r="L740">
        <f>-$B$5*$B$12-IF($B$3,Tabelle2[[#This Row],[Fd]]*Tabelle2[[#This Row],[vy]]/Tabelle2[[#This Row],[v]],0)</f>
        <v>-6.7340349810875821</v>
      </c>
      <c r="M740">
        <f t="shared" si="124"/>
        <v>-4.4893566540583878</v>
      </c>
      <c r="N740">
        <f t="shared" si="125"/>
        <v>-8.9787133081167758E-2</v>
      </c>
      <c r="O740">
        <f t="shared" si="126"/>
        <v>-1.3026776488810392</v>
      </c>
      <c r="P740" s="1">
        <f t="shared" si="128"/>
        <v>23.838543170303016</v>
      </c>
      <c r="Q740" s="1">
        <f t="shared" si="129"/>
        <v>-65.088988877511383</v>
      </c>
      <c r="R740">
        <f>SQRT(Tabelle2[[#This Row],[vx]]*Tabelle2[[#This Row],[vx]]+Tabelle2[[#This Row],[vy]]*Tabelle2[[#This Row],[vy]])</f>
        <v>69.317044178031722</v>
      </c>
      <c r="S740">
        <f t="shared" si="130"/>
        <v>579.1535043931184</v>
      </c>
      <c r="T740" s="1">
        <f t="shared" si="131"/>
        <v>-122.70161256726014</v>
      </c>
    </row>
    <row r="741" spans="6:20" x14ac:dyDescent="0.35">
      <c r="F741" s="1">
        <f t="shared" si="127"/>
        <v>14.759999999999774</v>
      </c>
      <c r="G741">
        <f>1/2*$B$8*$B$6*$B$7*(Tabelle2[[#This Row],[vx]]*Tabelle2[[#This Row],[vx]]+Tabelle2[[#This Row],[vy]]*Tabelle2[[#This Row],[vy]])/1000000</f>
        <v>8.5167988598113915</v>
      </c>
      <c r="H741">
        <f>IF($B$3,-Tabelle2[[#This Row],[Fd]]*Tabelle2[[#This Row],[vx]]/Tabelle2[[#This Row],[v]],0)</f>
        <v>-2.9211995720873145</v>
      </c>
      <c r="I741">
        <f t="shared" si="121"/>
        <v>-1.9474663813915429</v>
      </c>
      <c r="J741">
        <f t="shared" si="122"/>
        <v>-3.8949327627830863E-2</v>
      </c>
      <c r="K741">
        <f t="shared" si="123"/>
        <v>0.47560190565639948</v>
      </c>
      <c r="L741">
        <f>-$B$5*$B$12-IF($B$3,Tabelle2[[#This Row],[Fd]]*Tabelle2[[#This Row],[vy]]/Tabelle2[[#This Row],[v]],0)</f>
        <v>-6.7148465090648717</v>
      </c>
      <c r="M741">
        <f t="shared" si="124"/>
        <v>-4.4765643393765808</v>
      </c>
      <c r="N741">
        <f t="shared" si="125"/>
        <v>-8.9531286787531625E-2</v>
      </c>
      <c r="O741">
        <f t="shared" si="126"/>
        <v>-1.3044708330797263</v>
      </c>
      <c r="P741" s="1">
        <f t="shared" si="128"/>
        <v>23.799569946633891</v>
      </c>
      <c r="Q741" s="1">
        <f t="shared" si="129"/>
        <v>-65.178776010592557</v>
      </c>
      <c r="R741">
        <f>SQRT(Tabelle2[[#This Row],[vx]]*Tabelle2[[#This Row],[vx]]+Tabelle2[[#This Row],[vy]]*Tabelle2[[#This Row],[vy]])</f>
        <v>69.387984348039069</v>
      </c>
      <c r="S741">
        <f t="shared" si="130"/>
        <v>579.62988552428772</v>
      </c>
      <c r="T741" s="1">
        <f t="shared" si="131"/>
        <v>-124.00429021614119</v>
      </c>
    </row>
    <row r="742" spans="6:20" x14ac:dyDescent="0.35">
      <c r="F742" s="1">
        <f t="shared" si="127"/>
        <v>14.779999999999774</v>
      </c>
      <c r="G742">
        <f>1/2*$B$8*$B$6*$B$7*(Tabelle2[[#This Row],[vx]]*Tabelle2[[#This Row],[vx]]+Tabelle2[[#This Row],[vy]]*Tabelle2[[#This Row],[vy]])/1000000</f>
        <v>8.534181417476141</v>
      </c>
      <c r="H742">
        <f>IF($B$3,-Tabelle2[[#This Row],[Fd]]*Tabelle2[[#This Row],[vx]]/Tabelle2[[#This Row],[v]],0)</f>
        <v>-2.9193935148236791</v>
      </c>
      <c r="I742">
        <f t="shared" si="121"/>
        <v>-1.9462623432157862</v>
      </c>
      <c r="J742">
        <f t="shared" si="122"/>
        <v>-3.8925246864315727E-2</v>
      </c>
      <c r="K742">
        <f t="shared" si="123"/>
        <v>0.47482315991147805</v>
      </c>
      <c r="L742">
        <f>-$B$5*$B$12-IF($B$3,Tabelle2[[#This Row],[Fd]]*Tabelle2[[#This Row],[vy]]/Tabelle2[[#This Row],[v]],0)</f>
        <v>-6.6956861907018155</v>
      </c>
      <c r="M742">
        <f t="shared" si="124"/>
        <v>-4.46379079380121</v>
      </c>
      <c r="N742">
        <f t="shared" si="125"/>
        <v>-8.9275815876024206E-2</v>
      </c>
      <c r="O742">
        <f t="shared" si="126"/>
        <v>-1.3062589041063621</v>
      </c>
      <c r="P742" s="1">
        <f t="shared" si="128"/>
        <v>23.760620619006062</v>
      </c>
      <c r="Q742" s="1">
        <f t="shared" si="129"/>
        <v>-65.26830729738009</v>
      </c>
      <c r="R742">
        <f>SQRT(Tabelle2[[#This Row],[vx]]*Tabelle2[[#This Row],[vx]]+Tabelle2[[#This Row],[vy]]*Tabelle2[[#This Row],[vy]])</f>
        <v>69.458757760742984</v>
      </c>
      <c r="S742">
        <f t="shared" si="130"/>
        <v>580.10548742994411</v>
      </c>
      <c r="T742" s="1">
        <f t="shared" si="131"/>
        <v>-125.30876104922092</v>
      </c>
    </row>
    <row r="743" spans="6:20" x14ac:dyDescent="0.35">
      <c r="F743" s="1">
        <f t="shared" si="127"/>
        <v>14.799999999999773</v>
      </c>
      <c r="G743">
        <f>1/2*$B$8*$B$6*$B$7*(Tabelle2[[#This Row],[vx]]*Tabelle2[[#This Row],[vx]]+Tabelle2[[#This Row],[vy]]*Tabelle2[[#This Row],[vy]])/1000000</f>
        <v>8.5515406506887661</v>
      </c>
      <c r="H743">
        <f>IF($B$3,-Tabelle2[[#This Row],[Fd]]*Tabelle2[[#This Row],[vx]]/Tabelle2[[#This Row],[v]],0)</f>
        <v>-2.9175736652166071</v>
      </c>
      <c r="I743">
        <f t="shared" si="121"/>
        <v>-1.9450491101444047</v>
      </c>
      <c r="J743">
        <f t="shared" si="122"/>
        <v>-3.8900982202888096E-2</v>
      </c>
      <c r="K743">
        <f t="shared" si="123"/>
        <v>0.47404489762080604</v>
      </c>
      <c r="L743">
        <f>-$B$5*$B$12-IF($B$3,Tabelle2[[#This Row],[Fd]]*Tabelle2[[#This Row],[vy]]/Tabelle2[[#This Row],[v]],0)</f>
        <v>-6.6765541671031343</v>
      </c>
      <c r="M743">
        <f t="shared" si="124"/>
        <v>-4.4510361114020895</v>
      </c>
      <c r="N743">
        <f t="shared" si="125"/>
        <v>-8.902072222804179E-2</v>
      </c>
      <c r="O743">
        <f t="shared" si="126"/>
        <v>-1.3080418694874028</v>
      </c>
      <c r="P743" s="1">
        <f t="shared" si="128"/>
        <v>23.721695372141745</v>
      </c>
      <c r="Q743" s="1">
        <f t="shared" si="129"/>
        <v>-65.357583113256112</v>
      </c>
      <c r="R743">
        <f>SQRT(Tabelle2[[#This Row],[vx]]*Tabelle2[[#This Row],[vx]]+Tabelle2[[#This Row],[vy]]*Tabelle2[[#This Row],[vy]])</f>
        <v>69.529364312748257</v>
      </c>
      <c r="S743">
        <f t="shared" si="130"/>
        <v>580.58031058985557</v>
      </c>
      <c r="T743" s="1">
        <f t="shared" si="131"/>
        <v>-126.61501995332728</v>
      </c>
    </row>
    <row r="744" spans="6:20" x14ac:dyDescent="0.35">
      <c r="F744" s="1">
        <f t="shared" si="127"/>
        <v>14.819999999999773</v>
      </c>
      <c r="G744">
        <f>1/2*$B$8*$B$6*$B$7*(Tabelle2[[#This Row],[vx]]*Tabelle2[[#This Row],[vx]]+Tabelle2[[#This Row],[vy]]*Tabelle2[[#This Row],[vy]])/1000000</f>
        <v>8.5688764101937966</v>
      </c>
      <c r="H744">
        <f>IF($B$3,-Tabelle2[[#This Row],[Fd]]*Tabelle2[[#This Row],[vx]]/Tabelle2[[#This Row],[v]],0)</f>
        <v>-2.9157400852782249</v>
      </c>
      <c r="I744">
        <f t="shared" si="121"/>
        <v>-1.9438267235188167</v>
      </c>
      <c r="J744">
        <f t="shared" si="122"/>
        <v>-3.8876534470376332E-2</v>
      </c>
      <c r="K744">
        <f t="shared" si="123"/>
        <v>0.47326712245407337</v>
      </c>
      <c r="L744">
        <f>-$B$5*$B$12-IF($B$3,Tabelle2[[#This Row],[Fd]]*Tabelle2[[#This Row],[vy]]/Tabelle2[[#This Row],[v]],0)</f>
        <v>-6.6574505779810789</v>
      </c>
      <c r="M744">
        <f t="shared" si="124"/>
        <v>-4.4383003853207192</v>
      </c>
      <c r="N744">
        <f t="shared" si="125"/>
        <v>-8.8766007706414393E-2</v>
      </c>
      <c r="O744">
        <f t="shared" si="126"/>
        <v>-1.3098197367867475</v>
      </c>
      <c r="P744" s="1">
        <f t="shared" si="128"/>
        <v>23.682794389938856</v>
      </c>
      <c r="Q744" s="1">
        <f t="shared" si="129"/>
        <v>-65.446603835484154</v>
      </c>
      <c r="R744">
        <f>SQRT(Tabelle2[[#This Row],[vx]]*Tabelle2[[#This Row],[vx]]+Tabelle2[[#This Row],[vy]]*Tabelle2[[#This Row],[vy]])</f>
        <v>69.599803905721814</v>
      </c>
      <c r="S744">
        <f t="shared" si="130"/>
        <v>581.05435548747641</v>
      </c>
      <c r="T744" s="1">
        <f t="shared" si="131"/>
        <v>-127.92306182281467</v>
      </c>
    </row>
    <row r="745" spans="6:20" x14ac:dyDescent="0.35">
      <c r="F745" s="1">
        <f t="shared" si="127"/>
        <v>14.839999999999772</v>
      </c>
      <c r="G745">
        <f>1/2*$B$8*$B$6*$B$7*(Tabelle2[[#This Row],[vx]]*Tabelle2[[#This Row],[vx]]+Tabelle2[[#This Row],[vy]]*Tabelle2[[#This Row],[vy]])/1000000</f>
        <v>8.586188548170071</v>
      </c>
      <c r="H745">
        <f>IF($B$3,-Tabelle2[[#This Row],[Fd]]*Tabelle2[[#This Row],[vx]]/Tabelle2[[#This Row],[v]],0)</f>
        <v>-2.9138928372044322</v>
      </c>
      <c r="I745">
        <f t="shared" si="121"/>
        <v>-1.9425952248029548</v>
      </c>
      <c r="J745">
        <f t="shared" si="122"/>
        <v>-3.8851904496059096E-2</v>
      </c>
      <c r="K745">
        <f t="shared" si="123"/>
        <v>0.47248983806440903</v>
      </c>
      <c r="L745">
        <f>-$B$5*$B$12-IF($B$3,Tabelle2[[#This Row],[Fd]]*Tabelle2[[#This Row],[vy]]/Tabelle2[[#This Row],[v]],0)</f>
        <v>-6.6383755616584725</v>
      </c>
      <c r="M745">
        <f t="shared" si="124"/>
        <v>-4.425583707772315</v>
      </c>
      <c r="N745">
        <f t="shared" si="125"/>
        <v>-8.8511674155446307E-2</v>
      </c>
      <c r="O745">
        <f t="shared" si="126"/>
        <v>-1.3115925136053659</v>
      </c>
      <c r="P745" s="1">
        <f t="shared" si="128"/>
        <v>23.64391785546848</v>
      </c>
      <c r="Q745" s="1">
        <f t="shared" si="129"/>
        <v>-65.535369843190566</v>
      </c>
      <c r="R745">
        <f>SQRT(Tabelle2[[#This Row],[vx]]*Tabelle2[[#This Row],[vx]]+Tabelle2[[#This Row],[vy]]*Tabelle2[[#This Row],[vy]])</f>
        <v>69.670076446347551</v>
      </c>
      <c r="S745">
        <f t="shared" si="130"/>
        <v>581.52762260993052</v>
      </c>
      <c r="T745" s="1">
        <f t="shared" si="131"/>
        <v>-129.23288155960142</v>
      </c>
    </row>
    <row r="746" spans="6:20" x14ac:dyDescent="0.35">
      <c r="F746" s="1">
        <f t="shared" si="127"/>
        <v>14.859999999999772</v>
      </c>
      <c r="G746">
        <f>1/2*$B$8*$B$6*$B$7*(Tabelle2[[#This Row],[vx]]*Tabelle2[[#This Row],[vx]]+Tabelle2[[#This Row],[vy]]*Tabelle2[[#This Row],[vy]])/1000000</f>
        <v>8.603476918226491</v>
      </c>
      <c r="H746">
        <f>IF($B$3,-Tabelle2[[#This Row],[Fd]]*Tabelle2[[#This Row],[vx]]/Tabelle2[[#This Row],[v]],0)</f>
        <v>-2.9120319833699058</v>
      </c>
      <c r="I746">
        <f t="shared" si="121"/>
        <v>-1.9413546555799372</v>
      </c>
      <c r="J746">
        <f t="shared" si="122"/>
        <v>-3.8827093111598744E-2</v>
      </c>
      <c r="K746">
        <f t="shared" si="123"/>
        <v>0.47171304808833242</v>
      </c>
      <c r="L746">
        <f>-$B$5*$B$12-IF($B$3,Tabelle2[[#This Row],[Fd]]*Tabelle2[[#This Row],[vy]]/Tabelle2[[#This Row],[v]],0)</f>
        <v>-6.6193292550717739</v>
      </c>
      <c r="M746">
        <f t="shared" si="124"/>
        <v>-4.412886170047849</v>
      </c>
      <c r="N746">
        <f t="shared" si="125"/>
        <v>-8.8257723400956986E-2</v>
      </c>
      <c r="O746">
        <f t="shared" si="126"/>
        <v>-1.3133602075809296</v>
      </c>
      <c r="P746" s="1">
        <f t="shared" si="128"/>
        <v>23.605065950972421</v>
      </c>
      <c r="Q746" s="1">
        <f t="shared" si="129"/>
        <v>-65.623881517346007</v>
      </c>
      <c r="R746">
        <f>SQRT(Tabelle2[[#This Row],[vx]]*Tabelle2[[#This Row],[vx]]+Tabelle2[[#This Row],[vy]]*Tabelle2[[#This Row],[vy]])</f>
        <v>69.740181846281587</v>
      </c>
      <c r="S746">
        <f t="shared" si="130"/>
        <v>582.00011244799498</v>
      </c>
      <c r="T746" s="1">
        <f t="shared" si="131"/>
        <v>-130.5444740732068</v>
      </c>
    </row>
    <row r="747" spans="6:20" x14ac:dyDescent="0.35">
      <c r="F747" s="1">
        <f t="shared" si="127"/>
        <v>14.879999999999772</v>
      </c>
      <c r="G747">
        <f>1/2*$B$8*$B$6*$B$7*(Tabelle2[[#This Row],[vx]]*Tabelle2[[#This Row],[vx]]+Tabelle2[[#This Row],[vy]]*Tabelle2[[#This Row],[vy]])/1000000</f>
        <v>8.6207413753977047</v>
      </c>
      <c r="H747">
        <f>IF($B$3,-Tabelle2[[#This Row],[Fd]]*Tabelle2[[#This Row],[vx]]/Tabelle2[[#This Row],[v]],0)</f>
        <v>-2.910157586323149</v>
      </c>
      <c r="I747">
        <f t="shared" si="121"/>
        <v>-1.9401050575487659</v>
      </c>
      <c r="J747">
        <f t="shared" si="122"/>
        <v>-3.8802101150975321E-2</v>
      </c>
      <c r="K747">
        <f t="shared" si="123"/>
        <v>0.47093675614570663</v>
      </c>
      <c r="L747">
        <f>-$B$5*$B$12-IF($B$3,Tabelle2[[#This Row],[Fd]]*Tabelle2[[#This Row],[vy]]/Tabelle2[[#This Row],[v]],0)</f>
        <v>-6.6003117937742211</v>
      </c>
      <c r="M747">
        <f t="shared" si="124"/>
        <v>-4.4002078625161474</v>
      </c>
      <c r="N747">
        <f t="shared" si="125"/>
        <v>-8.8004157250322942E-2</v>
      </c>
      <c r="O747">
        <f t="shared" si="126"/>
        <v>-1.3151228263874424</v>
      </c>
      <c r="P747" s="1">
        <f t="shared" si="128"/>
        <v>23.566238857860821</v>
      </c>
      <c r="Q747" s="1">
        <f t="shared" si="129"/>
        <v>-65.712139240746964</v>
      </c>
      <c r="R747">
        <f>SQRT(Tabelle2[[#This Row],[vx]]*Tabelle2[[#This Row],[vx]]+Tabelle2[[#This Row],[vy]]*Tabelle2[[#This Row],[vy]])</f>
        <v>69.810120022107583</v>
      </c>
      <c r="S747">
        <f t="shared" si="130"/>
        <v>582.47182549608328</v>
      </c>
      <c r="T747" s="1">
        <f t="shared" si="131"/>
        <v>-131.85783428078773</v>
      </c>
    </row>
    <row r="748" spans="6:20" x14ac:dyDescent="0.35">
      <c r="F748" s="1">
        <f t="shared" si="127"/>
        <v>14.899999999999771</v>
      </c>
      <c r="G748">
        <f>1/2*$B$8*$B$6*$B$7*(Tabelle2[[#This Row],[vx]]*Tabelle2[[#This Row],[vx]]+Tabelle2[[#This Row],[vy]]*Tabelle2[[#This Row],[vy]])/1000000</f>
        <v>8.6379817761397693</v>
      </c>
      <c r="H748">
        <f>IF($B$3,-Tabelle2[[#This Row],[Fd]]*Tabelle2[[#This Row],[vx]]/Tabelle2[[#This Row],[v]],0)</f>
        <v>-2.9082697087815745</v>
      </c>
      <c r="I748">
        <f t="shared" si="121"/>
        <v>-1.9388464725210497</v>
      </c>
      <c r="J748">
        <f t="shared" si="122"/>
        <v>-3.8776929450420994E-2</v>
      </c>
      <c r="K748">
        <f t="shared" si="123"/>
        <v>0.47016096583969275</v>
      </c>
      <c r="L748">
        <f>-$B$5*$B$12-IF($B$3,Tabelle2[[#This Row],[Fd]]*Tabelle2[[#This Row],[vy]]/Tabelle2[[#This Row],[v]],0)</f>
        <v>-6.5813233119390411</v>
      </c>
      <c r="M748">
        <f t="shared" si="124"/>
        <v>-4.3875488746260274</v>
      </c>
      <c r="N748">
        <f t="shared" si="125"/>
        <v>-8.7750977492520546E-2</v>
      </c>
      <c r="O748">
        <f t="shared" si="126"/>
        <v>-1.3168803777348712</v>
      </c>
      <c r="P748" s="1">
        <f t="shared" si="128"/>
        <v>23.527436756709847</v>
      </c>
      <c r="Q748" s="1">
        <f t="shared" si="129"/>
        <v>-65.800143397997289</v>
      </c>
      <c r="R748">
        <f>SQRT(Tabelle2[[#This Row],[vx]]*Tabelle2[[#This Row],[vx]]+Tabelle2[[#This Row],[vy]]*Tabelle2[[#This Row],[vy]])</f>
        <v>69.879890895292533</v>
      </c>
      <c r="S748">
        <f t="shared" si="130"/>
        <v>582.94276225222904</v>
      </c>
      <c r="T748" s="1">
        <f t="shared" si="131"/>
        <v>-133.17295710717516</v>
      </c>
    </row>
    <row r="749" spans="6:20" x14ac:dyDescent="0.35">
      <c r="F749" s="1">
        <f t="shared" si="127"/>
        <v>14.919999999999771</v>
      </c>
      <c r="G749">
        <f>1/2*$B$8*$B$6*$B$7*(Tabelle2[[#This Row],[vx]]*Tabelle2[[#This Row],[vx]]+Tabelle2[[#This Row],[vy]]*Tabelle2[[#This Row],[vy]])/1000000</f>
        <v>8.6551979783257789</v>
      </c>
      <c r="H749">
        <f>IF($B$3,-Tabelle2[[#This Row],[Fd]]*Tabelle2[[#This Row],[vx]]/Tabelle2[[#This Row],[v]],0)</f>
        <v>-2.9063684136266428</v>
      </c>
      <c r="I749">
        <f t="shared" si="121"/>
        <v>-1.9375789424177619</v>
      </c>
      <c r="J749">
        <f t="shared" si="122"/>
        <v>-3.8751578848355235E-2</v>
      </c>
      <c r="K749">
        <f t="shared" si="123"/>
        <v>0.46938568075670495</v>
      </c>
      <c r="L749">
        <f>-$B$5*$B$12-IF($B$3,Tabelle2[[#This Row],[Fd]]*Tabelle2[[#This Row],[vy]]/Tabelle2[[#This Row],[v]],0)</f>
        <v>-6.5623639423626923</v>
      </c>
      <c r="M749">
        <f t="shared" si="124"/>
        <v>-4.3749092949084618</v>
      </c>
      <c r="N749">
        <f t="shared" si="125"/>
        <v>-8.749818589816924E-2</v>
      </c>
      <c r="O749">
        <f t="shared" si="126"/>
        <v>-1.3186328693687779</v>
      </c>
      <c r="P749" s="1">
        <f t="shared" si="128"/>
        <v>23.488659827259426</v>
      </c>
      <c r="Q749" s="1">
        <f t="shared" si="129"/>
        <v>-65.887894375489807</v>
      </c>
      <c r="R749">
        <f>SQRT(Tabelle2[[#This Row],[vx]]*Tabelle2[[#This Row],[vx]]+Tabelle2[[#This Row],[vy]]*Tabelle2[[#This Row],[vy]])</f>
        <v>69.949494392142768</v>
      </c>
      <c r="S749">
        <f t="shared" si="130"/>
        <v>583.41292321806873</v>
      </c>
      <c r="T749" s="1">
        <f t="shared" si="131"/>
        <v>-134.48983748491003</v>
      </c>
    </row>
    <row r="750" spans="6:20" x14ac:dyDescent="0.35">
      <c r="F750" s="1">
        <f t="shared" si="127"/>
        <v>14.93999999999977</v>
      </c>
      <c r="G750">
        <f>1/2*$B$8*$B$6*$B$7*(Tabelle2[[#This Row],[vx]]*Tabelle2[[#This Row],[vx]]+Tabelle2[[#This Row],[vy]]*Tabelle2[[#This Row],[vy]])/1000000</f>
        <v>8.672389841241456</v>
      </c>
      <c r="H750">
        <f>IF($B$3,-Tabelle2[[#This Row],[Fd]]*Tabelle2[[#This Row],[vx]]/Tabelle2[[#This Row],[v]],0)</f>
        <v>-2.9044537638990349</v>
      </c>
      <c r="I750">
        <f t="shared" si="121"/>
        <v>-1.9363025092660233</v>
      </c>
      <c r="J750">
        <f t="shared" si="122"/>
        <v>-3.8726050185320465E-2</v>
      </c>
      <c r="K750">
        <f t="shared" si="123"/>
        <v>0.46861090446636822</v>
      </c>
      <c r="L750">
        <f>-$B$5*$B$12-IF($B$3,Tabelle2[[#This Row],[Fd]]*Tabelle2[[#This Row],[vy]]/Tabelle2[[#This Row],[v]],0)</f>
        <v>-6.543433816468184</v>
      </c>
      <c r="M750">
        <f t="shared" si="124"/>
        <v>-4.3622892109787896</v>
      </c>
      <c r="N750">
        <f t="shared" si="125"/>
        <v>-8.7245784219575795E-2</v>
      </c>
      <c r="O750">
        <f t="shared" si="126"/>
        <v>-1.3203803090699555</v>
      </c>
      <c r="P750" s="1">
        <f t="shared" si="128"/>
        <v>23.44990824841107</v>
      </c>
      <c r="Q750" s="1">
        <f t="shared" si="129"/>
        <v>-65.975392561387977</v>
      </c>
      <c r="R750">
        <f>SQRT(Tabelle2[[#This Row],[vx]]*Tabelle2[[#This Row],[vx]]+Tabelle2[[#This Row],[vy]]*Tabelle2[[#This Row],[vy]])</f>
        <v>70.018930443760325</v>
      </c>
      <c r="S750">
        <f t="shared" si="130"/>
        <v>583.88230889882539</v>
      </c>
      <c r="T750" s="1">
        <f t="shared" si="131"/>
        <v>-135.8084703542788</v>
      </c>
    </row>
    <row r="751" spans="6:20" x14ac:dyDescent="0.35">
      <c r="F751" s="1">
        <f t="shared" si="127"/>
        <v>14.95999999999977</v>
      </c>
      <c r="G751">
        <f>1/2*$B$8*$B$6*$B$7*(Tabelle2[[#This Row],[vx]]*Tabelle2[[#This Row],[vx]]+Tabelle2[[#This Row],[vy]]*Tabelle2[[#This Row],[vy]])/1000000</f>
        <v>8.6895572255806908</v>
      </c>
      <c r="H751">
        <f>IF($B$3,-Tabelle2[[#This Row],[Fd]]*Tabelle2[[#This Row],[vx]]/Tabelle2[[#This Row],[v]],0)</f>
        <v>-2.9025258227938693</v>
      </c>
      <c r="I751">
        <f t="shared" si="121"/>
        <v>-1.9350172151959129</v>
      </c>
      <c r="J751">
        <f t="shared" si="122"/>
        <v>-3.8700344303918256E-2</v>
      </c>
      <c r="K751">
        <f t="shared" si="123"/>
        <v>0.46783664052147578</v>
      </c>
      <c r="L751">
        <f>-$B$5*$B$12-IF($B$3,Tabelle2[[#This Row],[Fd]]*Tabelle2[[#This Row],[vy]]/Tabelle2[[#This Row],[v]],0)</f>
        <v>-6.5245330643084589</v>
      </c>
      <c r="M751">
        <f t="shared" si="124"/>
        <v>-4.3496887095389729</v>
      </c>
      <c r="N751">
        <f t="shared" si="125"/>
        <v>-8.6993774190779458E-2</v>
      </c>
      <c r="O751">
        <f t="shared" si="126"/>
        <v>-1.3221227046540589</v>
      </c>
      <c r="P751" s="1">
        <f t="shared" si="128"/>
        <v>23.411182198225749</v>
      </c>
      <c r="Q751" s="1">
        <f t="shared" si="129"/>
        <v>-66.062638345607553</v>
      </c>
      <c r="R751">
        <f>SQRT(Tabelle2[[#This Row],[vx]]*Tabelle2[[#This Row],[vx]]+Tabelle2[[#This Row],[vy]]*Tabelle2[[#This Row],[vy]])</f>
        <v>70.088198985999483</v>
      </c>
      <c r="S751">
        <f t="shared" si="130"/>
        <v>584.35091980329173</v>
      </c>
      <c r="T751" s="1">
        <f t="shared" si="131"/>
        <v>-137.12885066334874</v>
      </c>
    </row>
    <row r="752" spans="6:20" x14ac:dyDescent="0.35">
      <c r="F752" s="1">
        <f t="shared" si="127"/>
        <v>14.979999999999769</v>
      </c>
      <c r="G752">
        <f>1/2*$B$8*$B$6*$B$7*(Tabelle2[[#This Row],[vx]]*Tabelle2[[#This Row],[vx]]+Tabelle2[[#This Row],[vy]]*Tabelle2[[#This Row],[vy]])/1000000</f>
        <v>8.7066999934410827</v>
      </c>
      <c r="H752">
        <f>IF($B$3,-Tabelle2[[#This Row],[Fd]]*Tabelle2[[#This Row],[vx]]/Tabelle2[[#This Row],[v]],0)</f>
        <v>-2.9005846536559683</v>
      </c>
      <c r="I752">
        <f t="shared" si="121"/>
        <v>-1.9337231024373123</v>
      </c>
      <c r="J752">
        <f t="shared" si="122"/>
        <v>-3.8674462048746243E-2</v>
      </c>
      <c r="K752">
        <f t="shared" si="123"/>
        <v>0.46706289245794913</v>
      </c>
      <c r="L752">
        <f>-$B$5*$B$12-IF($B$3,Tabelle2[[#This Row],[Fd]]*Tabelle2[[#This Row],[vy]]/Tabelle2[[#This Row],[v]],0)</f>
        <v>-6.5056618145698</v>
      </c>
      <c r="M752">
        <f t="shared" si="124"/>
        <v>-4.3371078763798669</v>
      </c>
      <c r="N752">
        <f t="shared" si="125"/>
        <v>-8.6742157527597341E-2</v>
      </c>
      <c r="O752">
        <f t="shared" si="126"/>
        <v>-1.3238600639712426</v>
      </c>
      <c r="P752" s="1">
        <f t="shared" si="128"/>
        <v>23.37248185392183</v>
      </c>
      <c r="Q752" s="1">
        <f t="shared" si="129"/>
        <v>-66.149632119798326</v>
      </c>
      <c r="R752">
        <f>SQRT(Tabelle2[[#This Row],[vx]]*Tabelle2[[#This Row],[vx]]+Tabelle2[[#This Row],[vy]]*Tabelle2[[#This Row],[vy]])</f>
        <v>70.157299959423753</v>
      </c>
      <c r="S752">
        <f t="shared" si="130"/>
        <v>584.81875644381319</v>
      </c>
      <c r="T752" s="1">
        <f t="shared" si="131"/>
        <v>-138.45097336800279</v>
      </c>
    </row>
    <row r="753" spans="6:20" x14ac:dyDescent="0.35">
      <c r="F753" s="1">
        <f t="shared" si="127"/>
        <v>14.999999999999769</v>
      </c>
      <c r="G753">
        <f>1/2*$B$8*$B$6*$B$7*(Tabelle2[[#This Row],[vx]]*Tabelle2[[#This Row],[vx]]+Tabelle2[[#This Row],[vy]]*Tabelle2[[#This Row],[vy]])/1000000</f>
        <v>8.7238180083193999</v>
      </c>
      <c r="H753">
        <f>IF($B$3,-Tabelle2[[#This Row],[Fd]]*Tabelle2[[#This Row],[vx]]/Tabelle2[[#This Row],[v]],0)</f>
        <v>-2.8986303199751546</v>
      </c>
      <c r="I753">
        <f t="shared" si="121"/>
        <v>-1.9324202133167698</v>
      </c>
      <c r="J753">
        <f t="shared" si="122"/>
        <v>-3.8648404266335395E-2</v>
      </c>
      <c r="K753">
        <f t="shared" si="123"/>
        <v>0.46628966379479836</v>
      </c>
      <c r="L753">
        <f>-$B$5*$B$12-IF($B$3,Tabelle2[[#This Row],[Fd]]*Tabelle2[[#This Row],[vy]]/Tabelle2[[#This Row],[v]],0)</f>
        <v>-6.4868201945753157</v>
      </c>
      <c r="M753">
        <f t="shared" si="124"/>
        <v>-4.3245467963835438</v>
      </c>
      <c r="N753">
        <f t="shared" si="125"/>
        <v>-8.6490935927670876E-2</v>
      </c>
      <c r="O753">
        <f t="shared" si="126"/>
        <v>-1.3255923949057951</v>
      </c>
      <c r="P753" s="1">
        <f t="shared" si="128"/>
        <v>23.333807391873084</v>
      </c>
      <c r="Q753" s="1">
        <f t="shared" si="129"/>
        <v>-66.236374277325922</v>
      </c>
      <c r="R753">
        <f>SQRT(Tabelle2[[#This Row],[vx]]*Tabelle2[[#This Row],[vx]]+Tabelle2[[#This Row],[vy]]*Tabelle2[[#This Row],[vy]])</f>
        <v>70.226233309262952</v>
      </c>
      <c r="S753">
        <f t="shared" si="130"/>
        <v>585.28581933627117</v>
      </c>
      <c r="T753" s="1">
        <f t="shared" si="131"/>
        <v>-139.77483343197403</v>
      </c>
    </row>
    <row r="754" spans="6:20" x14ac:dyDescent="0.35">
      <c r="F754" s="1">
        <f t="shared" si="127"/>
        <v>15.019999999999769</v>
      </c>
      <c r="G754">
        <f>1/2*$B$8*$B$6*$B$7*(Tabelle2[[#This Row],[vx]]*Tabelle2[[#This Row],[vx]]+Tabelle2[[#This Row],[vy]]*Tabelle2[[#This Row],[vy]])/1000000</f>
        <v>8.7409111351070585</v>
      </c>
      <c r="H754">
        <f>IF($B$3,-Tabelle2[[#This Row],[Fd]]*Tabelle2[[#This Row],[vx]]/Tabelle2[[#This Row],[v]],0)</f>
        <v>-2.8966628853816045</v>
      </c>
      <c r="I754">
        <f t="shared" si="121"/>
        <v>-1.931108590254403</v>
      </c>
      <c r="J754">
        <f t="shared" si="122"/>
        <v>-3.8622171805088062E-2</v>
      </c>
      <c r="K754">
        <f t="shared" si="123"/>
        <v>0.46551695803408411</v>
      </c>
      <c r="L754">
        <f>-$B$5*$B$12-IF($B$3,Tabelle2[[#This Row],[Fd]]*Tabelle2[[#This Row],[vy]]/Tabelle2[[#This Row],[v]],0)</f>
        <v>-6.468008330288475</v>
      </c>
      <c r="M754">
        <f t="shared" si="124"/>
        <v>-4.3120055535256503</v>
      </c>
      <c r="N754">
        <f t="shared" si="125"/>
        <v>-8.6240111070513006E-2</v>
      </c>
      <c r="O754">
        <f t="shared" si="126"/>
        <v>-1.327319705375777</v>
      </c>
      <c r="P754" s="1">
        <f t="shared" si="128"/>
        <v>23.295158987606747</v>
      </c>
      <c r="Q754" s="1">
        <f t="shared" si="129"/>
        <v>-66.322865213253593</v>
      </c>
      <c r="R754">
        <f>SQRT(Tabelle2[[#This Row],[vx]]*Tabelle2[[#This Row],[vx]]+Tabelle2[[#This Row],[vy]]*Tabelle2[[#This Row],[vy]])</f>
        <v>70.294998985370782</v>
      </c>
      <c r="S754">
        <f t="shared" si="130"/>
        <v>585.75210900006596</v>
      </c>
      <c r="T754" s="1">
        <f t="shared" si="131"/>
        <v>-141.10042582687981</v>
      </c>
    </row>
    <row r="755" spans="6:20" x14ac:dyDescent="0.35">
      <c r="F755" s="1">
        <f t="shared" si="127"/>
        <v>15.039999999999768</v>
      </c>
      <c r="G755">
        <f>1/2*$B$8*$B$6*$B$7*(Tabelle2[[#This Row],[vx]]*Tabelle2[[#This Row],[vx]]+Tabelle2[[#This Row],[vy]]*Tabelle2[[#This Row],[vy]])/1000000</f>
        <v>8.7579792400855094</v>
      </c>
      <c r="H755">
        <f>IF($B$3,-Tabelle2[[#This Row],[Fd]]*Tabelle2[[#This Row],[vx]]/Tabelle2[[#This Row],[v]],0)</f>
        <v>-2.8946824136412284</v>
      </c>
      <c r="I755">
        <f t="shared" si="121"/>
        <v>-1.9297882757608189</v>
      </c>
      <c r="J755">
        <f t="shared" si="122"/>
        <v>-3.8595765515216381E-2</v>
      </c>
      <c r="K755">
        <f t="shared" si="123"/>
        <v>0.46474477866088104</v>
      </c>
      <c r="L755">
        <f>-$B$5*$B$12-IF($B$3,Tabelle2[[#This Row],[Fd]]*Tabelle2[[#This Row],[vy]]/Tabelle2[[#This Row],[v]],0)</f>
        <v>-6.449226346316701</v>
      </c>
      <c r="M755">
        <f t="shared" si="124"/>
        <v>-4.299484230877801</v>
      </c>
      <c r="N755">
        <f t="shared" si="125"/>
        <v>-8.5989684617556017E-2</v>
      </c>
      <c r="O755">
        <f t="shared" si="126"/>
        <v>-1.3290420033326575</v>
      </c>
      <c r="P755" s="1">
        <f t="shared" si="128"/>
        <v>23.25653681580166</v>
      </c>
      <c r="Q755" s="1">
        <f t="shared" si="129"/>
        <v>-66.409105324324102</v>
      </c>
      <c r="R755">
        <f>SQRT(Tabelle2[[#This Row],[vx]]*Tabelle2[[#This Row],[vx]]+Tabelle2[[#This Row],[vy]]*Tabelle2[[#This Row],[vy]])</f>
        <v>70.363596942182468</v>
      </c>
      <c r="S755">
        <f t="shared" si="130"/>
        <v>586.21762595810003</v>
      </c>
      <c r="T755" s="1">
        <f t="shared" si="131"/>
        <v>-142.42774553225559</v>
      </c>
    </row>
    <row r="756" spans="6:20" x14ac:dyDescent="0.35">
      <c r="F756" s="1">
        <f t="shared" si="127"/>
        <v>15.059999999999768</v>
      </c>
      <c r="G756">
        <f>1/2*$B$8*$B$6*$B$7*(Tabelle2[[#This Row],[vx]]*Tabelle2[[#This Row],[vx]]+Tabelle2[[#This Row],[vy]]*Tabelle2[[#This Row],[vy]])/1000000</f>
        <v>8.7750221909216464</v>
      </c>
      <c r="H756">
        <f>IF($B$3,-Tabelle2[[#This Row],[Fd]]*Tabelle2[[#This Row],[vx]]/Tabelle2[[#This Row],[v]],0)</f>
        <v>-2.892688968651103</v>
      </c>
      <c r="I756">
        <f t="shared" si="121"/>
        <v>-1.9284593124340688</v>
      </c>
      <c r="J756">
        <f t="shared" si="122"/>
        <v>-3.8569186248681379E-2</v>
      </c>
      <c r="K756">
        <f t="shared" si="123"/>
        <v>0.46397312914324212</v>
      </c>
      <c r="L756">
        <f>-$B$5*$B$12-IF($B$3,Tabelle2[[#This Row],[Fd]]*Tabelle2[[#This Row],[vy]]/Tabelle2[[#This Row],[v]],0)</f>
        <v>-6.4304743659149963</v>
      </c>
      <c r="M756">
        <f t="shared" si="124"/>
        <v>-4.2869829106099973</v>
      </c>
      <c r="N756">
        <f t="shared" si="125"/>
        <v>-8.5739658212199948E-2</v>
      </c>
      <c r="O756">
        <f t="shared" si="126"/>
        <v>-1.3307592967609552</v>
      </c>
      <c r="P756" s="1">
        <f t="shared" si="128"/>
        <v>23.217941050286445</v>
      </c>
      <c r="Q756" s="1">
        <f t="shared" si="129"/>
        <v>-66.495095008941661</v>
      </c>
      <c r="R756">
        <f>SQRT(Tabelle2[[#This Row],[vx]]*Tabelle2[[#This Row],[vx]]+Tabelle2[[#This Row],[vy]]*Tabelle2[[#This Row],[vy]])</f>
        <v>70.432027138672893</v>
      </c>
      <c r="S756">
        <f t="shared" si="130"/>
        <v>586.68237073676096</v>
      </c>
      <c r="T756" s="1">
        <f t="shared" si="131"/>
        <v>-143.75678753558824</v>
      </c>
    </row>
    <row r="757" spans="6:20" x14ac:dyDescent="0.35">
      <c r="F757" s="1">
        <f t="shared" si="127"/>
        <v>15.079999999999767</v>
      </c>
      <c r="G757">
        <f>1/2*$B$8*$B$6*$B$7*(Tabelle2[[#This Row],[vx]]*Tabelle2[[#This Row],[vx]]+Tabelle2[[#This Row],[vy]]*Tabelle2[[#This Row],[vy]])/1000000</f>
        <v>8.792039856663159</v>
      </c>
      <c r="H757">
        <f>IF($B$3,-Tabelle2[[#This Row],[Fd]]*Tabelle2[[#This Row],[vx]]/Tabelle2[[#This Row],[v]],0)</f>
        <v>-2.8906826144349465</v>
      </c>
      <c r="I757">
        <f t="shared" si="121"/>
        <v>-1.927121742956631</v>
      </c>
      <c r="J757">
        <f t="shared" si="122"/>
        <v>-3.854243485913262E-2</v>
      </c>
      <c r="K757">
        <f t="shared" si="123"/>
        <v>0.46320201293216395</v>
      </c>
      <c r="L757">
        <f>-$B$5*$B$12-IF($B$3,Tabelle2[[#This Row],[Fd]]*Tabelle2[[#This Row],[vy]]/Tabelle2[[#This Row],[v]],0)</f>
        <v>-6.4117525109896256</v>
      </c>
      <c r="M757">
        <f t="shared" si="124"/>
        <v>-4.2745016739930835</v>
      </c>
      <c r="N757">
        <f t="shared" si="125"/>
        <v>-8.5490033479861671E-2</v>
      </c>
      <c r="O757">
        <f t="shared" si="126"/>
        <v>-1.3324715936778759</v>
      </c>
      <c r="P757" s="1">
        <f t="shared" si="128"/>
        <v>23.179371864037762</v>
      </c>
      <c r="Q757" s="1">
        <f t="shared" si="129"/>
        <v>-66.580834667153866</v>
      </c>
      <c r="R757">
        <f>SQRT(Tabelle2[[#This Row],[vx]]*Tabelle2[[#This Row],[vx]]+Tabelle2[[#This Row],[vy]]*Tabelle2[[#This Row],[vy]])</f>
        <v>70.500289538314831</v>
      </c>
      <c r="S757">
        <f t="shared" si="130"/>
        <v>587.14634386590421</v>
      </c>
      <c r="T757" s="1">
        <f t="shared" si="131"/>
        <v>-145.0875468323492</v>
      </c>
    </row>
    <row r="758" spans="6:20" x14ac:dyDescent="0.35">
      <c r="F758" s="1">
        <f t="shared" si="127"/>
        <v>15.099999999999767</v>
      </c>
      <c r="G758">
        <f>1/2*$B$8*$B$6*$B$7*(Tabelle2[[#This Row],[vx]]*Tabelle2[[#This Row],[vx]]+Tabelle2[[#This Row],[vy]]*Tabelle2[[#This Row],[vy]])/1000000</f>
        <v>8.8090321077338309</v>
      </c>
      <c r="H758">
        <f>IF($B$3,-Tabelle2[[#This Row],[Fd]]*Tabelle2[[#This Row],[vx]]/Tabelle2[[#This Row],[v]],0)</f>
        <v>-2.8886634151386215</v>
      </c>
      <c r="I758">
        <f t="shared" si="121"/>
        <v>-1.9257756100924144</v>
      </c>
      <c r="J758">
        <f t="shared" si="122"/>
        <v>-3.851551220184829E-2</v>
      </c>
      <c r="K758">
        <f t="shared" si="123"/>
        <v>0.46243143346155413</v>
      </c>
      <c r="L758">
        <f>-$B$5*$B$12-IF($B$3,Tabelle2[[#This Row],[Fd]]*Tabelle2[[#This Row],[vy]]/Tabelle2[[#This Row],[v]],0)</f>
        <v>-6.3930609021018903</v>
      </c>
      <c r="M758">
        <f t="shared" si="124"/>
        <v>-4.2620406014012602</v>
      </c>
      <c r="N758">
        <f t="shared" si="125"/>
        <v>-8.5240812028025206E-2</v>
      </c>
      <c r="O758">
        <f t="shared" si="126"/>
        <v>-1.3341789021329546</v>
      </c>
      <c r="P758" s="1">
        <f t="shared" si="128"/>
        <v>23.140829429178631</v>
      </c>
      <c r="Q758" s="1">
        <f t="shared" si="129"/>
        <v>-66.666324700633723</v>
      </c>
      <c r="R758">
        <f>SQRT(Tabelle2[[#This Row],[vx]]*Tabelle2[[#This Row],[vx]]+Tabelle2[[#This Row],[vy]]*Tabelle2[[#This Row],[vy]])</f>
        <v>70.568384109037567</v>
      </c>
      <c r="S758">
        <f t="shared" si="130"/>
        <v>587.60954587883634</v>
      </c>
      <c r="T758" s="1">
        <f t="shared" si="131"/>
        <v>-146.42001842602707</v>
      </c>
    </row>
    <row r="759" spans="6:20" x14ac:dyDescent="0.35">
      <c r="F759" s="1">
        <f t="shared" si="127"/>
        <v>15.119999999999767</v>
      </c>
      <c r="G759">
        <f>1/2*$B$8*$B$6*$B$7*(Tabelle2[[#This Row],[vx]]*Tabelle2[[#This Row],[vx]]+Tabelle2[[#This Row],[vy]]*Tabelle2[[#This Row],[vy]])/1000000</f>
        <v>8.8259988159288714</v>
      </c>
      <c r="H759">
        <f>IF($B$3,-Tabelle2[[#This Row],[Fd]]*Tabelle2[[#This Row],[vx]]/Tabelle2[[#This Row],[v]],0)</f>
        <v>-2.8866314350257003</v>
      </c>
      <c r="I759">
        <f t="shared" si="121"/>
        <v>-1.9244209566838002</v>
      </c>
      <c r="J759">
        <f t="shared" si="122"/>
        <v>-3.8488419133676004E-2</v>
      </c>
      <c r="K759">
        <f t="shared" si="123"/>
        <v>0.4616613941481989</v>
      </c>
      <c r="L759">
        <f>-$B$5*$B$12-IF($B$3,Tabelle2[[#This Row],[Fd]]*Tabelle2[[#This Row],[vy]]/Tabelle2[[#This Row],[v]],0)</f>
        <v>-6.3743996584718623</v>
      </c>
      <c r="M759">
        <f t="shared" si="124"/>
        <v>-4.2495997723145749</v>
      </c>
      <c r="N759">
        <f t="shared" si="125"/>
        <v>-8.4991995446291504E-2</v>
      </c>
      <c r="O759">
        <f t="shared" si="126"/>
        <v>-1.3358812302076979</v>
      </c>
      <c r="P759" s="1">
        <f t="shared" si="128"/>
        <v>23.102313916976783</v>
      </c>
      <c r="Q759" s="1">
        <f t="shared" si="129"/>
        <v>-66.751565512661742</v>
      </c>
      <c r="R759">
        <f>SQRT(Tabelle2[[#This Row],[vx]]*Tabelle2[[#This Row],[vx]]+Tabelle2[[#This Row],[vy]]*Tabelle2[[#This Row],[vy]])</f>
        <v>70.636310823185781</v>
      </c>
      <c r="S759">
        <f t="shared" si="130"/>
        <v>588.07197731229792</v>
      </c>
      <c r="T759" s="1">
        <f t="shared" si="131"/>
        <v>-147.75419732816002</v>
      </c>
    </row>
    <row r="760" spans="6:20" x14ac:dyDescent="0.35">
      <c r="F760" s="1">
        <f t="shared" si="127"/>
        <v>15.139999999999766</v>
      </c>
      <c r="G760">
        <f>1/2*$B$8*$B$6*$B$7*(Tabelle2[[#This Row],[vx]]*Tabelle2[[#This Row],[vx]]+Tabelle2[[#This Row],[vy]]*Tabelle2[[#This Row],[vy]])/1000000</f>
        <v>8.8429398544101421</v>
      </c>
      <c r="H760">
        <f>IF($B$3,-Tabelle2[[#This Row],[Fd]]*Tabelle2[[#This Row],[vx]]/Tabelle2[[#This Row],[v]],0)</f>
        <v>-2.8845867384730508</v>
      </c>
      <c r="I760">
        <f t="shared" si="121"/>
        <v>-1.9230578256487005</v>
      </c>
      <c r="J760">
        <f t="shared" si="122"/>
        <v>-3.8461156512974014E-2</v>
      </c>
      <c r="K760">
        <f t="shared" si="123"/>
        <v>0.46089189839173245</v>
      </c>
      <c r="L760">
        <f>-$B$5*$B$12-IF($B$3,Tabelle2[[#This Row],[Fd]]*Tabelle2[[#This Row],[vy]]/Tabelle2[[#This Row],[v]],0)</f>
        <v>-6.3557688979822622</v>
      </c>
      <c r="M760">
        <f t="shared" si="124"/>
        <v>-4.2371792653215081</v>
      </c>
      <c r="N760">
        <f t="shared" si="125"/>
        <v>-8.4743585306430169E-2</v>
      </c>
      <c r="O760">
        <f t="shared" si="126"/>
        <v>-1.3375785860152249</v>
      </c>
      <c r="P760" s="1">
        <f t="shared" si="128"/>
        <v>23.063825497843109</v>
      </c>
      <c r="Q760" s="1">
        <f t="shared" si="129"/>
        <v>-66.836557508108029</v>
      </c>
      <c r="R760">
        <f>SQRT(Tabelle2[[#This Row],[vx]]*Tabelle2[[#This Row],[vx]]+Tabelle2[[#This Row],[vy]]*Tabelle2[[#This Row],[vy]])</f>
        <v>70.704069657478627</v>
      </c>
      <c r="S760">
        <f t="shared" si="130"/>
        <v>588.53363870644614</v>
      </c>
      <c r="T760" s="1">
        <f t="shared" si="131"/>
        <v>-149.09007855836771</v>
      </c>
    </row>
    <row r="761" spans="6:20" x14ac:dyDescent="0.35">
      <c r="F761" s="1">
        <f t="shared" si="127"/>
        <v>15.159999999999766</v>
      </c>
      <c r="G761">
        <f>1/2*$B$8*$B$6*$B$7*(Tabelle2[[#This Row],[vx]]*Tabelle2[[#This Row],[vx]]+Tabelle2[[#This Row],[vy]]*Tabelle2[[#This Row],[vy]])/1000000</f>
        <v>8.8598550977014057</v>
      </c>
      <c r="H761">
        <f>IF($B$3,-Tabelle2[[#This Row],[Fd]]*Tabelle2[[#This Row],[vx]]/Tabelle2[[#This Row],[v]],0)</f>
        <v>-2.8825293899664746</v>
      </c>
      <c r="I761">
        <f t="shared" si="121"/>
        <v>-1.9216862599776496</v>
      </c>
      <c r="J761">
        <f t="shared" si="122"/>
        <v>-3.8433725199552994E-2</v>
      </c>
      <c r="K761">
        <f t="shared" si="123"/>
        <v>0.4601229495746072</v>
      </c>
      <c r="L761">
        <f>-$B$5*$B$12-IF($B$3,Tabelle2[[#This Row],[Fd]]*Tabelle2[[#This Row],[vy]]/Tabelle2[[#This Row],[v]],0)</f>
        <v>-6.3371687371823331</v>
      </c>
      <c r="M761">
        <f t="shared" si="124"/>
        <v>-4.2247791581215557</v>
      </c>
      <c r="N761">
        <f t="shared" si="125"/>
        <v>-8.4495583162431109E-2</v>
      </c>
      <c r="O761">
        <f t="shared" si="126"/>
        <v>-1.3392709776999134</v>
      </c>
      <c r="P761" s="1">
        <f t="shared" si="128"/>
        <v>23.025364341330135</v>
      </c>
      <c r="Q761" s="1">
        <f t="shared" si="129"/>
        <v>-66.921301093414456</v>
      </c>
      <c r="R761">
        <f>SQRT(Tabelle2[[#This Row],[vx]]*Tabelle2[[#This Row],[vx]]+Tabelle2[[#This Row],[vy]]*Tabelle2[[#This Row],[vy]])</f>
        <v>70.771660592969226</v>
      </c>
      <c r="S761">
        <f t="shared" si="130"/>
        <v>588.99453060483791</v>
      </c>
      <c r="T761" s="1">
        <f t="shared" si="131"/>
        <v>-150.42765714438292</v>
      </c>
    </row>
    <row r="762" spans="6:20" x14ac:dyDescent="0.35">
      <c r="F762" s="1">
        <f t="shared" si="127"/>
        <v>15.179999999999765</v>
      </c>
      <c r="G762">
        <f>1/2*$B$8*$B$6*$B$7*(Tabelle2[[#This Row],[vx]]*Tabelle2[[#This Row],[vx]]+Tabelle2[[#This Row],[vy]]*Tabelle2[[#This Row],[vy]])/1000000</f>
        <v>8.8767444216835294</v>
      </c>
      <c r="H762">
        <f>IF($B$3,-Tabelle2[[#This Row],[Fd]]*Tabelle2[[#This Row],[vx]]/Tabelle2[[#This Row],[v]],0)</f>
        <v>-2.8804594540963873</v>
      </c>
      <c r="I762">
        <f t="shared" si="121"/>
        <v>-1.9203063027309248</v>
      </c>
      <c r="J762">
        <f t="shared" si="122"/>
        <v>-3.8406126054618496E-2</v>
      </c>
      <c r="K762">
        <f t="shared" si="123"/>
        <v>0.45935455106206546</v>
      </c>
      <c r="L762">
        <f>-$B$5*$B$12-IF($B$3,Tabelle2[[#This Row],[Fd]]*Tabelle2[[#This Row],[vy]]/Tabelle2[[#This Row],[v]],0)</f>
        <v>-6.3185992912917506</v>
      </c>
      <c r="M762">
        <f t="shared" si="124"/>
        <v>-4.2123995275278334</v>
      </c>
      <c r="N762">
        <f t="shared" si="125"/>
        <v>-8.4247990550556665E-2</v>
      </c>
      <c r="O762">
        <f t="shared" si="126"/>
        <v>-1.3409584134370434</v>
      </c>
      <c r="P762" s="1">
        <f t="shared" si="128"/>
        <v>22.986930616130582</v>
      </c>
      <c r="Q762" s="1">
        <f t="shared" si="129"/>
        <v>-67.005796676576892</v>
      </c>
      <c r="R762">
        <f>SQRT(Tabelle2[[#This Row],[vx]]*Tabelle2[[#This Row],[vx]]+Tabelle2[[#This Row],[vy]]*Tabelle2[[#This Row],[vy]])</f>
        <v>70.839083615004256</v>
      </c>
      <c r="S762">
        <f t="shared" si="130"/>
        <v>589.45465355441252</v>
      </c>
      <c r="T762" s="1">
        <f t="shared" si="131"/>
        <v>-151.76692812208285</v>
      </c>
    </row>
    <row r="763" spans="6:20" x14ac:dyDescent="0.35">
      <c r="F763" s="1">
        <f t="shared" si="127"/>
        <v>15.199999999999765</v>
      </c>
      <c r="G763">
        <f>1/2*$B$8*$B$6*$B$7*(Tabelle2[[#This Row],[vx]]*Tabelle2[[#This Row],[vx]]+Tabelle2[[#This Row],[vy]]*Tabelle2[[#This Row],[vy]])/1000000</f>
        <v>8.893607703589641</v>
      </c>
      <c r="H763">
        <f>IF($B$3,-Tabelle2[[#This Row],[Fd]]*Tabelle2[[#This Row],[vx]]/Tabelle2[[#This Row],[v]],0)</f>
        <v>-2.8783769955535257</v>
      </c>
      <c r="I763">
        <f t="shared" si="121"/>
        <v>-1.9189179970356838</v>
      </c>
      <c r="J763">
        <f t="shared" si="122"/>
        <v>-3.8378359940713674E-2</v>
      </c>
      <c r="K763">
        <f t="shared" si="123"/>
        <v>0.45858670620211217</v>
      </c>
      <c r="L763">
        <f>-$B$5*$B$12-IF($B$3,Tabelle2[[#This Row],[Fd]]*Tabelle2[[#This Row],[vy]]/Tabelle2[[#This Row],[v]],0)</f>
        <v>-6.300060674204639</v>
      </c>
      <c r="M763">
        <f t="shared" si="124"/>
        <v>-4.2000404494697596</v>
      </c>
      <c r="N763">
        <f t="shared" si="125"/>
        <v>-8.4000808989395201E-2</v>
      </c>
      <c r="O763">
        <f t="shared" si="126"/>
        <v>-1.342640901432443</v>
      </c>
      <c r="P763" s="1">
        <f t="shared" si="128"/>
        <v>22.948524490075965</v>
      </c>
      <c r="Q763" s="1">
        <f t="shared" si="129"/>
        <v>-67.090044667127444</v>
      </c>
      <c r="R763">
        <f>SQRT(Tabelle2[[#This Row],[vx]]*Tabelle2[[#This Row],[vx]]+Tabelle2[[#This Row],[vy]]*Tabelle2[[#This Row],[vy]])</f>
        <v>70.90633871318397</v>
      </c>
      <c r="S763">
        <f t="shared" si="130"/>
        <v>589.91400810547464</v>
      </c>
      <c r="T763" s="1">
        <f t="shared" si="131"/>
        <v>-153.1078865355199</v>
      </c>
    </row>
    <row r="764" spans="6:20" x14ac:dyDescent="0.35">
      <c r="F764" s="1">
        <f t="shared" si="127"/>
        <v>15.219999999999764</v>
      </c>
      <c r="G764">
        <f>1/2*$B$8*$B$6*$B$7*(Tabelle2[[#This Row],[vx]]*Tabelle2[[#This Row],[vx]]+Tabelle2[[#This Row],[vy]]*Tabelle2[[#This Row],[vy]])/1000000</f>
        <v>8.9104448220003079</v>
      </c>
      <c r="H764">
        <f>IF($B$3,-Tabelle2[[#This Row],[Fd]]*Tabelle2[[#This Row],[vx]]/Tabelle2[[#This Row],[v]],0)</f>
        <v>-2.8762820791247168</v>
      </c>
      <c r="I764">
        <f t="shared" si="121"/>
        <v>-1.9175213860831446</v>
      </c>
      <c r="J764">
        <f t="shared" si="122"/>
        <v>-3.8350427721662896E-2</v>
      </c>
      <c r="K764">
        <f t="shared" si="123"/>
        <v>0.45781941832548839</v>
      </c>
      <c r="L764">
        <f>-$B$5*$B$12-IF($B$3,Tabelle2[[#This Row],[Fd]]*Tabelle2[[#This Row],[vy]]/Tabelle2[[#This Row],[v]],0)</f>
        <v>-6.2815529984935541</v>
      </c>
      <c r="M764">
        <f t="shared" si="124"/>
        <v>-4.1877019989957027</v>
      </c>
      <c r="N764">
        <f t="shared" si="125"/>
        <v>-8.3754039979914055E-2</v>
      </c>
      <c r="O764">
        <f t="shared" si="126"/>
        <v>-1.3443184499221361</v>
      </c>
      <c r="P764" s="1">
        <f t="shared" si="128"/>
        <v>22.910146130135249</v>
      </c>
      <c r="Q764" s="1">
        <f t="shared" si="129"/>
        <v>-67.174045476116845</v>
      </c>
      <c r="R764">
        <f>SQRT(Tabelle2[[#This Row],[vx]]*Tabelle2[[#This Row],[vx]]+Tabelle2[[#This Row],[vy]]*Tabelle2[[#This Row],[vy]])</f>
        <v>70.973425881322413</v>
      </c>
      <c r="S764">
        <f t="shared" si="130"/>
        <v>590.37259481167678</v>
      </c>
      <c r="T764" s="1">
        <f t="shared" si="131"/>
        <v>-154.45052743695234</v>
      </c>
    </row>
    <row r="765" spans="6:20" x14ac:dyDescent="0.35">
      <c r="F765" s="1">
        <f t="shared" si="127"/>
        <v>15.239999999999764</v>
      </c>
      <c r="G765">
        <f>1/2*$B$8*$B$6*$B$7*(Tabelle2[[#This Row],[vx]]*Tabelle2[[#This Row],[vx]]+Tabelle2[[#This Row],[vy]]*Tabelle2[[#This Row],[vy]])/1000000</f>
        <v>8.9272556568386161</v>
      </c>
      <c r="H765">
        <f>IF($B$3,-Tabelle2[[#This Row],[Fd]]*Tabelle2[[#This Row],[vx]]/Tabelle2[[#This Row],[v]],0)</f>
        <v>-2.8741747696886639</v>
      </c>
      <c r="I765">
        <f t="shared" si="121"/>
        <v>-1.916116513125776</v>
      </c>
      <c r="J765">
        <f t="shared" si="122"/>
        <v>-3.8322330262515518E-2</v>
      </c>
      <c r="K765">
        <f t="shared" si="123"/>
        <v>0.45705269074564653</v>
      </c>
      <c r="L765">
        <f>-$B$5*$B$12-IF($B$3,Tabelle2[[#This Row],[Fd]]*Tabelle2[[#This Row],[vy]]/Tabelle2[[#This Row],[v]],0)</f>
        <v>-6.2630763754135721</v>
      </c>
      <c r="M765">
        <f t="shared" si="124"/>
        <v>-4.175384250275715</v>
      </c>
      <c r="N765">
        <f t="shared" si="125"/>
        <v>-8.3507685005514296E-2</v>
      </c>
      <c r="O765">
        <f t="shared" si="126"/>
        <v>-1.3459910671719901</v>
      </c>
      <c r="P765" s="1">
        <f t="shared" si="128"/>
        <v>22.871795702413586</v>
      </c>
      <c r="Q765" s="1">
        <f t="shared" si="129"/>
        <v>-67.257799516096753</v>
      </c>
      <c r="R765">
        <f>SQRT(Tabelle2[[#This Row],[vx]]*Tabelle2[[#This Row],[vx]]+Tabelle2[[#This Row],[vy]]*Tabelle2[[#This Row],[vy]])</f>
        <v>71.040345117407824</v>
      </c>
      <c r="S765">
        <f t="shared" si="130"/>
        <v>590.83041423000225</v>
      </c>
      <c r="T765" s="1">
        <f t="shared" si="131"/>
        <v>-155.79484588687447</v>
      </c>
    </row>
    <row r="766" spans="6:20" x14ac:dyDescent="0.35">
      <c r="F766" s="1">
        <f t="shared" si="127"/>
        <v>15.259999999999764</v>
      </c>
      <c r="G766">
        <f>1/2*$B$8*$B$6*$B$7*(Tabelle2[[#This Row],[vx]]*Tabelle2[[#This Row],[vx]]+Tabelle2[[#This Row],[vy]]*Tabelle2[[#This Row],[vy]])/1000000</f>
        <v>8.9440400893653003</v>
      </c>
      <c r="H766">
        <f>IF($B$3,-Tabelle2[[#This Row],[Fd]]*Tabelle2[[#This Row],[vx]]/Tabelle2[[#This Row],[v]],0)</f>
        <v>-2.8720551322117904</v>
      </c>
      <c r="I766">
        <f t="shared" si="121"/>
        <v>-1.9147034214745269</v>
      </c>
      <c r="J766">
        <f t="shared" si="122"/>
        <v>-3.8294068429490541E-2</v>
      </c>
      <c r="K766">
        <f t="shared" si="123"/>
        <v>0.45628652675872644</v>
      </c>
      <c r="L766">
        <f>-$B$5*$B$12-IF($B$3,Tabelle2[[#This Row],[Fd]]*Tabelle2[[#This Row],[vy]]/Tabelle2[[#This Row],[v]],0)</f>
        <v>-6.2446309149063897</v>
      </c>
      <c r="M766">
        <f t="shared" si="124"/>
        <v>-4.1630872766042595</v>
      </c>
      <c r="N766">
        <f t="shared" si="125"/>
        <v>-8.3261745532085193E-2</v>
      </c>
      <c r="O766">
        <f t="shared" si="126"/>
        <v>-1.3476587614773663</v>
      </c>
      <c r="P766" s="1">
        <f t="shared" si="128"/>
        <v>22.833473372151069</v>
      </c>
      <c r="Q766" s="1">
        <f t="shared" si="129"/>
        <v>-67.341307201102268</v>
      </c>
      <c r="R766">
        <f>SQRT(Tabelle2[[#This Row],[vx]]*Tabelle2[[#This Row],[vx]]+Tabelle2[[#This Row],[vy]]*Tabelle2[[#This Row],[vy]])</f>
        <v>71.107096423563519</v>
      </c>
      <c r="S766">
        <f t="shared" si="130"/>
        <v>591.28746692074787</v>
      </c>
      <c r="T766" s="1">
        <f t="shared" si="131"/>
        <v>-157.14083695404645</v>
      </c>
    </row>
    <row r="767" spans="6:20" x14ac:dyDescent="0.35">
      <c r="F767" s="1">
        <f t="shared" si="127"/>
        <v>15.279999999999763</v>
      </c>
      <c r="G767">
        <f>1/2*$B$8*$B$6*$B$7*(Tabelle2[[#This Row],[vx]]*Tabelle2[[#This Row],[vx]]+Tabelle2[[#This Row],[vy]]*Tabelle2[[#This Row],[vy]])/1000000</f>
        <v>8.9607980021737781</v>
      </c>
      <c r="H767">
        <f>IF($B$3,-Tabelle2[[#This Row],[Fd]]*Tabelle2[[#This Row],[vx]]/Tabelle2[[#This Row],[v]],0)</f>
        <v>-2.869923231744111</v>
      </c>
      <c r="I767">
        <f t="shared" si="121"/>
        <v>-1.9132821544960741</v>
      </c>
      <c r="J767">
        <f t="shared" si="122"/>
        <v>-3.8265643089921482E-2</v>
      </c>
      <c r="K767">
        <f t="shared" si="123"/>
        <v>0.45552092964353236</v>
      </c>
      <c r="L767">
        <f>-$B$5*$B$12-IF($B$3,Tabelle2[[#This Row],[Fd]]*Tabelle2[[#This Row],[vy]]/Tabelle2[[#This Row],[v]],0)</f>
        <v>-6.2262167256044858</v>
      </c>
      <c r="M767">
        <f t="shared" si="124"/>
        <v>-4.1508111504029905</v>
      </c>
      <c r="N767">
        <f t="shared" si="125"/>
        <v>-8.3016223008059817E-2</v>
      </c>
      <c r="O767">
        <f t="shared" si="126"/>
        <v>-1.3493215411627677</v>
      </c>
      <c r="P767" s="1">
        <f t="shared" si="128"/>
        <v>22.795179303721579</v>
      </c>
      <c r="Q767" s="1">
        <f t="shared" si="129"/>
        <v>-67.424568946634352</v>
      </c>
      <c r="R767">
        <f>SQRT(Tabelle2[[#This Row],[vx]]*Tabelle2[[#This Row],[vx]]+Tabelle2[[#This Row],[vy]]*Tabelle2[[#This Row],[vy]])</f>
        <v>71.173679806008806</v>
      </c>
      <c r="S767">
        <f t="shared" si="130"/>
        <v>591.74375344750661</v>
      </c>
      <c r="T767" s="1">
        <f t="shared" si="131"/>
        <v>-158.48849571552381</v>
      </c>
    </row>
    <row r="768" spans="6:20" x14ac:dyDescent="0.35">
      <c r="F768" s="1">
        <f t="shared" si="127"/>
        <v>15.299999999999763</v>
      </c>
      <c r="G768">
        <f>1/2*$B$8*$B$6*$B$7*(Tabelle2[[#This Row],[vx]]*Tabelle2[[#This Row],[vx]]+Tabelle2[[#This Row],[vy]]*Tabelle2[[#This Row],[vy]])/1000000</f>
        <v>8.9775292791852053</v>
      </c>
      <c r="H768">
        <f>IF($B$3,-Tabelle2[[#This Row],[Fd]]*Tabelle2[[#This Row],[vx]]/Tabelle2[[#This Row],[v]],0)</f>
        <v>-2.8677791334151514</v>
      </c>
      <c r="I768">
        <f t="shared" si="121"/>
        <v>-1.911852755610101</v>
      </c>
      <c r="J768">
        <f t="shared" si="122"/>
        <v>-3.8237055112202024E-2</v>
      </c>
      <c r="K768">
        <f t="shared" si="123"/>
        <v>0.45475590266151111</v>
      </c>
      <c r="L768">
        <f>-$B$5*$B$12-IF($B$3,Tabelle2[[#This Row],[Fd]]*Tabelle2[[#This Row],[vy]]/Tabelle2[[#This Row],[v]],0)</f>
        <v>-6.2078339148353106</v>
      </c>
      <c r="M768">
        <f t="shared" si="124"/>
        <v>-4.1385559432235404</v>
      </c>
      <c r="N768">
        <f t="shared" si="125"/>
        <v>-8.2771118864470805E-2</v>
      </c>
      <c r="O768">
        <f t="shared" si="126"/>
        <v>-1.3509794145814928</v>
      </c>
      <c r="P768" s="1">
        <f t="shared" si="128"/>
        <v>22.756913660631657</v>
      </c>
      <c r="Q768" s="1">
        <f t="shared" si="129"/>
        <v>-67.507585169642411</v>
      </c>
      <c r="R768">
        <f>SQRT(Tabelle2[[#This Row],[vx]]*Tabelle2[[#This Row],[vx]]+Tabelle2[[#This Row],[vy]]*Tabelle2[[#This Row],[vy]])</f>
        <v>71.24009527502028</v>
      </c>
      <c r="S768">
        <f t="shared" si="130"/>
        <v>592.19927437715012</v>
      </c>
      <c r="T768" s="1">
        <f t="shared" si="131"/>
        <v>-159.83781725668658</v>
      </c>
    </row>
    <row r="769" spans="6:20" x14ac:dyDescent="0.35">
      <c r="F769" s="1">
        <f t="shared" si="127"/>
        <v>15.319999999999762</v>
      </c>
      <c r="G769">
        <f>1/2*$B$8*$B$6*$B$7*(Tabelle2[[#This Row],[vx]]*Tabelle2[[#This Row],[vx]]+Tabelle2[[#This Row],[vy]]*Tabelle2[[#This Row],[vy]])/1000000</f>
        <v>8.9942338056434927</v>
      </c>
      <c r="H769">
        <f>IF($B$3,-Tabelle2[[#This Row],[Fd]]*Tabelle2[[#This Row],[vx]]/Tabelle2[[#This Row],[v]],0)</f>
        <v>-2.8656229024299016</v>
      </c>
      <c r="I769">
        <f t="shared" si="121"/>
        <v>-1.9104152682866011</v>
      </c>
      <c r="J769">
        <f t="shared" si="122"/>
        <v>-3.8208305365732026E-2</v>
      </c>
      <c r="K769">
        <f t="shared" si="123"/>
        <v>0.45399144905673178</v>
      </c>
      <c r="L769">
        <f>-$B$5*$B$12-IF($B$3,Tabelle2[[#This Row],[Fd]]*Tabelle2[[#This Row],[vy]]/Tabelle2[[#This Row],[v]],0)</f>
        <v>-6.1894825886255163</v>
      </c>
      <c r="M769">
        <f t="shared" si="124"/>
        <v>-4.1263217257503442</v>
      </c>
      <c r="N769">
        <f t="shared" si="125"/>
        <v>-8.252643451500688E-2</v>
      </c>
      <c r="O769">
        <f t="shared" si="126"/>
        <v>-1.3526323901152879</v>
      </c>
      <c r="P769" s="1">
        <f t="shared" si="128"/>
        <v>22.718676605519455</v>
      </c>
      <c r="Q769" s="1">
        <f t="shared" si="129"/>
        <v>-67.590356288506882</v>
      </c>
      <c r="R769">
        <f>SQRT(Tabelle2[[#This Row],[vx]]*Tabelle2[[#This Row],[vx]]+Tabelle2[[#This Row],[vy]]*Tabelle2[[#This Row],[vy]])</f>
        <v>71.306342844893393</v>
      </c>
      <c r="S769">
        <f t="shared" si="130"/>
        <v>592.65403027981165</v>
      </c>
      <c r="T769" s="1">
        <f t="shared" si="131"/>
        <v>-161.18879667126808</v>
      </c>
    </row>
    <row r="770" spans="6:20" x14ac:dyDescent="0.35">
      <c r="F770" s="1">
        <f t="shared" si="127"/>
        <v>15.339999999999762</v>
      </c>
      <c r="G770">
        <f>1/2*$B$8*$B$6*$B$7*(Tabelle2[[#This Row],[vx]]*Tabelle2[[#This Row],[vx]]+Tabelle2[[#This Row],[vy]]*Tabelle2[[#This Row],[vy]])/1000000</f>
        <v>9.0109114681102813</v>
      </c>
      <c r="H770">
        <f>IF($B$3,-Tabelle2[[#This Row],[Fd]]*Tabelle2[[#This Row],[vx]]/Tabelle2[[#This Row],[v]],0)</f>
        <v>-2.8634546040648101</v>
      </c>
      <c r="I770">
        <f t="shared" si="121"/>
        <v>-1.9089697360432067</v>
      </c>
      <c r="J770">
        <f t="shared" si="122"/>
        <v>-3.8179394720864138E-2</v>
      </c>
      <c r="K770">
        <f t="shared" si="123"/>
        <v>0.45322757205586583</v>
      </c>
      <c r="L770">
        <f>-$B$5*$B$12-IF($B$3,Tabelle2[[#This Row],[Fd]]*Tabelle2[[#This Row],[vy]]/Tabelle2[[#This Row],[v]],0)</f>
        <v>-6.1711628517052475</v>
      </c>
      <c r="M770">
        <f t="shared" si="124"/>
        <v>-4.1141085678034983</v>
      </c>
      <c r="N770">
        <f t="shared" si="125"/>
        <v>-8.2282171356069966E-2</v>
      </c>
      <c r="O770">
        <f t="shared" si="126"/>
        <v>-1.3542804761739984</v>
      </c>
      <c r="P770" s="1">
        <f t="shared" si="128"/>
        <v>22.680468300153724</v>
      </c>
      <c r="Q770" s="1">
        <f t="shared" si="129"/>
        <v>-67.672882723021885</v>
      </c>
      <c r="R770">
        <f>SQRT(Tabelle2[[#This Row],[vx]]*Tabelle2[[#This Row],[vx]]+Tabelle2[[#This Row],[vy]]*Tabelle2[[#This Row],[vy]])</f>
        <v>71.372422533904171</v>
      </c>
      <c r="S770">
        <f t="shared" si="130"/>
        <v>593.10802172886838</v>
      </c>
      <c r="T770" s="1">
        <f t="shared" si="131"/>
        <v>-162.54142906138335</v>
      </c>
    </row>
    <row r="771" spans="6:20" x14ac:dyDescent="0.35">
      <c r="F771" s="1">
        <f t="shared" si="127"/>
        <v>15.359999999999761</v>
      </c>
      <c r="G771">
        <f>1/2*$B$8*$B$6*$B$7*(Tabelle2[[#This Row],[vx]]*Tabelle2[[#This Row],[vx]]+Tabelle2[[#This Row],[vy]]*Tabelle2[[#This Row],[vy]])/1000000</f>
        <v>9.0275621544599218</v>
      </c>
      <c r="H771">
        <f>IF($B$3,-Tabelle2[[#This Row],[Fd]]*Tabelle2[[#This Row],[vx]]/Tabelle2[[#This Row],[v]],0)</f>
        <v>-2.8612743036638171</v>
      </c>
      <c r="I771">
        <f t="shared" ref="I771:I834" si="132">H771/$B$5</f>
        <v>-1.9075162024425447</v>
      </c>
      <c r="J771">
        <f t="shared" ref="J771:J834" si="133">I771*$B$13</f>
        <v>-3.8150324048850895E-2</v>
      </c>
      <c r="K771">
        <f t="shared" ref="K771:K834" si="134">$B$13*(P771+J771/2)</f>
        <v>0.4524642748681687</v>
      </c>
      <c r="L771">
        <f>-$B$5*$B$12-IF($B$3,Tabelle2[[#This Row],[Fd]]*Tabelle2[[#This Row],[vy]]/Tabelle2[[#This Row],[v]],0)</f>
        <v>-6.1528748075124344</v>
      </c>
      <c r="M771">
        <f t="shared" ref="M771:M834" si="135">L771/$B$5</f>
        <v>-4.101916538341623</v>
      </c>
      <c r="N771">
        <f t="shared" ref="N771:N834" si="136">M771*$B$13</f>
        <v>-8.2038330766832465E-2</v>
      </c>
      <c r="O771">
        <f t="shared" ref="O771:O834" si="137">$B$13*(Q771+N771/2)</f>
        <v>-1.3559236811952275</v>
      </c>
      <c r="P771" s="1">
        <f t="shared" si="128"/>
        <v>22.64228890543286</v>
      </c>
      <c r="Q771" s="1">
        <f t="shared" si="129"/>
        <v>-67.755164894377955</v>
      </c>
      <c r="R771">
        <f>SQRT(Tabelle2[[#This Row],[vx]]*Tabelle2[[#This Row],[vx]]+Tabelle2[[#This Row],[vy]]*Tabelle2[[#This Row],[vy]])</f>
        <v>71.438334364271356</v>
      </c>
      <c r="S771">
        <f t="shared" si="130"/>
        <v>593.56124930092426</v>
      </c>
      <c r="T771" s="1">
        <f t="shared" si="131"/>
        <v>-163.89570953755737</v>
      </c>
    </row>
    <row r="772" spans="6:20" x14ac:dyDescent="0.35">
      <c r="F772" s="1">
        <f t="shared" ref="F772:F835" si="138">F771+$B$13</f>
        <v>15.379999999999761</v>
      </c>
      <c r="G772">
        <f>1/2*$B$8*$B$6*$B$7*(Tabelle2[[#This Row],[vx]]*Tabelle2[[#This Row],[vx]]+Tabelle2[[#This Row],[vy]]*Tabelle2[[#This Row],[vy]])/1000000</f>
        <v>9.0441857538744035</v>
      </c>
      <c r="H772">
        <f>IF($B$3,-Tabelle2[[#This Row],[Fd]]*Tabelle2[[#This Row],[vx]]/Tabelle2[[#This Row],[v]],0)</f>
        <v>-2.8590820666344237</v>
      </c>
      <c r="I772">
        <f t="shared" si="132"/>
        <v>-1.9060547110896158</v>
      </c>
      <c r="J772">
        <f t="shared" si="133"/>
        <v>-3.8121094221792315E-2</v>
      </c>
      <c r="K772">
        <f t="shared" si="134"/>
        <v>0.4517015606854623</v>
      </c>
      <c r="L772">
        <f>-$B$5*$B$12-IF($B$3,Tabelle2[[#This Row],[Fd]]*Tabelle2[[#This Row],[vy]]/Tabelle2[[#This Row],[v]],0)</f>
        <v>-6.1346185581971859</v>
      </c>
      <c r="M772">
        <f t="shared" si="135"/>
        <v>-4.0897457054647903</v>
      </c>
      <c r="N772">
        <f t="shared" si="136"/>
        <v>-8.1794914109295805E-2</v>
      </c>
      <c r="O772">
        <f t="shared" si="137"/>
        <v>-1.357562013643989</v>
      </c>
      <c r="P772" s="1">
        <f t="shared" ref="P772:P835" si="139">P771+J771</f>
        <v>22.60413858138401</v>
      </c>
      <c r="Q772" s="1">
        <f t="shared" ref="Q772:Q835" si="140">Q771+N771</f>
        <v>-67.837203225144791</v>
      </c>
      <c r="R772">
        <f>SQRT(Tabelle2[[#This Row],[vx]]*Tabelle2[[#This Row],[vx]]+Tabelle2[[#This Row],[vy]]*Tabelle2[[#This Row],[vy]])</f>
        <v>71.504078362118676</v>
      </c>
      <c r="S772">
        <f t="shared" ref="S772:S835" si="141">S771+K771</f>
        <v>594.01371357579239</v>
      </c>
      <c r="T772" s="1">
        <f t="shared" ref="T772:T835" si="142">T771+O771</f>
        <v>-165.2516332187526</v>
      </c>
    </row>
    <row r="773" spans="6:20" x14ac:dyDescent="0.35">
      <c r="F773" s="1">
        <f t="shared" si="138"/>
        <v>15.399999999999761</v>
      </c>
      <c r="G773">
        <f>1/2*$B$8*$B$6*$B$7*(Tabelle2[[#This Row],[vx]]*Tabelle2[[#This Row],[vx]]+Tabelle2[[#This Row],[vy]]*Tabelle2[[#This Row],[vy]])/1000000</f>
        <v>9.0607821568382807</v>
      </c>
      <c r="H773">
        <f>IF($B$3,-Tabelle2[[#This Row],[Fd]]*Tabelle2[[#This Row],[vx]]/Tabelle2[[#This Row],[v]],0)</f>
        <v>-2.8568779584438064</v>
      </c>
      <c r="I773">
        <f t="shared" si="132"/>
        <v>-1.9045853056292044</v>
      </c>
      <c r="J773">
        <f t="shared" si="133"/>
        <v>-3.8091706112584091E-2</v>
      </c>
      <c r="K773">
        <f t="shared" si="134"/>
        <v>0.45093943268211856</v>
      </c>
      <c r="L773">
        <f>-$B$5*$B$12-IF($B$3,Tabelle2[[#This Row],[Fd]]*Tabelle2[[#This Row],[vy]]/Tabelle2[[#This Row],[v]],0)</f>
        <v>-6.1163942046261397</v>
      </c>
      <c r="M773">
        <f t="shared" si="135"/>
        <v>-4.0775961364174265</v>
      </c>
      <c r="N773">
        <f t="shared" si="136"/>
        <v>-8.1551922728348533E-2</v>
      </c>
      <c r="O773">
        <f t="shared" si="137"/>
        <v>-1.3591954820123653</v>
      </c>
      <c r="P773" s="1">
        <f t="shared" si="139"/>
        <v>22.566017487162217</v>
      </c>
      <c r="Q773" s="1">
        <f t="shared" si="140"/>
        <v>-67.918998139254086</v>
      </c>
      <c r="R773">
        <f>SQRT(Tabelle2[[#This Row],[vx]]*Tabelle2[[#This Row],[vx]]+Tabelle2[[#This Row],[vy]]*Tabelle2[[#This Row],[vy]])</f>
        <v>71.569654557437332</v>
      </c>
      <c r="S773">
        <f t="shared" si="141"/>
        <v>594.46541513647787</v>
      </c>
      <c r="T773" s="1">
        <f t="shared" si="142"/>
        <v>-166.60919523239659</v>
      </c>
    </row>
    <row r="774" spans="6:20" x14ac:dyDescent="0.35">
      <c r="F774" s="1">
        <f t="shared" si="138"/>
        <v>15.41999999999976</v>
      </c>
      <c r="G774">
        <f>1/2*$B$8*$B$6*$B$7*(Tabelle2[[#This Row],[vx]]*Tabelle2[[#This Row],[vx]]+Tabelle2[[#This Row],[vy]]*Tabelle2[[#This Row],[vy]])/1000000</f>
        <v>9.0773512551335642</v>
      </c>
      <c r="H774">
        <f>IF($B$3,-Tabelle2[[#This Row],[Fd]]*Tabelle2[[#This Row],[vx]]/Tabelle2[[#This Row],[v]],0)</f>
        <v>-2.8546620446149604</v>
      </c>
      <c r="I774">
        <f t="shared" si="132"/>
        <v>-1.903108029743307</v>
      </c>
      <c r="J774">
        <f t="shared" si="133"/>
        <v>-3.806216059486614E-2</v>
      </c>
      <c r="K774">
        <f t="shared" si="134"/>
        <v>0.45017789401504393</v>
      </c>
      <c r="L774">
        <f>-$B$5*$B$12-IF($B$3,Tabelle2[[#This Row],[Fd]]*Tabelle2[[#This Row],[vy]]/Tabelle2[[#This Row],[v]],0)</f>
        <v>-6.0982018463869299</v>
      </c>
      <c r="M774">
        <f t="shared" si="135"/>
        <v>-4.0654678975912866</v>
      </c>
      <c r="N774">
        <f t="shared" si="136"/>
        <v>-8.1309357951825728E-2</v>
      </c>
      <c r="O774">
        <f t="shared" si="137"/>
        <v>-1.360824094819167</v>
      </c>
      <c r="P774" s="1">
        <f t="shared" si="139"/>
        <v>22.527925781049632</v>
      </c>
      <c r="Q774" s="1">
        <f t="shared" si="140"/>
        <v>-68.000550061982437</v>
      </c>
      <c r="R774">
        <f>SQRT(Tabelle2[[#This Row],[vx]]*Tabelle2[[#This Row],[vx]]+Tabelle2[[#This Row],[vy]]*Tabelle2[[#This Row],[vy]])</f>
        <v>71.635062984048957</v>
      </c>
      <c r="S774">
        <f t="shared" si="141"/>
        <v>594.91635456916003</v>
      </c>
      <c r="T774" s="1">
        <f t="shared" si="142"/>
        <v>-167.96839071440894</v>
      </c>
    </row>
    <row r="775" spans="6:20" x14ac:dyDescent="0.35">
      <c r="F775" s="1">
        <f t="shared" si="138"/>
        <v>15.43999999999976</v>
      </c>
      <c r="G775">
        <f>1/2*$B$8*$B$6*$B$7*(Tabelle2[[#This Row],[vx]]*Tabelle2[[#This Row],[vx]]+Tabelle2[[#This Row],[vy]]*Tabelle2[[#This Row],[vy]])/1000000</f>
        <v>9.0938929418345893</v>
      </c>
      <c r="H775">
        <f>IF($B$3,-Tabelle2[[#This Row],[Fd]]*Tabelle2[[#This Row],[vx]]/Tabelle2[[#This Row],[v]],0)</f>
        <v>-2.8524343907228884</v>
      </c>
      <c r="I775">
        <f t="shared" si="132"/>
        <v>-1.9016229271485923</v>
      </c>
      <c r="J775">
        <f t="shared" si="133"/>
        <v>-3.8032458542971846E-2</v>
      </c>
      <c r="K775">
        <f t="shared" si="134"/>
        <v>0.44941694782366559</v>
      </c>
      <c r="L775">
        <f>-$B$5*$B$12-IF($B$3,Tabelle2[[#This Row],[Fd]]*Tabelle2[[#This Row],[vy]]/Tabelle2[[#This Row],[v]],0)</f>
        <v>-6.0800415817926314</v>
      </c>
      <c r="M775">
        <f t="shared" si="135"/>
        <v>-4.0533610545284207</v>
      </c>
      <c r="N775">
        <f t="shared" si="136"/>
        <v>-8.1067221090568409E-2</v>
      </c>
      <c r="O775">
        <f t="shared" si="137"/>
        <v>-1.3624478606095909</v>
      </c>
      <c r="P775" s="1">
        <f t="shared" si="139"/>
        <v>22.489863620454766</v>
      </c>
      <c r="Q775" s="1">
        <f t="shared" si="140"/>
        <v>-68.081859419934261</v>
      </c>
      <c r="R775">
        <f>SQRT(Tabelle2[[#This Row],[vx]]*Tabelle2[[#This Row],[vx]]+Tabelle2[[#This Row],[vy]]*Tabelle2[[#This Row],[vy]])</f>
        <v>71.70030367956852</v>
      </c>
      <c r="S775">
        <f t="shared" si="141"/>
        <v>595.36653246317508</v>
      </c>
      <c r="T775" s="1">
        <f t="shared" si="142"/>
        <v>-169.32921480922812</v>
      </c>
    </row>
    <row r="776" spans="6:20" x14ac:dyDescent="0.35">
      <c r="F776" s="1">
        <f t="shared" si="138"/>
        <v>15.459999999999759</v>
      </c>
      <c r="G776">
        <f>1/2*$B$8*$B$6*$B$7*(Tabelle2[[#This Row],[vx]]*Tabelle2[[#This Row],[vx]]+Tabelle2[[#This Row],[vy]]*Tabelle2[[#This Row],[vy]])/1000000</f>
        <v>9.1104071113028766</v>
      </c>
      <c r="H776">
        <f>IF($B$3,-Tabelle2[[#This Row],[Fd]]*Tabelle2[[#This Row],[vx]]/Tabelle2[[#This Row],[v]],0)</f>
        <v>-2.8501950623908239</v>
      </c>
      <c r="I776">
        <f t="shared" si="132"/>
        <v>-1.9001300415938827</v>
      </c>
      <c r="J776">
        <f t="shared" si="133"/>
        <v>-3.8002600831877655E-2</v>
      </c>
      <c r="K776">
        <f t="shared" si="134"/>
        <v>0.44865659722991708</v>
      </c>
      <c r="L776">
        <f>-$B$5*$B$12-IF($B$3,Tabelle2[[#This Row],[Fd]]*Tabelle2[[#This Row],[vy]]/Tabelle2[[#This Row],[v]],0)</f>
        <v>-6.0619135078862758</v>
      </c>
      <c r="M776">
        <f t="shared" si="135"/>
        <v>-4.0412756719241836</v>
      </c>
      <c r="N776">
        <f t="shared" si="136"/>
        <v>-8.0825513438483668E-2</v>
      </c>
      <c r="O776">
        <f t="shared" si="137"/>
        <v>-1.3640667879548816</v>
      </c>
      <c r="P776" s="1">
        <f t="shared" si="139"/>
        <v>22.451831161911795</v>
      </c>
      <c r="Q776" s="1">
        <f t="shared" si="140"/>
        <v>-68.162926641024825</v>
      </c>
      <c r="R776">
        <f>SQRT(Tabelle2[[#This Row],[vx]]*Tabelle2[[#This Row],[vx]]+Tabelle2[[#This Row],[vy]]*Tabelle2[[#This Row],[vy]])</f>
        <v>71.765376685367755</v>
      </c>
      <c r="S776">
        <f t="shared" si="141"/>
        <v>595.81594941099877</v>
      </c>
      <c r="T776" s="1">
        <f t="shared" si="142"/>
        <v>-170.69166266983771</v>
      </c>
    </row>
    <row r="777" spans="6:20" x14ac:dyDescent="0.35">
      <c r="F777" s="1">
        <f t="shared" si="138"/>
        <v>15.479999999999759</v>
      </c>
      <c r="G777">
        <f>1/2*$B$8*$B$6*$B$7*(Tabelle2[[#This Row],[vx]]*Tabelle2[[#This Row],[vx]]+Tabelle2[[#This Row],[vy]]*Tabelle2[[#This Row],[vy]])/1000000</f>
        <v>9.1268936591819596</v>
      </c>
      <c r="H777">
        <f>IF($B$3,-Tabelle2[[#This Row],[Fd]]*Tabelle2[[#This Row],[vx]]/Tabelle2[[#This Row],[v]],0)</f>
        <v>-2.8479441252864945</v>
      </c>
      <c r="I777">
        <f t="shared" si="132"/>
        <v>-1.898629416857663</v>
      </c>
      <c r="J777">
        <f t="shared" si="133"/>
        <v>-3.7972588337153258E-2</v>
      </c>
      <c r="K777">
        <f t="shared" si="134"/>
        <v>0.44789684533822682</v>
      </c>
      <c r="L777">
        <f>-$B$5*$B$12-IF($B$3,Tabelle2[[#This Row],[Fd]]*Tabelle2[[#This Row],[vy]]/Tabelle2[[#This Row],[v]],0)</f>
        <v>-6.043817720445384</v>
      </c>
      <c r="M777">
        <f t="shared" si="135"/>
        <v>-4.0292118136302557</v>
      </c>
      <c r="N777">
        <f t="shared" si="136"/>
        <v>-8.0584236272605123E-2</v>
      </c>
      <c r="O777">
        <f t="shared" si="137"/>
        <v>-1.3656808854519924</v>
      </c>
      <c r="P777" s="1">
        <f t="shared" si="139"/>
        <v>22.413828561079917</v>
      </c>
      <c r="Q777" s="1">
        <f t="shared" si="140"/>
        <v>-68.243752154463309</v>
      </c>
      <c r="R777">
        <f>SQRT(Tabelle2[[#This Row],[vx]]*Tabelle2[[#This Row],[vx]]+Tabelle2[[#This Row],[vy]]*Tabelle2[[#This Row],[vy]])</f>
        <v>71.830282046538684</v>
      </c>
      <c r="S777">
        <f t="shared" si="141"/>
        <v>596.26460600822872</v>
      </c>
      <c r="T777" s="1">
        <f t="shared" si="142"/>
        <v>-172.05572945779258</v>
      </c>
    </row>
    <row r="778" spans="6:20" x14ac:dyDescent="0.35">
      <c r="F778" s="1">
        <f t="shared" si="138"/>
        <v>15.499999999999758</v>
      </c>
      <c r="G778">
        <f>1/2*$B$8*$B$6*$B$7*(Tabelle2[[#This Row],[vx]]*Tabelle2[[#This Row],[vx]]+Tabelle2[[#This Row],[vy]]*Tabelle2[[#This Row],[vy]])/1000000</f>
        <v>9.1433524823921832</v>
      </c>
      <c r="H778">
        <f>IF($B$3,-Tabelle2[[#This Row],[Fd]]*Tabelle2[[#This Row],[vx]]/Tabelle2[[#This Row],[v]],0)</f>
        <v>-2.8456816451184164</v>
      </c>
      <c r="I778">
        <f t="shared" si="132"/>
        <v>-1.8971210967456109</v>
      </c>
      <c r="J778">
        <f t="shared" si="133"/>
        <v>-3.7942421934912221E-2</v>
      </c>
      <c r="K778">
        <f t="shared" si="134"/>
        <v>0.44713769523550612</v>
      </c>
      <c r="L778">
        <f>-$B$5*$B$12-IF($B$3,Tabelle2[[#This Row],[Fd]]*Tabelle2[[#This Row],[vy]]/Tabelle2[[#This Row],[v]],0)</f>
        <v>-6.0257543139865462</v>
      </c>
      <c r="M778">
        <f t="shared" si="135"/>
        <v>-4.0171695426576974</v>
      </c>
      <c r="N778">
        <f t="shared" si="136"/>
        <v>-8.0343390853153951E-2</v>
      </c>
      <c r="O778">
        <f t="shared" si="137"/>
        <v>-1.3672901617232498</v>
      </c>
      <c r="P778" s="1">
        <f t="shared" si="139"/>
        <v>22.375855972742762</v>
      </c>
      <c r="Q778" s="1">
        <f t="shared" si="140"/>
        <v>-68.324336390735908</v>
      </c>
      <c r="R778">
        <f>SQRT(Tabelle2[[#This Row],[vx]]*Tabelle2[[#This Row],[vx]]+Tabelle2[[#This Row],[vy]]*Tabelle2[[#This Row],[vy]])</f>
        <v>71.895019811857395</v>
      </c>
      <c r="S778">
        <f t="shared" si="141"/>
        <v>596.712502853567</v>
      </c>
      <c r="T778" s="1">
        <f t="shared" si="142"/>
        <v>-173.42141034324456</v>
      </c>
    </row>
    <row r="779" spans="6:20" x14ac:dyDescent="0.35">
      <c r="F779" s="1">
        <f t="shared" si="138"/>
        <v>15.519999999999758</v>
      </c>
      <c r="G779">
        <f>1/2*$B$8*$B$6*$B$7*(Tabelle2[[#This Row],[vx]]*Tabelle2[[#This Row],[vx]]+Tabelle2[[#This Row],[vy]]*Tabelle2[[#This Row],[vy]])/1000000</f>
        <v>9.1597834791255046</v>
      </c>
      <c r="H779">
        <f>IF($B$3,-Tabelle2[[#This Row],[Fd]]*Tabelle2[[#This Row],[vx]]/Tabelle2[[#This Row],[v]],0)</f>
        <v>-2.8434076876322361</v>
      </c>
      <c r="I779">
        <f t="shared" si="132"/>
        <v>-1.8956051250881574</v>
      </c>
      <c r="J779">
        <f t="shared" si="133"/>
        <v>-3.7912102501763148E-2</v>
      </c>
      <c r="K779">
        <f t="shared" si="134"/>
        <v>0.44637914999113937</v>
      </c>
      <c r="L779">
        <f>-$B$5*$B$12-IF($B$3,Tabelle2[[#This Row],[Fd]]*Tabelle2[[#This Row],[vy]]/Tabelle2[[#This Row],[v]],0)</f>
        <v>-6.0077233817700257</v>
      </c>
      <c r="M779">
        <f t="shared" si="135"/>
        <v>-4.0051489211800169</v>
      </c>
      <c r="N779">
        <f t="shared" si="136"/>
        <v>-8.0102978423600341E-2</v>
      </c>
      <c r="O779">
        <f t="shared" si="137"/>
        <v>-1.3688946254160175</v>
      </c>
      <c r="P779" s="1">
        <f t="shared" si="139"/>
        <v>22.337913550807851</v>
      </c>
      <c r="Q779" s="1">
        <f t="shared" si="140"/>
        <v>-68.404679781589067</v>
      </c>
      <c r="R779">
        <f>SQRT(Tabelle2[[#This Row],[vx]]*Tabelle2[[#This Row],[vx]]+Tabelle2[[#This Row],[vy]]*Tabelle2[[#This Row],[vy]])</f>
        <v>71.959590033748142</v>
      </c>
      <c r="S779">
        <f t="shared" si="141"/>
        <v>597.15964054880249</v>
      </c>
      <c r="T779" s="1">
        <f t="shared" si="142"/>
        <v>-174.78870050496781</v>
      </c>
    </row>
    <row r="780" spans="6:20" x14ac:dyDescent="0.35">
      <c r="F780" s="1">
        <f t="shared" si="138"/>
        <v>15.539999999999758</v>
      </c>
      <c r="G780">
        <f>1/2*$B$8*$B$6*$B$7*(Tabelle2[[#This Row],[vx]]*Tabelle2[[#This Row],[vx]]+Tabelle2[[#This Row],[vy]]*Tabelle2[[#This Row],[vy]])/1000000</f>
        <v>9.1761865488402599</v>
      </c>
      <c r="H780">
        <f>IF($B$3,-Tabelle2[[#This Row],[Fd]]*Tabelle2[[#This Row],[vx]]/Tabelle2[[#This Row],[v]],0)</f>
        <v>-2.8411223186071002</v>
      </c>
      <c r="I780">
        <f t="shared" si="132"/>
        <v>-1.8940815457380669</v>
      </c>
      <c r="J780">
        <f t="shared" si="133"/>
        <v>-3.7881630914761336E-2</v>
      </c>
      <c r="K780">
        <f t="shared" si="134"/>
        <v>0.44562121265697413</v>
      </c>
      <c r="L780">
        <f>-$B$5*$B$12-IF($B$3,Tabelle2[[#This Row],[Fd]]*Tabelle2[[#This Row],[vy]]/Tabelle2[[#This Row],[v]],0)</f>
        <v>-5.9897250158043995</v>
      </c>
      <c r="M780">
        <f t="shared" si="135"/>
        <v>-3.9931500105362665</v>
      </c>
      <c r="N780">
        <f t="shared" si="136"/>
        <v>-7.986300021072533E-2</v>
      </c>
      <c r="O780">
        <f t="shared" si="137"/>
        <v>-1.3704942852023607</v>
      </c>
      <c r="P780" s="1">
        <f t="shared" si="139"/>
        <v>22.300001448306087</v>
      </c>
      <c r="Q780" s="1">
        <f t="shared" si="140"/>
        <v>-68.484782760012664</v>
      </c>
      <c r="R780">
        <f>SQRT(Tabelle2[[#This Row],[vx]]*Tabelle2[[#This Row],[vx]]+Tabelle2[[#This Row],[vy]]*Tabelle2[[#This Row],[vy]])</f>
        <v>72.023992768247595</v>
      </c>
      <c r="S780">
        <f t="shared" si="141"/>
        <v>597.6060196987936</v>
      </c>
      <c r="T780" s="1">
        <f t="shared" si="142"/>
        <v>-176.15759513038381</v>
      </c>
    </row>
    <row r="781" spans="6:20" x14ac:dyDescent="0.35">
      <c r="F781" s="1">
        <f t="shared" si="138"/>
        <v>15.559999999999757</v>
      </c>
      <c r="G781">
        <f>1/2*$B$8*$B$6*$B$7*(Tabelle2[[#This Row],[vx]]*Tabelle2[[#This Row],[vx]]+Tabelle2[[#This Row],[vy]]*Tabelle2[[#This Row],[vy]])/1000000</f>
        <v>9.1925615922559079</v>
      </c>
      <c r="H781">
        <f>IF($B$3,-Tabelle2[[#This Row],[Fd]]*Tabelle2[[#This Row],[vx]]/Tabelle2[[#This Row],[v]],0)</f>
        <v>-2.8388256038520678</v>
      </c>
      <c r="I781">
        <f t="shared" si="132"/>
        <v>-1.8925504025680453</v>
      </c>
      <c r="J781">
        <f t="shared" si="133"/>
        <v>-3.7851008051360907E-2</v>
      </c>
      <c r="K781">
        <f t="shared" si="134"/>
        <v>0.44486388626731294</v>
      </c>
      <c r="L781">
        <f>-$B$5*$B$12-IF($B$3,Tabelle2[[#This Row],[Fd]]*Tabelle2[[#This Row],[vy]]/Tabelle2[[#This Row],[v]],0)</f>
        <v>-5.97175930685124</v>
      </c>
      <c r="M781">
        <f t="shared" si="135"/>
        <v>-3.9811728712341599</v>
      </c>
      <c r="N781">
        <f t="shared" si="136"/>
        <v>-7.96234574246832E-2</v>
      </c>
      <c r="O781">
        <f t="shared" si="137"/>
        <v>-1.3720891497787144</v>
      </c>
      <c r="P781" s="1">
        <f t="shared" si="139"/>
        <v>22.262119817391326</v>
      </c>
      <c r="Q781" s="1">
        <f t="shared" si="140"/>
        <v>-68.564645760223385</v>
      </c>
      <c r="R781">
        <f>SQRT(Tabelle2[[#This Row],[vx]]*Tabelle2[[#This Row],[vx]]+Tabelle2[[#This Row],[vy]]*Tabelle2[[#This Row],[vy]])</f>
        <v>72.088228074969408</v>
      </c>
      <c r="S781">
        <f t="shared" si="141"/>
        <v>598.05164091145059</v>
      </c>
      <c r="T781" s="1">
        <f t="shared" si="142"/>
        <v>-177.52808941558618</v>
      </c>
    </row>
    <row r="782" spans="6:20" x14ac:dyDescent="0.35">
      <c r="F782" s="1">
        <f t="shared" si="138"/>
        <v>15.579999999999757</v>
      </c>
      <c r="G782">
        <f>1/2*$B$8*$B$6*$B$7*(Tabelle2[[#This Row],[vx]]*Tabelle2[[#This Row],[vx]]+Tabelle2[[#This Row],[vy]]*Tabelle2[[#This Row],[vy]])/1000000</f>
        <v>9.2089085113477651</v>
      </c>
      <c r="H782">
        <f>IF($B$3,-Tabelle2[[#This Row],[Fd]]*Tabelle2[[#This Row],[vx]]/Tabelle2[[#This Row],[v]],0)</f>
        <v>-2.8365176092025539</v>
      </c>
      <c r="I782">
        <f t="shared" si="132"/>
        <v>-1.8910117394683692</v>
      </c>
      <c r="J782">
        <f t="shared" si="133"/>
        <v>-3.7820234789367385E-2</v>
      </c>
      <c r="K782">
        <f t="shared" si="134"/>
        <v>0.44410717383890563</v>
      </c>
      <c r="L782">
        <f>-$B$5*$B$12-IF($B$3,Tabelle2[[#This Row],[Fd]]*Tabelle2[[#This Row],[vy]]/Tabelle2[[#This Row],[v]],0)</f>
        <v>-5.9538263444298085</v>
      </c>
      <c r="M782">
        <f t="shared" si="135"/>
        <v>-3.9692175629532058</v>
      </c>
      <c r="N782">
        <f t="shared" si="136"/>
        <v>-7.9384351259064123E-2</v>
      </c>
      <c r="O782">
        <f t="shared" si="137"/>
        <v>-1.3736792278655521</v>
      </c>
      <c r="P782" s="1">
        <f t="shared" si="139"/>
        <v>22.224268809339964</v>
      </c>
      <c r="Q782" s="1">
        <f t="shared" si="140"/>
        <v>-68.644269217648073</v>
      </c>
      <c r="R782">
        <f>SQRT(Tabelle2[[#This Row],[vx]]*Tabelle2[[#This Row],[vx]]+Tabelle2[[#This Row],[vy]]*Tabelle2[[#This Row],[vy]])</f>
        <v>72.152296017068977</v>
      </c>
      <c r="S782">
        <f t="shared" si="141"/>
        <v>598.49650479771788</v>
      </c>
      <c r="T782" s="1">
        <f t="shared" si="142"/>
        <v>-178.90017856536488</v>
      </c>
    </row>
    <row r="783" spans="6:20" x14ac:dyDescent="0.35">
      <c r="F783" s="1">
        <f t="shared" si="138"/>
        <v>15.599999999999756</v>
      </c>
      <c r="G783">
        <f>1/2*$B$8*$B$6*$B$7*(Tabelle2[[#This Row],[vx]]*Tabelle2[[#This Row],[vx]]+Tabelle2[[#This Row],[vy]]*Tabelle2[[#This Row],[vy]])/1000000</f>
        <v>9.2252272093417229</v>
      </c>
      <c r="H783">
        <f>IF($B$3,-Tabelle2[[#This Row],[Fd]]*Tabelle2[[#This Row],[vx]]/Tabelle2[[#This Row],[v]],0)</f>
        <v>-2.8341984005168168</v>
      </c>
      <c r="I783">
        <f t="shared" si="132"/>
        <v>-1.8894656003445445</v>
      </c>
      <c r="J783">
        <f t="shared" si="133"/>
        <v>-3.7789312006890889E-2</v>
      </c>
      <c r="K783">
        <f t="shared" si="134"/>
        <v>0.44335107837094301</v>
      </c>
      <c r="L783">
        <f>-$B$5*$B$12-IF($B$3,Tabelle2[[#This Row],[Fd]]*Tabelle2[[#This Row],[vy]]/Tabelle2[[#This Row],[v]],0)</f>
        <v>-5.9359262168217999</v>
      </c>
      <c r="M783">
        <f t="shared" si="135"/>
        <v>-3.9572841445478666</v>
      </c>
      <c r="N783">
        <f t="shared" si="136"/>
        <v>-7.9145682890957331E-2</v>
      </c>
      <c r="O783">
        <f t="shared" si="137"/>
        <v>-1.3752645282070524</v>
      </c>
      <c r="P783" s="1">
        <f t="shared" si="139"/>
        <v>22.186448574550596</v>
      </c>
      <c r="Q783" s="1">
        <f t="shared" si="140"/>
        <v>-68.723653568907139</v>
      </c>
      <c r="R783">
        <f>SQRT(Tabelle2[[#This Row],[vx]]*Tabelle2[[#This Row],[vx]]+Tabelle2[[#This Row],[vy]]*Tabelle2[[#This Row],[vy]])</f>
        <v>72.2161966612085</v>
      </c>
      <c r="S783">
        <f t="shared" si="141"/>
        <v>598.94061197155679</v>
      </c>
      <c r="T783" s="1">
        <f t="shared" si="142"/>
        <v>-180.27385779323043</v>
      </c>
    </row>
    <row r="784" spans="6:20" x14ac:dyDescent="0.35">
      <c r="F784" s="1">
        <f t="shared" si="138"/>
        <v>15.619999999999756</v>
      </c>
      <c r="G784">
        <f>1/2*$B$8*$B$6*$B$7*(Tabelle2[[#This Row],[vx]]*Tabelle2[[#This Row],[vx]]+Tabelle2[[#This Row],[vy]]*Tabelle2[[#This Row],[vy]])/1000000</f>
        <v>9.2415175907089306</v>
      </c>
      <c r="H784">
        <f>IF($B$3,-Tabelle2[[#This Row],[Fd]]*Tabelle2[[#This Row],[vx]]/Tabelle2[[#This Row],[v]],0)</f>
        <v>-2.831868043672475</v>
      </c>
      <c r="I784">
        <f t="shared" si="132"/>
        <v>-1.8879120291149833</v>
      </c>
      <c r="J784">
        <f t="shared" si="133"/>
        <v>-3.7758240582299665E-2</v>
      </c>
      <c r="K784">
        <f t="shared" si="134"/>
        <v>0.44259560284505112</v>
      </c>
      <c r="L784">
        <f>-$B$5*$B$12-IF($B$3,Tabelle2[[#This Row],[Fd]]*Tabelle2[[#This Row],[vy]]/Tabelle2[[#This Row],[v]],0)</f>
        <v>-5.9180590110761102</v>
      </c>
      <c r="M784">
        <f t="shared" si="135"/>
        <v>-3.94537267405074</v>
      </c>
      <c r="N784">
        <f t="shared" si="136"/>
        <v>-7.89074534810148E-2</v>
      </c>
      <c r="O784">
        <f t="shared" si="137"/>
        <v>-1.376845059570772</v>
      </c>
      <c r="P784" s="1">
        <f t="shared" si="139"/>
        <v>22.148659262543706</v>
      </c>
      <c r="Q784" s="1">
        <f t="shared" si="140"/>
        <v>-68.802799251798092</v>
      </c>
      <c r="R784">
        <f>SQRT(Tabelle2[[#This Row],[vx]]*Tabelle2[[#This Row],[vx]]+Tabelle2[[#This Row],[vy]]*Tabelle2[[#This Row],[vy]])</f>
        <v>72.279930077522152</v>
      </c>
      <c r="S784">
        <f t="shared" si="141"/>
        <v>599.38396304992773</v>
      </c>
      <c r="T784" s="1">
        <f t="shared" si="142"/>
        <v>-181.64912232143749</v>
      </c>
    </row>
    <row r="785" spans="6:20" x14ac:dyDescent="0.35">
      <c r="F785" s="1">
        <f t="shared" si="138"/>
        <v>15.639999999999755</v>
      </c>
      <c r="G785">
        <f>1/2*$B$8*$B$6*$B$7*(Tabelle2[[#This Row],[vx]]*Tabelle2[[#This Row],[vx]]+Tabelle2[[#This Row],[vy]]*Tabelle2[[#This Row],[vy]])/1000000</f>
        <v>9.2577795611604881</v>
      </c>
      <c r="H785">
        <f>IF($B$3,-Tabelle2[[#This Row],[Fd]]*Tabelle2[[#This Row],[vx]]/Tabelle2[[#This Row],[v]],0)</f>
        <v>-2.8295266045630627</v>
      </c>
      <c r="I785">
        <f t="shared" si="132"/>
        <v>-1.8863510697087085</v>
      </c>
      <c r="J785">
        <f t="shared" si="133"/>
        <v>-3.7727021394174172E-2</v>
      </c>
      <c r="K785">
        <f t="shared" si="134"/>
        <v>0.4418407502252864</v>
      </c>
      <c r="L785">
        <f>-$B$5*$B$12-IF($B$3,Tabelle2[[#This Row],[Fd]]*Tabelle2[[#This Row],[vy]]/Tabelle2[[#This Row],[v]],0)</f>
        <v>-5.9002248130136241</v>
      </c>
      <c r="M785">
        <f t="shared" si="135"/>
        <v>-3.9334832086757494</v>
      </c>
      <c r="N785">
        <f t="shared" si="136"/>
        <v>-7.8669664173514994E-2</v>
      </c>
      <c r="O785">
        <f t="shared" si="137"/>
        <v>-1.3784208307473171</v>
      </c>
      <c r="P785" s="1">
        <f t="shared" si="139"/>
        <v>22.110901021961407</v>
      </c>
      <c r="Q785" s="1">
        <f t="shared" si="140"/>
        <v>-68.8817067052791</v>
      </c>
      <c r="R785">
        <f>SQRT(Tabelle2[[#This Row],[vx]]*Tabelle2[[#This Row],[vx]]+Tabelle2[[#This Row],[vy]]*Tabelle2[[#This Row],[vy]])</f>
        <v>72.343496339581662</v>
      </c>
      <c r="S785">
        <f t="shared" si="141"/>
        <v>599.82655865277275</v>
      </c>
      <c r="T785" s="1">
        <f t="shared" si="142"/>
        <v>-183.02596738100826</v>
      </c>
    </row>
    <row r="786" spans="6:20" x14ac:dyDescent="0.35">
      <c r="F786" s="1">
        <f t="shared" si="138"/>
        <v>15.659999999999755</v>
      </c>
      <c r="G786">
        <f>1/2*$B$8*$B$6*$B$7*(Tabelle2[[#This Row],[vx]]*Tabelle2[[#This Row],[vx]]+Tabelle2[[#This Row],[vy]]*Tabelle2[[#This Row],[vy]])/1000000</f>
        <v>9.2740130276420967</v>
      </c>
      <c r="H786">
        <f>IF($B$3,-Tabelle2[[#This Row],[Fd]]*Tabelle2[[#This Row],[vx]]/Tabelle2[[#This Row],[v]],0)</f>
        <v>-2.8271741490946214</v>
      </c>
      <c r="I786">
        <f t="shared" si="132"/>
        <v>-1.8847827660630809</v>
      </c>
      <c r="J786">
        <f t="shared" si="133"/>
        <v>-3.7695655321261616E-2</v>
      </c>
      <c r="K786">
        <f t="shared" si="134"/>
        <v>0.44108652345813198</v>
      </c>
      <c r="L786">
        <f>-$B$5*$B$12-IF($B$3,Tabelle2[[#This Row],[Fd]]*Tabelle2[[#This Row],[vy]]/Tabelle2[[#This Row],[v]],0)</f>
        <v>-5.8824237072320482</v>
      </c>
      <c r="M786">
        <f t="shared" si="135"/>
        <v>-3.9216158048213656</v>
      </c>
      <c r="N786">
        <f t="shared" si="136"/>
        <v>-7.8432316096427313E-2</v>
      </c>
      <c r="O786">
        <f t="shared" si="137"/>
        <v>-1.3799918505500168</v>
      </c>
      <c r="P786" s="1">
        <f t="shared" si="139"/>
        <v>22.073174000567231</v>
      </c>
      <c r="Q786" s="1">
        <f t="shared" si="140"/>
        <v>-68.960376369452618</v>
      </c>
      <c r="R786">
        <f>SQRT(Tabelle2[[#This Row],[vx]]*Tabelle2[[#This Row],[vx]]+Tabelle2[[#This Row],[vy]]*Tabelle2[[#This Row],[vy]])</f>
        <v>72.406895524362014</v>
      </c>
      <c r="S786">
        <f t="shared" si="141"/>
        <v>600.26839940299806</v>
      </c>
      <c r="T786" s="1">
        <f t="shared" si="142"/>
        <v>-184.40438821175559</v>
      </c>
    </row>
    <row r="787" spans="6:20" x14ac:dyDescent="0.35">
      <c r="F787" s="1">
        <f t="shared" si="138"/>
        <v>15.679999999999755</v>
      </c>
      <c r="G787">
        <f>1/2*$B$8*$B$6*$B$7*(Tabelle2[[#This Row],[vx]]*Tabelle2[[#This Row],[vx]]+Tabelle2[[#This Row],[vy]]*Tabelle2[[#This Row],[vy]])/1000000</f>
        <v>9.2902178983287094</v>
      </c>
      <c r="H787">
        <f>IF($B$3,-Tabelle2[[#This Row],[Fd]]*Tabelle2[[#This Row],[vx]]/Tabelle2[[#This Row],[v]],0)</f>
        <v>-2.8248107431823293</v>
      </c>
      <c r="I787">
        <f t="shared" si="132"/>
        <v>-1.8832071621215529</v>
      </c>
      <c r="J787">
        <f t="shared" si="133"/>
        <v>-3.7664143242431058E-2</v>
      </c>
      <c r="K787">
        <f t="shared" si="134"/>
        <v>0.44033292547249508</v>
      </c>
      <c r="L787">
        <f>-$B$5*$B$12-IF($B$3,Tabelle2[[#This Row],[Fd]]*Tabelle2[[#This Row],[vy]]/Tabelle2[[#This Row],[v]],0)</f>
        <v>-5.8646557771107695</v>
      </c>
      <c r="M787">
        <f t="shared" si="135"/>
        <v>-3.9097705180738465</v>
      </c>
      <c r="N787">
        <f t="shared" si="136"/>
        <v>-7.8195410361476925E-2</v>
      </c>
      <c r="O787">
        <f t="shared" si="137"/>
        <v>-1.3815581278145956</v>
      </c>
      <c r="P787" s="1">
        <f t="shared" si="139"/>
        <v>22.03547834524597</v>
      </c>
      <c r="Q787" s="1">
        <f t="shared" si="140"/>
        <v>-69.038808685549043</v>
      </c>
      <c r="R787">
        <f>SQRT(Tabelle2[[#This Row],[vx]]*Tabelle2[[#This Row],[vx]]+Tabelle2[[#This Row],[vy]]*Tabelle2[[#This Row],[vy]])</f>
        <v>72.470127712207372</v>
      </c>
      <c r="S787">
        <f t="shared" si="141"/>
        <v>600.70948592645618</v>
      </c>
      <c r="T787" s="1">
        <f t="shared" si="142"/>
        <v>-185.78438006230562</v>
      </c>
    </row>
    <row r="788" spans="6:20" x14ac:dyDescent="0.35">
      <c r="F788" s="1">
        <f t="shared" si="138"/>
        <v>15.699999999999754</v>
      </c>
      <c r="G788">
        <f>1/2*$B$8*$B$6*$B$7*(Tabelle2[[#This Row],[vx]]*Tabelle2[[#This Row],[vx]]+Tabelle2[[#This Row],[vy]]*Tabelle2[[#This Row],[vy]])/1000000</f>
        <v>9.3063940826191462</v>
      </c>
      <c r="H788">
        <f>IF($B$3,-Tabelle2[[#This Row],[Fd]]*Tabelle2[[#This Row],[vx]]/Tabelle2[[#This Row],[v]],0)</f>
        <v>-2.8224364527471577</v>
      </c>
      <c r="I788">
        <f t="shared" si="132"/>
        <v>-1.8816243018314385</v>
      </c>
      <c r="J788">
        <f t="shared" si="133"/>
        <v>-3.7632486036628769E-2</v>
      </c>
      <c r="K788">
        <f t="shared" si="134"/>
        <v>0.43957995917970449</v>
      </c>
      <c r="L788">
        <f>-$B$5*$B$12-IF($B$3,Tabelle2[[#This Row],[Fd]]*Tabelle2[[#This Row],[vy]]/Tabelle2[[#This Row],[v]],0)</f>
        <v>-5.8469211048157277</v>
      </c>
      <c r="M788">
        <f t="shared" si="135"/>
        <v>-3.8979474032104853</v>
      </c>
      <c r="N788">
        <f t="shared" si="136"/>
        <v>-7.7958948064209707E-2</v>
      </c>
      <c r="O788">
        <f t="shared" si="137"/>
        <v>-1.3831196713988525</v>
      </c>
      <c r="P788" s="1">
        <f t="shared" si="139"/>
        <v>21.997814202003539</v>
      </c>
      <c r="Q788" s="1">
        <f t="shared" si="140"/>
        <v>-69.117004095910517</v>
      </c>
      <c r="R788">
        <f>SQRT(Tabelle2[[#This Row],[vx]]*Tabelle2[[#This Row],[vx]]+Tabelle2[[#This Row],[vy]]*Tabelle2[[#This Row],[vy]])</f>
        <v>72.533192986797289</v>
      </c>
      <c r="S788">
        <f t="shared" si="141"/>
        <v>601.14981885192867</v>
      </c>
      <c r="T788" s="1">
        <f t="shared" si="142"/>
        <v>-187.16593819012022</v>
      </c>
    </row>
    <row r="789" spans="6:20" x14ac:dyDescent="0.35">
      <c r="F789" s="1">
        <f t="shared" si="138"/>
        <v>15.719999999999754</v>
      </c>
      <c r="G789">
        <f>1/2*$B$8*$B$6*$B$7*(Tabelle2[[#This Row],[vx]]*Tabelle2[[#This Row],[vx]]+Tabelle2[[#This Row],[vy]]*Tabelle2[[#This Row],[vy]])/1000000</f>
        <v>9.3225414911307283</v>
      </c>
      <c r="H789">
        <f>IF($B$3,-Tabelle2[[#This Row],[Fd]]*Tabelle2[[#This Row],[vx]]/Tabelle2[[#This Row],[v]],0)</f>
        <v>-2.8200513437125752</v>
      </c>
      <c r="I789">
        <f t="shared" si="132"/>
        <v>-1.8800342291417167</v>
      </c>
      <c r="J789">
        <f t="shared" si="133"/>
        <v>-3.7600684582834332E-2</v>
      </c>
      <c r="K789">
        <f t="shared" si="134"/>
        <v>0.4388276274735099</v>
      </c>
      <c r="L789">
        <f>-$B$5*$B$12-IF($B$3,Tabelle2[[#This Row],[Fd]]*Tabelle2[[#This Row],[vy]]/Tabelle2[[#This Row],[v]],0)</f>
        <v>-5.8292197713043308</v>
      </c>
      <c r="M789">
        <f t="shared" si="135"/>
        <v>-3.886146514202887</v>
      </c>
      <c r="N789">
        <f t="shared" si="136"/>
        <v>-7.7722930284057745E-2</v>
      </c>
      <c r="O789">
        <f t="shared" si="137"/>
        <v>-1.3846764901823352</v>
      </c>
      <c r="P789" s="1">
        <f t="shared" si="139"/>
        <v>21.960181715966911</v>
      </c>
      <c r="Q789" s="1">
        <f t="shared" si="140"/>
        <v>-69.194963043974724</v>
      </c>
      <c r="R789">
        <f>SQRT(Tabelle2[[#This Row],[vx]]*Tabelle2[[#This Row],[vx]]+Tabelle2[[#This Row],[vy]]*Tabelle2[[#This Row],[vy]])</f>
        <v>72.596091435113195</v>
      </c>
      <c r="S789">
        <f t="shared" si="141"/>
        <v>601.58939881110837</v>
      </c>
      <c r="T789" s="1">
        <f t="shared" si="142"/>
        <v>-188.54905786151906</v>
      </c>
    </row>
    <row r="790" spans="6:20" x14ac:dyDescent="0.35">
      <c r="F790" s="1">
        <f t="shared" si="138"/>
        <v>15.739999999999753</v>
      </c>
      <c r="G790">
        <f>1/2*$B$8*$B$6*$B$7*(Tabelle2[[#This Row],[vx]]*Tabelle2[[#This Row],[vx]]+Tabelle2[[#This Row],[vy]]*Tabelle2[[#This Row],[vy]])/1000000</f>
        <v>9.3386600356938612</v>
      </c>
      <c r="H790">
        <f>IF($B$3,-Tabelle2[[#This Row],[Fd]]*Tabelle2[[#This Row],[vx]]/Tabelle2[[#This Row],[v]],0)</f>
        <v>-2.8176554820012765</v>
      </c>
      <c r="I790">
        <f t="shared" si="132"/>
        <v>-1.8784369880008509</v>
      </c>
      <c r="J790">
        <f t="shared" si="133"/>
        <v>-3.7568739760017018E-2</v>
      </c>
      <c r="K790">
        <f t="shared" si="134"/>
        <v>0.43807593323008137</v>
      </c>
      <c r="L790">
        <f>-$B$5*$B$12-IF($B$3,Tabelle2[[#This Row],[Fd]]*Tabelle2[[#This Row],[vy]]/Tabelle2[[#This Row],[v]],0)</f>
        <v>-5.8115518563303894</v>
      </c>
      <c r="M790">
        <f t="shared" si="135"/>
        <v>-3.8743679042202595</v>
      </c>
      <c r="N790">
        <f t="shared" si="136"/>
        <v>-7.7487358084405197E-2</v>
      </c>
      <c r="O790">
        <f t="shared" si="137"/>
        <v>-1.3862285930660196</v>
      </c>
      <c r="P790" s="1">
        <f t="shared" si="139"/>
        <v>21.922581031384077</v>
      </c>
      <c r="Q790" s="1">
        <f t="shared" si="140"/>
        <v>-69.272685974258778</v>
      </c>
      <c r="R790">
        <f>SQRT(Tabelle2[[#This Row],[vx]]*Tabelle2[[#This Row],[vx]]+Tabelle2[[#This Row],[vy]]*Tabelle2[[#This Row],[vy]])</f>
        <v>72.658823147404945</v>
      </c>
      <c r="S790">
        <f t="shared" si="141"/>
        <v>602.0282264385819</v>
      </c>
      <c r="T790" s="1">
        <f t="shared" si="142"/>
        <v>-189.93373435170139</v>
      </c>
    </row>
    <row r="791" spans="6:20" x14ac:dyDescent="0.35">
      <c r="F791" s="1">
        <f t="shared" si="138"/>
        <v>15.759999999999753</v>
      </c>
      <c r="G791">
        <f>1/2*$B$8*$B$6*$B$7*(Tabelle2[[#This Row],[vx]]*Tabelle2[[#This Row],[vx]]+Tabelle2[[#This Row],[vy]]*Tabelle2[[#This Row],[vy]])/1000000</f>
        <v>9.3547496293466299</v>
      </c>
      <c r="H791">
        <f>IF($B$3,-Tabelle2[[#This Row],[Fd]]*Tabelle2[[#This Row],[vx]]/Tabelle2[[#This Row],[v]],0)</f>
        <v>-2.8152489335319522</v>
      </c>
      <c r="I791">
        <f t="shared" si="132"/>
        <v>-1.8768326223546348</v>
      </c>
      <c r="J791">
        <f t="shared" si="133"/>
        <v>-3.7536652447092693E-2</v>
      </c>
      <c r="K791">
        <f t="shared" si="134"/>
        <v>0.43732487930801028</v>
      </c>
      <c r="L791">
        <f>-$B$5*$B$12-IF($B$3,Tabelle2[[#This Row],[Fd]]*Tabelle2[[#This Row],[vy]]/Tabelle2[[#This Row],[v]],0)</f>
        <v>-5.7939174384490677</v>
      </c>
      <c r="M791">
        <f t="shared" si="135"/>
        <v>-3.8626116256327117</v>
      </c>
      <c r="N791">
        <f t="shared" si="136"/>
        <v>-7.7252232512654229E-2</v>
      </c>
      <c r="O791">
        <f t="shared" si="137"/>
        <v>-1.3877759889719903</v>
      </c>
      <c r="P791" s="1">
        <f t="shared" si="139"/>
        <v>21.885012291624061</v>
      </c>
      <c r="Q791" s="1">
        <f t="shared" si="140"/>
        <v>-69.350173332343189</v>
      </c>
      <c r="R791">
        <f>SQRT(Tabelle2[[#This Row],[vx]]*Tabelle2[[#This Row],[vx]]+Tabelle2[[#This Row],[vy]]*Tabelle2[[#This Row],[vy]])</f>
        <v>72.721388217157823</v>
      </c>
      <c r="S791">
        <f t="shared" si="141"/>
        <v>602.46630237181193</v>
      </c>
      <c r="T791" s="1">
        <f t="shared" si="142"/>
        <v>-191.31996294476741</v>
      </c>
    </row>
    <row r="792" spans="6:20" x14ac:dyDescent="0.35">
      <c r="F792" s="1">
        <f t="shared" si="138"/>
        <v>15.779999999999752</v>
      </c>
      <c r="G792">
        <f>1/2*$B$8*$B$6*$B$7*(Tabelle2[[#This Row],[vx]]*Tabelle2[[#This Row],[vx]]+Tabelle2[[#This Row],[vy]]*Tabelle2[[#This Row],[vy]])/1000000</f>
        <v>9.3708101863293471</v>
      </c>
      <c r="H792">
        <f>IF($B$3,-Tabelle2[[#This Row],[Fd]]*Tabelle2[[#This Row],[vx]]/Tabelle2[[#This Row],[v]],0)</f>
        <v>-2.8128317642160865</v>
      </c>
      <c r="I792">
        <f t="shared" si="132"/>
        <v>-1.8752211761440576</v>
      </c>
      <c r="J792">
        <f t="shared" si="133"/>
        <v>-3.750442352288115E-2</v>
      </c>
      <c r="K792">
        <f t="shared" si="134"/>
        <v>0.43657446854831061</v>
      </c>
      <c r="L792">
        <f>-$B$5*$B$12-IF($B$3,Tabelle2[[#This Row],[Fd]]*Tabelle2[[#This Row],[vy]]/Tabelle2[[#This Row],[v]],0)</f>
        <v>-5.7763165950218998</v>
      </c>
      <c r="M792">
        <f t="shared" si="135"/>
        <v>-3.8508777300146</v>
      </c>
      <c r="N792">
        <f t="shared" si="136"/>
        <v>-7.7017554600291999E-2</v>
      </c>
      <c r="O792">
        <f t="shared" si="137"/>
        <v>-1.3893186868431198</v>
      </c>
      <c r="P792" s="1">
        <f t="shared" si="139"/>
        <v>21.84747563917697</v>
      </c>
      <c r="Q792" s="1">
        <f t="shared" si="140"/>
        <v>-69.427425564855838</v>
      </c>
      <c r="R792">
        <f>SQRT(Tabelle2[[#This Row],[vx]]*Tabelle2[[#This Row],[vx]]+Tabelle2[[#This Row],[vy]]*Tabelle2[[#This Row],[vy]])</f>
        <v>72.783786741059501</v>
      </c>
      <c r="S792">
        <f t="shared" si="141"/>
        <v>602.90362725111993</v>
      </c>
      <c r="T792" s="1">
        <f t="shared" si="142"/>
        <v>-192.70773893373939</v>
      </c>
    </row>
    <row r="793" spans="6:20" x14ac:dyDescent="0.35">
      <c r="F793" s="1">
        <f t="shared" si="138"/>
        <v>15.799999999999752</v>
      </c>
      <c r="G793">
        <f>1/2*$B$8*$B$6*$B$7*(Tabelle2[[#This Row],[vx]]*Tabelle2[[#This Row],[vx]]+Tabelle2[[#This Row],[vy]]*Tabelle2[[#This Row],[vy]])/1000000</f>
        <v>9.3868416220791406</v>
      </c>
      <c r="H793">
        <f>IF($B$3,-Tabelle2[[#This Row],[Fd]]*Tabelle2[[#This Row],[vx]]/Tabelle2[[#This Row],[v]],0)</f>
        <v>-2.8104040399548</v>
      </c>
      <c r="I793">
        <f t="shared" si="132"/>
        <v>-1.8736026933032</v>
      </c>
      <c r="J793">
        <f t="shared" si="133"/>
        <v>-3.7472053866063997E-2</v>
      </c>
      <c r="K793">
        <f t="shared" si="134"/>
        <v>0.43582470377442117</v>
      </c>
      <c r="L793">
        <f>-$B$5*$B$12-IF($B$3,Tabelle2[[#This Row],[Fd]]*Tabelle2[[#This Row],[vy]]/Tabelle2[[#This Row],[v]],0)</f>
        <v>-5.7587494022217598</v>
      </c>
      <c r="M793">
        <f t="shared" si="135"/>
        <v>-3.83916626814784</v>
      </c>
      <c r="N793">
        <f t="shared" si="136"/>
        <v>-7.6783325362956803E-2</v>
      </c>
      <c r="O793">
        <f t="shared" si="137"/>
        <v>-1.3908566956427522</v>
      </c>
      <c r="P793" s="1">
        <f t="shared" si="139"/>
        <v>21.809971215654087</v>
      </c>
      <c r="Q793" s="1">
        <f t="shared" si="140"/>
        <v>-69.504443119456127</v>
      </c>
      <c r="R793">
        <f>SQRT(Tabelle2[[#This Row],[vx]]*Tabelle2[[#This Row],[vx]]+Tabelle2[[#This Row],[vy]]*Tabelle2[[#This Row],[vy]])</f>
        <v>72.846018818967536</v>
      </c>
      <c r="S793">
        <f t="shared" si="141"/>
        <v>603.34020171966824</v>
      </c>
      <c r="T793" s="1">
        <f t="shared" si="142"/>
        <v>-194.09705762058252</v>
      </c>
    </row>
    <row r="794" spans="6:20" x14ac:dyDescent="0.35">
      <c r="F794" s="1">
        <f t="shared" si="138"/>
        <v>15.819999999999752</v>
      </c>
      <c r="G794">
        <f>1/2*$B$8*$B$6*$B$7*(Tabelle2[[#This Row],[vx]]*Tabelle2[[#This Row],[vx]]+Tabelle2[[#This Row],[vy]]*Tabelle2[[#This Row],[vy]])/1000000</f>
        <v>9.4028438532244714</v>
      </c>
      <c r="H794">
        <f>IF($B$3,-Tabelle2[[#This Row],[Fd]]*Tabelle2[[#This Row],[vx]]/Tabelle2[[#This Row],[v]],0)</f>
        <v>-2.8079658266357175</v>
      </c>
      <c r="I794">
        <f t="shared" si="132"/>
        <v>-1.871977217757145</v>
      </c>
      <c r="J794">
        <f t="shared" si="133"/>
        <v>-3.7439544355142899E-2</v>
      </c>
      <c r="K794">
        <f t="shared" si="134"/>
        <v>0.43507558779220901</v>
      </c>
      <c r="L794">
        <f>-$B$5*$B$12-IF($B$3,Tabelle2[[#This Row],[Fd]]*Tabelle2[[#This Row],[vy]]/Tabelle2[[#This Row],[v]],0)</f>
        <v>-5.7412159350379266</v>
      </c>
      <c r="M794">
        <f t="shared" si="135"/>
        <v>-3.8274772900252843</v>
      </c>
      <c r="N794">
        <f t="shared" si="136"/>
        <v>-7.6549545800505686E-2</v>
      </c>
      <c r="O794">
        <f t="shared" si="137"/>
        <v>-1.3923900243543867</v>
      </c>
      <c r="P794" s="1">
        <f t="shared" si="139"/>
        <v>21.772499161788023</v>
      </c>
      <c r="Q794" s="1">
        <f t="shared" si="140"/>
        <v>-69.58122644481908</v>
      </c>
      <c r="R794">
        <f>SQRT(Tabelle2[[#This Row],[vx]]*Tabelle2[[#This Row],[vx]]+Tabelle2[[#This Row],[vy]]*Tabelle2[[#This Row],[vy]])</f>
        <v>72.908084553876805</v>
      </c>
      <c r="S794">
        <f t="shared" si="141"/>
        <v>603.77602642344266</v>
      </c>
      <c r="T794" s="1">
        <f t="shared" si="142"/>
        <v>-195.48791431622527</v>
      </c>
    </row>
    <row r="795" spans="6:20" x14ac:dyDescent="0.35">
      <c r="F795" s="1">
        <f t="shared" si="138"/>
        <v>15.839999999999751</v>
      </c>
      <c r="G795">
        <f>1/2*$B$8*$B$6*$B$7*(Tabelle2[[#This Row],[vx]]*Tabelle2[[#This Row],[vx]]+Tabelle2[[#This Row],[vy]]*Tabelle2[[#This Row],[vy]])/1000000</f>
        <v>9.4188167975796748</v>
      </c>
      <c r="H795">
        <f>IF($B$3,-Tabelle2[[#This Row],[Fd]]*Tabelle2[[#This Row],[vx]]/Tabelle2[[#This Row],[v]],0)</f>
        <v>-2.8055171901298697</v>
      </c>
      <c r="I795">
        <f t="shared" si="132"/>
        <v>-1.8703447934199131</v>
      </c>
      <c r="J795">
        <f t="shared" si="133"/>
        <v>-3.7406895868398266E-2</v>
      </c>
      <c r="K795">
        <f t="shared" si="134"/>
        <v>0.43432712338997365</v>
      </c>
      <c r="L795">
        <f>-$B$5*$B$12-IF($B$3,Tabelle2[[#This Row],[Fd]]*Tabelle2[[#This Row],[vy]]/Tabelle2[[#This Row],[v]],0)</f>
        <v>-5.7237162672811372</v>
      </c>
      <c r="M795">
        <f t="shared" si="135"/>
        <v>-3.8158108448540915</v>
      </c>
      <c r="N795">
        <f t="shared" si="136"/>
        <v>-7.6316216897081832E-2</v>
      </c>
      <c r="O795">
        <f t="shared" si="137"/>
        <v>-1.3939186819813625</v>
      </c>
      <c r="P795" s="1">
        <f t="shared" si="139"/>
        <v>21.735059617432881</v>
      </c>
      <c r="Q795" s="1">
        <f t="shared" si="140"/>
        <v>-69.657775990619584</v>
      </c>
      <c r="R795">
        <f>SQRT(Tabelle2[[#This Row],[vx]]*Tabelle2[[#This Row],[vx]]+Tabelle2[[#This Row],[vy]]*Tabelle2[[#This Row],[vy]])</f>
        <v>72.96998405188738</v>
      </c>
      <c r="S795">
        <f t="shared" si="141"/>
        <v>604.21110201123486</v>
      </c>
      <c r="T795" s="1">
        <f t="shared" si="142"/>
        <v>-196.88030434057967</v>
      </c>
    </row>
    <row r="796" spans="6:20" x14ac:dyDescent="0.35">
      <c r="F796" s="1">
        <f t="shared" si="138"/>
        <v>15.859999999999751</v>
      </c>
      <c r="G796">
        <f>1/2*$B$8*$B$6*$B$7*(Tabelle2[[#This Row],[vx]]*Tabelle2[[#This Row],[vx]]+Tabelle2[[#This Row],[vy]]*Tabelle2[[#This Row],[vy]])/1000000</f>
        <v>9.434760374139481</v>
      </c>
      <c r="H796">
        <f>IF($B$3,-Tabelle2[[#This Row],[Fd]]*Tabelle2[[#This Row],[vx]]/Tabelle2[[#This Row],[v]],0)</f>
        <v>-2.8030581962886378</v>
      </c>
      <c r="I796">
        <f t="shared" si="132"/>
        <v>-1.8687054641924252</v>
      </c>
      <c r="J796">
        <f t="shared" si="133"/>
        <v>-3.7374109283848503E-2</v>
      </c>
      <c r="K796">
        <f t="shared" si="134"/>
        <v>0.43357931333845123</v>
      </c>
      <c r="L796">
        <f>-$B$5*$B$12-IF($B$3,Tabelle2[[#This Row],[Fd]]*Tabelle2[[#This Row],[vy]]/Tabelle2[[#This Row],[v]],0)</f>
        <v>-5.7062504715886533</v>
      </c>
      <c r="M796">
        <f t="shared" si="135"/>
        <v>-3.8041669810591023</v>
      </c>
      <c r="N796">
        <f t="shared" si="136"/>
        <v>-7.608333962118205E-2</v>
      </c>
      <c r="O796">
        <f t="shared" si="137"/>
        <v>-1.3954426775465454</v>
      </c>
      <c r="P796" s="1">
        <f t="shared" si="139"/>
        <v>21.697652721564484</v>
      </c>
      <c r="Q796" s="1">
        <f t="shared" si="140"/>
        <v>-69.734092207516667</v>
      </c>
      <c r="R796">
        <f>SQRT(Tabelle2[[#This Row],[vx]]*Tabelle2[[#This Row],[vx]]+Tabelle2[[#This Row],[vy]]*Tabelle2[[#This Row],[vy]])</f>
        <v>73.031717422172477</v>
      </c>
      <c r="S796">
        <f t="shared" si="141"/>
        <v>604.64542913462481</v>
      </c>
      <c r="T796" s="1">
        <f t="shared" si="142"/>
        <v>-198.27422302256105</v>
      </c>
    </row>
    <row r="797" spans="6:20" x14ac:dyDescent="0.35">
      <c r="F797" s="1">
        <f t="shared" si="138"/>
        <v>15.87999999999975</v>
      </c>
      <c r="G797">
        <f>1/2*$B$8*$B$6*$B$7*(Tabelle2[[#This Row],[vx]]*Tabelle2[[#This Row],[vx]]+Tabelle2[[#This Row],[vy]]*Tabelle2[[#This Row],[vy]])/1000000</f>
        <v>9.4506745030735075</v>
      </c>
      <c r="H797">
        <f>IF($B$3,-Tabelle2[[#This Row],[Fd]]*Tabelle2[[#This Row],[vx]]/Tabelle2[[#This Row],[v]],0)</f>
        <v>-2.80058891094072</v>
      </c>
      <c r="I797">
        <f t="shared" si="132"/>
        <v>-1.8670592739604801</v>
      </c>
      <c r="J797">
        <f t="shared" si="133"/>
        <v>-3.7341185479209602E-2</v>
      </c>
      <c r="K797">
        <f t="shared" si="134"/>
        <v>0.43283216039082062</v>
      </c>
      <c r="L797">
        <f>-$B$5*$B$12-IF($B$3,Tabelle2[[#This Row],[Fd]]*Tabelle2[[#This Row],[vy]]/Tabelle2[[#This Row],[v]],0)</f>
        <v>-5.688818619429389</v>
      </c>
      <c r="M797">
        <f t="shared" si="135"/>
        <v>-3.7925457462862595</v>
      </c>
      <c r="N797">
        <f t="shared" si="136"/>
        <v>-7.5850914925725196E-2</v>
      </c>
      <c r="O797">
        <f t="shared" si="137"/>
        <v>-1.3969620200920141</v>
      </c>
      <c r="P797" s="1">
        <f t="shared" si="139"/>
        <v>21.660278612280635</v>
      </c>
      <c r="Q797" s="1">
        <f t="shared" si="140"/>
        <v>-69.810175547137845</v>
      </c>
      <c r="R797">
        <f>SQRT(Tabelle2[[#This Row],[vx]]*Tabelle2[[#This Row],[vx]]+Tabelle2[[#This Row],[vy]]*Tabelle2[[#This Row],[vy]])</f>
        <v>73.093284776946675</v>
      </c>
      <c r="S797">
        <f t="shared" si="141"/>
        <v>605.07900844796325</v>
      </c>
      <c r="T797" s="1">
        <f t="shared" si="142"/>
        <v>-199.6696657001076</v>
      </c>
    </row>
    <row r="798" spans="6:20" x14ac:dyDescent="0.35">
      <c r="F798" s="1">
        <f t="shared" si="138"/>
        <v>15.89999999999975</v>
      </c>
      <c r="G798">
        <f>1/2*$B$8*$B$6*$B$7*(Tabelle2[[#This Row],[vx]]*Tabelle2[[#This Row],[vx]]+Tabelle2[[#This Row],[vy]]*Tabelle2[[#This Row],[vy]])/1000000</f>
        <v>9.4665591057207816</v>
      </c>
      <c r="H798">
        <f>IF($B$3,-Tabelle2[[#This Row],[Fd]]*Tabelle2[[#This Row],[vx]]/Tabelle2[[#This Row],[v]],0)</f>
        <v>-2.798109399889146</v>
      </c>
      <c r="I798">
        <f t="shared" si="132"/>
        <v>-1.865406266592764</v>
      </c>
      <c r="J798">
        <f t="shared" si="133"/>
        <v>-3.7308125331855284E-2</v>
      </c>
      <c r="K798">
        <f t="shared" si="134"/>
        <v>0.43208566728270997</v>
      </c>
      <c r="L798">
        <f>-$B$5*$B$12-IF($B$3,Tabelle2[[#This Row],[Fd]]*Tabelle2[[#This Row],[vy]]/Tabelle2[[#This Row],[v]],0)</f>
        <v>-5.6714207811090063</v>
      </c>
      <c r="M798">
        <f t="shared" si="135"/>
        <v>-3.7809471874060043</v>
      </c>
      <c r="N798">
        <f t="shared" si="136"/>
        <v>-7.5618943748120088E-2</v>
      </c>
      <c r="O798">
        <f t="shared" si="137"/>
        <v>-1.3984767186787526</v>
      </c>
      <c r="P798" s="1">
        <f t="shared" si="139"/>
        <v>21.622937426801425</v>
      </c>
      <c r="Q798" s="1">
        <f t="shared" si="140"/>
        <v>-69.886026462063569</v>
      </c>
      <c r="R798">
        <f>SQRT(Tabelle2[[#This Row],[vx]]*Tabelle2[[#This Row],[vx]]+Tabelle2[[#This Row],[vy]]*Tabelle2[[#This Row],[vy]])</f>
        <v>73.154686231434411</v>
      </c>
      <c r="S798">
        <f t="shared" si="141"/>
        <v>605.51184060835408</v>
      </c>
      <c r="T798" s="1">
        <f t="shared" si="142"/>
        <v>-201.06662772019962</v>
      </c>
    </row>
    <row r="799" spans="6:20" x14ac:dyDescent="0.35">
      <c r="F799" s="1">
        <f t="shared" si="138"/>
        <v>15.919999999999749</v>
      </c>
      <c r="G799">
        <f>1/2*$B$8*$B$6*$B$7*(Tabelle2[[#This Row],[vx]]*Tabelle2[[#This Row],[vx]]+Tabelle2[[#This Row],[vy]]*Tabelle2[[#This Row],[vy]])/1000000</f>
        <v>9.4824141045841923</v>
      </c>
      <c r="H799">
        <f>IF($B$3,-Tabelle2[[#This Row],[Fd]]*Tabelle2[[#This Row],[vx]]/Tabelle2[[#This Row],[v]],0)</f>
        <v>-2.7956197289083047</v>
      </c>
      <c r="I799">
        <f t="shared" si="132"/>
        <v>-1.8637464859388697</v>
      </c>
      <c r="J799">
        <f t="shared" si="133"/>
        <v>-3.7274929718777397E-2</v>
      </c>
      <c r="K799">
        <f t="shared" si="134"/>
        <v>0.43133983673220366</v>
      </c>
      <c r="L799">
        <f>-$B$5*$B$12-IF($B$3,Tabelle2[[#This Row],[Fd]]*Tabelle2[[#This Row],[vy]]/Tabelle2[[#This Row],[v]],0)</f>
        <v>-5.6540570257750815</v>
      </c>
      <c r="M799">
        <f t="shared" si="135"/>
        <v>-3.769371350516721</v>
      </c>
      <c r="N799">
        <f t="shared" si="136"/>
        <v>-7.5387427010334421E-2</v>
      </c>
      <c r="O799">
        <f t="shared" si="137"/>
        <v>-1.3999867823863372</v>
      </c>
      <c r="P799" s="1">
        <f t="shared" si="139"/>
        <v>21.58562930146957</v>
      </c>
      <c r="Q799" s="1">
        <f t="shared" si="140"/>
        <v>-69.961645405811694</v>
      </c>
      <c r="R799">
        <f>SQRT(Tabelle2[[#This Row],[vx]]*Tabelle2[[#This Row],[vx]]+Tabelle2[[#This Row],[vy]]*Tabelle2[[#This Row],[vy]])</f>
        <v>73.215921903838606</v>
      </c>
      <c r="S799">
        <f t="shared" si="141"/>
        <v>605.94392627563684</v>
      </c>
      <c r="T799" s="1">
        <f t="shared" si="142"/>
        <v>-202.46510443887837</v>
      </c>
    </row>
    <row r="800" spans="6:20" x14ac:dyDescent="0.35">
      <c r="F800" s="1">
        <f t="shared" si="138"/>
        <v>15.939999999999749</v>
      </c>
      <c r="G800">
        <f>1/2*$B$8*$B$6*$B$7*(Tabelle2[[#This Row],[vx]]*Tabelle2[[#This Row],[vx]]+Tabelle2[[#This Row],[vy]]*Tabelle2[[#This Row],[vy]])/1000000</f>
        <v>9.4982394233249909</v>
      </c>
      <c r="H800">
        <f>IF($B$3,-Tabelle2[[#This Row],[Fd]]*Tabelle2[[#This Row],[vx]]/Tabelle2[[#This Row],[v]],0)</f>
        <v>-2.7931199637410247</v>
      </c>
      <c r="I800">
        <f t="shared" si="132"/>
        <v>-1.8620799758273499</v>
      </c>
      <c r="J800">
        <f t="shared" si="133"/>
        <v>-3.7241599516547E-2</v>
      </c>
      <c r="K800">
        <f t="shared" si="134"/>
        <v>0.43059467143985042</v>
      </c>
      <c r="L800">
        <f>-$B$5*$B$12-IF($B$3,Tabelle2[[#This Row],[Fd]]*Tabelle2[[#This Row],[vy]]/Tabelle2[[#This Row],[v]],0)</f>
        <v>-5.6367274214222665</v>
      </c>
      <c r="M800">
        <f t="shared" si="135"/>
        <v>-3.7578182809481775</v>
      </c>
      <c r="N800">
        <f t="shared" si="136"/>
        <v>-7.515636561896355E-2</v>
      </c>
      <c r="O800">
        <f t="shared" si="137"/>
        <v>-1.4014922203126303</v>
      </c>
      <c r="P800" s="1">
        <f t="shared" si="139"/>
        <v>21.548354371750793</v>
      </c>
      <c r="Q800" s="1">
        <f t="shared" si="140"/>
        <v>-70.037032832822035</v>
      </c>
      <c r="R800">
        <f>SQRT(Tabelle2[[#This Row],[vx]]*Tabelle2[[#This Row],[vx]]+Tabelle2[[#This Row],[vy]]*Tabelle2[[#This Row],[vy]])</f>
        <v>73.276991915309566</v>
      </c>
      <c r="S800">
        <f t="shared" si="141"/>
        <v>606.37526611236899</v>
      </c>
      <c r="T800" s="1">
        <f t="shared" si="142"/>
        <v>-203.86509122126472</v>
      </c>
    </row>
    <row r="801" spans="6:20" x14ac:dyDescent="0.35">
      <c r="F801" s="1">
        <f t="shared" si="138"/>
        <v>15.959999999999749</v>
      </c>
      <c r="G801">
        <f>1/2*$B$8*$B$6*$B$7*(Tabelle2[[#This Row],[vx]]*Tabelle2[[#This Row],[vx]]+Tabelle2[[#This Row],[vy]]*Tabelle2[[#This Row],[vy]])/1000000</f>
        <v>9.5140349867572365</v>
      </c>
      <c r="H801">
        <f>IF($B$3,-Tabelle2[[#This Row],[Fd]]*Tabelle2[[#This Row],[vx]]/Tabelle2[[#This Row],[v]],0)</f>
        <v>-2.7906101700956758</v>
      </c>
      <c r="I801">
        <f t="shared" si="132"/>
        <v>-1.8604067800637838</v>
      </c>
      <c r="J801">
        <f t="shared" si="133"/>
        <v>-3.7208135601275678E-2</v>
      </c>
      <c r="K801">
        <f t="shared" si="134"/>
        <v>0.42985017408867215</v>
      </c>
      <c r="L801">
        <f>-$B$5*$B$12-IF($B$3,Tabelle2[[#This Row],[Fd]]*Tabelle2[[#This Row],[vy]]/Tabelle2[[#This Row],[v]],0)</f>
        <v>-5.6194320348974713</v>
      </c>
      <c r="M801">
        <f t="shared" si="135"/>
        <v>-3.7462880232649809</v>
      </c>
      <c r="N801">
        <f t="shared" si="136"/>
        <v>-7.4925760465299626E-2</v>
      </c>
      <c r="O801">
        <f t="shared" si="137"/>
        <v>-1.402993041573473</v>
      </c>
      <c r="P801" s="1">
        <f t="shared" si="139"/>
        <v>21.511112772234245</v>
      </c>
      <c r="Q801" s="1">
        <f t="shared" si="140"/>
        <v>-70.112189198441001</v>
      </c>
      <c r="R801">
        <f>SQRT(Tabelle2[[#This Row],[vx]]*Tabelle2[[#This Row],[vx]]+Tabelle2[[#This Row],[vy]]*Tabelle2[[#This Row],[vy]])</f>
        <v>73.337896389914036</v>
      </c>
      <c r="S801">
        <f t="shared" si="141"/>
        <v>606.80586078380884</v>
      </c>
      <c r="T801" s="1">
        <f t="shared" si="142"/>
        <v>-205.26658344157735</v>
      </c>
    </row>
    <row r="802" spans="6:20" x14ac:dyDescent="0.35">
      <c r="F802" s="1">
        <f t="shared" si="138"/>
        <v>15.979999999999748</v>
      </c>
      <c r="G802">
        <f>1/2*$B$8*$B$6*$B$7*(Tabelle2[[#This Row],[vx]]*Tabelle2[[#This Row],[vx]]+Tabelle2[[#This Row],[vy]]*Tabelle2[[#This Row],[vy]])/1000000</f>
        <v>9.5298007208422604</v>
      </c>
      <c r="H802">
        <f>IF($B$3,-Tabelle2[[#This Row],[Fd]]*Tabelle2[[#This Row],[vx]]/Tabelle2[[#This Row],[v]],0)</f>
        <v>-2.788090413643308</v>
      </c>
      <c r="I802">
        <f t="shared" si="132"/>
        <v>-1.8587269424288719</v>
      </c>
      <c r="J802">
        <f t="shared" si="133"/>
        <v>-3.7174538848577438E-2</v>
      </c>
      <c r="K802">
        <f t="shared" si="134"/>
        <v>0.42910634734417363</v>
      </c>
      <c r="L802">
        <f>-$B$5*$B$12-IF($B$3,Tabelle2[[#This Row],[Fd]]*Tabelle2[[#This Row],[vy]]/Tabelle2[[#This Row],[v]],0)</f>
        <v>-5.6021709319050661</v>
      </c>
      <c r="M802">
        <f t="shared" si="135"/>
        <v>-3.7347806212700441</v>
      </c>
      <c r="N802">
        <f t="shared" si="136"/>
        <v>-7.469561242540089E-2</v>
      </c>
      <c r="O802">
        <f t="shared" si="137"/>
        <v>-1.40448925530238</v>
      </c>
      <c r="P802" s="1">
        <f t="shared" si="139"/>
        <v>21.47390463663297</v>
      </c>
      <c r="Q802" s="1">
        <f t="shared" si="140"/>
        <v>-70.187114958906307</v>
      </c>
      <c r="R802">
        <f>SQRT(Tabelle2[[#This Row],[vx]]*Tabelle2[[#This Row],[vx]]+Tabelle2[[#This Row],[vy]]*Tabelle2[[#This Row],[vy]])</f>
        <v>73.398635454604573</v>
      </c>
      <c r="S802">
        <f t="shared" si="141"/>
        <v>607.23571095789748</v>
      </c>
      <c r="T802" s="1">
        <f t="shared" si="142"/>
        <v>-206.66957648315082</v>
      </c>
    </row>
    <row r="803" spans="6:20" x14ac:dyDescent="0.35">
      <c r="F803" s="1">
        <f t="shared" si="138"/>
        <v>15.999999999999748</v>
      </c>
      <c r="G803">
        <f>1/2*$B$8*$B$6*$B$7*(Tabelle2[[#This Row],[vx]]*Tabelle2[[#This Row],[vx]]+Tabelle2[[#This Row],[vy]]*Tabelle2[[#This Row],[vy]])/1000000</f>
        <v>9.545536552683112</v>
      </c>
      <c r="H803">
        <f>IF($B$3,-Tabelle2[[#This Row],[Fd]]*Tabelle2[[#This Row],[vx]]/Tabelle2[[#This Row],[v]],0)</f>
        <v>-2.7855607600148211</v>
      </c>
      <c r="I803">
        <f t="shared" si="132"/>
        <v>-1.8570405066765474</v>
      </c>
      <c r="J803">
        <f t="shared" si="133"/>
        <v>-3.7140810133530947E-2</v>
      </c>
      <c r="K803">
        <f t="shared" si="134"/>
        <v>0.42836319385435256</v>
      </c>
      <c r="L803">
        <f>-$B$5*$B$12-IF($B$3,Tabelle2[[#This Row],[Fd]]*Tabelle2[[#This Row],[vy]]/Tabelle2[[#This Row],[v]],0)</f>
        <v>-5.5849441770121118</v>
      </c>
      <c r="M803">
        <f t="shared" si="135"/>
        <v>-3.7232961180080744</v>
      </c>
      <c r="N803">
        <f t="shared" si="136"/>
        <v>-7.4465922360161488E-2</v>
      </c>
      <c r="O803">
        <f t="shared" si="137"/>
        <v>-1.4059808706502357</v>
      </c>
      <c r="P803" s="1">
        <f t="shared" si="139"/>
        <v>21.436730097784391</v>
      </c>
      <c r="Q803" s="1">
        <f t="shared" si="140"/>
        <v>-70.261810571331708</v>
      </c>
      <c r="R803">
        <f>SQRT(Tabelle2[[#This Row],[vx]]*Tabelle2[[#This Row],[vx]]+Tabelle2[[#This Row],[vy]]*Tabelle2[[#This Row],[vy]])</f>
        <v>73.459209239189022</v>
      </c>
      <c r="S803">
        <f t="shared" si="141"/>
        <v>607.66481730524163</v>
      </c>
      <c r="T803" s="1">
        <f t="shared" si="142"/>
        <v>-208.07406573845321</v>
      </c>
    </row>
    <row r="804" spans="6:20" x14ac:dyDescent="0.35">
      <c r="F804" s="1">
        <f t="shared" si="138"/>
        <v>16.019999999999747</v>
      </c>
      <c r="G804">
        <f>1/2*$B$8*$B$6*$B$7*(Tabelle2[[#This Row],[vx]]*Tabelle2[[#This Row],[vx]]+Tabelle2[[#This Row],[vy]]*Tabelle2[[#This Row],[vy]])/1000000</f>
        <v>9.5612424105189895</v>
      </c>
      <c r="H804">
        <f>IF($B$3,-Tabelle2[[#This Row],[Fd]]*Tabelle2[[#This Row],[vx]]/Tabelle2[[#This Row],[v]],0)</f>
        <v>-2.7830212747981657</v>
      </c>
      <c r="I804">
        <f t="shared" si="132"/>
        <v>-1.8553475165321105</v>
      </c>
      <c r="J804">
        <f t="shared" si="133"/>
        <v>-3.7106950330642208E-2</v>
      </c>
      <c r="K804">
        <f t="shared" si="134"/>
        <v>0.42762071624971076</v>
      </c>
      <c r="L804">
        <f>-$B$5*$B$12-IF($B$3,Tabelle2[[#This Row],[Fd]]*Tabelle2[[#This Row],[vy]]/Tabelle2[[#This Row],[v]],0)</f>
        <v>-5.5677518336535901</v>
      </c>
      <c r="M804">
        <f t="shared" si="135"/>
        <v>-3.7118345557690602</v>
      </c>
      <c r="N804">
        <f t="shared" si="136"/>
        <v>-7.4236691115381212E-2</v>
      </c>
      <c r="O804">
        <f t="shared" si="137"/>
        <v>-1.4074678967849912</v>
      </c>
      <c r="P804" s="1">
        <f t="shared" si="139"/>
        <v>21.399589287650858</v>
      </c>
      <c r="Q804" s="1">
        <f t="shared" si="140"/>
        <v>-70.336276493691869</v>
      </c>
      <c r="R804">
        <f>SQRT(Tabelle2[[#This Row],[vx]]*Tabelle2[[#This Row],[vx]]+Tabelle2[[#This Row],[vy]]*Tabelle2[[#This Row],[vy]])</f>
        <v>73.519617876300288</v>
      </c>
      <c r="S804">
        <f t="shared" si="141"/>
        <v>608.09318049909598</v>
      </c>
      <c r="T804" s="1">
        <f t="shared" si="142"/>
        <v>-209.48004660910345</v>
      </c>
    </row>
    <row r="805" spans="6:20" x14ac:dyDescent="0.35">
      <c r="F805" s="1">
        <f t="shared" si="138"/>
        <v>16.039999999999747</v>
      </c>
      <c r="G805">
        <f>1/2*$B$8*$B$6*$B$7*(Tabelle2[[#This Row],[vx]]*Tabelle2[[#This Row],[vx]]+Tabelle2[[#This Row],[vy]]*Tabelle2[[#This Row],[vy]])/1000000</f>
        <v>9.5769182237196695</v>
      </c>
      <c r="H805">
        <f>IF($B$3,-Tabelle2[[#This Row],[Fd]]*Tabelle2[[#This Row],[vx]]/Tabelle2[[#This Row],[v]],0)</f>
        <v>-2.7804720235355811</v>
      </c>
      <c r="I805">
        <f t="shared" si="132"/>
        <v>-1.8536480156903874</v>
      </c>
      <c r="J805">
        <f t="shared" si="133"/>
        <v>-3.7072960313807746E-2</v>
      </c>
      <c r="K805">
        <f t="shared" si="134"/>
        <v>0.42687891714326626</v>
      </c>
      <c r="L805">
        <f>-$B$5*$B$12-IF($B$3,Tabelle2[[#This Row],[Fd]]*Tabelle2[[#This Row],[vy]]/Tabelle2[[#This Row],[v]],0)</f>
        <v>-5.550593964137672</v>
      </c>
      <c r="M805">
        <f t="shared" si="135"/>
        <v>-3.7003959760917815</v>
      </c>
      <c r="N805">
        <f t="shared" si="136"/>
        <v>-7.4007919521835636E-2</v>
      </c>
      <c r="O805">
        <f t="shared" si="137"/>
        <v>-1.4089503428913637</v>
      </c>
      <c r="P805" s="1">
        <f t="shared" si="139"/>
        <v>21.362482337320216</v>
      </c>
      <c r="Q805" s="1">
        <f t="shared" si="140"/>
        <v>-70.410513184807257</v>
      </c>
      <c r="R805">
        <f>SQRT(Tabelle2[[#This Row],[vx]]*Tabelle2[[#This Row],[vx]]+Tabelle2[[#This Row],[vy]]*Tabelle2[[#This Row],[vy]])</f>
        <v>73.579861501366224</v>
      </c>
      <c r="S805">
        <f t="shared" si="141"/>
        <v>608.52080121534573</v>
      </c>
      <c r="T805" s="1">
        <f t="shared" si="142"/>
        <v>-210.88751450588845</v>
      </c>
    </row>
    <row r="806" spans="6:20" x14ac:dyDescent="0.35">
      <c r="F806" s="1">
        <f t="shared" si="138"/>
        <v>16.059999999999746</v>
      </c>
      <c r="G806">
        <f>1/2*$B$8*$B$6*$B$7*(Tabelle2[[#This Row],[vx]]*Tabelle2[[#This Row],[vx]]+Tabelle2[[#This Row],[vy]]*Tabelle2[[#This Row],[vy]])/1000000</f>
        <v>9.5925639227799291</v>
      </c>
      <c r="H806">
        <f>IF($B$3,-Tabelle2[[#This Row],[Fd]]*Tabelle2[[#This Row],[vx]]/Tabelle2[[#This Row],[v]],0)</f>
        <v>-2.7779130717208584</v>
      </c>
      <c r="I806">
        <f t="shared" si="132"/>
        <v>-1.8519420478139057</v>
      </c>
      <c r="J806">
        <f t="shared" si="133"/>
        <v>-3.7038840956278116E-2</v>
      </c>
      <c r="K806">
        <f t="shared" si="134"/>
        <v>0.42613779913056543</v>
      </c>
      <c r="L806">
        <f>-$B$5*$B$12-IF($B$3,Tabelle2[[#This Row],[Fd]]*Tabelle2[[#This Row],[vy]]/Tabelle2[[#This Row],[v]],0)</f>
        <v>-5.5334706296509921</v>
      </c>
      <c r="M806">
        <f t="shared" si="135"/>
        <v>-3.6889804197673279</v>
      </c>
      <c r="N806">
        <f t="shared" si="136"/>
        <v>-7.3779608395346558E-2</v>
      </c>
      <c r="O806">
        <f t="shared" si="137"/>
        <v>-1.4104282181705352</v>
      </c>
      <c r="P806" s="1">
        <f t="shared" si="139"/>
        <v>21.325409377006409</v>
      </c>
      <c r="Q806" s="1">
        <f t="shared" si="140"/>
        <v>-70.48452110432909</v>
      </c>
      <c r="R806">
        <f>SQRT(Tabelle2[[#This Row],[vx]]*Tabelle2[[#This Row],[vx]]+Tabelle2[[#This Row],[vy]]*Tabelle2[[#This Row],[vy]])</f>
        <v>73.639940252579819</v>
      </c>
      <c r="S806">
        <f t="shared" si="141"/>
        <v>608.94768013248904</v>
      </c>
      <c r="T806" s="1">
        <f t="shared" si="142"/>
        <v>-212.29646484877981</v>
      </c>
    </row>
    <row r="807" spans="6:20" x14ac:dyDescent="0.35">
      <c r="F807" s="1">
        <f t="shared" si="138"/>
        <v>16.079999999999746</v>
      </c>
      <c r="G807">
        <f>1/2*$B$8*$B$6*$B$7*(Tabelle2[[#This Row],[vx]]*Tabelle2[[#This Row],[vx]]+Tabelle2[[#This Row],[vy]]*Tabelle2[[#This Row],[vy]])/1000000</f>
        <v>9.6081794393139575</v>
      </c>
      <c r="H807">
        <f>IF($B$3,-Tabelle2[[#This Row],[Fd]]*Tabelle2[[#This Row],[vx]]/Tabelle2[[#This Row],[v]],0)</f>
        <v>-2.7753444847966384</v>
      </c>
      <c r="I807">
        <f t="shared" si="132"/>
        <v>-1.8502296565310923</v>
      </c>
      <c r="J807">
        <f t="shared" si="133"/>
        <v>-3.7004593130621849E-2</v>
      </c>
      <c r="K807">
        <f t="shared" si="134"/>
        <v>0.42539736478969636</v>
      </c>
      <c r="L807">
        <f>-$B$5*$B$12-IF($B$3,Tabelle2[[#This Row],[Fd]]*Tabelle2[[#This Row],[vy]]/Tabelle2[[#This Row],[v]],0)</f>
        <v>-5.516381890263931</v>
      </c>
      <c r="M807">
        <f t="shared" si="135"/>
        <v>-3.6775879268426208</v>
      </c>
      <c r="N807">
        <f t="shared" si="136"/>
        <v>-7.3551758536852418E-2</v>
      </c>
      <c r="O807">
        <f t="shared" si="137"/>
        <v>-1.4119015318398573</v>
      </c>
      <c r="P807" s="1">
        <f t="shared" si="139"/>
        <v>21.288370536050131</v>
      </c>
      <c r="Q807" s="1">
        <f t="shared" si="140"/>
        <v>-70.558300712724431</v>
      </c>
      <c r="R807">
        <f>SQRT(Tabelle2[[#This Row],[vx]]*Tabelle2[[#This Row],[vx]]+Tabelle2[[#This Row],[vy]]*Tabelle2[[#This Row],[vy]])</f>
        <v>73.699854270869594</v>
      </c>
      <c r="S807">
        <f t="shared" si="141"/>
        <v>609.37381793161956</v>
      </c>
      <c r="T807" s="1">
        <f t="shared" si="142"/>
        <v>-213.70689306695033</v>
      </c>
    </row>
    <row r="808" spans="6:20" x14ac:dyDescent="0.35">
      <c r="F808" s="1">
        <f t="shared" si="138"/>
        <v>16.099999999999746</v>
      </c>
      <c r="G808">
        <f>1/2*$B$8*$B$6*$B$7*(Tabelle2[[#This Row],[vx]]*Tabelle2[[#This Row],[vx]]+Tabelle2[[#This Row],[vy]]*Tabelle2[[#This Row],[vy]])/1000000</f>
        <v>9.6237647060497729</v>
      </c>
      <c r="H808">
        <f>IF($B$3,-Tabelle2[[#This Row],[Fd]]*Tabelle2[[#This Row],[vx]]/Tabelle2[[#This Row],[v]],0)</f>
        <v>-2.772766328151747</v>
      </c>
      <c r="I808">
        <f t="shared" si="132"/>
        <v>-1.848510885434498</v>
      </c>
      <c r="J808">
        <f t="shared" si="133"/>
        <v>-3.6970217708689961E-2</v>
      </c>
      <c r="K808">
        <f t="shared" si="134"/>
        <v>0.42465761668130325</v>
      </c>
      <c r="L808">
        <f>-$B$5*$B$12-IF($B$3,Tabelle2[[#This Row],[Fd]]*Tabelle2[[#This Row],[vy]]/Tabelle2[[#This Row],[v]],0)</f>
        <v>-5.4993278049359215</v>
      </c>
      <c r="M808">
        <f t="shared" si="135"/>
        <v>-3.6662185366239477</v>
      </c>
      <c r="N808">
        <f t="shared" si="136"/>
        <v>-7.3324370732478952E-2</v>
      </c>
      <c r="O808">
        <f t="shared" si="137"/>
        <v>-1.4133702931325505</v>
      </c>
      <c r="P808" s="1">
        <f t="shared" si="139"/>
        <v>21.251365942919509</v>
      </c>
      <c r="Q808" s="1">
        <f t="shared" si="140"/>
        <v>-70.631852471261283</v>
      </c>
      <c r="R808">
        <f>SQRT(Tabelle2[[#This Row],[vx]]*Tabelle2[[#This Row],[vx]]+Tabelle2[[#This Row],[vy]]*Tabelle2[[#This Row],[vy]])</f>
        <v>73.759603699870141</v>
      </c>
      <c r="S808">
        <f t="shared" si="141"/>
        <v>609.79921529640922</v>
      </c>
      <c r="T808" s="1">
        <f t="shared" si="142"/>
        <v>-215.11879459879017</v>
      </c>
    </row>
    <row r="809" spans="6:20" x14ac:dyDescent="0.35">
      <c r="F809" s="1">
        <f t="shared" si="138"/>
        <v>16.119999999999745</v>
      </c>
      <c r="G809">
        <f>1/2*$B$8*$B$6*$B$7*(Tabelle2[[#This Row],[vx]]*Tabelle2[[#This Row],[vx]]+Tabelle2[[#This Row],[vy]]*Tabelle2[[#This Row],[vy]])/1000000</f>
        <v>9.6393196568235915</v>
      </c>
      <c r="H809">
        <f>IF($B$3,-Tabelle2[[#This Row],[Fd]]*Tabelle2[[#This Row],[vx]]/Tabelle2[[#This Row],[v]],0)</f>
        <v>-2.7701786671185444</v>
      </c>
      <c r="I809">
        <f t="shared" si="132"/>
        <v>-1.8467857780790295</v>
      </c>
      <c r="J809">
        <f t="shared" si="133"/>
        <v>-3.6935715561580588E-2</v>
      </c>
      <c r="K809">
        <f t="shared" si="134"/>
        <v>0.42391855734860062</v>
      </c>
      <c r="L809">
        <f>-$B$5*$B$12-IF($B$3,Tabelle2[[#This Row],[Fd]]*Tabelle2[[#This Row],[vy]]/Tabelle2[[#This Row],[v]],0)</f>
        <v>-5.4823084315207939</v>
      </c>
      <c r="M809">
        <f t="shared" si="135"/>
        <v>-3.6548722876805293</v>
      </c>
      <c r="N809">
        <f t="shared" si="136"/>
        <v>-7.3097445753610588E-2</v>
      </c>
      <c r="O809">
        <f t="shared" si="137"/>
        <v>-1.4148345112974112</v>
      </c>
      <c r="P809" s="1">
        <f t="shared" si="139"/>
        <v>21.214395725210821</v>
      </c>
      <c r="Q809" s="1">
        <f t="shared" si="140"/>
        <v>-70.705176841993762</v>
      </c>
      <c r="R809">
        <f>SQRT(Tabelle2[[#This Row],[vx]]*Tabelle2[[#This Row],[vx]]+Tabelle2[[#This Row],[vy]]*Tabelle2[[#This Row],[vy]])</f>
        <v>73.819188685892868</v>
      </c>
      <c r="S809">
        <f t="shared" si="141"/>
        <v>610.22387291309053</v>
      </c>
      <c r="T809" s="1">
        <f t="shared" si="142"/>
        <v>-216.53216489192272</v>
      </c>
    </row>
    <row r="810" spans="6:20" x14ac:dyDescent="0.35">
      <c r="F810" s="1">
        <f t="shared" si="138"/>
        <v>16.139999999999745</v>
      </c>
      <c r="G810">
        <f>1/2*$B$8*$B$6*$B$7*(Tabelle2[[#This Row],[vx]]*Tabelle2[[#This Row],[vx]]+Tabelle2[[#This Row],[vy]]*Tabelle2[[#This Row],[vy]])/1000000</f>
        <v>9.6548442265742498</v>
      </c>
      <c r="H810">
        <f>IF($B$3,-Tabelle2[[#This Row],[Fd]]*Tabelle2[[#This Row],[vx]]/Tabelle2[[#This Row],[v]],0)</f>
        <v>-2.7675815669703283</v>
      </c>
      <c r="I810">
        <f t="shared" si="132"/>
        <v>-1.8450543779802189</v>
      </c>
      <c r="J810">
        <f t="shared" si="133"/>
        <v>-3.6901087559604376E-2</v>
      </c>
      <c r="K810">
        <f t="shared" si="134"/>
        <v>0.42318018931738877</v>
      </c>
      <c r="L810">
        <f>-$B$5*$B$12-IF($B$3,Tabelle2[[#This Row],[Fd]]*Tabelle2[[#This Row],[vy]]/Tabelle2[[#This Row],[v]],0)</f>
        <v>-5.4653238267720869</v>
      </c>
      <c r="M810">
        <f t="shared" si="135"/>
        <v>-3.643549217848058</v>
      </c>
      <c r="N810">
        <f t="shared" si="136"/>
        <v>-7.2870984356961155E-2</v>
      </c>
      <c r="O810">
        <f t="shared" si="137"/>
        <v>-1.4162941955985171</v>
      </c>
      <c r="P810" s="1">
        <f t="shared" si="139"/>
        <v>21.177460009649241</v>
      </c>
      <c r="Q810" s="1">
        <f t="shared" si="140"/>
        <v>-70.778274287747365</v>
      </c>
      <c r="R810">
        <f>SQRT(Tabelle2[[#This Row],[vx]]*Tabelle2[[#This Row],[vx]]+Tabelle2[[#This Row],[vy]]*Tabelle2[[#This Row],[vy]])</f>
        <v>73.878609377897021</v>
      </c>
      <c r="S810">
        <f t="shared" si="141"/>
        <v>610.64779147043919</v>
      </c>
      <c r="T810" s="1">
        <f t="shared" si="142"/>
        <v>-217.94699940322013</v>
      </c>
    </row>
    <row r="811" spans="6:20" x14ac:dyDescent="0.35">
      <c r="F811" s="1">
        <f t="shared" si="138"/>
        <v>16.159999999999744</v>
      </c>
      <c r="G811">
        <f>1/2*$B$8*$B$6*$B$7*(Tabelle2[[#This Row],[vx]]*Tabelle2[[#This Row],[vx]]+Tabelle2[[#This Row],[vy]]*Tabelle2[[#This Row],[vy]])/1000000</f>
        <v>9.6703383513375858</v>
      </c>
      <c r="H811">
        <f>IF($B$3,-Tabelle2[[#This Row],[Fd]]*Tabelle2[[#This Row],[vx]]/Tabelle2[[#This Row],[v]],0)</f>
        <v>-2.7649750929187533</v>
      </c>
      <c r="I811">
        <f t="shared" si="132"/>
        <v>-1.8433167286125023</v>
      </c>
      <c r="J811">
        <f t="shared" si="133"/>
        <v>-3.6866334572250047E-2</v>
      </c>
      <c r="K811">
        <f t="shared" si="134"/>
        <v>0.42244251509607017</v>
      </c>
      <c r="L811">
        <f>-$B$5*$B$12-IF($B$3,Tabelle2[[#This Row],[Fd]]*Tabelle2[[#This Row],[vy]]/Tabelle2[[#This Row],[v]],0)</f>
        <v>-5.4483740463483983</v>
      </c>
      <c r="M811">
        <f t="shared" si="135"/>
        <v>-3.6322493642322655</v>
      </c>
      <c r="N811">
        <f t="shared" si="136"/>
        <v>-7.2644987284645315E-2</v>
      </c>
      <c r="O811">
        <f t="shared" si="137"/>
        <v>-1.417749355314933</v>
      </c>
      <c r="P811" s="1">
        <f t="shared" si="139"/>
        <v>21.140558922089635</v>
      </c>
      <c r="Q811" s="1">
        <f t="shared" si="140"/>
        <v>-70.851145272104333</v>
      </c>
      <c r="R811">
        <f>SQRT(Tabelle2[[#This Row],[vx]]*Tabelle2[[#This Row],[vx]]+Tabelle2[[#This Row],[vy]]*Tabelle2[[#This Row],[vy]])</f>
        <v>73.937865927460848</v>
      </c>
      <c r="S811">
        <f t="shared" si="141"/>
        <v>611.07097165975654</v>
      </c>
      <c r="T811" s="1">
        <f t="shared" si="142"/>
        <v>-219.36329359881864</v>
      </c>
    </row>
    <row r="812" spans="6:20" x14ac:dyDescent="0.35">
      <c r="F812" s="1">
        <f t="shared" si="138"/>
        <v>16.179999999999744</v>
      </c>
      <c r="G812">
        <f>1/2*$B$8*$B$6*$B$7*(Tabelle2[[#This Row],[vx]]*Tabelle2[[#This Row],[vx]]+Tabelle2[[#This Row],[vy]]*Tabelle2[[#This Row],[vy]])/1000000</f>
        <v>9.6858019682408045</v>
      </c>
      <c r="H812">
        <f>IF($B$3,-Tabelle2[[#This Row],[Fd]]*Tabelle2[[#This Row],[vx]]/Tabelle2[[#This Row],[v]],0)</f>
        <v>-2.7623593101112798</v>
      </c>
      <c r="I812">
        <f t="shared" si="132"/>
        <v>-1.8415728734075199</v>
      </c>
      <c r="J812">
        <f t="shared" si="133"/>
        <v>-3.6831457468150398E-2</v>
      </c>
      <c r="K812">
        <f t="shared" si="134"/>
        <v>0.42170553717566622</v>
      </c>
      <c r="L812">
        <f>-$B$5*$B$12-IF($B$3,Tabelle2[[#This Row],[Fd]]*Tabelle2[[#This Row],[vy]]/Tabelle2[[#This Row],[v]],0)</f>
        <v>-5.4314591448187741</v>
      </c>
      <c r="M812">
        <f t="shared" si="135"/>
        <v>-3.6209727632125159</v>
      </c>
      <c r="N812">
        <f t="shared" si="136"/>
        <v>-7.2419455264250324E-2</v>
      </c>
      <c r="O812">
        <f t="shared" si="137"/>
        <v>-1.4191999997404221</v>
      </c>
      <c r="P812" s="1">
        <f t="shared" si="139"/>
        <v>21.103692587517386</v>
      </c>
      <c r="Q812" s="1">
        <f t="shared" si="140"/>
        <v>-70.92379025938898</v>
      </c>
      <c r="R812">
        <f>SQRT(Tabelle2[[#This Row],[vx]]*Tabelle2[[#This Row],[vx]]+Tabelle2[[#This Row],[vy]]*Tabelle2[[#This Row],[vy]])</f>
        <v>73.996958488753009</v>
      </c>
      <c r="S812">
        <f t="shared" si="141"/>
        <v>611.49341417485266</v>
      </c>
      <c r="T812" s="1">
        <f t="shared" si="142"/>
        <v>-220.78104295413357</v>
      </c>
    </row>
    <row r="813" spans="6:20" x14ac:dyDescent="0.35">
      <c r="F813" s="1">
        <f t="shared" si="138"/>
        <v>16.199999999999743</v>
      </c>
      <c r="G813">
        <f>1/2*$B$8*$B$6*$B$7*(Tabelle2[[#This Row],[vx]]*Tabelle2[[#This Row],[vx]]+Tabelle2[[#This Row],[vy]]*Tabelle2[[#This Row],[vy]])/1000000</f>
        <v>9.7012350154968701</v>
      </c>
      <c r="H813">
        <f>IF($B$3,-Tabelle2[[#This Row],[Fd]]*Tabelle2[[#This Row],[vx]]/Tabelle2[[#This Row],[v]],0)</f>
        <v>-2.7597342836286645</v>
      </c>
      <c r="I813">
        <f t="shared" si="132"/>
        <v>-1.839822855752443</v>
      </c>
      <c r="J813">
        <f t="shared" si="133"/>
        <v>-3.6796457115048857E-2</v>
      </c>
      <c r="K813">
        <f t="shared" si="134"/>
        <v>0.4209692580298342</v>
      </c>
      <c r="L813">
        <f>-$B$5*$B$12-IF($B$3,Tabelle2[[#This Row],[Fd]]*Tabelle2[[#This Row],[vy]]/Tabelle2[[#This Row],[v]],0)</f>
        <v>-5.414579175668063</v>
      </c>
      <c r="M813">
        <f t="shared" si="135"/>
        <v>-3.6097194504453753</v>
      </c>
      <c r="N813">
        <f t="shared" si="136"/>
        <v>-7.2194389008907511E-2</v>
      </c>
      <c r="O813">
        <f t="shared" si="137"/>
        <v>-1.4206461381831537</v>
      </c>
      <c r="P813" s="1">
        <f t="shared" si="139"/>
        <v>21.066861130049237</v>
      </c>
      <c r="Q813" s="1">
        <f t="shared" si="140"/>
        <v>-70.996209714653233</v>
      </c>
      <c r="R813">
        <f>SQRT(Tabelle2[[#This Row],[vx]]*Tabelle2[[#This Row],[vx]]+Tabelle2[[#This Row],[vy]]*Tabelle2[[#This Row],[vy]])</f>
        <v>74.055887218504111</v>
      </c>
      <c r="S813">
        <f t="shared" si="141"/>
        <v>611.91511971202829</v>
      </c>
      <c r="T813" s="1">
        <f t="shared" si="142"/>
        <v>-222.20024295387398</v>
      </c>
    </row>
    <row r="814" spans="6:20" x14ac:dyDescent="0.35">
      <c r="F814" s="1">
        <f t="shared" si="138"/>
        <v>16.219999999999743</v>
      </c>
      <c r="G814">
        <f>1/2*$B$8*$B$6*$B$7*(Tabelle2[[#This Row],[vx]]*Tabelle2[[#This Row],[vx]]+Tabelle2[[#This Row],[vy]]*Tabelle2[[#This Row],[vy]])/1000000</f>
        <v>9.7166374323988745</v>
      </c>
      <c r="H814">
        <f>IF($B$3,-Tabelle2[[#This Row],[Fd]]*Tabelle2[[#This Row],[vx]]/Tabelle2[[#This Row],[v]],0)</f>
        <v>-2.7571000784824697</v>
      </c>
      <c r="I814">
        <f t="shared" si="132"/>
        <v>-1.8380667189883131</v>
      </c>
      <c r="J814">
        <f t="shared" si="133"/>
        <v>-3.676133437976626E-2</v>
      </c>
      <c r="K814">
        <f t="shared" si="134"/>
        <v>0.4202336801148861</v>
      </c>
      <c r="L814">
        <f>-$B$5*$B$12-IF($B$3,Tabelle2[[#This Row],[Fd]]*Tabelle2[[#This Row],[vy]]/Tabelle2[[#This Row],[v]],0)</f>
        <v>-5.3977341913023142</v>
      </c>
      <c r="M814">
        <f t="shared" si="135"/>
        <v>-3.5984894608682096</v>
      </c>
      <c r="N814">
        <f t="shared" si="136"/>
        <v>-7.1969789217364188E-2</v>
      </c>
      <c r="O814">
        <f t="shared" si="137"/>
        <v>-1.4220877799654168</v>
      </c>
      <c r="P814" s="1">
        <f t="shared" si="139"/>
        <v>21.030064672934188</v>
      </c>
      <c r="Q814" s="1">
        <f t="shared" si="140"/>
        <v>-71.068404103662147</v>
      </c>
      <c r="R814">
        <f>SQRT(Tabelle2[[#This Row],[vx]]*Tabelle2[[#This Row],[vx]]+Tabelle2[[#This Row],[vy]]*Tabelle2[[#This Row],[vy]])</f>
        <v>74.114652275978585</v>
      </c>
      <c r="S814">
        <f t="shared" si="141"/>
        <v>612.33608897005809</v>
      </c>
      <c r="T814" s="1">
        <f t="shared" si="142"/>
        <v>-223.62088909205713</v>
      </c>
    </row>
    <row r="815" spans="6:20" x14ac:dyDescent="0.35">
      <c r="F815" s="1">
        <f t="shared" si="138"/>
        <v>16.239999999999743</v>
      </c>
      <c r="G815">
        <f>1/2*$B$8*$B$6*$B$7*(Tabelle2[[#This Row],[vx]]*Tabelle2[[#This Row],[vx]]+Tabelle2[[#This Row],[vy]]*Tabelle2[[#This Row],[vy]])/1000000</f>
        <v>9.732009159314396</v>
      </c>
      <c r="H815">
        <f>IF($B$3,-Tabelle2[[#This Row],[Fd]]*Tabelle2[[#This Row],[vx]]/Tabelle2[[#This Row],[v]],0)</f>
        <v>-2.7544567596126126</v>
      </c>
      <c r="I815">
        <f t="shared" si="132"/>
        <v>-1.8363045064084085</v>
      </c>
      <c r="J815">
        <f t="shared" si="133"/>
        <v>-3.6726090128168173E-2</v>
      </c>
      <c r="K815">
        <f t="shared" si="134"/>
        <v>0.41949880586980676</v>
      </c>
      <c r="L815">
        <f>-$B$5*$B$12-IF($B$3,Tabelle2[[#This Row],[Fd]]*Tabelle2[[#This Row],[vy]]/Tabelle2[[#This Row],[v]],0)</f>
        <v>-5.3809242430541797</v>
      </c>
      <c r="M815">
        <f t="shared" si="135"/>
        <v>-3.5872828287027865</v>
      </c>
      <c r="N815">
        <f t="shared" si="136"/>
        <v>-7.1745656574055724E-2</v>
      </c>
      <c r="O815">
        <f t="shared" si="137"/>
        <v>-1.4235249344233307</v>
      </c>
      <c r="P815" s="1">
        <f t="shared" si="139"/>
        <v>20.993303338554423</v>
      </c>
      <c r="Q815" s="1">
        <f t="shared" si="140"/>
        <v>-71.140373892879509</v>
      </c>
      <c r="R815">
        <f>SQRT(Tabelle2[[#This Row],[vx]]*Tabelle2[[#This Row],[vx]]+Tabelle2[[#This Row],[vy]]*Tabelle2[[#This Row],[vy]])</f>
        <v>74.173253822946535</v>
      </c>
      <c r="S815">
        <f t="shared" si="141"/>
        <v>612.75632265017293</v>
      </c>
      <c r="T815" s="1">
        <f t="shared" si="142"/>
        <v>-225.04297687202254</v>
      </c>
    </row>
    <row r="816" spans="6:20" x14ac:dyDescent="0.35">
      <c r="F816" s="1">
        <f t="shared" si="138"/>
        <v>16.259999999999742</v>
      </c>
      <c r="G816">
        <f>1/2*$B$8*$B$6*$B$7*(Tabelle2[[#This Row],[vx]]*Tabelle2[[#This Row],[vx]]+Tabelle2[[#This Row],[vy]]*Tabelle2[[#This Row],[vy]])/1000000</f>
        <v>9.7473501376798701</v>
      </c>
      <c r="H816">
        <f>IF($B$3,-Tabelle2[[#This Row],[Fd]]*Tabelle2[[#This Row],[vx]]/Tabelle2[[#This Row],[v]],0)</f>
        <v>-2.7518043918849329</v>
      </c>
      <c r="I816">
        <f t="shared" si="132"/>
        <v>-1.8345362612566218</v>
      </c>
      <c r="J816">
        <f t="shared" si="133"/>
        <v>-3.6690725225132441E-2</v>
      </c>
      <c r="K816">
        <f t="shared" si="134"/>
        <v>0.4187646377162737</v>
      </c>
      <c r="L816">
        <f>-$B$5*$B$12-IF($B$3,Tabelle2[[#This Row],[Fd]]*Tabelle2[[#This Row],[vy]]/Tabelle2[[#This Row],[v]],0)</f>
        <v>-5.3641493811883283</v>
      </c>
      <c r="M816">
        <f t="shared" si="135"/>
        <v>-3.5760995874588857</v>
      </c>
      <c r="N816">
        <f t="shared" si="136"/>
        <v>-7.1521991749177713E-2</v>
      </c>
      <c r="O816">
        <f t="shared" si="137"/>
        <v>-1.4249576109065629</v>
      </c>
      <c r="P816" s="1">
        <f t="shared" si="139"/>
        <v>20.956577248426253</v>
      </c>
      <c r="Q816" s="1">
        <f t="shared" si="140"/>
        <v>-71.212119549453561</v>
      </c>
      <c r="R816">
        <f>SQRT(Tabelle2[[#This Row],[vx]]*Tabelle2[[#This Row],[vx]]+Tabelle2[[#This Row],[vy]]*Tabelle2[[#This Row],[vy]])</f>
        <v>74.231692023656052</v>
      </c>
      <c r="S816">
        <f t="shared" si="141"/>
        <v>613.17582145604274</v>
      </c>
      <c r="T816" s="1">
        <f t="shared" si="142"/>
        <v>-226.46650180644588</v>
      </c>
    </row>
    <row r="817" spans="6:20" x14ac:dyDescent="0.35">
      <c r="F817" s="1">
        <f t="shared" si="138"/>
        <v>16.279999999999742</v>
      </c>
      <c r="G817">
        <f>1/2*$B$8*$B$6*$B$7*(Tabelle2[[#This Row],[vx]]*Tabelle2[[#This Row],[vx]]+Tabelle2[[#This Row],[vy]]*Tabelle2[[#This Row],[vy]])/1000000</f>
        <v>9.7626603099949545</v>
      </c>
      <c r="H817">
        <f>IF($B$3,-Tabelle2[[#This Row],[Fd]]*Tabelle2[[#This Row],[vx]]/Tabelle2[[#This Row],[v]],0)</f>
        <v>-2.7491430400888053</v>
      </c>
      <c r="I817">
        <f t="shared" si="132"/>
        <v>-1.8327620267258702</v>
      </c>
      <c r="J817">
        <f t="shared" si="133"/>
        <v>-3.6655240534517401E-2</v>
      </c>
      <c r="K817">
        <f t="shared" si="134"/>
        <v>0.41803117805867729</v>
      </c>
      <c r="L817">
        <f>-$B$5*$B$12-IF($B$3,Tabelle2[[#This Row],[Fd]]*Tabelle2[[#This Row],[vy]]/Tabelle2[[#This Row],[v]],0)</f>
        <v>-5.3474096549068673</v>
      </c>
      <c r="M817">
        <f t="shared" si="135"/>
        <v>-3.5649397699379115</v>
      </c>
      <c r="N817">
        <f t="shared" si="136"/>
        <v>-7.1298795398758233E-2</v>
      </c>
      <c r="O817">
        <f t="shared" si="137"/>
        <v>-1.4263858187780423</v>
      </c>
      <c r="P817" s="1">
        <f t="shared" si="139"/>
        <v>20.919886523201122</v>
      </c>
      <c r="Q817" s="1">
        <f t="shared" si="140"/>
        <v>-71.283641541202741</v>
      </c>
      <c r="R817">
        <f>SQRT(Tabelle2[[#This Row],[vx]]*Tabelle2[[#This Row],[vx]]+Tabelle2[[#This Row],[vy]]*Tabelle2[[#This Row],[vy]])</f>
        <v>74.289967044805564</v>
      </c>
      <c r="S817">
        <f t="shared" si="141"/>
        <v>613.59458609375906</v>
      </c>
      <c r="T817" s="1">
        <f t="shared" si="142"/>
        <v>-227.89145941735245</v>
      </c>
    </row>
    <row r="818" spans="6:20" x14ac:dyDescent="0.35">
      <c r="F818" s="1">
        <f t="shared" si="138"/>
        <v>16.299999999999741</v>
      </c>
      <c r="G818">
        <f>1/2*$B$8*$B$6*$B$7*(Tabelle2[[#This Row],[vx]]*Tabelle2[[#This Row],[vx]]+Tabelle2[[#This Row],[vy]]*Tabelle2[[#This Row],[vy]])/1000000</f>
        <v>9.7779396198168698</v>
      </c>
      <c r="H818">
        <f>IF($B$3,-Tabelle2[[#This Row],[Fd]]*Tabelle2[[#This Row],[vx]]/Tabelle2[[#This Row],[v]],0)</f>
        <v>-2.7464727689347668</v>
      </c>
      <c r="I818">
        <f t="shared" si="132"/>
        <v>-1.8309818459565113</v>
      </c>
      <c r="J818">
        <f t="shared" si="133"/>
        <v>-3.6619636919130227E-2</v>
      </c>
      <c r="K818">
        <f t="shared" si="134"/>
        <v>0.41729842928414079</v>
      </c>
      <c r="L818">
        <f>-$B$5*$B$12-IF($B$3,Tabelle2[[#This Row],[Fd]]*Tabelle2[[#This Row],[vy]]/Tabelle2[[#This Row],[v]],0)</f>
        <v>-5.330705112354778</v>
      </c>
      <c r="M818">
        <f t="shared" si="135"/>
        <v>-3.5538034082365186</v>
      </c>
      <c r="N818">
        <f t="shared" si="136"/>
        <v>-7.1076068164730374E-2</v>
      </c>
      <c r="O818">
        <f t="shared" si="137"/>
        <v>-1.4278095674136773</v>
      </c>
      <c r="P818" s="1">
        <f t="shared" si="139"/>
        <v>20.883231282666603</v>
      </c>
      <c r="Q818" s="1">
        <f t="shared" si="140"/>
        <v>-71.354940336601501</v>
      </c>
      <c r="R818">
        <f>SQRT(Tabelle2[[#This Row],[vx]]*Tabelle2[[#This Row],[vx]]+Tabelle2[[#This Row],[vy]]*Tabelle2[[#This Row],[vy]])</f>
        <v>74.348079055516322</v>
      </c>
      <c r="S818">
        <f t="shared" si="141"/>
        <v>614.0126172718177</v>
      </c>
      <c r="T818" s="1">
        <f t="shared" si="142"/>
        <v>-229.31784523613049</v>
      </c>
    </row>
    <row r="819" spans="6:20" x14ac:dyDescent="0.35">
      <c r="F819" s="1">
        <f t="shared" si="138"/>
        <v>16.319999999999741</v>
      </c>
      <c r="G819">
        <f>1/2*$B$8*$B$6*$B$7*(Tabelle2[[#This Row],[vx]]*Tabelle2[[#This Row],[vx]]+Tabelle2[[#This Row],[vy]]*Tabelle2[[#This Row],[vy]])/1000000</f>
        <v>9.7931880117547667</v>
      </c>
      <c r="H819">
        <f>IF($B$3,-Tabelle2[[#This Row],[Fd]]*Tabelle2[[#This Row],[vx]]/Tabelle2[[#This Row],[v]],0)</f>
        <v>-2.7437936430521828</v>
      </c>
      <c r="I819">
        <f t="shared" si="132"/>
        <v>-1.8291957620347885</v>
      </c>
      <c r="J819">
        <f t="shared" si="133"/>
        <v>-3.658391524069577E-2</v>
      </c>
      <c r="K819">
        <f t="shared" si="134"/>
        <v>0.41656639376254251</v>
      </c>
      <c r="L819">
        <f>-$B$5*$B$12-IF($B$3,Tabelle2[[#This Row],[Fd]]*Tabelle2[[#This Row],[vy]]/Tabelle2[[#This Row],[v]],0)</f>
        <v>-5.3140358006253567</v>
      </c>
      <c r="M819">
        <f t="shared" si="135"/>
        <v>-3.5426905337502377</v>
      </c>
      <c r="N819">
        <f t="shared" si="136"/>
        <v>-7.085381067500475E-2</v>
      </c>
      <c r="O819">
        <f t="shared" si="137"/>
        <v>-1.4292288662020747</v>
      </c>
      <c r="P819" s="1">
        <f t="shared" si="139"/>
        <v>20.846611645747473</v>
      </c>
      <c r="Q819" s="1">
        <f t="shared" si="140"/>
        <v>-71.42601640476623</v>
      </c>
      <c r="R819">
        <f>SQRT(Tabelle2[[#This Row],[vx]]*Tabelle2[[#This Row],[vx]]+Tabelle2[[#This Row],[vy]]*Tabelle2[[#This Row],[vy]])</f>
        <v>74.406028227305271</v>
      </c>
      <c r="S819">
        <f t="shared" si="141"/>
        <v>614.42991570110189</v>
      </c>
      <c r="T819" s="1">
        <f t="shared" si="142"/>
        <v>-230.74565480354417</v>
      </c>
    </row>
    <row r="820" spans="6:20" x14ac:dyDescent="0.35">
      <c r="F820" s="1">
        <f t="shared" si="138"/>
        <v>16.339999999999741</v>
      </c>
      <c r="G820">
        <f>1/2*$B$8*$B$6*$B$7*(Tabelle2[[#This Row],[vx]]*Tabelle2[[#This Row],[vx]]+Tabelle2[[#This Row],[vy]]*Tabelle2[[#This Row],[vy]])/1000000</f>
        <v>9.808405431464065</v>
      </c>
      <c r="H820">
        <f>IF($B$3,-Tabelle2[[#This Row],[Fd]]*Tabelle2[[#This Row],[vx]]/Tabelle2[[#This Row],[v]],0)</f>
        <v>-2.7411057269869361</v>
      </c>
      <c r="I820">
        <f t="shared" si="132"/>
        <v>-1.8274038179912908</v>
      </c>
      <c r="J820">
        <f t="shared" si="133"/>
        <v>-3.6548076359825814E-2</v>
      </c>
      <c r="K820">
        <f t="shared" si="134"/>
        <v>0.41583507384653728</v>
      </c>
      <c r="L820">
        <f>-$B$5*$B$12-IF($B$3,Tabelle2[[#This Row],[Fd]]*Tabelle2[[#This Row],[vy]]/Tabelle2[[#This Row],[v]],0)</f>
        <v>-5.2974017657656898</v>
      </c>
      <c r="M820">
        <f t="shared" si="135"/>
        <v>-3.5316011771771265</v>
      </c>
      <c r="N820">
        <f t="shared" si="136"/>
        <v>-7.0632023543542533E-2</v>
      </c>
      <c r="O820">
        <f t="shared" si="137"/>
        <v>-1.43064372454426</v>
      </c>
      <c r="P820" s="1">
        <f t="shared" si="139"/>
        <v>20.810027730506778</v>
      </c>
      <c r="Q820" s="1">
        <f t="shared" si="140"/>
        <v>-71.496870215441234</v>
      </c>
      <c r="R820">
        <f>SQRT(Tabelle2[[#This Row],[vx]]*Tabelle2[[#This Row],[vx]]+Tabelle2[[#This Row],[vy]]*Tabelle2[[#This Row],[vy]])</f>
        <v>74.463814734057976</v>
      </c>
      <c r="S820">
        <f t="shared" si="141"/>
        <v>614.84648209486443</v>
      </c>
      <c r="T820" s="1">
        <f t="shared" si="142"/>
        <v>-232.17488366974624</v>
      </c>
    </row>
    <row r="821" spans="6:20" x14ac:dyDescent="0.35">
      <c r="F821" s="1">
        <f t="shared" si="138"/>
        <v>16.35999999999974</v>
      </c>
      <c r="G821">
        <f>1/2*$B$8*$B$6*$B$7*(Tabelle2[[#This Row],[vx]]*Tabelle2[[#This Row],[vx]]+Tabelle2[[#This Row],[vy]]*Tabelle2[[#This Row],[vy]])/1000000</f>
        <v>9.8235918256408148</v>
      </c>
      <c r="H821">
        <f>IF($B$3,-Tabelle2[[#This Row],[Fd]]*Tabelle2[[#This Row],[vx]]/Tabelle2[[#This Row],[v]],0)</f>
        <v>-2.7384090851991529</v>
      </c>
      <c r="I821">
        <f t="shared" si="132"/>
        <v>-1.8256060567994352</v>
      </c>
      <c r="J821">
        <f t="shared" si="133"/>
        <v>-3.6512121135988708E-2</v>
      </c>
      <c r="K821">
        <f t="shared" si="134"/>
        <v>0.41510447187157917</v>
      </c>
      <c r="L821">
        <f>-$B$5*$B$12-IF($B$3,Tabelle2[[#This Row],[Fd]]*Tabelle2[[#This Row],[vy]]/Tabelle2[[#This Row],[v]],0)</f>
        <v>-5.2808030527820868</v>
      </c>
      <c r="M821">
        <f t="shared" si="135"/>
        <v>-3.5205353685213914</v>
      </c>
      <c r="N821">
        <f t="shared" si="136"/>
        <v>-7.041070737042783E-2</v>
      </c>
      <c r="O821">
        <f t="shared" si="137"/>
        <v>-1.4320541518533998</v>
      </c>
      <c r="P821" s="1">
        <f t="shared" si="139"/>
        <v>20.773479654146954</v>
      </c>
      <c r="Q821" s="1">
        <f t="shared" si="140"/>
        <v>-71.567502238984773</v>
      </c>
      <c r="R821">
        <f>SQRT(Tabelle2[[#This Row],[vx]]*Tabelle2[[#This Row],[vx]]+Tabelle2[[#This Row],[vy]]*Tabelle2[[#This Row],[vy]])</f>
        <v>74.521438752001743</v>
      </c>
      <c r="S821">
        <f t="shared" si="141"/>
        <v>615.26231716871098</v>
      </c>
      <c r="T821" s="1">
        <f t="shared" si="142"/>
        <v>-233.6055273942905</v>
      </c>
    </row>
    <row r="822" spans="6:20" x14ac:dyDescent="0.35">
      <c r="F822" s="1">
        <f t="shared" si="138"/>
        <v>16.37999999999974</v>
      </c>
      <c r="G822">
        <f>1/2*$B$8*$B$6*$B$7*(Tabelle2[[#This Row],[vx]]*Tabelle2[[#This Row],[vx]]+Tabelle2[[#This Row],[vy]]*Tabelle2[[#This Row],[vy]])/1000000</f>
        <v>9.8387471420160413</v>
      </c>
      <c r="H822">
        <f>IF($B$3,-Tabelle2[[#This Row],[Fd]]*Tabelle2[[#This Row],[vx]]/Tabelle2[[#This Row],[v]],0)</f>
        <v>-2.7357037820609498</v>
      </c>
      <c r="I822">
        <f t="shared" si="132"/>
        <v>-1.8238025213739666</v>
      </c>
      <c r="J822">
        <f t="shared" si="133"/>
        <v>-3.6476050427479333E-2</v>
      </c>
      <c r="K822">
        <f t="shared" si="134"/>
        <v>0.41437459015594452</v>
      </c>
      <c r="L822">
        <f>-$B$5*$B$12-IF($B$3,Tabelle2[[#This Row],[Fd]]*Tabelle2[[#This Row],[vy]]/Tabelle2[[#This Row],[v]],0)</f>
        <v>-5.2642397056455685</v>
      </c>
      <c r="M822">
        <f t="shared" si="135"/>
        <v>-3.5094931370970457</v>
      </c>
      <c r="N822">
        <f t="shared" si="136"/>
        <v>-7.0189862741940917E-2</v>
      </c>
      <c r="O822">
        <f t="shared" si="137"/>
        <v>-1.4334601575545234</v>
      </c>
      <c r="P822" s="1">
        <f t="shared" si="139"/>
        <v>20.736967533010965</v>
      </c>
      <c r="Q822" s="1">
        <f t="shared" si="140"/>
        <v>-71.6379129463552</v>
      </c>
      <c r="R822">
        <f>SQRT(Tabelle2[[#This Row],[vx]]*Tabelle2[[#This Row],[vx]]+Tabelle2[[#This Row],[vy]]*Tabelle2[[#This Row],[vy]])</f>
        <v>74.578900459679048</v>
      </c>
      <c r="S822">
        <f t="shared" si="141"/>
        <v>615.67742164058257</v>
      </c>
      <c r="T822" s="1">
        <f t="shared" si="142"/>
        <v>-235.03758154614391</v>
      </c>
    </row>
    <row r="823" spans="6:20" x14ac:dyDescent="0.35">
      <c r="F823" s="1">
        <f t="shared" si="138"/>
        <v>16.399999999999739</v>
      </c>
      <c r="G823">
        <f>1/2*$B$8*$B$6*$B$7*(Tabelle2[[#This Row],[vx]]*Tabelle2[[#This Row],[vx]]+Tabelle2[[#This Row],[vy]]*Tabelle2[[#This Row],[vy]])/1000000</f>
        <v>9.8538713293500848</v>
      </c>
      <c r="H823">
        <f>IF($B$3,-Tabelle2[[#This Row],[Fd]]*Tabelle2[[#This Row],[vx]]/Tabelle2[[#This Row],[v]],0)</f>
        <v>-2.7329898818542127</v>
      </c>
      <c r="I823">
        <f t="shared" si="132"/>
        <v>-1.821993254569475</v>
      </c>
      <c r="J823">
        <f t="shared" si="133"/>
        <v>-3.6439865091389502E-2</v>
      </c>
      <c r="K823">
        <f t="shared" si="134"/>
        <v>0.41364543100075585</v>
      </c>
      <c r="L823">
        <f>-$B$5*$B$12-IF($B$3,Tabelle2[[#This Row],[Fd]]*Tabelle2[[#This Row],[vy]]/Tabelle2[[#This Row],[v]],0)</f>
        <v>-5.2477117672973481</v>
      </c>
      <c r="M823">
        <f t="shared" si="135"/>
        <v>-3.4984745115315654</v>
      </c>
      <c r="N823">
        <f t="shared" si="136"/>
        <v>-6.9969490230631315E-2</v>
      </c>
      <c r="O823">
        <f t="shared" si="137"/>
        <v>-1.434861751084249</v>
      </c>
      <c r="P823" s="1">
        <f t="shared" si="139"/>
        <v>20.700491482583487</v>
      </c>
      <c r="Q823" s="1">
        <f t="shared" si="140"/>
        <v>-71.708102809097142</v>
      </c>
      <c r="R823">
        <f>SQRT(Tabelle2[[#This Row],[vx]]*Tabelle2[[#This Row],[vx]]+Tabelle2[[#This Row],[vy]]*Tabelle2[[#This Row],[vy]])</f>
        <v>74.636200037920986</v>
      </c>
      <c r="S823">
        <f t="shared" si="141"/>
        <v>616.09179623073851</v>
      </c>
      <c r="T823" s="1">
        <f t="shared" si="142"/>
        <v>-236.47104170369843</v>
      </c>
    </row>
    <row r="824" spans="6:20" x14ac:dyDescent="0.35">
      <c r="F824" s="1">
        <f t="shared" si="138"/>
        <v>16.419999999999739</v>
      </c>
      <c r="G824">
        <f>1/2*$B$8*$B$6*$B$7*(Tabelle2[[#This Row],[vx]]*Tabelle2[[#This Row],[vx]]+Tabelle2[[#This Row],[vy]]*Tabelle2[[#This Row],[vy]])/1000000</f>
        <v>9.868964337426938</v>
      </c>
      <c r="H824">
        <f>IF($B$3,-Tabelle2[[#This Row],[Fd]]*Tabelle2[[#This Row],[vx]]/Tabelle2[[#This Row],[v]],0)</f>
        <v>-2.7302674487684016</v>
      </c>
      <c r="I824">
        <f t="shared" si="132"/>
        <v>-1.8201782991789344</v>
      </c>
      <c r="J824">
        <f t="shared" si="133"/>
        <v>-3.640356598357869E-2</v>
      </c>
      <c r="K824">
        <f t="shared" si="134"/>
        <v>0.4129169966900062</v>
      </c>
      <c r="L824">
        <f>-$B$5*$B$12-IF($B$3,Tabelle2[[#This Row],[Fd]]*Tabelle2[[#This Row],[vy]]/Tabelle2[[#This Row],[v]],0)</f>
        <v>-5.2312192796543222</v>
      </c>
      <c r="M824">
        <f t="shared" si="135"/>
        <v>-3.4874795197695483</v>
      </c>
      <c r="N824">
        <f t="shared" si="136"/>
        <v>-6.974959039539097E-2</v>
      </c>
      <c r="O824">
        <f t="shared" si="137"/>
        <v>-1.4362589418905094</v>
      </c>
      <c r="P824" s="1">
        <f t="shared" si="139"/>
        <v>20.664051617492099</v>
      </c>
      <c r="Q824" s="1">
        <f t="shared" si="140"/>
        <v>-71.778072299327775</v>
      </c>
      <c r="R824">
        <f>SQRT(Tabelle2[[#This Row],[vx]]*Tabelle2[[#This Row],[vx]]+Tabelle2[[#This Row],[vy]]*Tabelle2[[#This Row],[vy]])</f>
        <v>74.69333766982102</v>
      </c>
      <c r="S824">
        <f t="shared" si="141"/>
        <v>616.50544166173927</v>
      </c>
      <c r="T824" s="1">
        <f t="shared" si="142"/>
        <v>-237.90590345478267</v>
      </c>
    </row>
    <row r="825" spans="6:20" x14ac:dyDescent="0.35">
      <c r="F825" s="1">
        <f t="shared" si="138"/>
        <v>16.439999999999738</v>
      </c>
      <c r="G825">
        <f>1/2*$B$8*$B$6*$B$7*(Tabelle2[[#This Row],[vx]]*Tabelle2[[#This Row],[vx]]+Tabelle2[[#This Row],[vy]]*Tabelle2[[#This Row],[vy]])/1000000</f>
        <v>9.884026117048613</v>
      </c>
      <c r="H825">
        <f>IF($B$3,-Tabelle2[[#This Row],[Fd]]*Tabelle2[[#This Row],[vx]]/Tabelle2[[#This Row],[v]],0)</f>
        <v>-2.7275365468983908</v>
      </c>
      <c r="I825">
        <f t="shared" si="132"/>
        <v>-1.8183576979322604</v>
      </c>
      <c r="J825">
        <f t="shared" si="133"/>
        <v>-3.6367153958645211E-2</v>
      </c>
      <c r="K825">
        <f t="shared" si="134"/>
        <v>0.41218928949058398</v>
      </c>
      <c r="L825">
        <f>-$B$5*$B$12-IF($B$3,Tabelle2[[#This Row],[Fd]]*Tabelle2[[#This Row],[vy]]/Tabelle2[[#This Row],[v]],0)</f>
        <v>-5.2147622836145473</v>
      </c>
      <c r="M825">
        <f t="shared" si="135"/>
        <v>-3.4765081890763647</v>
      </c>
      <c r="N825">
        <f t="shared" si="136"/>
        <v>-6.9530163781527293E-2</v>
      </c>
      <c r="O825">
        <f t="shared" si="137"/>
        <v>-1.4376517394322788</v>
      </c>
      <c r="P825" s="1">
        <f t="shared" si="139"/>
        <v>20.627648051508519</v>
      </c>
      <c r="Q825" s="1">
        <f t="shared" si="140"/>
        <v>-71.847821889723164</v>
      </c>
      <c r="R825">
        <f>SQRT(Tabelle2[[#This Row],[vx]]*Tabelle2[[#This Row],[vx]]+Tabelle2[[#This Row],[vy]]*Tabelle2[[#This Row],[vy]])</f>
        <v>74.750313540708888</v>
      </c>
      <c r="S825">
        <f t="shared" si="141"/>
        <v>616.91835865842927</v>
      </c>
      <c r="T825" s="1">
        <f t="shared" si="142"/>
        <v>-239.34216239667319</v>
      </c>
    </row>
    <row r="826" spans="6:20" x14ac:dyDescent="0.35">
      <c r="F826" s="1">
        <f t="shared" si="138"/>
        <v>16.459999999999738</v>
      </c>
      <c r="G826">
        <f>1/2*$B$8*$B$6*$B$7*(Tabelle2[[#This Row],[vx]]*Tabelle2[[#This Row],[vx]]+Tabelle2[[#This Row],[vy]]*Tabelle2[[#This Row],[vy]])/1000000</f>
        <v>9.8990566200294694</v>
      </c>
      <c r="H826">
        <f>IF($B$3,-Tabelle2[[#This Row],[Fd]]*Tabelle2[[#This Row],[vx]]/Tabelle2[[#This Row],[v]],0)</f>
        <v>-2.7247972402423293</v>
      </c>
      <c r="I826">
        <f t="shared" si="132"/>
        <v>-1.8165314934948862</v>
      </c>
      <c r="J826">
        <f t="shared" si="133"/>
        <v>-3.6330629869897726E-2</v>
      </c>
      <c r="K826">
        <f t="shared" si="134"/>
        <v>0.41146231165229852</v>
      </c>
      <c r="L826">
        <f>-$B$5*$B$12-IF($B$3,Tabelle2[[#This Row],[Fd]]*Tabelle2[[#This Row],[vy]]/Tabelle2[[#This Row],[v]],0)</f>
        <v>-5.1983408190627607</v>
      </c>
      <c r="M826">
        <f t="shared" si="135"/>
        <v>-3.4655605460418406</v>
      </c>
      <c r="N826">
        <f t="shared" si="136"/>
        <v>-6.9311210920836808E-2</v>
      </c>
      <c r="O826">
        <f t="shared" si="137"/>
        <v>-1.439040153179302</v>
      </c>
      <c r="P826" s="1">
        <f t="shared" si="139"/>
        <v>20.591280897549872</v>
      </c>
      <c r="Q826" s="1">
        <f t="shared" si="140"/>
        <v>-71.917352053504686</v>
      </c>
      <c r="R826">
        <f>SQRT(Tabelle2[[#This Row],[vx]]*Tabelle2[[#This Row],[vx]]+Tabelle2[[#This Row],[vy]]*Tabelle2[[#This Row],[vy]])</f>
        <v>74.807127838124742</v>
      </c>
      <c r="S826">
        <f t="shared" si="141"/>
        <v>617.33054794791985</v>
      </c>
      <c r="T826" s="1">
        <f t="shared" si="142"/>
        <v>-240.77981413610547</v>
      </c>
    </row>
    <row r="827" spans="6:20" x14ac:dyDescent="0.35">
      <c r="F827" s="1">
        <f t="shared" si="138"/>
        <v>16.479999999999738</v>
      </c>
      <c r="G827">
        <f>1/2*$B$8*$B$6*$B$7*(Tabelle2[[#This Row],[vx]]*Tabelle2[[#This Row],[vx]]+Tabelle2[[#This Row],[vy]]*Tabelle2[[#This Row],[vy]])/1000000</f>
        <v>9.9140557991905531</v>
      </c>
      <c r="H827">
        <f>IF($B$3,-Tabelle2[[#This Row],[Fd]]*Tabelle2[[#This Row],[vx]]/Tabelle2[[#This Row],[v]],0)</f>
        <v>-2.7220495926995301</v>
      </c>
      <c r="I827">
        <f t="shared" si="132"/>
        <v>-1.8146997284663533</v>
      </c>
      <c r="J827">
        <f t="shared" si="133"/>
        <v>-3.6293994569327068E-2</v>
      </c>
      <c r="K827">
        <f t="shared" si="134"/>
        <v>0.41073606540790619</v>
      </c>
      <c r="L827">
        <f>-$B$5*$B$12-IF($B$3,Tabelle2[[#This Row],[Fd]]*Tabelle2[[#This Row],[vy]]/Tabelle2[[#This Row],[v]],0)</f>
        <v>-5.1819549248758836</v>
      </c>
      <c r="M827">
        <f t="shared" si="135"/>
        <v>-3.4546366165839224</v>
      </c>
      <c r="N827">
        <f t="shared" si="136"/>
        <v>-6.9092732331678453E-2</v>
      </c>
      <c r="O827">
        <f t="shared" si="137"/>
        <v>-1.4404241926118271</v>
      </c>
      <c r="P827" s="1">
        <f t="shared" si="139"/>
        <v>20.554950267679974</v>
      </c>
      <c r="Q827" s="1">
        <f t="shared" si="140"/>
        <v>-71.986663264425516</v>
      </c>
      <c r="R827">
        <f>SQRT(Tabelle2[[#This Row],[vx]]*Tabelle2[[#This Row],[vx]]+Tabelle2[[#This Row],[vy]]*Tabelle2[[#This Row],[vy]])</f>
        <v>74.863780751793371</v>
      </c>
      <c r="S827">
        <f t="shared" si="141"/>
        <v>617.74201025957211</v>
      </c>
      <c r="T827" s="1">
        <f t="shared" si="142"/>
        <v>-242.21885428928476</v>
      </c>
    </row>
    <row r="828" spans="6:20" x14ac:dyDescent="0.35">
      <c r="F828" s="1">
        <f t="shared" si="138"/>
        <v>16.499999999999737</v>
      </c>
      <c r="G828">
        <f>1/2*$B$8*$B$6*$B$7*(Tabelle2[[#This Row],[vx]]*Tabelle2[[#This Row],[vx]]+Tabelle2[[#This Row],[vy]]*Tabelle2[[#This Row],[vy]])/1000000</f>
        <v>9.9290236083539618</v>
      </c>
      <c r="H828">
        <f>IF($B$3,-Tabelle2[[#This Row],[Fd]]*Tabelle2[[#This Row],[vx]]/Tabelle2[[#This Row],[v]],0)</f>
        <v>-2.7192936680683935</v>
      </c>
      <c r="I828">
        <f t="shared" si="132"/>
        <v>-1.812862445378929</v>
      </c>
      <c r="J828">
        <f t="shared" si="133"/>
        <v>-3.6257248907578581E-2</v>
      </c>
      <c r="K828">
        <f t="shared" si="134"/>
        <v>0.41001055297313715</v>
      </c>
      <c r="L828">
        <f>-$B$5*$B$12-IF($B$3,Tabelle2[[#This Row],[Fd]]*Tabelle2[[#This Row],[vy]]/Tabelle2[[#This Row],[v]],0)</f>
        <v>-5.1656046389285208</v>
      </c>
      <c r="M828">
        <f t="shared" si="135"/>
        <v>-3.4437364259523471</v>
      </c>
      <c r="N828">
        <f t="shared" si="136"/>
        <v>-6.887472851904694E-2</v>
      </c>
      <c r="O828">
        <f t="shared" si="137"/>
        <v>-1.4418038672203344</v>
      </c>
      <c r="P828" s="1">
        <f t="shared" si="139"/>
        <v>20.518656273110647</v>
      </c>
      <c r="Q828" s="1">
        <f t="shared" si="140"/>
        <v>-72.055755996757199</v>
      </c>
      <c r="R828">
        <f>SQRT(Tabelle2[[#This Row],[vx]]*Tabelle2[[#This Row],[vx]]+Tabelle2[[#This Row],[vy]]*Tabelle2[[#This Row],[vy]])</f>
        <v>74.920272473598715</v>
      </c>
      <c r="S828">
        <f t="shared" si="141"/>
        <v>618.15274632498006</v>
      </c>
      <c r="T828" s="1">
        <f t="shared" si="142"/>
        <v>-243.65927848189659</v>
      </c>
    </row>
    <row r="829" spans="6:20" x14ac:dyDescent="0.35">
      <c r="F829" s="1">
        <f t="shared" si="138"/>
        <v>16.519999999999737</v>
      </c>
      <c r="G829">
        <f>1/2*$B$8*$B$6*$B$7*(Tabelle2[[#This Row],[vx]]*Tabelle2[[#This Row],[vx]]+Tabelle2[[#This Row],[vy]]*Tabelle2[[#This Row],[vy]])/1000000</f>
        <v>9.9439600023371604</v>
      </c>
      <c r="H829">
        <f>IF($B$3,-Tabelle2[[#This Row],[Fd]]*Tabelle2[[#This Row],[vx]]/Tabelle2[[#This Row],[v]],0)</f>
        <v>-2.7165295300443462</v>
      </c>
      <c r="I829">
        <f t="shared" si="132"/>
        <v>-1.8110196866962307</v>
      </c>
      <c r="J829">
        <f t="shared" si="133"/>
        <v>-3.6220393733924612E-2</v>
      </c>
      <c r="K829">
        <f t="shared" si="134"/>
        <v>0.4092857765467221</v>
      </c>
      <c r="L829">
        <f>-$B$5*$B$12-IF($B$3,Tabelle2[[#This Row],[Fd]]*Tabelle2[[#This Row],[vy]]/Tabelle2[[#This Row],[v]],0)</f>
        <v>-5.1492899980985047</v>
      </c>
      <c r="M829">
        <f t="shared" si="135"/>
        <v>-3.4328599987323365</v>
      </c>
      <c r="N829">
        <f t="shared" si="136"/>
        <v>-6.8657199974646727E-2</v>
      </c>
      <c r="O829">
        <f t="shared" si="137"/>
        <v>-1.4431791865052714</v>
      </c>
      <c r="P829" s="1">
        <f t="shared" si="139"/>
        <v>20.482399024203069</v>
      </c>
      <c r="Q829" s="1">
        <f t="shared" si="140"/>
        <v>-72.124630725276248</v>
      </c>
      <c r="R829">
        <f>SQRT(Tabelle2[[#This Row],[vx]]*Tabelle2[[#This Row],[vx]]+Tabelle2[[#This Row],[vy]]*Tabelle2[[#This Row],[vy]])</f>
        <v>74.976603197558489</v>
      </c>
      <c r="S829">
        <f t="shared" si="141"/>
        <v>618.56275687795323</v>
      </c>
      <c r="T829" s="1">
        <f t="shared" si="142"/>
        <v>-245.10108234911692</v>
      </c>
    </row>
    <row r="830" spans="6:20" x14ac:dyDescent="0.35">
      <c r="F830" s="1">
        <f t="shared" si="138"/>
        <v>16.539999999999736</v>
      </c>
      <c r="G830">
        <f>1/2*$B$8*$B$6*$B$7*(Tabelle2[[#This Row],[vx]]*Tabelle2[[#This Row],[vx]]+Tabelle2[[#This Row],[vy]]*Tabelle2[[#This Row],[vy]])/1000000</f>
        <v>9.9588649369473483</v>
      </c>
      <c r="H830">
        <f>IF($B$3,-Tabelle2[[#This Row],[Fd]]*Tabelle2[[#This Row],[vx]]/Tabelle2[[#This Row],[v]],0)</f>
        <v>-2.7137572422178229</v>
      </c>
      <c r="I830">
        <f t="shared" si="132"/>
        <v>-1.809171494811882</v>
      </c>
      <c r="J830">
        <f t="shared" si="133"/>
        <v>-3.6183429896237643E-2</v>
      </c>
      <c r="K830">
        <f t="shared" si="134"/>
        <v>0.40856173831042053</v>
      </c>
      <c r="L830">
        <f>-$B$5*$B$12-IF($B$3,Tabelle2[[#This Row],[Fd]]*Tabelle2[[#This Row],[vy]]/Tabelle2[[#This Row],[v]],0)</f>
        <v>-5.1330110382723984</v>
      </c>
      <c r="M830">
        <f t="shared" si="135"/>
        <v>-3.4220073588482656</v>
      </c>
      <c r="N830">
        <f t="shared" si="136"/>
        <v>-6.844014717696531E-2</v>
      </c>
      <c r="O830">
        <f t="shared" si="137"/>
        <v>-1.4445501599767878</v>
      </c>
      <c r="P830" s="1">
        <f t="shared" si="139"/>
        <v>20.446178630469145</v>
      </c>
      <c r="Q830" s="1">
        <f t="shared" si="140"/>
        <v>-72.1932879252509</v>
      </c>
      <c r="R830">
        <f>SQRT(Tabelle2[[#This Row],[vx]]*Tabelle2[[#This Row],[vx]]+Tabelle2[[#This Row],[vy]]*Tabelle2[[#This Row],[vy]])</f>
        <v>75.032773119799003</v>
      </c>
      <c r="S830">
        <f t="shared" si="141"/>
        <v>618.9720426545</v>
      </c>
      <c r="T830" s="1">
        <f t="shared" si="142"/>
        <v>-246.54426153562218</v>
      </c>
    </row>
    <row r="831" spans="6:20" x14ac:dyDescent="0.35">
      <c r="F831" s="1">
        <f t="shared" si="138"/>
        <v>16.559999999999736</v>
      </c>
      <c r="G831">
        <f>1/2*$B$8*$B$6*$B$7*(Tabelle2[[#This Row],[vx]]*Tabelle2[[#This Row],[vx]]+Tabelle2[[#This Row],[vy]]*Tabelle2[[#This Row],[vy]])/1000000</f>
        <v>9.9737383689757984</v>
      </c>
      <c r="H831">
        <f>IF($B$3,-Tabelle2[[#This Row],[Fd]]*Tabelle2[[#This Row],[vx]]/Tabelle2[[#This Row],[v]],0)</f>
        <v>-2.7109768680722603</v>
      </c>
      <c r="I831">
        <f t="shared" si="132"/>
        <v>-1.8073179120481735</v>
      </c>
      <c r="J831">
        <f t="shared" si="133"/>
        <v>-3.6146358240963468E-2</v>
      </c>
      <c r="K831">
        <f t="shared" si="134"/>
        <v>0.40783844042904854</v>
      </c>
      <c r="L831">
        <f>-$B$5*$B$12-IF($B$3,Tabelle2[[#This Row],[Fd]]*Tabelle2[[#This Row],[vy]]/Tabelle2[[#This Row],[v]],0)</f>
        <v>-5.1167677943510288</v>
      </c>
      <c r="M831">
        <f t="shared" si="135"/>
        <v>-3.4111785295673527</v>
      </c>
      <c r="N831">
        <f t="shared" si="136"/>
        <v>-6.8223570591347052E-2</v>
      </c>
      <c r="O831">
        <f t="shared" si="137"/>
        <v>-1.4459167971544711</v>
      </c>
      <c r="P831" s="1">
        <f t="shared" si="139"/>
        <v>20.409995200572908</v>
      </c>
      <c r="Q831" s="1">
        <f t="shared" si="140"/>
        <v>-72.261728072427871</v>
      </c>
      <c r="R831">
        <f>SQRT(Tabelle2[[#This Row],[vx]]*Tabelle2[[#This Row],[vx]]+Tabelle2[[#This Row],[vy]]*Tabelle2[[#This Row],[vy]])</f>
        <v>75.088782438530188</v>
      </c>
      <c r="S831">
        <f t="shared" si="141"/>
        <v>619.38060439281037</v>
      </c>
      <c r="T831" s="1">
        <f t="shared" si="142"/>
        <v>-247.98881169559897</v>
      </c>
    </row>
    <row r="832" spans="6:20" x14ac:dyDescent="0.35">
      <c r="F832" s="1">
        <f t="shared" si="138"/>
        <v>16.579999999999735</v>
      </c>
      <c r="G832">
        <f>1/2*$B$8*$B$6*$B$7*(Tabelle2[[#This Row],[vx]]*Tabelle2[[#This Row],[vx]]+Tabelle2[[#This Row],[vy]]*Tabelle2[[#This Row],[vy]])/1000000</f>
        <v>9.9885802561922077</v>
      </c>
      <c r="H832">
        <f>IF($B$3,-Tabelle2[[#This Row],[Fd]]*Tabelle2[[#This Row],[vx]]/Tabelle2[[#This Row],[v]],0)</f>
        <v>-2.7081884709821282</v>
      </c>
      <c r="I832">
        <f t="shared" si="132"/>
        <v>-1.8054589806547521</v>
      </c>
      <c r="J832">
        <f t="shared" si="133"/>
        <v>-3.6109179613095045E-2</v>
      </c>
      <c r="K832">
        <f t="shared" si="134"/>
        <v>0.407115885050508</v>
      </c>
      <c r="L832">
        <f>-$B$5*$B$12-IF($B$3,Tabelle2[[#This Row],[Fd]]*Tabelle2[[#This Row],[vy]]/Tabelle2[[#This Row],[v]],0)</f>
        <v>-5.1005603002550224</v>
      </c>
      <c r="M832">
        <f t="shared" si="135"/>
        <v>-3.4003735335033483</v>
      </c>
      <c r="N832">
        <f t="shared" si="136"/>
        <v>-6.8007470670066961E-2</v>
      </c>
      <c r="O832">
        <f t="shared" si="137"/>
        <v>-1.447279107567085</v>
      </c>
      <c r="P832" s="1">
        <f t="shared" si="139"/>
        <v>20.373848842331945</v>
      </c>
      <c r="Q832" s="1">
        <f t="shared" si="140"/>
        <v>-72.329951643019214</v>
      </c>
      <c r="R832">
        <f>SQRT(Tabelle2[[#This Row],[vx]]*Tabelle2[[#This Row],[vx]]+Tabelle2[[#This Row],[vy]]*Tabelle2[[#This Row],[vy]])</f>
        <v>75.144631354020817</v>
      </c>
      <c r="S832">
        <f t="shared" si="141"/>
        <v>619.7884428332394</v>
      </c>
      <c r="T832" s="1">
        <f t="shared" si="142"/>
        <v>-249.43472849275344</v>
      </c>
    </row>
    <row r="833" spans="6:20" x14ac:dyDescent="0.35">
      <c r="F833" s="1">
        <f t="shared" si="138"/>
        <v>16.599999999999735</v>
      </c>
      <c r="G833">
        <f>1/2*$B$8*$B$6*$B$7*(Tabelle2[[#This Row],[vx]]*Tabelle2[[#This Row],[vx]]+Tabelle2[[#This Row],[vy]]*Tabelle2[[#This Row],[vy]])/1000000</f>
        <v>10.003390557339051</v>
      </c>
      <c r="H833">
        <f>IF($B$3,-Tabelle2[[#This Row],[Fd]]*Tabelle2[[#This Row],[vx]]/Tabelle2[[#This Row],[v]],0)</f>
        <v>-2.7053921142109827</v>
      </c>
      <c r="I833">
        <f t="shared" si="132"/>
        <v>-1.8035947428073218</v>
      </c>
      <c r="J833">
        <f t="shared" si="133"/>
        <v>-3.6071894856146439E-2</v>
      </c>
      <c r="K833">
        <f t="shared" si="134"/>
        <v>0.40639407430581548</v>
      </c>
      <c r="L833">
        <f>-$B$5*$B$12-IF($B$3,Tabelle2[[#This Row],[Fd]]*Tabelle2[[#This Row],[vy]]/Tabelle2[[#This Row],[v]],0)</f>
        <v>-5.0843885889303415</v>
      </c>
      <c r="M833">
        <f t="shared" si="135"/>
        <v>-3.3895923926202278</v>
      </c>
      <c r="N833">
        <f t="shared" si="136"/>
        <v>-6.7791847852404552E-2</v>
      </c>
      <c r="O833">
        <f t="shared" si="137"/>
        <v>-1.4486371007523096</v>
      </c>
      <c r="P833" s="1">
        <f t="shared" si="139"/>
        <v>20.33773966271885</v>
      </c>
      <c r="Q833" s="1">
        <f t="shared" si="140"/>
        <v>-72.397959113689282</v>
      </c>
      <c r="R833">
        <f>SQRT(Tabelle2[[#This Row],[vx]]*Tabelle2[[#This Row],[vx]]+Tabelle2[[#This Row],[vy]]*Tabelle2[[#This Row],[vy]])</f>
        <v>75.200320068573859</v>
      </c>
      <c r="S833">
        <f t="shared" si="141"/>
        <v>620.19555871828993</v>
      </c>
      <c r="T833" s="1">
        <f t="shared" si="142"/>
        <v>-250.88200760032052</v>
      </c>
    </row>
    <row r="834" spans="6:20" x14ac:dyDescent="0.35">
      <c r="F834" s="1">
        <f t="shared" si="138"/>
        <v>16.619999999999735</v>
      </c>
      <c r="G834">
        <f>1/2*$B$8*$B$6*$B$7*(Tabelle2[[#This Row],[vx]]*Tabelle2[[#This Row],[vx]]+Tabelle2[[#This Row],[vy]]*Tabelle2[[#This Row],[vy]])/1000000</f>
        <v>10.018169232125926</v>
      </c>
      <c r="H834">
        <f>IF($B$3,-Tabelle2[[#This Row],[Fd]]*Tabelle2[[#This Row],[vx]]/Tabelle2[[#This Row],[v]],0)</f>
        <v>-2.7025878609095466</v>
      </c>
      <c r="I834">
        <f t="shared" si="132"/>
        <v>-1.8017252406063644</v>
      </c>
      <c r="J834">
        <f t="shared" si="133"/>
        <v>-3.6034504812127291E-2</v>
      </c>
      <c r="K834">
        <f t="shared" si="134"/>
        <v>0.40567301030913278</v>
      </c>
      <c r="L834">
        <f>-$B$5*$B$12-IF($B$3,Tabelle2[[#This Row],[Fd]]*Tabelle2[[#This Row],[vy]]/Tabelle2[[#This Row],[v]],0)</f>
        <v>-5.0682526923538163</v>
      </c>
      <c r="M834">
        <f t="shared" si="135"/>
        <v>-3.3788351282358775</v>
      </c>
      <c r="N834">
        <f t="shared" si="136"/>
        <v>-6.7576702564717553E-2</v>
      </c>
      <c r="O834">
        <f t="shared" si="137"/>
        <v>-1.4499907862564809</v>
      </c>
      <c r="P834" s="1">
        <f t="shared" si="139"/>
        <v>20.301667767862703</v>
      </c>
      <c r="Q834" s="1">
        <f t="shared" si="140"/>
        <v>-72.465750961541687</v>
      </c>
      <c r="R834">
        <f>SQRT(Tabelle2[[#This Row],[vx]]*Tabelle2[[#This Row],[vx]]+Tabelle2[[#This Row],[vy]]*Tabelle2[[#This Row],[vy]])</f>
        <v>75.255848786502014</v>
      </c>
      <c r="S834">
        <f t="shared" si="141"/>
        <v>620.60195279259574</v>
      </c>
      <c r="T834" s="1">
        <f t="shared" si="142"/>
        <v>-252.33064470107283</v>
      </c>
    </row>
    <row r="835" spans="6:20" x14ac:dyDescent="0.35">
      <c r="F835" s="1">
        <f t="shared" si="138"/>
        <v>16.639999999999734</v>
      </c>
      <c r="G835">
        <f>1/2*$B$8*$B$6*$B$7*(Tabelle2[[#This Row],[vx]]*Tabelle2[[#This Row],[vx]]+Tabelle2[[#This Row],[vy]]*Tabelle2[[#This Row],[vy]])/1000000</f>
        <v>10.032916241223912</v>
      </c>
      <c r="H835">
        <f>IF($B$3,-Tabelle2[[#This Row],[Fd]]*Tabelle2[[#This Row],[vx]]/Tabelle2[[#This Row],[v]],0)</f>
        <v>-2.6997757741138155</v>
      </c>
      <c r="I835">
        <f t="shared" ref="I835:I898" si="143">H835/$B$5</f>
        <v>-1.7998505160758771</v>
      </c>
      <c r="J835">
        <f t="shared" ref="J835:J898" si="144">I835*$B$13</f>
        <v>-3.5997010321517545E-2</v>
      </c>
      <c r="K835">
        <f t="shared" ref="K835:K898" si="145">$B$13*(P835+J835/2)</f>
        <v>0.40495269515779636</v>
      </c>
      <c r="L835">
        <f>-$B$5*$B$12-IF($B$3,Tabelle2[[#This Row],[Fd]]*Tabelle2[[#This Row],[vy]]/Tabelle2[[#This Row],[v]],0)</f>
        <v>-5.0521526415386901</v>
      </c>
      <c r="M835">
        <f t="shared" ref="M835:M898" si="146">L835/$B$5</f>
        <v>-3.3681017610257933</v>
      </c>
      <c r="N835">
        <f t="shared" ref="N835:N898" si="147">M835*$B$13</f>
        <v>-6.736203522051587E-2</v>
      </c>
      <c r="O835">
        <f t="shared" ref="O835:O898" si="148">$B$13*(Q835+N835/2)</f>
        <v>-1.4513401736343334</v>
      </c>
      <c r="P835" s="1">
        <f t="shared" si="139"/>
        <v>20.265633263050574</v>
      </c>
      <c r="Q835" s="1">
        <f t="shared" si="140"/>
        <v>-72.533327664106409</v>
      </c>
      <c r="R835">
        <f>SQRT(Tabelle2[[#This Row],[vx]]*Tabelle2[[#This Row],[vx]]+Tabelle2[[#This Row],[vy]]*Tabelle2[[#This Row],[vy]])</f>
        <v>75.311217714103421</v>
      </c>
      <c r="S835">
        <f t="shared" si="141"/>
        <v>621.00762580290484</v>
      </c>
      <c r="T835" s="1">
        <f t="shared" si="142"/>
        <v>-253.78063548732931</v>
      </c>
    </row>
    <row r="836" spans="6:20" x14ac:dyDescent="0.35">
      <c r="F836" s="1">
        <f t="shared" ref="F836:F899" si="149">F835+$B$13</f>
        <v>16.659999999999734</v>
      </c>
      <c r="G836">
        <f>1/2*$B$8*$B$6*$B$7*(Tabelle2[[#This Row],[vx]]*Tabelle2[[#This Row],[vx]]+Tabelle2[[#This Row],[vy]]*Tabelle2[[#This Row],[vy]])/1000000</f>
        <v>10.047631546259932</v>
      </c>
      <c r="H836">
        <f>IF($B$3,-Tabelle2[[#This Row],[Fd]]*Tabelle2[[#This Row],[vx]]/Tabelle2[[#This Row],[v]],0)</f>
        <v>-2.6969559167431925</v>
      </c>
      <c r="I836">
        <f t="shared" si="143"/>
        <v>-1.7979706111621283</v>
      </c>
      <c r="J836">
        <f t="shared" si="144"/>
        <v>-3.5959412223242566E-2</v>
      </c>
      <c r="K836">
        <f t="shared" si="145"/>
        <v>0.40423313093234875</v>
      </c>
      <c r="L836">
        <f>-$B$5*$B$12-IF($B$3,Tabelle2[[#This Row],[Fd]]*Tabelle2[[#This Row],[vy]]/Tabelle2[[#This Row],[v]],0)</f>
        <v>-5.0360884665401748</v>
      </c>
      <c r="M836">
        <f t="shared" si="146"/>
        <v>-3.3573923110267834</v>
      </c>
      <c r="N836">
        <f t="shared" si="147"/>
        <v>-6.714784622053567E-2</v>
      </c>
      <c r="O836">
        <f t="shared" si="148"/>
        <v>-1.4526852724487438</v>
      </c>
      <c r="P836" s="1">
        <f t="shared" ref="P836:P899" si="150">P835+J835</f>
        <v>20.229636252729058</v>
      </c>
      <c r="Q836" s="1">
        <f t="shared" ref="Q836:Q899" si="151">Q835+N835</f>
        <v>-72.600689699326921</v>
      </c>
      <c r="R836">
        <f>SQRT(Tabelle2[[#This Row],[vx]]*Tabelle2[[#This Row],[vx]]+Tabelle2[[#This Row],[vy]]*Tabelle2[[#This Row],[vy]])</f>
        <v>75.366427059637672</v>
      </c>
      <c r="S836">
        <f t="shared" ref="S836:S899" si="152">S835+K835</f>
        <v>621.41257849806266</v>
      </c>
      <c r="T836" s="1">
        <f t="shared" ref="T836:T899" si="153">T835+O835</f>
        <v>-255.23197566096363</v>
      </c>
    </row>
    <row r="837" spans="6:20" x14ac:dyDescent="0.35">
      <c r="F837" s="1">
        <f t="shared" si="149"/>
        <v>16.679999999999733</v>
      </c>
      <c r="G837">
        <f>1/2*$B$8*$B$6*$B$7*(Tabelle2[[#This Row],[vx]]*Tabelle2[[#This Row],[vx]]+Tabelle2[[#This Row],[vy]]*Tabelle2[[#This Row],[vy]])/1000000</f>
        <v>10.062315109811111</v>
      </c>
      <c r="H837">
        <f>IF($B$3,-Tabelle2[[#This Row],[Fd]]*Tabelle2[[#This Row],[vx]]/Tabelle2[[#This Row],[v]],0)</f>
        <v>-2.6941283515986472</v>
      </c>
      <c r="I837">
        <f t="shared" si="143"/>
        <v>-1.7960855677324314</v>
      </c>
      <c r="J837">
        <f t="shared" si="144"/>
        <v>-3.5921711354648632E-2</v>
      </c>
      <c r="K837">
        <f t="shared" si="145"/>
        <v>0.40351431969656987</v>
      </c>
      <c r="L837">
        <f>-$B$5*$B$12-IF($B$3,Tabelle2[[#This Row],[Fd]]*Tabelle2[[#This Row],[vy]]/Tabelle2[[#This Row],[v]],0)</f>
        <v>-5.0200601964609728</v>
      </c>
      <c r="M837">
        <f t="shared" si="146"/>
        <v>-3.3467067976406484</v>
      </c>
      <c r="N837">
        <f t="shared" si="147"/>
        <v>-6.6934135952812973E-2</v>
      </c>
      <c r="O837">
        <f t="shared" si="148"/>
        <v>-1.4540260922704773</v>
      </c>
      <c r="P837" s="1">
        <f t="shared" si="150"/>
        <v>20.193676840505816</v>
      </c>
      <c r="Q837" s="1">
        <f t="shared" si="151"/>
        <v>-72.667837545547457</v>
      </c>
      <c r="R837">
        <f>SQRT(Tabelle2[[#This Row],[vx]]*Tabelle2[[#This Row],[vx]]+Tabelle2[[#This Row],[vy]]*Tabelle2[[#This Row],[vy]])</f>
        <v>75.421477033301713</v>
      </c>
      <c r="S837">
        <f t="shared" si="152"/>
        <v>621.81681162899497</v>
      </c>
      <c r="T837" s="1">
        <f t="shared" si="153"/>
        <v>-256.68466093341237</v>
      </c>
    </row>
    <row r="838" spans="6:20" x14ac:dyDescent="0.35">
      <c r="F838" s="1">
        <f t="shared" si="149"/>
        <v>16.699999999999733</v>
      </c>
      <c r="G838">
        <f>1/2*$B$8*$B$6*$B$7*(Tabelle2[[#This Row],[vx]]*Tabelle2[[#This Row],[vx]]+Tabelle2[[#This Row],[vy]]*Tabelle2[[#This Row],[vy]])/1000000</f>
        <v>10.076966895399137</v>
      </c>
      <c r="H838">
        <f>IF($B$3,-Tabelle2[[#This Row],[Fd]]*Tabelle2[[#This Row],[vx]]/Tabelle2[[#This Row],[v]],0)</f>
        <v>-2.691293141360898</v>
      </c>
      <c r="I838">
        <f t="shared" si="143"/>
        <v>-1.794195427573932</v>
      </c>
      <c r="J838">
        <f t="shared" si="144"/>
        <v>-3.588390855147864E-2</v>
      </c>
      <c r="K838">
        <f t="shared" si="145"/>
        <v>0.40279626349750858</v>
      </c>
      <c r="L838">
        <f>-$B$5*$B$12-IF($B$3,Tabelle2[[#This Row],[Fd]]*Tabelle2[[#This Row],[vy]]/Tabelle2[[#This Row],[v]],0)</f>
        <v>-5.0040678594568533</v>
      </c>
      <c r="M838">
        <f t="shared" si="146"/>
        <v>-3.3360452396379023</v>
      </c>
      <c r="N838">
        <f t="shared" si="147"/>
        <v>-6.6720904792758051E-2</v>
      </c>
      <c r="O838">
        <f t="shared" si="148"/>
        <v>-1.4553626426779329</v>
      </c>
      <c r="P838" s="1">
        <f t="shared" si="150"/>
        <v>20.157755129151166</v>
      </c>
      <c r="Q838" s="1">
        <f t="shared" si="151"/>
        <v>-72.734771681500263</v>
      </c>
      <c r="R838">
        <f>SQRT(Tabelle2[[#This Row],[vx]]*Tabelle2[[#This Row],[vx]]+Tabelle2[[#This Row],[vy]]*Tabelle2[[#This Row],[vy]])</f>
        <v>75.476367847206276</v>
      </c>
      <c r="S838">
        <f t="shared" si="152"/>
        <v>622.22032594869154</v>
      </c>
      <c r="T838" s="1">
        <f t="shared" si="153"/>
        <v>-258.13868702568283</v>
      </c>
    </row>
    <row r="839" spans="6:20" x14ac:dyDescent="0.35">
      <c r="F839" s="1">
        <f t="shared" si="149"/>
        <v>16.719999999999732</v>
      </c>
      <c r="G839">
        <f>1/2*$B$8*$B$6*$B$7*(Tabelle2[[#This Row],[vx]]*Tabelle2[[#This Row],[vx]]+Tabelle2[[#This Row],[vy]]*Tabelle2[[#This Row],[vy]])/1000000</f>
        <v>10.09158686748464</v>
      </c>
      <c r="H839">
        <f>IF($B$3,-Tabelle2[[#This Row],[Fd]]*Tabelle2[[#This Row],[vx]]/Tabelle2[[#This Row],[v]],0)</f>
        <v>-2.6884503485886269</v>
      </c>
      <c r="I839">
        <f t="shared" si="143"/>
        <v>-1.792300232392418</v>
      </c>
      <c r="J839">
        <f t="shared" si="144"/>
        <v>-3.5846004647848359E-2</v>
      </c>
      <c r="K839">
        <f t="shared" si="145"/>
        <v>0.40207896436551521</v>
      </c>
      <c r="L839">
        <f>-$B$5*$B$12-IF($B$3,Tabelle2[[#This Row],[Fd]]*Tabelle2[[#This Row],[vy]]/Tabelle2[[#This Row],[v]],0)</f>
        <v>-4.9881114827421733</v>
      </c>
      <c r="M839">
        <f t="shared" si="146"/>
        <v>-3.3254076551614489</v>
      </c>
      <c r="N839">
        <f t="shared" si="147"/>
        <v>-6.6508153103228981E-2</v>
      </c>
      <c r="O839">
        <f t="shared" si="148"/>
        <v>-1.4566949332568928</v>
      </c>
      <c r="P839" s="1">
        <f t="shared" si="150"/>
        <v>20.121871220599687</v>
      </c>
      <c r="Q839" s="1">
        <f t="shared" si="151"/>
        <v>-72.801492586293023</v>
      </c>
      <c r="R839">
        <f>SQRT(Tabelle2[[#This Row],[vx]]*Tabelle2[[#This Row],[vx]]+Tabelle2[[#This Row],[vy]]*Tabelle2[[#This Row],[vy]])</f>
        <v>75.531099715352184</v>
      </c>
      <c r="S839">
        <f t="shared" si="152"/>
        <v>622.62312221218906</v>
      </c>
      <c r="T839" s="1">
        <f t="shared" si="153"/>
        <v>-259.59404966836075</v>
      </c>
    </row>
    <row r="840" spans="6:20" x14ac:dyDescent="0.35">
      <c r="F840" s="1">
        <f t="shared" si="149"/>
        <v>16.739999999999732</v>
      </c>
      <c r="G840">
        <f>1/2*$B$8*$B$6*$B$7*(Tabelle2[[#This Row],[vx]]*Tabelle2[[#This Row],[vx]]+Tabelle2[[#This Row],[vy]]*Tabelle2[[#This Row],[vy]])/1000000</f>
        <v>10.106174991461566</v>
      </c>
      <c r="H840">
        <f>IF($B$3,-Tabelle2[[#This Row],[Fd]]*Tabelle2[[#This Row],[vx]]/Tabelle2[[#This Row],[v]],0)</f>
        <v>-2.685600035716714</v>
      </c>
      <c r="I840">
        <f t="shared" si="143"/>
        <v>-1.7904000238111426</v>
      </c>
      <c r="J840">
        <f t="shared" si="144"/>
        <v>-3.5808000476222852E-2</v>
      </c>
      <c r="K840">
        <f t="shared" si="145"/>
        <v>0.40136242431427455</v>
      </c>
      <c r="L840">
        <f>-$B$5*$B$12-IF($B$3,Tabelle2[[#This Row],[Fd]]*Tabelle2[[#This Row],[vy]]/Tabelle2[[#This Row],[v]],0)</f>
        <v>-4.9721910925954429</v>
      </c>
      <c r="M840">
        <f t="shared" si="146"/>
        <v>-3.3147940617302951</v>
      </c>
      <c r="N840">
        <f t="shared" si="147"/>
        <v>-6.6295881234605905E-2</v>
      </c>
      <c r="O840">
        <f t="shared" si="148"/>
        <v>-1.458022973600271</v>
      </c>
      <c r="P840" s="1">
        <f t="shared" si="150"/>
        <v>20.086025215951839</v>
      </c>
      <c r="Q840" s="1">
        <f t="shared" si="151"/>
        <v>-72.868000739396251</v>
      </c>
      <c r="R840">
        <f>SQRT(Tabelle2[[#This Row],[vx]]*Tabelle2[[#This Row],[vx]]+Tabelle2[[#This Row],[vy]]*Tabelle2[[#This Row],[vy]])</f>
        <v>75.585672853607022</v>
      </c>
      <c r="S840">
        <f t="shared" si="152"/>
        <v>623.02520117655456</v>
      </c>
      <c r="T840" s="1">
        <f t="shared" si="153"/>
        <v>-261.05074460161762</v>
      </c>
    </row>
    <row r="841" spans="6:20" x14ac:dyDescent="0.35">
      <c r="F841" s="1">
        <f t="shared" si="149"/>
        <v>16.759999999999732</v>
      </c>
      <c r="G841">
        <f>1/2*$B$8*$B$6*$B$7*(Tabelle2[[#This Row],[vx]]*Tabelle2[[#This Row],[vx]]+Tabelle2[[#This Row],[vy]]*Tabelle2[[#This Row],[vy]])/1000000</f>
        <v>10.120731233651529</v>
      </c>
      <c r="H841">
        <f>IF($B$3,-Tabelle2[[#This Row],[Fd]]*Tabelle2[[#This Row],[vx]]/Tabelle2[[#This Row],[v]],0)</f>
        <v>-2.6827422650544932</v>
      </c>
      <c r="I841">
        <f t="shared" si="143"/>
        <v>-1.7884948433696621</v>
      </c>
      <c r="J841">
        <f t="shared" si="144"/>
        <v>-3.5769896867393243E-2</v>
      </c>
      <c r="K841">
        <f t="shared" si="145"/>
        <v>0.40064664534083838</v>
      </c>
      <c r="L841">
        <f>-$B$5*$B$12-IF($B$3,Tabelle2[[#This Row],[Fd]]*Tabelle2[[#This Row],[vy]]/Tabelle2[[#This Row],[v]],0)</f>
        <v>-4.9563067143648833</v>
      </c>
      <c r="M841">
        <f t="shared" si="146"/>
        <v>-3.3042044762432554</v>
      </c>
      <c r="N841">
        <f t="shared" si="147"/>
        <v>-6.6084089524865108E-2</v>
      </c>
      <c r="O841">
        <f t="shared" si="148"/>
        <v>-1.459346773307866</v>
      </c>
      <c r="P841" s="1">
        <f t="shared" si="150"/>
        <v>20.050217215475616</v>
      </c>
      <c r="Q841" s="1">
        <f t="shared" si="151"/>
        <v>-72.93429662063086</v>
      </c>
      <c r="R841">
        <f>SQRT(Tabelle2[[#This Row],[vx]]*Tabelle2[[#This Row],[vx]]+Tabelle2[[#This Row],[vy]]*Tabelle2[[#This Row],[vy]])</f>
        <v>75.640087479681839</v>
      </c>
      <c r="S841">
        <f t="shared" si="152"/>
        <v>623.4265636008688</v>
      </c>
      <c r="T841" s="1">
        <f t="shared" si="153"/>
        <v>-262.50876757521792</v>
      </c>
    </row>
    <row r="842" spans="6:20" x14ac:dyDescent="0.35">
      <c r="F842" s="1">
        <f t="shared" si="149"/>
        <v>16.779999999999731</v>
      </c>
      <c r="G842">
        <f>1/2*$B$8*$B$6*$B$7*(Tabelle2[[#This Row],[vx]]*Tabelle2[[#This Row],[vx]]+Tabelle2[[#This Row],[vy]]*Tabelle2[[#This Row],[vy]])/1000000</f>
        <v>10.135255561298234</v>
      </c>
      <c r="H842">
        <f>IF($B$3,-Tabelle2[[#This Row],[Fd]]*Tabelle2[[#This Row],[vx]]/Tabelle2[[#This Row],[v]],0)</f>
        <v>-2.6798770987840488</v>
      </c>
      <c r="I842">
        <f t="shared" si="143"/>
        <v>-1.7865847325226991</v>
      </c>
      <c r="J842">
        <f t="shared" si="144"/>
        <v>-3.5731694650453984E-2</v>
      </c>
      <c r="K842">
        <f t="shared" si="145"/>
        <v>0.39993162942565996</v>
      </c>
      <c r="L842">
        <f>-$B$5*$B$12-IF($B$3,Tabelle2[[#This Row],[Fd]]*Tabelle2[[#This Row],[vy]]/Tabelle2[[#This Row],[v]],0)</f>
        <v>-4.9404583724739517</v>
      </c>
      <c r="M842">
        <f t="shared" si="146"/>
        <v>-3.2936389149826346</v>
      </c>
      <c r="N842">
        <f t="shared" si="147"/>
        <v>-6.5872778299652698E-2</v>
      </c>
      <c r="O842">
        <f t="shared" si="148"/>
        <v>-1.460666341986111</v>
      </c>
      <c r="P842" s="1">
        <f t="shared" si="150"/>
        <v>20.014447318608223</v>
      </c>
      <c r="Q842" s="1">
        <f t="shared" si="151"/>
        <v>-73.000380710155724</v>
      </c>
      <c r="R842">
        <f>SQRT(Tabelle2[[#This Row],[vx]]*Tabelle2[[#This Row],[vx]]+Tabelle2[[#This Row],[vy]]*Tabelle2[[#This Row],[vy]])</f>
        <v>75.694343813108119</v>
      </c>
      <c r="S842">
        <f t="shared" si="152"/>
        <v>623.82721024620969</v>
      </c>
      <c r="T842" s="1">
        <f t="shared" si="153"/>
        <v>-263.96811434852577</v>
      </c>
    </row>
    <row r="843" spans="6:20" x14ac:dyDescent="0.35">
      <c r="F843" s="1">
        <f t="shared" si="149"/>
        <v>16.799999999999731</v>
      </c>
      <c r="G843">
        <f>1/2*$B$8*$B$6*$B$7*(Tabelle2[[#This Row],[vx]]*Tabelle2[[#This Row],[vx]]+Tabelle2[[#This Row],[vy]]*Tabelle2[[#This Row],[vy]])/1000000</f>
        <v>10.149747942561827</v>
      </c>
      <c r="H843">
        <f>IF($B$3,-Tabelle2[[#This Row],[Fd]]*Tabelle2[[#This Row],[vx]]/Tabelle2[[#This Row],[v]],0)</f>
        <v>-2.6770045989585172</v>
      </c>
      <c r="I843">
        <f t="shared" si="143"/>
        <v>-1.7846697326390115</v>
      </c>
      <c r="J843">
        <f t="shared" si="144"/>
        <v>-3.5693394652780229E-2</v>
      </c>
      <c r="K843">
        <f t="shared" si="145"/>
        <v>0.39921737853262756</v>
      </c>
      <c r="L843">
        <f>-$B$5*$B$12-IF($B$3,Tabelle2[[#This Row],[Fd]]*Tabelle2[[#This Row],[vy]]/Tabelle2[[#This Row],[v]],0)</f>
        <v>-4.9246460904269149</v>
      </c>
      <c r="M843">
        <f t="shared" si="146"/>
        <v>-3.2830973936179433</v>
      </c>
      <c r="N843">
        <f t="shared" si="147"/>
        <v>-6.5661947872358864E-2</v>
      </c>
      <c r="O843">
        <f t="shared" si="148"/>
        <v>-1.4619816892478312</v>
      </c>
      <c r="P843" s="1">
        <f t="shared" si="150"/>
        <v>19.978715623957768</v>
      </c>
      <c r="Q843" s="1">
        <f t="shared" si="151"/>
        <v>-73.066253488455374</v>
      </c>
      <c r="R843">
        <f>SQRT(Tabelle2[[#This Row],[vx]]*Tabelle2[[#This Row],[vx]]+Tabelle2[[#This Row],[vy]]*Tabelle2[[#This Row],[vy]])</f>
        <v>75.748442075214925</v>
      </c>
      <c r="S843">
        <f t="shared" si="152"/>
        <v>624.22714187563531</v>
      </c>
      <c r="T843" s="1">
        <f t="shared" si="153"/>
        <v>-265.42878069051187</v>
      </c>
    </row>
    <row r="844" spans="6:20" x14ac:dyDescent="0.35">
      <c r="F844" s="1">
        <f t="shared" si="149"/>
        <v>16.81999999999973</v>
      </c>
      <c r="G844">
        <f>1/2*$B$8*$B$6*$B$7*(Tabelle2[[#This Row],[vx]]*Tabelle2[[#This Row],[vx]]+Tabelle2[[#This Row],[vy]]*Tabelle2[[#This Row],[vy]])/1000000</f>
        <v>10.164208346513313</v>
      </c>
      <c r="H844">
        <f>IF($B$3,-Tabelle2[[#This Row],[Fd]]*Tabelle2[[#This Row],[vx]]/Tabelle2[[#This Row],[v]],0)</f>
        <v>-2.6741248275004268</v>
      </c>
      <c r="I844">
        <f t="shared" si="143"/>
        <v>-1.7827498850002845</v>
      </c>
      <c r="J844">
        <f t="shared" si="144"/>
        <v>-3.5654997700005693E-2</v>
      </c>
      <c r="K844">
        <f t="shared" si="145"/>
        <v>0.39850389460909968</v>
      </c>
      <c r="L844">
        <f>-$B$5*$B$12-IF($B$3,Tabelle2[[#This Row],[Fd]]*Tabelle2[[#This Row],[vy]]/Tabelle2[[#This Row],[v]],0)</f>
        <v>-4.9088698908143833</v>
      </c>
      <c r="M844">
        <f t="shared" si="146"/>
        <v>-3.272579927209589</v>
      </c>
      <c r="N844">
        <f t="shared" si="147"/>
        <v>-6.5451598544191775E-2</v>
      </c>
      <c r="O844">
        <f t="shared" si="148"/>
        <v>-1.4632928247119967</v>
      </c>
      <c r="P844" s="1">
        <f t="shared" si="150"/>
        <v>19.943022229304987</v>
      </c>
      <c r="Q844" s="1">
        <f t="shared" si="151"/>
        <v>-73.131915436327731</v>
      </c>
      <c r="R844">
        <f>SQRT(Tabelle2[[#This Row],[vx]]*Tabelle2[[#This Row],[vx]]+Tabelle2[[#This Row],[vy]]*Tabelle2[[#This Row],[vy]])</f>
        <v>75.802382489106122</v>
      </c>
      <c r="S844">
        <f t="shared" si="152"/>
        <v>624.62635925416794</v>
      </c>
      <c r="T844" s="1">
        <f t="shared" si="153"/>
        <v>-266.89076237975968</v>
      </c>
    </row>
    <row r="845" spans="6:20" x14ac:dyDescent="0.35">
      <c r="F845" s="1">
        <f t="shared" si="149"/>
        <v>16.83999999999973</v>
      </c>
      <c r="G845">
        <f>1/2*$B$8*$B$6*$B$7*(Tabelle2[[#This Row],[vx]]*Tabelle2[[#This Row],[vx]]+Tabelle2[[#This Row],[vy]]*Tabelle2[[#This Row],[vy]])/1000000</f>
        <v>10.178636743128941</v>
      </c>
      <c r="H845">
        <f>IF($B$3,-Tabelle2[[#This Row],[Fd]]*Tabelle2[[#This Row],[vx]]/Tabelle2[[#This Row],[v]],0)</f>
        <v>-2.6712378462000594</v>
      </c>
      <c r="I845">
        <f t="shared" si="143"/>
        <v>-1.7808252308000396</v>
      </c>
      <c r="J845">
        <f t="shared" si="144"/>
        <v>-3.5616504616000792E-2</v>
      </c>
      <c r="K845">
        <f t="shared" si="145"/>
        <v>0.39779117958593957</v>
      </c>
      <c r="L845">
        <f>-$B$5*$B$12-IF($B$3,Tabelle2[[#This Row],[Fd]]*Tabelle2[[#This Row],[vy]]/Tabelle2[[#This Row],[v]],0)</f>
        <v>-4.8931297953188668</v>
      </c>
      <c r="M845">
        <f t="shared" si="146"/>
        <v>-3.2620865302125779</v>
      </c>
      <c r="N845">
        <f t="shared" si="147"/>
        <v>-6.5241730604251563E-2</v>
      </c>
      <c r="O845">
        <f t="shared" si="148"/>
        <v>-1.4645997580034809</v>
      </c>
      <c r="P845" s="1">
        <f t="shared" si="150"/>
        <v>19.907367231604979</v>
      </c>
      <c r="Q845" s="1">
        <f t="shared" si="151"/>
        <v>-73.197367034871917</v>
      </c>
      <c r="R845">
        <f>SQRT(Tabelle2[[#This Row],[vx]]*Tabelle2[[#This Row],[vx]]+Tabelle2[[#This Row],[vy]]*Tabelle2[[#This Row],[vy]])</f>
        <v>75.856165279637835</v>
      </c>
      <c r="S845">
        <f t="shared" si="152"/>
        <v>625.02486314877706</v>
      </c>
      <c r="T845" s="1">
        <f t="shared" si="153"/>
        <v>-268.35405520447165</v>
      </c>
    </row>
    <row r="846" spans="6:20" x14ac:dyDescent="0.35">
      <c r="F846" s="1">
        <f t="shared" si="149"/>
        <v>16.859999999999729</v>
      </c>
      <c r="G846">
        <f>1/2*$B$8*$B$6*$B$7*(Tabelle2[[#This Row],[vx]]*Tabelle2[[#This Row],[vx]]+Tabelle2[[#This Row],[vy]]*Tabelle2[[#This Row],[vy]])/1000000</f>
        <v>10.193033103284613</v>
      </c>
      <c r="H846">
        <f>IF($B$3,-Tabelle2[[#This Row],[Fd]]*Tabelle2[[#This Row],[vx]]/Tabelle2[[#This Row],[v]],0)</f>
        <v>-2.6683437167138324</v>
      </c>
      <c r="I846">
        <f t="shared" si="143"/>
        <v>-1.778895811142555</v>
      </c>
      <c r="J846">
        <f t="shared" si="144"/>
        <v>-3.55779162228511E-2</v>
      </c>
      <c r="K846">
        <f t="shared" si="145"/>
        <v>0.39707923537755108</v>
      </c>
      <c r="L846">
        <f>-$B$5*$B$12-IF($B$3,Tabelle2[[#This Row],[Fd]]*Tabelle2[[#This Row],[vy]]/Tabelle2[[#This Row],[v]],0)</f>
        <v>-4.8774258247203157</v>
      </c>
      <c r="M846">
        <f t="shared" si="146"/>
        <v>-3.2516172164802106</v>
      </c>
      <c r="N846">
        <f t="shared" si="147"/>
        <v>-6.5032344329604211E-2</v>
      </c>
      <c r="O846">
        <f t="shared" si="148"/>
        <v>-1.4659024987528195</v>
      </c>
      <c r="P846" s="1">
        <f t="shared" si="150"/>
        <v>19.871750726988978</v>
      </c>
      <c r="Q846" s="1">
        <f t="shared" si="151"/>
        <v>-73.262608765476173</v>
      </c>
      <c r="R846">
        <f>SQRT(Tabelle2[[#This Row],[vx]]*Tabelle2[[#This Row],[vx]]+Tabelle2[[#This Row],[vy]]*Tabelle2[[#This Row],[vy]])</f>
        <v>75.909790673396088</v>
      </c>
      <c r="S846">
        <f t="shared" si="152"/>
        <v>625.42265432836302</v>
      </c>
      <c r="T846" s="1">
        <f t="shared" si="153"/>
        <v>-269.81865496247514</v>
      </c>
    </row>
    <row r="847" spans="6:20" x14ac:dyDescent="0.35">
      <c r="F847" s="1">
        <f t="shared" si="149"/>
        <v>16.879999999999729</v>
      </c>
      <c r="G847">
        <f>1/2*$B$8*$B$6*$B$7*(Tabelle2[[#This Row],[vx]]*Tabelle2[[#This Row],[vx]]+Tabelle2[[#This Row],[vy]]*Tabelle2[[#This Row],[vy]])/1000000</f>
        <v>10.207397398750292</v>
      </c>
      <c r="H847">
        <f>IF($B$3,-Tabelle2[[#This Row],[Fd]]*Tabelle2[[#This Row],[vx]]/Tabelle2[[#This Row],[v]],0)</f>
        <v>-2.6654425005627074</v>
      </c>
      <c r="I847">
        <f t="shared" si="143"/>
        <v>-1.7769616670418049</v>
      </c>
      <c r="J847">
        <f t="shared" si="144"/>
        <v>-3.5539233340836099E-2</v>
      </c>
      <c r="K847">
        <f t="shared" si="145"/>
        <v>0.3963680638819142</v>
      </c>
      <c r="L847">
        <f>-$B$5*$B$12-IF($B$3,Tabelle2[[#This Row],[Fd]]*Tabelle2[[#This Row],[vy]]/Tabelle2[[#This Row],[v]],0)</f>
        <v>-4.8617579989016697</v>
      </c>
      <c r="M847">
        <f t="shared" si="146"/>
        <v>-3.2411719992677797</v>
      </c>
      <c r="N847">
        <f t="shared" si="147"/>
        <v>-6.4823439985355599E-2</v>
      </c>
      <c r="O847">
        <f t="shared" si="148"/>
        <v>-1.4672010565959692</v>
      </c>
      <c r="P847" s="1">
        <f t="shared" si="150"/>
        <v>19.836172810766126</v>
      </c>
      <c r="Q847" s="1">
        <f t="shared" si="151"/>
        <v>-73.327641109805782</v>
      </c>
      <c r="R847">
        <f>SQRT(Tabelle2[[#This Row],[vx]]*Tabelle2[[#This Row],[vx]]+Tabelle2[[#This Row],[vy]]*Tabelle2[[#This Row],[vy]])</f>
        <v>75.963258898674539</v>
      </c>
      <c r="S847">
        <f t="shared" si="152"/>
        <v>625.81973356374056</v>
      </c>
      <c r="T847" s="1">
        <f t="shared" si="153"/>
        <v>-271.28455746122796</v>
      </c>
    </row>
    <row r="848" spans="6:20" x14ac:dyDescent="0.35">
      <c r="F848" s="1">
        <f t="shared" si="149"/>
        <v>16.899999999999729</v>
      </c>
      <c r="G848">
        <f>1/2*$B$8*$B$6*$B$7*(Tabelle2[[#This Row],[vx]]*Tabelle2[[#This Row],[vx]]+Tabelle2[[#This Row],[vy]]*Tabelle2[[#This Row],[vy]])/1000000</f>
        <v>10.221729602184423</v>
      </c>
      <c r="H848">
        <f>IF($B$3,-Tabelle2[[#This Row],[Fd]]*Tabelle2[[#This Row],[vx]]/Tabelle2[[#This Row],[v]],0)</f>
        <v>-2.6625342591306285</v>
      </c>
      <c r="I848">
        <f t="shared" si="143"/>
        <v>-1.7750228394204191</v>
      </c>
      <c r="J848">
        <f t="shared" si="144"/>
        <v>-3.550045678840838E-2</v>
      </c>
      <c r="K848">
        <f t="shared" si="145"/>
        <v>0.39565766698062177</v>
      </c>
      <c r="L848">
        <f>-$B$5*$B$12-IF($B$3,Tabelle2[[#This Row],[Fd]]*Tabelle2[[#This Row],[vy]]/Tabelle2[[#This Row],[v]],0)</f>
        <v>-4.8461263368543914</v>
      </c>
      <c r="M848">
        <f t="shared" si="146"/>
        <v>-3.2307508912362608</v>
      </c>
      <c r="N848">
        <f t="shared" si="147"/>
        <v>-6.4615017824725215E-2</v>
      </c>
      <c r="O848">
        <f t="shared" si="148"/>
        <v>-1.4684954411740703</v>
      </c>
      <c r="P848" s="1">
        <f t="shared" si="150"/>
        <v>19.800633577425291</v>
      </c>
      <c r="Q848" s="1">
        <f t="shared" si="151"/>
        <v>-73.392464549791143</v>
      </c>
      <c r="R848">
        <f>SQRT(Tabelle2[[#This Row],[vx]]*Tabelle2[[#This Row],[vx]]+Tabelle2[[#This Row],[vy]]*Tabelle2[[#This Row],[vy]])</f>
        <v>76.016570185452409</v>
      </c>
      <c r="S848">
        <f t="shared" si="152"/>
        <v>626.21610162762249</v>
      </c>
      <c r="T848" s="1">
        <f t="shared" si="153"/>
        <v>-272.75175851782393</v>
      </c>
    </row>
    <row r="849" spans="6:20" x14ac:dyDescent="0.35">
      <c r="F849" s="1">
        <f t="shared" si="149"/>
        <v>16.919999999999728</v>
      </c>
      <c r="G849">
        <f>1/2*$B$8*$B$6*$B$7*(Tabelle2[[#This Row],[vx]]*Tabelle2[[#This Row],[vx]]+Tabelle2[[#This Row],[vy]]*Tabelle2[[#This Row],[vy]])/1000000</f>
        <v>10.236029687128338</v>
      </c>
      <c r="H849">
        <f>IF($B$3,-Tabelle2[[#This Row],[Fd]]*Tabelle2[[#This Row],[vx]]/Tabelle2[[#This Row],[v]],0)</f>
        <v>-2.6596190536629671</v>
      </c>
      <c r="I849">
        <f t="shared" si="143"/>
        <v>-1.7730793691086448</v>
      </c>
      <c r="J849">
        <f t="shared" si="144"/>
        <v>-3.54615873821729E-2</v>
      </c>
      <c r="K849">
        <f t="shared" si="145"/>
        <v>0.39494804653891591</v>
      </c>
      <c r="L849">
        <f>-$B$5*$B$12-IF($B$3,Tabelle2[[#This Row],[Fd]]*Tabelle2[[#This Row],[vy]]/Tabelle2[[#This Row],[v]],0)</f>
        <v>-4.8305308566840282</v>
      </c>
      <c r="M849">
        <f t="shared" si="146"/>
        <v>-3.2203539044560188</v>
      </c>
      <c r="N849">
        <f t="shared" si="147"/>
        <v>-6.440707808912037E-2</v>
      </c>
      <c r="O849">
        <f t="shared" si="148"/>
        <v>-1.4697856621332084</v>
      </c>
      <c r="P849" s="1">
        <f t="shared" si="150"/>
        <v>19.765133120636882</v>
      </c>
      <c r="Q849" s="1">
        <f t="shared" si="151"/>
        <v>-73.457079567615864</v>
      </c>
      <c r="R849">
        <f>SQRT(Tabelle2[[#This Row],[vx]]*Tabelle2[[#This Row],[vx]]+Tabelle2[[#This Row],[vy]]*Tabelle2[[#This Row],[vy]])</f>
        <v>76.069724765372627</v>
      </c>
      <c r="S849">
        <f t="shared" si="152"/>
        <v>626.61175929460308</v>
      </c>
      <c r="T849" s="1">
        <f t="shared" si="153"/>
        <v>-274.220253958998</v>
      </c>
    </row>
    <row r="850" spans="6:20" x14ac:dyDescent="0.35">
      <c r="F850" s="1">
        <f t="shared" si="149"/>
        <v>16.939999999999728</v>
      </c>
      <c r="G850">
        <f>1/2*$B$8*$B$6*$B$7*(Tabelle2[[#This Row],[vx]]*Tabelle2[[#This Row],[vx]]+Tabelle2[[#This Row],[vy]]*Tabelle2[[#This Row],[vy]])/1000000</f>
        <v>10.250297628000723</v>
      </c>
      <c r="H850">
        <f>IF($B$3,-Tabelle2[[#This Row],[Fd]]*Tabelle2[[#This Row],[vx]]/Tabelle2[[#This Row],[v]],0)</f>
        <v>-2.6566969452650162</v>
      </c>
      <c r="I850">
        <f t="shared" si="143"/>
        <v>-1.7711312968433441</v>
      </c>
      <c r="J850">
        <f t="shared" si="144"/>
        <v>-3.5422625936866882E-2</v>
      </c>
      <c r="K850">
        <f t="shared" si="145"/>
        <v>0.39423920440572552</v>
      </c>
      <c r="L850">
        <f>-$B$5*$B$12-IF($B$3,Tabelle2[[#This Row],[Fd]]*Tabelle2[[#This Row],[vy]]/Tabelle2[[#This Row],[v]],0)</f>
        <v>-4.814971575615715</v>
      </c>
      <c r="M850">
        <f t="shared" si="146"/>
        <v>-3.2099810504104767</v>
      </c>
      <c r="N850">
        <f t="shared" si="147"/>
        <v>-6.4199621008209529E-2</v>
      </c>
      <c r="O850">
        <f t="shared" si="148"/>
        <v>-1.4710717291241817</v>
      </c>
      <c r="P850" s="1">
        <f t="shared" si="150"/>
        <v>19.729671533254709</v>
      </c>
      <c r="Q850" s="1">
        <f t="shared" si="151"/>
        <v>-73.521486645704982</v>
      </c>
      <c r="R850">
        <f>SQRT(Tabelle2[[#This Row],[vx]]*Tabelle2[[#This Row],[vx]]+Tabelle2[[#This Row],[vy]]*Tabelle2[[#This Row],[vy]])</f>
        <v>76.122722871720086</v>
      </c>
      <c r="S850">
        <f t="shared" si="152"/>
        <v>627.00670734114203</v>
      </c>
      <c r="T850" s="1">
        <f t="shared" si="153"/>
        <v>-275.69003962113123</v>
      </c>
    </row>
    <row r="851" spans="6:20" x14ac:dyDescent="0.35">
      <c r="F851" s="1">
        <f t="shared" si="149"/>
        <v>16.959999999999727</v>
      </c>
      <c r="G851">
        <f>1/2*$B$8*$B$6*$B$7*(Tabelle2[[#This Row],[vx]]*Tabelle2[[#This Row],[vx]]+Tabelle2[[#This Row],[vy]]*Tabelle2[[#This Row],[vy]])/1000000</f>
        <v>10.264533400092018</v>
      </c>
      <c r="H851">
        <f>IF($B$3,-Tabelle2[[#This Row],[Fd]]*Tabelle2[[#This Row],[vx]]/Tabelle2[[#This Row],[v]],0)</f>
        <v>-2.6537679949004831</v>
      </c>
      <c r="I851">
        <f t="shared" si="143"/>
        <v>-1.7691786632669888</v>
      </c>
      <c r="J851">
        <f t="shared" si="144"/>
        <v>-3.5383573265339779E-2</v>
      </c>
      <c r="K851">
        <f t="shared" si="145"/>
        <v>0.39353114241370341</v>
      </c>
      <c r="L851">
        <f>-$B$5*$B$12-IF($B$3,Tabelle2[[#This Row],[Fd]]*Tabelle2[[#This Row],[vy]]/Tabelle2[[#This Row],[v]],0)</f>
        <v>-4.7994485099997366</v>
      </c>
      <c r="M851">
        <f t="shared" si="146"/>
        <v>-3.1996323399998245</v>
      </c>
      <c r="N851">
        <f t="shared" si="147"/>
        <v>-6.3992646799996486E-2</v>
      </c>
      <c r="O851">
        <f t="shared" si="148"/>
        <v>-1.4723536518022637</v>
      </c>
      <c r="P851" s="1">
        <f t="shared" si="150"/>
        <v>19.694248907317842</v>
      </c>
      <c r="Q851" s="1">
        <f t="shared" si="151"/>
        <v>-73.585686266713196</v>
      </c>
      <c r="R851">
        <f>SQRT(Tabelle2[[#This Row],[vx]]*Tabelle2[[#This Row],[vx]]+Tabelle2[[#This Row],[vy]]*Tabelle2[[#This Row],[vy]])</f>
        <v>76.175564739400087</v>
      </c>
      <c r="S851">
        <f t="shared" si="152"/>
        <v>627.40094654554775</v>
      </c>
      <c r="T851" s="1">
        <f t="shared" si="153"/>
        <v>-277.1611113502554</v>
      </c>
    </row>
    <row r="852" spans="6:20" x14ac:dyDescent="0.35">
      <c r="F852" s="1">
        <f t="shared" si="149"/>
        <v>16.979999999999727</v>
      </c>
      <c r="G852">
        <f>1/2*$B$8*$B$6*$B$7*(Tabelle2[[#This Row],[vx]]*Tabelle2[[#This Row],[vx]]+Tabelle2[[#This Row],[vy]]*Tabelle2[[#This Row],[vy]])/1000000</f>
        <v>10.278736979558884</v>
      </c>
      <c r="H852">
        <f>IF($B$3,-Tabelle2[[#This Row],[Fd]]*Tabelle2[[#This Row],[vx]]/Tabelle2[[#This Row],[v]],0)</f>
        <v>-2.6508322633900248</v>
      </c>
      <c r="I852">
        <f t="shared" si="143"/>
        <v>-1.7672215089266832</v>
      </c>
      <c r="J852">
        <f t="shared" si="144"/>
        <v>-3.5344430178533663E-2</v>
      </c>
      <c r="K852">
        <f t="shared" si="145"/>
        <v>0.39282386237926475</v>
      </c>
      <c r="L852">
        <f>-$B$5*$B$12-IF($B$3,Tabelle2[[#This Row],[Fd]]*Tabelle2[[#This Row],[vy]]/Tabelle2[[#This Row],[v]],0)</f>
        <v>-4.7839616753170358</v>
      </c>
      <c r="M852">
        <f t="shared" si="146"/>
        <v>-3.1893077835446904</v>
      </c>
      <c r="N852">
        <f t="shared" si="147"/>
        <v>-6.378615567089381E-2</v>
      </c>
      <c r="O852">
        <f t="shared" si="148"/>
        <v>-1.473631439826973</v>
      </c>
      <c r="P852" s="1">
        <f t="shared" si="150"/>
        <v>19.658865334052503</v>
      </c>
      <c r="Q852" s="1">
        <f t="shared" si="151"/>
        <v>-73.649678913513199</v>
      </c>
      <c r="R852">
        <f>SQRT(Tabelle2[[#This Row],[vx]]*Tabelle2[[#This Row],[vx]]+Tabelle2[[#This Row],[vy]]*Tabelle2[[#This Row],[vy]])</f>
        <v>76.228250604916823</v>
      </c>
      <c r="S852">
        <f t="shared" si="152"/>
        <v>627.79447768796149</v>
      </c>
      <c r="T852" s="1">
        <f t="shared" si="153"/>
        <v>-278.63346500205768</v>
      </c>
    </row>
    <row r="853" spans="6:20" x14ac:dyDescent="0.35">
      <c r="F853" s="1">
        <f t="shared" si="149"/>
        <v>16.999999999999726</v>
      </c>
      <c r="G853">
        <f>1/2*$B$8*$B$6*$B$7*(Tabelle2[[#This Row],[vx]]*Tabelle2[[#This Row],[vx]]+Tabelle2[[#This Row],[vy]]*Tabelle2[[#This Row],[vy]])/1000000</f>
        <v>10.292908343418642</v>
      </c>
      <c r="H853">
        <f>IF($B$3,-Tabelle2[[#This Row],[Fd]]*Tabelle2[[#This Row],[vx]]/Tabelle2[[#This Row],[v]],0)</f>
        <v>-2.6478898114097884</v>
      </c>
      <c r="I853">
        <f t="shared" si="143"/>
        <v>-1.7652598742731922</v>
      </c>
      <c r="J853">
        <f t="shared" si="144"/>
        <v>-3.5305197485463846E-2</v>
      </c>
      <c r="K853">
        <f t="shared" si="145"/>
        <v>0.39211736610262476</v>
      </c>
      <c r="L853">
        <f>-$B$5*$B$12-IF($B$3,Tabelle2[[#This Row],[Fd]]*Tabelle2[[#This Row],[vy]]/Tabelle2[[#This Row],[v]],0)</f>
        <v>-4.7685110861847679</v>
      </c>
      <c r="M853">
        <f t="shared" si="146"/>
        <v>-3.1790073907898453</v>
      </c>
      <c r="N853">
        <f t="shared" si="147"/>
        <v>-6.3580147815796906E-2</v>
      </c>
      <c r="O853">
        <f t="shared" si="148"/>
        <v>-1.4749051028618398</v>
      </c>
      <c r="P853" s="1">
        <f t="shared" si="150"/>
        <v>19.62352090387397</v>
      </c>
      <c r="Q853" s="1">
        <f t="shared" si="151"/>
        <v>-73.713465069184096</v>
      </c>
      <c r="R853">
        <f>SQRT(Tabelle2[[#This Row],[vx]]*Tabelle2[[#This Row],[vx]]+Tabelle2[[#This Row],[vy]]*Tabelle2[[#This Row],[vy]])</f>
        <v>76.28078070635226</v>
      </c>
      <c r="S853">
        <f t="shared" si="152"/>
        <v>628.18730155034075</v>
      </c>
      <c r="T853" s="1">
        <f t="shared" si="153"/>
        <v>-280.10709644188466</v>
      </c>
    </row>
    <row r="854" spans="6:20" x14ac:dyDescent="0.35">
      <c r="F854" s="1">
        <f t="shared" si="149"/>
        <v>17.019999999999726</v>
      </c>
      <c r="G854">
        <f>1/2*$B$8*$B$6*$B$7*(Tabelle2[[#This Row],[vx]]*Tabelle2[[#This Row],[vx]]+Tabelle2[[#This Row],[vy]]*Tabelle2[[#This Row],[vy]])/1000000</f>
        <v>10.30704746954374</v>
      </c>
      <c r="H854">
        <f>IF($B$3,-Tabelle2[[#This Row],[Fd]]*Tabelle2[[#This Row],[vx]]/Tabelle2[[#This Row],[v]],0)</f>
        <v>-2.6449406994899922</v>
      </c>
      <c r="I854">
        <f t="shared" si="143"/>
        <v>-1.7632937996599949</v>
      </c>
      <c r="J854">
        <f t="shared" si="144"/>
        <v>-3.5265875993199899E-2</v>
      </c>
      <c r="K854">
        <f t="shared" si="145"/>
        <v>0.39141165536783817</v>
      </c>
      <c r="L854">
        <f>-$B$5*$B$12-IF($B$3,Tabelle2[[#This Row],[Fd]]*Tabelle2[[#This Row],[vy]]/Tabelle2[[#This Row],[v]],0)</f>
        <v>-4.7530967563617956</v>
      </c>
      <c r="M854">
        <f t="shared" si="146"/>
        <v>-3.1687311709078636</v>
      </c>
      <c r="N854">
        <f t="shared" si="147"/>
        <v>-6.3374623418157278E-2</v>
      </c>
      <c r="O854">
        <f t="shared" si="148"/>
        <v>-1.4761746505741795</v>
      </c>
      <c r="P854" s="1">
        <f t="shared" si="150"/>
        <v>19.588215706388507</v>
      </c>
      <c r="Q854" s="1">
        <f t="shared" si="151"/>
        <v>-73.777045216999895</v>
      </c>
      <c r="R854">
        <f>SQRT(Tabelle2[[#This Row],[vx]]*Tabelle2[[#This Row],[vx]]+Tabelle2[[#This Row],[vy]]*Tabelle2[[#This Row],[vy]])</f>
        <v>76.333155283344951</v>
      </c>
      <c r="S854">
        <f t="shared" si="152"/>
        <v>628.57941891644339</v>
      </c>
      <c r="T854" s="1">
        <f t="shared" si="153"/>
        <v>-281.5820015447465</v>
      </c>
    </row>
    <row r="855" spans="6:20" x14ac:dyDescent="0.35">
      <c r="F855" s="1">
        <f t="shared" si="149"/>
        <v>17.039999999999726</v>
      </c>
      <c r="G855">
        <f>1/2*$B$8*$B$6*$B$7*(Tabelle2[[#This Row],[vx]]*Tabelle2[[#This Row],[vx]]+Tabelle2[[#This Row],[vy]]*Tabelle2[[#This Row],[vy]])/1000000</f>
        <v>10.321154336656228</v>
      </c>
      <c r="H855">
        <f>IF($B$3,-Tabelle2[[#This Row],[Fd]]*Tabelle2[[#This Row],[vx]]/Tabelle2[[#This Row],[v]],0)</f>
        <v>-2.6419849880135193</v>
      </c>
      <c r="I855">
        <f t="shared" si="143"/>
        <v>-1.7613233253423461</v>
      </c>
      <c r="J855">
        <f t="shared" si="144"/>
        <v>-3.5226466506846923E-2</v>
      </c>
      <c r="K855">
        <f t="shared" si="145"/>
        <v>0.39070673194283767</v>
      </c>
      <c r="L855">
        <f>-$B$5*$B$12-IF($B$3,Tabelle2[[#This Row],[Fd]]*Tabelle2[[#This Row],[vy]]/Tabelle2[[#This Row],[v]],0)</f>
        <v>-4.737718698754211</v>
      </c>
      <c r="M855">
        <f t="shared" si="146"/>
        <v>-3.1584791325028072</v>
      </c>
      <c r="N855">
        <f t="shared" si="147"/>
        <v>-6.316958265005615E-2</v>
      </c>
      <c r="O855">
        <f t="shared" si="148"/>
        <v>-1.4774400926348616</v>
      </c>
      <c r="P855" s="1">
        <f t="shared" si="150"/>
        <v>19.552949830395306</v>
      </c>
      <c r="Q855" s="1">
        <f t="shared" si="151"/>
        <v>-73.840419840418051</v>
      </c>
      <c r="R855">
        <f>SQRT(Tabelle2[[#This Row],[vx]]*Tabelle2[[#This Row],[vx]]+Tabelle2[[#This Row],[vy]]*Tabelle2[[#This Row],[vy]])</f>
        <v>76.385374577069129</v>
      </c>
      <c r="S855">
        <f t="shared" si="152"/>
        <v>628.97083057181123</v>
      </c>
      <c r="T855" s="1">
        <f t="shared" si="153"/>
        <v>-283.0581761953207</v>
      </c>
    </row>
    <row r="856" spans="6:20" x14ac:dyDescent="0.35">
      <c r="F856" s="1">
        <f t="shared" si="149"/>
        <v>17.059999999999725</v>
      </c>
      <c r="G856">
        <f>1/2*$B$8*$B$6*$B$7*(Tabelle2[[#This Row],[vx]]*Tabelle2[[#This Row],[vx]]+Tabelle2[[#This Row],[vy]]*Tabelle2[[#This Row],[vy]])/1000000</f>
        <v>10.335228924322227</v>
      </c>
      <c r="H856">
        <f>IF($B$3,-Tabelle2[[#This Row],[Fd]]*Tabelle2[[#This Row],[vx]]/Tabelle2[[#This Row],[v]],0)</f>
        <v>-2.6390227372145336</v>
      </c>
      <c r="I856">
        <f t="shared" si="143"/>
        <v>-1.7593484914763557</v>
      </c>
      <c r="J856">
        <f t="shared" si="144"/>
        <v>-3.5186969829527119E-2</v>
      </c>
      <c r="K856">
        <f t="shared" si="145"/>
        <v>0.39000259757947398</v>
      </c>
      <c r="L856">
        <f>-$B$5*$B$12-IF($B$3,Tabelle2[[#This Row],[Fd]]*Tabelle2[[#This Row],[vy]]/Tabelle2[[#This Row],[v]],0)</f>
        <v>-4.7223769254208587</v>
      </c>
      <c r="M856">
        <f t="shared" si="146"/>
        <v>-3.1482512836139058</v>
      </c>
      <c r="N856">
        <f t="shared" si="147"/>
        <v>-6.2965025672278116E-2</v>
      </c>
      <c r="O856">
        <f t="shared" si="148"/>
        <v>-1.478701438718085</v>
      </c>
      <c r="P856" s="1">
        <f t="shared" si="150"/>
        <v>19.517723363888461</v>
      </c>
      <c r="Q856" s="1">
        <f t="shared" si="151"/>
        <v>-73.903589423068112</v>
      </c>
      <c r="R856">
        <f>SQRT(Tabelle2[[#This Row],[vx]]*Tabelle2[[#This Row],[vx]]+Tabelle2[[#This Row],[vy]]*Tabelle2[[#This Row],[vy]])</f>
        <v>76.437438830213964</v>
      </c>
      <c r="S856">
        <f t="shared" si="152"/>
        <v>629.36153730375406</v>
      </c>
      <c r="T856" s="1">
        <f t="shared" si="153"/>
        <v>-284.53561628795558</v>
      </c>
    </row>
    <row r="857" spans="6:20" x14ac:dyDescent="0.35">
      <c r="F857" s="1">
        <f t="shared" si="149"/>
        <v>17.079999999999725</v>
      </c>
      <c r="G857">
        <f>1/2*$B$8*$B$6*$B$7*(Tabelle2[[#This Row],[vx]]*Tabelle2[[#This Row],[vx]]+Tabelle2[[#This Row],[vy]]*Tabelle2[[#This Row],[vy]])/1000000</f>
        <v>10.349271212946411</v>
      </c>
      <c r="H857">
        <f>IF($B$3,-Tabelle2[[#This Row],[Fd]]*Tabelle2[[#This Row],[vx]]/Tabelle2[[#This Row],[v]],0)</f>
        <v>-2.6360540071771204</v>
      </c>
      <c r="I857">
        <f t="shared" si="143"/>
        <v>-1.7573693381180802</v>
      </c>
      <c r="J857">
        <f t="shared" si="144"/>
        <v>-3.5147386762361607E-2</v>
      </c>
      <c r="K857">
        <f t="shared" si="145"/>
        <v>0.38929925401355503</v>
      </c>
      <c r="L857">
        <f>-$B$5*$B$12-IF($B$3,Tabelle2[[#This Row],[Fd]]*Tabelle2[[#This Row],[vy]]/Tabelle2[[#This Row],[v]],0)</f>
        <v>-4.7070714475788389</v>
      </c>
      <c r="M857">
        <f t="shared" si="146"/>
        <v>-3.1380476317192261</v>
      </c>
      <c r="N857">
        <f t="shared" si="147"/>
        <v>-6.2760952634384526E-2</v>
      </c>
      <c r="O857">
        <f t="shared" si="148"/>
        <v>-1.4799586985011519</v>
      </c>
      <c r="P857" s="1">
        <f t="shared" si="150"/>
        <v>19.482536394058933</v>
      </c>
      <c r="Q857" s="1">
        <f t="shared" si="151"/>
        <v>-73.966554448740396</v>
      </c>
      <c r="R857">
        <f>SQRT(Tabelle2[[#This Row],[vx]]*Tabelle2[[#This Row],[vx]]+Tabelle2[[#This Row],[vy]]*Tabelle2[[#This Row],[vy]])</f>
        <v>76.489348286962866</v>
      </c>
      <c r="S857">
        <f t="shared" si="152"/>
        <v>629.75153990133356</v>
      </c>
      <c r="T857" s="1">
        <f t="shared" si="153"/>
        <v>-286.01431772667365</v>
      </c>
    </row>
    <row r="858" spans="6:20" x14ac:dyDescent="0.35">
      <c r="F858" s="1">
        <f t="shared" si="149"/>
        <v>17.099999999999724</v>
      </c>
      <c r="G858">
        <f>1/2*$B$8*$B$6*$B$7*(Tabelle2[[#This Row],[vx]]*Tabelle2[[#This Row],[vx]]+Tabelle2[[#This Row],[vy]]*Tabelle2[[#This Row],[vy]])/1000000</f>
        <v>10.363281183766514</v>
      </c>
      <c r="H858">
        <f>IF($B$3,-Tabelle2[[#This Row],[Fd]]*Tabelle2[[#This Row],[vx]]/Tabelle2[[#This Row],[v]],0)</f>
        <v>-2.6330788578339552</v>
      </c>
      <c r="I858">
        <f t="shared" si="143"/>
        <v>-1.7553859052226368</v>
      </c>
      <c r="J858">
        <f t="shared" si="144"/>
        <v>-3.5107718104452734E-2</v>
      </c>
      <c r="K858">
        <f t="shared" si="145"/>
        <v>0.38859670296488691</v>
      </c>
      <c r="L858">
        <f>-$B$5*$B$12-IF($B$3,Tabelle2[[#This Row],[Fd]]*Tabelle2[[#This Row],[vy]]/Tabelle2[[#This Row],[v]],0)</f>
        <v>-4.6918022756089997</v>
      </c>
      <c r="M858">
        <f t="shared" si="146"/>
        <v>-3.127868183739333</v>
      </c>
      <c r="N858">
        <f t="shared" si="147"/>
        <v>-6.2557363674786662E-2</v>
      </c>
      <c r="O858">
        <f t="shared" si="148"/>
        <v>-1.4812118816642434</v>
      </c>
      <c r="P858" s="1">
        <f t="shared" si="150"/>
        <v>19.447389007296572</v>
      </c>
      <c r="Q858" s="1">
        <f t="shared" si="151"/>
        <v>-74.029315401374774</v>
      </c>
      <c r="R858">
        <f>SQRT(Tabelle2[[#This Row],[vx]]*Tabelle2[[#This Row],[vx]]+Tabelle2[[#This Row],[vy]]*Tabelle2[[#This Row],[vy]])</f>
        <v>76.541103192973011</v>
      </c>
      <c r="S858">
        <f t="shared" si="152"/>
        <v>630.14083915534707</v>
      </c>
      <c r="T858" s="1">
        <f t="shared" si="153"/>
        <v>-287.4942764251748</v>
      </c>
    </row>
    <row r="859" spans="6:20" x14ac:dyDescent="0.35">
      <c r="F859" s="1">
        <f t="shared" si="149"/>
        <v>17.119999999999724</v>
      </c>
      <c r="G859">
        <f>1/2*$B$8*$B$6*$B$7*(Tabelle2[[#This Row],[vx]]*Tabelle2[[#This Row],[vx]]+Tabelle2[[#This Row],[vy]]*Tabelle2[[#This Row],[vy]])/1000000</f>
        <v>10.377258818847823</v>
      </c>
      <c r="H859">
        <f>IF($B$3,-Tabelle2[[#This Row],[Fd]]*Tabelle2[[#This Row],[vx]]/Tabelle2[[#This Row],[v]],0)</f>
        <v>-2.6300973489649797</v>
      </c>
      <c r="I859">
        <f t="shared" si="143"/>
        <v>-1.7533982326433197</v>
      </c>
      <c r="J859">
        <f t="shared" si="144"/>
        <v>-3.5067964652866393E-2</v>
      </c>
      <c r="K859">
        <f t="shared" si="145"/>
        <v>0.38789494613731373</v>
      </c>
      <c r="L859">
        <f>-$B$5*$B$12-IF($B$3,Tabelle2[[#This Row],[Fd]]*Tabelle2[[#This Row],[vy]]/Tabelle2[[#This Row],[v]],0)</f>
        <v>-4.6765694190614493</v>
      </c>
      <c r="M859">
        <f t="shared" si="146"/>
        <v>-3.117712946040966</v>
      </c>
      <c r="N859">
        <f t="shared" si="147"/>
        <v>-6.2354258920819319E-2</v>
      </c>
      <c r="O859">
        <f t="shared" si="148"/>
        <v>-1.4824609978901993</v>
      </c>
      <c r="P859" s="1">
        <f t="shared" si="150"/>
        <v>19.412281289192119</v>
      </c>
      <c r="Q859" s="1">
        <f t="shared" si="151"/>
        <v>-74.091872765049558</v>
      </c>
      <c r="R859">
        <f>SQRT(Tabelle2[[#This Row],[vx]]*Tabelle2[[#This Row],[vx]]+Tabelle2[[#This Row],[vy]]*Tabelle2[[#This Row],[vy]])</f>
        <v>76.592703795355149</v>
      </c>
      <c r="S859">
        <f t="shared" si="152"/>
        <v>630.5294358583119</v>
      </c>
      <c r="T859" s="1">
        <f t="shared" si="153"/>
        <v>-288.97548830683905</v>
      </c>
    </row>
    <row r="860" spans="6:20" x14ac:dyDescent="0.35">
      <c r="F860" s="1">
        <f t="shared" si="149"/>
        <v>17.139999999999723</v>
      </c>
      <c r="G860">
        <f>1/2*$B$8*$B$6*$B$7*(Tabelle2[[#This Row],[vx]]*Tabelle2[[#This Row],[vx]]+Tabelle2[[#This Row],[vy]]*Tabelle2[[#This Row],[vy]])/1000000</f>
        <v>10.391204101077697</v>
      </c>
      <c r="H860">
        <f>IF($B$3,-Tabelle2[[#This Row],[Fd]]*Tabelle2[[#This Row],[vx]]/Tabelle2[[#This Row],[v]],0)</f>
        <v>-2.6271095401961135</v>
      </c>
      <c r="I860">
        <f t="shared" si="143"/>
        <v>-1.7514063601307424</v>
      </c>
      <c r="J860">
        <f t="shared" si="144"/>
        <v>-3.5028127202614848E-2</v>
      </c>
      <c r="K860">
        <f t="shared" si="145"/>
        <v>0.38719398521875892</v>
      </c>
      <c r="L860">
        <f>-$B$5*$B$12-IF($B$3,Tabelle2[[#This Row],[Fd]]*Tabelle2[[#This Row],[vy]]/Tabelle2[[#This Row],[v]],0)</f>
        <v>-4.6613728866610273</v>
      </c>
      <c r="M860">
        <f t="shared" si="146"/>
        <v>-3.107581924440685</v>
      </c>
      <c r="N860">
        <f t="shared" si="147"/>
        <v>-6.21516384888137E-2</v>
      </c>
      <c r="O860">
        <f t="shared" si="148"/>
        <v>-1.4837060568642957</v>
      </c>
      <c r="P860" s="1">
        <f t="shared" si="150"/>
        <v>19.377213324539252</v>
      </c>
      <c r="Q860" s="1">
        <f t="shared" si="151"/>
        <v>-74.154227023970378</v>
      </c>
      <c r="R860">
        <f>SQRT(Tabelle2[[#This Row],[vx]]*Tabelle2[[#This Row],[vx]]+Tabelle2[[#This Row],[vy]]*Tabelle2[[#This Row],[vy]])</f>
        <v>76.64415034265329</v>
      </c>
      <c r="S860">
        <f t="shared" si="152"/>
        <v>630.91733080444919</v>
      </c>
      <c r="T860" s="1">
        <f t="shared" si="153"/>
        <v>-290.45794930472925</v>
      </c>
    </row>
    <row r="861" spans="6:20" x14ac:dyDescent="0.35">
      <c r="F861" s="1">
        <f t="shared" si="149"/>
        <v>17.159999999999723</v>
      </c>
      <c r="G861">
        <f>1/2*$B$8*$B$6*$B$7*(Tabelle2[[#This Row],[vx]]*Tabelle2[[#This Row],[vx]]+Tabelle2[[#This Row],[vy]]*Tabelle2[[#This Row],[vy]])/1000000</f>
        <v>10.405117014160089</v>
      </c>
      <c r="H861">
        <f>IF($B$3,-Tabelle2[[#This Row],[Fd]]*Tabelle2[[#This Row],[vx]]/Tabelle2[[#This Row],[v]],0)</f>
        <v>-2.6241154909979834</v>
      </c>
      <c r="I861">
        <f t="shared" si="143"/>
        <v>-1.749410327331989</v>
      </c>
      <c r="J861">
        <f t="shared" si="144"/>
        <v>-3.4988206546639783E-2</v>
      </c>
      <c r="K861">
        <f t="shared" si="145"/>
        <v>0.3864938218812663</v>
      </c>
      <c r="L861">
        <f>-$B$5*$B$12-IF($B$3,Tabelle2[[#This Row],[Fd]]*Tabelle2[[#This Row],[vy]]/Tabelle2[[#This Row],[v]],0)</f>
        <v>-4.6462126863128059</v>
      </c>
      <c r="M861">
        <f t="shared" si="146"/>
        <v>-3.0974751242085374</v>
      </c>
      <c r="N861">
        <f t="shared" si="147"/>
        <v>-6.1949502484170749E-2</v>
      </c>
      <c r="O861">
        <f t="shared" si="148"/>
        <v>-1.4849470682740256</v>
      </c>
      <c r="P861" s="1">
        <f t="shared" si="150"/>
        <v>19.342185197336637</v>
      </c>
      <c r="Q861" s="1">
        <f t="shared" si="151"/>
        <v>-74.216378662459192</v>
      </c>
      <c r="R861">
        <f>SQRT(Tabelle2[[#This Row],[vx]]*Tabelle2[[#This Row],[vx]]+Tabelle2[[#This Row],[vy]]*Tabelle2[[#This Row],[vy]])</f>
        <v>76.695443084824774</v>
      </c>
      <c r="S861">
        <f t="shared" si="152"/>
        <v>631.30452478966799</v>
      </c>
      <c r="T861" s="1">
        <f t="shared" si="153"/>
        <v>-291.94165536159358</v>
      </c>
    </row>
    <row r="862" spans="6:20" x14ac:dyDescent="0.35">
      <c r="F862" s="1">
        <f t="shared" si="149"/>
        <v>17.179999999999723</v>
      </c>
      <c r="G862">
        <f>1/2*$B$8*$B$6*$B$7*(Tabelle2[[#This Row],[vx]]*Tabelle2[[#This Row],[vx]]+Tabelle2[[#This Row],[vy]]*Tabelle2[[#This Row],[vy]])/1000000</f>
        <v>10.418997542610079</v>
      </c>
      <c r="H862">
        <f>IF($B$3,-Tabelle2[[#This Row],[Fd]]*Tabelle2[[#This Row],[vx]]/Tabelle2[[#This Row],[v]],0)</f>
        <v>-2.6211152606846713</v>
      </c>
      <c r="I862">
        <f t="shared" si="143"/>
        <v>-1.7474101737897809</v>
      </c>
      <c r="J862">
        <f t="shared" si="144"/>
        <v>-3.4948203475795622E-2</v>
      </c>
      <c r="K862">
        <f t="shared" si="145"/>
        <v>0.38579445778104204</v>
      </c>
      <c r="L862">
        <f>-$B$5*$B$12-IF($B$3,Tabelle2[[#This Row],[Fd]]*Tabelle2[[#This Row],[vy]]/Tabelle2[[#This Row],[v]],0)</f>
        <v>-4.6310888251075522</v>
      </c>
      <c r="M862">
        <f t="shared" si="146"/>
        <v>-3.0873925500717014</v>
      </c>
      <c r="N862">
        <f t="shared" si="147"/>
        <v>-6.1747851001434033E-2</v>
      </c>
      <c r="O862">
        <f t="shared" si="148"/>
        <v>-1.4861840418088814</v>
      </c>
      <c r="P862" s="1">
        <f t="shared" si="150"/>
        <v>19.307196990789997</v>
      </c>
      <c r="Q862" s="1">
        <f t="shared" si="151"/>
        <v>-74.27832816494336</v>
      </c>
      <c r="R862">
        <f>SQRT(Tabelle2[[#This Row],[vx]]*Tabelle2[[#This Row],[vx]]+Tabelle2[[#This Row],[vy]]*Tabelle2[[#This Row],[vy]])</f>
        <v>76.746582273220412</v>
      </c>
      <c r="S862">
        <f t="shared" si="152"/>
        <v>631.69101861154923</v>
      </c>
      <c r="T862" s="1">
        <f t="shared" si="153"/>
        <v>-293.42660242986761</v>
      </c>
    </row>
    <row r="863" spans="6:20" x14ac:dyDescent="0.35">
      <c r="F863" s="1">
        <f t="shared" si="149"/>
        <v>17.199999999999722</v>
      </c>
      <c r="G863">
        <f>1/2*$B$8*$B$6*$B$7*(Tabelle2[[#This Row],[vx]]*Tabelle2[[#This Row],[vx]]+Tabelle2[[#This Row],[vy]]*Tabelle2[[#This Row],[vy]])/1000000</f>
        <v>10.432845671748415</v>
      </c>
      <c r="H863">
        <f>IF($B$3,-Tabelle2[[#This Row],[Fd]]*Tabelle2[[#This Row],[vx]]/Tabelle2[[#This Row],[v]],0)</f>
        <v>-2.618108908412486</v>
      </c>
      <c r="I863">
        <f t="shared" si="143"/>
        <v>-1.7454059389416574</v>
      </c>
      <c r="J863">
        <f t="shared" si="144"/>
        <v>-3.4908118778833146E-2</v>
      </c>
      <c r="K863">
        <f t="shared" si="145"/>
        <v>0.38509589455849574</v>
      </c>
      <c r="L863">
        <f>-$B$5*$B$12-IF($B$3,Tabelle2[[#This Row],[Fd]]*Tabelle2[[#This Row],[vy]]/Tabelle2[[#This Row],[v]],0)</f>
        <v>-4.6160013093272063</v>
      </c>
      <c r="M863">
        <f t="shared" si="146"/>
        <v>-3.0773342062181377</v>
      </c>
      <c r="N863">
        <f t="shared" si="147"/>
        <v>-6.1546684124362754E-2</v>
      </c>
      <c r="O863">
        <f t="shared" si="148"/>
        <v>-1.4874169871601393</v>
      </c>
      <c r="P863" s="1">
        <f t="shared" si="150"/>
        <v>19.272248787314201</v>
      </c>
      <c r="Q863" s="1">
        <f t="shared" si="151"/>
        <v>-74.340076015944788</v>
      </c>
      <c r="R863">
        <f>SQRT(Tabelle2[[#This Row],[vx]]*Tabelle2[[#This Row],[vx]]+Tabelle2[[#This Row],[vy]]*Tabelle2[[#This Row],[vy]])</f>
        <v>76.797568160564722</v>
      </c>
      <c r="S863">
        <f t="shared" si="152"/>
        <v>632.07681306933023</v>
      </c>
      <c r="T863" s="1">
        <f t="shared" si="153"/>
        <v>-294.9127864716765</v>
      </c>
    </row>
    <row r="864" spans="6:20" x14ac:dyDescent="0.35">
      <c r="F864" s="1">
        <f t="shared" si="149"/>
        <v>17.219999999999722</v>
      </c>
      <c r="G864">
        <f>1/2*$B$8*$B$6*$B$7*(Tabelle2[[#This Row],[vx]]*Tabelle2[[#This Row],[vx]]+Tabelle2[[#This Row],[vy]]*Tabelle2[[#This Row],[vy]])/1000000</f>
        <v>10.446661387696068</v>
      </c>
      <c r="H864">
        <f>IF($B$3,-Tabelle2[[#This Row],[Fd]]*Tabelle2[[#This Row],[vx]]/Tabelle2[[#This Row],[v]],0)</f>
        <v>-2.6150964931787555</v>
      </c>
      <c r="I864">
        <f t="shared" si="143"/>
        <v>-1.7433976621191702</v>
      </c>
      <c r="J864">
        <f t="shared" si="144"/>
        <v>-3.4867953242383405E-2</v>
      </c>
      <c r="K864">
        <f t="shared" si="145"/>
        <v>0.38439813383828353</v>
      </c>
      <c r="L864">
        <f>-$B$5*$B$12-IF($B$3,Tabelle2[[#This Row],[Fd]]*Tabelle2[[#This Row],[vy]]/Tabelle2[[#This Row],[v]],0)</f>
        <v>-4.6009501444503389</v>
      </c>
      <c r="M864">
        <f t="shared" si="146"/>
        <v>-3.0673000963002259</v>
      </c>
      <c r="N864">
        <f t="shared" si="147"/>
        <v>-6.134600192600452E-2</v>
      </c>
      <c r="O864">
        <f t="shared" si="148"/>
        <v>-1.4886459140206432</v>
      </c>
      <c r="P864" s="1">
        <f t="shared" si="150"/>
        <v>19.237340668535367</v>
      </c>
      <c r="Q864" s="1">
        <f t="shared" si="151"/>
        <v>-74.401622700069154</v>
      </c>
      <c r="R864">
        <f>SQRT(Tabelle2[[#This Row],[vx]]*Tabelle2[[#This Row],[vx]]+Tabelle2[[#This Row],[vy]]*Tabelle2[[#This Row],[vy]])</f>
        <v>76.848401000936448</v>
      </c>
      <c r="S864">
        <f t="shared" si="152"/>
        <v>632.46190896388873</v>
      </c>
      <c r="T864" s="1">
        <f t="shared" si="153"/>
        <v>-296.40020345883664</v>
      </c>
    </row>
    <row r="865" spans="6:20" x14ac:dyDescent="0.35">
      <c r="F865" s="1">
        <f t="shared" si="149"/>
        <v>17.239999999999721</v>
      </c>
      <c r="G865">
        <f>1/2*$B$8*$B$6*$B$7*(Tabelle2[[#This Row],[vx]]*Tabelle2[[#This Row],[vx]]+Tabelle2[[#This Row],[vy]]*Tabelle2[[#This Row],[vy]])/1000000</f>
        <v>10.460444677368798</v>
      </c>
      <c r="H865">
        <f>IF($B$3,-Tabelle2[[#This Row],[Fd]]*Tabelle2[[#This Row],[vx]]/Tabelle2[[#This Row],[v]],0)</f>
        <v>-2.6120780738206424</v>
      </c>
      <c r="I865">
        <f t="shared" si="143"/>
        <v>-1.7413853825470949</v>
      </c>
      <c r="J865">
        <f t="shared" si="144"/>
        <v>-3.4827707650941897E-2</v>
      </c>
      <c r="K865">
        <f t="shared" si="145"/>
        <v>0.38370117722935027</v>
      </c>
      <c r="L865">
        <f>-$B$5*$B$12-IF($B$3,Tabelle2[[#This Row],[Fd]]*Tabelle2[[#This Row],[vy]]/Tabelle2[[#This Row],[v]],0)</f>
        <v>-4.5859353351576111</v>
      </c>
      <c r="M865">
        <f t="shared" si="146"/>
        <v>-3.0572902234384074</v>
      </c>
      <c r="N865">
        <f t="shared" si="147"/>
        <v>-6.1145804468768147E-2</v>
      </c>
      <c r="O865">
        <f t="shared" si="148"/>
        <v>-1.4898708320845908</v>
      </c>
      <c r="P865" s="1">
        <f t="shared" si="150"/>
        <v>19.202472715292984</v>
      </c>
      <c r="Q865" s="1">
        <f t="shared" si="151"/>
        <v>-74.462968701995152</v>
      </c>
      <c r="R865">
        <f>SQRT(Tabelle2[[#This Row],[vx]]*Tabelle2[[#This Row],[vx]]+Tabelle2[[#This Row],[vy]]*Tabelle2[[#This Row],[vy]])</f>
        <v>76.8990810497491</v>
      </c>
      <c r="S865">
        <f t="shared" si="152"/>
        <v>632.84630709772705</v>
      </c>
      <c r="T865" s="1">
        <f t="shared" si="153"/>
        <v>-297.88884937285729</v>
      </c>
    </row>
    <row r="866" spans="6:20" x14ac:dyDescent="0.35">
      <c r="F866" s="1">
        <f t="shared" si="149"/>
        <v>17.259999999999721</v>
      </c>
      <c r="G866">
        <f>1/2*$B$8*$B$6*$B$7*(Tabelle2[[#This Row],[vx]]*Tabelle2[[#This Row],[vx]]+Tabelle2[[#This Row],[vy]]*Tabelle2[[#This Row],[vy]])/1000000</f>
        <v>10.474195528471721</v>
      </c>
      <c r="H866">
        <f>IF($B$3,-Tabelle2[[#This Row],[Fd]]*Tabelle2[[#This Row],[vx]]/Tabelle2[[#This Row],[v]],0)</f>
        <v>-2.609053709013974</v>
      </c>
      <c r="I866">
        <f t="shared" si="143"/>
        <v>-1.7393691393426494</v>
      </c>
      <c r="J866">
        <f t="shared" si="144"/>
        <v>-3.4787382786852991E-2</v>
      </c>
      <c r="K866">
        <f t="shared" si="145"/>
        <v>0.38300502632497235</v>
      </c>
      <c r="L866">
        <f>-$B$5*$B$12-IF($B$3,Tabelle2[[#This Row],[Fd]]*Tabelle2[[#This Row],[vy]]/Tabelle2[[#This Row],[v]],0)</f>
        <v>-4.570956885337214</v>
      </c>
      <c r="M866">
        <f t="shared" si="146"/>
        <v>-3.0473045902248095</v>
      </c>
      <c r="N866">
        <f t="shared" si="147"/>
        <v>-6.0946091804496193E-2</v>
      </c>
      <c r="O866">
        <f t="shared" si="148"/>
        <v>-1.4910917510473234</v>
      </c>
      <c r="P866" s="1">
        <f t="shared" si="150"/>
        <v>19.167645007642044</v>
      </c>
      <c r="Q866" s="1">
        <f t="shared" si="151"/>
        <v>-74.524114506463917</v>
      </c>
      <c r="R866">
        <f>SQRT(Tabelle2[[#This Row],[vx]]*Tabelle2[[#This Row],[vx]]+Tabelle2[[#This Row],[vy]]*Tabelle2[[#This Row],[vy]])</f>
        <v>76.949608563731687</v>
      </c>
      <c r="S866">
        <f t="shared" si="152"/>
        <v>633.23000827495639</v>
      </c>
      <c r="T866" s="1">
        <f t="shared" si="153"/>
        <v>-299.37872020494189</v>
      </c>
    </row>
    <row r="867" spans="6:20" x14ac:dyDescent="0.35">
      <c r="F867" s="1">
        <f t="shared" si="149"/>
        <v>17.27999999999972</v>
      </c>
      <c r="G867">
        <f>1/2*$B$8*$B$6*$B$7*(Tabelle2[[#This Row],[vx]]*Tabelle2[[#This Row],[vx]]+Tabelle2[[#This Row],[vy]]*Tabelle2[[#This Row],[vy]])/1000000</f>
        <v>10.48791392949391</v>
      </c>
      <c r="H867">
        <f>IF($B$3,-Tabelle2[[#This Row],[Fd]]*Tabelle2[[#This Row],[vx]]/Tabelle2[[#This Row],[v]],0)</f>
        <v>-2.6060234572721033</v>
      </c>
      <c r="I867">
        <f t="shared" si="143"/>
        <v>-1.7373489715147354</v>
      </c>
      <c r="J867">
        <f t="shared" si="144"/>
        <v>-3.4746979430294707E-2</v>
      </c>
      <c r="K867">
        <f t="shared" si="145"/>
        <v>0.38230968270280086</v>
      </c>
      <c r="L867">
        <f>-$B$5*$B$12-IF($B$3,Tabelle2[[#This Row],[Fd]]*Tabelle2[[#This Row],[vy]]/Tabelle2[[#This Row],[v]],0)</f>
        <v>-4.556014798090315</v>
      </c>
      <c r="M867">
        <f t="shared" si="146"/>
        <v>-3.0373431987268766</v>
      </c>
      <c r="N867">
        <f t="shared" si="147"/>
        <v>-6.0746863974537532E-2</v>
      </c>
      <c r="O867">
        <f t="shared" si="148"/>
        <v>-1.4923086806051138</v>
      </c>
      <c r="P867" s="1">
        <f t="shared" si="150"/>
        <v>19.132857624855191</v>
      </c>
      <c r="Q867" s="1">
        <f t="shared" si="151"/>
        <v>-74.585060598268413</v>
      </c>
      <c r="R867">
        <f>SQRT(Tabelle2[[#This Row],[vx]]*Tabelle2[[#This Row],[vx]]+Tabelle2[[#This Row],[vy]]*Tabelle2[[#This Row],[vy]])</f>
        <v>76.999983800909661</v>
      </c>
      <c r="S867">
        <f t="shared" si="152"/>
        <v>633.6130133012814</v>
      </c>
      <c r="T867" s="1">
        <f t="shared" si="153"/>
        <v>-300.86981195598923</v>
      </c>
    </row>
    <row r="868" spans="6:20" x14ac:dyDescent="0.35">
      <c r="F868" s="1">
        <f t="shared" si="149"/>
        <v>17.29999999999972</v>
      </c>
      <c r="G868">
        <f>1/2*$B$8*$B$6*$B$7*(Tabelle2[[#This Row],[vx]]*Tabelle2[[#This Row],[vx]]+Tabelle2[[#This Row],[vy]]*Tabelle2[[#This Row],[vy]])/1000000</f>
        <v>10.501599869702973</v>
      </c>
      <c r="H868">
        <f>IF($B$3,-Tabelle2[[#This Row],[Fd]]*Tabelle2[[#This Row],[vx]]/Tabelle2[[#This Row],[v]],0)</f>
        <v>-2.60298737694478</v>
      </c>
      <c r="I868">
        <f t="shared" si="143"/>
        <v>-1.7353249179631867</v>
      </c>
      <c r="J868">
        <f t="shared" si="144"/>
        <v>-3.4706498359263732E-2</v>
      </c>
      <c r="K868">
        <f t="shared" si="145"/>
        <v>0.38161514792490531</v>
      </c>
      <c r="L868">
        <f>-$B$5*$B$12-IF($B$3,Tabelle2[[#This Row],[Fd]]*Tabelle2[[#This Row],[vy]]/Tabelle2[[#This Row],[v]],0)</f>
        <v>-4.5411090757364789</v>
      </c>
      <c r="M868">
        <f t="shared" si="146"/>
        <v>-3.0274060504909861</v>
      </c>
      <c r="N868">
        <f t="shared" si="147"/>
        <v>-6.0548121009819725E-2</v>
      </c>
      <c r="O868">
        <f t="shared" si="148"/>
        <v>-1.4935216304549572</v>
      </c>
      <c r="P868" s="1">
        <f t="shared" si="150"/>
        <v>19.098110645424896</v>
      </c>
      <c r="Q868" s="1">
        <f t="shared" si="151"/>
        <v>-74.645807462242956</v>
      </c>
      <c r="R868">
        <f>SQRT(Tabelle2[[#This Row],[vx]]*Tabelle2[[#This Row],[vx]]+Tabelle2[[#This Row],[vy]]*Tabelle2[[#This Row],[vy]])</f>
        <v>77.050207020585859</v>
      </c>
      <c r="S868">
        <f t="shared" si="152"/>
        <v>633.99532298398424</v>
      </c>
      <c r="T868" s="1">
        <f t="shared" si="153"/>
        <v>-302.36212063659434</v>
      </c>
    </row>
    <row r="869" spans="6:20" x14ac:dyDescent="0.35">
      <c r="F869" s="1">
        <f t="shared" si="149"/>
        <v>17.31999999999972</v>
      </c>
      <c r="G869">
        <f>1/2*$B$8*$B$6*$B$7*(Tabelle2[[#This Row],[vx]]*Tabelle2[[#This Row],[vx]]+Tabelle2[[#This Row],[vy]]*Tabelle2[[#This Row],[vy]])/1000000</f>
        <v>10.515253339139667</v>
      </c>
      <c r="H869">
        <f>IF($B$3,-Tabelle2[[#This Row],[Fd]]*Tabelle2[[#This Row],[vx]]/Tabelle2[[#This Row],[v]],0)</f>
        <v>-2.5999455262170486</v>
      </c>
      <c r="I869">
        <f t="shared" si="143"/>
        <v>-1.7332970174780324</v>
      </c>
      <c r="J869">
        <f t="shared" si="144"/>
        <v>-3.4665940349560651E-2</v>
      </c>
      <c r="K869">
        <f t="shared" si="145"/>
        <v>0.38092142353781705</v>
      </c>
      <c r="L869">
        <f>-$B$5*$B$12-IF($B$3,Tabelle2[[#This Row],[Fd]]*Tabelle2[[#This Row],[vy]]/Tabelle2[[#This Row],[v]],0)</f>
        <v>-4.5262397198191042</v>
      </c>
      <c r="M869">
        <f t="shared" si="146"/>
        <v>-3.0174931465460695</v>
      </c>
      <c r="N869">
        <f t="shared" si="147"/>
        <v>-6.0349862930921393E-2</v>
      </c>
      <c r="O869">
        <f t="shared" si="148"/>
        <v>-1.4947306102943649</v>
      </c>
      <c r="P869" s="1">
        <f t="shared" si="150"/>
        <v>19.063404147065633</v>
      </c>
      <c r="Q869" s="1">
        <f t="shared" si="151"/>
        <v>-74.706355583252773</v>
      </c>
      <c r="R869">
        <f>SQRT(Tabelle2[[#This Row],[vx]]*Tabelle2[[#This Row],[vx]]+Tabelle2[[#This Row],[vy]]*Tabelle2[[#This Row],[vy]])</f>
        <v>77.100278483321716</v>
      </c>
      <c r="S869">
        <f t="shared" si="152"/>
        <v>634.37693813190913</v>
      </c>
      <c r="T869" s="1">
        <f t="shared" si="153"/>
        <v>-303.85564226704929</v>
      </c>
    </row>
    <row r="870" spans="6:20" x14ac:dyDescent="0.35">
      <c r="F870" s="1">
        <f t="shared" si="149"/>
        <v>17.339999999999719</v>
      </c>
      <c r="G870">
        <f>1/2*$B$8*$B$6*$B$7*(Tabelle2[[#This Row],[vx]]*Tabelle2[[#This Row],[vx]]+Tabelle2[[#This Row],[vy]]*Tabelle2[[#This Row],[vy]])/1000000</f>
        <v>10.528874328612527</v>
      </c>
      <c r="H870">
        <f>IF($B$3,-Tabelle2[[#This Row],[Fd]]*Tabelle2[[#This Row],[vx]]/Tabelle2[[#This Row],[v]],0)</f>
        <v>-2.5968979631081632</v>
      </c>
      <c r="I870">
        <f t="shared" si="143"/>
        <v>-1.7312653087387755</v>
      </c>
      <c r="J870">
        <f t="shared" si="144"/>
        <v>-3.4625306174775508E-2</v>
      </c>
      <c r="K870">
        <f t="shared" si="145"/>
        <v>0.38022851107257366</v>
      </c>
      <c r="L870">
        <f>-$B$5*$B$12-IF($B$3,Tabelle2[[#This Row],[Fd]]*Tabelle2[[#This Row],[vy]]/Tabelle2[[#This Row],[v]],0)</f>
        <v>-4.5114067311108208</v>
      </c>
      <c r="M870">
        <f t="shared" si="146"/>
        <v>-3.0076044874072139</v>
      </c>
      <c r="N870">
        <f t="shared" si="147"/>
        <v>-6.0152089748144282E-2</v>
      </c>
      <c r="O870">
        <f t="shared" si="148"/>
        <v>-1.4959356298211555</v>
      </c>
      <c r="P870" s="1">
        <f t="shared" si="150"/>
        <v>19.028738206716071</v>
      </c>
      <c r="Q870" s="1">
        <f t="shared" si="151"/>
        <v>-74.766705446183693</v>
      </c>
      <c r="R870">
        <f>SQRT(Tabelle2[[#This Row],[vx]]*Tabelle2[[#This Row],[vx]]+Tabelle2[[#This Row],[vy]]*Tabelle2[[#This Row],[vy]])</f>
        <v>77.150198450918651</v>
      </c>
      <c r="S870">
        <f t="shared" si="152"/>
        <v>634.757859555447</v>
      </c>
      <c r="T870" s="1">
        <f t="shared" si="153"/>
        <v>-305.35037287734366</v>
      </c>
    </row>
    <row r="871" spans="6:20" x14ac:dyDescent="0.35">
      <c r="F871" s="1">
        <f t="shared" si="149"/>
        <v>17.359999999999719</v>
      </c>
      <c r="G871">
        <f>1/2*$B$8*$B$6*$B$7*(Tabelle2[[#This Row],[vx]]*Tabelle2[[#This Row],[vx]]+Tabelle2[[#This Row],[vy]]*Tabelle2[[#This Row],[vy]])/1000000</f>
        <v>10.542462829692489</v>
      </c>
      <c r="H871">
        <f>IF($B$3,-Tabelle2[[#This Row],[Fd]]*Tabelle2[[#This Row],[vx]]/Tabelle2[[#This Row],[v]],0)</f>
        <v>-2.5938447454705265</v>
      </c>
      <c r="I871">
        <f t="shared" si="143"/>
        <v>-1.7292298303136844</v>
      </c>
      <c r="J871">
        <f t="shared" si="144"/>
        <v>-3.4584596606273686E-2</v>
      </c>
      <c r="K871">
        <f t="shared" si="145"/>
        <v>0.37953641204476318</v>
      </c>
      <c r="L871">
        <f>-$B$5*$B$12-IF($B$3,Tabelle2[[#This Row],[Fd]]*Tabelle2[[#This Row],[vy]]/Tabelle2[[#This Row],[v]],0)</f>
        <v>-4.4966101096188957</v>
      </c>
      <c r="M871">
        <f t="shared" si="146"/>
        <v>-2.9977400730792638</v>
      </c>
      <c r="N871">
        <f t="shared" si="147"/>
        <v>-5.9954801461585279E-2</v>
      </c>
      <c r="O871">
        <f t="shared" si="148"/>
        <v>-1.4971366987332524</v>
      </c>
      <c r="P871" s="1">
        <f t="shared" si="150"/>
        <v>18.994112900541296</v>
      </c>
      <c r="Q871" s="1">
        <f t="shared" si="151"/>
        <v>-74.826857535931836</v>
      </c>
      <c r="R871">
        <f>SQRT(Tabelle2[[#This Row],[vx]]*Tabelle2[[#This Row],[vx]]+Tabelle2[[#This Row],[vy]]*Tabelle2[[#This Row],[vy]])</f>
        <v>77.199967186399419</v>
      </c>
      <c r="S871">
        <f t="shared" si="152"/>
        <v>635.13808806651957</v>
      </c>
      <c r="T871" s="1">
        <f t="shared" si="153"/>
        <v>-306.84630850716479</v>
      </c>
    </row>
    <row r="872" spans="6:20" x14ac:dyDescent="0.35">
      <c r="F872" s="1">
        <f t="shared" si="149"/>
        <v>17.379999999999718</v>
      </c>
      <c r="G872">
        <f>1/2*$B$8*$B$6*$B$7*(Tabelle2[[#This Row],[vx]]*Tabelle2[[#This Row],[vx]]+Tabelle2[[#This Row],[vy]]*Tabelle2[[#This Row],[vy]])/1000000</f>
        <v>10.556018834707539</v>
      </c>
      <c r="H872">
        <f>IF($B$3,-Tabelle2[[#This Row],[Fd]]*Tabelle2[[#This Row],[vx]]/Tabelle2[[#This Row],[v]],0)</f>
        <v>-2.5907859309886421</v>
      </c>
      <c r="I872">
        <f t="shared" si="143"/>
        <v>-1.7271906206590948</v>
      </c>
      <c r="J872">
        <f t="shared" si="144"/>
        <v>-3.4543812413181899E-2</v>
      </c>
      <c r="K872">
        <f t="shared" si="145"/>
        <v>0.37884512795456865</v>
      </c>
      <c r="L872">
        <f>-$B$5*$B$12-IF($B$3,Tabelle2[[#This Row],[Fd]]*Tabelle2[[#This Row],[vy]]/Tabelle2[[#This Row],[v]],0)</f>
        <v>-4.4818498545906404</v>
      </c>
      <c r="M872">
        <f t="shared" si="146"/>
        <v>-2.987899903060427</v>
      </c>
      <c r="N872">
        <f t="shared" si="147"/>
        <v>-5.9757998061208538E-2</v>
      </c>
      <c r="O872">
        <f t="shared" si="148"/>
        <v>-1.4983338267284805</v>
      </c>
      <c r="P872" s="1">
        <f t="shared" si="150"/>
        <v>18.959528303935024</v>
      </c>
      <c r="Q872" s="1">
        <f t="shared" si="151"/>
        <v>-74.886812337393422</v>
      </c>
      <c r="R872">
        <f>SQRT(Tabelle2[[#This Row],[vx]]*Tabelle2[[#This Row],[vx]]+Tabelle2[[#This Row],[vy]]*Tabelle2[[#This Row],[vy]])</f>
        <v>77.249584953989839</v>
      </c>
      <c r="S872">
        <f t="shared" si="152"/>
        <v>635.51762447856436</v>
      </c>
      <c r="T872" s="1">
        <f t="shared" si="153"/>
        <v>-308.34344520589804</v>
      </c>
    </row>
    <row r="873" spans="6:20" x14ac:dyDescent="0.35">
      <c r="F873" s="1">
        <f t="shared" si="149"/>
        <v>17.399999999999718</v>
      </c>
      <c r="G873">
        <f>1/2*$B$8*$B$6*$B$7*(Tabelle2[[#This Row],[vx]]*Tabelle2[[#This Row],[vx]]+Tabelle2[[#This Row],[vy]]*Tabelle2[[#This Row],[vy]])/1000000</f>
        <v>10.569542336737353</v>
      </c>
      <c r="H873">
        <f>IF($B$3,-Tabelle2[[#This Row],[Fd]]*Tabelle2[[#This Row],[vx]]/Tabelle2[[#This Row],[v]],0)</f>
        <v>-2.5877215771780921</v>
      </c>
      <c r="I873">
        <f t="shared" si="143"/>
        <v>-1.725147718118728</v>
      </c>
      <c r="J873">
        <f t="shared" si="144"/>
        <v>-3.4502954362374563E-2</v>
      </c>
      <c r="K873">
        <f t="shared" si="145"/>
        <v>0.3781546602868131</v>
      </c>
      <c r="L873">
        <f>-$B$5*$B$12-IF($B$3,Tabelle2[[#This Row],[Fd]]*Tabelle2[[#This Row],[vy]]/Tabelle2[[#This Row],[v]],0)</f>
        <v>-4.4671259645187771</v>
      </c>
      <c r="M873">
        <f t="shared" si="146"/>
        <v>-2.9780839763458515</v>
      </c>
      <c r="N873">
        <f t="shared" si="147"/>
        <v>-5.956167952691703E-2</v>
      </c>
      <c r="O873">
        <f t="shared" si="148"/>
        <v>-1.4995270235043621</v>
      </c>
      <c r="P873" s="1">
        <f t="shared" si="150"/>
        <v>18.92498449152184</v>
      </c>
      <c r="Q873" s="1">
        <f t="shared" si="151"/>
        <v>-74.946570335454638</v>
      </c>
      <c r="R873">
        <f>SQRT(Tabelle2[[#This Row],[vx]]*Tabelle2[[#This Row],[vx]]+Tabelle2[[#This Row],[vy]]*Tabelle2[[#This Row],[vy]])</f>
        <v>77.299052019100415</v>
      </c>
      <c r="S873">
        <f t="shared" si="152"/>
        <v>635.89646960651896</v>
      </c>
      <c r="T873" s="1">
        <f t="shared" si="153"/>
        <v>-309.8417790326265</v>
      </c>
    </row>
    <row r="874" spans="6:20" x14ac:dyDescent="0.35">
      <c r="F874" s="1">
        <f t="shared" si="149"/>
        <v>17.419999999999717</v>
      </c>
      <c r="G874">
        <f>1/2*$B$8*$B$6*$B$7*(Tabelle2[[#This Row],[vx]]*Tabelle2[[#This Row],[vx]]+Tabelle2[[#This Row],[vy]]*Tabelle2[[#This Row],[vy]])/1000000</f>
        <v>10.583033329607991</v>
      </c>
      <c r="H874">
        <f>IF($B$3,-Tabelle2[[#This Row],[Fd]]*Tabelle2[[#This Row],[vx]]/Tabelle2[[#This Row],[v]],0)</f>
        <v>-2.5846517413845351</v>
      </c>
      <c r="I874">
        <f t="shared" si="143"/>
        <v>-1.7231011609230233</v>
      </c>
      <c r="J874">
        <f t="shared" si="144"/>
        <v>-3.4462023218460466E-2</v>
      </c>
      <c r="K874">
        <f t="shared" si="145"/>
        <v>0.37746501051100473</v>
      </c>
      <c r="L874">
        <f>-$B$5*$B$12-IF($B$3,Tabelle2[[#This Row],[Fd]]*Tabelle2[[#This Row],[vy]]/Tabelle2[[#This Row],[v]],0)</f>
        <v>-4.4524384371468209</v>
      </c>
      <c r="M874">
        <f t="shared" si="146"/>
        <v>-2.9682922914312138</v>
      </c>
      <c r="N874">
        <f t="shared" si="147"/>
        <v>-5.9365845828624274E-2</v>
      </c>
      <c r="O874">
        <f t="shared" si="148"/>
        <v>-1.5007162987579177</v>
      </c>
      <c r="P874" s="1">
        <f t="shared" si="150"/>
        <v>18.890481537159467</v>
      </c>
      <c r="Q874" s="1">
        <f t="shared" si="151"/>
        <v>-75.00613201498156</v>
      </c>
      <c r="R874">
        <f>SQRT(Tabelle2[[#This Row],[vx]]*Tabelle2[[#This Row],[vx]]+Tabelle2[[#This Row],[vy]]*Tabelle2[[#This Row],[vy]])</f>
        <v>77.348368648308309</v>
      </c>
      <c r="S874">
        <f t="shared" si="152"/>
        <v>636.27462426680574</v>
      </c>
      <c r="T874" s="1">
        <f t="shared" si="153"/>
        <v>-311.34130605613086</v>
      </c>
    </row>
    <row r="875" spans="6:20" x14ac:dyDescent="0.35">
      <c r="F875" s="1">
        <f t="shared" si="149"/>
        <v>17.439999999999717</v>
      </c>
      <c r="G875">
        <f>1/2*$B$8*$B$6*$B$7*(Tabelle2[[#This Row],[vx]]*Tabelle2[[#This Row],[vx]]+Tabelle2[[#This Row],[vy]]*Tabelle2[[#This Row],[vy]])/1000000</f>
        <v>10.596491807886553</v>
      </c>
      <c r="H875">
        <f>IF($B$3,-Tabelle2[[#This Row],[Fd]]*Tabelle2[[#This Row],[vx]]/Tabelle2[[#This Row],[v]],0)</f>
        <v>-2.5815764807827128</v>
      </c>
      <c r="I875">
        <f t="shared" si="143"/>
        <v>-1.7210509871884752</v>
      </c>
      <c r="J875">
        <f t="shared" si="144"/>
        <v>-3.4421019743769501E-2</v>
      </c>
      <c r="K875">
        <f t="shared" si="145"/>
        <v>0.37677618008138247</v>
      </c>
      <c r="L875">
        <f>-$B$5*$B$12-IF($B$3,Tabelle2[[#This Row],[Fd]]*Tabelle2[[#This Row],[vy]]/Tabelle2[[#This Row],[v]],0)</f>
        <v>-4.4377872694744536</v>
      </c>
      <c r="M875">
        <f t="shared" si="146"/>
        <v>-2.9585248463163025</v>
      </c>
      <c r="N875">
        <f t="shared" si="147"/>
        <v>-5.9170496926326054E-2</v>
      </c>
      <c r="O875">
        <f t="shared" si="148"/>
        <v>-1.5019016621854671</v>
      </c>
      <c r="P875" s="1">
        <f t="shared" si="150"/>
        <v>18.856019513941007</v>
      </c>
      <c r="Q875" s="1">
        <f t="shared" si="151"/>
        <v>-75.065497860810183</v>
      </c>
      <c r="R875">
        <f>SQRT(Tabelle2[[#This Row],[vx]]*Tabelle2[[#This Row],[vx]]+Tabelle2[[#This Row],[vy]]*Tabelle2[[#This Row],[vy]])</f>
        <v>77.397535109339387</v>
      </c>
      <c r="S875">
        <f t="shared" si="152"/>
        <v>636.6520892773168</v>
      </c>
      <c r="T875" s="1">
        <f t="shared" si="153"/>
        <v>-312.8420223548888</v>
      </c>
    </row>
    <row r="876" spans="6:20" x14ac:dyDescent="0.35">
      <c r="F876" s="1">
        <f t="shared" si="149"/>
        <v>17.459999999999717</v>
      </c>
      <c r="G876">
        <f>1/2*$B$8*$B$6*$B$7*(Tabelle2[[#This Row],[vx]]*Tabelle2[[#This Row],[vx]]+Tabelle2[[#This Row],[vy]]*Tabelle2[[#This Row],[vy]])/1000000</f>
        <v>10.609917766875887</v>
      </c>
      <c r="H876">
        <f>IF($B$3,-Tabelle2[[#This Row],[Fd]]*Tabelle2[[#This Row],[vx]]/Tabelle2[[#This Row],[v]],0)</f>
        <v>-2.5784958523754953</v>
      </c>
      <c r="I876">
        <f t="shared" si="143"/>
        <v>-1.7189972349169969</v>
      </c>
      <c r="J876">
        <f t="shared" si="144"/>
        <v>-3.4379944698339937E-2</v>
      </c>
      <c r="K876">
        <f t="shared" si="145"/>
        <v>0.37608817043696136</v>
      </c>
      <c r="L876">
        <f>-$B$5*$B$12-IF($B$3,Tabelle2[[#This Row],[Fd]]*Tabelle2[[#This Row],[vy]]/Tabelle2[[#This Row],[v]],0)</f>
        <v>-4.4231724577628597</v>
      </c>
      <c r="M876">
        <f t="shared" si="146"/>
        <v>-2.948781638508573</v>
      </c>
      <c r="N876">
        <f t="shared" si="147"/>
        <v>-5.8975632770171461E-2</v>
      </c>
      <c r="O876">
        <f t="shared" si="148"/>
        <v>-1.503083123482432</v>
      </c>
      <c r="P876" s="1">
        <f t="shared" si="150"/>
        <v>18.821598494197236</v>
      </c>
      <c r="Q876" s="1">
        <f t="shared" si="151"/>
        <v>-75.12466835773651</v>
      </c>
      <c r="R876">
        <f>SQRT(Tabelle2[[#This Row],[vx]]*Tabelle2[[#This Row],[vx]]+Tabelle2[[#This Row],[vy]]*Tabelle2[[#This Row],[vy]])</f>
        <v>77.446551671050301</v>
      </c>
      <c r="S876">
        <f t="shared" si="152"/>
        <v>637.02886545739818</v>
      </c>
      <c r="T876" s="1">
        <f t="shared" si="153"/>
        <v>-314.34392401707424</v>
      </c>
    </row>
    <row r="877" spans="6:20" x14ac:dyDescent="0.35">
      <c r="F877" s="1">
        <f t="shared" si="149"/>
        <v>17.479999999999716</v>
      </c>
      <c r="G877">
        <f>1/2*$B$8*$B$6*$B$7*(Tabelle2[[#This Row],[vx]]*Tabelle2[[#This Row],[vx]]+Tabelle2[[#This Row],[vy]]*Tabelle2[[#This Row],[vy]])/1000000</f>
        <v>10.623311202609289</v>
      </c>
      <c r="H877">
        <f>IF($B$3,-Tabelle2[[#This Row],[Fd]]*Tabelle2[[#This Row],[vx]]/Tabelle2[[#This Row],[v]],0)</f>
        <v>-2.5754099129929227</v>
      </c>
      <c r="I877">
        <f t="shared" si="143"/>
        <v>-1.7169399419952818</v>
      </c>
      <c r="J877">
        <f t="shared" si="144"/>
        <v>-3.4338798839905635E-2</v>
      </c>
      <c r="K877">
        <f t="shared" si="145"/>
        <v>0.37540098300157887</v>
      </c>
      <c r="L877">
        <f>-$B$5*$B$12-IF($B$3,Tabelle2[[#This Row],[Fd]]*Tabelle2[[#This Row],[vy]]/Tabelle2[[#This Row],[v]],0)</f>
        <v>-4.4085939975400841</v>
      </c>
      <c r="M877">
        <f t="shared" si="146"/>
        <v>-2.9390626650267229</v>
      </c>
      <c r="N877">
        <f t="shared" si="147"/>
        <v>-5.8781253300534457E-2</v>
      </c>
      <c r="O877">
        <f t="shared" si="148"/>
        <v>-1.504260692343139</v>
      </c>
      <c r="P877" s="1">
        <f t="shared" si="150"/>
        <v>18.787218549498895</v>
      </c>
      <c r="Q877" s="1">
        <f t="shared" si="151"/>
        <v>-75.183643990506681</v>
      </c>
      <c r="R877">
        <f>SQRT(Tabelle2[[#This Row],[vx]]*Tabelle2[[#This Row],[vx]]+Tabelle2[[#This Row],[vy]]*Tabelle2[[#This Row],[vy]])</f>
        <v>77.495418603410926</v>
      </c>
      <c r="S877">
        <f t="shared" si="152"/>
        <v>637.4049536278352</v>
      </c>
      <c r="T877" s="1">
        <f t="shared" si="153"/>
        <v>-315.84700714055668</v>
      </c>
    </row>
    <row r="878" spans="6:20" x14ac:dyDescent="0.35">
      <c r="F878" s="1">
        <f t="shared" si="149"/>
        <v>17.499999999999716</v>
      </c>
      <c r="G878">
        <f>1/2*$B$8*$B$6*$B$7*(Tabelle2[[#This Row],[vx]]*Tabelle2[[#This Row],[vx]]+Tabelle2[[#This Row],[vy]]*Tabelle2[[#This Row],[vy]])/1000000</f>
        <v>10.636672111845229</v>
      </c>
      <c r="H878">
        <f>IF($B$3,-Tabelle2[[#This Row],[Fd]]*Tabelle2[[#This Row],[vx]]/Tabelle2[[#This Row],[v]],0)</f>
        <v>-2.5723187192912866</v>
      </c>
      <c r="I878">
        <f t="shared" si="143"/>
        <v>-1.714879146194191</v>
      </c>
      <c r="J878">
        <f t="shared" si="144"/>
        <v>-3.4297582923883824E-2</v>
      </c>
      <c r="K878">
        <f t="shared" si="145"/>
        <v>0.374714619183941</v>
      </c>
      <c r="L878">
        <f>-$B$5*$B$12-IF($B$3,Tabelle2[[#This Row],[Fd]]*Tabelle2[[#This Row],[vy]]/Tabelle2[[#This Row],[v]],0)</f>
        <v>-4.3940518836063465</v>
      </c>
      <c r="M878">
        <f t="shared" si="146"/>
        <v>-2.9293679224042308</v>
      </c>
      <c r="N878">
        <f t="shared" si="147"/>
        <v>-5.8587358448084617E-2</v>
      </c>
      <c r="O878">
        <f t="shared" si="148"/>
        <v>-1.5054343784606252</v>
      </c>
      <c r="P878" s="1">
        <f t="shared" si="150"/>
        <v>18.752879750658991</v>
      </c>
      <c r="Q878" s="1">
        <f t="shared" si="151"/>
        <v>-75.242425243807219</v>
      </c>
      <c r="R878">
        <f>SQRT(Tabelle2[[#This Row],[vx]]*Tabelle2[[#This Row],[vx]]+Tabelle2[[#This Row],[vy]]*Tabelle2[[#This Row],[vy]])</f>
        <v>77.544136177486649</v>
      </c>
      <c r="S878">
        <f t="shared" si="152"/>
        <v>637.78035461083675</v>
      </c>
      <c r="T878" s="1">
        <f t="shared" si="153"/>
        <v>-317.35126783289985</v>
      </c>
    </row>
    <row r="879" spans="6:20" x14ac:dyDescent="0.35">
      <c r="F879" s="1">
        <f t="shared" si="149"/>
        <v>17.519999999999715</v>
      </c>
      <c r="G879">
        <f>1/2*$B$8*$B$6*$B$7*(Tabelle2[[#This Row],[vx]]*Tabelle2[[#This Row],[vx]]+Tabelle2[[#This Row],[vy]]*Tabelle2[[#This Row],[vy]])/1000000</f>
        <v>10.650000492062066</v>
      </c>
      <c r="H879">
        <f>IF($B$3,-Tabelle2[[#This Row],[Fd]]*Tabelle2[[#This Row],[vx]]/Tabelle2[[#This Row],[v]],0)</f>
        <v>-2.5692223277522119</v>
      </c>
      <c r="I879">
        <f t="shared" si="143"/>
        <v>-1.7128148851681413</v>
      </c>
      <c r="J879">
        <f t="shared" si="144"/>
        <v>-3.4256297703362824E-2</v>
      </c>
      <c r="K879">
        <f t="shared" si="145"/>
        <v>0.37402908037766852</v>
      </c>
      <c r="L879">
        <f>-$B$5*$B$12-IF($B$3,Tabelle2[[#This Row],[Fd]]*Tabelle2[[#This Row],[vy]]/Tabelle2[[#This Row],[v]],0)</f>
        <v>-4.3795461100393958</v>
      </c>
      <c r="M879">
        <f t="shared" si="146"/>
        <v>-2.9196974066929307</v>
      </c>
      <c r="N879">
        <f t="shared" si="147"/>
        <v>-5.8393948133858613E-2</v>
      </c>
      <c r="O879">
        <f t="shared" si="148"/>
        <v>-1.5066041915264448</v>
      </c>
      <c r="P879" s="1">
        <f t="shared" si="150"/>
        <v>18.718582167735107</v>
      </c>
      <c r="Q879" s="1">
        <f t="shared" si="151"/>
        <v>-75.301012602255298</v>
      </c>
      <c r="R879">
        <f>SQRT(Tabelle2[[#This Row],[vx]]*Tabelle2[[#This Row],[vx]]+Tabelle2[[#This Row],[vy]]*Tabelle2[[#This Row],[vy]])</f>
        <v>77.592704665421095</v>
      </c>
      <c r="S879">
        <f t="shared" si="152"/>
        <v>638.15506923002067</v>
      </c>
      <c r="T879" s="1">
        <f t="shared" si="153"/>
        <v>-318.85670221136047</v>
      </c>
    </row>
    <row r="880" spans="6:20" x14ac:dyDescent="0.35">
      <c r="F880" s="1">
        <f t="shared" si="149"/>
        <v>17.539999999999715</v>
      </c>
      <c r="G880">
        <f>1/2*$B$8*$B$6*$B$7*(Tabelle2[[#This Row],[vx]]*Tabelle2[[#This Row],[vx]]+Tabelle2[[#This Row],[vy]]*Tabelle2[[#This Row],[vy]])/1000000</f>
        <v>10.663296341452822</v>
      </c>
      <c r="H880">
        <f>IF($B$3,-Tabelle2[[#This Row],[Fd]]*Tabelle2[[#This Row],[vx]]/Tabelle2[[#This Row],[v]],0)</f>
        <v>-2.566120794681773</v>
      </c>
      <c r="I880">
        <f t="shared" si="143"/>
        <v>-1.7107471964545153</v>
      </c>
      <c r="J880">
        <f t="shared" si="144"/>
        <v>-3.4214943929090309E-2</v>
      </c>
      <c r="K880">
        <f t="shared" si="145"/>
        <v>0.37334436796134396</v>
      </c>
      <c r="L880">
        <f>-$B$5*$B$12-IF($B$3,Tabelle2[[#This Row],[Fd]]*Tabelle2[[#This Row],[vy]]/Tabelle2[[#This Row],[v]],0)</f>
        <v>-4.3650766701997767</v>
      </c>
      <c r="M880">
        <f t="shared" si="146"/>
        <v>-2.9100511134665177</v>
      </c>
      <c r="N880">
        <f t="shared" si="147"/>
        <v>-5.8201022269330355E-2</v>
      </c>
      <c r="O880">
        <f t="shared" si="148"/>
        <v>-1.5077701412304765</v>
      </c>
      <c r="P880" s="1">
        <f t="shared" si="150"/>
        <v>18.684325870031746</v>
      </c>
      <c r="Q880" s="1">
        <f t="shared" si="151"/>
        <v>-75.359406550389153</v>
      </c>
      <c r="R880">
        <f>SQRT(Tabelle2[[#This Row],[vx]]*Tabelle2[[#This Row],[vx]]+Tabelle2[[#This Row],[vy]]*Tabelle2[[#This Row],[vy]])</f>
        <v>77.641124340418799</v>
      </c>
      <c r="S880">
        <f t="shared" si="152"/>
        <v>638.52909831039835</v>
      </c>
      <c r="T880" s="1">
        <f t="shared" si="153"/>
        <v>-320.36330640288691</v>
      </c>
    </row>
    <row r="881" spans="6:20" x14ac:dyDescent="0.35">
      <c r="F881" s="1">
        <f t="shared" si="149"/>
        <v>17.559999999999715</v>
      </c>
      <c r="G881">
        <f>1/2*$B$8*$B$6*$B$7*(Tabelle2[[#This Row],[vx]]*Tabelle2[[#This Row],[vx]]+Tabelle2[[#This Row],[vy]]*Tabelle2[[#This Row],[vy]])/1000000</f>
        <v>10.676559658919917</v>
      </c>
      <c r="H881">
        <f>IF($B$3,-Tabelle2[[#This Row],[Fd]]*Tabelle2[[#This Row],[vx]]/Tabelle2[[#This Row],[v]],0)</f>
        <v>-2.563014176209617</v>
      </c>
      <c r="I881">
        <f t="shared" si="143"/>
        <v>-1.708676117473078</v>
      </c>
      <c r="J881">
        <f t="shared" si="144"/>
        <v>-3.4173522349461562E-2</v>
      </c>
      <c r="K881">
        <f t="shared" si="145"/>
        <v>0.3726604832985585</v>
      </c>
      <c r="L881">
        <f>-$B$5*$B$12-IF($B$3,Tabelle2[[#This Row],[Fd]]*Tabelle2[[#This Row],[vy]]/Tabelle2[[#This Row],[v]],0)</f>
        <v>-4.3506435567361574</v>
      </c>
      <c r="M881">
        <f t="shared" si="146"/>
        <v>-2.9004290378241051</v>
      </c>
      <c r="N881">
        <f t="shared" si="147"/>
        <v>-5.8008580756482103E-2</v>
      </c>
      <c r="O881">
        <f t="shared" si="148"/>
        <v>-1.5089322372607346</v>
      </c>
      <c r="P881" s="1">
        <f t="shared" si="150"/>
        <v>18.650110926102656</v>
      </c>
      <c r="Q881" s="1">
        <f t="shared" si="151"/>
        <v>-75.417607572658483</v>
      </c>
      <c r="R881">
        <f>SQRT(Tabelle2[[#This Row],[vx]]*Tabelle2[[#This Row],[vx]]+Tabelle2[[#This Row],[vy]]*Tabelle2[[#This Row],[vy]])</f>
        <v>77.689395476728009</v>
      </c>
      <c r="S881">
        <f t="shared" si="152"/>
        <v>638.90244267835965</v>
      </c>
      <c r="T881" s="1">
        <f t="shared" si="153"/>
        <v>-321.87107654411739</v>
      </c>
    </row>
    <row r="882" spans="6:20" x14ac:dyDescent="0.35">
      <c r="F882" s="1">
        <f t="shared" si="149"/>
        <v>17.579999999999714</v>
      </c>
      <c r="G882">
        <f>1/2*$B$8*$B$6*$B$7*(Tabelle2[[#This Row],[vx]]*Tabelle2[[#This Row],[vx]]+Tabelle2[[#This Row],[vy]]*Tabelle2[[#This Row],[vy]])/1000000</f>
        <v>10.689790444069956</v>
      </c>
      <c r="H882">
        <f>IF($B$3,-Tabelle2[[#This Row],[Fd]]*Tabelle2[[#This Row],[vx]]/Tabelle2[[#This Row],[v]],0)</f>
        <v>-2.559902528288112</v>
      </c>
      <c r="I882">
        <f t="shared" si="143"/>
        <v>-1.706601685525408</v>
      </c>
      <c r="J882">
        <f t="shared" si="144"/>
        <v>-3.4132033710508158E-2</v>
      </c>
      <c r="K882">
        <f t="shared" si="145"/>
        <v>0.37197742773795883</v>
      </c>
      <c r="L882">
        <f>-$B$5*$B$12-IF($B$3,Tabelle2[[#This Row],[Fd]]*Tabelle2[[#This Row],[vy]]/Tabelle2[[#This Row],[v]],0)</f>
        <v>-4.3362467615906048</v>
      </c>
      <c r="M882">
        <f t="shared" si="146"/>
        <v>-2.8908311743937367</v>
      </c>
      <c r="N882">
        <f t="shared" si="147"/>
        <v>-5.7816623487874738E-2</v>
      </c>
      <c r="O882">
        <f t="shared" si="148"/>
        <v>-1.5100904893031779</v>
      </c>
      <c r="P882" s="1">
        <f t="shared" si="150"/>
        <v>18.615937403753193</v>
      </c>
      <c r="Q882" s="1">
        <f t="shared" si="151"/>
        <v>-75.475616153414961</v>
      </c>
      <c r="R882">
        <f>SQRT(Tabelle2[[#This Row],[vx]]*Tabelle2[[#This Row],[vx]]+Tabelle2[[#This Row],[vy]]*Tabelle2[[#This Row],[vy]])</f>
        <v>77.737518349623755</v>
      </c>
      <c r="S882">
        <f t="shared" si="152"/>
        <v>639.27510316165819</v>
      </c>
      <c r="T882" s="1">
        <f t="shared" si="153"/>
        <v>-323.38000878137814</v>
      </c>
    </row>
    <row r="883" spans="6:20" x14ac:dyDescent="0.35">
      <c r="F883" s="1">
        <f t="shared" si="149"/>
        <v>17.599999999999714</v>
      </c>
      <c r="G883">
        <f>1/2*$B$8*$B$6*$B$7*(Tabelle2[[#This Row],[vx]]*Tabelle2[[#This Row],[vx]]+Tabelle2[[#This Row],[vy]]*Tabelle2[[#This Row],[vy]])/1000000</f>
        <v>10.702988697208506</v>
      </c>
      <c r="H883">
        <f>IF($B$3,-Tabelle2[[#This Row],[Fd]]*Tabelle2[[#This Row],[vx]]/Tabelle2[[#This Row],[v]],0)</f>
        <v>-2.5567859066915082</v>
      </c>
      <c r="I883">
        <f t="shared" si="143"/>
        <v>-1.7045239377943389</v>
      </c>
      <c r="J883">
        <f t="shared" si="144"/>
        <v>-3.4090478755886777E-2</v>
      </c>
      <c r="K883">
        <f t="shared" si="145"/>
        <v>0.37129520261329485</v>
      </c>
      <c r="L883">
        <f>-$B$5*$B$12-IF($B$3,Tabelle2[[#This Row],[Fd]]*Tabelle2[[#This Row],[vy]]/Tabelle2[[#This Row],[v]],0)</f>
        <v>-4.3218862760038697</v>
      </c>
      <c r="M883">
        <f t="shared" si="146"/>
        <v>-2.881257517335913</v>
      </c>
      <c r="N883">
        <f t="shared" si="147"/>
        <v>-5.7625150346718258E-2</v>
      </c>
      <c r="O883">
        <f t="shared" si="148"/>
        <v>-1.5112449070415241</v>
      </c>
      <c r="P883" s="1">
        <f t="shared" si="150"/>
        <v>18.581805370042684</v>
      </c>
      <c r="Q883" s="1">
        <f t="shared" si="151"/>
        <v>-75.533432776902842</v>
      </c>
      <c r="R883">
        <f>SQRT(Tabelle2[[#This Row],[vx]]*Tabelle2[[#This Row],[vx]]+Tabelle2[[#This Row],[vy]]*Tabelle2[[#This Row],[vy]])</f>
        <v>77.785493235390931</v>
      </c>
      <c r="S883">
        <f t="shared" si="152"/>
        <v>639.64708058939618</v>
      </c>
      <c r="T883" s="1">
        <f t="shared" si="153"/>
        <v>-324.89009927068133</v>
      </c>
    </row>
    <row r="884" spans="6:20" x14ac:dyDescent="0.35">
      <c r="F884" s="1">
        <f t="shared" si="149"/>
        <v>17.619999999999713</v>
      </c>
      <c r="G884">
        <f>1/2*$B$8*$B$6*$B$7*(Tabelle2[[#This Row],[vx]]*Tabelle2[[#This Row],[vx]]+Tabelle2[[#This Row],[vy]]*Tabelle2[[#This Row],[vy]])/1000000</f>
        <v>10.716154419334909</v>
      </c>
      <c r="H884">
        <f>IF($B$3,-Tabelle2[[#This Row],[Fd]]*Tabelle2[[#This Row],[vx]]/Tabelle2[[#This Row],[v]],0)</f>
        <v>-2.5536643670151236</v>
      </c>
      <c r="I884">
        <f t="shared" si="143"/>
        <v>-1.7024429113434156</v>
      </c>
      <c r="J884">
        <f t="shared" si="144"/>
        <v>-3.404885822686831E-2</v>
      </c>
      <c r="K884">
        <f t="shared" si="145"/>
        <v>0.37061380924346732</v>
      </c>
      <c r="L884">
        <f>-$B$5*$B$12-IF($B$3,Tabelle2[[#This Row],[Fd]]*Tabelle2[[#This Row],[vy]]/Tabelle2[[#This Row],[v]],0)</f>
        <v>-4.3075620905206264</v>
      </c>
      <c r="M884">
        <f t="shared" si="146"/>
        <v>-2.8717080603470841</v>
      </c>
      <c r="N884">
        <f t="shared" si="147"/>
        <v>-5.7434161206941683E-2</v>
      </c>
      <c r="O884">
        <f t="shared" si="148"/>
        <v>-1.5123955001570608</v>
      </c>
      <c r="P884" s="1">
        <f t="shared" si="150"/>
        <v>18.547714891286798</v>
      </c>
      <c r="Q884" s="1">
        <f t="shared" si="151"/>
        <v>-75.591057927249565</v>
      </c>
      <c r="R884">
        <f>SQRT(Tabelle2[[#This Row],[vx]]*Tabelle2[[#This Row],[vx]]+Tabelle2[[#This Row],[vy]]*Tabelle2[[#This Row],[vy]])</f>
        <v>77.833320411307525</v>
      </c>
      <c r="S884">
        <f t="shared" si="152"/>
        <v>640.01837579200946</v>
      </c>
      <c r="T884" s="1">
        <f t="shared" si="153"/>
        <v>-326.40134417772288</v>
      </c>
    </row>
    <row r="885" spans="6:20" x14ac:dyDescent="0.35">
      <c r="F885" s="1">
        <f t="shared" si="149"/>
        <v>17.639999999999713</v>
      </c>
      <c r="G885">
        <f>1/2*$B$8*$B$6*$B$7*(Tabelle2[[#This Row],[vx]]*Tabelle2[[#This Row],[vx]]+Tabelle2[[#This Row],[vy]]*Tabelle2[[#This Row],[vy]])/1000000</f>
        <v>10.729287612137087</v>
      </c>
      <c r="H885">
        <f>IF($B$3,-Tabelle2[[#This Row],[Fd]]*Tabelle2[[#This Row],[vx]]/Tabelle2[[#This Row],[v]],0)</f>
        <v>-2.5505379646745383</v>
      </c>
      <c r="I885">
        <f t="shared" si="143"/>
        <v>-1.7003586431163589</v>
      </c>
      <c r="J885">
        <f t="shared" si="144"/>
        <v>-3.4007172862327177E-2</v>
      </c>
      <c r="K885">
        <f t="shared" si="145"/>
        <v>0.3699332489325754</v>
      </c>
      <c r="L885">
        <f>-$B$5*$B$12-IF($B$3,Tabelle2[[#This Row],[Fd]]*Tabelle2[[#This Row],[vy]]/Tabelle2[[#This Row],[v]],0)</f>
        <v>-4.2932741949947566</v>
      </c>
      <c r="M885">
        <f t="shared" si="146"/>
        <v>-2.8621827966631712</v>
      </c>
      <c r="N885">
        <f t="shared" si="147"/>
        <v>-5.7243655933263422E-2</v>
      </c>
      <c r="O885">
        <f t="shared" si="148"/>
        <v>-1.5135422783284629</v>
      </c>
      <c r="P885" s="1">
        <f t="shared" si="150"/>
        <v>18.513666033059931</v>
      </c>
      <c r="Q885" s="1">
        <f t="shared" si="151"/>
        <v>-75.648492088456507</v>
      </c>
      <c r="R885">
        <f>SQRT(Tabelle2[[#This Row],[vx]]*Tabelle2[[#This Row],[vx]]+Tabelle2[[#This Row],[vy]]*Tabelle2[[#This Row],[vy]])</f>
        <v>77.881000155628101</v>
      </c>
      <c r="S885">
        <f t="shared" si="152"/>
        <v>640.38898960125289</v>
      </c>
      <c r="T885" s="1">
        <f t="shared" si="153"/>
        <v>-327.91373967787996</v>
      </c>
    </row>
    <row r="886" spans="6:20" x14ac:dyDescent="0.35">
      <c r="F886" s="1">
        <f t="shared" si="149"/>
        <v>17.659999999999712</v>
      </c>
      <c r="G886">
        <f>1/2*$B$8*$B$6*$B$7*(Tabelle2[[#This Row],[vx]]*Tabelle2[[#This Row],[vx]]+Tabelle2[[#This Row],[vy]]*Tabelle2[[#This Row],[vy]])/1000000</f>
        <v>10.742388277986381</v>
      </c>
      <c r="H886">
        <f>IF($B$3,-Tabelle2[[#This Row],[Fd]]*Tabelle2[[#This Row],[vx]]/Tabelle2[[#This Row],[v]],0)</f>
        <v>-2.5474067549048161</v>
      </c>
      <c r="I886">
        <f t="shared" si="143"/>
        <v>-1.698271169936544</v>
      </c>
      <c r="J886">
        <f t="shared" si="144"/>
        <v>-3.3965423398730883E-2</v>
      </c>
      <c r="K886">
        <f t="shared" si="145"/>
        <v>0.36925352296996472</v>
      </c>
      <c r="L886">
        <f>-$B$5*$B$12-IF($B$3,Tabelle2[[#This Row],[Fd]]*Tabelle2[[#This Row],[vy]]/Tabelle2[[#This Row],[v]],0)</f>
        <v>-4.2790225785945424</v>
      </c>
      <c r="M886">
        <f t="shared" si="146"/>
        <v>-2.8526817190630283</v>
      </c>
      <c r="N886">
        <f t="shared" si="147"/>
        <v>-5.7053634381260564E-2</v>
      </c>
      <c r="O886">
        <f t="shared" si="148"/>
        <v>-1.514685251231608</v>
      </c>
      <c r="P886" s="1">
        <f t="shared" si="150"/>
        <v>18.479658860197603</v>
      </c>
      <c r="Q886" s="1">
        <f t="shared" si="151"/>
        <v>-75.70573574438977</v>
      </c>
      <c r="R886">
        <f>SQRT(Tabelle2[[#This Row],[vx]]*Tabelle2[[#This Row],[vx]]+Tabelle2[[#This Row],[vy]]*Tabelle2[[#This Row],[vy]])</f>
        <v>77.928532747567203</v>
      </c>
      <c r="S886">
        <f t="shared" si="152"/>
        <v>640.75892285018551</v>
      </c>
      <c r="T886" s="1">
        <f t="shared" si="153"/>
        <v>-329.42728195620845</v>
      </c>
    </row>
    <row r="887" spans="6:20" x14ac:dyDescent="0.35">
      <c r="F887" s="1">
        <f t="shared" si="149"/>
        <v>17.679999999999712</v>
      </c>
      <c r="G887">
        <f>1/2*$B$8*$B$6*$B$7*(Tabelle2[[#This Row],[vx]]*Tabelle2[[#This Row],[vx]]+Tabelle2[[#This Row],[vy]]*Tabelle2[[#This Row],[vy]])/1000000</f>
        <v>10.755456419932392</v>
      </c>
      <c r="H887">
        <f>IF($B$3,-Tabelle2[[#This Row],[Fd]]*Tabelle2[[#This Row],[vx]]/Tabelle2[[#This Row],[v]],0)</f>
        <v>-2.5442707927597392</v>
      </c>
      <c r="I887">
        <f t="shared" si="143"/>
        <v>-1.6961805285064928</v>
      </c>
      <c r="J887">
        <f t="shared" si="144"/>
        <v>-3.392361057012986E-2</v>
      </c>
      <c r="K887">
        <f t="shared" si="145"/>
        <v>0.36857463263027618</v>
      </c>
      <c r="L887">
        <f>-$B$5*$B$12-IF($B$3,Tabelle2[[#This Row],[Fd]]*Tabelle2[[#This Row],[vy]]/Tabelle2[[#This Row],[v]],0)</f>
        <v>-4.2648072298079285</v>
      </c>
      <c r="M887">
        <f t="shared" si="146"/>
        <v>-2.8432048198719522</v>
      </c>
      <c r="N887">
        <f t="shared" si="147"/>
        <v>-5.6864096397439043E-2</v>
      </c>
      <c r="O887">
        <f t="shared" si="148"/>
        <v>-1.5158244285393951</v>
      </c>
      <c r="P887" s="1">
        <f t="shared" si="150"/>
        <v>18.445693436798873</v>
      </c>
      <c r="Q887" s="1">
        <f t="shared" si="151"/>
        <v>-75.762789378771032</v>
      </c>
      <c r="R887">
        <f>SQRT(Tabelle2[[#This Row],[vx]]*Tabelle2[[#This Row],[vx]]+Tabelle2[[#This Row],[vy]]*Tabelle2[[#This Row],[vy]])</f>
        <v>77.975918467283122</v>
      </c>
      <c r="S887">
        <f t="shared" si="152"/>
        <v>641.1281763731555</v>
      </c>
      <c r="T887" s="1">
        <f t="shared" si="153"/>
        <v>-330.94196720744003</v>
      </c>
    </row>
    <row r="888" spans="6:20" x14ac:dyDescent="0.35">
      <c r="F888" s="1">
        <f t="shared" si="149"/>
        <v>17.699999999999712</v>
      </c>
      <c r="G888">
        <f>1/2*$B$8*$B$6*$B$7*(Tabelle2[[#This Row],[vx]]*Tabelle2[[#This Row],[vx]]+Tabelle2[[#This Row],[vy]]*Tabelle2[[#This Row],[vy]])/1000000</f>
        <v>10.768492041697835</v>
      </c>
      <c r="H888">
        <f>IF($B$3,-Tabelle2[[#This Row],[Fd]]*Tabelle2[[#This Row],[vx]]/Tabelle2[[#This Row],[v]],0)</f>
        <v>-2.541130133111055</v>
      </c>
      <c r="I888">
        <f t="shared" si="143"/>
        <v>-1.69408675540737</v>
      </c>
      <c r="J888">
        <f t="shared" si="144"/>
        <v>-3.3881735108147397E-2</v>
      </c>
      <c r="K888">
        <f t="shared" si="145"/>
        <v>0.36789657917349339</v>
      </c>
      <c r="L888">
        <f>-$B$5*$B$12-IF($B$3,Tabelle2[[#This Row],[Fd]]*Tabelle2[[#This Row],[vy]]/Tabelle2[[#This Row],[v]],0)</f>
        <v>-4.2506281364477196</v>
      </c>
      <c r="M888">
        <f t="shared" si="146"/>
        <v>-2.8337520909651466</v>
      </c>
      <c r="N888">
        <f t="shared" si="147"/>
        <v>-5.6675041819302933E-2</v>
      </c>
      <c r="O888">
        <f t="shared" si="148"/>
        <v>-1.5169598199215621</v>
      </c>
      <c r="P888" s="1">
        <f t="shared" si="150"/>
        <v>18.411769826228742</v>
      </c>
      <c r="Q888" s="1">
        <f t="shared" si="151"/>
        <v>-75.819653475168465</v>
      </c>
      <c r="R888">
        <f>SQRT(Tabelle2[[#This Row],[vx]]*Tabelle2[[#This Row],[vx]]+Tabelle2[[#This Row],[vy]]*Tabelle2[[#This Row],[vy]])</f>
        <v>78.023157595861576</v>
      </c>
      <c r="S888">
        <f t="shared" si="152"/>
        <v>641.49675100578577</v>
      </c>
      <c r="T888" s="1">
        <f t="shared" si="153"/>
        <v>-332.45779163597945</v>
      </c>
    </row>
    <row r="889" spans="6:20" x14ac:dyDescent="0.35">
      <c r="F889" s="1">
        <f t="shared" si="149"/>
        <v>17.719999999999711</v>
      </c>
      <c r="G889">
        <f>1/2*$B$8*$B$6*$B$7*(Tabelle2[[#This Row],[vx]]*Tabelle2[[#This Row],[vx]]+Tabelle2[[#This Row],[vy]]*Tabelle2[[#This Row],[vy]])/1000000</f>
        <v>10.781495147673432</v>
      </c>
      <c r="H889">
        <f>IF($B$3,-Tabelle2[[#This Row],[Fd]]*Tabelle2[[#This Row],[vx]]/Tabelle2[[#This Row],[v]],0)</f>
        <v>-2.537984830647753</v>
      </c>
      <c r="I889">
        <f t="shared" si="143"/>
        <v>-1.691989887098502</v>
      </c>
      <c r="J889">
        <f t="shared" si="144"/>
        <v>-3.3839797741970039E-2</v>
      </c>
      <c r="K889">
        <f t="shared" si="145"/>
        <v>0.36721936384499226</v>
      </c>
      <c r="L889">
        <f>-$B$5*$B$12-IF($B$3,Tabelle2[[#This Row],[Fd]]*Tabelle2[[#This Row],[vy]]/Tabelle2[[#This Row],[v]],0)</f>
        <v>-4.2364852856567641</v>
      </c>
      <c r="M889">
        <f t="shared" si="146"/>
        <v>-2.8243235237711759</v>
      </c>
      <c r="N889">
        <f t="shared" si="147"/>
        <v>-5.6486470475423517E-2</v>
      </c>
      <c r="O889">
        <f t="shared" si="148"/>
        <v>-1.5180914350445096</v>
      </c>
      <c r="P889" s="1">
        <f t="shared" si="150"/>
        <v>18.377888091120596</v>
      </c>
      <c r="Q889" s="1">
        <f t="shared" si="151"/>
        <v>-75.876328516987769</v>
      </c>
      <c r="R889">
        <f>SQRT(Tabelle2[[#This Row],[vx]]*Tabelle2[[#This Row],[vx]]+Tabelle2[[#This Row],[vy]]*Tabelle2[[#This Row],[vy]])</f>
        <v>78.070250415299697</v>
      </c>
      <c r="S889">
        <f t="shared" si="152"/>
        <v>641.86464758495924</v>
      </c>
      <c r="T889" s="1">
        <f t="shared" si="153"/>
        <v>-333.97475145590101</v>
      </c>
    </row>
    <row r="890" spans="6:20" x14ac:dyDescent="0.35">
      <c r="F890" s="1">
        <f t="shared" si="149"/>
        <v>17.739999999999711</v>
      </c>
      <c r="G890">
        <f>1/2*$B$8*$B$6*$B$7*(Tabelle2[[#This Row],[vx]]*Tabelle2[[#This Row],[vx]]+Tabelle2[[#This Row],[vy]]*Tabelle2[[#This Row],[vy]])/1000000</f>
        <v>10.794465742912775</v>
      </c>
      <c r="H890">
        <f>IF($B$3,-Tabelle2[[#This Row],[Fd]]*Tabelle2[[#This Row],[vx]]/Tabelle2[[#This Row],[v]],0)</f>
        <v>-2.5348349398753434</v>
      </c>
      <c r="I890">
        <f t="shared" si="143"/>
        <v>-1.6898899599168955</v>
      </c>
      <c r="J890">
        <f t="shared" si="144"/>
        <v>-3.3797799198337912E-2</v>
      </c>
      <c r="K890">
        <f t="shared" si="145"/>
        <v>0.36654298787558914</v>
      </c>
      <c r="L890">
        <f>-$B$5*$B$12-IF($B$3,Tabelle2[[#This Row],[Fd]]*Tabelle2[[#This Row],[vy]]/Tabelle2[[#This Row],[v]],0)</f>
        <v>-4.2223786639131689</v>
      </c>
      <c r="M890">
        <f t="shared" si="146"/>
        <v>-2.8149191092754458</v>
      </c>
      <c r="N890">
        <f t="shared" si="147"/>
        <v>-5.6298382185508915E-2</v>
      </c>
      <c r="O890">
        <f t="shared" si="148"/>
        <v>-1.5192192835711189</v>
      </c>
      <c r="P890" s="1">
        <f t="shared" si="150"/>
        <v>18.344048293378627</v>
      </c>
      <c r="Q890" s="1">
        <f t="shared" si="151"/>
        <v>-75.932814987463189</v>
      </c>
      <c r="R890">
        <f>SQRT(Tabelle2[[#This Row],[vx]]*Tabelle2[[#This Row],[vx]]+Tabelle2[[#This Row],[vy]]*Tabelle2[[#This Row],[vy]])</f>
        <v>78.117197208490026</v>
      </c>
      <c r="S890">
        <f t="shared" si="152"/>
        <v>642.23186694880428</v>
      </c>
      <c r="T890" s="1">
        <f t="shared" si="153"/>
        <v>-335.4928428909455</v>
      </c>
    </row>
    <row r="891" spans="6:20" x14ac:dyDescent="0.35">
      <c r="F891" s="1">
        <f t="shared" si="149"/>
        <v>17.75999999999971</v>
      </c>
      <c r="G891">
        <f>1/2*$B$8*$B$6*$B$7*(Tabelle2[[#This Row],[vx]]*Tabelle2[[#This Row],[vx]]+Tabelle2[[#This Row],[vy]]*Tabelle2[[#This Row],[vy]])/1000000</f>
        <v>10.807403833127252</v>
      </c>
      <c r="H891">
        <f>IF($B$3,-Tabelle2[[#This Row],[Fd]]*Tabelle2[[#This Row],[vx]]/Tabelle2[[#This Row],[v]],0)</f>
        <v>-2.5316805151151658</v>
      </c>
      <c r="I891">
        <f t="shared" si="143"/>
        <v>-1.6877870100767771</v>
      </c>
      <c r="J891">
        <f t="shared" si="144"/>
        <v>-3.3755740201535545E-2</v>
      </c>
      <c r="K891">
        <f t="shared" si="145"/>
        <v>0.36586745248159042</v>
      </c>
      <c r="L891">
        <f>-$B$5*$B$12-IF($B$3,Tabelle2[[#This Row],[Fd]]*Tabelle2[[#This Row],[vy]]/Tabelle2[[#This Row],[v]],0)</f>
        <v>-4.2083082570354318</v>
      </c>
      <c r="M891">
        <f t="shared" si="146"/>
        <v>-2.805538838023621</v>
      </c>
      <c r="N891">
        <f t="shared" si="147"/>
        <v>-5.6110776760472422E-2</v>
      </c>
      <c r="O891">
        <f t="shared" si="148"/>
        <v>-1.5203433751605786</v>
      </c>
      <c r="P891" s="1">
        <f t="shared" si="150"/>
        <v>18.310250494180288</v>
      </c>
      <c r="Q891" s="1">
        <f t="shared" si="151"/>
        <v>-75.989113369648692</v>
      </c>
      <c r="R891">
        <f>SQRT(Tabelle2[[#This Row],[vx]]*Tabelle2[[#This Row],[vx]]+Tabelle2[[#This Row],[vy]]*Tabelle2[[#This Row],[vy]])</f>
        <v>78.163998259204675</v>
      </c>
      <c r="S891">
        <f t="shared" si="152"/>
        <v>642.5984099366799</v>
      </c>
      <c r="T891" s="1">
        <f t="shared" si="153"/>
        <v>-337.01206217451664</v>
      </c>
    </row>
    <row r="892" spans="6:20" x14ac:dyDescent="0.35">
      <c r="F892" s="1">
        <f t="shared" si="149"/>
        <v>17.77999999999971</v>
      </c>
      <c r="G892">
        <f>1/2*$B$8*$B$6*$B$7*(Tabelle2[[#This Row],[vx]]*Tabelle2[[#This Row],[vx]]+Tabelle2[[#This Row],[vy]]*Tabelle2[[#This Row],[vy]])/1000000</f>
        <v>10.82030942468095</v>
      </c>
      <c r="H892">
        <f>IF($B$3,-Tabelle2[[#This Row],[Fd]]*Tabelle2[[#This Row],[vx]]/Tabelle2[[#This Row],[v]],0)</f>
        <v>-2.5285216105037045</v>
      </c>
      <c r="I892">
        <f t="shared" si="143"/>
        <v>-1.6856810736691363</v>
      </c>
      <c r="J892">
        <f t="shared" si="144"/>
        <v>-3.3713621473382728E-2</v>
      </c>
      <c r="K892">
        <f t="shared" si="145"/>
        <v>0.36519275886484126</v>
      </c>
      <c r="L892">
        <f>-$B$5*$B$12-IF($B$3,Tabelle2[[#This Row],[Fd]]*Tabelle2[[#This Row],[vy]]/Tabelle2[[#This Row],[v]],0)</f>
        <v>-4.1942740501876425</v>
      </c>
      <c r="M892">
        <f t="shared" si="146"/>
        <v>-2.7961827001250952</v>
      </c>
      <c r="N892">
        <f t="shared" si="147"/>
        <v>-5.5923654002501905E-2</v>
      </c>
      <c r="O892">
        <f t="shared" si="148"/>
        <v>-1.5214637194682084</v>
      </c>
      <c r="P892" s="1">
        <f t="shared" si="150"/>
        <v>18.276494753978753</v>
      </c>
      <c r="Q892" s="1">
        <f t="shared" si="151"/>
        <v>-76.045224146409168</v>
      </c>
      <c r="R892">
        <f>SQRT(Tabelle2[[#This Row],[vx]]*Tabelle2[[#This Row],[vx]]+Tabelle2[[#This Row],[vy]]*Tabelle2[[#This Row],[vy]])</f>
        <v>78.210653852079673</v>
      </c>
      <c r="S892">
        <f t="shared" si="152"/>
        <v>642.96427738916145</v>
      </c>
      <c r="T892" s="1">
        <f t="shared" si="153"/>
        <v>-338.53240554967721</v>
      </c>
    </row>
    <row r="893" spans="6:20" x14ac:dyDescent="0.35">
      <c r="F893" s="1">
        <f t="shared" si="149"/>
        <v>17.799999999999709</v>
      </c>
      <c r="G893">
        <f>1/2*$B$8*$B$6*$B$7*(Tabelle2[[#This Row],[vx]]*Tabelle2[[#This Row],[vx]]+Tabelle2[[#This Row],[vy]]*Tabelle2[[#This Row],[vy]])/1000000</f>
        <v>10.833182524585615</v>
      </c>
      <c r="H893">
        <f>IF($B$3,-Tabelle2[[#This Row],[Fd]]*Tabelle2[[#This Row],[vx]]/Tabelle2[[#This Row],[v]],0)</f>
        <v>-2.5253582799919303</v>
      </c>
      <c r="I893">
        <f t="shared" si="143"/>
        <v>-1.6835721866612869</v>
      </c>
      <c r="J893">
        <f t="shared" si="144"/>
        <v>-3.3671443733225739E-2</v>
      </c>
      <c r="K893">
        <f t="shared" si="145"/>
        <v>0.36451890821277516</v>
      </c>
      <c r="L893">
        <f>-$B$5*$B$12-IF($B$3,Tabelle2[[#This Row],[Fd]]*Tabelle2[[#This Row],[vy]]/Tabelle2[[#This Row],[v]],0)</f>
        <v>-4.1802760278845774</v>
      </c>
      <c r="M893">
        <f t="shared" si="146"/>
        <v>-2.7868506852563848</v>
      </c>
      <c r="N893">
        <f t="shared" si="147"/>
        <v>-5.5737013705127694E-2</v>
      </c>
      <c r="O893">
        <f t="shared" si="148"/>
        <v>-1.5225803261452848</v>
      </c>
      <c r="P893" s="1">
        <f t="shared" si="150"/>
        <v>18.242781132505371</v>
      </c>
      <c r="Q893" s="1">
        <f t="shared" si="151"/>
        <v>-76.101147800411667</v>
      </c>
      <c r="R893">
        <f>SQRT(Tabelle2[[#This Row],[vx]]*Tabelle2[[#This Row],[vx]]+Tabelle2[[#This Row],[vy]]*Tabelle2[[#This Row],[vy]])</f>
        <v>78.257164272599326</v>
      </c>
      <c r="S893">
        <f t="shared" si="152"/>
        <v>643.3294701480263</v>
      </c>
      <c r="T893" s="1">
        <f t="shared" si="153"/>
        <v>-340.05386926914542</v>
      </c>
    </row>
    <row r="894" spans="6:20" x14ac:dyDescent="0.35">
      <c r="F894" s="1">
        <f t="shared" si="149"/>
        <v>17.819999999999709</v>
      </c>
      <c r="G894">
        <f>1/2*$B$8*$B$6*$B$7*(Tabelle2[[#This Row],[vx]]*Tabelle2[[#This Row],[vx]]+Tabelle2[[#This Row],[vy]]*Tabelle2[[#This Row],[vy]])/1000000</f>
        <v>10.84602314049557</v>
      </c>
      <c r="H894">
        <f>IF($B$3,-Tabelle2[[#This Row],[Fd]]*Tabelle2[[#This Row],[vx]]/Tabelle2[[#This Row],[v]],0)</f>
        <v>-2.522190577344646</v>
      </c>
      <c r="I894">
        <f t="shared" si="143"/>
        <v>-1.6814603848964307</v>
      </c>
      <c r="J894">
        <f t="shared" si="144"/>
        <v>-3.3629207697928612E-2</v>
      </c>
      <c r="K894">
        <f t="shared" si="145"/>
        <v>0.36384590169846365</v>
      </c>
      <c r="L894">
        <f>-$B$5*$B$12-IF($B$3,Tabelle2[[#This Row],[Fd]]*Tabelle2[[#This Row],[vy]]/Tabelle2[[#This Row],[v]],0)</f>
        <v>-4.1663141739968719</v>
      </c>
      <c r="M894">
        <f t="shared" si="146"/>
        <v>-2.7775427826645811</v>
      </c>
      <c r="N894">
        <f t="shared" si="147"/>
        <v>-5.5550855653291625E-2</v>
      </c>
      <c r="O894">
        <f t="shared" si="148"/>
        <v>-1.5236932048388687</v>
      </c>
      <c r="P894" s="1">
        <f t="shared" si="150"/>
        <v>18.209109688772145</v>
      </c>
      <c r="Q894" s="1">
        <f t="shared" si="151"/>
        <v>-76.156884814116793</v>
      </c>
      <c r="R894">
        <f>SQRT(Tabelle2[[#This Row],[vx]]*Tabelle2[[#This Row],[vx]]+Tabelle2[[#This Row],[vy]]*Tabelle2[[#This Row],[vy]])</f>
        <v>78.303529807080778</v>
      </c>
      <c r="S894">
        <f t="shared" si="152"/>
        <v>643.69398905623905</v>
      </c>
      <c r="T894" s="1">
        <f t="shared" si="153"/>
        <v>-341.57644959529068</v>
      </c>
    </row>
    <row r="895" spans="6:20" x14ac:dyDescent="0.35">
      <c r="F895" s="1">
        <f t="shared" si="149"/>
        <v>17.839999999999709</v>
      </c>
      <c r="G895">
        <f>1/2*$B$8*$B$6*$B$7*(Tabelle2[[#This Row],[vx]]*Tabelle2[[#This Row],[vx]]+Tabelle2[[#This Row],[vy]]*Tabelle2[[#This Row],[vy]])/1000000</f>
        <v>10.858831280702711</v>
      </c>
      <c r="H895">
        <f>IF($B$3,-Tabelle2[[#This Row],[Fd]]*Tabelle2[[#This Row],[vx]]/Tabelle2[[#This Row],[v]],0)</f>
        <v>-2.5190185561398617</v>
      </c>
      <c r="I895">
        <f t="shared" si="143"/>
        <v>-1.6793457040932411</v>
      </c>
      <c r="J895">
        <f t="shared" si="144"/>
        <v>-3.3586914081864823E-2</v>
      </c>
      <c r="K895">
        <f t="shared" si="145"/>
        <v>0.3631737404806657</v>
      </c>
      <c r="L895">
        <f>-$B$5*$B$12-IF($B$3,Tabelle2[[#This Row],[Fd]]*Tabelle2[[#This Row],[vy]]/Tabelle2[[#This Row],[v]],0)</f>
        <v>-4.1523884717561099</v>
      </c>
      <c r="M895">
        <f t="shared" si="146"/>
        <v>-2.7682589811707401</v>
      </c>
      <c r="N895">
        <f t="shared" si="147"/>
        <v>-5.5365179623414806E-2</v>
      </c>
      <c r="O895">
        <f t="shared" si="148"/>
        <v>-1.5248023651916358</v>
      </c>
      <c r="P895" s="1">
        <f t="shared" si="150"/>
        <v>18.175480481074217</v>
      </c>
      <c r="Q895" s="1">
        <f t="shared" si="151"/>
        <v>-76.212435669770088</v>
      </c>
      <c r="R895">
        <f>SQRT(Tabelle2[[#This Row],[vx]]*Tabelle2[[#This Row],[vx]]+Tabelle2[[#This Row],[vy]]*Tabelle2[[#This Row],[vy]])</f>
        <v>78.349750742658742</v>
      </c>
      <c r="S895">
        <f t="shared" si="152"/>
        <v>644.05783495793753</v>
      </c>
      <c r="T895" s="1">
        <f t="shared" si="153"/>
        <v>-343.10014280012956</v>
      </c>
    </row>
    <row r="896" spans="6:20" x14ac:dyDescent="0.35">
      <c r="F896" s="1">
        <f t="shared" si="149"/>
        <v>17.859999999999708</v>
      </c>
      <c r="G896">
        <f>1/2*$B$8*$B$6*$B$7*(Tabelle2[[#This Row],[vx]]*Tabelle2[[#This Row],[vx]]+Tabelle2[[#This Row],[vy]]*Tabelle2[[#This Row],[vy]])/1000000</f>
        <v>10.871606954131474</v>
      </c>
      <c r="H896">
        <f>IF($B$3,-Tabelle2[[#This Row],[Fd]]*Tabelle2[[#This Row],[vx]]/Tabelle2[[#This Row],[v]],0)</f>
        <v>-2.5158422697681768</v>
      </c>
      <c r="I896">
        <f t="shared" si="143"/>
        <v>-1.6772281798454511</v>
      </c>
      <c r="J896">
        <f t="shared" si="144"/>
        <v>-3.3544563596909022E-2</v>
      </c>
      <c r="K896">
        <f t="shared" si="145"/>
        <v>0.36250242570387792</v>
      </c>
      <c r="L896">
        <f>-$B$5*$B$12-IF($B$3,Tabelle2[[#This Row],[Fd]]*Tabelle2[[#This Row],[vy]]/Tabelle2[[#This Row],[v]],0)</f>
        <v>-4.1384989037599222</v>
      </c>
      <c r="M896">
        <f t="shared" si="146"/>
        <v>-2.7589992691732816</v>
      </c>
      <c r="N896">
        <f t="shared" si="147"/>
        <v>-5.5179985383465635E-2</v>
      </c>
      <c r="O896">
        <f t="shared" si="148"/>
        <v>-1.5259078168417046</v>
      </c>
      <c r="P896" s="1">
        <f t="shared" si="150"/>
        <v>18.141893566992351</v>
      </c>
      <c r="Q896" s="1">
        <f t="shared" si="151"/>
        <v>-76.267800849393495</v>
      </c>
      <c r="R896">
        <f>SQRT(Tabelle2[[#This Row],[vx]]*Tabelle2[[#This Row],[vx]]+Tabelle2[[#This Row],[vy]]*Tabelle2[[#This Row],[vy]])</f>
        <v>78.395827367270158</v>
      </c>
      <c r="S896">
        <f t="shared" si="152"/>
        <v>644.42100869841818</v>
      </c>
      <c r="T896" s="1">
        <f t="shared" si="153"/>
        <v>-344.62494516532121</v>
      </c>
    </row>
    <row r="897" spans="6:20" x14ac:dyDescent="0.35">
      <c r="F897" s="1">
        <f t="shared" si="149"/>
        <v>17.879999999999708</v>
      </c>
      <c r="G897">
        <f>1/2*$B$8*$B$6*$B$7*(Tabelle2[[#This Row],[vx]]*Tabelle2[[#This Row],[vx]]+Tabelle2[[#This Row],[vy]]*Tabelle2[[#This Row],[vy]])/1000000</f>
        <v>10.884350170333841</v>
      </c>
      <c r="H897">
        <f>IF($B$3,-Tabelle2[[#This Row],[Fd]]*Tabelle2[[#This Row],[vx]]/Tabelle2[[#This Row],[v]],0)</f>
        <v>-2.5126617714321817</v>
      </c>
      <c r="I897">
        <f t="shared" si="143"/>
        <v>-1.6751078476214545</v>
      </c>
      <c r="J897">
        <f t="shared" si="144"/>
        <v>-3.3502156952429092E-2</v>
      </c>
      <c r="K897">
        <f t="shared" si="145"/>
        <v>0.36183195849838456</v>
      </c>
      <c r="L897">
        <f>-$B$5*$B$12-IF($B$3,Tabelle2[[#This Row],[Fd]]*Tabelle2[[#This Row],[vy]]/Tabelle2[[#This Row],[v]],0)</f>
        <v>-4.1246454519770879</v>
      </c>
      <c r="M897">
        <f t="shared" si="146"/>
        <v>-2.7497636346513921</v>
      </c>
      <c r="N897">
        <f t="shared" si="147"/>
        <v>-5.4995272693027841E-2</v>
      </c>
      <c r="O897">
        <f t="shared" si="148"/>
        <v>-1.5270095694224695</v>
      </c>
      <c r="P897" s="1">
        <f t="shared" si="150"/>
        <v>18.108349003395443</v>
      </c>
      <c r="Q897" s="1">
        <f t="shared" si="151"/>
        <v>-76.322980834776956</v>
      </c>
      <c r="R897">
        <f>SQRT(Tabelle2[[#This Row],[vx]]*Tabelle2[[#This Row],[vx]]+Tabelle2[[#This Row],[vy]]*Tabelle2[[#This Row],[vy]])</f>
        <v>78.441759969639278</v>
      </c>
      <c r="S897">
        <f t="shared" si="152"/>
        <v>644.78351112412201</v>
      </c>
      <c r="T897" s="1">
        <f t="shared" si="153"/>
        <v>-346.15085298216292</v>
      </c>
    </row>
    <row r="898" spans="6:20" x14ac:dyDescent="0.35">
      <c r="F898" s="1">
        <f t="shared" si="149"/>
        <v>17.899999999999707</v>
      </c>
      <c r="G898">
        <f>1/2*$B$8*$B$6*$B$7*(Tabelle2[[#This Row],[vx]]*Tabelle2[[#This Row],[vx]]+Tabelle2[[#This Row],[vy]]*Tabelle2[[#This Row],[vy]])/1000000</f>
        <v>10.897060939484343</v>
      </c>
      <c r="H898">
        <f>IF($B$3,-Tabelle2[[#This Row],[Fd]]*Tabelle2[[#This Row],[vx]]/Tabelle2[[#This Row],[v]],0)</f>
        <v>-2.5094771141458732</v>
      </c>
      <c r="I898">
        <f t="shared" si="143"/>
        <v>-1.6729847427639155</v>
      </c>
      <c r="J898">
        <f t="shared" si="144"/>
        <v>-3.3459694855278312E-2</v>
      </c>
      <c r="K898">
        <f t="shared" si="145"/>
        <v>0.36116233998030745</v>
      </c>
      <c r="L898">
        <f>-$B$5*$B$12-IF($B$3,Tabelle2[[#This Row],[Fd]]*Tabelle2[[#This Row],[vy]]/Tabelle2[[#This Row],[v]],0)</f>
        <v>-4.110828097752588</v>
      </c>
      <c r="M898">
        <f t="shared" si="146"/>
        <v>-2.7405520651683921</v>
      </c>
      <c r="N898">
        <f t="shared" si="147"/>
        <v>-5.4811041303367843E-2</v>
      </c>
      <c r="O898">
        <f t="shared" si="148"/>
        <v>-1.5281076325624334</v>
      </c>
      <c r="P898" s="1">
        <f t="shared" si="150"/>
        <v>18.074846846443013</v>
      </c>
      <c r="Q898" s="1">
        <f t="shared" si="151"/>
        <v>-76.377976107469991</v>
      </c>
      <c r="R898">
        <f>SQRT(Tabelle2[[#This Row],[vx]]*Tabelle2[[#This Row],[vx]]+Tabelle2[[#This Row],[vy]]*Tabelle2[[#This Row],[vy]])</f>
        <v>78.487548839262573</v>
      </c>
      <c r="S898">
        <f t="shared" si="152"/>
        <v>645.14534308262034</v>
      </c>
      <c r="T898" s="1">
        <f t="shared" si="153"/>
        <v>-347.67786255158541</v>
      </c>
    </row>
    <row r="899" spans="6:20" x14ac:dyDescent="0.35">
      <c r="F899" s="1">
        <f t="shared" si="149"/>
        <v>17.919999999999707</v>
      </c>
      <c r="G899">
        <f>1/2*$B$8*$B$6*$B$7*(Tabelle2[[#This Row],[vx]]*Tabelle2[[#This Row],[vx]]+Tabelle2[[#This Row],[vy]]*Tabelle2[[#This Row],[vy]])/1000000</f>
        <v>10.909739272375107</v>
      </c>
      <c r="H899">
        <f>IF($B$3,-Tabelle2[[#This Row],[Fd]]*Tabelle2[[#This Row],[vx]]/Tabelle2[[#This Row],[v]],0)</f>
        <v>-2.5062883507340907</v>
      </c>
      <c r="I899">
        <f t="shared" ref="I899:I962" si="154">H899/$B$5</f>
        <v>-1.6708589004893939</v>
      </c>
      <c r="J899">
        <f t="shared" ref="J899:J962" si="155">I899*$B$13</f>
        <v>-3.3417178009787878E-2</v>
      </c>
      <c r="K899">
        <f t="shared" ref="K899:K962" si="156">$B$13*(P899+J899/2)</f>
        <v>0.36049357125165687</v>
      </c>
      <c r="L899">
        <f>-$B$5*$B$12-IF($B$3,Tabelle2[[#This Row],[Fd]]*Tabelle2[[#This Row],[vy]]/Tabelle2[[#This Row],[v]],0)</f>
        <v>-4.0970468218126737</v>
      </c>
      <c r="M899">
        <f t="shared" ref="M899:M962" si="157">L899/$B$5</f>
        <v>-2.7313645478751156</v>
      </c>
      <c r="N899">
        <f t="shared" ref="N899:N962" si="158">M899*$B$13</f>
        <v>-5.4627290957502316E-2</v>
      </c>
      <c r="O899">
        <f t="shared" ref="O899:O962" si="159">$B$13*(Q899+N899/2)</f>
        <v>-1.5292020158850423</v>
      </c>
      <c r="P899" s="1">
        <f t="shared" si="150"/>
        <v>18.041387151587735</v>
      </c>
      <c r="Q899" s="1">
        <f t="shared" si="151"/>
        <v>-76.432787148773357</v>
      </c>
      <c r="R899">
        <f>SQRT(Tabelle2[[#This Row],[vx]]*Tabelle2[[#This Row],[vx]]+Tabelle2[[#This Row],[vy]]*Tabelle2[[#This Row],[vy]])</f>
        <v>78.533194266393934</v>
      </c>
      <c r="S899">
        <f t="shared" si="152"/>
        <v>645.50650542260064</v>
      </c>
      <c r="T899" s="1">
        <f t="shared" si="153"/>
        <v>-349.20597018414782</v>
      </c>
    </row>
    <row r="900" spans="6:20" x14ac:dyDescent="0.35">
      <c r="F900" s="1">
        <f t="shared" ref="F900:F963" si="160">F899+$B$13</f>
        <v>17.939999999999706</v>
      </c>
      <c r="G900">
        <f>1/2*$B$8*$B$6*$B$7*(Tabelle2[[#This Row],[vx]]*Tabelle2[[#This Row],[vx]]+Tabelle2[[#This Row],[vy]]*Tabelle2[[#This Row],[vy]])/1000000</f>
        <v>10.92238518041089</v>
      </c>
      <c r="H900">
        <f>IF($B$3,-Tabelle2[[#This Row],[Fd]]*Tabelle2[[#This Row],[vx]]/Tabelle2[[#This Row],[v]],0)</f>
        <v>-2.5030955338319592</v>
      </c>
      <c r="I900">
        <f t="shared" si="154"/>
        <v>-1.6687303558879727</v>
      </c>
      <c r="J900">
        <f t="shared" si="155"/>
        <v>-3.3374607117759456E-2</v>
      </c>
      <c r="K900">
        <f t="shared" si="156"/>
        <v>0.35982565340038136</v>
      </c>
      <c r="L900">
        <f>-$B$5*$B$12-IF($B$3,Tabelle2[[#This Row],[Fd]]*Tabelle2[[#This Row],[vy]]/Tabelle2[[#This Row],[v]],0)</f>
        <v>-4.0833016042699022</v>
      </c>
      <c r="M900">
        <f t="shared" si="157"/>
        <v>-2.7222010695132681</v>
      </c>
      <c r="N900">
        <f t="shared" si="158"/>
        <v>-5.4444021390265364E-2</v>
      </c>
      <c r="O900">
        <f t="shared" si="159"/>
        <v>-1.5302927290085198</v>
      </c>
      <c r="P900" s="1">
        <f t="shared" ref="P900:P963" si="161">P899+J899</f>
        <v>18.007969973577946</v>
      </c>
      <c r="Q900" s="1">
        <f t="shared" ref="Q900:Q963" si="162">Q899+N899</f>
        <v>-76.487414439730856</v>
      </c>
      <c r="R900">
        <f>SQRT(Tabelle2[[#This Row],[vx]]*Tabelle2[[#This Row],[vx]]+Tabelle2[[#This Row],[vy]]*Tabelle2[[#This Row],[vy]])</f>
        <v>78.578696542029974</v>
      </c>
      <c r="S900">
        <f t="shared" ref="S900:S963" si="163">S899+K899</f>
        <v>645.86699899385235</v>
      </c>
      <c r="T900" s="1">
        <f t="shared" ref="T900:T963" si="164">T899+O899</f>
        <v>-350.73517220003288</v>
      </c>
    </row>
    <row r="901" spans="6:20" x14ac:dyDescent="0.35">
      <c r="F901" s="1">
        <f t="shared" si="160"/>
        <v>17.959999999999706</v>
      </c>
      <c r="G901">
        <f>1/2*$B$8*$B$6*$B$7*(Tabelle2[[#This Row],[vx]]*Tabelle2[[#This Row],[vx]]+Tabelle2[[#This Row],[vy]]*Tabelle2[[#This Row],[vy]])/1000000</f>
        <v>10.934998675604154</v>
      </c>
      <c r="H901">
        <f>IF($B$3,-Tabelle2[[#This Row],[Fd]]*Tabelle2[[#This Row],[vx]]/Tabelle2[[#This Row],[v]],0)</f>
        <v>-2.4998987158843584</v>
      </c>
      <c r="I901">
        <f t="shared" si="154"/>
        <v>-1.6665991439229055</v>
      </c>
      <c r="J901">
        <f t="shared" si="155"/>
        <v>-3.3331982878458108E-2</v>
      </c>
      <c r="K901">
        <f t="shared" si="156"/>
        <v>0.35915858750041912</v>
      </c>
      <c r="L901">
        <f>-$B$5*$B$12-IF($B$3,Tabelle2[[#This Row],[Fd]]*Tabelle2[[#This Row],[vy]]/Tabelle2[[#This Row],[v]],0)</f>
        <v>-4.0695924246281496</v>
      </c>
      <c r="M901">
        <f t="shared" si="157"/>
        <v>-2.7130616164187664</v>
      </c>
      <c r="N901">
        <f t="shared" si="158"/>
        <v>-5.4261232328375326E-2</v>
      </c>
      <c r="O901">
        <f t="shared" si="159"/>
        <v>-1.5313797815457062</v>
      </c>
      <c r="P901" s="1">
        <f t="shared" si="161"/>
        <v>17.974595366460186</v>
      </c>
      <c r="Q901" s="1">
        <f t="shared" si="162"/>
        <v>-76.541858461121123</v>
      </c>
      <c r="R901">
        <f>SQRT(Tabelle2[[#This Row],[vx]]*Tabelle2[[#This Row],[vx]]+Tabelle2[[#This Row],[vy]]*Tabelle2[[#This Row],[vy]])</f>
        <v>78.624055957895422</v>
      </c>
      <c r="S901">
        <f t="shared" si="163"/>
        <v>646.22682464725278</v>
      </c>
      <c r="T901" s="1">
        <f t="shared" si="164"/>
        <v>-352.2654649290414</v>
      </c>
    </row>
    <row r="902" spans="6:20" x14ac:dyDescent="0.35">
      <c r="F902" s="1">
        <f t="shared" si="160"/>
        <v>17.979999999999706</v>
      </c>
      <c r="G902">
        <f>1/2*$B$8*$B$6*$B$7*(Tabelle2[[#This Row],[vx]]*Tabelle2[[#This Row],[vx]]+Tabelle2[[#This Row],[vy]]*Tabelle2[[#This Row],[vy]])/1000000</f>
        <v>10.947579770570135</v>
      </c>
      <c r="H902">
        <f>IF($B$3,-Tabelle2[[#This Row],[Fd]]*Tabelle2[[#This Row],[vx]]/Tabelle2[[#This Row],[v]],0)</f>
        <v>-2.4966979491453953</v>
      </c>
      <c r="I902">
        <f t="shared" si="154"/>
        <v>-1.6644652994302636</v>
      </c>
      <c r="J902">
        <f t="shared" si="155"/>
        <v>-3.3289305988605272E-2</v>
      </c>
      <c r="K902">
        <f t="shared" si="156"/>
        <v>0.35849237461174854</v>
      </c>
      <c r="L902">
        <f>-$B$5*$B$12-IF($B$3,Tabelle2[[#This Row],[Fd]]*Tabelle2[[#This Row],[vy]]/Tabelle2[[#This Row],[v]],0)</f>
        <v>-4.0559192617876469</v>
      </c>
      <c r="M902">
        <f t="shared" si="157"/>
        <v>-2.7039461745250981</v>
      </c>
      <c r="N902">
        <f t="shared" si="158"/>
        <v>-5.4078923490501966E-2</v>
      </c>
      <c r="O902">
        <f t="shared" si="159"/>
        <v>-1.5324631831038948</v>
      </c>
      <c r="P902" s="1">
        <f t="shared" si="161"/>
        <v>17.941263383581727</v>
      </c>
      <c r="Q902" s="1">
        <f t="shared" si="162"/>
        <v>-76.596119693449495</v>
      </c>
      <c r="R902">
        <f>SQRT(Tabelle2[[#This Row],[vx]]*Tabelle2[[#This Row],[vx]]+Tabelle2[[#This Row],[vy]]*Tabelle2[[#This Row],[vy]])</f>
        <v>78.669272806428637</v>
      </c>
      <c r="S902">
        <f t="shared" si="163"/>
        <v>646.58598323475326</v>
      </c>
      <c r="T902" s="1">
        <f t="shared" si="164"/>
        <v>-353.7968447105871</v>
      </c>
    </row>
    <row r="903" spans="6:20" x14ac:dyDescent="0.35">
      <c r="F903" s="1">
        <f t="shared" si="160"/>
        <v>17.999999999999705</v>
      </c>
      <c r="G903">
        <f>1/2*$B$8*$B$6*$B$7*(Tabelle2[[#This Row],[vx]]*Tabelle2[[#This Row],[vx]]+Tabelle2[[#This Row],[vy]]*Tabelle2[[#This Row],[vy]])/1000000</f>
        <v>10.960128478521952</v>
      </c>
      <c r="H903">
        <f>IF($B$3,-Tabelle2[[#This Row],[Fd]]*Tabelle2[[#This Row],[vx]]/Tabelle2[[#This Row],[v]],0)</f>
        <v>-2.4934932856779044</v>
      </c>
      <c r="I903">
        <f t="shared" si="154"/>
        <v>-1.662328857118603</v>
      </c>
      <c r="J903">
        <f t="shared" si="155"/>
        <v>-3.3246577142372058E-2</v>
      </c>
      <c r="K903">
        <f t="shared" si="156"/>
        <v>0.35782701578043868</v>
      </c>
      <c r="L903">
        <f>-$B$5*$B$12-IF($B$3,Tabelle2[[#This Row],[Fd]]*Tabelle2[[#This Row],[vy]]/Tabelle2[[#This Row],[v]],0)</f>
        <v>-4.042282094049936</v>
      </c>
      <c r="M903">
        <f t="shared" si="157"/>
        <v>-2.6948547293666238</v>
      </c>
      <c r="N903">
        <f t="shared" si="158"/>
        <v>-5.3897094587332481E-2</v>
      </c>
      <c r="O903">
        <f t="shared" si="159"/>
        <v>-1.5335429432846734</v>
      </c>
      <c r="P903" s="1">
        <f t="shared" si="161"/>
        <v>17.907974077593121</v>
      </c>
      <c r="Q903" s="1">
        <f t="shared" si="162"/>
        <v>-76.650198616940003</v>
      </c>
      <c r="R903">
        <f>SQRT(Tabelle2[[#This Row],[vx]]*Tabelle2[[#This Row],[vx]]+Tabelle2[[#This Row],[vy]]*Tabelle2[[#This Row],[vy]])</f>
        <v>78.714347380767236</v>
      </c>
      <c r="S903">
        <f t="shared" si="163"/>
        <v>646.94447560936499</v>
      </c>
      <c r="T903" s="1">
        <f t="shared" si="164"/>
        <v>-355.32930789369101</v>
      </c>
    </row>
    <row r="904" spans="6:20" x14ac:dyDescent="0.35">
      <c r="F904" s="1">
        <f t="shared" si="160"/>
        <v>18.019999999999705</v>
      </c>
      <c r="G904">
        <f>1/2*$B$8*$B$6*$B$7*(Tabelle2[[#This Row],[vx]]*Tabelle2[[#This Row],[vx]]+Tabelle2[[#This Row],[vy]]*Tabelle2[[#This Row],[vy]])/1000000</f>
        <v>10.972644813265706</v>
      </c>
      <c r="H904">
        <f>IF($B$3,-Tabelle2[[#This Row],[Fd]]*Tabelle2[[#This Row],[vx]]/Tabelle2[[#This Row],[v]],0)</f>
        <v>-2.49028477735295</v>
      </c>
      <c r="I904">
        <f t="shared" si="154"/>
        <v>-1.6601898515686333</v>
      </c>
      <c r="J904">
        <f t="shared" si="155"/>
        <v>-3.3203797031372669E-2</v>
      </c>
      <c r="K904">
        <f t="shared" si="156"/>
        <v>0.35716251203870131</v>
      </c>
      <c r="L904">
        <f>-$B$5*$B$12-IF($B$3,Tabelle2[[#This Row],[Fd]]*Tabelle2[[#This Row],[vy]]/Tabelle2[[#This Row],[v]],0)</f>
        <v>-4.0286808991228895</v>
      </c>
      <c r="M904">
        <f t="shared" si="157"/>
        <v>-2.6857872660819262</v>
      </c>
      <c r="N904">
        <f t="shared" si="158"/>
        <v>-5.3715745321638524E-2</v>
      </c>
      <c r="O904">
        <f t="shared" si="159"/>
        <v>-1.5346190716837629</v>
      </c>
      <c r="P904" s="1">
        <f t="shared" si="161"/>
        <v>17.874727500450749</v>
      </c>
      <c r="Q904" s="1">
        <f t="shared" si="162"/>
        <v>-76.70409571152733</v>
      </c>
      <c r="R904">
        <f>SQRT(Tabelle2[[#This Row],[vx]]*Tabelle2[[#This Row],[vx]]+Tabelle2[[#This Row],[vy]]*Tabelle2[[#This Row],[vy]])</f>
        <v>78.759279974733872</v>
      </c>
      <c r="S904">
        <f t="shared" si="163"/>
        <v>647.30230262514544</v>
      </c>
      <c r="T904" s="1">
        <f t="shared" si="164"/>
        <v>-356.86285083697567</v>
      </c>
    </row>
    <row r="905" spans="6:20" x14ac:dyDescent="0.35">
      <c r="F905" s="1">
        <f t="shared" si="160"/>
        <v>18.039999999999704</v>
      </c>
      <c r="G905">
        <f>1/2*$B$8*$B$6*$B$7*(Tabelle2[[#This Row],[vx]]*Tabelle2[[#This Row],[vx]]+Tabelle2[[#This Row],[vy]]*Tabelle2[[#This Row],[vy]])/1000000</f>
        <v>10.985128789195629</v>
      </c>
      <c r="H905">
        <f>IF($B$3,-Tabelle2[[#This Row],[Fd]]*Tabelle2[[#This Row],[vx]]/Tabelle2[[#This Row],[v]],0)</f>
        <v>-2.487072475849355</v>
      </c>
      <c r="I905">
        <f t="shared" si="154"/>
        <v>-1.6580483172329032</v>
      </c>
      <c r="J905">
        <f t="shared" si="155"/>
        <v>-3.3160966344658066E-2</v>
      </c>
      <c r="K905">
        <f t="shared" si="156"/>
        <v>0.35649886440494094</v>
      </c>
      <c r="L905">
        <f>-$B$5*$B$12-IF($B$3,Tabelle2[[#This Row],[Fd]]*Tabelle2[[#This Row],[vy]]/Tabelle2[[#This Row],[v]],0)</f>
        <v>-4.0151156541256388</v>
      </c>
      <c r="M905">
        <f t="shared" si="157"/>
        <v>-2.6767437694170924</v>
      </c>
      <c r="N905">
        <f t="shared" si="158"/>
        <v>-5.3534875388341847E-2</v>
      </c>
      <c r="O905">
        <f t="shared" si="159"/>
        <v>-1.5356915778908629</v>
      </c>
      <c r="P905" s="1">
        <f t="shared" si="161"/>
        <v>17.841523703419377</v>
      </c>
      <c r="Q905" s="1">
        <f t="shared" si="162"/>
        <v>-76.75781145684897</v>
      </c>
      <c r="R905">
        <f>SQRT(Tabelle2[[#This Row],[vx]]*Tabelle2[[#This Row],[vx]]+Tabelle2[[#This Row],[vy]]*Tabelle2[[#This Row],[vy]])</f>
        <v>78.804070882822103</v>
      </c>
      <c r="S905">
        <f t="shared" si="163"/>
        <v>647.65946513718416</v>
      </c>
      <c r="T905" s="1">
        <f t="shared" si="164"/>
        <v>-358.39746990865945</v>
      </c>
    </row>
    <row r="906" spans="6:20" x14ac:dyDescent="0.35">
      <c r="F906" s="1">
        <f t="shared" si="160"/>
        <v>18.059999999999704</v>
      </c>
      <c r="G906">
        <f>1/2*$B$8*$B$6*$B$7*(Tabelle2[[#This Row],[vx]]*Tabelle2[[#This Row],[vx]]+Tabelle2[[#This Row],[vy]]*Tabelle2[[#This Row],[vy]])/1000000</f>
        <v>10.99758042128922</v>
      </c>
      <c r="H906">
        <f>IF($B$3,-Tabelle2[[#This Row],[Fd]]*Tabelle2[[#This Row],[vx]]/Tabelle2[[#This Row],[v]],0)</f>
        <v>-2.4838564326532357</v>
      </c>
      <c r="I906">
        <f t="shared" si="154"/>
        <v>-1.6559042884354904</v>
      </c>
      <c r="J906">
        <f t="shared" si="155"/>
        <v>-3.311808576870981E-2</v>
      </c>
      <c r="K906">
        <f t="shared" si="156"/>
        <v>0.35583607388380728</v>
      </c>
      <c r="L906">
        <f>-$B$5*$B$12-IF($B$3,Tabelle2[[#This Row],[Fd]]*Tabelle2[[#This Row],[vy]]/Tabelle2[[#This Row],[v]],0)</f>
        <v>-4.0015863355935384</v>
      </c>
      <c r="M906">
        <f t="shared" si="157"/>
        <v>-2.6677242237290257</v>
      </c>
      <c r="N906">
        <f t="shared" si="158"/>
        <v>-5.3354484474580514E-2</v>
      </c>
      <c r="O906">
        <f t="shared" si="159"/>
        <v>-1.5367604714894918</v>
      </c>
      <c r="P906" s="1">
        <f t="shared" si="161"/>
        <v>17.80836273707472</v>
      </c>
      <c r="Q906" s="1">
        <f t="shared" si="162"/>
        <v>-76.811346332237306</v>
      </c>
      <c r="R906">
        <f>SQRT(Tabelle2[[#This Row],[vx]]*Tabelle2[[#This Row],[vx]]+Tabelle2[[#This Row],[vy]]*Tabelle2[[#This Row],[vy]])</f>
        <v>78.848720400182387</v>
      </c>
      <c r="S906">
        <f t="shared" si="163"/>
        <v>648.01596400158905</v>
      </c>
      <c r="T906" s="1">
        <f t="shared" si="164"/>
        <v>-359.93316148655032</v>
      </c>
    </row>
    <row r="907" spans="6:20" x14ac:dyDescent="0.35">
      <c r="F907" s="1">
        <f t="shared" si="160"/>
        <v>18.079999999999703</v>
      </c>
      <c r="G907">
        <f>1/2*$B$8*$B$6*$B$7*(Tabelle2[[#This Row],[vx]]*Tabelle2[[#This Row],[vx]]+Tabelle2[[#This Row],[vy]]*Tabelle2[[#This Row],[vy]])/1000000</f>
        <v>11.009999725102407</v>
      </c>
      <c r="H907">
        <f>IF($B$3,-Tabelle2[[#This Row],[Fd]]*Tabelle2[[#This Row],[vx]]/Tabelle2[[#This Row],[v]],0)</f>
        <v>-2.4806366990575568</v>
      </c>
      <c r="I907">
        <f t="shared" si="154"/>
        <v>-1.6537577993717045</v>
      </c>
      <c r="J907">
        <f t="shared" si="155"/>
        <v>-3.3075155987434088E-2</v>
      </c>
      <c r="K907">
        <f t="shared" si="156"/>
        <v>0.35517414146624587</v>
      </c>
      <c r="L907">
        <f>-$B$5*$B$12-IF($B$3,Tabelle2[[#This Row],[Fd]]*Tabelle2[[#This Row],[vy]]/Tabelle2[[#This Row],[v]],0)</f>
        <v>-3.9880929194830852</v>
      </c>
      <c r="M907">
        <f t="shared" si="157"/>
        <v>-2.6587286129887233</v>
      </c>
      <c r="N907">
        <f t="shared" si="158"/>
        <v>-5.3174572259774469E-2</v>
      </c>
      <c r="O907">
        <f t="shared" si="159"/>
        <v>-1.5378257620568354</v>
      </c>
      <c r="P907" s="1">
        <f t="shared" si="161"/>
        <v>17.775244651306011</v>
      </c>
      <c r="Q907" s="1">
        <f t="shared" si="162"/>
        <v>-76.864700816711888</v>
      </c>
      <c r="R907">
        <f>SQRT(Tabelle2[[#This Row],[vx]]*Tabelle2[[#This Row],[vx]]+Tabelle2[[#This Row],[vy]]*Tabelle2[[#This Row],[vy]])</f>
        <v>78.893228822608165</v>
      </c>
      <c r="S907">
        <f t="shared" si="163"/>
        <v>648.37180007547283</v>
      </c>
      <c r="T907" s="1">
        <f t="shared" si="164"/>
        <v>-361.46992195803983</v>
      </c>
    </row>
    <row r="908" spans="6:20" x14ac:dyDescent="0.35">
      <c r="F908" s="1">
        <f t="shared" si="160"/>
        <v>18.099999999999703</v>
      </c>
      <c r="G908">
        <f>1/2*$B$8*$B$6*$B$7*(Tabelle2[[#This Row],[vx]]*Tabelle2[[#This Row],[vx]]+Tabelle2[[#This Row],[vy]]*Tabelle2[[#This Row],[vy]])/1000000</f>
        <v>11.022386716764744</v>
      </c>
      <c r="H908">
        <f>IF($B$3,-Tabelle2[[#This Row],[Fd]]*Tabelle2[[#This Row],[vx]]/Tabelle2[[#This Row],[v]],0)</f>
        <v>-2.4774133261616966</v>
      </c>
      <c r="I908">
        <f t="shared" si="154"/>
        <v>-1.6516088841077978</v>
      </c>
      <c r="J908">
        <f t="shared" si="155"/>
        <v>-3.303217768215596E-2</v>
      </c>
      <c r="K908">
        <f t="shared" si="156"/>
        <v>0.35451306812954997</v>
      </c>
      <c r="L908">
        <f>-$B$5*$B$12-IF($B$3,Tabelle2[[#This Row],[Fd]]*Tabelle2[[#This Row],[vy]]/Tabelle2[[#This Row],[v]],0)</f>
        <v>-3.9746353811768422</v>
      </c>
      <c r="M908">
        <f t="shared" si="157"/>
        <v>-2.6497569207845615</v>
      </c>
      <c r="N908">
        <f t="shared" si="158"/>
        <v>-5.2995138415691229E-2</v>
      </c>
      <c r="O908">
        <f t="shared" si="159"/>
        <v>-1.5388874591635904</v>
      </c>
      <c r="P908" s="1">
        <f t="shared" si="161"/>
        <v>17.742169495318578</v>
      </c>
      <c r="Q908" s="1">
        <f t="shared" si="162"/>
        <v>-76.917875388971666</v>
      </c>
      <c r="R908">
        <f>SQRT(Tabelle2[[#This Row],[vx]]*Tabelle2[[#This Row],[vx]]+Tabelle2[[#This Row],[vy]]*Tabelle2[[#This Row],[vy]])</f>
        <v>78.93759644652215</v>
      </c>
      <c r="S908">
        <f t="shared" si="163"/>
        <v>648.72697421693908</v>
      </c>
      <c r="T908" s="1">
        <f t="shared" si="164"/>
        <v>-363.00774772009669</v>
      </c>
    </row>
    <row r="909" spans="6:20" x14ac:dyDescent="0.35">
      <c r="F909" s="1">
        <f t="shared" si="160"/>
        <v>18.119999999999703</v>
      </c>
      <c r="G909">
        <f>1/2*$B$8*$B$6*$B$7*(Tabelle2[[#This Row],[vx]]*Tabelle2[[#This Row],[vx]]+Tabelle2[[#This Row],[vy]]*Tabelle2[[#This Row],[vy]])/1000000</f>
        <v>11.034741412974594</v>
      </c>
      <c r="H909">
        <f>IF($B$3,-Tabelle2[[#This Row],[Fd]]*Tabelle2[[#This Row],[vx]]/Tabelle2[[#This Row],[v]],0)</f>
        <v>-2.4741863648710285</v>
      </c>
      <c r="I909">
        <f t="shared" si="154"/>
        <v>-1.6494575765806856</v>
      </c>
      <c r="J909">
        <f t="shared" si="155"/>
        <v>-3.2989151531613713E-2</v>
      </c>
      <c r="K909">
        <f t="shared" si="156"/>
        <v>0.3538528548374123</v>
      </c>
      <c r="L909">
        <f>-$B$5*$B$12-IF($B$3,Tabelle2[[#This Row],[Fd]]*Tabelle2[[#This Row],[vy]]/Tabelle2[[#This Row],[v]],0)</f>
        <v>-3.9612136954883272</v>
      </c>
      <c r="M909">
        <f t="shared" si="157"/>
        <v>-2.6408091303255516</v>
      </c>
      <c r="N909">
        <f t="shared" si="158"/>
        <v>-5.2816182606511032E-2</v>
      </c>
      <c r="O909">
        <f t="shared" si="159"/>
        <v>-1.5399455723738122</v>
      </c>
      <c r="P909" s="1">
        <f t="shared" si="161"/>
        <v>17.709137317636422</v>
      </c>
      <c r="Q909" s="1">
        <f t="shared" si="162"/>
        <v>-76.970870527387362</v>
      </c>
      <c r="R909">
        <f>SQRT(Tabelle2[[#This Row],[vx]]*Tabelle2[[#This Row],[vx]]+Tabelle2[[#This Row],[vy]]*Tabelle2[[#This Row],[vy]])</f>
        <v>78.981823568962568</v>
      </c>
      <c r="S909">
        <f t="shared" si="163"/>
        <v>649.08148728506865</v>
      </c>
      <c r="T909" s="1">
        <f t="shared" si="164"/>
        <v>-364.54663517926031</v>
      </c>
    </row>
    <row r="910" spans="6:20" x14ac:dyDescent="0.35">
      <c r="F910" s="1">
        <f t="shared" si="160"/>
        <v>18.139999999999702</v>
      </c>
      <c r="G910">
        <f>1/2*$B$8*$B$6*$B$7*(Tabelle2[[#This Row],[vx]]*Tabelle2[[#This Row],[vx]]+Tabelle2[[#This Row],[vy]]*Tabelle2[[#This Row],[vy]])/1000000</f>
        <v>11.047063830994356</v>
      </c>
      <c r="H910">
        <f>IF($B$3,-Tabelle2[[#This Row],[Fd]]*Tabelle2[[#This Row],[vx]]/Tabelle2[[#This Row],[v]],0)</f>
        <v>-2.4709558658965198</v>
      </c>
      <c r="I910">
        <f t="shared" si="154"/>
        <v>-1.6473039105976799</v>
      </c>
      <c r="J910">
        <f t="shared" si="155"/>
        <v>-3.2946078211953597E-2</v>
      </c>
      <c r="K910">
        <f t="shared" si="156"/>
        <v>0.35319350253997661</v>
      </c>
      <c r="L910">
        <f>-$B$5*$B$12-IF($B$3,Tabelle2[[#This Row],[Fd]]*Tabelle2[[#This Row],[vy]]/Tabelle2[[#This Row],[v]],0)</f>
        <v>-3.9478278366668977</v>
      </c>
      <c r="M910">
        <f t="shared" si="157"/>
        <v>-2.6318852244445985</v>
      </c>
      <c r="N910">
        <f t="shared" si="158"/>
        <v>-5.2637704488891969E-2</v>
      </c>
      <c r="O910">
        <f t="shared" si="159"/>
        <v>-1.5410001112447662</v>
      </c>
      <c r="P910" s="1">
        <f t="shared" si="161"/>
        <v>17.676148166104809</v>
      </c>
      <c r="Q910" s="1">
        <f t="shared" si="162"/>
        <v>-77.023686709993868</v>
      </c>
      <c r="R910">
        <f>SQRT(Tabelle2[[#This Row],[vx]]*Tabelle2[[#This Row],[vx]]+Tabelle2[[#This Row],[vy]]*Tabelle2[[#This Row],[vy]])</f>
        <v>79.025910487569689</v>
      </c>
      <c r="S910">
        <f t="shared" si="163"/>
        <v>649.43534013990609</v>
      </c>
      <c r="T910" s="1">
        <f t="shared" si="164"/>
        <v>-366.08658075163413</v>
      </c>
    </row>
    <row r="911" spans="6:20" x14ac:dyDescent="0.35">
      <c r="F911" s="1">
        <f t="shared" si="160"/>
        <v>18.159999999999702</v>
      </c>
      <c r="G911">
        <f>1/2*$B$8*$B$6*$B$7*(Tabelle2[[#This Row],[vx]]*Tabelle2[[#This Row],[vx]]+Tabelle2[[#This Row],[vy]]*Tabelle2[[#This Row],[vy]])/1000000</f>
        <v>11.059353988645695</v>
      </c>
      <c r="H911">
        <f>IF($B$3,-Tabelle2[[#This Row],[Fd]]*Tabelle2[[#This Row],[vx]]/Tabelle2[[#This Row],[v]],0)</f>
        <v>-2.4677218797543361</v>
      </c>
      <c r="I911">
        <f t="shared" si="154"/>
        <v>-1.645147919836224</v>
      </c>
      <c r="J911">
        <f t="shared" si="155"/>
        <v>-3.2902958396724483E-2</v>
      </c>
      <c r="K911">
        <f t="shared" si="156"/>
        <v>0.35253501217388988</v>
      </c>
      <c r="L911">
        <f>-$B$5*$B$12-IF($B$3,Tabelle2[[#This Row],[Fd]]*Tabelle2[[#This Row],[vy]]/Tabelle2[[#This Row],[v]],0)</f>
        <v>-3.9344777784026093</v>
      </c>
      <c r="M911">
        <f t="shared" si="157"/>
        <v>-2.6229851856017397</v>
      </c>
      <c r="N911">
        <f t="shared" si="158"/>
        <v>-5.2459703712034796E-2</v>
      </c>
      <c r="O911">
        <f t="shared" si="159"/>
        <v>-1.5420510853267755</v>
      </c>
      <c r="P911" s="1">
        <f t="shared" si="161"/>
        <v>17.643202087892856</v>
      </c>
      <c r="Q911" s="1">
        <f t="shared" si="162"/>
        <v>-77.076324414482755</v>
      </c>
      <c r="R911">
        <f>SQRT(Tabelle2[[#This Row],[vx]]*Tabelle2[[#This Row],[vx]]+Tabelle2[[#This Row],[vy]]*Tabelle2[[#This Row],[vy]])</f>
        <v>79.069857500572354</v>
      </c>
      <c r="S911">
        <f t="shared" si="163"/>
        <v>649.78853364244605</v>
      </c>
      <c r="T911" s="1">
        <f t="shared" si="164"/>
        <v>-367.62758086287892</v>
      </c>
    </row>
    <row r="912" spans="6:20" x14ac:dyDescent="0.35">
      <c r="F912" s="1">
        <f t="shared" si="160"/>
        <v>18.179999999999701</v>
      </c>
      <c r="G912">
        <f>1/2*$B$8*$B$6*$B$7*(Tabelle2[[#This Row],[vx]]*Tabelle2[[#This Row],[vx]]+Tabelle2[[#This Row],[vy]]*Tabelle2[[#This Row],[vy]])/1000000</f>
        <v>11.07161190430481</v>
      </c>
      <c r="H912">
        <f>IF($B$3,-Tabelle2[[#This Row],[Fd]]*Tabelle2[[#This Row],[vx]]/Tabelle2[[#This Row],[v]],0)</f>
        <v>-2.46448445676547</v>
      </c>
      <c r="I912">
        <f t="shared" si="154"/>
        <v>-1.6429896378436466</v>
      </c>
      <c r="J912">
        <f t="shared" si="155"/>
        <v>-3.2859792756872931E-2</v>
      </c>
      <c r="K912">
        <f t="shared" si="156"/>
        <v>0.35187738466235391</v>
      </c>
      <c r="L912">
        <f>-$B$5*$B$12-IF($B$3,Tabelle2[[#This Row],[Fd]]*Tabelle2[[#This Row],[vy]]/Tabelle2[[#This Row],[v]],0)</f>
        <v>-3.9211634938310596</v>
      </c>
      <c r="M912">
        <f t="shared" si="157"/>
        <v>-2.6141089958873729</v>
      </c>
      <c r="N912">
        <f t="shared" si="158"/>
        <v>-5.2282179917747459E-2</v>
      </c>
      <c r="O912">
        <f t="shared" si="159"/>
        <v>-1.5430985041630731</v>
      </c>
      <c r="P912" s="1">
        <f t="shared" si="161"/>
        <v>17.610299129496131</v>
      </c>
      <c r="Q912" s="1">
        <f t="shared" si="162"/>
        <v>-77.128784118194787</v>
      </c>
      <c r="R912">
        <f>SQRT(Tabelle2[[#This Row],[vx]]*Tabelle2[[#This Row],[vx]]+Tabelle2[[#This Row],[vy]]*Tabelle2[[#This Row],[vy]])</f>
        <v>79.113664906774673</v>
      </c>
      <c r="S912">
        <f t="shared" si="163"/>
        <v>650.14106865461997</v>
      </c>
      <c r="T912" s="1">
        <f t="shared" si="164"/>
        <v>-369.16963194820568</v>
      </c>
    </row>
    <row r="913" spans="6:20" x14ac:dyDescent="0.35">
      <c r="F913" s="1">
        <f t="shared" si="160"/>
        <v>18.199999999999701</v>
      </c>
      <c r="G913">
        <f>1/2*$B$8*$B$6*$B$7*(Tabelle2[[#This Row],[vx]]*Tabelle2[[#This Row],[vx]]+Tabelle2[[#This Row],[vy]]*Tabelle2[[#This Row],[vy]])/1000000</f>
        <v>11.083837596897672</v>
      </c>
      <c r="H913">
        <f>IF($B$3,-Tabelle2[[#This Row],[Fd]]*Tabelle2[[#This Row],[vx]]/Tabelle2[[#This Row],[v]],0)</f>
        <v>-2.461243647055372</v>
      </c>
      <c r="I913">
        <f t="shared" si="154"/>
        <v>-1.6408290980369147</v>
      </c>
      <c r="J913">
        <f t="shared" si="155"/>
        <v>-3.2816581960738292E-2</v>
      </c>
      <c r="K913">
        <f t="shared" si="156"/>
        <v>0.35122062091517775</v>
      </c>
      <c r="L913">
        <f>-$B$5*$B$12-IF($B$3,Tabelle2[[#This Row],[Fd]]*Tabelle2[[#This Row],[vy]]/Tabelle2[[#This Row],[v]],0)</f>
        <v>-3.9078849555382273</v>
      </c>
      <c r="M913">
        <f t="shared" si="157"/>
        <v>-2.605256637025485</v>
      </c>
      <c r="N913">
        <f t="shared" si="158"/>
        <v>-5.2105132740509701E-2</v>
      </c>
      <c r="O913">
        <f t="shared" si="159"/>
        <v>-1.5441423772896559</v>
      </c>
      <c r="P913" s="1">
        <f t="shared" si="161"/>
        <v>17.577439336739257</v>
      </c>
      <c r="Q913" s="1">
        <f t="shared" si="162"/>
        <v>-77.18106629811254</v>
      </c>
      <c r="R913">
        <f>SQRT(Tabelle2[[#This Row],[vx]]*Tabelle2[[#This Row],[vx]]+Tabelle2[[#This Row],[vy]]*Tabelle2[[#This Row],[vy]])</f>
        <v>79.157333005542768</v>
      </c>
      <c r="S913">
        <f t="shared" si="163"/>
        <v>650.49294603928229</v>
      </c>
      <c r="T913" s="1">
        <f t="shared" si="164"/>
        <v>-370.71273045236876</v>
      </c>
    </row>
    <row r="914" spans="6:20" x14ac:dyDescent="0.35">
      <c r="F914" s="1">
        <f t="shared" si="160"/>
        <v>18.2199999999997</v>
      </c>
      <c r="G914">
        <f>1/2*$B$8*$B$6*$B$7*(Tabelle2[[#This Row],[vx]]*Tabelle2[[#This Row],[vx]]+Tabelle2[[#This Row],[vy]]*Tabelle2[[#This Row],[vy]])/1000000</f>
        <v>11.096031085895341</v>
      </c>
      <c r="H914">
        <f>IF($B$3,-Tabelle2[[#This Row],[Fd]]*Tabelle2[[#This Row],[vx]]/Tabelle2[[#This Row],[v]],0)</f>
        <v>-2.4579995005536057</v>
      </c>
      <c r="I914">
        <f t="shared" si="154"/>
        <v>-1.6386663337024039</v>
      </c>
      <c r="J914">
        <f t="shared" si="155"/>
        <v>-3.277332667404808E-2</v>
      </c>
      <c r="K914">
        <f t="shared" si="156"/>
        <v>0.35056472182882992</v>
      </c>
      <c r="L914">
        <f>-$B$5*$B$12-IF($B$3,Tabelle2[[#This Row],[Fd]]*Tabelle2[[#This Row],[vy]]/Tabelle2[[#This Row],[v]],0)</f>
        <v>-3.8946421355652951</v>
      </c>
      <c r="M914">
        <f t="shared" si="157"/>
        <v>-2.5964280903768633</v>
      </c>
      <c r="N914">
        <f t="shared" si="158"/>
        <v>-5.1928561807537264E-2</v>
      </c>
      <c r="O914">
        <f t="shared" si="159"/>
        <v>-1.5451827142351362</v>
      </c>
      <c r="P914" s="1">
        <f t="shared" si="161"/>
        <v>17.544622754778519</v>
      </c>
      <c r="Q914" s="1">
        <f t="shared" si="162"/>
        <v>-77.233171430853048</v>
      </c>
      <c r="R914">
        <f>SQRT(Tabelle2[[#This Row],[vx]]*Tabelle2[[#This Row],[vx]]+Tabelle2[[#This Row],[vy]]*Tabelle2[[#This Row],[vy]])</f>
        <v>79.200862096791781</v>
      </c>
      <c r="S914">
        <f t="shared" si="163"/>
        <v>650.84416666019752</v>
      </c>
      <c r="T914" s="1">
        <f t="shared" si="164"/>
        <v>-372.25687282965839</v>
      </c>
    </row>
    <row r="915" spans="6:20" x14ac:dyDescent="0.35">
      <c r="F915" s="1">
        <f t="shared" si="160"/>
        <v>18.2399999999997</v>
      </c>
      <c r="G915">
        <f>1/2*$B$8*$B$6*$B$7*(Tabelle2[[#This Row],[vx]]*Tabelle2[[#This Row],[vx]]+Tabelle2[[#This Row],[vy]]*Tabelle2[[#This Row],[vy]])/1000000</f>
        <v>11.10819239130926</v>
      </c>
      <c r="H915">
        <f>IF($B$3,-Tabelle2[[#This Row],[Fd]]*Tabelle2[[#This Row],[vx]]/Tabelle2[[#This Row],[v]],0)</f>
        <v>-2.4547520669935121</v>
      </c>
      <c r="I915">
        <f t="shared" si="154"/>
        <v>-1.6365013779956747</v>
      </c>
      <c r="J915">
        <f t="shared" si="155"/>
        <v>-3.2730027559913492E-2</v>
      </c>
      <c r="K915">
        <f t="shared" si="156"/>
        <v>0.34990968828649033</v>
      </c>
      <c r="L915">
        <f>-$B$5*$B$12-IF($B$3,Tabelle2[[#This Row],[Fd]]*Tabelle2[[#This Row],[vy]]/Tabelle2[[#This Row],[v]],0)</f>
        <v>-3.8814350054134064</v>
      </c>
      <c r="M915">
        <f t="shared" si="157"/>
        <v>-2.5876233369422708</v>
      </c>
      <c r="N915">
        <f t="shared" si="158"/>
        <v>-5.1752466738845419E-2</v>
      </c>
      <c r="O915">
        <f t="shared" si="159"/>
        <v>-1.5462195245206001</v>
      </c>
      <c r="P915" s="1">
        <f t="shared" si="161"/>
        <v>17.511849428104473</v>
      </c>
      <c r="Q915" s="1">
        <f t="shared" si="162"/>
        <v>-77.285099992660591</v>
      </c>
      <c r="R915">
        <f>SQRT(Tabelle2[[#This Row],[vx]]*Tabelle2[[#This Row],[vx]]+Tabelle2[[#This Row],[vy]]*Tabelle2[[#This Row],[vy]])</f>
        <v>79.244252480972705</v>
      </c>
      <c r="S915">
        <f t="shared" si="163"/>
        <v>651.19473138202636</v>
      </c>
      <c r="T915" s="1">
        <f t="shared" si="164"/>
        <v>-373.80205554389352</v>
      </c>
    </row>
    <row r="916" spans="6:20" x14ac:dyDescent="0.35">
      <c r="F916" s="1">
        <f t="shared" si="160"/>
        <v>18.2599999999997</v>
      </c>
      <c r="G916">
        <f>1/2*$B$8*$B$6*$B$7*(Tabelle2[[#This Row],[vx]]*Tabelle2[[#This Row],[vx]]+Tabelle2[[#This Row],[vy]]*Tabelle2[[#This Row],[vy]])/1000000</f>
        <v>11.120321533686575</v>
      </c>
      <c r="H916">
        <f>IF($B$3,-Tabelle2[[#This Row],[Fd]]*Tabelle2[[#This Row],[vx]]/Tabelle2[[#This Row],[v]],0)</f>
        <v>-2.4515013959118823</v>
      </c>
      <c r="I916">
        <f t="shared" si="154"/>
        <v>-1.6343342639412548</v>
      </c>
      <c r="J916">
        <f t="shared" si="155"/>
        <v>-3.2686685278825095E-2</v>
      </c>
      <c r="K916">
        <f t="shared" si="156"/>
        <v>0.34925552115810293</v>
      </c>
      <c r="L916">
        <f>-$B$5*$B$12-IF($B$3,Tabelle2[[#This Row],[Fd]]*Tabelle2[[#This Row],[vy]]/Tabelle2[[#This Row],[v]],0)</f>
        <v>-3.8682635360484845</v>
      </c>
      <c r="M916">
        <f t="shared" si="157"/>
        <v>-2.5788423573656565</v>
      </c>
      <c r="N916">
        <f t="shared" si="158"/>
        <v>-5.1576847147313129E-2</v>
      </c>
      <c r="O916">
        <f t="shared" si="159"/>
        <v>-1.547252817659462</v>
      </c>
      <c r="P916" s="1">
        <f t="shared" si="161"/>
        <v>17.479119400544558</v>
      </c>
      <c r="Q916" s="1">
        <f t="shared" si="162"/>
        <v>-77.336852459399438</v>
      </c>
      <c r="R916">
        <f>SQRT(Tabelle2[[#This Row],[vx]]*Tabelle2[[#This Row],[vx]]+Tabelle2[[#This Row],[vy]]*Tabelle2[[#This Row],[vy]])</f>
        <v>79.28750445905969</v>
      </c>
      <c r="S916">
        <f t="shared" si="163"/>
        <v>651.54464107031288</v>
      </c>
      <c r="T916" s="1">
        <f t="shared" si="164"/>
        <v>-375.34827506841413</v>
      </c>
    </row>
    <row r="917" spans="6:20" x14ac:dyDescent="0.35">
      <c r="F917" s="1">
        <f t="shared" si="160"/>
        <v>18.279999999999699</v>
      </c>
      <c r="G917">
        <f>1/2*$B$8*$B$6*$B$7*(Tabelle2[[#This Row],[vx]]*Tabelle2[[#This Row],[vx]]+Tabelle2[[#This Row],[vy]]*Tabelle2[[#This Row],[vy]])/1000000</f>
        <v>11.132418534105494</v>
      </c>
      <c r="H917">
        <f>IF($B$3,-Tabelle2[[#This Row],[Fd]]*Tabelle2[[#This Row],[vx]]/Tabelle2[[#This Row],[v]],0)</f>
        <v>-2.4482475366486542</v>
      </c>
      <c r="I917">
        <f t="shared" si="154"/>
        <v>-1.6321650244324362</v>
      </c>
      <c r="J917">
        <f t="shared" si="155"/>
        <v>-3.2643300488648726E-2</v>
      </c>
      <c r="K917">
        <f t="shared" si="156"/>
        <v>0.34860222130042817</v>
      </c>
      <c r="L917">
        <f>-$B$5*$B$12-IF($B$3,Tabelle2[[#This Row],[Fd]]*Tabelle2[[#This Row],[vy]]/Tabelle2[[#This Row],[v]],0)</f>
        <v>-3.8551276979059619</v>
      </c>
      <c r="M917">
        <f t="shared" si="157"/>
        <v>-2.5700851319373079</v>
      </c>
      <c r="N917">
        <f t="shared" si="158"/>
        <v>-5.1401702638746161E-2</v>
      </c>
      <c r="O917">
        <f t="shared" si="159"/>
        <v>-1.5482826031573225</v>
      </c>
      <c r="P917" s="1">
        <f t="shared" si="161"/>
        <v>17.446432715265733</v>
      </c>
      <c r="Q917" s="1">
        <f t="shared" si="162"/>
        <v>-77.388429306546755</v>
      </c>
      <c r="R917">
        <f>SQRT(Tabelle2[[#This Row],[vx]]*Tabelle2[[#This Row],[vx]]+Tabelle2[[#This Row],[vy]]*Tabelle2[[#This Row],[vy]])</f>
        <v>79.330618332537156</v>
      </c>
      <c r="S917">
        <f t="shared" si="163"/>
        <v>651.89389659147093</v>
      </c>
      <c r="T917" s="1">
        <f t="shared" si="164"/>
        <v>-376.89552788607358</v>
      </c>
    </row>
    <row r="918" spans="6:20" x14ac:dyDescent="0.35">
      <c r="F918" s="1">
        <f t="shared" si="160"/>
        <v>18.299999999999699</v>
      </c>
      <c r="G918">
        <f>1/2*$B$8*$B$6*$B$7*(Tabelle2[[#This Row],[vx]]*Tabelle2[[#This Row],[vx]]+Tabelle2[[#This Row],[vy]]*Tabelle2[[#This Row],[vy]])/1000000</f>
        <v>11.14448341417061</v>
      </c>
      <c r="H918">
        <f>IF($B$3,-Tabelle2[[#This Row],[Fd]]*Tabelle2[[#This Row],[vx]]/Tabelle2[[#This Row],[v]],0)</f>
        <v>-2.4449905383466097</v>
      </c>
      <c r="I918">
        <f t="shared" si="154"/>
        <v>-1.6299936922310732</v>
      </c>
      <c r="J918">
        <f t="shared" si="155"/>
        <v>-3.2599873844621464E-2</v>
      </c>
      <c r="K918">
        <f t="shared" si="156"/>
        <v>0.34794978955709549</v>
      </c>
      <c r="L918">
        <f>-$B$5*$B$12-IF($B$3,Tabelle2[[#This Row],[Fd]]*Tabelle2[[#This Row],[vy]]/Tabelle2[[#This Row],[v]],0)</f>
        <v>-3.8420274608955527</v>
      </c>
      <c r="M918">
        <f t="shared" si="157"/>
        <v>-2.5613516405970351</v>
      </c>
      <c r="N918">
        <f t="shared" si="158"/>
        <v>-5.1227032811940701E-2</v>
      </c>
      <c r="O918">
        <f t="shared" si="159"/>
        <v>-1.5493088905118293</v>
      </c>
      <c r="P918" s="1">
        <f t="shared" si="161"/>
        <v>17.413789414777085</v>
      </c>
      <c r="Q918" s="1">
        <f t="shared" si="162"/>
        <v>-77.439831009185497</v>
      </c>
      <c r="R918">
        <f>SQRT(Tabelle2[[#This Row],[vx]]*Tabelle2[[#This Row],[vx]]+Tabelle2[[#This Row],[vy]]*Tabelle2[[#This Row],[vy]])</f>
        <v>79.373594403387131</v>
      </c>
      <c r="S918">
        <f t="shared" si="163"/>
        <v>652.24249881277137</v>
      </c>
      <c r="T918" s="1">
        <f t="shared" si="164"/>
        <v>-378.44381048923088</v>
      </c>
    </row>
    <row r="919" spans="6:20" x14ac:dyDescent="0.35">
      <c r="F919" s="1">
        <f t="shared" si="160"/>
        <v>18.319999999999698</v>
      </c>
      <c r="G919">
        <f>1/2*$B$8*$B$6*$B$7*(Tabelle2[[#This Row],[vx]]*Tabelle2[[#This Row],[vx]]+Tabelle2[[#This Row],[vy]]*Tabelle2[[#This Row],[vy]])/1000000</f>
        <v>11.156516196008331</v>
      </c>
      <c r="H919">
        <f>IF($B$3,-Tabelle2[[#This Row],[Fd]]*Tabelle2[[#This Row],[vx]]/Tabelle2[[#This Row],[v]],0)</f>
        <v>-2.4417304499510961</v>
      </c>
      <c r="I919">
        <f t="shared" si="154"/>
        <v>-1.6278202999673974</v>
      </c>
      <c r="J919">
        <f t="shared" si="155"/>
        <v>-3.2556405999347948E-2</v>
      </c>
      <c r="K919">
        <f t="shared" si="156"/>
        <v>0.34729822675865579</v>
      </c>
      <c r="L919">
        <f>-$B$5*$B$12-IF($B$3,Tabelle2[[#This Row],[Fd]]*Tabelle2[[#This Row],[vy]]/Tabelle2[[#This Row],[v]],0)</f>
        <v>-3.8289627944059532</v>
      </c>
      <c r="M919">
        <f t="shared" si="157"/>
        <v>-2.552641862937302</v>
      </c>
      <c r="N919">
        <f t="shared" si="158"/>
        <v>-5.1052837258746042E-2</v>
      </c>
      <c r="O919">
        <f t="shared" si="159"/>
        <v>-1.5503316892125361</v>
      </c>
      <c r="P919" s="1">
        <f t="shared" si="161"/>
        <v>17.381189540932464</v>
      </c>
      <c r="Q919" s="1">
        <f t="shared" si="162"/>
        <v>-77.491058041997434</v>
      </c>
      <c r="R919">
        <f>SQRT(Tabelle2[[#This Row],[vx]]*Tabelle2[[#This Row],[vx]]+Tabelle2[[#This Row],[vy]]*Tabelle2[[#This Row],[vy]])</f>
        <v>79.416432974076812</v>
      </c>
      <c r="S919">
        <f t="shared" si="163"/>
        <v>652.59044860232848</v>
      </c>
      <c r="T919" s="1">
        <f t="shared" si="164"/>
        <v>-379.99311937974272</v>
      </c>
    </row>
    <row r="920" spans="6:20" x14ac:dyDescent="0.35">
      <c r="F920" s="1">
        <f t="shared" si="160"/>
        <v>18.339999999999698</v>
      </c>
      <c r="G920">
        <f>1/2*$B$8*$B$6*$B$7*(Tabelle2[[#This Row],[vx]]*Tabelle2[[#This Row],[vx]]+Tabelle2[[#This Row],[vy]]*Tabelle2[[#This Row],[vy]])/1000000</f>
        <v>11.168516902262239</v>
      </c>
      <c r="H920">
        <f>IF($B$3,-Tabelle2[[#This Row],[Fd]]*Tabelle2[[#This Row],[vx]]/Tabelle2[[#This Row],[v]],0)</f>
        <v>-2.438467320209754</v>
      </c>
      <c r="I920">
        <f t="shared" si="154"/>
        <v>-1.625644880139836</v>
      </c>
      <c r="J920">
        <f t="shared" si="155"/>
        <v>-3.2512897602796721E-2</v>
      </c>
      <c r="K920">
        <f t="shared" si="156"/>
        <v>0.34664753372263435</v>
      </c>
      <c r="L920">
        <f>-$B$5*$B$12-IF($B$3,Tabelle2[[#This Row],[Fd]]*Tabelle2[[#This Row],[vy]]/Tabelle2[[#This Row],[v]],0)</f>
        <v>-3.8159336673095545</v>
      </c>
      <c r="M920">
        <f t="shared" si="157"/>
        <v>-2.5439557782063695</v>
      </c>
      <c r="N920">
        <f t="shared" si="158"/>
        <v>-5.0879115564127393E-2</v>
      </c>
      <c r="O920">
        <f t="shared" si="159"/>
        <v>-1.5513510087407649</v>
      </c>
      <c r="P920" s="1">
        <f t="shared" si="161"/>
        <v>17.348633134933117</v>
      </c>
      <c r="Q920" s="1">
        <f t="shared" si="162"/>
        <v>-77.542110879256185</v>
      </c>
      <c r="R920">
        <f>SQRT(Tabelle2[[#This Row],[vx]]*Tabelle2[[#This Row],[vx]]+Tabelle2[[#This Row],[vy]]*Tabelle2[[#This Row],[vy]])</f>
        <v>79.459134347545969</v>
      </c>
      <c r="S920">
        <f t="shared" si="163"/>
        <v>652.93774682908713</v>
      </c>
      <c r="T920" s="1">
        <f t="shared" si="164"/>
        <v>-381.54345106895528</v>
      </c>
    </row>
    <row r="921" spans="6:20" x14ac:dyDescent="0.35">
      <c r="F921" s="1">
        <f t="shared" si="160"/>
        <v>18.359999999999697</v>
      </c>
      <c r="G921">
        <f>1/2*$B$8*$B$6*$B$7*(Tabelle2[[#This Row],[vx]]*Tabelle2[[#This Row],[vx]]+Tabelle2[[#This Row],[vy]]*Tabelle2[[#This Row],[vy]])/1000000</f>
        <v>11.180485556088502</v>
      </c>
      <c r="H921">
        <f>IF($B$3,-Tabelle2[[#This Row],[Fd]]*Tabelle2[[#This Row],[vx]]/Tabelle2[[#This Row],[v]],0)</f>
        <v>-2.4352011976722565</v>
      </c>
      <c r="I921">
        <f t="shared" si="154"/>
        <v>-1.6234674651148377</v>
      </c>
      <c r="J921">
        <f t="shared" si="155"/>
        <v>-3.2469349302296759E-2</v>
      </c>
      <c r="K921">
        <f t="shared" si="156"/>
        <v>0.34599771125358347</v>
      </c>
      <c r="L921">
        <f>-$B$5*$B$12-IF($B$3,Tabelle2[[#This Row],[Fd]]*Tabelle2[[#This Row],[vy]]/Tabelle2[[#This Row],[v]],0)</f>
        <v>-3.8029400479671462</v>
      </c>
      <c r="M921">
        <f t="shared" si="157"/>
        <v>-2.5352933653114307</v>
      </c>
      <c r="N921">
        <f t="shared" si="158"/>
        <v>-5.0705867306228614E-2</v>
      </c>
      <c r="O921">
        <f t="shared" si="159"/>
        <v>-1.5523668585694685</v>
      </c>
      <c r="P921" s="1">
        <f t="shared" si="161"/>
        <v>17.31612023733032</v>
      </c>
      <c r="Q921" s="1">
        <f t="shared" si="162"/>
        <v>-77.592989994820314</v>
      </c>
      <c r="R921">
        <f>SQRT(Tabelle2[[#This Row],[vx]]*Tabelle2[[#This Row],[vx]]+Tabelle2[[#This Row],[vy]]*Tabelle2[[#This Row],[vy]])</f>
        <v>79.501698827194659</v>
      </c>
      <c r="S921">
        <f t="shared" si="163"/>
        <v>653.28439436280973</v>
      </c>
      <c r="T921" s="1">
        <f t="shared" si="164"/>
        <v>-383.09480207769604</v>
      </c>
    </row>
    <row r="922" spans="6:20" x14ac:dyDescent="0.35">
      <c r="F922" s="1">
        <f t="shared" si="160"/>
        <v>18.379999999999697</v>
      </c>
      <c r="G922">
        <f>1/2*$B$8*$B$6*$B$7*(Tabelle2[[#This Row],[vx]]*Tabelle2[[#This Row],[vx]]+Tabelle2[[#This Row],[vy]]*Tabelle2[[#This Row],[vy]])/1000000</f>
        <v>11.192422181151342</v>
      </c>
      <c r="H922">
        <f>IF($B$3,-Tabelle2[[#This Row],[Fd]]*Tabelle2[[#This Row],[vx]]/Tabelle2[[#This Row],[v]],0)</f>
        <v>-2.4319321306900674</v>
      </c>
      <c r="I922">
        <f t="shared" si="154"/>
        <v>-1.6212880871267117</v>
      </c>
      <c r="J922">
        <f t="shared" si="155"/>
        <v>-3.2425761742534233E-2</v>
      </c>
      <c r="K922">
        <f t="shared" si="156"/>
        <v>0.34534876014313509</v>
      </c>
      <c r="L922">
        <f>-$B$5*$B$12-IF($B$3,Tabelle2[[#This Row],[Fd]]*Tabelle2[[#This Row],[vy]]/Tabelle2[[#This Row],[v]],0)</f>
        <v>-3.7899819042325689</v>
      </c>
      <c r="M922">
        <f t="shared" si="157"/>
        <v>-2.5266546028217127</v>
      </c>
      <c r="N922">
        <f t="shared" si="158"/>
        <v>-5.0533092056434255E-2</v>
      </c>
      <c r="O922">
        <f t="shared" si="159"/>
        <v>-1.5533792481630955</v>
      </c>
      <c r="P922" s="1">
        <f t="shared" si="161"/>
        <v>17.283650888028024</v>
      </c>
      <c r="Q922" s="1">
        <f t="shared" si="162"/>
        <v>-77.643695862126549</v>
      </c>
      <c r="R922">
        <f>SQRT(Tabelle2[[#This Row],[vx]]*Tabelle2[[#This Row],[vx]]+Tabelle2[[#This Row],[vy]]*Tabelle2[[#This Row],[vy]])</f>
        <v>79.544126716871048</v>
      </c>
      <c r="S922">
        <f t="shared" si="163"/>
        <v>653.63039207406337</v>
      </c>
      <c r="T922" s="1">
        <f t="shared" si="164"/>
        <v>-384.64716893626553</v>
      </c>
    </row>
    <row r="923" spans="6:20" x14ac:dyDescent="0.35">
      <c r="F923" s="1">
        <f t="shared" si="160"/>
        <v>18.399999999999697</v>
      </c>
      <c r="G923">
        <f>1/2*$B$8*$B$6*$B$7*(Tabelle2[[#This Row],[vx]]*Tabelle2[[#This Row],[vx]]+Tabelle2[[#This Row],[vy]]*Tabelle2[[#This Row],[vy]])/1000000</f>
        <v>11.204326801618443</v>
      </c>
      <c r="H923">
        <f>IF($B$3,-Tabelle2[[#This Row],[Fd]]*Tabelle2[[#This Row],[vx]]/Tabelle2[[#This Row],[v]],0)</f>
        <v>-2.4286601674162056</v>
      </c>
      <c r="I923">
        <f t="shared" si="154"/>
        <v>-1.6191067782774704</v>
      </c>
      <c r="J923">
        <f t="shared" si="155"/>
        <v>-3.2382135565549405E-2</v>
      </c>
      <c r="K923">
        <f t="shared" si="156"/>
        <v>0.34470068117005431</v>
      </c>
      <c r="L923">
        <f>-$B$5*$B$12-IF($B$3,Tabelle2[[#This Row],[Fd]]*Tabelle2[[#This Row],[vy]]/Tabelle2[[#This Row],[v]],0)</f>
        <v>-3.7770592034573873</v>
      </c>
      <c r="M923">
        <f t="shared" si="157"/>
        <v>-2.5180394689715917</v>
      </c>
      <c r="N923">
        <f t="shared" si="158"/>
        <v>-5.0360789379431836E-2</v>
      </c>
      <c r="O923">
        <f t="shared" si="159"/>
        <v>-1.5543881869774541</v>
      </c>
      <c r="P923" s="1">
        <f t="shared" si="161"/>
        <v>17.25122512628549</v>
      </c>
      <c r="Q923" s="1">
        <f t="shared" si="162"/>
        <v>-77.694228954182989</v>
      </c>
      <c r="R923">
        <f>SQRT(Tabelle2[[#This Row],[vx]]*Tabelle2[[#This Row],[vx]]+Tabelle2[[#This Row],[vy]]*Tabelle2[[#This Row],[vy]])</f>
        <v>79.586418320859181</v>
      </c>
      <c r="S923">
        <f t="shared" si="163"/>
        <v>653.97574083420648</v>
      </c>
      <c r="T923" s="1">
        <f t="shared" si="164"/>
        <v>-386.20054818442861</v>
      </c>
    </row>
    <row r="924" spans="6:20" x14ac:dyDescent="0.35">
      <c r="F924" s="1">
        <f t="shared" si="160"/>
        <v>18.419999999999696</v>
      </c>
      <c r="G924">
        <f>1/2*$B$8*$B$6*$B$7*(Tabelle2[[#This Row],[vx]]*Tabelle2[[#This Row],[vx]]+Tabelle2[[#This Row],[vy]]*Tabelle2[[#This Row],[vy]])/1000000</f>
        <v>11.216199442156455</v>
      </c>
      <c r="H924">
        <f>IF($B$3,-Tabelle2[[#This Row],[Fd]]*Tabelle2[[#This Row],[vx]]/Tabelle2[[#This Row],[v]],0)</f>
        <v>-2.4253853558050245</v>
      </c>
      <c r="I924">
        <f t="shared" si="154"/>
        <v>-1.6169235705366829</v>
      </c>
      <c r="J924">
        <f t="shared" si="155"/>
        <v>-3.2338471410733656E-2</v>
      </c>
      <c r="K924">
        <f t="shared" si="156"/>
        <v>0.34405347510029155</v>
      </c>
      <c r="L924">
        <f>-$B$5*$B$12-IF($B$3,Tabelle2[[#This Row],[Fd]]*Tabelle2[[#This Row],[vy]]/Tabelle2[[#This Row],[v]],0)</f>
        <v>-3.7641719124955078</v>
      </c>
      <c r="M924">
        <f t="shared" si="157"/>
        <v>-2.5094479416636717</v>
      </c>
      <c r="N924">
        <f t="shared" si="158"/>
        <v>-5.0188958833273435E-2</v>
      </c>
      <c r="O924">
        <f t="shared" si="159"/>
        <v>-1.555393684459581</v>
      </c>
      <c r="P924" s="1">
        <f t="shared" si="161"/>
        <v>17.218842990719942</v>
      </c>
      <c r="Q924" s="1">
        <f t="shared" si="162"/>
        <v>-77.744589743562415</v>
      </c>
      <c r="R924">
        <f>SQRT(Tabelle2[[#This Row],[vx]]*Tabelle2[[#This Row],[vx]]+Tabelle2[[#This Row],[vy]]*Tabelle2[[#This Row],[vy]])</f>
        <v>79.628573943867011</v>
      </c>
      <c r="S924">
        <f t="shared" si="163"/>
        <v>654.3204415153765</v>
      </c>
      <c r="T924" s="1">
        <f t="shared" si="164"/>
        <v>-387.75493637140607</v>
      </c>
    </row>
    <row r="925" spans="6:20" x14ac:dyDescent="0.35">
      <c r="F925" s="1">
        <f t="shared" si="160"/>
        <v>18.439999999999696</v>
      </c>
      <c r="G925">
        <f>1/2*$B$8*$B$6*$B$7*(Tabelle2[[#This Row],[vx]]*Tabelle2[[#This Row],[vx]]+Tabelle2[[#This Row],[vy]]*Tabelle2[[#This Row],[vy]])/1000000</f>
        <v>11.228040127926471</v>
      </c>
      <c r="H925">
        <f>IF($B$3,-Tabelle2[[#This Row],[Fd]]*Tabelle2[[#This Row],[vx]]/Tabelle2[[#This Row],[v]],0)</f>
        <v>-2.4221077436120044</v>
      </c>
      <c r="I925">
        <f t="shared" si="154"/>
        <v>-1.6147384957413362</v>
      </c>
      <c r="J925">
        <f t="shared" si="155"/>
        <v>-3.2294769914826722E-2</v>
      </c>
      <c r="K925">
        <f t="shared" si="156"/>
        <v>0.34340714268703593</v>
      </c>
      <c r="L925">
        <f>-$B$5*$B$12-IF($B$3,Tabelle2[[#This Row],[Fd]]*Tabelle2[[#This Row],[vy]]/Tabelle2[[#This Row],[v]],0)</f>
        <v>-3.7513199977078031</v>
      </c>
      <c r="M925">
        <f t="shared" si="157"/>
        <v>-2.5008799984718686</v>
      </c>
      <c r="N925">
        <f t="shared" si="158"/>
        <v>-5.0017599969437374E-2</v>
      </c>
      <c r="O925">
        <f t="shared" si="159"/>
        <v>-1.5563957500476082</v>
      </c>
      <c r="P925" s="1">
        <f t="shared" si="161"/>
        <v>17.18650451930921</v>
      </c>
      <c r="Q925" s="1">
        <f t="shared" si="162"/>
        <v>-77.794778702395689</v>
      </c>
      <c r="R925">
        <f>SQRT(Tabelle2[[#This Row],[vx]]*Tabelle2[[#This Row],[vx]]+Tabelle2[[#This Row],[vy]]*Tabelle2[[#This Row],[vy]])</f>
        <v>79.670593891014491</v>
      </c>
      <c r="S925">
        <f t="shared" si="163"/>
        <v>654.66449499047678</v>
      </c>
      <c r="T925" s="1">
        <f t="shared" si="164"/>
        <v>-389.31033005586568</v>
      </c>
    </row>
    <row r="926" spans="6:20" x14ac:dyDescent="0.35">
      <c r="F926" s="1">
        <f t="shared" si="160"/>
        <v>18.459999999999695</v>
      </c>
      <c r="G926">
        <f>1/2*$B$8*$B$6*$B$7*(Tabelle2[[#This Row],[vx]]*Tabelle2[[#This Row],[vx]]+Tabelle2[[#This Row],[vy]]*Tabelle2[[#This Row],[vy]])/1000000</f>
        <v>11.239848884579526</v>
      </c>
      <c r="H926">
        <f>IF($B$3,-Tabelle2[[#This Row],[Fd]]*Tabelle2[[#This Row],[vx]]/Tabelle2[[#This Row],[v]],0)</f>
        <v>-2.4188273783935532</v>
      </c>
      <c r="I926">
        <f t="shared" si="154"/>
        <v>-1.6125515855957022</v>
      </c>
      <c r="J926">
        <f t="shared" si="155"/>
        <v>-3.2251031711914048E-2</v>
      </c>
      <c r="K926">
        <f t="shared" si="156"/>
        <v>0.34276168467076851</v>
      </c>
      <c r="L926">
        <f>-$B$5*$B$12-IF($B$3,Tabelle2[[#This Row],[Fd]]*Tabelle2[[#This Row],[vy]]/Tabelle2[[#This Row],[v]],0)</f>
        <v>-3.7385034249667157</v>
      </c>
      <c r="M926">
        <f t="shared" si="157"/>
        <v>-2.492335616644477</v>
      </c>
      <c r="N926">
        <f t="shared" si="158"/>
        <v>-4.9846712332889544E-2</v>
      </c>
      <c r="O926">
        <f t="shared" si="159"/>
        <v>-1.5573943931706313</v>
      </c>
      <c r="P926" s="1">
        <f t="shared" si="161"/>
        <v>17.154209749394383</v>
      </c>
      <c r="Q926" s="1">
        <f t="shared" si="162"/>
        <v>-77.844796302365125</v>
      </c>
      <c r="R926">
        <f>SQRT(Tabelle2[[#This Row],[vx]]*Tabelle2[[#This Row],[vx]]+Tabelle2[[#This Row],[vy]]*Tabelle2[[#This Row],[vy]])</f>
        <v>79.712478467821683</v>
      </c>
      <c r="S926">
        <f t="shared" si="163"/>
        <v>655.00790213316384</v>
      </c>
      <c r="T926" s="1">
        <f t="shared" si="164"/>
        <v>-390.86672580591329</v>
      </c>
    </row>
    <row r="927" spans="6:20" x14ac:dyDescent="0.35">
      <c r="F927" s="1">
        <f t="shared" si="160"/>
        <v>18.479999999999695</v>
      </c>
      <c r="G927">
        <f>1/2*$B$8*$B$6*$B$7*(Tabelle2[[#This Row],[vx]]*Tabelle2[[#This Row],[vx]]+Tabelle2[[#This Row],[vy]]*Tabelle2[[#This Row],[vy]])/1000000</f>
        <v>11.251625738252148</v>
      </c>
      <c r="H927">
        <f>IF($B$3,-Tabelle2[[#This Row],[Fd]]*Tabelle2[[#This Row],[vx]]/Tabelle2[[#This Row],[v]],0)</f>
        <v>-2.4155443075068246</v>
      </c>
      <c r="I927">
        <f t="shared" si="154"/>
        <v>-1.6103628716712164</v>
      </c>
      <c r="J927">
        <f t="shared" si="155"/>
        <v>-3.2207257433424327E-2</v>
      </c>
      <c r="K927">
        <f t="shared" si="156"/>
        <v>0.34211710177931509</v>
      </c>
      <c r="L927">
        <f>-$B$5*$B$12-IF($B$3,Tabelle2[[#This Row],[Fd]]*Tabelle2[[#This Row],[vy]]/Tabelle2[[#This Row],[v]],0)</f>
        <v>-3.7257221596608279</v>
      </c>
      <c r="M927">
        <f t="shared" si="157"/>
        <v>-2.4838147731072184</v>
      </c>
      <c r="N927">
        <f t="shared" si="158"/>
        <v>-4.9676295462144367E-2</v>
      </c>
      <c r="O927">
        <f t="shared" si="159"/>
        <v>-1.5583896232485819</v>
      </c>
      <c r="P927" s="1">
        <f t="shared" si="161"/>
        <v>17.121958717682467</v>
      </c>
      <c r="Q927" s="1">
        <f t="shared" si="162"/>
        <v>-77.894643014698019</v>
      </c>
      <c r="R927">
        <f>SQRT(Tabelle2[[#This Row],[vx]]*Tabelle2[[#This Row],[vx]]+Tabelle2[[#This Row],[vy]]*Tabelle2[[#This Row],[vy]])</f>
        <v>79.754227980197172</v>
      </c>
      <c r="S927">
        <f t="shared" si="163"/>
        <v>655.35066381783463</v>
      </c>
      <c r="T927" s="1">
        <f t="shared" si="164"/>
        <v>-392.42412019908392</v>
      </c>
    </row>
    <row r="928" spans="6:20" x14ac:dyDescent="0.35">
      <c r="F928" s="1">
        <f t="shared" si="160"/>
        <v>18.499999999999694</v>
      </c>
      <c r="G928">
        <f>1/2*$B$8*$B$6*$B$7*(Tabelle2[[#This Row],[vx]]*Tabelle2[[#This Row],[vx]]+Tabelle2[[#This Row],[vy]]*Tabelle2[[#This Row],[vy]])/1000000</f>
        <v>11.263370715561864</v>
      </c>
      <c r="H928">
        <f>IF($B$3,-Tabelle2[[#This Row],[Fd]]*Tabelle2[[#This Row],[vx]]/Tabelle2[[#This Row],[v]],0)</f>
        <v>-2.4122585781095407</v>
      </c>
      <c r="I928">
        <f t="shared" si="154"/>
        <v>-1.6081723854063605</v>
      </c>
      <c r="J928">
        <f t="shared" si="155"/>
        <v>-3.2163447708127214E-2</v>
      </c>
      <c r="K928">
        <f t="shared" si="156"/>
        <v>0.34147339472789962</v>
      </c>
      <c r="L928">
        <f>-$B$5*$B$12-IF($B$3,Tabelle2[[#This Row],[Fd]]*Tabelle2[[#This Row],[vy]]/Tabelle2[[#This Row],[v]],0)</f>
        <v>-3.7129761666994412</v>
      </c>
      <c r="M928">
        <f t="shared" si="157"/>
        <v>-2.475317444466294</v>
      </c>
      <c r="N928">
        <f t="shared" si="158"/>
        <v>-4.9506348889325882E-2</v>
      </c>
      <c r="O928">
        <f t="shared" si="159"/>
        <v>-1.5593814496920968</v>
      </c>
      <c r="P928" s="1">
        <f t="shared" si="161"/>
        <v>17.089751460249044</v>
      </c>
      <c r="Q928" s="1">
        <f t="shared" si="162"/>
        <v>-77.944319310160168</v>
      </c>
      <c r="R928">
        <f>SQRT(Tabelle2[[#This Row],[vx]]*Tabelle2[[#This Row],[vx]]+Tabelle2[[#This Row],[vy]]*Tabelle2[[#This Row],[vy]])</f>
        <v>79.795842734426287</v>
      </c>
      <c r="S928">
        <f t="shared" si="163"/>
        <v>655.69278091961394</v>
      </c>
      <c r="T928" s="1">
        <f t="shared" si="164"/>
        <v>-393.98250982233247</v>
      </c>
    </row>
    <row r="929" spans="6:20" x14ac:dyDescent="0.35">
      <c r="F929" s="1">
        <f t="shared" si="160"/>
        <v>18.519999999999694</v>
      </c>
      <c r="G929">
        <f>1/2*$B$8*$B$6*$B$7*(Tabelle2[[#This Row],[vx]]*Tabelle2[[#This Row],[vx]]+Tabelle2[[#This Row],[vy]]*Tabelle2[[#This Row],[vy]])/1000000</f>
        <v>11.275083843602804</v>
      </c>
      <c r="H929">
        <f>IF($B$3,-Tabelle2[[#This Row],[Fd]]*Tabelle2[[#This Row],[vx]]/Tabelle2[[#This Row],[v]],0)</f>
        <v>-2.4089702371598354</v>
      </c>
      <c r="I929">
        <f t="shared" si="154"/>
        <v>-1.6059801581065569</v>
      </c>
      <c r="J929">
        <f t="shared" si="155"/>
        <v>-3.2119603162131138E-2</v>
      </c>
      <c r="K929">
        <f t="shared" si="156"/>
        <v>0.340830564219197</v>
      </c>
      <c r="L929">
        <f>-$B$5*$B$12-IF($B$3,Tabelle2[[#This Row],[Fd]]*Tabelle2[[#This Row],[vy]]/Tabelle2[[#This Row],[v]],0)</f>
        <v>-3.7002654105170993</v>
      </c>
      <c r="M929">
        <f t="shared" si="157"/>
        <v>-2.4668436070113997</v>
      </c>
      <c r="N929">
        <f t="shared" si="158"/>
        <v>-4.9336872140227993E-2</v>
      </c>
      <c r="O929">
        <f t="shared" si="159"/>
        <v>-1.5603698819023921</v>
      </c>
      <c r="P929" s="1">
        <f t="shared" si="161"/>
        <v>17.057588012540915</v>
      </c>
      <c r="Q929" s="1">
        <f t="shared" si="162"/>
        <v>-77.993825659049492</v>
      </c>
      <c r="R929">
        <f>SQRT(Tabelle2[[#This Row],[vx]]*Tabelle2[[#This Row],[vx]]+Tabelle2[[#This Row],[vy]]*Tabelle2[[#This Row],[vy]])</f>
        <v>79.837323037159678</v>
      </c>
      <c r="S929">
        <f t="shared" si="163"/>
        <v>656.03425431434187</v>
      </c>
      <c r="T929" s="1">
        <f t="shared" si="164"/>
        <v>-395.54189127202454</v>
      </c>
    </row>
    <row r="930" spans="6:20" x14ac:dyDescent="0.35">
      <c r="F930" s="1">
        <f t="shared" si="160"/>
        <v>18.539999999999694</v>
      </c>
      <c r="G930">
        <f>1/2*$B$8*$B$6*$B$7*(Tabelle2[[#This Row],[vx]]*Tabelle2[[#This Row],[vx]]+Tabelle2[[#This Row],[vy]]*Tabelle2[[#This Row],[vy]])/1000000</f>
        <v>11.286765149941264</v>
      </c>
      <c r="H930">
        <f>IF($B$3,-Tabelle2[[#This Row],[Fd]]*Tabelle2[[#This Row],[vx]]/Tabelle2[[#This Row],[v]],0)</f>
        <v>-2.4056793314161009</v>
      </c>
      <c r="I930">
        <f t="shared" si="154"/>
        <v>-1.6037862209440672</v>
      </c>
      <c r="J930">
        <f t="shared" si="155"/>
        <v>-3.2075724418881346E-2</v>
      </c>
      <c r="K930">
        <f t="shared" si="156"/>
        <v>0.34018861094338687</v>
      </c>
      <c r="L930">
        <f>-$B$5*$B$12-IF($B$3,Tabelle2[[#This Row],[Fd]]*Tabelle2[[#This Row],[vy]]/Tabelle2[[#This Row],[v]],0)</f>
        <v>-3.6875898550781194</v>
      </c>
      <c r="M930">
        <f t="shared" si="157"/>
        <v>-2.4583932367187464</v>
      </c>
      <c r="N930">
        <f t="shared" si="158"/>
        <v>-4.9167864734374928E-2</v>
      </c>
      <c r="O930">
        <f t="shared" si="159"/>
        <v>-1.5613549292711384</v>
      </c>
      <c r="P930" s="1">
        <f t="shared" si="161"/>
        <v>17.025468409378785</v>
      </c>
      <c r="Q930" s="1">
        <f t="shared" si="162"/>
        <v>-78.043162531189722</v>
      </c>
      <c r="R930">
        <f>SQRT(Tabelle2[[#This Row],[vx]]*Tabelle2[[#This Row],[vx]]+Tabelle2[[#This Row],[vy]]*Tabelle2[[#This Row],[vy]])</f>
        <v>79.878669195401912</v>
      </c>
      <c r="S930">
        <f t="shared" si="163"/>
        <v>656.3750848785611</v>
      </c>
      <c r="T930" s="1">
        <f t="shared" si="164"/>
        <v>-397.10226115392692</v>
      </c>
    </row>
    <row r="931" spans="6:20" x14ac:dyDescent="0.35">
      <c r="F931" s="1">
        <f t="shared" si="160"/>
        <v>18.559999999999693</v>
      </c>
      <c r="G931">
        <f>1/2*$B$8*$B$6*$B$7*(Tabelle2[[#This Row],[vx]]*Tabelle2[[#This Row],[vx]]+Tabelle2[[#This Row],[vy]]*Tabelle2[[#This Row],[vy]])/1000000</f>
        <v>11.298414662611304</v>
      </c>
      <c r="H931">
        <f>IF($B$3,-Tabelle2[[#This Row],[Fd]]*Tabelle2[[#This Row],[vx]]/Tabelle2[[#This Row],[v]],0)</f>
        <v>-2.4023859074368494</v>
      </c>
      <c r="I931">
        <f t="shared" si="154"/>
        <v>-1.6015906049578996</v>
      </c>
      <c r="J931">
        <f t="shared" si="155"/>
        <v>-3.2031812099157994E-2</v>
      </c>
      <c r="K931">
        <f t="shared" si="156"/>
        <v>0.33954753557820655</v>
      </c>
      <c r="L931">
        <f>-$B$5*$B$12-IF($B$3,Tabelle2[[#This Row],[Fd]]*Tabelle2[[#This Row],[vy]]/Tabelle2[[#This Row],[v]],0)</f>
        <v>-3.6749494638811129</v>
      </c>
      <c r="M931">
        <f t="shared" si="157"/>
        <v>-2.4499663092540751</v>
      </c>
      <c r="N931">
        <f t="shared" si="158"/>
        <v>-4.8999326185081502E-2</v>
      </c>
      <c r="O931">
        <f t="shared" si="159"/>
        <v>-1.5623366011803328</v>
      </c>
      <c r="P931" s="1">
        <f t="shared" si="161"/>
        <v>16.993392684959904</v>
      </c>
      <c r="Q931" s="1">
        <f t="shared" si="162"/>
        <v>-78.092330395924094</v>
      </c>
      <c r="R931">
        <f>SQRT(Tabelle2[[#This Row],[vx]]*Tabelle2[[#This Row],[vx]]+Tabelle2[[#This Row],[vy]]*Tabelle2[[#This Row],[vy]])</f>
        <v>79.919881516500126</v>
      </c>
      <c r="S931">
        <f t="shared" si="163"/>
        <v>656.71527348950451</v>
      </c>
      <c r="T931" s="1">
        <f t="shared" si="164"/>
        <v>-398.66361608319806</v>
      </c>
    </row>
    <row r="932" spans="6:20" x14ac:dyDescent="0.35">
      <c r="F932" s="1">
        <f t="shared" si="160"/>
        <v>18.579999999999693</v>
      </c>
      <c r="G932">
        <f>1/2*$B$8*$B$6*$B$7*(Tabelle2[[#This Row],[vx]]*Tabelle2[[#This Row],[vx]]+Tabelle2[[#This Row],[vy]]*Tabelle2[[#This Row],[vy]])/1000000</f>
        <v>11.310032410110383</v>
      </c>
      <c r="H932">
        <f>IF($B$3,-Tabelle2[[#This Row],[Fd]]*Tabelle2[[#This Row],[vx]]/Tabelle2[[#This Row],[v]],0)</f>
        <v>-2.3990900115805855</v>
      </c>
      <c r="I932">
        <f t="shared" si="154"/>
        <v>-1.5993933410537238</v>
      </c>
      <c r="J932">
        <f t="shared" si="155"/>
        <v>-3.1987866821074476E-2</v>
      </c>
      <c r="K932">
        <f t="shared" si="156"/>
        <v>0.33890733878900414</v>
      </c>
      <c r="L932">
        <f>-$B$5*$B$12-IF($B$3,Tabelle2[[#This Row],[Fd]]*Tabelle2[[#This Row],[vy]]/Tabelle2[[#This Row],[v]],0)</f>
        <v>-3.662344199963453</v>
      </c>
      <c r="M932">
        <f t="shared" si="157"/>
        <v>-2.4415627999756353</v>
      </c>
      <c r="N932">
        <f t="shared" si="158"/>
        <v>-4.8831255999512706E-2</v>
      </c>
      <c r="O932">
        <f t="shared" si="159"/>
        <v>-1.5633149070021788</v>
      </c>
      <c r="P932" s="1">
        <f t="shared" si="161"/>
        <v>16.961360872860745</v>
      </c>
      <c r="Q932" s="1">
        <f t="shared" si="162"/>
        <v>-78.141329722109177</v>
      </c>
      <c r="R932">
        <f>SQRT(Tabelle2[[#This Row],[vx]]*Tabelle2[[#This Row],[vx]]+Tabelle2[[#This Row],[vy]]*Tabelle2[[#This Row],[vy]])</f>
        <v>79.96096030813284</v>
      </c>
      <c r="S932">
        <f t="shared" si="163"/>
        <v>657.05482102508267</v>
      </c>
      <c r="T932" s="1">
        <f t="shared" si="164"/>
        <v>-400.2259526843784</v>
      </c>
    </row>
    <row r="933" spans="6:20" x14ac:dyDescent="0.35">
      <c r="F933" s="1">
        <f t="shared" si="160"/>
        <v>18.599999999999692</v>
      </c>
      <c r="G933">
        <f>1/2*$B$8*$B$6*$B$7*(Tabelle2[[#This Row],[vx]]*Tabelle2[[#This Row],[vx]]+Tabelle2[[#This Row],[vy]]*Tabelle2[[#This Row],[vy]])/1000000</f>
        <v>11.321618421394991</v>
      </c>
      <c r="H933">
        <f>IF($B$3,-Tabelle2[[#This Row],[Fd]]*Tabelle2[[#This Row],[vx]]/Tabelle2[[#This Row],[v]],0)</f>
        <v>-2.395791690005693</v>
      </c>
      <c r="I933">
        <f t="shared" si="154"/>
        <v>-1.5971944600037953</v>
      </c>
      <c r="J933">
        <f t="shared" si="155"/>
        <v>-3.1943889200075903E-2</v>
      </c>
      <c r="K933">
        <f t="shared" si="156"/>
        <v>0.33826802122879257</v>
      </c>
      <c r="L933">
        <f>-$B$5*$B$12-IF($B$3,Tabelle2[[#This Row],[Fd]]*Tabelle2[[#This Row],[vy]]/Tabelle2[[#This Row],[v]],0)</f>
        <v>-3.6497740259057494</v>
      </c>
      <c r="M933">
        <f t="shared" si="157"/>
        <v>-2.4331826839371664</v>
      </c>
      <c r="N933">
        <f t="shared" si="158"/>
        <v>-4.8663653678743327E-2</v>
      </c>
      <c r="O933">
        <f t="shared" si="159"/>
        <v>-1.5642898560989613</v>
      </c>
      <c r="P933" s="1">
        <f t="shared" si="161"/>
        <v>16.929373006039668</v>
      </c>
      <c r="Q933" s="1">
        <f t="shared" si="162"/>
        <v>-78.190160978108693</v>
      </c>
      <c r="R933">
        <f>SQRT(Tabelle2[[#This Row],[vx]]*Tabelle2[[#This Row],[vx]]+Tabelle2[[#This Row],[vy]]*Tabelle2[[#This Row],[vy]])</f>
        <v>80.001905878298771</v>
      </c>
      <c r="S933">
        <f t="shared" si="163"/>
        <v>657.39372836387167</v>
      </c>
      <c r="T933" s="1">
        <f t="shared" si="164"/>
        <v>-401.78926759138056</v>
      </c>
    </row>
    <row r="934" spans="6:20" x14ac:dyDescent="0.35">
      <c r="F934" s="1">
        <f t="shared" si="160"/>
        <v>18.619999999999692</v>
      </c>
      <c r="G934">
        <f>1/2*$B$8*$B$6*$B$7*(Tabelle2[[#This Row],[vx]]*Tabelle2[[#This Row],[vx]]+Tabelle2[[#This Row],[vy]]*Tabelle2[[#This Row],[vy]])/1000000</f>
        <v>11.333172725876306</v>
      </c>
      <c r="H934">
        <f>IF($B$3,-Tabelle2[[#This Row],[Fd]]*Tabelle2[[#This Row],[vx]]/Tabelle2[[#This Row],[v]],0)</f>
        <v>-2.3924909886703247</v>
      </c>
      <c r="I934">
        <f t="shared" si="154"/>
        <v>-1.5949939924468832</v>
      </c>
      <c r="J934">
        <f t="shared" si="155"/>
        <v>-3.1899879848937662E-2</v>
      </c>
      <c r="K934">
        <f t="shared" si="156"/>
        <v>0.33762958353830252</v>
      </c>
      <c r="L934">
        <f>-$B$5*$B$12-IF($B$3,Tabelle2[[#This Row],[Fd]]*Tabelle2[[#This Row],[vy]]/Tabelle2[[#This Row],[v]],0)</f>
        <v>-3.6372389038363053</v>
      </c>
      <c r="M934">
        <f t="shared" si="157"/>
        <v>-2.4248259358908704</v>
      </c>
      <c r="N934">
        <f t="shared" si="158"/>
        <v>-4.8496518717817405E-2</v>
      </c>
      <c r="O934">
        <f t="shared" si="159"/>
        <v>-1.5652614578229271</v>
      </c>
      <c r="P934" s="1">
        <f t="shared" si="161"/>
        <v>16.897429116839593</v>
      </c>
      <c r="Q934" s="1">
        <f t="shared" si="162"/>
        <v>-78.238824631787438</v>
      </c>
      <c r="R934">
        <f>SQRT(Tabelle2[[#This Row],[vx]]*Tabelle2[[#This Row],[vx]]+Tabelle2[[#This Row],[vy]]*Tabelle2[[#This Row],[vy]])</f>
        <v>80.042718535305937</v>
      </c>
      <c r="S934">
        <f t="shared" si="163"/>
        <v>657.7319963851005</v>
      </c>
      <c r="T934" s="1">
        <f t="shared" si="164"/>
        <v>-403.35355744747955</v>
      </c>
    </row>
    <row r="935" spans="6:20" x14ac:dyDescent="0.35">
      <c r="F935" s="1">
        <f t="shared" si="160"/>
        <v>18.639999999999691</v>
      </c>
      <c r="G935">
        <f>1/2*$B$8*$B$6*$B$7*(Tabelle2[[#This Row],[vx]]*Tabelle2[[#This Row],[vx]]+Tabelle2[[#This Row],[vy]]*Tabelle2[[#This Row],[vy]])/1000000</f>
        <v>11.344695353415876</v>
      </c>
      <c r="H935">
        <f>IF($B$3,-Tabelle2[[#This Row],[Fd]]*Tabelle2[[#This Row],[vx]]/Tabelle2[[#This Row],[v]],0)</f>
        <v>-2.3891879533323124</v>
      </c>
      <c r="I935">
        <f t="shared" si="154"/>
        <v>-1.5927919688882082</v>
      </c>
      <c r="J935">
        <f t="shared" si="155"/>
        <v>-3.1855839377764164E-2</v>
      </c>
      <c r="K935">
        <f t="shared" si="156"/>
        <v>0.33699202634603553</v>
      </c>
      <c r="L935">
        <f>-$B$5*$B$12-IF($B$3,Tabelle2[[#This Row],[Fd]]*Tabelle2[[#This Row],[vy]]/Tabelle2[[#This Row],[v]],0)</f>
        <v>-3.6247387954355403</v>
      </c>
      <c r="M935">
        <f t="shared" si="157"/>
        <v>-2.4164925302903604</v>
      </c>
      <c r="N935">
        <f t="shared" si="158"/>
        <v>-4.8329850605807211E-2</v>
      </c>
      <c r="O935">
        <f t="shared" si="159"/>
        <v>-1.5662297215161629</v>
      </c>
      <c r="P935" s="1">
        <f t="shared" si="161"/>
        <v>16.865529236990657</v>
      </c>
      <c r="Q935" s="1">
        <f t="shared" si="162"/>
        <v>-78.28732115050525</v>
      </c>
      <c r="R935">
        <f>SQRT(Tabelle2[[#This Row],[vx]]*Tabelle2[[#This Row],[vx]]+Tabelle2[[#This Row],[vy]]*Tabelle2[[#This Row],[vy]])</f>
        <v>80.083398587760584</v>
      </c>
      <c r="S935">
        <f t="shared" si="163"/>
        <v>658.06962596863877</v>
      </c>
      <c r="T935" s="1">
        <f t="shared" si="164"/>
        <v>-404.91881890530249</v>
      </c>
    </row>
    <row r="936" spans="6:20" x14ac:dyDescent="0.35">
      <c r="F936" s="1">
        <f t="shared" si="160"/>
        <v>18.659999999999691</v>
      </c>
      <c r="G936">
        <f>1/2*$B$8*$B$6*$B$7*(Tabelle2[[#This Row],[vx]]*Tabelle2[[#This Row],[vx]]+Tabelle2[[#This Row],[vy]]*Tabelle2[[#This Row],[vy]])/1000000</f>
        <v>11.356186334321324</v>
      </c>
      <c r="H936">
        <f>IF($B$3,-Tabelle2[[#This Row],[Fd]]*Tabelle2[[#This Row],[vx]]/Tabelle2[[#This Row],[v]],0)</f>
        <v>-2.3858826295490805</v>
      </c>
      <c r="I936">
        <f t="shared" si="154"/>
        <v>-1.5905884196993869</v>
      </c>
      <c r="J936">
        <f t="shared" si="155"/>
        <v>-3.1811768393987735E-2</v>
      </c>
      <c r="K936">
        <f t="shared" si="156"/>
        <v>0.33635535026831798</v>
      </c>
      <c r="L936">
        <f>-$B$5*$B$12-IF($B$3,Tabelle2[[#This Row],[Fd]]*Tabelle2[[#This Row],[vy]]/Tabelle2[[#This Row],[v]],0)</f>
        <v>-3.6122736619403994</v>
      </c>
      <c r="M936">
        <f t="shared" si="157"/>
        <v>-2.4081824412935995</v>
      </c>
      <c r="N936">
        <f t="shared" si="158"/>
        <v>-4.8163648825871992E-2</v>
      </c>
      <c r="O936">
        <f t="shared" si="159"/>
        <v>-1.56719465651048</v>
      </c>
      <c r="P936" s="1">
        <f t="shared" si="161"/>
        <v>16.833673397612891</v>
      </c>
      <c r="Q936" s="1">
        <f t="shared" si="162"/>
        <v>-78.33565100111106</v>
      </c>
      <c r="R936">
        <f>SQRT(Tabelle2[[#This Row],[vx]]*Tabelle2[[#This Row],[vx]]+Tabelle2[[#This Row],[vy]]*Tabelle2[[#This Row],[vy]])</f>
        <v>80.123946344556515</v>
      </c>
      <c r="S936">
        <f t="shared" si="163"/>
        <v>658.4066179949848</v>
      </c>
      <c r="T936" s="1">
        <f t="shared" si="164"/>
        <v>-406.48504862681864</v>
      </c>
    </row>
    <row r="937" spans="6:20" x14ac:dyDescent="0.35">
      <c r="F937" s="1">
        <f t="shared" si="160"/>
        <v>18.679999999999691</v>
      </c>
      <c r="G937">
        <f>1/2*$B$8*$B$6*$B$7*(Tabelle2[[#This Row],[vx]]*Tabelle2[[#This Row],[vx]]+Tabelle2[[#This Row],[vy]]*Tabelle2[[#This Row],[vy]])/1000000</f>
        <v>11.367645699342052</v>
      </c>
      <c r="H937">
        <f>IF($B$3,-Tabelle2[[#This Row],[Fd]]*Tabelle2[[#This Row],[vx]]/Tabelle2[[#This Row],[v]],0)</f>
        <v>-2.3825750626775748</v>
      </c>
      <c r="I937">
        <f t="shared" si="154"/>
        <v>-1.5883833751183831</v>
      </c>
      <c r="J937">
        <f t="shared" si="155"/>
        <v>-3.1767667502367661E-2</v>
      </c>
      <c r="K937">
        <f t="shared" si="156"/>
        <v>0.33571955590935448</v>
      </c>
      <c r="L937">
        <f>-$B$5*$B$12-IF($B$3,Tabelle2[[#This Row],[Fd]]*Tabelle2[[#This Row],[vy]]/Tabelle2[[#This Row],[v]],0)</f>
        <v>-3.599843464148746</v>
      </c>
      <c r="M937">
        <f t="shared" si="157"/>
        <v>-2.3998956427658307</v>
      </c>
      <c r="N937">
        <f t="shared" si="158"/>
        <v>-4.7997912855316613E-2</v>
      </c>
      <c r="O937">
        <f t="shared" si="159"/>
        <v>-1.5681562721272919</v>
      </c>
      <c r="P937" s="1">
        <f t="shared" si="161"/>
        <v>16.801861629218905</v>
      </c>
      <c r="Q937" s="1">
        <f t="shared" si="162"/>
        <v>-78.383814649936937</v>
      </c>
      <c r="R937">
        <f>SQRT(Tabelle2[[#This Row],[vx]]*Tabelle2[[#This Row],[vx]]+Tabelle2[[#This Row],[vy]]*Tabelle2[[#This Row],[vy]])</f>
        <v>80.164362114864275</v>
      </c>
      <c r="S937">
        <f t="shared" si="163"/>
        <v>658.74297334525306</v>
      </c>
      <c r="T937" s="1">
        <f t="shared" si="164"/>
        <v>-408.05224328332912</v>
      </c>
    </row>
    <row r="938" spans="6:20" x14ac:dyDescent="0.35">
      <c r="F938" s="1">
        <f t="shared" si="160"/>
        <v>18.69999999999969</v>
      </c>
      <c r="G938">
        <f>1/2*$B$8*$B$6*$B$7*(Tabelle2[[#This Row],[vx]]*Tabelle2[[#This Row],[vx]]+Tabelle2[[#This Row],[vy]]*Tabelle2[[#This Row],[vy]])/1000000</f>
        <v>11.379073479664978</v>
      </c>
      <c r="H938">
        <f>IF($B$3,-Tabelle2[[#This Row],[Fd]]*Tabelle2[[#This Row],[vx]]/Tabelle2[[#This Row],[v]],0)</f>
        <v>-2.379265297874197</v>
      </c>
      <c r="I938">
        <f t="shared" si="154"/>
        <v>-1.5861768652494648</v>
      </c>
      <c r="J938">
        <f t="shared" si="155"/>
        <v>-3.1723537304989294E-2</v>
      </c>
      <c r="K938">
        <f t="shared" si="156"/>
        <v>0.33508464386128084</v>
      </c>
      <c r="L938">
        <f>-$B$5*$B$12-IF($B$3,Tabelle2[[#This Row],[Fd]]*Tabelle2[[#This Row],[vy]]/Tabelle2[[#This Row],[v]],0)</f>
        <v>-3.5874481624237564</v>
      </c>
      <c r="M938">
        <f t="shared" si="157"/>
        <v>-2.3916321082825043</v>
      </c>
      <c r="N938">
        <f t="shared" si="158"/>
        <v>-4.7832642165650086E-2</v>
      </c>
      <c r="O938">
        <f t="shared" si="159"/>
        <v>-1.5691145776775017</v>
      </c>
      <c r="P938" s="1">
        <f t="shared" si="161"/>
        <v>16.770093961716537</v>
      </c>
      <c r="Q938" s="1">
        <f t="shared" si="162"/>
        <v>-78.43181256279226</v>
      </c>
      <c r="R938">
        <f>SQRT(Tabelle2[[#This Row],[vx]]*Tabelle2[[#This Row],[vx]]+Tabelle2[[#This Row],[vy]]*Tabelle2[[#This Row],[vy]])</f>
        <v>80.204646208120508</v>
      </c>
      <c r="S938">
        <f t="shared" si="163"/>
        <v>659.07869290116241</v>
      </c>
      <c r="T938" s="1">
        <f t="shared" si="164"/>
        <v>-409.6203995554564</v>
      </c>
    </row>
    <row r="939" spans="6:20" x14ac:dyDescent="0.35">
      <c r="F939" s="1">
        <f t="shared" si="160"/>
        <v>18.71999999999969</v>
      </c>
      <c r="G939">
        <f>1/2*$B$8*$B$6*$B$7*(Tabelle2[[#This Row],[vx]]*Tabelle2[[#This Row],[vx]]+Tabelle2[[#This Row],[vy]]*Tabelle2[[#This Row],[vy]])/1000000</f>
        <v>11.3904697069103</v>
      </c>
      <c r="H939">
        <f>IF($B$3,-Tabelle2[[#This Row],[Fd]]*Tabelle2[[#This Row],[vx]]/Tabelle2[[#This Row],[v]],0)</f>
        <v>-2.3759533800947592</v>
      </c>
      <c r="I939">
        <f t="shared" si="154"/>
        <v>-1.5839689200631728</v>
      </c>
      <c r="J939">
        <f t="shared" si="155"/>
        <v>-3.1679378401263454E-2</v>
      </c>
      <c r="K939">
        <f t="shared" si="156"/>
        <v>0.33445061470421833</v>
      </c>
      <c r="L939">
        <f>-$B$5*$B$12-IF($B$3,Tabelle2[[#This Row],[Fd]]*Tabelle2[[#This Row],[vy]]/Tabelle2[[#This Row],[v]],0)</f>
        <v>-3.5750877166982349</v>
      </c>
      <c r="M939">
        <f t="shared" si="157"/>
        <v>-2.3833918111321566</v>
      </c>
      <c r="N939">
        <f t="shared" si="158"/>
        <v>-4.7667836222643131E-2</v>
      </c>
      <c r="O939">
        <f t="shared" si="159"/>
        <v>-1.5700695824613846</v>
      </c>
      <c r="P939" s="1">
        <f t="shared" si="161"/>
        <v>16.738370424411549</v>
      </c>
      <c r="Q939" s="1">
        <f t="shared" si="162"/>
        <v>-78.479645204957905</v>
      </c>
      <c r="R939">
        <f>SQRT(Tabelle2[[#This Row],[vx]]*Tabelle2[[#This Row],[vx]]+Tabelle2[[#This Row],[vy]]*Tabelle2[[#This Row],[vy]])</f>
        <v>80.244798934017439</v>
      </c>
      <c r="S939">
        <f t="shared" si="163"/>
        <v>659.41377754502366</v>
      </c>
      <c r="T939" s="1">
        <f t="shared" si="164"/>
        <v>-411.18951413313391</v>
      </c>
    </row>
    <row r="940" spans="6:20" x14ac:dyDescent="0.35">
      <c r="F940" s="1">
        <f t="shared" si="160"/>
        <v>18.739999999999689</v>
      </c>
      <c r="G940">
        <f>1/2*$B$8*$B$6*$B$7*(Tabelle2[[#This Row],[vx]]*Tabelle2[[#This Row],[vx]]+Tabelle2[[#This Row],[vy]]*Tabelle2[[#This Row],[vy]])/1000000</f>
        <v>11.401834413127274</v>
      </c>
      <c r="H940">
        <f>IF($B$3,-Tabelle2[[#This Row],[Fd]]*Tabelle2[[#This Row],[vx]]/Tabelle2[[#This Row],[v]],0)</f>
        <v>-2.3726393540944346</v>
      </c>
      <c r="I940">
        <f t="shared" si="154"/>
        <v>-1.5817595693962898</v>
      </c>
      <c r="J940">
        <f t="shared" si="155"/>
        <v>-3.1635191387925796E-2</v>
      </c>
      <c r="K940">
        <f t="shared" si="156"/>
        <v>0.33381746900632642</v>
      </c>
      <c r="L940">
        <f>-$B$5*$B$12-IF($B$3,Tabelle2[[#This Row],[Fd]]*Tabelle2[[#This Row],[vy]]/Tabelle2[[#This Row],[v]],0)</f>
        <v>-3.562762086478978</v>
      </c>
      <c r="M940">
        <f t="shared" si="157"/>
        <v>-2.3751747243193186</v>
      </c>
      <c r="N940">
        <f t="shared" si="158"/>
        <v>-4.7503494486386376E-2</v>
      </c>
      <c r="O940">
        <f t="shared" si="159"/>
        <v>-1.5710212957684748</v>
      </c>
      <c r="P940" s="1">
        <f t="shared" si="161"/>
        <v>16.706691046010285</v>
      </c>
      <c r="Q940" s="1">
        <f t="shared" si="162"/>
        <v>-78.527313041180548</v>
      </c>
      <c r="R940">
        <f>SQRT(Tabelle2[[#This Row],[vx]]*Tabelle2[[#This Row],[vx]]+Tabelle2[[#This Row],[vy]]*Tabelle2[[#This Row],[vy]])</f>
        <v>80.284820602492502</v>
      </c>
      <c r="S940">
        <f t="shared" si="163"/>
        <v>659.74822815972789</v>
      </c>
      <c r="T940" s="1">
        <f t="shared" si="164"/>
        <v>-412.75958371559528</v>
      </c>
    </row>
    <row r="941" spans="6:20" x14ac:dyDescent="0.35">
      <c r="F941" s="1">
        <f t="shared" si="160"/>
        <v>18.759999999999689</v>
      </c>
      <c r="G941">
        <f>1/2*$B$8*$B$6*$B$7*(Tabelle2[[#This Row],[vx]]*Tabelle2[[#This Row],[vx]]+Tabelle2[[#This Row],[vy]]*Tabelle2[[#This Row],[vy]])/1000000</f>
        <v>11.413167630789992</v>
      </c>
      <c r="H941">
        <f>IF($B$3,-Tabelle2[[#This Row],[Fd]]*Tabelle2[[#This Row],[vx]]/Tabelle2[[#This Row],[v]],0)</f>
        <v>-2.3693232644277313</v>
      </c>
      <c r="I941">
        <f t="shared" si="154"/>
        <v>-1.579548842951821</v>
      </c>
      <c r="J941">
        <f t="shared" si="155"/>
        <v>-3.1590976859036418E-2</v>
      </c>
      <c r="K941">
        <f t="shared" si="156"/>
        <v>0.33318520732385681</v>
      </c>
      <c r="L941">
        <f>-$B$5*$B$12-IF($B$3,Tabelle2[[#This Row],[Fd]]*Tabelle2[[#This Row],[vy]]/Tabelle2[[#This Row],[v]],0)</f>
        <v>-3.5504712308510769</v>
      </c>
      <c r="M941">
        <f t="shared" si="157"/>
        <v>-2.3669808205673846</v>
      </c>
      <c r="N941">
        <f t="shared" si="158"/>
        <v>-4.7339616411347693E-2</v>
      </c>
      <c r="O941">
        <f t="shared" si="159"/>
        <v>-1.5719697268774522</v>
      </c>
      <c r="P941" s="1">
        <f t="shared" si="161"/>
        <v>16.675055854622357</v>
      </c>
      <c r="Q941" s="1">
        <f t="shared" si="162"/>
        <v>-78.57481653566694</v>
      </c>
      <c r="R941">
        <f>SQRT(Tabelle2[[#This Row],[vx]]*Tabelle2[[#This Row],[vx]]+Tabelle2[[#This Row],[vy]]*Tabelle2[[#This Row],[vy]])</f>
        <v>80.324711523717866</v>
      </c>
      <c r="S941">
        <f t="shared" si="163"/>
        <v>660.08204562873425</v>
      </c>
      <c r="T941" s="1">
        <f t="shared" si="164"/>
        <v>-414.33060501136379</v>
      </c>
    </row>
    <row r="942" spans="6:20" x14ac:dyDescent="0.35">
      <c r="F942" s="1">
        <f t="shared" si="160"/>
        <v>18.779999999999688</v>
      </c>
      <c r="G942">
        <f>1/2*$B$8*$B$6*$B$7*(Tabelle2[[#This Row],[vx]]*Tabelle2[[#This Row],[vx]]+Tabelle2[[#This Row],[vy]]*Tabelle2[[#This Row],[vy]])/1000000</f>
        <v>11.42446939279321</v>
      </c>
      <c r="H942">
        <f>IF($B$3,-Tabelle2[[#This Row],[Fd]]*Tabelle2[[#This Row],[vx]]/Tabelle2[[#This Row],[v]],0)</f>
        <v>-2.3660051554484705</v>
      </c>
      <c r="I942">
        <f t="shared" si="154"/>
        <v>-1.5773367702989802</v>
      </c>
      <c r="J942">
        <f t="shared" si="155"/>
        <v>-3.1546735405979603E-2</v>
      </c>
      <c r="K942">
        <f t="shared" si="156"/>
        <v>0.3325538302012066</v>
      </c>
      <c r="L942">
        <f>-$B$5*$B$12-IF($B$3,Tabelle2[[#This Row],[Fd]]*Tabelle2[[#This Row],[vy]]/Tabelle2[[#This Row],[v]],0)</f>
        <v>-3.5382151084822198</v>
      </c>
      <c r="M942">
        <f t="shared" si="157"/>
        <v>-2.35881007232148</v>
      </c>
      <c r="N942">
        <f t="shared" si="158"/>
        <v>-4.7176201446429603E-2</v>
      </c>
      <c r="O942">
        <f t="shared" si="159"/>
        <v>-1.5729148850560302</v>
      </c>
      <c r="P942" s="1">
        <f t="shared" si="161"/>
        <v>16.643464877763321</v>
      </c>
      <c r="Q942" s="1">
        <f t="shared" si="162"/>
        <v>-78.62215615207829</v>
      </c>
      <c r="R942">
        <f>SQRT(Tabelle2[[#This Row],[vx]]*Tabelle2[[#This Row],[vx]]+Tabelle2[[#This Row],[vy]]*Tabelle2[[#This Row],[vy]])</f>
        <v>80.36447200809026</v>
      </c>
      <c r="S942">
        <f t="shared" si="163"/>
        <v>660.41523083605807</v>
      </c>
      <c r="T942" s="1">
        <f t="shared" si="164"/>
        <v>-415.90257473824124</v>
      </c>
    </row>
    <row r="943" spans="6:20" x14ac:dyDescent="0.35">
      <c r="F943" s="1">
        <f t="shared" si="160"/>
        <v>18.799999999999688</v>
      </c>
      <c r="G943">
        <f>1/2*$B$8*$B$6*$B$7*(Tabelle2[[#This Row],[vx]]*Tabelle2[[#This Row],[vx]]+Tabelle2[[#This Row],[vy]]*Tabelle2[[#This Row],[vy]])/1000000</f>
        <v>11.435739732448177</v>
      </c>
      <c r="H943">
        <f>IF($B$3,-Tabelle2[[#This Row],[Fd]]*Tabelle2[[#This Row],[vx]]/Tabelle2[[#This Row],[v]],0)</f>
        <v>-2.3626850713097718</v>
      </c>
      <c r="I943">
        <f t="shared" si="154"/>
        <v>-1.5751233808731813</v>
      </c>
      <c r="J943">
        <f t="shared" si="155"/>
        <v>-3.1502467617463628E-2</v>
      </c>
      <c r="K943">
        <f t="shared" si="156"/>
        <v>0.33192333817097225</v>
      </c>
      <c r="L943">
        <f>-$B$5*$B$12-IF($B$3,Tabelle2[[#This Row],[Fd]]*Tabelle2[[#This Row],[vy]]/Tabelle2[[#This Row],[v]],0)</f>
        <v>-3.5259936776269605</v>
      </c>
      <c r="M943">
        <f t="shared" si="157"/>
        <v>-2.3506624517513068</v>
      </c>
      <c r="N943">
        <f t="shared" si="158"/>
        <v>-4.7013249035026135E-2</v>
      </c>
      <c r="O943">
        <f t="shared" si="159"/>
        <v>-1.5738567795608447</v>
      </c>
      <c r="P943" s="1">
        <f t="shared" si="161"/>
        <v>16.611918142357343</v>
      </c>
      <c r="Q943" s="1">
        <f t="shared" si="162"/>
        <v>-78.669332353524723</v>
      </c>
      <c r="R943">
        <f>SQRT(Tabelle2[[#This Row],[vx]]*Tabelle2[[#This Row],[vx]]+Tabelle2[[#This Row],[vy]]*Tabelle2[[#This Row],[vy]])</f>
        <v>80.404102366220798</v>
      </c>
      <c r="S943">
        <f t="shared" si="163"/>
        <v>660.74778466625924</v>
      </c>
      <c r="T943" s="1">
        <f t="shared" si="164"/>
        <v>-417.47548962329728</v>
      </c>
    </row>
    <row r="944" spans="6:20" x14ac:dyDescent="0.35">
      <c r="F944" s="1">
        <f t="shared" si="160"/>
        <v>18.819999999999688</v>
      </c>
      <c r="G944">
        <f>1/2*$B$8*$B$6*$B$7*(Tabelle2[[#This Row],[vx]]*Tabelle2[[#This Row],[vx]]+Tabelle2[[#This Row],[vy]]*Tabelle2[[#This Row],[vy]])/1000000</f>
        <v>11.446978683478488</v>
      </c>
      <c r="H944">
        <f>IF($B$3,-Tabelle2[[#This Row],[Fd]]*Tabelle2[[#This Row],[vx]]/Tabelle2[[#This Row],[v]],0)</f>
        <v>-2.3593630559640553</v>
      </c>
      <c r="I944">
        <f t="shared" si="154"/>
        <v>-1.5729087039760368</v>
      </c>
      <c r="J944">
        <f t="shared" si="155"/>
        <v>-3.1458174079520736E-2</v>
      </c>
      <c r="K944">
        <f t="shared" si="156"/>
        <v>0.3312937317540024</v>
      </c>
      <c r="L944">
        <f>-$B$5*$B$12-IF($B$3,Tabelle2[[#This Row],[Fd]]*Tabelle2[[#This Row],[vy]]/Tabelle2[[#This Row],[v]],0)</f>
        <v>-3.5138068961309816</v>
      </c>
      <c r="M944">
        <f t="shared" si="157"/>
        <v>-2.3425379307539878</v>
      </c>
      <c r="N944">
        <f t="shared" si="158"/>
        <v>-4.6850758615079757E-2</v>
      </c>
      <c r="O944">
        <f t="shared" si="159"/>
        <v>-1.5747954196373459</v>
      </c>
      <c r="P944" s="1">
        <f t="shared" si="161"/>
        <v>16.580415674739879</v>
      </c>
      <c r="Q944" s="1">
        <f t="shared" si="162"/>
        <v>-78.716345602559755</v>
      </c>
      <c r="R944">
        <f>SQRT(Tabelle2[[#This Row],[vx]]*Tabelle2[[#This Row],[vx]]+Tabelle2[[#This Row],[vy]]*Tabelle2[[#This Row],[vy]])</f>
        <v>80.443602908924888</v>
      </c>
      <c r="S944">
        <f t="shared" si="163"/>
        <v>661.07970800443024</v>
      </c>
      <c r="T944" s="1">
        <f t="shared" si="164"/>
        <v>-419.04934640285813</v>
      </c>
    </row>
    <row r="945" spans="6:20" x14ac:dyDescent="0.35">
      <c r="F945" s="1">
        <f t="shared" si="160"/>
        <v>18.839999999999687</v>
      </c>
      <c r="G945">
        <f>1/2*$B$8*$B$6*$B$7*(Tabelle2[[#This Row],[vx]]*Tabelle2[[#This Row],[vx]]+Tabelle2[[#This Row],[vy]]*Tabelle2[[#This Row],[vy]])/1000000</f>
        <v>11.458186280015953</v>
      </c>
      <c r="H945">
        <f>IF($B$3,-Tabelle2[[#This Row],[Fd]]*Tabelle2[[#This Row],[vx]]/Tabelle2[[#This Row],[v]],0)</f>
        <v>-2.3560391531630476</v>
      </c>
      <c r="I945">
        <f t="shared" si="154"/>
        <v>-1.5706927687753651</v>
      </c>
      <c r="J945">
        <f t="shared" si="155"/>
        <v>-3.1413855375507303E-2</v>
      </c>
      <c r="K945">
        <f t="shared" si="156"/>
        <v>0.3306650114594521</v>
      </c>
      <c r="L945">
        <f>-$B$5*$B$12-IF($B$3,Tabelle2[[#This Row],[Fd]]*Tabelle2[[#This Row],[vy]]/Tabelle2[[#This Row],[v]],0)</f>
        <v>-3.5016547214353295</v>
      </c>
      <c r="M945">
        <f t="shared" si="157"/>
        <v>-2.3344364809568865</v>
      </c>
      <c r="N945">
        <f t="shared" si="158"/>
        <v>-4.6688729619137732E-2</v>
      </c>
      <c r="O945">
        <f t="shared" si="159"/>
        <v>-1.5757308145196882</v>
      </c>
      <c r="P945" s="1">
        <f t="shared" si="161"/>
        <v>16.548957500660357</v>
      </c>
      <c r="Q945" s="1">
        <f t="shared" si="162"/>
        <v>-78.763196361174835</v>
      </c>
      <c r="R945">
        <f>SQRT(Tabelle2[[#This Row],[vx]]*Tabelle2[[#This Row],[vx]]+Tabelle2[[#This Row],[vy]]*Tabelle2[[#This Row],[vy]])</f>
        <v>80.482973947212258</v>
      </c>
      <c r="S945">
        <f t="shared" si="163"/>
        <v>661.41100173618429</v>
      </c>
      <c r="T945" s="1">
        <f t="shared" si="164"/>
        <v>-420.62414182249546</v>
      </c>
    </row>
    <row r="946" spans="6:20" x14ac:dyDescent="0.35">
      <c r="F946" s="1">
        <f t="shared" si="160"/>
        <v>18.859999999999687</v>
      </c>
      <c r="G946">
        <f>1/2*$B$8*$B$6*$B$7*(Tabelle2[[#This Row],[vx]]*Tabelle2[[#This Row],[vx]]+Tabelle2[[#This Row],[vy]]*Tabelle2[[#This Row],[vy]])/1000000</f>
        <v>11.469362556596494</v>
      </c>
      <c r="H946">
        <f>IF($B$3,-Tabelle2[[#This Row],[Fd]]*Tabelle2[[#This Row],[vx]]/Tabelle2[[#This Row],[v]],0)</f>
        <v>-2.3527134064578008</v>
      </c>
      <c r="I946">
        <f t="shared" si="154"/>
        <v>-1.5684756043052006</v>
      </c>
      <c r="J946">
        <f t="shared" si="155"/>
        <v>-3.1369512086104015E-2</v>
      </c>
      <c r="K946">
        <f t="shared" si="156"/>
        <v>0.33003717778483599</v>
      </c>
      <c r="L946">
        <f>-$B$5*$B$12-IF($B$3,Tabelle2[[#This Row],[Fd]]*Tabelle2[[#This Row],[vy]]/Tabelle2[[#This Row],[v]],0)</f>
        <v>-3.4895371105806348</v>
      </c>
      <c r="M946">
        <f t="shared" si="157"/>
        <v>-2.326358073720423</v>
      </c>
      <c r="N946">
        <f t="shared" si="158"/>
        <v>-4.6527161474408461E-2</v>
      </c>
      <c r="O946">
        <f t="shared" si="159"/>
        <v>-1.5766629734306237</v>
      </c>
      <c r="P946" s="1">
        <f t="shared" si="161"/>
        <v>16.517543645284849</v>
      </c>
      <c r="Q946" s="1">
        <f t="shared" si="162"/>
        <v>-78.809885090793969</v>
      </c>
      <c r="R946">
        <f>SQRT(Tabelle2[[#This Row],[vx]]*Tabelle2[[#This Row],[vx]]+Tabelle2[[#This Row],[vy]]*Tabelle2[[#This Row],[vy]])</f>
        <v>80.522215792277109</v>
      </c>
      <c r="S946">
        <f t="shared" si="163"/>
        <v>661.74166674764376</v>
      </c>
      <c r="T946" s="1">
        <f t="shared" si="164"/>
        <v>-422.19987263701518</v>
      </c>
    </row>
    <row r="947" spans="6:20" x14ac:dyDescent="0.35">
      <c r="F947" s="1">
        <f t="shared" si="160"/>
        <v>18.879999999999686</v>
      </c>
      <c r="G947">
        <f>1/2*$B$8*$B$6*$B$7*(Tabelle2[[#This Row],[vx]]*Tabelle2[[#This Row],[vx]]+Tabelle2[[#This Row],[vy]]*Tabelle2[[#This Row],[vy]])/1000000</f>
        <v>11.480507548156059</v>
      </c>
      <c r="H947">
        <f>IF($B$3,-Tabelle2[[#This Row],[Fd]]*Tabelle2[[#This Row],[vx]]/Tabelle2[[#This Row],[v]],0)</f>
        <v>-2.3493858591987213</v>
      </c>
      <c r="I947">
        <f t="shared" si="154"/>
        <v>-1.5662572394658143</v>
      </c>
      <c r="J947">
        <f t="shared" si="155"/>
        <v>-3.1325144789316285E-2</v>
      </c>
      <c r="K947">
        <f t="shared" si="156"/>
        <v>0.32941023121608176</v>
      </c>
      <c r="L947">
        <f>-$B$5*$B$12-IF($B$3,Tabelle2[[#This Row],[Fd]]*Tabelle2[[#This Row],[vy]]/Tabelle2[[#This Row],[v]],0)</f>
        <v>-3.477454020211292</v>
      </c>
      <c r="M947">
        <f t="shared" si="157"/>
        <v>-2.3183026801408615</v>
      </c>
      <c r="N947">
        <f t="shared" si="158"/>
        <v>-4.6366053602817231E-2</v>
      </c>
      <c r="O947">
        <f t="shared" si="159"/>
        <v>-1.5775919055813958</v>
      </c>
      <c r="P947" s="1">
        <f t="shared" si="161"/>
        <v>16.486174133198745</v>
      </c>
      <c r="Q947" s="1">
        <f t="shared" si="162"/>
        <v>-78.856412252268385</v>
      </c>
      <c r="R947">
        <f>SQRT(Tabelle2[[#This Row],[vx]]*Tabelle2[[#This Row],[vx]]+Tabelle2[[#This Row],[vy]]*Tabelle2[[#This Row],[vy]])</f>
        <v>80.561328755488219</v>
      </c>
      <c r="S947">
        <f t="shared" si="163"/>
        <v>662.07170392542855</v>
      </c>
      <c r="T947" s="1">
        <f t="shared" si="164"/>
        <v>-423.77653561044582</v>
      </c>
    </row>
    <row r="948" spans="6:20" x14ac:dyDescent="0.35">
      <c r="F948" s="1">
        <f t="shared" si="160"/>
        <v>18.899999999999686</v>
      </c>
      <c r="G948">
        <f>1/2*$B$8*$B$6*$B$7*(Tabelle2[[#This Row],[vx]]*Tabelle2[[#This Row],[vx]]+Tabelle2[[#This Row],[vy]]*Tabelle2[[#This Row],[vy]])/1000000</f>
        <v>11.491621290026547</v>
      </c>
      <c r="H948">
        <f>IF($B$3,-Tabelle2[[#This Row],[Fd]]*Tabelle2[[#This Row],[vx]]/Tabelle2[[#This Row],[v]],0)</f>
        <v>-2.3460565545356027</v>
      </c>
      <c r="I948">
        <f t="shared" si="154"/>
        <v>-1.5640377030237351</v>
      </c>
      <c r="J948">
        <f t="shared" si="155"/>
        <v>-3.1280754060474703E-2</v>
      </c>
      <c r="K948">
        <f t="shared" si="156"/>
        <v>0.32878417222758383</v>
      </c>
      <c r="L948">
        <f>-$B$5*$B$12-IF($B$3,Tabelle2[[#This Row],[Fd]]*Tabelle2[[#This Row],[vy]]/Tabelle2[[#This Row],[v]],0)</f>
        <v>-3.4654054065796682</v>
      </c>
      <c r="M948">
        <f t="shared" si="157"/>
        <v>-2.310270271053112</v>
      </c>
      <c r="N948">
        <f t="shared" si="158"/>
        <v>-4.6205405421062239E-2</v>
      </c>
      <c r="O948">
        <f t="shared" si="159"/>
        <v>-1.5785176201716349</v>
      </c>
      <c r="P948" s="1">
        <f t="shared" si="161"/>
        <v>16.454848988409427</v>
      </c>
      <c r="Q948" s="1">
        <f t="shared" si="162"/>
        <v>-78.902778305871209</v>
      </c>
      <c r="R948">
        <f>SQRT(Tabelle2[[#This Row],[vx]]*Tabelle2[[#This Row],[vx]]+Tabelle2[[#This Row],[vy]]*Tabelle2[[#This Row],[vy]])</f>
        <v>80.600313148379385</v>
      </c>
      <c r="S948">
        <f t="shared" si="163"/>
        <v>662.40111415664467</v>
      </c>
      <c r="T948" s="1">
        <f t="shared" si="164"/>
        <v>-425.35412751602723</v>
      </c>
    </row>
    <row r="949" spans="6:20" x14ac:dyDescent="0.35">
      <c r="F949" s="1">
        <f t="shared" si="160"/>
        <v>18.919999999999686</v>
      </c>
      <c r="G949">
        <f>1/2*$B$8*$B$6*$B$7*(Tabelle2[[#This Row],[vx]]*Tabelle2[[#This Row],[vx]]+Tabelle2[[#This Row],[vy]]*Tabelle2[[#This Row],[vy]])/1000000</f>
        <v>11.502703817931751</v>
      </c>
      <c r="H949">
        <f>IF($B$3,-Tabelle2[[#This Row],[Fd]]*Tabelle2[[#This Row],[vx]]/Tabelle2[[#This Row],[v]],0)</f>
        <v>-2.3427255354176739</v>
      </c>
      <c r="I949">
        <f t="shared" si="154"/>
        <v>-1.5618170236117825</v>
      </c>
      <c r="J949">
        <f t="shared" si="155"/>
        <v>-3.1236340472235651E-2</v>
      </c>
      <c r="K949">
        <f t="shared" si="156"/>
        <v>0.32815900128225672</v>
      </c>
      <c r="L949">
        <f>-$B$5*$B$12-IF($B$3,Tabelle2[[#This Row],[Fd]]*Tabelle2[[#This Row],[vy]]/Tabelle2[[#This Row],[v]],0)</f>
        <v>-3.4533912255502486</v>
      </c>
      <c r="M949">
        <f t="shared" si="157"/>
        <v>-2.3022608170334991</v>
      </c>
      <c r="N949">
        <f t="shared" si="158"/>
        <v>-4.6045216340669985E-2</v>
      </c>
      <c r="O949">
        <f t="shared" si="159"/>
        <v>-1.5794401263892521</v>
      </c>
      <c r="P949" s="1">
        <f t="shared" si="161"/>
        <v>16.423568234348952</v>
      </c>
      <c r="Q949" s="1">
        <f t="shared" si="162"/>
        <v>-78.948983711292271</v>
      </c>
      <c r="R949">
        <f>SQRT(Tabelle2[[#This Row],[vx]]*Tabelle2[[#This Row],[vx]]+Tabelle2[[#This Row],[vy]]*Tabelle2[[#This Row],[vy]])</f>
        <v>80.639169282639614</v>
      </c>
      <c r="S949">
        <f t="shared" si="163"/>
        <v>662.7298983288722</v>
      </c>
      <c r="T949" s="1">
        <f t="shared" si="164"/>
        <v>-426.93264513619886</v>
      </c>
    </row>
    <row r="950" spans="6:20" x14ac:dyDescent="0.35">
      <c r="F950" s="1">
        <f t="shared" si="160"/>
        <v>18.939999999999685</v>
      </c>
      <c r="G950">
        <f>1/2*$B$8*$B$6*$B$7*(Tabelle2[[#This Row],[vx]]*Tabelle2[[#This Row],[vx]]+Tabelle2[[#This Row],[vy]]*Tabelle2[[#This Row],[vy]])/1000000</f>
        <v>11.513755167983357</v>
      </c>
      <c r="H950">
        <f>IF($B$3,-Tabelle2[[#This Row],[Fd]]*Tabelle2[[#This Row],[vx]]/Tabelle2[[#This Row],[v]],0)</f>
        <v>-2.3393928445936569</v>
      </c>
      <c r="I950">
        <f t="shared" si="154"/>
        <v>-1.5595952297291047</v>
      </c>
      <c r="J950">
        <f t="shared" si="155"/>
        <v>-3.1191904594582095E-2</v>
      </c>
      <c r="K950">
        <f t="shared" si="156"/>
        <v>0.32753471883158852</v>
      </c>
      <c r="L950">
        <f>-$B$5*$B$12-IF($B$3,Tabelle2[[#This Row],[Fd]]*Tabelle2[[#This Row],[vy]]/Tabelle2[[#This Row],[v]],0)</f>
        <v>-3.4414114326037488</v>
      </c>
      <c r="M950">
        <f t="shared" si="157"/>
        <v>-2.2942742884024994</v>
      </c>
      <c r="N950">
        <f t="shared" si="158"/>
        <v>-4.5885485768049988E-2</v>
      </c>
      <c r="O950">
        <f t="shared" si="159"/>
        <v>-1.5803594334103395</v>
      </c>
      <c r="P950" s="1">
        <f t="shared" si="161"/>
        <v>16.392331893876715</v>
      </c>
      <c r="Q950" s="1">
        <f t="shared" si="162"/>
        <v>-78.995028927632944</v>
      </c>
      <c r="R950">
        <f>SQRT(Tabelle2[[#This Row],[vx]]*Tabelle2[[#This Row],[vx]]+Tabelle2[[#This Row],[vy]]*Tabelle2[[#This Row],[vy]])</f>
        <v>80.677897470103758</v>
      </c>
      <c r="S950">
        <f t="shared" si="163"/>
        <v>663.0580573301545</v>
      </c>
      <c r="T950" s="1">
        <f t="shared" si="164"/>
        <v>-428.51208526258813</v>
      </c>
    </row>
    <row r="951" spans="6:20" x14ac:dyDescent="0.35">
      <c r="F951" s="1">
        <f t="shared" si="160"/>
        <v>18.959999999999685</v>
      </c>
      <c r="G951">
        <f>1/2*$B$8*$B$6*$B$7*(Tabelle2[[#This Row],[vx]]*Tabelle2[[#This Row],[vx]]+Tabelle2[[#This Row],[vy]]*Tabelle2[[#This Row],[vy]])/1000000</f>
        <v>11.524775376676896</v>
      </c>
      <c r="H951">
        <f>IF($B$3,-Tabelle2[[#This Row],[Fd]]*Tabelle2[[#This Row],[vx]]/Tabelle2[[#This Row],[v]],0)</f>
        <v>-2.3360585246118277</v>
      </c>
      <c r="I951">
        <f t="shared" si="154"/>
        <v>-1.5573723497412184</v>
      </c>
      <c r="J951">
        <f t="shared" si="155"/>
        <v>-3.1147446994824367E-2</v>
      </c>
      <c r="K951">
        <f t="shared" si="156"/>
        <v>0.32691132531569445</v>
      </c>
      <c r="L951">
        <f>-$B$5*$B$12-IF($B$3,Tabelle2[[#This Row],[Fd]]*Tabelle2[[#This Row],[vy]]/Tabelle2[[#This Row],[v]],0)</f>
        <v>-3.4294659828412843</v>
      </c>
      <c r="M951">
        <f t="shared" si="157"/>
        <v>-2.2863106552275227</v>
      </c>
      <c r="N951">
        <f t="shared" si="158"/>
        <v>-4.5726213104550453E-2</v>
      </c>
      <c r="O951">
        <f t="shared" si="159"/>
        <v>-1.5812755503990656</v>
      </c>
      <c r="P951" s="1">
        <f t="shared" si="161"/>
        <v>16.361139989282133</v>
      </c>
      <c r="Q951" s="1">
        <f t="shared" si="162"/>
        <v>-79.040914413400998</v>
      </c>
      <c r="R951">
        <f>SQRT(Tabelle2[[#This Row],[vx]]*Tabelle2[[#This Row],[vx]]+Tabelle2[[#This Row],[vy]]*Tabelle2[[#This Row],[vy]])</f>
        <v>80.716498022742954</v>
      </c>
      <c r="S951">
        <f t="shared" si="163"/>
        <v>663.38559204898604</v>
      </c>
      <c r="T951" s="1">
        <f t="shared" si="164"/>
        <v>-430.09244469599849</v>
      </c>
    </row>
    <row r="952" spans="6:20" x14ac:dyDescent="0.35">
      <c r="F952" s="1">
        <f t="shared" si="160"/>
        <v>18.979999999999684</v>
      </c>
      <c r="G952">
        <f>1/2*$B$8*$B$6*$B$7*(Tabelle2[[#This Row],[vx]]*Tabelle2[[#This Row],[vx]]+Tabelle2[[#This Row],[vy]]*Tabelle2[[#This Row],[vy]])/1000000</f>
        <v>11.53576448088779</v>
      </c>
      <c r="H952">
        <f>IF($B$3,-Tabelle2[[#This Row],[Fd]]*Tabelle2[[#This Row],[vx]]/Tabelle2[[#This Row],[v]],0)</f>
        <v>-2.3327226178200906</v>
      </c>
      <c r="I952">
        <f t="shared" si="154"/>
        <v>-1.5551484118800605</v>
      </c>
      <c r="J952">
        <f t="shared" si="155"/>
        <v>-3.1102968237601211E-2</v>
      </c>
      <c r="K952">
        <f t="shared" si="156"/>
        <v>0.3262888211633701</v>
      </c>
      <c r="L952">
        <f>-$B$5*$B$12-IF($B$3,Tabelle2[[#This Row],[Fd]]*Tabelle2[[#This Row],[vy]]/Tabelle2[[#This Row],[v]],0)</f>
        <v>-3.4175548309884274</v>
      </c>
      <c r="M952">
        <f t="shared" si="157"/>
        <v>-2.2783698873256184</v>
      </c>
      <c r="N952">
        <f t="shared" si="158"/>
        <v>-4.5567397746512368E-2</v>
      </c>
      <c r="O952">
        <f t="shared" si="159"/>
        <v>-1.5821884865075759</v>
      </c>
      <c r="P952" s="1">
        <f t="shared" si="161"/>
        <v>16.329992542287307</v>
      </c>
      <c r="Q952" s="1">
        <f t="shared" si="162"/>
        <v>-79.086640626505542</v>
      </c>
      <c r="R952">
        <f>SQRT(Tabelle2[[#This Row],[vx]]*Tabelle2[[#This Row],[vx]]+Tabelle2[[#This Row],[vy]]*Tabelle2[[#This Row],[vy]])</f>
        <v>80.75497125265538</v>
      </c>
      <c r="S952">
        <f t="shared" si="163"/>
        <v>663.71250337430172</v>
      </c>
      <c r="T952" s="1">
        <f t="shared" si="164"/>
        <v>-431.67372024639758</v>
      </c>
    </row>
    <row r="953" spans="6:20" x14ac:dyDescent="0.35">
      <c r="F953" s="1">
        <f t="shared" si="160"/>
        <v>18.999999999999684</v>
      </c>
      <c r="G953">
        <f>1/2*$B$8*$B$6*$B$7*(Tabelle2[[#This Row],[vx]]*Tabelle2[[#This Row],[vx]]+Tabelle2[[#This Row],[vy]]*Tabelle2[[#This Row],[vy]])/1000000</f>
        <v>11.546722517867353</v>
      </c>
      <c r="H953">
        <f>IF($B$3,-Tabelle2[[#This Row],[Fd]]*Tabelle2[[#This Row],[vx]]/Tabelle2[[#This Row],[v]],0)</f>
        <v>-2.3293851663660612</v>
      </c>
      <c r="I953">
        <f t="shared" si="154"/>
        <v>-1.5529234442440407</v>
      </c>
      <c r="J953">
        <f t="shared" si="155"/>
        <v>-3.1058468884880817E-2</v>
      </c>
      <c r="K953">
        <f t="shared" si="156"/>
        <v>0.32566720679214534</v>
      </c>
      <c r="L953">
        <f>-$B$5*$B$12-IF($B$3,Tabelle2[[#This Row],[Fd]]*Tabelle2[[#This Row],[vy]]/Tabelle2[[#This Row],[v]],0)</f>
        <v>-3.4056779313993033</v>
      </c>
      <c r="M953">
        <f t="shared" si="157"/>
        <v>-2.2704519542662021</v>
      </c>
      <c r="N953">
        <f t="shared" si="158"/>
        <v>-4.5409039085324045E-2</v>
      </c>
      <c r="O953">
        <f t="shared" si="159"/>
        <v>-1.5830982508758942</v>
      </c>
      <c r="P953" s="1">
        <f t="shared" si="161"/>
        <v>16.298889574049706</v>
      </c>
      <c r="Q953" s="1">
        <f t="shared" si="162"/>
        <v>-79.132208024252051</v>
      </c>
      <c r="R953">
        <f>SQRT(Tabelle2[[#This Row],[vx]]*Tabelle2[[#This Row],[vx]]+Tabelle2[[#This Row],[vy]]*Tabelle2[[#This Row],[vy]])</f>
        <v>80.793317472056856</v>
      </c>
      <c r="S953">
        <f t="shared" si="163"/>
        <v>664.03879219546513</v>
      </c>
      <c r="T953" s="1">
        <f t="shared" si="164"/>
        <v>-433.25590873290514</v>
      </c>
    </row>
    <row r="954" spans="6:20" x14ac:dyDescent="0.35">
      <c r="F954" s="1">
        <f t="shared" si="160"/>
        <v>19.019999999999683</v>
      </c>
      <c r="G954">
        <f>1/2*$B$8*$B$6*$B$7*(Tabelle2[[#This Row],[vx]]*Tabelle2[[#This Row],[vx]]+Tabelle2[[#This Row],[vy]]*Tabelle2[[#This Row],[vy]])/1000000</f>
        <v>11.557649525238862</v>
      </c>
      <c r="H954">
        <f>IF($B$3,-Tabelle2[[#This Row],[Fd]]*Tabelle2[[#This Row],[vx]]/Tabelle2[[#This Row],[v]],0)</f>
        <v>-2.3260462121971583</v>
      </c>
      <c r="I954">
        <f t="shared" si="154"/>
        <v>-1.5506974747981055</v>
      </c>
      <c r="J954">
        <f t="shared" si="155"/>
        <v>-3.1013949495962111E-2</v>
      </c>
      <c r="K954">
        <f t="shared" si="156"/>
        <v>0.32504648260833691</v>
      </c>
      <c r="L954">
        <f>-$B$5*$B$12-IF($B$3,Tabelle2[[#This Row],[Fd]]*Tabelle2[[#This Row],[vy]]/Tabelle2[[#This Row],[v]],0)</f>
        <v>-3.393835238060646</v>
      </c>
      <c r="M954">
        <f t="shared" si="157"/>
        <v>-2.262556825373764</v>
      </c>
      <c r="N954">
        <f t="shared" si="158"/>
        <v>-4.5251136507475281E-2</v>
      </c>
      <c r="O954">
        <f t="shared" si="159"/>
        <v>-1.5840048526318224</v>
      </c>
      <c r="P954" s="1">
        <f t="shared" si="161"/>
        <v>16.267831105164827</v>
      </c>
      <c r="Q954" s="1">
        <f t="shared" si="162"/>
        <v>-79.177617063337379</v>
      </c>
      <c r="R954">
        <f>SQRT(Tabelle2[[#This Row],[vx]]*Tabelle2[[#This Row],[vx]]+Tabelle2[[#This Row],[vy]]*Tabelle2[[#This Row],[vy]])</f>
        <v>80.831536993271769</v>
      </c>
      <c r="S954">
        <f t="shared" si="163"/>
        <v>664.36445940225724</v>
      </c>
      <c r="T954" s="1">
        <f t="shared" si="164"/>
        <v>-434.83900698378102</v>
      </c>
    </row>
    <row r="955" spans="6:20" x14ac:dyDescent="0.35">
      <c r="F955" s="1">
        <f t="shared" si="160"/>
        <v>19.039999999999683</v>
      </c>
      <c r="G955">
        <f>1/2*$B$8*$B$6*$B$7*(Tabelle2[[#This Row],[vx]]*Tabelle2[[#This Row],[vx]]+Tabelle2[[#This Row],[vy]]*Tabelle2[[#This Row],[vy]])/1000000</f>
        <v>11.568545540993609</v>
      </c>
      <c r="H955">
        <f>IF($B$3,-Tabelle2[[#This Row],[Fd]]*Tabelle2[[#This Row],[vx]]/Tabelle2[[#This Row],[v]],0)</f>
        <v>-2.3227057970606988</v>
      </c>
      <c r="I955">
        <f t="shared" si="154"/>
        <v>-1.5484705313737992</v>
      </c>
      <c r="J955">
        <f t="shared" si="155"/>
        <v>-3.0969410627475984E-2</v>
      </c>
      <c r="K955">
        <f t="shared" si="156"/>
        <v>0.32442664900710255</v>
      </c>
      <c r="L955">
        <f>-$B$5*$B$12-IF($B$3,Tabelle2[[#This Row],[Fd]]*Tabelle2[[#This Row],[vy]]/Tabelle2[[#This Row],[v]],0)</f>
        <v>-3.3820267045958445</v>
      </c>
      <c r="M955">
        <f t="shared" si="157"/>
        <v>-2.254684469730563</v>
      </c>
      <c r="N955">
        <f t="shared" si="158"/>
        <v>-4.509368939461126E-2</v>
      </c>
      <c r="O955">
        <f t="shared" si="159"/>
        <v>-1.5849083008908431</v>
      </c>
      <c r="P955" s="1">
        <f t="shared" si="161"/>
        <v>16.236817155668867</v>
      </c>
      <c r="Q955" s="1">
        <f t="shared" si="162"/>
        <v>-79.222868199844854</v>
      </c>
      <c r="R955">
        <f>SQRT(Tabelle2[[#This Row],[vx]]*Tabelle2[[#This Row],[vx]]+Tabelle2[[#This Row],[vy]]*Tabelle2[[#This Row],[vy]])</f>
        <v>80.869630128723927</v>
      </c>
      <c r="S955">
        <f t="shared" si="163"/>
        <v>664.68950588486553</v>
      </c>
      <c r="T955" s="1">
        <f t="shared" si="164"/>
        <v>-436.42301183641285</v>
      </c>
    </row>
    <row r="956" spans="6:20" x14ac:dyDescent="0.35">
      <c r="F956" s="1">
        <f t="shared" si="160"/>
        <v>19.059999999999683</v>
      </c>
      <c r="G956">
        <f>1/2*$B$8*$B$6*$B$7*(Tabelle2[[#This Row],[vx]]*Tabelle2[[#This Row],[vx]]+Tabelle2[[#This Row],[vy]]*Tabelle2[[#This Row],[vy]])/1000000</f>
        <v>11.579410603486998</v>
      </c>
      <c r="H956">
        <f>IF($B$3,-Tabelle2[[#This Row],[Fd]]*Tabelle2[[#This Row],[vx]]/Tabelle2[[#This Row],[v]],0)</f>
        <v>-2.3193639625040121</v>
      </c>
      <c r="I956">
        <f t="shared" si="154"/>
        <v>-1.5462426416693413</v>
      </c>
      <c r="J956">
        <f t="shared" si="155"/>
        <v>-3.0924852833386827E-2</v>
      </c>
      <c r="K956">
        <f t="shared" si="156"/>
        <v>0.3238077063724939</v>
      </c>
      <c r="L956">
        <f>-$B$5*$B$12-IF($B$3,Tabelle2[[#This Row],[Fd]]*Tabelle2[[#This Row],[vy]]/Tabelle2[[#This Row],[v]],0)</f>
        <v>-3.3702522842689522</v>
      </c>
      <c r="M956">
        <f t="shared" si="157"/>
        <v>-2.2468348561793015</v>
      </c>
      <c r="N956">
        <f t="shared" si="158"/>
        <v>-4.4936697123586028E-2</v>
      </c>
      <c r="O956">
        <f t="shared" si="159"/>
        <v>-1.5858086047560249</v>
      </c>
      <c r="P956" s="1">
        <f t="shared" si="161"/>
        <v>16.205847745041389</v>
      </c>
      <c r="Q956" s="1">
        <f t="shared" si="162"/>
        <v>-79.267961889239459</v>
      </c>
      <c r="R956">
        <f>SQRT(Tabelle2[[#This Row],[vx]]*Tabelle2[[#This Row],[vx]]+Tabelle2[[#This Row],[vy]]*Tabelle2[[#This Row],[vy]])</f>
        <v>80.907597190927518</v>
      </c>
      <c r="S956">
        <f t="shared" si="163"/>
        <v>665.01393253387266</v>
      </c>
      <c r="T956" s="1">
        <f t="shared" si="164"/>
        <v>-438.0079201373037</v>
      </c>
    </row>
    <row r="957" spans="6:20" x14ac:dyDescent="0.35">
      <c r="F957" s="1">
        <f t="shared" si="160"/>
        <v>19.079999999999682</v>
      </c>
      <c r="G957">
        <f>1/2*$B$8*$B$6*$B$7*(Tabelle2[[#This Row],[vx]]*Tabelle2[[#This Row],[vx]]+Tabelle2[[#This Row],[vy]]*Tabelle2[[#This Row],[vy]])/1000000</f>
        <v>11.590244751434662</v>
      </c>
      <c r="H957">
        <f>IF($B$3,-Tabelle2[[#This Row],[Fd]]*Tabelle2[[#This Row],[vx]]/Tabelle2[[#This Row],[v]],0)</f>
        <v>-2.3160207498745544</v>
      </c>
      <c r="I957">
        <f t="shared" si="154"/>
        <v>-1.5440138332497029</v>
      </c>
      <c r="J957">
        <f t="shared" si="155"/>
        <v>-3.0880276664994058E-2</v>
      </c>
      <c r="K957">
        <f t="shared" si="156"/>
        <v>0.32318965507751013</v>
      </c>
      <c r="L957">
        <f>-$B$5*$B$12-IF($B$3,Tabelle2[[#This Row],[Fd]]*Tabelle2[[#This Row],[vy]]/Tabelle2[[#This Row],[v]],0)</f>
        <v>-3.358511929988687</v>
      </c>
      <c r="M957">
        <f t="shared" si="157"/>
        <v>-2.2390079533257912</v>
      </c>
      <c r="N957">
        <f t="shared" si="158"/>
        <v>-4.4780159066515828E-2</v>
      </c>
      <c r="O957">
        <f t="shared" si="159"/>
        <v>-1.5867057733179259</v>
      </c>
      <c r="P957" s="1">
        <f t="shared" si="161"/>
        <v>16.174922892208002</v>
      </c>
      <c r="Q957" s="1">
        <f t="shared" si="162"/>
        <v>-79.312898586363048</v>
      </c>
      <c r="R957">
        <f>SQRT(Tabelle2[[#This Row],[vx]]*Tabelle2[[#This Row],[vx]]+Tabelle2[[#This Row],[vy]]*Tabelle2[[#This Row],[vy]])</f>
        <v>80.945438492478274</v>
      </c>
      <c r="S957">
        <f t="shared" si="163"/>
        <v>665.33774024024513</v>
      </c>
      <c r="T957" s="1">
        <f t="shared" si="164"/>
        <v>-439.59372874205974</v>
      </c>
    </row>
    <row r="958" spans="6:20" x14ac:dyDescent="0.35">
      <c r="F958" s="1">
        <f t="shared" si="160"/>
        <v>19.099999999999682</v>
      </c>
      <c r="G958">
        <f>1/2*$B$8*$B$6*$B$7*(Tabelle2[[#This Row],[vx]]*Tabelle2[[#This Row],[vx]]+Tabelle2[[#This Row],[vy]]*Tabelle2[[#This Row],[vy]])/1000000</f>
        <v>11.60104802390857</v>
      </c>
      <c r="H958">
        <f>IF($B$3,-Tabelle2[[#This Row],[Fd]]*Tabelle2[[#This Row],[vx]]/Tabelle2[[#This Row],[v]],0)</f>
        <v>-2.3126762003200314</v>
      </c>
      <c r="I958">
        <f t="shared" si="154"/>
        <v>-1.5417841335466875</v>
      </c>
      <c r="J958">
        <f t="shared" si="155"/>
        <v>-3.0835682670933753E-2</v>
      </c>
      <c r="K958">
        <f t="shared" si="156"/>
        <v>0.32257249548415085</v>
      </c>
      <c r="L958">
        <f>-$B$5*$B$12-IF($B$3,Tabelle2[[#This Row],[Fd]]*Tabelle2[[#This Row],[vy]]/Tabelle2[[#This Row],[v]],0)</f>
        <v>-3.3468055943124266</v>
      </c>
      <c r="M958">
        <f t="shared" si="157"/>
        <v>-2.2312037295416176</v>
      </c>
      <c r="N958">
        <f t="shared" si="158"/>
        <v>-4.4624074590832355E-2</v>
      </c>
      <c r="O958">
        <f t="shared" si="159"/>
        <v>-1.5875998156544997</v>
      </c>
      <c r="P958" s="1">
        <f t="shared" si="161"/>
        <v>16.144042615543007</v>
      </c>
      <c r="Q958" s="1">
        <f t="shared" si="162"/>
        <v>-79.357678745429567</v>
      </c>
      <c r="R958">
        <f>SQRT(Tabelle2[[#This Row],[vx]]*Tabelle2[[#This Row],[vx]]+Tabelle2[[#This Row],[vy]]*Tabelle2[[#This Row],[vy]])</f>
        <v>80.983154346044543</v>
      </c>
      <c r="S958">
        <f t="shared" si="163"/>
        <v>665.66092989532262</v>
      </c>
      <c r="T958" s="1">
        <f t="shared" si="164"/>
        <v>-441.18043451537767</v>
      </c>
    </row>
    <row r="959" spans="6:20" x14ac:dyDescent="0.35">
      <c r="F959" s="1">
        <f t="shared" si="160"/>
        <v>19.119999999999681</v>
      </c>
      <c r="G959">
        <f>1/2*$B$8*$B$6*$B$7*(Tabelle2[[#This Row],[vx]]*Tabelle2[[#This Row],[vx]]+Tabelle2[[#This Row],[vy]]*Tabelle2[[#This Row],[vy]])/1000000</f>
        <v>11.611820460333195</v>
      </c>
      <c r="H959">
        <f>IF($B$3,-Tabelle2[[#This Row],[Fd]]*Tabelle2[[#This Row],[vx]]/Tabelle2[[#This Row],[v]],0)</f>
        <v>-2.3093303547885369</v>
      </c>
      <c r="I959">
        <f t="shared" si="154"/>
        <v>-1.5395535698590246</v>
      </c>
      <c r="J959">
        <f t="shared" si="155"/>
        <v>-3.0791071397180493E-2</v>
      </c>
      <c r="K959">
        <f t="shared" si="156"/>
        <v>0.32195622794346967</v>
      </c>
      <c r="L959">
        <f>-$B$5*$B$12-IF($B$3,Tabelle2[[#This Row],[Fd]]*Tabelle2[[#This Row],[vy]]/Tabelle2[[#This Row],[v]],0)</f>
        <v>-3.3351332294501415</v>
      </c>
      <c r="M959">
        <f t="shared" si="157"/>
        <v>-2.2234221529667608</v>
      </c>
      <c r="N959">
        <f t="shared" si="158"/>
        <v>-4.4468443059335221E-2</v>
      </c>
      <c r="O959">
        <f t="shared" si="159"/>
        <v>-1.5884907408310014</v>
      </c>
      <c r="P959" s="1">
        <f t="shared" si="161"/>
        <v>16.113206932872075</v>
      </c>
      <c r="Q959" s="1">
        <f t="shared" si="162"/>
        <v>-79.402302820020395</v>
      </c>
      <c r="R959">
        <f>SQRT(Tabelle2[[#This Row],[vx]]*Tabelle2[[#This Row],[vx]]+Tabelle2[[#This Row],[vy]]*Tabelle2[[#This Row],[vy]])</f>
        <v>81.020745064358522</v>
      </c>
      <c r="S959">
        <f t="shared" si="163"/>
        <v>665.98350239080673</v>
      </c>
      <c r="T959" s="1">
        <f t="shared" si="164"/>
        <v>-442.7680343310322</v>
      </c>
    </row>
    <row r="960" spans="6:20" x14ac:dyDescent="0.35">
      <c r="F960" s="1">
        <f t="shared" si="160"/>
        <v>19.139999999999681</v>
      </c>
      <c r="G960">
        <f>1/2*$B$8*$B$6*$B$7*(Tabelle2[[#This Row],[vx]]*Tabelle2[[#This Row],[vx]]+Tabelle2[[#This Row],[vy]]*Tabelle2[[#This Row],[vy]])/1000000</f>
        <v>11.622562100481669</v>
      </c>
      <c r="H960">
        <f>IF($B$3,-Tabelle2[[#This Row],[Fd]]*Tabelle2[[#This Row],[vx]]/Tabelle2[[#This Row],[v]],0)</f>
        <v>-2.3059832540286855</v>
      </c>
      <c r="I960">
        <f t="shared" si="154"/>
        <v>-1.537322169352457</v>
      </c>
      <c r="J960">
        <f t="shared" si="155"/>
        <v>-3.0746443387049141E-2</v>
      </c>
      <c r="K960">
        <f t="shared" si="156"/>
        <v>0.32134085279562735</v>
      </c>
      <c r="L960">
        <f>-$B$5*$B$12-IF($B$3,Tabelle2[[#This Row],[Fd]]*Tabelle2[[#This Row],[vy]]/Tabelle2[[#This Row],[v]],0)</f>
        <v>-3.3234947872683591</v>
      </c>
      <c r="M960">
        <f t="shared" si="157"/>
        <v>-2.2156631915122396</v>
      </c>
      <c r="N960">
        <f t="shared" si="158"/>
        <v>-4.4313263830244795E-2</v>
      </c>
      <c r="O960">
        <f t="shared" si="159"/>
        <v>-1.5893785578998969</v>
      </c>
      <c r="P960" s="1">
        <f t="shared" si="161"/>
        <v>16.082415861474892</v>
      </c>
      <c r="Q960" s="1">
        <f t="shared" si="162"/>
        <v>-79.446771263079725</v>
      </c>
      <c r="R960">
        <f>SQRT(Tabelle2[[#This Row],[vx]]*Tabelle2[[#This Row],[vx]]+Tabelle2[[#This Row],[vy]]*Tabelle2[[#This Row],[vy]])</f>
        <v>81.05821096020766</v>
      </c>
      <c r="S960">
        <f t="shared" si="163"/>
        <v>666.30545861875021</v>
      </c>
      <c r="T960" s="1">
        <f t="shared" si="164"/>
        <v>-444.35652507186319</v>
      </c>
    </row>
    <row r="961" spans="6:20" x14ac:dyDescent="0.35">
      <c r="F961" s="1">
        <f t="shared" si="160"/>
        <v>19.15999999999968</v>
      </c>
      <c r="G961">
        <f>1/2*$B$8*$B$6*$B$7*(Tabelle2[[#This Row],[vx]]*Tabelle2[[#This Row],[vx]]+Tabelle2[[#This Row],[vy]]*Tabelle2[[#This Row],[vy]])/1000000</f>
        <v>11.633272984471992</v>
      </c>
      <c r="H961">
        <f>IF($B$3,-Tabelle2[[#This Row],[Fd]]*Tabelle2[[#This Row],[vx]]/Tabelle2[[#This Row],[v]],0)</f>
        <v>-2.3026349385897751</v>
      </c>
      <c r="I961">
        <f t="shared" si="154"/>
        <v>-1.5350899590598501</v>
      </c>
      <c r="J961">
        <f t="shared" si="155"/>
        <v>-3.0701799181197004E-2</v>
      </c>
      <c r="K961">
        <f t="shared" si="156"/>
        <v>0.32072637036994495</v>
      </c>
      <c r="L961">
        <f>-$B$5*$B$12-IF($B$3,Tabelle2[[#This Row],[Fd]]*Tabelle2[[#This Row],[vy]]/Tabelle2[[#This Row],[v]],0)</f>
        <v>-3.3118902192940567</v>
      </c>
      <c r="M961">
        <f t="shared" si="157"/>
        <v>-2.2079268128627043</v>
      </c>
      <c r="N961">
        <f t="shared" si="158"/>
        <v>-4.4158536257254084E-2</v>
      </c>
      <c r="O961">
        <f t="shared" si="159"/>
        <v>-1.590263275900772</v>
      </c>
      <c r="P961" s="1">
        <f t="shared" si="161"/>
        <v>16.051669418087844</v>
      </c>
      <c r="Q961" s="1">
        <f t="shared" si="162"/>
        <v>-79.491084526909972</v>
      </c>
      <c r="R961">
        <f>SQRT(Tabelle2[[#This Row],[vx]]*Tabelle2[[#This Row],[vx]]+Tabelle2[[#This Row],[vy]]*Tabelle2[[#This Row],[vy]])</f>
        <v>81.095552346426018</v>
      </c>
      <c r="S961">
        <f t="shared" si="163"/>
        <v>666.62679947154584</v>
      </c>
      <c r="T961" s="1">
        <f t="shared" si="164"/>
        <v>-445.94590362976311</v>
      </c>
    </row>
    <row r="962" spans="6:20" x14ac:dyDescent="0.35">
      <c r="F962" s="1">
        <f t="shared" si="160"/>
        <v>19.17999999999968</v>
      </c>
      <c r="G962">
        <f>1/2*$B$8*$B$6*$B$7*(Tabelle2[[#This Row],[vx]]*Tabelle2[[#This Row],[vx]]+Tabelle2[[#This Row],[vy]]*Tabelle2[[#This Row],[vy]])/1000000</f>
        <v>11.643953152763203</v>
      </c>
      <c r="H962">
        <f>IF($B$3,-Tabelle2[[#This Row],[Fd]]*Tabelle2[[#This Row],[vx]]/Tabelle2[[#This Row],[v]],0)</f>
        <v>-2.2992854488219296</v>
      </c>
      <c r="I962">
        <f t="shared" si="154"/>
        <v>-1.5328569658812865</v>
      </c>
      <c r="J962">
        <f t="shared" si="155"/>
        <v>-3.0657139317625731E-2</v>
      </c>
      <c r="K962">
        <f t="shared" si="156"/>
        <v>0.32011278098495666</v>
      </c>
      <c r="L962">
        <f>-$B$5*$B$12-IF($B$3,Tabelle2[[#This Row],[Fd]]*Tabelle2[[#This Row],[vy]]/Tabelle2[[#This Row],[v]],0)</f>
        <v>-3.3003194767185953</v>
      </c>
      <c r="M962">
        <f t="shared" si="157"/>
        <v>-2.2002129844790637</v>
      </c>
      <c r="N962">
        <f t="shared" si="158"/>
        <v>-4.4004259689581271E-2</v>
      </c>
      <c r="O962">
        <f t="shared" si="159"/>
        <v>-1.5911449038602405</v>
      </c>
      <c r="P962" s="1">
        <f t="shared" si="161"/>
        <v>16.020967618906646</v>
      </c>
      <c r="Q962" s="1">
        <f t="shared" si="162"/>
        <v>-79.535243063167229</v>
      </c>
      <c r="R962">
        <f>SQRT(Tabelle2[[#This Row],[vx]]*Tabelle2[[#This Row],[vx]]+Tabelle2[[#This Row],[vy]]*Tabelle2[[#This Row],[vy]])</f>
        <v>81.132769535885728</v>
      </c>
      <c r="S962">
        <f t="shared" si="163"/>
        <v>666.94752584191576</v>
      </c>
      <c r="T962" s="1">
        <f t="shared" si="164"/>
        <v>-447.53616690566389</v>
      </c>
    </row>
    <row r="963" spans="6:20" x14ac:dyDescent="0.35">
      <c r="F963" s="1">
        <f t="shared" si="160"/>
        <v>19.19999999999968</v>
      </c>
      <c r="G963">
        <f>1/2*$B$8*$B$6*$B$7*(Tabelle2[[#This Row],[vx]]*Tabelle2[[#This Row],[vx]]+Tabelle2[[#This Row],[vy]]*Tabelle2[[#This Row],[vy]])/1000000</f>
        <v>11.654602646151634</v>
      </c>
      <c r="H963">
        <f>IF($B$3,-Tabelle2[[#This Row],[Fd]]*Tabelle2[[#This Row],[vx]]/Tabelle2[[#This Row],[v]],0)</f>
        <v>-2.2959348248762756</v>
      </c>
      <c r="I963">
        <f t="shared" ref="I963:I1026" si="165">H963/$B$5</f>
        <v>-1.5306232165841838</v>
      </c>
      <c r="J963">
        <f t="shared" ref="J963:J1026" si="166">I963*$B$13</f>
        <v>-3.0612464331683676E-2</v>
      </c>
      <c r="K963">
        <f t="shared" ref="K963:K1026" si="167">$B$13*(P963+J963/2)</f>
        <v>0.3195000849484636</v>
      </c>
      <c r="L963">
        <f>-$B$5*$B$12-IF($B$3,Tabelle2[[#This Row],[Fd]]*Tabelle2[[#This Row],[vy]]/Tabelle2[[#This Row],[v]],0)</f>
        <v>-3.2887825104015711</v>
      </c>
      <c r="M963">
        <f t="shared" ref="M963:M1026" si="168">L963/$B$5</f>
        <v>-2.1925216736010475</v>
      </c>
      <c r="N963">
        <f t="shared" ref="N963:N1026" si="169">M963*$B$13</f>
        <v>-4.3850433472020951E-2</v>
      </c>
      <c r="O963">
        <f t="shared" ref="O963:O1026" si="170">$B$13*(Q963+N963/2)</f>
        <v>-1.5920234507918565</v>
      </c>
      <c r="P963" s="1">
        <f t="shared" si="161"/>
        <v>15.99031047958902</v>
      </c>
      <c r="Q963" s="1">
        <f t="shared" si="162"/>
        <v>-79.579247322856816</v>
      </c>
      <c r="R963">
        <f>SQRT(Tabelle2[[#This Row],[vx]]*Tabelle2[[#This Row],[vx]]+Tabelle2[[#This Row],[vy]]*Tabelle2[[#This Row],[vy]])</f>
        <v>81.16986284148858</v>
      </c>
      <c r="S963">
        <f t="shared" si="163"/>
        <v>667.26763862290068</v>
      </c>
      <c r="T963" s="1">
        <f t="shared" si="164"/>
        <v>-449.12731180952414</v>
      </c>
    </row>
    <row r="964" spans="6:20" x14ac:dyDescent="0.35">
      <c r="F964" s="1">
        <f t="shared" ref="F964:F1027" si="171">F963+$B$13</f>
        <v>19.219999999999679</v>
      </c>
      <c r="G964">
        <f>1/2*$B$8*$B$6*$B$7*(Tabelle2[[#This Row],[vx]]*Tabelle2[[#This Row],[vx]]+Tabelle2[[#This Row],[vy]]*Tabelle2[[#This Row],[vy]])/1000000</f>
        <v>11.665221505767155</v>
      </c>
      <c r="H964">
        <f>IF($B$3,-Tabelle2[[#This Row],[Fd]]*Tabelle2[[#This Row],[vx]]/Tabelle2[[#This Row],[v]],0)</f>
        <v>-2.2925831067051088</v>
      </c>
      <c r="I964">
        <f t="shared" si="165"/>
        <v>-1.5283887378034058</v>
      </c>
      <c r="J964">
        <f t="shared" si="166"/>
        <v>-3.0567774756068117E-2</v>
      </c>
      <c r="K964">
        <f t="shared" si="167"/>
        <v>0.31888828255758606</v>
      </c>
      <c r="L964">
        <f>-$B$5*$B$12-IF($B$3,Tabelle2[[#This Row],[Fd]]*Tabelle2[[#This Row],[vy]]/Tabelle2[[#This Row],[v]],0)</f>
        <v>-3.2772792708746863</v>
      </c>
      <c r="M964">
        <f t="shared" si="168"/>
        <v>-2.184852847249791</v>
      </c>
      <c r="N964">
        <f t="shared" si="169"/>
        <v>-4.3697056944995823E-2</v>
      </c>
      <c r="O964">
        <f t="shared" si="170"/>
        <v>-1.5928989256960266</v>
      </c>
      <c r="P964" s="1">
        <f t="shared" ref="P964:P1027" si="172">P963+J963</f>
        <v>15.959698015257336</v>
      </c>
      <c r="Q964" s="1">
        <f t="shared" ref="Q964:Q1027" si="173">Q963+N963</f>
        <v>-79.623097756328832</v>
      </c>
      <c r="R964">
        <f>SQRT(Tabelle2[[#This Row],[vx]]*Tabelle2[[#This Row],[vx]]+Tabelle2[[#This Row],[vy]]*Tabelle2[[#This Row],[vy]])</f>
        <v>81.206832576157694</v>
      </c>
      <c r="S964">
        <f t="shared" ref="S964:S1027" si="174">S963+K963</f>
        <v>667.58713870784914</v>
      </c>
      <c r="T964" s="1">
        <f t="shared" ref="T964:T1027" si="175">T963+O963</f>
        <v>-450.71933526031603</v>
      </c>
    </row>
    <row r="965" spans="6:20" x14ac:dyDescent="0.35">
      <c r="F965" s="1">
        <f t="shared" si="171"/>
        <v>19.239999999999679</v>
      </c>
      <c r="G965">
        <f>1/2*$B$8*$B$6*$B$7*(Tabelle2[[#This Row],[vx]]*Tabelle2[[#This Row],[vx]]+Tabelle2[[#This Row],[vy]]*Tabelle2[[#This Row],[vy]])/1000000</f>
        <v>11.675809773069441</v>
      </c>
      <c r="H965">
        <f>IF($B$3,-Tabelle2[[#This Row],[Fd]]*Tabelle2[[#This Row],[vx]]/Tabelle2[[#This Row],[v]],0)</f>
        <v>-2.2892303340620801</v>
      </c>
      <c r="I965">
        <f t="shared" si="165"/>
        <v>-1.5261535560413868</v>
      </c>
      <c r="J965">
        <f t="shared" si="166"/>
        <v>-3.0523071120827736E-2</v>
      </c>
      <c r="K965">
        <f t="shared" si="167"/>
        <v>0.31827737409881707</v>
      </c>
      <c r="L965">
        <f>-$B$5*$B$12-IF($B$3,Tabelle2[[#This Row],[Fd]]*Tabelle2[[#This Row],[vy]]/Tabelle2[[#This Row],[v]],0)</f>
        <v>-3.2658097083455768</v>
      </c>
      <c r="M965">
        <f t="shared" si="168"/>
        <v>-2.1772064722303845</v>
      </c>
      <c r="N965">
        <f t="shared" si="169"/>
        <v>-4.3544129444607692E-2</v>
      </c>
      <c r="O965">
        <f t="shared" si="170"/>
        <v>-1.5937713375599225</v>
      </c>
      <c r="P965" s="1">
        <f t="shared" si="172"/>
        <v>15.929130240501268</v>
      </c>
      <c r="Q965" s="1">
        <f t="shared" si="173"/>
        <v>-79.666794813273825</v>
      </c>
      <c r="R965">
        <f>SQRT(Tabelle2[[#This Row],[vx]]*Tabelle2[[#This Row],[vx]]+Tabelle2[[#This Row],[vy]]*Tabelle2[[#This Row],[vy]])</f>
        <v>81.243679052829236</v>
      </c>
      <c r="S965">
        <f t="shared" si="174"/>
        <v>667.90602699040676</v>
      </c>
      <c r="T965" s="1">
        <f t="shared" si="175"/>
        <v>-452.31223418601206</v>
      </c>
    </row>
    <row r="966" spans="6:20" x14ac:dyDescent="0.35">
      <c r="F966" s="1">
        <f t="shared" si="171"/>
        <v>19.259999999999678</v>
      </c>
      <c r="G966">
        <f>1/2*$B$8*$B$6*$B$7*(Tabelle2[[#This Row],[vx]]*Tabelle2[[#This Row],[vx]]+Tabelle2[[#This Row],[vy]]*Tabelle2[[#This Row],[vy]])/1000000</f>
        <v>11.686367489844249</v>
      </c>
      <c r="H966">
        <f>IF($B$3,-Tabelle2[[#This Row],[Fd]]*Tabelle2[[#This Row],[vx]]/Tabelle2[[#This Row],[v]],0)</f>
        <v>-2.2858765465023767</v>
      </c>
      <c r="I966">
        <f t="shared" si="165"/>
        <v>-1.5239176976682511</v>
      </c>
      <c r="J966">
        <f t="shared" si="166"/>
        <v>-3.0478353953365022E-2</v>
      </c>
      <c r="K966">
        <f t="shared" si="167"/>
        <v>0.31766735984807515</v>
      </c>
      <c r="L966">
        <f>-$B$5*$B$12-IF($B$3,Tabelle2[[#This Row],[Fd]]*Tabelle2[[#This Row],[vy]]/Tabelle2[[#This Row],[v]],0)</f>
        <v>-3.2543737727016442</v>
      </c>
      <c r="M966">
        <f t="shared" si="168"/>
        <v>-2.1695825151344295</v>
      </c>
      <c r="N966">
        <f t="shared" si="169"/>
        <v>-4.3391650302688593E-2</v>
      </c>
      <c r="O966">
        <f t="shared" si="170"/>
        <v>-1.5946406953573955</v>
      </c>
      <c r="P966" s="1">
        <f t="shared" si="172"/>
        <v>15.89860716938044</v>
      </c>
      <c r="Q966" s="1">
        <f t="shared" si="173"/>
        <v>-79.710338942718437</v>
      </c>
      <c r="R966">
        <f>SQRT(Tabelle2[[#This Row],[vx]]*Tabelle2[[#This Row],[vx]]+Tabelle2[[#This Row],[vy]]*Tabelle2[[#This Row],[vy]])</f>
        <v>81.280402584444246</v>
      </c>
      <c r="S966">
        <f t="shared" si="174"/>
        <v>668.22430436450554</v>
      </c>
      <c r="T966" s="1">
        <f t="shared" si="175"/>
        <v>-453.90600552357199</v>
      </c>
    </row>
    <row r="967" spans="6:20" x14ac:dyDescent="0.35">
      <c r="F967" s="1">
        <f t="shared" si="171"/>
        <v>19.279999999999678</v>
      </c>
      <c r="G967">
        <f>1/2*$B$8*$B$6*$B$7*(Tabelle2[[#This Row],[vx]]*Tabelle2[[#This Row],[vx]]+Tabelle2[[#This Row],[vy]]*Tabelle2[[#This Row],[vy]])/1000000</f>
        <v>11.696894698199735</v>
      </c>
      <c r="H967">
        <f>IF($B$3,-Tabelle2[[#This Row],[Fd]]*Tabelle2[[#This Row],[vx]]/Tabelle2[[#This Row],[v]],0)</f>
        <v>-2.2825217833829266</v>
      </c>
      <c r="I967">
        <f t="shared" si="165"/>
        <v>-1.521681188921951</v>
      </c>
      <c r="J967">
        <f t="shared" si="166"/>
        <v>-3.0433623778439022E-2</v>
      </c>
      <c r="K967">
        <f t="shared" si="167"/>
        <v>0.31705824007075711</v>
      </c>
      <c r="L967">
        <f>-$B$5*$B$12-IF($B$3,Tabelle2[[#This Row],[Fd]]*Tabelle2[[#This Row],[vy]]/Tabelle2[[#This Row],[v]],0)</f>
        <v>-3.2429714135138461</v>
      </c>
      <c r="M967">
        <f t="shared" si="168"/>
        <v>-2.1619809423425642</v>
      </c>
      <c r="N967">
        <f t="shared" si="169"/>
        <v>-4.3239618846851284E-2</v>
      </c>
      <c r="O967">
        <f t="shared" si="170"/>
        <v>-1.5955070080488911</v>
      </c>
      <c r="P967" s="1">
        <f t="shared" si="172"/>
        <v>15.868128815427076</v>
      </c>
      <c r="Q967" s="1">
        <f t="shared" si="173"/>
        <v>-79.753730593021132</v>
      </c>
      <c r="R967">
        <f>SQRT(Tabelle2[[#This Row],[vx]]*Tabelle2[[#This Row],[vx]]+Tabelle2[[#This Row],[vy]]*Tabelle2[[#This Row],[vy]])</f>
        <v>81.317003483940439</v>
      </c>
      <c r="S967">
        <f t="shared" si="174"/>
        <v>668.54197172435363</v>
      </c>
      <c r="T967" s="1">
        <f t="shared" si="175"/>
        <v>-455.50064621892938</v>
      </c>
    </row>
    <row r="968" spans="6:20" x14ac:dyDescent="0.35">
      <c r="F968" s="1">
        <f t="shared" si="171"/>
        <v>19.299999999999677</v>
      </c>
      <c r="G968">
        <f>1/2*$B$8*$B$6*$B$7*(Tabelle2[[#This Row],[vx]]*Tabelle2[[#This Row],[vx]]+Tabelle2[[#This Row],[vy]]*Tabelle2[[#This Row],[vy]])/1000000</f>
        <v>11.707391440562763</v>
      </c>
      <c r="H968">
        <f>IF($B$3,-Tabelle2[[#This Row],[Fd]]*Tabelle2[[#This Row],[vx]]/Tabelle2[[#This Row],[v]],0)</f>
        <v>-2.279166083862592</v>
      </c>
      <c r="I968">
        <f t="shared" si="165"/>
        <v>-1.5194440559083946</v>
      </c>
      <c r="J968">
        <f t="shared" si="166"/>
        <v>-3.0388881118167892E-2</v>
      </c>
      <c r="K968">
        <f t="shared" si="167"/>
        <v>0.31645001502179104</v>
      </c>
      <c r="L968">
        <f>-$B$5*$B$12-IF($B$3,Tabelle2[[#This Row],[Fd]]*Tabelle2[[#This Row],[vy]]/Tabelle2[[#This Row],[v]],0)</f>
        <v>-3.2316025800404926</v>
      </c>
      <c r="M968">
        <f t="shared" si="168"/>
        <v>-2.1544017200269949</v>
      </c>
      <c r="N968">
        <f t="shared" si="169"/>
        <v>-4.3088034400539897E-2</v>
      </c>
      <c r="O968">
        <f t="shared" si="170"/>
        <v>-1.5963702845813652</v>
      </c>
      <c r="P968" s="1">
        <f t="shared" si="172"/>
        <v>15.837695191648637</v>
      </c>
      <c r="Q968" s="1">
        <f t="shared" si="173"/>
        <v>-79.796970211867986</v>
      </c>
      <c r="R968">
        <f>SQRT(Tabelle2[[#This Row],[vx]]*Tabelle2[[#This Row],[vx]]+Tabelle2[[#This Row],[vy]]*Tabelle2[[#This Row],[vy]])</f>
        <v>81.35348206424429</v>
      </c>
      <c r="S968">
        <f t="shared" si="174"/>
        <v>668.85902996442439</v>
      </c>
      <c r="T968" s="1">
        <f t="shared" si="175"/>
        <v>-457.09615322697829</v>
      </c>
    </row>
    <row r="969" spans="6:20" x14ac:dyDescent="0.35">
      <c r="F969" s="1">
        <f t="shared" si="171"/>
        <v>19.319999999999677</v>
      </c>
      <c r="G969">
        <f>1/2*$B$8*$B$6*$B$7*(Tabelle2[[#This Row],[vx]]*Tabelle2[[#This Row],[vx]]+Tabelle2[[#This Row],[vy]]*Tabelle2[[#This Row],[vy]])/1000000</f>
        <v>11.717857759675276</v>
      </c>
      <c r="H969">
        <f>IF($B$3,-Tabelle2[[#This Row],[Fd]]*Tabelle2[[#This Row],[vx]]/Tabelle2[[#This Row],[v]],0)</f>
        <v>-2.2758094869023875</v>
      </c>
      <c r="I969">
        <f t="shared" si="165"/>
        <v>-1.5172063246015917</v>
      </c>
      <c r="J969">
        <f t="shared" si="166"/>
        <v>-3.0344126492031834E-2</v>
      </c>
      <c r="K969">
        <f t="shared" si="167"/>
        <v>0.31584268494568907</v>
      </c>
      <c r="L969">
        <f>-$B$5*$B$12-IF($B$3,Tabelle2[[#This Row],[Fd]]*Tabelle2[[#This Row],[vy]]/Tabelle2[[#This Row],[v]],0)</f>
        <v>-3.2202672212309693</v>
      </c>
      <c r="M969">
        <f t="shared" si="168"/>
        <v>-2.1468448141539795</v>
      </c>
      <c r="N969">
        <f t="shared" si="169"/>
        <v>-4.293689628307959E-2</v>
      </c>
      <c r="O969">
        <f t="shared" si="170"/>
        <v>-1.5972305338882011</v>
      </c>
      <c r="P969" s="1">
        <f t="shared" si="172"/>
        <v>15.807306310530469</v>
      </c>
      <c r="Q969" s="1">
        <f t="shared" si="173"/>
        <v>-79.840058246268526</v>
      </c>
      <c r="R969">
        <f>SQRT(Tabelle2[[#This Row],[vx]]*Tabelle2[[#This Row],[vx]]+Tabelle2[[#This Row],[vy]]*Tabelle2[[#This Row],[vy]])</f>
        <v>81.389838638262987</v>
      </c>
      <c r="S969">
        <f t="shared" si="174"/>
        <v>669.17547997944621</v>
      </c>
      <c r="T969" s="1">
        <f t="shared" si="175"/>
        <v>-458.69252351155967</v>
      </c>
    </row>
    <row r="970" spans="6:20" x14ac:dyDescent="0.35">
      <c r="F970" s="1">
        <f t="shared" si="171"/>
        <v>19.339999999999677</v>
      </c>
      <c r="G970">
        <f>1/2*$B$8*$B$6*$B$7*(Tabelle2[[#This Row],[vx]]*Tabelle2[[#This Row],[vx]]+Tabelle2[[#This Row],[vy]]*Tabelle2[[#This Row],[vy]])/1000000</f>
        <v>11.728293698590649</v>
      </c>
      <c r="H970">
        <f>IF($B$3,-Tabelle2[[#This Row],[Fd]]*Tabelle2[[#This Row],[vx]]/Tabelle2[[#This Row],[v]],0)</f>
        <v>-2.2724520312656944</v>
      </c>
      <c r="I970">
        <f t="shared" si="165"/>
        <v>-1.5149680208437963</v>
      </c>
      <c r="J970">
        <f t="shared" si="166"/>
        <v>-3.0299360416875927E-2</v>
      </c>
      <c r="K970">
        <f t="shared" si="167"/>
        <v>0.3152362500766</v>
      </c>
      <c r="L970">
        <f>-$B$5*$B$12-IF($B$3,Tabelle2[[#This Row],[Fd]]*Tabelle2[[#This Row],[vy]]/Tabelle2[[#This Row],[v]],0)</f>
        <v>-3.2089652857295121</v>
      </c>
      <c r="M970">
        <f t="shared" si="168"/>
        <v>-2.1393101904863414</v>
      </c>
      <c r="N970">
        <f t="shared" si="169"/>
        <v>-4.2786203809726829E-2</v>
      </c>
      <c r="O970">
        <f t="shared" si="170"/>
        <v>-1.5980877648891294</v>
      </c>
      <c r="P970" s="1">
        <f t="shared" si="172"/>
        <v>15.776962184038437</v>
      </c>
      <c r="Q970" s="1">
        <f t="shared" si="173"/>
        <v>-79.882995142551607</v>
      </c>
      <c r="R970">
        <f>SQRT(Tabelle2[[#This Row],[vx]]*Tabelle2[[#This Row],[vx]]+Tabelle2[[#This Row],[vy]]*Tabelle2[[#This Row],[vy]])</f>
        <v>81.426073518876635</v>
      </c>
      <c r="S970">
        <f t="shared" si="174"/>
        <v>669.49132266439187</v>
      </c>
      <c r="T970" s="1">
        <f t="shared" si="175"/>
        <v>-460.28975404544786</v>
      </c>
    </row>
    <row r="971" spans="6:20" x14ac:dyDescent="0.35">
      <c r="F971" s="1">
        <f t="shared" si="171"/>
        <v>19.359999999999676</v>
      </c>
      <c r="G971">
        <f>1/2*$B$8*$B$6*$B$7*(Tabelle2[[#This Row],[vx]]*Tabelle2[[#This Row],[vx]]+Tabelle2[[#This Row],[vy]]*Tabelle2[[#This Row],[vy]])/1000000</f>
        <v>11.738699300670071</v>
      </c>
      <c r="H971">
        <f>IF($B$3,-Tabelle2[[#This Row],[Fd]]*Tabelle2[[#This Row],[vx]]/Tabelle2[[#This Row],[v]],0)</f>
        <v>-2.2690937555184845</v>
      </c>
      <c r="I971">
        <f t="shared" si="165"/>
        <v>-1.5127291703456562</v>
      </c>
      <c r="J971">
        <f t="shared" si="166"/>
        <v>-3.0254583406913126E-2</v>
      </c>
      <c r="K971">
        <f t="shared" si="167"/>
        <v>0.31463071063836212</v>
      </c>
      <c r="L971">
        <f>-$B$5*$B$12-IF($B$3,Tabelle2[[#This Row],[Fd]]*Tabelle2[[#This Row],[vy]]/Tabelle2[[#This Row],[v]],0)</f>
        <v>-3.1976967218789003</v>
      </c>
      <c r="M971">
        <f t="shared" si="168"/>
        <v>-2.1317978145859335</v>
      </c>
      <c r="N971">
        <f t="shared" si="169"/>
        <v>-4.2635956291718673E-2</v>
      </c>
      <c r="O971">
        <f t="shared" si="170"/>
        <v>-1.598941986490144</v>
      </c>
      <c r="P971" s="1">
        <f t="shared" si="172"/>
        <v>15.746662823621561</v>
      </c>
      <c r="Q971" s="1">
        <f t="shared" si="173"/>
        <v>-79.925781346361333</v>
      </c>
      <c r="R971">
        <f>SQRT(Tabelle2[[#This Row],[vx]]*Tabelle2[[#This Row],[vx]]+Tabelle2[[#This Row],[vy]]*Tabelle2[[#This Row],[vy]])</f>
        <v>81.462187018930365</v>
      </c>
      <c r="S971">
        <f t="shared" si="174"/>
        <v>669.8065589144685</v>
      </c>
      <c r="T971" s="1">
        <f t="shared" si="175"/>
        <v>-461.88784181033702</v>
      </c>
    </row>
    <row r="972" spans="6:20" x14ac:dyDescent="0.35">
      <c r="F972" s="1">
        <f t="shared" si="171"/>
        <v>19.379999999999676</v>
      </c>
      <c r="G972">
        <f>1/2*$B$8*$B$6*$B$7*(Tabelle2[[#This Row],[vx]]*Tabelle2[[#This Row],[vx]]+Tabelle2[[#This Row],[vy]]*Tabelle2[[#This Row],[vy]])/1000000</f>
        <v>11.749074609578958</v>
      </c>
      <c r="H972">
        <f>IF($B$3,-Tabelle2[[#This Row],[Fd]]*Tabelle2[[#This Row],[vx]]/Tabelle2[[#This Row],[v]],0)</f>
        <v>-2.2657346980295534</v>
      </c>
      <c r="I972">
        <f t="shared" si="165"/>
        <v>-1.510489798686369</v>
      </c>
      <c r="J972">
        <f t="shared" si="166"/>
        <v>-3.0209795973727381E-2</v>
      </c>
      <c r="K972">
        <f t="shared" si="167"/>
        <v>0.3140260668445557</v>
      </c>
      <c r="L972">
        <f>-$B$5*$B$12-IF($B$3,Tabelle2[[#This Row],[Fd]]*Tabelle2[[#This Row],[vy]]/Tabelle2[[#This Row],[v]],0)</f>
        <v>-3.1864614777241655</v>
      </c>
      <c r="M972">
        <f t="shared" si="168"/>
        <v>-2.1243076518161104</v>
      </c>
      <c r="N972">
        <f t="shared" si="169"/>
        <v>-4.2486153036322208E-2</v>
      </c>
      <c r="O972">
        <f t="shared" si="170"/>
        <v>-1.5997932075834242</v>
      </c>
      <c r="P972" s="1">
        <f t="shared" si="172"/>
        <v>15.716408240214648</v>
      </c>
      <c r="Q972" s="1">
        <f t="shared" si="173"/>
        <v>-79.968417302653052</v>
      </c>
      <c r="R972">
        <f>SQRT(Tabelle2[[#This Row],[vx]]*Tabelle2[[#This Row],[vx]]+Tabelle2[[#This Row],[vy]]*Tabelle2[[#This Row],[vy]])</f>
        <v>81.498179451226676</v>
      </c>
      <c r="S972">
        <f t="shared" si="174"/>
        <v>670.12118962510681</v>
      </c>
      <c r="T972" s="1">
        <f t="shared" si="175"/>
        <v>-463.48678379682718</v>
      </c>
    </row>
    <row r="973" spans="6:20" x14ac:dyDescent="0.35">
      <c r="F973" s="1">
        <f t="shared" si="171"/>
        <v>19.399999999999675</v>
      </c>
      <c r="G973">
        <f>1/2*$B$8*$B$6*$B$7*(Tabelle2[[#This Row],[vx]]*Tabelle2[[#This Row],[vx]]+Tabelle2[[#This Row],[vy]]*Tabelle2[[#This Row],[vy]])/1000000</f>
        <v>11.759419669283368</v>
      </c>
      <c r="H973">
        <f>IF($B$3,-Tabelle2[[#This Row],[Fd]]*Tabelle2[[#This Row],[vx]]/Tabelle2[[#This Row],[v]],0)</f>
        <v>-2.2623748969707567</v>
      </c>
      <c r="I973">
        <f t="shared" si="165"/>
        <v>-1.5082499313138378</v>
      </c>
      <c r="J973">
        <f t="shared" si="166"/>
        <v>-3.0164998626276755E-2</v>
      </c>
      <c r="K973">
        <f t="shared" si="167"/>
        <v>0.31342231889855565</v>
      </c>
      <c r="L973">
        <f>-$B$5*$B$12-IF($B$3,Tabelle2[[#This Row],[Fd]]*Tabelle2[[#This Row],[vy]]/Tabelle2[[#This Row],[v]],0)</f>
        <v>-3.1752595010162779</v>
      </c>
      <c r="M973">
        <f t="shared" si="168"/>
        <v>-2.1168396673441854</v>
      </c>
      <c r="N973">
        <f t="shared" si="169"/>
        <v>-4.2336793346883707E-2</v>
      </c>
      <c r="O973">
        <f t="shared" si="170"/>
        <v>-1.6006414370472564</v>
      </c>
      <c r="P973" s="1">
        <f t="shared" si="172"/>
        <v>15.686198444240921</v>
      </c>
      <c r="Q973" s="1">
        <f t="shared" si="173"/>
        <v>-80.010903455689373</v>
      </c>
      <c r="R973">
        <f>SQRT(Tabelle2[[#This Row],[vx]]*Tabelle2[[#This Row],[vx]]+Tabelle2[[#This Row],[vy]]*Tabelle2[[#This Row],[vy]])</f>
        <v>81.534051128517788</v>
      </c>
      <c r="S973">
        <f t="shared" si="174"/>
        <v>670.43521569195138</v>
      </c>
      <c r="T973" s="1">
        <f t="shared" si="175"/>
        <v>-465.08657700441063</v>
      </c>
    </row>
    <row r="974" spans="6:20" x14ac:dyDescent="0.35">
      <c r="F974" s="1">
        <f t="shared" si="171"/>
        <v>19.419999999999675</v>
      </c>
      <c r="G974">
        <f>1/2*$B$8*$B$6*$B$7*(Tabelle2[[#This Row],[vx]]*Tabelle2[[#This Row],[vx]]+Tabelle2[[#This Row],[vy]]*Tabelle2[[#This Row],[vy]])/1000000</f>
        <v>11.769734524046461</v>
      </c>
      <c r="H974">
        <f>IF($B$3,-Tabelle2[[#This Row],[Fd]]*Tabelle2[[#This Row],[vx]]/Tabelle2[[#This Row],[v]],0)</f>
        <v>-2.2590143903172595</v>
      </c>
      <c r="I974">
        <f t="shared" si="165"/>
        <v>-1.5060095935448397</v>
      </c>
      <c r="J974">
        <f t="shared" si="166"/>
        <v>-3.0120191870896793E-2</v>
      </c>
      <c r="K974">
        <f t="shared" si="167"/>
        <v>0.31281946699358393</v>
      </c>
      <c r="L974">
        <f>-$B$5*$B$12-IF($B$3,Tabelle2[[#This Row],[Fd]]*Tabelle2[[#This Row],[vy]]/Tabelle2[[#This Row],[v]],0)</f>
        <v>-3.1640907392157764</v>
      </c>
      <c r="M974">
        <f t="shared" si="168"/>
        <v>-2.109393826143851</v>
      </c>
      <c r="N974">
        <f t="shared" si="169"/>
        <v>-4.2187876522877019E-2</v>
      </c>
      <c r="O974">
        <f t="shared" si="170"/>
        <v>-1.6014866837459538</v>
      </c>
      <c r="P974" s="1">
        <f t="shared" si="172"/>
        <v>15.656033445614645</v>
      </c>
      <c r="Q974" s="1">
        <f t="shared" si="173"/>
        <v>-80.05324024903625</v>
      </c>
      <c r="R974">
        <f>SQRT(Tabelle2[[#This Row],[vx]]*Tabelle2[[#This Row],[vx]]+Tabelle2[[#This Row],[vy]]*Tabelle2[[#This Row],[vy]])</f>
        <v>81.569802363497985</v>
      </c>
      <c r="S974">
        <f t="shared" si="174"/>
        <v>670.74863801084996</v>
      </c>
      <c r="T974" s="1">
        <f t="shared" si="175"/>
        <v>-466.6872184414579</v>
      </c>
    </row>
    <row r="975" spans="6:20" x14ac:dyDescent="0.35">
      <c r="F975" s="1">
        <f t="shared" si="171"/>
        <v>19.439999999999674</v>
      </c>
      <c r="G975">
        <f>1/2*$B$8*$B$6*$B$7*(Tabelle2[[#This Row],[vx]]*Tabelle2[[#This Row],[vx]]+Tabelle2[[#This Row],[vy]]*Tabelle2[[#This Row],[vy]])/1000000</f>
        <v>11.78001921842495</v>
      </c>
      <c r="H975">
        <f>IF($B$3,-Tabelle2[[#This Row],[Fd]]*Tabelle2[[#This Row],[vx]]/Tabelle2[[#This Row],[v]],0)</f>
        <v>-2.2556532158477816</v>
      </c>
      <c r="I975">
        <f t="shared" si="165"/>
        <v>-1.5037688105651876</v>
      </c>
      <c r="J975">
        <f t="shared" si="166"/>
        <v>-3.0075376211303753E-2</v>
      </c>
      <c r="K975">
        <f t="shared" si="167"/>
        <v>0.31221751131276193</v>
      </c>
      <c r="L975">
        <f>-$B$5*$B$12-IF($B$3,Tabelle2[[#This Row],[Fd]]*Tabelle2[[#This Row],[vy]]/Tabelle2[[#This Row],[v]],0)</f>
        <v>-3.1529551394964432</v>
      </c>
      <c r="M975">
        <f t="shared" si="168"/>
        <v>-2.1019700929976288</v>
      </c>
      <c r="N975">
        <f t="shared" si="169"/>
        <v>-4.2039401859952578E-2</v>
      </c>
      <c r="O975">
        <f t="shared" si="170"/>
        <v>-1.6023289565297822</v>
      </c>
      <c r="P975" s="1">
        <f t="shared" si="172"/>
        <v>15.625913253743748</v>
      </c>
      <c r="Q975" s="1">
        <f t="shared" si="173"/>
        <v>-80.095428125559124</v>
      </c>
      <c r="R975">
        <f>SQRT(Tabelle2[[#This Row],[vx]]*Tabelle2[[#This Row],[vx]]+Tabelle2[[#This Row],[vy]]*Tabelle2[[#This Row],[vy]])</f>
        <v>81.605433468796264</v>
      </c>
      <c r="S975">
        <f t="shared" si="174"/>
        <v>671.06145747784353</v>
      </c>
      <c r="T975" s="1">
        <f t="shared" si="175"/>
        <v>-468.28870512520388</v>
      </c>
    </row>
    <row r="976" spans="6:20" x14ac:dyDescent="0.35">
      <c r="F976" s="1">
        <f t="shared" si="171"/>
        <v>19.459999999999674</v>
      </c>
      <c r="G976">
        <f>1/2*$B$8*$B$6*$B$7*(Tabelle2[[#This Row],[vx]]*Tabelle2[[#This Row],[vx]]+Tabelle2[[#This Row],[vy]]*Tabelle2[[#This Row],[vy]])/1000000</f>
        <v>11.790273797265593</v>
      </c>
      <c r="H976">
        <f>IF($B$3,-Tabelle2[[#This Row],[Fd]]*Tabelle2[[#This Row],[vx]]/Tabelle2[[#This Row],[v]],0)</f>
        <v>-2.252291411144864</v>
      </c>
      <c r="I976">
        <f t="shared" si="165"/>
        <v>-1.5015276074299093</v>
      </c>
      <c r="J976">
        <f t="shared" si="166"/>
        <v>-3.0030552148598188E-2</v>
      </c>
      <c r="K976">
        <f t="shared" si="167"/>
        <v>0.31161645202916288</v>
      </c>
      <c r="L976">
        <f>-$B$5*$B$12-IF($B$3,Tabelle2[[#This Row],[Fd]]*Tabelle2[[#This Row],[vy]]/Tabelle2[[#This Row],[v]],0)</f>
        <v>-3.1418526487488858</v>
      </c>
      <c r="M976">
        <f t="shared" si="168"/>
        <v>-2.0945684324992571</v>
      </c>
      <c r="N976">
        <f t="shared" si="169"/>
        <v>-4.189136864998514E-2</v>
      </c>
      <c r="O976">
        <f t="shared" si="170"/>
        <v>-1.6031682642348815</v>
      </c>
      <c r="P976" s="1">
        <f t="shared" si="172"/>
        <v>15.595837877532444</v>
      </c>
      <c r="Q976" s="1">
        <f t="shared" si="173"/>
        <v>-80.137467527419076</v>
      </c>
      <c r="R976">
        <f>SQRT(Tabelle2[[#This Row],[vx]]*Tabelle2[[#This Row],[vx]]+Tabelle2[[#This Row],[vy]]*Tabelle2[[#This Row],[vy]])</f>
        <v>81.64094475696875</v>
      </c>
      <c r="S976">
        <f t="shared" si="174"/>
        <v>671.37367498915626</v>
      </c>
      <c r="T976" s="1">
        <f t="shared" si="175"/>
        <v>-469.89103408173366</v>
      </c>
    </row>
    <row r="977" spans="6:20" x14ac:dyDescent="0.35">
      <c r="F977" s="1">
        <f t="shared" si="171"/>
        <v>19.479999999999674</v>
      </c>
      <c r="G977">
        <f>1/2*$B$8*$B$6*$B$7*(Tabelle2[[#This Row],[vx]]*Tabelle2[[#This Row],[vx]]+Tabelle2[[#This Row],[vy]]*Tabelle2[[#This Row],[vy]])/1000000</f>
        <v>11.800498305701691</v>
      </c>
      <c r="H977">
        <f>IF($B$3,-Tabelle2[[#This Row],[Fd]]*Tabelle2[[#This Row],[vx]]/Tabelle2[[#This Row],[v]],0)</f>
        <v>-2.2489290135951259</v>
      </c>
      <c r="I977">
        <f t="shared" si="165"/>
        <v>-1.4992860090634172</v>
      </c>
      <c r="J977">
        <f t="shared" si="166"/>
        <v>-2.9985720181268345E-2</v>
      </c>
      <c r="K977">
        <f t="shared" si="167"/>
        <v>0.31101628930586422</v>
      </c>
      <c r="L977">
        <f>-$B$5*$B$12-IF($B$3,Tabelle2[[#This Row],[Fd]]*Tabelle2[[#This Row],[vy]]/Tabelle2[[#This Row],[v]],0)</f>
        <v>-3.1307832135841611</v>
      </c>
      <c r="M977">
        <f t="shared" si="168"/>
        <v>-2.0871888090561073</v>
      </c>
      <c r="N977">
        <f t="shared" si="169"/>
        <v>-4.1743776181122148E-2</v>
      </c>
      <c r="O977">
        <f t="shared" si="170"/>
        <v>-1.6040046156831926</v>
      </c>
      <c r="P977" s="1">
        <f t="shared" si="172"/>
        <v>15.565807325383846</v>
      </c>
      <c r="Q977" s="1">
        <f t="shared" si="173"/>
        <v>-80.179358896069061</v>
      </c>
      <c r="R977">
        <f>SQRT(Tabelle2[[#This Row],[vx]]*Tabelle2[[#This Row],[vx]]+Tabelle2[[#This Row],[vy]]*Tabelle2[[#This Row],[vy]])</f>
        <v>81.676336540491477</v>
      </c>
      <c r="S977">
        <f t="shared" si="174"/>
        <v>671.68529144118543</v>
      </c>
      <c r="T977" s="1">
        <f t="shared" si="175"/>
        <v>-471.49420234596857</v>
      </c>
    </row>
    <row r="978" spans="6:20" x14ac:dyDescent="0.35">
      <c r="F978" s="1">
        <f t="shared" si="171"/>
        <v>19.499999999999673</v>
      </c>
      <c r="G978">
        <f>1/2*$B$8*$B$6*$B$7*(Tabelle2[[#This Row],[vx]]*Tabelle2[[#This Row],[vx]]+Tabelle2[[#This Row],[vy]]*Tabelle2[[#This Row],[vy]])/1000000</f>
        <v>11.810692789149615</v>
      </c>
      <c r="H978">
        <f>IF($B$3,-Tabelle2[[#This Row],[Fd]]*Tabelle2[[#This Row],[vx]]/Tabelle2[[#This Row],[v]],0)</f>
        <v>-2.2455660603895433</v>
      </c>
      <c r="I978">
        <f t="shared" si="165"/>
        <v>-1.4970440402596956</v>
      </c>
      <c r="J978">
        <f t="shared" si="166"/>
        <v>-2.9940880805193915E-2</v>
      </c>
      <c r="K978">
        <f t="shared" si="167"/>
        <v>0.31041702329599963</v>
      </c>
      <c r="L978">
        <f>-$B$5*$B$12-IF($B$3,Tabelle2[[#This Row],[Fd]]*Tabelle2[[#This Row],[vy]]/Tabelle2[[#This Row],[v]],0)</f>
        <v>-3.1197467803373389</v>
      </c>
      <c r="M978">
        <f t="shared" si="168"/>
        <v>-2.0798311868915591</v>
      </c>
      <c r="N978">
        <f t="shared" si="169"/>
        <v>-4.1596623737831184E-2</v>
      </c>
      <c r="O978">
        <f t="shared" si="170"/>
        <v>-1.6048380196823819</v>
      </c>
      <c r="P978" s="1">
        <f t="shared" si="172"/>
        <v>15.535821605202576</v>
      </c>
      <c r="Q978" s="1">
        <f t="shared" si="173"/>
        <v>-80.221102672250183</v>
      </c>
      <c r="R978">
        <f>SQRT(Tabelle2[[#This Row],[vx]]*Tabelle2[[#This Row],[vx]]+Tabelle2[[#This Row],[vy]]*Tabelle2[[#This Row],[vy]])</f>
        <v>81.711609131753022</v>
      </c>
      <c r="S978">
        <f t="shared" si="174"/>
        <v>671.99630773049125</v>
      </c>
      <c r="T978" s="1">
        <f t="shared" si="175"/>
        <v>-473.09820696165178</v>
      </c>
    </row>
    <row r="979" spans="6:20" x14ac:dyDescent="0.35">
      <c r="F979" s="1">
        <f t="shared" si="171"/>
        <v>19.519999999999673</v>
      </c>
      <c r="G979">
        <f>1/2*$B$8*$B$6*$B$7*(Tabelle2[[#This Row],[vx]]*Tabelle2[[#This Row],[vx]]+Tabelle2[[#This Row],[vy]]*Tabelle2[[#This Row],[vy]])/1000000</f>
        <v>11.820857293305352</v>
      </c>
      <c r="H979">
        <f>IF($B$3,-Tabelle2[[#This Row],[Fd]]*Tabelle2[[#This Row],[vx]]/Tabelle2[[#This Row],[v]],0)</f>
        <v>-2.242202588523722</v>
      </c>
      <c r="I979">
        <f t="shared" si="165"/>
        <v>-1.4948017256824813</v>
      </c>
      <c r="J979">
        <f t="shared" si="166"/>
        <v>-2.9896034513649625E-2</v>
      </c>
      <c r="K979">
        <f t="shared" si="167"/>
        <v>0.30981865414281118</v>
      </c>
      <c r="L979">
        <f>-$B$5*$B$12-IF($B$3,Tabelle2[[#This Row],[Fd]]*Tabelle2[[#This Row],[vy]]/Tabelle2[[#This Row],[v]],0)</f>
        <v>-3.1087432950710649</v>
      </c>
      <c r="M979">
        <f t="shared" si="168"/>
        <v>-2.0724955300473766</v>
      </c>
      <c r="N979">
        <f t="shared" si="169"/>
        <v>-4.1449910600947534E-2</v>
      </c>
      <c r="O979">
        <f t="shared" si="170"/>
        <v>-1.6056684850257699</v>
      </c>
      <c r="P979" s="1">
        <f t="shared" si="172"/>
        <v>15.505880724397382</v>
      </c>
      <c r="Q979" s="1">
        <f t="shared" si="173"/>
        <v>-80.262699295988014</v>
      </c>
      <c r="R979">
        <f>SQRT(Tabelle2[[#This Row],[vx]]*Tabelle2[[#This Row],[vx]]+Tabelle2[[#This Row],[vy]]*Tabelle2[[#This Row],[vy]])</f>
        <v>81.746762843047392</v>
      </c>
      <c r="S979">
        <f t="shared" si="174"/>
        <v>672.30672475378731</v>
      </c>
      <c r="T979" s="1">
        <f t="shared" si="175"/>
        <v>-474.70304498133419</v>
      </c>
    </row>
    <row r="980" spans="6:20" x14ac:dyDescent="0.35">
      <c r="F980" s="1">
        <f t="shared" si="171"/>
        <v>19.539999999999672</v>
      </c>
      <c r="G980">
        <f>1/2*$B$8*$B$6*$B$7*(Tabelle2[[#This Row],[vx]]*Tabelle2[[#This Row],[vx]]+Tabelle2[[#This Row],[vy]]*Tabelle2[[#This Row],[vy]])/1000000</f>
        <v>11.83099186414106</v>
      </c>
      <c r="H980">
        <f>IF($B$3,-Tabelle2[[#This Row],[Fd]]*Tabelle2[[#This Row],[vx]]/Tabelle2[[#This Row],[v]],0)</f>
        <v>-2.2388386347981841</v>
      </c>
      <c r="I980">
        <f t="shared" si="165"/>
        <v>-1.4925590898654562</v>
      </c>
      <c r="J980">
        <f t="shared" si="166"/>
        <v>-2.9851181797309122E-2</v>
      </c>
      <c r="K980">
        <f t="shared" si="167"/>
        <v>0.30922118197970155</v>
      </c>
      <c r="L980">
        <f>-$B$5*$B$12-IF($B$3,Tabelle2[[#This Row],[Fd]]*Tabelle2[[#This Row],[vy]]/Tabelle2[[#This Row],[v]],0)</f>
        <v>-3.0977727035790945</v>
      </c>
      <c r="M980">
        <f t="shared" si="168"/>
        <v>-2.0651818023860629</v>
      </c>
      <c r="N980">
        <f t="shared" si="169"/>
        <v>-4.1303636047721255E-2</v>
      </c>
      <c r="O980">
        <f t="shared" si="170"/>
        <v>-1.6064960204922565</v>
      </c>
      <c r="P980" s="1">
        <f t="shared" si="172"/>
        <v>15.475984689883733</v>
      </c>
      <c r="Q980" s="1">
        <f t="shared" si="173"/>
        <v>-80.30414920658896</v>
      </c>
      <c r="R980">
        <f>SQRT(Tabelle2[[#This Row],[vx]]*Tabelle2[[#This Row],[vx]]+Tabelle2[[#This Row],[vy]]*Tabelle2[[#This Row],[vy]])</f>
        <v>81.781797986566772</v>
      </c>
      <c r="S980">
        <f t="shared" si="174"/>
        <v>672.61654340793007</v>
      </c>
      <c r="T980" s="1">
        <f t="shared" si="175"/>
        <v>-476.30871346635996</v>
      </c>
    </row>
    <row r="981" spans="6:20" x14ac:dyDescent="0.35">
      <c r="F981" s="1">
        <f t="shared" si="171"/>
        <v>19.559999999999672</v>
      </c>
      <c r="G981">
        <f>1/2*$B$8*$B$6*$B$7*(Tabelle2[[#This Row],[vx]]*Tabelle2[[#This Row],[vx]]+Tabelle2[[#This Row],[vy]]*Tabelle2[[#This Row],[vy]])/1000000</f>
        <v>11.841096547901657</v>
      </c>
      <c r="H981">
        <f>IF($B$3,-Tabelle2[[#This Row],[Fd]]*Tabelle2[[#This Row],[vx]]/Tabelle2[[#This Row],[v]],0)</f>
        <v>-2.2354742358186575</v>
      </c>
      <c r="I981">
        <f t="shared" si="165"/>
        <v>-1.4903161572124384</v>
      </c>
      <c r="J981">
        <f t="shared" si="166"/>
        <v>-2.9806323144248768E-2</v>
      </c>
      <c r="K981">
        <f t="shared" si="167"/>
        <v>0.30862460693028598</v>
      </c>
      <c r="L981">
        <f>-$B$5*$B$12-IF($B$3,Tabelle2[[#This Row],[Fd]]*Tabelle2[[#This Row],[vy]]/Tabelle2[[#This Row],[v]],0)</f>
        <v>-3.0868349513898146</v>
      </c>
      <c r="M981">
        <f t="shared" si="168"/>
        <v>-2.0578899675932099</v>
      </c>
      <c r="N981">
        <f t="shared" si="169"/>
        <v>-4.1157799351864199E-2</v>
      </c>
      <c r="O981">
        <f t="shared" si="170"/>
        <v>-1.6073206348462521</v>
      </c>
      <c r="P981" s="1">
        <f t="shared" si="172"/>
        <v>15.446133508086424</v>
      </c>
      <c r="Q981" s="1">
        <f t="shared" si="173"/>
        <v>-80.345452842636675</v>
      </c>
      <c r="R981">
        <f>SQRT(Tabelle2[[#This Row],[vx]]*Tabelle2[[#This Row],[vx]]+Tabelle2[[#This Row],[vy]]*Tabelle2[[#This Row],[vy]])</f>
        <v>81.816714874394606</v>
      </c>
      <c r="S981">
        <f t="shared" si="174"/>
        <v>672.92576458990982</v>
      </c>
      <c r="T981" s="1">
        <f t="shared" si="175"/>
        <v>-477.91520948685223</v>
      </c>
    </row>
    <row r="982" spans="6:20" x14ac:dyDescent="0.35">
      <c r="F982" s="1">
        <f t="shared" si="171"/>
        <v>19.579999999999671</v>
      </c>
      <c r="G982">
        <f>1/2*$B$8*$B$6*$B$7*(Tabelle2[[#This Row],[vx]]*Tabelle2[[#This Row],[vx]]+Tabelle2[[#This Row],[vy]]*Tabelle2[[#This Row],[vy]])/1000000</f>
        <v>11.851171391101428</v>
      </c>
      <c r="H982">
        <f>IF($B$3,-Tabelle2[[#This Row],[Fd]]*Tabelle2[[#This Row],[vx]]/Tabelle2[[#This Row],[v]],0)</f>
        <v>-2.2321094279963729</v>
      </c>
      <c r="I982">
        <f t="shared" si="165"/>
        <v>-1.4880729519975819</v>
      </c>
      <c r="J982">
        <f t="shared" si="166"/>
        <v>-2.976145903995164E-2</v>
      </c>
      <c r="K982">
        <f t="shared" si="167"/>
        <v>0.30802892910844398</v>
      </c>
      <c r="L982">
        <f>-$B$5*$B$12-IF($B$3,Tabelle2[[#This Row],[Fd]]*Tabelle2[[#This Row],[vy]]/Tabelle2[[#This Row],[v]],0)</f>
        <v>-3.075929983769722</v>
      </c>
      <c r="M982">
        <f t="shared" si="168"/>
        <v>-2.0506199891798147</v>
      </c>
      <c r="N982">
        <f t="shared" si="169"/>
        <v>-4.1012399783596297E-2</v>
      </c>
      <c r="O982">
        <f t="shared" si="170"/>
        <v>-1.6081423368376069</v>
      </c>
      <c r="P982" s="1">
        <f t="shared" si="172"/>
        <v>15.416327184942176</v>
      </c>
      <c r="Q982" s="1">
        <f t="shared" si="173"/>
        <v>-80.38661064198854</v>
      </c>
      <c r="R982">
        <f>SQRT(Tabelle2[[#This Row],[vx]]*Tabelle2[[#This Row],[vx]]+Tabelle2[[#This Row],[vy]]*Tabelle2[[#This Row],[vy]])</f>
        <v>81.851513818498503</v>
      </c>
      <c r="S982">
        <f t="shared" si="174"/>
        <v>673.23438919684008</v>
      </c>
      <c r="T982" s="1">
        <f t="shared" si="175"/>
        <v>-479.52253012169848</v>
      </c>
    </row>
    <row r="983" spans="6:20" x14ac:dyDescent="0.35">
      <c r="F983" s="1">
        <f t="shared" si="171"/>
        <v>19.599999999999671</v>
      </c>
      <c r="G983">
        <f>1/2*$B$8*$B$6*$B$7*(Tabelle2[[#This Row],[vx]]*Tabelle2[[#This Row],[vx]]+Tabelle2[[#This Row],[vy]]*Tabelle2[[#This Row],[vy]])/1000000</f>
        <v>11.861216440520629</v>
      </c>
      <c r="H983">
        <f>IF($B$3,-Tabelle2[[#This Row],[Fd]]*Tabelle2[[#This Row],[vx]]/Tabelle2[[#This Row],[v]],0)</f>
        <v>-2.2287442475483652</v>
      </c>
      <c r="I983">
        <f t="shared" si="165"/>
        <v>-1.4858294983655769</v>
      </c>
      <c r="J983">
        <f t="shared" si="166"/>
        <v>-2.9716589967311538E-2</v>
      </c>
      <c r="K983">
        <f t="shared" si="167"/>
        <v>0.30743414861837137</v>
      </c>
      <c r="L983">
        <f>-$B$5*$B$12-IF($B$3,Tabelle2[[#This Row],[Fd]]*Tabelle2[[#This Row],[vy]]/Tabelle2[[#This Row],[v]],0)</f>
        <v>-3.0650577457269375</v>
      </c>
      <c r="M983">
        <f t="shared" si="168"/>
        <v>-2.0433718304846251</v>
      </c>
      <c r="N983">
        <f t="shared" si="169"/>
        <v>-4.0867436609692505E-2</v>
      </c>
      <c r="O983">
        <f t="shared" si="170"/>
        <v>-1.6089611352015396</v>
      </c>
      <c r="P983" s="1">
        <f t="shared" si="172"/>
        <v>15.386565725902225</v>
      </c>
      <c r="Q983" s="1">
        <f t="shared" si="173"/>
        <v>-80.427623041772137</v>
      </c>
      <c r="R983">
        <f>SQRT(Tabelle2[[#This Row],[vx]]*Tabelle2[[#This Row],[vx]]+Tabelle2[[#This Row],[vy]]*Tabelle2[[#This Row],[vy]])</f>
        <v>81.88619513072338</v>
      </c>
      <c r="S983">
        <f t="shared" si="174"/>
        <v>673.54241812594853</v>
      </c>
      <c r="T983" s="1">
        <f t="shared" si="175"/>
        <v>-481.13067245853608</v>
      </c>
    </row>
    <row r="984" spans="6:20" x14ac:dyDescent="0.35">
      <c r="F984" s="1">
        <f t="shared" si="171"/>
        <v>19.619999999999671</v>
      </c>
      <c r="G984">
        <f>1/2*$B$8*$B$6*$B$7*(Tabelle2[[#This Row],[vx]]*Tabelle2[[#This Row],[vx]]+Tabelle2[[#This Row],[vy]]*Tabelle2[[#This Row],[vy]])/1000000</f>
        <v>11.871231743202149</v>
      </c>
      <c r="H984">
        <f>IF($B$3,-Tabelle2[[#This Row],[Fd]]*Tabelle2[[#This Row],[vx]]/Tabelle2[[#This Row],[v]],0)</f>
        <v>-2.2253787304977832</v>
      </c>
      <c r="I984">
        <f t="shared" si="165"/>
        <v>-1.4835858203318555</v>
      </c>
      <c r="J984">
        <f t="shared" si="166"/>
        <v>-2.967171640663711E-2</v>
      </c>
      <c r="K984">
        <f t="shared" si="167"/>
        <v>0.3068402655546319</v>
      </c>
      <c r="L984">
        <f>-$B$5*$B$12-IF($B$3,Tabelle2[[#This Row],[Fd]]*Tabelle2[[#This Row],[vy]]/Tabelle2[[#This Row],[v]],0)</f>
        <v>-3.0542181820146226</v>
      </c>
      <c r="M984">
        <f t="shared" si="168"/>
        <v>-2.0361454546764151</v>
      </c>
      <c r="N984">
        <f t="shared" si="169"/>
        <v>-4.0722909093528305E-2</v>
      </c>
      <c r="O984">
        <f t="shared" si="170"/>
        <v>-1.6097770386585717</v>
      </c>
      <c r="P984" s="1">
        <f t="shared" si="172"/>
        <v>15.356849135934914</v>
      </c>
      <c r="Q984" s="1">
        <f t="shared" si="173"/>
        <v>-80.468490478381824</v>
      </c>
      <c r="R984">
        <f>SQRT(Tabelle2[[#This Row],[vx]]*Tabelle2[[#This Row],[vx]]+Tabelle2[[#This Row],[vy]]*Tabelle2[[#This Row],[vy]])</f>
        <v>81.920759122784574</v>
      </c>
      <c r="S984">
        <f t="shared" si="174"/>
        <v>673.84985227456696</v>
      </c>
      <c r="T984" s="1">
        <f t="shared" si="175"/>
        <v>-482.73963359373761</v>
      </c>
    </row>
    <row r="985" spans="6:20" x14ac:dyDescent="0.35">
      <c r="F985" s="1">
        <f t="shared" si="171"/>
        <v>19.63999999999967</v>
      </c>
      <c r="G985">
        <f>1/2*$B$8*$B$6*$B$7*(Tabelle2[[#This Row],[vx]]*Tabelle2[[#This Row],[vx]]+Tabelle2[[#This Row],[vy]]*Tabelle2[[#This Row],[vy]])/1000000</f>
        <v>11.881217346448153</v>
      </c>
      <c r="H985">
        <f>IF($B$3,-Tabelle2[[#This Row],[Fd]]*Tabelle2[[#This Row],[vx]]/Tabelle2[[#This Row],[v]],0)</f>
        <v>-2.2220129126742019</v>
      </c>
      <c r="I985">
        <f t="shared" si="165"/>
        <v>-1.4813419417828013</v>
      </c>
      <c r="J985">
        <f t="shared" si="166"/>
        <v>-2.9626838835656026E-2</v>
      </c>
      <c r="K985">
        <f t="shared" si="167"/>
        <v>0.30624728000220897</v>
      </c>
      <c r="L985">
        <f>-$B$5*$B$12-IF($B$3,Tabelle2[[#This Row],[Fd]]*Tabelle2[[#This Row],[vy]]/Tabelle2[[#This Row],[v]],0)</f>
        <v>-3.0434112371344408</v>
      </c>
      <c r="M985">
        <f t="shared" si="168"/>
        <v>-2.0289408247562939</v>
      </c>
      <c r="N985">
        <f t="shared" si="169"/>
        <v>-4.0578816495125881E-2</v>
      </c>
      <c r="O985">
        <f t="shared" si="170"/>
        <v>-1.6105900559144584</v>
      </c>
      <c r="P985" s="1">
        <f t="shared" si="172"/>
        <v>15.327177419528276</v>
      </c>
      <c r="Q985" s="1">
        <f t="shared" si="173"/>
        <v>-80.509213387475356</v>
      </c>
      <c r="R985">
        <f>SQRT(Tabelle2[[#This Row],[vx]]*Tabelle2[[#This Row],[vx]]+Tabelle2[[#This Row],[vy]]*Tabelle2[[#This Row],[vy]])</f>
        <v>81.955206106261116</v>
      </c>
      <c r="S985">
        <f t="shared" si="174"/>
        <v>674.15669254012164</v>
      </c>
      <c r="T985" s="1">
        <f t="shared" si="175"/>
        <v>-484.3494106323962</v>
      </c>
    </row>
    <row r="986" spans="6:20" x14ac:dyDescent="0.35">
      <c r="F986" s="1">
        <f t="shared" si="171"/>
        <v>19.65999999999967</v>
      </c>
      <c r="G986">
        <f>1/2*$B$8*$B$6*$B$7*(Tabelle2[[#This Row],[vx]]*Tabelle2[[#This Row],[vx]]+Tabelle2[[#This Row],[vy]]*Tabelle2[[#This Row],[vy]])/1000000</f>
        <v>11.891173297816774</v>
      </c>
      <c r="H986">
        <f>IF($B$3,-Tabelle2[[#This Row],[Fd]]*Tabelle2[[#This Row],[vx]]/Tabelle2[[#This Row],[v]],0)</f>
        <v>-2.2186468297139439</v>
      </c>
      <c r="I986">
        <f t="shared" si="165"/>
        <v>-1.4790978864759625</v>
      </c>
      <c r="J986">
        <f t="shared" si="166"/>
        <v>-2.958195772951925E-2</v>
      </c>
      <c r="K986">
        <f t="shared" si="167"/>
        <v>0.30565519203655722</v>
      </c>
      <c r="L986">
        <f>-$B$5*$B$12-IF($B$3,Tabelle2[[#This Row],[Fd]]*Tabelle2[[#This Row],[vy]]/Tabelle2[[#This Row],[v]],0)</f>
        <v>-3.0326368553399714</v>
      </c>
      <c r="M986">
        <f t="shared" si="168"/>
        <v>-2.0217579035599811</v>
      </c>
      <c r="N986">
        <f t="shared" si="169"/>
        <v>-4.0435158071199621E-2</v>
      </c>
      <c r="O986">
        <f t="shared" si="170"/>
        <v>-1.6114001956601218</v>
      </c>
      <c r="P986" s="1">
        <f t="shared" si="172"/>
        <v>15.29755058069262</v>
      </c>
      <c r="Q986" s="1">
        <f t="shared" si="173"/>
        <v>-80.549792203970483</v>
      </c>
      <c r="R986">
        <f>SQRT(Tabelle2[[#This Row],[vx]]*Tabelle2[[#This Row],[vx]]+Tabelle2[[#This Row],[vy]]*Tabelle2[[#This Row],[vy]])</f>
        <v>81.989536392588974</v>
      </c>
      <c r="S986">
        <f t="shared" si="174"/>
        <v>674.46293982012389</v>
      </c>
      <c r="T986" s="1">
        <f t="shared" si="175"/>
        <v>-485.96000068831069</v>
      </c>
    </row>
    <row r="987" spans="6:20" x14ac:dyDescent="0.35">
      <c r="F987" s="1">
        <f t="shared" si="171"/>
        <v>19.679999999999669</v>
      </c>
      <c r="G987">
        <f>1/2*$B$8*$B$6*$B$7*(Tabelle2[[#This Row],[vx]]*Tabelle2[[#This Row],[vx]]+Tabelle2[[#This Row],[vy]]*Tabelle2[[#This Row],[vy]])/1000000</f>
        <v>11.90109964511881</v>
      </c>
      <c r="H987">
        <f>IF($B$3,-Tabelle2[[#This Row],[Fd]]*Tabelle2[[#This Row],[vx]]/Tabelle2[[#This Row],[v]],0)</f>
        <v>-2.2152805170604046</v>
      </c>
      <c r="I987">
        <f t="shared" si="165"/>
        <v>-1.4768536780402697</v>
      </c>
      <c r="J987">
        <f t="shared" si="166"/>
        <v>-2.9537073560805396E-2</v>
      </c>
      <c r="K987">
        <f t="shared" si="167"/>
        <v>0.30506400172365394</v>
      </c>
      <c r="L987">
        <f>-$B$5*$B$12-IF($B$3,Tabelle2[[#This Row],[Fd]]*Tabelle2[[#This Row],[vy]]/Tabelle2[[#This Row],[v]],0)</f>
        <v>-3.0218949806401021</v>
      </c>
      <c r="M987">
        <f t="shared" si="168"/>
        <v>-2.0145966537600679</v>
      </c>
      <c r="N987">
        <f t="shared" si="169"/>
        <v>-4.0291933075201361E-2</v>
      </c>
      <c r="O987">
        <f t="shared" si="170"/>
        <v>-1.6122074665715858</v>
      </c>
      <c r="P987" s="1">
        <f t="shared" si="172"/>
        <v>15.267968622963101</v>
      </c>
      <c r="Q987" s="1">
        <f t="shared" si="173"/>
        <v>-80.590227362041688</v>
      </c>
      <c r="R987">
        <f>SQRT(Tabelle2[[#This Row],[vx]]*Tabelle2[[#This Row],[vx]]+Tabelle2[[#This Row],[vy]]*Tabelle2[[#This Row],[vy]])</f>
        <v>82.023750293054505</v>
      </c>
      <c r="S987">
        <f t="shared" si="174"/>
        <v>674.7685950121604</v>
      </c>
      <c r="T987" s="1">
        <f t="shared" si="175"/>
        <v>-487.5714008839708</v>
      </c>
    </row>
    <row r="988" spans="6:20" x14ac:dyDescent="0.35">
      <c r="F988" s="1">
        <f t="shared" si="171"/>
        <v>19.699999999999669</v>
      </c>
      <c r="G988">
        <f>1/2*$B$8*$B$6*$B$7*(Tabelle2[[#This Row],[vx]]*Tabelle2[[#This Row],[vx]]+Tabelle2[[#This Row],[vy]]*Tabelle2[[#This Row],[vy]])/1000000</f>
        <v>11.910996436414438</v>
      </c>
      <c r="H988">
        <f>IF($B$3,-Tabelle2[[#This Row],[Fd]]*Tabelle2[[#This Row],[vx]]/Tabelle2[[#This Row],[v]],0)</f>
        <v>-2.2119140099643833</v>
      </c>
      <c r="I988">
        <f t="shared" si="165"/>
        <v>-1.4746093399762554</v>
      </c>
      <c r="J988">
        <f t="shared" si="166"/>
        <v>-2.9492186799525109E-2</v>
      </c>
      <c r="K988">
        <f t="shared" si="167"/>
        <v>0.30447370912005067</v>
      </c>
      <c r="L988">
        <f>-$B$5*$B$12-IF($B$3,Tabelle2[[#This Row],[Fd]]*Tabelle2[[#This Row],[vy]]/Tabelle2[[#This Row],[v]],0)</f>
        <v>-3.0111855568024009</v>
      </c>
      <c r="M988">
        <f t="shared" si="168"/>
        <v>-2.0074570378682672</v>
      </c>
      <c r="N988">
        <f t="shared" si="169"/>
        <v>-4.0149140757365344E-2</v>
      </c>
      <c r="O988">
        <f t="shared" si="170"/>
        <v>-1.6130118773099114</v>
      </c>
      <c r="P988" s="1">
        <f t="shared" si="172"/>
        <v>15.238431549402296</v>
      </c>
      <c r="Q988" s="1">
        <f t="shared" si="173"/>
        <v>-80.630519295116883</v>
      </c>
      <c r="R988">
        <f>SQRT(Tabelle2[[#This Row],[vx]]*Tabelle2[[#This Row],[vx]]+Tabelle2[[#This Row],[vy]]*Tabelle2[[#This Row],[vy]])</f>
        <v>82.057848118787732</v>
      </c>
      <c r="S988">
        <f t="shared" si="174"/>
        <v>675.07365901388403</v>
      </c>
      <c r="T988" s="1">
        <f t="shared" si="175"/>
        <v>-489.18360835054239</v>
      </c>
    </row>
    <row r="989" spans="6:20" x14ac:dyDescent="0.35">
      <c r="F989" s="1">
        <f t="shared" si="171"/>
        <v>19.719999999999668</v>
      </c>
      <c r="G989">
        <f>1/2*$B$8*$B$6*$B$7*(Tabelle2[[#This Row],[vx]]*Tabelle2[[#This Row],[vx]]+Tabelle2[[#This Row],[vy]]*Tabelle2[[#This Row],[vy]])/1000000</f>
        <v>11.920863720009958</v>
      </c>
      <c r="H989">
        <f>IF($B$3,-Tabelle2[[#This Row],[Fd]]*Tabelle2[[#This Row],[vx]]/Tabelle2[[#This Row],[v]],0)</f>
        <v>-2.2085473434844185</v>
      </c>
      <c r="I989">
        <f t="shared" si="165"/>
        <v>-1.4723648956562789</v>
      </c>
      <c r="J989">
        <f t="shared" si="166"/>
        <v>-2.9447297913125579E-2</v>
      </c>
      <c r="K989">
        <f t="shared" si="167"/>
        <v>0.30388431427292417</v>
      </c>
      <c r="L989">
        <f>-$B$5*$B$12-IF($B$3,Tabelle2[[#This Row],[Fd]]*Tabelle2[[#This Row],[vy]]/Tabelle2[[#This Row],[v]],0)</f>
        <v>-3.0005085273564873</v>
      </c>
      <c r="M989">
        <f t="shared" si="168"/>
        <v>-2.0003390182376584</v>
      </c>
      <c r="N989">
        <f t="shared" si="169"/>
        <v>-4.0006780364753171E-2</v>
      </c>
      <c r="O989">
        <f t="shared" si="170"/>
        <v>-1.6138134365211325</v>
      </c>
      <c r="P989" s="1">
        <f t="shared" si="172"/>
        <v>15.208939362602772</v>
      </c>
      <c r="Q989" s="1">
        <f t="shared" si="173"/>
        <v>-80.670668435874248</v>
      </c>
      <c r="R989">
        <f>SQRT(Tabelle2[[#This Row],[vx]]*Tabelle2[[#This Row],[vx]]+Tabelle2[[#This Row],[vy]]*Tabelle2[[#This Row],[vy]])</f>
        <v>82.091830180756034</v>
      </c>
      <c r="S989">
        <f t="shared" si="174"/>
        <v>675.37813272300411</v>
      </c>
      <c r="T989" s="1">
        <f t="shared" si="175"/>
        <v>-490.79662022785232</v>
      </c>
    </row>
    <row r="990" spans="6:20" x14ac:dyDescent="0.35">
      <c r="F990" s="1">
        <f t="shared" si="171"/>
        <v>19.739999999999668</v>
      </c>
      <c r="G990">
        <f>1/2*$B$8*$B$6*$B$7*(Tabelle2[[#This Row],[vx]]*Tabelle2[[#This Row],[vx]]+Tabelle2[[#This Row],[vy]]*Tabelle2[[#This Row],[vy]])/1000000</f>
        <v>11.930701544454548</v>
      </c>
      <c r="H990">
        <f>IF($B$3,-Tabelle2[[#This Row],[Fd]]*Tabelle2[[#This Row],[vx]]/Tabelle2[[#This Row],[v]],0)</f>
        <v>-2.2051805524871333</v>
      </c>
      <c r="I990">
        <f t="shared" si="165"/>
        <v>-1.4701203683247555</v>
      </c>
      <c r="J990">
        <f t="shared" si="166"/>
        <v>-2.940240736649511E-2</v>
      </c>
      <c r="K990">
        <f t="shared" si="167"/>
        <v>0.30329581722012799</v>
      </c>
      <c r="L990">
        <f>-$B$5*$B$12-IF($B$3,Tabelle2[[#This Row],[Fd]]*Tabelle2[[#This Row],[vy]]/Tabelle2[[#This Row],[v]],0)</f>
        <v>-2.9898638355973581</v>
      </c>
      <c r="M990">
        <f t="shared" si="168"/>
        <v>-1.9932425570649055</v>
      </c>
      <c r="N990">
        <f t="shared" si="169"/>
        <v>-3.9864851141298112E-2</v>
      </c>
      <c r="O990">
        <f t="shared" si="170"/>
        <v>-1.6146121528361927</v>
      </c>
      <c r="P990" s="1">
        <f t="shared" si="172"/>
        <v>15.179492064689645</v>
      </c>
      <c r="Q990" s="1">
        <f t="shared" si="173"/>
        <v>-80.710675216238997</v>
      </c>
      <c r="R990">
        <f>SQRT(Tabelle2[[#This Row],[vx]]*Tabelle2[[#This Row],[vx]]+Tabelle2[[#This Row],[vy]]*Tabelle2[[#This Row],[vy]])</f>
        <v>82.125696789757541</v>
      </c>
      <c r="S990">
        <f t="shared" si="174"/>
        <v>675.68201703727709</v>
      </c>
      <c r="T990" s="1">
        <f t="shared" si="175"/>
        <v>-492.41043366437344</v>
      </c>
    </row>
    <row r="991" spans="6:20" x14ac:dyDescent="0.35">
      <c r="F991" s="1">
        <f t="shared" si="171"/>
        <v>19.759999999999668</v>
      </c>
      <c r="G991">
        <f>1/2*$B$8*$B$6*$B$7*(Tabelle2[[#This Row],[vx]]*Tabelle2[[#This Row],[vx]]+Tabelle2[[#This Row],[vy]]*Tabelle2[[#This Row],[vy]])/1000000</f>
        <v>11.940509958537053</v>
      </c>
      <c r="H991">
        <f>IF($B$3,-Tabelle2[[#This Row],[Fd]]*Tabelle2[[#This Row],[vx]]/Tabelle2[[#This Row],[v]],0)</f>
        <v>-2.2018136716475798</v>
      </c>
      <c r="I991">
        <f t="shared" si="165"/>
        <v>-1.4678757810983865</v>
      </c>
      <c r="J991">
        <f t="shared" si="166"/>
        <v>-2.9357515621967728E-2</v>
      </c>
      <c r="K991">
        <f t="shared" si="167"/>
        <v>0.30270821799024333</v>
      </c>
      <c r="L991">
        <f>-$B$5*$B$12-IF($B$3,Tabelle2[[#This Row],[Fd]]*Tabelle2[[#This Row],[vy]]/Tabelle2[[#This Row],[v]],0)</f>
        <v>-2.9792514245886998</v>
      </c>
      <c r="M991">
        <f t="shared" si="168"/>
        <v>-1.9861676163924666</v>
      </c>
      <c r="N991">
        <f t="shared" si="169"/>
        <v>-3.9723352327849334E-2</v>
      </c>
      <c r="O991">
        <f t="shared" si="170"/>
        <v>-1.6154080348708846</v>
      </c>
      <c r="P991" s="1">
        <f t="shared" si="172"/>
        <v>15.15008965732315</v>
      </c>
      <c r="Q991" s="1">
        <f t="shared" si="173"/>
        <v>-80.7505400673803</v>
      </c>
      <c r="R991">
        <f>SQRT(Tabelle2[[#This Row],[vx]]*Tabelle2[[#This Row],[vx]]+Tabelle2[[#This Row],[vy]]*Tabelle2[[#This Row],[vy]])</f>
        <v>82.159448256414919</v>
      </c>
      <c r="S991">
        <f t="shared" si="174"/>
        <v>675.98531285449724</v>
      </c>
      <c r="T991" s="1">
        <f t="shared" si="175"/>
        <v>-494.02504581720962</v>
      </c>
    </row>
    <row r="992" spans="6:20" x14ac:dyDescent="0.35">
      <c r="F992" s="1">
        <f t="shared" si="171"/>
        <v>19.779999999999667</v>
      </c>
      <c r="G992">
        <f>1/2*$B$8*$B$6*$B$7*(Tabelle2[[#This Row],[vx]]*Tabelle2[[#This Row],[vx]]+Tabelle2[[#This Row],[vy]]*Tabelle2[[#This Row],[vy]])/1000000</f>
        <v>11.950289011282758</v>
      </c>
      <c r="H992">
        <f>IF($B$3,-Tabelle2[[#This Row],[Fd]]*Tabelle2[[#This Row],[vx]]/Tabelle2[[#This Row],[v]],0)</f>
        <v>-2.1984467354495925</v>
      </c>
      <c r="I992">
        <f t="shared" si="165"/>
        <v>-1.4656311569663949</v>
      </c>
      <c r="J992">
        <f t="shared" si="166"/>
        <v>-2.9312623139327899E-2</v>
      </c>
      <c r="K992">
        <f t="shared" si="167"/>
        <v>0.30212151660263037</v>
      </c>
      <c r="L992">
        <f>-$B$5*$B$12-IF($B$3,Tabelle2[[#This Row],[Fd]]*Tabelle2[[#This Row],[vy]]/Tabelle2[[#This Row],[v]],0)</f>
        <v>-2.9686712371662072</v>
      </c>
      <c r="M992">
        <f t="shared" si="168"/>
        <v>-1.9791141581108047</v>
      </c>
      <c r="N992">
        <f t="shared" si="169"/>
        <v>-3.9582283162216098E-2</v>
      </c>
      <c r="O992">
        <f t="shared" si="170"/>
        <v>-1.6162010912257854</v>
      </c>
      <c r="P992" s="1">
        <f t="shared" si="172"/>
        <v>15.120732141701183</v>
      </c>
      <c r="Q992" s="1">
        <f t="shared" si="173"/>
        <v>-80.790263419708154</v>
      </c>
      <c r="R992">
        <f>SQRT(Tabelle2[[#This Row],[vx]]*Tabelle2[[#This Row],[vx]]+Tabelle2[[#This Row],[vy]]*Tabelle2[[#This Row],[vy]])</f>
        <v>82.193084891168965</v>
      </c>
      <c r="S992">
        <f t="shared" si="174"/>
        <v>676.28802107248748</v>
      </c>
      <c r="T992" s="1">
        <f t="shared" si="175"/>
        <v>-495.6404538520805</v>
      </c>
    </row>
    <row r="993" spans="6:20" x14ac:dyDescent="0.35">
      <c r="F993" s="1">
        <f t="shared" si="171"/>
        <v>19.799999999999667</v>
      </c>
      <c r="G993">
        <f>1/2*$B$8*$B$6*$B$7*(Tabelle2[[#This Row],[vx]]*Tabelle2[[#This Row],[vx]]+Tabelle2[[#This Row],[vy]]*Tabelle2[[#This Row],[vy]])/1000000</f>
        <v>11.960038751950217</v>
      </c>
      <c r="H993">
        <f>IF($B$3,-Tabelle2[[#This Row],[Fd]]*Tabelle2[[#This Row],[vx]]/Tabelle2[[#This Row],[v]],0)</f>
        <v>-2.1950797781861455</v>
      </c>
      <c r="I993">
        <f t="shared" si="165"/>
        <v>-1.4633865187907638</v>
      </c>
      <c r="J993">
        <f t="shared" si="166"/>
        <v>-2.9267730375815277E-2</v>
      </c>
      <c r="K993">
        <f t="shared" si="167"/>
        <v>0.30153571306747895</v>
      </c>
      <c r="L993">
        <f>-$B$5*$B$12-IF($B$3,Tabelle2[[#This Row],[Fd]]*Tabelle2[[#This Row],[vy]]/Tabelle2[[#This Row],[v]],0)</f>
        <v>-2.9581232159408444</v>
      </c>
      <c r="M993">
        <f t="shared" si="168"/>
        <v>-1.9720821439605629</v>
      </c>
      <c r="N993">
        <f t="shared" si="169"/>
        <v>-3.9441642879211258E-2</v>
      </c>
      <c r="O993">
        <f t="shared" si="170"/>
        <v>-1.6169913304861996</v>
      </c>
      <c r="P993" s="1">
        <f t="shared" si="172"/>
        <v>15.091419518561855</v>
      </c>
      <c r="Q993" s="1">
        <f t="shared" si="173"/>
        <v>-80.829845702870372</v>
      </c>
      <c r="R993">
        <f>SQRT(Tabelle2[[#This Row],[vx]]*Tabelle2[[#This Row],[vx]]+Tabelle2[[#This Row],[vy]]*Tabelle2[[#This Row],[vy]])</f>
        <v>82.226607004272424</v>
      </c>
      <c r="S993">
        <f t="shared" si="174"/>
        <v>676.59014258909008</v>
      </c>
      <c r="T993" s="1">
        <f t="shared" si="175"/>
        <v>-497.25665494330627</v>
      </c>
    </row>
    <row r="994" spans="6:20" x14ac:dyDescent="0.35">
      <c r="F994" s="1">
        <f t="shared" si="171"/>
        <v>19.819999999999666</v>
      </c>
      <c r="G994">
        <f>1/2*$B$8*$B$6*$B$7*(Tabelle2[[#This Row],[vx]]*Tabelle2[[#This Row],[vx]]+Tabelle2[[#This Row],[vy]]*Tabelle2[[#This Row],[vy]])/1000000</f>
        <v>11.969759230028096</v>
      </c>
      <c r="H994">
        <f>IF($B$3,-Tabelle2[[#This Row],[Fd]]*Tabelle2[[#This Row],[vx]]/Tabelle2[[#This Row],[v]],0)</f>
        <v>-2.1917128339597181</v>
      </c>
      <c r="I994">
        <f t="shared" si="165"/>
        <v>-1.4611418893064787</v>
      </c>
      <c r="J994">
        <f t="shared" si="166"/>
        <v>-2.9222837786129576E-2</v>
      </c>
      <c r="K994">
        <f t="shared" si="167"/>
        <v>0.3009508073858595</v>
      </c>
      <c r="L994">
        <f>-$B$5*$B$12-IF($B$3,Tabelle2[[#This Row],[Fd]]*Tabelle2[[#This Row],[vy]]/Tabelle2[[#This Row],[v]],0)</f>
        <v>-2.9476073033020995</v>
      </c>
      <c r="M994">
        <f t="shared" si="168"/>
        <v>-1.965071535534733</v>
      </c>
      <c r="N994">
        <f t="shared" si="169"/>
        <v>-3.9301430710694661E-2</v>
      </c>
      <c r="O994">
        <f t="shared" si="170"/>
        <v>-1.6177787612220988</v>
      </c>
      <c r="P994" s="1">
        <f t="shared" si="172"/>
        <v>15.062151788186039</v>
      </c>
      <c r="Q994" s="1">
        <f t="shared" si="173"/>
        <v>-80.869287345749584</v>
      </c>
      <c r="R994">
        <f>SQRT(Tabelle2[[#This Row],[vx]]*Tabelle2[[#This Row],[vx]]+Tabelle2[[#This Row],[vy]]*Tabelle2[[#This Row],[vy]])</f>
        <v>82.260014905783777</v>
      </c>
      <c r="S994">
        <f t="shared" si="174"/>
        <v>676.89167830215752</v>
      </c>
      <c r="T994" s="1">
        <f t="shared" si="175"/>
        <v>-498.87364627379247</v>
      </c>
    </row>
    <row r="995" spans="6:20" x14ac:dyDescent="0.35">
      <c r="F995" s="1">
        <f t="shared" si="171"/>
        <v>19.839999999999666</v>
      </c>
      <c r="G995">
        <f>1/2*$B$8*$B$6*$B$7*(Tabelle2[[#This Row],[vx]]*Tabelle2[[#This Row],[vx]]+Tabelle2[[#This Row],[vy]]*Tabelle2[[#This Row],[vy]])/1000000</f>
        <v>11.979450495232019</v>
      </c>
      <c r="H995">
        <f>IF($B$3,-Tabelle2[[#This Row],[Fd]]*Tabelle2[[#This Row],[vx]]/Tabelle2[[#This Row],[v]],0)</f>
        <v>-2.1883459366826603</v>
      </c>
      <c r="I995">
        <f t="shared" si="165"/>
        <v>-1.4588972911217735</v>
      </c>
      <c r="J995">
        <f t="shared" si="166"/>
        <v>-2.9177945822435471E-2</v>
      </c>
      <c r="K995">
        <f t="shared" si="167"/>
        <v>0.30036679954977386</v>
      </c>
      <c r="L995">
        <f>-$B$5*$B$12-IF($B$3,Tabelle2[[#This Row],[Fd]]*Tabelle2[[#This Row],[vy]]/Tabelle2[[#This Row],[v]],0)</f>
        <v>-2.9371234414212353</v>
      </c>
      <c r="M995">
        <f t="shared" si="168"/>
        <v>-1.9580822942808236</v>
      </c>
      <c r="N995">
        <f t="shared" si="169"/>
        <v>-3.9161645885616471E-2</v>
      </c>
      <c r="O995">
        <f t="shared" si="170"/>
        <v>-1.6185633919880618</v>
      </c>
      <c r="P995" s="1">
        <f t="shared" si="172"/>
        <v>15.03292895039991</v>
      </c>
      <c r="Q995" s="1">
        <f t="shared" si="173"/>
        <v>-80.908588776460277</v>
      </c>
      <c r="R995">
        <f>SQRT(Tabelle2[[#This Row],[vx]]*Tabelle2[[#This Row],[vx]]+Tabelle2[[#This Row],[vy]]*Tabelle2[[#This Row],[vy]])</f>
        <v>82.293308905561247</v>
      </c>
      <c r="S995">
        <f t="shared" si="174"/>
        <v>677.19262910954342</v>
      </c>
      <c r="T995" s="1">
        <f t="shared" si="175"/>
        <v>-500.49142503501457</v>
      </c>
    </row>
    <row r="996" spans="6:20" x14ac:dyDescent="0.35">
      <c r="F996" s="1">
        <f t="shared" si="171"/>
        <v>19.859999999999665</v>
      </c>
      <c r="G996">
        <f>1/2*$B$8*$B$6*$B$7*(Tabelle2[[#This Row],[vx]]*Tabelle2[[#This Row],[vx]]+Tabelle2[[#This Row],[vy]]*Tabelle2[[#This Row],[vy]])/1000000</f>
        <v>11.989112597501439</v>
      </c>
      <c r="H996">
        <f>IF($B$3,-Tabelle2[[#This Row],[Fd]]*Tabelle2[[#This Row],[vx]]/Tabelle2[[#This Row],[v]],0)</f>
        <v>-2.1849791200775663</v>
      </c>
      <c r="I996">
        <f t="shared" si="165"/>
        <v>-1.4566527467183776</v>
      </c>
      <c r="J996">
        <f t="shared" si="166"/>
        <v>-2.9133054934367554E-2</v>
      </c>
      <c r="K996">
        <f t="shared" si="167"/>
        <v>0.2997836895422058</v>
      </c>
      <c r="L996">
        <f>-$B$5*$B$12-IF($B$3,Tabelle2[[#This Row],[Fd]]*Tabelle2[[#This Row],[vy]]/Tabelle2[[#This Row],[v]],0)</f>
        <v>-2.9266715722544987</v>
      </c>
      <c r="M996">
        <f t="shared" si="168"/>
        <v>-1.9511143815029992</v>
      </c>
      <c r="N996">
        <f t="shared" si="169"/>
        <v>-3.9022287630059986E-2</v>
      </c>
      <c r="O996">
        <f t="shared" si="170"/>
        <v>-1.6193452313232184</v>
      </c>
      <c r="P996" s="1">
        <f t="shared" si="172"/>
        <v>15.003751004577474</v>
      </c>
      <c r="Q996" s="1">
        <f t="shared" si="173"/>
        <v>-80.947750422345891</v>
      </c>
      <c r="R996">
        <f>SQRT(Tabelle2[[#This Row],[vx]]*Tabelle2[[#This Row],[vx]]+Tabelle2[[#This Row],[vy]]*Tabelle2[[#This Row],[vy]])</f>
        <v>82.326489313256644</v>
      </c>
      <c r="S996">
        <f t="shared" si="174"/>
        <v>677.49299590909322</v>
      </c>
      <c r="T996" s="1">
        <f t="shared" si="175"/>
        <v>-502.10998842700263</v>
      </c>
    </row>
    <row r="997" spans="6:20" x14ac:dyDescent="0.35">
      <c r="F997" s="1">
        <f t="shared" si="171"/>
        <v>19.879999999999665</v>
      </c>
      <c r="G997">
        <f>1/2*$B$8*$B$6*$B$7*(Tabelle2[[#This Row],[vx]]*Tabelle2[[#This Row],[vx]]+Tabelle2[[#This Row],[vy]]*Tabelle2[[#This Row],[vy]])/1000000</f>
        <v>11.998745586996533</v>
      </c>
      <c r="H997">
        <f>IF($B$3,-Tabelle2[[#This Row],[Fd]]*Tabelle2[[#This Row],[vx]]/Tabelle2[[#This Row],[v]],0)</f>
        <v>-2.1816124176776515</v>
      </c>
      <c r="I997">
        <f t="shared" si="165"/>
        <v>-1.4544082784517676</v>
      </c>
      <c r="J997">
        <f t="shared" si="166"/>
        <v>-2.9088165569035353E-2</v>
      </c>
      <c r="K997">
        <f t="shared" si="167"/>
        <v>0.29920147733717178</v>
      </c>
      <c r="L997">
        <f>-$B$5*$B$12-IF($B$3,Tabelle2[[#This Row],[Fd]]*Tabelle2[[#This Row],[vy]]/Tabelle2[[#This Row],[v]],0)</f>
        <v>-2.9162516375463188</v>
      </c>
      <c r="M997">
        <f t="shared" si="168"/>
        <v>-1.9441677583642125</v>
      </c>
      <c r="N997">
        <f t="shared" si="169"/>
        <v>-3.888335516728425E-2</v>
      </c>
      <c r="O997">
        <f t="shared" si="170"/>
        <v>-1.6201242877511919</v>
      </c>
      <c r="P997" s="1">
        <f t="shared" si="172"/>
        <v>14.974617949643106</v>
      </c>
      <c r="Q997" s="1">
        <f t="shared" si="173"/>
        <v>-80.986772709975952</v>
      </c>
      <c r="R997">
        <f>SQRT(Tabelle2[[#This Row],[vx]]*Tabelle2[[#This Row],[vx]]+Tabelle2[[#This Row],[vy]]*Tabelle2[[#This Row],[vy]])</f>
        <v>82.359556438309454</v>
      </c>
      <c r="S997">
        <f t="shared" si="174"/>
        <v>677.79277959863543</v>
      </c>
      <c r="T997" s="1">
        <f t="shared" si="175"/>
        <v>-503.72933365832586</v>
      </c>
    </row>
    <row r="998" spans="6:20" x14ac:dyDescent="0.35">
      <c r="F998" s="1">
        <f t="shared" si="171"/>
        <v>19.899999999999665</v>
      </c>
      <c r="G998">
        <f>1/2*$B$8*$B$6*$B$7*(Tabelle2[[#This Row],[vx]]*Tabelle2[[#This Row],[vx]]+Tabelle2[[#This Row],[vy]]*Tabelle2[[#This Row],[vy]])/1000000</f>
        <v>12.008349514095116</v>
      </c>
      <c r="H998">
        <f>IF($B$3,-Tabelle2[[#This Row],[Fd]]*Tabelle2[[#This Row],[vx]]/Tabelle2[[#This Row],[v]],0)</f>
        <v>-2.1782458628271373</v>
      </c>
      <c r="I998">
        <f t="shared" si="165"/>
        <v>-1.4521639085514249</v>
      </c>
      <c r="J998">
        <f t="shared" si="166"/>
        <v>-2.9043278171028499E-2</v>
      </c>
      <c r="K998">
        <f t="shared" si="167"/>
        <v>0.29862016289977111</v>
      </c>
      <c r="L998">
        <f>-$B$5*$B$12-IF($B$3,Tabelle2[[#This Row],[Fd]]*Tabelle2[[#This Row],[vy]]/Tabelle2[[#This Row],[v]],0)</f>
        <v>-2.9058635788324949</v>
      </c>
      <c r="M998">
        <f t="shared" si="168"/>
        <v>-1.9372423858883299</v>
      </c>
      <c r="N998">
        <f t="shared" si="169"/>
        <v>-3.8744847717766595E-2</v>
      </c>
      <c r="O998">
        <f t="shared" si="170"/>
        <v>-1.6209005697800425</v>
      </c>
      <c r="P998" s="1">
        <f t="shared" si="172"/>
        <v>14.94552978407407</v>
      </c>
      <c r="Q998" s="1">
        <f t="shared" si="173"/>
        <v>-81.025656065143238</v>
      </c>
      <c r="R998">
        <f>SQRT(Tabelle2[[#This Row],[vx]]*Tabelle2[[#This Row],[vx]]+Tabelle2[[#This Row],[vy]]*Tabelle2[[#This Row],[vy]])</f>
        <v>82.392510589940926</v>
      </c>
      <c r="S998">
        <f t="shared" si="174"/>
        <v>678.09198107597263</v>
      </c>
      <c r="T998" s="1">
        <f t="shared" si="175"/>
        <v>-505.34945794607705</v>
      </c>
    </row>
    <row r="999" spans="6:20" x14ac:dyDescent="0.35">
      <c r="F999" s="1">
        <f t="shared" si="171"/>
        <v>19.919999999999664</v>
      </c>
      <c r="G999">
        <f>1/2*$B$8*$B$6*$B$7*(Tabelle2[[#This Row],[vx]]*Tabelle2[[#This Row],[vx]]+Tabelle2[[#This Row],[vy]]*Tabelle2[[#This Row],[vy]])/1000000</f>
        <v>12.017924429389575</v>
      </c>
      <c r="H999">
        <f>IF($B$3,-Tabelle2[[#This Row],[Fd]]*Tabelle2[[#This Row],[vx]]/Tabelle2[[#This Row],[v]],0)</f>
        <v>-2.1748794886816376</v>
      </c>
      <c r="I999">
        <f t="shared" si="165"/>
        <v>-1.4499196591210917</v>
      </c>
      <c r="J999">
        <f t="shared" si="166"/>
        <v>-2.8998393182421835E-2</v>
      </c>
      <c r="K999">
        <f t="shared" si="167"/>
        <v>0.29803974618623658</v>
      </c>
      <c r="L999">
        <f>-$B$5*$B$12-IF($B$3,Tabelle2[[#This Row],[Fd]]*Tabelle2[[#This Row],[vy]]/Tabelle2[[#This Row],[v]],0)</f>
        <v>-2.8955073374433429</v>
      </c>
      <c r="M999">
        <f t="shared" si="168"/>
        <v>-1.9303382249622285</v>
      </c>
      <c r="N999">
        <f t="shared" si="169"/>
        <v>-3.8606764499244571E-2</v>
      </c>
      <c r="O999">
        <f t="shared" si="170"/>
        <v>-1.6216740859022125</v>
      </c>
      <c r="P999" s="1">
        <f t="shared" si="172"/>
        <v>14.916486505903041</v>
      </c>
      <c r="Q999" s="1">
        <f t="shared" si="173"/>
        <v>-81.064400912861004</v>
      </c>
      <c r="R999">
        <f>SQRT(Tabelle2[[#This Row],[vx]]*Tabelle2[[#This Row],[vx]]+Tabelle2[[#This Row],[vy]]*Tabelle2[[#This Row],[vy]])</f>
        <v>82.425352077148247</v>
      </c>
      <c r="S999">
        <f t="shared" si="174"/>
        <v>678.39060123887236</v>
      </c>
      <c r="T999" s="1">
        <f t="shared" si="175"/>
        <v>-506.97035851585707</v>
      </c>
    </row>
    <row r="1000" spans="6:20" x14ac:dyDescent="0.35">
      <c r="F1000" s="1">
        <f t="shared" si="171"/>
        <v>19.939999999999664</v>
      </c>
      <c r="G1000">
        <f>1/2*$B$8*$B$6*$B$7*(Tabelle2[[#This Row],[vx]]*Tabelle2[[#This Row],[vx]]+Tabelle2[[#This Row],[vy]]*Tabelle2[[#This Row],[vy]])/1000000</f>
        <v>12.027470383683811</v>
      </c>
      <c r="H1000">
        <f>IF($B$3,-Tabelle2[[#This Row],[Fd]]*Tabelle2[[#This Row],[vx]]/Tabelle2[[#This Row],[v]],0)</f>
        <v>-2.171513328208547</v>
      </c>
      <c r="I1000">
        <f t="shared" si="165"/>
        <v>-1.4476755521390314</v>
      </c>
      <c r="J1000">
        <f t="shared" si="166"/>
        <v>-2.8953511042780627E-2</v>
      </c>
      <c r="K1000">
        <f t="shared" si="167"/>
        <v>0.29746022714398462</v>
      </c>
      <c r="L1000">
        <f>-$B$5*$B$12-IF($B$3,Tabelle2[[#This Row],[Fd]]*Tabelle2[[#This Row],[vy]]/Tabelle2[[#This Row],[v]],0)</f>
        <v>-2.8851828545068443</v>
      </c>
      <c r="M1000">
        <f t="shared" si="168"/>
        <v>-1.9234552363378963</v>
      </c>
      <c r="N1000">
        <f t="shared" si="169"/>
        <v>-3.8469104726757929E-2</v>
      </c>
      <c r="O1000">
        <f t="shared" si="170"/>
        <v>-1.6224448445944726</v>
      </c>
      <c r="P1000" s="1">
        <f t="shared" si="172"/>
        <v>14.88748811272062</v>
      </c>
      <c r="Q1000" s="1">
        <f t="shared" si="173"/>
        <v>-81.103007677360253</v>
      </c>
      <c r="R1000">
        <f>SQRT(Tabelle2[[#This Row],[vx]]*Tabelle2[[#This Row],[vx]]+Tabelle2[[#This Row],[vy]]*Tabelle2[[#This Row],[vy]])</f>
        <v>82.458081208698729</v>
      </c>
      <c r="S1000">
        <f t="shared" si="174"/>
        <v>678.68864098505856</v>
      </c>
      <c r="T1000" s="1">
        <f t="shared" si="175"/>
        <v>-508.59203260175929</v>
      </c>
    </row>
    <row r="1001" spans="6:20" x14ac:dyDescent="0.35">
      <c r="F1001" s="1">
        <f t="shared" si="171"/>
        <v>19.959999999999663</v>
      </c>
      <c r="G1001">
        <f>1/2*$B$8*$B$6*$B$7*(Tabelle2[[#This Row],[vx]]*Tabelle2[[#This Row],[vx]]+Tabelle2[[#This Row],[vy]]*Tabelle2[[#This Row],[vy]])/1000000</f>
        <v>12.036987427990208</v>
      </c>
      <c r="H1001">
        <f>IF($B$3,-Tabelle2[[#This Row],[Fd]]*Tabelle2[[#This Row],[vx]]/Tabelle2[[#This Row],[v]],0)</f>
        <v>-2.1681474141874455</v>
      </c>
      <c r="I1001">
        <f t="shared" si="165"/>
        <v>-1.4454316094582971</v>
      </c>
      <c r="J1001">
        <f t="shared" si="166"/>
        <v>-2.8908632189165943E-2</v>
      </c>
      <c r="K1001">
        <f t="shared" si="167"/>
        <v>0.29688160571166516</v>
      </c>
      <c r="L1001">
        <f>-$B$5*$B$12-IF($B$3,Tabelle2[[#This Row],[Fd]]*Tabelle2[[#This Row],[vy]]/Tabelle2[[#This Row],[v]],0)</f>
        <v>-2.8748900709517642</v>
      </c>
      <c r="M1001">
        <f t="shared" si="168"/>
        <v>-1.9165933806345095</v>
      </c>
      <c r="N1001">
        <f t="shared" si="169"/>
        <v>-3.8331867612690189E-2</v>
      </c>
      <c r="O1001">
        <f t="shared" si="170"/>
        <v>-1.6232128543178672</v>
      </c>
      <c r="P1001" s="1">
        <f t="shared" si="172"/>
        <v>14.858534601677839</v>
      </c>
      <c r="Q1001" s="1">
        <f t="shared" si="173"/>
        <v>-81.141476782087011</v>
      </c>
      <c r="R1001">
        <f>SQRT(Tabelle2[[#This Row],[vx]]*Tabelle2[[#This Row],[vx]]+Tabelle2[[#This Row],[vy]]*Tabelle2[[#This Row],[vy]])</f>
        <v>82.490698293124069</v>
      </c>
      <c r="S1001">
        <f t="shared" si="174"/>
        <v>678.98610121220258</v>
      </c>
      <c r="T1001" s="1">
        <f t="shared" si="175"/>
        <v>-510.21447744635378</v>
      </c>
    </row>
    <row r="1002" spans="6:20" x14ac:dyDescent="0.35">
      <c r="F1002" s="1">
        <f t="shared" si="171"/>
        <v>19.979999999999663</v>
      </c>
      <c r="G1002">
        <f>1/2*$B$8*$B$6*$B$7*(Tabelle2[[#This Row],[vx]]*Tabelle2[[#This Row],[vx]]+Tabelle2[[#This Row],[vy]]*Tabelle2[[#This Row],[vy]])/1000000</f>
        <v>12.04647561352663</v>
      </c>
      <c r="H1002">
        <f>IF($B$3,-Tabelle2[[#This Row],[Fd]]*Tabelle2[[#This Row],[vx]]/Tabelle2[[#This Row],[v]],0)</f>
        <v>-2.1647817792104886</v>
      </c>
      <c r="I1002">
        <f t="shared" si="165"/>
        <v>-1.4431878528069924</v>
      </c>
      <c r="J1002">
        <f t="shared" si="166"/>
        <v>-2.8863757056139847E-2</v>
      </c>
      <c r="K1002">
        <f t="shared" si="167"/>
        <v>0.29630388181921208</v>
      </c>
      <c r="L1002">
        <f>-$B$5*$B$12-IF($B$3,Tabelle2[[#This Row],[Fd]]*Tabelle2[[#This Row],[vy]]/Tabelle2[[#This Row],[v]],0)</f>
        <v>-2.8646289275107488</v>
      </c>
      <c r="M1002">
        <f t="shared" si="168"/>
        <v>-1.9097526183404991</v>
      </c>
      <c r="N1002">
        <f t="shared" si="169"/>
        <v>-3.8195052366809985E-2</v>
      </c>
      <c r="O1002">
        <f t="shared" si="170"/>
        <v>-1.623978123517662</v>
      </c>
      <c r="P1002" s="1">
        <f t="shared" si="172"/>
        <v>14.829625969488673</v>
      </c>
      <c r="Q1002" s="1">
        <f t="shared" si="173"/>
        <v>-81.179808649699694</v>
      </c>
      <c r="R1002">
        <f>SQRT(Tabelle2[[#This Row],[vx]]*Tabelle2[[#This Row],[vx]]+Tabelle2[[#This Row],[vy]]*Tabelle2[[#This Row],[vy]])</f>
        <v>82.52320363871479</v>
      </c>
      <c r="S1002">
        <f t="shared" si="174"/>
        <v>679.28298281791422</v>
      </c>
      <c r="T1002" s="1">
        <f t="shared" si="175"/>
        <v>-511.83769030067162</v>
      </c>
    </row>
    <row r="1003" spans="6:20" x14ac:dyDescent="0.35">
      <c r="F1003" s="1">
        <f t="shared" si="171"/>
        <v>19.999999999999662</v>
      </c>
      <c r="G1003">
        <f>1/2*$B$8*$B$6*$B$7*(Tabelle2[[#This Row],[vx]]*Tabelle2[[#This Row],[vx]]+Tabelle2[[#This Row],[vy]]*Tabelle2[[#This Row],[vy]])/1000000</f>
        <v>12.055934991713421</v>
      </c>
      <c r="H1003">
        <f>IF($B$3,-Tabelle2[[#This Row],[Fd]]*Tabelle2[[#This Row],[vx]]/Tabelle2[[#This Row],[v]],0)</f>
        <v>-2.1614164556828248</v>
      </c>
      <c r="I1003">
        <f t="shared" si="165"/>
        <v>-1.4409443037885499</v>
      </c>
      <c r="J1003">
        <f t="shared" si="166"/>
        <v>-2.8818886075770999E-2</v>
      </c>
      <c r="K1003">
        <f t="shared" si="167"/>
        <v>0.29572705538789296</v>
      </c>
      <c r="L1003">
        <f>-$B$5*$B$12-IF($B$3,Tabelle2[[#This Row],[Fd]]*Tabelle2[[#This Row],[vy]]/Tabelle2[[#This Row],[v]],0)</f>
        <v>-2.8543993647234025</v>
      </c>
      <c r="M1003">
        <f t="shared" si="168"/>
        <v>-1.9029329098156016</v>
      </c>
      <c r="N1003">
        <f t="shared" si="169"/>
        <v>-3.8058658196312031E-2</v>
      </c>
      <c r="O1003">
        <f t="shared" si="170"/>
        <v>-1.6247406606232935</v>
      </c>
      <c r="P1003" s="1">
        <f t="shared" si="172"/>
        <v>14.800762212432533</v>
      </c>
      <c r="Q1003" s="1">
        <f t="shared" si="173"/>
        <v>-81.218003702066511</v>
      </c>
      <c r="R1003">
        <f>SQRT(Tabelle2[[#This Row],[vx]]*Tabelle2[[#This Row],[vx]]+Tabelle2[[#This Row],[vy]]*Tabelle2[[#This Row],[vy]])</f>
        <v>82.555597553514559</v>
      </c>
      <c r="S1003">
        <f t="shared" si="174"/>
        <v>679.57928669973342</v>
      </c>
      <c r="T1003" s="1">
        <f t="shared" si="175"/>
        <v>-513.46166842418927</v>
      </c>
    </row>
    <row r="1004" spans="6:20" x14ac:dyDescent="0.35">
      <c r="F1004" s="1">
        <f t="shared" si="171"/>
        <v>20.019999999999662</v>
      </c>
      <c r="G1004">
        <f>1/2*$B$8*$B$6*$B$7*(Tabelle2[[#This Row],[vx]]*Tabelle2[[#This Row],[vx]]+Tabelle2[[#This Row],[vy]]*Tabelle2[[#This Row],[vy]])/1000000</f>
        <v>12.06536561417043</v>
      </c>
      <c r="H1004">
        <f>IF($B$3,-Tabelle2[[#This Row],[Fd]]*Tabelle2[[#This Row],[vx]]/Tabelle2[[#This Row],[v]],0)</f>
        <v>-2.1580514758229947</v>
      </c>
      <c r="I1004">
        <f t="shared" si="165"/>
        <v>-1.4387009838819964</v>
      </c>
      <c r="J1004">
        <f t="shared" si="166"/>
        <v>-2.8774019677639928E-2</v>
      </c>
      <c r="K1004">
        <f t="shared" si="167"/>
        <v>0.29515112633035884</v>
      </c>
      <c r="L1004">
        <f>-$B$5*$B$12-IF($B$3,Tabelle2[[#This Row],[Fd]]*Tabelle2[[#This Row],[vy]]/Tabelle2[[#This Row],[v]],0)</f>
        <v>-2.8442013229393712</v>
      </c>
      <c r="M1004">
        <f t="shared" si="168"/>
        <v>-1.8961342152929141</v>
      </c>
      <c r="N1004">
        <f t="shared" si="169"/>
        <v>-3.7922684305858281E-2</v>
      </c>
      <c r="O1004">
        <f t="shared" si="170"/>
        <v>-1.625500474048315</v>
      </c>
      <c r="P1004" s="1">
        <f t="shared" si="172"/>
        <v>14.771943326356762</v>
      </c>
      <c r="Q1004" s="1">
        <f t="shared" si="173"/>
        <v>-81.256062360262817</v>
      </c>
      <c r="R1004">
        <f>SQRT(Tabelle2[[#This Row],[vx]]*Tabelle2[[#This Row],[vx]]+Tabelle2[[#This Row],[vy]]*Tabelle2[[#This Row],[vy]])</f>
        <v>82.587880345314687</v>
      </c>
      <c r="S1004">
        <f t="shared" si="174"/>
        <v>679.87501375512136</v>
      </c>
      <c r="T1004" s="1">
        <f t="shared" si="175"/>
        <v>-515.08640908481254</v>
      </c>
    </row>
    <row r="1005" spans="6:20" x14ac:dyDescent="0.35">
      <c r="F1005" s="1">
        <f t="shared" si="171"/>
        <v>20.039999999999662</v>
      </c>
      <c r="G1005">
        <f>1/2*$B$8*$B$6*$B$7*(Tabelle2[[#This Row],[vx]]*Tabelle2[[#This Row],[vx]]+Tabelle2[[#This Row],[vy]]*Tabelle2[[#This Row],[vy]])/1000000</f>
        <v>12.074767532714064</v>
      </c>
      <c r="H1005">
        <f>IF($B$3,-Tabelle2[[#This Row],[Fd]]*Tabelle2[[#This Row],[vx]]/Tabelle2[[#This Row],[v]],0)</f>
        <v>-2.1546868716633525</v>
      </c>
      <c r="I1005">
        <f t="shared" si="165"/>
        <v>-1.4364579144422349</v>
      </c>
      <c r="J1005">
        <f t="shared" si="166"/>
        <v>-2.8729158288844699E-2</v>
      </c>
      <c r="K1005">
        <f t="shared" si="167"/>
        <v>0.29457609455069406</v>
      </c>
      <c r="L1005">
        <f>-$B$5*$B$12-IF($B$3,Tabelle2[[#This Row],[Fd]]*Tabelle2[[#This Row],[vy]]/Tabelle2[[#This Row],[v]],0)</f>
        <v>-2.8340347423213412</v>
      </c>
      <c r="M1005">
        <f t="shared" si="168"/>
        <v>-1.8893564948808941</v>
      </c>
      <c r="N1005">
        <f t="shared" si="169"/>
        <v>-3.7787129897617885E-2</v>
      </c>
      <c r="O1005">
        <f t="shared" si="170"/>
        <v>-1.6262575721903496</v>
      </c>
      <c r="P1005" s="1">
        <f t="shared" si="172"/>
        <v>14.743169306679123</v>
      </c>
      <c r="Q1005" s="1">
        <f t="shared" si="173"/>
        <v>-81.293985044568672</v>
      </c>
      <c r="R1005">
        <f>SQRT(Tabelle2[[#This Row],[vx]]*Tabelle2[[#This Row],[vx]]+Tabelle2[[#This Row],[vy]]*Tabelle2[[#This Row],[vy]])</f>
        <v>82.620052321648643</v>
      </c>
      <c r="S1005">
        <f t="shared" si="174"/>
        <v>680.17016488145168</v>
      </c>
      <c r="T1005" s="1">
        <f t="shared" si="175"/>
        <v>-516.71190955886084</v>
      </c>
    </row>
    <row r="1006" spans="6:20" x14ac:dyDescent="0.35">
      <c r="F1006" s="1">
        <f t="shared" si="171"/>
        <v>20.059999999999661</v>
      </c>
      <c r="G1006">
        <f>1/2*$B$8*$B$6*$B$7*(Tabelle2[[#This Row],[vx]]*Tabelle2[[#This Row],[vx]]+Tabelle2[[#This Row],[vy]]*Tabelle2[[#This Row],[vy]])/1000000</f>
        <v>12.084140799354344</v>
      </c>
      <c r="H1006">
        <f>IF($B$3,-Tabelle2[[#This Row],[Fd]]*Tabelle2[[#This Row],[vx]]/Tabelle2[[#This Row],[v]],0)</f>
        <v>-2.1513226750504795</v>
      </c>
      <c r="I1006">
        <f t="shared" si="165"/>
        <v>-1.4342151167003196</v>
      </c>
      <c r="J1006">
        <f t="shared" si="166"/>
        <v>-2.8684302334006394E-2</v>
      </c>
      <c r="K1006">
        <f t="shared" si="167"/>
        <v>0.29400195994446549</v>
      </c>
      <c r="L1006">
        <f>-$B$5*$B$12-IF($B$3,Tabelle2[[#This Row],[Fd]]*Tabelle2[[#This Row],[vy]]/Tabelle2[[#This Row],[v]],0)</f>
        <v>-2.8238995628481067</v>
      </c>
      <c r="M1006">
        <f t="shared" si="168"/>
        <v>-1.8825997085654045</v>
      </c>
      <c r="N1006">
        <f t="shared" si="169"/>
        <v>-3.7651994171308094E-2</v>
      </c>
      <c r="O1006">
        <f t="shared" si="170"/>
        <v>-1.6270119634310392</v>
      </c>
      <c r="P1006" s="1">
        <f t="shared" si="172"/>
        <v>14.714440148390278</v>
      </c>
      <c r="Q1006" s="1">
        <f t="shared" si="173"/>
        <v>-81.331772174466295</v>
      </c>
      <c r="R1006">
        <f>SQRT(Tabelle2[[#This Row],[vx]]*Tabelle2[[#This Row],[vx]]+Tabelle2[[#This Row],[vy]]*Tabelle2[[#This Row],[vy]])</f>
        <v>82.652113789786696</v>
      </c>
      <c r="S1006">
        <f t="shared" si="174"/>
        <v>680.46474097600242</v>
      </c>
      <c r="T1006" s="1">
        <f t="shared" si="175"/>
        <v>-518.33816713105114</v>
      </c>
    </row>
    <row r="1007" spans="6:20" x14ac:dyDescent="0.35">
      <c r="F1007" s="1">
        <f t="shared" si="171"/>
        <v>20.079999999999661</v>
      </c>
      <c r="G1007">
        <f>1/2*$B$8*$B$6*$B$7*(Tabelle2[[#This Row],[vx]]*Tabelle2[[#This Row],[vx]]+Tabelle2[[#This Row],[vy]]*Tabelle2[[#This Row],[vy]])/1000000</f>
        <v>12.093485466291982</v>
      </c>
      <c r="H1007">
        <f>IF($B$3,-Tabelle2[[#This Row],[Fd]]*Tabelle2[[#This Row],[vx]]/Tabelle2[[#This Row],[v]],0)</f>
        <v>-2.1479589176456098</v>
      </c>
      <c r="I1007">
        <f t="shared" si="165"/>
        <v>-1.4319726117637399</v>
      </c>
      <c r="J1007">
        <f t="shared" si="166"/>
        <v>-2.8639452235274799E-2</v>
      </c>
      <c r="K1007">
        <f t="shared" si="167"/>
        <v>0.29342872239877266</v>
      </c>
      <c r="L1007">
        <f>-$B$5*$B$12-IF($B$3,Tabelle2[[#This Row],[Fd]]*Tabelle2[[#This Row],[vy]]/Tabelle2[[#This Row],[v]],0)</f>
        <v>-2.813795724317556</v>
      </c>
      <c r="M1007">
        <f t="shared" si="168"/>
        <v>-1.8758638162117041</v>
      </c>
      <c r="N1007">
        <f t="shared" si="169"/>
        <v>-3.7517276324234079E-2</v>
      </c>
      <c r="O1007">
        <f t="shared" si="170"/>
        <v>-1.6277636561359945</v>
      </c>
      <c r="P1007" s="1">
        <f t="shared" si="172"/>
        <v>14.685755846056271</v>
      </c>
      <c r="Q1007" s="1">
        <f t="shared" si="173"/>
        <v>-81.369424168637607</v>
      </c>
      <c r="R1007">
        <f>SQRT(Tabelle2[[#This Row],[vx]]*Tabelle2[[#This Row],[vx]]+Tabelle2[[#This Row],[vy]]*Tabelle2[[#This Row],[vy]])</f>
        <v>82.684065056730503</v>
      </c>
      <c r="S1007">
        <f t="shared" si="174"/>
        <v>680.75874293594688</v>
      </c>
      <c r="T1007" s="1">
        <f t="shared" si="175"/>
        <v>-519.96517909448221</v>
      </c>
    </row>
    <row r="1008" spans="6:20" x14ac:dyDescent="0.35">
      <c r="F1008" s="1">
        <f t="shared" si="171"/>
        <v>20.09999999999966</v>
      </c>
      <c r="G1008">
        <f>1/2*$B$8*$B$6*$B$7*(Tabelle2[[#This Row],[vx]]*Tabelle2[[#This Row],[vx]]+Tabelle2[[#This Row],[vy]]*Tabelle2[[#This Row],[vy]])/1000000</f>
        <v>12.102801585915497</v>
      </c>
      <c r="H1008">
        <f>IF($B$3,-Tabelle2[[#This Row],[Fd]]*Tabelle2[[#This Row],[vx]]/Tabelle2[[#This Row],[v]],0)</f>
        <v>-2.1445956309250556</v>
      </c>
      <c r="I1008">
        <f t="shared" si="165"/>
        <v>-1.4297304206167036</v>
      </c>
      <c r="J1008">
        <f t="shared" si="166"/>
        <v>-2.8594608412334074E-2</v>
      </c>
      <c r="K1008">
        <f t="shared" si="167"/>
        <v>0.29285638179229656</v>
      </c>
      <c r="L1008">
        <f>-$B$5*$B$12-IF($B$3,Tabelle2[[#This Row],[Fd]]*Tabelle2[[#This Row],[vy]]/Tabelle2[[#This Row],[v]],0)</f>
        <v>-2.803723166349636</v>
      </c>
      <c r="M1008">
        <f t="shared" si="168"/>
        <v>-1.8691487775664239</v>
      </c>
      <c r="N1008">
        <f t="shared" si="169"/>
        <v>-3.7382975551328482E-2</v>
      </c>
      <c r="O1008">
        <f t="shared" si="170"/>
        <v>-1.6285126586547503</v>
      </c>
      <c r="P1008" s="1">
        <f t="shared" si="172"/>
        <v>14.657116393820996</v>
      </c>
      <c r="Q1008" s="1">
        <f t="shared" si="173"/>
        <v>-81.406941444961845</v>
      </c>
      <c r="R1008">
        <f>SQRT(Tabelle2[[#This Row],[vx]]*Tabelle2[[#This Row],[vx]]+Tabelle2[[#This Row],[vy]]*Tabelle2[[#This Row],[vy]])</f>
        <v>82.71590642920782</v>
      </c>
      <c r="S1008">
        <f t="shared" si="174"/>
        <v>681.05217165834563</v>
      </c>
      <c r="T1008" s="1">
        <f t="shared" si="175"/>
        <v>-521.59294275061825</v>
      </c>
    </row>
    <row r="1009" spans="6:20" x14ac:dyDescent="0.35">
      <c r="F1009" s="1">
        <f t="shared" si="171"/>
        <v>20.11999999999966</v>
      </c>
      <c r="G1009">
        <f>1/2*$B$8*$B$6*$B$7*(Tabelle2[[#This Row],[vx]]*Tabelle2[[#This Row],[vx]]+Tabelle2[[#This Row],[vy]]*Tabelle2[[#This Row],[vy]])/1000000</f>
        <v>12.112089210798313</v>
      </c>
      <c r="H1009">
        <f>IF($B$3,-Tabelle2[[#This Row],[Fd]]*Tabelle2[[#This Row],[vx]]/Tabelle2[[#This Row],[v]],0)</f>
        <v>-2.1412328461806354</v>
      </c>
      <c r="I1009">
        <f t="shared" si="165"/>
        <v>-1.4274885641204236</v>
      </c>
      <c r="J1009">
        <f t="shared" si="166"/>
        <v>-2.8549771282408473E-2</v>
      </c>
      <c r="K1009">
        <f t="shared" si="167"/>
        <v>0.29228493799534916</v>
      </c>
      <c r="L1009">
        <f>-$B$5*$B$12-IF($B$3,Tabelle2[[#This Row],[Fd]]*Tabelle2[[#This Row],[vy]]/Tabelle2[[#This Row],[v]],0)</f>
        <v>-2.7936818283893583</v>
      </c>
      <c r="M1009">
        <f t="shared" si="168"/>
        <v>-1.8624545522595721</v>
      </c>
      <c r="N1009">
        <f t="shared" si="169"/>
        <v>-3.7249091045191446E-2</v>
      </c>
      <c r="O1009">
        <f t="shared" si="170"/>
        <v>-1.6292589793207153</v>
      </c>
      <c r="P1009" s="1">
        <f t="shared" si="172"/>
        <v>14.628521785408662</v>
      </c>
      <c r="Q1009" s="1">
        <f t="shared" si="173"/>
        <v>-81.444324420513169</v>
      </c>
      <c r="R1009">
        <f>SQRT(Tabelle2[[#This Row],[vx]]*Tabelle2[[#This Row],[vx]]+Tabelle2[[#This Row],[vy]]*Tabelle2[[#This Row],[vy]])</f>
        <v>82.747638213667301</v>
      </c>
      <c r="S1009">
        <f t="shared" si="174"/>
        <v>681.34502804013789</v>
      </c>
      <c r="T1009" s="1">
        <f t="shared" si="175"/>
        <v>-523.22145540927295</v>
      </c>
    </row>
    <row r="1010" spans="6:20" x14ac:dyDescent="0.35">
      <c r="F1010" s="1">
        <f t="shared" si="171"/>
        <v>20.13999999999966</v>
      </c>
      <c r="G1010">
        <f>1/2*$B$8*$B$6*$B$7*(Tabelle2[[#This Row],[vx]]*Tabelle2[[#This Row],[vx]]+Tabelle2[[#This Row],[vy]]*Tabelle2[[#This Row],[vy]])/1000000</f>
        <v>12.121348393695929</v>
      </c>
      <c r="H1010">
        <f>IF($B$3,-Tabelle2[[#This Row],[Fd]]*Tabelle2[[#This Row],[vx]]/Tabelle2[[#This Row],[v]],0)</f>
        <v>-2.1378705945201126</v>
      </c>
      <c r="I1010">
        <f t="shared" si="165"/>
        <v>-1.4252470630134084</v>
      </c>
      <c r="J1010">
        <f t="shared" si="166"/>
        <v>-2.8504941260268171E-2</v>
      </c>
      <c r="K1010">
        <f t="shared" si="167"/>
        <v>0.2917143908699224</v>
      </c>
      <c r="L1010">
        <f>-$B$5*$B$12-IF($B$3,Tabelle2[[#This Row],[Fd]]*Tabelle2[[#This Row],[vy]]/Tabelle2[[#This Row],[v]],0)</f>
        <v>-2.7836716497096976</v>
      </c>
      <c r="M1010">
        <f t="shared" si="168"/>
        <v>-1.855781099806465</v>
      </c>
      <c r="N1010">
        <f t="shared" si="169"/>
        <v>-3.7115621996129299E-2</v>
      </c>
      <c r="O1010">
        <f t="shared" si="170"/>
        <v>-1.6300026264511285</v>
      </c>
      <c r="P1010" s="1">
        <f t="shared" si="172"/>
        <v>14.599972014126253</v>
      </c>
      <c r="Q1010" s="1">
        <f t="shared" si="173"/>
        <v>-81.481573511558366</v>
      </c>
      <c r="R1010">
        <f>SQRT(Tabelle2[[#This Row],[vx]]*Tabelle2[[#This Row],[vx]]+Tabelle2[[#This Row],[vy]]*Tabelle2[[#This Row],[vy]])</f>
        <v>82.77926071627337</v>
      </c>
      <c r="S1010">
        <f t="shared" si="174"/>
        <v>681.6373129781332</v>
      </c>
      <c r="T1010" s="1">
        <f t="shared" si="175"/>
        <v>-524.8507143885937</v>
      </c>
    </row>
    <row r="1011" spans="6:20" x14ac:dyDescent="0.35">
      <c r="F1011" s="1">
        <f t="shared" si="171"/>
        <v>20.159999999999659</v>
      </c>
      <c r="G1011">
        <f>1/2*$B$8*$B$6*$B$7*(Tabelle2[[#This Row],[vx]]*Tabelle2[[#This Row],[vx]]+Tabelle2[[#This Row],[vy]]*Tabelle2[[#This Row],[vy]])/1000000</f>
        <v>12.130579187543043</v>
      </c>
      <c r="H1011">
        <f>IF($B$3,-Tabelle2[[#This Row],[Fd]]*Tabelle2[[#This Row],[vx]]/Tabelle2[[#This Row],[v]],0)</f>
        <v>-2.1345089068676319</v>
      </c>
      <c r="I1011">
        <f t="shared" si="165"/>
        <v>-1.4230059379117546</v>
      </c>
      <c r="J1011">
        <f t="shared" si="166"/>
        <v>-2.8460118758235092E-2</v>
      </c>
      <c r="K1011">
        <f t="shared" si="167"/>
        <v>0.29114474026973736</v>
      </c>
      <c r="L1011">
        <f>-$B$5*$B$12-IF($B$3,Tabelle2[[#This Row],[Fd]]*Tabelle2[[#This Row],[vy]]/Tabelle2[[#This Row],[v]],0)</f>
        <v>-2.7736925694145533</v>
      </c>
      <c r="M1011">
        <f t="shared" si="168"/>
        <v>-1.8491283796097022</v>
      </c>
      <c r="N1011">
        <f t="shared" si="169"/>
        <v>-3.6982567592194045E-2</v>
      </c>
      <c r="O1011">
        <f t="shared" si="170"/>
        <v>-1.6307436083470119</v>
      </c>
      <c r="P1011" s="1">
        <f t="shared" si="172"/>
        <v>14.571467072865985</v>
      </c>
      <c r="Q1011" s="1">
        <f t="shared" si="173"/>
        <v>-81.518689133554503</v>
      </c>
      <c r="R1011">
        <f>SQRT(Tabelle2[[#This Row],[vx]]*Tabelle2[[#This Row],[vx]]+Tabelle2[[#This Row],[vy]]*Tabelle2[[#This Row],[vy]])</f>
        <v>82.81077424290099</v>
      </c>
      <c r="S1011">
        <f t="shared" si="174"/>
        <v>681.92902736900317</v>
      </c>
      <c r="T1011" s="1">
        <f t="shared" si="175"/>
        <v>-526.48071701504477</v>
      </c>
    </row>
    <row r="1012" spans="6:20" x14ac:dyDescent="0.35">
      <c r="F1012" s="1">
        <f t="shared" si="171"/>
        <v>20.179999999999659</v>
      </c>
      <c r="G1012">
        <f>1/2*$B$8*$B$6*$B$7*(Tabelle2[[#This Row],[vx]]*Tabelle2[[#This Row],[vx]]+Tabelle2[[#This Row],[vy]]*Tabelle2[[#This Row],[vy]])/1000000</f>
        <v>12.139781645450746</v>
      </c>
      <c r="H1012">
        <f>IF($B$3,-Tabelle2[[#This Row],[Fd]]*Tabelle2[[#This Row],[vx]]/Tabelle2[[#This Row],[v]],0)</f>
        <v>-2.1311478139641604</v>
      </c>
      <c r="I1012">
        <f t="shared" si="165"/>
        <v>-1.4207652093094403</v>
      </c>
      <c r="J1012">
        <f t="shared" si="166"/>
        <v>-2.8415304186188806E-2</v>
      </c>
      <c r="K1012">
        <f t="shared" si="167"/>
        <v>0.29057598604029311</v>
      </c>
      <c r="L1012">
        <f>-$B$5*$B$12-IF($B$3,Tabelle2[[#This Row],[Fd]]*Tabelle2[[#This Row],[vy]]/Tabelle2[[#This Row],[v]],0)</f>
        <v>-2.7637445264416414</v>
      </c>
      <c r="M1012">
        <f t="shared" si="168"/>
        <v>-1.8424963509610943</v>
      </c>
      <c r="N1012">
        <f t="shared" si="169"/>
        <v>-3.6849927019221886E-2</v>
      </c>
      <c r="O1012">
        <f t="shared" si="170"/>
        <v>-1.6314819332931263</v>
      </c>
      <c r="P1012" s="1">
        <f t="shared" si="172"/>
        <v>14.543006954107751</v>
      </c>
      <c r="Q1012" s="1">
        <f t="shared" si="173"/>
        <v>-81.555671701146693</v>
      </c>
      <c r="R1012">
        <f>SQRT(Tabelle2[[#This Row],[vx]]*Tabelle2[[#This Row],[vx]]+Tabelle2[[#This Row],[vy]]*Tabelle2[[#This Row],[vy]])</f>
        <v>82.842179099130689</v>
      </c>
      <c r="S1012">
        <f t="shared" si="174"/>
        <v>682.22017210927288</v>
      </c>
      <c r="T1012" s="1">
        <f t="shared" si="175"/>
        <v>-528.11146062339174</v>
      </c>
    </row>
    <row r="1013" spans="6:20" x14ac:dyDescent="0.35">
      <c r="F1013" s="1">
        <f t="shared" si="171"/>
        <v>20.199999999999658</v>
      </c>
      <c r="G1013">
        <f>1/2*$B$8*$B$6*$B$7*(Tabelle2[[#This Row],[vx]]*Tabelle2[[#This Row],[vx]]+Tabelle2[[#This Row],[vy]]*Tabelle2[[#This Row],[vy]])/1000000</f>
        <v>12.14895582070371</v>
      </c>
      <c r="H1013">
        <f>IF($B$3,-Tabelle2[[#This Row],[Fd]]*Tabelle2[[#This Row],[vx]]/Tabelle2[[#This Row],[v]],0)</f>
        <v>-2.1277873463679335</v>
      </c>
      <c r="I1013">
        <f t="shared" si="165"/>
        <v>-1.4185248975786224</v>
      </c>
      <c r="J1013">
        <f t="shared" si="166"/>
        <v>-2.8370497951572451E-2</v>
      </c>
      <c r="K1013">
        <f t="shared" si="167"/>
        <v>0.29000812801891551</v>
      </c>
      <c r="L1013">
        <f>-$B$5*$B$12-IF($B$3,Tabelle2[[#This Row],[Fd]]*Tabelle2[[#This Row],[vy]]/Tabelle2[[#This Row],[v]],0)</f>
        <v>-2.7538274595653842</v>
      </c>
      <c r="M1013">
        <f t="shared" si="168"/>
        <v>-1.8358849730435896</v>
      </c>
      <c r="N1013">
        <f t="shared" si="169"/>
        <v>-3.6717699460871792E-2</v>
      </c>
      <c r="O1013">
        <f t="shared" si="170"/>
        <v>-1.6322176095579268</v>
      </c>
      <c r="P1013" s="1">
        <f t="shared" si="172"/>
        <v>14.514591649921563</v>
      </c>
      <c r="Q1013" s="1">
        <f t="shared" si="173"/>
        <v>-81.592521628165912</v>
      </c>
      <c r="R1013">
        <f>SQRT(Tabelle2[[#This Row],[vx]]*Tabelle2[[#This Row],[vx]]+Tabelle2[[#This Row],[vy]]*Tabelle2[[#This Row],[vy]])</f>
        <v>82.873475590243558</v>
      </c>
      <c r="S1013">
        <f t="shared" si="174"/>
        <v>682.51074809531315</v>
      </c>
      <c r="T1013" s="1">
        <f t="shared" si="175"/>
        <v>-529.74294255668485</v>
      </c>
    </row>
    <row r="1014" spans="6:20" x14ac:dyDescent="0.35">
      <c r="F1014" s="1">
        <f t="shared" si="171"/>
        <v>20.219999999999658</v>
      </c>
      <c r="G1014">
        <f>1/2*$B$8*$B$6*$B$7*(Tabelle2[[#This Row],[vx]]*Tabelle2[[#This Row],[vx]]+Tabelle2[[#This Row],[vy]]*Tabelle2[[#This Row],[vy]])/1000000</f>
        <v>12.158101766757405</v>
      </c>
      <c r="H1014">
        <f>IF($B$3,-Tabelle2[[#This Row],[Fd]]*Tabelle2[[#This Row],[vx]]/Tabelle2[[#This Row],[v]],0)</f>
        <v>-2.1244275344549055</v>
      </c>
      <c r="I1014">
        <f t="shared" si="165"/>
        <v>-1.4162850229699371</v>
      </c>
      <c r="J1014">
        <f t="shared" si="166"/>
        <v>-2.8325700459398744E-2</v>
      </c>
      <c r="K1014">
        <f t="shared" si="167"/>
        <v>0.28944116603480585</v>
      </c>
      <c r="L1014">
        <f>-$B$5*$B$12-IF($B$3,Tabelle2[[#This Row],[Fd]]*Tabelle2[[#This Row],[vy]]/Tabelle2[[#This Row],[v]],0)</f>
        <v>-2.7439413073997763</v>
      </c>
      <c r="M1014">
        <f t="shared" si="168"/>
        <v>-1.8292942049331842</v>
      </c>
      <c r="N1014">
        <f t="shared" si="169"/>
        <v>-3.6585884098663687E-2</v>
      </c>
      <c r="O1014">
        <f t="shared" si="170"/>
        <v>-1.6329506453935221</v>
      </c>
      <c r="P1014" s="1">
        <f t="shared" si="172"/>
        <v>14.486221151969991</v>
      </c>
      <c r="Q1014" s="1">
        <f t="shared" si="173"/>
        <v>-81.629239327626777</v>
      </c>
      <c r="R1014">
        <f>SQRT(Tabelle2[[#This Row],[vx]]*Tabelle2[[#This Row],[vx]]+Tabelle2[[#This Row],[vy]]*Tabelle2[[#This Row],[vy]])</f>
        <v>82.904664021216277</v>
      </c>
      <c r="S1014">
        <f t="shared" si="174"/>
        <v>682.80075622333209</v>
      </c>
      <c r="T1014" s="1">
        <f t="shared" si="175"/>
        <v>-531.37516016624284</v>
      </c>
    </row>
    <row r="1015" spans="6:20" x14ac:dyDescent="0.35">
      <c r="F1015" s="1">
        <f t="shared" si="171"/>
        <v>20.239999999999657</v>
      </c>
      <c r="G1015">
        <f>1/2*$B$8*$B$6*$B$7*(Tabelle2[[#This Row],[vx]]*Tabelle2[[#This Row],[vx]]+Tabelle2[[#This Row],[vy]]*Tabelle2[[#This Row],[vy]])/1000000</f>
        <v>12.167219537235326</v>
      </c>
      <c r="H1015">
        <f>IF($B$3,-Tabelle2[[#This Row],[Fd]]*Tabelle2[[#This Row],[vx]]/Tabelle2[[#This Row],[v]],0)</f>
        <v>-2.121068408419204</v>
      </c>
      <c r="I1015">
        <f t="shared" si="165"/>
        <v>-1.4140456056128026</v>
      </c>
      <c r="J1015">
        <f t="shared" si="166"/>
        <v>-2.8280912112256053E-2</v>
      </c>
      <c r="K1015">
        <f t="shared" si="167"/>
        <v>0.28887509990908927</v>
      </c>
      <c r="L1015">
        <f>-$B$5*$B$12-IF($B$3,Tabelle2[[#This Row],[Fd]]*Tabelle2[[#This Row],[vy]]/Tabelle2[[#This Row],[v]],0)</f>
        <v>-2.7340860084012348</v>
      </c>
      <c r="M1015">
        <f t="shared" si="168"/>
        <v>-1.8227240056008231</v>
      </c>
      <c r="N1015">
        <f t="shared" si="169"/>
        <v>-3.6454480112016463E-2</v>
      </c>
      <c r="O1015">
        <f t="shared" si="170"/>
        <v>-1.6336810490356291</v>
      </c>
      <c r="P1015" s="1">
        <f t="shared" si="172"/>
        <v>14.457895451510591</v>
      </c>
      <c r="Q1015" s="1">
        <f t="shared" si="173"/>
        <v>-81.665825211725448</v>
      </c>
      <c r="R1015">
        <f>SQRT(Tabelle2[[#This Row],[vx]]*Tabelle2[[#This Row],[vx]]+Tabelle2[[#This Row],[vy]]*Tabelle2[[#This Row],[vy]])</f>
        <v>82.93574469671627</v>
      </c>
      <c r="S1015">
        <f t="shared" si="174"/>
        <v>683.09019738936695</v>
      </c>
      <c r="T1015" s="1">
        <f t="shared" si="175"/>
        <v>-533.00811081163636</v>
      </c>
    </row>
    <row r="1016" spans="6:20" x14ac:dyDescent="0.35">
      <c r="F1016" s="1">
        <f t="shared" si="171"/>
        <v>20.259999999999657</v>
      </c>
      <c r="G1016">
        <f>1/2*$B$8*$B$6*$B$7*(Tabelle2[[#This Row],[vx]]*Tabelle2[[#This Row],[vx]]+Tabelle2[[#This Row],[vy]]*Tabelle2[[#This Row],[vy]])/1000000</f>
        <v>12.176309185926238</v>
      </c>
      <c r="H1016">
        <f>IF($B$3,-Tabelle2[[#This Row],[Fd]]*Tabelle2[[#This Row],[vx]]/Tabelle2[[#This Row],[v]],0)</f>
        <v>-2.1177099982735821</v>
      </c>
      <c r="I1016">
        <f t="shared" si="165"/>
        <v>-1.4118066655157213</v>
      </c>
      <c r="J1016">
        <f t="shared" si="166"/>
        <v>-2.8236133310314427E-2</v>
      </c>
      <c r="K1016">
        <f t="shared" si="167"/>
        <v>0.28830992945486356</v>
      </c>
      <c r="L1016">
        <f>-$B$5*$B$12-IF($B$3,Tabelle2[[#This Row],[Fd]]*Tabelle2[[#This Row],[vy]]/Tabelle2[[#This Row],[v]],0)</f>
        <v>-2.7242615008714424</v>
      </c>
      <c r="M1016">
        <f t="shared" si="168"/>
        <v>-1.8161743339142948</v>
      </c>
      <c r="N1016">
        <f t="shared" si="169"/>
        <v>-3.6323486678285895E-2</v>
      </c>
      <c r="O1016">
        <f t="shared" si="170"/>
        <v>-1.6344088287035323</v>
      </c>
      <c r="P1016" s="1">
        <f t="shared" si="172"/>
        <v>14.429614539398335</v>
      </c>
      <c r="Q1016" s="1">
        <f t="shared" si="173"/>
        <v>-81.702279691837461</v>
      </c>
      <c r="R1016">
        <f>SQRT(Tabelle2[[#This Row],[vx]]*Tabelle2[[#This Row],[vx]]+Tabelle2[[#This Row],[vy]]*Tabelle2[[#This Row],[vy]])</f>
        <v>82.966717921096844</v>
      </c>
      <c r="S1016">
        <f t="shared" si="174"/>
        <v>683.37907248927604</v>
      </c>
      <c r="T1016" s="1">
        <f t="shared" si="175"/>
        <v>-534.64179186067201</v>
      </c>
    </row>
    <row r="1017" spans="6:20" x14ac:dyDescent="0.35">
      <c r="F1017" s="1">
        <f t="shared" si="171"/>
        <v>20.279999999999657</v>
      </c>
      <c r="G1017">
        <f>1/2*$B$8*$B$6*$B$7*(Tabelle2[[#This Row],[vx]]*Tabelle2[[#This Row],[vx]]+Tabelle2[[#This Row],[vy]]*Tabelle2[[#This Row],[vy]])/1000000</f>
        <v>12.185370766781451</v>
      </c>
      <c r="H1017">
        <f>IF($B$3,-Tabelle2[[#This Row],[Fd]]*Tabelle2[[#This Row],[vx]]/Tabelle2[[#This Row],[v]],0)</f>
        <v>-2.1143523338498826</v>
      </c>
      <c r="I1017">
        <f t="shared" si="165"/>
        <v>-1.4095682225665884</v>
      </c>
      <c r="J1017">
        <f t="shared" si="166"/>
        <v>-2.8191364451331771E-2</v>
      </c>
      <c r="K1017">
        <f t="shared" si="167"/>
        <v>0.28774565447724715</v>
      </c>
      <c r="L1017">
        <f>-$B$5*$B$12-IF($B$3,Tabelle2[[#This Row],[Fd]]*Tabelle2[[#This Row],[vy]]/Tabelle2[[#This Row],[v]],0)</f>
        <v>-2.7144677229601371</v>
      </c>
      <c r="M1017">
        <f t="shared" si="168"/>
        <v>-1.8096451486400913</v>
      </c>
      <c r="N1017">
        <f t="shared" si="169"/>
        <v>-3.6192902972801824E-2</v>
      </c>
      <c r="O1017">
        <f t="shared" si="170"/>
        <v>-1.635133992600043</v>
      </c>
      <c r="P1017" s="1">
        <f t="shared" si="172"/>
        <v>14.401378406088021</v>
      </c>
      <c r="Q1017" s="1">
        <f t="shared" si="173"/>
        <v>-81.738603178515746</v>
      </c>
      <c r="R1017">
        <f>SQRT(Tabelle2[[#This Row],[vx]]*Tabelle2[[#This Row],[vx]]+Tabelle2[[#This Row],[vy]]*Tabelle2[[#This Row],[vy]])</f>
        <v>82.9975839983924</v>
      </c>
      <c r="S1017">
        <f t="shared" si="174"/>
        <v>683.66738241873088</v>
      </c>
      <c r="T1017" s="1">
        <f t="shared" si="175"/>
        <v>-536.27620068937551</v>
      </c>
    </row>
    <row r="1018" spans="6:20" x14ac:dyDescent="0.35">
      <c r="F1018" s="1">
        <f t="shared" si="171"/>
        <v>20.299999999999656</v>
      </c>
      <c r="G1018">
        <f>1/2*$B$8*$B$6*$B$7*(Tabelle2[[#This Row],[vx]]*Tabelle2[[#This Row],[vx]]+Tabelle2[[#This Row],[vy]]*Tabelle2[[#This Row],[vy]])/1000000</f>
        <v>12.194404333912097</v>
      </c>
      <c r="H1018">
        <f>IF($B$3,-Tabelle2[[#This Row],[Fd]]*Tabelle2[[#This Row],[vx]]/Tabelle2[[#This Row],[v]],0)</f>
        <v>-2.1109954447994981</v>
      </c>
      <c r="I1018">
        <f t="shared" si="165"/>
        <v>-1.4073302965329988</v>
      </c>
      <c r="J1018">
        <f t="shared" si="166"/>
        <v>-2.8146605930659978E-2</v>
      </c>
      <c r="K1018">
        <f t="shared" si="167"/>
        <v>0.28718227477342717</v>
      </c>
      <c r="L1018">
        <f>-$B$5*$B$12-IF($B$3,Tabelle2[[#This Row],[Fd]]*Tabelle2[[#This Row],[vy]]/Tabelle2[[#This Row],[v]],0)</f>
        <v>-2.7047046126679337</v>
      </c>
      <c r="M1018">
        <f t="shared" si="168"/>
        <v>-1.8031364084452892</v>
      </c>
      <c r="N1018">
        <f t="shared" si="169"/>
        <v>-3.6062728168905787E-2</v>
      </c>
      <c r="O1018">
        <f t="shared" si="170"/>
        <v>-1.63585654891146</v>
      </c>
      <c r="P1018" s="1">
        <f t="shared" si="172"/>
        <v>14.37318704163669</v>
      </c>
      <c r="Q1018" s="1">
        <f t="shared" si="173"/>
        <v>-81.774796081488546</v>
      </c>
      <c r="R1018">
        <f>SQRT(Tabelle2[[#This Row],[vx]]*Tabelle2[[#This Row],[vx]]+Tabelle2[[#This Row],[vy]]*Tabelle2[[#This Row],[vy]])</f>
        <v>83.028343232313787</v>
      </c>
      <c r="S1018">
        <f t="shared" si="174"/>
        <v>683.95512807320813</v>
      </c>
      <c r="T1018" s="1">
        <f t="shared" si="175"/>
        <v>-537.91133468197552</v>
      </c>
    </row>
    <row r="1019" spans="6:20" x14ac:dyDescent="0.35">
      <c r="F1019" s="1">
        <f t="shared" si="171"/>
        <v>20.319999999999656</v>
      </c>
      <c r="G1019">
        <f>1/2*$B$8*$B$6*$B$7*(Tabelle2[[#This Row],[vx]]*Tabelle2[[#This Row],[vx]]+Tabelle2[[#This Row],[vy]]*Tabelle2[[#This Row],[vy]])/1000000</f>
        <v>12.203409941586447</v>
      </c>
      <c r="H1019">
        <f>IF($B$3,-Tabelle2[[#This Row],[Fd]]*Tabelle2[[#This Row],[vx]]/Tabelle2[[#This Row],[v]],0)</f>
        <v>-2.1076393605938422</v>
      </c>
      <c r="I1019">
        <f t="shared" si="165"/>
        <v>-1.4050929070625615</v>
      </c>
      <c r="J1019">
        <f t="shared" si="166"/>
        <v>-2.810185814125123E-2</v>
      </c>
      <c r="K1019">
        <f t="shared" si="167"/>
        <v>0.28661979013270811</v>
      </c>
      <c r="L1019">
        <f>-$B$5*$B$12-IF($B$3,Tabelle2[[#This Row],[Fd]]*Tabelle2[[#This Row],[vy]]/Tabelle2[[#This Row],[v]],0)</f>
        <v>-2.6949721078490629</v>
      </c>
      <c r="M1019">
        <f t="shared" si="168"/>
        <v>-1.7966480718993754</v>
      </c>
      <c r="N1019">
        <f t="shared" si="169"/>
        <v>-3.5932961437987507E-2</v>
      </c>
      <c r="O1019">
        <f t="shared" si="170"/>
        <v>-1.636576505807529</v>
      </c>
      <c r="P1019" s="1">
        <f t="shared" si="172"/>
        <v>14.34504043570603</v>
      </c>
      <c r="Q1019" s="1">
        <f t="shared" si="173"/>
        <v>-81.810858809657446</v>
      </c>
      <c r="R1019">
        <f>SQRT(Tabelle2[[#This Row],[vx]]*Tabelle2[[#This Row],[vx]]+Tabelle2[[#This Row],[vy]]*Tabelle2[[#This Row],[vy]])</f>
        <v>83.058995926243568</v>
      </c>
      <c r="S1019">
        <f t="shared" si="174"/>
        <v>684.24231034798152</v>
      </c>
      <c r="T1019" s="1">
        <f t="shared" si="175"/>
        <v>-539.54719123088694</v>
      </c>
    </row>
    <row r="1020" spans="6:20" x14ac:dyDescent="0.35">
      <c r="F1020" s="1">
        <f t="shared" si="171"/>
        <v>20.339999999999655</v>
      </c>
      <c r="G1020">
        <f>1/2*$B$8*$B$6*$B$7*(Tabelle2[[#This Row],[vx]]*Tabelle2[[#This Row],[vx]]+Tabelle2[[#This Row],[vy]]*Tabelle2[[#This Row],[vy]])/1000000</f>
        <v>12.212387644227224</v>
      </c>
      <c r="H1020">
        <f>IF($B$3,-Tabelle2[[#This Row],[Fd]]*Tabelle2[[#This Row],[vx]]/Tabelle2[[#This Row],[v]],0)</f>
        <v>-2.1042841105248153</v>
      </c>
      <c r="I1020">
        <f t="shared" si="165"/>
        <v>-1.4028560736832103</v>
      </c>
      <c r="J1020">
        <f t="shared" si="166"/>
        <v>-2.8057121473664206E-2</v>
      </c>
      <c r="K1020">
        <f t="shared" si="167"/>
        <v>0.28605820033655893</v>
      </c>
      <c r="L1020">
        <f>-$B$5*$B$12-IF($B$3,Tabelle2[[#This Row],[Fd]]*Tabelle2[[#This Row],[vy]]/Tabelle2[[#This Row],[v]],0)</f>
        <v>-2.6852701462141493</v>
      </c>
      <c r="M1020">
        <f t="shared" si="168"/>
        <v>-1.7901800974760995</v>
      </c>
      <c r="N1020">
        <f t="shared" si="169"/>
        <v>-3.5803601949521993E-2</v>
      </c>
      <c r="O1020">
        <f t="shared" si="170"/>
        <v>-1.637293871441404</v>
      </c>
      <c r="P1020" s="1">
        <f t="shared" si="172"/>
        <v>14.316938577564779</v>
      </c>
      <c r="Q1020" s="1">
        <f t="shared" si="173"/>
        <v>-81.84679177109544</v>
      </c>
      <c r="R1020">
        <f>SQRT(Tabelle2[[#This Row],[vx]]*Tabelle2[[#This Row],[vx]]+Tabelle2[[#This Row],[vy]]*Tabelle2[[#This Row],[vy]])</f>
        <v>83.089542383231475</v>
      </c>
      <c r="S1020">
        <f t="shared" si="174"/>
        <v>684.52893013811422</v>
      </c>
      <c r="T1020" s="1">
        <f t="shared" si="175"/>
        <v>-541.18376773669445</v>
      </c>
    </row>
    <row r="1021" spans="6:20" x14ac:dyDescent="0.35">
      <c r="F1021" s="1">
        <f t="shared" si="171"/>
        <v>20.359999999999655</v>
      </c>
      <c r="G1021">
        <f>1/2*$B$8*$B$6*$B$7*(Tabelle2[[#This Row],[vx]]*Tabelle2[[#This Row],[vx]]+Tabelle2[[#This Row],[vy]]*Tabelle2[[#This Row],[vy]])/1000000</f>
        <v>12.221337496408932</v>
      </c>
      <c r="H1021">
        <f>IF($B$3,-Tabelle2[[#This Row],[Fd]]*Tabelle2[[#This Row],[vx]]/Tabelle2[[#This Row],[v]],0)</f>
        <v>-2.1009297237052795</v>
      </c>
      <c r="I1021">
        <f t="shared" si="165"/>
        <v>-1.4006198158035197</v>
      </c>
      <c r="J1021">
        <f t="shared" si="166"/>
        <v>-2.8012396316070394E-2</v>
      </c>
      <c r="K1021">
        <f t="shared" si="167"/>
        <v>0.28549750515866157</v>
      </c>
      <c r="L1021">
        <f>-$B$5*$B$12-IF($B$3,Tabelle2[[#This Row],[Fd]]*Tabelle2[[#This Row],[vy]]/Tabelle2[[#This Row],[v]],0)</f>
        <v>-2.6755986653329558</v>
      </c>
      <c r="M1021">
        <f t="shared" si="168"/>
        <v>-1.7837324435553039</v>
      </c>
      <c r="N1021">
        <f t="shared" si="169"/>
        <v>-3.5674648871106079E-2</v>
      </c>
      <c r="O1021">
        <f t="shared" si="170"/>
        <v>-1.6380086539496101</v>
      </c>
      <c r="P1021" s="1">
        <f t="shared" si="172"/>
        <v>14.288881456091115</v>
      </c>
      <c r="Q1021" s="1">
        <f t="shared" si="173"/>
        <v>-81.882595373044964</v>
      </c>
      <c r="R1021">
        <f>SQRT(Tabelle2[[#This Row],[vx]]*Tabelle2[[#This Row],[vx]]+Tabelle2[[#This Row],[vy]]*Tabelle2[[#This Row],[vy]])</f>
        <v>83.119982905989758</v>
      </c>
      <c r="S1021">
        <f t="shared" si="174"/>
        <v>684.8149883384508</v>
      </c>
      <c r="T1021" s="1">
        <f t="shared" si="175"/>
        <v>-542.82106160813589</v>
      </c>
    </row>
    <row r="1022" spans="6:20" x14ac:dyDescent="0.35">
      <c r="F1022" s="1">
        <f t="shared" si="171"/>
        <v>20.379999999999654</v>
      </c>
      <c r="G1022">
        <f>1/2*$B$8*$B$6*$B$7*(Tabelle2[[#This Row],[vx]]*Tabelle2[[#This Row],[vx]]+Tabelle2[[#This Row],[vy]]*Tabelle2[[#This Row],[vy]])/1000000</f>
        <v>12.230259552855239</v>
      </c>
      <c r="H1022">
        <f>IF($B$3,-Tabelle2[[#This Row],[Fd]]*Tabelle2[[#This Row],[vx]]/Tabelle2[[#This Row],[v]],0)</f>
        <v>-2.097576229069535</v>
      </c>
      <c r="I1022">
        <f t="shared" si="165"/>
        <v>-1.3983841527130234</v>
      </c>
      <c r="J1022">
        <f t="shared" si="166"/>
        <v>-2.7967683054260468E-2</v>
      </c>
      <c r="K1022">
        <f t="shared" si="167"/>
        <v>0.2849377043649583</v>
      </c>
      <c r="L1022">
        <f>-$B$5*$B$12-IF($B$3,Tabelle2[[#This Row],[Fd]]*Tabelle2[[#This Row],[vy]]/Tabelle2[[#This Row],[v]],0)</f>
        <v>-2.6659576026370768</v>
      </c>
      <c r="M1022">
        <f t="shared" si="168"/>
        <v>-1.7773050684247178</v>
      </c>
      <c r="N1022">
        <f t="shared" si="169"/>
        <v>-3.5546101368494357E-2</v>
      </c>
      <c r="O1022">
        <f t="shared" si="170"/>
        <v>-1.6387208614520063</v>
      </c>
      <c r="P1022" s="1">
        <f t="shared" si="172"/>
        <v>14.260869059775045</v>
      </c>
      <c r="Q1022" s="1">
        <f t="shared" si="173"/>
        <v>-81.918270021916072</v>
      </c>
      <c r="R1022">
        <f>SQRT(Tabelle2[[#This Row],[vx]]*Tabelle2[[#This Row],[vx]]+Tabelle2[[#This Row],[vy]]*Tabelle2[[#This Row],[vy]])</f>
        <v>83.1503177968888</v>
      </c>
      <c r="S1022">
        <f t="shared" si="174"/>
        <v>685.10048584360948</v>
      </c>
      <c r="T1022" s="1">
        <f t="shared" si="175"/>
        <v>-544.45907026208545</v>
      </c>
    </row>
    <row r="1023" spans="6:20" x14ac:dyDescent="0.35">
      <c r="F1023" s="1">
        <f t="shared" si="171"/>
        <v>20.399999999999654</v>
      </c>
      <c r="G1023">
        <f>1/2*$B$8*$B$6*$B$7*(Tabelle2[[#This Row],[vx]]*Tabelle2[[#This Row],[vx]]+Tabelle2[[#This Row],[vy]]*Tabelle2[[#This Row],[vy]])/1000000</f>
        <v>12.239153868436333</v>
      </c>
      <c r="H1023">
        <f>IF($B$3,-Tabelle2[[#This Row],[Fd]]*Tabelle2[[#This Row],[vx]]/Tabelle2[[#This Row],[v]],0)</f>
        <v>-2.0942236553737996</v>
      </c>
      <c r="I1023">
        <f t="shared" si="165"/>
        <v>-1.3961491035825331</v>
      </c>
      <c r="J1023">
        <f t="shared" si="166"/>
        <v>-2.7922982071650664E-2</v>
      </c>
      <c r="K1023">
        <f t="shared" si="167"/>
        <v>0.28437879771369917</v>
      </c>
      <c r="L1023">
        <f>-$B$5*$B$12-IF($B$3,Tabelle2[[#This Row],[Fd]]*Tabelle2[[#This Row],[vy]]/Tabelle2[[#This Row],[v]],0)</f>
        <v>-2.6563468954226561</v>
      </c>
      <c r="M1023">
        <f t="shared" si="168"/>
        <v>-1.7708979302817707</v>
      </c>
      <c r="N1023">
        <f t="shared" si="169"/>
        <v>-3.5417958605635416E-2</v>
      </c>
      <c r="O1023">
        <f t="shared" si="170"/>
        <v>-1.6394305020517479</v>
      </c>
      <c r="P1023" s="1">
        <f t="shared" si="172"/>
        <v>14.232901376720784</v>
      </c>
      <c r="Q1023" s="1">
        <f t="shared" si="173"/>
        <v>-81.953816123284568</v>
      </c>
      <c r="R1023">
        <f>SQRT(Tabelle2[[#This Row],[vx]]*Tabelle2[[#This Row],[vx]]+Tabelle2[[#This Row],[vy]]*Tabelle2[[#This Row],[vy]])</f>
        <v>83.180547357952619</v>
      </c>
      <c r="S1023">
        <f t="shared" si="174"/>
        <v>685.38542354797448</v>
      </c>
      <c r="T1023" s="1">
        <f t="shared" si="175"/>
        <v>-546.09779112353749</v>
      </c>
    </row>
    <row r="1024" spans="6:20" x14ac:dyDescent="0.35">
      <c r="F1024" s="1">
        <f t="shared" si="171"/>
        <v>20.419999999999654</v>
      </c>
      <c r="G1024">
        <f>1/2*$B$8*$B$6*$B$7*(Tabelle2[[#This Row],[vx]]*Tabelle2[[#This Row],[vx]]+Tabelle2[[#This Row],[vy]]*Tabelle2[[#This Row],[vy]])/1000000</f>
        <v>12.248020498166328</v>
      </c>
      <c r="H1024">
        <f>IF($B$3,-Tabelle2[[#This Row],[Fd]]*Tabelle2[[#This Row],[vx]]/Tabelle2[[#This Row],[v]],0)</f>
        <v>-2.0908720311966928</v>
      </c>
      <c r="I1024">
        <f t="shared" si="165"/>
        <v>-1.3939146874644619</v>
      </c>
      <c r="J1024">
        <f t="shared" si="166"/>
        <v>-2.787829374928924E-2</v>
      </c>
      <c r="K1024">
        <f t="shared" si="167"/>
        <v>0.28382078495548979</v>
      </c>
      <c r="L1024">
        <f>-$B$5*$B$12-IF($B$3,Tabelle2[[#This Row],[Fd]]*Tabelle2[[#This Row],[vy]]/Tabelle2[[#This Row],[v]],0)</f>
        <v>-2.6467664808530511</v>
      </c>
      <c r="M1024">
        <f t="shared" si="168"/>
        <v>-1.7645109872353675</v>
      </c>
      <c r="N1024">
        <f t="shared" si="169"/>
        <v>-3.5290219744707349E-2</v>
      </c>
      <c r="O1024">
        <f t="shared" si="170"/>
        <v>-1.640137583835251</v>
      </c>
      <c r="P1024" s="1">
        <f t="shared" si="172"/>
        <v>14.204978394649133</v>
      </c>
      <c r="Q1024" s="1">
        <f t="shared" si="173"/>
        <v>-81.989234081890203</v>
      </c>
      <c r="R1024">
        <f>SQRT(Tabelle2[[#This Row],[vx]]*Tabelle2[[#This Row],[vx]]+Tabelle2[[#This Row],[vy]]*Tabelle2[[#This Row],[vy]])</f>
        <v>83.210671890854456</v>
      </c>
      <c r="S1024">
        <f t="shared" si="174"/>
        <v>685.66980234568814</v>
      </c>
      <c r="T1024" s="1">
        <f t="shared" si="175"/>
        <v>-547.7372216255892</v>
      </c>
    </row>
    <row r="1025" spans="6:20" x14ac:dyDescent="0.35">
      <c r="F1025" s="1">
        <f t="shared" si="171"/>
        <v>20.439999999999653</v>
      </c>
      <c r="G1025">
        <f>1/2*$B$8*$B$6*$B$7*(Tabelle2[[#This Row],[vx]]*Tabelle2[[#This Row],[vx]]+Tabelle2[[#This Row],[vy]]*Tabelle2[[#This Row],[vy]])/1000000</f>
        <v>12.256859497200661</v>
      </c>
      <c r="H1025">
        <f>IF($B$3,-Tabelle2[[#This Row],[Fd]]*Tabelle2[[#This Row],[vx]]/Tabelle2[[#This Row],[v]],0)</f>
        <v>-2.0875213849397172</v>
      </c>
      <c r="I1025">
        <f t="shared" si="165"/>
        <v>-1.3916809232931449</v>
      </c>
      <c r="J1025">
        <f t="shared" si="166"/>
        <v>-2.7833618465862898E-2</v>
      </c>
      <c r="K1025">
        <f t="shared" si="167"/>
        <v>0.28326366583333829</v>
      </c>
      <c r="L1025">
        <f>-$B$5*$B$12-IF($B$3,Tabelle2[[#This Row],[Fd]]*Tabelle2[[#This Row],[vy]]/Tabelle2[[#This Row],[v]],0)</f>
        <v>-2.6372162959615224</v>
      </c>
      <c r="M1025">
        <f t="shared" si="168"/>
        <v>-1.7581441973076817</v>
      </c>
      <c r="N1025">
        <f t="shared" si="169"/>
        <v>-3.5162883946153634E-2</v>
      </c>
      <c r="O1025">
        <f t="shared" si="170"/>
        <v>-1.6408421148721599</v>
      </c>
      <c r="P1025" s="1">
        <f t="shared" si="172"/>
        <v>14.177100100899844</v>
      </c>
      <c r="Q1025" s="1">
        <f t="shared" si="173"/>
        <v>-82.024524301634912</v>
      </c>
      <c r="R1025">
        <f>SQRT(Tabelle2[[#This Row],[vx]]*Tabelle2[[#This Row],[vx]]+Tabelle2[[#This Row],[vy]]*Tabelle2[[#This Row],[vy]])</f>
        <v>83.240691696912464</v>
      </c>
      <c r="S1025">
        <f t="shared" si="174"/>
        <v>685.95362313064368</v>
      </c>
      <c r="T1025" s="1">
        <f t="shared" si="175"/>
        <v>-549.37735920942441</v>
      </c>
    </row>
    <row r="1026" spans="6:20" x14ac:dyDescent="0.35">
      <c r="F1026" s="1">
        <f t="shared" si="171"/>
        <v>20.459999999999653</v>
      </c>
      <c r="G1026">
        <f>1/2*$B$8*$B$6*$B$7*(Tabelle2[[#This Row],[vx]]*Tabelle2[[#This Row],[vx]]+Tabelle2[[#This Row],[vy]]*Tabelle2[[#This Row],[vy]])/1000000</f>
        <v>12.265670920833543</v>
      </c>
      <c r="H1026">
        <f>IF($B$3,-Tabelle2[[#This Row],[Fd]]*Tabelle2[[#This Row],[vx]]/Tabelle2[[#This Row],[v]],0)</f>
        <v>-2.084171744827751</v>
      </c>
      <c r="I1026">
        <f t="shared" si="165"/>
        <v>-1.3894478298851674</v>
      </c>
      <c r="J1026">
        <f t="shared" si="166"/>
        <v>-2.7788956597703349E-2</v>
      </c>
      <c r="K1026">
        <f t="shared" si="167"/>
        <v>0.2827074400827026</v>
      </c>
      <c r="L1026">
        <f>-$B$5*$B$12-IF($B$3,Tabelle2[[#This Row],[Fd]]*Tabelle2[[#This Row],[vy]]/Tabelle2[[#This Row],[v]],0)</f>
        <v>-2.6276962776538451</v>
      </c>
      <c r="M1026">
        <f t="shared" si="168"/>
        <v>-1.7517975184358967</v>
      </c>
      <c r="N1026">
        <f t="shared" si="169"/>
        <v>-3.5035950368717934E-2</v>
      </c>
      <c r="O1026">
        <f t="shared" si="170"/>
        <v>-1.6415441032153086</v>
      </c>
      <c r="P1026" s="1">
        <f t="shared" si="172"/>
        <v>14.149266482433982</v>
      </c>
      <c r="Q1026" s="1">
        <f t="shared" si="173"/>
        <v>-82.059687185581069</v>
      </c>
      <c r="R1026">
        <f>SQRT(Tabelle2[[#This Row],[vx]]*Tabelle2[[#This Row],[vx]]+Tabelle2[[#This Row],[vy]]*Tabelle2[[#This Row],[vy]])</f>
        <v>83.270607077085415</v>
      </c>
      <c r="S1026">
        <f t="shared" si="174"/>
        <v>686.23688679647705</v>
      </c>
      <c r="T1026" s="1">
        <f t="shared" si="175"/>
        <v>-551.01820132429657</v>
      </c>
    </row>
    <row r="1027" spans="6:20" x14ac:dyDescent="0.35">
      <c r="F1027" s="1">
        <f t="shared" si="171"/>
        <v>20.479999999999652</v>
      </c>
      <c r="G1027">
        <f>1/2*$B$8*$B$6*$B$7*(Tabelle2[[#This Row],[vx]]*Tabelle2[[#This Row],[vx]]+Tabelle2[[#This Row],[vy]]*Tabelle2[[#This Row],[vy]])/1000000</f>
        <v>12.274454824495386</v>
      </c>
      <c r="H1027">
        <f>IF($B$3,-Tabelle2[[#This Row],[Fd]]*Tabelle2[[#This Row],[vx]]/Tabelle2[[#This Row],[v]],0)</f>
        <v>-2.0808231389095382</v>
      </c>
      <c r="I1027">
        <f t="shared" ref="I1027:I1090" si="176">H1027/$B$5</f>
        <v>-1.387215425939692</v>
      </c>
      <c r="J1027">
        <f t="shared" ref="J1027:J1090" si="177">I1027*$B$13</f>
        <v>-2.774430851879384E-2</v>
      </c>
      <c r="K1027">
        <f t="shared" ref="K1027:K1090" si="178">$B$13*(P1027+J1027/2)</f>
        <v>0.28215210743153762</v>
      </c>
      <c r="L1027">
        <f>-$B$5*$B$12-IF($B$3,Tabelle2[[#This Row],[Fd]]*Tabelle2[[#This Row],[vy]]/Tabelle2[[#This Row],[v]],0)</f>
        <v>-2.6182063627109553</v>
      </c>
      <c r="M1027">
        <f t="shared" ref="M1027:M1090" si="179">L1027/$B$5</f>
        <v>-1.7454709084739701</v>
      </c>
      <c r="N1027">
        <f t="shared" ref="N1027:N1090" si="180">M1027*$B$13</f>
        <v>-3.49094181694794E-2</v>
      </c>
      <c r="O1027">
        <f t="shared" ref="O1027:O1090" si="181">$B$13*(Q1027+N1027/2)</f>
        <v>-1.6422435569006908</v>
      </c>
      <c r="P1027" s="1">
        <f t="shared" si="172"/>
        <v>14.121477525836278</v>
      </c>
      <c r="Q1027" s="1">
        <f t="shared" si="173"/>
        <v>-82.094723135949792</v>
      </c>
      <c r="R1027">
        <f>SQRT(Tabelle2[[#This Row],[vx]]*Tabelle2[[#This Row],[vx]]+Tabelle2[[#This Row],[vy]]*Tabelle2[[#This Row],[vy]])</f>
        <v>83.300418331968473</v>
      </c>
      <c r="S1027">
        <f t="shared" si="174"/>
        <v>686.51959423655978</v>
      </c>
      <c r="T1027" s="1">
        <f t="shared" si="175"/>
        <v>-552.65974542751189</v>
      </c>
    </row>
    <row r="1028" spans="6:20" x14ac:dyDescent="0.35">
      <c r="F1028" s="1">
        <f t="shared" ref="F1028:F1091" si="182">F1027+$B$13</f>
        <v>20.499999999999652</v>
      </c>
      <c r="G1028">
        <f>1/2*$B$8*$B$6*$B$7*(Tabelle2[[#This Row],[vx]]*Tabelle2[[#This Row],[vx]]+Tabelle2[[#This Row],[vy]]*Tabelle2[[#This Row],[vy]])/1000000</f>
        <v>12.283211263750278</v>
      </c>
      <c r="H1028">
        <f>IF($B$3,-Tabelle2[[#This Row],[Fd]]*Tabelle2[[#This Row],[vx]]/Tabelle2[[#This Row],[v]],0)</f>
        <v>-2.0774755950581807</v>
      </c>
      <c r="I1028">
        <f t="shared" si="176"/>
        <v>-1.3849837300387871</v>
      </c>
      <c r="J1028">
        <f t="shared" si="177"/>
        <v>-2.7699674600775742E-2</v>
      </c>
      <c r="K1028">
        <f t="shared" si="178"/>
        <v>0.28159766760034194</v>
      </c>
      <c r="L1028">
        <f>-$B$5*$B$12-IF($B$3,Tabelle2[[#This Row],[Fd]]*Tabelle2[[#This Row],[vy]]/Tabelle2[[#This Row],[v]],0)</f>
        <v>-2.6087464877915529</v>
      </c>
      <c r="M1028">
        <f t="shared" si="179"/>
        <v>-1.7391643251943687</v>
      </c>
      <c r="N1028">
        <f t="shared" si="180"/>
        <v>-3.4783286503887373E-2</v>
      </c>
      <c r="O1028">
        <f t="shared" si="181"/>
        <v>-1.6429404839474242</v>
      </c>
      <c r="P1028" s="1">
        <f t="shared" ref="P1028:P1091" si="183">P1027+J1027</f>
        <v>14.093733217317483</v>
      </c>
      <c r="Q1028" s="1">
        <f t="shared" ref="Q1028:Q1091" si="184">Q1027+N1027</f>
        <v>-82.129632554119269</v>
      </c>
      <c r="R1028">
        <f>SQRT(Tabelle2[[#This Row],[vx]]*Tabelle2[[#This Row],[vx]]+Tabelle2[[#This Row],[vy]]*Tabelle2[[#This Row],[vy]])</f>
        <v>83.330125761788977</v>
      </c>
      <c r="S1028">
        <f t="shared" ref="S1028:S1091" si="185">S1027+K1027</f>
        <v>686.80174634399134</v>
      </c>
      <c r="T1028" s="1">
        <f t="shared" ref="T1028:T1091" si="186">T1027+O1027</f>
        <v>-554.30198898441256</v>
      </c>
    </row>
    <row r="1029" spans="6:20" x14ac:dyDescent="0.35">
      <c r="F1029" s="1">
        <f t="shared" si="182"/>
        <v>20.519999999999651</v>
      </c>
      <c r="G1029">
        <f>1/2*$B$8*$B$6*$B$7*(Tabelle2[[#This Row],[vx]]*Tabelle2[[#This Row],[vx]]+Tabelle2[[#This Row],[vy]]*Tabelle2[[#This Row],[vy]])/1000000</f>
        <v>12.291940294293465</v>
      </c>
      <c r="H1029">
        <f>IF($B$3,-Tabelle2[[#This Row],[Fd]]*Tabelle2[[#This Row],[vx]]/Tabelle2[[#This Row],[v]],0)</f>
        <v>-2.0741291409716371</v>
      </c>
      <c r="I1029">
        <f t="shared" si="176"/>
        <v>-1.3827527606477581</v>
      </c>
      <c r="J1029">
        <f t="shared" si="177"/>
        <v>-2.7655055212955162E-2</v>
      </c>
      <c r="K1029">
        <f t="shared" si="178"/>
        <v>0.28104412030220466</v>
      </c>
      <c r="L1029">
        <f>-$B$5*$B$12-IF($B$3,Tabelle2[[#This Row],[Fd]]*Tabelle2[[#This Row],[vy]]/Tabelle2[[#This Row],[v]],0)</f>
        <v>-2.5993165894346877</v>
      </c>
      <c r="M1029">
        <f t="shared" si="179"/>
        <v>-1.7328777262897919</v>
      </c>
      <c r="N1029">
        <f t="shared" si="180"/>
        <v>-3.4657554525795838E-2</v>
      </c>
      <c r="O1029">
        <f t="shared" si="181"/>
        <v>-1.6436348923577211</v>
      </c>
      <c r="P1029" s="1">
        <f t="shared" si="183"/>
        <v>14.066033542716708</v>
      </c>
      <c r="Q1029" s="1">
        <f t="shared" si="184"/>
        <v>-82.16441584062315</v>
      </c>
      <c r="R1029">
        <f>SQRT(Tabelle2[[#This Row],[vx]]*Tabelle2[[#This Row],[vx]]+Tabelle2[[#This Row],[vy]]*Tabelle2[[#This Row],[vy]])</f>
        <v>83.35972966640233</v>
      </c>
      <c r="S1029">
        <f t="shared" si="185"/>
        <v>687.08334401159163</v>
      </c>
      <c r="T1029" s="1">
        <f t="shared" si="186"/>
        <v>-555.94492946835999</v>
      </c>
    </row>
    <row r="1030" spans="6:20" x14ac:dyDescent="0.35">
      <c r="F1030" s="1">
        <f t="shared" si="182"/>
        <v>20.539999999999651</v>
      </c>
      <c r="G1030">
        <f>1/2*$B$8*$B$6*$B$7*(Tabelle2[[#This Row],[vx]]*Tabelle2[[#This Row],[vx]]+Tabelle2[[#This Row],[vy]]*Tabelle2[[#This Row],[vy]])/1000000</f>
        <v>12.300641971948856</v>
      </c>
      <c r="H1030">
        <f>IF($B$3,-Tabelle2[[#This Row],[Fd]]*Tabelle2[[#This Row],[vx]]/Tabelle2[[#This Row],[v]],0)</f>
        <v>-2.0707838041732236</v>
      </c>
      <c r="I1030">
        <f t="shared" si="176"/>
        <v>-1.3805225361154825</v>
      </c>
      <c r="J1030">
        <f t="shared" si="177"/>
        <v>-2.7610450722309651E-2</v>
      </c>
      <c r="K1030">
        <f t="shared" si="178"/>
        <v>0.28049146524285196</v>
      </c>
      <c r="L1030">
        <f>-$B$5*$B$12-IF($B$3,Tabelle2[[#This Row],[Fd]]*Tabelle2[[#This Row],[vy]]/Tabelle2[[#This Row],[v]],0)</f>
        <v>-2.5899166040623154</v>
      </c>
      <c r="M1030">
        <f t="shared" si="179"/>
        <v>-1.7266110693748769</v>
      </c>
      <c r="N1030">
        <f t="shared" si="180"/>
        <v>-3.4532221387497536E-2</v>
      </c>
      <c r="O1030">
        <f t="shared" si="181"/>
        <v>-1.6443267901168539</v>
      </c>
      <c r="P1030" s="1">
        <f t="shared" si="183"/>
        <v>14.038378487503753</v>
      </c>
      <c r="Q1030" s="1">
        <f t="shared" si="184"/>
        <v>-82.199073395148943</v>
      </c>
      <c r="R1030">
        <f>SQRT(Tabelle2[[#This Row],[vx]]*Tabelle2[[#This Row],[vx]]+Tabelle2[[#This Row],[vy]]*Tabelle2[[#This Row],[vy]])</f>
        <v>83.389230345287942</v>
      </c>
      <c r="S1030">
        <f t="shared" si="185"/>
        <v>687.36438813189386</v>
      </c>
      <c r="T1030" s="1">
        <f t="shared" si="186"/>
        <v>-557.58856436071767</v>
      </c>
    </row>
    <row r="1031" spans="6:20" x14ac:dyDescent="0.35">
      <c r="F1031" s="1">
        <f t="shared" si="182"/>
        <v>20.559999999999651</v>
      </c>
      <c r="G1031">
        <f>1/2*$B$8*$B$6*$B$7*(Tabelle2[[#This Row],[vx]]*Tabelle2[[#This Row],[vx]]+Tabelle2[[#This Row],[vy]]*Tabelle2[[#This Row],[vy]])/1000000</f>
        <v>12.309316352666531</v>
      </c>
      <c r="H1031">
        <f>IF($B$3,-Tabelle2[[#This Row],[Fd]]*Tabelle2[[#This Row],[vx]]/Tabelle2[[#This Row],[v]],0)</f>
        <v>-2.0674396120121115</v>
      </c>
      <c r="I1031">
        <f t="shared" si="176"/>
        <v>-1.378293074674741</v>
      </c>
      <c r="J1031">
        <f t="shared" si="177"/>
        <v>-2.7565861493494822E-2</v>
      </c>
      <c r="K1031">
        <f t="shared" si="178"/>
        <v>0.27993970212069391</v>
      </c>
      <c r="L1031">
        <f>-$B$5*$B$12-IF($B$3,Tabelle2[[#This Row],[Fd]]*Tabelle2[[#This Row],[vy]]/Tabelle2[[#This Row],[v]],0)</f>
        <v>-2.5805464679818844</v>
      </c>
      <c r="M1031">
        <f t="shared" si="179"/>
        <v>-1.7203643119879228</v>
      </c>
      <c r="N1031">
        <f t="shared" si="180"/>
        <v>-3.4407286239758458E-2</v>
      </c>
      <c r="O1031">
        <f t="shared" si="181"/>
        <v>-1.6450161851931264</v>
      </c>
      <c r="P1031" s="1">
        <f t="shared" si="183"/>
        <v>14.010768036781442</v>
      </c>
      <c r="Q1031" s="1">
        <f t="shared" si="184"/>
        <v>-82.233605616536437</v>
      </c>
      <c r="R1031">
        <f>SQRT(Tabelle2[[#This Row],[vx]]*Tabelle2[[#This Row],[vx]]+Tabelle2[[#This Row],[vy]]*Tabelle2[[#This Row],[vy]])</f>
        <v>83.418628097545152</v>
      </c>
      <c r="S1031">
        <f t="shared" si="185"/>
        <v>687.64487959713676</v>
      </c>
      <c r="T1031" s="1">
        <f t="shared" si="186"/>
        <v>-559.23289115083458</v>
      </c>
    </row>
    <row r="1032" spans="6:20" x14ac:dyDescent="0.35">
      <c r="F1032" s="1">
        <f t="shared" si="182"/>
        <v>20.57999999999965</v>
      </c>
      <c r="G1032">
        <f>1/2*$B$8*$B$6*$B$7*(Tabelle2[[#This Row],[vx]]*Tabelle2[[#This Row],[vx]]+Tabelle2[[#This Row],[vy]]*Tabelle2[[#This Row],[vy]])/1000000</f>
        <v>12.317963492520278</v>
      </c>
      <c r="H1032">
        <f>IF($B$3,-Tabelle2[[#This Row],[Fd]]*Tabelle2[[#This Row],[vx]]/Tabelle2[[#This Row],[v]],0)</f>
        <v>-2.0640965916638359</v>
      </c>
      <c r="I1032">
        <f t="shared" si="176"/>
        <v>-1.3760643944425572</v>
      </c>
      <c r="J1032">
        <f t="shared" si="177"/>
        <v>-2.7521287888851144E-2</v>
      </c>
      <c r="K1032">
        <f t="shared" si="178"/>
        <v>0.27938883062687042</v>
      </c>
      <c r="L1032">
        <f>-$B$5*$B$12-IF($B$3,Tabelle2[[#This Row],[Fd]]*Tabelle2[[#This Row],[vy]]/Tabelle2[[#This Row],[v]],0)</f>
        <v>-2.5712061173888436</v>
      </c>
      <c r="M1032">
        <f t="shared" si="179"/>
        <v>-1.7141374115925625</v>
      </c>
      <c r="N1032">
        <f t="shared" si="180"/>
        <v>-3.4282748231851248E-2</v>
      </c>
      <c r="O1032">
        <f t="shared" si="181"/>
        <v>-1.6457030855378423</v>
      </c>
      <c r="P1032" s="1">
        <f t="shared" si="183"/>
        <v>13.983202175287948</v>
      </c>
      <c r="Q1032" s="1">
        <f t="shared" si="184"/>
        <v>-82.268012902776192</v>
      </c>
      <c r="R1032">
        <f>SQRT(Tabelle2[[#This Row],[vx]]*Tabelle2[[#This Row],[vx]]+Tabelle2[[#This Row],[vy]]*Tabelle2[[#This Row],[vy]])</f>
        <v>83.447923221889269</v>
      </c>
      <c r="S1032">
        <f t="shared" si="185"/>
        <v>687.92481929925748</v>
      </c>
      <c r="T1032" s="1">
        <f t="shared" si="186"/>
        <v>-560.87790733602765</v>
      </c>
    </row>
    <row r="1033" spans="6:20" x14ac:dyDescent="0.35">
      <c r="F1033" s="1">
        <f t="shared" si="182"/>
        <v>20.59999999999965</v>
      </c>
      <c r="G1033">
        <f>1/2*$B$8*$B$6*$B$7*(Tabelle2[[#This Row],[vx]]*Tabelle2[[#This Row],[vx]]+Tabelle2[[#This Row],[vy]]*Tabelle2[[#This Row],[vy]])/1000000</f>
        <v>12.326583447705158</v>
      </c>
      <c r="H1033">
        <f>IF($B$3,-Tabelle2[[#This Row],[Fd]]*Tabelle2[[#This Row],[vx]]/Tabelle2[[#This Row],[v]],0)</f>
        <v>-2.0607547701308011</v>
      </c>
      <c r="I1033">
        <f t="shared" si="176"/>
        <v>-1.3738365134205341</v>
      </c>
      <c r="J1033">
        <f t="shared" si="177"/>
        <v>-2.7476730268410684E-2</v>
      </c>
      <c r="K1033">
        <f t="shared" si="178"/>
        <v>0.27883885044529783</v>
      </c>
      <c r="L1033">
        <f>-$B$5*$B$12-IF($B$3,Tabelle2[[#This Row],[Fd]]*Tabelle2[[#This Row],[vy]]/Tabelle2[[#This Row],[v]],0)</f>
        <v>-2.5618954883691583</v>
      </c>
      <c r="M1033">
        <f t="shared" si="179"/>
        <v>-1.7079303255794389</v>
      </c>
      <c r="N1033">
        <f t="shared" si="180"/>
        <v>-3.4158606511588779E-2</v>
      </c>
      <c r="O1033">
        <f t="shared" si="181"/>
        <v>-1.6463874990852767</v>
      </c>
      <c r="P1033" s="1">
        <f t="shared" si="183"/>
        <v>13.955680887399097</v>
      </c>
      <c r="Q1033" s="1">
        <f t="shared" si="184"/>
        <v>-82.302295651008038</v>
      </c>
      <c r="R1033">
        <f>SQRT(Tabelle2[[#This Row],[vx]]*Tabelle2[[#This Row],[vx]]+Tabelle2[[#This Row],[vy]]*Tabelle2[[#This Row],[vy]])</f>
        <v>83.477116016647656</v>
      </c>
      <c r="S1033">
        <f t="shared" si="185"/>
        <v>688.20420812988436</v>
      </c>
      <c r="T1033" s="1">
        <f t="shared" si="186"/>
        <v>-562.52361042156554</v>
      </c>
    </row>
    <row r="1034" spans="6:20" x14ac:dyDescent="0.35">
      <c r="F1034" s="1">
        <f t="shared" si="182"/>
        <v>20.619999999999649</v>
      </c>
      <c r="G1034">
        <f>1/2*$B$8*$B$6*$B$7*(Tabelle2[[#This Row],[vx]]*Tabelle2[[#This Row],[vx]]+Tabelle2[[#This Row],[vy]]*Tabelle2[[#This Row],[vy]])/1000000</f>
        <v>12.335176274535057</v>
      </c>
      <c r="H1034">
        <f>IF($B$3,-Tabelle2[[#This Row],[Fd]]*Tabelle2[[#This Row],[vx]]/Tabelle2[[#This Row],[v]],0)</f>
        <v>-2.0574141742427905</v>
      </c>
      <c r="I1034">
        <f t="shared" si="176"/>
        <v>-1.3716094494951936</v>
      </c>
      <c r="J1034">
        <f t="shared" si="177"/>
        <v>-2.7432188989903874E-2</v>
      </c>
      <c r="K1034">
        <f t="shared" si="178"/>
        <v>0.27828976125271465</v>
      </c>
      <c r="L1034">
        <f>-$B$5*$B$12-IF($B$3,Tabelle2[[#This Row],[Fd]]*Tabelle2[[#This Row],[vy]]/Tabelle2[[#This Row],[v]],0)</f>
        <v>-2.5526145169018175</v>
      </c>
      <c r="M1034">
        <f t="shared" si="179"/>
        <v>-1.7017430112678784</v>
      </c>
      <c r="N1034">
        <f t="shared" si="180"/>
        <v>-3.4034860225357566E-2</v>
      </c>
      <c r="O1034">
        <f t="shared" si="181"/>
        <v>-1.6470694337526459</v>
      </c>
      <c r="P1034" s="1">
        <f t="shared" si="183"/>
        <v>13.928204157130686</v>
      </c>
      <c r="Q1034" s="1">
        <f t="shared" si="184"/>
        <v>-82.33645425751962</v>
      </c>
      <c r="R1034">
        <f>SQRT(Tabelle2[[#This Row],[vx]]*Tabelle2[[#This Row],[vx]]+Tabelle2[[#This Row],[vy]]*Tabelle2[[#This Row],[vy]])</f>
        <v>83.5062067797558</v>
      </c>
      <c r="S1034">
        <f t="shared" si="185"/>
        <v>688.48304698032962</v>
      </c>
      <c r="T1034" s="1">
        <f t="shared" si="186"/>
        <v>-564.16999792065076</v>
      </c>
    </row>
    <row r="1035" spans="6:20" x14ac:dyDescent="0.35">
      <c r="F1035" s="1">
        <f t="shared" si="182"/>
        <v>20.639999999999649</v>
      </c>
      <c r="G1035">
        <f>1/2*$B$8*$B$6*$B$7*(Tabelle2[[#This Row],[vx]]*Tabelle2[[#This Row],[vx]]+Tabelle2[[#This Row],[vy]]*Tabelle2[[#This Row],[vy]])/1000000</f>
        <v>12.343742029440293</v>
      </c>
      <c r="H1035">
        <f>IF($B$3,-Tabelle2[[#This Row],[Fd]]*Tabelle2[[#This Row],[vx]]/Tabelle2[[#This Row],[v]],0)</f>
        <v>-2.0540748306574801</v>
      </c>
      <c r="I1035">
        <f t="shared" si="176"/>
        <v>-1.3693832204383201</v>
      </c>
      <c r="J1035">
        <f t="shared" si="177"/>
        <v>-2.7387664408766402E-2</v>
      </c>
      <c r="K1035">
        <f t="shared" si="178"/>
        <v>0.27774156271872796</v>
      </c>
      <c r="L1035">
        <f>-$B$5*$B$12-IF($B$3,Tabelle2[[#This Row],[Fd]]*Tabelle2[[#This Row],[vy]]/Tabelle2[[#This Row],[v]],0)</f>
        <v>-2.5433631388613058</v>
      </c>
      <c r="M1035">
        <f t="shared" si="179"/>
        <v>-1.6955754259075373</v>
      </c>
      <c r="N1035">
        <f t="shared" si="180"/>
        <v>-3.3911508518150744E-2</v>
      </c>
      <c r="O1035">
        <f t="shared" si="181"/>
        <v>-1.6477488974400811</v>
      </c>
      <c r="P1035" s="1">
        <f t="shared" si="183"/>
        <v>13.900771968140782</v>
      </c>
      <c r="Q1035" s="1">
        <f t="shared" si="184"/>
        <v>-82.370489117744981</v>
      </c>
      <c r="R1035">
        <f>SQRT(Tabelle2[[#This Row],[vx]]*Tabelle2[[#This Row],[vx]]+Tabelle2[[#This Row],[vy]]*Tabelle2[[#This Row],[vy]])</f>
        <v>83.535195808753528</v>
      </c>
      <c r="S1035">
        <f t="shared" si="185"/>
        <v>688.76133674158234</v>
      </c>
      <c r="T1035" s="1">
        <f t="shared" si="186"/>
        <v>-565.81706735440343</v>
      </c>
    </row>
    <row r="1036" spans="6:20" x14ac:dyDescent="0.35">
      <c r="F1036" s="1">
        <f t="shared" si="182"/>
        <v>20.659999999999648</v>
      </c>
      <c r="G1036">
        <f>1/2*$B$8*$B$6*$B$7*(Tabelle2[[#This Row],[vx]]*Tabelle2[[#This Row],[vx]]+Tabelle2[[#This Row],[vy]]*Tabelle2[[#This Row],[vy]])/1000000</f>
        <v>12.352280768965196</v>
      </c>
      <c r="H1036">
        <f>IF($B$3,-Tabelle2[[#This Row],[Fd]]*Tabelle2[[#This Row],[vx]]/Tabelle2[[#This Row],[v]],0)</f>
        <v>-2.0507367658609486</v>
      </c>
      <c r="I1036">
        <f t="shared" si="176"/>
        <v>-1.3671578439072991</v>
      </c>
      <c r="J1036">
        <f t="shared" si="177"/>
        <v>-2.7343156878145983E-2</v>
      </c>
      <c r="K1036">
        <f t="shared" si="178"/>
        <v>0.27719425450585883</v>
      </c>
      <c r="L1036">
        <f>-$B$5*$B$12-IF($B$3,Tabelle2[[#This Row],[Fd]]*Tabelle2[[#This Row],[vy]]/Tabelle2[[#This Row],[v]],0)</f>
        <v>-2.5341412900200844</v>
      </c>
      <c r="M1036">
        <f t="shared" si="179"/>
        <v>-1.6894275266800562</v>
      </c>
      <c r="N1036">
        <f t="shared" si="180"/>
        <v>-3.3788550533601129E-2</v>
      </c>
      <c r="O1036">
        <f t="shared" si="181"/>
        <v>-1.6484258980305988</v>
      </c>
      <c r="P1036" s="1">
        <f t="shared" si="183"/>
        <v>13.873384303732015</v>
      </c>
      <c r="Q1036" s="1">
        <f t="shared" si="184"/>
        <v>-82.404400626263126</v>
      </c>
      <c r="R1036">
        <f>SQRT(Tabelle2[[#This Row],[vx]]*Tabelle2[[#This Row],[vx]]+Tabelle2[[#This Row],[vy]]*Tabelle2[[#This Row],[vy]])</f>
        <v>83.564083400781186</v>
      </c>
      <c r="S1036">
        <f t="shared" si="185"/>
        <v>689.03907830430103</v>
      </c>
      <c r="T1036" s="1">
        <f t="shared" si="186"/>
        <v>-567.46481625184356</v>
      </c>
    </row>
    <row r="1037" spans="6:20" x14ac:dyDescent="0.35">
      <c r="F1037" s="1">
        <f t="shared" si="182"/>
        <v>20.679999999999648</v>
      </c>
      <c r="G1037">
        <f>1/2*$B$8*$B$6*$B$7*(Tabelle2[[#This Row],[vx]]*Tabelle2[[#This Row],[vx]]+Tabelle2[[#This Row],[vy]]*Tabelle2[[#This Row],[vy]])/1000000</f>
        <v>12.36079254976576</v>
      </c>
      <c r="H1037">
        <f>IF($B$3,-Tabelle2[[#This Row],[Fd]]*Tabelle2[[#This Row],[vx]]/Tabelle2[[#This Row],[v]],0)</f>
        <v>-2.0474000061682003</v>
      </c>
      <c r="I1037">
        <f t="shared" si="176"/>
        <v>-1.3649333374454669</v>
      </c>
      <c r="J1037">
        <f t="shared" si="177"/>
        <v>-2.7298666748909337E-2</v>
      </c>
      <c r="K1037">
        <f t="shared" si="178"/>
        <v>0.27664783626958828</v>
      </c>
      <c r="L1037">
        <f>-$B$5*$B$12-IF($B$3,Tabelle2[[#This Row],[Fd]]*Tabelle2[[#This Row],[vy]]/Tabelle2[[#This Row],[v]],0)</f>
        <v>-2.5249489060510015</v>
      </c>
      <c r="M1037">
        <f t="shared" si="179"/>
        <v>-1.6832992707006678</v>
      </c>
      <c r="N1037">
        <f t="shared" si="180"/>
        <v>-3.3665985414013354E-2</v>
      </c>
      <c r="O1037">
        <f t="shared" si="181"/>
        <v>-1.6491004433900747</v>
      </c>
      <c r="P1037" s="1">
        <f t="shared" si="183"/>
        <v>13.846041146853869</v>
      </c>
      <c r="Q1037" s="1">
        <f t="shared" si="184"/>
        <v>-82.438189176796726</v>
      </c>
      <c r="R1037">
        <f>SQRT(Tabelle2[[#This Row],[vx]]*Tabelle2[[#This Row],[vx]]+Tabelle2[[#This Row],[vy]]*Tabelle2[[#This Row],[vy]])</f>
        <v>83.592869852575916</v>
      </c>
      <c r="S1037">
        <f t="shared" si="185"/>
        <v>689.31627255880687</v>
      </c>
      <c r="T1037" s="1">
        <f t="shared" si="186"/>
        <v>-569.11324214987417</v>
      </c>
    </row>
    <row r="1038" spans="6:20" x14ac:dyDescent="0.35">
      <c r="F1038" s="1">
        <f t="shared" si="182"/>
        <v>20.699999999999648</v>
      </c>
      <c r="G1038">
        <f>1/2*$B$8*$B$6*$B$7*(Tabelle2[[#This Row],[vx]]*Tabelle2[[#This Row],[vx]]+Tabelle2[[#This Row],[vy]]*Tabelle2[[#This Row],[vy]])/1000000</f>
        <v>12.36927742860726</v>
      </c>
      <c r="H1038">
        <f>IF($B$3,-Tabelle2[[#This Row],[Fd]]*Tabelle2[[#This Row],[vx]]/Tabelle2[[#This Row],[v]],0)</f>
        <v>-2.0440645777236779</v>
      </c>
      <c r="I1038">
        <f t="shared" si="176"/>
        <v>-1.3627097184824519</v>
      </c>
      <c r="J1038">
        <f t="shared" si="177"/>
        <v>-2.7254194369649039E-2</v>
      </c>
      <c r="K1038">
        <f t="shared" si="178"/>
        <v>0.27610230765840271</v>
      </c>
      <c r="L1038">
        <f>-$B$5*$B$12-IF($B$3,Tabelle2[[#This Row],[Fd]]*Tabelle2[[#This Row],[vy]]/Tabelle2[[#This Row],[v]],0)</f>
        <v>-2.5157859225297479</v>
      </c>
      <c r="M1038">
        <f t="shared" si="179"/>
        <v>-1.6771906150198319</v>
      </c>
      <c r="N1038">
        <f t="shared" si="180"/>
        <v>-3.3543812300396637E-2</v>
      </c>
      <c r="O1038">
        <f t="shared" si="181"/>
        <v>-1.6497725413672188</v>
      </c>
      <c r="P1038" s="1">
        <f t="shared" si="183"/>
        <v>13.818742480104961</v>
      </c>
      <c r="Q1038" s="1">
        <f t="shared" si="184"/>
        <v>-82.471855162210744</v>
      </c>
      <c r="R1038">
        <f>SQRT(Tabelle2[[#This Row],[vx]]*Tabelle2[[#This Row],[vx]]+Tabelle2[[#This Row],[vy]]*Tabelle2[[#This Row],[vy]])</f>
        <v>83.621555460467988</v>
      </c>
      <c r="S1038">
        <f t="shared" si="185"/>
        <v>689.59292039507648</v>
      </c>
      <c r="T1038" s="1">
        <f t="shared" si="186"/>
        <v>-570.76234259326429</v>
      </c>
    </row>
    <row r="1039" spans="6:20" x14ac:dyDescent="0.35">
      <c r="F1039" s="1">
        <f t="shared" si="182"/>
        <v>20.719999999999647</v>
      </c>
      <c r="G1039">
        <f>1/2*$B$8*$B$6*$B$7*(Tabelle2[[#This Row],[vx]]*Tabelle2[[#This Row],[vx]]+Tabelle2[[#This Row],[vy]]*Tabelle2[[#This Row],[vy]])/1000000</f>
        <v>12.377735462361912</v>
      </c>
      <c r="H1039">
        <f>IF($B$3,-Tabelle2[[#This Row],[Fd]]*Tabelle2[[#This Row],[vx]]/Tabelle2[[#This Row],[v]],0)</f>
        <v>-2.0407305065017871</v>
      </c>
      <c r="I1039">
        <f t="shared" si="176"/>
        <v>-1.3604870043345247</v>
      </c>
      <c r="J1039">
        <f t="shared" si="177"/>
        <v>-2.7209740086690495E-2</v>
      </c>
      <c r="K1039">
        <f t="shared" si="178"/>
        <v>0.27555766831383938</v>
      </c>
      <c r="L1039">
        <f>-$B$5*$B$12-IF($B$3,Tabelle2[[#This Row],[Fd]]*Tabelle2[[#This Row],[vy]]/Tabelle2[[#This Row],[v]],0)</f>
        <v>-2.5066522749372595</v>
      </c>
      <c r="M1039">
        <f t="shared" si="179"/>
        <v>-1.6711015166248397</v>
      </c>
      <c r="N1039">
        <f t="shared" si="180"/>
        <v>-3.3422030332496792E-2</v>
      </c>
      <c r="O1039">
        <f t="shared" si="181"/>
        <v>-1.6504421997935479</v>
      </c>
      <c r="P1039" s="1">
        <f t="shared" si="183"/>
        <v>13.791488285735312</v>
      </c>
      <c r="Q1039" s="1">
        <f t="shared" si="184"/>
        <v>-82.505398974511138</v>
      </c>
      <c r="R1039">
        <f>SQRT(Tabelle2[[#This Row],[vx]]*Tabelle2[[#This Row],[vx]]+Tabelle2[[#This Row],[vy]]*Tabelle2[[#This Row],[vy]])</f>
        <v>83.650140520377121</v>
      </c>
      <c r="S1039">
        <f t="shared" si="185"/>
        <v>689.86902270273492</v>
      </c>
      <c r="T1039" s="1">
        <f t="shared" si="186"/>
        <v>-572.41211513463156</v>
      </c>
    </row>
    <row r="1040" spans="6:20" x14ac:dyDescent="0.35">
      <c r="F1040" s="1">
        <f t="shared" si="182"/>
        <v>20.739999999999647</v>
      </c>
      <c r="G1040">
        <f>1/2*$B$8*$B$6*$B$7*(Tabelle2[[#This Row],[vx]]*Tabelle2[[#This Row],[vx]]+Tabelle2[[#This Row],[vy]]*Tabelle2[[#This Row],[vy]])/1000000</f>
        <v>12.386166708006556</v>
      </c>
      <c r="H1040">
        <f>IF($B$3,-Tabelle2[[#This Row],[Fd]]*Tabelle2[[#This Row],[vx]]/Tabelle2[[#This Row],[v]],0)</f>
        <v>-2.0373978183074199</v>
      </c>
      <c r="I1040">
        <f t="shared" si="176"/>
        <v>-1.3582652122049466</v>
      </c>
      <c r="J1040">
        <f t="shared" si="177"/>
        <v>-2.7165304244098933E-2</v>
      </c>
      <c r="K1040">
        <f t="shared" si="178"/>
        <v>0.27501391787053148</v>
      </c>
      <c r="L1040">
        <f>-$B$5*$B$12-IF($B$3,Tabelle2[[#This Row],[Fd]]*Tabelle2[[#This Row],[vy]]/Tabelle2[[#This Row],[v]],0)</f>
        <v>-2.4975478986620896</v>
      </c>
      <c r="M1040">
        <f t="shared" si="179"/>
        <v>-1.6650319324413931</v>
      </c>
      <c r="N1040">
        <f t="shared" si="180"/>
        <v>-3.330063864882786E-2</v>
      </c>
      <c r="O1040">
        <f t="shared" si="181"/>
        <v>-1.651109426483361</v>
      </c>
      <c r="P1040" s="1">
        <f t="shared" si="183"/>
        <v>13.764278545648622</v>
      </c>
      <c r="Q1040" s="1">
        <f t="shared" si="184"/>
        <v>-82.538821004843641</v>
      </c>
      <c r="R1040">
        <f>SQRT(Tabelle2[[#This Row],[vx]]*Tabelle2[[#This Row],[vx]]+Tabelle2[[#This Row],[vy]]*Tabelle2[[#This Row],[vy]])</f>
        <v>83.678625327808902</v>
      </c>
      <c r="S1040">
        <f t="shared" si="185"/>
        <v>690.14458037104873</v>
      </c>
      <c r="T1040" s="1">
        <f t="shared" si="186"/>
        <v>-574.06255733442515</v>
      </c>
    </row>
    <row r="1041" spans="6:20" x14ac:dyDescent="0.35">
      <c r="F1041" s="1">
        <f t="shared" si="182"/>
        <v>20.759999999999646</v>
      </c>
      <c r="G1041">
        <f>1/2*$B$8*$B$6*$B$7*(Tabelle2[[#This Row],[vx]]*Tabelle2[[#This Row],[vx]]+Tabelle2[[#This Row],[vy]]*Tabelle2[[#This Row],[vy]])/1000000</f>
        <v>12.394571222620332</v>
      </c>
      <c r="H1041">
        <f>IF($B$3,-Tabelle2[[#This Row],[Fd]]*Tabelle2[[#This Row],[vx]]/Tabelle2[[#This Row],[v]],0)</f>
        <v>-2.0340665387764774</v>
      </c>
      <c r="I1041">
        <f t="shared" si="176"/>
        <v>-1.3560443591843183</v>
      </c>
      <c r="J1041">
        <f t="shared" si="177"/>
        <v>-2.7120887183686368E-2</v>
      </c>
      <c r="K1041">
        <f t="shared" si="178"/>
        <v>0.27447105595625365</v>
      </c>
      <c r="L1041">
        <f>-$B$5*$B$12-IF($B$3,Tabelle2[[#This Row],[Fd]]*Tabelle2[[#This Row],[vy]]/Tabelle2[[#This Row],[v]],0)</f>
        <v>-2.4884727290028117</v>
      </c>
      <c r="M1041">
        <f t="shared" si="179"/>
        <v>-1.6589818193352077</v>
      </c>
      <c r="N1041">
        <f t="shared" si="180"/>
        <v>-3.3179636386704153E-2</v>
      </c>
      <c r="O1041">
        <f t="shared" si="181"/>
        <v>-1.6517742292337163</v>
      </c>
      <c r="P1041" s="1">
        <f t="shared" si="183"/>
        <v>13.737113241404524</v>
      </c>
      <c r="Q1041" s="1">
        <f t="shared" si="184"/>
        <v>-82.572121643492466</v>
      </c>
      <c r="R1041">
        <f>SQRT(Tabelle2[[#This Row],[vx]]*Tabelle2[[#This Row],[vx]]+Tabelle2[[#This Row],[vy]]*Tabelle2[[#This Row],[vy]])</f>
        <v>83.707010177851231</v>
      </c>
      <c r="S1041">
        <f t="shared" si="185"/>
        <v>690.41959428891926</v>
      </c>
      <c r="T1041" s="1">
        <f t="shared" si="186"/>
        <v>-575.7136667609085</v>
      </c>
    </row>
    <row r="1042" spans="6:20" x14ac:dyDescent="0.35">
      <c r="F1042" s="1">
        <f t="shared" si="182"/>
        <v>20.779999999999646</v>
      </c>
      <c r="G1042">
        <f>1/2*$B$8*$B$6*$B$7*(Tabelle2[[#This Row],[vx]]*Tabelle2[[#This Row],[vx]]+Tabelle2[[#This Row],[vy]]*Tabelle2[[#This Row],[vy]])/1000000</f>
        <v>12.402949063382403</v>
      </c>
      <c r="H1042">
        <f>IF($B$3,-Tabelle2[[#This Row],[Fd]]*Tabelle2[[#This Row],[vx]]/Tabelle2[[#This Row],[v]],0)</f>
        <v>-2.0307366933764004</v>
      </c>
      <c r="I1042">
        <f t="shared" si="176"/>
        <v>-1.3538244622509337</v>
      </c>
      <c r="J1042">
        <f t="shared" si="177"/>
        <v>-2.7076489245018674E-2</v>
      </c>
      <c r="K1042">
        <f t="shared" si="178"/>
        <v>0.27392908219196654</v>
      </c>
      <c r="L1042">
        <f>-$B$5*$B$12-IF($B$3,Tabelle2[[#This Row],[Fd]]*Tabelle2[[#This Row],[vy]]/Tabelle2[[#This Row],[v]],0)</f>
        <v>-2.4794267011703486</v>
      </c>
      <c r="M1042">
        <f t="shared" si="179"/>
        <v>-1.6529511341135656</v>
      </c>
      <c r="N1042">
        <f t="shared" si="180"/>
        <v>-3.3059022682271316E-2</v>
      </c>
      <c r="O1042">
        <f t="shared" si="181"/>
        <v>-1.6524366158244062</v>
      </c>
      <c r="P1042" s="1">
        <f t="shared" si="183"/>
        <v>13.709992354220837</v>
      </c>
      <c r="Q1042" s="1">
        <f t="shared" si="184"/>
        <v>-82.605301279879171</v>
      </c>
      <c r="R1042">
        <f>SQRT(Tabelle2[[#This Row],[vx]]*Tabelle2[[#This Row],[vx]]+Tabelle2[[#This Row],[vy]]*Tabelle2[[#This Row],[vy]])</f>
        <v>83.735295365170842</v>
      </c>
      <c r="S1042">
        <f t="shared" si="185"/>
        <v>690.69406534487553</v>
      </c>
      <c r="T1042" s="1">
        <f t="shared" si="186"/>
        <v>-577.36544099014225</v>
      </c>
    </row>
    <row r="1043" spans="6:20" x14ac:dyDescent="0.35">
      <c r="F1043" s="1">
        <f t="shared" si="182"/>
        <v>20.799999999999645</v>
      </c>
      <c r="G1043">
        <f>1/2*$B$8*$B$6*$B$7*(Tabelle2[[#This Row],[vx]]*Tabelle2[[#This Row],[vx]]+Tabelle2[[#This Row],[vy]]*Tabelle2[[#This Row],[vy]])/1000000</f>
        <v>12.411300287569658</v>
      </c>
      <c r="H1043">
        <f>IF($B$3,-Tabelle2[[#This Row],[Fd]]*Tabelle2[[#This Row],[vx]]/Tabelle2[[#This Row],[v]],0)</f>
        <v>-2.0274083074066938</v>
      </c>
      <c r="I1043">
        <f t="shared" si="176"/>
        <v>-1.3516055382711292</v>
      </c>
      <c r="J1043">
        <f t="shared" si="177"/>
        <v>-2.7032110765422585E-2</v>
      </c>
      <c r="K1043">
        <f t="shared" si="178"/>
        <v>0.27338799619186216</v>
      </c>
      <c r="L1043">
        <f>-$B$5*$B$12-IF($B$3,Tabelle2[[#This Row],[Fd]]*Tabelle2[[#This Row],[vy]]/Tabelle2[[#This Row],[v]],0)</f>
        <v>-2.4704097502903366</v>
      </c>
      <c r="M1043">
        <f t="shared" si="179"/>
        <v>-1.646939833526891</v>
      </c>
      <c r="N1043">
        <f t="shared" si="180"/>
        <v>-3.2938796670537819E-2</v>
      </c>
      <c r="O1043">
        <f t="shared" si="181"/>
        <v>-1.6530965940179343</v>
      </c>
      <c r="P1043" s="1">
        <f t="shared" si="183"/>
        <v>13.682915864975818</v>
      </c>
      <c r="Q1043" s="1">
        <f t="shared" si="184"/>
        <v>-82.638360302561438</v>
      </c>
      <c r="R1043">
        <f>SQRT(Tabelle2[[#This Row],[vx]]*Tabelle2[[#This Row],[vx]]+Tabelle2[[#This Row],[vy]]*Tabelle2[[#This Row],[vy]])</f>
        <v>83.763481184009834</v>
      </c>
      <c r="S1043">
        <f t="shared" si="185"/>
        <v>690.96799442706754</v>
      </c>
      <c r="T1043" s="1">
        <f t="shared" si="186"/>
        <v>-579.01787760596665</v>
      </c>
    </row>
    <row r="1044" spans="6:20" x14ac:dyDescent="0.35">
      <c r="F1044" s="1">
        <f t="shared" si="182"/>
        <v>20.819999999999645</v>
      </c>
      <c r="G1044">
        <f>1/2*$B$8*$B$6*$B$7*(Tabelle2[[#This Row],[vx]]*Tabelle2[[#This Row],[vx]]+Tabelle2[[#This Row],[vy]]*Tabelle2[[#This Row],[vy]])/1000000</f>
        <v>12.41962495255448</v>
      </c>
      <c r="H1044">
        <f>IF($B$3,-Tabelle2[[#This Row],[Fd]]*Tabelle2[[#This Row],[vx]]/Tabelle2[[#This Row],[v]],0)</f>
        <v>-2.024081405999465</v>
      </c>
      <c r="I1044">
        <f t="shared" si="176"/>
        <v>-1.3493876039996433</v>
      </c>
      <c r="J1044">
        <f t="shared" si="177"/>
        <v>-2.6987752079992867E-2</v>
      </c>
      <c r="K1044">
        <f t="shared" si="178"/>
        <v>0.27284779756340799</v>
      </c>
      <c r="L1044">
        <f>-$B$5*$B$12-IF($B$3,Tabelle2[[#This Row],[Fd]]*Tabelle2[[#This Row],[vy]]/Tabelle2[[#This Row],[v]],0)</f>
        <v>-2.4614218114054083</v>
      </c>
      <c r="M1044">
        <f t="shared" si="179"/>
        <v>-1.6409478742702721</v>
      </c>
      <c r="N1044">
        <f t="shared" si="180"/>
        <v>-3.2818957485405441E-2</v>
      </c>
      <c r="O1044">
        <f t="shared" si="181"/>
        <v>-1.6537541715594934</v>
      </c>
      <c r="P1044" s="1">
        <f t="shared" si="183"/>
        <v>13.655883754210397</v>
      </c>
      <c r="Q1044" s="1">
        <f t="shared" si="184"/>
        <v>-82.671299099231973</v>
      </c>
      <c r="R1044">
        <f>SQRT(Tabelle2[[#This Row],[vx]]*Tabelle2[[#This Row],[vx]]+Tabelle2[[#This Row],[vy]]*Tabelle2[[#This Row],[vy]])</f>
        <v>83.791567928182246</v>
      </c>
      <c r="S1044">
        <f t="shared" si="185"/>
        <v>691.24138242325944</v>
      </c>
      <c r="T1044" s="1">
        <f t="shared" si="186"/>
        <v>-580.67097419998458</v>
      </c>
    </row>
    <row r="1045" spans="6:20" x14ac:dyDescent="0.35">
      <c r="F1045" s="1">
        <f t="shared" si="182"/>
        <v>20.839999999999645</v>
      </c>
      <c r="G1045">
        <f>1/2*$B$8*$B$6*$B$7*(Tabelle2[[#This Row],[vx]]*Tabelle2[[#This Row],[vx]]+Tabelle2[[#This Row],[vy]]*Tabelle2[[#This Row],[vy]])/1000000</f>
        <v>12.427923115802482</v>
      </c>
      <c r="H1045">
        <f>IF($B$3,-Tabelle2[[#This Row],[Fd]]*Tabelle2[[#This Row],[vx]]/Tabelle2[[#This Row],[v]],0)</f>
        <v>-2.0207560141199501</v>
      </c>
      <c r="I1045">
        <f t="shared" si="176"/>
        <v>-1.3471706760799667</v>
      </c>
      <c r="J1045">
        <f t="shared" si="177"/>
        <v>-2.6943413521599333E-2</v>
      </c>
      <c r="K1045">
        <f t="shared" si="178"/>
        <v>0.27230848590739209</v>
      </c>
      <c r="L1045">
        <f>-$B$5*$B$12-IF($B$3,Tabelle2[[#This Row],[Fd]]*Tabelle2[[#This Row],[vy]]/Tabelle2[[#This Row],[v]],0)</f>
        <v>-2.4524628194775389</v>
      </c>
      <c r="M1045">
        <f t="shared" si="179"/>
        <v>-1.6349752129850259</v>
      </c>
      <c r="N1045">
        <f t="shared" si="180"/>
        <v>-3.2699504259700515E-2</v>
      </c>
      <c r="O1045">
        <f t="shared" si="181"/>
        <v>-1.6544093561769446</v>
      </c>
      <c r="P1045" s="1">
        <f t="shared" si="183"/>
        <v>13.628896002130404</v>
      </c>
      <c r="Q1045" s="1">
        <f t="shared" si="184"/>
        <v>-82.704118056717377</v>
      </c>
      <c r="R1045">
        <f>SQRT(Tabelle2[[#This Row],[vx]]*Tabelle2[[#This Row],[vx]]+Tabelle2[[#This Row],[vy]]*Tabelle2[[#This Row],[vy]])</f>
        <v>83.819555891070735</v>
      </c>
      <c r="S1045">
        <f t="shared" si="185"/>
        <v>691.51423022082281</v>
      </c>
      <c r="T1045" s="1">
        <f t="shared" si="186"/>
        <v>-582.3247283715441</v>
      </c>
    </row>
    <row r="1046" spans="6:20" x14ac:dyDescent="0.35">
      <c r="F1046" s="1">
        <f t="shared" si="182"/>
        <v>20.859999999999644</v>
      </c>
      <c r="G1046">
        <f>1/2*$B$8*$B$6*$B$7*(Tabelle2[[#This Row],[vx]]*Tabelle2[[#This Row],[vx]]+Tabelle2[[#This Row],[vy]]*Tabelle2[[#This Row],[vy]])/1000000</f>
        <v>12.43619483487028</v>
      </c>
      <c r="H1046">
        <f>IF($B$3,-Tabelle2[[#This Row],[Fd]]*Tabelle2[[#This Row],[vx]]/Tabelle2[[#This Row],[v]],0)</f>
        <v>-2.0174321565670521</v>
      </c>
      <c r="I1046">
        <f t="shared" si="176"/>
        <v>-1.3449547710447014</v>
      </c>
      <c r="J1046">
        <f t="shared" si="177"/>
        <v>-2.6899095420894029E-2</v>
      </c>
      <c r="K1046">
        <f t="shared" si="178"/>
        <v>0.27177006081796717</v>
      </c>
      <c r="L1046">
        <f>-$B$5*$B$12-IF($B$3,Tabelle2[[#This Row],[Fd]]*Tabelle2[[#This Row],[vy]]/Tabelle2[[#This Row],[v]],0)</f>
        <v>-2.443532709390313</v>
      </c>
      <c r="M1046">
        <f t="shared" si="179"/>
        <v>-1.6290218062602086</v>
      </c>
      <c r="N1046">
        <f t="shared" si="180"/>
        <v>-3.2580436125204171E-2</v>
      </c>
      <c r="O1046">
        <f t="shared" si="181"/>
        <v>-1.6550621555807936</v>
      </c>
      <c r="P1046" s="1">
        <f t="shared" si="183"/>
        <v>13.601952588608805</v>
      </c>
      <c r="Q1046" s="1">
        <f t="shared" si="184"/>
        <v>-82.736817560977073</v>
      </c>
      <c r="R1046">
        <f>SQRT(Tabelle2[[#This Row],[vx]]*Tabelle2[[#This Row],[vx]]+Tabelle2[[#This Row],[vy]]*Tabelle2[[#This Row],[vy]])</f>
        <v>83.847445365623187</v>
      </c>
      <c r="S1046">
        <f t="shared" si="185"/>
        <v>691.7865387067302</v>
      </c>
      <c r="T1046" s="1">
        <f t="shared" si="186"/>
        <v>-583.97913772772108</v>
      </c>
    </row>
    <row r="1047" spans="6:20" x14ac:dyDescent="0.35">
      <c r="F1047" s="1">
        <f t="shared" si="182"/>
        <v>20.879999999999644</v>
      </c>
      <c r="G1047">
        <f>1/2*$B$8*$B$6*$B$7*(Tabelle2[[#This Row],[vx]]*Tabelle2[[#This Row],[vx]]+Tabelle2[[#This Row],[vy]]*Tabelle2[[#This Row],[vy]])/1000000</f>
        <v>12.444440167403304</v>
      </c>
      <c r="H1047">
        <f>IF($B$3,-Tabelle2[[#This Row],[Fd]]*Tabelle2[[#This Row],[vx]]/Tabelle2[[#This Row],[v]],0)</f>
        <v>-2.0141098579738776</v>
      </c>
      <c r="I1047">
        <f t="shared" si="176"/>
        <v>-1.3427399053159184</v>
      </c>
      <c r="J1047">
        <f t="shared" si="177"/>
        <v>-2.6854798106318366E-2</v>
      </c>
      <c r="K1047">
        <f t="shared" si="178"/>
        <v>0.27123252188269503</v>
      </c>
      <c r="L1047">
        <f>-$B$5*$B$12-IF($B$3,Tabelle2[[#This Row],[Fd]]*Tabelle2[[#This Row],[vy]]/Tabelle2[[#This Row],[v]],0)</f>
        <v>-2.4346314159511806</v>
      </c>
      <c r="M1047">
        <f t="shared" si="179"/>
        <v>-1.6230876106341203</v>
      </c>
      <c r="N1047">
        <f t="shared" si="180"/>
        <v>-3.246175221268241E-2</v>
      </c>
      <c r="O1047">
        <f t="shared" si="181"/>
        <v>-1.6557125774641721</v>
      </c>
      <c r="P1047" s="1">
        <f t="shared" si="183"/>
        <v>13.575053493187911</v>
      </c>
      <c r="Q1047" s="1">
        <f t="shared" si="184"/>
        <v>-82.769397997102274</v>
      </c>
      <c r="R1047">
        <f>SQRT(Tabelle2[[#This Row],[vx]]*Tabelle2[[#This Row],[vx]]+Tabelle2[[#This Row],[vy]]*Tabelle2[[#This Row],[vy]])</f>
        <v>83.875236644349513</v>
      </c>
      <c r="S1047">
        <f t="shared" si="185"/>
        <v>692.05830876754817</v>
      </c>
      <c r="T1047" s="1">
        <f t="shared" si="186"/>
        <v>-585.6341998833019</v>
      </c>
    </row>
    <row r="1048" spans="6:20" x14ac:dyDescent="0.35">
      <c r="F1048" s="1">
        <f t="shared" si="182"/>
        <v>20.899999999999643</v>
      </c>
      <c r="G1048">
        <f>1/2*$B$8*$B$6*$B$7*(Tabelle2[[#This Row],[vx]]*Tabelle2[[#This Row],[vx]]+Tabelle2[[#This Row],[vy]]*Tabelle2[[#This Row],[vy]])/1000000</f>
        <v>12.452659171133583</v>
      </c>
      <c r="H1048">
        <f>IF($B$3,-Tabelle2[[#This Row],[Fd]]*Tabelle2[[#This Row],[vx]]/Tabelle2[[#This Row],[v]],0)</f>
        <v>-2.0107891428082745</v>
      </c>
      <c r="I1048">
        <f t="shared" si="176"/>
        <v>-1.3405260952055162</v>
      </c>
      <c r="J1048">
        <f t="shared" si="177"/>
        <v>-2.6810521904110325E-2</v>
      </c>
      <c r="K1048">
        <f t="shared" si="178"/>
        <v>0.27069586868259071</v>
      </c>
      <c r="L1048">
        <f>-$B$5*$B$12-IF($B$3,Tabelle2[[#This Row],[Fd]]*Tabelle2[[#This Row],[vy]]/Tabelle2[[#This Row],[v]],0)</f>
        <v>-2.4257588738937308</v>
      </c>
      <c r="M1048">
        <f t="shared" si="179"/>
        <v>-1.6171725825958205</v>
      </c>
      <c r="N1048">
        <f t="shared" si="180"/>
        <v>-3.2343451651916412E-2</v>
      </c>
      <c r="O1048">
        <f t="shared" si="181"/>
        <v>-1.6563606295028184</v>
      </c>
      <c r="P1048" s="1">
        <f t="shared" si="183"/>
        <v>13.548198695081592</v>
      </c>
      <c r="Q1048" s="1">
        <f t="shared" si="184"/>
        <v>-82.801859749314957</v>
      </c>
      <c r="R1048">
        <f>SQRT(Tabelle2[[#This Row],[vx]]*Tabelle2[[#This Row],[vx]]+Tabelle2[[#This Row],[vy]]*Tabelle2[[#This Row],[vy]])</f>
        <v>83.902930019318376</v>
      </c>
      <c r="S1048">
        <f t="shared" si="185"/>
        <v>692.32954128943084</v>
      </c>
      <c r="T1048" s="1">
        <f t="shared" si="186"/>
        <v>-587.28991246076612</v>
      </c>
    </row>
    <row r="1049" spans="6:20" x14ac:dyDescent="0.35">
      <c r="F1049" s="1">
        <f t="shared" si="182"/>
        <v>20.919999999999643</v>
      </c>
      <c r="G1049">
        <f>1/2*$B$8*$B$6*$B$7*(Tabelle2[[#This Row],[vx]]*Tabelle2[[#This Row],[vx]]+Tabelle2[[#This Row],[vy]]*Tabelle2[[#This Row],[vy]])/1000000</f>
        <v>12.460851903877582</v>
      </c>
      <c r="H1049">
        <f>IF($B$3,-Tabelle2[[#This Row],[Fd]]*Tabelle2[[#This Row],[vx]]/Tabelle2[[#This Row],[v]],0)</f>
        <v>-2.0074700353733732</v>
      </c>
      <c r="I1049">
        <f t="shared" si="176"/>
        <v>-1.3383133569155821</v>
      </c>
      <c r="J1049">
        <f t="shared" si="177"/>
        <v>-2.6766267138311643E-2</v>
      </c>
      <c r="K1049">
        <f t="shared" si="178"/>
        <v>0.27016010079216651</v>
      </c>
      <c r="L1049">
        <f>-$B$5*$B$12-IF($B$3,Tabelle2[[#This Row],[Fd]]*Tabelle2[[#This Row],[vy]]/Tabelle2[[#This Row],[v]],0)</f>
        <v>-2.4169150178799121</v>
      </c>
      <c r="M1049">
        <f t="shared" si="179"/>
        <v>-1.6112766785866082</v>
      </c>
      <c r="N1049">
        <f t="shared" si="180"/>
        <v>-3.2225533571732162E-2</v>
      </c>
      <c r="O1049">
        <f t="shared" si="181"/>
        <v>-1.6570063193550548</v>
      </c>
      <c r="P1049" s="1">
        <f t="shared" si="183"/>
        <v>13.521388173177481</v>
      </c>
      <c r="Q1049" s="1">
        <f t="shared" si="184"/>
        <v>-82.834203200966869</v>
      </c>
      <c r="R1049">
        <f>SQRT(Tabelle2[[#This Row],[vx]]*Tabelle2[[#This Row],[vx]]+Tabelle2[[#This Row],[vy]]*Tabelle2[[#This Row],[vy]])</f>
        <v>83.930525782153978</v>
      </c>
      <c r="S1049">
        <f t="shared" si="185"/>
        <v>692.60023715811337</v>
      </c>
      <c r="T1049" s="1">
        <f t="shared" si="186"/>
        <v>-588.94627309026896</v>
      </c>
    </row>
    <row r="1050" spans="6:20" x14ac:dyDescent="0.35">
      <c r="F1050" s="1">
        <f t="shared" si="182"/>
        <v>20.939999999999642</v>
      </c>
      <c r="G1050">
        <f>1/2*$B$8*$B$6*$B$7*(Tabelle2[[#This Row],[vx]]*Tabelle2[[#This Row],[vx]]+Tabelle2[[#This Row],[vy]]*Tabelle2[[#This Row],[vy]])/1000000</f>
        <v>12.469018423534038</v>
      </c>
      <c r="H1050">
        <f>IF($B$3,-Tabelle2[[#This Row],[Fd]]*Tabelle2[[#This Row],[vx]]/Tabelle2[[#This Row],[v]],0)</f>
        <v>-2.0041525598081256</v>
      </c>
      <c r="I1050">
        <f t="shared" si="176"/>
        <v>-1.3361017065387504</v>
      </c>
      <c r="J1050">
        <f t="shared" si="177"/>
        <v>-2.6722034130775008E-2</v>
      </c>
      <c r="K1050">
        <f t="shared" si="178"/>
        <v>0.26962521777947568</v>
      </c>
      <c r="L1050">
        <f>-$B$5*$B$12-IF($B$3,Tabelle2[[#This Row],[Fd]]*Tabelle2[[#This Row],[vy]]/Tabelle2[[#This Row],[v]],0)</f>
        <v>-2.4080997825022639</v>
      </c>
      <c r="M1050">
        <f t="shared" si="179"/>
        <v>-1.6053998550015092</v>
      </c>
      <c r="N1050">
        <f t="shared" si="180"/>
        <v>-3.2107997100030185E-2</v>
      </c>
      <c r="O1050">
        <f t="shared" si="181"/>
        <v>-1.6576496546617725</v>
      </c>
      <c r="P1050" s="1">
        <f t="shared" si="183"/>
        <v>13.494621906039169</v>
      </c>
      <c r="Q1050" s="1">
        <f t="shared" si="184"/>
        <v>-82.866428734538601</v>
      </c>
      <c r="R1050">
        <f>SQRT(Tabelle2[[#This Row],[vx]]*Tabelle2[[#This Row],[vx]]+Tabelle2[[#This Row],[vy]]*Tabelle2[[#This Row],[vy]])</f>
        <v>83.958024224033025</v>
      </c>
      <c r="S1050">
        <f t="shared" si="185"/>
        <v>692.87039725890554</v>
      </c>
      <c r="T1050" s="1">
        <f t="shared" si="186"/>
        <v>-590.60327940962407</v>
      </c>
    </row>
    <row r="1051" spans="6:20" x14ac:dyDescent="0.35">
      <c r="F1051" s="1">
        <f t="shared" si="182"/>
        <v>20.959999999999642</v>
      </c>
      <c r="G1051">
        <f>1/2*$B$8*$B$6*$B$7*(Tabelle2[[#This Row],[vx]]*Tabelle2[[#This Row],[vx]]+Tabelle2[[#This Row],[vy]]*Tabelle2[[#This Row],[vy]])/1000000</f>
        <v>12.477158788081814</v>
      </c>
      <c r="H1051">
        <f>IF($B$3,-Tabelle2[[#This Row],[Fd]]*Tabelle2[[#This Row],[vx]]/Tabelle2[[#This Row],[v]],0)</f>
        <v>-2.0008367400878524</v>
      </c>
      <c r="I1051">
        <f t="shared" si="176"/>
        <v>-1.3338911600585683</v>
      </c>
      <c r="J1051">
        <f t="shared" si="177"/>
        <v>-2.6677823201171368E-2</v>
      </c>
      <c r="K1051">
        <f t="shared" si="178"/>
        <v>0.26909121920615614</v>
      </c>
      <c r="L1051">
        <f>-$B$5*$B$12-IF($B$3,Tabelle2[[#This Row],[Fd]]*Tabelle2[[#This Row],[vy]]/Tabelle2[[#This Row],[v]],0)</f>
        <v>-2.3993131022860972</v>
      </c>
      <c r="M1051">
        <f t="shared" si="179"/>
        <v>-1.5995420681907315</v>
      </c>
      <c r="N1051">
        <f t="shared" si="180"/>
        <v>-3.199084136381463E-2</v>
      </c>
      <c r="O1051">
        <f t="shared" si="181"/>
        <v>-1.6582906430464106</v>
      </c>
      <c r="P1051" s="1">
        <f t="shared" si="183"/>
        <v>13.467899871908394</v>
      </c>
      <c r="Q1051" s="1">
        <f t="shared" si="184"/>
        <v>-82.898536731638629</v>
      </c>
      <c r="R1051">
        <f>SQRT(Tabelle2[[#This Row],[vx]]*Tabelle2[[#This Row],[vx]]+Tabelle2[[#This Row],[vy]]*Tabelle2[[#This Row],[vy]])</f>
        <v>83.985425635681509</v>
      </c>
      <c r="S1051">
        <f t="shared" si="185"/>
        <v>693.14002247668498</v>
      </c>
      <c r="T1051" s="1">
        <f t="shared" si="186"/>
        <v>-592.26092906428585</v>
      </c>
    </row>
    <row r="1052" spans="6:20" x14ac:dyDescent="0.35">
      <c r="F1052" s="1">
        <f t="shared" si="182"/>
        <v>20.979999999999642</v>
      </c>
      <c r="G1052">
        <f>1/2*$B$8*$B$6*$B$7*(Tabelle2[[#This Row],[vx]]*Tabelle2[[#This Row],[vx]]+Tabelle2[[#This Row],[vy]]*Tabelle2[[#This Row],[vy]])/1000000</f>
        <v>12.485273055577776</v>
      </c>
      <c r="H1052">
        <f>IF($B$3,-Tabelle2[[#This Row],[Fd]]*Tabelle2[[#This Row],[vx]]/Tabelle2[[#This Row],[v]],0)</f>
        <v>-1.9975226000247854</v>
      </c>
      <c r="I1052">
        <f t="shared" si="176"/>
        <v>-1.331681733349857</v>
      </c>
      <c r="J1052">
        <f t="shared" si="177"/>
        <v>-2.6633634666997141E-2</v>
      </c>
      <c r="K1052">
        <f t="shared" si="178"/>
        <v>0.26855810462747448</v>
      </c>
      <c r="L1052">
        <f>-$B$5*$B$12-IF($B$3,Tabelle2[[#This Row],[Fd]]*Tabelle2[[#This Row],[vy]]/Tabelle2[[#This Row],[v]],0)</f>
        <v>-2.3905549116916962</v>
      </c>
      <c r="M1052">
        <f t="shared" si="179"/>
        <v>-1.5937032744611308</v>
      </c>
      <c r="N1052">
        <f t="shared" si="180"/>
        <v>-3.1874065489222614E-2</v>
      </c>
      <c r="O1052">
        <f t="shared" si="181"/>
        <v>-1.6589292921149414</v>
      </c>
      <c r="P1052" s="1">
        <f t="shared" si="183"/>
        <v>13.441222048707223</v>
      </c>
      <c r="Q1052" s="1">
        <f t="shared" si="184"/>
        <v>-82.93052757300245</v>
      </c>
      <c r="R1052">
        <f>SQRT(Tabelle2[[#This Row],[vx]]*Tabelle2[[#This Row],[vx]]+Tabelle2[[#This Row],[vy]]*Tabelle2[[#This Row],[vy]])</f>
        <v>84.012730307371712</v>
      </c>
      <c r="S1052">
        <f t="shared" si="185"/>
        <v>693.40911369589116</v>
      </c>
      <c r="T1052" s="1">
        <f t="shared" si="186"/>
        <v>-593.91921970733222</v>
      </c>
    </row>
    <row r="1053" spans="6:20" x14ac:dyDescent="0.35">
      <c r="F1053" s="1">
        <f t="shared" si="182"/>
        <v>20.999999999999641</v>
      </c>
      <c r="G1053">
        <f>1/2*$B$8*$B$6*$B$7*(Tabelle2[[#This Row],[vx]]*Tabelle2[[#This Row],[vx]]+Tabelle2[[#This Row],[vy]]*Tabelle2[[#This Row],[vy]])/1000000</f>
        <v>12.493361284154675</v>
      </c>
      <c r="H1053">
        <f>IF($B$3,-Tabelle2[[#This Row],[Fd]]*Tabelle2[[#This Row],[vx]]/Tabelle2[[#This Row],[v]],0)</f>
        <v>-1.9942101632686127</v>
      </c>
      <c r="I1053">
        <f t="shared" si="176"/>
        <v>-1.329473442179075</v>
      </c>
      <c r="J1053">
        <f t="shared" si="177"/>
        <v>-2.6589468843581501E-2</v>
      </c>
      <c r="K1053">
        <f t="shared" si="178"/>
        <v>0.26802587359236874</v>
      </c>
      <c r="L1053">
        <f>-$B$5*$B$12-IF($B$3,Tabelle2[[#This Row],[Fd]]*Tabelle2[[#This Row],[vy]]/Tabelle2[[#This Row],[v]],0)</f>
        <v>-2.3818251451164798</v>
      </c>
      <c r="M1053">
        <f t="shared" si="179"/>
        <v>-1.5878834300776532</v>
      </c>
      <c r="N1053">
        <f t="shared" si="180"/>
        <v>-3.1757668601553067E-2</v>
      </c>
      <c r="O1053">
        <f t="shared" si="181"/>
        <v>-1.6595656094558491</v>
      </c>
      <c r="P1053" s="1">
        <f t="shared" si="183"/>
        <v>13.414588414040226</v>
      </c>
      <c r="Q1053" s="1">
        <f t="shared" si="184"/>
        <v>-82.96240163849167</v>
      </c>
      <c r="R1053">
        <f>SQRT(Tabelle2[[#This Row],[vx]]*Tabelle2[[#This Row],[vx]]+Tabelle2[[#This Row],[vy]]*Tabelle2[[#This Row],[vy]])</f>
        <v>84.039938528919137</v>
      </c>
      <c r="S1053">
        <f t="shared" si="185"/>
        <v>693.67767180051862</v>
      </c>
      <c r="T1053" s="1">
        <f t="shared" si="186"/>
        <v>-595.57814899944719</v>
      </c>
    </row>
    <row r="1054" spans="6:20" x14ac:dyDescent="0.35">
      <c r="F1054" s="1">
        <f t="shared" si="182"/>
        <v>21.019999999999641</v>
      </c>
      <c r="G1054">
        <f>1/2*$B$8*$B$6*$B$7*(Tabelle2[[#This Row],[vx]]*Tabelle2[[#This Row],[vx]]+Tabelle2[[#This Row],[vy]]*Tabelle2[[#This Row],[vy]])/1000000</f>
        <v>12.50142353201907</v>
      </c>
      <c r="H1054">
        <f>IF($B$3,-Tabelle2[[#This Row],[Fd]]*Tabelle2[[#This Row],[vx]]/Tabelle2[[#This Row],[v]],0)</f>
        <v>-1.9908994533070321</v>
      </c>
      <c r="I1054">
        <f t="shared" si="176"/>
        <v>-1.327266302204688</v>
      </c>
      <c r="J1054">
        <f t="shared" si="177"/>
        <v>-2.6545326044093761E-2</v>
      </c>
      <c r="K1054">
        <f t="shared" si="178"/>
        <v>0.26749452564349196</v>
      </c>
      <c r="L1054">
        <f>-$B$5*$B$12-IF($B$3,Tabelle2[[#This Row],[Fd]]*Tabelle2[[#This Row],[vy]]/Tabelle2[[#This Row],[v]],0)</f>
        <v>-2.373123736897135</v>
      </c>
      <c r="M1054">
        <f t="shared" si="179"/>
        <v>-1.5820824912647566</v>
      </c>
      <c r="N1054">
        <f t="shared" si="180"/>
        <v>-3.1641649825295132E-2</v>
      </c>
      <c r="O1054">
        <f t="shared" si="181"/>
        <v>-1.6601996026401176</v>
      </c>
      <c r="P1054" s="1">
        <f t="shared" si="183"/>
        <v>13.387998945196644</v>
      </c>
      <c r="Q1054" s="1">
        <f t="shared" si="184"/>
        <v>-82.994159307093227</v>
      </c>
      <c r="R1054">
        <f>SQRT(Tabelle2[[#This Row],[vx]]*Tabelle2[[#This Row],[vx]]+Tabelle2[[#This Row],[vy]]*Tabelle2[[#This Row],[vy]])</f>
        <v>84.067050589679639</v>
      </c>
      <c r="S1054">
        <f t="shared" si="185"/>
        <v>693.94569767411099</v>
      </c>
      <c r="T1054" s="1">
        <f t="shared" si="186"/>
        <v>-597.23771460890305</v>
      </c>
    </row>
    <row r="1055" spans="6:20" x14ac:dyDescent="0.35">
      <c r="F1055" s="1">
        <f t="shared" si="182"/>
        <v>21.03999999999964</v>
      </c>
      <c r="G1055">
        <f>1/2*$B$8*$B$6*$B$7*(Tabelle2[[#This Row],[vx]]*Tabelle2[[#This Row],[vx]]+Tabelle2[[#This Row],[vy]]*Tabelle2[[#This Row],[vy]])/1000000</f>
        <v>12.509459857449208</v>
      </c>
      <c r="H1055">
        <f>IF($B$3,-Tabelle2[[#This Row],[Fd]]*Tabelle2[[#This Row],[vx]]/Tabelle2[[#This Row],[v]],0)</f>
        <v>-1.9875904934662916</v>
      </c>
      <c r="I1055">
        <f t="shared" si="176"/>
        <v>-1.3250603289775278</v>
      </c>
      <c r="J1055">
        <f t="shared" si="177"/>
        <v>-2.6501206579550556E-2</v>
      </c>
      <c r="K1055">
        <f t="shared" si="178"/>
        <v>0.2669640603172555</v>
      </c>
      <c r="L1055">
        <f>-$B$5*$B$12-IF($B$3,Tabelle2[[#This Row],[Fd]]*Tabelle2[[#This Row],[vy]]/Tabelle2[[#This Row],[v]],0)</f>
        <v>-2.3644506213117946</v>
      </c>
      <c r="M1055">
        <f t="shared" si="179"/>
        <v>-1.5763004142078632</v>
      </c>
      <c r="N1055">
        <f t="shared" si="180"/>
        <v>-3.1526008284157261E-2</v>
      </c>
      <c r="O1055">
        <f t="shared" si="181"/>
        <v>-1.6608312792212119</v>
      </c>
      <c r="P1055" s="1">
        <f t="shared" si="183"/>
        <v>13.361453619152551</v>
      </c>
      <c r="Q1055" s="1">
        <f t="shared" si="184"/>
        <v>-83.025800956918516</v>
      </c>
      <c r="R1055">
        <f>SQRT(Tabelle2[[#This Row],[vx]]*Tabelle2[[#This Row],[vx]]+Tabelle2[[#This Row],[vy]]*Tabelle2[[#This Row],[vy]])</f>
        <v>84.094066778546377</v>
      </c>
      <c r="S1055">
        <f t="shared" si="185"/>
        <v>694.21319219975453</v>
      </c>
      <c r="T1055" s="1">
        <f t="shared" si="186"/>
        <v>-598.89791421154314</v>
      </c>
    </row>
    <row r="1056" spans="6:20" x14ac:dyDescent="0.35">
      <c r="F1056" s="1">
        <f t="shared" si="182"/>
        <v>21.05999999999964</v>
      </c>
      <c r="G1056">
        <f>1/2*$B$8*$B$6*$B$7*(Tabelle2[[#This Row],[vx]]*Tabelle2[[#This Row],[vx]]+Tabelle2[[#This Row],[vy]]*Tabelle2[[#This Row],[vy]])/1000000</f>
        <v>12.51747031879302</v>
      </c>
      <c r="H1056">
        <f>IF($B$3,-Tabelle2[[#This Row],[Fd]]*Tabelle2[[#This Row],[vx]]/Tabelle2[[#This Row],[v]],0)</f>
        <v>-1.9842833069117494</v>
      </c>
      <c r="I1056">
        <f t="shared" si="176"/>
        <v>-1.3228555379411662</v>
      </c>
      <c r="J1056">
        <f t="shared" si="177"/>
        <v>-2.6457110758823323E-2</v>
      </c>
      <c r="K1056">
        <f t="shared" si="178"/>
        <v>0.26643447714387175</v>
      </c>
      <c r="L1056">
        <f>-$B$5*$B$12-IF($B$3,Tabelle2[[#This Row],[Fd]]*Tabelle2[[#This Row],[vy]]/Tabelle2[[#This Row],[v]],0)</f>
        <v>-2.3558057325820947</v>
      </c>
      <c r="M1056">
        <f t="shared" si="179"/>
        <v>-1.5705371550547298</v>
      </c>
      <c r="N1056">
        <f t="shared" si="180"/>
        <v>-3.1410743101094596E-2</v>
      </c>
      <c r="O1056">
        <f t="shared" si="181"/>
        <v>-1.6614606467350646</v>
      </c>
      <c r="P1056" s="1">
        <f t="shared" si="183"/>
        <v>13.334952412572999</v>
      </c>
      <c r="Q1056" s="1">
        <f t="shared" si="184"/>
        <v>-83.057326965202677</v>
      </c>
      <c r="R1056">
        <f>SQRT(Tabelle2[[#This Row],[vx]]*Tabelle2[[#This Row],[vx]]+Tabelle2[[#This Row],[vy]]*Tabelle2[[#This Row],[vy]])</f>
        <v>84.120987383946996</v>
      </c>
      <c r="S1056">
        <f t="shared" si="185"/>
        <v>694.48015626007179</v>
      </c>
      <c r="T1056" s="1">
        <f t="shared" si="186"/>
        <v>-600.5587454907643</v>
      </c>
    </row>
    <row r="1057" spans="6:20" x14ac:dyDescent="0.35">
      <c r="F1057" s="1">
        <f t="shared" si="182"/>
        <v>21.079999999999639</v>
      </c>
      <c r="G1057">
        <f>1/2*$B$8*$B$6*$B$7*(Tabelle2[[#This Row],[vx]]*Tabelle2[[#This Row],[vx]]+Tabelle2[[#This Row],[vy]]*Tabelle2[[#This Row],[vy]])/1000000</f>
        <v>12.525454974466024</v>
      </c>
      <c r="H1057">
        <f>IF($B$3,-Tabelle2[[#This Row],[Fd]]*Tabelle2[[#This Row],[vx]]/Tabelle2[[#This Row],[v]],0)</f>
        <v>-1.9809779166484189</v>
      </c>
      <c r="I1057">
        <f t="shared" si="176"/>
        <v>-1.3206519444322793</v>
      </c>
      <c r="J1057">
        <f t="shared" si="177"/>
        <v>-2.6413038888645587E-2</v>
      </c>
      <c r="K1057">
        <f t="shared" si="178"/>
        <v>0.26590577564739709</v>
      </c>
      <c r="L1057">
        <f>-$B$5*$B$12-IF($B$3,Tabelle2[[#This Row],[Fd]]*Tabelle2[[#This Row],[vy]]/Tabelle2[[#This Row],[v]],0)</f>
        <v>-2.3471890048753181</v>
      </c>
      <c r="M1057">
        <f t="shared" si="179"/>
        <v>-1.5647926699168788</v>
      </c>
      <c r="N1057">
        <f t="shared" si="180"/>
        <v>-3.1295853398337577E-2</v>
      </c>
      <c r="O1057">
        <f t="shared" si="181"/>
        <v>-1.6620877127000588</v>
      </c>
      <c r="P1057" s="1">
        <f t="shared" si="183"/>
        <v>13.308495301814176</v>
      </c>
      <c r="Q1057" s="1">
        <f t="shared" si="184"/>
        <v>-83.088737708303768</v>
      </c>
      <c r="R1057">
        <f>SQRT(Tabelle2[[#This Row],[vx]]*Tabelle2[[#This Row],[vx]]+Tabelle2[[#This Row],[vy]]*Tabelle2[[#This Row],[vy]])</f>
        <v>84.147812693840777</v>
      </c>
      <c r="S1057">
        <f t="shared" si="185"/>
        <v>694.74659073721568</v>
      </c>
      <c r="T1057" s="1">
        <f t="shared" si="186"/>
        <v>-602.2202061374993</v>
      </c>
    </row>
    <row r="1058" spans="6:20" x14ac:dyDescent="0.35">
      <c r="F1058" s="1">
        <f t="shared" si="182"/>
        <v>21.099999999999639</v>
      </c>
      <c r="G1058">
        <f>1/2*$B$8*$B$6*$B$7*(Tabelle2[[#This Row],[vx]]*Tabelle2[[#This Row],[vx]]+Tabelle2[[#This Row],[vy]]*Tabelle2[[#This Row],[vy]])/1000000</f>
        <v>12.533413882949315</v>
      </c>
      <c r="H1058">
        <f>IF($B$3,-Tabelle2[[#This Row],[Fd]]*Tabelle2[[#This Row],[vx]]/Tabelle2[[#This Row],[v]],0)</f>
        <v>-1.9776743455215253</v>
      </c>
      <c r="I1058">
        <f t="shared" si="176"/>
        <v>-1.318449563681017</v>
      </c>
      <c r="J1058">
        <f t="shared" si="177"/>
        <v>-2.636899127362034E-2</v>
      </c>
      <c r="K1058">
        <f t="shared" si="178"/>
        <v>0.26537795534577441</v>
      </c>
      <c r="L1058">
        <f>-$B$5*$B$12-IF($B$3,Tabelle2[[#This Row],[Fd]]*Tabelle2[[#This Row],[vy]]/Tabelle2[[#This Row],[v]],0)</f>
        <v>-2.3386003723064661</v>
      </c>
      <c r="M1058">
        <f t="shared" si="179"/>
        <v>-1.5590669148709775</v>
      </c>
      <c r="N1058">
        <f t="shared" si="180"/>
        <v>-3.118133829741955E-2</v>
      </c>
      <c r="O1058">
        <f t="shared" si="181"/>
        <v>-1.6627124846170163</v>
      </c>
      <c r="P1058" s="1">
        <f t="shared" si="183"/>
        <v>13.282082262925531</v>
      </c>
      <c r="Q1058" s="1">
        <f t="shared" si="184"/>
        <v>-83.120033561702101</v>
      </c>
      <c r="R1058">
        <f>SQRT(Tabelle2[[#This Row],[vx]]*Tabelle2[[#This Row],[vx]]+Tabelle2[[#This Row],[vy]]*Tabelle2[[#This Row],[vy]])</f>
        <v>84.174542995715782</v>
      </c>
      <c r="S1058">
        <f t="shared" si="185"/>
        <v>695.01249651286309</v>
      </c>
      <c r="T1058" s="1">
        <f t="shared" si="186"/>
        <v>-603.8822938501994</v>
      </c>
    </row>
    <row r="1059" spans="6:20" x14ac:dyDescent="0.35">
      <c r="F1059" s="1">
        <f t="shared" si="182"/>
        <v>21.119999999999639</v>
      </c>
      <c r="G1059">
        <f>1/2*$B$8*$B$6*$B$7*(Tabelle2[[#This Row],[vx]]*Tabelle2[[#This Row],[vx]]+Tabelle2[[#This Row],[vy]]*Tabelle2[[#This Row],[vy]])/1000000</f>
        <v>12.541347102787551</v>
      </c>
      <c r="H1059">
        <f>IF($B$3,-Tabelle2[[#This Row],[Fd]]*Tabelle2[[#This Row],[vx]]/Tabelle2[[#This Row],[v]],0)</f>
        <v>-1.9743726162170592</v>
      </c>
      <c r="I1059">
        <f t="shared" si="176"/>
        <v>-1.3162484108113728</v>
      </c>
      <c r="J1059">
        <f t="shared" si="177"/>
        <v>-2.6324968216227457E-2</v>
      </c>
      <c r="K1059">
        <f t="shared" si="178"/>
        <v>0.26485101575087594</v>
      </c>
      <c r="L1059">
        <f>-$B$5*$B$12-IF($B$3,Tabelle2[[#This Row],[Fd]]*Tabelle2[[#This Row],[vy]]/Tabelle2[[#This Row],[v]],0)</f>
        <v>-2.3300397689403169</v>
      </c>
      <c r="M1059">
        <f t="shared" si="179"/>
        <v>-1.5533598459602114</v>
      </c>
      <c r="N1059">
        <f t="shared" si="180"/>
        <v>-3.1067196919204228E-2</v>
      </c>
      <c r="O1059">
        <f t="shared" si="181"/>
        <v>-1.6633349699691824</v>
      </c>
      <c r="P1059" s="1">
        <f t="shared" si="183"/>
        <v>13.25571327165191</v>
      </c>
      <c r="Q1059" s="1">
        <f t="shared" si="184"/>
        <v>-83.151214899999516</v>
      </c>
      <c r="R1059">
        <f>SQRT(Tabelle2[[#This Row],[vx]]*Tabelle2[[#This Row],[vx]]+Tabelle2[[#This Row],[vy]]*Tabelle2[[#This Row],[vy]])</f>
        <v>84.201178576586145</v>
      </c>
      <c r="S1059">
        <f t="shared" si="185"/>
        <v>695.27787446820889</v>
      </c>
      <c r="T1059" s="1">
        <f t="shared" si="186"/>
        <v>-605.54500633481643</v>
      </c>
    </row>
    <row r="1060" spans="6:20" x14ac:dyDescent="0.35">
      <c r="F1060" s="1">
        <f t="shared" si="182"/>
        <v>21.139999999999638</v>
      </c>
      <c r="G1060">
        <f>1/2*$B$8*$B$6*$B$7*(Tabelle2[[#This Row],[vx]]*Tabelle2[[#This Row],[vx]]+Tabelle2[[#This Row],[vy]]*Tabelle2[[#This Row],[vy]])/1000000</f>
        <v>12.549254692586949</v>
      </c>
      <c r="H1060">
        <f>IF($B$3,-Tabelle2[[#This Row],[Fd]]*Tabelle2[[#This Row],[vx]]/Tabelle2[[#This Row],[v]],0)</f>
        <v>-1.9710727512623316</v>
      </c>
      <c r="I1060">
        <f t="shared" si="176"/>
        <v>-1.3140485008415543</v>
      </c>
      <c r="J1060">
        <f t="shared" si="177"/>
        <v>-2.6280970016831086E-2</v>
      </c>
      <c r="K1060">
        <f t="shared" si="178"/>
        <v>0.26432495636854536</v>
      </c>
      <c r="L1060">
        <f>-$B$5*$B$12-IF($B$3,Tabelle2[[#This Row],[Fd]]*Tabelle2[[#This Row],[vy]]/Tabelle2[[#This Row],[v]],0)</f>
        <v>-2.3215071287934848</v>
      </c>
      <c r="M1060">
        <f t="shared" si="179"/>
        <v>-1.5476714191956564</v>
      </c>
      <c r="N1060">
        <f t="shared" si="180"/>
        <v>-3.0953428383913129E-2</v>
      </c>
      <c r="O1060">
        <f t="shared" si="181"/>
        <v>-1.6639551762222138</v>
      </c>
      <c r="P1060" s="1">
        <f t="shared" si="183"/>
        <v>13.229388303435682</v>
      </c>
      <c r="Q1060" s="1">
        <f t="shared" si="184"/>
        <v>-83.182282096918726</v>
      </c>
      <c r="R1060">
        <f>SQRT(Tabelle2[[#This Row],[vx]]*Tabelle2[[#This Row],[vx]]+Tabelle2[[#This Row],[vy]]*Tabelle2[[#This Row],[vy]])</f>
        <v>84.227719722989335</v>
      </c>
      <c r="S1060">
        <f t="shared" si="185"/>
        <v>695.54272548395977</v>
      </c>
      <c r="T1060" s="1">
        <f t="shared" si="186"/>
        <v>-607.20834130478556</v>
      </c>
    </row>
    <row r="1061" spans="6:20" x14ac:dyDescent="0.35">
      <c r="F1061" s="1">
        <f t="shared" si="182"/>
        <v>21.159999999999638</v>
      </c>
      <c r="G1061">
        <f>1/2*$B$8*$B$6*$B$7*(Tabelle2[[#This Row],[vx]]*Tabelle2[[#This Row],[vx]]+Tabelle2[[#This Row],[vy]]*Tabelle2[[#This Row],[vy]])/1000000</f>
        <v>12.557136711013294</v>
      </c>
      <c r="H1061">
        <f>IF($B$3,-Tabelle2[[#This Row],[Fd]]*Tabelle2[[#This Row],[vx]]/Tabelle2[[#This Row],[v]],0)</f>
        <v>-1.9677747730265318</v>
      </c>
      <c r="I1061">
        <f t="shared" si="176"/>
        <v>-1.3118498486843546</v>
      </c>
      <c r="J1061">
        <f t="shared" si="177"/>
        <v>-2.6236996973687091E-2</v>
      </c>
      <c r="K1061">
        <f t="shared" si="178"/>
        <v>0.26379977669864013</v>
      </c>
      <c r="L1061">
        <f>-$B$5*$B$12-IF($B$3,Tabelle2[[#This Row],[Fd]]*Tabelle2[[#This Row],[vy]]/Tabelle2[[#This Row],[v]],0)</f>
        <v>-2.3130023858364588</v>
      </c>
      <c r="M1061">
        <f t="shared" si="179"/>
        <v>-1.5420015905576392</v>
      </c>
      <c r="N1061">
        <f t="shared" si="180"/>
        <v>-3.0840031811152784E-2</v>
      </c>
      <c r="O1061">
        <f t="shared" si="181"/>
        <v>-1.6645731108241644</v>
      </c>
      <c r="P1061" s="1">
        <f t="shared" si="183"/>
        <v>13.203107333418851</v>
      </c>
      <c r="Q1061" s="1">
        <f t="shared" si="184"/>
        <v>-83.213235525302636</v>
      </c>
      <c r="R1061">
        <f>SQRT(Tabelle2[[#This Row],[vx]]*Tabelle2[[#This Row],[vx]]+Tabelle2[[#This Row],[vy]]*Tabelle2[[#This Row],[vy]])</f>
        <v>84.254166720983406</v>
      </c>
      <c r="S1061">
        <f t="shared" si="185"/>
        <v>695.80705044032834</v>
      </c>
      <c r="T1061" s="1">
        <f t="shared" si="186"/>
        <v>-608.87229648100777</v>
      </c>
    </row>
    <row r="1062" spans="6:20" x14ac:dyDescent="0.35">
      <c r="F1062" s="1">
        <f t="shared" si="182"/>
        <v>21.179999999999637</v>
      </c>
      <c r="G1062">
        <f>1/2*$B$8*$B$6*$B$7*(Tabelle2[[#This Row],[vx]]*Tabelle2[[#This Row],[vx]]+Tabelle2[[#This Row],[vy]]*Tabelle2[[#This Row],[vy]])/1000000</f>
        <v>12.564993216789988</v>
      </c>
      <c r="H1062">
        <f>IF($B$3,-Tabelle2[[#This Row],[Fd]]*Tabelle2[[#This Row],[vx]]/Tabelle2[[#This Row],[v]],0)</f>
        <v>-1.9644787037212859</v>
      </c>
      <c r="I1062">
        <f t="shared" si="176"/>
        <v>-1.309652469147524</v>
      </c>
      <c r="J1062">
        <f t="shared" si="177"/>
        <v>-2.619304938295048E-2</v>
      </c>
      <c r="K1062">
        <f t="shared" si="178"/>
        <v>0.2632754762350738</v>
      </c>
      <c r="L1062">
        <f>-$B$5*$B$12-IF($B$3,Tabelle2[[#This Row],[Fd]]*Tabelle2[[#This Row],[vy]]/Tabelle2[[#This Row],[v]],0)</f>
        <v>-2.3045254739956054</v>
      </c>
      <c r="M1062">
        <f t="shared" si="179"/>
        <v>-1.5363503159970702</v>
      </c>
      <c r="N1062">
        <f t="shared" si="180"/>
        <v>-3.0727006319941404E-2</v>
      </c>
      <c r="O1062">
        <f t="shared" si="181"/>
        <v>-1.6651887812054753</v>
      </c>
      <c r="P1062" s="1">
        <f t="shared" si="183"/>
        <v>13.176870336445164</v>
      </c>
      <c r="Q1062" s="1">
        <f t="shared" si="184"/>
        <v>-83.244075557113788</v>
      </c>
      <c r="R1062">
        <f>SQRT(Tabelle2[[#This Row],[vx]]*Tabelle2[[#This Row],[vx]]+Tabelle2[[#This Row],[vy]]*Tabelle2[[#This Row],[vy]])</f>
        <v>84.280519856144437</v>
      </c>
      <c r="S1062">
        <f t="shared" si="185"/>
        <v>696.07085021702699</v>
      </c>
      <c r="T1062" s="1">
        <f t="shared" si="186"/>
        <v>-610.53686959183187</v>
      </c>
    </row>
    <row r="1063" spans="6:20" x14ac:dyDescent="0.35">
      <c r="F1063" s="1">
        <f t="shared" si="182"/>
        <v>21.199999999999637</v>
      </c>
      <c r="G1063">
        <f>1/2*$B$8*$B$6*$B$7*(Tabelle2[[#This Row],[vx]]*Tabelle2[[#This Row],[vx]]+Tabelle2[[#This Row],[vy]]*Tabelle2[[#This Row],[vy]])/1000000</f>
        <v>12.572824268696081</v>
      </c>
      <c r="H1063">
        <f>IF($B$3,-Tabelle2[[#This Row],[Fd]]*Tabelle2[[#This Row],[vx]]/Tabelle2[[#This Row],[v]],0)</f>
        <v>-1.9611845654012117</v>
      </c>
      <c r="I1063">
        <f t="shared" si="176"/>
        <v>-1.3074563769341412</v>
      </c>
      <c r="J1063">
        <f t="shared" si="177"/>
        <v>-2.6149127538682825E-2</v>
      </c>
      <c r="K1063">
        <f t="shared" si="178"/>
        <v>0.26275205446585742</v>
      </c>
      <c r="L1063">
        <f>-$B$5*$B$12-IF($B$3,Tabelle2[[#This Row],[Fd]]*Tabelle2[[#This Row],[vy]]/Tabelle2[[#This Row],[v]],0)</f>
        <v>-2.2960763271551912</v>
      </c>
      <c r="M1063">
        <f t="shared" si="179"/>
        <v>-1.5307175514367941</v>
      </c>
      <c r="N1063">
        <f t="shared" si="180"/>
        <v>-3.0614351028735883E-2</v>
      </c>
      <c r="O1063">
        <f t="shared" si="181"/>
        <v>-1.6658021947789619</v>
      </c>
      <c r="P1063" s="1">
        <f t="shared" si="183"/>
        <v>13.150677287062214</v>
      </c>
      <c r="Q1063" s="1">
        <f t="shared" si="184"/>
        <v>-83.274802563433724</v>
      </c>
      <c r="R1063">
        <f>SQRT(Tabelle2[[#This Row],[vx]]*Tabelle2[[#This Row],[vx]]+Tabelle2[[#This Row],[vy]]*Tabelle2[[#This Row],[vy]])</f>
        <v>84.306779413563902</v>
      </c>
      <c r="S1063">
        <f t="shared" si="185"/>
        <v>696.33412569326208</v>
      </c>
      <c r="T1063" s="1">
        <f t="shared" si="186"/>
        <v>-612.2020583730374</v>
      </c>
    </row>
    <row r="1064" spans="6:20" x14ac:dyDescent="0.35">
      <c r="F1064" s="1">
        <f t="shared" si="182"/>
        <v>21.219999999999636</v>
      </c>
      <c r="G1064">
        <f>1/2*$B$8*$B$6*$B$7*(Tabelle2[[#This Row],[vx]]*Tabelle2[[#This Row],[vx]]+Tabelle2[[#This Row],[vy]]*Tabelle2[[#This Row],[vy]])/1000000</f>
        <v>12.580629925564343</v>
      </c>
      <c r="H1064">
        <f>IF($B$3,-Tabelle2[[#This Row],[Fd]]*Tabelle2[[#This Row],[vx]]/Tabelle2[[#This Row],[v]],0)</f>
        <v>-1.9578923799644854</v>
      </c>
      <c r="I1064">
        <f t="shared" si="176"/>
        <v>-1.3052615866429902</v>
      </c>
      <c r="J1064">
        <f t="shared" si="177"/>
        <v>-2.6105231732859804E-2</v>
      </c>
      <c r="K1064">
        <f t="shared" si="178"/>
        <v>0.26222951087314206</v>
      </c>
      <c r="L1064">
        <f>-$B$5*$B$12-IF($B$3,Tabelle2[[#This Row],[Fd]]*Tabelle2[[#This Row],[vy]]/Tabelle2[[#This Row],[v]],0)</f>
        <v>-2.2876548791593425</v>
      </c>
      <c r="M1064">
        <f t="shared" si="179"/>
        <v>-1.5251032527728949</v>
      </c>
      <c r="N1064">
        <f t="shared" si="180"/>
        <v>-3.0502065055457901E-2</v>
      </c>
      <c r="O1064">
        <f t="shared" si="181"/>
        <v>-1.6664133589398038</v>
      </c>
      <c r="P1064" s="1">
        <f t="shared" si="183"/>
        <v>13.124528159523532</v>
      </c>
      <c r="Q1064" s="1">
        <f t="shared" si="184"/>
        <v>-83.305416914462455</v>
      </c>
      <c r="R1064">
        <f>SQRT(Tabelle2[[#This Row],[vx]]*Tabelle2[[#This Row],[vx]]+Tabelle2[[#This Row],[vy]]*Tabelle2[[#This Row],[vy]])</f>
        <v>84.332945677846055</v>
      </c>
      <c r="S1064">
        <f t="shared" si="185"/>
        <v>696.59687774772794</v>
      </c>
      <c r="T1064" s="1">
        <f t="shared" si="186"/>
        <v>-613.86786056781636</v>
      </c>
    </row>
    <row r="1065" spans="6:20" x14ac:dyDescent="0.35">
      <c r="F1065" s="1">
        <f t="shared" si="182"/>
        <v>21.239999999999636</v>
      </c>
      <c r="G1065">
        <f>1/2*$B$8*$B$6*$B$7*(Tabelle2[[#This Row],[vx]]*Tabelle2[[#This Row],[vx]]+Tabelle2[[#This Row],[vy]]*Tabelle2[[#This Row],[vy]])/1000000</f>
        <v>12.588410246279336</v>
      </c>
      <c r="H1065">
        <f>IF($B$3,-Tabelle2[[#This Row],[Fd]]*Tabelle2[[#This Row],[vx]]/Tabelle2[[#This Row],[v]],0)</f>
        <v>-1.9546021691533952</v>
      </c>
      <c r="I1065">
        <f t="shared" si="176"/>
        <v>-1.3030681127689301</v>
      </c>
      <c r="J1065">
        <f t="shared" si="177"/>
        <v>-2.6061362255378601E-2</v>
      </c>
      <c r="K1065">
        <f t="shared" si="178"/>
        <v>0.26170784493325966</v>
      </c>
      <c r="L1065">
        <f>-$B$5*$B$12-IF($B$3,Tabelle2[[#This Row],[Fd]]*Tabelle2[[#This Row],[vy]]/Tabelle2[[#This Row],[v]],0)</f>
        <v>-2.2792610638140438</v>
      </c>
      <c r="M1065">
        <f t="shared" si="179"/>
        <v>-1.5195073758760291</v>
      </c>
      <c r="N1065">
        <f t="shared" si="180"/>
        <v>-3.0390147517520585E-2</v>
      </c>
      <c r="O1065">
        <f t="shared" si="181"/>
        <v>-1.6670222810655335</v>
      </c>
      <c r="P1065" s="1">
        <f t="shared" si="183"/>
        <v>13.098422927790672</v>
      </c>
      <c r="Q1065" s="1">
        <f t="shared" si="184"/>
        <v>-83.335918979517913</v>
      </c>
      <c r="R1065">
        <f>SQRT(Tabelle2[[#This Row],[vx]]*Tabelle2[[#This Row],[vx]]+Tabelle2[[#This Row],[vy]]*Tabelle2[[#This Row],[vy]])</f>
        <v>84.35901893310546</v>
      </c>
      <c r="S1065">
        <f t="shared" si="185"/>
        <v>696.85910725860106</v>
      </c>
      <c r="T1065" s="1">
        <f t="shared" si="186"/>
        <v>-615.53427392675621</v>
      </c>
    </row>
    <row r="1066" spans="6:20" x14ac:dyDescent="0.35">
      <c r="F1066" s="1">
        <f t="shared" si="182"/>
        <v>21.259999999999636</v>
      </c>
      <c r="G1066">
        <f>1/2*$B$8*$B$6*$B$7*(Tabelle2[[#This Row],[vx]]*Tabelle2[[#This Row],[vx]]+Tabelle2[[#This Row],[vy]]*Tabelle2[[#This Row],[vy]])/1000000</f>
        <v>12.596165289775515</v>
      </c>
      <c r="H1066">
        <f>IF($B$3,-Tabelle2[[#This Row],[Fd]]*Tabelle2[[#This Row],[vx]]/Tabelle2[[#This Row],[v]],0)</f>
        <v>-1.9513139545549099</v>
      </c>
      <c r="I1066">
        <f t="shared" si="176"/>
        <v>-1.3008759697032732</v>
      </c>
      <c r="J1066">
        <f t="shared" si="177"/>
        <v>-2.6017519394065464E-2</v>
      </c>
      <c r="K1066">
        <f t="shared" si="178"/>
        <v>0.26118705611676524</v>
      </c>
      <c r="L1066">
        <f>-$B$5*$B$12-IF($B$3,Tabelle2[[#This Row],[Fd]]*Tabelle2[[#This Row],[vy]]/Tabelle2[[#This Row],[v]],0)</f>
        <v>-2.2708948148890702</v>
      </c>
      <c r="M1066">
        <f t="shared" si="179"/>
        <v>-1.5139298765927134</v>
      </c>
      <c r="N1066">
        <f t="shared" si="180"/>
        <v>-3.027859753185427E-2</v>
      </c>
      <c r="O1066">
        <f t="shared" si="181"/>
        <v>-1.6676289685160273</v>
      </c>
      <c r="P1066" s="1">
        <f t="shared" si="183"/>
        <v>13.072361565535294</v>
      </c>
      <c r="Q1066" s="1">
        <f t="shared" si="184"/>
        <v>-83.366309127035436</v>
      </c>
      <c r="R1066">
        <f>SQRT(Tabelle2[[#This Row],[vx]]*Tabelle2[[#This Row],[vx]]+Tabelle2[[#This Row],[vy]]*Tabelle2[[#This Row],[vy]])</f>
        <v>84.384999462964487</v>
      </c>
      <c r="S1066">
        <f t="shared" si="185"/>
        <v>697.12081510353437</v>
      </c>
      <c r="T1066" s="1">
        <f t="shared" si="186"/>
        <v>-617.20129620782177</v>
      </c>
    </row>
    <row r="1067" spans="6:20" x14ac:dyDescent="0.35">
      <c r="F1067" s="1">
        <f t="shared" si="182"/>
        <v>21.279999999999635</v>
      </c>
      <c r="G1067">
        <f>1/2*$B$8*$B$6*$B$7*(Tabelle2[[#This Row],[vx]]*Tabelle2[[#This Row],[vx]]+Tabelle2[[#This Row],[vy]]*Tabelle2[[#This Row],[vy]])/1000000</f>
        <v>12.60389511503533</v>
      </c>
      <c r="H1067">
        <f>IF($B$3,-Tabelle2[[#This Row],[Fd]]*Tabelle2[[#This Row],[vx]]/Tabelle2[[#This Row],[v]],0)</f>
        <v>-1.9480277576012375</v>
      </c>
      <c r="I1067">
        <f t="shared" si="176"/>
        <v>-1.2986851717341583</v>
      </c>
      <c r="J1067">
        <f t="shared" si="177"/>
        <v>-2.5973703434683165E-2</v>
      </c>
      <c r="K1067">
        <f t="shared" si="178"/>
        <v>0.26066714388847773</v>
      </c>
      <c r="L1067">
        <f>-$B$5*$B$12-IF($B$3,Tabelle2[[#This Row],[Fd]]*Tabelle2[[#This Row],[vy]]/Tabelle2[[#This Row],[v]],0)</f>
        <v>-2.2625560661199309</v>
      </c>
      <c r="M1067">
        <f t="shared" si="179"/>
        <v>-1.5083707107466207</v>
      </c>
      <c r="N1067">
        <f t="shared" si="180"/>
        <v>-3.0167414214932412E-2</v>
      </c>
      <c r="O1067">
        <f t="shared" si="181"/>
        <v>-1.6682334286334952</v>
      </c>
      <c r="P1067" s="1">
        <f t="shared" si="183"/>
        <v>13.046344046141229</v>
      </c>
      <c r="Q1067" s="1">
        <f t="shared" si="184"/>
        <v>-83.396587724567297</v>
      </c>
      <c r="R1067">
        <f>SQRT(Tabelle2[[#This Row],[vx]]*Tabelle2[[#This Row],[vx]]+Tabelle2[[#This Row],[vy]]*Tabelle2[[#This Row],[vy]])</f>
        <v>84.410887550550811</v>
      </c>
      <c r="S1067">
        <f t="shared" si="185"/>
        <v>697.38200215965117</v>
      </c>
      <c r="T1067" s="1">
        <f t="shared" si="186"/>
        <v>-618.86892517633783</v>
      </c>
    </row>
    <row r="1068" spans="6:20" x14ac:dyDescent="0.35">
      <c r="F1068" s="1">
        <f t="shared" si="182"/>
        <v>21.299999999999635</v>
      </c>
      <c r="G1068">
        <f>1/2*$B$8*$B$6*$B$7*(Tabelle2[[#This Row],[vx]]*Tabelle2[[#This Row],[vx]]+Tabelle2[[#This Row],[vy]]*Tabelle2[[#This Row],[vy]])/1000000</f>
        <v>12.611599781087349</v>
      </c>
      <c r="H1068">
        <f>IF($B$3,-Tabelle2[[#This Row],[Fd]]*Tabelle2[[#This Row],[vx]]/Tabelle2[[#This Row],[v]],0)</f>
        <v>-1.9447435995703892</v>
      </c>
      <c r="I1068">
        <f t="shared" si="176"/>
        <v>-1.2964957330469262</v>
      </c>
      <c r="J1068">
        <f t="shared" si="177"/>
        <v>-2.5929914660938524E-2</v>
      </c>
      <c r="K1068">
        <f t="shared" si="178"/>
        <v>0.2601481077075215</v>
      </c>
      <c r="L1068">
        <f>-$B$5*$B$12-IF($B$3,Tabelle2[[#This Row],[Fd]]*Tabelle2[[#This Row],[vy]]/Tabelle2[[#This Row],[v]],0)</f>
        <v>-2.2542447512098036</v>
      </c>
      <c r="M1068">
        <f t="shared" si="179"/>
        <v>-1.5028298341398691</v>
      </c>
      <c r="N1068">
        <f t="shared" si="180"/>
        <v>-3.0056596682797383E-2</v>
      </c>
      <c r="O1068">
        <f t="shared" si="181"/>
        <v>-1.6688356687424724</v>
      </c>
      <c r="P1068" s="1">
        <f t="shared" si="183"/>
        <v>13.020370342706546</v>
      </c>
      <c r="Q1068" s="1">
        <f t="shared" si="184"/>
        <v>-83.426755138782227</v>
      </c>
      <c r="R1068">
        <f>SQRT(Tabelle2[[#This Row],[vx]]*Tabelle2[[#This Row],[vx]]+Tabelle2[[#This Row],[vy]]*Tabelle2[[#This Row],[vy]])</f>
        <v>84.436683478495056</v>
      </c>
      <c r="S1068">
        <f t="shared" si="185"/>
        <v>697.64266930353961</v>
      </c>
      <c r="T1068" s="1">
        <f t="shared" si="186"/>
        <v>-620.5371586049713</v>
      </c>
    </row>
    <row r="1069" spans="6:20" x14ac:dyDescent="0.35">
      <c r="F1069" s="1">
        <f t="shared" si="182"/>
        <v>21.319999999999634</v>
      </c>
      <c r="G1069">
        <f>1/2*$B$8*$B$6*$B$7*(Tabelle2[[#This Row],[vx]]*Tabelle2[[#This Row],[vx]]+Tabelle2[[#This Row],[vy]]*Tabelle2[[#This Row],[vy]])/1000000</f>
        <v>12.619279347004408</v>
      </c>
      <c r="H1069">
        <f>IF($B$3,-Tabelle2[[#This Row],[Fd]]*Tabelle2[[#This Row],[vx]]/Tabelle2[[#This Row],[v]],0)</f>
        <v>-1.9414615015867471</v>
      </c>
      <c r="I1069">
        <f t="shared" si="176"/>
        <v>-1.294307667724498</v>
      </c>
      <c r="J1069">
        <f t="shared" si="177"/>
        <v>-2.588615335448996E-2</v>
      </c>
      <c r="K1069">
        <f t="shared" si="178"/>
        <v>0.25962994702736725</v>
      </c>
      <c r="L1069">
        <f>-$B$5*$B$12-IF($B$3,Tabelle2[[#This Row],[Fd]]*Tabelle2[[#This Row],[vy]]/Tabelle2[[#This Row],[v]],0)</f>
        <v>-2.2459608038314141</v>
      </c>
      <c r="M1069">
        <f t="shared" si="179"/>
        <v>-1.497307202554276</v>
      </c>
      <c r="N1069">
        <f t="shared" si="180"/>
        <v>-2.9946144051085519E-2</v>
      </c>
      <c r="O1069">
        <f t="shared" si="181"/>
        <v>-1.6694356961498114</v>
      </c>
      <c r="P1069" s="1">
        <f t="shared" si="183"/>
        <v>12.994440428045607</v>
      </c>
      <c r="Q1069" s="1">
        <f t="shared" si="184"/>
        <v>-83.456811735465024</v>
      </c>
      <c r="R1069">
        <f>SQRT(Tabelle2[[#This Row],[vx]]*Tabelle2[[#This Row],[vx]]+Tabelle2[[#This Row],[vy]]*Tabelle2[[#This Row],[vy]])</f>
        <v>84.462387528928389</v>
      </c>
      <c r="S1069">
        <f t="shared" si="185"/>
        <v>697.90281741124716</v>
      </c>
      <c r="T1069" s="1">
        <f t="shared" si="186"/>
        <v>-622.20599427371371</v>
      </c>
    </row>
    <row r="1070" spans="6:20" x14ac:dyDescent="0.35">
      <c r="F1070" s="1">
        <f t="shared" si="182"/>
        <v>21.339999999999634</v>
      </c>
      <c r="G1070">
        <f>1/2*$B$8*$B$6*$B$7*(Tabelle2[[#This Row],[vx]]*Tabelle2[[#This Row],[vx]]+Tabelle2[[#This Row],[vy]]*Tabelle2[[#This Row],[vy]])/1000000</f>
        <v>12.626933871901748</v>
      </c>
      <c r="H1070">
        <f>IF($B$3,-Tabelle2[[#This Row],[Fd]]*Tabelle2[[#This Row],[vx]]/Tabelle2[[#This Row],[v]],0)</f>
        <v>-1.9381814846216243</v>
      </c>
      <c r="I1070">
        <f t="shared" si="176"/>
        <v>-1.2921209897477495</v>
      </c>
      <c r="J1070">
        <f t="shared" si="177"/>
        <v>-2.5842419794954989E-2</v>
      </c>
      <c r="K1070">
        <f t="shared" si="178"/>
        <v>0.25911266129587279</v>
      </c>
      <c r="L1070">
        <f>-$B$5*$B$12-IF($B$3,Tabelle2[[#This Row],[Fd]]*Tabelle2[[#This Row],[vy]]/Tabelle2[[#This Row],[v]],0)</f>
        <v>-2.2377041576289631</v>
      </c>
      <c r="M1070">
        <f t="shared" si="179"/>
        <v>-1.4918027717526421</v>
      </c>
      <c r="N1070">
        <f t="shared" si="180"/>
        <v>-2.9836055435052841E-2</v>
      </c>
      <c r="O1070">
        <f t="shared" si="181"/>
        <v>-1.6700335181446726</v>
      </c>
      <c r="P1070" s="1">
        <f t="shared" si="183"/>
        <v>12.968554274691117</v>
      </c>
      <c r="Q1070" s="1">
        <f t="shared" si="184"/>
        <v>-83.486757879516105</v>
      </c>
      <c r="R1070">
        <f>SQRT(Tabelle2[[#This Row],[vx]]*Tabelle2[[#This Row],[vx]]+Tabelle2[[#This Row],[vy]]*Tabelle2[[#This Row],[vy]])</f>
        <v>84.487999983480222</v>
      </c>
      <c r="S1070">
        <f t="shared" si="185"/>
        <v>698.16244735827456</v>
      </c>
      <c r="T1070" s="1">
        <f t="shared" si="186"/>
        <v>-623.87542996986349</v>
      </c>
    </row>
    <row r="1071" spans="6:20" x14ac:dyDescent="0.35">
      <c r="F1071" s="1">
        <f t="shared" si="182"/>
        <v>21.359999999999634</v>
      </c>
      <c r="G1071">
        <f>1/2*$B$8*$B$6*$B$7*(Tabelle2[[#This Row],[vx]]*Tabelle2[[#This Row],[vx]]+Tabelle2[[#This Row],[vy]]*Tabelle2[[#This Row],[vy]])/1000000</f>
        <v>12.634563414935203</v>
      </c>
      <c r="H1071">
        <f>IF($B$3,-Tabelle2[[#This Row],[Fd]]*Tabelle2[[#This Row],[vx]]/Tabelle2[[#This Row],[v]],0)</f>
        <v>-1.9349035694938366</v>
      </c>
      <c r="I1071">
        <f t="shared" si="176"/>
        <v>-1.289935712995891</v>
      </c>
      <c r="J1071">
        <f t="shared" si="177"/>
        <v>-2.579871425991782E-2</v>
      </c>
      <c r="K1071">
        <f t="shared" si="178"/>
        <v>0.2585962499553241</v>
      </c>
      <c r="L1071">
        <f>-$B$5*$B$12-IF($B$3,Tabelle2[[#This Row],[Fd]]*Tabelle2[[#This Row],[vy]]/Tabelle2[[#This Row],[v]],0)</f>
        <v>-2.2294747462199602</v>
      </c>
      <c r="M1071">
        <f t="shared" si="179"/>
        <v>-1.4863164974799734</v>
      </c>
      <c r="N1071">
        <f t="shared" si="180"/>
        <v>-2.9726329949599468E-2</v>
      </c>
      <c r="O1071">
        <f t="shared" si="181"/>
        <v>-1.6706291419985193</v>
      </c>
      <c r="P1071" s="1">
        <f t="shared" si="183"/>
        <v>12.942711854896162</v>
      </c>
      <c r="Q1071" s="1">
        <f t="shared" si="184"/>
        <v>-83.51659393495116</v>
      </c>
      <c r="R1071">
        <f>SQRT(Tabelle2[[#This Row],[vx]]*Tabelle2[[#This Row],[vx]]+Tabelle2[[#This Row],[vy]]*Tabelle2[[#This Row],[vy]])</f>
        <v>84.513521123275837</v>
      </c>
      <c r="S1071">
        <f t="shared" si="185"/>
        <v>698.42156001957039</v>
      </c>
      <c r="T1071" s="1">
        <f t="shared" si="186"/>
        <v>-625.54546348800818</v>
      </c>
    </row>
    <row r="1072" spans="6:20" x14ac:dyDescent="0.35">
      <c r="F1072" s="1">
        <f t="shared" si="182"/>
        <v>21.379999999999633</v>
      </c>
      <c r="G1072">
        <f>1/2*$B$8*$B$6*$B$7*(Tabelle2[[#This Row],[vx]]*Tabelle2[[#This Row],[vx]]+Tabelle2[[#This Row],[vy]]*Tabelle2[[#This Row],[vy]])/1000000</f>
        <v>12.642168035299372</v>
      </c>
      <c r="H1072">
        <f>IF($B$3,-Tabelle2[[#This Row],[Fd]]*Tabelle2[[#This Row],[vx]]/Tabelle2[[#This Row],[v]],0)</f>
        <v>-1.9316277768702665</v>
      </c>
      <c r="I1072">
        <f t="shared" si="176"/>
        <v>-1.2877518512468444</v>
      </c>
      <c r="J1072">
        <f t="shared" si="177"/>
        <v>-2.5755037024936891E-2</v>
      </c>
      <c r="K1072">
        <f t="shared" si="178"/>
        <v>0.25808071244247555</v>
      </c>
      <c r="L1072">
        <f>-$B$5*$B$12-IF($B$3,Tabelle2[[#This Row],[Fd]]*Tabelle2[[#This Row],[vy]]/Tabelle2[[#This Row],[v]],0)</f>
        <v>-2.2212725031971186</v>
      </c>
      <c r="M1072">
        <f t="shared" si="179"/>
        <v>-1.4808483354647457</v>
      </c>
      <c r="N1072">
        <f t="shared" si="180"/>
        <v>-2.9616966709294916E-2</v>
      </c>
      <c r="O1072">
        <f t="shared" si="181"/>
        <v>-1.671222574965108</v>
      </c>
      <c r="P1072" s="1">
        <f t="shared" si="183"/>
        <v>12.916913140636245</v>
      </c>
      <c r="Q1072" s="1">
        <f t="shared" si="184"/>
        <v>-83.546320264900757</v>
      </c>
      <c r="R1072">
        <f>SQRT(Tabelle2[[#This Row],[vx]]*Tabelle2[[#This Row],[vx]]+Tabelle2[[#This Row],[vy]]*Tabelle2[[#This Row],[vy]])</f>
        <v>84.538951228934152</v>
      </c>
      <c r="S1072">
        <f t="shared" si="185"/>
        <v>698.6801562695257</v>
      </c>
      <c r="T1072" s="1">
        <f t="shared" si="186"/>
        <v>-627.21609263000676</v>
      </c>
    </row>
    <row r="1073" spans="6:20" x14ac:dyDescent="0.35">
      <c r="F1073" s="1">
        <f t="shared" si="182"/>
        <v>21.399999999999633</v>
      </c>
      <c r="G1073">
        <f>1/2*$B$8*$B$6*$B$7*(Tabelle2[[#This Row],[vx]]*Tabelle2[[#This Row],[vx]]+Tabelle2[[#This Row],[vy]]*Tabelle2[[#This Row],[vy]])/1000000</f>
        <v>12.649747792225819</v>
      </c>
      <c r="H1073">
        <f>IF($B$3,-Tabelle2[[#This Row],[Fd]]*Tabelle2[[#This Row],[vx]]/Tabelle2[[#This Row],[v]],0)</f>
        <v>-1.928354127266428</v>
      </c>
      <c r="I1073">
        <f t="shared" si="176"/>
        <v>-1.2855694181776187</v>
      </c>
      <c r="J1073">
        <f t="shared" si="177"/>
        <v>-2.5711388363552374E-2</v>
      </c>
      <c r="K1073">
        <f t="shared" si="178"/>
        <v>0.25756604818859063</v>
      </c>
      <c r="L1073">
        <f>-$B$5*$B$12-IF($B$3,Tabelle2[[#This Row],[Fd]]*Tabelle2[[#This Row],[vy]]/Tabelle2[[#This Row],[v]],0)</f>
        <v>-2.2130973621301759</v>
      </c>
      <c r="M1073">
        <f t="shared" si="179"/>
        <v>-1.4753982414201172</v>
      </c>
      <c r="N1073">
        <f t="shared" si="180"/>
        <v>-2.9507964828402344E-2</v>
      </c>
      <c r="O1073">
        <f t="shared" si="181"/>
        <v>-1.6718138242804852</v>
      </c>
      <c r="P1073" s="1">
        <f t="shared" si="183"/>
        <v>12.891158103611309</v>
      </c>
      <c r="Q1073" s="1">
        <f t="shared" si="184"/>
        <v>-83.575937231610055</v>
      </c>
      <c r="R1073">
        <f>SQRT(Tabelle2[[#This Row],[vx]]*Tabelle2[[#This Row],[vx]]+Tabelle2[[#This Row],[vy]]*Tabelle2[[#This Row],[vy]])</f>
        <v>84.564290580565554</v>
      </c>
      <c r="S1073">
        <f t="shared" si="185"/>
        <v>698.9382369819682</v>
      </c>
      <c r="T1073" s="1">
        <f t="shared" si="186"/>
        <v>-628.88731520497186</v>
      </c>
    </row>
    <row r="1074" spans="6:20" x14ac:dyDescent="0.35">
      <c r="F1074" s="1">
        <f t="shared" si="182"/>
        <v>21.419999999999632</v>
      </c>
      <c r="G1074">
        <f>1/2*$B$8*$B$6*$B$7*(Tabelle2[[#This Row],[vx]]*Tabelle2[[#This Row],[vx]]+Tabelle2[[#This Row],[vy]]*Tabelle2[[#This Row],[vy]])/1000000</f>
        <v>12.657302744981287</v>
      </c>
      <c r="H1074">
        <f>IF($B$3,-Tabelle2[[#This Row],[Fd]]*Tabelle2[[#This Row],[vx]]/Tabelle2[[#This Row],[v]],0)</f>
        <v>-1.9250826410470412</v>
      </c>
      <c r="I1074">
        <f t="shared" si="176"/>
        <v>-1.2833884273646941</v>
      </c>
      <c r="J1074">
        <f t="shared" si="177"/>
        <v>-2.5667768547293881E-2</v>
      </c>
      <c r="K1074">
        <f t="shared" si="178"/>
        <v>0.25705225661948222</v>
      </c>
      <c r="L1074">
        <f>-$B$5*$B$12-IF($B$3,Tabelle2[[#This Row],[Fd]]*Tabelle2[[#This Row],[vy]]/Tabelle2[[#This Row],[v]],0)</f>
        <v>-2.2049492565677351</v>
      </c>
      <c r="M1074">
        <f t="shared" si="179"/>
        <v>-1.4699661710451568</v>
      </c>
      <c r="N1074">
        <f t="shared" si="180"/>
        <v>-2.9399323420903137E-2</v>
      </c>
      <c r="O1074">
        <f t="shared" si="181"/>
        <v>-1.6724028971629781</v>
      </c>
      <c r="P1074" s="1">
        <f t="shared" si="183"/>
        <v>12.865446715247757</v>
      </c>
      <c r="Q1074" s="1">
        <f t="shared" si="184"/>
        <v>-83.605445196438453</v>
      </c>
      <c r="R1074">
        <f>SQRT(Tabelle2[[#This Row],[vx]]*Tabelle2[[#This Row],[vx]]+Tabelle2[[#This Row],[vy]]*Tabelle2[[#This Row],[vy]])</f>
        <v>84.589539457769561</v>
      </c>
      <c r="S1074">
        <f t="shared" si="185"/>
        <v>699.19580303015675</v>
      </c>
      <c r="T1074" s="1">
        <f t="shared" si="186"/>
        <v>-630.55912902925229</v>
      </c>
    </row>
    <row r="1075" spans="6:20" x14ac:dyDescent="0.35">
      <c r="F1075" s="1">
        <f t="shared" si="182"/>
        <v>21.439999999999632</v>
      </c>
      <c r="G1075">
        <f>1/2*$B$8*$B$6*$B$7*(Tabelle2[[#This Row],[vx]]*Tabelle2[[#This Row],[vx]]+Tabelle2[[#This Row],[vy]]*Tabelle2[[#This Row],[vy]])/1000000</f>
        <v>12.664832952865936</v>
      </c>
      <c r="H1075">
        <f>IF($B$3,-Tabelle2[[#This Row],[Fd]]*Tabelle2[[#This Row],[vx]]/Tabelle2[[#This Row],[v]],0)</f>
        <v>-1.9218133384265943</v>
      </c>
      <c r="I1075">
        <f t="shared" si="176"/>
        <v>-1.2812088922843963</v>
      </c>
      <c r="J1075">
        <f t="shared" si="177"/>
        <v>-2.5624177845687927E-2</v>
      </c>
      <c r="K1075">
        <f t="shared" si="178"/>
        <v>0.25653933715555238</v>
      </c>
      <c r="L1075">
        <f>-$B$5*$B$12-IF($B$3,Tabelle2[[#This Row],[Fd]]*Tabelle2[[#This Row],[vy]]/Tabelle2[[#This Row],[v]],0)</f>
        <v>-2.196828120039072</v>
      </c>
      <c r="M1075">
        <f t="shared" si="179"/>
        <v>-1.4645520800260481</v>
      </c>
      <c r="N1075">
        <f t="shared" si="180"/>
        <v>-2.9291041600520963E-2</v>
      </c>
      <c r="O1075">
        <f t="shared" si="181"/>
        <v>-1.6729898008131923</v>
      </c>
      <c r="P1075" s="1">
        <f t="shared" si="183"/>
        <v>12.839778946700463</v>
      </c>
      <c r="Q1075" s="1">
        <f t="shared" si="184"/>
        <v>-83.634844519859357</v>
      </c>
      <c r="R1075">
        <f>SQRT(Tabelle2[[#This Row],[vx]]*Tabelle2[[#This Row],[vx]]+Tabelle2[[#This Row],[vy]]*Tabelle2[[#This Row],[vy]])</f>
        <v>84.614698139632821</v>
      </c>
      <c r="S1075">
        <f t="shared" si="185"/>
        <v>699.45285528677618</v>
      </c>
      <c r="T1075" s="1">
        <f t="shared" si="186"/>
        <v>-632.2315319264153</v>
      </c>
    </row>
    <row r="1076" spans="6:20" x14ac:dyDescent="0.35">
      <c r="F1076" s="1">
        <f t="shared" si="182"/>
        <v>21.459999999999631</v>
      </c>
      <c r="G1076">
        <f>1/2*$B$8*$B$6*$B$7*(Tabelle2[[#This Row],[vx]]*Tabelle2[[#This Row],[vx]]+Tabelle2[[#This Row],[vy]]*Tabelle2[[#This Row],[vy]])/1000000</f>
        <v>12.672338475211568</v>
      </c>
      <c r="H1076">
        <f>IF($B$3,-Tabelle2[[#This Row],[Fd]]*Tabelle2[[#This Row],[vx]]/Tabelle2[[#This Row],[v]],0)</f>
        <v>-1.918546239469918</v>
      </c>
      <c r="I1076">
        <f t="shared" si="176"/>
        <v>-1.2790308263132786</v>
      </c>
      <c r="J1076">
        <f t="shared" si="177"/>
        <v>-2.5580616526265573E-2</v>
      </c>
      <c r="K1076">
        <f t="shared" si="178"/>
        <v>0.25602728921183288</v>
      </c>
      <c r="L1076">
        <f>-$B$5*$B$12-IF($B$3,Tabelle2[[#This Row],[Fd]]*Tabelle2[[#This Row],[vy]]/Tabelle2[[#This Row],[v]],0)</f>
        <v>-2.1887338860559389</v>
      </c>
      <c r="M1076">
        <f t="shared" si="179"/>
        <v>-1.4591559240372927</v>
      </c>
      <c r="N1076">
        <f t="shared" si="180"/>
        <v>-2.9183118480745854E-2</v>
      </c>
      <c r="O1076">
        <f t="shared" si="181"/>
        <v>-1.6735745424140049</v>
      </c>
      <c r="P1076" s="1">
        <f t="shared" si="183"/>
        <v>12.814154768854776</v>
      </c>
      <c r="Q1076" s="1">
        <f t="shared" si="184"/>
        <v>-83.664135561459872</v>
      </c>
      <c r="R1076">
        <f>SQRT(Tabelle2[[#This Row],[vx]]*Tabelle2[[#This Row],[vx]]+Tabelle2[[#This Row],[vy]]*Tabelle2[[#This Row],[vy]])</f>
        <v>84.639766904726869</v>
      </c>
      <c r="S1076">
        <f t="shared" si="185"/>
        <v>699.70939462393176</v>
      </c>
      <c r="T1076" s="1">
        <f t="shared" si="186"/>
        <v>-633.90452172722848</v>
      </c>
    </row>
    <row r="1077" spans="6:20" x14ac:dyDescent="0.35">
      <c r="F1077" s="1">
        <f t="shared" si="182"/>
        <v>21.479999999999631</v>
      </c>
      <c r="G1077">
        <f>1/2*$B$8*$B$6*$B$7*(Tabelle2[[#This Row],[vx]]*Tabelle2[[#This Row],[vx]]+Tabelle2[[#This Row],[vy]]*Tabelle2[[#This Row],[vy]])/1000000</f>
        <v>12.679819371379907</v>
      </c>
      <c r="H1077">
        <f>IF($B$3,-Tabelle2[[#This Row],[Fd]]*Tabelle2[[#This Row],[vx]]/Tabelle2[[#This Row],[v]],0)</f>
        <v>-1.9152813640927524</v>
      </c>
      <c r="I1077">
        <f t="shared" si="176"/>
        <v>-1.2768542427285017</v>
      </c>
      <c r="J1077">
        <f t="shared" si="177"/>
        <v>-2.5537084854570034E-2</v>
      </c>
      <c r="K1077">
        <f t="shared" si="178"/>
        <v>0.2555161121980245</v>
      </c>
      <c r="L1077">
        <f>-$B$5*$B$12-IF($B$3,Tabelle2[[#This Row],[Fd]]*Tabelle2[[#This Row],[vy]]/Tabelle2[[#This Row],[v]],0)</f>
        <v>-2.1806664881143316</v>
      </c>
      <c r="M1077">
        <f t="shared" si="179"/>
        <v>-1.4537776587428877</v>
      </c>
      <c r="N1077">
        <f t="shared" si="180"/>
        <v>-2.9075553174857754E-2</v>
      </c>
      <c r="O1077">
        <f t="shared" si="181"/>
        <v>-1.674157129130561</v>
      </c>
      <c r="P1077" s="1">
        <f t="shared" si="183"/>
        <v>12.788574152328509</v>
      </c>
      <c r="Q1077" s="1">
        <f t="shared" si="184"/>
        <v>-83.693318679940617</v>
      </c>
      <c r="R1077">
        <f>SQRT(Tabelle2[[#This Row],[vx]]*Tabelle2[[#This Row],[vx]]+Tabelle2[[#This Row],[vy]]*Tabelle2[[#This Row],[vy]])</f>
        <v>84.664746031106134</v>
      </c>
      <c r="S1077">
        <f t="shared" si="185"/>
        <v>699.96542191314359</v>
      </c>
      <c r="T1077" s="1">
        <f t="shared" si="186"/>
        <v>-635.57809626964251</v>
      </c>
    </row>
    <row r="1078" spans="6:20" x14ac:dyDescent="0.35">
      <c r="F1078" s="1">
        <f t="shared" si="182"/>
        <v>21.499999999999631</v>
      </c>
      <c r="G1078">
        <f>1/2*$B$8*$B$6*$B$7*(Tabelle2[[#This Row],[vx]]*Tabelle2[[#This Row],[vx]]+Tabelle2[[#This Row],[vy]]*Tabelle2[[#This Row],[vy]])/1000000</f>
        <v>12.687275700760848</v>
      </c>
      <c r="H1078">
        <f>IF($B$3,-Tabelle2[[#This Row],[Fd]]*Tabelle2[[#This Row],[vx]]/Tabelle2[[#This Row],[v]],0)</f>
        <v>-1.9120187320623176</v>
      </c>
      <c r="I1078">
        <f t="shared" si="176"/>
        <v>-1.2746791547082117</v>
      </c>
      <c r="J1078">
        <f t="shared" si="177"/>
        <v>-2.5493583094164236E-2</v>
      </c>
      <c r="K1078">
        <f t="shared" si="178"/>
        <v>0.25500580551853719</v>
      </c>
      <c r="L1078">
        <f>-$B$5*$B$12-IF($B$3,Tabelle2[[#This Row],[Fd]]*Tabelle2[[#This Row],[vy]]/Tabelle2[[#This Row],[v]],0)</f>
        <v>-2.1726258596962786</v>
      </c>
      <c r="M1078">
        <f t="shared" si="179"/>
        <v>-1.448417239797519</v>
      </c>
      <c r="N1078">
        <f t="shared" si="180"/>
        <v>-2.8968344795950382E-2</v>
      </c>
      <c r="O1078">
        <f t="shared" si="181"/>
        <v>-1.674737568110269</v>
      </c>
      <c r="P1078" s="1">
        <f t="shared" si="183"/>
        <v>12.76303706747394</v>
      </c>
      <c r="Q1078" s="1">
        <f t="shared" si="184"/>
        <v>-83.72239423311548</v>
      </c>
      <c r="R1078">
        <f>SQRT(Tabelle2[[#This Row],[vx]]*Tabelle2[[#This Row],[vx]]+Tabelle2[[#This Row],[vy]]*Tabelle2[[#This Row],[vy]])</f>
        <v>84.689635796305808</v>
      </c>
      <c r="S1078">
        <f t="shared" si="185"/>
        <v>700.22093802534164</v>
      </c>
      <c r="T1078" s="1">
        <f t="shared" si="186"/>
        <v>-637.25225339877306</v>
      </c>
    </row>
    <row r="1079" spans="6:20" x14ac:dyDescent="0.35">
      <c r="F1079" s="1">
        <f t="shared" si="182"/>
        <v>21.51999999999963</v>
      </c>
      <c r="G1079">
        <f>1/2*$B$8*$B$6*$B$7*(Tabelle2[[#This Row],[vx]]*Tabelle2[[#This Row],[vx]]+Tabelle2[[#This Row],[vy]]*Tabelle2[[#This Row],[vy]])/1000000</f>
        <v>12.69470752277077</v>
      </c>
      <c r="H1079">
        <f>IF($B$3,-Tabelle2[[#This Row],[Fd]]*Tabelle2[[#This Row],[vx]]/Tabelle2[[#This Row],[v]],0)</f>
        <v>-1.9087583629978875</v>
      </c>
      <c r="I1079">
        <f t="shared" si="176"/>
        <v>-1.272505575331925</v>
      </c>
      <c r="J1079">
        <f t="shared" si="177"/>
        <v>-2.5450111506638499E-2</v>
      </c>
      <c r="K1079">
        <f t="shared" si="178"/>
        <v>0.25449636857252911</v>
      </c>
      <c r="L1079">
        <f>-$B$5*$B$12-IF($B$3,Tabelle2[[#This Row],[Fd]]*Tabelle2[[#This Row],[vy]]/Tabelle2[[#This Row],[v]],0)</f>
        <v>-2.1646119342715764</v>
      </c>
      <c r="M1079">
        <f t="shared" si="179"/>
        <v>-1.4430746228477176</v>
      </c>
      <c r="N1079">
        <f t="shared" si="180"/>
        <v>-2.8861492456954352E-2</v>
      </c>
      <c r="O1079">
        <f t="shared" si="181"/>
        <v>-1.6753158664827981</v>
      </c>
      <c r="P1079" s="1">
        <f t="shared" si="183"/>
        <v>12.737543484379776</v>
      </c>
      <c r="Q1079" s="1">
        <f t="shared" si="184"/>
        <v>-83.751362577911436</v>
      </c>
      <c r="R1079">
        <f>SQRT(Tabelle2[[#This Row],[vx]]*Tabelle2[[#This Row],[vx]]+Tabelle2[[#This Row],[vy]]*Tabelle2[[#This Row],[vy]])</f>
        <v>84.714436477339859</v>
      </c>
      <c r="S1079">
        <f t="shared" si="185"/>
        <v>700.47594383086016</v>
      </c>
      <c r="T1079" s="1">
        <f t="shared" si="186"/>
        <v>-638.9269909668833</v>
      </c>
    </row>
    <row r="1080" spans="6:20" x14ac:dyDescent="0.35">
      <c r="F1080" s="1">
        <f t="shared" si="182"/>
        <v>21.53999999999963</v>
      </c>
      <c r="G1080">
        <f>1/2*$B$8*$B$6*$B$7*(Tabelle2[[#This Row],[vx]]*Tabelle2[[#This Row],[vx]]+Tabelle2[[#This Row],[vy]]*Tabelle2[[#This Row],[vy]])/1000000</f>
        <v>12.702114896850803</v>
      </c>
      <c r="H1080">
        <f>IF($B$3,-Tabelle2[[#This Row],[Fd]]*Tabelle2[[#This Row],[vx]]/Tabelle2[[#This Row],[v]],0)</f>
        <v>-1.9055002763713549</v>
      </c>
      <c r="I1080">
        <f t="shared" si="176"/>
        <v>-1.2703335175809032</v>
      </c>
      <c r="J1080">
        <f t="shared" si="177"/>
        <v>-2.5406670351618064E-2</v>
      </c>
      <c r="K1080">
        <f t="shared" si="178"/>
        <v>0.25398780075394656</v>
      </c>
      <c r="L1080">
        <f>-$B$5*$B$12-IF($B$3,Tabelle2[[#This Row],[Fd]]*Tabelle2[[#This Row],[vy]]/Tabelle2[[#This Row],[v]],0)</f>
        <v>-2.1566246452995443</v>
      </c>
      <c r="M1080">
        <f t="shared" si="179"/>
        <v>-1.4377497635330296</v>
      </c>
      <c r="N1080">
        <f t="shared" si="180"/>
        <v>-2.8754995270660593E-2</v>
      </c>
      <c r="O1080">
        <f t="shared" si="181"/>
        <v>-1.6758920313600747</v>
      </c>
      <c r="P1080" s="1">
        <f t="shared" si="183"/>
        <v>12.712093372873138</v>
      </c>
      <c r="Q1080" s="1">
        <f t="shared" si="184"/>
        <v>-83.780224070368391</v>
      </c>
      <c r="R1080">
        <f>SQRT(Tabelle2[[#This Row],[vx]]*Tabelle2[[#This Row],[vx]]+Tabelle2[[#This Row],[vy]]*Tabelle2[[#This Row],[vy]])</f>
        <v>84.73914835069904</v>
      </c>
      <c r="S1080">
        <f t="shared" si="185"/>
        <v>700.73044019943268</v>
      </c>
      <c r="T1080" s="1">
        <f t="shared" si="186"/>
        <v>-640.60230683336613</v>
      </c>
    </row>
    <row r="1081" spans="6:20" x14ac:dyDescent="0.35">
      <c r="F1081" s="1">
        <f t="shared" si="182"/>
        <v>21.559999999999629</v>
      </c>
      <c r="G1081">
        <f>1/2*$B$8*$B$6*$B$7*(Tabelle2[[#This Row],[vx]]*Tabelle2[[#This Row],[vx]]+Tabelle2[[#This Row],[vy]]*Tabelle2[[#This Row],[vy]])/1000000</f>
        <v>12.709497882465183</v>
      </c>
      <c r="H1081">
        <f>IF($B$3,-Tabelle2[[#This Row],[Fd]]*Tabelle2[[#This Row],[vx]]/Tabelle2[[#This Row],[v]],0)</f>
        <v>-1.9022444915078098</v>
      </c>
      <c r="I1081">
        <f t="shared" si="176"/>
        <v>-1.26816299433854</v>
      </c>
      <c r="J1081">
        <f t="shared" si="177"/>
        <v>-2.5363259886770798E-2</v>
      </c>
      <c r="K1081">
        <f t="shared" si="178"/>
        <v>0.25348010145156269</v>
      </c>
      <c r="L1081">
        <f>-$B$5*$B$12-IF($B$3,Tabelle2[[#This Row],[Fd]]*Tabelle2[[#This Row],[vy]]/Tabelle2[[#This Row],[v]],0)</f>
        <v>-2.1486639262307161</v>
      </c>
      <c r="M1081">
        <f t="shared" si="179"/>
        <v>-1.4324426174871441</v>
      </c>
      <c r="N1081">
        <f t="shared" si="180"/>
        <v>-2.8648852349742883E-2</v>
      </c>
      <c r="O1081">
        <f t="shared" si="181"/>
        <v>-1.6764660698362783</v>
      </c>
      <c r="P1081" s="1">
        <f t="shared" si="183"/>
        <v>12.68668670252152</v>
      </c>
      <c r="Q1081" s="1">
        <f t="shared" si="184"/>
        <v>-83.808979065639051</v>
      </c>
      <c r="R1081">
        <f>SQRT(Tabelle2[[#This Row],[vx]]*Tabelle2[[#This Row],[vx]]+Tabelle2[[#This Row],[vy]]*Tabelle2[[#This Row],[vy]])</f>
        <v>84.763771692348968</v>
      </c>
      <c r="S1081">
        <f t="shared" si="185"/>
        <v>700.98442800018665</v>
      </c>
      <c r="T1081" s="1">
        <f t="shared" si="186"/>
        <v>-642.27819886472616</v>
      </c>
    </row>
    <row r="1082" spans="6:20" x14ac:dyDescent="0.35">
      <c r="F1082" s="1">
        <f t="shared" si="182"/>
        <v>21.579999999999629</v>
      </c>
      <c r="G1082">
        <f>1/2*$B$8*$B$6*$B$7*(Tabelle2[[#This Row],[vx]]*Tabelle2[[#This Row],[vx]]+Tabelle2[[#This Row],[vy]]*Tabelle2[[#This Row],[vy]])/1000000</f>
        <v>12.716856539099547</v>
      </c>
      <c r="H1082">
        <f>IF($B$3,-Tabelle2[[#This Row],[Fd]]*Tabelle2[[#This Row],[vx]]/Tabelle2[[#This Row],[v]],0)</f>
        <v>-1.898991027586107</v>
      </c>
      <c r="I1082">
        <f t="shared" si="176"/>
        <v>-1.2659940183907381</v>
      </c>
      <c r="J1082">
        <f t="shared" si="177"/>
        <v>-2.5319880367814764E-2</v>
      </c>
      <c r="K1082">
        <f t="shared" si="178"/>
        <v>0.25297327004901687</v>
      </c>
      <c r="L1082">
        <f>-$B$5*$B$12-IF($B$3,Tabelle2[[#This Row],[Fd]]*Tabelle2[[#This Row],[vy]]/Tabelle2[[#This Row],[v]],0)</f>
        <v>-2.140729710508591</v>
      </c>
      <c r="M1082">
        <f t="shared" si="179"/>
        <v>-1.4271531403390607</v>
      </c>
      <c r="N1082">
        <f t="shared" si="180"/>
        <v>-2.8543062806781216E-2</v>
      </c>
      <c r="O1082">
        <f t="shared" si="181"/>
        <v>-1.677037988987844</v>
      </c>
      <c r="P1082" s="1">
        <f t="shared" si="183"/>
        <v>12.66132344263475</v>
      </c>
      <c r="Q1082" s="1">
        <f t="shared" si="184"/>
        <v>-83.837627917988797</v>
      </c>
      <c r="R1082">
        <f>SQRT(Tabelle2[[#This Row],[vx]]*Tabelle2[[#This Row],[vx]]+Tabelle2[[#This Row],[vy]]*Tabelle2[[#This Row],[vy]])</f>
        <v>84.788306777728181</v>
      </c>
      <c r="S1082">
        <f t="shared" si="185"/>
        <v>701.23790810163825</v>
      </c>
      <c r="T1082" s="1">
        <f t="shared" si="186"/>
        <v>-643.9546649345624</v>
      </c>
    </row>
    <row r="1083" spans="6:20" x14ac:dyDescent="0.35">
      <c r="F1083" s="1">
        <f t="shared" si="182"/>
        <v>21.599999999999628</v>
      </c>
      <c r="G1083">
        <f>1/2*$B$8*$B$6*$B$7*(Tabelle2[[#This Row],[vx]]*Tabelle2[[#This Row],[vx]]+Tabelle2[[#This Row],[vy]]*Tabelle2[[#This Row],[vy]])/1000000</f>
        <v>12.724190926259304</v>
      </c>
      <c r="H1083">
        <f>IF($B$3,-Tabelle2[[#This Row],[Fd]]*Tabelle2[[#This Row],[vx]]/Tabelle2[[#This Row],[v]],0)</f>
        <v>-1.8957399036394402</v>
      </c>
      <c r="I1083">
        <f t="shared" si="176"/>
        <v>-1.2638266024262934</v>
      </c>
      <c r="J1083">
        <f t="shared" si="177"/>
        <v>-2.5276532048525868E-2</v>
      </c>
      <c r="K1083">
        <f t="shared" si="178"/>
        <v>0.25246730592485345</v>
      </c>
      <c r="L1083">
        <f>-$B$5*$B$12-IF($B$3,Tabelle2[[#This Row],[Fd]]*Tabelle2[[#This Row],[vy]]/Tabelle2[[#This Row],[v]],0)</f>
        <v>-2.1328219315712786</v>
      </c>
      <c r="M1083">
        <f t="shared" si="179"/>
        <v>-1.4218812877141858</v>
      </c>
      <c r="N1083">
        <f t="shared" si="180"/>
        <v>-2.8437625754283716E-2</v>
      </c>
      <c r="O1083">
        <f t="shared" si="181"/>
        <v>-1.6776077958734543</v>
      </c>
      <c r="P1083" s="1">
        <f t="shared" si="183"/>
        <v>12.636003562266934</v>
      </c>
      <c r="Q1083" s="1">
        <f t="shared" si="184"/>
        <v>-83.866170980795573</v>
      </c>
      <c r="R1083">
        <f>SQRT(Tabelle2[[#This Row],[vx]]*Tabelle2[[#This Row],[vx]]+Tabelle2[[#This Row],[vy]]*Tabelle2[[#This Row],[vy]])</f>
        <v>84.812753881746232</v>
      </c>
      <c r="S1083">
        <f t="shared" si="185"/>
        <v>701.49088137168724</v>
      </c>
      <c r="T1083" s="1">
        <f t="shared" si="186"/>
        <v>-645.63170292355028</v>
      </c>
    </row>
    <row r="1084" spans="6:20" x14ac:dyDescent="0.35">
      <c r="F1084" s="1">
        <f t="shared" si="182"/>
        <v>21.619999999999628</v>
      </c>
      <c r="G1084">
        <f>1/2*$B$8*$B$6*$B$7*(Tabelle2[[#This Row],[vx]]*Tabelle2[[#This Row],[vx]]+Tabelle2[[#This Row],[vy]]*Tabelle2[[#This Row],[vy]])/1000000</f>
        <v>12.73150110346797</v>
      </c>
      <c r="H1084">
        <f>IF($B$3,-Tabelle2[[#This Row],[Fd]]*Tabelle2[[#This Row],[vx]]/Tabelle2[[#This Row],[v]],0)</f>
        <v>-1.8924911385559144</v>
      </c>
      <c r="I1084">
        <f t="shared" si="176"/>
        <v>-1.2616607590372764</v>
      </c>
      <c r="J1084">
        <f t="shared" si="177"/>
        <v>-2.5233215180745529E-2</v>
      </c>
      <c r="K1084">
        <f t="shared" si="178"/>
        <v>0.25196220845256073</v>
      </c>
      <c r="L1084">
        <f>-$B$5*$B$12-IF($B$3,Tabelle2[[#This Row],[Fd]]*Tabelle2[[#This Row],[vy]]/Tabelle2[[#This Row],[v]],0)</f>
        <v>-2.1249405228532172</v>
      </c>
      <c r="M1084">
        <f t="shared" si="179"/>
        <v>-1.4166270152354781</v>
      </c>
      <c r="N1084">
        <f t="shared" si="180"/>
        <v>-2.8332540304709563E-2</v>
      </c>
      <c r="O1084">
        <f t="shared" si="181"/>
        <v>-1.6781754975340442</v>
      </c>
      <c r="P1084" s="1">
        <f t="shared" si="183"/>
        <v>12.610727030218408</v>
      </c>
      <c r="Q1084" s="1">
        <f t="shared" si="184"/>
        <v>-83.894608606549852</v>
      </c>
      <c r="R1084">
        <f>SQRT(Tabelle2[[#This Row],[vx]]*Tabelle2[[#This Row],[vx]]+Tabelle2[[#This Row],[vy]]*Tabelle2[[#This Row],[vy]])</f>
        <v>84.837113278781885</v>
      </c>
      <c r="S1084">
        <f t="shared" si="185"/>
        <v>701.74334867761206</v>
      </c>
      <c r="T1084" s="1">
        <f t="shared" si="186"/>
        <v>-647.30931071942371</v>
      </c>
    </row>
    <row r="1085" spans="6:20" x14ac:dyDescent="0.35">
      <c r="F1085" s="1">
        <f t="shared" si="182"/>
        <v>21.639999999999628</v>
      </c>
      <c r="G1085">
        <f>1/2*$B$8*$B$6*$B$7*(Tabelle2[[#This Row],[vx]]*Tabelle2[[#This Row],[vx]]+Tabelle2[[#This Row],[vy]]*Tabelle2[[#This Row],[vy]])/1000000</f>
        <v>12.738787130265562</v>
      </c>
      <c r="H1085">
        <f>IF($B$3,-Tabelle2[[#This Row],[Fd]]*Tabelle2[[#This Row],[vx]]/Tabelle2[[#This Row],[v]],0)</f>
        <v>-1.8892447510791188</v>
      </c>
      <c r="I1085">
        <f t="shared" si="176"/>
        <v>-1.2594965007194125</v>
      </c>
      <c r="J1085">
        <f t="shared" si="177"/>
        <v>-2.518993001438825E-2</v>
      </c>
      <c r="K1085">
        <f t="shared" si="178"/>
        <v>0.25145797700060935</v>
      </c>
      <c r="L1085">
        <f>-$B$5*$B$12-IF($B$3,Tabelle2[[#This Row],[Fd]]*Tabelle2[[#This Row],[vy]]/Tabelle2[[#This Row],[v]],0)</f>
        <v>-2.1170854177868179</v>
      </c>
      <c r="M1085">
        <f t="shared" si="179"/>
        <v>-1.4113902785245453</v>
      </c>
      <c r="N1085">
        <f t="shared" si="180"/>
        <v>-2.8227805570490906E-2</v>
      </c>
      <c r="O1085">
        <f t="shared" si="181"/>
        <v>-1.6787411009927959</v>
      </c>
      <c r="P1085" s="1">
        <f t="shared" si="183"/>
        <v>12.585493815037662</v>
      </c>
      <c r="Q1085" s="1">
        <f t="shared" si="184"/>
        <v>-83.922941146854555</v>
      </c>
      <c r="R1085">
        <f>SQRT(Tabelle2[[#This Row],[vx]]*Tabelle2[[#This Row],[vx]]+Tabelle2[[#This Row],[vy]]*Tabelle2[[#This Row],[vy]])</f>
        <v>84.86138524268128</v>
      </c>
      <c r="S1085">
        <f t="shared" si="185"/>
        <v>701.99531088606466</v>
      </c>
      <c r="T1085" s="1">
        <f t="shared" si="186"/>
        <v>-648.98748621695779</v>
      </c>
    </row>
    <row r="1086" spans="6:20" x14ac:dyDescent="0.35">
      <c r="F1086" s="1">
        <f t="shared" si="182"/>
        <v>21.659999999999627</v>
      </c>
      <c r="G1086">
        <f>1/2*$B$8*$B$6*$B$7*(Tabelle2[[#This Row],[vx]]*Tabelle2[[#This Row],[vx]]+Tabelle2[[#This Row],[vy]]*Tabelle2[[#This Row],[vy]])/1000000</f>
        <v>12.746049066206973</v>
      </c>
      <c r="H1086">
        <f>IF($B$3,-Tabelle2[[#This Row],[Fd]]*Tabelle2[[#This Row],[vx]]/Tabelle2[[#This Row],[v]],0)</f>
        <v>-1.8860007598086996</v>
      </c>
      <c r="I1086">
        <f t="shared" si="176"/>
        <v>-1.2573338398724665</v>
      </c>
      <c r="J1086">
        <f t="shared" si="177"/>
        <v>-2.5146676797449332E-2</v>
      </c>
      <c r="K1086">
        <f t="shared" si="178"/>
        <v>0.250954610932491</v>
      </c>
      <c r="L1086">
        <f>-$B$5*$B$12-IF($B$3,Tabelle2[[#This Row],[Fd]]*Tabelle2[[#This Row],[vy]]/Tabelle2[[#This Row],[v]],0)</f>
        <v>-2.1092565498041065</v>
      </c>
      <c r="M1086">
        <f t="shared" si="179"/>
        <v>-1.4061710332027377</v>
      </c>
      <c r="N1086">
        <f t="shared" si="180"/>
        <v>-2.8123420664054755E-2</v>
      </c>
      <c r="O1086">
        <f t="shared" si="181"/>
        <v>-1.6793046132551417</v>
      </c>
      <c r="P1086" s="1">
        <f t="shared" si="183"/>
        <v>12.560303885023274</v>
      </c>
      <c r="Q1086" s="1">
        <f t="shared" si="184"/>
        <v>-83.95116895242505</v>
      </c>
      <c r="R1086">
        <f>SQRT(Tabelle2[[#This Row],[vx]]*Tabelle2[[#This Row],[vx]]+Tabelle2[[#This Row],[vy]]*Tabelle2[[#This Row],[vy]])</f>
        <v>84.885570046756158</v>
      </c>
      <c r="S1086">
        <f t="shared" si="185"/>
        <v>702.24676886306531</v>
      </c>
      <c r="T1086" s="1">
        <f t="shared" si="186"/>
        <v>-650.66622731795064</v>
      </c>
    </row>
    <row r="1087" spans="6:20" x14ac:dyDescent="0.35">
      <c r="F1087" s="1">
        <f t="shared" si="182"/>
        <v>21.679999999999627</v>
      </c>
      <c r="G1087">
        <f>1/2*$B$8*$B$6*$B$7*(Tabelle2[[#This Row],[vx]]*Tabelle2[[#This Row],[vx]]+Tabelle2[[#This Row],[vy]]*Tabelle2[[#This Row],[vy]])/1000000</f>
        <v>12.753286970860362</v>
      </c>
      <c r="H1087">
        <f>IF($B$3,-Tabelle2[[#This Row],[Fd]]*Tabelle2[[#This Row],[vx]]/Tabelle2[[#This Row],[v]],0)</f>
        <v>-1.8827591832009327</v>
      </c>
      <c r="I1087">
        <f t="shared" si="176"/>
        <v>-1.2551727888006219</v>
      </c>
      <c r="J1087">
        <f t="shared" si="177"/>
        <v>-2.5103455776012439E-2</v>
      </c>
      <c r="K1087">
        <f t="shared" si="178"/>
        <v>0.25045210960675635</v>
      </c>
      <c r="L1087">
        <f>-$B$5*$B$12-IF($B$3,Tabelle2[[#This Row],[Fd]]*Tabelle2[[#This Row],[vy]]/Tabelle2[[#This Row],[v]],0)</f>
        <v>-2.1014538523383841</v>
      </c>
      <c r="M1087">
        <f t="shared" si="179"/>
        <v>-1.400969234892256</v>
      </c>
      <c r="N1087">
        <f t="shared" si="180"/>
        <v>-2.801938469784512E-2</v>
      </c>
      <c r="O1087">
        <f t="shared" si="181"/>
        <v>-1.6798660413087607</v>
      </c>
      <c r="P1087" s="1">
        <f t="shared" si="183"/>
        <v>12.535157208225824</v>
      </c>
      <c r="Q1087" s="1">
        <f t="shared" si="184"/>
        <v>-83.979292373089109</v>
      </c>
      <c r="R1087">
        <f>SQRT(Tabelle2[[#This Row],[vx]]*Tabelle2[[#This Row],[vx]]+Tabelle2[[#This Row],[vy]]*Tabelle2[[#This Row],[vy]])</f>
        <v>84.90966796378207</v>
      </c>
      <c r="S1087">
        <f t="shared" si="185"/>
        <v>702.49772347399778</v>
      </c>
      <c r="T1087" s="1">
        <f t="shared" si="186"/>
        <v>-652.34553193120576</v>
      </c>
    </row>
    <row r="1088" spans="6:20" x14ac:dyDescent="0.35">
      <c r="F1088" s="1">
        <f t="shared" si="182"/>
        <v>21.699999999999626</v>
      </c>
      <c r="G1088">
        <f>1/2*$B$8*$B$6*$B$7*(Tabelle2[[#This Row],[vx]]*Tabelle2[[#This Row],[vx]]+Tabelle2[[#This Row],[vy]]*Tabelle2[[#This Row],[vy]])/1000000</f>
        <v>12.760500903805584</v>
      </c>
      <c r="H1088">
        <f>IF($B$3,-Tabelle2[[#This Row],[Fd]]*Tabelle2[[#This Row],[vx]]/Tabelle2[[#This Row],[v]],0)</f>
        <v>-1.8795200395692995</v>
      </c>
      <c r="I1088">
        <f t="shared" si="176"/>
        <v>-1.2530133597128663</v>
      </c>
      <c r="J1088">
        <f t="shared" si="177"/>
        <v>-2.5060267194257326E-2</v>
      </c>
      <c r="K1088">
        <f t="shared" si="178"/>
        <v>0.24995047237705367</v>
      </c>
      <c r="L1088">
        <f>-$B$5*$B$12-IF($B$3,Tabelle2[[#This Row],[Fd]]*Tabelle2[[#This Row],[vy]]/Tabelle2[[#This Row],[v]],0)</f>
        <v>-2.093677258825819</v>
      </c>
      <c r="M1088">
        <f t="shared" si="179"/>
        <v>-1.3957848392172127</v>
      </c>
      <c r="N1088">
        <f t="shared" si="180"/>
        <v>-2.7915696784344256E-2</v>
      </c>
      <c r="O1088">
        <f t="shared" si="181"/>
        <v>-1.6804253921235823</v>
      </c>
      <c r="P1088" s="1">
        <f t="shared" si="183"/>
        <v>12.510053752449812</v>
      </c>
      <c r="Q1088" s="1">
        <f t="shared" si="184"/>
        <v>-84.007311757786951</v>
      </c>
      <c r="R1088">
        <f>SQRT(Tabelle2[[#This Row],[vx]]*Tabelle2[[#This Row],[vx]]+Tabelle2[[#This Row],[vy]]*Tabelle2[[#This Row],[vy]])</f>
        <v>84.933679265996673</v>
      </c>
      <c r="S1088">
        <f t="shared" si="185"/>
        <v>702.74817558360451</v>
      </c>
      <c r="T1088" s="1">
        <f t="shared" si="186"/>
        <v>-654.0253979725145</v>
      </c>
    </row>
    <row r="1089" spans="6:20" x14ac:dyDescent="0.35">
      <c r="F1089" s="1">
        <f t="shared" si="182"/>
        <v>21.719999999999626</v>
      </c>
      <c r="G1089">
        <f>1/2*$B$8*$B$6*$B$7*(Tabelle2[[#This Row],[vx]]*Tabelle2[[#This Row],[vx]]+Tabelle2[[#This Row],[vy]]*Tabelle2[[#This Row],[vy]])/1000000</f>
        <v>12.767690924632619</v>
      </c>
      <c r="H1089">
        <f>IF($B$3,-Tabelle2[[#This Row],[Fd]]*Tabelle2[[#This Row],[vx]]/Tabelle2[[#This Row],[v]],0)</f>
        <v>-1.8762833470850577</v>
      </c>
      <c r="I1089">
        <f t="shared" si="176"/>
        <v>-1.2508555647233719</v>
      </c>
      <c r="J1089">
        <f t="shared" si="177"/>
        <v>-2.5017111294467438E-2</v>
      </c>
      <c r="K1089">
        <f t="shared" si="178"/>
        <v>0.24944969859216642</v>
      </c>
      <c r="L1089">
        <f>-$B$5*$B$12-IF($B$3,Tabelle2[[#This Row],[Fd]]*Tabelle2[[#This Row],[vy]]/Tabelle2[[#This Row],[v]],0)</f>
        <v>-2.0859267027070647</v>
      </c>
      <c r="M1089">
        <f t="shared" si="179"/>
        <v>-1.3906178018047097</v>
      </c>
      <c r="N1089">
        <f t="shared" si="180"/>
        <v>-2.7812356036094193E-2</v>
      </c>
      <c r="O1089">
        <f t="shared" si="181"/>
        <v>-1.6809826726517869</v>
      </c>
      <c r="P1089" s="1">
        <f t="shared" si="183"/>
        <v>12.484993485255554</v>
      </c>
      <c r="Q1089" s="1">
        <f t="shared" si="184"/>
        <v>-84.035227454571299</v>
      </c>
      <c r="R1089">
        <f>SQRT(Tabelle2[[#This Row],[vx]]*Tabelle2[[#This Row],[vx]]+Tabelle2[[#This Row],[vy]]*Tabelle2[[#This Row],[vy]])</f>
        <v>84.957604225098109</v>
      </c>
      <c r="S1089">
        <f t="shared" si="185"/>
        <v>702.99812605598152</v>
      </c>
      <c r="T1089" s="1">
        <f t="shared" si="186"/>
        <v>-655.70582336463804</v>
      </c>
    </row>
    <row r="1090" spans="6:20" x14ac:dyDescent="0.35">
      <c r="F1090" s="1">
        <f t="shared" si="182"/>
        <v>21.739999999999625</v>
      </c>
      <c r="G1090">
        <f>1/2*$B$8*$B$6*$B$7*(Tabelle2[[#This Row],[vx]]*Tabelle2[[#This Row],[vx]]+Tabelle2[[#This Row],[vy]]*Tabelle2[[#This Row],[vy]])/1000000</f>
        <v>12.774857092940001</v>
      </c>
      <c r="H1090">
        <f>IF($B$3,-Tabelle2[[#This Row],[Fd]]*Tabelle2[[#This Row],[vx]]/Tabelle2[[#This Row],[v]],0)</f>
        <v>-1.8730491237778177</v>
      </c>
      <c r="I1090">
        <f t="shared" si="176"/>
        <v>-1.2486994158518785</v>
      </c>
      <c r="J1090">
        <f t="shared" si="177"/>
        <v>-2.4973988317037569E-2</v>
      </c>
      <c r="K1090">
        <f t="shared" si="178"/>
        <v>0.24894978759605138</v>
      </c>
      <c r="L1090">
        <f>-$B$5*$B$12-IF($B$3,Tabelle2[[#This Row],[Fd]]*Tabelle2[[#This Row],[vy]]/Tabelle2[[#This Row],[v]],0)</f>
        <v>-2.0782021174288534</v>
      </c>
      <c r="M1090">
        <f t="shared" si="179"/>
        <v>-1.3854680782859023</v>
      </c>
      <c r="N1090">
        <f t="shared" si="180"/>
        <v>-2.7709361565718047E-2</v>
      </c>
      <c r="O1090">
        <f t="shared" si="181"/>
        <v>-1.6815378898278051</v>
      </c>
      <c r="P1090" s="1">
        <f t="shared" si="183"/>
        <v>12.459976373961087</v>
      </c>
      <c r="Q1090" s="1">
        <f t="shared" si="184"/>
        <v>-84.063039810607393</v>
      </c>
      <c r="R1090">
        <f>SQRT(Tabelle2[[#This Row],[vx]]*Tabelle2[[#This Row],[vx]]+Tabelle2[[#This Row],[vy]]*Tabelle2[[#This Row],[vy]])</f>
        <v>84.981443112243227</v>
      </c>
      <c r="S1090">
        <f t="shared" si="185"/>
        <v>703.24757575457363</v>
      </c>
      <c r="T1090" s="1">
        <f t="shared" si="186"/>
        <v>-657.38680603728983</v>
      </c>
    </row>
    <row r="1091" spans="6:20" x14ac:dyDescent="0.35">
      <c r="F1091" s="1">
        <f t="shared" si="182"/>
        <v>21.759999999999625</v>
      </c>
      <c r="G1091">
        <f>1/2*$B$8*$B$6*$B$7*(Tabelle2[[#This Row],[vx]]*Tabelle2[[#This Row],[vx]]+Tabelle2[[#This Row],[vy]]*Tabelle2[[#This Row],[vy]])/1000000</f>
        <v>12.781999468333273</v>
      </c>
      <c r="H1091">
        <f>IF($B$3,-Tabelle2[[#This Row],[Fd]]*Tabelle2[[#This Row],[vx]]/Tabelle2[[#This Row],[v]],0)</f>
        <v>-1.869817387536113</v>
      </c>
      <c r="I1091">
        <f t="shared" ref="I1091:I1154" si="187">H1091/$B$5</f>
        <v>-1.2465449250240754</v>
      </c>
      <c r="J1091">
        <f t="shared" ref="J1091:J1154" si="188">I1091*$B$13</f>
        <v>-2.493089850048151E-2</v>
      </c>
      <c r="K1091">
        <f t="shared" ref="K1091:K1154" si="189">$B$13*(P1091+J1091/2)</f>
        <v>0.24845073872787615</v>
      </c>
      <c r="L1091">
        <f>-$B$5*$B$12-IF($B$3,Tabelle2[[#This Row],[Fd]]*Tabelle2[[#This Row],[vy]]/Tabelle2[[#This Row],[v]],0)</f>
        <v>-2.0705034364455734</v>
      </c>
      <c r="M1091">
        <f t="shared" ref="M1091:M1154" si="190">L1091/$B$5</f>
        <v>-1.380335624297049</v>
      </c>
      <c r="N1091">
        <f t="shared" ref="N1091:N1154" si="191">M1091*$B$13</f>
        <v>-2.760671248594098E-2</v>
      </c>
      <c r="O1091">
        <f t="shared" ref="O1091:O1154" si="192">$B$13*(Q1091+N1091/2)</f>
        <v>-1.6820910505683215</v>
      </c>
      <c r="P1091" s="1">
        <f t="shared" si="183"/>
        <v>12.435002385644049</v>
      </c>
      <c r="Q1091" s="1">
        <f t="shared" si="184"/>
        <v>-84.090749172173105</v>
      </c>
      <c r="R1091">
        <f>SQRT(Tabelle2[[#This Row],[vx]]*Tabelle2[[#This Row],[vx]]+Tabelle2[[#This Row],[vy]]*Tabelle2[[#This Row],[vy]])</f>
        <v>85.005196198046065</v>
      </c>
      <c r="S1091">
        <f t="shared" si="185"/>
        <v>703.49652554216971</v>
      </c>
      <c r="T1091" s="1">
        <f t="shared" si="186"/>
        <v>-659.06834392711767</v>
      </c>
    </row>
    <row r="1092" spans="6:20" x14ac:dyDescent="0.35">
      <c r="F1092" s="1">
        <f t="shared" ref="F1092:F1155" si="193">F1091+$B$13</f>
        <v>21.779999999999625</v>
      </c>
      <c r="G1092">
        <f>1/2*$B$8*$B$6*$B$7*(Tabelle2[[#This Row],[vx]]*Tabelle2[[#This Row],[vx]]+Tabelle2[[#This Row],[vy]]*Tabelle2[[#This Row],[vy]])/1000000</f>
        <v>12.789118110423475</v>
      </c>
      <c r="H1092">
        <f>IF($B$3,-Tabelle2[[#This Row],[Fd]]*Tabelle2[[#This Row],[vx]]/Tabelle2[[#This Row],[v]],0)</f>
        <v>-1.8665881561079789</v>
      </c>
      <c r="I1092">
        <f t="shared" si="187"/>
        <v>-1.2443921040719859</v>
      </c>
      <c r="J1092">
        <f t="shared" si="188"/>
        <v>-2.4887842081439716E-2</v>
      </c>
      <c r="K1092">
        <f t="shared" si="189"/>
        <v>0.24795255132205693</v>
      </c>
      <c r="L1092">
        <f>-$B$5*$B$12-IF($B$3,Tabelle2[[#This Row],[Fd]]*Tabelle2[[#This Row],[vy]]/Tabelle2[[#This Row],[v]],0)</f>
        <v>-2.0628305932208146</v>
      </c>
      <c r="M1092">
        <f t="shared" si="190"/>
        <v>-1.3752203954805431</v>
      </c>
      <c r="N1092">
        <f t="shared" si="191"/>
        <v>-2.7504407909610864E-2</v>
      </c>
      <c r="O1092">
        <f t="shared" si="192"/>
        <v>-1.6826421617722773</v>
      </c>
      <c r="P1092" s="1">
        <f t="shared" ref="P1092:P1155" si="194">P1091+J1091</f>
        <v>12.410071487143567</v>
      </c>
      <c r="Q1092" s="1">
        <f t="shared" ref="Q1092:Q1155" si="195">Q1091+N1091</f>
        <v>-84.118355884659053</v>
      </c>
      <c r="R1092">
        <f>SQRT(Tabelle2[[#This Row],[vx]]*Tabelle2[[#This Row],[vx]]+Tabelle2[[#This Row],[vy]]*Tabelle2[[#This Row],[vy]])</f>
        <v>85.0288637525762</v>
      </c>
      <c r="S1092">
        <f t="shared" ref="S1092:S1155" si="196">S1091+K1091</f>
        <v>703.74497628089762</v>
      </c>
      <c r="T1092" s="1">
        <f t="shared" ref="T1092:T1155" si="197">T1091+O1091</f>
        <v>-660.75043497768604</v>
      </c>
    </row>
    <row r="1093" spans="6:20" x14ac:dyDescent="0.35">
      <c r="F1093" s="1">
        <f t="shared" si="193"/>
        <v>21.799999999999624</v>
      </c>
      <c r="G1093">
        <f>1/2*$B$8*$B$6*$B$7*(Tabelle2[[#This Row],[vx]]*Tabelle2[[#This Row],[vx]]+Tabelle2[[#This Row],[vy]]*Tabelle2[[#This Row],[vy]])/1000000</f>
        <v>12.796213078825604</v>
      </c>
      <c r="H1093">
        <f>IF($B$3,-Tabelle2[[#This Row],[Fd]]*Tabelle2[[#This Row],[vx]]/Tabelle2[[#This Row],[v]],0)</f>
        <v>-1.8633614471015223</v>
      </c>
      <c r="I1093">
        <f t="shared" si="187"/>
        <v>-1.2422409647343482</v>
      </c>
      <c r="J1093">
        <f t="shared" si="188"/>
        <v>-2.4844819294686963E-2</v>
      </c>
      <c r="K1093">
        <f t="shared" si="189"/>
        <v>0.2474552247082957</v>
      </c>
      <c r="L1093">
        <f>-$B$5*$B$12-IF($B$3,Tabelle2[[#This Row],[Fd]]*Tabelle2[[#This Row],[vy]]/Tabelle2[[#This Row],[v]],0)</f>
        <v>-2.0551835212289458</v>
      </c>
      <c r="M1093">
        <f t="shared" si="190"/>
        <v>-1.3701223474859638</v>
      </c>
      <c r="N1093">
        <f t="shared" si="191"/>
        <v>-2.7402446949719276E-2</v>
      </c>
      <c r="O1093">
        <f t="shared" si="192"/>
        <v>-1.6831912303208705</v>
      </c>
      <c r="P1093" s="1">
        <f t="shared" si="194"/>
        <v>12.385183645062128</v>
      </c>
      <c r="Q1093" s="1">
        <f t="shared" si="195"/>
        <v>-84.145860292568671</v>
      </c>
      <c r="R1093">
        <f>SQRT(Tabelle2[[#This Row],[vx]]*Tabelle2[[#This Row],[vx]]+Tabelle2[[#This Row],[vy]]*Tabelle2[[#This Row],[vy]])</f>
        <v>85.052446045357215</v>
      </c>
      <c r="S1093">
        <f t="shared" si="196"/>
        <v>703.99292883221972</v>
      </c>
      <c r="T1093" s="1">
        <f t="shared" si="197"/>
        <v>-662.43307713945831</v>
      </c>
    </row>
    <row r="1094" spans="6:20" x14ac:dyDescent="0.35">
      <c r="F1094" s="1">
        <f t="shared" si="193"/>
        <v>21.819999999999624</v>
      </c>
      <c r="G1094">
        <f>1/2*$B$8*$B$6*$B$7*(Tabelle2[[#This Row],[vx]]*Tabelle2[[#This Row],[vx]]+Tabelle2[[#This Row],[vy]]*Tabelle2[[#This Row],[vy]])/1000000</f>
        <v>12.803284433157112</v>
      </c>
      <c r="H1094">
        <f>IF($B$3,-Tabelle2[[#This Row],[Fd]]*Tabelle2[[#This Row],[vx]]/Tabelle2[[#This Row],[v]],0)</f>
        <v>-1.8601372779854966</v>
      </c>
      <c r="I1094">
        <f t="shared" si="187"/>
        <v>-1.2400915186569976</v>
      </c>
      <c r="J1094">
        <f t="shared" si="188"/>
        <v>-2.4801830373139953E-2</v>
      </c>
      <c r="K1094">
        <f t="shared" si="189"/>
        <v>0.24695875821161742</v>
      </c>
      <c r="L1094">
        <f>-$B$5*$B$12-IF($B$3,Tabelle2[[#This Row],[Fd]]*Tabelle2[[#This Row],[vy]]/Tabelle2[[#This Row],[v]],0)</f>
        <v>-2.0475621539566298</v>
      </c>
      <c r="M1094">
        <f t="shared" si="190"/>
        <v>-1.3650414359710865</v>
      </c>
      <c r="N1094">
        <f t="shared" si="191"/>
        <v>-2.730082871942173E-2</v>
      </c>
      <c r="O1094">
        <f t="shared" si="192"/>
        <v>-1.6837382630775621</v>
      </c>
      <c r="P1094" s="1">
        <f t="shared" si="194"/>
        <v>12.360338825767441</v>
      </c>
      <c r="Q1094" s="1">
        <f t="shared" si="195"/>
        <v>-84.173262739518393</v>
      </c>
      <c r="R1094">
        <f>SQRT(Tabelle2[[#This Row],[vx]]*Tabelle2[[#This Row],[vx]]+Tabelle2[[#This Row],[vy]]*Tabelle2[[#This Row],[vy]])</f>
        <v>85.07594334536509</v>
      </c>
      <c r="S1094">
        <f t="shared" si="196"/>
        <v>704.24038405692806</v>
      </c>
      <c r="T1094" s="1">
        <f t="shared" si="197"/>
        <v>-664.11626836977916</v>
      </c>
    </row>
    <row r="1095" spans="6:20" x14ac:dyDescent="0.35">
      <c r="F1095" s="1">
        <f t="shared" si="193"/>
        <v>21.839999999999623</v>
      </c>
      <c r="G1095">
        <f>1/2*$B$8*$B$6*$B$7*(Tabelle2[[#This Row],[vx]]*Tabelle2[[#This Row],[vx]]+Tabelle2[[#This Row],[vy]]*Tabelle2[[#This Row],[vy]])/1000000</f>
        <v>12.810332233036434</v>
      </c>
      <c r="H1095">
        <f>IF($B$3,-Tabelle2[[#This Row],[Fd]]*Tabelle2[[#This Row],[vx]]/Tabelle2[[#This Row],[v]],0)</f>
        <v>-1.8569156660898771</v>
      </c>
      <c r="I1095">
        <f t="shared" si="187"/>
        <v>-1.2379437773932513</v>
      </c>
      <c r="J1095">
        <f t="shared" si="188"/>
        <v>-2.4758875547865027E-2</v>
      </c>
      <c r="K1095">
        <f t="shared" si="189"/>
        <v>0.24646315115240738</v>
      </c>
      <c r="L1095">
        <f>-$B$5*$B$12-IF($B$3,Tabelle2[[#This Row],[Fd]]*Tabelle2[[#This Row],[vy]]/Tabelle2[[#This Row],[v]],0)</f>
        <v>-2.0399664249043443</v>
      </c>
      <c r="M1095">
        <f t="shared" si="190"/>
        <v>-1.3599776166028963</v>
      </c>
      <c r="N1095">
        <f t="shared" si="191"/>
        <v>-2.7199552332057925E-2</v>
      </c>
      <c r="O1095">
        <f t="shared" si="192"/>
        <v>-1.6842832668880769</v>
      </c>
      <c r="P1095" s="1">
        <f t="shared" si="194"/>
        <v>12.335536995394301</v>
      </c>
      <c r="Q1095" s="1">
        <f t="shared" si="195"/>
        <v>-84.200563568237811</v>
      </c>
      <c r="R1095">
        <f>SQRT(Tabelle2[[#This Row],[vx]]*Tabelle2[[#This Row],[vx]]+Tabelle2[[#This Row],[vy]]*Tabelle2[[#This Row],[vy]])</f>
        <v>85.099355921026799</v>
      </c>
      <c r="S1095">
        <f t="shared" si="196"/>
        <v>704.48734281513964</v>
      </c>
      <c r="T1095" s="1">
        <f t="shared" si="197"/>
        <v>-665.80000663285671</v>
      </c>
    </row>
    <row r="1096" spans="6:20" x14ac:dyDescent="0.35">
      <c r="F1096" s="1">
        <f t="shared" si="193"/>
        <v>21.859999999999623</v>
      </c>
      <c r="G1096">
        <f>1/2*$B$8*$B$6*$B$7*(Tabelle2[[#This Row],[vx]]*Tabelle2[[#This Row],[vx]]+Tabelle2[[#This Row],[vy]]*Tabelle2[[#This Row],[vy]])/1000000</f>
        <v>12.817356538081489</v>
      </c>
      <c r="H1096">
        <f>IF($B$3,-Tabelle2[[#This Row],[Fd]]*Tabelle2[[#This Row],[vx]]/Tabelle2[[#This Row],[v]],0)</f>
        <v>-1.8536966286064336</v>
      </c>
      <c r="I1096">
        <f t="shared" si="187"/>
        <v>-1.2357977524042891</v>
      </c>
      <c r="J1096">
        <f t="shared" si="188"/>
        <v>-2.4715955048085783E-2</v>
      </c>
      <c r="K1096">
        <f t="shared" si="189"/>
        <v>0.24596840284644786</v>
      </c>
      <c r="L1096">
        <f>-$B$5*$B$12-IF($B$3,Tabelle2[[#This Row],[Fd]]*Tabelle2[[#This Row],[vy]]/Tabelle2[[#This Row],[v]],0)</f>
        <v>-2.0323962675878953</v>
      </c>
      <c r="M1096">
        <f t="shared" si="190"/>
        <v>-1.3549308450585968</v>
      </c>
      <c r="N1096">
        <f t="shared" si="191"/>
        <v>-2.7098616901171938E-2</v>
      </c>
      <c r="O1096">
        <f t="shared" si="192"/>
        <v>-1.6848262485804093</v>
      </c>
      <c r="P1096" s="1">
        <f t="shared" si="194"/>
        <v>12.310778119846436</v>
      </c>
      <c r="Q1096" s="1">
        <f t="shared" si="195"/>
        <v>-84.227763120569875</v>
      </c>
      <c r="R1096">
        <f>SQRT(Tabelle2[[#This Row],[vx]]*Tabelle2[[#This Row],[vx]]+Tabelle2[[#This Row],[vy]]*Tabelle2[[#This Row],[vy]])</f>
        <v>85.1226840402188</v>
      </c>
      <c r="S1096">
        <f t="shared" si="196"/>
        <v>704.73380596629204</v>
      </c>
      <c r="T1096" s="1">
        <f t="shared" si="197"/>
        <v>-667.48428989974479</v>
      </c>
    </row>
    <row r="1097" spans="6:20" x14ac:dyDescent="0.35">
      <c r="F1097" s="1">
        <f t="shared" si="193"/>
        <v>21.879999999999622</v>
      </c>
      <c r="G1097">
        <f>1/2*$B$8*$B$6*$B$7*(Tabelle2[[#This Row],[vx]]*Tabelle2[[#This Row],[vx]]+Tabelle2[[#This Row],[vy]]*Tabelle2[[#This Row],[vy]])/1000000</f>
        <v>12.824357407908233</v>
      </c>
      <c r="H1097">
        <f>IF($B$3,-Tabelle2[[#This Row],[Fd]]*Tabelle2[[#This Row],[vx]]/Tabelle2[[#This Row],[v]],0)</f>
        <v>-1.850480182589304</v>
      </c>
      <c r="I1097">
        <f t="shared" si="187"/>
        <v>-1.2336534550595359</v>
      </c>
      <c r="J1097">
        <f t="shared" si="188"/>
        <v>-2.4673069101190718E-2</v>
      </c>
      <c r="K1097">
        <f t="shared" si="189"/>
        <v>0.24547451260495512</v>
      </c>
      <c r="L1097">
        <f>-$B$5*$B$12-IF($B$3,Tabelle2[[#This Row],[Fd]]*Tabelle2[[#This Row],[vy]]/Tabelle2[[#This Row],[v]],0)</f>
        <v>-2.0248516155399123</v>
      </c>
      <c r="M1097">
        <f t="shared" si="190"/>
        <v>-1.3499010770266082</v>
      </c>
      <c r="N1097">
        <f t="shared" si="191"/>
        <v>-2.6998021540532165E-2</v>
      </c>
      <c r="O1097">
        <f t="shared" si="192"/>
        <v>-1.6853672149648262</v>
      </c>
      <c r="P1097" s="1">
        <f t="shared" si="194"/>
        <v>12.28606216479835</v>
      </c>
      <c r="Q1097" s="1">
        <f t="shared" si="195"/>
        <v>-84.254861737471046</v>
      </c>
      <c r="R1097">
        <f>SQRT(Tabelle2[[#This Row],[vx]]*Tabelle2[[#This Row],[vx]]+Tabelle2[[#This Row],[vy]]*Tabelle2[[#This Row],[vy]])</f>
        <v>85.145927970265575</v>
      </c>
      <c r="S1097">
        <f t="shared" si="196"/>
        <v>704.97977436913845</v>
      </c>
      <c r="T1097" s="1">
        <f t="shared" si="197"/>
        <v>-669.1691161483252</v>
      </c>
    </row>
    <row r="1098" spans="6:20" x14ac:dyDescent="0.35">
      <c r="F1098" s="1">
        <f t="shared" si="193"/>
        <v>21.899999999999622</v>
      </c>
      <c r="G1098">
        <f>1/2*$B$8*$B$6*$B$7*(Tabelle2[[#This Row],[vx]]*Tabelle2[[#This Row],[vx]]+Tabelle2[[#This Row],[vy]]*Tabelle2[[#This Row],[vy]])/1000000</f>
        <v>12.83133490212918</v>
      </c>
      <c r="H1098">
        <f>IF($B$3,-Tabelle2[[#This Row],[Fd]]*Tabelle2[[#This Row],[vx]]/Tabelle2[[#This Row],[v]],0)</f>
        <v>-1.847266344955568</v>
      </c>
      <c r="I1098">
        <f t="shared" si="187"/>
        <v>-1.2315108966370454</v>
      </c>
      <c r="J1098">
        <f t="shared" si="188"/>
        <v>-2.4630217932740908E-2</v>
      </c>
      <c r="K1098">
        <f t="shared" si="189"/>
        <v>0.24498147973461579</v>
      </c>
      <c r="L1098">
        <f>-$B$5*$B$12-IF($B$3,Tabelle2[[#This Row],[Fd]]*Tabelle2[[#This Row],[vy]]/Tabelle2[[#This Row],[v]],0)</f>
        <v>-2.0173324023113235</v>
      </c>
      <c r="M1098">
        <f t="shared" si="190"/>
        <v>-1.3448882682075489</v>
      </c>
      <c r="N1098">
        <f t="shared" si="191"/>
        <v>-2.6897765364150977E-2</v>
      </c>
      <c r="O1098">
        <f t="shared" si="192"/>
        <v>-1.6859061728338731</v>
      </c>
      <c r="P1098" s="1">
        <f t="shared" si="194"/>
        <v>12.26138909569716</v>
      </c>
      <c r="Q1098" s="1">
        <f t="shared" si="195"/>
        <v>-84.281859759011581</v>
      </c>
      <c r="R1098">
        <f>SQRT(Tabelle2[[#This Row],[vx]]*Tabelle2[[#This Row],[vx]]+Tabelle2[[#This Row],[vy]]*Tabelle2[[#This Row],[vy]])</f>
        <v>85.169087977938204</v>
      </c>
      <c r="S1098">
        <f t="shared" si="196"/>
        <v>705.22524888174337</v>
      </c>
      <c r="T1098" s="1">
        <f t="shared" si="197"/>
        <v>-670.85448336329</v>
      </c>
    </row>
    <row r="1099" spans="6:20" x14ac:dyDescent="0.35">
      <c r="F1099" s="1">
        <f t="shared" si="193"/>
        <v>21.919999999999622</v>
      </c>
      <c r="G1099">
        <f>1/2*$B$8*$B$6*$B$7*(Tabelle2[[#This Row],[vx]]*Tabelle2[[#This Row],[vx]]+Tabelle2[[#This Row],[vy]]*Tabelle2[[#This Row],[vy]])/1000000</f>
        <v>12.838289080352004</v>
      </c>
      <c r="H1099">
        <f>IF($B$3,-Tabelle2[[#This Row],[Fd]]*Tabelle2[[#This Row],[vx]]/Tabelle2[[#This Row],[v]],0)</f>
        <v>-1.8440551324858216</v>
      </c>
      <c r="I1099">
        <f t="shared" si="187"/>
        <v>-1.2293700883238812</v>
      </c>
      <c r="J1099">
        <f t="shared" si="188"/>
        <v>-2.4587401766477623E-2</v>
      </c>
      <c r="K1099">
        <f t="shared" si="189"/>
        <v>0.2444893035376236</v>
      </c>
      <c r="L1099">
        <f>-$B$5*$B$12-IF($B$3,Tabelle2[[#This Row],[Fd]]*Tabelle2[[#This Row],[vy]]/Tabelle2[[#This Row],[v]],0)</f>
        <v>-2.0098385614728134</v>
      </c>
      <c r="M1099">
        <f t="shared" si="190"/>
        <v>-1.3398923743152089</v>
      </c>
      <c r="N1099">
        <f t="shared" si="191"/>
        <v>-2.6797847486304177E-2</v>
      </c>
      <c r="O1099">
        <f t="shared" si="192"/>
        <v>-1.6864431289623778</v>
      </c>
      <c r="P1099" s="1">
        <f t="shared" si="194"/>
        <v>12.236758877764419</v>
      </c>
      <c r="Q1099" s="1">
        <f t="shared" si="195"/>
        <v>-84.308757524375736</v>
      </c>
      <c r="R1099">
        <f>SQRT(Tabelle2[[#This Row],[vx]]*Tabelle2[[#This Row],[vx]]+Tabelle2[[#This Row],[vy]]*Tabelle2[[#This Row],[vy]])</f>
        <v>85.192164329453021</v>
      </c>
      <c r="S1099">
        <f t="shared" si="196"/>
        <v>705.470230361478</v>
      </c>
      <c r="T1099" s="1">
        <f t="shared" si="197"/>
        <v>-672.54038953612383</v>
      </c>
    </row>
    <row r="1100" spans="6:20" x14ac:dyDescent="0.35">
      <c r="F1100" s="1">
        <f t="shared" si="193"/>
        <v>21.939999999999621</v>
      </c>
      <c r="G1100">
        <f>1/2*$B$8*$B$6*$B$7*(Tabelle2[[#This Row],[vx]]*Tabelle2[[#This Row],[vx]]+Tabelle2[[#This Row],[vy]]*Tabelle2[[#This Row],[vy]])/1000000</f>
        <v>12.845220002178074</v>
      </c>
      <c r="H1100">
        <f>IF($B$3,-Tabelle2[[#This Row],[Fd]]*Tabelle2[[#This Row],[vx]]/Tabelle2[[#This Row],[v]],0)</f>
        <v>-1.840846561824748</v>
      </c>
      <c r="I1100">
        <f t="shared" si="187"/>
        <v>-1.2272310412164986</v>
      </c>
      <c r="J1100">
        <f t="shared" si="188"/>
        <v>-2.4544620824329972E-2</v>
      </c>
      <c r="K1100">
        <f t="shared" si="189"/>
        <v>0.24399798331171554</v>
      </c>
      <c r="L1100">
        <f>-$B$5*$B$12-IF($B$3,Tabelle2[[#This Row],[Fd]]*Tabelle2[[#This Row],[vy]]/Tabelle2[[#This Row],[v]],0)</f>
        <v>-2.0023700266162976</v>
      </c>
      <c r="M1100">
        <f t="shared" si="190"/>
        <v>-1.3349133510775317</v>
      </c>
      <c r="N1100">
        <f t="shared" si="191"/>
        <v>-2.6698267021550634E-2</v>
      </c>
      <c r="O1100">
        <f t="shared" si="192"/>
        <v>-1.6869780901074563</v>
      </c>
      <c r="P1100" s="1">
        <f t="shared" si="194"/>
        <v>12.212171475997941</v>
      </c>
      <c r="Q1100" s="1">
        <f t="shared" si="195"/>
        <v>-84.335555371862043</v>
      </c>
      <c r="R1100">
        <f>SQRT(Tabelle2[[#This Row],[vx]]*Tabelle2[[#This Row],[vx]]+Tabelle2[[#This Row],[vy]]*Tabelle2[[#This Row],[vy]])</f>
        <v>85.215157290470259</v>
      </c>
      <c r="S1100">
        <f t="shared" si="196"/>
        <v>705.71471966501565</v>
      </c>
      <c r="T1100" s="1">
        <f t="shared" si="197"/>
        <v>-674.22683266508625</v>
      </c>
    </row>
    <row r="1101" spans="6:20" x14ac:dyDescent="0.35">
      <c r="F1101" s="1">
        <f t="shared" si="193"/>
        <v>21.959999999999621</v>
      </c>
      <c r="G1101">
        <f>1/2*$B$8*$B$6*$B$7*(Tabelle2[[#This Row],[vx]]*Tabelle2[[#This Row],[vx]]+Tabelle2[[#This Row],[vy]]*Tabelle2[[#This Row],[vy]])/1000000</f>
        <v>12.852127727201072</v>
      </c>
      <c r="H1101">
        <f>IF($B$3,-Tabelle2[[#This Row],[Fd]]*Tabelle2[[#This Row],[vx]]/Tabelle2[[#This Row],[v]],0)</f>
        <v>-1.8376406494816946</v>
      </c>
      <c r="I1101">
        <f t="shared" si="187"/>
        <v>-1.2250937663211297</v>
      </c>
      <c r="J1101">
        <f t="shared" si="188"/>
        <v>-2.4501875326422593E-2</v>
      </c>
      <c r="K1101">
        <f t="shared" si="189"/>
        <v>0.24350751835020804</v>
      </c>
      <c r="L1101">
        <f>-$B$5*$B$12-IF($B$3,Tabelle2[[#This Row],[Fd]]*Tabelle2[[#This Row],[vy]]/Tabelle2[[#This Row],[v]],0)</f>
        <v>-1.9949267313563368</v>
      </c>
      <c r="M1101">
        <f t="shared" si="190"/>
        <v>-1.3299511542375579</v>
      </c>
      <c r="N1101">
        <f t="shared" si="191"/>
        <v>-2.659902308475116E-2</v>
      </c>
      <c r="O1101">
        <f t="shared" si="192"/>
        <v>-1.6875110630085193</v>
      </c>
      <c r="P1101" s="1">
        <f t="shared" si="194"/>
        <v>12.187626855173612</v>
      </c>
      <c r="Q1101" s="1">
        <f t="shared" si="195"/>
        <v>-84.362253638883587</v>
      </c>
      <c r="R1101">
        <f>SQRT(Tabelle2[[#This Row],[vx]]*Tabelle2[[#This Row],[vx]]+Tabelle2[[#This Row],[vy]]*Tabelle2[[#This Row],[vy]])</f>
        <v>85.238067126092645</v>
      </c>
      <c r="S1101">
        <f t="shared" si="196"/>
        <v>705.95871764832737</v>
      </c>
      <c r="T1101" s="1">
        <f t="shared" si="197"/>
        <v>-675.91381075519371</v>
      </c>
    </row>
    <row r="1102" spans="6:20" x14ac:dyDescent="0.35">
      <c r="F1102" s="1">
        <f t="shared" si="193"/>
        <v>21.97999999999962</v>
      </c>
      <c r="G1102">
        <f>1/2*$B$8*$B$6*$B$7*(Tabelle2[[#This Row],[vx]]*Tabelle2[[#This Row],[vx]]+Tabelle2[[#This Row],[vy]]*Tabelle2[[#This Row],[vy]])/1000000</f>
        <v>12.859012315005574</v>
      </c>
      <c r="H1102">
        <f>IF($B$3,-Tabelle2[[#This Row],[Fd]]*Tabelle2[[#This Row],[vx]]/Tabelle2[[#This Row],[v]],0)</f>
        <v>-1.8344374118312414</v>
      </c>
      <c r="I1102">
        <f t="shared" si="187"/>
        <v>-1.222958274554161</v>
      </c>
      <c r="J1102">
        <f t="shared" si="188"/>
        <v>-2.4459165491083221E-2</v>
      </c>
      <c r="K1102">
        <f t="shared" si="189"/>
        <v>0.24301790794203296</v>
      </c>
      <c r="L1102">
        <f>-$B$5*$B$12-IF($B$3,Tabelle2[[#This Row],[Fd]]*Tabelle2[[#This Row],[vy]]/Tabelle2[[#This Row],[v]],0)</f>
        <v>-1.9875086093315737</v>
      </c>
      <c r="M1102">
        <f t="shared" si="190"/>
        <v>-1.3250057395543824</v>
      </c>
      <c r="N1102">
        <f t="shared" si="191"/>
        <v>-2.6500114791087648E-2</v>
      </c>
      <c r="O1102">
        <f t="shared" si="192"/>
        <v>-1.6880420543872776</v>
      </c>
      <c r="P1102" s="1">
        <f t="shared" si="194"/>
        <v>12.16312497984719</v>
      </c>
      <c r="Q1102" s="1">
        <f t="shared" si="195"/>
        <v>-84.388852661968343</v>
      </c>
      <c r="R1102">
        <f>SQRT(Tabelle2[[#This Row],[vx]]*Tabelle2[[#This Row],[vx]]+Tabelle2[[#This Row],[vy]]*Tabelle2[[#This Row],[vy]])</f>
        <v>85.26089410086422</v>
      </c>
      <c r="S1102">
        <f t="shared" si="196"/>
        <v>706.20222516667752</v>
      </c>
      <c r="T1102" s="1">
        <f t="shared" si="197"/>
        <v>-677.60132181820222</v>
      </c>
    </row>
    <row r="1103" spans="6:20" x14ac:dyDescent="0.35">
      <c r="F1103" s="1">
        <f t="shared" si="193"/>
        <v>21.99999999999962</v>
      </c>
      <c r="G1103">
        <f>1/2*$B$8*$B$6*$B$7*(Tabelle2[[#This Row],[vx]]*Tabelle2[[#This Row],[vx]]+Tabelle2[[#This Row],[vy]]*Tabelle2[[#This Row],[vy]])/1000000</f>
        <v>12.865873825165673</v>
      </c>
      <c r="H1103">
        <f>IF($B$3,-Tabelle2[[#This Row],[Fd]]*Tabelle2[[#This Row],[vx]]/Tabelle2[[#This Row],[v]],0)</f>
        <v>-1.8312368651137774</v>
      </c>
      <c r="I1103">
        <f t="shared" si="187"/>
        <v>-1.2208245767425183</v>
      </c>
      <c r="J1103">
        <f t="shared" si="188"/>
        <v>-2.4416491534850367E-2</v>
      </c>
      <c r="K1103">
        <f t="shared" si="189"/>
        <v>0.24252915137177364</v>
      </c>
      <c r="L1103">
        <f>-$B$5*$B$12-IF($B$3,Tabelle2[[#This Row],[Fd]]*Tabelle2[[#This Row],[vy]]/Tabelle2[[#This Row],[v]],0)</f>
        <v>-1.980115594206147</v>
      </c>
      <c r="M1103">
        <f t="shared" si="190"/>
        <v>-1.3200770628040981</v>
      </c>
      <c r="N1103">
        <f t="shared" si="191"/>
        <v>-2.6401541256081962E-2</v>
      </c>
      <c r="O1103">
        <f t="shared" si="192"/>
        <v>-1.6885710709477497</v>
      </c>
      <c r="P1103" s="1">
        <f t="shared" si="194"/>
        <v>12.138665814356107</v>
      </c>
      <c r="Q1103" s="1">
        <f t="shared" si="195"/>
        <v>-84.415352776759434</v>
      </c>
      <c r="R1103">
        <f>SQRT(Tabelle2[[#This Row],[vx]]*Tabelle2[[#This Row],[vx]]+Tabelle2[[#This Row],[vy]]*Tabelle2[[#This Row],[vy]])</f>
        <v>85.283638478768978</v>
      </c>
      <c r="S1103">
        <f t="shared" si="196"/>
        <v>706.44524307461961</v>
      </c>
      <c r="T1103" s="1">
        <f t="shared" si="197"/>
        <v>-679.28936387258955</v>
      </c>
    </row>
    <row r="1104" spans="6:20" x14ac:dyDescent="0.35">
      <c r="F1104" s="1">
        <f t="shared" si="193"/>
        <v>22.019999999999619</v>
      </c>
      <c r="G1104">
        <f>1/2*$B$8*$B$6*$B$7*(Tabelle2[[#This Row],[vx]]*Tabelle2[[#This Row],[vx]]+Tabelle2[[#This Row],[vy]]*Tabelle2[[#This Row],[vy]])/1000000</f>
        <v>12.872712317243602</v>
      </c>
      <c r="H1104">
        <f>IF($B$3,-Tabelle2[[#This Row],[Fd]]*Tabelle2[[#This Row],[vx]]/Tabelle2[[#This Row],[v]],0)</f>
        <v>-1.8280390254360697</v>
      </c>
      <c r="I1104">
        <f t="shared" si="187"/>
        <v>-1.2186926836240464</v>
      </c>
      <c r="J1104">
        <f t="shared" si="188"/>
        <v>-2.4373853672480929E-2</v>
      </c>
      <c r="K1104">
        <f t="shared" si="189"/>
        <v>0.2420412479197003</v>
      </c>
      <c r="L1104">
        <f>-$B$5*$B$12-IF($B$3,Tabelle2[[#This Row],[Fd]]*Tabelle2[[#This Row],[vy]]/Tabelle2[[#This Row],[v]],0)</f>
        <v>-1.9727476196710843</v>
      </c>
      <c r="M1104">
        <f t="shared" si="190"/>
        <v>-1.3151650797807228</v>
      </c>
      <c r="N1104">
        <f t="shared" si="191"/>
        <v>-2.6303301595614458E-2</v>
      </c>
      <c r="O1104">
        <f t="shared" si="192"/>
        <v>-1.6890981193762664</v>
      </c>
      <c r="P1104" s="1">
        <f t="shared" si="194"/>
        <v>12.114249322821257</v>
      </c>
      <c r="Q1104" s="1">
        <f t="shared" si="195"/>
        <v>-84.441754318015512</v>
      </c>
      <c r="R1104">
        <f>SQRT(Tabelle2[[#This Row],[vx]]*Tabelle2[[#This Row],[vx]]+Tabelle2[[#This Row],[vy]]*Tabelle2[[#This Row],[vy]])</f>
        <v>85.306300523229623</v>
      </c>
      <c r="S1104">
        <f t="shared" si="196"/>
        <v>706.68777222599135</v>
      </c>
      <c r="T1104" s="1">
        <f t="shared" si="197"/>
        <v>-680.97793494353732</v>
      </c>
    </row>
    <row r="1105" spans="6:20" x14ac:dyDescent="0.35">
      <c r="F1105" s="1">
        <f t="shared" si="193"/>
        <v>22.039999999999619</v>
      </c>
      <c r="G1105">
        <f>1/2*$B$8*$B$6*$B$7*(Tabelle2[[#This Row],[vx]]*Tabelle2[[#This Row],[vx]]+Tabelle2[[#This Row],[vy]]*Tabelle2[[#This Row],[vy]])/1000000</f>
        <v>12.879527850788376</v>
      </c>
      <c r="H1105">
        <f>IF($B$3,-Tabelle2[[#This Row],[Fd]]*Tabelle2[[#This Row],[vx]]/Tabelle2[[#This Row],[v]],0)</f>
        <v>-1.8248439087718391</v>
      </c>
      <c r="I1105">
        <f t="shared" si="187"/>
        <v>-1.2165626058478927</v>
      </c>
      <c r="J1105">
        <f t="shared" si="188"/>
        <v>-2.4331252116957854E-2</v>
      </c>
      <c r="K1105">
        <f t="shared" si="189"/>
        <v>0.24155419686180593</v>
      </c>
      <c r="L1105">
        <f>-$B$5*$B$12-IF($B$3,Tabelle2[[#This Row],[Fd]]*Tabelle2[[#This Row],[vy]]/Tabelle2[[#This Row],[v]],0)</f>
        <v>-1.9654046194456924</v>
      </c>
      <c r="M1105">
        <f t="shared" si="190"/>
        <v>-1.3102697462971282</v>
      </c>
      <c r="N1105">
        <f t="shared" si="191"/>
        <v>-2.6205394925942566E-2</v>
      </c>
      <c r="O1105">
        <f t="shared" si="192"/>
        <v>-1.689623206341482</v>
      </c>
      <c r="P1105" s="1">
        <f t="shared" si="194"/>
        <v>12.089875469148776</v>
      </c>
      <c r="Q1105" s="1">
        <f t="shared" si="195"/>
        <v>-84.46805761961113</v>
      </c>
      <c r="R1105">
        <f>SQRT(Tabelle2[[#This Row],[vx]]*Tabelle2[[#This Row],[vx]]+Tabelle2[[#This Row],[vy]]*Tabelle2[[#This Row],[vy]])</f>
        <v>85.328880497106439</v>
      </c>
      <c r="S1105">
        <f t="shared" si="196"/>
        <v>706.92981347391105</v>
      </c>
      <c r="T1105" s="1">
        <f t="shared" si="197"/>
        <v>-682.66703306291356</v>
      </c>
    </row>
    <row r="1106" spans="6:20" x14ac:dyDescent="0.35">
      <c r="F1106" s="1">
        <f t="shared" si="193"/>
        <v>22.059999999999619</v>
      </c>
      <c r="G1106">
        <f>1/2*$B$8*$B$6*$B$7*(Tabelle2[[#This Row],[vx]]*Tabelle2[[#This Row],[vx]]+Tabelle2[[#This Row],[vy]]*Tabelle2[[#This Row],[vy]])/1000000</f>
        <v>12.886320485334432</v>
      </c>
      <c r="H1106">
        <f>IF($B$3,-Tabelle2[[#This Row],[Fd]]*Tabelle2[[#This Row],[vx]]/Tabelle2[[#This Row],[v]],0)</f>
        <v>-1.8216515309623276</v>
      </c>
      <c r="I1106">
        <f t="shared" si="187"/>
        <v>-1.214434353974885</v>
      </c>
      <c r="J1106">
        <f t="shared" si="188"/>
        <v>-2.42886870794977E-2</v>
      </c>
      <c r="K1106">
        <f t="shared" si="189"/>
        <v>0.24106799746984137</v>
      </c>
      <c r="L1106">
        <f>-$B$5*$B$12-IF($B$3,Tabelle2[[#This Row],[Fd]]*Tabelle2[[#This Row],[vy]]/Tabelle2[[#This Row],[v]],0)</f>
        <v>-1.9580865272789278</v>
      </c>
      <c r="M1106">
        <f t="shared" si="190"/>
        <v>-1.3053910181859518</v>
      </c>
      <c r="N1106">
        <f t="shared" si="191"/>
        <v>-2.6107820363719038E-2</v>
      </c>
      <c r="O1106">
        <f t="shared" si="192"/>
        <v>-1.6901463384943785</v>
      </c>
      <c r="P1106" s="1">
        <f t="shared" si="194"/>
        <v>12.065544217031817</v>
      </c>
      <c r="Q1106" s="1">
        <f t="shared" si="195"/>
        <v>-84.494263014537069</v>
      </c>
      <c r="R1106">
        <f>SQRT(Tabelle2[[#This Row],[vx]]*Tabelle2[[#This Row],[vx]]+Tabelle2[[#This Row],[vy]]*Tabelle2[[#This Row],[vy]])</f>
        <v>85.351378662695993</v>
      </c>
      <c r="S1106">
        <f t="shared" si="196"/>
        <v>707.17136767077284</v>
      </c>
      <c r="T1106" s="1">
        <f t="shared" si="197"/>
        <v>-684.35665626925504</v>
      </c>
    </row>
    <row r="1107" spans="6:20" x14ac:dyDescent="0.35">
      <c r="F1107" s="1">
        <f t="shared" si="193"/>
        <v>22.079999999999618</v>
      </c>
      <c r="G1107">
        <f>1/2*$B$8*$B$6*$B$7*(Tabelle2[[#This Row],[vx]]*Tabelle2[[#This Row],[vx]]+Tabelle2[[#This Row],[vy]]*Tabelle2[[#This Row],[vy]])/1000000</f>
        <v>12.893090280400315</v>
      </c>
      <c r="H1107">
        <f>IF($B$3,-Tabelle2[[#This Row],[Fd]]*Tabelle2[[#This Row],[vx]]/Tabelle2[[#This Row],[v]],0)</f>
        <v>-1.8184619077168751</v>
      </c>
      <c r="I1107">
        <f t="shared" si="187"/>
        <v>-1.2123079384779167</v>
      </c>
      <c r="J1107">
        <f t="shared" si="188"/>
        <v>-2.4246158769558334E-2</v>
      </c>
      <c r="K1107">
        <f t="shared" si="189"/>
        <v>0.24058264901135082</v>
      </c>
      <c r="L1107">
        <f>-$B$5*$B$12-IF($B$3,Tabelle2[[#This Row],[Fd]]*Tabelle2[[#This Row],[vy]]/Tabelle2[[#This Row],[v]],0)</f>
        <v>-1.9507932769507441</v>
      </c>
      <c r="M1107">
        <f t="shared" si="190"/>
        <v>-1.300528851300496</v>
      </c>
      <c r="N1107">
        <f t="shared" si="191"/>
        <v>-2.601057702600992E-2</v>
      </c>
      <c r="O1107">
        <f t="shared" si="192"/>
        <v>-1.6906675224682759</v>
      </c>
      <c r="P1107" s="1">
        <f t="shared" si="194"/>
        <v>12.04125552995232</v>
      </c>
      <c r="Q1107" s="1">
        <f t="shared" si="195"/>
        <v>-84.520370834900788</v>
      </c>
      <c r="R1107">
        <f>SQRT(Tabelle2[[#This Row],[vx]]*Tabelle2[[#This Row],[vx]]+Tabelle2[[#This Row],[vy]]*Tabelle2[[#This Row],[vy]])</f>
        <v>85.373795281730068</v>
      </c>
      <c r="S1107">
        <f t="shared" si="196"/>
        <v>707.41243566824267</v>
      </c>
      <c r="T1107" s="1">
        <f t="shared" si="197"/>
        <v>-686.04680260774944</v>
      </c>
    </row>
    <row r="1108" spans="6:20" x14ac:dyDescent="0.35">
      <c r="F1108" s="1">
        <f t="shared" si="193"/>
        <v>22.099999999999618</v>
      </c>
      <c r="G1108">
        <f>1/2*$B$8*$B$6*$B$7*(Tabelle2[[#This Row],[vx]]*Tabelle2[[#This Row],[vx]]+Tabelle2[[#This Row],[vy]]*Tabelle2[[#This Row],[vy]])/1000000</f>
        <v>12.899837295487334</v>
      </c>
      <c r="H1108">
        <f>IF($B$3,-Tabelle2[[#This Row],[Fd]]*Tabelle2[[#This Row],[vx]]/Tabelle2[[#This Row],[v]],0)</f>
        <v>-1.8152750546134848</v>
      </c>
      <c r="I1108">
        <f t="shared" si="187"/>
        <v>-1.2101833697423232</v>
      </c>
      <c r="J1108">
        <f t="shared" si="188"/>
        <v>-2.4203667394846466E-2</v>
      </c>
      <c r="K1108">
        <f t="shared" si="189"/>
        <v>0.24009815074970675</v>
      </c>
      <c r="L1108">
        <f>-$B$5*$B$12-IF($B$3,Tabelle2[[#This Row],[Fd]]*Tabelle2[[#This Row],[vy]]/Tabelle2[[#This Row],[v]],0)</f>
        <v>-1.943524802273469</v>
      </c>
      <c r="M1108">
        <f t="shared" si="190"/>
        <v>-1.2956832015156461</v>
      </c>
      <c r="N1108">
        <f t="shared" si="191"/>
        <v>-2.5913664030312922E-2</v>
      </c>
      <c r="O1108">
        <f t="shared" si="192"/>
        <v>-1.6911867648788395</v>
      </c>
      <c r="P1108" s="1">
        <f t="shared" si="194"/>
        <v>12.017009371182761</v>
      </c>
      <c r="Q1108" s="1">
        <f t="shared" si="195"/>
        <v>-84.546381411926802</v>
      </c>
      <c r="R1108">
        <f>SQRT(Tabelle2[[#This Row],[vx]]*Tabelle2[[#This Row],[vx]]+Tabelle2[[#This Row],[vy]]*Tabelle2[[#This Row],[vy]])</f>
        <v>85.396130615374474</v>
      </c>
      <c r="S1108">
        <f t="shared" si="196"/>
        <v>707.65301831725401</v>
      </c>
      <c r="T1108" s="1">
        <f t="shared" si="197"/>
        <v>-687.73747013021773</v>
      </c>
    </row>
    <row r="1109" spans="6:20" x14ac:dyDescent="0.35">
      <c r="F1109" s="1">
        <f t="shared" si="193"/>
        <v>22.119999999999617</v>
      </c>
      <c r="G1109">
        <f>1/2*$B$8*$B$6*$B$7*(Tabelle2[[#This Row],[vx]]*Tabelle2[[#This Row],[vx]]+Tabelle2[[#This Row],[vy]]*Tabelle2[[#This Row],[vy]])/1000000</f>
        <v>12.906561590078251</v>
      </c>
      <c r="H1109">
        <f>IF($B$3,-Tabelle2[[#This Row],[Fd]]*Tabelle2[[#This Row],[vx]]/Tabelle2[[#This Row],[v]],0)</f>
        <v>-1.8120909870993973</v>
      </c>
      <c r="I1109">
        <f t="shared" si="187"/>
        <v>-1.2080606580662649</v>
      </c>
      <c r="J1109">
        <f t="shared" si="188"/>
        <v>-2.4161213161325301E-2</v>
      </c>
      <c r="K1109">
        <f t="shared" si="189"/>
        <v>0.23961450194414505</v>
      </c>
      <c r="L1109">
        <f>-$B$5*$B$12-IF($B$3,Tabelle2[[#This Row],[Fd]]*Tabelle2[[#This Row],[vy]]/Tabelle2[[#This Row],[v]],0)</f>
        <v>-1.9362810370931012</v>
      </c>
      <c r="M1109">
        <f t="shared" si="190"/>
        <v>-1.2908540247287341</v>
      </c>
      <c r="N1109">
        <f t="shared" si="191"/>
        <v>-2.5817080494574682E-2</v>
      </c>
      <c r="O1109">
        <f t="shared" si="192"/>
        <v>-1.6917040723240879</v>
      </c>
      <c r="P1109" s="1">
        <f t="shared" si="194"/>
        <v>11.992805703787914</v>
      </c>
      <c r="Q1109" s="1">
        <f t="shared" si="195"/>
        <v>-84.572295075957115</v>
      </c>
      <c r="R1109">
        <f>SQRT(Tabelle2[[#This Row],[vx]]*Tabelle2[[#This Row],[vx]]+Tabelle2[[#This Row],[vy]]*Tabelle2[[#This Row],[vy]])</f>
        <v>85.418384924227922</v>
      </c>
      <c r="S1109">
        <f t="shared" si="196"/>
        <v>707.89311646800377</v>
      </c>
      <c r="T1109" s="1">
        <f t="shared" si="197"/>
        <v>-689.42865689509654</v>
      </c>
    </row>
    <row r="1110" spans="6:20" x14ac:dyDescent="0.35">
      <c r="F1110" s="1">
        <f t="shared" si="193"/>
        <v>22.139999999999617</v>
      </c>
      <c r="G1110">
        <f>1/2*$B$8*$B$6*$B$7*(Tabelle2[[#This Row],[vx]]*Tabelle2[[#This Row],[vx]]+Tabelle2[[#This Row],[vy]]*Tabelle2[[#This Row],[vy]])/1000000</f>
        <v>12.913263223636006</v>
      </c>
      <c r="H1110">
        <f>IF($B$3,-Tabelle2[[#This Row],[Fd]]*Tabelle2[[#This Row],[vx]]/Tabelle2[[#This Row],[v]],0)</f>
        <v>-1.8089097204916611</v>
      </c>
      <c r="I1110">
        <f t="shared" si="187"/>
        <v>-1.2059398136611075</v>
      </c>
      <c r="J1110">
        <f t="shared" si="188"/>
        <v>-2.4118796273222151E-2</v>
      </c>
      <c r="K1110">
        <f t="shared" si="189"/>
        <v>0.23913170184979959</v>
      </c>
      <c r="L1110">
        <f>-$B$5*$B$12-IF($B$3,Tabelle2[[#This Row],[Fd]]*Tabelle2[[#This Row],[vy]]/Tabelle2[[#This Row],[v]],0)</f>
        <v>-1.929061915290653</v>
      </c>
      <c r="M1110">
        <f t="shared" si="190"/>
        <v>-1.2860412768604352</v>
      </c>
      <c r="N1110">
        <f t="shared" si="191"/>
        <v>-2.5720825537208704E-2</v>
      </c>
      <c r="O1110">
        <f t="shared" si="192"/>
        <v>-1.692219451384406</v>
      </c>
      <c r="P1110" s="1">
        <f t="shared" si="194"/>
        <v>11.968644490626589</v>
      </c>
      <c r="Q1110" s="1">
        <f t="shared" si="195"/>
        <v>-84.598112156451691</v>
      </c>
      <c r="R1110">
        <f>SQRT(Tabelle2[[#This Row],[vx]]*Tabelle2[[#This Row],[vx]]+Tabelle2[[#This Row],[vy]]*Tabelle2[[#This Row],[vy]])</f>
        <v>85.440558468321044</v>
      </c>
      <c r="S1110">
        <f t="shared" si="196"/>
        <v>708.13273096994794</v>
      </c>
      <c r="T1110" s="1">
        <f t="shared" si="197"/>
        <v>-691.12036096742065</v>
      </c>
    </row>
    <row r="1111" spans="6:20" x14ac:dyDescent="0.35">
      <c r="F1111" s="1">
        <f t="shared" si="193"/>
        <v>22.159999999999616</v>
      </c>
      <c r="G1111">
        <f>1/2*$B$8*$B$6*$B$7*(Tabelle2[[#This Row],[vx]]*Tabelle2[[#This Row],[vx]]+Tabelle2[[#This Row],[vy]]*Tabelle2[[#This Row],[vy]])/1000000</f>
        <v>12.919942255602399</v>
      </c>
      <c r="H1111">
        <f>IF($B$3,-Tabelle2[[#This Row],[Fd]]*Tabelle2[[#This Row],[vx]]/Tabelle2[[#This Row],[v]],0)</f>
        <v>-1.8057312699776991</v>
      </c>
      <c r="I1111">
        <f t="shared" si="187"/>
        <v>-1.2038208466517994</v>
      </c>
      <c r="J1111">
        <f t="shared" si="188"/>
        <v>-2.4076416933035989E-2</v>
      </c>
      <c r="K1111">
        <f t="shared" si="189"/>
        <v>0.23864974971773698</v>
      </c>
      <c r="L1111">
        <f>-$B$5*$B$12-IF($B$3,Tabelle2[[#This Row],[Fd]]*Tabelle2[[#This Row],[vy]]/Tabelle2[[#This Row],[v]],0)</f>
        <v>-1.9218673707834508</v>
      </c>
      <c r="M1111">
        <f t="shared" si="190"/>
        <v>-1.2812449138556339</v>
      </c>
      <c r="N1111">
        <f t="shared" si="191"/>
        <v>-2.5624898277112677E-2</v>
      </c>
      <c r="O1111">
        <f t="shared" si="192"/>
        <v>-1.6927329086225491</v>
      </c>
      <c r="P1111" s="1">
        <f t="shared" si="194"/>
        <v>11.944525694353366</v>
      </c>
      <c r="Q1111" s="1">
        <f t="shared" si="195"/>
        <v>-84.623832981988897</v>
      </c>
      <c r="R1111">
        <f>SQRT(Tabelle2[[#This Row],[vx]]*Tabelle2[[#This Row],[vx]]+Tabelle2[[#This Row],[vy]]*Tabelle2[[#This Row],[vy]])</f>
        <v>85.462651507115197</v>
      </c>
      <c r="S1111">
        <f t="shared" si="196"/>
        <v>708.37186267179777</v>
      </c>
      <c r="T1111" s="1">
        <f t="shared" si="197"/>
        <v>-692.81258041880506</v>
      </c>
    </row>
    <row r="1112" spans="6:20" x14ac:dyDescent="0.35">
      <c r="F1112" s="1">
        <f t="shared" si="193"/>
        <v>22.179999999999616</v>
      </c>
      <c r="G1112">
        <f>1/2*$B$8*$B$6*$B$7*(Tabelle2[[#This Row],[vx]]*Tabelle2[[#This Row],[vx]]+Tabelle2[[#This Row],[vy]]*Tabelle2[[#This Row],[vy]])/1000000</f>
        <v>12.926598745396843</v>
      </c>
      <c r="H1112">
        <f>IF($B$3,-Tabelle2[[#This Row],[Fd]]*Tabelle2[[#This Row],[vx]]/Tabelle2[[#This Row],[v]],0)</f>
        <v>-1.802555650615882</v>
      </c>
      <c r="I1112">
        <f t="shared" si="187"/>
        <v>-1.2017037670772546</v>
      </c>
      <c r="J1112">
        <f t="shared" si="188"/>
        <v>-2.4034075341545093E-2</v>
      </c>
      <c r="K1112">
        <f t="shared" si="189"/>
        <v>0.23816864479499114</v>
      </c>
      <c r="L1112">
        <f>-$B$5*$B$12-IF($B$3,Tabelle2[[#This Row],[Fd]]*Tabelle2[[#This Row],[vy]]/Tabelle2[[#This Row],[v]],0)</f>
        <v>-1.9146973375264285</v>
      </c>
      <c r="M1112">
        <f t="shared" si="190"/>
        <v>-1.2764648916842856</v>
      </c>
      <c r="N1112">
        <f t="shared" si="191"/>
        <v>-2.552929783368571E-2</v>
      </c>
      <c r="O1112">
        <f t="shared" si="192"/>
        <v>-1.6932444505836572</v>
      </c>
      <c r="P1112" s="1">
        <f t="shared" si="194"/>
        <v>11.92044927742033</v>
      </c>
      <c r="Q1112" s="1">
        <f t="shared" si="195"/>
        <v>-84.649457880266013</v>
      </c>
      <c r="R1112">
        <f>SQRT(Tabelle2[[#This Row],[vx]]*Tabelle2[[#This Row],[vx]]+Tabelle2[[#This Row],[vy]]*Tabelle2[[#This Row],[vy]])</f>
        <v>85.484664299501588</v>
      </c>
      <c r="S1112">
        <f t="shared" si="196"/>
        <v>708.61051242151552</v>
      </c>
      <c r="T1112" s="1">
        <f t="shared" si="197"/>
        <v>-694.50531332742764</v>
      </c>
    </row>
    <row r="1113" spans="6:20" x14ac:dyDescent="0.35">
      <c r="F1113" s="1">
        <f t="shared" si="193"/>
        <v>22.199999999999616</v>
      </c>
      <c r="G1113">
        <f>1/2*$B$8*$B$6*$B$7*(Tabelle2[[#This Row],[vx]]*Tabelle2[[#This Row],[vx]]+Tabelle2[[#This Row],[vy]]*Tabelle2[[#This Row],[vy]])/1000000</f>
        <v>12.933232752415076</v>
      </c>
      <c r="H1113">
        <f>IF($B$3,-Tabelle2[[#This Row],[Fd]]*Tabelle2[[#This Row],[vx]]/Tabelle2[[#This Row],[v]],0)</f>
        <v>-1.7993828773360938</v>
      </c>
      <c r="I1113">
        <f t="shared" si="187"/>
        <v>-1.1995885848907293</v>
      </c>
      <c r="J1113">
        <f t="shared" si="188"/>
        <v>-2.3991771697814586E-2</v>
      </c>
      <c r="K1113">
        <f t="shared" si="189"/>
        <v>0.23768838632459754</v>
      </c>
      <c r="L1113">
        <f>-$B$5*$B$12-IF($B$3,Tabelle2[[#This Row],[Fd]]*Tabelle2[[#This Row],[vy]]/Tabelle2[[#This Row],[v]],0)</f>
        <v>-1.90755174951342</v>
      </c>
      <c r="M1113">
        <f t="shared" si="190"/>
        <v>-1.2717011663422799</v>
      </c>
      <c r="N1113">
        <f t="shared" si="191"/>
        <v>-2.5434023326845599E-2</v>
      </c>
      <c r="O1113">
        <f t="shared" si="192"/>
        <v>-1.6937540837952625</v>
      </c>
      <c r="P1113" s="1">
        <f t="shared" si="194"/>
        <v>11.896415202078785</v>
      </c>
      <c r="Q1113" s="1">
        <f t="shared" si="195"/>
        <v>-84.674987178099698</v>
      </c>
      <c r="R1113">
        <f>SQRT(Tabelle2[[#This Row],[vx]]*Tabelle2[[#This Row],[vx]]+Tabelle2[[#This Row],[vy]]*Tabelle2[[#This Row],[vy]])</f>
        <v>85.506597103800118</v>
      </c>
      <c r="S1113">
        <f t="shared" si="196"/>
        <v>708.84868106631052</v>
      </c>
      <c r="T1113" s="1">
        <f t="shared" si="197"/>
        <v>-696.19855777801126</v>
      </c>
    </row>
    <row r="1114" spans="6:20" x14ac:dyDescent="0.35">
      <c r="F1114" s="1">
        <f t="shared" si="193"/>
        <v>22.219999999999615</v>
      </c>
      <c r="G1114">
        <f>1/2*$B$8*$B$6*$B$7*(Tabelle2[[#This Row],[vx]]*Tabelle2[[#This Row],[vx]]+Tabelle2[[#This Row],[vy]]*Tabelle2[[#This Row],[vy]])/1000000</f>
        <v>12.939844336027935</v>
      </c>
      <c r="H1114">
        <f>IF($B$3,-Tabelle2[[#This Row],[Fd]]*Tabelle2[[#This Row],[vx]]/Tabelle2[[#This Row],[v]],0)</f>
        <v>-1.7962129649403014</v>
      </c>
      <c r="I1114">
        <f t="shared" si="187"/>
        <v>-1.1974753099602009</v>
      </c>
      <c r="J1114">
        <f t="shared" si="188"/>
        <v>-2.394950619920402E-2</v>
      </c>
      <c r="K1114">
        <f t="shared" si="189"/>
        <v>0.23720897354562737</v>
      </c>
      <c r="L1114">
        <f>-$B$5*$B$12-IF($B$3,Tabelle2[[#This Row],[Fd]]*Tabelle2[[#This Row],[vy]]/Tabelle2[[#This Row],[v]],0)</f>
        <v>-1.9004305407784141</v>
      </c>
      <c r="M1114">
        <f t="shared" si="190"/>
        <v>-1.2669536938522761</v>
      </c>
      <c r="N1114">
        <f t="shared" si="191"/>
        <v>-2.5339073877045523E-2</v>
      </c>
      <c r="O1114">
        <f t="shared" si="192"/>
        <v>-1.6942618147673014</v>
      </c>
      <c r="P1114" s="1">
        <f t="shared" si="194"/>
        <v>11.872423430380971</v>
      </c>
      <c r="Q1114" s="1">
        <f t="shared" si="195"/>
        <v>-84.700421201426551</v>
      </c>
      <c r="R1114">
        <f>SQRT(Tabelle2[[#This Row],[vx]]*Tabelle2[[#This Row],[vx]]+Tabelle2[[#This Row],[vy]]*Tabelle2[[#This Row],[vy]])</f>
        <v>85.528450177758558</v>
      </c>
      <c r="S1114">
        <f t="shared" si="196"/>
        <v>709.08636945263515</v>
      </c>
      <c r="T1114" s="1">
        <f t="shared" si="197"/>
        <v>-697.89231186180655</v>
      </c>
    </row>
    <row r="1115" spans="6:20" x14ac:dyDescent="0.35">
      <c r="F1115" s="1">
        <f t="shared" si="193"/>
        <v>22.239999999999615</v>
      </c>
      <c r="G1115">
        <f>1/2*$B$8*$B$6*$B$7*(Tabelle2[[#This Row],[vx]]*Tabelle2[[#This Row],[vx]]+Tabelle2[[#This Row],[vy]]*Tabelle2[[#This Row],[vy]])/1000000</f>
        <v>12.9464335555801</v>
      </c>
      <c r="H1115">
        <f>IF($B$3,-Tabelle2[[#This Row],[Fd]]*Tabelle2[[#This Row],[vx]]/Tabelle2[[#This Row],[v]],0)</f>
        <v>-1.7930459281031235</v>
      </c>
      <c r="I1115">
        <f t="shared" si="187"/>
        <v>-1.1953639520687489</v>
      </c>
      <c r="J1115">
        <f t="shared" si="188"/>
        <v>-2.390727904137498E-2</v>
      </c>
      <c r="K1115">
        <f t="shared" si="189"/>
        <v>0.23673040569322162</v>
      </c>
      <c r="L1115">
        <f>-$B$5*$B$12-IF($B$3,Tabelle2[[#This Row],[Fd]]*Tabelle2[[#This Row],[vy]]/Tabelle2[[#This Row],[v]],0)</f>
        <v>-1.8933336453968188</v>
      </c>
      <c r="M1115">
        <f t="shared" si="190"/>
        <v>-1.2622224302645459</v>
      </c>
      <c r="N1115">
        <f t="shared" si="191"/>
        <v>-2.5244448605290921E-2</v>
      </c>
      <c r="O1115">
        <f t="shared" si="192"/>
        <v>-1.6947676499921249</v>
      </c>
      <c r="P1115" s="1">
        <f t="shared" si="194"/>
        <v>11.848473924181768</v>
      </c>
      <c r="Q1115" s="1">
        <f t="shared" si="195"/>
        <v>-84.7257602753036</v>
      </c>
      <c r="R1115">
        <f>SQRT(Tabelle2[[#This Row],[vx]]*Tabelle2[[#This Row],[vx]]+Tabelle2[[#This Row],[vy]]*Tabelle2[[#This Row],[vy]])</f>
        <v>85.550223778551441</v>
      </c>
      <c r="S1115">
        <f t="shared" si="196"/>
        <v>709.3235784261808</v>
      </c>
      <c r="T1115" s="1">
        <f t="shared" si="197"/>
        <v>-699.58657367657383</v>
      </c>
    </row>
    <row r="1116" spans="6:20" x14ac:dyDescent="0.35">
      <c r="F1116" s="1">
        <f t="shared" si="193"/>
        <v>22.259999999999614</v>
      </c>
      <c r="G1116">
        <f>1/2*$B$8*$B$6*$B$7*(Tabelle2[[#This Row],[vx]]*Tabelle2[[#This Row],[vx]]+Tabelle2[[#This Row],[vy]]*Tabelle2[[#This Row],[vy]])/1000000</f>
        <v>12.953000470388877</v>
      </c>
      <c r="H1116">
        <f>IF($B$3,-Tabelle2[[#This Row],[Fd]]*Tabelle2[[#This Row],[vx]]/Tabelle2[[#This Row],[v]],0)</f>
        <v>-1.7898817813723948</v>
      </c>
      <c r="I1116">
        <f t="shared" si="187"/>
        <v>-1.1932545209149299</v>
      </c>
      <c r="J1116">
        <f t="shared" si="188"/>
        <v>-2.3865090418298599E-2</v>
      </c>
      <c r="K1116">
        <f t="shared" si="189"/>
        <v>0.2362526819986249</v>
      </c>
      <c r="L1116">
        <f>-$B$5*$B$12-IF($B$3,Tabelle2[[#This Row],[Fd]]*Tabelle2[[#This Row],[vy]]/Tabelle2[[#This Row],[v]],0)</f>
        <v>-1.8862609974867102</v>
      </c>
      <c r="M1116">
        <f t="shared" si="190"/>
        <v>-1.2575073316578067</v>
      </c>
      <c r="N1116">
        <f t="shared" si="191"/>
        <v>-2.5150146633156133E-2</v>
      </c>
      <c r="O1116">
        <f t="shared" si="192"/>
        <v>-1.6952715959445095</v>
      </c>
      <c r="P1116" s="1">
        <f t="shared" si="194"/>
        <v>11.824566645140393</v>
      </c>
      <c r="Q1116" s="1">
        <f t="shared" si="195"/>
        <v>-84.751004723908892</v>
      </c>
      <c r="R1116">
        <f>SQRT(Tabelle2[[#This Row],[vx]]*Tabelle2[[#This Row],[vx]]+Tabelle2[[#This Row],[vy]]*Tabelle2[[#This Row],[vy]])</f>
        <v>85.571918162779269</v>
      </c>
      <c r="S1116">
        <f t="shared" si="196"/>
        <v>709.56030883187407</v>
      </c>
      <c r="T1116" s="1">
        <f t="shared" si="197"/>
        <v>-701.28134132656601</v>
      </c>
    </row>
    <row r="1117" spans="6:20" x14ac:dyDescent="0.35">
      <c r="F1117" s="1">
        <f t="shared" si="193"/>
        <v>22.279999999999614</v>
      </c>
      <c r="G1117">
        <f>1/2*$B$8*$B$6*$B$7*(Tabelle2[[#This Row],[vx]]*Tabelle2[[#This Row],[vx]]+Tabelle2[[#This Row],[vy]]*Tabelle2[[#This Row],[vy]])/1000000</f>
        <v>12.959545139742984</v>
      </c>
      <c r="H1117">
        <f>IF($B$3,-Tabelle2[[#This Row],[Fd]]*Tabelle2[[#This Row],[vx]]/Tabelle2[[#This Row],[v]],0)</f>
        <v>-1.7867205391697356</v>
      </c>
      <c r="I1117">
        <f t="shared" si="187"/>
        <v>-1.1911470261131571</v>
      </c>
      <c r="J1117">
        <f t="shared" si="188"/>
        <v>-2.3822940522263143E-2</v>
      </c>
      <c r="K1117">
        <f t="shared" si="189"/>
        <v>0.23577580168921927</v>
      </c>
      <c r="L1117">
        <f>-$B$5*$B$12-IF($B$3,Tabelle2[[#This Row],[Fd]]*Tabelle2[[#This Row],[vy]]/Tabelle2[[#This Row],[v]],0)</f>
        <v>-1.8792125312100527</v>
      </c>
      <c r="M1117">
        <f t="shared" si="190"/>
        <v>-1.2528083541400352</v>
      </c>
      <c r="N1117">
        <f t="shared" si="191"/>
        <v>-2.5056167082800705E-2</v>
      </c>
      <c r="O1117">
        <f t="shared" si="192"/>
        <v>-1.6957736590816688</v>
      </c>
      <c r="P1117" s="1">
        <f t="shared" si="194"/>
        <v>11.800701554722094</v>
      </c>
      <c r="Q1117" s="1">
        <f t="shared" si="195"/>
        <v>-84.776154870542044</v>
      </c>
      <c r="R1117">
        <f>SQRT(Tabelle2[[#This Row],[vx]]*Tabelle2[[#This Row],[vx]]+Tabelle2[[#This Row],[vy]]*Tabelle2[[#This Row],[vy]])</f>
        <v>85.593533586467558</v>
      </c>
      <c r="S1117">
        <f t="shared" si="196"/>
        <v>709.79656151387269</v>
      </c>
      <c r="T1117" s="1">
        <f t="shared" si="197"/>
        <v>-702.97661292251053</v>
      </c>
    </row>
    <row r="1118" spans="6:20" x14ac:dyDescent="0.35">
      <c r="F1118" s="1">
        <f t="shared" si="193"/>
        <v>22.299999999999613</v>
      </c>
      <c r="G1118">
        <f>1/2*$B$8*$B$6*$B$7*(Tabelle2[[#This Row],[vx]]*Tabelle2[[#This Row],[vx]]+Tabelle2[[#This Row],[vy]]*Tabelle2[[#This Row],[vy]])/1000000</f>
        <v>12.96606762290134</v>
      </c>
      <c r="H1118">
        <f>IF($B$3,-Tabelle2[[#This Row],[Fd]]*Tabelle2[[#This Row],[vx]]/Tabelle2[[#This Row],[v]],0)</f>
        <v>-1.7835622157911168</v>
      </c>
      <c r="I1118">
        <f t="shared" si="187"/>
        <v>-1.1890414771940778</v>
      </c>
      <c r="J1118">
        <f t="shared" si="188"/>
        <v>-2.3780829543881558E-2</v>
      </c>
      <c r="K1118">
        <f t="shared" si="189"/>
        <v>0.23529976398855781</v>
      </c>
      <c r="L1118">
        <f>-$B$5*$B$12-IF($B$3,Tabelle2[[#This Row],[Fd]]*Tabelle2[[#This Row],[vy]]/Tabelle2[[#This Row],[v]],0)</f>
        <v>-1.8721881807739358</v>
      </c>
      <c r="M1118">
        <f t="shared" si="190"/>
        <v>-1.2481254538492905</v>
      </c>
      <c r="N1118">
        <f t="shared" si="191"/>
        <v>-2.4962509076985811E-2</v>
      </c>
      <c r="O1118">
        <f t="shared" si="192"/>
        <v>-1.6962738458432669</v>
      </c>
      <c r="P1118" s="1">
        <f t="shared" si="194"/>
        <v>11.776878614199831</v>
      </c>
      <c r="Q1118" s="1">
        <f t="shared" si="195"/>
        <v>-84.801211037624839</v>
      </c>
      <c r="R1118">
        <f>SQRT(Tabelle2[[#This Row],[vx]]*Tabelle2[[#This Row],[vx]]+Tabelle2[[#This Row],[vy]]*Tabelle2[[#This Row],[vy]])</f>
        <v>85.615070305065927</v>
      </c>
      <c r="S1118">
        <f t="shared" si="196"/>
        <v>710.0323373155619</v>
      </c>
      <c r="T1118" s="1">
        <f t="shared" si="197"/>
        <v>-704.67238658159215</v>
      </c>
    </row>
    <row r="1119" spans="6:20" x14ac:dyDescent="0.35">
      <c r="F1119" s="1">
        <f t="shared" si="193"/>
        <v>22.319999999999613</v>
      </c>
      <c r="G1119">
        <f>1/2*$B$8*$B$6*$B$7*(Tabelle2[[#This Row],[vx]]*Tabelle2[[#This Row],[vx]]+Tabelle2[[#This Row],[vy]]*Tabelle2[[#This Row],[vy]])/1000000</f>
        <v>12.972567979091892</v>
      </c>
      <c r="H1119">
        <f>IF($B$3,-Tabelle2[[#This Row],[Fd]]*Tabelle2[[#This Row],[vx]]/Tabelle2[[#This Row],[v]],0)</f>
        <v>-1.7804068254074255</v>
      </c>
      <c r="I1119">
        <f t="shared" si="187"/>
        <v>-1.1869378836049502</v>
      </c>
      <c r="J1119">
        <f t="shared" si="188"/>
        <v>-2.3738757672099004E-2</v>
      </c>
      <c r="K1119">
        <f t="shared" si="189"/>
        <v>0.23482456811639801</v>
      </c>
      <c r="L1119">
        <f>-$B$5*$B$12-IF($B$3,Tabelle2[[#This Row],[Fd]]*Tabelle2[[#This Row],[vy]]/Tabelle2[[#This Row],[v]],0)</f>
        <v>-1.8651878804317548</v>
      </c>
      <c r="M1119">
        <f t="shared" si="190"/>
        <v>-1.2434585869545032</v>
      </c>
      <c r="N1119">
        <f t="shared" si="191"/>
        <v>-2.4869171739090062E-2</v>
      </c>
      <c r="O1119">
        <f t="shared" si="192"/>
        <v>-1.6967721626514274</v>
      </c>
      <c r="P1119" s="1">
        <f t="shared" si="194"/>
        <v>11.753097784655949</v>
      </c>
      <c r="Q1119" s="1">
        <f t="shared" si="195"/>
        <v>-84.826173546701824</v>
      </c>
      <c r="R1119">
        <f>SQRT(Tabelle2[[#This Row],[vx]]*Tabelle2[[#This Row],[vx]]+Tabelle2[[#This Row],[vy]]*Tabelle2[[#This Row],[vy]])</f>
        <v>85.636528573447322</v>
      </c>
      <c r="S1119">
        <f t="shared" si="196"/>
        <v>710.26763707955047</v>
      </c>
      <c r="T1119" s="1">
        <f t="shared" si="197"/>
        <v>-706.36866042743543</v>
      </c>
    </row>
    <row r="1120" spans="6:20" x14ac:dyDescent="0.35">
      <c r="F1120" s="1">
        <f t="shared" si="193"/>
        <v>22.339999999999613</v>
      </c>
      <c r="G1120">
        <f>1/2*$B$8*$B$6*$B$7*(Tabelle2[[#This Row],[vx]]*Tabelle2[[#This Row],[vx]]+Tabelle2[[#This Row],[vy]]*Tabelle2[[#This Row],[vy]])/1000000</f>
        <v>12.979046267510411</v>
      </c>
      <c r="H1120">
        <f>IF($B$3,-Tabelle2[[#This Row],[Fd]]*Tabelle2[[#This Row],[vx]]/Tabelle2[[#This Row],[v]],0)</f>
        <v>-1.7772543820650279</v>
      </c>
      <c r="I1120">
        <f t="shared" si="187"/>
        <v>-1.1848362547100186</v>
      </c>
      <c r="J1120">
        <f t="shared" si="188"/>
        <v>-2.3696725094200372E-2</v>
      </c>
      <c r="K1120">
        <f t="shared" si="189"/>
        <v>0.23435021328873501</v>
      </c>
      <c r="L1120">
        <f>-$B$5*$B$12-IF($B$3,Tabelle2[[#This Row],[Fd]]*Tabelle2[[#This Row],[vy]]/Tabelle2[[#This Row],[v]],0)</f>
        <v>-1.8582115644844421</v>
      </c>
      <c r="M1120">
        <f t="shared" si="190"/>
        <v>-1.2388077096562948</v>
      </c>
      <c r="N1120">
        <f t="shared" si="191"/>
        <v>-2.4776154193125899E-2</v>
      </c>
      <c r="O1120">
        <f t="shared" si="192"/>
        <v>-1.6972686159107493</v>
      </c>
      <c r="P1120" s="1">
        <f t="shared" si="194"/>
        <v>11.72935902698385</v>
      </c>
      <c r="Q1120" s="1">
        <f t="shared" si="195"/>
        <v>-84.851042718440908</v>
      </c>
      <c r="R1120">
        <f>SQRT(Tabelle2[[#This Row],[vx]]*Tabelle2[[#This Row],[vx]]+Tabelle2[[#This Row],[vy]]*Tabelle2[[#This Row],[vy]])</f>
        <v>85.657908645907128</v>
      </c>
      <c r="S1120">
        <f t="shared" si="196"/>
        <v>710.50246164766691</v>
      </c>
      <c r="T1120" s="1">
        <f t="shared" si="197"/>
        <v>-708.06543259008686</v>
      </c>
    </row>
    <row r="1121" spans="6:20" x14ac:dyDescent="0.35">
      <c r="F1121" s="1">
        <f t="shared" si="193"/>
        <v>22.359999999999612</v>
      </c>
      <c r="G1121">
        <f>1/2*$B$8*$B$6*$B$7*(Tabelle2[[#This Row],[vx]]*Tabelle2[[#This Row],[vx]]+Tabelle2[[#This Row],[vy]]*Tabelle2[[#This Row],[vy]])/1000000</f>
        <v>12.985502547319344</v>
      </c>
      <c r="H1121">
        <f>IF($B$3,-Tabelle2[[#This Row],[Fd]]*Tabelle2[[#This Row],[vx]]/Tabelle2[[#This Row],[v]],0)</f>
        <v>-1.7741048996863369</v>
      </c>
      <c r="I1121">
        <f t="shared" si="187"/>
        <v>-1.1827365997908912</v>
      </c>
      <c r="J1121">
        <f t="shared" si="188"/>
        <v>-2.3654731995817826E-2</v>
      </c>
      <c r="K1121">
        <f t="shared" si="189"/>
        <v>0.23387669871783481</v>
      </c>
      <c r="L1121">
        <f>-$B$5*$B$12-IF($B$3,Tabelle2[[#This Row],[Fd]]*Tabelle2[[#This Row],[vy]]/Tabelle2[[#This Row],[v]],0)</f>
        <v>-1.8512591672816221</v>
      </c>
      <c r="M1121">
        <f t="shared" si="190"/>
        <v>-1.2341727781877481</v>
      </c>
      <c r="N1121">
        <f t="shared" si="191"/>
        <v>-2.4683455563754963E-2</v>
      </c>
      <c r="O1121">
        <f t="shared" si="192"/>
        <v>-1.6977632120083181</v>
      </c>
      <c r="P1121" s="1">
        <f t="shared" si="194"/>
        <v>11.70566230188965</v>
      </c>
      <c r="Q1121" s="1">
        <f t="shared" si="195"/>
        <v>-84.875818872634028</v>
      </c>
      <c r="R1121">
        <f>SQRT(Tabelle2[[#This Row],[vx]]*Tabelle2[[#This Row],[vx]]+Tabelle2[[#This Row],[vy]]*Tabelle2[[#This Row],[vy]])</f>
        <v>85.679210776162378</v>
      </c>
      <c r="S1121">
        <f t="shared" si="196"/>
        <v>710.73681186095564</v>
      </c>
      <c r="T1121" s="1">
        <f t="shared" si="197"/>
        <v>-709.76270120599759</v>
      </c>
    </row>
    <row r="1122" spans="6:20" x14ac:dyDescent="0.35">
      <c r="F1122" s="1">
        <f t="shared" si="193"/>
        <v>22.379999999999612</v>
      </c>
      <c r="G1122">
        <f>1/2*$B$8*$B$6*$B$7*(Tabelle2[[#This Row],[vx]]*Tabelle2[[#This Row],[vx]]+Tabelle2[[#This Row],[vy]]*Tabelle2[[#This Row],[vy]])/1000000</f>
        <v>12.99193687764665</v>
      </c>
      <c r="H1122">
        <f>IF($B$3,-Tabelle2[[#This Row],[Fd]]*Tabelle2[[#This Row],[vx]]/Tabelle2[[#This Row],[v]],0)</f>
        <v>-1.7709583920703722</v>
      </c>
      <c r="I1122">
        <f t="shared" si="187"/>
        <v>-1.1806389280469147</v>
      </c>
      <c r="J1122">
        <f t="shared" si="188"/>
        <v>-2.3612778560938297E-2</v>
      </c>
      <c r="K1122">
        <f t="shared" si="189"/>
        <v>0.23340402361226725</v>
      </c>
      <c r="L1122">
        <f>-$B$5*$B$12-IF($B$3,Tabelle2[[#This Row],[Fd]]*Tabelle2[[#This Row],[vy]]/Tabelle2[[#This Row],[v]],0)</f>
        <v>-1.8443306232227954</v>
      </c>
      <c r="M1122">
        <f t="shared" si="190"/>
        <v>-1.2295537488151969</v>
      </c>
      <c r="N1122">
        <f t="shared" si="191"/>
        <v>-2.4591074976303938E-2</v>
      </c>
      <c r="O1122">
        <f t="shared" si="192"/>
        <v>-1.698255957313719</v>
      </c>
      <c r="P1122" s="1">
        <f t="shared" si="194"/>
        <v>11.682007569893832</v>
      </c>
      <c r="Q1122" s="1">
        <f t="shared" si="195"/>
        <v>-84.900502328197788</v>
      </c>
      <c r="R1122">
        <f>SQRT(Tabelle2[[#This Row],[vx]]*Tabelle2[[#This Row],[vx]]+Tabelle2[[#This Row],[vy]]*Tabelle2[[#This Row],[vy]])</f>
        <v>85.700435217350986</v>
      </c>
      <c r="S1122">
        <f t="shared" si="196"/>
        <v>710.97068855967348</v>
      </c>
      <c r="T1122" s="1">
        <f t="shared" si="197"/>
        <v>-711.46046441800593</v>
      </c>
    </row>
    <row r="1123" spans="6:20" x14ac:dyDescent="0.35">
      <c r="F1123" s="1">
        <f t="shared" si="193"/>
        <v>22.399999999999611</v>
      </c>
      <c r="G1123">
        <f>1/2*$B$8*$B$6*$B$7*(Tabelle2[[#This Row],[vx]]*Tabelle2[[#This Row],[vx]]+Tabelle2[[#This Row],[vy]]*Tabelle2[[#This Row],[vy]])/1000000</f>
        <v>12.998349317584657</v>
      </c>
      <c r="H1123">
        <f>IF($B$3,-Tabelle2[[#This Row],[Fd]]*Tabelle2[[#This Row],[vx]]/Tabelle2[[#This Row],[v]],0)</f>
        <v>-1.7678148728933247</v>
      </c>
      <c r="I1123">
        <f t="shared" si="187"/>
        <v>-1.1785432485955498</v>
      </c>
      <c r="J1123">
        <f t="shared" si="188"/>
        <v>-2.3570864971910997E-2</v>
      </c>
      <c r="K1123">
        <f t="shared" si="189"/>
        <v>0.23293218717693875</v>
      </c>
      <c r="L1123">
        <f>-$B$5*$B$12-IF($B$3,Tabelle2[[#This Row],[Fd]]*Tabelle2[[#This Row],[vy]]/Tabelle2[[#This Row],[v]],0)</f>
        <v>-1.8374258667584975</v>
      </c>
      <c r="M1123">
        <f t="shared" si="190"/>
        <v>-1.2249505778389984</v>
      </c>
      <c r="N1123">
        <f t="shared" si="191"/>
        <v>-2.449901155677997E-2</v>
      </c>
      <c r="O1123">
        <f t="shared" si="192"/>
        <v>-1.6987468581790495</v>
      </c>
      <c r="P1123" s="1">
        <f t="shared" si="194"/>
        <v>11.658394791332894</v>
      </c>
      <c r="Q1123" s="1">
        <f t="shared" si="195"/>
        <v>-84.925093403174088</v>
      </c>
      <c r="R1123">
        <f>SQRT(Tabelle2[[#This Row],[vx]]*Tabelle2[[#This Row],[vx]]+Tabelle2[[#This Row],[vy]]*Tabelle2[[#This Row],[vy]])</f>
        <v>85.721582222031003</v>
      </c>
      <c r="S1123">
        <f t="shared" si="196"/>
        <v>711.20409258328573</v>
      </c>
      <c r="T1123" s="1">
        <f t="shared" si="197"/>
        <v>-713.1587203753196</v>
      </c>
    </row>
    <row r="1124" spans="6:20" x14ac:dyDescent="0.35">
      <c r="F1124" s="1">
        <f t="shared" si="193"/>
        <v>22.419999999999611</v>
      </c>
      <c r="G1124">
        <f>1/2*$B$8*$B$6*$B$7*(Tabelle2[[#This Row],[vx]]*Tabelle2[[#This Row],[vx]]+Tabelle2[[#This Row],[vy]]*Tabelle2[[#This Row],[vy]])/1000000</f>
        <v>13.004739926188931</v>
      </c>
      <c r="H1124">
        <f>IF($B$3,-Tabelle2[[#This Row],[Fd]]*Tabelle2[[#This Row],[vx]]/Tabelle2[[#This Row],[v]],0)</f>
        <v>-1.7646743557091202</v>
      </c>
      <c r="I1124">
        <f t="shared" si="187"/>
        <v>-1.1764495704727469</v>
      </c>
      <c r="J1124">
        <f t="shared" si="188"/>
        <v>-2.3528991409454938E-2</v>
      </c>
      <c r="K1124">
        <f t="shared" si="189"/>
        <v>0.23246118861312512</v>
      </c>
      <c r="L1124">
        <f>-$B$5*$B$12-IF($B$3,Tabelle2[[#This Row],[Fd]]*Tabelle2[[#This Row],[vy]]/Tabelle2[[#This Row],[v]],0)</f>
        <v>-1.8305448323914337</v>
      </c>
      <c r="M1124">
        <f t="shared" si="190"/>
        <v>-1.2203632215942892</v>
      </c>
      <c r="N1124">
        <f t="shared" si="191"/>
        <v>-2.4407264431885786E-2</v>
      </c>
      <c r="O1124">
        <f t="shared" si="192"/>
        <v>-1.6992359209389363</v>
      </c>
      <c r="P1124" s="1">
        <f t="shared" si="194"/>
        <v>11.634823926360983</v>
      </c>
      <c r="Q1124" s="1">
        <f t="shared" si="195"/>
        <v>-84.949592414730873</v>
      </c>
      <c r="R1124">
        <f>SQRT(Tabelle2[[#This Row],[vx]]*Tabelle2[[#This Row],[vx]]+Tabelle2[[#This Row],[vy]]*Tabelle2[[#This Row],[vy]])</f>
        <v>85.742652042179813</v>
      </c>
      <c r="S1124">
        <f t="shared" si="196"/>
        <v>711.4370247704627</v>
      </c>
      <c r="T1124" s="1">
        <f t="shared" si="197"/>
        <v>-714.85746723349871</v>
      </c>
    </row>
    <row r="1125" spans="6:20" x14ac:dyDescent="0.35">
      <c r="F1125" s="1">
        <f t="shared" si="193"/>
        <v>22.43999999999961</v>
      </c>
      <c r="G1125">
        <f>1/2*$B$8*$B$6*$B$7*(Tabelle2[[#This Row],[vx]]*Tabelle2[[#This Row],[vx]]+Tabelle2[[#This Row],[vy]]*Tabelle2[[#This Row],[vy]])/1000000</f>
        <v>13.011108762477146</v>
      </c>
      <c r="H1125">
        <f>IF($B$3,-Tabelle2[[#This Row],[Fd]]*Tabelle2[[#This Row],[vx]]/Tabelle2[[#This Row],[v]],0)</f>
        <v>-1.7615368539499756</v>
      </c>
      <c r="I1125">
        <f t="shared" si="187"/>
        <v>-1.1743579026333171</v>
      </c>
      <c r="J1125">
        <f t="shared" si="188"/>
        <v>-2.3487158052666341E-2</v>
      </c>
      <c r="K1125">
        <f t="shared" si="189"/>
        <v>0.23199102711850392</v>
      </c>
      <c r="L1125">
        <f>-$B$5*$B$12-IF($B$3,Tabelle2[[#This Row],[Fd]]*Tabelle2[[#This Row],[vy]]/Tabelle2[[#This Row],[v]],0)</f>
        <v>-1.8236874546776427</v>
      </c>
      <c r="M1125">
        <f t="shared" si="190"/>
        <v>-1.2157916364517618</v>
      </c>
      <c r="N1125">
        <f t="shared" si="191"/>
        <v>-2.4315832729035237E-2</v>
      </c>
      <c r="O1125">
        <f t="shared" si="192"/>
        <v>-1.6997231519105456</v>
      </c>
      <c r="P1125" s="1">
        <f t="shared" si="194"/>
        <v>11.611294934951529</v>
      </c>
      <c r="Q1125" s="1">
        <f t="shared" si="195"/>
        <v>-84.973999679162759</v>
      </c>
      <c r="R1125">
        <f>SQRT(Tabelle2[[#This Row],[vx]]*Tabelle2[[#This Row],[vx]]+Tabelle2[[#This Row],[vy]]*Tabelle2[[#This Row],[vy]])</f>
        <v>85.763644929193532</v>
      </c>
      <c r="S1125">
        <f t="shared" si="196"/>
        <v>711.66948595907581</v>
      </c>
      <c r="T1125" s="1">
        <f t="shared" si="197"/>
        <v>-716.55670315443763</v>
      </c>
    </row>
    <row r="1126" spans="6:20" x14ac:dyDescent="0.35">
      <c r="F1126" s="1">
        <f t="shared" si="193"/>
        <v>22.45999999999961</v>
      </c>
      <c r="G1126">
        <f>1/2*$B$8*$B$6*$B$7*(Tabelle2[[#This Row],[vx]]*Tabelle2[[#This Row],[vx]]+Tabelle2[[#This Row],[vy]]*Tabelle2[[#This Row],[vy]])/1000000</f>
        <v>13.017455885427987</v>
      </c>
      <c r="H1126">
        <f>IF($B$3,-Tabelle2[[#This Row],[Fd]]*Tabelle2[[#This Row],[vx]]/Tabelle2[[#This Row],[v]],0)</f>
        <v>-1.7584023809269644</v>
      </c>
      <c r="I1126">
        <f t="shared" si="187"/>
        <v>-1.1722682539513096</v>
      </c>
      <c r="J1126">
        <f t="shared" si="188"/>
        <v>-2.3445365079026195E-2</v>
      </c>
      <c r="K1126">
        <f t="shared" si="189"/>
        <v>0.23152170188718696</v>
      </c>
      <c r="L1126">
        <f>-$B$5*$B$12-IF($B$3,Tabelle2[[#This Row],[Fd]]*Tabelle2[[#This Row],[vy]]/Tabelle2[[#This Row],[v]],0)</f>
        <v>-1.8168536682275889</v>
      </c>
      <c r="M1126">
        <f t="shared" si="190"/>
        <v>-1.2112357788183925</v>
      </c>
      <c r="N1126">
        <f t="shared" si="191"/>
        <v>-2.422471557636785E-2</v>
      </c>
      <c r="O1126">
        <f t="shared" si="192"/>
        <v>-1.7002085573935994</v>
      </c>
      <c r="P1126" s="1">
        <f t="shared" si="194"/>
        <v>11.587807776898861</v>
      </c>
      <c r="Q1126" s="1">
        <f t="shared" si="195"/>
        <v>-84.998315511891789</v>
      </c>
      <c r="R1126">
        <f>SQRT(Tabelle2[[#This Row],[vx]]*Tabelle2[[#This Row],[vx]]+Tabelle2[[#This Row],[vy]]*Tabelle2[[#This Row],[vy]])</f>
        <v>85.784561133886228</v>
      </c>
      <c r="S1126">
        <f t="shared" si="196"/>
        <v>711.90147698619433</v>
      </c>
      <c r="T1126" s="1">
        <f t="shared" si="197"/>
        <v>-718.2564263063482</v>
      </c>
    </row>
    <row r="1127" spans="6:20" x14ac:dyDescent="0.35">
      <c r="F1127" s="1">
        <f t="shared" si="193"/>
        <v>22.47999999999961</v>
      </c>
      <c r="G1127">
        <f>1/2*$B$8*$B$6*$B$7*(Tabelle2[[#This Row],[vx]]*Tabelle2[[#This Row],[vx]]+Tabelle2[[#This Row],[vy]]*Tabelle2[[#This Row],[vy]])/1000000</f>
        <v>13.023781353980032</v>
      </c>
      <c r="H1127">
        <f>IF($B$3,-Tabelle2[[#This Row],[Fd]]*Tabelle2[[#This Row],[vx]]/Tabelle2[[#This Row],[v]],0)</f>
        <v>-1.7552709498305752</v>
      </c>
      <c r="I1127">
        <f t="shared" si="187"/>
        <v>-1.1701806332203835</v>
      </c>
      <c r="J1127">
        <f t="shared" si="188"/>
        <v>-2.3403612664407668E-2</v>
      </c>
      <c r="K1127">
        <f t="shared" si="189"/>
        <v>0.23105321210975266</v>
      </c>
      <c r="L1127">
        <f>-$B$5*$B$12-IF($B$3,Tabelle2[[#This Row],[Fd]]*Tabelle2[[#This Row],[vy]]/Tabelle2[[#This Row],[v]],0)</f>
        <v>-1.8100434077072993</v>
      </c>
      <c r="M1127">
        <f t="shared" si="190"/>
        <v>-1.2066956051381996</v>
      </c>
      <c r="N1127">
        <f t="shared" si="191"/>
        <v>-2.4133912102763992E-2</v>
      </c>
      <c r="O1127">
        <f t="shared" si="192"/>
        <v>-1.7006921436703908</v>
      </c>
      <c r="P1127" s="1">
        <f t="shared" si="194"/>
        <v>11.564362411819836</v>
      </c>
      <c r="Q1127" s="1">
        <f t="shared" si="195"/>
        <v>-85.022540227468156</v>
      </c>
      <c r="R1127">
        <f>SQRT(Tabelle2[[#This Row],[vx]]*Tabelle2[[#This Row],[vx]]+Tabelle2[[#This Row],[vy]]*Tabelle2[[#This Row],[vy]])</f>
        <v>85.805400906489282</v>
      </c>
      <c r="S1127">
        <f t="shared" si="196"/>
        <v>712.13299868808156</v>
      </c>
      <c r="T1127" s="1">
        <f t="shared" si="197"/>
        <v>-719.95663486374178</v>
      </c>
    </row>
    <row r="1128" spans="6:20" x14ac:dyDescent="0.35">
      <c r="F1128" s="1">
        <f t="shared" si="193"/>
        <v>22.499999999999609</v>
      </c>
      <c r="G1128">
        <f>1/2*$B$8*$B$6*$B$7*(Tabelle2[[#This Row],[vx]]*Tabelle2[[#This Row],[vx]]+Tabelle2[[#This Row],[vy]]*Tabelle2[[#This Row],[vy]])/1000000</f>
        <v>13.030085227030698</v>
      </c>
      <c r="H1128">
        <f>IF($B$3,-Tabelle2[[#This Row],[Fd]]*Tabelle2[[#This Row],[vx]]/Tabelle2[[#This Row],[v]],0)</f>
        <v>-1.7521425737312697</v>
      </c>
      <c r="I1128">
        <f t="shared" si="187"/>
        <v>-1.1680950491541797</v>
      </c>
      <c r="J1128">
        <f t="shared" si="188"/>
        <v>-2.3361900983083595E-2</v>
      </c>
      <c r="K1128">
        <f t="shared" si="189"/>
        <v>0.23058555697327773</v>
      </c>
      <c r="L1128">
        <f>-$B$5*$B$12-IF($B$3,Tabelle2[[#This Row],[Fd]]*Tabelle2[[#This Row],[vy]]/Tabelle2[[#This Row],[v]],0)</f>
        <v>-1.8032566078394368</v>
      </c>
      <c r="M1128">
        <f t="shared" si="190"/>
        <v>-1.2021710718929579</v>
      </c>
      <c r="N1128">
        <f t="shared" si="191"/>
        <v>-2.4043421437859158E-2</v>
      </c>
      <c r="O1128">
        <f t="shared" si="192"/>
        <v>-1.7011739170057971</v>
      </c>
      <c r="P1128" s="1">
        <f t="shared" si="194"/>
        <v>11.540958799155428</v>
      </c>
      <c r="Q1128" s="1">
        <f t="shared" si="195"/>
        <v>-85.046674139570925</v>
      </c>
      <c r="R1128">
        <f>SQRT(Tabelle2[[#This Row],[vx]]*Tabelle2[[#This Row],[vx]]+Tabelle2[[#This Row],[vy]]*Tabelle2[[#This Row],[vy]])</f>
        <v>85.826164496650819</v>
      </c>
      <c r="S1128">
        <f t="shared" si="196"/>
        <v>712.36405190019127</v>
      </c>
      <c r="T1128" s="1">
        <f t="shared" si="197"/>
        <v>-721.65732700741216</v>
      </c>
    </row>
    <row r="1129" spans="6:20" x14ac:dyDescent="0.35">
      <c r="F1129" s="1">
        <f t="shared" si="193"/>
        <v>22.519999999999609</v>
      </c>
      <c r="G1129">
        <f>1/2*$B$8*$B$6*$B$7*(Tabelle2[[#This Row],[vx]]*Tabelle2[[#This Row],[vx]]+Tabelle2[[#This Row],[vy]]*Tabelle2[[#This Row],[vy]])/1000000</f>
        <v>13.036367563435103</v>
      </c>
      <c r="H1129">
        <f>IF($B$3,-Tabelle2[[#This Row],[Fd]]*Tabelle2[[#This Row],[vx]]/Tabelle2[[#This Row],[v]],0)</f>
        <v>-1.7490172655800398</v>
      </c>
      <c r="I1129">
        <f t="shared" si="187"/>
        <v>-1.1660115103866933</v>
      </c>
      <c r="J1129">
        <f t="shared" si="188"/>
        <v>-2.3320230207733866E-2</v>
      </c>
      <c r="K1129">
        <f t="shared" si="189"/>
        <v>0.23011873566136956</v>
      </c>
      <c r="L1129">
        <f>-$B$5*$B$12-IF($B$3,Tabelle2[[#This Row],[Fd]]*Tabelle2[[#This Row],[vy]]/Tabelle2[[#This Row],[v]],0)</f>
        <v>-1.7964932034044345</v>
      </c>
      <c r="M1129">
        <f t="shared" si="190"/>
        <v>-1.1976621356029564</v>
      </c>
      <c r="N1129">
        <f t="shared" si="191"/>
        <v>-2.395324271205913E-2</v>
      </c>
      <c r="O1129">
        <f t="shared" si="192"/>
        <v>-1.7016538836472961</v>
      </c>
      <c r="P1129" s="1">
        <f t="shared" si="194"/>
        <v>11.517596898172345</v>
      </c>
      <c r="Q1129" s="1">
        <f t="shared" si="195"/>
        <v>-85.070717561008777</v>
      </c>
      <c r="R1129">
        <f>SQRT(Tabelle2[[#This Row],[vx]]*Tabelle2[[#This Row],[vx]]+Tabelle2[[#This Row],[vy]]*Tabelle2[[#This Row],[vy]])</f>
        <v>85.846852153434938</v>
      </c>
      <c r="S1129">
        <f t="shared" si="196"/>
        <v>712.59463745716459</v>
      </c>
      <c r="T1129" s="1">
        <f t="shared" si="197"/>
        <v>-723.35850092441797</v>
      </c>
    </row>
    <row r="1130" spans="6:20" x14ac:dyDescent="0.35">
      <c r="F1130" s="1">
        <f t="shared" si="193"/>
        <v>22.539999999999608</v>
      </c>
      <c r="G1130">
        <f>1/2*$B$8*$B$6*$B$7*(Tabelle2[[#This Row],[vx]]*Tabelle2[[#This Row],[vx]]+Tabelle2[[#This Row],[vy]]*Tabelle2[[#This Row],[vy]])/1000000</f>
        <v>13.042628422005077</v>
      </c>
      <c r="H1130">
        <f>IF($B$3,-Tabelle2[[#This Row],[Fd]]*Tabelle2[[#This Row],[vx]]/Tabelle2[[#This Row],[v]],0)</f>
        <v>-1.7458950382089691</v>
      </c>
      <c r="I1130">
        <f t="shared" si="187"/>
        <v>-1.1639300254726461</v>
      </c>
      <c r="J1130">
        <f t="shared" si="188"/>
        <v>-2.3278600509452924E-2</v>
      </c>
      <c r="K1130">
        <f t="shared" si="189"/>
        <v>0.22965274735419769</v>
      </c>
      <c r="L1130">
        <f>-$B$5*$B$12-IF($B$3,Tabelle2[[#This Row],[Fd]]*Tabelle2[[#This Row],[vy]]/Tabelle2[[#This Row],[v]],0)</f>
        <v>-1.7897531292415181</v>
      </c>
      <c r="M1130">
        <f t="shared" si="190"/>
        <v>-1.1931687528276786</v>
      </c>
      <c r="N1130">
        <f t="shared" si="191"/>
        <v>-2.3863375056553573E-2</v>
      </c>
      <c r="O1130">
        <f t="shared" si="192"/>
        <v>-1.7021320498249821</v>
      </c>
      <c r="P1130" s="1">
        <f t="shared" si="194"/>
        <v>11.494276667964611</v>
      </c>
      <c r="Q1130" s="1">
        <f t="shared" si="195"/>
        <v>-85.094670803720831</v>
      </c>
      <c r="R1130">
        <f>SQRT(Tabelle2[[#This Row],[vx]]*Tabelle2[[#This Row],[vx]]+Tabelle2[[#This Row],[vy]]*Tabelle2[[#This Row],[vy]])</f>
        <v>85.867464125321263</v>
      </c>
      <c r="S1130">
        <f t="shared" si="196"/>
        <v>712.82475619282593</v>
      </c>
      <c r="T1130" s="1">
        <f t="shared" si="197"/>
        <v>-725.06015480806525</v>
      </c>
    </row>
    <row r="1131" spans="6:20" x14ac:dyDescent="0.35">
      <c r="F1131" s="1">
        <f t="shared" si="193"/>
        <v>22.559999999999608</v>
      </c>
      <c r="G1131">
        <f>1/2*$B$8*$B$6*$B$7*(Tabelle2[[#This Row],[vx]]*Tabelle2[[#This Row],[vx]]+Tabelle2[[#This Row],[vy]]*Tabelle2[[#This Row],[vy]])/1000000</f>
        <v>13.048867861508038</v>
      </c>
      <c r="H1131">
        <f>IF($B$3,-Tabelle2[[#This Row],[Fd]]*Tabelle2[[#This Row],[vx]]/Tabelle2[[#This Row],[v]],0)</f>
        <v>-1.7427759043317845</v>
      </c>
      <c r="I1131">
        <f t="shared" si="187"/>
        <v>-1.1618506028878564</v>
      </c>
      <c r="J1131">
        <f t="shared" si="188"/>
        <v>-2.3237012057757127E-2</v>
      </c>
      <c r="K1131">
        <f t="shared" si="189"/>
        <v>0.22918759122852561</v>
      </c>
      <c r="L1131">
        <f>-$B$5*$B$12-IF($B$3,Tabelle2[[#This Row],[Fd]]*Tabelle2[[#This Row],[vy]]/Tabelle2[[#This Row],[v]],0)</f>
        <v>-1.7830363202498152</v>
      </c>
      <c r="M1131">
        <f t="shared" si="190"/>
        <v>-1.1886908801665435</v>
      </c>
      <c r="N1131">
        <f t="shared" si="191"/>
        <v>-2.3773817603330871E-2</v>
      </c>
      <c r="O1131">
        <f t="shared" si="192"/>
        <v>-1.7026084217515811</v>
      </c>
      <c r="P1131" s="1">
        <f t="shared" si="194"/>
        <v>11.470998067455158</v>
      </c>
      <c r="Q1131" s="1">
        <f t="shared" si="195"/>
        <v>-85.118534178777381</v>
      </c>
      <c r="R1131">
        <f>SQRT(Tabelle2[[#This Row],[vx]]*Tabelle2[[#This Row],[vx]]+Tabelle2[[#This Row],[vy]]*Tabelle2[[#This Row],[vy]])</f>
        <v>85.888000660204284</v>
      </c>
      <c r="S1131">
        <f t="shared" si="196"/>
        <v>713.05440894018011</v>
      </c>
      <c r="T1131" s="1">
        <f t="shared" si="197"/>
        <v>-726.76228685789022</v>
      </c>
    </row>
    <row r="1132" spans="6:20" x14ac:dyDescent="0.35">
      <c r="F1132" s="1">
        <f t="shared" si="193"/>
        <v>22.579999999999607</v>
      </c>
      <c r="G1132">
        <f>1/2*$B$8*$B$6*$B$7*(Tabelle2[[#This Row],[vx]]*Tabelle2[[#This Row],[vx]]+Tabelle2[[#This Row],[vy]]*Tabelle2[[#This Row],[vy]])/1000000</f>
        <v>13.055085940665995</v>
      </c>
      <c r="H1132">
        <f>IF($B$3,-Tabelle2[[#This Row],[Fd]]*Tabelle2[[#This Row],[vx]]/Tabelle2[[#This Row],[v]],0)</f>
        <v>-1.7396598765444153</v>
      </c>
      <c r="I1132">
        <f t="shared" si="187"/>
        <v>-1.1597732510296102</v>
      </c>
      <c r="J1132">
        <f t="shared" si="188"/>
        <v>-2.3195465020592203E-2</v>
      </c>
      <c r="K1132">
        <f t="shared" si="189"/>
        <v>0.2287232664577421</v>
      </c>
      <c r="L1132">
        <f>-$B$5*$B$12-IF($B$3,Tabelle2[[#This Row],[Fd]]*Tabelle2[[#This Row],[vy]]/Tabelle2[[#This Row],[v]],0)</f>
        <v>-1.7763427113893915</v>
      </c>
      <c r="M1132">
        <f t="shared" si="190"/>
        <v>-1.1842284742595943</v>
      </c>
      <c r="N1132">
        <f t="shared" si="191"/>
        <v>-2.3684569485191886E-2</v>
      </c>
      <c r="O1132">
        <f t="shared" si="192"/>
        <v>-1.7030830056224662</v>
      </c>
      <c r="P1132" s="1">
        <f t="shared" si="194"/>
        <v>11.4477610553974</v>
      </c>
      <c r="Q1132" s="1">
        <f t="shared" si="195"/>
        <v>-85.142307996380708</v>
      </c>
      <c r="R1132">
        <f>SQRT(Tabelle2[[#This Row],[vx]]*Tabelle2[[#This Row],[vx]]+Tabelle2[[#This Row],[vy]]*Tabelle2[[#This Row],[vy]])</f>
        <v>85.908462005392849</v>
      </c>
      <c r="S1132">
        <f t="shared" si="196"/>
        <v>713.28359653140865</v>
      </c>
      <c r="T1132" s="1">
        <f t="shared" si="197"/>
        <v>-728.46489527964184</v>
      </c>
    </row>
    <row r="1133" spans="6:20" x14ac:dyDescent="0.35">
      <c r="F1133" s="1">
        <f t="shared" si="193"/>
        <v>22.599999999999607</v>
      </c>
      <c r="G1133">
        <f>1/2*$B$8*$B$6*$B$7*(Tabelle2[[#This Row],[vx]]*Tabelle2[[#This Row],[vx]]+Tabelle2[[#This Row],[vy]]*Tabelle2[[#This Row],[vy]])/1000000</f>
        <v>13.061282718154491</v>
      </c>
      <c r="H1133">
        <f>IF($B$3,-Tabelle2[[#This Row],[Fd]]*Tabelle2[[#This Row],[vx]]/Tabelle2[[#This Row],[v]],0)</f>
        <v>-1.7365469673255465</v>
      </c>
      <c r="I1133">
        <f t="shared" si="187"/>
        <v>-1.1576979782170309</v>
      </c>
      <c r="J1133">
        <f t="shared" si="188"/>
        <v>-2.3153959564340618E-2</v>
      </c>
      <c r="K1133">
        <f t="shared" si="189"/>
        <v>0.22825977221189278</v>
      </c>
      <c r="L1133">
        <f>-$B$5*$B$12-IF($B$3,Tabelle2[[#This Row],[Fd]]*Tabelle2[[#This Row],[vy]]/Tabelle2[[#This Row],[v]],0)</f>
        <v>-1.7696722376822933</v>
      </c>
      <c r="M1133">
        <f t="shared" si="190"/>
        <v>-1.1797814917881955</v>
      </c>
      <c r="N1133">
        <f t="shared" si="191"/>
        <v>-2.3595629835763909E-2</v>
      </c>
      <c r="O1133">
        <f t="shared" si="192"/>
        <v>-1.7035558076156758</v>
      </c>
      <c r="P1133" s="1">
        <f t="shared" si="194"/>
        <v>11.424565590376808</v>
      </c>
      <c r="Q1133" s="1">
        <f t="shared" si="195"/>
        <v>-85.165992565865906</v>
      </c>
      <c r="R1133">
        <f>SQRT(Tabelle2[[#This Row],[vx]]*Tabelle2[[#This Row],[vx]]+Tabelle2[[#This Row],[vy]]*Tabelle2[[#This Row],[vy]])</f>
        <v>85.928848407609593</v>
      </c>
      <c r="S1133">
        <f t="shared" si="196"/>
        <v>713.51231979786644</v>
      </c>
      <c r="T1133" s="1">
        <f t="shared" si="197"/>
        <v>-730.16797828526433</v>
      </c>
    </row>
    <row r="1134" spans="6:20" x14ac:dyDescent="0.35">
      <c r="F1134" s="1">
        <f t="shared" si="193"/>
        <v>22.619999999999607</v>
      </c>
      <c r="G1134">
        <f>1/2*$B$8*$B$6*$B$7*(Tabelle2[[#This Row],[vx]]*Tabelle2[[#This Row],[vx]]+Tabelle2[[#This Row],[vy]]*Tabelle2[[#This Row],[vy]])/1000000</f>
        <v>13.067458252601577</v>
      </c>
      <c r="H1134">
        <f>IF($B$3,-Tabelle2[[#This Row],[Fd]]*Tabelle2[[#This Row],[vx]]/Tabelle2[[#This Row],[v]],0)</f>
        <v>-1.7334371890371731</v>
      </c>
      <c r="I1134">
        <f t="shared" si="187"/>
        <v>-1.1556247926914487</v>
      </c>
      <c r="J1134">
        <f t="shared" si="188"/>
        <v>-2.3112495853828973E-2</v>
      </c>
      <c r="K1134">
        <f t="shared" si="189"/>
        <v>0.22779710765771108</v>
      </c>
      <c r="L1134">
        <f>-$B$5*$B$12-IF($B$3,Tabelle2[[#This Row],[Fd]]*Tabelle2[[#This Row],[vy]]/Tabelle2[[#This Row],[v]],0)</f>
        <v>-1.7630248342135886</v>
      </c>
      <c r="M1134">
        <f t="shared" si="190"/>
        <v>-1.1753498894757257</v>
      </c>
      <c r="N1134">
        <f t="shared" si="191"/>
        <v>-2.3506997789514514E-2</v>
      </c>
      <c r="O1134">
        <f t="shared" si="192"/>
        <v>-1.7040268338919287</v>
      </c>
      <c r="P1134" s="1">
        <f t="shared" si="194"/>
        <v>11.401411630812468</v>
      </c>
      <c r="Q1134" s="1">
        <f t="shared" si="195"/>
        <v>-85.189588195701674</v>
      </c>
      <c r="R1134">
        <f>SQRT(Tabelle2[[#This Row],[vx]]*Tabelle2[[#This Row],[vx]]+Tabelle2[[#This Row],[vy]]*Tabelle2[[#This Row],[vy]])</f>
        <v>85.949160112990398</v>
      </c>
      <c r="S1134">
        <f t="shared" si="196"/>
        <v>713.74057957007835</v>
      </c>
      <c r="T1134" s="1">
        <f t="shared" si="197"/>
        <v>-731.87153409287998</v>
      </c>
    </row>
    <row r="1135" spans="6:20" x14ac:dyDescent="0.35">
      <c r="F1135" s="1">
        <f t="shared" si="193"/>
        <v>22.639999999999606</v>
      </c>
      <c r="G1135">
        <f>1/2*$B$8*$B$6*$B$7*(Tabelle2[[#This Row],[vx]]*Tabelle2[[#This Row],[vx]]+Tabelle2[[#This Row],[vy]]*Tabelle2[[#This Row],[vy]])/1000000</f>
        <v>13.073612602586817</v>
      </c>
      <c r="H1135">
        <f>IF($B$3,-Tabelle2[[#This Row],[Fd]]*Tabelle2[[#This Row],[vx]]/Tabelle2[[#This Row],[v]],0)</f>
        <v>-1.7303305539251519</v>
      </c>
      <c r="I1135">
        <f t="shared" si="187"/>
        <v>-1.1535537026167679</v>
      </c>
      <c r="J1135">
        <f t="shared" si="188"/>
        <v>-2.3071074052335359E-2</v>
      </c>
      <c r="K1135">
        <f t="shared" si="189"/>
        <v>0.22733527195864944</v>
      </c>
      <c r="L1135">
        <f>-$B$5*$B$12-IF($B$3,Tabelle2[[#This Row],[Fd]]*Tabelle2[[#This Row],[vy]]/Tabelle2[[#This Row],[v]],0)</f>
        <v>-1.7564004361323828</v>
      </c>
      <c r="M1135">
        <f t="shared" si="190"/>
        <v>-1.1709336240882553</v>
      </c>
      <c r="N1135">
        <f t="shared" si="191"/>
        <v>-2.3418672481765105E-2</v>
      </c>
      <c r="O1135">
        <f t="shared" si="192"/>
        <v>-1.7044960905946414</v>
      </c>
      <c r="P1135" s="1">
        <f t="shared" si="194"/>
        <v>11.37829913495864</v>
      </c>
      <c r="Q1135" s="1">
        <f t="shared" si="195"/>
        <v>-85.213095193491185</v>
      </c>
      <c r="R1135">
        <f>SQRT(Tabelle2[[#This Row],[vx]]*Tabelle2[[#This Row],[vx]]+Tabelle2[[#This Row],[vy]]*Tabelle2[[#This Row],[vy]])</f>
        <v>85.969397367083999</v>
      </c>
      <c r="S1135">
        <f t="shared" si="196"/>
        <v>713.96837667773605</v>
      </c>
      <c r="T1135" s="1">
        <f t="shared" si="197"/>
        <v>-733.57556092677191</v>
      </c>
    </row>
    <row r="1136" spans="6:20" x14ac:dyDescent="0.35">
      <c r="F1136" s="1">
        <f t="shared" si="193"/>
        <v>22.659999999999606</v>
      </c>
      <c r="G1136">
        <f>1/2*$B$8*$B$6*$B$7*(Tabelle2[[#This Row],[vx]]*Tabelle2[[#This Row],[vx]]+Tabelle2[[#This Row],[vy]]*Tabelle2[[#This Row],[vy]])/1000000</f>
        <v>13.079745826640281</v>
      </c>
      <c r="H1136">
        <f>IF($B$3,-Tabelle2[[#This Row],[Fd]]*Tabelle2[[#This Row],[vx]]/Tabelle2[[#This Row],[v]],0)</f>
        <v>-1.7272270741197551</v>
      </c>
      <c r="I1136">
        <f t="shared" si="187"/>
        <v>-1.1514847160798367</v>
      </c>
      <c r="J1136">
        <f t="shared" si="188"/>
        <v>-2.3029694321596735E-2</v>
      </c>
      <c r="K1136">
        <f t="shared" si="189"/>
        <v>0.22687426427491011</v>
      </c>
      <c r="L1136">
        <f>-$B$5*$B$12-IF($B$3,Tabelle2[[#This Row],[Fd]]*Tabelle2[[#This Row],[vy]]/Tabelle2[[#This Row],[v]],0)</f>
        <v>-1.7497989786528354</v>
      </c>
      <c r="M1136">
        <f t="shared" si="190"/>
        <v>-1.1665326524352235</v>
      </c>
      <c r="N1136">
        <f t="shared" si="191"/>
        <v>-2.3330653048704471E-2</v>
      </c>
      <c r="O1136">
        <f t="shared" si="192"/>
        <v>-1.7049635838499462</v>
      </c>
      <c r="P1136" s="1">
        <f t="shared" si="194"/>
        <v>11.355228060906304</v>
      </c>
      <c r="Q1136" s="1">
        <f t="shared" si="195"/>
        <v>-85.236513865972952</v>
      </c>
      <c r="R1136">
        <f>SQRT(Tabelle2[[#This Row],[vx]]*Tabelle2[[#This Row],[vx]]+Tabelle2[[#This Row],[vy]]*Tabelle2[[#This Row],[vy]])</f>
        <v>85.989560414851482</v>
      </c>
      <c r="S1136">
        <f t="shared" si="196"/>
        <v>714.19571194969467</v>
      </c>
      <c r="T1136" s="1">
        <f t="shared" si="197"/>
        <v>-735.28005701736652</v>
      </c>
    </row>
    <row r="1137" spans="6:20" x14ac:dyDescent="0.35">
      <c r="F1137" s="1">
        <f t="shared" si="193"/>
        <v>22.679999999999605</v>
      </c>
      <c r="G1137">
        <f>1/2*$B$8*$B$6*$B$7*(Tabelle2[[#This Row],[vx]]*Tabelle2[[#This Row],[vx]]+Tabelle2[[#This Row],[vy]]*Tabelle2[[#This Row],[vy]])/1000000</f>
        <v>13.085857983241537</v>
      </c>
      <c r="H1137">
        <f>IF($B$3,-Tabelle2[[#This Row],[Fd]]*Tabelle2[[#This Row],[vx]]/Tabelle2[[#This Row],[v]],0)</f>
        <v>-1.7241267616362204</v>
      </c>
      <c r="I1137">
        <f t="shared" si="187"/>
        <v>-1.1494178410908136</v>
      </c>
      <c r="J1137">
        <f t="shared" si="188"/>
        <v>-2.2988356821816273E-2</v>
      </c>
      <c r="K1137">
        <f t="shared" si="189"/>
        <v>0.22641408376347599</v>
      </c>
      <c r="L1137">
        <f>-$B$5*$B$12-IF($B$3,Tabelle2[[#This Row],[Fd]]*Tabelle2[[#This Row],[vy]]/Tabelle2[[#This Row],[v]],0)</f>
        <v>-1.7432203970551488</v>
      </c>
      <c r="M1137">
        <f t="shared" si="190"/>
        <v>-1.1621469313700992</v>
      </c>
      <c r="N1137">
        <f t="shared" si="191"/>
        <v>-2.3242938627401982E-2</v>
      </c>
      <c r="O1137">
        <f t="shared" si="192"/>
        <v>-1.705429319766707</v>
      </c>
      <c r="P1137" s="1">
        <f t="shared" si="194"/>
        <v>11.332198366584707</v>
      </c>
      <c r="Q1137" s="1">
        <f t="shared" si="195"/>
        <v>-85.259844519021655</v>
      </c>
      <c r="R1137">
        <f>SQRT(Tabelle2[[#This Row],[vx]]*Tabelle2[[#This Row],[vx]]+Tabelle2[[#This Row],[vy]]*Tabelle2[[#This Row],[vy]])</f>
        <v>86.009649500665745</v>
      </c>
      <c r="S1137">
        <f t="shared" si="196"/>
        <v>714.42258621396957</v>
      </c>
      <c r="T1137" s="1">
        <f t="shared" si="197"/>
        <v>-736.98502060121643</v>
      </c>
    </row>
    <row r="1138" spans="6:20" x14ac:dyDescent="0.35">
      <c r="F1138" s="1">
        <f t="shared" si="193"/>
        <v>22.699999999999605</v>
      </c>
      <c r="G1138">
        <f>1/2*$B$8*$B$6*$B$7*(Tabelle2[[#This Row],[vx]]*Tabelle2[[#This Row],[vx]]+Tabelle2[[#This Row],[vy]]*Tabelle2[[#This Row],[vy]])/1000000</f>
        <v>13.091949130818703</v>
      </c>
      <c r="H1138">
        <f>IF($B$3,-Tabelle2[[#This Row],[Fd]]*Tabelle2[[#This Row],[vx]]/Tabelle2[[#This Row],[v]],0)</f>
        <v>-1.7210296283753028</v>
      </c>
      <c r="I1138">
        <f t="shared" si="187"/>
        <v>-1.1473530855835352</v>
      </c>
      <c r="J1138">
        <f t="shared" si="188"/>
        <v>-2.2947061711670706E-2</v>
      </c>
      <c r="K1138">
        <f t="shared" si="189"/>
        <v>0.22595472957814114</v>
      </c>
      <c r="L1138">
        <f>-$B$5*$B$12-IF($B$3,Tabelle2[[#This Row],[Fd]]*Tabelle2[[#This Row],[vy]]/Tabelle2[[#This Row],[v]],0)</f>
        <v>-1.736664626686558</v>
      </c>
      <c r="M1138">
        <f t="shared" si="190"/>
        <v>-1.1577764177910386</v>
      </c>
      <c r="N1138">
        <f t="shared" si="191"/>
        <v>-2.315552835582077E-2</v>
      </c>
      <c r="O1138">
        <f t="shared" si="192"/>
        <v>-1.7058933044365396</v>
      </c>
      <c r="P1138" s="1">
        <f t="shared" si="194"/>
        <v>11.309210009762891</v>
      </c>
      <c r="Q1138" s="1">
        <f t="shared" si="195"/>
        <v>-85.28308745764906</v>
      </c>
      <c r="R1138">
        <f>SQRT(Tabelle2[[#This Row],[vx]]*Tabelle2[[#This Row],[vx]]+Tabelle2[[#This Row],[vy]]*Tabelle2[[#This Row],[vy]])</f>
        <v>86.029664868311201</v>
      </c>
      <c r="S1138">
        <f t="shared" si="196"/>
        <v>714.6490002977331</v>
      </c>
      <c r="T1138" s="1">
        <f t="shared" si="197"/>
        <v>-738.69044992098316</v>
      </c>
    </row>
    <row r="1139" spans="6:20" x14ac:dyDescent="0.35">
      <c r="F1139" s="1">
        <f t="shared" si="193"/>
        <v>22.719999999999605</v>
      </c>
      <c r="G1139">
        <f>1/2*$B$8*$B$6*$B$7*(Tabelle2[[#This Row],[vx]]*Tabelle2[[#This Row],[vx]]+Tabelle2[[#This Row],[vy]]*Tabelle2[[#This Row],[vy]])/1000000</f>
        <v>13.098019327747439</v>
      </c>
      <c r="H1139">
        <f>IF($B$3,-Tabelle2[[#This Row],[Fd]]*Tabelle2[[#This Row],[vx]]/Tabelle2[[#This Row],[v]],0)</f>
        <v>-1.7179356861238195</v>
      </c>
      <c r="I1139">
        <f t="shared" si="187"/>
        <v>-1.1452904574158798</v>
      </c>
      <c r="J1139">
        <f t="shared" si="188"/>
        <v>-2.2905809148317597E-2</v>
      </c>
      <c r="K1139">
        <f t="shared" si="189"/>
        <v>0.22549620086954125</v>
      </c>
      <c r="L1139">
        <f>-$B$5*$B$12-IF($B$3,Tabelle2[[#This Row],[Fd]]*Tabelle2[[#This Row],[vy]]/Tabelle2[[#This Row],[v]],0)</f>
        <v>-1.7301316029623255</v>
      </c>
      <c r="M1139">
        <f t="shared" si="190"/>
        <v>-1.1534210686415503</v>
      </c>
      <c r="N1139">
        <f t="shared" si="191"/>
        <v>-2.3068421372831004E-2</v>
      </c>
      <c r="O1139">
        <f t="shared" si="192"/>
        <v>-1.706355543933826</v>
      </c>
      <c r="P1139" s="1">
        <f t="shared" si="194"/>
        <v>11.28626294805122</v>
      </c>
      <c r="Q1139" s="1">
        <f t="shared" si="195"/>
        <v>-85.306242986004875</v>
      </c>
      <c r="R1139">
        <f>SQRT(Tabelle2[[#This Row],[vx]]*Tabelle2[[#This Row],[vx]]+Tabelle2[[#This Row],[vy]]*Tabelle2[[#This Row],[vy]])</f>
        <v>86.049606760983281</v>
      </c>
      <c r="S1139">
        <f t="shared" si="196"/>
        <v>714.87495502731122</v>
      </c>
      <c r="T1139" s="1">
        <f t="shared" si="197"/>
        <v>-740.39634322541974</v>
      </c>
    </row>
    <row r="1140" spans="6:20" x14ac:dyDescent="0.35">
      <c r="F1140" s="1">
        <f t="shared" si="193"/>
        <v>22.739999999999604</v>
      </c>
      <c r="G1140">
        <f>1/2*$B$8*$B$6*$B$7*(Tabelle2[[#This Row],[vx]]*Tabelle2[[#This Row],[vx]]+Tabelle2[[#This Row],[vy]]*Tabelle2[[#This Row],[vy]])/1000000</f>
        <v>13.104068632350018</v>
      </c>
      <c r="H1140">
        <f>IF($B$3,-Tabelle2[[#This Row],[Fd]]*Tabelle2[[#This Row],[vx]]/Tabelle2[[#This Row],[v]],0)</f>
        <v>-1.7148449465552031</v>
      </c>
      <c r="I1140">
        <f t="shared" si="187"/>
        <v>-1.1432299643701354</v>
      </c>
      <c r="J1140">
        <f t="shared" si="188"/>
        <v>-2.2864599287402709E-2</v>
      </c>
      <c r="K1140">
        <f t="shared" si="189"/>
        <v>0.22503849678518403</v>
      </c>
      <c r="L1140">
        <f>-$B$5*$B$12-IF($B$3,Tabelle2[[#This Row],[Fd]]*Tabelle2[[#This Row],[vy]]/Tabelle2[[#This Row],[v]],0)</f>
        <v>-1.7236212613666861</v>
      </c>
      <c r="M1140">
        <f t="shared" si="190"/>
        <v>-1.1490808409111242</v>
      </c>
      <c r="N1140">
        <f t="shared" si="191"/>
        <v>-2.2981616818222483E-2</v>
      </c>
      <c r="O1140">
        <f t="shared" si="192"/>
        <v>-1.7068160443157363</v>
      </c>
      <c r="P1140" s="1">
        <f t="shared" si="194"/>
        <v>11.263357138902903</v>
      </c>
      <c r="Q1140" s="1">
        <f t="shared" si="195"/>
        <v>-85.329311407377702</v>
      </c>
      <c r="R1140">
        <f>SQRT(Tabelle2[[#This Row],[vx]]*Tabelle2[[#This Row],[vx]]+Tabelle2[[#This Row],[vy]]*Tabelle2[[#This Row],[vy]])</f>
        <v>86.069475421288089</v>
      </c>
      <c r="S1140">
        <f t="shared" si="196"/>
        <v>715.10045122818076</v>
      </c>
      <c r="T1140" s="1">
        <f t="shared" si="197"/>
        <v>-742.10269876935354</v>
      </c>
    </row>
    <row r="1141" spans="6:20" x14ac:dyDescent="0.35">
      <c r="F1141" s="1">
        <f t="shared" si="193"/>
        <v>22.759999999999604</v>
      </c>
      <c r="G1141">
        <f>1/2*$B$8*$B$6*$B$7*(Tabelle2[[#This Row],[vx]]*Tabelle2[[#This Row],[vx]]+Tabelle2[[#This Row],[vy]]*Tabelle2[[#This Row],[vy]])/1000000</f>
        <v>13.110097102894365</v>
      </c>
      <c r="H1141">
        <f>IF($B$3,-Tabelle2[[#This Row],[Fd]]*Tabelle2[[#This Row],[vx]]/Tabelle2[[#This Row],[v]],0)</f>
        <v>-1.7117574212300475</v>
      </c>
      <c r="I1141">
        <f t="shared" si="187"/>
        <v>-1.141171614153365</v>
      </c>
      <c r="J1141">
        <f t="shared" si="188"/>
        <v>-2.28234322830673E-2</v>
      </c>
      <c r="K1141">
        <f t="shared" si="189"/>
        <v>0.22458161646947933</v>
      </c>
      <c r="L1141">
        <f>-$B$5*$B$12-IF($B$3,Tabelle2[[#This Row],[Fd]]*Tabelle2[[#This Row],[vy]]/Tabelle2[[#This Row],[v]],0)</f>
        <v>-1.7171335374538046</v>
      </c>
      <c r="M1141">
        <f t="shared" si="190"/>
        <v>-1.1447556916358697</v>
      </c>
      <c r="N1141">
        <f t="shared" si="191"/>
        <v>-2.2895113832717393E-2</v>
      </c>
      <c r="O1141">
        <f t="shared" si="192"/>
        <v>-1.7072748116222456</v>
      </c>
      <c r="P1141" s="1">
        <f t="shared" si="194"/>
        <v>11.2404925396155</v>
      </c>
      <c r="Q1141" s="1">
        <f t="shared" si="195"/>
        <v>-85.35229302419593</v>
      </c>
      <c r="R1141">
        <f>SQRT(Tabelle2[[#This Row],[vx]]*Tabelle2[[#This Row],[vx]]+Tabelle2[[#This Row],[vy]]*Tabelle2[[#This Row],[vy]])</f>
        <v>86.089271091241997</v>
      </c>
      <c r="S1141">
        <f t="shared" si="196"/>
        <v>715.32548972496591</v>
      </c>
      <c r="T1141" s="1">
        <f t="shared" si="197"/>
        <v>-743.80951481366924</v>
      </c>
    </row>
    <row r="1142" spans="6:20" x14ac:dyDescent="0.35">
      <c r="F1142" s="1">
        <f t="shared" si="193"/>
        <v>22.779999999999603</v>
      </c>
      <c r="G1142">
        <f>1/2*$B$8*$B$6*$B$7*(Tabelle2[[#This Row],[vx]]*Tabelle2[[#This Row],[vx]]+Tabelle2[[#This Row],[vy]]*Tabelle2[[#This Row],[vy]])/1000000</f>
        <v>13.116104797593115</v>
      </c>
      <c r="H1142">
        <f>IF($B$3,-Tabelle2[[#This Row],[Fd]]*Tabelle2[[#This Row],[vx]]/Tabelle2[[#This Row],[v]],0)</f>
        <v>-1.7086731215966502</v>
      </c>
      <c r="I1142">
        <f t="shared" si="187"/>
        <v>-1.1391154143977669</v>
      </c>
      <c r="J1142">
        <f t="shared" si="188"/>
        <v>-2.2782308287955338E-2</v>
      </c>
      <c r="K1142">
        <f t="shared" si="189"/>
        <v>0.22412555906376913</v>
      </c>
      <c r="L1142">
        <f>-$B$5*$B$12-IF($B$3,Tabelle2[[#This Row],[Fd]]*Tabelle2[[#This Row],[vy]]/Tabelle2[[#This Row],[v]],0)</f>
        <v>-1.7106683668487506</v>
      </c>
      <c r="M1142">
        <f t="shared" si="190"/>
        <v>-1.1404455778991671</v>
      </c>
      <c r="N1142">
        <f t="shared" si="191"/>
        <v>-2.2808911557983341E-2</v>
      </c>
      <c r="O1142">
        <f t="shared" si="192"/>
        <v>-1.7077318518761526</v>
      </c>
      <c r="P1142" s="1">
        <f t="shared" si="194"/>
        <v>11.217669107332433</v>
      </c>
      <c r="Q1142" s="1">
        <f t="shared" si="195"/>
        <v>-85.375188138028648</v>
      </c>
      <c r="R1142">
        <f>SQRT(Tabelle2[[#This Row],[vx]]*Tabelle2[[#This Row],[vx]]+Tabelle2[[#This Row],[vy]]*Tabelle2[[#This Row],[vy]])</f>
        <v>86.108994012271381</v>
      </c>
      <c r="S1142">
        <f t="shared" si="196"/>
        <v>715.55007134143534</v>
      </c>
      <c r="T1142" s="1">
        <f t="shared" si="197"/>
        <v>-745.51678962529149</v>
      </c>
    </row>
    <row r="1143" spans="6:20" x14ac:dyDescent="0.35">
      <c r="F1143" s="1">
        <f t="shared" si="193"/>
        <v>22.799999999999603</v>
      </c>
      <c r="G1143">
        <f>1/2*$B$8*$B$6*$B$7*(Tabelle2[[#This Row],[vx]]*Tabelle2[[#This Row],[vx]]+Tabelle2[[#This Row],[vy]]*Tabelle2[[#This Row],[vy]])/1000000</f>
        <v>13.122091774602682</v>
      </c>
      <c r="H1143">
        <f>IF($B$3,-Tabelle2[[#This Row],[Fd]]*Tabelle2[[#This Row],[vx]]/Tabelle2[[#This Row],[v]],0)</f>
        <v>-1.7055920589915619</v>
      </c>
      <c r="I1143">
        <f t="shared" si="187"/>
        <v>-1.1370613726610412</v>
      </c>
      <c r="J1143">
        <f t="shared" si="188"/>
        <v>-2.2741227453220825E-2</v>
      </c>
      <c r="K1143">
        <f t="shared" si="189"/>
        <v>0.22367032370635737</v>
      </c>
      <c r="L1143">
        <f>-$B$5*$B$12-IF($B$3,Tabelle2[[#This Row],[Fd]]*Tabelle2[[#This Row],[vy]]/Tabelle2[[#This Row],[v]],0)</f>
        <v>-1.7042256852483888</v>
      </c>
      <c r="M1143">
        <f t="shared" si="190"/>
        <v>-1.1361504568322591</v>
      </c>
      <c r="N1143">
        <f t="shared" si="191"/>
        <v>-2.2723009136645184E-2</v>
      </c>
      <c r="O1143">
        <f t="shared" si="192"/>
        <v>-1.7081871710830994</v>
      </c>
      <c r="P1143" s="1">
        <f t="shared" si="194"/>
        <v>11.194886799044479</v>
      </c>
      <c r="Q1143" s="1">
        <f t="shared" si="195"/>
        <v>-85.397997049586635</v>
      </c>
      <c r="R1143">
        <f>SQRT(Tabelle2[[#This Row],[vx]]*Tabelle2[[#This Row],[vx]]+Tabelle2[[#This Row],[vy]]*Tabelle2[[#This Row],[vy]])</f>
        <v>86.128644425212158</v>
      </c>
      <c r="S1143">
        <f t="shared" si="196"/>
        <v>715.77419690049908</v>
      </c>
      <c r="T1143" s="1">
        <f t="shared" si="197"/>
        <v>-747.22452147716763</v>
      </c>
    </row>
    <row r="1144" spans="6:20" x14ac:dyDescent="0.35">
      <c r="F1144" s="1">
        <f t="shared" si="193"/>
        <v>22.819999999999602</v>
      </c>
      <c r="G1144">
        <f>1/2*$B$8*$B$6*$B$7*(Tabelle2[[#This Row],[vx]]*Tabelle2[[#This Row],[vx]]+Tabelle2[[#This Row],[vy]]*Tabelle2[[#This Row],[vy]])/1000000</f>
        <v>13.128058092022348</v>
      </c>
      <c r="H1144">
        <f>IF($B$3,-Tabelle2[[#This Row],[Fd]]*Tabelle2[[#This Row],[vx]]/Tabelle2[[#This Row],[v]],0)</f>
        <v>-1.7025142446401282</v>
      </c>
      <c r="I1144">
        <f t="shared" si="187"/>
        <v>-1.1350094964267521</v>
      </c>
      <c r="J1144">
        <f t="shared" si="188"/>
        <v>-2.2700189928535043E-2</v>
      </c>
      <c r="K1144">
        <f t="shared" si="189"/>
        <v>0.22321590953253981</v>
      </c>
      <c r="L1144">
        <f>-$B$5*$B$12-IF($B$3,Tabelle2[[#This Row],[Fd]]*Tabelle2[[#This Row],[vy]]/Tabelle2[[#This Row],[v]],0)</f>
        <v>-1.6978054284223383</v>
      </c>
      <c r="M1144">
        <f t="shared" si="190"/>
        <v>-1.1318702856148921</v>
      </c>
      <c r="N1144">
        <f t="shared" si="191"/>
        <v>-2.2637405712297842E-2</v>
      </c>
      <c r="O1144">
        <f t="shared" si="192"/>
        <v>-1.7086407752315884</v>
      </c>
      <c r="P1144" s="1">
        <f t="shared" si="194"/>
        <v>11.172145571591258</v>
      </c>
      <c r="Q1144" s="1">
        <f t="shared" si="195"/>
        <v>-85.420720058723276</v>
      </c>
      <c r="R1144">
        <f>SQRT(Tabelle2[[#This Row],[vx]]*Tabelle2[[#This Row],[vx]]+Tabelle2[[#This Row],[vy]]*Tabelle2[[#This Row],[vy]])</f>
        <v>86.148222570309571</v>
      </c>
      <c r="S1144">
        <f t="shared" si="196"/>
        <v>715.99786722420538</v>
      </c>
      <c r="T1144" s="1">
        <f t="shared" si="197"/>
        <v>-748.9327086482507</v>
      </c>
    </row>
    <row r="1145" spans="6:20" x14ac:dyDescent="0.35">
      <c r="F1145" s="1">
        <f t="shared" si="193"/>
        <v>22.839999999999602</v>
      </c>
      <c r="G1145">
        <f>1/2*$B$8*$B$6*$B$7*(Tabelle2[[#This Row],[vx]]*Tabelle2[[#This Row],[vx]]+Tabelle2[[#This Row],[vy]]*Tabelle2[[#This Row],[vy]])/1000000</f>
        <v>13.134003807893356</v>
      </c>
      <c r="H1145">
        <f>IF($B$3,-Tabelle2[[#This Row],[Fd]]*Tabelle2[[#This Row],[vx]]/Tabelle2[[#This Row],[v]],0)</f>
        <v>-1.6994396896570345</v>
      </c>
      <c r="I1145">
        <f t="shared" si="187"/>
        <v>-1.1329597931046897</v>
      </c>
      <c r="J1145">
        <f t="shared" si="188"/>
        <v>-2.2659195862093796E-2</v>
      </c>
      <c r="K1145">
        <f t="shared" si="189"/>
        <v>0.22276231567463353</v>
      </c>
      <c r="L1145">
        <f>-$B$5*$B$12-IF($B$3,Tabelle2[[#This Row],[Fd]]*Tabelle2[[#This Row],[vy]]/Tabelle2[[#This Row],[v]],0)</f>
        <v>-1.6914075322138729</v>
      </c>
      <c r="M1145">
        <f t="shared" si="190"/>
        <v>-1.1276050214759152</v>
      </c>
      <c r="N1145">
        <f t="shared" si="191"/>
        <v>-2.2552100429518305E-2</v>
      </c>
      <c r="O1145">
        <f t="shared" si="192"/>
        <v>-1.7090926702930069</v>
      </c>
      <c r="P1145" s="1">
        <f t="shared" si="194"/>
        <v>11.149445381662723</v>
      </c>
      <c r="Q1145" s="1">
        <f t="shared" si="195"/>
        <v>-85.443357464435579</v>
      </c>
      <c r="R1145">
        <f>SQRT(Tabelle2[[#This Row],[vx]]*Tabelle2[[#This Row],[vx]]+Tabelle2[[#This Row],[vy]]*Tabelle2[[#This Row],[vy]])</f>
        <v>86.167728687217931</v>
      </c>
      <c r="S1145">
        <f t="shared" si="196"/>
        <v>716.22108313373792</v>
      </c>
      <c r="T1145" s="1">
        <f t="shared" si="197"/>
        <v>-750.64134942348232</v>
      </c>
    </row>
    <row r="1146" spans="6:20" x14ac:dyDescent="0.35">
      <c r="F1146" s="1">
        <f t="shared" si="193"/>
        <v>22.859999999999602</v>
      </c>
      <c r="G1146">
        <f>1/2*$B$8*$B$6*$B$7*(Tabelle2[[#This Row],[vx]]*Tabelle2[[#This Row],[vx]]+Tabelle2[[#This Row],[vy]]*Tabelle2[[#This Row],[vy]])/1000000</f>
        <v>13.139928980198</v>
      </c>
      <c r="H1146">
        <f>IF($B$3,-Tabelle2[[#This Row],[Fd]]*Tabelle2[[#This Row],[vx]]/Tabelle2[[#This Row],[v]],0)</f>
        <v>-1.6963684050468464</v>
      </c>
      <c r="I1146">
        <f t="shared" si="187"/>
        <v>-1.1309122700312308</v>
      </c>
      <c r="J1146">
        <f t="shared" si="188"/>
        <v>-2.2618245400624619E-2</v>
      </c>
      <c r="K1146">
        <f t="shared" si="189"/>
        <v>0.22230954126200633</v>
      </c>
      <c r="L1146">
        <f>-$B$5*$B$12-IF($B$3,Tabelle2[[#This Row],[Fd]]*Tabelle2[[#This Row],[vy]]/Tabelle2[[#This Row],[v]],0)</f>
        <v>-1.685031932540813</v>
      </c>
      <c r="M1146">
        <f t="shared" si="190"/>
        <v>-1.1233546216938752</v>
      </c>
      <c r="N1146">
        <f t="shared" si="191"/>
        <v>-2.2467092433877504E-2</v>
      </c>
      <c r="O1146">
        <f t="shared" si="192"/>
        <v>-1.7095428622216409</v>
      </c>
      <c r="P1146" s="1">
        <f t="shared" si="194"/>
        <v>11.126786185800629</v>
      </c>
      <c r="Q1146" s="1">
        <f t="shared" si="195"/>
        <v>-85.4659095648651</v>
      </c>
      <c r="R1146">
        <f>SQRT(Tabelle2[[#This Row],[vx]]*Tabelle2[[#This Row],[vx]]+Tabelle2[[#This Row],[vy]]*Tabelle2[[#This Row],[vy]])</f>
        <v>86.187163015000223</v>
      </c>
      <c r="S1146">
        <f t="shared" si="196"/>
        <v>716.44384544941261</v>
      </c>
      <c r="T1146" s="1">
        <f t="shared" si="197"/>
        <v>-752.35044209377531</v>
      </c>
    </row>
    <row r="1147" spans="6:20" x14ac:dyDescent="0.35">
      <c r="F1147" s="1">
        <f t="shared" si="193"/>
        <v>22.879999999999601</v>
      </c>
      <c r="G1147">
        <f>1/2*$B$8*$B$6*$B$7*(Tabelle2[[#This Row],[vx]]*Tabelle2[[#This Row],[vx]]+Tabelle2[[#This Row],[vy]]*Tabelle2[[#This Row],[vy]])/1000000</f>
        <v>13.145833666858737</v>
      </c>
      <c r="H1147">
        <f>IF($B$3,-Tabelle2[[#This Row],[Fd]]*Tabelle2[[#This Row],[vx]]/Tabelle2[[#This Row],[v]],0)</f>
        <v>-1.6933004017045483</v>
      </c>
      <c r="I1147">
        <f t="shared" si="187"/>
        <v>-1.1288669344696989</v>
      </c>
      <c r="J1147">
        <f t="shared" si="188"/>
        <v>-2.2577338689393978E-2</v>
      </c>
      <c r="K1147">
        <f t="shared" si="189"/>
        <v>0.22185758542110617</v>
      </c>
      <c r="L1147">
        <f>-$B$5*$B$12-IF($B$3,Tabelle2[[#This Row],[Fd]]*Tabelle2[[#This Row],[vy]]/Tabelle2[[#This Row],[v]],0)</f>
        <v>-1.6786785653964547</v>
      </c>
      <c r="M1147">
        <f t="shared" si="190"/>
        <v>-1.1191190435976364</v>
      </c>
      <c r="N1147">
        <f t="shared" si="191"/>
        <v>-2.2382380871952729E-2</v>
      </c>
      <c r="O1147">
        <f t="shared" si="192"/>
        <v>-1.7099913569546992</v>
      </c>
      <c r="P1147" s="1">
        <f t="shared" si="194"/>
        <v>11.104167940400005</v>
      </c>
      <c r="Q1147" s="1">
        <f t="shared" si="195"/>
        <v>-85.488376657298971</v>
      </c>
      <c r="R1147">
        <f>SQRT(Tabelle2[[#This Row],[vx]]*Tabelle2[[#This Row],[vx]]+Tabelle2[[#This Row],[vy]]*Tabelle2[[#This Row],[vy]])</f>
        <v>86.206525792127991</v>
      </c>
      <c r="S1147">
        <f t="shared" si="196"/>
        <v>716.66615499067461</v>
      </c>
      <c r="T1147" s="1">
        <f t="shared" si="197"/>
        <v>-754.05998495599692</v>
      </c>
    </row>
    <row r="1148" spans="6:20" x14ac:dyDescent="0.35">
      <c r="F1148" s="1">
        <f t="shared" si="193"/>
        <v>22.899999999999601</v>
      </c>
      <c r="G1148">
        <f>1/2*$B$8*$B$6*$B$7*(Tabelle2[[#This Row],[vx]]*Tabelle2[[#This Row],[vx]]+Tabelle2[[#This Row],[vy]]*Tabelle2[[#This Row],[vy]])/1000000</f>
        <v>13.151717925737318</v>
      </c>
      <c r="H1148">
        <f>IF($B$3,-Tabelle2[[#This Row],[Fd]]*Tabelle2[[#This Row],[vx]]/Tabelle2[[#This Row],[v]],0)</f>
        <v>-1.6902356904160889</v>
      </c>
      <c r="I1148">
        <f t="shared" si="187"/>
        <v>-1.1268237936107259</v>
      </c>
      <c r="J1148">
        <f t="shared" si="188"/>
        <v>-2.253647587221452E-2</v>
      </c>
      <c r="K1148">
        <f t="shared" si="189"/>
        <v>0.22140644727549005</v>
      </c>
      <c r="L1148">
        <f>-$B$5*$B$12-IF($B$3,Tabelle2[[#This Row],[Fd]]*Tabelle2[[#This Row],[vy]]/Tabelle2[[#This Row],[v]],0)</f>
        <v>-1.6723473668504099</v>
      </c>
      <c r="M1148">
        <f t="shared" si="190"/>
        <v>-1.11489824456694</v>
      </c>
      <c r="N1148">
        <f t="shared" si="191"/>
        <v>-2.2297964891338801E-2</v>
      </c>
      <c r="O1148">
        <f t="shared" si="192"/>
        <v>-1.710438160412332</v>
      </c>
      <c r="P1148" s="1">
        <f t="shared" si="194"/>
        <v>11.08159060171061</v>
      </c>
      <c r="Q1148" s="1">
        <f t="shared" si="195"/>
        <v>-85.510759038170917</v>
      </c>
      <c r="R1148">
        <f>SQRT(Tabelle2[[#This Row],[vx]]*Tabelle2[[#This Row],[vx]]+Tabelle2[[#This Row],[vy]]*Tabelle2[[#This Row],[vy]])</f>
        <v>86.225817256480966</v>
      </c>
      <c r="S1148">
        <f t="shared" si="196"/>
        <v>716.88801257609578</v>
      </c>
      <c r="T1148" s="1">
        <f t="shared" si="197"/>
        <v>-755.7699763129516</v>
      </c>
    </row>
    <row r="1149" spans="6:20" x14ac:dyDescent="0.35">
      <c r="F1149" s="1">
        <f t="shared" si="193"/>
        <v>22.9199999999996</v>
      </c>
      <c r="G1149">
        <f>1/2*$B$8*$B$6*$B$7*(Tabelle2[[#This Row],[vx]]*Tabelle2[[#This Row],[vx]]+Tabelle2[[#This Row],[vy]]*Tabelle2[[#This Row],[vy]])/1000000</f>
        <v>13.157581814633915</v>
      </c>
      <c r="H1149">
        <f>IF($B$3,-Tabelle2[[#This Row],[Fd]]*Tabelle2[[#This Row],[vx]]/Tabelle2[[#This Row],[v]],0)</f>
        <v>-1.6871742818589155</v>
      </c>
      <c r="I1149">
        <f t="shared" si="187"/>
        <v>-1.1247828545726104</v>
      </c>
      <c r="J1149">
        <f t="shared" si="188"/>
        <v>-2.2495657091452209E-2</v>
      </c>
      <c r="K1149">
        <f t="shared" si="189"/>
        <v>0.2209561259458534</v>
      </c>
      <c r="L1149">
        <f>-$B$5*$B$12-IF($B$3,Tabelle2[[#This Row],[Fd]]*Tabelle2[[#This Row],[vy]]/Tabelle2[[#This Row],[v]],0)</f>
        <v>-1.6660382730494998</v>
      </c>
      <c r="M1149">
        <f t="shared" si="190"/>
        <v>-1.1106921820329998</v>
      </c>
      <c r="N1149">
        <f t="shared" si="191"/>
        <v>-2.2213843640659998E-2</v>
      </c>
      <c r="O1149">
        <f t="shared" si="192"/>
        <v>-1.7108832784976518</v>
      </c>
      <c r="P1149" s="1">
        <f t="shared" si="194"/>
        <v>11.059054125838395</v>
      </c>
      <c r="Q1149" s="1">
        <f t="shared" si="195"/>
        <v>-85.533057003062254</v>
      </c>
      <c r="R1149">
        <f>SQRT(Tabelle2[[#This Row],[vx]]*Tabelle2[[#This Row],[vx]]+Tabelle2[[#This Row],[vy]]*Tabelle2[[#This Row],[vy]])</f>
        <v>86.245037645346983</v>
      </c>
      <c r="S1149">
        <f t="shared" si="196"/>
        <v>717.10941902337129</v>
      </c>
      <c r="T1149" s="1">
        <f t="shared" si="197"/>
        <v>-757.48041447336391</v>
      </c>
    </row>
    <row r="1150" spans="6:20" x14ac:dyDescent="0.35">
      <c r="F1150" s="1">
        <f t="shared" si="193"/>
        <v>22.9399999999996</v>
      </c>
      <c r="G1150">
        <f>1/2*$B$8*$B$6*$B$7*(Tabelle2[[#This Row],[vx]]*Tabelle2[[#This Row],[vx]]+Tabelle2[[#This Row],[vy]]*Tabelle2[[#This Row],[vy]])/1000000</f>
        <v>13.163425391286255</v>
      </c>
      <c r="H1150">
        <f>IF($B$3,-Tabelle2[[#This Row],[Fd]]*Tabelle2[[#This Row],[vx]]/Tabelle2[[#This Row],[v]],0)</f>
        <v>-1.6841161866025116</v>
      </c>
      <c r="I1150">
        <f t="shared" si="187"/>
        <v>-1.1227441244016745</v>
      </c>
      <c r="J1150">
        <f t="shared" si="188"/>
        <v>-2.2454882488033491E-2</v>
      </c>
      <c r="K1150">
        <f t="shared" si="189"/>
        <v>0.22050662055005851</v>
      </c>
      <c r="L1150">
        <f>-$B$5*$B$12-IF($B$3,Tabelle2[[#This Row],[Fd]]*Tabelle2[[#This Row],[vy]]/Tabelle2[[#This Row],[v]],0)</f>
        <v>-1.659751220218622</v>
      </c>
      <c r="M1150">
        <f t="shared" si="190"/>
        <v>-1.1065008134790812</v>
      </c>
      <c r="N1150">
        <f t="shared" si="191"/>
        <v>-2.2130016269581627E-2</v>
      </c>
      <c r="O1150">
        <f t="shared" si="192"/>
        <v>-1.7113267170967541</v>
      </c>
      <c r="P1150" s="1">
        <f t="shared" si="194"/>
        <v>11.036558468746943</v>
      </c>
      <c r="Q1150" s="1">
        <f t="shared" si="195"/>
        <v>-85.555270846702911</v>
      </c>
      <c r="R1150">
        <f>SQRT(Tabelle2[[#This Row],[vx]]*Tabelle2[[#This Row],[vx]]+Tabelle2[[#This Row],[vy]]*Tabelle2[[#This Row],[vy]])</f>
        <v>86.264187195421727</v>
      </c>
      <c r="S1150">
        <f t="shared" si="196"/>
        <v>717.33037514931709</v>
      </c>
      <c r="T1150" s="1">
        <f t="shared" si="197"/>
        <v>-759.19129775186161</v>
      </c>
    </row>
    <row r="1151" spans="6:20" x14ac:dyDescent="0.35">
      <c r="F1151" s="1">
        <f t="shared" si="193"/>
        <v>22.959999999999599</v>
      </c>
      <c r="G1151">
        <f>1/2*$B$8*$B$6*$B$7*(Tabelle2[[#This Row],[vx]]*Tabelle2[[#This Row],[vx]]+Tabelle2[[#This Row],[vy]]*Tabelle2[[#This Row],[vy]])/1000000</f>
        <v>13.169248713368779</v>
      </c>
      <c r="H1151">
        <f>IF($B$3,-Tabelle2[[#This Row],[Fd]]*Tabelle2[[#This Row],[vx]]/Tabelle2[[#This Row],[v]],0)</f>
        <v>-1.6810614151089358</v>
      </c>
      <c r="I1151">
        <f t="shared" si="187"/>
        <v>-1.1207076100726239</v>
      </c>
      <c r="J1151">
        <f t="shared" si="188"/>
        <v>-2.2414152201452479E-2</v>
      </c>
      <c r="K1151">
        <f t="shared" si="189"/>
        <v>0.22005793020316369</v>
      </c>
      <c r="L1151">
        <f>-$B$5*$B$12-IF($B$3,Tabelle2[[#This Row],[Fd]]*Tabelle2[[#This Row],[vy]]/Tabelle2[[#This Row],[v]],0)</f>
        <v>-1.653486144661592</v>
      </c>
      <c r="M1151">
        <f t="shared" si="190"/>
        <v>-1.1023240964410614</v>
      </c>
      <c r="N1151">
        <f t="shared" si="191"/>
        <v>-2.2046481928821228E-2</v>
      </c>
      <c r="O1151">
        <f t="shared" si="192"/>
        <v>-1.711768482078738</v>
      </c>
      <c r="P1151" s="1">
        <f t="shared" si="194"/>
        <v>11.01410358625891</v>
      </c>
      <c r="Q1151" s="1">
        <f t="shared" si="195"/>
        <v>-85.577400862972496</v>
      </c>
      <c r="R1151">
        <f>SQRT(Tabelle2[[#This Row],[vx]]*Tabelle2[[#This Row],[vx]]+Tabelle2[[#This Row],[vy]]*Tabelle2[[#This Row],[vy]])</f>
        <v>86.283266142808515</v>
      </c>
      <c r="S1151">
        <f t="shared" si="196"/>
        <v>717.55088176986715</v>
      </c>
      <c r="T1151" s="1">
        <f t="shared" si="197"/>
        <v>-760.90262446895838</v>
      </c>
    </row>
    <row r="1152" spans="6:20" x14ac:dyDescent="0.35">
      <c r="F1152" s="1">
        <f t="shared" si="193"/>
        <v>22.979999999999599</v>
      </c>
      <c r="G1152">
        <f>1/2*$B$8*$B$6*$B$7*(Tabelle2[[#This Row],[vx]]*Tabelle2[[#This Row],[vx]]+Tabelle2[[#This Row],[vy]]*Tabelle2[[#This Row],[vy]])/1000000</f>
        <v>13.175051838491783</v>
      </c>
      <c r="H1152">
        <f>IF($B$3,-Tabelle2[[#This Row],[Fd]]*Tabelle2[[#This Row],[vx]]/Tabelle2[[#This Row],[v]],0)</f>
        <v>-1.6780099777333524</v>
      </c>
      <c r="I1152">
        <f t="shared" si="187"/>
        <v>-1.1186733184889015</v>
      </c>
      <c r="J1152">
        <f t="shared" si="188"/>
        <v>-2.2373466369778029E-2</v>
      </c>
      <c r="K1152">
        <f t="shared" si="189"/>
        <v>0.21961005401745137</v>
      </c>
      <c r="L1152">
        <f>-$B$5*$B$12-IF($B$3,Tabelle2[[#This Row],[Fd]]*Tabelle2[[#This Row],[vy]]/Tabelle2[[#This Row],[v]],0)</f>
        <v>-1.6472429827619983</v>
      </c>
      <c r="M1152">
        <f t="shared" si="190"/>
        <v>-1.098161988507999</v>
      </c>
      <c r="N1152">
        <f t="shared" si="191"/>
        <v>-2.196323977015998E-2</v>
      </c>
      <c r="O1152">
        <f t="shared" si="192"/>
        <v>-1.7122085792957282</v>
      </c>
      <c r="P1152" s="1">
        <f t="shared" si="194"/>
        <v>10.991689434057458</v>
      </c>
      <c r="Q1152" s="1">
        <f t="shared" si="195"/>
        <v>-85.599447344901321</v>
      </c>
      <c r="R1152">
        <f>SQRT(Tabelle2[[#This Row],[vx]]*Tabelle2[[#This Row],[vx]]+Tabelle2[[#This Row],[vy]]*Tabelle2[[#This Row],[vy]])</f>
        <v>86.302274723018186</v>
      </c>
      <c r="S1152">
        <f t="shared" si="196"/>
        <v>717.77093970007036</v>
      </c>
      <c r="T1152" s="1">
        <f t="shared" si="197"/>
        <v>-762.61439295103708</v>
      </c>
    </row>
    <row r="1153" spans="6:20" x14ac:dyDescent="0.35">
      <c r="F1153" s="1">
        <f t="shared" si="193"/>
        <v>22.999999999999599</v>
      </c>
      <c r="G1153">
        <f>1/2*$B$8*$B$6*$B$7*(Tabelle2[[#This Row],[vx]]*Tabelle2[[#This Row],[vx]]+Tabelle2[[#This Row],[vy]]*Tabelle2[[#This Row],[vy]])/1000000</f>
        <v>13.180834824200611</v>
      </c>
      <c r="H1153">
        <f>IF($B$3,-Tabelle2[[#This Row],[Fd]]*Tabelle2[[#This Row],[vx]]/Tabelle2[[#This Row],[v]],0)</f>
        <v>-1.6749618847245706</v>
      </c>
      <c r="I1153">
        <f t="shared" si="187"/>
        <v>-1.116641256483047</v>
      </c>
      <c r="J1153">
        <f t="shared" si="188"/>
        <v>-2.2332825129660942E-2</v>
      </c>
      <c r="K1153">
        <f t="shared" si="189"/>
        <v>0.21916299110245699</v>
      </c>
      <c r="L1153">
        <f>-$B$5*$B$12-IF($B$3,Tabelle2[[#This Row],[Fd]]*Tabelle2[[#This Row],[vy]]/Tabelle2[[#This Row],[v]],0)</f>
        <v>-1.6410216709840224</v>
      </c>
      <c r="M1153">
        <f t="shared" si="190"/>
        <v>-1.0940144473226816</v>
      </c>
      <c r="N1153">
        <f t="shared" si="191"/>
        <v>-2.1880288946453632E-2</v>
      </c>
      <c r="O1153">
        <f t="shared" si="192"/>
        <v>-1.712647014582894</v>
      </c>
      <c r="P1153" s="1">
        <f t="shared" si="194"/>
        <v>10.969315967687679</v>
      </c>
      <c r="Q1153" s="1">
        <f t="shared" si="195"/>
        <v>-85.62141058467148</v>
      </c>
      <c r="R1153">
        <f>SQRT(Tabelle2[[#This Row],[vx]]*Tabelle2[[#This Row],[vx]]+Tabelle2[[#This Row],[vy]]*Tabelle2[[#This Row],[vy]])</f>
        <v>86.321213170968946</v>
      </c>
      <c r="S1153">
        <f t="shared" si="196"/>
        <v>717.99054975408785</v>
      </c>
      <c r="T1153" s="1">
        <f t="shared" si="197"/>
        <v>-764.32660153033282</v>
      </c>
    </row>
    <row r="1154" spans="6:20" x14ac:dyDescent="0.35">
      <c r="F1154" s="1">
        <f t="shared" si="193"/>
        <v>23.019999999999598</v>
      </c>
      <c r="G1154">
        <f>1/2*$B$8*$B$6*$B$7*(Tabelle2[[#This Row],[vx]]*Tabelle2[[#This Row],[vx]]+Tabelle2[[#This Row],[vy]]*Tabelle2[[#This Row],[vy]])/1000000</f>
        <v>13.186597727974821</v>
      </c>
      <c r="H1154">
        <f>IF($B$3,-Tabelle2[[#This Row],[Fd]]*Tabelle2[[#This Row],[vx]]/Tabelle2[[#This Row],[v]],0)</f>
        <v>-1.6719171462255753</v>
      </c>
      <c r="I1154">
        <f t="shared" si="187"/>
        <v>-1.1146114308170503</v>
      </c>
      <c r="J1154">
        <f t="shared" si="188"/>
        <v>-2.2292228616341007E-2</v>
      </c>
      <c r="K1154">
        <f t="shared" si="189"/>
        <v>0.21871674056499696</v>
      </c>
      <c r="L1154">
        <f>-$B$5*$B$12-IF($B$3,Tabelle2[[#This Row],[Fd]]*Tabelle2[[#This Row],[vy]]/Tabelle2[[#This Row],[v]],0)</f>
        <v>-1.6348221458732599</v>
      </c>
      <c r="M1154">
        <f t="shared" si="190"/>
        <v>-1.0898814305821733</v>
      </c>
      <c r="N1154">
        <f t="shared" si="191"/>
        <v>-2.1797628611643468E-2</v>
      </c>
      <c r="O1154">
        <f t="shared" si="192"/>
        <v>-1.7130837937584751</v>
      </c>
      <c r="P1154" s="1">
        <f t="shared" si="194"/>
        <v>10.946983142558018</v>
      </c>
      <c r="Q1154" s="1">
        <f t="shared" si="195"/>
        <v>-85.643290873617929</v>
      </c>
      <c r="R1154">
        <f>SQRT(Tabelle2[[#This Row],[vx]]*Tabelle2[[#This Row],[vx]]+Tabelle2[[#This Row],[vy]]*Tabelle2[[#This Row],[vy]])</f>
        <v>86.34008172098622</v>
      </c>
      <c r="S1154">
        <f t="shared" si="196"/>
        <v>718.20971274519036</v>
      </c>
      <c r="T1154" s="1">
        <f t="shared" si="197"/>
        <v>-766.03924854491572</v>
      </c>
    </row>
    <row r="1155" spans="6:20" x14ac:dyDescent="0.35">
      <c r="F1155" s="1">
        <f t="shared" si="193"/>
        <v>23.039999999999598</v>
      </c>
      <c r="G1155">
        <f>1/2*$B$8*$B$6*$B$7*(Tabelle2[[#This Row],[vx]]*Tabelle2[[#This Row],[vx]]+Tabelle2[[#This Row],[vy]]*Tabelle2[[#This Row],[vy]])/1000000</f>
        <v>13.192340607227374</v>
      </c>
      <c r="H1155">
        <f>IF($B$3,-Tabelle2[[#This Row],[Fd]]*Tabelle2[[#This Row],[vx]]/Tabelle2[[#This Row],[v]],0)</f>
        <v>-1.6688757722740568</v>
      </c>
      <c r="I1155">
        <f t="shared" ref="I1155:I1218" si="198">H1155/$B$5</f>
        <v>-1.1125838481827046</v>
      </c>
      <c r="J1155">
        <f t="shared" ref="J1155:J1218" si="199">I1155*$B$13</f>
        <v>-2.2251676963654092E-2</v>
      </c>
      <c r="K1155">
        <f t="shared" ref="K1155:K1218" si="200">$B$13*(P1155+J1155/2)</f>
        <v>0.21827130150919702</v>
      </c>
      <c r="L1155">
        <f>-$B$5*$B$12-IF($B$3,Tabelle2[[#This Row],[Fd]]*Tabelle2[[#This Row],[vy]]/Tabelle2[[#This Row],[v]],0)</f>
        <v>-1.6286443440575482</v>
      </c>
      <c r="M1155">
        <f t="shared" ref="M1155:M1218" si="201">L1155/$B$5</f>
        <v>-1.0857628960383654</v>
      </c>
      <c r="N1155">
        <f t="shared" ref="N1155:N1218" si="202">M1155*$B$13</f>
        <v>-2.1715257920767308E-2</v>
      </c>
      <c r="O1155">
        <f t="shared" ref="O1155:O1218" si="203">$B$13*(Q1155+N1155/2)</f>
        <v>-1.713518922623799</v>
      </c>
      <c r="P1155" s="1">
        <f t="shared" si="194"/>
        <v>10.924690913941678</v>
      </c>
      <c r="Q1155" s="1">
        <f t="shared" si="195"/>
        <v>-85.665088502229565</v>
      </c>
      <c r="R1155">
        <f>SQRT(Tabelle2[[#This Row],[vx]]*Tabelle2[[#This Row],[vx]]+Tabelle2[[#This Row],[vy]]*Tabelle2[[#This Row],[vy]])</f>
        <v>86.358880606802586</v>
      </c>
      <c r="S1155">
        <f t="shared" si="196"/>
        <v>718.42842948575537</v>
      </c>
      <c r="T1155" s="1">
        <f t="shared" si="197"/>
        <v>-767.75233233867425</v>
      </c>
    </row>
    <row r="1156" spans="6:20" x14ac:dyDescent="0.35">
      <c r="F1156" s="1">
        <f t="shared" ref="F1156:F1219" si="204">F1155+$B$13</f>
        <v>23.059999999999597</v>
      </c>
      <c r="G1156">
        <f>1/2*$B$8*$B$6*$B$7*(Tabelle2[[#This Row],[vx]]*Tabelle2[[#This Row],[vx]]+Tabelle2[[#This Row],[vy]]*Tabelle2[[#This Row],[vy]])/1000000</f>
        <v>13.19806351930383</v>
      </c>
      <c r="H1156">
        <f>IF($B$3,-Tabelle2[[#This Row],[Fd]]*Tabelle2[[#This Row],[vx]]/Tabelle2[[#This Row],[v]],0)</f>
        <v>-1.6658377728029432</v>
      </c>
      <c r="I1156">
        <f t="shared" si="198"/>
        <v>-1.1105585152019621</v>
      </c>
      <c r="J1156">
        <f t="shared" si="199"/>
        <v>-2.2211170304039244E-2</v>
      </c>
      <c r="K1156">
        <f t="shared" si="200"/>
        <v>0.21782667303652009</v>
      </c>
      <c r="L1156">
        <f>-$B$5*$B$12-IF($B$3,Tabelle2[[#This Row],[Fd]]*Tabelle2[[#This Row],[vy]]/Tabelle2[[#This Row],[v]],0)</f>
        <v>-1.622488202247764</v>
      </c>
      <c r="M1156">
        <f t="shared" si="201"/>
        <v>-1.0816588014985093</v>
      </c>
      <c r="N1156">
        <f t="shared" si="202"/>
        <v>-2.1633176029970187E-2</v>
      </c>
      <c r="O1156">
        <f t="shared" si="203"/>
        <v>-1.7139524069633063</v>
      </c>
      <c r="P1156" s="1">
        <f t="shared" ref="P1156:P1219" si="205">P1155+J1155</f>
        <v>10.902439236978024</v>
      </c>
      <c r="Q1156" s="1">
        <f t="shared" ref="Q1156:Q1219" si="206">Q1155+N1155</f>
        <v>-85.686803760150326</v>
      </c>
      <c r="R1156">
        <f>SQRT(Tabelle2[[#This Row],[vx]]*Tabelle2[[#This Row],[vx]]+Tabelle2[[#This Row],[vy]]*Tabelle2[[#This Row],[vy]])</f>
        <v>86.377610061557675</v>
      </c>
      <c r="S1156">
        <f t="shared" ref="S1156:S1219" si="207">S1155+K1155</f>
        <v>718.64670078726454</v>
      </c>
      <c r="T1156" s="1">
        <f t="shared" ref="T1156:T1219" si="208">T1155+O1155</f>
        <v>-769.4658512612981</v>
      </c>
    </row>
    <row r="1157" spans="6:20" x14ac:dyDescent="0.35">
      <c r="F1157" s="1">
        <f t="shared" si="204"/>
        <v>23.079999999999597</v>
      </c>
      <c r="G1157">
        <f>1/2*$B$8*$B$6*$B$7*(Tabelle2[[#This Row],[vx]]*Tabelle2[[#This Row],[vx]]+Tabelle2[[#This Row],[vy]]*Tabelle2[[#This Row],[vy]])/1000000</f>
        <v>13.20376652148156</v>
      </c>
      <c r="H1157">
        <f>IF($B$3,-Tabelle2[[#This Row],[Fd]]*Tabelle2[[#This Row],[vx]]/Tabelle2[[#This Row],[v]],0)</f>
        <v>-1.6628031576409303</v>
      </c>
      <c r="I1157">
        <f t="shared" si="198"/>
        <v>-1.108535438427287</v>
      </c>
      <c r="J1157">
        <f t="shared" si="199"/>
        <v>-2.2170708768545738E-2</v>
      </c>
      <c r="K1157">
        <f t="shared" si="200"/>
        <v>0.21738285424579423</v>
      </c>
      <c r="L1157">
        <f>-$B$5*$B$12-IF($B$3,Tabelle2[[#This Row],[Fd]]*Tabelle2[[#This Row],[vy]]/Tabelle2[[#This Row],[v]],0)</f>
        <v>-1.6163536572385979</v>
      </c>
      <c r="M1157">
        <f t="shared" si="201"/>
        <v>-1.0775691048257319</v>
      </c>
      <c r="N1157">
        <f t="shared" si="202"/>
        <v>-2.1551382096514637E-2</v>
      </c>
      <c r="O1157">
        <f t="shared" si="203"/>
        <v>-1.7143842525445709</v>
      </c>
      <c r="P1157" s="1">
        <f t="shared" si="205"/>
        <v>10.880228066673984</v>
      </c>
      <c r="Q1157" s="1">
        <f t="shared" si="206"/>
        <v>-85.708436936180291</v>
      </c>
      <c r="R1157">
        <f>SQRT(Tabelle2[[#This Row],[vx]]*Tabelle2[[#This Row],[vx]]+Tabelle2[[#This Row],[vy]]*Tabelle2[[#This Row],[vy]])</f>
        <v>86.396270317798056</v>
      </c>
      <c r="S1157">
        <f t="shared" si="207"/>
        <v>718.86452746030102</v>
      </c>
      <c r="T1157" s="1">
        <f t="shared" si="208"/>
        <v>-771.17980366826146</v>
      </c>
    </row>
    <row r="1158" spans="6:20" x14ac:dyDescent="0.35">
      <c r="F1158" s="1">
        <f t="shared" si="204"/>
        <v>23.099999999999596</v>
      </c>
      <c r="G1158">
        <f>1/2*$B$8*$B$6*$B$7*(Tabelle2[[#This Row],[vx]]*Tabelle2[[#This Row],[vx]]+Tabelle2[[#This Row],[vy]]*Tabelle2[[#This Row],[vy]])/1000000</f>
        <v>13.209449670968961</v>
      </c>
      <c r="H1158">
        <f>IF($B$3,-Tabelle2[[#This Row],[Fd]]*Tabelle2[[#This Row],[vx]]/Tabelle2[[#This Row],[v]],0)</f>
        <v>-1.6597719365130084</v>
      </c>
      <c r="I1158">
        <f t="shared" si="198"/>
        <v>-1.1065146243420056</v>
      </c>
      <c r="J1158">
        <f t="shared" si="199"/>
        <v>-2.2130292486840113E-2</v>
      </c>
      <c r="K1158">
        <f t="shared" si="200"/>
        <v>0.21693984423324039</v>
      </c>
      <c r="L1158">
        <f>-$B$5*$B$12-IF($B$3,Tabelle2[[#This Row],[Fd]]*Tabelle2[[#This Row],[vy]]/Tabelle2[[#This Row],[v]],0)</f>
        <v>-1.6102406459093697</v>
      </c>
      <c r="M1158">
        <f t="shared" si="201"/>
        <v>-1.0734937639395798</v>
      </c>
      <c r="N1158">
        <f t="shared" si="202"/>
        <v>-2.1469875278791597E-2</v>
      </c>
      <c r="O1158">
        <f t="shared" si="203"/>
        <v>-1.7148144651183241</v>
      </c>
      <c r="P1158" s="1">
        <f t="shared" si="205"/>
        <v>10.858057357905439</v>
      </c>
      <c r="Q1158" s="1">
        <f t="shared" si="206"/>
        <v>-85.72998831827681</v>
      </c>
      <c r="R1158">
        <f>SQRT(Tabelle2[[#This Row],[vx]]*Tabelle2[[#This Row],[vx]]+Tabelle2[[#This Row],[vy]]*Tabelle2[[#This Row],[vy]])</f>
        <v>86.414861607477235</v>
      </c>
      <c r="S1158">
        <f t="shared" si="207"/>
        <v>719.0819103145468</v>
      </c>
      <c r="T1158" s="1">
        <f t="shared" si="208"/>
        <v>-772.89418792080608</v>
      </c>
    </row>
    <row r="1159" spans="6:20" x14ac:dyDescent="0.35">
      <c r="F1159" s="1">
        <f t="shared" si="204"/>
        <v>23.119999999999596</v>
      </c>
      <c r="G1159">
        <f>1/2*$B$8*$B$6*$B$7*(Tabelle2[[#This Row],[vx]]*Tabelle2[[#This Row],[vx]]+Tabelle2[[#This Row],[vy]]*Tabelle2[[#This Row],[vy]])/1000000</f>
        <v>13.215113024904669</v>
      </c>
      <c r="H1159">
        <f>IF($B$3,-Tabelle2[[#This Row],[Fd]]*Tabelle2[[#This Row],[vx]]/Tabelle2[[#This Row],[v]],0)</f>
        <v>-1.6567441190409882</v>
      </c>
      <c r="I1159">
        <f t="shared" si="198"/>
        <v>-1.1044960793606589</v>
      </c>
      <c r="J1159">
        <f t="shared" si="199"/>
        <v>-2.2089921587213176E-2</v>
      </c>
      <c r="K1159">
        <f t="shared" si="200"/>
        <v>0.21649764209249983</v>
      </c>
      <c r="L1159">
        <f>-$B$5*$B$12-IF($B$3,Tabelle2[[#This Row],[Fd]]*Tabelle2[[#This Row],[vy]]/Tabelle2[[#This Row],[v]],0)</f>
        <v>-1.6041491052247849</v>
      </c>
      <c r="M1159">
        <f t="shared" si="201"/>
        <v>-1.0694327368165233</v>
      </c>
      <c r="N1159">
        <f t="shared" si="202"/>
        <v>-2.1388654736330465E-2</v>
      </c>
      <c r="O1159">
        <f t="shared" si="203"/>
        <v>-1.7152430504184757</v>
      </c>
      <c r="P1159" s="1">
        <f t="shared" si="205"/>
        <v>10.835927065418598</v>
      </c>
      <c r="Q1159" s="1">
        <f t="shared" si="206"/>
        <v>-85.751458193555607</v>
      </c>
      <c r="R1159">
        <f>SQRT(Tabelle2[[#This Row],[vx]]*Tabelle2[[#This Row],[vx]]+Tabelle2[[#This Row],[vy]]*Tabelle2[[#This Row],[vy]])</f>
        <v>86.433384161955544</v>
      </c>
      <c r="S1159">
        <f t="shared" si="207"/>
        <v>719.29885015878006</v>
      </c>
      <c r="T1159" s="1">
        <f t="shared" si="208"/>
        <v>-774.60900238592444</v>
      </c>
    </row>
    <row r="1160" spans="6:20" x14ac:dyDescent="0.35">
      <c r="F1160" s="1">
        <f t="shared" si="204"/>
        <v>23.139999999999596</v>
      </c>
      <c r="G1160">
        <f>1/2*$B$8*$B$6*$B$7*(Tabelle2[[#This Row],[vx]]*Tabelle2[[#This Row],[vx]]+Tabelle2[[#This Row],[vy]]*Tabelle2[[#This Row],[vy]])/1000000</f>
        <v>13.220756640356798</v>
      </c>
      <c r="H1160">
        <f>IF($B$3,-Tabelle2[[#This Row],[Fd]]*Tabelle2[[#This Row],[vx]]/Tabelle2[[#This Row],[v]],0)</f>
        <v>-1.6537197147440286</v>
      </c>
      <c r="I1160">
        <f t="shared" si="198"/>
        <v>-1.1024798098293525</v>
      </c>
      <c r="J1160">
        <f t="shared" si="199"/>
        <v>-2.204959619658705E-2</v>
      </c>
      <c r="K1160">
        <f t="shared" si="200"/>
        <v>0.21605624691466183</v>
      </c>
      <c r="L1160">
        <f>-$B$5*$B$12-IF($B$3,Tabelle2[[#This Row],[Fd]]*Tabelle2[[#This Row],[vy]]/Tabelle2[[#This Row],[v]],0)</f>
        <v>-1.5980789722356992</v>
      </c>
      <c r="M1160">
        <f t="shared" si="201"/>
        <v>-1.065385981490466</v>
      </c>
      <c r="N1160">
        <f t="shared" si="202"/>
        <v>-2.1307719629809322E-2</v>
      </c>
      <c r="O1160">
        <f t="shared" si="203"/>
        <v>-1.7156700141621368</v>
      </c>
      <c r="P1160" s="1">
        <f t="shared" si="205"/>
        <v>10.813837143831385</v>
      </c>
      <c r="Q1160" s="1">
        <f t="shared" si="206"/>
        <v>-85.772846848291934</v>
      </c>
      <c r="R1160">
        <f>SQRT(Tabelle2[[#This Row],[vx]]*Tabelle2[[#This Row],[vx]]+Tabelle2[[#This Row],[vy]]*Tabelle2[[#This Row],[vy]])</f>
        <v>86.451838212000155</v>
      </c>
      <c r="S1160">
        <f t="shared" si="207"/>
        <v>719.51534780087252</v>
      </c>
      <c r="T1160" s="1">
        <f t="shared" si="208"/>
        <v>-776.32424543634295</v>
      </c>
    </row>
    <row r="1161" spans="6:20" x14ac:dyDescent="0.35">
      <c r="F1161" s="1">
        <f t="shared" si="204"/>
        <v>23.159999999999595</v>
      </c>
      <c r="G1161">
        <f>1/2*$B$8*$B$6*$B$7*(Tabelle2[[#This Row],[vx]]*Tabelle2[[#This Row],[vx]]+Tabelle2[[#This Row],[vy]]*Tabelle2[[#This Row],[vy]])/1000000</f>
        <v>13.226380574322203</v>
      </c>
      <c r="H1161">
        <f>IF($B$3,-Tabelle2[[#This Row],[Fd]]*Tabelle2[[#This Row],[vx]]/Tabelle2[[#This Row],[v]],0)</f>
        <v>-1.6506987330391583</v>
      </c>
      <c r="I1161">
        <f t="shared" si="198"/>
        <v>-1.1004658220261054</v>
      </c>
      <c r="J1161">
        <f t="shared" si="199"/>
        <v>-2.2009316440522109E-2</v>
      </c>
      <c r="K1161">
        <f t="shared" si="200"/>
        <v>0.21561565778829078</v>
      </c>
      <c r="L1161">
        <f>-$B$5*$B$12-IF($B$3,Tabelle2[[#This Row],[Fd]]*Tabelle2[[#This Row],[vy]]/Tabelle2[[#This Row],[v]],0)</f>
        <v>-1.5920301840798778</v>
      </c>
      <c r="M1161">
        <f t="shared" si="201"/>
        <v>-1.0613534560532518</v>
      </c>
      <c r="N1161">
        <f t="shared" si="202"/>
        <v>-2.1227069121065038E-2</v>
      </c>
      <c r="O1161">
        <f t="shared" si="203"/>
        <v>-1.7160953620496455</v>
      </c>
      <c r="P1161" s="1">
        <f t="shared" si="205"/>
        <v>10.791787547634799</v>
      </c>
      <c r="Q1161" s="1">
        <f t="shared" si="206"/>
        <v>-85.794154567921737</v>
      </c>
      <c r="R1161">
        <f>SQRT(Tabelle2[[#This Row],[vx]]*Tabelle2[[#This Row],[vx]]+Tabelle2[[#This Row],[vy]]*Tabelle2[[#This Row],[vy]])</f>
        <v>86.470223987785133</v>
      </c>
      <c r="S1161">
        <f t="shared" si="207"/>
        <v>719.73140404778724</v>
      </c>
      <c r="T1161" s="1">
        <f t="shared" si="208"/>
        <v>-778.03991545050508</v>
      </c>
    </row>
    <row r="1162" spans="6:20" x14ac:dyDescent="0.35">
      <c r="F1162" s="1">
        <f t="shared" si="204"/>
        <v>23.179999999999595</v>
      </c>
      <c r="G1162">
        <f>1/2*$B$8*$B$6*$B$7*(Tabelle2[[#This Row],[vx]]*Tabelle2[[#This Row],[vx]]+Tabelle2[[#This Row],[vy]]*Tabelle2[[#This Row],[vy]])/1000000</f>
        <v>13.23198488372571</v>
      </c>
      <c r="H1162">
        <f>IF($B$3,-Tabelle2[[#This Row],[Fd]]*Tabelle2[[#This Row],[vx]]/Tabelle2[[#This Row],[v]],0)</f>
        <v>-1.6476811832418023</v>
      </c>
      <c r="I1162">
        <f t="shared" si="198"/>
        <v>-1.0984541221612016</v>
      </c>
      <c r="J1162">
        <f t="shared" si="199"/>
        <v>-2.1969082443224035E-2</v>
      </c>
      <c r="K1162">
        <f t="shared" si="200"/>
        <v>0.2151758737994533</v>
      </c>
      <c r="L1162">
        <f>-$B$5*$B$12-IF($B$3,Tabelle2[[#This Row],[Fd]]*Tabelle2[[#This Row],[vy]]/Tabelle2[[#This Row],[v]],0)</f>
        <v>-1.5860026779827319</v>
      </c>
      <c r="M1162">
        <f t="shared" si="201"/>
        <v>-1.0573351186551545</v>
      </c>
      <c r="N1162">
        <f t="shared" si="202"/>
        <v>-2.114670237310309E-2</v>
      </c>
      <c r="O1162">
        <f t="shared" si="203"/>
        <v>-1.7165190997645872</v>
      </c>
      <c r="P1162" s="1">
        <f t="shared" si="205"/>
        <v>10.769778231194277</v>
      </c>
      <c r="Q1162" s="1">
        <f t="shared" si="206"/>
        <v>-85.815381637042805</v>
      </c>
      <c r="R1162">
        <f>SQRT(Tabelle2[[#This Row],[vx]]*Tabelle2[[#This Row],[vx]]+Tabelle2[[#This Row],[vy]]*Tabelle2[[#This Row],[vy]])</f>
        <v>86.488541718891355</v>
      </c>
      <c r="S1162">
        <f t="shared" si="207"/>
        <v>719.94701970557549</v>
      </c>
      <c r="T1162" s="1">
        <f t="shared" si="208"/>
        <v>-779.75601081255468</v>
      </c>
    </row>
    <row r="1163" spans="6:20" x14ac:dyDescent="0.35">
      <c r="F1163" s="1">
        <f t="shared" si="204"/>
        <v>23.199999999999594</v>
      </c>
      <c r="G1163">
        <f>1/2*$B$8*$B$6*$B$7*(Tabelle2[[#This Row],[vx]]*Tabelle2[[#This Row],[vx]]+Tabelle2[[#This Row],[vy]]*Tabelle2[[#This Row],[vy]])/1000000</f>
        <v>13.237569625419374</v>
      </c>
      <c r="H1163">
        <f>IF($B$3,-Tabelle2[[#This Row],[Fd]]*Tabelle2[[#This Row],[vx]]/Tabelle2[[#This Row],[v]],0)</f>
        <v>-1.6446670745662997</v>
      </c>
      <c r="I1163">
        <f t="shared" si="198"/>
        <v>-1.096444716377533</v>
      </c>
      <c r="J1163">
        <f t="shared" si="199"/>
        <v>-2.1928894327550661E-2</v>
      </c>
      <c r="K1163">
        <f t="shared" si="200"/>
        <v>0.21473689403174553</v>
      </c>
      <c r="L1163">
        <f>-$B$5*$B$12-IF($B$3,Tabelle2[[#This Row],[Fd]]*Tabelle2[[#This Row],[vy]]/Tabelle2[[#This Row],[v]],0)</f>
        <v>-1.579996391258085</v>
      </c>
      <c r="M1163">
        <f t="shared" si="201"/>
        <v>-1.0533309275053899</v>
      </c>
      <c r="N1163">
        <f t="shared" si="202"/>
        <v>-2.1066618550107798E-2</v>
      </c>
      <c r="O1163">
        <f t="shared" si="203"/>
        <v>-1.7169412329738192</v>
      </c>
      <c r="P1163" s="1">
        <f t="shared" si="205"/>
        <v>10.747809148751053</v>
      </c>
      <c r="Q1163" s="1">
        <f t="shared" si="206"/>
        <v>-85.836528339415906</v>
      </c>
      <c r="R1163">
        <f>SQRT(Tabelle2[[#This Row],[vx]]*Tabelle2[[#This Row],[vx]]+Tabelle2[[#This Row],[vy]]*Tabelle2[[#This Row],[vy]])</f>
        <v>86.506791634306538</v>
      </c>
      <c r="S1163">
        <f t="shared" si="207"/>
        <v>720.16219557937495</v>
      </c>
      <c r="T1163" s="1">
        <f t="shared" si="208"/>
        <v>-781.47252991231926</v>
      </c>
    </row>
    <row r="1164" spans="6:20" x14ac:dyDescent="0.35">
      <c r="F1164" s="1">
        <f t="shared" si="204"/>
        <v>23.219999999999594</v>
      </c>
      <c r="G1164">
        <f>1/2*$B$8*$B$6*$B$7*(Tabelle2[[#This Row],[vx]]*Tabelle2[[#This Row],[vx]]+Tabelle2[[#This Row],[vy]]*Tabelle2[[#This Row],[vy]])/1000000</f>
        <v>13.243134856181767</v>
      </c>
      <c r="H1164">
        <f>IF($B$3,-Tabelle2[[#This Row],[Fd]]*Tabelle2[[#This Row],[vx]]/Tabelle2[[#This Row],[v]],0)</f>
        <v>-1.6416564161264273</v>
      </c>
      <c r="I1164">
        <f t="shared" si="198"/>
        <v>-1.0944376107509515</v>
      </c>
      <c r="J1164">
        <f t="shared" si="199"/>
        <v>-2.1888752215019031E-2</v>
      </c>
      <c r="K1164">
        <f t="shared" si="200"/>
        <v>0.21429871756631982</v>
      </c>
      <c r="L1164">
        <f>-$B$5*$B$12-IF($B$3,Tabelle2[[#This Row],[Fd]]*Tabelle2[[#This Row],[vy]]/Tabelle2[[#This Row],[v]],0)</f>
        <v>-1.5740112613088559</v>
      </c>
      <c r="M1164">
        <f t="shared" si="201"/>
        <v>-1.0493408408725706</v>
      </c>
      <c r="N1164">
        <f t="shared" si="202"/>
        <v>-2.0986816817451414E-2</v>
      </c>
      <c r="O1164">
        <f t="shared" si="203"/>
        <v>-1.7173617673274948</v>
      </c>
      <c r="P1164" s="1">
        <f t="shared" si="205"/>
        <v>10.725880254423501</v>
      </c>
      <c r="Q1164" s="1">
        <f t="shared" si="206"/>
        <v>-85.857594957966015</v>
      </c>
      <c r="R1164">
        <f>SQRT(Tabelle2[[#This Row],[vx]]*Tabelle2[[#This Row],[vx]]+Tabelle2[[#This Row],[vy]]*Tabelle2[[#This Row],[vy]])</f>
        <v>86.524973962425335</v>
      </c>
      <c r="S1164">
        <f t="shared" si="207"/>
        <v>720.37693247340667</v>
      </c>
      <c r="T1164" s="1">
        <f t="shared" si="208"/>
        <v>-783.18947114529306</v>
      </c>
    </row>
    <row r="1165" spans="6:20" x14ac:dyDescent="0.35">
      <c r="F1165" s="1">
        <f t="shared" si="204"/>
        <v>23.239999999999593</v>
      </c>
      <c r="G1165">
        <f>1/2*$B$8*$B$6*$B$7*(Tabelle2[[#This Row],[vx]]*Tabelle2[[#This Row],[vx]]+Tabelle2[[#This Row],[vy]]*Tabelle2[[#This Row],[vy]])/1000000</f>
        <v>13.248680632717246</v>
      </c>
      <c r="H1165">
        <f>IF($B$3,-Tabelle2[[#This Row],[Fd]]*Tabelle2[[#This Row],[vx]]/Tabelle2[[#This Row],[v]],0)</f>
        <v>-1.638649216935917</v>
      </c>
      <c r="I1165">
        <f t="shared" si="198"/>
        <v>-1.0924328112906114</v>
      </c>
      <c r="J1165">
        <f t="shared" si="199"/>
        <v>-2.1848656225812228E-2</v>
      </c>
      <c r="K1165">
        <f t="shared" si="200"/>
        <v>0.21386134348191149</v>
      </c>
      <c r="L1165">
        <f>-$B$5*$B$12-IF($B$3,Tabelle2[[#This Row],[Fd]]*Tabelle2[[#This Row],[vy]]/Tabelle2[[#This Row],[v]],0)</f>
        <v>-1.5680472256278186</v>
      </c>
      <c r="M1165">
        <f t="shared" si="201"/>
        <v>-1.0453648170852123</v>
      </c>
      <c r="N1165">
        <f t="shared" si="202"/>
        <v>-2.0907296341704247E-2</v>
      </c>
      <c r="O1165">
        <f t="shared" si="203"/>
        <v>-1.7177807084590864</v>
      </c>
      <c r="P1165" s="1">
        <f t="shared" si="205"/>
        <v>10.703991502208481</v>
      </c>
      <c r="Q1165" s="1">
        <f t="shared" si="206"/>
        <v>-85.87858177478347</v>
      </c>
      <c r="R1165">
        <f>SQRT(Tabelle2[[#This Row],[vx]]*Tabelle2[[#This Row],[vx]]+Tabelle2[[#This Row],[vy]]*Tabelle2[[#This Row],[vy]])</f>
        <v>86.543088931049382</v>
      </c>
      <c r="S1165">
        <f t="shared" si="207"/>
        <v>720.59123119097296</v>
      </c>
      <c r="T1165" s="1">
        <f t="shared" si="208"/>
        <v>-784.90683291262053</v>
      </c>
    </row>
    <row r="1166" spans="6:20" x14ac:dyDescent="0.35">
      <c r="F1166" s="1">
        <f t="shared" si="204"/>
        <v>23.259999999999593</v>
      </c>
      <c r="G1166">
        <f>1/2*$B$8*$B$6*$B$7*(Tabelle2[[#This Row],[vx]]*Tabelle2[[#This Row],[vx]]+Tabelle2[[#This Row],[vy]]*Tabelle2[[#This Row],[vy]])/1000000</f>
        <v>13.25420701165524</v>
      </c>
      <c r="H1166">
        <f>IF($B$3,-Tabelle2[[#This Row],[Fd]]*Tabelle2[[#This Row],[vx]]/Tabelle2[[#This Row],[v]],0)</f>
        <v>-1.6356454859089737</v>
      </c>
      <c r="I1166">
        <f t="shared" si="198"/>
        <v>-1.0904303239393158</v>
      </c>
      <c r="J1166">
        <f t="shared" si="199"/>
        <v>-2.1808606478786317E-2</v>
      </c>
      <c r="K1166">
        <f t="shared" si="200"/>
        <v>0.21342477085486555</v>
      </c>
      <c r="L1166">
        <f>-$B$5*$B$12-IF($B$3,Tabelle2[[#This Row],[Fd]]*Tabelle2[[#This Row],[vy]]/Tabelle2[[#This Row],[v]],0)</f>
        <v>-1.5621042217982843</v>
      </c>
      <c r="M1166">
        <f t="shared" si="201"/>
        <v>-1.0414028145321896</v>
      </c>
      <c r="N1166">
        <f t="shared" si="202"/>
        <v>-2.0828056290643795E-2</v>
      </c>
      <c r="O1166">
        <f t="shared" si="203"/>
        <v>-1.7181980619854098</v>
      </c>
      <c r="P1166" s="1">
        <f t="shared" si="205"/>
        <v>10.682142845982669</v>
      </c>
      <c r="Q1166" s="1">
        <f t="shared" si="206"/>
        <v>-85.899489071125174</v>
      </c>
      <c r="R1166">
        <f>SQRT(Tabelle2[[#This Row],[vx]]*Tabelle2[[#This Row],[vx]]+Tabelle2[[#This Row],[vy]]*Tabelle2[[#This Row],[vy]])</f>
        <v>86.56113676738731</v>
      </c>
      <c r="S1166">
        <f t="shared" si="207"/>
        <v>720.80509253445484</v>
      </c>
      <c r="T1166" s="1">
        <f t="shared" si="208"/>
        <v>-786.62461362107956</v>
      </c>
    </row>
    <row r="1167" spans="6:20" x14ac:dyDescent="0.35">
      <c r="F1167" s="1">
        <f t="shared" si="204"/>
        <v>23.279999999999593</v>
      </c>
      <c r="G1167">
        <f>1/2*$B$8*$B$6*$B$7*(Tabelle2[[#This Row],[vx]]*Tabelle2[[#This Row],[vx]]+Tabelle2[[#This Row],[vy]]*Tabelle2[[#This Row],[vy]])/1000000</f>
        <v>13.259714049549546</v>
      </c>
      <c r="H1167">
        <f>IF($B$3,-Tabelle2[[#This Row],[Fd]]*Tabelle2[[#This Row],[vx]]/Tabelle2[[#This Row],[v]],0)</f>
        <v>-1.6326452318607929</v>
      </c>
      <c r="I1167">
        <f t="shared" si="198"/>
        <v>-1.0884301545738619</v>
      </c>
      <c r="J1167">
        <f t="shared" si="199"/>
        <v>-2.176860309147724E-2</v>
      </c>
      <c r="K1167">
        <f t="shared" si="200"/>
        <v>0.21298899875916291</v>
      </c>
      <c r="L1167">
        <f>-$B$5*$B$12-IF($B$3,Tabelle2[[#This Row],[Fd]]*Tabelle2[[#This Row],[vy]]/Tabelle2[[#This Row],[v]],0)</f>
        <v>-1.5561821874948123</v>
      </c>
      <c r="M1167">
        <f t="shared" si="201"/>
        <v>-1.0374547916632082</v>
      </c>
      <c r="N1167">
        <f t="shared" si="202"/>
        <v>-2.0749095833264165E-2</v>
      </c>
      <c r="O1167">
        <f t="shared" si="203"/>
        <v>-1.7186138335066488</v>
      </c>
      <c r="P1167" s="1">
        <f t="shared" si="205"/>
        <v>10.660334239503884</v>
      </c>
      <c r="Q1167" s="1">
        <f t="shared" si="206"/>
        <v>-85.920317127415814</v>
      </c>
      <c r="R1167">
        <f>SQRT(Tabelle2[[#This Row],[vx]]*Tabelle2[[#This Row],[vx]]+Tabelle2[[#This Row],[vy]]*Tabelle2[[#This Row],[vy]])</f>
        <v>86.579117698054901</v>
      </c>
      <c r="S1167">
        <f t="shared" si="207"/>
        <v>721.01851730530973</v>
      </c>
      <c r="T1167" s="1">
        <f t="shared" si="208"/>
        <v>-788.34281168306495</v>
      </c>
    </row>
    <row r="1168" spans="6:20" x14ac:dyDescent="0.35">
      <c r="F1168" s="1">
        <f t="shared" si="204"/>
        <v>23.299999999999592</v>
      </c>
      <c r="G1168">
        <f>1/2*$B$8*$B$6*$B$7*(Tabelle2[[#This Row],[vx]]*Tabelle2[[#This Row],[vx]]+Tabelle2[[#This Row],[vy]]*Tabelle2[[#This Row],[vy]])/1000000</f>
        <v>13.265201802877639</v>
      </c>
      <c r="H1168">
        <f>IF($B$3,-Tabelle2[[#This Row],[Fd]]*Tabelle2[[#This Row],[vx]]/Tabelle2[[#This Row],[v]],0)</f>
        <v>-1.629648463508075</v>
      </c>
      <c r="I1168">
        <f t="shared" si="198"/>
        <v>-1.0864323090053833</v>
      </c>
      <c r="J1168">
        <f t="shared" si="199"/>
        <v>-2.1728646180107666E-2</v>
      </c>
      <c r="K1168">
        <f t="shared" si="200"/>
        <v>0.21255402626644707</v>
      </c>
      <c r="L1168">
        <f>-$B$5*$B$12-IF($B$3,Tabelle2[[#This Row],[Fd]]*Tabelle2[[#This Row],[vy]]/Tabelle2[[#This Row],[v]],0)</f>
        <v>-1.5502810604838988</v>
      </c>
      <c r="M1168">
        <f t="shared" si="201"/>
        <v>-1.0335207069892658</v>
      </c>
      <c r="N1168">
        <f t="shared" si="202"/>
        <v>-2.0670414139785317E-2</v>
      </c>
      <c r="O1168">
        <f t="shared" si="203"/>
        <v>-1.7190280286063793</v>
      </c>
      <c r="P1168" s="1">
        <f t="shared" si="205"/>
        <v>10.638565636412407</v>
      </c>
      <c r="Q1168" s="1">
        <f t="shared" si="206"/>
        <v>-85.941066223249081</v>
      </c>
      <c r="R1168">
        <f>SQRT(Tabelle2[[#This Row],[vx]]*Tabelle2[[#This Row],[vx]]+Tabelle2[[#This Row],[vy]]*Tabelle2[[#This Row],[vy]])</f>
        <v>86.597031949075131</v>
      </c>
      <c r="S1168">
        <f t="shared" si="207"/>
        <v>721.23150630406894</v>
      </c>
      <c r="T1168" s="1">
        <f t="shared" si="208"/>
        <v>-790.0614255165716</v>
      </c>
    </row>
    <row r="1169" spans="6:20" x14ac:dyDescent="0.35">
      <c r="F1169" s="1">
        <f t="shared" si="204"/>
        <v>23.319999999999592</v>
      </c>
      <c r="G1169">
        <f>1/2*$B$8*$B$6*$B$7*(Tabelle2[[#This Row],[vx]]*Tabelle2[[#This Row],[vx]]+Tabelle2[[#This Row],[vy]]*Tabelle2[[#This Row],[vy]])/1000000</f>
        <v>13.27067032803998</v>
      </c>
      <c r="H1169">
        <f>IF($B$3,-Tabelle2[[#This Row],[Fd]]*Tabelle2[[#This Row],[vx]]/Tabelle2[[#This Row],[v]],0)</f>
        <v>-1.6266551894695387</v>
      </c>
      <c r="I1169">
        <f t="shared" si="198"/>
        <v>-1.0844367929796925</v>
      </c>
      <c r="J1169">
        <f t="shared" si="199"/>
        <v>-2.1688735859593852E-2</v>
      </c>
      <c r="K1169">
        <f t="shared" si="200"/>
        <v>0.21211985244605003</v>
      </c>
      <c r="L1169">
        <f>-$B$5*$B$12-IF($B$3,Tabelle2[[#This Row],[Fd]]*Tabelle2[[#This Row],[vy]]/Tabelle2[[#This Row],[v]],0)</f>
        <v>-1.5444007786246647</v>
      </c>
      <c r="M1169">
        <f t="shared" si="201"/>
        <v>-1.0296005190831099</v>
      </c>
      <c r="N1169">
        <f t="shared" si="202"/>
        <v>-2.0592010381662199E-2</v>
      </c>
      <c r="O1169">
        <f t="shared" si="203"/>
        <v>-1.7194406528515938</v>
      </c>
      <c r="P1169" s="1">
        <f t="shared" si="205"/>
        <v>10.616836990232299</v>
      </c>
      <c r="Q1169" s="1">
        <f t="shared" si="206"/>
        <v>-85.961736637388867</v>
      </c>
      <c r="R1169">
        <f>SQRT(Tabelle2[[#This Row],[vx]]*Tabelle2[[#This Row],[vx]]+Tabelle2[[#This Row],[vy]]*Tabelle2[[#This Row],[vy]])</f>
        <v>86.614879745878355</v>
      </c>
      <c r="S1169">
        <f t="shared" si="207"/>
        <v>721.44406033033545</v>
      </c>
      <c r="T1169" s="1">
        <f t="shared" si="208"/>
        <v>-791.78045354517803</v>
      </c>
    </row>
    <row r="1170" spans="6:20" x14ac:dyDescent="0.35">
      <c r="F1170" s="1">
        <f t="shared" si="204"/>
        <v>23.339999999999591</v>
      </c>
      <c r="G1170">
        <f>1/2*$B$8*$B$6*$B$7*(Tabelle2[[#This Row],[vx]]*Tabelle2[[#This Row],[vx]]+Tabelle2[[#This Row],[vy]]*Tabelle2[[#This Row],[vy]])/1000000</f>
        <v>13.276119681359338</v>
      </c>
      <c r="H1170">
        <f>IF($B$3,-Tabelle2[[#This Row],[Fd]]*Tabelle2[[#This Row],[vx]]/Tabelle2[[#This Row],[v]],0)</f>
        <v>-1.623665418266435</v>
      </c>
      <c r="I1170">
        <f t="shared" si="198"/>
        <v>-1.0824436121776233</v>
      </c>
      <c r="J1170">
        <f t="shared" si="199"/>
        <v>-2.1648872243552466E-2</v>
      </c>
      <c r="K1170">
        <f t="shared" si="200"/>
        <v>0.21168647636501858</v>
      </c>
      <c r="L1170">
        <f>-$B$5*$B$12-IF($B$3,Tabelle2[[#This Row],[Fd]]*Tabelle2[[#This Row],[vy]]/Tabelle2[[#This Row],[v]],0)</f>
        <v>-1.5385412798695253</v>
      </c>
      <c r="M1170">
        <f t="shared" si="201"/>
        <v>-1.0256941865796836</v>
      </c>
      <c r="N1170">
        <f t="shared" si="202"/>
        <v>-2.0513883731593671E-2</v>
      </c>
      <c r="O1170">
        <f t="shared" si="203"/>
        <v>-1.7198517117927263</v>
      </c>
      <c r="P1170" s="1">
        <f t="shared" si="205"/>
        <v>10.595148254372706</v>
      </c>
      <c r="Q1170" s="1">
        <f t="shared" si="206"/>
        <v>-85.98232864777053</v>
      </c>
      <c r="R1170">
        <f>SQRT(Tabelle2[[#This Row],[vx]]*Tabelle2[[#This Row],[vx]]+Tabelle2[[#This Row],[vy]]*Tabelle2[[#This Row],[vy]])</f>
        <v>86.632661313302378</v>
      </c>
      <c r="S1170">
        <f t="shared" si="207"/>
        <v>721.65618018278144</v>
      </c>
      <c r="T1170" s="1">
        <f t="shared" si="208"/>
        <v>-793.49989419802966</v>
      </c>
    </row>
    <row r="1171" spans="6:20" x14ac:dyDescent="0.35">
      <c r="F1171" s="1">
        <f t="shared" si="204"/>
        <v>23.359999999999591</v>
      </c>
      <c r="G1171">
        <f>1/2*$B$8*$B$6*$B$7*(Tabelle2[[#This Row],[vx]]*Tabelle2[[#This Row],[vx]]+Tabelle2[[#This Row],[vy]]*Tabelle2[[#This Row],[vy]])/1000000</f>
        <v>13.281549919080126</v>
      </c>
      <c r="H1171">
        <f>IF($B$3,-Tabelle2[[#This Row],[Fd]]*Tabelle2[[#This Row],[vx]]/Tabelle2[[#This Row],[v]],0)</f>
        <v>-1.6206791583230578</v>
      </c>
      <c r="I1171">
        <f t="shared" si="198"/>
        <v>-1.0804527722153718</v>
      </c>
      <c r="J1171">
        <f t="shared" si="199"/>
        <v>-2.1609055444307437E-2</v>
      </c>
      <c r="K1171">
        <f t="shared" si="200"/>
        <v>0.21125389708813999</v>
      </c>
      <c r="L1171">
        <f>-$B$5*$B$12-IF($B$3,Tabelle2[[#This Row],[Fd]]*Tabelle2[[#This Row],[vy]]/Tabelle2[[#This Row],[v]],0)</f>
        <v>-1.5327025022648435</v>
      </c>
      <c r="M1171">
        <f t="shared" si="201"/>
        <v>-1.0218016681765623</v>
      </c>
      <c r="N1171">
        <f t="shared" si="202"/>
        <v>-2.0436033363531246E-2</v>
      </c>
      <c r="O1171">
        <f t="shared" si="203"/>
        <v>-1.7202612109636777</v>
      </c>
      <c r="P1171" s="1">
        <f t="shared" si="205"/>
        <v>10.573499382129153</v>
      </c>
      <c r="Q1171" s="1">
        <f t="shared" si="206"/>
        <v>-86.002842531502125</v>
      </c>
      <c r="R1171">
        <f>SQRT(Tabelle2[[#This Row],[vx]]*Tabelle2[[#This Row],[vx]]+Tabelle2[[#This Row],[vy]]*Tabelle2[[#This Row],[vy]])</f>
        <v>86.650376875592627</v>
      </c>
      <c r="S1171">
        <f t="shared" si="207"/>
        <v>721.86786665914644</v>
      </c>
      <c r="T1171" s="1">
        <f t="shared" si="208"/>
        <v>-795.21974590982234</v>
      </c>
    </row>
    <row r="1172" spans="6:20" x14ac:dyDescent="0.35">
      <c r="F1172" s="1">
        <f t="shared" si="204"/>
        <v>23.37999999999959</v>
      </c>
      <c r="G1172">
        <f>1/2*$B$8*$B$6*$B$7*(Tabelle2[[#This Row],[vx]]*Tabelle2[[#This Row],[vx]]+Tabelle2[[#This Row],[vy]]*Tabelle2[[#This Row],[vy]])/1000000</f>
        <v>13.286961097367728</v>
      </c>
      <c r="H1172">
        <f>IF($B$3,-Tabelle2[[#This Row],[Fd]]*Tabelle2[[#This Row],[vx]]/Tabelle2[[#This Row],[v]],0)</f>
        <v>-1.6176964179672526</v>
      </c>
      <c r="I1172">
        <f t="shared" si="198"/>
        <v>-1.0784642786448351</v>
      </c>
      <c r="J1172">
        <f t="shared" si="199"/>
        <v>-2.1569285572896703E-2</v>
      </c>
      <c r="K1172">
        <f t="shared" si="200"/>
        <v>0.21082211367796796</v>
      </c>
      <c r="L1172">
        <f>-$B$5*$B$12-IF($B$3,Tabelle2[[#This Row],[Fd]]*Tabelle2[[#This Row],[vy]]/Tabelle2[[#This Row],[v]],0)</f>
        <v>-1.5268843839516144</v>
      </c>
      <c r="M1172">
        <f t="shared" si="201"/>
        <v>-1.0179229226344095</v>
      </c>
      <c r="N1172">
        <f t="shared" si="202"/>
        <v>-2.0358458452688192E-2</v>
      </c>
      <c r="O1172">
        <f t="shared" si="203"/>
        <v>-1.7206691558818401</v>
      </c>
      <c r="P1172" s="1">
        <f t="shared" si="205"/>
        <v>10.551890326684846</v>
      </c>
      <c r="Q1172" s="1">
        <f t="shared" si="206"/>
        <v>-86.023278564865663</v>
      </c>
      <c r="R1172">
        <f>SQRT(Tabelle2[[#This Row],[vx]]*Tabelle2[[#This Row],[vx]]+Tabelle2[[#This Row],[vy]]*Tabelle2[[#This Row],[vy]])</f>
        <v>86.668026656402319</v>
      </c>
      <c r="S1172">
        <f t="shared" si="207"/>
        <v>722.07912055623456</v>
      </c>
      <c r="T1172" s="1">
        <f t="shared" si="208"/>
        <v>-796.94000712078605</v>
      </c>
    </row>
    <row r="1173" spans="6:20" x14ac:dyDescent="0.35">
      <c r="F1173" s="1">
        <f t="shared" si="204"/>
        <v>23.39999999999959</v>
      </c>
      <c r="G1173">
        <f>1/2*$B$8*$B$6*$B$7*(Tabelle2[[#This Row],[vx]]*Tabelle2[[#This Row],[vx]]+Tabelle2[[#This Row],[vy]]*Tabelle2[[#This Row],[vy]])/1000000</f>
        <v>13.292353272307858</v>
      </c>
      <c r="H1173">
        <f>IF($B$3,-Tabelle2[[#This Row],[Fd]]*Tabelle2[[#This Row],[vx]]/Tabelle2[[#This Row],[v]],0)</f>
        <v>-1.6147172054309267</v>
      </c>
      <c r="I1173">
        <f t="shared" si="198"/>
        <v>-1.0764781369539511</v>
      </c>
      <c r="J1173">
        <f t="shared" si="199"/>
        <v>-2.1529562739079022E-2</v>
      </c>
      <c r="K1173">
        <f t="shared" si="200"/>
        <v>0.21039112519484821</v>
      </c>
      <c r="L1173">
        <f>-$B$5*$B$12-IF($B$3,Tabelle2[[#This Row],[Fd]]*Tabelle2[[#This Row],[vy]]/Tabelle2[[#This Row],[v]],0)</f>
        <v>-1.5210868631660759</v>
      </c>
      <c r="M1173">
        <f t="shared" si="201"/>
        <v>-1.014057908777384</v>
      </c>
      <c r="N1173">
        <f t="shared" si="202"/>
        <v>-2.0281158175547681E-2</v>
      </c>
      <c r="O1173">
        <f t="shared" si="203"/>
        <v>-1.7210755520481227</v>
      </c>
      <c r="P1173" s="1">
        <f t="shared" si="205"/>
        <v>10.53032104111195</v>
      </c>
      <c r="Q1173" s="1">
        <f t="shared" si="206"/>
        <v>-86.043637023318354</v>
      </c>
      <c r="R1173">
        <f>SQRT(Tabelle2[[#This Row],[vx]]*Tabelle2[[#This Row],[vx]]+Tabelle2[[#This Row],[vy]]*Tabelle2[[#This Row],[vy]])</f>
        <v>86.685610878792602</v>
      </c>
      <c r="S1173">
        <f t="shared" si="207"/>
        <v>722.28994266991253</v>
      </c>
      <c r="T1173" s="1">
        <f t="shared" si="208"/>
        <v>-798.66067627666791</v>
      </c>
    </row>
    <row r="1174" spans="6:20" x14ac:dyDescent="0.35">
      <c r="F1174" s="1">
        <f t="shared" si="204"/>
        <v>23.41999999999959</v>
      </c>
      <c r="G1174">
        <f>1/2*$B$8*$B$6*$B$7*(Tabelle2[[#This Row],[vx]]*Tabelle2[[#This Row],[vx]]+Tabelle2[[#This Row],[vy]]*Tabelle2[[#This Row],[vy]])/1000000</f>
        <v>13.297726499905909</v>
      </c>
      <c r="H1174">
        <f>IF($B$3,-Tabelle2[[#This Row],[Fd]]*Tabelle2[[#This Row],[vx]]/Tabelle2[[#This Row],[v]],0)</f>
        <v>-1.6117415288505543</v>
      </c>
      <c r="I1174">
        <f t="shared" si="198"/>
        <v>-1.0744943525670363</v>
      </c>
      <c r="J1174">
        <f t="shared" si="199"/>
        <v>-2.1489887051340726E-2</v>
      </c>
      <c r="K1174">
        <f t="shared" si="200"/>
        <v>0.20996093069694399</v>
      </c>
      <c r="L1174">
        <f>-$B$5*$B$12-IF($B$3,Tabelle2[[#This Row],[Fd]]*Tabelle2[[#This Row],[vy]]/Tabelle2[[#This Row],[v]],0)</f>
        <v>-1.5153098782403838</v>
      </c>
      <c r="M1174">
        <f t="shared" si="201"/>
        <v>-1.0102065854935891</v>
      </c>
      <c r="N1174">
        <f t="shared" si="202"/>
        <v>-2.0204131709871783E-2</v>
      </c>
      <c r="O1174">
        <f t="shared" si="203"/>
        <v>-1.721480404946977</v>
      </c>
      <c r="P1174" s="1">
        <f t="shared" si="205"/>
        <v>10.508791478372871</v>
      </c>
      <c r="Q1174" s="1">
        <f t="shared" si="206"/>
        <v>-86.063918181493904</v>
      </c>
      <c r="R1174">
        <f>SQRT(Tabelle2[[#This Row],[vx]]*Tabelle2[[#This Row],[vx]]+Tabelle2[[#This Row],[vy]]*Tabelle2[[#This Row],[vy]])</f>
        <v>86.703129765232802</v>
      </c>
      <c r="S1174">
        <f t="shared" si="207"/>
        <v>722.50033379510739</v>
      </c>
      <c r="T1174" s="1">
        <f t="shared" si="208"/>
        <v>-800.38175182871601</v>
      </c>
    </row>
    <row r="1175" spans="6:20" x14ac:dyDescent="0.35">
      <c r="F1175" s="1">
        <f t="shared" si="204"/>
        <v>23.439999999999589</v>
      </c>
      <c r="G1175">
        <f>1/2*$B$8*$B$6*$B$7*(Tabelle2[[#This Row],[vx]]*Tabelle2[[#This Row],[vx]]+Tabelle2[[#This Row],[vy]]*Tabelle2[[#This Row],[vy]])/1000000</f>
        <v>13.30308083608632</v>
      </c>
      <c r="H1175">
        <f>IF($B$3,-Tabelle2[[#This Row],[Fd]]*Tabelle2[[#This Row],[vx]]/Tabelle2[[#This Row],[v]],0)</f>
        <v>-1.6087693962676843</v>
      </c>
      <c r="I1175">
        <f t="shared" si="198"/>
        <v>-1.0725129308451229</v>
      </c>
      <c r="J1175">
        <f t="shared" si="199"/>
        <v>-2.1450258616902459E-2</v>
      </c>
      <c r="K1175">
        <f t="shared" si="200"/>
        <v>0.20953152924026155</v>
      </c>
      <c r="L1175">
        <f>-$B$5*$B$12-IF($B$3,Tabelle2[[#This Row],[Fd]]*Tabelle2[[#This Row],[vy]]/Tabelle2[[#This Row],[v]],0)</f>
        <v>-1.5095533676032158</v>
      </c>
      <c r="M1175">
        <f t="shared" si="201"/>
        <v>-1.0063689117354773</v>
      </c>
      <c r="N1175">
        <f t="shared" si="202"/>
        <v>-2.0127378234709545E-2</v>
      </c>
      <c r="O1175">
        <f t="shared" si="203"/>
        <v>-1.7218837200464228</v>
      </c>
      <c r="P1175" s="1">
        <f t="shared" si="205"/>
        <v>10.487301591321529</v>
      </c>
      <c r="Q1175" s="1">
        <f t="shared" si="206"/>
        <v>-86.084122313203778</v>
      </c>
      <c r="R1175">
        <f>SQRT(Tabelle2[[#This Row],[vx]]*Tabelle2[[#This Row],[vx]]+Tabelle2[[#This Row],[vy]]*Tabelle2[[#This Row],[vy]])</f>
        <v>86.720583537600604</v>
      </c>
      <c r="S1175">
        <f t="shared" si="207"/>
        <v>722.71029472580437</v>
      </c>
      <c r="T1175" s="1">
        <f t="shared" si="208"/>
        <v>-802.10323223366299</v>
      </c>
    </row>
    <row r="1176" spans="6:20" x14ac:dyDescent="0.35">
      <c r="F1176" s="1">
        <f t="shared" si="204"/>
        <v>23.459999999999589</v>
      </c>
      <c r="G1176">
        <f>1/2*$B$8*$B$6*$B$7*(Tabelle2[[#This Row],[vx]]*Tabelle2[[#This Row],[vx]]+Tabelle2[[#This Row],[vy]]*Tabelle2[[#This Row],[vy]])/1000000</f>
        <v>13.308416336691936</v>
      </c>
      <c r="H1176">
        <f>IF($B$3,-Tabelle2[[#This Row],[Fd]]*Tabelle2[[#This Row],[vx]]/Tabelle2[[#This Row],[v]],0)</f>
        <v>-1.6058008156294434</v>
      </c>
      <c r="I1176">
        <f t="shared" si="198"/>
        <v>-1.0705338770862955</v>
      </c>
      <c r="J1176">
        <f t="shared" si="199"/>
        <v>-2.141067754172591E-2</v>
      </c>
      <c r="K1176">
        <f t="shared" si="200"/>
        <v>0.20910291987867527</v>
      </c>
      <c r="L1176">
        <f>-$B$5*$B$12-IF($B$3,Tabelle2[[#This Row],[Fd]]*Tabelle2[[#This Row],[vy]]/Tabelle2[[#This Row],[v]],0)</f>
        <v>-1.5038172697804004</v>
      </c>
      <c r="M1176">
        <f t="shared" si="201"/>
        <v>-1.0025448465202669</v>
      </c>
      <c r="N1176">
        <f t="shared" si="202"/>
        <v>-2.0050896930405338E-2</v>
      </c>
      <c r="O1176">
        <f t="shared" si="203"/>
        <v>-1.7222855027980737</v>
      </c>
      <c r="P1176" s="1">
        <f t="shared" si="205"/>
        <v>10.465851332704627</v>
      </c>
      <c r="Q1176" s="1">
        <f t="shared" si="206"/>
        <v>-86.104249691438483</v>
      </c>
      <c r="R1176">
        <f>SQRT(Tabelle2[[#This Row],[vx]]*Tabelle2[[#This Row],[vx]]+Tabelle2[[#This Row],[vy]]*Tabelle2[[#This Row],[vy]])</f>
        <v>86.737972417182192</v>
      </c>
      <c r="S1176">
        <f t="shared" si="207"/>
        <v>722.91982625504465</v>
      </c>
      <c r="T1176" s="1">
        <f t="shared" si="208"/>
        <v>-803.82511595370943</v>
      </c>
    </row>
    <row r="1177" spans="6:20" x14ac:dyDescent="0.35">
      <c r="F1177" s="1">
        <f t="shared" si="204"/>
        <v>23.479999999999588</v>
      </c>
      <c r="G1177">
        <f>1/2*$B$8*$B$6*$B$7*(Tabelle2[[#This Row],[vx]]*Tabelle2[[#This Row],[vx]]+Tabelle2[[#This Row],[vy]]*Tabelle2[[#This Row],[vy]])/1000000</f>
        <v>13.313733057483407</v>
      </c>
      <c r="H1177">
        <f>IF($B$3,-Tabelle2[[#This Row],[Fd]]*Tabelle2[[#This Row],[vx]]/Tabelle2[[#This Row],[v]],0)</f>
        <v>-1.602835794789039</v>
      </c>
      <c r="I1177">
        <f t="shared" si="198"/>
        <v>-1.0685571965260261</v>
      </c>
      <c r="J1177">
        <f t="shared" si="199"/>
        <v>-2.1371143930520524E-2</v>
      </c>
      <c r="K1177">
        <f t="shared" si="200"/>
        <v>0.20867510166395284</v>
      </c>
      <c r="L1177">
        <f>-$B$5*$B$12-IF($B$3,Tabelle2[[#This Row],[Fd]]*Tabelle2[[#This Row],[vy]]/Tabelle2[[#This Row],[v]],0)</f>
        <v>-1.4981015233955315</v>
      </c>
      <c r="M1177">
        <f t="shared" si="201"/>
        <v>-0.99873434893035429</v>
      </c>
      <c r="N1177">
        <f t="shared" si="202"/>
        <v>-1.9974686978607086E-2</v>
      </c>
      <c r="O1177">
        <f t="shared" si="203"/>
        <v>-1.7226857586371638</v>
      </c>
      <c r="P1177" s="1">
        <f t="shared" si="205"/>
        <v>10.444440655162902</v>
      </c>
      <c r="Q1177" s="1">
        <f t="shared" si="206"/>
        <v>-86.124300588368882</v>
      </c>
      <c r="R1177">
        <f>SQRT(Tabelle2[[#This Row],[vx]]*Tabelle2[[#This Row],[vx]]+Tabelle2[[#This Row],[vy]]*Tabelle2[[#This Row],[vy]])</f>
        <v>86.755296624672638</v>
      </c>
      <c r="S1177">
        <f t="shared" si="207"/>
        <v>723.12892917492331</v>
      </c>
      <c r="T1177" s="1">
        <f t="shared" si="208"/>
        <v>-805.54740145650749</v>
      </c>
    </row>
    <row r="1178" spans="6:20" x14ac:dyDescent="0.35">
      <c r="F1178" s="1">
        <f t="shared" si="204"/>
        <v>23.499999999999588</v>
      </c>
      <c r="G1178">
        <f>1/2*$B$8*$B$6*$B$7*(Tabelle2[[#This Row],[vx]]*Tabelle2[[#This Row],[vx]]+Tabelle2[[#This Row],[vy]]*Tabelle2[[#This Row],[vy]])/1000000</f>
        <v>13.31903105413857</v>
      </c>
      <c r="H1178">
        <f>IF($B$3,-Tabelle2[[#This Row],[Fd]]*Tabelle2[[#This Row],[vx]]/Tabelle2[[#This Row],[v]],0)</f>
        <v>-1.5998743415062608</v>
      </c>
      <c r="I1178">
        <f t="shared" si="198"/>
        <v>-1.0665828943375073</v>
      </c>
      <c r="J1178">
        <f t="shared" si="199"/>
        <v>-2.1331657886750146E-2</v>
      </c>
      <c r="K1178">
        <f t="shared" si="200"/>
        <v>0.2082480736457801</v>
      </c>
      <c r="L1178">
        <f>-$B$5*$B$12-IF($B$3,Tabelle2[[#This Row],[Fd]]*Tabelle2[[#This Row],[vy]]/Tabelle2[[#This Row],[v]],0)</f>
        <v>-1.4924060671705757</v>
      </c>
      <c r="M1178">
        <f t="shared" si="201"/>
        <v>-0.99493737811371707</v>
      </c>
      <c r="N1178">
        <f t="shared" si="202"/>
        <v>-1.9898747562274343E-2</v>
      </c>
      <c r="O1178">
        <f t="shared" si="203"/>
        <v>-1.7230844929825728</v>
      </c>
      <c r="P1178" s="1">
        <f t="shared" si="205"/>
        <v>10.423069511232381</v>
      </c>
      <c r="Q1178" s="1">
        <f t="shared" si="206"/>
        <v>-86.144275275347496</v>
      </c>
      <c r="R1178">
        <f>SQRT(Tabelle2[[#This Row],[vx]]*Tabelle2[[#This Row],[vx]]+Tabelle2[[#This Row],[vy]]*Tabelle2[[#This Row],[vy]])</f>
        <v>86.772556380176027</v>
      </c>
      <c r="S1178">
        <f t="shared" si="207"/>
        <v>723.33760427658729</v>
      </c>
      <c r="T1178" s="1">
        <f t="shared" si="208"/>
        <v>-807.2700872151446</v>
      </c>
    </row>
    <row r="1179" spans="6:20" x14ac:dyDescent="0.35">
      <c r="F1179" s="1">
        <f t="shared" si="204"/>
        <v>23.519999999999587</v>
      </c>
      <c r="G1179">
        <f>1/2*$B$8*$B$6*$B$7*(Tabelle2[[#This Row],[vx]]*Tabelle2[[#This Row],[vx]]+Tabelle2[[#This Row],[vy]]*Tabelle2[[#This Row],[vy]])/1000000</f>
        <v>13.32431038225182</v>
      </c>
      <c r="H1179">
        <f>IF($B$3,-Tabelle2[[#This Row],[Fd]]*Tabelle2[[#This Row],[vx]]/Tabelle2[[#This Row],[v]],0)</f>
        <v>-1.5969164634479807</v>
      </c>
      <c r="I1179">
        <f t="shared" si="198"/>
        <v>-1.064610975631987</v>
      </c>
      <c r="J1179">
        <f t="shared" si="199"/>
        <v>-2.1292219512639741E-2</v>
      </c>
      <c r="K1179">
        <f t="shared" si="200"/>
        <v>0.20782183487178624</v>
      </c>
      <c r="L1179">
        <f>-$B$5*$B$12-IF($B$3,Tabelle2[[#This Row],[Fd]]*Tabelle2[[#This Row],[vy]]/Tabelle2[[#This Row],[v]],0)</f>
        <v>-1.4867308399264694</v>
      </c>
      <c r="M1179">
        <f t="shared" si="201"/>
        <v>-0.99115389328431291</v>
      </c>
      <c r="N1179">
        <f t="shared" si="202"/>
        <v>-1.982307786568626E-2</v>
      </c>
      <c r="O1179">
        <f t="shared" si="203"/>
        <v>-1.7234817112368523</v>
      </c>
      <c r="P1179" s="1">
        <f t="shared" si="205"/>
        <v>10.401737853345631</v>
      </c>
      <c r="Q1179" s="1">
        <f t="shared" si="206"/>
        <v>-86.164174022909776</v>
      </c>
      <c r="R1179">
        <f>SQRT(Tabelle2[[#This Row],[vx]]*Tabelle2[[#This Row],[vx]]+Tabelle2[[#This Row],[vy]]*Tabelle2[[#This Row],[vy]])</f>
        <v>86.789751903205726</v>
      </c>
      <c r="S1179">
        <f t="shared" si="207"/>
        <v>723.54585235023308</v>
      </c>
      <c r="T1179" s="1">
        <f t="shared" si="208"/>
        <v>-808.99317170812719</v>
      </c>
    </row>
    <row r="1180" spans="6:20" x14ac:dyDescent="0.35">
      <c r="F1180" s="1">
        <f t="shared" si="204"/>
        <v>23.539999999999587</v>
      </c>
      <c r="G1180">
        <f>1/2*$B$8*$B$6*$B$7*(Tabelle2[[#This Row],[vx]]*Tabelle2[[#This Row],[vx]]+Tabelle2[[#This Row],[vy]]*Tabelle2[[#This Row],[vy]])/1000000</f>
        <v>13.329571097333551</v>
      </c>
      <c r="H1180">
        <f>IF($B$3,-Tabelle2[[#This Row],[Fd]]*Tabelle2[[#This Row],[vx]]/Tabelle2[[#This Row],[v]],0)</f>
        <v>-1.5939621681886529</v>
      </c>
      <c r="I1180">
        <f t="shared" si="198"/>
        <v>-1.062641445459102</v>
      </c>
      <c r="J1180">
        <f t="shared" si="199"/>
        <v>-2.125282890918204E-2</v>
      </c>
      <c r="K1180">
        <f t="shared" si="200"/>
        <v>0.20739638438756799</v>
      </c>
      <c r="L1180">
        <f>-$B$5*$B$12-IF($B$3,Tabelle2[[#This Row],[Fd]]*Tabelle2[[#This Row],[vy]]/Tabelle2[[#This Row],[v]],0)</f>
        <v>-1.4810757805837014</v>
      </c>
      <c r="M1180">
        <f t="shared" si="201"/>
        <v>-0.98738385372246762</v>
      </c>
      <c r="N1180">
        <f t="shared" si="202"/>
        <v>-1.9747677074449351E-2</v>
      </c>
      <c r="O1180">
        <f t="shared" si="203"/>
        <v>-1.7238774187862538</v>
      </c>
      <c r="P1180" s="1">
        <f t="shared" si="205"/>
        <v>10.380445633832991</v>
      </c>
      <c r="Q1180" s="1">
        <f t="shared" si="206"/>
        <v>-86.183997100775457</v>
      </c>
      <c r="R1180">
        <f>SQRT(Tabelle2[[#This Row],[vx]]*Tabelle2[[#This Row],[vx]]+Tabelle2[[#This Row],[vy]]*Tabelle2[[#This Row],[vy]])</f>
        <v>86.806883412684698</v>
      </c>
      <c r="S1180">
        <f t="shared" si="207"/>
        <v>723.75367418510484</v>
      </c>
      <c r="T1180" s="1">
        <f t="shared" si="208"/>
        <v>-810.71665341936409</v>
      </c>
    </row>
    <row r="1181" spans="6:20" x14ac:dyDescent="0.35">
      <c r="F1181" s="1">
        <f t="shared" si="204"/>
        <v>23.559999999999587</v>
      </c>
      <c r="G1181">
        <f>1/2*$B$8*$B$6*$B$7*(Tabelle2[[#This Row],[vx]]*Tabelle2[[#This Row],[vx]]+Tabelle2[[#This Row],[vy]]*Tabelle2[[#This Row],[vy]])/1000000</f>
        <v>13.334813254809543</v>
      </c>
      <c r="H1181">
        <f>IF($B$3,-Tabelle2[[#This Row],[Fd]]*Tabelle2[[#This Row],[vx]]/Tabelle2[[#This Row],[v]],0)</f>
        <v>-1.5910114632108077</v>
      </c>
      <c r="I1181">
        <f t="shared" si="198"/>
        <v>-1.060674308807205</v>
      </c>
      <c r="J1181">
        <f t="shared" si="199"/>
        <v>-2.1213486176144099E-2</v>
      </c>
      <c r="K1181">
        <f t="shared" si="200"/>
        <v>0.20697172123671476</v>
      </c>
      <c r="L1181">
        <f>-$B$5*$B$12-IF($B$3,Tabelle2[[#This Row],[Fd]]*Tabelle2[[#This Row],[vy]]/Tabelle2[[#This Row],[v]],0)</f>
        <v>-1.4754408281628919</v>
      </c>
      <c r="M1181">
        <f t="shared" si="201"/>
        <v>-0.98362721877526127</v>
      </c>
      <c r="N1181">
        <f t="shared" si="202"/>
        <v>-1.9672544375505224E-2</v>
      </c>
      <c r="O1181">
        <f t="shared" si="203"/>
        <v>-1.7242716210007532</v>
      </c>
      <c r="P1181" s="1">
        <f t="shared" si="205"/>
        <v>10.35919280492381</v>
      </c>
      <c r="Q1181" s="1">
        <f t="shared" si="206"/>
        <v>-86.203744777849906</v>
      </c>
      <c r="R1181">
        <f>SQRT(Tabelle2[[#This Row],[vx]]*Tabelle2[[#This Row],[vx]]+Tabelle2[[#This Row],[vy]]*Tabelle2[[#This Row],[vy]])</f>
        <v>86.823951126945786</v>
      </c>
      <c r="S1181">
        <f t="shared" si="207"/>
        <v>723.96107056949245</v>
      </c>
      <c r="T1181" s="1">
        <f t="shared" si="208"/>
        <v>-812.44053083815038</v>
      </c>
    </row>
    <row r="1182" spans="6:20" x14ac:dyDescent="0.35">
      <c r="F1182" s="1">
        <f t="shared" si="204"/>
        <v>23.579999999999586</v>
      </c>
      <c r="G1182">
        <f>1/2*$B$8*$B$6*$B$7*(Tabelle2[[#This Row],[vx]]*Tabelle2[[#This Row],[vx]]+Tabelle2[[#This Row],[vy]]*Tabelle2[[#This Row],[vy]])/1000000</f>
        <v>13.340036910020398</v>
      </c>
      <c r="H1182">
        <f>IF($B$3,-Tabelle2[[#This Row],[Fd]]*Tabelle2[[#This Row],[vx]]/Tabelle2[[#This Row],[v]],0)</f>
        <v>-1.5880643559055523</v>
      </c>
      <c r="I1182">
        <f t="shared" si="198"/>
        <v>-1.0587095706037015</v>
      </c>
      <c r="J1182">
        <f t="shared" si="199"/>
        <v>-2.117419141207403E-2</v>
      </c>
      <c r="K1182">
        <f t="shared" si="200"/>
        <v>0.20654784446083255</v>
      </c>
      <c r="L1182">
        <f>-$B$5*$B$12-IF($B$3,Tabelle2[[#This Row],[Fd]]*Tabelle2[[#This Row],[vy]]/Tabelle2[[#This Row],[v]],0)</f>
        <v>-1.4698259217853664</v>
      </c>
      <c r="M1182">
        <f t="shared" si="201"/>
        <v>-0.97988394785691091</v>
      </c>
      <c r="N1182">
        <f t="shared" si="202"/>
        <v>-1.959767895713822E-2</v>
      </c>
      <c r="O1182">
        <f t="shared" si="203"/>
        <v>-1.7246643232340797</v>
      </c>
      <c r="P1182" s="1">
        <f t="shared" si="205"/>
        <v>10.337979318747665</v>
      </c>
      <c r="Q1182" s="1">
        <f t="shared" si="206"/>
        <v>-86.223417322225416</v>
      </c>
      <c r="R1182">
        <f>SQRT(Tabelle2[[#This Row],[vx]]*Tabelle2[[#This Row],[vx]]+Tabelle2[[#This Row],[vy]]*Tabelle2[[#This Row],[vy]])</f>
        <v>86.840955263731971</v>
      </c>
      <c r="S1182">
        <f t="shared" si="207"/>
        <v>724.1680422907292</v>
      </c>
      <c r="T1182" s="1">
        <f t="shared" si="208"/>
        <v>-814.16480245915113</v>
      </c>
    </row>
    <row r="1183" spans="6:20" x14ac:dyDescent="0.35">
      <c r="F1183" s="1">
        <f t="shared" si="204"/>
        <v>23.599999999999586</v>
      </c>
      <c r="G1183">
        <f>1/2*$B$8*$B$6*$B$7*(Tabelle2[[#This Row],[vx]]*Tabelle2[[#This Row],[vx]]+Tabelle2[[#This Row],[vy]]*Tabelle2[[#This Row],[vy]])/1000000</f>
        <v>13.345242118220947</v>
      </c>
      <c r="H1183">
        <f>IF($B$3,-Tabelle2[[#This Row],[Fd]]*Tabelle2[[#This Row],[vx]]/Tabelle2[[#This Row],[v]],0)</f>
        <v>-1.5851208535730608</v>
      </c>
      <c r="I1183">
        <f t="shared" si="198"/>
        <v>-1.0567472357153738</v>
      </c>
      <c r="J1183">
        <f t="shared" si="199"/>
        <v>-2.1134944714307477E-2</v>
      </c>
      <c r="K1183">
        <f t="shared" si="200"/>
        <v>0.20612475309956874</v>
      </c>
      <c r="L1183">
        <f>-$B$5*$B$12-IF($B$3,Tabelle2[[#This Row],[Fd]]*Tabelle2[[#This Row],[vy]]/Tabelle2[[#This Row],[v]],0)</f>
        <v>-1.4642310006737311</v>
      </c>
      <c r="M1183">
        <f t="shared" si="201"/>
        <v>-0.97615400044915412</v>
      </c>
      <c r="N1183">
        <f t="shared" si="202"/>
        <v>-1.9523080008983083E-2</v>
      </c>
      <c r="O1183">
        <f t="shared" si="203"/>
        <v>-1.725055530823741</v>
      </c>
      <c r="P1183" s="1">
        <f t="shared" si="205"/>
        <v>10.316805127335591</v>
      </c>
      <c r="Q1183" s="1">
        <f t="shared" si="206"/>
        <v>-86.243015001182556</v>
      </c>
      <c r="R1183">
        <f>SQRT(Tabelle2[[#This Row],[vx]]*Tabelle2[[#This Row],[vx]]+Tabelle2[[#This Row],[vy]]*Tabelle2[[#This Row],[vy]])</f>
        <v>86.857896040196692</v>
      </c>
      <c r="S1183">
        <f t="shared" si="207"/>
        <v>724.37459013519003</v>
      </c>
      <c r="T1183" s="1">
        <f t="shared" si="208"/>
        <v>-815.88946678238517</v>
      </c>
    </row>
    <row r="1184" spans="6:20" x14ac:dyDescent="0.35">
      <c r="F1184" s="1">
        <f t="shared" si="204"/>
        <v>23.619999999999585</v>
      </c>
      <c r="G1184">
        <f>1/2*$B$8*$B$6*$B$7*(Tabelle2[[#This Row],[vx]]*Tabelle2[[#This Row],[vx]]+Tabelle2[[#This Row],[vy]]*Tabelle2[[#This Row],[vy]])/1000000</f>
        <v>13.350428934579693</v>
      </c>
      <c r="H1184">
        <f>IF($B$3,-Tabelle2[[#This Row],[Fd]]*Tabelle2[[#This Row],[vx]]/Tabelle2[[#This Row],[v]],0)</f>
        <v>-1.5821809634230677</v>
      </c>
      <c r="I1184">
        <f t="shared" si="198"/>
        <v>-1.0547873089487119</v>
      </c>
      <c r="J1184">
        <f t="shared" si="199"/>
        <v>-2.1095746178974237E-2</v>
      </c>
      <c r="K1184">
        <f t="shared" si="200"/>
        <v>0.20570244619063593</v>
      </c>
      <c r="L1184">
        <f>-$B$5*$B$12-IF($B$3,Tabelle2[[#This Row],[Fd]]*Tabelle2[[#This Row],[vy]]/Tabelle2[[#This Row],[v]],0)</f>
        <v>-1.458656004152413</v>
      </c>
      <c r="M1184">
        <f t="shared" si="201"/>
        <v>-0.97243733610160865</v>
      </c>
      <c r="N1184">
        <f t="shared" si="202"/>
        <v>-1.9448746722032173E-2</v>
      </c>
      <c r="O1184">
        <f t="shared" si="203"/>
        <v>-1.725445249091051</v>
      </c>
      <c r="P1184" s="1">
        <f t="shared" si="205"/>
        <v>10.295670182621285</v>
      </c>
      <c r="Q1184" s="1">
        <f t="shared" si="206"/>
        <v>-86.262538081191536</v>
      </c>
      <c r="R1184">
        <f>SQRT(Tabelle2[[#This Row],[vx]]*Tabelle2[[#This Row],[vx]]+Tabelle2[[#This Row],[vy]]*Tabelle2[[#This Row],[vy]])</f>
        <v>86.87477367290424</v>
      </c>
      <c r="S1184">
        <f t="shared" si="207"/>
        <v>724.58071488828955</v>
      </c>
      <c r="T1184" s="1">
        <f t="shared" si="208"/>
        <v>-817.61452231320891</v>
      </c>
    </row>
    <row r="1185" spans="6:20" x14ac:dyDescent="0.35">
      <c r="F1185" s="1">
        <f t="shared" si="204"/>
        <v>23.639999999999585</v>
      </c>
      <c r="G1185">
        <f>1/2*$B$8*$B$6*$B$7*(Tabelle2[[#This Row],[vx]]*Tabelle2[[#This Row],[vx]]+Tabelle2[[#This Row],[vy]]*Tabelle2[[#This Row],[vy]])/1000000</f>
        <v>13.355597414178275</v>
      </c>
      <c r="H1185">
        <f>IF($B$3,-Tabelle2[[#This Row],[Fd]]*Tabelle2[[#This Row],[vx]]/Tabelle2[[#This Row],[v]],0)</f>
        <v>-1.5792446925753629</v>
      </c>
      <c r="I1185">
        <f t="shared" si="198"/>
        <v>-1.0528297950502419</v>
      </c>
      <c r="J1185">
        <f t="shared" si="199"/>
        <v>-2.1056595901004838E-2</v>
      </c>
      <c r="K1185">
        <f t="shared" si="200"/>
        <v>0.20528092276983617</v>
      </c>
      <c r="L1185">
        <f>-$B$5*$B$12-IF($B$3,Tabelle2[[#This Row],[Fd]]*Tabelle2[[#This Row],[vy]]/Tabelle2[[#This Row],[v]],0)</f>
        <v>-1.4531008716482088</v>
      </c>
      <c r="M1185">
        <f t="shared" si="201"/>
        <v>-0.96873391443213919</v>
      </c>
      <c r="N1185">
        <f t="shared" si="202"/>
        <v>-1.9374678288642783E-2</v>
      </c>
      <c r="O1185">
        <f t="shared" si="203"/>
        <v>-1.7258334833411579</v>
      </c>
      <c r="P1185" s="1">
        <f t="shared" si="205"/>
        <v>10.274574436442311</v>
      </c>
      <c r="Q1185" s="1">
        <f t="shared" si="206"/>
        <v>-86.28198682791357</v>
      </c>
      <c r="R1185">
        <f>SQRT(Tabelle2[[#This Row],[vx]]*Tabelle2[[#This Row],[vx]]+Tabelle2[[#This Row],[vy]]*Tabelle2[[#This Row],[vy]])</f>
        <v>86.891588377830018</v>
      </c>
      <c r="S1185">
        <f t="shared" si="207"/>
        <v>724.78641733448023</v>
      </c>
      <c r="T1185" s="1">
        <f t="shared" si="208"/>
        <v>-819.33996756229999</v>
      </c>
    </row>
    <row r="1186" spans="6:20" x14ac:dyDescent="0.35">
      <c r="F1186" s="1">
        <f t="shared" si="204"/>
        <v>23.659999999999584</v>
      </c>
      <c r="G1186">
        <f>1/2*$B$8*$B$6*$B$7*(Tabelle2[[#This Row],[vx]]*Tabelle2[[#This Row],[vx]]+Tabelle2[[#This Row],[vy]]*Tabelle2[[#This Row],[vy]])/1000000</f>
        <v>13.360747612010881</v>
      </c>
      <c r="H1186">
        <f>IF($B$3,-Tabelle2[[#This Row],[Fd]]*Tabelle2[[#This Row],[vx]]/Tabelle2[[#This Row],[v]],0)</f>
        <v>-1.576312048060277</v>
      </c>
      <c r="I1186">
        <f t="shared" si="198"/>
        <v>-1.0508746987068514</v>
      </c>
      <c r="J1186">
        <f t="shared" si="199"/>
        <v>-2.1017493974137026E-2</v>
      </c>
      <c r="K1186">
        <f t="shared" si="200"/>
        <v>0.20486018187108473</v>
      </c>
      <c r="L1186">
        <f>-$B$5*$B$12-IF($B$3,Tabelle2[[#This Row],[Fd]]*Tabelle2[[#This Row],[vy]]/Tabelle2[[#This Row],[v]],0)</f>
        <v>-1.4475655426908371</v>
      </c>
      <c r="M1186">
        <f t="shared" si="201"/>
        <v>-0.96504369512722477</v>
      </c>
      <c r="N1186">
        <f t="shared" si="202"/>
        <v>-1.9300873902544497E-2</v>
      </c>
      <c r="O1186">
        <f t="shared" si="203"/>
        <v>-1.7262202388630699</v>
      </c>
      <c r="P1186" s="1">
        <f t="shared" si="205"/>
        <v>10.253517840541306</v>
      </c>
      <c r="Q1186" s="1">
        <f t="shared" si="206"/>
        <v>-86.301361506202213</v>
      </c>
      <c r="R1186">
        <f>SQRT(Tabelle2[[#This Row],[vx]]*Tabelle2[[#This Row],[vx]]+Tabelle2[[#This Row],[vy]]*Tabelle2[[#This Row],[vy]])</f>
        <v>86.908340370360889</v>
      </c>
      <c r="S1186">
        <f t="shared" si="207"/>
        <v>724.99169825725005</v>
      </c>
      <c r="T1186" s="1">
        <f t="shared" si="208"/>
        <v>-821.06580104564114</v>
      </c>
    </row>
    <row r="1187" spans="6:20" x14ac:dyDescent="0.35">
      <c r="F1187" s="1">
        <f t="shared" si="204"/>
        <v>23.679999999999584</v>
      </c>
      <c r="G1187">
        <f>1/2*$B$8*$B$6*$B$7*(Tabelle2[[#This Row],[vx]]*Tabelle2[[#This Row],[vx]]+Tabelle2[[#This Row],[vy]]*Tabelle2[[#This Row],[vy]])/1000000</f>
        <v>13.365879582983732</v>
      </c>
      <c r="H1187">
        <f>IF($B$3,-Tabelle2[[#This Row],[Fd]]*Tabelle2[[#This Row],[vx]]/Tabelle2[[#This Row],[v]],0)</f>
        <v>-1.573383036819173</v>
      </c>
      <c r="I1187">
        <f t="shared" si="198"/>
        <v>-1.0489220245461153</v>
      </c>
      <c r="J1187">
        <f t="shared" si="199"/>
        <v>-2.0978440490922307E-2</v>
      </c>
      <c r="K1187">
        <f t="shared" si="200"/>
        <v>0.20444022252643418</v>
      </c>
      <c r="L1187">
        <f>-$B$5*$B$12-IF($B$3,Tabelle2[[#This Row],[Fd]]*Tabelle2[[#This Row],[vy]]/Tabelle2[[#This Row],[v]],0)</f>
        <v>-1.4420499569134577</v>
      </c>
      <c r="M1187">
        <f t="shared" si="201"/>
        <v>-0.96136663794230515</v>
      </c>
      <c r="N1187">
        <f t="shared" si="202"/>
        <v>-1.9227332758846104E-2</v>
      </c>
      <c r="O1187">
        <f t="shared" si="203"/>
        <v>-1.7266055209296838</v>
      </c>
      <c r="P1187" s="1">
        <f t="shared" si="205"/>
        <v>10.23250034656717</v>
      </c>
      <c r="Q1187" s="1">
        <f t="shared" si="206"/>
        <v>-86.320662380104764</v>
      </c>
      <c r="R1187">
        <f>SQRT(Tabelle2[[#This Row],[vx]]*Tabelle2[[#This Row],[vx]]+Tabelle2[[#This Row],[vy]]*Tabelle2[[#This Row],[vy]])</f>
        <v>86.925029865295599</v>
      </c>
      <c r="S1187">
        <f t="shared" si="207"/>
        <v>725.19655843912119</v>
      </c>
      <c r="T1187" s="1">
        <f t="shared" si="208"/>
        <v>-822.79202128450424</v>
      </c>
    </row>
    <row r="1188" spans="6:20" x14ac:dyDescent="0.35">
      <c r="F1188" s="1">
        <f t="shared" si="204"/>
        <v>23.699999999999584</v>
      </c>
      <c r="G1188">
        <f>1/2*$B$8*$B$6*$B$7*(Tabelle2[[#This Row],[vx]]*Tabelle2[[#This Row],[vx]]+Tabelle2[[#This Row],[vy]]*Tabelle2[[#This Row],[vy]])/1000000</f>
        <v>13.370993381914534</v>
      </c>
      <c r="H1188">
        <f>IF($B$3,-Tabelle2[[#This Row],[Fd]]*Tabelle2[[#This Row],[vx]]/Tabelle2[[#This Row],[v]],0)</f>
        <v>-1.5704576657049321</v>
      </c>
      <c r="I1188">
        <f t="shared" si="198"/>
        <v>-1.0469717771366214</v>
      </c>
      <c r="J1188">
        <f t="shared" si="199"/>
        <v>-2.0939435542732428E-2</v>
      </c>
      <c r="K1188">
        <f t="shared" si="200"/>
        <v>0.20402104376609764</v>
      </c>
      <c r="L1188">
        <f>-$B$5*$B$12-IF($B$3,Tabelle2[[#This Row],[Fd]]*Tabelle2[[#This Row],[vy]]/Tabelle2[[#This Row],[v]],0)</f>
        <v>-1.4365540540532038</v>
      </c>
      <c r="M1188">
        <f t="shared" si="201"/>
        <v>-0.95770270270213587</v>
      </c>
      <c r="N1188">
        <f t="shared" si="202"/>
        <v>-1.9154054054042718E-2</v>
      </c>
      <c r="O1188">
        <f t="shared" si="203"/>
        <v>-1.7269893347978127</v>
      </c>
      <c r="P1188" s="1">
        <f t="shared" si="205"/>
        <v>10.211521906076248</v>
      </c>
      <c r="Q1188" s="1">
        <f t="shared" si="206"/>
        <v>-86.339889712863609</v>
      </c>
      <c r="R1188">
        <f>SQRT(Tabelle2[[#This Row],[vx]]*Tabelle2[[#This Row],[vx]]+Tabelle2[[#This Row],[vy]]*Tabelle2[[#This Row],[vy]])</f>
        <v>86.941657076845075</v>
      </c>
      <c r="S1188">
        <f t="shared" si="207"/>
        <v>725.40099866164758</v>
      </c>
      <c r="T1188" s="1">
        <f t="shared" si="208"/>
        <v>-824.51862680543388</v>
      </c>
    </row>
    <row r="1189" spans="6:20" x14ac:dyDescent="0.35">
      <c r="F1189" s="1">
        <f t="shared" si="204"/>
        <v>23.719999999999583</v>
      </c>
      <c r="G1189">
        <f>1/2*$B$8*$B$6*$B$7*(Tabelle2[[#This Row],[vx]]*Tabelle2[[#This Row],[vx]]+Tabelle2[[#This Row],[vy]]*Tabelle2[[#This Row],[vy]])/1000000</f>
        <v>13.376089063531959</v>
      </c>
      <c r="H1189">
        <f>IF($B$3,-Tabelle2[[#This Row],[Fd]]*Tabelle2[[#This Row],[vx]]/Tabelle2[[#This Row],[v]],0)</f>
        <v>-1.5675359414824386</v>
      </c>
      <c r="I1189">
        <f t="shared" si="198"/>
        <v>-1.0450239609882923</v>
      </c>
      <c r="J1189">
        <f t="shared" si="199"/>
        <v>-2.0900479219765847E-2</v>
      </c>
      <c r="K1189">
        <f t="shared" si="200"/>
        <v>0.20360264461847266</v>
      </c>
      <c r="L1189">
        <f>-$B$5*$B$12-IF($B$3,Tabelle2[[#This Row],[Fd]]*Tabelle2[[#This Row],[vy]]/Tabelle2[[#This Row],[v]],0)</f>
        <v>-1.4310777739516976</v>
      </c>
      <c r="M1189">
        <f t="shared" si="201"/>
        <v>-0.95405184930113174</v>
      </c>
      <c r="N1189">
        <f t="shared" si="202"/>
        <v>-1.9081036986022634E-2</v>
      </c>
      <c r="O1189">
        <f t="shared" si="203"/>
        <v>-1.7273716857082133</v>
      </c>
      <c r="P1189" s="1">
        <f t="shared" si="205"/>
        <v>10.190582470533515</v>
      </c>
      <c r="Q1189" s="1">
        <f t="shared" si="206"/>
        <v>-86.359043766917651</v>
      </c>
      <c r="R1189">
        <f>SQRT(Tabelle2[[#This Row],[vx]]*Tabelle2[[#This Row],[vx]]+Tabelle2[[#This Row],[vy]]*Tabelle2[[#This Row],[vy]])</f>
        <v>86.958222218632912</v>
      </c>
      <c r="S1189">
        <f t="shared" si="207"/>
        <v>725.60501970541372</v>
      </c>
      <c r="T1189" s="1">
        <f t="shared" si="208"/>
        <v>-826.24561614023173</v>
      </c>
    </row>
    <row r="1190" spans="6:20" x14ac:dyDescent="0.35">
      <c r="F1190" s="1">
        <f t="shared" si="204"/>
        <v>23.739999999999583</v>
      </c>
      <c r="G1190">
        <f>1/2*$B$8*$B$6*$B$7*(Tabelle2[[#This Row],[vx]]*Tabelle2[[#This Row],[vx]]+Tabelle2[[#This Row],[vy]]*Tabelle2[[#This Row],[vy]])/1000000</f>
        <v>13.381166682475126</v>
      </c>
      <c r="H1190">
        <f>IF($B$3,-Tabelle2[[#This Row],[Fd]]*Tabelle2[[#This Row],[vx]]/Tabelle2[[#This Row],[v]],0)</f>
        <v>-1.5646178708290668</v>
      </c>
      <c r="I1190">
        <f t="shared" si="198"/>
        <v>-1.0430785805527112</v>
      </c>
      <c r="J1190">
        <f t="shared" si="199"/>
        <v>-2.0861571611054223E-2</v>
      </c>
      <c r="K1190">
        <f t="shared" si="200"/>
        <v>0.20318502411016448</v>
      </c>
      <c r="L1190">
        <f>-$B$5*$B$12-IF($B$3,Tabelle2[[#This Row],[Fd]]*Tabelle2[[#This Row],[vy]]/Tabelle2[[#This Row],[v]],0)</f>
        <v>-1.4256210565555509</v>
      </c>
      <c r="M1190">
        <f t="shared" si="201"/>
        <v>-0.95041403770370059</v>
      </c>
      <c r="N1190">
        <f t="shared" si="202"/>
        <v>-1.900828075407401E-2</v>
      </c>
      <c r="O1190">
        <f t="shared" si="203"/>
        <v>-1.7277525788856141</v>
      </c>
      <c r="P1190" s="1">
        <f t="shared" si="205"/>
        <v>10.16968199131375</v>
      </c>
      <c r="Q1190" s="1">
        <f t="shared" si="206"/>
        <v>-86.378124803903674</v>
      </c>
      <c r="R1190">
        <f>SQRT(Tabelle2[[#This Row],[vx]]*Tabelle2[[#This Row],[vx]]+Tabelle2[[#This Row],[vy]]*Tabelle2[[#This Row],[vy]])</f>
        <v>86.974725503695666</v>
      </c>
      <c r="S1190">
        <f t="shared" si="207"/>
        <v>725.80862235003224</v>
      </c>
      <c r="T1190" s="1">
        <f t="shared" si="208"/>
        <v>-827.97298782593998</v>
      </c>
    </row>
    <row r="1191" spans="6:20" x14ac:dyDescent="0.35">
      <c r="F1191" s="1">
        <f t="shared" si="204"/>
        <v>23.759999999999582</v>
      </c>
      <c r="G1191">
        <f>1/2*$B$8*$B$6*$B$7*(Tabelle2[[#This Row],[vx]]*Tabelle2[[#This Row],[vx]]+Tabelle2[[#This Row],[vy]]*Tabelle2[[#This Row],[vy]])/1000000</f>
        <v>13.386226293293081</v>
      </c>
      <c r="H1191">
        <f>IF($B$3,-Tabelle2[[#This Row],[Fd]]*Tabelle2[[#This Row],[vx]]/Tabelle2[[#This Row],[v]],0)</f>
        <v>-1.5617034603351605</v>
      </c>
      <c r="I1191">
        <f t="shared" si="198"/>
        <v>-1.0411356402234404</v>
      </c>
      <c r="J1191">
        <f t="shared" si="199"/>
        <v>-2.0822712804468808E-2</v>
      </c>
      <c r="K1191">
        <f t="shared" si="200"/>
        <v>0.20276818126600923</v>
      </c>
      <c r="L1191">
        <f>-$B$5*$B$12-IF($B$3,Tabelle2[[#This Row],[Fd]]*Tabelle2[[#This Row],[vy]]/Tabelle2[[#This Row],[v]],0)</f>
        <v>-1.4201838419168737</v>
      </c>
      <c r="M1191">
        <f t="shared" si="201"/>
        <v>-0.94678922794458253</v>
      </c>
      <c r="N1191">
        <f t="shared" si="202"/>
        <v>-1.8935784558891652E-2</v>
      </c>
      <c r="O1191">
        <f t="shared" si="203"/>
        <v>-1.728132019538744</v>
      </c>
      <c r="P1191" s="1">
        <f t="shared" si="205"/>
        <v>10.148820419702696</v>
      </c>
      <c r="Q1191" s="1">
        <f t="shared" si="206"/>
        <v>-86.397133084657753</v>
      </c>
      <c r="R1191">
        <f>SQRT(Tabelle2[[#This Row],[vx]]*Tabelle2[[#This Row],[vx]]+Tabelle2[[#This Row],[vy]]*Tabelle2[[#This Row],[vy]])</f>
        <v>86.991167144483342</v>
      </c>
      <c r="S1191">
        <f t="shared" si="207"/>
        <v>726.01180737414245</v>
      </c>
      <c r="T1191" s="1">
        <f t="shared" si="208"/>
        <v>-829.70074040482564</v>
      </c>
    </row>
    <row r="1192" spans="6:20" x14ac:dyDescent="0.35">
      <c r="F1192" s="1">
        <f t="shared" si="204"/>
        <v>23.779999999999582</v>
      </c>
      <c r="G1192">
        <f>1/2*$B$8*$B$6*$B$7*(Tabelle2[[#This Row],[vx]]*Tabelle2[[#This Row],[vx]]+Tabelle2[[#This Row],[vy]]*Tabelle2[[#This Row],[vy]])/1000000</f>
        <v>13.391267950444288</v>
      </c>
      <c r="H1192">
        <f>IF($B$3,-Tabelle2[[#This Row],[Fd]]*Tabelle2[[#This Row],[vx]]/Tabelle2[[#This Row],[v]],0)</f>
        <v>-1.5587927165045152</v>
      </c>
      <c r="I1192">
        <f t="shared" si="198"/>
        <v>-1.0391951443363434</v>
      </c>
      <c r="J1192">
        <f t="shared" si="199"/>
        <v>-2.0783902886726869E-2</v>
      </c>
      <c r="K1192">
        <f t="shared" si="200"/>
        <v>0.20235211510909729</v>
      </c>
      <c r="L1192">
        <f>-$B$5*$B$12-IF($B$3,Tabelle2[[#This Row],[Fd]]*Tabelle2[[#This Row],[vy]]/Tabelle2[[#This Row],[v]],0)</f>
        <v>-1.414766070193771</v>
      </c>
      <c r="M1192">
        <f t="shared" si="201"/>
        <v>-0.94317738012918062</v>
      </c>
      <c r="N1192">
        <f t="shared" si="202"/>
        <v>-1.8863547602583613E-2</v>
      </c>
      <c r="O1192">
        <f t="shared" si="203"/>
        <v>-1.7285100128603588</v>
      </c>
      <c r="P1192" s="1">
        <f t="shared" si="205"/>
        <v>10.127997706898228</v>
      </c>
      <c r="Q1192" s="1">
        <f t="shared" si="206"/>
        <v>-86.416068869216645</v>
      </c>
      <c r="R1192">
        <f>SQRT(Tabelle2[[#This Row],[vx]]*Tabelle2[[#This Row],[vx]]+Tabelle2[[#This Row],[vy]]*Tabelle2[[#This Row],[vy]])</f>
        <v>87.007547352859746</v>
      </c>
      <c r="S1192">
        <f t="shared" si="207"/>
        <v>726.21457555540849</v>
      </c>
      <c r="T1192" s="1">
        <f t="shared" si="208"/>
        <v>-831.42887242436439</v>
      </c>
    </row>
    <row r="1193" spans="6:20" x14ac:dyDescent="0.35">
      <c r="F1193" s="1">
        <f t="shared" si="204"/>
        <v>23.799999999999581</v>
      </c>
      <c r="G1193">
        <f>1/2*$B$8*$B$6*$B$7*(Tabelle2[[#This Row],[vx]]*Tabelle2[[#This Row],[vx]]+Tabelle2[[#This Row],[vy]]*Tabelle2[[#This Row],[vy]])/1000000</f>
        <v>13.396291708296141</v>
      </c>
      <c r="H1193">
        <f>IF($B$3,-Tabelle2[[#This Row],[Fd]]*Tabelle2[[#This Row],[vx]]/Tabelle2[[#This Row],[v]],0)</f>
        <v>-1.555885645754858</v>
      </c>
      <c r="I1193">
        <f t="shared" si="198"/>
        <v>-1.0372570971699053</v>
      </c>
      <c r="J1193">
        <f t="shared" si="199"/>
        <v>-2.0745141943398108E-2</v>
      </c>
      <c r="K1193">
        <f t="shared" si="200"/>
        <v>0.20193682466079604</v>
      </c>
      <c r="L1193">
        <f>-$B$5*$B$12-IF($B$3,Tabelle2[[#This Row],[Fd]]*Tabelle2[[#This Row],[vy]]/Tabelle2[[#This Row],[v]],0)</f>
        <v>-1.4093676816508278</v>
      </c>
      <c r="M1193">
        <f t="shared" si="201"/>
        <v>-0.93957845443388521</v>
      </c>
      <c r="N1193">
        <f t="shared" si="202"/>
        <v>-1.8791569088677705E-2</v>
      </c>
      <c r="O1193">
        <f t="shared" si="203"/>
        <v>-1.7288865640272713</v>
      </c>
      <c r="P1193" s="1">
        <f t="shared" si="205"/>
        <v>10.107213804011501</v>
      </c>
      <c r="Q1193" s="1">
        <f t="shared" si="206"/>
        <v>-86.434932416819223</v>
      </c>
      <c r="R1193">
        <f>SQRT(Tabelle2[[#This Row],[vx]]*Tabelle2[[#This Row],[vx]]+Tabelle2[[#This Row],[vy]]*Tabelle2[[#This Row],[vy]])</f>
        <v>87.02386634010297</v>
      </c>
      <c r="S1193">
        <f t="shared" si="207"/>
        <v>726.41692767051757</v>
      </c>
      <c r="T1193" s="1">
        <f t="shared" si="208"/>
        <v>-833.15738243722478</v>
      </c>
    </row>
    <row r="1194" spans="6:20" x14ac:dyDescent="0.35">
      <c r="F1194" s="1">
        <f t="shared" si="204"/>
        <v>23.819999999999581</v>
      </c>
      <c r="G1194">
        <f>1/2*$B$8*$B$6*$B$7*(Tabelle2[[#This Row],[vx]]*Tabelle2[[#This Row],[vx]]+Tabelle2[[#This Row],[vy]]*Tabelle2[[#This Row],[vy]])/1000000</f>
        <v>13.401297621124474</v>
      </c>
      <c r="H1194">
        <f>IF($B$3,-Tabelle2[[#This Row],[Fd]]*Tabelle2[[#This Row],[vx]]/Tabelle2[[#This Row],[v]],0)</f>
        <v>-1.5529822544183258</v>
      </c>
      <c r="I1194">
        <f t="shared" si="198"/>
        <v>-1.0353215029455505</v>
      </c>
      <c r="J1194">
        <f t="shared" si="199"/>
        <v>-2.0706430058911009E-2</v>
      </c>
      <c r="K1194">
        <f t="shared" si="200"/>
        <v>0.20152230894077294</v>
      </c>
      <c r="L1194">
        <f>-$B$5*$B$12-IF($B$3,Tabelle2[[#This Row],[Fd]]*Tabelle2[[#This Row],[vy]]/Tabelle2[[#This Row],[v]],0)</f>
        <v>-1.4039886166595803</v>
      </c>
      <c r="M1194">
        <f t="shared" si="201"/>
        <v>-0.93599241110638687</v>
      </c>
      <c r="N1194">
        <f t="shared" si="202"/>
        <v>-1.8719848222127737E-2</v>
      </c>
      <c r="O1194">
        <f t="shared" si="203"/>
        <v>-1.7292616782003793</v>
      </c>
      <c r="P1194" s="1">
        <f t="shared" si="205"/>
        <v>10.086468662068103</v>
      </c>
      <c r="Q1194" s="1">
        <f t="shared" si="206"/>
        <v>-86.453723985907899</v>
      </c>
      <c r="R1194">
        <f>SQRT(Tabelle2[[#This Row],[vx]]*Tabelle2[[#This Row],[vx]]+Tabelle2[[#This Row],[vy]]*Tabelle2[[#This Row],[vy]])</f>
        <v>87.040124316905874</v>
      </c>
      <c r="S1194">
        <f t="shared" si="207"/>
        <v>726.6188644951784</v>
      </c>
      <c r="T1194" s="1">
        <f t="shared" si="208"/>
        <v>-834.886269001252</v>
      </c>
    </row>
    <row r="1195" spans="6:20" x14ac:dyDescent="0.35">
      <c r="F1195" s="1">
        <f t="shared" si="204"/>
        <v>23.839999999999581</v>
      </c>
      <c r="G1195">
        <f>1/2*$B$8*$B$6*$B$7*(Tabelle2[[#This Row],[vx]]*Tabelle2[[#This Row],[vx]]+Tabelle2[[#This Row],[vy]]*Tabelle2[[#This Row],[vy]])/1000000</f>
        <v>13.406285743113074</v>
      </c>
      <c r="H1195">
        <f>IF($B$3,-Tabelle2[[#This Row],[Fd]]*Tabelle2[[#This Row],[vx]]/Tabelle2[[#This Row],[v]],0)</f>
        <v>-1.5500825487419418</v>
      </c>
      <c r="I1195">
        <f t="shared" si="198"/>
        <v>-1.0333883658279612</v>
      </c>
      <c r="J1195">
        <f t="shared" si="199"/>
        <v>-2.0667767316559223E-2</v>
      </c>
      <c r="K1195">
        <f t="shared" si="200"/>
        <v>0.20110856696701823</v>
      </c>
      <c r="L1195">
        <f>-$B$5*$B$12-IF($B$3,Tabelle2[[#This Row],[Fd]]*Tabelle2[[#This Row],[vy]]/Tabelle2[[#This Row],[v]],0)</f>
        <v>-1.3986288156989808</v>
      </c>
      <c r="M1195">
        <f t="shared" si="201"/>
        <v>-0.93241921046598719</v>
      </c>
      <c r="N1195">
        <f t="shared" si="202"/>
        <v>-1.8648384209319743E-2</v>
      </c>
      <c r="O1195">
        <f t="shared" si="203"/>
        <v>-1.7296353605246939</v>
      </c>
      <c r="P1195" s="1">
        <f t="shared" si="205"/>
        <v>10.065762232009192</v>
      </c>
      <c r="Q1195" s="1">
        <f t="shared" si="206"/>
        <v>-86.472443834130033</v>
      </c>
      <c r="R1195">
        <f>SQRT(Tabelle2[[#This Row],[vx]]*Tabelle2[[#This Row],[vx]]+Tabelle2[[#This Row],[vy]]*Tabelle2[[#This Row],[vy]])</f>
        <v>87.056321493376444</v>
      </c>
      <c r="S1195">
        <f t="shared" si="207"/>
        <v>726.82038680411915</v>
      </c>
      <c r="T1195" s="1">
        <f t="shared" si="208"/>
        <v>-836.61553067945238</v>
      </c>
    </row>
    <row r="1196" spans="6:20" x14ac:dyDescent="0.35">
      <c r="F1196" s="1">
        <f t="shared" si="204"/>
        <v>23.85999999999958</v>
      </c>
      <c r="G1196">
        <f>1/2*$B$8*$B$6*$B$7*(Tabelle2[[#This Row],[vx]]*Tabelle2[[#This Row],[vx]]+Tabelle2[[#This Row],[vy]]*Tabelle2[[#This Row],[vy]])/1000000</f>
        <v>13.411256128353187</v>
      </c>
      <c r="H1196">
        <f>IF($B$3,-Tabelle2[[#This Row],[Fd]]*Tabelle2[[#This Row],[vx]]/Tabelle2[[#This Row],[v]],0)</f>
        <v>-1.5471865348880904</v>
      </c>
      <c r="I1196">
        <f t="shared" si="198"/>
        <v>-1.0314576899253936</v>
      </c>
      <c r="J1196">
        <f t="shared" si="199"/>
        <v>-2.0629153798507872E-2</v>
      </c>
      <c r="K1196">
        <f t="shared" si="200"/>
        <v>0.20069559775586754</v>
      </c>
      <c r="L1196">
        <f>-$B$5*$B$12-IF($B$3,Tabelle2[[#This Row],[Fd]]*Tabelle2[[#This Row],[vy]]/Tabelle2[[#This Row],[v]],0)</f>
        <v>-1.3932882193558953</v>
      </c>
      <c r="M1196">
        <f t="shared" si="201"/>
        <v>-0.92885881290393024</v>
      </c>
      <c r="N1196">
        <f t="shared" si="202"/>
        <v>-1.8577176258078604E-2</v>
      </c>
      <c r="O1196">
        <f t="shared" si="203"/>
        <v>-1.7300076161293678</v>
      </c>
      <c r="P1196" s="1">
        <f t="shared" si="205"/>
        <v>10.045094464692632</v>
      </c>
      <c r="Q1196" s="1">
        <f t="shared" si="206"/>
        <v>-86.491092218339347</v>
      </c>
      <c r="R1196">
        <f>SQRT(Tabelle2[[#This Row],[vx]]*Tabelle2[[#This Row],[vx]]+Tabelle2[[#This Row],[vy]]*Tabelle2[[#This Row],[vy]])</f>
        <v>87.072458079038284</v>
      </c>
      <c r="S1196">
        <f t="shared" si="207"/>
        <v>727.02149537108619</v>
      </c>
      <c r="T1196" s="1">
        <f t="shared" si="208"/>
        <v>-838.34516603997702</v>
      </c>
    </row>
    <row r="1197" spans="6:20" x14ac:dyDescent="0.35">
      <c r="F1197" s="1">
        <f t="shared" si="204"/>
        <v>23.87999999999958</v>
      </c>
      <c r="G1197">
        <f>1/2*$B$8*$B$6*$B$7*(Tabelle2[[#This Row],[vx]]*Tabelle2[[#This Row],[vx]]+Tabelle2[[#This Row],[vy]]*Tabelle2[[#This Row],[vy]])/1000000</f>
        <v>13.416208830843084</v>
      </c>
      <c r="H1197">
        <f>IF($B$3,-Tabelle2[[#This Row],[Fd]]*Tabelle2[[#This Row],[vx]]/Tabelle2[[#This Row],[v]],0)</f>
        <v>-1.54429421893499</v>
      </c>
      <c r="I1197">
        <f t="shared" si="198"/>
        <v>-1.0295294792899934</v>
      </c>
      <c r="J1197">
        <f t="shared" si="199"/>
        <v>-2.059058958579987E-2</v>
      </c>
      <c r="K1197">
        <f t="shared" si="200"/>
        <v>0.20028340032202446</v>
      </c>
      <c r="L1197">
        <f>-$B$5*$B$12-IF($B$3,Tabelle2[[#This Row],[Fd]]*Tabelle2[[#This Row],[vy]]/Tabelle2[[#This Row],[v]],0)</f>
        <v>-1.3879667683255192</v>
      </c>
      <c r="M1197">
        <f t="shared" si="201"/>
        <v>-0.92531117888367953</v>
      </c>
      <c r="N1197">
        <f t="shared" si="202"/>
        <v>-1.8506223577673592E-2</v>
      </c>
      <c r="O1197">
        <f t="shared" si="203"/>
        <v>-1.7303784501277253</v>
      </c>
      <c r="P1197" s="1">
        <f t="shared" si="205"/>
        <v>10.024465310894124</v>
      </c>
      <c r="Q1197" s="1">
        <f t="shared" si="206"/>
        <v>-86.509669394597424</v>
      </c>
      <c r="R1197">
        <f>SQRT(Tabelle2[[#This Row],[vx]]*Tabelle2[[#This Row],[vx]]+Tabelle2[[#This Row],[vy]]*Tabelle2[[#This Row],[vy]])</f>
        <v>87.088534282831205</v>
      </c>
      <c r="S1197">
        <f t="shared" si="207"/>
        <v>727.22219096884203</v>
      </c>
      <c r="T1197" s="1">
        <f t="shared" si="208"/>
        <v>-840.07517365610636</v>
      </c>
    </row>
    <row r="1198" spans="6:20" x14ac:dyDescent="0.35">
      <c r="F1198" s="1">
        <f t="shared" si="204"/>
        <v>23.899999999999579</v>
      </c>
      <c r="G1198">
        <f>1/2*$B$8*$B$6*$B$7*(Tabelle2[[#This Row],[vx]]*Tabelle2[[#This Row],[vx]]+Tabelle2[[#This Row],[vy]]*Tabelle2[[#This Row],[vy]])/1000000</f>
        <v>13.421143904487561</v>
      </c>
      <c r="H1198">
        <f>IF($B$3,-Tabelle2[[#This Row],[Fd]]*Tabelle2[[#This Row],[vx]]/Tabelle2[[#This Row],[v]],0)</f>
        <v>-1.5414056068771669</v>
      </c>
      <c r="I1198">
        <f t="shared" si="198"/>
        <v>-1.0276037379181113</v>
      </c>
      <c r="J1198">
        <f t="shared" si="199"/>
        <v>-2.0552074758362227E-2</v>
      </c>
      <c r="K1198">
        <f t="shared" si="200"/>
        <v>0.19987197367858286</v>
      </c>
      <c r="L1198">
        <f>-$B$5*$B$12-IF($B$3,Tabelle2[[#This Row],[Fd]]*Tabelle2[[#This Row],[vy]]/Tabelle2[[#This Row],[v]],0)</f>
        <v>-1.3826644034118587</v>
      </c>
      <c r="M1198">
        <f t="shared" si="201"/>
        <v>-0.9217762689412391</v>
      </c>
      <c r="N1198">
        <f t="shared" si="202"/>
        <v>-1.8435525378824782E-2</v>
      </c>
      <c r="O1198">
        <f t="shared" si="203"/>
        <v>-1.7307478676172903</v>
      </c>
      <c r="P1198" s="1">
        <f t="shared" si="205"/>
        <v>10.003874721308325</v>
      </c>
      <c r="Q1198" s="1">
        <f t="shared" si="206"/>
        <v>-86.528175618175098</v>
      </c>
      <c r="R1198">
        <f>SQRT(Tabelle2[[#This Row],[vx]]*Tabelle2[[#This Row],[vx]]+Tabelle2[[#This Row],[vy]]*Tabelle2[[#This Row],[vy]])</f>
        <v>87.104550313111559</v>
      </c>
      <c r="S1198">
        <f t="shared" si="207"/>
        <v>727.42247436916409</v>
      </c>
      <c r="T1198" s="1">
        <f t="shared" si="208"/>
        <v>-841.80555210623413</v>
      </c>
    </row>
    <row r="1199" spans="6:20" x14ac:dyDescent="0.35">
      <c r="F1199" s="1">
        <f t="shared" si="204"/>
        <v>23.919999999999579</v>
      </c>
      <c r="G1199">
        <f>1/2*$B$8*$B$6*$B$7*(Tabelle2[[#This Row],[vx]]*Tabelle2[[#This Row],[vx]]+Tabelle2[[#This Row],[vy]]*Tabelle2[[#This Row],[vy]])/1000000</f>
        <v>13.426061403097512</v>
      </c>
      <c r="H1199">
        <f>IF($B$3,-Tabelle2[[#This Row],[Fd]]*Tabelle2[[#This Row],[vx]]/Tabelle2[[#This Row],[v]],0)</f>
        <v>-1.5385207046259242</v>
      </c>
      <c r="I1199">
        <f t="shared" si="198"/>
        <v>-1.0256804697506161</v>
      </c>
      <c r="J1199">
        <f t="shared" si="199"/>
        <v>-2.0513609395012324E-2</v>
      </c>
      <c r="K1199">
        <f t="shared" si="200"/>
        <v>0.19946131683704912</v>
      </c>
      <c r="L1199">
        <f>-$B$5*$B$12-IF($B$3,Tabelle2[[#This Row],[Fd]]*Tabelle2[[#This Row],[vy]]/Tabelle2[[#This Row],[v]],0)</f>
        <v>-1.3773810655281462</v>
      </c>
      <c r="M1199">
        <f t="shared" si="201"/>
        <v>-0.91825404368543084</v>
      </c>
      <c r="N1199">
        <f t="shared" si="202"/>
        <v>-1.8365080873708618E-2</v>
      </c>
      <c r="O1199">
        <f t="shared" si="203"/>
        <v>-1.7311158736798156</v>
      </c>
      <c r="P1199" s="1">
        <f t="shared" si="205"/>
        <v>9.9833226465499632</v>
      </c>
      <c r="Q1199" s="1">
        <f t="shared" si="206"/>
        <v>-86.546611143553918</v>
      </c>
      <c r="R1199">
        <f>SQRT(Tabelle2[[#This Row],[vx]]*Tabelle2[[#This Row],[vx]]+Tabelle2[[#This Row],[vy]]*Tabelle2[[#This Row],[vy]])</f>
        <v>87.120506377652831</v>
      </c>
      <c r="S1199">
        <f t="shared" si="207"/>
        <v>727.62234634284266</v>
      </c>
      <c r="T1199" s="1">
        <f t="shared" si="208"/>
        <v>-843.53629997385144</v>
      </c>
    </row>
    <row r="1200" spans="6:20" x14ac:dyDescent="0.35">
      <c r="F1200" s="1">
        <f t="shared" si="204"/>
        <v>23.939999999999579</v>
      </c>
      <c r="G1200">
        <f>1/2*$B$8*$B$6*$B$7*(Tabelle2[[#This Row],[vx]]*Tabelle2[[#This Row],[vx]]+Tabelle2[[#This Row],[vy]]*Tabelle2[[#This Row],[vy]])/1000000</f>
        <v>13.430961380389466</v>
      </c>
      <c r="H1200">
        <f>IF($B$3,-Tabelle2[[#This Row],[Fd]]*Tabelle2[[#This Row],[vx]]/Tabelle2[[#This Row],[v]],0)</f>
        <v>-1.5356395180098124</v>
      </c>
      <c r="I1200">
        <f t="shared" si="198"/>
        <v>-1.0237596786732082</v>
      </c>
      <c r="J1200">
        <f t="shared" si="199"/>
        <v>-2.0475193573464164E-2</v>
      </c>
      <c r="K1200">
        <f t="shared" si="200"/>
        <v>0.19905142880736437</v>
      </c>
      <c r="L1200">
        <f>-$B$5*$B$12-IF($B$3,Tabelle2[[#This Row],[Fd]]*Tabelle2[[#This Row],[vy]]/Tabelle2[[#This Row],[v]],0)</f>
        <v>-1.3721166956972937</v>
      </c>
      <c r="M1200">
        <f t="shared" si="201"/>
        <v>-0.91474446379819574</v>
      </c>
      <c r="N1200">
        <f t="shared" si="202"/>
        <v>-1.8294889275963917E-2</v>
      </c>
      <c r="O1200">
        <f t="shared" si="203"/>
        <v>-1.7314824733813121</v>
      </c>
      <c r="P1200" s="1">
        <f t="shared" si="205"/>
        <v>9.9628090371549511</v>
      </c>
      <c r="Q1200" s="1">
        <f t="shared" si="206"/>
        <v>-86.564976224427625</v>
      </c>
      <c r="R1200">
        <f>SQRT(Tabelle2[[#This Row],[vx]]*Tabelle2[[#This Row],[vx]]+Tabelle2[[#This Row],[vy]]*Tabelle2[[#This Row],[vy]])</f>
        <v>87.136402683646153</v>
      </c>
      <c r="S1200">
        <f t="shared" si="207"/>
        <v>727.82180765967973</v>
      </c>
      <c r="T1200" s="1">
        <f t="shared" si="208"/>
        <v>-845.26741584753131</v>
      </c>
    </row>
    <row r="1201" spans="6:20" x14ac:dyDescent="0.35">
      <c r="F1201" s="1">
        <f t="shared" si="204"/>
        <v>23.959999999999578</v>
      </c>
      <c r="G1201">
        <f>1/2*$B$8*$B$6*$B$7*(Tabelle2[[#This Row],[vx]]*Tabelle2[[#This Row],[vx]]+Tabelle2[[#This Row],[vy]]*Tabelle2[[#This Row],[vy]])/1000000</f>
        <v>13.435843889985136</v>
      </c>
      <c r="H1201">
        <f>IF($B$3,-Tabelle2[[#This Row],[Fd]]*Tabelle2[[#This Row],[vx]]/Tabelle2[[#This Row],[v]],0)</f>
        <v>-1.5327620527750945</v>
      </c>
      <c r="I1201">
        <f t="shared" si="198"/>
        <v>-1.0218413685167296</v>
      </c>
      <c r="J1201">
        <f t="shared" si="199"/>
        <v>-2.0436827370334591E-2</v>
      </c>
      <c r="K1201">
        <f t="shared" si="200"/>
        <v>0.19864230859792639</v>
      </c>
      <c r="L1201">
        <f>-$B$5*$B$12-IF($B$3,Tabelle2[[#This Row],[Fd]]*Tabelle2[[#This Row],[vy]]/Tabelle2[[#This Row],[v]],0)</f>
        <v>-1.3668712350523222</v>
      </c>
      <c r="M1201">
        <f t="shared" si="201"/>
        <v>-0.91124749003488148</v>
      </c>
      <c r="N1201">
        <f t="shared" si="202"/>
        <v>-1.822494980069763E-2</v>
      </c>
      <c r="O1201">
        <f t="shared" si="203"/>
        <v>-1.7318476717720788</v>
      </c>
      <c r="P1201" s="1">
        <f t="shared" si="205"/>
        <v>9.942333843581487</v>
      </c>
      <c r="Q1201" s="1">
        <f t="shared" si="206"/>
        <v>-86.583271113703589</v>
      </c>
      <c r="R1201">
        <f>SQRT(Tabelle2[[#This Row],[vx]]*Tabelle2[[#This Row],[vx]]+Tabelle2[[#This Row],[vy]]*Tabelle2[[#This Row],[vy]])</f>
        <v>87.152239437700771</v>
      </c>
      <c r="S1201">
        <f t="shared" si="207"/>
        <v>728.0208590884871</v>
      </c>
      <c r="T1201" s="1">
        <f t="shared" si="208"/>
        <v>-846.99889832091264</v>
      </c>
    </row>
    <row r="1202" spans="6:20" x14ac:dyDescent="0.35">
      <c r="F1202" s="1">
        <f t="shared" si="204"/>
        <v>23.979999999999578</v>
      </c>
      <c r="G1202">
        <f>1/2*$B$8*$B$6*$B$7*(Tabelle2[[#This Row],[vx]]*Tabelle2[[#This Row],[vx]]+Tabelle2[[#This Row],[vy]]*Tabelle2[[#This Row],[vy]])/1000000</f>
        <v>13.440708985411007</v>
      </c>
      <c r="H1202">
        <f>IF($B$3,-Tabelle2[[#This Row],[Fd]]*Tabelle2[[#This Row],[vx]]/Tabelle2[[#This Row],[v]],0)</f>
        <v>-1.5298883145862139</v>
      </c>
      <c r="I1202">
        <f t="shared" si="198"/>
        <v>-1.0199255430574758</v>
      </c>
      <c r="J1202">
        <f t="shared" si="199"/>
        <v>-2.0398510861149518E-2</v>
      </c>
      <c r="K1202">
        <f t="shared" si="200"/>
        <v>0.19823395521561157</v>
      </c>
      <c r="L1202">
        <f>-$B$5*$B$12-IF($B$3,Tabelle2[[#This Row],[Fd]]*Tabelle2[[#This Row],[vy]]/Tabelle2[[#This Row],[v]],0)</f>
        <v>-1.3616446248367708</v>
      </c>
      <c r="M1202">
        <f t="shared" si="201"/>
        <v>-0.90776308322451393</v>
      </c>
      <c r="N1202">
        <f t="shared" si="202"/>
        <v>-1.8155261664490278E-2</v>
      </c>
      <c r="O1202">
        <f t="shared" si="203"/>
        <v>-1.7322114738867307</v>
      </c>
      <c r="P1202" s="1">
        <f t="shared" si="205"/>
        <v>9.9218970162111528</v>
      </c>
      <c r="Q1202" s="1">
        <f t="shared" si="206"/>
        <v>-86.601496063504285</v>
      </c>
      <c r="R1202">
        <f>SQRT(Tabelle2[[#This Row],[vx]]*Tabelle2[[#This Row],[vx]]+Tabelle2[[#This Row],[vy]]*Tabelle2[[#This Row],[vy]])</f>
        <v>87.168016845844605</v>
      </c>
      <c r="S1202">
        <f t="shared" si="207"/>
        <v>728.21950139708508</v>
      </c>
      <c r="T1202" s="1">
        <f t="shared" si="208"/>
        <v>-848.73074599268477</v>
      </c>
    </row>
    <row r="1203" spans="6:20" x14ac:dyDescent="0.35">
      <c r="F1203" s="1">
        <f t="shared" si="204"/>
        <v>23.999999999999577</v>
      </c>
      <c r="G1203">
        <f>1/2*$B$8*$B$6*$B$7*(Tabelle2[[#This Row],[vx]]*Tabelle2[[#This Row],[vx]]+Tabelle2[[#This Row],[vy]]*Tabelle2[[#This Row],[vy]])/1000000</f>
        <v>13.44555672009789</v>
      </c>
      <c r="H1203">
        <f>IF($B$3,-Tabelle2[[#This Row],[Fd]]*Tabelle2[[#This Row],[vx]]/Tabelle2[[#This Row],[v]],0)</f>
        <v>-1.5270183090262592</v>
      </c>
      <c r="I1203">
        <f t="shared" si="198"/>
        <v>-1.0180122060175061</v>
      </c>
      <c r="J1203">
        <f t="shared" si="199"/>
        <v>-2.0360244120350122E-2</v>
      </c>
      <c r="K1203">
        <f t="shared" si="200"/>
        <v>0.19782636766579656</v>
      </c>
      <c r="L1203">
        <f>-$B$5*$B$12-IF($B$3,Tabelle2[[#This Row],[Fd]]*Tabelle2[[#This Row],[vy]]/Tabelle2[[#This Row],[v]],0)</f>
        <v>-1.3564368064051102</v>
      </c>
      <c r="M1203">
        <f t="shared" si="201"/>
        <v>-0.90429120427007348</v>
      </c>
      <c r="N1203">
        <f t="shared" si="202"/>
        <v>-1.8085824085401471E-2</v>
      </c>
      <c r="O1203">
        <f t="shared" si="203"/>
        <v>-1.7325738847442296</v>
      </c>
      <c r="P1203" s="1">
        <f t="shared" si="205"/>
        <v>9.9014985053500038</v>
      </c>
      <c r="Q1203" s="1">
        <f t="shared" si="206"/>
        <v>-86.619651325168775</v>
      </c>
      <c r="R1203">
        <f>SQRT(Tabelle2[[#This Row],[vx]]*Tabelle2[[#This Row],[vx]]+Tabelle2[[#This Row],[vy]]*Tabelle2[[#This Row],[vy]])</f>
        <v>87.183735113524818</v>
      </c>
      <c r="S1203">
        <f t="shared" si="207"/>
        <v>728.41773535230072</v>
      </c>
      <c r="T1203" s="1">
        <f t="shared" si="208"/>
        <v>-850.46295746657154</v>
      </c>
    </row>
    <row r="1204" spans="6:20" x14ac:dyDescent="0.35">
      <c r="F1204" s="1">
        <f t="shared" si="204"/>
        <v>24.019999999999577</v>
      </c>
      <c r="G1204">
        <f>1/2*$B$8*$B$6*$B$7*(Tabelle2[[#This Row],[vx]]*Tabelle2[[#This Row],[vx]]+Tabelle2[[#This Row],[vy]]*Tabelle2[[#This Row],[vy]])/1000000</f>
        <v>13.450387147380503</v>
      </c>
      <c r="H1204">
        <f>IF($B$3,-Tabelle2[[#This Row],[Fd]]*Tabelle2[[#This Row],[vx]]/Tabelle2[[#This Row],[v]],0)</f>
        <v>-1.5241520415974241</v>
      </c>
      <c r="I1204">
        <f t="shared" si="198"/>
        <v>-1.0161013610649494</v>
      </c>
      <c r="J1204">
        <f t="shared" si="199"/>
        <v>-2.0322027221298989E-2</v>
      </c>
      <c r="K1204">
        <f t="shared" si="200"/>
        <v>0.19741954495238009</v>
      </c>
      <c r="L1204">
        <f>-$B$5*$B$12-IF($B$3,Tabelle2[[#This Row],[Fd]]*Tabelle2[[#This Row],[vy]]/Tabelle2[[#This Row],[v]],0)</f>
        <v>-1.3512477212231655</v>
      </c>
      <c r="M1204">
        <f t="shared" si="201"/>
        <v>-0.900831814148777</v>
      </c>
      <c r="N1204">
        <f t="shared" si="202"/>
        <v>-1.8016636282975541E-2</v>
      </c>
      <c r="O1204">
        <f t="shared" si="203"/>
        <v>-1.7329349093479132</v>
      </c>
      <c r="P1204" s="1">
        <f t="shared" si="205"/>
        <v>9.881138261229653</v>
      </c>
      <c r="Q1204" s="1">
        <f t="shared" si="206"/>
        <v>-86.637737149254178</v>
      </c>
      <c r="R1204">
        <f>SQRT(Tabelle2[[#This Row],[vx]]*Tabelle2[[#This Row],[vx]]+Tabelle2[[#This Row],[vy]]*Tabelle2[[#This Row],[vy]])</f>
        <v>87.199394445608363</v>
      </c>
      <c r="S1204">
        <f t="shared" si="207"/>
        <v>728.61556171996654</v>
      </c>
      <c r="T1204" s="1">
        <f t="shared" si="208"/>
        <v>-852.19553135131582</v>
      </c>
    </row>
    <row r="1205" spans="6:20" x14ac:dyDescent="0.35">
      <c r="F1205" s="1">
        <f t="shared" si="204"/>
        <v>24.039999999999576</v>
      </c>
      <c r="G1205">
        <f>1/2*$B$8*$B$6*$B$7*(Tabelle2[[#This Row],[vx]]*Tabelle2[[#This Row],[vx]]+Tabelle2[[#This Row],[vy]]*Tabelle2[[#This Row],[vy]])/1000000</f>
        <v>13.455200320497053</v>
      </c>
      <c r="H1205">
        <f>IF($B$3,-Tabelle2[[#This Row],[Fd]]*Tabelle2[[#This Row],[vx]]/Tabelle2[[#This Row],[v]],0)</f>
        <v>-1.5212895177214716</v>
      </c>
      <c r="I1205">
        <f t="shared" si="198"/>
        <v>-1.0141930118143143</v>
      </c>
      <c r="J1205">
        <f t="shared" si="199"/>
        <v>-2.0283860236286286E-2</v>
      </c>
      <c r="K1205">
        <f t="shared" si="200"/>
        <v>0.19701348607780422</v>
      </c>
      <c r="L1205">
        <f>-$B$5*$B$12-IF($B$3,Tabelle2[[#This Row],[Fd]]*Tabelle2[[#This Row],[vy]]/Tabelle2[[#This Row],[v]],0)</f>
        <v>-1.3460773108685107</v>
      </c>
      <c r="M1205">
        <f t="shared" si="201"/>
        <v>-0.89738487391234045</v>
      </c>
      <c r="N1205">
        <f t="shared" si="202"/>
        <v>-1.7947697478246809E-2</v>
      </c>
      <c r="O1205">
        <f t="shared" si="203"/>
        <v>-1.7332945526855255</v>
      </c>
      <c r="P1205" s="1">
        <f t="shared" si="205"/>
        <v>9.8608162340083538</v>
      </c>
      <c r="Q1205" s="1">
        <f t="shared" si="206"/>
        <v>-86.655753785537158</v>
      </c>
      <c r="R1205">
        <f>SQRT(Tabelle2[[#This Row],[vx]]*Tabelle2[[#This Row],[vx]]+Tabelle2[[#This Row],[vy]]*Tabelle2[[#This Row],[vy]])</f>
        <v>87.214995046382484</v>
      </c>
      <c r="S1205">
        <f t="shared" si="207"/>
        <v>728.8129812649189</v>
      </c>
      <c r="T1205" s="1">
        <f t="shared" si="208"/>
        <v>-853.92846626066375</v>
      </c>
    </row>
    <row r="1206" spans="6:20" x14ac:dyDescent="0.35">
      <c r="F1206" s="1">
        <f t="shared" si="204"/>
        <v>24.059999999999576</v>
      </c>
      <c r="G1206">
        <f>1/2*$B$8*$B$6*$B$7*(Tabelle2[[#This Row],[vx]]*Tabelle2[[#This Row],[vx]]+Tabelle2[[#This Row],[vy]]*Tabelle2[[#This Row],[vy]])/1000000</f>
        <v>13.459996292588839</v>
      </c>
      <c r="H1206">
        <f>IF($B$3,-Tabelle2[[#This Row],[Fd]]*Tabelle2[[#This Row],[vx]]/Tabelle2[[#This Row],[v]],0)</f>
        <v>-1.5184307427401935</v>
      </c>
      <c r="I1206">
        <f t="shared" si="198"/>
        <v>-1.0122871618267957</v>
      </c>
      <c r="J1206">
        <f t="shared" si="199"/>
        <v>-2.0245743236535912E-2</v>
      </c>
      <c r="K1206">
        <f t="shared" si="200"/>
        <v>0.19660819004307598</v>
      </c>
      <c r="L1206">
        <f>-$B$5*$B$12-IF($B$3,Tabelle2[[#This Row],[Fd]]*Tabelle2[[#This Row],[vy]]/Tabelle2[[#This Row],[v]],0)</f>
        <v>-1.3409255170308416</v>
      </c>
      <c r="M1206">
        <f t="shared" si="201"/>
        <v>-0.89395034468722778</v>
      </c>
      <c r="N1206">
        <f t="shared" si="202"/>
        <v>-1.7879006893744557E-2</v>
      </c>
      <c r="O1206">
        <f t="shared" si="203"/>
        <v>-1.7336528197292456</v>
      </c>
      <c r="P1206" s="1">
        <f t="shared" si="205"/>
        <v>9.8405323737720671</v>
      </c>
      <c r="Q1206" s="1">
        <f t="shared" si="206"/>
        <v>-86.673701483015407</v>
      </c>
      <c r="R1206">
        <f>SQRT(Tabelle2[[#This Row],[vx]]*Tabelle2[[#This Row],[vx]]+Tabelle2[[#This Row],[vy]]*Tabelle2[[#This Row],[vy]])</f>
        <v>87.230537119555351</v>
      </c>
      <c r="S1206">
        <f t="shared" si="207"/>
        <v>729.00999475099673</v>
      </c>
      <c r="T1206" s="1">
        <f t="shared" si="208"/>
        <v>-855.66176081334925</v>
      </c>
    </row>
    <row r="1207" spans="6:20" x14ac:dyDescent="0.35">
      <c r="F1207" s="1">
        <f t="shared" si="204"/>
        <v>24.079999999999576</v>
      </c>
      <c r="G1207">
        <f>1/2*$B$8*$B$6*$B$7*(Tabelle2[[#This Row],[vx]]*Tabelle2[[#This Row],[vx]]+Tabelle2[[#This Row],[vy]]*Tabelle2[[#This Row],[vy]])/1000000</f>
        <v>13.464775116699833</v>
      </c>
      <c r="H1207">
        <f>IF($B$3,-Tabelle2[[#This Row],[Fd]]*Tabelle2[[#This Row],[vx]]/Tabelle2[[#This Row],[v]],0)</f>
        <v>-1.515575721915867</v>
      </c>
      <c r="I1207">
        <f t="shared" si="198"/>
        <v>-1.0103838146105779</v>
      </c>
      <c r="J1207">
        <f t="shared" si="199"/>
        <v>-2.0207676292211558E-2</v>
      </c>
      <c r="K1207">
        <f t="shared" si="200"/>
        <v>0.19620365584778848</v>
      </c>
      <c r="L1207">
        <f>-$B$5*$B$12-IF($B$3,Tabelle2[[#This Row],[Fd]]*Tabelle2[[#This Row],[vy]]/Tabelle2[[#This Row],[v]],0)</f>
        <v>-1.335792281512397</v>
      </c>
      <c r="M1207">
        <f t="shared" si="201"/>
        <v>-0.89052818767493136</v>
      </c>
      <c r="N1207">
        <f t="shared" si="202"/>
        <v>-1.7810563753498626E-2</v>
      </c>
      <c r="O1207">
        <f t="shared" si="203"/>
        <v>-1.7340097154357181</v>
      </c>
      <c r="P1207" s="1">
        <f t="shared" si="205"/>
        <v>9.8202866305355307</v>
      </c>
      <c r="Q1207" s="1">
        <f t="shared" si="206"/>
        <v>-86.691580489909157</v>
      </c>
      <c r="R1207">
        <f>SQRT(Tabelle2[[#This Row],[vx]]*Tabelle2[[#This Row],[vx]]+Tabelle2[[#This Row],[vy]]*Tabelle2[[#This Row],[vy]])</f>
        <v>87.246020868256636</v>
      </c>
      <c r="S1207">
        <f t="shared" si="207"/>
        <v>729.20660294103982</v>
      </c>
      <c r="T1207" s="1">
        <f t="shared" si="208"/>
        <v>-857.39541363307853</v>
      </c>
    </row>
    <row r="1208" spans="6:20" x14ac:dyDescent="0.35">
      <c r="F1208" s="1">
        <f t="shared" si="204"/>
        <v>24.099999999999575</v>
      </c>
      <c r="G1208">
        <f>1/2*$B$8*$B$6*$B$7*(Tabelle2[[#This Row],[vx]]*Tabelle2[[#This Row],[vx]]+Tabelle2[[#This Row],[vy]]*Tabelle2[[#This Row],[vy]])/1000000</f>
        <v>13.469536845776299</v>
      </c>
      <c r="H1208">
        <f>IF($B$3,-Tabelle2[[#This Row],[Fd]]*Tabelle2[[#This Row],[vx]]/Tabelle2[[#This Row],[v]],0)</f>
        <v>-1.5127244604317125</v>
      </c>
      <c r="I1208">
        <f t="shared" si="198"/>
        <v>-1.0084829736211416</v>
      </c>
      <c r="J1208">
        <f t="shared" si="199"/>
        <v>-2.0169659472422833E-2</v>
      </c>
      <c r="K1208">
        <f t="shared" si="200"/>
        <v>0.19579988249014219</v>
      </c>
      <c r="L1208">
        <f>-$B$5*$B$12-IF($B$3,Tabelle2[[#This Row],[Fd]]*Tabelle2[[#This Row],[vy]]/Tabelle2[[#This Row],[v]],0)</f>
        <v>-1.3306775462283156</v>
      </c>
      <c r="M1208">
        <f t="shared" si="201"/>
        <v>-0.88711836415221035</v>
      </c>
      <c r="N1208">
        <f t="shared" si="202"/>
        <v>-1.7742367283044208E-2</v>
      </c>
      <c r="O1208">
        <f t="shared" si="203"/>
        <v>-1.7343652447460836</v>
      </c>
      <c r="P1208" s="1">
        <f t="shared" si="205"/>
        <v>9.80007895424332</v>
      </c>
      <c r="Q1208" s="1">
        <f t="shared" si="206"/>
        <v>-86.709391053662657</v>
      </c>
      <c r="R1208">
        <f>SQRT(Tabelle2[[#This Row],[vx]]*Tabelle2[[#This Row],[vx]]+Tabelle2[[#This Row],[vy]]*Tabelle2[[#This Row],[vy]])</f>
        <v>87.261446495038101</v>
      </c>
      <c r="S1208">
        <f t="shared" si="207"/>
        <v>729.40280659688756</v>
      </c>
      <c r="T1208" s="1">
        <f t="shared" si="208"/>
        <v>-859.12942334851425</v>
      </c>
    </row>
    <row r="1209" spans="6:20" x14ac:dyDescent="0.35">
      <c r="F1209" s="1">
        <f t="shared" si="204"/>
        <v>24.119999999999575</v>
      </c>
      <c r="G1209">
        <f>1/2*$B$8*$B$6*$B$7*(Tabelle2[[#This Row],[vx]]*Tabelle2[[#This Row],[vx]]+Tabelle2[[#This Row],[vy]]*Tabelle2[[#This Row],[vy]])/1000000</f>
        <v>13.474281532666392</v>
      </c>
      <c r="H1209">
        <f>IF($B$3,-Tabelle2[[#This Row],[Fd]]*Tabelle2[[#This Row],[vx]]/Tabelle2[[#This Row],[v]],0)</f>
        <v>-1.5098769633923479</v>
      </c>
      <c r="I1209">
        <f t="shared" si="198"/>
        <v>-1.0065846422615652</v>
      </c>
      <c r="J1209">
        <f t="shared" si="199"/>
        <v>-2.0131692845231305E-2</v>
      </c>
      <c r="K1209">
        <f t="shared" si="200"/>
        <v>0.19539686896696562</v>
      </c>
      <c r="L1209">
        <f>-$B$5*$B$12-IF($B$3,Tabelle2[[#This Row],[Fd]]*Tabelle2[[#This Row],[vy]]/Tabelle2[[#This Row],[v]],0)</f>
        <v>-1.3255812532070053</v>
      </c>
      <c r="M1209">
        <f t="shared" si="201"/>
        <v>-0.88372083547133684</v>
      </c>
      <c r="N1209">
        <f t="shared" si="202"/>
        <v>-1.7674416709426738E-2</v>
      </c>
      <c r="O1209">
        <f t="shared" si="203"/>
        <v>-1.7347194125860086</v>
      </c>
      <c r="P1209" s="1">
        <f t="shared" si="205"/>
        <v>9.7799092947708974</v>
      </c>
      <c r="Q1209" s="1">
        <f t="shared" si="206"/>
        <v>-86.727133420945705</v>
      </c>
      <c r="R1209">
        <f>SQRT(Tabelle2[[#This Row],[vx]]*Tabelle2[[#This Row],[vx]]+Tabelle2[[#This Row],[vy]]*Tabelle2[[#This Row],[vy]])</f>
        <v>87.27681420187416</v>
      </c>
      <c r="S1209">
        <f t="shared" si="207"/>
        <v>729.59860647937774</v>
      </c>
      <c r="T1209" s="1">
        <f t="shared" si="208"/>
        <v>-860.86378859326032</v>
      </c>
    </row>
    <row r="1210" spans="6:20" x14ac:dyDescent="0.35">
      <c r="F1210" s="1">
        <f t="shared" si="204"/>
        <v>24.139999999999574</v>
      </c>
      <c r="G1210">
        <f>1/2*$B$8*$B$6*$B$7*(Tabelle2[[#This Row],[vx]]*Tabelle2[[#This Row],[vx]]+Tabelle2[[#This Row],[vy]]*Tabelle2[[#This Row],[vy]])/1000000</f>
        <v>13.479009230119777</v>
      </c>
      <c r="H1210">
        <f>IF($B$3,-Tabelle2[[#This Row],[Fd]]*Tabelle2[[#This Row],[vx]]/Tabelle2[[#This Row],[v]],0)</f>
        <v>-1.5070332358242424</v>
      </c>
      <c r="I1210">
        <f t="shared" si="198"/>
        <v>-1.0046888238828282</v>
      </c>
      <c r="J1210">
        <f t="shared" si="199"/>
        <v>-2.0093776477656564E-2</v>
      </c>
      <c r="K1210">
        <f t="shared" si="200"/>
        <v>0.19499461427373674</v>
      </c>
      <c r="L1210">
        <f>-$B$5*$B$12-IF($B$3,Tabelle2[[#This Row],[Fd]]*Tabelle2[[#This Row],[vy]]/Tabelle2[[#This Row],[v]],0)</f>
        <v>-1.3205033445905396</v>
      </c>
      <c r="M1210">
        <f t="shared" si="201"/>
        <v>-0.88033556306035976</v>
      </c>
      <c r="N1210">
        <f t="shared" si="202"/>
        <v>-1.7606711261207195E-2</v>
      </c>
      <c r="O1210">
        <f t="shared" si="203"/>
        <v>-1.7350722238657148</v>
      </c>
      <c r="P1210" s="1">
        <f t="shared" si="205"/>
        <v>9.7597776019256663</v>
      </c>
      <c r="Q1210" s="1">
        <f t="shared" si="206"/>
        <v>-86.744807837655131</v>
      </c>
      <c r="R1210">
        <f>SQRT(Tabelle2[[#This Row],[vx]]*Tabelle2[[#This Row],[vx]]+Tabelle2[[#This Row],[vy]]*Tabelle2[[#This Row],[vy]])</f>
        <v>87.292124190162568</v>
      </c>
      <c r="S1210">
        <f t="shared" si="207"/>
        <v>729.79400334834475</v>
      </c>
      <c r="T1210" s="1">
        <f t="shared" si="208"/>
        <v>-862.59850800584638</v>
      </c>
    </row>
    <row r="1211" spans="6:20" x14ac:dyDescent="0.35">
      <c r="F1211" s="1">
        <f t="shared" si="204"/>
        <v>24.159999999999574</v>
      </c>
      <c r="G1211">
        <f>1/2*$B$8*$B$6*$B$7*(Tabelle2[[#This Row],[vx]]*Tabelle2[[#This Row],[vx]]+Tabelle2[[#This Row],[vy]]*Tabelle2[[#This Row],[vy]])/1000000</f>
        <v>13.483719990787266</v>
      </c>
      <c r="H1211">
        <f>IF($B$3,-Tabelle2[[#This Row],[Fd]]*Tabelle2[[#This Row],[vx]]/Tabelle2[[#This Row],[v]],0)</f>
        <v>-1.5041932826761701</v>
      </c>
      <c r="I1211">
        <f t="shared" si="198"/>
        <v>-1.0027955217841134</v>
      </c>
      <c r="J1211">
        <f t="shared" si="199"/>
        <v>-2.0055910435682268E-2</v>
      </c>
      <c r="K1211">
        <f t="shared" si="200"/>
        <v>0.19459311740460336</v>
      </c>
      <c r="L1211">
        <f>-$B$5*$B$12-IF($B$3,Tabelle2[[#This Row],[Fd]]*Tabelle2[[#This Row],[vy]]/Tabelle2[[#This Row],[v]],0)</f>
        <v>-1.3154437626349704</v>
      </c>
      <c r="M1211">
        <f t="shared" si="201"/>
        <v>-0.87696250842331358</v>
      </c>
      <c r="N1211">
        <f t="shared" si="202"/>
        <v>-1.7539250168466271E-2</v>
      </c>
      <c r="O1211">
        <f t="shared" si="203"/>
        <v>-1.7354236834800114</v>
      </c>
      <c r="P1211" s="1">
        <f t="shared" si="205"/>
        <v>9.7396838254480098</v>
      </c>
      <c r="Q1211" s="1">
        <f t="shared" si="206"/>
        <v>-86.76241454891634</v>
      </c>
      <c r="R1211">
        <f>SQRT(Tabelle2[[#This Row],[vx]]*Tabelle2[[#This Row],[vx]]+Tabelle2[[#This Row],[vy]]*Tabelle2[[#This Row],[vy]])</f>
        <v>87.307376660724969</v>
      </c>
      <c r="S1211">
        <f t="shared" si="207"/>
        <v>729.98899796261844</v>
      </c>
      <c r="T1211" s="1">
        <f t="shared" si="208"/>
        <v>-864.33358022971208</v>
      </c>
    </row>
    <row r="1212" spans="6:20" x14ac:dyDescent="0.35">
      <c r="F1212" s="1">
        <f t="shared" si="204"/>
        <v>24.179999999999573</v>
      </c>
      <c r="G1212">
        <f>1/2*$B$8*$B$6*$B$7*(Tabelle2[[#This Row],[vx]]*Tabelle2[[#This Row],[vx]]+Tabelle2[[#This Row],[vy]]*Tabelle2[[#This Row],[vy]])/1000000</f>
        <v>13.488413867220423</v>
      </c>
      <c r="H1212">
        <f>IF($B$3,-Tabelle2[[#This Row],[Fd]]*Tabelle2[[#This Row],[vx]]/Tabelle2[[#This Row],[v]],0)</f>
        <v>-1.5013571088196571</v>
      </c>
      <c r="I1212">
        <f t="shared" si="198"/>
        <v>-1.0009047392131047</v>
      </c>
      <c r="J1212">
        <f t="shared" si="199"/>
        <v>-2.0018094784262096E-2</v>
      </c>
      <c r="K1212">
        <f t="shared" si="200"/>
        <v>0.19419237735240394</v>
      </c>
      <c r="L1212">
        <f>-$B$5*$B$12-IF($B$3,Tabelle2[[#This Row],[Fd]]*Tabelle2[[#This Row],[vy]]/Tabelle2[[#This Row],[v]],0)</f>
        <v>-1.3104024497107378</v>
      </c>
      <c r="M1212">
        <f t="shared" si="201"/>
        <v>-0.87360163314049188</v>
      </c>
      <c r="N1212">
        <f t="shared" si="202"/>
        <v>-1.7472032662809837E-2</v>
      </c>
      <c r="O1212">
        <f t="shared" si="203"/>
        <v>-1.7357737963083244</v>
      </c>
      <c r="P1212" s="1">
        <f t="shared" si="205"/>
        <v>9.7196279150123281</v>
      </c>
      <c r="Q1212" s="1">
        <f t="shared" si="206"/>
        <v>-86.779953799084808</v>
      </c>
      <c r="R1212">
        <f>SQRT(Tabelle2[[#This Row],[vx]]*Tabelle2[[#This Row],[vx]]+Tabelle2[[#This Row],[vy]]*Tabelle2[[#This Row],[vy]])</f>
        <v>87.322571813807571</v>
      </c>
      <c r="S1212">
        <f t="shared" si="207"/>
        <v>730.18359108002301</v>
      </c>
      <c r="T1212" s="1">
        <f t="shared" si="208"/>
        <v>-866.06900391319209</v>
      </c>
    </row>
    <row r="1213" spans="6:20" x14ac:dyDescent="0.35">
      <c r="F1213" s="1">
        <f t="shared" si="204"/>
        <v>24.199999999999573</v>
      </c>
      <c r="G1213">
        <f>1/2*$B$8*$B$6*$B$7*(Tabelle2[[#This Row],[vx]]*Tabelle2[[#This Row],[vx]]+Tabelle2[[#This Row],[vy]]*Tabelle2[[#This Row],[vy]])/1000000</f>
        <v>13.49309091187121</v>
      </c>
      <c r="H1213">
        <f>IF($B$3,-Tabelle2[[#This Row],[Fd]]*Tabelle2[[#This Row],[vx]]/Tabelle2[[#This Row],[v]],0)</f>
        <v>-1.4985247190494322</v>
      </c>
      <c r="I1213">
        <f t="shared" si="198"/>
        <v>-0.99901647936628812</v>
      </c>
      <c r="J1213">
        <f t="shared" si="199"/>
        <v>-1.9980329587325762E-2</v>
      </c>
      <c r="K1213">
        <f t="shared" si="200"/>
        <v>0.19379239310868804</v>
      </c>
      <c r="L1213">
        <f>-$B$5*$B$12-IF($B$3,Tabelle2[[#This Row],[Fd]]*Tabelle2[[#This Row],[vy]]/Tabelle2[[#This Row],[v]],0)</f>
        <v>-1.3053793483029779</v>
      </c>
      <c r="M1213">
        <f t="shared" si="201"/>
        <v>-0.87025289886865187</v>
      </c>
      <c r="N1213">
        <f t="shared" si="202"/>
        <v>-1.7405057977373038E-2</v>
      </c>
      <c r="O1213">
        <f t="shared" si="203"/>
        <v>-1.7361225672147262</v>
      </c>
      <c r="P1213" s="1">
        <f t="shared" si="205"/>
        <v>9.6996098202280656</v>
      </c>
      <c r="Q1213" s="1">
        <f t="shared" si="206"/>
        <v>-86.797425831747617</v>
      </c>
      <c r="R1213">
        <f>SQRT(Tabelle2[[#This Row],[vx]]*Tabelle2[[#This Row],[vx]]+Tabelle2[[#This Row],[vy]]*Tabelle2[[#This Row],[vy]])</f>
        <v>87.337709849081762</v>
      </c>
      <c r="S1213">
        <f t="shared" si="207"/>
        <v>730.37778345737536</v>
      </c>
      <c r="T1213" s="1">
        <f t="shared" si="208"/>
        <v>-867.8047777095004</v>
      </c>
    </row>
    <row r="1214" spans="6:20" x14ac:dyDescent="0.35">
      <c r="F1214" s="1">
        <f t="shared" si="204"/>
        <v>24.219999999999573</v>
      </c>
      <c r="G1214">
        <f>1/2*$B$8*$B$6*$B$7*(Tabelle2[[#This Row],[vx]]*Tabelle2[[#This Row],[vx]]+Tabelle2[[#This Row],[vy]]*Tabelle2[[#This Row],[vy]])/1000000</f>
        <v>13.497751177091644</v>
      </c>
      <c r="H1214">
        <f>IF($B$3,-Tabelle2[[#This Row],[Fd]]*Tabelle2[[#This Row],[vx]]/Tabelle2[[#This Row],[v]],0)</f>
        <v>-1.4956961180838748</v>
      </c>
      <c r="I1214">
        <f t="shared" si="198"/>
        <v>-0.99713074538924984</v>
      </c>
      <c r="J1214">
        <f t="shared" si="199"/>
        <v>-1.9942614907784997E-2</v>
      </c>
      <c r="K1214">
        <f t="shared" si="200"/>
        <v>0.19339316366373693</v>
      </c>
      <c r="L1214">
        <f>-$B$5*$B$12-IF($B$3,Tabelle2[[#This Row],[Fd]]*Tabelle2[[#This Row],[vy]]/Tabelle2[[#This Row],[v]],0)</f>
        <v>-1.300374401011867</v>
      </c>
      <c r="M1214">
        <f t="shared" si="201"/>
        <v>-0.86691626734124461</v>
      </c>
      <c r="N1214">
        <f t="shared" si="202"/>
        <v>-1.7338325346824893E-2</v>
      </c>
      <c r="O1214">
        <f t="shared" si="203"/>
        <v>-1.7364700010479681</v>
      </c>
      <c r="P1214" s="1">
        <f t="shared" si="205"/>
        <v>9.679629490640739</v>
      </c>
      <c r="Q1214" s="1">
        <f t="shared" si="206"/>
        <v>-86.814830889724988</v>
      </c>
      <c r="R1214">
        <f>SQRT(Tabelle2[[#This Row],[vx]]*Tabelle2[[#This Row],[vx]]+Tabelle2[[#This Row],[vy]]*Tabelle2[[#This Row],[vy]])</f>
        <v>87.352790965644758</v>
      </c>
      <c r="S1214">
        <f t="shared" si="207"/>
        <v>730.57157585048401</v>
      </c>
      <c r="T1214" s="1">
        <f t="shared" si="208"/>
        <v>-869.54090027671509</v>
      </c>
    </row>
    <row r="1215" spans="6:20" x14ac:dyDescent="0.35">
      <c r="F1215" s="1">
        <f t="shared" si="204"/>
        <v>24.239999999999572</v>
      </c>
      <c r="G1215">
        <f>1/2*$B$8*$B$6*$B$7*(Tabelle2[[#This Row],[vx]]*Tabelle2[[#This Row],[vx]]+Tabelle2[[#This Row],[vy]]*Tabelle2[[#This Row],[vy]])/1000000</f>
        <v>13.502394715133427</v>
      </c>
      <c r="H1215">
        <f>IF($B$3,-Tabelle2[[#This Row],[Fd]]*Tabelle2[[#This Row],[vx]]/Tabelle2[[#This Row],[v]],0)</f>
        <v>-1.4928713105654594</v>
      </c>
      <c r="I1215">
        <f t="shared" si="198"/>
        <v>-0.99524754037697294</v>
      </c>
      <c r="J1215">
        <f t="shared" si="199"/>
        <v>-1.990495080753946E-2</v>
      </c>
      <c r="K1215">
        <f t="shared" si="200"/>
        <v>0.19299468800658368</v>
      </c>
      <c r="L1215">
        <f>-$B$5*$B$12-IF($B$3,Tabelle2[[#This Row],[Fd]]*Tabelle2[[#This Row],[vy]]/Tabelle2[[#This Row],[v]],0)</f>
        <v>-1.2953875505529719</v>
      </c>
      <c r="M1215">
        <f t="shared" si="201"/>
        <v>-0.86359170036864796</v>
      </c>
      <c r="N1215">
        <f t="shared" si="202"/>
        <v>-1.727183400737296E-2</v>
      </c>
      <c r="O1215">
        <f t="shared" si="203"/>
        <v>-1.7368161026415101</v>
      </c>
      <c r="P1215" s="1">
        <f t="shared" si="205"/>
        <v>9.6596868757329535</v>
      </c>
      <c r="Q1215" s="1">
        <f t="shared" si="206"/>
        <v>-86.832169215071815</v>
      </c>
      <c r="R1215">
        <f>SQRT(Tabelle2[[#This Row],[vx]]*Tabelle2[[#This Row],[vx]]+Tabelle2[[#This Row],[vy]]*Tabelle2[[#This Row],[vy]])</f>
        <v>87.367815362020323</v>
      </c>
      <c r="S1215">
        <f t="shared" si="207"/>
        <v>730.76496901414771</v>
      </c>
      <c r="T1215" s="1">
        <f t="shared" si="208"/>
        <v>-871.27737027776311</v>
      </c>
    </row>
    <row r="1216" spans="6:20" x14ac:dyDescent="0.35">
      <c r="F1216" s="1">
        <f t="shared" si="204"/>
        <v>24.259999999999572</v>
      </c>
      <c r="G1216">
        <f>1/2*$B$8*$B$6*$B$7*(Tabelle2[[#This Row],[vx]]*Tabelle2[[#This Row],[vx]]+Tabelle2[[#This Row],[vy]]*Tabelle2[[#This Row],[vy]])/1000000</f>
        <v>13.507021578147596</v>
      </c>
      <c r="H1216">
        <f>IF($B$3,-Tabelle2[[#This Row],[Fd]]*Tabelle2[[#This Row],[vx]]/Tabelle2[[#This Row],[v]],0)</f>
        <v>-1.4900503010612001</v>
      </c>
      <c r="I1216">
        <f t="shared" si="198"/>
        <v>-0.99336686737413338</v>
      </c>
      <c r="J1216">
        <f t="shared" si="199"/>
        <v>-1.9867337347482666E-2</v>
      </c>
      <c r="K1216">
        <f t="shared" si="200"/>
        <v>0.19259696512503346</v>
      </c>
      <c r="L1216">
        <f>-$B$5*$B$12-IF($B$3,Tabelle2[[#This Row],[Fd]]*Tabelle2[[#This Row],[vy]]/Tabelle2[[#This Row],[v]],0)</f>
        <v>-1.2904187397575715</v>
      </c>
      <c r="M1216">
        <f t="shared" si="201"/>
        <v>-0.86027915983838099</v>
      </c>
      <c r="N1216">
        <f t="shared" si="202"/>
        <v>-1.720558319676762E-2</v>
      </c>
      <c r="O1216">
        <f t="shared" si="203"/>
        <v>-1.7371608768135514</v>
      </c>
      <c r="P1216" s="1">
        <f t="shared" si="205"/>
        <v>9.6397819249254137</v>
      </c>
      <c r="Q1216" s="1">
        <f t="shared" si="206"/>
        <v>-86.849441049079189</v>
      </c>
      <c r="R1216">
        <f>SQRT(Tabelle2[[#This Row],[vx]]*Tabelle2[[#This Row],[vx]]+Tabelle2[[#This Row],[vy]]*Tabelle2[[#This Row],[vy]])</f>
        <v>87.382783236159284</v>
      </c>
      <c r="S1216">
        <f t="shared" si="207"/>
        <v>730.9579637021543</v>
      </c>
      <c r="T1216" s="1">
        <f t="shared" si="208"/>
        <v>-873.01418638040457</v>
      </c>
    </row>
    <row r="1217" spans="6:20" x14ac:dyDescent="0.35">
      <c r="F1217" s="1">
        <f t="shared" si="204"/>
        <v>24.279999999999571</v>
      </c>
      <c r="G1217">
        <f>1/2*$B$8*$B$6*$B$7*(Tabelle2[[#This Row],[vx]]*Tabelle2[[#This Row],[vx]]+Tabelle2[[#This Row],[vy]]*Tabelle2[[#This Row],[vy]])/1000000</f>
        <v>13.511631818184201</v>
      </c>
      <c r="H1217">
        <f>IF($B$3,-Tabelle2[[#This Row],[Fd]]*Tabelle2[[#This Row],[vx]]/Tabelle2[[#This Row],[v]],0)</f>
        <v>-1.4872330940630922</v>
      </c>
      <c r="I1217">
        <f t="shared" si="198"/>
        <v>-0.99148872937539478</v>
      </c>
      <c r="J1217">
        <f t="shared" si="199"/>
        <v>-1.9829774587507894E-2</v>
      </c>
      <c r="K1217">
        <f t="shared" si="200"/>
        <v>0.19219999400568355</v>
      </c>
      <c r="L1217">
        <f>-$B$5*$B$12-IF($B$3,Tabelle2[[#This Row],[Fd]]*Tabelle2[[#This Row],[vy]]/Tabelle2[[#This Row],[v]],0)</f>
        <v>-1.2854679115729724</v>
      </c>
      <c r="M1217">
        <f t="shared" si="201"/>
        <v>-0.85697860771531487</v>
      </c>
      <c r="N1217">
        <f t="shared" si="202"/>
        <v>-1.7139572154306299E-2</v>
      </c>
      <c r="O1217">
        <f t="shared" si="203"/>
        <v>-1.7375043283670621</v>
      </c>
      <c r="P1217" s="1">
        <f t="shared" si="205"/>
        <v>9.6199145875779308</v>
      </c>
      <c r="Q1217" s="1">
        <f t="shared" si="206"/>
        <v>-86.866646632275959</v>
      </c>
      <c r="R1217">
        <f>SQRT(Tabelle2[[#This Row],[vx]]*Tabelle2[[#This Row],[vx]]+Tabelle2[[#This Row],[vy]]*Tabelle2[[#This Row],[vy]])</f>
        <v>87.397694785440393</v>
      </c>
      <c r="S1217">
        <f t="shared" si="207"/>
        <v>731.15056066727936</v>
      </c>
      <c r="T1217" s="1">
        <f t="shared" si="208"/>
        <v>-874.75134725721807</v>
      </c>
    </row>
    <row r="1218" spans="6:20" x14ac:dyDescent="0.35">
      <c r="F1218" s="1">
        <f t="shared" si="204"/>
        <v>24.299999999999571</v>
      </c>
      <c r="G1218">
        <f>1/2*$B$8*$B$6*$B$7*(Tabelle2[[#This Row],[vx]]*Tabelle2[[#This Row],[vx]]+Tabelle2[[#This Row],[vy]]*Tabelle2[[#This Row],[vy]])/1000000</f>
        <v>13.516225487191955</v>
      </c>
      <c r="H1218">
        <f>IF($B$3,-Tabelle2[[#This Row],[Fd]]*Tabelle2[[#This Row],[vx]]/Tabelle2[[#This Row],[v]],0)</f>
        <v>-1.4844196939885546</v>
      </c>
      <c r="I1218">
        <f t="shared" si="198"/>
        <v>-0.989613129325703</v>
      </c>
      <c r="J1218">
        <f t="shared" si="199"/>
        <v>-1.9792262586514061E-2</v>
      </c>
      <c r="K1218">
        <f t="shared" si="200"/>
        <v>0.19180377363394333</v>
      </c>
      <c r="L1218">
        <f>-$B$5*$B$12-IF($B$3,Tabelle2[[#This Row],[Fd]]*Tabelle2[[#This Row],[vy]]/Tabelle2[[#This Row],[v]],0)</f>
        <v>-1.2805350090628327</v>
      </c>
      <c r="M1218">
        <f t="shared" si="201"/>
        <v>-0.85369000604188849</v>
      </c>
      <c r="N1218">
        <f t="shared" si="202"/>
        <v>-1.707380012083777E-2</v>
      </c>
      <c r="O1218">
        <f t="shared" si="203"/>
        <v>-1.7378464620898137</v>
      </c>
      <c r="P1218" s="1">
        <f t="shared" si="205"/>
        <v>9.6000848129904224</v>
      </c>
      <c r="Q1218" s="1">
        <f t="shared" si="206"/>
        <v>-86.883786204430265</v>
      </c>
      <c r="R1218">
        <f>SQRT(Tabelle2[[#This Row],[vx]]*Tabelle2[[#This Row],[vx]]+Tabelle2[[#This Row],[vy]]*Tabelle2[[#This Row],[vy]])</f>
        <v>87.412550206670872</v>
      </c>
      <c r="S1218">
        <f t="shared" si="207"/>
        <v>731.34276066128507</v>
      </c>
      <c r="T1218" s="1">
        <f t="shared" si="208"/>
        <v>-876.48885158558517</v>
      </c>
    </row>
    <row r="1219" spans="6:20" x14ac:dyDescent="0.35">
      <c r="F1219" s="1">
        <f t="shared" si="204"/>
        <v>24.31999999999957</v>
      </c>
      <c r="G1219">
        <f>1/2*$B$8*$B$6*$B$7*(Tabelle2[[#This Row],[vx]]*Tabelle2[[#This Row],[vx]]+Tabelle2[[#This Row],[vy]]*Tabelle2[[#This Row],[vy]])/1000000</f>
        <v>13.520802637017917</v>
      </c>
      <c r="H1219">
        <f>IF($B$3,-Tabelle2[[#This Row],[Fd]]*Tabelle2[[#This Row],[vx]]/Tabelle2[[#This Row],[v]],0)</f>
        <v>-1.4816101051808683</v>
      </c>
      <c r="I1219">
        <f t="shared" ref="I1219:I1282" si="209">H1219/$B$5</f>
        <v>-0.98774007012057885</v>
      </c>
      <c r="J1219">
        <f t="shared" ref="J1219:J1282" si="210">I1219*$B$13</f>
        <v>-1.9754801402411579E-2</v>
      </c>
      <c r="K1219">
        <f t="shared" ref="K1219:K1282" si="211">$B$13*(P1219+J1219/2)</f>
        <v>0.19140830299405409</v>
      </c>
      <c r="L1219">
        <f>-$B$5*$B$12-IF($B$3,Tabelle2[[#This Row],[Fd]]*Tabelle2[[#This Row],[vy]]/Tabelle2[[#This Row],[v]],0)</f>
        <v>-1.2756199754074729</v>
      </c>
      <c r="M1219">
        <f t="shared" ref="M1219:M1282" si="212">L1219/$B$5</f>
        <v>-0.85041331693831523</v>
      </c>
      <c r="N1219">
        <f t="shared" ref="N1219:N1282" si="213">M1219*$B$13</f>
        <v>-1.7008266338766304E-2</v>
      </c>
      <c r="O1219">
        <f t="shared" ref="O1219:O1282" si="214">$B$13*(Q1219+N1219/2)</f>
        <v>-1.7381872827544098</v>
      </c>
      <c r="P1219" s="1">
        <f t="shared" si="205"/>
        <v>9.5802925504039091</v>
      </c>
      <c r="Q1219" s="1">
        <f t="shared" si="206"/>
        <v>-86.900860004551106</v>
      </c>
      <c r="R1219">
        <f>SQRT(Tabelle2[[#This Row],[vx]]*Tabelle2[[#This Row],[vx]]+Tabelle2[[#This Row],[vy]]*Tabelle2[[#This Row],[vy]])</f>
        <v>87.427349696087177</v>
      </c>
      <c r="S1219">
        <f t="shared" si="207"/>
        <v>731.53456443491905</v>
      </c>
      <c r="T1219" s="1">
        <f t="shared" si="208"/>
        <v>-878.22669804767497</v>
      </c>
    </row>
    <row r="1220" spans="6:20" x14ac:dyDescent="0.35">
      <c r="F1220" s="1">
        <f t="shared" ref="F1220:F1283" si="215">F1219+$B$13</f>
        <v>24.33999999999957</v>
      </c>
      <c r="G1220">
        <f>1/2*$B$8*$B$6*$B$7*(Tabelle2[[#This Row],[vx]]*Tabelle2[[#This Row],[vx]]+Tabelle2[[#This Row],[vy]]*Tabelle2[[#This Row],[vy]])/1000000</f>
        <v>13.525363319407159</v>
      </c>
      <c r="H1220">
        <f>IF($B$3,-Tabelle2[[#This Row],[Fd]]*Tabelle2[[#This Row],[vx]]/Tabelle2[[#This Row],[v]],0)</f>
        <v>-1.4788043319096131</v>
      </c>
      <c r="I1220">
        <f t="shared" si="209"/>
        <v>-0.98586955460640879</v>
      </c>
      <c r="J1220">
        <f t="shared" si="210"/>
        <v>-1.9717391092128177E-2</v>
      </c>
      <c r="K1220">
        <f t="shared" si="211"/>
        <v>0.19101358106910865</v>
      </c>
      <c r="L1220">
        <f>-$B$5*$B$12-IF($B$3,Tabelle2[[#This Row],[Fd]]*Tabelle2[[#This Row],[vy]]/Tabelle2[[#This Row],[v]],0)</f>
        <v>-1.2707227539041739</v>
      </c>
      <c r="M1220">
        <f t="shared" si="212"/>
        <v>-0.84714850260278263</v>
      </c>
      <c r="N1220">
        <f t="shared" si="213"/>
        <v>-1.6942970052055653E-2</v>
      </c>
      <c r="O1220">
        <f t="shared" si="214"/>
        <v>-1.7385267951183179</v>
      </c>
      <c r="P1220" s="1">
        <f t="shared" ref="P1220:P1283" si="216">P1219+J1219</f>
        <v>9.5605377490014973</v>
      </c>
      <c r="Q1220" s="1">
        <f t="shared" ref="Q1220:Q1283" si="217">Q1219+N1219</f>
        <v>-86.917868270889869</v>
      </c>
      <c r="R1220">
        <f>SQRT(Tabelle2[[#This Row],[vx]]*Tabelle2[[#This Row],[vx]]+Tabelle2[[#This Row],[vy]]*Tabelle2[[#This Row],[vy]])</f>
        <v>87.442093449355653</v>
      </c>
      <c r="S1220">
        <f t="shared" ref="S1220:S1283" si="218">S1219+K1219</f>
        <v>731.72597273791314</v>
      </c>
      <c r="T1220" s="1">
        <f t="shared" ref="T1220:T1283" si="219">T1219+O1219</f>
        <v>-879.96488533042941</v>
      </c>
    </row>
    <row r="1221" spans="6:20" x14ac:dyDescent="0.35">
      <c r="F1221" s="1">
        <f t="shared" si="215"/>
        <v>24.35999999999957</v>
      </c>
      <c r="G1221">
        <f>1/2*$B$8*$B$6*$B$7*(Tabelle2[[#This Row],[vx]]*Tabelle2[[#This Row],[vx]]+Tabelle2[[#This Row],[vy]]*Tabelle2[[#This Row],[vy]])/1000000</f>
        <v>13.529907586002464</v>
      </c>
      <c r="H1221">
        <f>IF($B$3,-Tabelle2[[#This Row],[Fd]]*Tabelle2[[#This Row],[vx]]/Tabelle2[[#This Row],[v]],0)</f>
        <v>-1.4760023783711065</v>
      </c>
      <c r="I1221">
        <f t="shared" si="209"/>
        <v>-0.98400158558073769</v>
      </c>
      <c r="J1221">
        <f t="shared" si="210"/>
        <v>-1.9680031711614754E-2</v>
      </c>
      <c r="K1221">
        <f t="shared" si="211"/>
        <v>0.19061960684107124</v>
      </c>
      <c r="L1221">
        <f>-$B$5*$B$12-IF($B$3,Tabelle2[[#This Row],[Fd]]*Tabelle2[[#This Row],[vy]]/Tabelle2[[#This Row],[v]],0)</f>
        <v>-1.2658432879674617</v>
      </c>
      <c r="M1221">
        <f t="shared" si="212"/>
        <v>-0.84389552531164114</v>
      </c>
      <c r="N1221">
        <f t="shared" si="213"/>
        <v>-1.6877910506232822E-2</v>
      </c>
      <c r="O1221">
        <f t="shared" si="214"/>
        <v>-1.7388650039239009</v>
      </c>
      <c r="P1221" s="1">
        <f t="shared" si="216"/>
        <v>9.5408203579093698</v>
      </c>
      <c r="Q1221" s="1">
        <f t="shared" si="217"/>
        <v>-86.934811240941926</v>
      </c>
      <c r="R1221">
        <f>SQRT(Tabelle2[[#This Row],[vx]]*Tabelle2[[#This Row],[vx]]+Tabelle2[[#This Row],[vy]]*Tabelle2[[#This Row],[vy]])</f>
        <v>87.456781661573288</v>
      </c>
      <c r="S1221">
        <f t="shared" si="218"/>
        <v>731.91698631898225</v>
      </c>
      <c r="T1221" s="1">
        <f t="shared" si="219"/>
        <v>-881.70341212554774</v>
      </c>
    </row>
    <row r="1222" spans="6:20" x14ac:dyDescent="0.35">
      <c r="F1222" s="1">
        <f t="shared" si="215"/>
        <v>24.379999999999569</v>
      </c>
      <c r="G1222">
        <f>1/2*$B$8*$B$6*$B$7*(Tabelle2[[#This Row],[vx]]*Tabelle2[[#This Row],[vx]]+Tabelle2[[#This Row],[vy]]*Tabelle2[[#This Row],[vy]])/1000000</f>
        <v>13.534435488343995</v>
      </c>
      <c r="H1222">
        <f>IF($B$3,-Tabelle2[[#This Row],[Fd]]*Tabelle2[[#This Row],[vx]]/Tabelle2[[#This Row],[v]],0)</f>
        <v>-1.4732042486888346</v>
      </c>
      <c r="I1222">
        <f t="shared" si="209"/>
        <v>-0.98213616579255636</v>
      </c>
      <c r="J1222">
        <f t="shared" si="210"/>
        <v>-1.9642723315851127E-2</v>
      </c>
      <c r="K1222">
        <f t="shared" si="211"/>
        <v>0.19022637929079661</v>
      </c>
      <c r="L1222">
        <f>-$B$5*$B$12-IF($B$3,Tabelle2[[#This Row],[Fd]]*Tabelle2[[#This Row],[vy]]/Tabelle2[[#This Row],[v]],0)</f>
        <v>-1.2609815211294393</v>
      </c>
      <c r="M1222">
        <f t="shared" si="212"/>
        <v>-0.84065434741962619</v>
      </c>
      <c r="N1222">
        <f t="shared" si="213"/>
        <v>-1.6813086948392526E-2</v>
      </c>
      <c r="O1222">
        <f t="shared" si="214"/>
        <v>-1.7392019138984471</v>
      </c>
      <c r="P1222" s="1">
        <f t="shared" si="216"/>
        <v>9.5211403261977559</v>
      </c>
      <c r="Q1222" s="1">
        <f t="shared" si="217"/>
        <v>-86.951689151448164</v>
      </c>
      <c r="R1222">
        <f>SQRT(Tabelle2[[#This Row],[vx]]*Tabelle2[[#This Row],[vx]]+Tabelle2[[#This Row],[vy]]*Tabelle2[[#This Row],[vy]])</f>
        <v>87.471414527268379</v>
      </c>
      <c r="S1222">
        <f t="shared" si="218"/>
        <v>732.10760592582335</v>
      </c>
      <c r="T1222" s="1">
        <f t="shared" si="219"/>
        <v>-883.44227712947168</v>
      </c>
    </row>
    <row r="1223" spans="6:20" x14ac:dyDescent="0.35">
      <c r="F1223" s="1">
        <f t="shared" si="215"/>
        <v>24.399999999999569</v>
      </c>
      <c r="G1223">
        <f>1/2*$B$8*$B$6*$B$7*(Tabelle2[[#This Row],[vx]]*Tabelle2[[#This Row],[vx]]+Tabelle2[[#This Row],[vy]]*Tabelle2[[#This Row],[vy]])/1000000</f>
        <v>13.538947077869008</v>
      </c>
      <c r="H1223">
        <f>IF($B$3,-Tabelle2[[#This Row],[Fd]]*Tabelle2[[#This Row],[vx]]/Tabelle2[[#This Row],[v]],0)</f>
        <v>-1.4704099469138885</v>
      </c>
      <c r="I1223">
        <f t="shared" si="209"/>
        <v>-0.98027329794259233</v>
      </c>
      <c r="J1223">
        <f t="shared" si="210"/>
        <v>-1.9605465958851848E-2</v>
      </c>
      <c r="K1223">
        <f t="shared" si="211"/>
        <v>0.18983389739804959</v>
      </c>
      <c r="L1223">
        <f>-$B$5*$B$12-IF($B$3,Tabelle2[[#This Row],[Fd]]*Tabelle2[[#This Row],[vy]]/Tabelle2[[#This Row],[v]],0)</f>
        <v>-1.25613739704003</v>
      </c>
      <c r="M1223">
        <f t="shared" si="212"/>
        <v>-0.83742493136002005</v>
      </c>
      <c r="N1223">
        <f t="shared" si="213"/>
        <v>-1.67484986272004E-2</v>
      </c>
      <c r="O1223">
        <f t="shared" si="214"/>
        <v>-1.7395375297542033</v>
      </c>
      <c r="P1223" s="1">
        <f t="shared" si="216"/>
        <v>9.5014976028819049</v>
      </c>
      <c r="Q1223" s="1">
        <f t="shared" si="217"/>
        <v>-86.968502238396553</v>
      </c>
      <c r="R1223">
        <f>SQRT(Tabelle2[[#This Row],[vx]]*Tabelle2[[#This Row],[vx]]+Tabelle2[[#This Row],[vy]]*Tabelle2[[#This Row],[vy]])</f>
        <v>87.485992240401302</v>
      </c>
      <c r="S1223">
        <f t="shared" si="218"/>
        <v>732.29783230511418</v>
      </c>
      <c r="T1223" s="1">
        <f t="shared" si="219"/>
        <v>-885.18147904337013</v>
      </c>
    </row>
    <row r="1224" spans="6:20" x14ac:dyDescent="0.35">
      <c r="F1224" s="1">
        <f t="shared" si="215"/>
        <v>24.419999999999568</v>
      </c>
      <c r="G1224">
        <f>1/2*$B$8*$B$6*$B$7*(Tabelle2[[#This Row],[vx]]*Tabelle2[[#This Row],[vx]]+Tabelle2[[#This Row],[vy]]*Tabelle2[[#This Row],[vy]])/1000000</f>
        <v>13.543442405911547</v>
      </c>
      <c r="H1224">
        <f>IF($B$3,-Tabelle2[[#This Row],[Fd]]*Tabelle2[[#This Row],[vx]]/Tabelle2[[#This Row],[v]],0)</f>
        <v>-1.4676194770253939</v>
      </c>
      <c r="I1224">
        <f t="shared" si="209"/>
        <v>-0.97841298468359594</v>
      </c>
      <c r="J1224">
        <f t="shared" si="210"/>
        <v>-1.956825969367192E-2</v>
      </c>
      <c r="K1224">
        <f t="shared" si="211"/>
        <v>0.18944216014152435</v>
      </c>
      <c r="L1224">
        <f>-$B$5*$B$12-IF($B$3,Tabelle2[[#This Row],[Fd]]*Tabelle2[[#This Row],[vy]]/Tabelle2[[#This Row],[v]],0)</f>
        <v>-1.2513108594672762</v>
      </c>
      <c r="M1224">
        <f t="shared" si="212"/>
        <v>-0.83420723964485077</v>
      </c>
      <c r="N1224">
        <f t="shared" si="213"/>
        <v>-1.6684144792897017E-2</v>
      </c>
      <c r="O1224">
        <f t="shared" si="214"/>
        <v>-1.7398718561884039</v>
      </c>
      <c r="P1224" s="1">
        <f t="shared" si="216"/>
        <v>9.4818921369230527</v>
      </c>
      <c r="Q1224" s="1">
        <f t="shared" si="217"/>
        <v>-86.985250737023748</v>
      </c>
      <c r="R1224">
        <f>SQRT(Tabelle2[[#This Row],[vx]]*Tabelle2[[#This Row],[vx]]+Tabelle2[[#This Row],[vy]]*Tabelle2[[#This Row],[vy]])</f>
        <v>87.500514994365233</v>
      </c>
      <c r="S1224">
        <f t="shared" si="218"/>
        <v>732.48766620251229</v>
      </c>
      <c r="T1224" s="1">
        <f t="shared" si="219"/>
        <v>-886.92101657312435</v>
      </c>
    </row>
    <row r="1225" spans="6:20" x14ac:dyDescent="0.35">
      <c r="F1225" s="1">
        <f t="shared" si="215"/>
        <v>24.439999999999568</v>
      </c>
      <c r="G1225">
        <f>1/2*$B$8*$B$6*$B$7*(Tabelle2[[#This Row],[vx]]*Tabelle2[[#This Row],[vx]]+Tabelle2[[#This Row],[vy]]*Tabelle2[[#This Row],[vy]])/1000000</f>
        <v>13.547921523702142</v>
      </c>
      <c r="H1225">
        <f>IF($B$3,-Tabelle2[[#This Row],[Fd]]*Tabelle2[[#This Row],[vx]]/Tabelle2[[#This Row],[v]],0)</f>
        <v>-1.4648328429309401</v>
      </c>
      <c r="I1225">
        <f t="shared" si="209"/>
        <v>-0.97655522862062671</v>
      </c>
      <c r="J1225">
        <f t="shared" si="210"/>
        <v>-1.9531104572412535E-2</v>
      </c>
      <c r="K1225">
        <f t="shared" si="211"/>
        <v>0.1890511664988635</v>
      </c>
      <c r="L1225">
        <f>-$B$5*$B$12-IF($B$3,Tabelle2[[#This Row],[Fd]]*Tabelle2[[#This Row],[vy]]/Tabelle2[[#This Row],[v]],0)</f>
        <v>-1.2465018522976123</v>
      </c>
      <c r="M1225">
        <f t="shared" si="212"/>
        <v>-0.83100123486507493</v>
      </c>
      <c r="N1225">
        <f t="shared" si="213"/>
        <v>-1.6620024697301498E-2</v>
      </c>
      <c r="O1225">
        <f t="shared" si="214"/>
        <v>-1.7402048978833058</v>
      </c>
      <c r="P1225" s="1">
        <f t="shared" si="216"/>
        <v>9.4623238772293803</v>
      </c>
      <c r="Q1225" s="1">
        <f t="shared" si="217"/>
        <v>-87.001934881816638</v>
      </c>
      <c r="R1225">
        <f>SQRT(Tabelle2[[#This Row],[vx]]*Tabelle2[[#This Row],[vx]]+Tabelle2[[#This Row],[vy]]*Tabelle2[[#This Row],[vy]])</f>
        <v>87.514982981986847</v>
      </c>
      <c r="S1225">
        <f t="shared" si="218"/>
        <v>732.67710836265383</v>
      </c>
      <c r="T1225" s="1">
        <f t="shared" si="219"/>
        <v>-888.66088842931276</v>
      </c>
    </row>
    <row r="1226" spans="6:20" x14ac:dyDescent="0.35">
      <c r="F1226" s="1">
        <f t="shared" si="215"/>
        <v>24.459999999999567</v>
      </c>
      <c r="G1226">
        <f>1/2*$B$8*$B$6*$B$7*(Tabelle2[[#This Row],[vx]]*Tabelle2[[#This Row],[vx]]+Tabelle2[[#This Row],[vy]]*Tabelle2[[#This Row],[vy]])/1000000</f>
        <v>13.552384482367541</v>
      </c>
      <c r="H1226">
        <f>IF($B$3,-Tabelle2[[#This Row],[Fd]]*Tabelle2[[#This Row],[vx]]/Tabelle2[[#This Row],[v]],0)</f>
        <v>-1.4620500484670105</v>
      </c>
      <c r="I1226">
        <f t="shared" si="209"/>
        <v>-0.97470003231134028</v>
      </c>
      <c r="J1226">
        <f t="shared" si="210"/>
        <v>-1.9494000646226806E-2</v>
      </c>
      <c r="K1226">
        <f t="shared" si="211"/>
        <v>0.18866091544667712</v>
      </c>
      <c r="L1226">
        <f>-$B$5*$B$12-IF($B$3,Tabelle2[[#This Row],[Fd]]*Tabelle2[[#This Row],[vy]]/Tabelle2[[#This Row],[v]],0)</f>
        <v>-1.2417103195361339</v>
      </c>
      <c r="M1226">
        <f t="shared" si="212"/>
        <v>-0.82780687969075595</v>
      </c>
      <c r="N1226">
        <f t="shared" si="213"/>
        <v>-1.6556137593815121E-2</v>
      </c>
      <c r="O1226">
        <f t="shared" si="214"/>
        <v>-1.7405366595062171</v>
      </c>
      <c r="P1226" s="1">
        <f t="shared" si="216"/>
        <v>9.4427927726569685</v>
      </c>
      <c r="Q1226" s="1">
        <f t="shared" si="217"/>
        <v>-87.018554906513941</v>
      </c>
      <c r="R1226">
        <f>SQRT(Tabelle2[[#This Row],[vx]]*Tabelle2[[#This Row],[vx]]+Tabelle2[[#This Row],[vy]]*Tabelle2[[#This Row],[vy]])</f>
        <v>87.529396395527172</v>
      </c>
      <c r="S1226">
        <f t="shared" si="218"/>
        <v>732.8661595291527</v>
      </c>
      <c r="T1226" s="1">
        <f t="shared" si="219"/>
        <v>-890.40109332719612</v>
      </c>
    </row>
    <row r="1227" spans="6:20" x14ac:dyDescent="0.35">
      <c r="F1227" s="1">
        <f t="shared" si="215"/>
        <v>24.479999999999567</v>
      </c>
      <c r="G1227">
        <f>1/2*$B$8*$B$6*$B$7*(Tabelle2[[#This Row],[vx]]*Tabelle2[[#This Row],[vx]]+Tabelle2[[#This Row],[vy]]*Tabelle2[[#This Row],[vy]])/1000000</f>
        <v>13.556831332930404</v>
      </c>
      <c r="H1227">
        <f>IF($B$3,-Tabelle2[[#This Row],[Fd]]*Tabelle2[[#This Row],[vx]]/Tabelle2[[#This Row],[v]],0)</f>
        <v>-1.4592710973994074</v>
      </c>
      <c r="I1227">
        <f t="shared" si="209"/>
        <v>-0.97284739826627165</v>
      </c>
      <c r="J1227">
        <f t="shared" si="210"/>
        <v>-1.9456947965325433E-2</v>
      </c>
      <c r="K1227">
        <f t="shared" si="211"/>
        <v>0.18827140596056161</v>
      </c>
      <c r="L1227">
        <f>-$B$5*$B$12-IF($B$3,Tabelle2[[#This Row],[Fd]]*Tabelle2[[#This Row],[vy]]/Tabelle2[[#This Row],[v]],0)</f>
        <v>-1.2369362053068507</v>
      </c>
      <c r="M1227">
        <f t="shared" si="212"/>
        <v>-0.82462413687123381</v>
      </c>
      <c r="N1227">
        <f t="shared" si="213"/>
        <v>-1.6492482737424676E-2</v>
      </c>
      <c r="O1227">
        <f t="shared" si="214"/>
        <v>-1.7408671457095293</v>
      </c>
      <c r="P1227" s="1">
        <f t="shared" si="216"/>
        <v>9.4232987720107424</v>
      </c>
      <c r="Q1227" s="1">
        <f t="shared" si="217"/>
        <v>-87.035111044107751</v>
      </c>
      <c r="R1227">
        <f>SQRT(Tabelle2[[#This Row],[vx]]*Tabelle2[[#This Row],[vx]]+Tabelle2[[#This Row],[vy]]*Tabelle2[[#This Row],[vy]])</f>
        <v>87.543755426682182</v>
      </c>
      <c r="S1227">
        <f t="shared" si="218"/>
        <v>733.05482044459939</v>
      </c>
      <c r="T1227" s="1">
        <f t="shared" si="219"/>
        <v>-892.14162998670236</v>
      </c>
    </row>
    <row r="1228" spans="6:20" x14ac:dyDescent="0.35">
      <c r="F1228" s="1">
        <f t="shared" si="215"/>
        <v>24.499999999999567</v>
      </c>
      <c r="G1228">
        <f>1/2*$B$8*$B$6*$B$7*(Tabelle2[[#This Row],[vx]]*Tabelle2[[#This Row],[vx]]+Tabelle2[[#This Row],[vy]]*Tabelle2[[#This Row],[vy]])/1000000</f>
        <v>13.561262126309042</v>
      </c>
      <c r="H1228">
        <f>IF($B$3,-Tabelle2[[#This Row],[Fd]]*Tabelle2[[#This Row],[vx]]/Tabelle2[[#This Row],[v]],0)</f>
        <v>-1.456495993423677</v>
      </c>
      <c r="I1228">
        <f t="shared" si="209"/>
        <v>-0.97099732894911794</v>
      </c>
      <c r="J1228">
        <f t="shared" si="210"/>
        <v>-1.9419946578982359E-2</v>
      </c>
      <c r="K1228">
        <f t="shared" si="211"/>
        <v>0.18788263701511854</v>
      </c>
      <c r="L1228">
        <f>-$B$5*$B$12-IF($B$3,Tabelle2[[#This Row],[Fd]]*Tabelle2[[#This Row],[vy]]/Tabelle2[[#This Row],[v]],0)</f>
        <v>-1.2321794538529591</v>
      </c>
      <c r="M1228">
        <f t="shared" si="212"/>
        <v>-0.82145296923530609</v>
      </c>
      <c r="N1228">
        <f t="shared" si="213"/>
        <v>-1.642905938470612E-2</v>
      </c>
      <c r="O1228">
        <f t="shared" si="214"/>
        <v>-1.7411963611307506</v>
      </c>
      <c r="P1228" s="1">
        <f t="shared" si="216"/>
        <v>9.4038418240454167</v>
      </c>
      <c r="Q1228" s="1">
        <f t="shared" si="217"/>
        <v>-87.05160352684517</v>
      </c>
      <c r="R1228">
        <f>SQRT(Tabelle2[[#This Row],[vx]]*Tabelle2[[#This Row],[vx]]+Tabelle2[[#This Row],[vy]]*Tabelle2[[#This Row],[vy]])</f>
        <v>87.558060266583738</v>
      </c>
      <c r="S1228">
        <f t="shared" si="218"/>
        <v>733.24309185055995</v>
      </c>
      <c r="T1228" s="1">
        <f t="shared" si="219"/>
        <v>-893.88249713241191</v>
      </c>
    </row>
    <row r="1229" spans="6:20" x14ac:dyDescent="0.35">
      <c r="F1229" s="1">
        <f t="shared" si="215"/>
        <v>24.519999999999566</v>
      </c>
      <c r="G1229">
        <f>1/2*$B$8*$B$6*$B$7*(Tabelle2[[#This Row],[vx]]*Tabelle2[[#This Row],[vx]]+Tabelle2[[#This Row],[vy]]*Tabelle2[[#This Row],[vy]])/1000000</f>
        <v>13.565676913317141</v>
      </c>
      <c r="H1229">
        <f>IF($B$3,-Tabelle2[[#This Row],[Fd]]*Tabelle2[[#This Row],[vx]]/Tabelle2[[#This Row],[v]],0)</f>
        <v>-1.453724740165534</v>
      </c>
      <c r="I1229">
        <f t="shared" si="209"/>
        <v>-0.96914982677702266</v>
      </c>
      <c r="J1229">
        <f t="shared" si="210"/>
        <v>-1.9382996535540455E-2</v>
      </c>
      <c r="K1229">
        <f t="shared" si="211"/>
        <v>0.18749460758397329</v>
      </c>
      <c r="L1229">
        <f>-$B$5*$B$12-IF($B$3,Tabelle2[[#This Row],[Fd]]*Tabelle2[[#This Row],[vy]]/Tabelle2[[#This Row],[v]],0)</f>
        <v>-1.227440009537073</v>
      </c>
      <c r="M1229">
        <f t="shared" si="212"/>
        <v>-0.81829333969138196</v>
      </c>
      <c r="N1229">
        <f t="shared" si="213"/>
        <v>-1.6365866793827639E-2</v>
      </c>
      <c r="O1229">
        <f t="shared" si="214"/>
        <v>-1.7415243103925357</v>
      </c>
      <c r="P1229" s="1">
        <f t="shared" si="216"/>
        <v>9.3844218774664352</v>
      </c>
      <c r="Q1229" s="1">
        <f t="shared" si="217"/>
        <v>-87.068032586229876</v>
      </c>
      <c r="R1229">
        <f>SQRT(Tabelle2[[#This Row],[vx]]*Tabelle2[[#This Row],[vx]]+Tabelle2[[#This Row],[vy]]*Tabelle2[[#This Row],[vy]])</f>
        <v>87.57231110580021</v>
      </c>
      <c r="S1229">
        <f t="shared" si="218"/>
        <v>733.4309744875751</v>
      </c>
      <c r="T1229" s="1">
        <f t="shared" si="219"/>
        <v>-895.62369349354265</v>
      </c>
    </row>
    <row r="1230" spans="6:20" x14ac:dyDescent="0.35">
      <c r="F1230" s="1">
        <f t="shared" si="215"/>
        <v>24.539999999999566</v>
      </c>
      <c r="G1230">
        <f>1/2*$B$8*$B$6*$B$7*(Tabelle2[[#This Row],[vx]]*Tabelle2[[#This Row],[vx]]+Tabelle2[[#This Row],[vy]]*Tabelle2[[#This Row],[vy]])/1000000</f>
        <v>13.570075744663495</v>
      </c>
      <c r="H1230">
        <f>IF($B$3,-Tabelle2[[#This Row],[Fd]]*Tabelle2[[#This Row],[vx]]/Tabelle2[[#This Row],[v]],0)</f>
        <v>-1.4509573411812822</v>
      </c>
      <c r="I1230">
        <f t="shared" si="209"/>
        <v>-0.96730489412085474</v>
      </c>
      <c r="J1230">
        <f t="shared" si="210"/>
        <v>-1.9346097882417094E-2</v>
      </c>
      <c r="K1230">
        <f t="shared" si="211"/>
        <v>0.18710731663979374</v>
      </c>
      <c r="L1230">
        <f>-$B$5*$B$12-IF($B$3,Tabelle2[[#This Row],[Fd]]*Tabelle2[[#This Row],[vy]]/Tabelle2[[#This Row],[v]],0)</f>
        <v>-1.2227178168414863</v>
      </c>
      <c r="M1230">
        <f t="shared" si="212"/>
        <v>-0.81514521122765748</v>
      </c>
      <c r="N1230">
        <f t="shared" si="213"/>
        <v>-1.630290422455315E-2</v>
      </c>
      <c r="O1230">
        <f t="shared" si="214"/>
        <v>-1.7418509981027197</v>
      </c>
      <c r="P1230" s="1">
        <f t="shared" si="216"/>
        <v>9.3650388809308946</v>
      </c>
      <c r="Q1230" s="1">
        <f t="shared" si="217"/>
        <v>-87.084398453023709</v>
      </c>
      <c r="R1230">
        <f>SQRT(Tabelle2[[#This Row],[vx]]*Tabelle2[[#This Row],[vx]]+Tabelle2[[#This Row],[vy]]*Tabelle2[[#This Row],[vy]])</f>
        <v>87.586508134337365</v>
      </c>
      <c r="S1230">
        <f t="shared" si="218"/>
        <v>733.61846909515907</v>
      </c>
      <c r="T1230" s="1">
        <f t="shared" si="219"/>
        <v>-897.36521780393514</v>
      </c>
    </row>
    <row r="1231" spans="6:20" x14ac:dyDescent="0.35">
      <c r="F1231" s="1">
        <f t="shared" si="215"/>
        <v>24.559999999999565</v>
      </c>
      <c r="G1231">
        <f>1/2*$B$8*$B$6*$B$7*(Tabelle2[[#This Row],[vx]]*Tabelle2[[#This Row],[vx]]+Tabelle2[[#This Row],[vy]]*Tabelle2[[#This Row],[vy]])/1000000</f>
        <v>13.574458670951739</v>
      </c>
      <c r="H1231">
        <f>IF($B$3,-Tabelle2[[#This Row],[Fd]]*Tabelle2[[#This Row],[vx]]/Tabelle2[[#This Row],[v]],0)</f>
        <v>-1.4481937999582344</v>
      </c>
      <c r="I1231">
        <f t="shared" si="209"/>
        <v>-0.96546253330548959</v>
      </c>
      <c r="J1231">
        <f t="shared" si="210"/>
        <v>-1.9309250666109792E-2</v>
      </c>
      <c r="K1231">
        <f t="shared" si="211"/>
        <v>0.18672076315430847</v>
      </c>
      <c r="L1231">
        <f>-$B$5*$B$12-IF($B$3,Tabelle2[[#This Row],[Fd]]*Tabelle2[[#This Row],[vy]]/Tabelle2[[#This Row],[v]],0)</f>
        <v>-1.2180128203684166</v>
      </c>
      <c r="M1231">
        <f t="shared" si="212"/>
        <v>-0.81200854691227775</v>
      </c>
      <c r="N1231">
        <f t="shared" si="213"/>
        <v>-1.6240170938245556E-2</v>
      </c>
      <c r="O1231">
        <f t="shared" si="214"/>
        <v>-1.7421764288543478</v>
      </c>
      <c r="P1231" s="1">
        <f t="shared" si="216"/>
        <v>9.3456927830484773</v>
      </c>
      <c r="Q1231" s="1">
        <f t="shared" si="217"/>
        <v>-87.100701357248269</v>
      </c>
      <c r="R1231">
        <f>SQRT(Tabelle2[[#This Row],[vx]]*Tabelle2[[#This Row],[vx]]+Tabelle2[[#This Row],[vy]]*Tabelle2[[#This Row],[vy]])</f>
        <v>87.600651541639095</v>
      </c>
      <c r="S1231">
        <f t="shared" si="218"/>
        <v>733.80557641179882</v>
      </c>
      <c r="T1231" s="1">
        <f t="shared" si="219"/>
        <v>-899.10706880203782</v>
      </c>
    </row>
    <row r="1232" spans="6:20" x14ac:dyDescent="0.35">
      <c r="F1232" s="1">
        <f t="shared" si="215"/>
        <v>24.579999999999565</v>
      </c>
      <c r="G1232">
        <f>1/2*$B$8*$B$6*$B$7*(Tabelle2[[#This Row],[vx]]*Tabelle2[[#This Row],[vx]]+Tabelle2[[#This Row],[vy]]*Tabelle2[[#This Row],[vy]])/1000000</f>
        <v>13.578825742680106</v>
      </c>
      <c r="H1232">
        <f>IF($B$3,-Tabelle2[[#This Row],[Fd]]*Tabelle2[[#This Row],[vx]]/Tabelle2[[#This Row],[v]],0)</f>
        <v>-1.445434119915133</v>
      </c>
      <c r="I1232">
        <f t="shared" si="209"/>
        <v>-0.96362274661008873</v>
      </c>
      <c r="J1232">
        <f t="shared" si="210"/>
        <v>-1.9272454932201775E-2</v>
      </c>
      <c r="K1232">
        <f t="shared" si="211"/>
        <v>0.18633494609832532</v>
      </c>
      <c r="L1232">
        <f>-$B$5*$B$12-IF($B$3,Tabelle2[[#This Row],[Fd]]*Tabelle2[[#This Row],[vy]]/Tabelle2[[#This Row],[v]],0)</f>
        <v>-1.2133249648402114</v>
      </c>
      <c r="M1232">
        <f t="shared" si="212"/>
        <v>-0.80888330989347423</v>
      </c>
      <c r="N1232">
        <f t="shared" si="213"/>
        <v>-1.6177666197869485E-2</v>
      </c>
      <c r="O1232">
        <f t="shared" si="214"/>
        <v>-1.7425006072257092</v>
      </c>
      <c r="P1232" s="1">
        <f t="shared" si="216"/>
        <v>9.3263835323823674</v>
      </c>
      <c r="Q1232" s="1">
        <f t="shared" si="217"/>
        <v>-87.116941528186516</v>
      </c>
      <c r="R1232">
        <f>SQRT(Tabelle2[[#This Row],[vx]]*Tabelle2[[#This Row],[vx]]+Tabelle2[[#This Row],[vy]]*Tabelle2[[#This Row],[vy]])</f>
        <v>87.614741516588182</v>
      </c>
      <c r="S1232">
        <f t="shared" si="218"/>
        <v>733.99229717495314</v>
      </c>
      <c r="T1232" s="1">
        <f t="shared" si="219"/>
        <v>-900.84924523089217</v>
      </c>
    </row>
    <row r="1233" spans="6:20" x14ac:dyDescent="0.35">
      <c r="F1233" s="1">
        <f t="shared" si="215"/>
        <v>24.599999999999564</v>
      </c>
      <c r="G1233">
        <f>1/2*$B$8*$B$6*$B$7*(Tabelle2[[#This Row],[vx]]*Tabelle2[[#This Row],[vx]]+Tabelle2[[#This Row],[vy]]*Tabelle2[[#This Row],[vy]])/1000000</f>
        <v>13.583177010241174</v>
      </c>
      <c r="H1233">
        <f>IF($B$3,-Tabelle2[[#This Row],[Fd]]*Tabelle2[[#This Row],[vx]]/Tabelle2[[#This Row],[v]],0)</f>
        <v>-1.4426783044025648</v>
      </c>
      <c r="I1233">
        <f t="shared" si="209"/>
        <v>-0.9617855362683766</v>
      </c>
      <c r="J1233">
        <f t="shared" si="210"/>
        <v>-1.9235710725367533E-2</v>
      </c>
      <c r="K1233">
        <f t="shared" si="211"/>
        <v>0.18594986444174963</v>
      </c>
      <c r="L1233">
        <f>-$B$5*$B$12-IF($B$3,Tabelle2[[#This Row],[Fd]]*Tabelle2[[#This Row],[vy]]/Tabelle2[[#This Row],[v]],0)</f>
        <v>-1.2086541950996033</v>
      </c>
      <c r="M1233">
        <f t="shared" si="212"/>
        <v>-0.80576946339973554</v>
      </c>
      <c r="N1233">
        <f t="shared" si="213"/>
        <v>-1.6115389267994711E-2</v>
      </c>
      <c r="O1233">
        <f t="shared" si="214"/>
        <v>-1.7428235377803676</v>
      </c>
      <c r="P1233" s="1">
        <f t="shared" si="216"/>
        <v>9.3071110774501662</v>
      </c>
      <c r="Q1233" s="1">
        <f t="shared" si="217"/>
        <v>-87.133119194384392</v>
      </c>
      <c r="R1233">
        <f>SQRT(Tabelle2[[#This Row],[vx]]*Tabelle2[[#This Row],[vx]]+Tabelle2[[#This Row],[vy]]*Tabelle2[[#This Row],[vy]])</f>
        <v>87.628778247507213</v>
      </c>
      <c r="S1233">
        <f t="shared" si="218"/>
        <v>734.17863212105146</v>
      </c>
      <c r="T1233" s="1">
        <f t="shared" si="219"/>
        <v>-902.59174583811784</v>
      </c>
    </row>
    <row r="1234" spans="6:20" x14ac:dyDescent="0.35">
      <c r="F1234" s="1">
        <f t="shared" si="215"/>
        <v>24.619999999999564</v>
      </c>
      <c r="G1234">
        <f>1/2*$B$8*$B$6*$B$7*(Tabelle2[[#This Row],[vx]]*Tabelle2[[#This Row],[vx]]+Tabelle2[[#This Row],[vy]]*Tabelle2[[#This Row],[vy]])/1000000</f>
        <v>13.587512523921614</v>
      </c>
      <c r="H1234">
        <f>IF($B$3,-Tabelle2[[#This Row],[Fd]]*Tabelle2[[#This Row],[vx]]/Tabelle2[[#This Row],[v]],0)</f>
        <v>-1.4399263567033778</v>
      </c>
      <c r="I1234">
        <f t="shared" si="209"/>
        <v>-0.95995090446891851</v>
      </c>
      <c r="J1234">
        <f t="shared" si="210"/>
        <v>-1.9199018089378371E-2</v>
      </c>
      <c r="K1234">
        <f t="shared" si="211"/>
        <v>0.18556551715360223</v>
      </c>
      <c r="L1234">
        <f>-$B$5*$B$12-IF($B$3,Tabelle2[[#This Row],[Fd]]*Tabelle2[[#This Row],[vy]]/Tabelle2[[#This Row],[v]],0)</f>
        <v>-1.2040004561099309</v>
      </c>
      <c r="M1234">
        <f t="shared" si="212"/>
        <v>-0.80266697073995397</v>
      </c>
      <c r="N1234">
        <f t="shared" si="213"/>
        <v>-1.605333941479908E-2</v>
      </c>
      <c r="O1234">
        <f t="shared" si="214"/>
        <v>-1.7431452250671959</v>
      </c>
      <c r="P1234" s="1">
        <f t="shared" si="216"/>
        <v>9.2878753667247995</v>
      </c>
      <c r="Q1234" s="1">
        <f t="shared" si="217"/>
        <v>-87.149234583652387</v>
      </c>
      <c r="R1234">
        <f>SQRT(Tabelle2[[#This Row],[vx]]*Tabelle2[[#This Row],[vx]]+Tabelle2[[#This Row],[vy]]*Tabelle2[[#This Row],[vy]])</f>
        <v>87.642761922159238</v>
      </c>
      <c r="S1234">
        <f t="shared" si="218"/>
        <v>734.36458198549326</v>
      </c>
      <c r="T1234" s="1">
        <f t="shared" si="219"/>
        <v>-904.33456937589824</v>
      </c>
    </row>
    <row r="1235" spans="6:20" x14ac:dyDescent="0.35">
      <c r="F1235" s="1">
        <f t="shared" si="215"/>
        <v>24.639999999999564</v>
      </c>
      <c r="G1235">
        <f>1/2*$B$8*$B$6*$B$7*(Tabelle2[[#This Row],[vx]]*Tabelle2[[#This Row],[vx]]+Tabelle2[[#This Row],[vy]]*Tabelle2[[#This Row],[vy]])/1000000</f>
        <v>13.591832333901955</v>
      </c>
      <c r="H1235">
        <f>IF($B$3,-Tabelle2[[#This Row],[Fd]]*Tabelle2[[#This Row],[vx]]/Tabelle2[[#This Row],[v]],0)</f>
        <v>-1.437178280033093</v>
      </c>
      <c r="I1235">
        <f t="shared" si="209"/>
        <v>-0.95811885335539537</v>
      </c>
      <c r="J1235">
        <f t="shared" si="210"/>
        <v>-1.9162377067107907E-2</v>
      </c>
      <c r="K1235">
        <f t="shared" si="211"/>
        <v>0.18518190320203737</v>
      </c>
      <c r="L1235">
        <f>-$B$5*$B$12-IF($B$3,Tabelle2[[#This Row],[Fd]]*Tabelle2[[#This Row],[vy]]/Tabelle2[[#This Row],[v]],0)</f>
        <v>-1.1993636929553411</v>
      </c>
      <c r="M1235">
        <f t="shared" si="212"/>
        <v>-0.79957579530356071</v>
      </c>
      <c r="N1235">
        <f t="shared" si="213"/>
        <v>-1.5991515906071216E-2</v>
      </c>
      <c r="O1235">
        <f t="shared" si="214"/>
        <v>-1.7434656736204044</v>
      </c>
      <c r="P1235" s="1">
        <f t="shared" si="216"/>
        <v>9.268676348635422</v>
      </c>
      <c r="Q1235" s="1">
        <f t="shared" si="217"/>
        <v>-87.165287923067183</v>
      </c>
      <c r="R1235">
        <f>SQRT(Tabelle2[[#This Row],[vx]]*Tabelle2[[#This Row],[vx]]+Tabelle2[[#This Row],[vy]]*Tabelle2[[#This Row],[vy]])</f>
        <v>87.65669272774872</v>
      </c>
      <c r="S1235">
        <f t="shared" si="218"/>
        <v>734.55014750264684</v>
      </c>
      <c r="T1235" s="1">
        <f t="shared" si="219"/>
        <v>-906.07771460096546</v>
      </c>
    </row>
    <row r="1236" spans="6:20" x14ac:dyDescent="0.35">
      <c r="F1236" s="1">
        <f t="shared" si="215"/>
        <v>24.659999999999563</v>
      </c>
      <c r="G1236">
        <f>1/2*$B$8*$B$6*$B$7*(Tabelle2[[#This Row],[vx]]*Tabelle2[[#This Row],[vx]]+Tabelle2[[#This Row],[vy]]*Tabelle2[[#This Row],[vy]])/1000000</f>
        <v>13.596136490256351</v>
      </c>
      <c r="H1236">
        <f>IF($B$3,-Tabelle2[[#This Row],[Fd]]*Tabelle2[[#This Row],[vx]]/Tabelle2[[#This Row],[v]],0)</f>
        <v>-1.4344340775403197</v>
      </c>
      <c r="I1236">
        <f t="shared" si="209"/>
        <v>-0.95628938502687977</v>
      </c>
      <c r="J1236">
        <f t="shared" si="210"/>
        <v>-1.9125787700537595E-2</v>
      </c>
      <c r="K1236">
        <f t="shared" si="211"/>
        <v>0.1847990215543609</v>
      </c>
      <c r="L1236">
        <f>-$B$5*$B$12-IF($B$3,Tabelle2[[#This Row],[Fd]]*Tabelle2[[#This Row],[vy]]/Tabelle2[[#This Row],[v]],0)</f>
        <v>-1.1947438508410162</v>
      </c>
      <c r="M1236">
        <f t="shared" si="212"/>
        <v>-0.79649590056067743</v>
      </c>
      <c r="N1236">
        <f t="shared" si="213"/>
        <v>-1.5929918011213549E-2</v>
      </c>
      <c r="O1236">
        <f t="shared" si="214"/>
        <v>-1.7437848879595772</v>
      </c>
      <c r="P1236" s="1">
        <f t="shared" si="216"/>
        <v>9.2495139715683141</v>
      </c>
      <c r="Q1236" s="1">
        <f t="shared" si="217"/>
        <v>-87.181279438973249</v>
      </c>
      <c r="R1236">
        <f>SQRT(Tabelle2[[#This Row],[vx]]*Tabelle2[[#This Row],[vx]]+Tabelle2[[#This Row],[vy]]*Tabelle2[[#This Row],[vy]])</f>
        <v>87.670570850922246</v>
      </c>
      <c r="S1236">
        <f t="shared" si="218"/>
        <v>734.73532940584892</v>
      </c>
      <c r="T1236" s="1">
        <f t="shared" si="219"/>
        <v>-907.82118027458591</v>
      </c>
    </row>
    <row r="1237" spans="6:20" x14ac:dyDescent="0.35">
      <c r="F1237" s="1">
        <f t="shared" si="215"/>
        <v>24.679999999999563</v>
      </c>
      <c r="G1237">
        <f>1/2*$B$8*$B$6*$B$7*(Tabelle2[[#This Row],[vx]]*Tabelle2[[#This Row],[vx]]+Tabelle2[[#This Row],[vy]]*Tabelle2[[#This Row],[vy]])/1000000</f>
        <v>13.600425042952351</v>
      </c>
      <c r="H1237">
        <f>IF($B$3,-Tabelle2[[#This Row],[Fd]]*Tabelle2[[#This Row],[vx]]/Tabelle2[[#This Row],[v]],0)</f>
        <v>-1.4316937523071638</v>
      </c>
      <c r="I1237">
        <f t="shared" si="209"/>
        <v>-0.95446250153810919</v>
      </c>
      <c r="J1237">
        <f t="shared" si="210"/>
        <v>-1.9089250030762183E-2</v>
      </c>
      <c r="K1237">
        <f t="shared" si="211"/>
        <v>0.18441687117704789</v>
      </c>
      <c r="L1237">
        <f>-$B$5*$B$12-IF($B$3,Tabelle2[[#This Row],[Fd]]*Tabelle2[[#This Row],[vy]]/Tabelle2[[#This Row],[v]],0)</f>
        <v>-1.1901408750933697</v>
      </c>
      <c r="M1237">
        <f t="shared" si="212"/>
        <v>-0.79342725006224646</v>
      </c>
      <c r="N1237">
        <f t="shared" si="213"/>
        <v>-1.5868545001244929E-2</v>
      </c>
      <c r="O1237">
        <f t="shared" si="214"/>
        <v>-1.7441028725897016</v>
      </c>
      <c r="P1237" s="1">
        <f t="shared" si="216"/>
        <v>9.2303881838677757</v>
      </c>
      <c r="Q1237" s="1">
        <f t="shared" si="217"/>
        <v>-87.197209356984459</v>
      </c>
      <c r="R1237">
        <f>SQRT(Tabelle2[[#This Row],[vx]]*Tabelle2[[#This Row],[vx]]+Tabelle2[[#This Row],[vy]]*Tabelle2[[#This Row],[vy]])</f>
        <v>87.684396477769425</v>
      </c>
      <c r="S1237">
        <f t="shared" si="218"/>
        <v>734.92012842740326</v>
      </c>
      <c r="T1237" s="1">
        <f t="shared" si="219"/>
        <v>-909.56496516254549</v>
      </c>
    </row>
    <row r="1238" spans="6:20" x14ac:dyDescent="0.35">
      <c r="F1238" s="1">
        <f t="shared" si="215"/>
        <v>24.699999999999562</v>
      </c>
      <c r="G1238">
        <f>1/2*$B$8*$B$6*$B$7*(Tabelle2[[#This Row],[vx]]*Tabelle2[[#This Row],[vx]]+Tabelle2[[#This Row],[vy]]*Tabelle2[[#This Row],[vy]])/1000000</f>
        <v>13.604698041850673</v>
      </c>
      <c r="H1238">
        <f>IF($B$3,-Tabelle2[[#This Row],[Fd]]*Tabelle2[[#This Row],[vx]]/Tabelle2[[#This Row],[v]],0)</f>
        <v>-1.4289573073496373</v>
      </c>
      <c r="I1238">
        <f t="shared" si="209"/>
        <v>-0.95263820489975826</v>
      </c>
      <c r="J1238">
        <f t="shared" si="210"/>
        <v>-1.9052764097995164E-2</v>
      </c>
      <c r="K1238">
        <f t="shared" si="211"/>
        <v>0.18403545103576033</v>
      </c>
      <c r="L1238">
        <f>-$B$5*$B$12-IF($B$3,Tabelle2[[#This Row],[Fd]]*Tabelle2[[#This Row],[vy]]/Tabelle2[[#This Row],[v]],0)</f>
        <v>-1.1855547111602682</v>
      </c>
      <c r="M1238">
        <f t="shared" si="212"/>
        <v>-0.79036980744017882</v>
      </c>
      <c r="N1238">
        <f t="shared" si="213"/>
        <v>-1.5807396148803575E-2</v>
      </c>
      <c r="O1238">
        <f t="shared" si="214"/>
        <v>-1.744419632001202</v>
      </c>
      <c r="P1238" s="1">
        <f t="shared" si="216"/>
        <v>9.2112989338370141</v>
      </c>
      <c r="Q1238" s="1">
        <f t="shared" si="217"/>
        <v>-87.213077901985699</v>
      </c>
      <c r="R1238">
        <f>SQRT(Tabelle2[[#This Row],[vx]]*Tabelle2[[#This Row],[vx]]+Tabelle2[[#This Row],[vy]]*Tabelle2[[#This Row],[vy]])</f>
        <v>87.698169793823709</v>
      </c>
      <c r="S1238">
        <f t="shared" si="218"/>
        <v>735.10454529858032</v>
      </c>
      <c r="T1238" s="1">
        <f t="shared" si="219"/>
        <v>-911.30906803513517</v>
      </c>
    </row>
    <row r="1239" spans="6:20" x14ac:dyDescent="0.35">
      <c r="F1239" s="1">
        <f t="shared" si="215"/>
        <v>24.719999999999562</v>
      </c>
      <c r="G1239">
        <f>1/2*$B$8*$B$6*$B$7*(Tabelle2[[#This Row],[vx]]*Tabelle2[[#This Row],[vx]]+Tabelle2[[#This Row],[vy]]*Tabelle2[[#This Row],[vy]])/1000000</f>
        <v>13.608955536704984</v>
      </c>
      <c r="H1239">
        <f>IF($B$3,-Tabelle2[[#This Row],[Fd]]*Tabelle2[[#This Row],[vx]]/Tabelle2[[#This Row],[v]],0)</f>
        <v>-1.426224745618065</v>
      </c>
      <c r="I1239">
        <f t="shared" si="209"/>
        <v>-0.95081649707870997</v>
      </c>
      <c r="J1239">
        <f t="shared" si="210"/>
        <v>-1.9016329941574199E-2</v>
      </c>
      <c r="K1239">
        <f t="shared" si="211"/>
        <v>0.18365476009536461</v>
      </c>
      <c r="L1239">
        <f>-$B$5*$B$12-IF($B$3,Tabelle2[[#This Row],[Fd]]*Tabelle2[[#This Row],[vy]]/Tabelle2[[#This Row],[v]],0)</f>
        <v>-1.1809853046112035</v>
      </c>
      <c r="M1239">
        <f t="shared" si="212"/>
        <v>-0.78732353640746899</v>
      </c>
      <c r="N1239">
        <f t="shared" si="213"/>
        <v>-1.574647072814938E-2</v>
      </c>
      <c r="O1239">
        <f t="shared" si="214"/>
        <v>-1.7447351706699714</v>
      </c>
      <c r="P1239" s="1">
        <f t="shared" si="216"/>
        <v>9.1922461697390183</v>
      </c>
      <c r="Q1239" s="1">
        <f t="shared" si="217"/>
        <v>-87.2288852981345</v>
      </c>
      <c r="R1239">
        <f>SQRT(Tabelle2[[#This Row],[vx]]*Tabelle2[[#This Row],[vx]]+Tabelle2[[#This Row],[vy]]*Tabelle2[[#This Row],[vy]])</f>
        <v>87.711890984063203</v>
      </c>
      <c r="S1239">
        <f t="shared" si="218"/>
        <v>735.28858074961613</v>
      </c>
      <c r="T1239" s="1">
        <f t="shared" si="219"/>
        <v>-913.05348766713632</v>
      </c>
    </row>
    <row r="1240" spans="6:20" x14ac:dyDescent="0.35">
      <c r="F1240" s="1">
        <f t="shared" si="215"/>
        <v>24.739999999999561</v>
      </c>
      <c r="G1240">
        <f>1/2*$B$8*$B$6*$B$7*(Tabelle2[[#This Row],[vx]]*Tabelle2[[#This Row],[vx]]+Tabelle2[[#This Row],[vy]]*Tabelle2[[#This Row],[vy]])/1000000</f>
        <v>13.613197577161687</v>
      </c>
      <c r="H1240">
        <f>IF($B$3,-Tabelle2[[#This Row],[Fd]]*Tabelle2[[#This Row],[vx]]/Tabelle2[[#This Row],[v]],0)</f>
        <v>-1.4234960699974926</v>
      </c>
      <c r="I1240">
        <f t="shared" si="209"/>
        <v>-0.94899737999832834</v>
      </c>
      <c r="J1240">
        <f t="shared" si="210"/>
        <v>-1.8979947599966566E-2</v>
      </c>
      <c r="K1240">
        <f t="shared" si="211"/>
        <v>0.18327479731994925</v>
      </c>
      <c r="L1240">
        <f>-$B$5*$B$12-IF($B$3,Tabelle2[[#This Row],[Fd]]*Tabelle2[[#This Row],[vy]]/Tabelle2[[#This Row],[v]],0)</f>
        <v>-1.176432601137499</v>
      </c>
      <c r="M1240">
        <f t="shared" si="212"/>
        <v>-0.78428840075833273</v>
      </c>
      <c r="N1240">
        <f t="shared" si="213"/>
        <v>-1.5685768015166655E-2</v>
      </c>
      <c r="O1240">
        <f t="shared" si="214"/>
        <v>-1.7450494930574048</v>
      </c>
      <c r="P1240" s="1">
        <f t="shared" si="216"/>
        <v>9.173229839797445</v>
      </c>
      <c r="Q1240" s="1">
        <f t="shared" si="217"/>
        <v>-87.244631768862646</v>
      </c>
      <c r="R1240">
        <f>SQRT(Tabelle2[[#This Row],[vx]]*Tabelle2[[#This Row],[vx]]+Tabelle2[[#This Row],[vy]]*Tabelle2[[#This Row],[vy]])</f>
        <v>87.725560232911519</v>
      </c>
      <c r="S1240">
        <f t="shared" si="218"/>
        <v>735.47223550971148</v>
      </c>
      <c r="T1240" s="1">
        <f t="shared" si="219"/>
        <v>-914.79822283780629</v>
      </c>
    </row>
    <row r="1241" spans="6:20" x14ac:dyDescent="0.35">
      <c r="F1241" s="1">
        <f t="shared" si="215"/>
        <v>24.759999999999561</v>
      </c>
      <c r="G1241">
        <f>1/2*$B$8*$B$6*$B$7*(Tabelle2[[#This Row],[vx]]*Tabelle2[[#This Row],[vx]]+Tabelle2[[#This Row],[vy]]*Tabelle2[[#This Row],[vy]])/1000000</f>
        <v>13.617424212759714</v>
      </c>
      <c r="H1241">
        <f>IF($B$3,-Tabelle2[[#This Row],[Fd]]*Tabelle2[[#This Row],[vx]]/Tabelle2[[#This Row],[v]],0)</f>
        <v>-1.4207712833080872</v>
      </c>
      <c r="I1241">
        <f t="shared" si="209"/>
        <v>-0.94718085553872478</v>
      </c>
      <c r="J1241">
        <f t="shared" si="210"/>
        <v>-1.8943617110774497E-2</v>
      </c>
      <c r="K1241">
        <f t="shared" si="211"/>
        <v>0.18289556167284182</v>
      </c>
      <c r="L1241">
        <f>-$B$5*$B$12-IF($B$3,Tabelle2[[#This Row],[Fd]]*Tabelle2[[#This Row],[vy]]/Tabelle2[[#This Row],[v]],0)</f>
        <v>-1.1718965465524995</v>
      </c>
      <c r="M1241">
        <f t="shared" si="212"/>
        <v>-0.78126436436833302</v>
      </c>
      <c r="N1241">
        <f t="shared" si="213"/>
        <v>-1.562528728736666E-2</v>
      </c>
      <c r="O1241">
        <f t="shared" si="214"/>
        <v>-1.7453626036104299</v>
      </c>
      <c r="P1241" s="1">
        <f t="shared" si="216"/>
        <v>9.1542498921974786</v>
      </c>
      <c r="Q1241" s="1">
        <f t="shared" si="217"/>
        <v>-87.260317536877807</v>
      </c>
      <c r="R1241">
        <f>SQRT(Tabelle2[[#This Row],[vx]]*Tabelle2[[#This Row],[vx]]+Tabelle2[[#This Row],[vy]]*Tabelle2[[#This Row],[vy]])</f>
        <v>87.739177724238687</v>
      </c>
      <c r="S1241">
        <f t="shared" si="218"/>
        <v>735.65551030703148</v>
      </c>
      <c r="T1241" s="1">
        <f t="shared" si="219"/>
        <v>-916.54327233086372</v>
      </c>
    </row>
    <row r="1242" spans="6:20" x14ac:dyDescent="0.35">
      <c r="F1242" s="1">
        <f t="shared" si="215"/>
        <v>24.779999999999561</v>
      </c>
      <c r="G1242">
        <f>1/2*$B$8*$B$6*$B$7*(Tabelle2[[#This Row],[vx]]*Tabelle2[[#This Row],[vx]]+Tabelle2[[#This Row],[vy]]*Tabelle2[[#This Row],[vy]])/1000000</f>
        <v>13.621635492930318</v>
      </c>
      <c r="H1242">
        <f>IF($B$3,-Tabelle2[[#This Row],[Fd]]*Tabelle2[[#This Row],[vx]]/Tabelle2[[#This Row],[v]],0)</f>
        <v>-1.4180503883055435</v>
      </c>
      <c r="I1242">
        <f t="shared" si="209"/>
        <v>-0.94536692553702906</v>
      </c>
      <c r="J1242">
        <f t="shared" si="210"/>
        <v>-1.8907338510740581E-2</v>
      </c>
      <c r="K1242">
        <f t="shared" si="211"/>
        <v>0.18251705211662667</v>
      </c>
      <c r="L1242">
        <f>-$B$5*$B$12-IF($B$3,Tabelle2[[#This Row],[Fd]]*Tabelle2[[#This Row],[vy]]/Tabelle2[[#This Row],[v]],0)</f>
        <v>-1.1673770867917383</v>
      </c>
      <c r="M1242">
        <f t="shared" si="212"/>
        <v>-0.77825139119449227</v>
      </c>
      <c r="N1242">
        <f t="shared" si="213"/>
        <v>-1.5565027823889846E-2</v>
      </c>
      <c r="O1242">
        <f t="shared" si="214"/>
        <v>-1.7456745067615425</v>
      </c>
      <c r="P1242" s="1">
        <f t="shared" si="216"/>
        <v>9.1353062750867036</v>
      </c>
      <c r="Q1242" s="1">
        <f t="shared" si="217"/>
        <v>-87.27594282416517</v>
      </c>
      <c r="R1242">
        <f>SQRT(Tabelle2[[#This Row],[vx]]*Tabelle2[[#This Row],[vx]]+Tabelle2[[#This Row],[vy]]*Tabelle2[[#This Row],[vy]])</f>
        <v>87.752743641361931</v>
      </c>
      <c r="S1242">
        <f t="shared" si="218"/>
        <v>735.83840586870429</v>
      </c>
      <c r="T1242" s="1">
        <f t="shared" si="219"/>
        <v>-918.28863493447409</v>
      </c>
    </row>
    <row r="1243" spans="6:20" x14ac:dyDescent="0.35">
      <c r="F1243" s="1">
        <f t="shared" si="215"/>
        <v>24.79999999999956</v>
      </c>
      <c r="G1243">
        <f>1/2*$B$8*$B$6*$B$7*(Tabelle2[[#This Row],[vx]]*Tabelle2[[#This Row],[vx]]+Tabelle2[[#This Row],[vy]]*Tabelle2[[#This Row],[vy]])/1000000</f>
        <v>13.625831466996884</v>
      </c>
      <c r="H1243">
        <f>IF($B$3,-Tabelle2[[#This Row],[Fd]]*Tabelle2[[#This Row],[vx]]/Tabelle2[[#This Row],[v]],0)</f>
        <v>-1.4153333876814833</v>
      </c>
      <c r="I1243">
        <f t="shared" si="209"/>
        <v>-0.94355559178765558</v>
      </c>
      <c r="J1243">
        <f t="shared" si="210"/>
        <v>-1.8871111835753112E-2</v>
      </c>
      <c r="K1243">
        <f t="shared" si="211"/>
        <v>0.18213926761316174</v>
      </c>
      <c r="L1243">
        <f>-$B$5*$B$12-IF($B$3,Tabelle2[[#This Row],[Fd]]*Tabelle2[[#This Row],[vy]]/Tabelle2[[#This Row],[v]],0)</f>
        <v>-1.1628741679131203</v>
      </c>
      <c r="M1243">
        <f t="shared" si="212"/>
        <v>-0.77524944527541351</v>
      </c>
      <c r="N1243">
        <f t="shared" si="213"/>
        <v>-1.550498890550827E-2</v>
      </c>
      <c r="O1243">
        <f t="shared" si="214"/>
        <v>-1.7459852069288366</v>
      </c>
      <c r="P1243" s="1">
        <f t="shared" si="216"/>
        <v>9.1163989365759637</v>
      </c>
      <c r="Q1243" s="1">
        <f t="shared" si="217"/>
        <v>-87.291507851989067</v>
      </c>
      <c r="R1243">
        <f>SQRT(Tabelle2[[#This Row],[vx]]*Tabelle2[[#This Row],[vx]]+Tabelle2[[#This Row],[vy]]*Tabelle2[[#This Row],[vy]])</f>
        <v>87.766258167046587</v>
      </c>
      <c r="S1243">
        <f t="shared" si="218"/>
        <v>736.02092292082091</v>
      </c>
      <c r="T1243" s="1">
        <f t="shared" si="219"/>
        <v>-920.03430944123568</v>
      </c>
    </row>
    <row r="1244" spans="6:20" x14ac:dyDescent="0.35">
      <c r="F1244" s="1">
        <f t="shared" si="215"/>
        <v>24.81999999999956</v>
      </c>
      <c r="G1244">
        <f>1/2*$B$8*$B$6*$B$7*(Tabelle2[[#This Row],[vx]]*Tabelle2[[#This Row],[vx]]+Tabelle2[[#This Row],[vy]]*Tabelle2[[#This Row],[vy]])/1000000</f>
        <v>13.630012184174708</v>
      </c>
      <c r="H1244">
        <f>IF($B$3,-Tabelle2[[#This Row],[Fd]]*Tabelle2[[#This Row],[vx]]/Tabelle2[[#This Row],[v]],0)</f>
        <v>-1.4126202840638531</v>
      </c>
      <c r="I1244">
        <f t="shared" si="209"/>
        <v>-0.94174685604256869</v>
      </c>
      <c r="J1244">
        <f t="shared" si="210"/>
        <v>-1.8834937120851374E-2</v>
      </c>
      <c r="K1244">
        <f t="shared" si="211"/>
        <v>0.1817622071235957</v>
      </c>
      <c r="L1244">
        <f>-$B$5*$B$12-IF($B$3,Tabelle2[[#This Row],[Fd]]*Tabelle2[[#This Row],[vy]]/Tabelle2[[#This Row],[v]],0)</f>
        <v>-1.1583877360971044</v>
      </c>
      <c r="M1244">
        <f t="shared" si="212"/>
        <v>-0.77225849073140296</v>
      </c>
      <c r="N1244">
        <f t="shared" si="213"/>
        <v>-1.5445169814628059E-2</v>
      </c>
      <c r="O1244">
        <f t="shared" si="214"/>
        <v>-1.7462947085160376</v>
      </c>
      <c r="P1244" s="1">
        <f t="shared" si="216"/>
        <v>9.0975278247402098</v>
      </c>
      <c r="Q1244" s="1">
        <f t="shared" si="217"/>
        <v>-87.307012840894572</v>
      </c>
      <c r="R1244">
        <f>SQRT(Tabelle2[[#This Row],[vx]]*Tabelle2[[#This Row],[vx]]+Tabelle2[[#This Row],[vy]]*Tabelle2[[#This Row],[vy]])</f>
        <v>87.779721483506947</v>
      </c>
      <c r="S1244">
        <f t="shared" si="218"/>
        <v>736.20306218843405</v>
      </c>
      <c r="T1244" s="1">
        <f t="shared" si="219"/>
        <v>-921.7802946481645</v>
      </c>
    </row>
    <row r="1245" spans="6:20" x14ac:dyDescent="0.35">
      <c r="F1245" s="1">
        <f t="shared" si="215"/>
        <v>24.839999999999559</v>
      </c>
      <c r="G1245">
        <f>1/2*$B$8*$B$6*$B$7*(Tabelle2[[#This Row],[vx]]*Tabelle2[[#This Row],[vx]]+Tabelle2[[#This Row],[vy]]*Tabelle2[[#This Row],[vy]])/1000000</f>
        <v>13.634177693570839</v>
      </c>
      <c r="H1245">
        <f>IF($B$3,-Tabelle2[[#This Row],[Fd]]*Tabelle2[[#This Row],[vx]]/Tabelle2[[#This Row],[v]],0)</f>
        <v>-1.4099110800173249</v>
      </c>
      <c r="I1245">
        <f t="shared" si="209"/>
        <v>-0.93994072001154994</v>
      </c>
      <c r="J1245">
        <f t="shared" si="210"/>
        <v>-1.8798814400230998E-2</v>
      </c>
      <c r="K1245">
        <f t="shared" si="211"/>
        <v>0.18138586960838485</v>
      </c>
      <c r="L1245">
        <f>-$B$5*$B$12-IF($B$3,Tabelle2[[#This Row],[Fd]]*Tabelle2[[#This Row],[vy]]/Tabelle2[[#This Row],[v]],0)</f>
        <v>-1.1539177376468555</v>
      </c>
      <c r="M1245">
        <f t="shared" si="212"/>
        <v>-0.7692784917645703</v>
      </c>
      <c r="N1245">
        <f t="shared" si="213"/>
        <v>-1.5385569835291407E-2</v>
      </c>
      <c r="O1245">
        <f t="shared" si="214"/>
        <v>-1.746603015912537</v>
      </c>
      <c r="P1245" s="1">
        <f t="shared" si="216"/>
        <v>9.0786928876193578</v>
      </c>
      <c r="Q1245" s="1">
        <f t="shared" si="217"/>
        <v>-87.322458010709198</v>
      </c>
      <c r="R1245">
        <f>SQRT(Tabelle2[[#This Row],[vx]]*Tabelle2[[#This Row],[vx]]+Tabelle2[[#This Row],[vy]]*Tabelle2[[#This Row],[vy]])</f>
        <v>87.793133772407174</v>
      </c>
      <c r="S1245">
        <f t="shared" si="218"/>
        <v>736.38482439555764</v>
      </c>
      <c r="T1245" s="1">
        <f t="shared" si="219"/>
        <v>-923.52658935668057</v>
      </c>
    </row>
    <row r="1246" spans="6:20" x14ac:dyDescent="0.35">
      <c r="F1246" s="1">
        <f t="shared" si="215"/>
        <v>24.859999999999559</v>
      </c>
      <c r="G1246">
        <f>1/2*$B$8*$B$6*$B$7*(Tabelle2[[#This Row],[vx]]*Tabelle2[[#This Row],[vx]]+Tabelle2[[#This Row],[vy]]*Tabelle2[[#This Row],[vy]])/1000000</f>
        <v>13.63832804418387</v>
      </c>
      <c r="H1246">
        <f>IF($B$3,-Tabelle2[[#This Row],[Fd]]*Tabelle2[[#This Row],[vx]]/Tabelle2[[#This Row],[v]],0)</f>
        <v>-1.4072057780436904</v>
      </c>
      <c r="I1246">
        <f t="shared" si="209"/>
        <v>-0.93813718536246027</v>
      </c>
      <c r="J1246">
        <f t="shared" si="210"/>
        <v>-1.8762743707249206E-2</v>
      </c>
      <c r="K1246">
        <f t="shared" si="211"/>
        <v>0.18101025402731005</v>
      </c>
      <c r="L1246">
        <f>-$B$5*$B$12-IF($B$3,Tabelle2[[#This Row],[Fd]]*Tabelle2[[#This Row],[vy]]/Tabelle2[[#This Row],[v]],0)</f>
        <v>-1.1494641189884174</v>
      </c>
      <c r="M1246">
        <f t="shared" si="212"/>
        <v>-0.76630941265894492</v>
      </c>
      <c r="N1246">
        <f t="shared" si="213"/>
        <v>-1.5326188253178899E-2</v>
      </c>
      <c r="O1246">
        <f t="shared" si="214"/>
        <v>-1.7469101334934214</v>
      </c>
      <c r="P1246" s="1">
        <f t="shared" si="216"/>
        <v>9.0598940732191267</v>
      </c>
      <c r="Q1246" s="1">
        <f t="shared" si="217"/>
        <v>-87.337843580544487</v>
      </c>
      <c r="R1246">
        <f>SQRT(Tabelle2[[#This Row],[vx]]*Tabelle2[[#This Row],[vx]]+Tabelle2[[#This Row],[vy]]*Tabelle2[[#This Row],[vy]])</f>
        <v>87.806495214862139</v>
      </c>
      <c r="S1246">
        <f t="shared" si="218"/>
        <v>736.56621026516598</v>
      </c>
      <c r="T1246" s="1">
        <f t="shared" si="219"/>
        <v>-925.27319237259314</v>
      </c>
    </row>
    <row r="1247" spans="6:20" x14ac:dyDescent="0.35">
      <c r="F1247" s="1">
        <f t="shared" si="215"/>
        <v>24.879999999999558</v>
      </c>
      <c r="G1247">
        <f>1/2*$B$8*$B$6*$B$7*(Tabelle2[[#This Row],[vx]]*Tabelle2[[#This Row],[vx]]+Tabelle2[[#This Row],[vy]]*Tabelle2[[#This Row],[vy]])/1000000</f>
        <v>13.64246328490378</v>
      </c>
      <c r="H1247">
        <f>IF($B$3,-Tabelle2[[#This Row],[Fd]]*Tabelle2[[#This Row],[vx]]/Tabelle2[[#This Row],[v]],0)</f>
        <v>-1.4045043805822572</v>
      </c>
      <c r="I1247">
        <f t="shared" si="209"/>
        <v>-0.93633625372150486</v>
      </c>
      <c r="J1247">
        <f t="shared" si="210"/>
        <v>-1.8726725074430097E-2</v>
      </c>
      <c r="K1247">
        <f t="shared" si="211"/>
        <v>0.18063535933949326</v>
      </c>
      <c r="L1247">
        <f>-$B$5*$B$12-IF($B$3,Tabelle2[[#This Row],[Fd]]*Tabelle2[[#This Row],[vy]]/Tabelle2[[#This Row],[v]],0)</f>
        <v>-1.145026826670847</v>
      </c>
      <c r="M1247">
        <f t="shared" si="212"/>
        <v>-0.76335121778056469</v>
      </c>
      <c r="N1247">
        <f t="shared" si="213"/>
        <v>-1.5267024355611294E-2</v>
      </c>
      <c r="O1247">
        <f t="shared" si="214"/>
        <v>-1.7472160656195095</v>
      </c>
      <c r="P1247" s="1">
        <f t="shared" si="216"/>
        <v>9.0411313295118774</v>
      </c>
      <c r="Q1247" s="1">
        <f t="shared" si="217"/>
        <v>-87.35316976879767</v>
      </c>
      <c r="R1247">
        <f>SQRT(Tabelle2[[#This Row],[vx]]*Tabelle2[[#This Row],[vx]]+Tabelle2[[#This Row],[vy]]*Tabelle2[[#This Row],[vy]])</f>
        <v>87.819805991438329</v>
      </c>
      <c r="S1247">
        <f t="shared" si="218"/>
        <v>736.74722051919332</v>
      </c>
      <c r="T1247" s="1">
        <f t="shared" si="219"/>
        <v>-927.02010250608657</v>
      </c>
    </row>
    <row r="1248" spans="6:20" x14ac:dyDescent="0.35">
      <c r="F1248" s="1">
        <f t="shared" si="215"/>
        <v>24.899999999999558</v>
      </c>
      <c r="G1248">
        <f>1/2*$B$8*$B$6*$B$7*(Tabelle2[[#This Row],[vx]]*Tabelle2[[#This Row],[vx]]+Tabelle2[[#This Row],[vy]]*Tabelle2[[#This Row],[vy]])/1000000</f>
        <v>13.646583464511727</v>
      </c>
      <c r="H1248">
        <f>IF($B$3,-Tabelle2[[#This Row],[Fd]]*Tabelle2[[#This Row],[vx]]/Tabelle2[[#This Row],[v]],0)</f>
        <v>-1.4018068900102387</v>
      </c>
      <c r="I1248">
        <f t="shared" si="209"/>
        <v>-0.93453792667349245</v>
      </c>
      <c r="J1248">
        <f t="shared" si="210"/>
        <v>-1.869075853346985E-2</v>
      </c>
      <c r="K1248">
        <f t="shared" si="211"/>
        <v>0.18026118450341425</v>
      </c>
      <c r="L1248">
        <f>-$B$5*$B$12-IF($B$3,Tabelle2[[#This Row],[Fd]]*Tabelle2[[#This Row],[vy]]/Tabelle2[[#This Row],[v]],0)</f>
        <v>-1.1406058073664056</v>
      </c>
      <c r="M1248">
        <f t="shared" si="212"/>
        <v>-0.7604038715776037</v>
      </c>
      <c r="N1248">
        <f t="shared" si="213"/>
        <v>-1.5208077431552074E-2</v>
      </c>
      <c r="O1248">
        <f t="shared" si="214"/>
        <v>-1.747520816637381</v>
      </c>
      <c r="P1248" s="1">
        <f t="shared" si="216"/>
        <v>9.0224046044374475</v>
      </c>
      <c r="Q1248" s="1">
        <f t="shared" si="217"/>
        <v>-87.368436793153279</v>
      </c>
      <c r="R1248">
        <f>SQRT(Tabelle2[[#This Row],[vx]]*Tabelle2[[#This Row],[vx]]+Tabelle2[[#This Row],[vy]]*Tabelle2[[#This Row],[vy]])</f>
        <v>87.833066282154775</v>
      </c>
      <c r="S1248">
        <f t="shared" si="218"/>
        <v>736.9278558785328</v>
      </c>
      <c r="T1248" s="1">
        <f t="shared" si="219"/>
        <v>-928.76731857170603</v>
      </c>
    </row>
    <row r="1249" spans="6:20" x14ac:dyDescent="0.35">
      <c r="F1249" s="1">
        <f t="shared" si="215"/>
        <v>24.919999999999558</v>
      </c>
      <c r="G1249">
        <f>1/2*$B$8*$B$6*$B$7*(Tabelle2[[#This Row],[vx]]*Tabelle2[[#This Row],[vx]]+Tabelle2[[#This Row],[vy]]*Tabelle2[[#This Row],[vy]])/1000000</f>
        <v>13.650688631679909</v>
      </c>
      <c r="H1249">
        <f>IF($B$3,-Tabelle2[[#This Row],[Fd]]*Tabelle2[[#This Row],[vx]]/Tabelle2[[#This Row],[v]],0)</f>
        <v>-1.3991133086431491</v>
      </c>
      <c r="I1249">
        <f t="shared" si="209"/>
        <v>-0.93274220576209943</v>
      </c>
      <c r="J1249">
        <f t="shared" si="210"/>
        <v>-1.865484411524199E-2</v>
      </c>
      <c r="K1249">
        <f t="shared" si="211"/>
        <v>0.17988772847692711</v>
      </c>
      <c r="L1249">
        <f>-$B$5*$B$12-IF($B$3,Tabelle2[[#This Row],[Fd]]*Tabelle2[[#This Row],[vy]]/Tabelle2[[#This Row],[v]],0)</f>
        <v>-1.1362010078706621</v>
      </c>
      <c r="M1249">
        <f t="shared" si="212"/>
        <v>-0.75746733858044146</v>
      </c>
      <c r="N1249">
        <f t="shared" si="213"/>
        <v>-1.514934677160883E-2</v>
      </c>
      <c r="O1249">
        <f t="shared" si="214"/>
        <v>-1.7478243908794127</v>
      </c>
      <c r="P1249" s="1">
        <f t="shared" si="216"/>
        <v>9.0037138459039774</v>
      </c>
      <c r="Q1249" s="1">
        <f t="shared" si="217"/>
        <v>-87.383644870584831</v>
      </c>
      <c r="R1249">
        <f>SQRT(Tabelle2[[#This Row],[vx]]*Tabelle2[[#This Row],[vx]]+Tabelle2[[#This Row],[vy]]*Tabelle2[[#This Row],[vy]])</f>
        <v>87.846276266483883</v>
      </c>
      <c r="S1249">
        <f t="shared" si="218"/>
        <v>737.10811706303616</v>
      </c>
      <c r="T1249" s="1">
        <f t="shared" si="219"/>
        <v>-930.51483938834338</v>
      </c>
    </row>
    <row r="1250" spans="6:20" x14ac:dyDescent="0.35">
      <c r="F1250" s="1">
        <f t="shared" si="215"/>
        <v>24.939999999999557</v>
      </c>
      <c r="G1250">
        <f>1/2*$B$8*$B$6*$B$7*(Tabelle2[[#This Row],[vx]]*Tabelle2[[#This Row],[vx]]+Tabelle2[[#This Row],[vy]]*Tabelle2[[#This Row],[vy]])/1000000</f>
        <v>13.654778834971379</v>
      </c>
      <c r="H1250">
        <f>IF($B$3,-Tabelle2[[#This Row],[Fd]]*Tabelle2[[#This Row],[vx]]/Tabelle2[[#This Row],[v]],0)</f>
        <v>-1.3964236387351916</v>
      </c>
      <c r="I1250">
        <f t="shared" si="209"/>
        <v>-0.93094909249012769</v>
      </c>
      <c r="J1250">
        <f t="shared" si="210"/>
        <v>-1.8618981849802554E-2</v>
      </c>
      <c r="K1250">
        <f t="shared" si="211"/>
        <v>0.17951499021727671</v>
      </c>
      <c r="L1250">
        <f>-$B$5*$B$12-IF($B$3,Tabelle2[[#This Row],[Fd]]*Tabelle2[[#This Row],[vy]]/Tabelle2[[#This Row],[v]],0)</f>
        <v>-1.1318123751026725</v>
      </c>
      <c r="M1250">
        <f t="shared" si="212"/>
        <v>-0.75454158340178168</v>
      </c>
      <c r="N1250">
        <f t="shared" si="213"/>
        <v>-1.5090831668035634E-2</v>
      </c>
      <c r="O1250">
        <f t="shared" si="214"/>
        <v>-1.7481267926638091</v>
      </c>
      <c r="P1250" s="1">
        <f t="shared" si="216"/>
        <v>8.985059001788736</v>
      </c>
      <c r="Q1250" s="1">
        <f t="shared" si="217"/>
        <v>-87.398794217356439</v>
      </c>
      <c r="R1250">
        <f>SQRT(Tabelle2[[#This Row],[vx]]*Tabelle2[[#This Row],[vx]]+Tabelle2[[#This Row],[vy]]*Tabelle2[[#This Row],[vy]])</f>
        <v>87.85943612335241</v>
      </c>
      <c r="S1250">
        <f t="shared" si="218"/>
        <v>737.28800479151312</v>
      </c>
      <c r="T1250" s="1">
        <f t="shared" si="219"/>
        <v>-932.26266377922275</v>
      </c>
    </row>
    <row r="1251" spans="6:20" x14ac:dyDescent="0.35">
      <c r="F1251" s="1">
        <f t="shared" si="215"/>
        <v>24.959999999999557</v>
      </c>
      <c r="G1251">
        <f>1/2*$B$8*$B$6*$B$7*(Tabelle2[[#This Row],[vx]]*Tabelle2[[#This Row],[vx]]+Tabelle2[[#This Row],[vy]]*Tabelle2[[#This Row],[vy]])/1000000</f>
        <v>13.658854122839889</v>
      </c>
      <c r="H1251">
        <f>IF($B$3,-Tabelle2[[#This Row],[Fd]]*Tabelle2[[#This Row],[vx]]/Tabelle2[[#This Row],[v]],0)</f>
        <v>-1.3937378824796454</v>
      </c>
      <c r="I1251">
        <f t="shared" si="209"/>
        <v>-0.92915858831976361</v>
      </c>
      <c r="J1251">
        <f t="shared" si="210"/>
        <v>-1.8583171766395273E-2</v>
      </c>
      <c r="K1251">
        <f t="shared" si="211"/>
        <v>0.17914296868111471</v>
      </c>
      <c r="L1251">
        <f>-$B$5*$B$12-IF($B$3,Tabelle2[[#This Row],[Fd]]*Tabelle2[[#This Row],[vy]]/Tabelle2[[#This Row],[v]],0)</f>
        <v>-1.1274398561050933</v>
      </c>
      <c r="M1251">
        <f t="shared" si="212"/>
        <v>-0.75162657073672889</v>
      </c>
      <c r="N1251">
        <f t="shared" si="213"/>
        <v>-1.5032531414734578E-2</v>
      </c>
      <c r="O1251">
        <f t="shared" si="214"/>
        <v>-1.7484280262946368</v>
      </c>
      <c r="P1251" s="1">
        <f t="shared" si="216"/>
        <v>8.9664400199389327</v>
      </c>
      <c r="Q1251" s="1">
        <f t="shared" si="217"/>
        <v>-87.413885049024472</v>
      </c>
      <c r="R1251">
        <f>SQRT(Tabelle2[[#This Row],[vx]]*Tabelle2[[#This Row],[vx]]+Tabelle2[[#This Row],[vy]]*Tabelle2[[#This Row],[vy]])</f>
        <v>87.872546031142321</v>
      </c>
      <c r="S1251">
        <f t="shared" si="218"/>
        <v>737.4675197817304</v>
      </c>
      <c r="T1251" s="1">
        <f t="shared" si="219"/>
        <v>-934.01079057188656</v>
      </c>
    </row>
    <row r="1252" spans="6:20" x14ac:dyDescent="0.35">
      <c r="F1252" s="1">
        <f t="shared" si="215"/>
        <v>24.979999999999556</v>
      </c>
      <c r="G1252">
        <f>1/2*$B$8*$B$6*$B$7*(Tabelle2[[#This Row],[vx]]*Tabelle2[[#This Row],[vx]]+Tabelle2[[#This Row],[vy]]*Tabelle2[[#This Row],[vy]])/1000000</f>
        <v>13.662914543629729</v>
      </c>
      <c r="H1252">
        <f>IF($B$3,-Tabelle2[[#This Row],[Fd]]*Tabelle2[[#This Row],[vx]]/Tabelle2[[#This Row],[v]],0)</f>
        <v>-1.3910560420092546</v>
      </c>
      <c r="I1252">
        <f t="shared" si="209"/>
        <v>-0.92737069467283639</v>
      </c>
      <c r="J1252">
        <f t="shared" si="210"/>
        <v>-1.8547413893456727E-2</v>
      </c>
      <c r="K1252">
        <f t="shared" si="211"/>
        <v>0.17877166282451618</v>
      </c>
      <c r="L1252">
        <f>-$B$5*$B$12-IF($B$3,Tabelle2[[#This Row],[Fd]]*Tabelle2[[#This Row],[vy]]/Tabelle2[[#This Row],[v]],0)</f>
        <v>-1.1230833980443258</v>
      </c>
      <c r="M1252">
        <f t="shared" si="212"/>
        <v>-0.74872226536288389</v>
      </c>
      <c r="N1252">
        <f t="shared" si="213"/>
        <v>-1.4974445307257679E-2</v>
      </c>
      <c r="O1252">
        <f t="shared" si="214"/>
        <v>-1.7487280960618565</v>
      </c>
      <c r="P1252" s="1">
        <f t="shared" si="216"/>
        <v>8.9478568481725382</v>
      </c>
      <c r="Q1252" s="1">
        <f t="shared" si="217"/>
        <v>-87.428917580439204</v>
      </c>
      <c r="R1252">
        <f>SQRT(Tabelle2[[#This Row],[vx]]*Tabelle2[[#This Row],[vx]]+Tabelle2[[#This Row],[vy]]*Tabelle2[[#This Row],[vy]])</f>
        <v>87.885606167691762</v>
      </c>
      <c r="S1252">
        <f t="shared" si="218"/>
        <v>737.64666275041156</v>
      </c>
      <c r="T1252" s="1">
        <f t="shared" si="219"/>
        <v>-935.75921859818118</v>
      </c>
    </row>
    <row r="1253" spans="6:20" x14ac:dyDescent="0.35">
      <c r="F1253" s="1">
        <f t="shared" si="215"/>
        <v>24.999999999999556</v>
      </c>
      <c r="G1253">
        <f>1/2*$B$8*$B$6*$B$7*(Tabelle2[[#This Row],[vx]]*Tabelle2[[#This Row],[vx]]+Tabelle2[[#This Row],[vy]]*Tabelle2[[#This Row],[vy]])/1000000</f>
        <v>13.666960145575576</v>
      </c>
      <c r="H1253">
        <f>IF($B$3,-Tabelle2[[#This Row],[Fd]]*Tabelle2[[#This Row],[vx]]/Tabelle2[[#This Row],[v]],0)</f>
        <v>-1.3883781193966114</v>
      </c>
      <c r="I1253">
        <f t="shared" si="209"/>
        <v>-0.92558541293107421</v>
      </c>
      <c r="J1253">
        <f t="shared" si="210"/>
        <v>-1.8511708258621484E-2</v>
      </c>
      <c r="K1253">
        <f t="shared" si="211"/>
        <v>0.17840107160299543</v>
      </c>
      <c r="L1253">
        <f>-$B$5*$B$12-IF($B$3,Tabelle2[[#This Row],[Fd]]*Tabelle2[[#This Row],[vy]]/Tabelle2[[#This Row],[v]],0)</f>
        <v>-1.1187429482106381</v>
      </c>
      <c r="M1253">
        <f t="shared" si="212"/>
        <v>-0.74582863214042538</v>
      </c>
      <c r="N1253">
        <f t="shared" si="213"/>
        <v>-1.4916572642808507E-2</v>
      </c>
      <c r="O1253">
        <f t="shared" si="214"/>
        <v>-1.7490270062413575</v>
      </c>
      <c r="P1253" s="1">
        <f t="shared" si="216"/>
        <v>8.929309434279082</v>
      </c>
      <c r="Q1253" s="1">
        <f t="shared" si="217"/>
        <v>-87.443892025746464</v>
      </c>
      <c r="R1253">
        <f>SQRT(Tabelle2[[#This Row],[vx]]*Tabelle2[[#This Row],[vx]]+Tabelle2[[#This Row],[vy]]*Tabelle2[[#This Row],[vy]])</f>
        <v>87.898616710295912</v>
      </c>
      <c r="S1253">
        <f t="shared" si="218"/>
        <v>737.82543441323605</v>
      </c>
      <c r="T1253" s="1">
        <f t="shared" si="219"/>
        <v>-937.50794669424306</v>
      </c>
    </row>
    <row r="1254" spans="6:20" x14ac:dyDescent="0.35">
      <c r="F1254" s="1">
        <f t="shared" si="215"/>
        <v>25.019999999999555</v>
      </c>
      <c r="G1254">
        <f>1/2*$B$8*$B$6*$B$7*(Tabelle2[[#This Row],[vx]]*Tabelle2[[#This Row],[vx]]+Tabelle2[[#This Row],[vy]]*Tabelle2[[#This Row],[vy]])/1000000</f>
        <v>13.67099097680234</v>
      </c>
      <c r="H1254">
        <f>IF($B$3,-Tabelle2[[#This Row],[Fd]]*Tabelle2[[#This Row],[vx]]/Tabelle2[[#This Row],[v]],0)</f>
        <v>-1.3857041166545399</v>
      </c>
      <c r="I1254">
        <f t="shared" si="209"/>
        <v>-0.9238027444363599</v>
      </c>
      <c r="J1254">
        <f t="shared" si="210"/>
        <v>-1.8476054888727198E-2</v>
      </c>
      <c r="K1254">
        <f t="shared" si="211"/>
        <v>0.17803119397152195</v>
      </c>
      <c r="L1254">
        <f>-$B$5*$B$12-IF($B$3,Tabelle2[[#This Row],[Fd]]*Tabelle2[[#This Row],[vy]]/Tabelle2[[#This Row],[v]],0)</f>
        <v>-1.1144184540183097</v>
      </c>
      <c r="M1254">
        <f t="shared" si="212"/>
        <v>-0.74294563601220653</v>
      </c>
      <c r="N1254">
        <f t="shared" si="213"/>
        <v>-1.485891272024413E-2</v>
      </c>
      <c r="O1254">
        <f t="shared" si="214"/>
        <v>-1.749324761094988</v>
      </c>
      <c r="P1254" s="1">
        <f t="shared" si="216"/>
        <v>8.9107977260204603</v>
      </c>
      <c r="Q1254" s="1">
        <f t="shared" si="217"/>
        <v>-87.458808598389268</v>
      </c>
      <c r="R1254">
        <f>SQRT(Tabelle2[[#This Row],[vx]]*Tabelle2[[#This Row],[vx]]+Tabelle2[[#This Row],[vy]]*Tabelle2[[#This Row],[vy]])</f>
        <v>87.911577835707959</v>
      </c>
      <c r="S1254">
        <f t="shared" si="218"/>
        <v>738.0038354848391</v>
      </c>
      <c r="T1254" s="1">
        <f t="shared" si="219"/>
        <v>-939.25697370048442</v>
      </c>
    </row>
    <row r="1255" spans="6:20" x14ac:dyDescent="0.35">
      <c r="F1255" s="1">
        <f t="shared" si="215"/>
        <v>25.039999999999555</v>
      </c>
      <c r="G1255">
        <f>1/2*$B$8*$B$6*$B$7*(Tabelle2[[#This Row],[vx]]*Tabelle2[[#This Row],[vx]]+Tabelle2[[#This Row],[vy]]*Tabelle2[[#This Row],[vy]])/1000000</f>
        <v>13.67500708532504</v>
      </c>
      <c r="H1255">
        <f>IF($B$3,-Tabelle2[[#This Row],[Fd]]*Tabelle2[[#This Row],[vx]]/Tabelle2[[#This Row],[v]],0)</f>
        <v>-1.3830340357364788</v>
      </c>
      <c r="I1255">
        <f t="shared" si="209"/>
        <v>-0.92202269049098584</v>
      </c>
      <c r="J1255">
        <f t="shared" si="210"/>
        <v>-1.8440453809819717E-2</v>
      </c>
      <c r="K1255">
        <f t="shared" si="211"/>
        <v>0.17766202888453644</v>
      </c>
      <c r="L1255">
        <f>-$B$5*$B$12-IF($B$3,Tabelle2[[#This Row],[Fd]]*Tabelle2[[#This Row],[vy]]/Tabelle2[[#This Row],[v]],0)</f>
        <v>-1.1101098630057091</v>
      </c>
      <c r="M1255">
        <f t="shared" si="212"/>
        <v>-0.74007324200380609</v>
      </c>
      <c r="N1255">
        <f t="shared" si="213"/>
        <v>-1.4801464840076122E-2</v>
      </c>
      <c r="O1255">
        <f t="shared" si="214"/>
        <v>-1.7496213648705909</v>
      </c>
      <c r="P1255" s="1">
        <f t="shared" si="216"/>
        <v>8.8923216711317323</v>
      </c>
      <c r="Q1255" s="1">
        <f t="shared" si="217"/>
        <v>-87.473667511109511</v>
      </c>
      <c r="R1255">
        <f>SQRT(Tabelle2[[#This Row],[vx]]*Tabelle2[[#This Row],[vx]]+Tabelle2[[#This Row],[vy]]*Tabelle2[[#This Row],[vy]])</f>
        <v>87.924489720140059</v>
      </c>
      <c r="S1255">
        <f t="shared" si="218"/>
        <v>738.18186667881059</v>
      </c>
      <c r="T1255" s="1">
        <f t="shared" si="219"/>
        <v>-941.00629846157938</v>
      </c>
    </row>
    <row r="1256" spans="6:20" x14ac:dyDescent="0.35">
      <c r="F1256" s="1">
        <f t="shared" si="215"/>
        <v>25.059999999999555</v>
      </c>
      <c r="G1256">
        <f>1/2*$B$8*$B$6*$B$7*(Tabelle2[[#This Row],[vx]]*Tabelle2[[#This Row],[vx]]+Tabelle2[[#This Row],[vy]]*Tabelle2[[#This Row],[vy]])/1000000</f>
        <v>13.679008519048635</v>
      </c>
      <c r="H1256">
        <f>IF($B$3,-Tabelle2[[#This Row],[Fd]]*Tabelle2[[#This Row],[vx]]/Tabelle2[[#This Row],[v]],0)</f>
        <v>-1.3803678785368607</v>
      </c>
      <c r="I1256">
        <f t="shared" si="209"/>
        <v>-0.92024525235790711</v>
      </c>
      <c r="J1256">
        <f t="shared" si="210"/>
        <v>-1.8404905047158141E-2</v>
      </c>
      <c r="K1256">
        <f t="shared" si="211"/>
        <v>0.17729357529596665</v>
      </c>
      <c r="L1256">
        <f>-$B$5*$B$12-IF($B$3,Tabelle2[[#This Row],[Fd]]*Tabelle2[[#This Row],[vy]]/Tabelle2[[#This Row],[v]],0)</f>
        <v>-1.1058171228354503</v>
      </c>
      <c r="M1256">
        <f t="shared" si="212"/>
        <v>-0.73721141522363354</v>
      </c>
      <c r="N1256">
        <f t="shared" si="213"/>
        <v>-1.4744228304472671E-2</v>
      </c>
      <c r="O1256">
        <f t="shared" si="214"/>
        <v>-1.7499168218020364</v>
      </c>
      <c r="P1256" s="1">
        <f t="shared" si="216"/>
        <v>8.8738812173219124</v>
      </c>
      <c r="Q1256" s="1">
        <f t="shared" si="217"/>
        <v>-87.488468975949587</v>
      </c>
      <c r="R1256">
        <f>SQRT(Tabelle2[[#This Row],[vx]]*Tabelle2[[#This Row],[vx]]+Tabelle2[[#This Row],[vy]]*Tabelle2[[#This Row],[vy]])</f>
        <v>87.937352539264182</v>
      </c>
      <c r="S1256">
        <f t="shared" si="218"/>
        <v>738.35952870769518</v>
      </c>
      <c r="T1256" s="1">
        <f t="shared" si="219"/>
        <v>-942.75591982644994</v>
      </c>
    </row>
    <row r="1257" spans="6:20" x14ac:dyDescent="0.35">
      <c r="F1257" s="1">
        <f t="shared" si="215"/>
        <v>25.079999999999554</v>
      </c>
      <c r="G1257">
        <f>1/2*$B$8*$B$6*$B$7*(Tabelle2[[#This Row],[vx]]*Tabelle2[[#This Row],[vx]]+Tabelle2[[#This Row],[vy]]*Tabelle2[[#This Row],[vy]])/1000000</f>
        <v>13.682995325767909</v>
      </c>
      <c r="H1257">
        <f>IF($B$3,-Tabelle2[[#This Row],[Fd]]*Tabelle2[[#This Row],[vx]]/Tabelle2[[#This Row],[v]],0)</f>
        <v>-1.377705646891491</v>
      </c>
      <c r="I1257">
        <f t="shared" si="209"/>
        <v>-0.91847043126099404</v>
      </c>
      <c r="J1257">
        <f t="shared" si="210"/>
        <v>-1.836940862521988E-2</v>
      </c>
      <c r="K1257">
        <f t="shared" si="211"/>
        <v>0.1769258321592429</v>
      </c>
      <c r="L1257">
        <f>-$B$5*$B$12-IF($B$3,Tabelle2[[#This Row],[Fd]]*Tabelle2[[#This Row],[vy]]/Tabelle2[[#This Row],[v]],0)</f>
        <v>-1.1015401812944816</v>
      </c>
      <c r="M1257">
        <f t="shared" si="212"/>
        <v>-0.73436012086298774</v>
      </c>
      <c r="N1257">
        <f t="shared" si="213"/>
        <v>-1.4687202417259754E-2</v>
      </c>
      <c r="O1257">
        <f t="shared" si="214"/>
        <v>-1.7502111361092541</v>
      </c>
      <c r="P1257" s="1">
        <f t="shared" si="216"/>
        <v>8.8554763122747548</v>
      </c>
      <c r="Q1257" s="1">
        <f t="shared" si="217"/>
        <v>-87.503213204254067</v>
      </c>
      <c r="R1257">
        <f>SQRT(Tabelle2[[#This Row],[vx]]*Tabelle2[[#This Row],[vx]]+Tabelle2[[#This Row],[vy]]*Tabelle2[[#This Row],[vy]])</f>
        <v>87.950166468213141</v>
      </c>
      <c r="S1257">
        <f t="shared" si="218"/>
        <v>738.53682228299112</v>
      </c>
      <c r="T1257" s="1">
        <f t="shared" si="219"/>
        <v>-944.50583664825194</v>
      </c>
    </row>
    <row r="1258" spans="6:20" x14ac:dyDescent="0.35">
      <c r="F1258" s="1">
        <f t="shared" si="215"/>
        <v>25.099999999999554</v>
      </c>
      <c r="G1258">
        <f>1/2*$B$8*$B$6*$B$7*(Tabelle2[[#This Row],[vx]]*Tabelle2[[#This Row],[vx]]+Tabelle2[[#This Row],[vy]]*Tabelle2[[#This Row],[vy]])/1000000</f>
        <v>13.686967553167328</v>
      </c>
      <c r="H1258">
        <f>IF($B$3,-Tabelle2[[#This Row],[Fd]]*Tabelle2[[#This Row],[vx]]/Tabelle2[[#This Row],[v]],0)</f>
        <v>-1.3750473425779248</v>
      </c>
      <c r="I1258">
        <f t="shared" si="209"/>
        <v>-0.91669822838528325</v>
      </c>
      <c r="J1258">
        <f t="shared" si="210"/>
        <v>-1.8333964567705665E-2</v>
      </c>
      <c r="K1258">
        <f t="shared" si="211"/>
        <v>0.17655879842731362</v>
      </c>
      <c r="L1258">
        <f>-$B$5*$B$12-IF($B$3,Tabelle2[[#This Row],[Fd]]*Tabelle2[[#This Row],[vy]]/Tabelle2[[#This Row],[v]],0)</f>
        <v>-1.0972789862941958</v>
      </c>
      <c r="M1258">
        <f t="shared" si="212"/>
        <v>-0.73151932419613053</v>
      </c>
      <c r="N1258">
        <f t="shared" si="213"/>
        <v>-1.4630386483922611E-2</v>
      </c>
      <c r="O1258">
        <f t="shared" si="214"/>
        <v>-1.7505043119982659</v>
      </c>
      <c r="P1258" s="1">
        <f t="shared" si="216"/>
        <v>8.8371069036495342</v>
      </c>
      <c r="Q1258" s="1">
        <f t="shared" si="217"/>
        <v>-87.51790040667133</v>
      </c>
      <c r="R1258">
        <f>SQRT(Tabelle2[[#This Row],[vx]]*Tabelle2[[#This Row],[vx]]+Tabelle2[[#This Row],[vy]]*Tabelle2[[#This Row],[vy]])</f>
        <v>87.96293168158148</v>
      </c>
      <c r="S1258">
        <f t="shared" si="218"/>
        <v>738.71374811515034</v>
      </c>
      <c r="T1258" s="1">
        <f t="shared" si="219"/>
        <v>-946.25604778436116</v>
      </c>
    </row>
    <row r="1259" spans="6:20" x14ac:dyDescent="0.35">
      <c r="F1259" s="1">
        <f t="shared" si="215"/>
        <v>25.119999999999553</v>
      </c>
      <c r="G1259">
        <f>1/2*$B$8*$B$6*$B$7*(Tabelle2[[#This Row],[vx]]*Tabelle2[[#This Row],[vx]]+Tabelle2[[#This Row],[vy]]*Tabelle2[[#This Row],[vy]])/1000000</f>
        <v>13.690925248820923</v>
      </c>
      <c r="H1259">
        <f>IF($B$3,-Tabelle2[[#This Row],[Fd]]*Tabelle2[[#This Row],[vx]]/Tabelle2[[#This Row],[v]],0)</f>
        <v>-1.3723929673158424</v>
      </c>
      <c r="I1259">
        <f t="shared" si="209"/>
        <v>-0.91492864487722825</v>
      </c>
      <c r="J1259">
        <f t="shared" si="210"/>
        <v>-1.8298572897544566E-2</v>
      </c>
      <c r="K1259">
        <f t="shared" si="211"/>
        <v>0.17619247305266111</v>
      </c>
      <c r="L1259">
        <f>-$B$5*$B$12-IF($B$3,Tabelle2[[#This Row],[Fd]]*Tabelle2[[#This Row],[vy]]/Tabelle2[[#This Row],[v]],0)</f>
        <v>-1.0930334858705404</v>
      </c>
      <c r="M1259">
        <f t="shared" si="212"/>
        <v>-0.7286889905803603</v>
      </c>
      <c r="N1259">
        <f t="shared" si="213"/>
        <v>-1.4573779811607207E-2</v>
      </c>
      <c r="O1259">
        <f t="shared" si="214"/>
        <v>-1.7507963536612212</v>
      </c>
      <c r="P1259" s="1">
        <f t="shared" si="216"/>
        <v>8.8187729390818284</v>
      </c>
      <c r="Q1259" s="1">
        <f t="shared" si="217"/>
        <v>-87.53253079315526</v>
      </c>
      <c r="R1259">
        <f>SQRT(Tabelle2[[#This Row],[vx]]*Tabelle2[[#This Row],[vx]]+Tabelle2[[#This Row],[vy]]*Tabelle2[[#This Row],[vy]])</f>
        <v>87.975648353426507</v>
      </c>
      <c r="S1259">
        <f t="shared" si="218"/>
        <v>738.89030691357766</v>
      </c>
      <c r="T1259" s="1">
        <f t="shared" si="219"/>
        <v>-948.00655209635943</v>
      </c>
    </row>
    <row r="1260" spans="6:20" x14ac:dyDescent="0.35">
      <c r="F1260" s="1">
        <f t="shared" si="215"/>
        <v>25.139999999999553</v>
      </c>
      <c r="G1260">
        <f>1/2*$B$8*$B$6*$B$7*(Tabelle2[[#This Row],[vx]]*Tabelle2[[#This Row],[vx]]+Tabelle2[[#This Row],[vy]]*Tabelle2[[#This Row],[vy]])/1000000</f>
        <v>13.69486846019216</v>
      </c>
      <c r="H1260">
        <f>IF($B$3,-Tabelle2[[#This Row],[Fd]]*Tabelle2[[#This Row],[vx]]/Tabelle2[[#This Row],[v]],0)</f>
        <v>-1.3697425227674238</v>
      </c>
      <c r="I1260">
        <f t="shared" si="209"/>
        <v>-0.91316168184494917</v>
      </c>
      <c r="J1260">
        <f t="shared" si="210"/>
        <v>-1.8263233636898985E-2</v>
      </c>
      <c r="K1260">
        <f t="shared" si="211"/>
        <v>0.17582685498731671</v>
      </c>
      <c r="L1260">
        <f>-$B$5*$B$12-IF($B$3,Tabelle2[[#This Row],[Fd]]*Tabelle2[[#This Row],[vy]]/Tabelle2[[#This Row],[v]],0)</f>
        <v>-1.0888036281841025</v>
      </c>
      <c r="M1260">
        <f t="shared" si="212"/>
        <v>-0.72586908545606832</v>
      </c>
      <c r="N1260">
        <f t="shared" si="213"/>
        <v>-1.4517381709121367E-2</v>
      </c>
      <c r="O1260">
        <f t="shared" si="214"/>
        <v>-1.7510872652764287</v>
      </c>
      <c r="P1260" s="1">
        <f t="shared" si="216"/>
        <v>8.8004743661842841</v>
      </c>
      <c r="Q1260" s="1">
        <f t="shared" si="217"/>
        <v>-87.547104572966873</v>
      </c>
      <c r="R1260">
        <f>SQRT(Tabelle2[[#This Row],[vx]]*Tabelle2[[#This Row],[vx]]+Tabelle2[[#This Row],[vy]]*Tabelle2[[#This Row],[vy]])</f>
        <v>87.988316657269124</v>
      </c>
      <c r="S1260">
        <f t="shared" si="218"/>
        <v>739.06649938663031</v>
      </c>
      <c r="T1260" s="1">
        <f t="shared" si="219"/>
        <v>-949.75734845002069</v>
      </c>
    </row>
    <row r="1261" spans="6:20" x14ac:dyDescent="0.35">
      <c r="F1261" s="1">
        <f t="shared" si="215"/>
        <v>25.159999999999553</v>
      </c>
      <c r="G1261">
        <f>1/2*$B$8*$B$6*$B$7*(Tabelle2[[#This Row],[vx]]*Tabelle2[[#This Row],[vx]]+Tabelle2[[#This Row],[vy]]*Tabelle2[[#This Row],[vy]])/1000000</f>
        <v>13.698797234633821</v>
      </c>
      <c r="H1261">
        <f>IF($B$3,-Tabelle2[[#This Row],[Fd]]*Tabelle2[[#This Row],[vx]]/Tabelle2[[#This Row],[v]],0)</f>
        <v>-1.3670960105377192</v>
      </c>
      <c r="I1261">
        <f t="shared" si="209"/>
        <v>-0.91139734035847952</v>
      </c>
      <c r="J1261">
        <f t="shared" si="210"/>
        <v>-1.822794680716959E-2</v>
      </c>
      <c r="K1261">
        <f t="shared" si="211"/>
        <v>0.175461943182876</v>
      </c>
      <c r="L1261">
        <f>-$B$5*$B$12-IF($B$3,Tabelle2[[#This Row],[Fd]]*Tabelle2[[#This Row],[vy]]/Tabelle2[[#This Row],[v]],0)</f>
        <v>-1.0845893615202087</v>
      </c>
      <c r="M1261">
        <f t="shared" si="212"/>
        <v>-0.72305957434680579</v>
      </c>
      <c r="N1261">
        <f t="shared" si="213"/>
        <v>-1.4461191486936116E-2</v>
      </c>
      <c r="O1261">
        <f t="shared" si="214"/>
        <v>-1.7513770510083893</v>
      </c>
      <c r="P1261" s="1">
        <f t="shared" si="216"/>
        <v>8.7822111325473848</v>
      </c>
      <c r="Q1261" s="1">
        <f t="shared" si="217"/>
        <v>-87.561621954675999</v>
      </c>
      <c r="R1261">
        <f>SQRT(Tabelle2[[#This Row],[vx]]*Tabelle2[[#This Row],[vx]]+Tabelle2[[#This Row],[vy]]*Tabelle2[[#This Row],[vy]])</f>
        <v>88.000936766094924</v>
      </c>
      <c r="S1261">
        <f t="shared" si="218"/>
        <v>739.24232624161766</v>
      </c>
      <c r="T1261" s="1">
        <f t="shared" si="219"/>
        <v>-951.50843571529708</v>
      </c>
    </row>
    <row r="1262" spans="6:20" x14ac:dyDescent="0.35">
      <c r="F1262" s="1">
        <f t="shared" si="215"/>
        <v>25.179999999999552</v>
      </c>
      <c r="G1262">
        <f>1/2*$B$8*$B$6*$B$7*(Tabelle2[[#This Row],[vx]]*Tabelle2[[#This Row],[vx]]+Tabelle2[[#This Row],[vy]]*Tabelle2[[#This Row],[vy]])/1000000</f>
        <v>13.702711619387895</v>
      </c>
      <c r="H1262">
        <f>IF($B$3,-Tabelle2[[#This Row],[Fd]]*Tabelle2[[#This Row],[vx]]/Tabelle2[[#This Row],[v]],0)</f>
        <v>-1.3644534321750228</v>
      </c>
      <c r="I1262">
        <f t="shared" si="209"/>
        <v>-0.9096356214500152</v>
      </c>
      <c r="J1262">
        <f t="shared" si="210"/>
        <v>-1.8192712429000304E-2</v>
      </c>
      <c r="K1262">
        <f t="shared" si="211"/>
        <v>0.17509773659051431</v>
      </c>
      <c r="L1262">
        <f>-$B$5*$B$12-IF($B$3,Tabelle2[[#This Row],[Fd]]*Tabelle2[[#This Row],[vy]]/Tabelle2[[#This Row],[v]],0)</f>
        <v>-1.0803906342890102</v>
      </c>
      <c r="M1262">
        <f t="shared" si="212"/>
        <v>-0.72026042285934011</v>
      </c>
      <c r="N1262">
        <f t="shared" si="213"/>
        <v>-1.4405208457186803E-2</v>
      </c>
      <c r="O1262">
        <f t="shared" si="214"/>
        <v>-1.7516657150078305</v>
      </c>
      <c r="P1262" s="1">
        <f t="shared" si="216"/>
        <v>8.7639831857402157</v>
      </c>
      <c r="Q1262" s="1">
        <f t="shared" si="217"/>
        <v>-87.576083146162929</v>
      </c>
      <c r="R1262">
        <f>SQRT(Tabelle2[[#This Row],[vx]]*Tabelle2[[#This Row],[vx]]+Tabelle2[[#This Row],[vy]]*Tabelle2[[#This Row],[vy]])</f>
        <v>88.013508852355045</v>
      </c>
      <c r="S1262">
        <f t="shared" si="218"/>
        <v>739.41778818480054</v>
      </c>
      <c r="T1262" s="1">
        <f t="shared" si="219"/>
        <v>-953.25981276630546</v>
      </c>
    </row>
    <row r="1263" spans="6:20" x14ac:dyDescent="0.35">
      <c r="F1263" s="1">
        <f t="shared" si="215"/>
        <v>25.199999999999552</v>
      </c>
      <c r="G1263">
        <f>1/2*$B$8*$B$6*$B$7*(Tabelle2[[#This Row],[vx]]*Tabelle2[[#This Row],[vx]]+Tabelle2[[#This Row],[vy]]*Tabelle2[[#This Row],[vy]])/1000000</f>
        <v>13.706611661585466</v>
      </c>
      <c r="H1263">
        <f>IF($B$3,-Tabelle2[[#This Row],[Fd]]*Tabelle2[[#This Row],[vx]]/Tabelle2[[#This Row],[v]],0)</f>
        <v>-1.3618147891712384</v>
      </c>
      <c r="I1263">
        <f t="shared" si="209"/>
        <v>-0.90787652611415892</v>
      </c>
      <c r="J1263">
        <f t="shared" si="210"/>
        <v>-1.815753052228318E-2</v>
      </c>
      <c r="K1263">
        <f t="shared" si="211"/>
        <v>0.17473423416100148</v>
      </c>
      <c r="L1263">
        <f>-$B$5*$B$12-IF($B$3,Tabelle2[[#This Row],[Fd]]*Tabelle2[[#This Row],[vy]]/Tabelle2[[#This Row],[v]],0)</f>
        <v>-1.0762073950255715</v>
      </c>
      <c r="M1263">
        <f t="shared" si="212"/>
        <v>-0.7174715966837143</v>
      </c>
      <c r="N1263">
        <f t="shared" si="213"/>
        <v>-1.4349431933674286E-2</v>
      </c>
      <c r="O1263">
        <f t="shared" si="214"/>
        <v>-1.7519532614117392</v>
      </c>
      <c r="P1263" s="1">
        <f t="shared" si="216"/>
        <v>8.7457904733112155</v>
      </c>
      <c r="Q1263" s="1">
        <f t="shared" si="217"/>
        <v>-87.590488354620121</v>
      </c>
      <c r="R1263">
        <f>SQRT(Tabelle2[[#This Row],[vx]]*Tabelle2[[#This Row],[vx]]+Tabelle2[[#This Row],[vy]]*Tabelle2[[#This Row],[vy]])</f>
        <v>88.026033087967249</v>
      </c>
      <c r="S1263">
        <f t="shared" si="218"/>
        <v>739.59288592139103</v>
      </c>
      <c r="T1263" s="1">
        <f t="shared" si="219"/>
        <v>-955.01147848131325</v>
      </c>
    </row>
    <row r="1264" spans="6:20" x14ac:dyDescent="0.35">
      <c r="F1264" s="1">
        <f t="shared" si="215"/>
        <v>25.219999999999551</v>
      </c>
      <c r="G1264">
        <f>1/2*$B$8*$B$6*$B$7*(Tabelle2[[#This Row],[vx]]*Tabelle2[[#This Row],[vx]]+Tabelle2[[#This Row],[vy]]*Tabelle2[[#This Row],[vy]])/1000000</f>
        <v>13.710497408246606</v>
      </c>
      <c r="H1264">
        <f>IF($B$3,-Tabelle2[[#This Row],[Fd]]*Tabelle2[[#This Row],[vx]]/Tabelle2[[#This Row],[v]],0)</f>
        <v>-1.3591800829622502</v>
      </c>
      <c r="I1264">
        <f t="shared" si="209"/>
        <v>-0.90612005530816686</v>
      </c>
      <c r="J1264">
        <f t="shared" si="210"/>
        <v>-1.8122401106163338E-2</v>
      </c>
      <c r="K1264">
        <f t="shared" si="211"/>
        <v>0.17437143484471704</v>
      </c>
      <c r="L1264">
        <f>-$B$5*$B$12-IF($B$3,Tabelle2[[#This Row],[Fd]]*Tabelle2[[#This Row],[vy]]/Tabelle2[[#This Row],[v]],0)</f>
        <v>-1.0720395923899417</v>
      </c>
      <c r="M1264">
        <f t="shared" si="212"/>
        <v>-0.71469306159329449</v>
      </c>
      <c r="N1264">
        <f t="shared" si="213"/>
        <v>-1.4293861231865891E-2</v>
      </c>
      <c r="O1264">
        <f t="shared" si="214"/>
        <v>-1.7522396943433947</v>
      </c>
      <c r="P1264" s="1">
        <f t="shared" si="216"/>
        <v>8.727632942788933</v>
      </c>
      <c r="Q1264" s="1">
        <f t="shared" si="217"/>
        <v>-87.604837786553801</v>
      </c>
      <c r="R1264">
        <f>SQRT(Tabelle2[[#This Row],[vx]]*Tabelle2[[#This Row],[vx]]+Tabelle2[[#This Row],[vy]]*Tabelle2[[#This Row],[vy]])</f>
        <v>88.03850964431679</v>
      </c>
      <c r="S1264">
        <f t="shared" si="218"/>
        <v>739.76762015555198</v>
      </c>
      <c r="T1264" s="1">
        <f t="shared" si="219"/>
        <v>-956.76343174272495</v>
      </c>
    </row>
    <row r="1265" spans="6:20" x14ac:dyDescent="0.35">
      <c r="F1265" s="1">
        <f t="shared" si="215"/>
        <v>25.239999999999551</v>
      </c>
      <c r="G1265">
        <f>1/2*$B$8*$B$6*$B$7*(Tabelle2[[#This Row],[vx]]*Tabelle2[[#This Row],[vx]]+Tabelle2[[#This Row],[vy]]*Tabelle2[[#This Row],[vy]])/1000000</f>
        <v>13.71436890628026</v>
      </c>
      <c r="H1265">
        <f>IF($B$3,-Tabelle2[[#This Row],[Fd]]*Tabelle2[[#This Row],[vx]]/Tabelle2[[#This Row],[v]],0)</f>
        <v>-1.3565493149282857</v>
      </c>
      <c r="I1265">
        <f t="shared" si="209"/>
        <v>-0.90436620995219041</v>
      </c>
      <c r="J1265">
        <f t="shared" si="210"/>
        <v>-1.8087324199043808E-2</v>
      </c>
      <c r="K1265">
        <f t="shared" si="211"/>
        <v>0.17400933759166495</v>
      </c>
      <c r="L1265">
        <f>-$B$5*$B$12-IF($B$3,Tabelle2[[#This Row],[Fd]]*Tabelle2[[#This Row],[vy]]/Tabelle2[[#This Row],[v]],0)</f>
        <v>-1.0678871751672556</v>
      </c>
      <c r="M1265">
        <f t="shared" si="212"/>
        <v>-0.71192478344483712</v>
      </c>
      <c r="N1265">
        <f t="shared" si="213"/>
        <v>-1.4238495668896742E-2</v>
      </c>
      <c r="O1265">
        <f t="shared" si="214"/>
        <v>-1.7525250179124023</v>
      </c>
      <c r="P1265" s="1">
        <f t="shared" si="216"/>
        <v>8.7095105416827696</v>
      </c>
      <c r="Q1265" s="1">
        <f t="shared" si="217"/>
        <v>-87.619131647785665</v>
      </c>
      <c r="R1265">
        <f>SQRT(Tabelle2[[#This Row],[vx]]*Tabelle2[[#This Row],[vx]]+Tabelle2[[#This Row],[vy]]*Tabelle2[[#This Row],[vy]])</f>
        <v>88.050938692257446</v>
      </c>
      <c r="S1265">
        <f t="shared" si="218"/>
        <v>739.9419915903967</v>
      </c>
      <c r="T1265" s="1">
        <f t="shared" si="219"/>
        <v>-958.51567143706836</v>
      </c>
    </row>
    <row r="1266" spans="6:20" x14ac:dyDescent="0.35">
      <c r="F1266" s="1">
        <f t="shared" si="215"/>
        <v>25.25999999999955</v>
      </c>
      <c r="G1266">
        <f>1/2*$B$8*$B$6*$B$7*(Tabelle2[[#This Row],[vx]]*Tabelle2[[#This Row],[vx]]+Tabelle2[[#This Row],[vy]]*Tabelle2[[#This Row],[vy]])/1000000</f>
        <v>13.718226202484173</v>
      </c>
      <c r="H1266">
        <f>IF($B$3,-Tabelle2[[#This Row],[Fd]]*Tabelle2[[#This Row],[vx]]/Tabelle2[[#This Row],[v]],0)</f>
        <v>-1.3539224863942825</v>
      </c>
      <c r="I1266">
        <f t="shared" si="209"/>
        <v>-0.90261499092952169</v>
      </c>
      <c r="J1266">
        <f t="shared" si="210"/>
        <v>-1.8052299818590436E-2</v>
      </c>
      <c r="K1266">
        <f t="shared" si="211"/>
        <v>0.17364794135148859</v>
      </c>
      <c r="L1266">
        <f>-$B$5*$B$12-IF($B$3,Tabelle2[[#This Row],[Fd]]*Tabelle2[[#This Row],[vy]]/Tabelle2[[#This Row],[v]],0)</f>
        <v>-1.0637500922677674</v>
      </c>
      <c r="M1266">
        <f t="shared" si="212"/>
        <v>-0.70916672817851156</v>
      </c>
      <c r="N1266">
        <f t="shared" si="213"/>
        <v>-1.4183334563570231E-2</v>
      </c>
      <c r="O1266">
        <f t="shared" si="214"/>
        <v>-1.752809236214727</v>
      </c>
      <c r="P1266" s="1">
        <f t="shared" si="216"/>
        <v>8.6914232174837256</v>
      </c>
      <c r="Q1266" s="1">
        <f t="shared" si="217"/>
        <v>-87.633370143454556</v>
      </c>
      <c r="R1266">
        <f>SQRT(Tabelle2[[#This Row],[vx]]*Tabelle2[[#This Row],[vx]]+Tabelle2[[#This Row],[vy]]*Tabelle2[[#This Row],[vy]])</f>
        <v>88.063320402112524</v>
      </c>
      <c r="S1266">
        <f t="shared" si="218"/>
        <v>740.11600092798835</v>
      </c>
      <c r="T1266" s="1">
        <f t="shared" si="219"/>
        <v>-960.26819645498074</v>
      </c>
    </row>
    <row r="1267" spans="6:20" x14ac:dyDescent="0.35">
      <c r="F1267" s="1">
        <f t="shared" si="215"/>
        <v>25.27999999999955</v>
      </c>
      <c r="G1267">
        <f>1/2*$B$8*$B$6*$B$7*(Tabelle2[[#This Row],[vx]]*Tabelle2[[#This Row],[vx]]+Tabelle2[[#This Row],[vy]]*Tabelle2[[#This Row],[vy]])/1000000</f>
        <v>13.722069343544774</v>
      </c>
      <c r="H1267">
        <f>IF($B$3,-Tabelle2[[#This Row],[Fd]]*Tabelle2[[#This Row],[vx]]/Tabelle2[[#This Row],[v]],0)</f>
        <v>-1.3512995986302503</v>
      </c>
      <c r="I1267">
        <f t="shared" si="209"/>
        <v>-0.90086639908683352</v>
      </c>
      <c r="J1267">
        <f t="shared" si="210"/>
        <v>-1.8017327981736671E-2</v>
      </c>
      <c r="K1267">
        <f t="shared" si="211"/>
        <v>0.17328724507348534</v>
      </c>
      <c r="L1267">
        <f>-$B$5*$B$12-IF($B$3,Tabelle2[[#This Row],[Fd]]*Tabelle2[[#This Row],[vy]]/Tabelle2[[#This Row],[v]],0)</f>
        <v>-1.0596282927269591</v>
      </c>
      <c r="M1267">
        <f t="shared" si="212"/>
        <v>-0.70641886181797275</v>
      </c>
      <c r="N1267">
        <f t="shared" si="213"/>
        <v>-1.4128377236359456E-2</v>
      </c>
      <c r="O1267">
        <f t="shared" si="214"/>
        <v>-1.7530923533327261</v>
      </c>
      <c r="P1267" s="1">
        <f t="shared" si="216"/>
        <v>8.6733709176651352</v>
      </c>
      <c r="Q1267" s="1">
        <f t="shared" si="217"/>
        <v>-87.647553478018125</v>
      </c>
      <c r="R1267">
        <f>SQRT(Tabelle2[[#This Row],[vx]]*Tabelle2[[#This Row],[vx]]+Tabelle2[[#This Row],[vy]]*Tabelle2[[#This Row],[vy]])</f>
        <v>88.075654943675815</v>
      </c>
      <c r="S1267">
        <f t="shared" si="218"/>
        <v>740.28964886933989</v>
      </c>
      <c r="T1267" s="1">
        <f t="shared" si="219"/>
        <v>-962.02100569119546</v>
      </c>
    </row>
    <row r="1268" spans="6:20" x14ac:dyDescent="0.35">
      <c r="F1268" s="1">
        <f t="shared" si="215"/>
        <v>25.29999999999955</v>
      </c>
      <c r="G1268">
        <f>1/2*$B$8*$B$6*$B$7*(Tabelle2[[#This Row],[vx]]*Tabelle2[[#This Row],[vx]]+Tabelle2[[#This Row],[vy]]*Tabelle2[[#This Row],[vy]])/1000000</f>
        <v>13.725898376037097</v>
      </c>
      <c r="H1268">
        <f>IF($B$3,-Tabelle2[[#This Row],[Fd]]*Tabelle2[[#This Row],[vx]]/Tabelle2[[#This Row],[v]],0)</f>
        <v>-1.348680652851632</v>
      </c>
      <c r="I1268">
        <f t="shared" si="209"/>
        <v>-0.89912043523442131</v>
      </c>
      <c r="J1268">
        <f t="shared" si="210"/>
        <v>-1.7982408704688427E-2</v>
      </c>
      <c r="K1268">
        <f t="shared" si="211"/>
        <v>0.17292724770662107</v>
      </c>
      <c r="L1268">
        <f>-$B$5*$B$12-IF($B$3,Tabelle2[[#This Row],[Fd]]*Tabelle2[[#This Row],[vy]]/Tabelle2[[#This Row],[v]],0)</f>
        <v>-1.0555217257055691</v>
      </c>
      <c r="M1268">
        <f t="shared" si="212"/>
        <v>-0.70368115047037938</v>
      </c>
      <c r="N1268">
        <f t="shared" si="213"/>
        <v>-1.4073623009407588E-2</v>
      </c>
      <c r="O1268">
        <f t="shared" si="214"/>
        <v>-1.7533743733351839</v>
      </c>
      <c r="P1268" s="1">
        <f t="shared" si="216"/>
        <v>8.6553535896833989</v>
      </c>
      <c r="Q1268" s="1">
        <f t="shared" si="217"/>
        <v>-87.661681855254486</v>
      </c>
      <c r="R1268">
        <f>SQRT(Tabelle2[[#This Row],[vx]]*Tabelle2[[#This Row],[vx]]+Tabelle2[[#This Row],[vy]]*Tabelle2[[#This Row],[vy]])</f>
        <v>88.087942486212597</v>
      </c>
      <c r="S1268">
        <f t="shared" si="218"/>
        <v>740.46293611441342</v>
      </c>
      <c r="T1268" s="1">
        <f t="shared" si="219"/>
        <v>-963.77409804452816</v>
      </c>
    </row>
    <row r="1269" spans="6:20" x14ac:dyDescent="0.35">
      <c r="F1269" s="1">
        <f t="shared" si="215"/>
        <v>25.319999999999549</v>
      </c>
      <c r="G1269">
        <f>1/2*$B$8*$B$6*$B$7*(Tabelle2[[#This Row],[vx]]*Tabelle2[[#This Row],[vx]]+Tabelle2[[#This Row],[vy]]*Tabelle2[[#This Row],[vy]])/1000000</f>
        <v>13.729713346424685</v>
      </c>
      <c r="H1269">
        <f>IF($B$3,-Tabelle2[[#This Row],[Fd]]*Tabelle2[[#This Row],[vx]]/Tabelle2[[#This Row],[v]],0)</f>
        <v>-1.3460656502196633</v>
      </c>
      <c r="I1269">
        <f t="shared" si="209"/>
        <v>-0.89737710014644223</v>
      </c>
      <c r="J1269">
        <f t="shared" si="210"/>
        <v>-1.7947542002928845E-2</v>
      </c>
      <c r="K1269">
        <f t="shared" si="211"/>
        <v>0.17256794819954493</v>
      </c>
      <c r="L1269">
        <f>-$B$5*$B$12-IF($B$3,Tabelle2[[#This Row],[Fd]]*Tabelle2[[#This Row],[vy]]/Tabelle2[[#This Row],[v]],0)</f>
        <v>-1.0514303404896843</v>
      </c>
      <c r="M1269">
        <f t="shared" si="212"/>
        <v>-0.70095356032645617</v>
      </c>
      <c r="N1269">
        <f t="shared" si="213"/>
        <v>-1.4019071206529123E-2</v>
      </c>
      <c r="O1269">
        <f t="shared" si="214"/>
        <v>-1.7536553002773432</v>
      </c>
      <c r="P1269" s="1">
        <f t="shared" si="216"/>
        <v>8.637371180978711</v>
      </c>
      <c r="Q1269" s="1">
        <f t="shared" si="217"/>
        <v>-87.675755478263895</v>
      </c>
      <c r="R1269">
        <f>SQRT(Tabelle2[[#This Row],[vx]]*Tabelle2[[#This Row],[vx]]+Tabelle2[[#This Row],[vy]]*Tabelle2[[#This Row],[vy]])</f>
        <v>88.100183198460613</v>
      </c>
      <c r="S1269">
        <f t="shared" si="218"/>
        <v>740.63586336212006</v>
      </c>
      <c r="T1269" s="1">
        <f t="shared" si="219"/>
        <v>-965.52747241786335</v>
      </c>
    </row>
    <row r="1270" spans="6:20" x14ac:dyDescent="0.35">
      <c r="F1270" s="1">
        <f t="shared" si="215"/>
        <v>25.339999999999549</v>
      </c>
      <c r="G1270">
        <f>1/2*$B$8*$B$6*$B$7*(Tabelle2[[#This Row],[vx]]*Tabelle2[[#This Row],[vx]]+Tabelle2[[#This Row],[vy]]*Tabelle2[[#This Row],[vy]])/1000000</f>
        <v>13.733514301059516</v>
      </c>
      <c r="H1270">
        <f>IF($B$3,-Tabelle2[[#This Row],[Fd]]*Tabelle2[[#This Row],[vx]]/Tabelle2[[#This Row],[v]],0)</f>
        <v>-1.3434545918417311</v>
      </c>
      <c r="I1270">
        <f t="shared" si="209"/>
        <v>-0.89563639456115407</v>
      </c>
      <c r="J1270">
        <f t="shared" si="210"/>
        <v>-1.7912727891223081E-2</v>
      </c>
      <c r="K1270">
        <f t="shared" si="211"/>
        <v>0.17220934550060343</v>
      </c>
      <c r="L1270">
        <f>-$B$5*$B$12-IF($B$3,Tabelle2[[#This Row],[Fd]]*Tabelle2[[#This Row],[vy]]/Tabelle2[[#This Row],[v]],0)</f>
        <v>-1.0473540864907687</v>
      </c>
      <c r="M1270">
        <f t="shared" si="212"/>
        <v>-0.69823605766051244</v>
      </c>
      <c r="N1270">
        <f t="shared" si="213"/>
        <v>-1.3964721153210249E-2</v>
      </c>
      <c r="O1270">
        <f t="shared" si="214"/>
        <v>-1.7539351382009407</v>
      </c>
      <c r="P1270" s="1">
        <f t="shared" si="216"/>
        <v>8.6194236389757819</v>
      </c>
      <c r="Q1270" s="1">
        <f t="shared" si="217"/>
        <v>-87.689774549470428</v>
      </c>
      <c r="R1270">
        <f>SQRT(Tabelle2[[#This Row],[vx]]*Tabelle2[[#This Row],[vx]]+Tabelle2[[#This Row],[vy]]*Tabelle2[[#This Row],[vy]])</f>
        <v>88.11237724863112</v>
      </c>
      <c r="S1270">
        <f t="shared" si="218"/>
        <v>740.80843131031963</v>
      </c>
      <c r="T1270" s="1">
        <f t="shared" si="219"/>
        <v>-967.28112771814074</v>
      </c>
    </row>
    <row r="1271" spans="6:20" x14ac:dyDescent="0.35">
      <c r="F1271" s="1">
        <f t="shared" si="215"/>
        <v>25.359999999999548</v>
      </c>
      <c r="G1271">
        <f>1/2*$B$8*$B$6*$B$7*(Tabelle2[[#This Row],[vx]]*Tabelle2[[#This Row],[vx]]+Tabelle2[[#This Row],[vy]]*Tabelle2[[#This Row],[vy]])/1000000</f>
        <v>13.737301286181919</v>
      </c>
      <c r="H1271">
        <f>IF($B$3,-Tabelle2[[#This Row],[Fd]]*Tabelle2[[#This Row],[vx]]/Tabelle2[[#This Row],[v]],0)</f>
        <v>-1.3408474787717306</v>
      </c>
      <c r="I1271">
        <f t="shared" si="209"/>
        <v>-0.8938983191811537</v>
      </c>
      <c r="J1271">
        <f t="shared" si="210"/>
        <v>-1.7877966383623073E-2</v>
      </c>
      <c r="K1271">
        <f t="shared" si="211"/>
        <v>0.17185143855785495</v>
      </c>
      <c r="L1271">
        <f>-$B$5*$B$12-IF($B$3,Tabelle2[[#This Row],[Fd]]*Tabelle2[[#This Row],[vy]]/Tabelle2[[#This Row],[v]],0)</f>
        <v>-1.0432929132457307</v>
      </c>
      <c r="M1271">
        <f t="shared" si="212"/>
        <v>-0.69552860883048717</v>
      </c>
      <c r="N1271">
        <f t="shared" si="213"/>
        <v>-1.3910572176609744E-2</v>
      </c>
      <c r="O1271">
        <f t="shared" si="214"/>
        <v>-1.7542138911342389</v>
      </c>
      <c r="P1271" s="1">
        <f t="shared" si="216"/>
        <v>8.6015109110845582</v>
      </c>
      <c r="Q1271" s="1">
        <f t="shared" si="217"/>
        <v>-87.703739270623643</v>
      </c>
      <c r="R1271">
        <f>SQRT(Tabelle2[[#This Row],[vx]]*Tabelle2[[#This Row],[vx]]+Tabelle2[[#This Row],[vy]]*Tabelle2[[#This Row],[vy]])</f>
        <v>88.124524804409802</v>
      </c>
      <c r="S1271">
        <f t="shared" si="218"/>
        <v>740.98064065582025</v>
      </c>
      <c r="T1271" s="1">
        <f t="shared" si="219"/>
        <v>-969.03506285634171</v>
      </c>
    </row>
    <row r="1272" spans="6:20" x14ac:dyDescent="0.35">
      <c r="F1272" s="1">
        <f t="shared" si="215"/>
        <v>25.379999999999548</v>
      </c>
      <c r="G1272">
        <f>1/2*$B$8*$B$6*$B$7*(Tabelle2[[#This Row],[vx]]*Tabelle2[[#This Row],[vx]]+Tabelle2[[#This Row],[vy]]*Tabelle2[[#This Row],[vy]])/1000000</f>
        <v>13.741074347920497</v>
      </c>
      <c r="H1272">
        <f>IF($B$3,-Tabelle2[[#This Row],[Fd]]*Tabelle2[[#This Row],[vx]]/Tabelle2[[#This Row],[v]],0)</f>
        <v>-1.3382443120104188</v>
      </c>
      <c r="I1272">
        <f t="shared" si="209"/>
        <v>-0.89216287467361255</v>
      </c>
      <c r="J1272">
        <f t="shared" si="210"/>
        <v>-1.784325749347225E-2</v>
      </c>
      <c r="K1272">
        <f t="shared" si="211"/>
        <v>0.17149422631908401</v>
      </c>
      <c r="L1272">
        <f>-$B$5*$B$12-IF($B$3,Tabelle2[[#This Row],[Fd]]*Tabelle2[[#This Row],[vy]]/Tabelle2[[#This Row],[v]],0)</f>
        <v>-1.0392467704169768</v>
      </c>
      <c r="M1272">
        <f t="shared" si="212"/>
        <v>-0.69283118027798452</v>
      </c>
      <c r="N1272">
        <f t="shared" si="213"/>
        <v>-1.3856623605559691E-2</v>
      </c>
      <c r="O1272">
        <f t="shared" si="214"/>
        <v>-1.7544915630920608</v>
      </c>
      <c r="P1272" s="1">
        <f t="shared" si="216"/>
        <v>8.5836329447009359</v>
      </c>
      <c r="Q1272" s="1">
        <f t="shared" si="217"/>
        <v>-87.717649842800256</v>
      </c>
      <c r="R1272">
        <f>SQRT(Tabelle2[[#This Row],[vx]]*Tabelle2[[#This Row],[vx]]+Tabelle2[[#This Row],[vy]]*Tabelle2[[#This Row],[vy]])</f>
        <v>88.136626032957892</v>
      </c>
      <c r="S1272">
        <f t="shared" si="218"/>
        <v>741.15249209437809</v>
      </c>
      <c r="T1272" s="1">
        <f t="shared" si="219"/>
        <v>-970.78927674747592</v>
      </c>
    </row>
    <row r="1273" spans="6:20" x14ac:dyDescent="0.35">
      <c r="F1273" s="1">
        <f t="shared" si="215"/>
        <v>25.399999999999547</v>
      </c>
      <c r="G1273">
        <f>1/2*$B$8*$B$6*$B$7*(Tabelle2[[#This Row],[vx]]*Tabelle2[[#This Row],[vx]]+Tabelle2[[#This Row],[vy]]*Tabelle2[[#This Row],[vy]])/1000000</f>
        <v>13.744833532292066</v>
      </c>
      <c r="H1273">
        <f>IF($B$3,-Tabelle2[[#This Row],[Fd]]*Tabelle2[[#This Row],[vx]]/Tabelle2[[#This Row],[v]],0)</f>
        <v>-1.3356450925057699</v>
      </c>
      <c r="I1273">
        <f t="shared" si="209"/>
        <v>-0.89043006167051331</v>
      </c>
      <c r="J1273">
        <f t="shared" si="210"/>
        <v>-1.7808601233410267E-2</v>
      </c>
      <c r="K1273">
        <f t="shared" si="211"/>
        <v>0.17113770773181514</v>
      </c>
      <c r="L1273">
        <f>-$B$5*$B$12-IF($B$3,Tabelle2[[#This Row],[Fd]]*Tabelle2[[#This Row],[vy]]/Tabelle2[[#This Row],[v]],0)</f>
        <v>-1.0352156077924359</v>
      </c>
      <c r="M1273">
        <f t="shared" si="212"/>
        <v>-0.69014373852829058</v>
      </c>
      <c r="N1273">
        <f t="shared" si="213"/>
        <v>-1.3802874770565812E-2</v>
      </c>
      <c r="O1273">
        <f t="shared" si="214"/>
        <v>-1.7547681580758221</v>
      </c>
      <c r="P1273" s="1">
        <f t="shared" si="216"/>
        <v>8.565789687207463</v>
      </c>
      <c r="Q1273" s="1">
        <f t="shared" si="217"/>
        <v>-87.731506466405818</v>
      </c>
      <c r="R1273">
        <f>SQRT(Tabelle2[[#This Row],[vx]]*Tabelle2[[#This Row],[vx]]+Tabelle2[[#This Row],[vy]]*Tabelle2[[#This Row],[vy]])</f>
        <v>88.148681100913109</v>
      </c>
      <c r="S1273">
        <f t="shared" si="218"/>
        <v>741.32398632069714</v>
      </c>
      <c r="T1273" s="1">
        <f t="shared" si="219"/>
        <v>-972.543768310568</v>
      </c>
    </row>
    <row r="1274" spans="6:20" x14ac:dyDescent="0.35">
      <c r="F1274" s="1">
        <f t="shared" si="215"/>
        <v>25.419999999999547</v>
      </c>
      <c r="G1274">
        <f>1/2*$B$8*$B$6*$B$7*(Tabelle2[[#This Row],[vx]]*Tabelle2[[#This Row],[vx]]+Tabelle2[[#This Row],[vy]]*Tabelle2[[#This Row],[vy]])/1000000</f>
        <v>13.748578885201564</v>
      </c>
      <c r="H1274">
        <f>IF($B$3,-Tabelle2[[#This Row],[Fd]]*Tabelle2[[#This Row],[vx]]/Tabelle2[[#This Row],[v]],0)</f>
        <v>-1.333049821153325</v>
      </c>
      <c r="I1274">
        <f t="shared" si="209"/>
        <v>-0.8886998807688834</v>
      </c>
      <c r="J1274">
        <f t="shared" si="210"/>
        <v>-1.7773997615377669E-2</v>
      </c>
      <c r="K1274">
        <f t="shared" si="211"/>
        <v>0.17078188174332729</v>
      </c>
      <c r="L1274">
        <f>-$B$5*$B$12-IF($B$3,Tabelle2[[#This Row],[Fd]]*Tabelle2[[#This Row],[vy]]/Tabelle2[[#This Row],[v]],0)</f>
        <v>-1.031199375285631</v>
      </c>
      <c r="M1274">
        <f t="shared" si="212"/>
        <v>-0.68746625019042062</v>
      </c>
      <c r="N1274">
        <f t="shared" si="213"/>
        <v>-1.3749325003808413E-2</v>
      </c>
      <c r="O1274">
        <f t="shared" si="214"/>
        <v>-1.7550436800735656</v>
      </c>
      <c r="P1274" s="1">
        <f t="shared" si="216"/>
        <v>8.5479810859740528</v>
      </c>
      <c r="Q1274" s="1">
        <f t="shared" si="217"/>
        <v>-87.74530934117638</v>
      </c>
      <c r="R1274">
        <f>SQRT(Tabelle2[[#This Row],[vx]]*Tabelle2[[#This Row],[vx]]+Tabelle2[[#This Row],[vy]]*Tabelle2[[#This Row],[vy]])</f>
        <v>88.16069017439068</v>
      </c>
      <c r="S1274">
        <f t="shared" si="218"/>
        <v>741.4951240284289</v>
      </c>
      <c r="T1274" s="1">
        <f t="shared" si="219"/>
        <v>-974.29853646864387</v>
      </c>
    </row>
    <row r="1275" spans="6:20" x14ac:dyDescent="0.35">
      <c r="F1275" s="1">
        <f t="shared" si="215"/>
        <v>25.439999999999547</v>
      </c>
      <c r="G1275">
        <f>1/2*$B$8*$B$6*$B$7*(Tabelle2[[#This Row],[vx]]*Tabelle2[[#This Row],[vx]]+Tabelle2[[#This Row],[vy]]*Tabelle2[[#This Row],[vy]])/1000000</f>
        <v>13.752310452442025</v>
      </c>
      <c r="H1275">
        <f>IF($B$3,-Tabelle2[[#This Row],[Fd]]*Tabelle2[[#This Row],[vx]]/Tabelle2[[#This Row],[v]],0)</f>
        <v>-1.3304584987965455</v>
      </c>
      <c r="I1275">
        <f t="shared" si="209"/>
        <v>-0.88697233253103036</v>
      </c>
      <c r="J1275">
        <f t="shared" si="210"/>
        <v>-1.7739446650620608E-2</v>
      </c>
      <c r="K1275">
        <f t="shared" si="211"/>
        <v>0.17042674730066731</v>
      </c>
      <c r="L1275">
        <f>-$B$5*$B$12-IF($B$3,Tabelle2[[#This Row],[Fd]]*Tabelle2[[#This Row],[vy]]/Tabelle2[[#This Row],[v]],0)</f>
        <v>-1.0271980229356679</v>
      </c>
      <c r="M1275">
        <f t="shared" si="212"/>
        <v>-0.68479868195711191</v>
      </c>
      <c r="N1275">
        <f t="shared" si="213"/>
        <v>-1.3695973639142239E-2</v>
      </c>
      <c r="O1275">
        <f t="shared" si="214"/>
        <v>-1.7553181330599952</v>
      </c>
      <c r="P1275" s="1">
        <f t="shared" si="216"/>
        <v>8.5302070883586758</v>
      </c>
      <c r="Q1275" s="1">
        <f t="shared" si="217"/>
        <v>-87.759058666180195</v>
      </c>
      <c r="R1275">
        <f>SQRT(Tabelle2[[#This Row],[vx]]*Tabelle2[[#This Row],[vx]]+Tabelle2[[#This Row],[vy]]*Tabelle2[[#This Row],[vy]])</f>
        <v>88.172653418984396</v>
      </c>
      <c r="S1275">
        <f t="shared" si="218"/>
        <v>741.66590591017223</v>
      </c>
      <c r="T1275" s="1">
        <f t="shared" si="219"/>
        <v>-976.0535801487174</v>
      </c>
    </row>
    <row r="1276" spans="6:20" x14ac:dyDescent="0.35">
      <c r="F1276" s="1">
        <f t="shared" si="215"/>
        <v>25.459999999999546</v>
      </c>
      <c r="G1276">
        <f>1/2*$B$8*$B$6*$B$7*(Tabelle2[[#This Row],[vx]]*Tabelle2[[#This Row],[vx]]+Tabelle2[[#This Row],[vy]]*Tabelle2[[#This Row],[vy]])/1000000</f>
        <v>13.756028279694469</v>
      </c>
      <c r="H1276">
        <f>IF($B$3,-Tabelle2[[#This Row],[Fd]]*Tabelle2[[#This Row],[vx]]/Tabelle2[[#This Row],[v]],0)</f>
        <v>-1.327871126227157</v>
      </c>
      <c r="I1276">
        <f t="shared" si="209"/>
        <v>-0.88524741748477132</v>
      </c>
      <c r="J1276">
        <f t="shared" si="210"/>
        <v>-1.7704948349695427E-2</v>
      </c>
      <c r="K1276">
        <f t="shared" si="211"/>
        <v>0.17007230335066414</v>
      </c>
      <c r="L1276">
        <f>-$B$5*$B$12-IF($B$3,Tabelle2[[#This Row],[Fd]]*Tabelle2[[#This Row],[vy]]/Tabelle2[[#This Row],[v]],0)</f>
        <v>-1.0232115009073333</v>
      </c>
      <c r="M1276">
        <f t="shared" si="212"/>
        <v>-0.6821410006048888</v>
      </c>
      <c r="N1276">
        <f t="shared" si="213"/>
        <v>-1.3642820012097776E-2</v>
      </c>
      <c r="O1276">
        <f t="shared" si="214"/>
        <v>-1.7555915209965078</v>
      </c>
      <c r="P1276" s="1">
        <f t="shared" si="216"/>
        <v>8.5124676417080547</v>
      </c>
      <c r="Q1276" s="1">
        <f t="shared" si="217"/>
        <v>-87.77275463981934</v>
      </c>
      <c r="R1276">
        <f>SQRT(Tabelle2[[#This Row],[vx]]*Tabelle2[[#This Row],[vx]]+Tabelle2[[#This Row],[vy]]*Tabelle2[[#This Row],[vy]])</f>
        <v>88.184570999767601</v>
      </c>
      <c r="S1276">
        <f t="shared" si="218"/>
        <v>741.83633265747289</v>
      </c>
      <c r="T1276" s="1">
        <f t="shared" si="219"/>
        <v>-977.80889828177737</v>
      </c>
    </row>
    <row r="1277" spans="6:20" x14ac:dyDescent="0.35">
      <c r="F1277" s="1">
        <f t="shared" si="215"/>
        <v>25.479999999999546</v>
      </c>
      <c r="G1277">
        <f>1/2*$B$8*$B$6*$B$7*(Tabelle2[[#This Row],[vx]]*Tabelle2[[#This Row],[vx]]+Tabelle2[[#This Row],[vy]]*Tabelle2[[#This Row],[vy]])/1000000</f>
        <v>13.759732412527892</v>
      </c>
      <c r="H1277">
        <f>IF($B$3,-Tabelle2[[#This Row],[Fd]]*Tabelle2[[#This Row],[vx]]/Tabelle2[[#This Row],[v]],0)</f>
        <v>-1.3252877041855025</v>
      </c>
      <c r="I1277">
        <f t="shared" si="209"/>
        <v>-0.88352513612366834</v>
      </c>
      <c r="J1277">
        <f t="shared" si="210"/>
        <v>-1.7670502722473367E-2</v>
      </c>
      <c r="K1277">
        <f t="shared" si="211"/>
        <v>0.16971854883994245</v>
      </c>
      <c r="L1277">
        <f>-$B$5*$B$12-IF($B$3,Tabelle2[[#This Row],[Fd]]*Tabelle2[[#This Row],[vy]]/Tabelle2[[#This Row],[v]],0)</f>
        <v>-1.0192397594910645</v>
      </c>
      <c r="M1277">
        <f t="shared" si="212"/>
        <v>-0.67949317299404299</v>
      </c>
      <c r="N1277">
        <f t="shared" si="213"/>
        <v>-1.358986345988086E-2</v>
      </c>
      <c r="O1277">
        <f t="shared" si="214"/>
        <v>-1.7558638478312276</v>
      </c>
      <c r="P1277" s="1">
        <f t="shared" si="216"/>
        <v>8.4947626933583589</v>
      </c>
      <c r="Q1277" s="1">
        <f t="shared" si="217"/>
        <v>-87.786397459831434</v>
      </c>
      <c r="R1277">
        <f>SQRT(Tabelle2[[#This Row],[vx]]*Tabelle2[[#This Row],[vx]]+Tabelle2[[#This Row],[vy]]*Tabelle2[[#This Row],[vy]])</f>
        <v>88.19644308129422</v>
      </c>
      <c r="S1277">
        <f t="shared" si="218"/>
        <v>742.0064049608236</v>
      </c>
      <c r="T1277" s="1">
        <f t="shared" si="219"/>
        <v>-979.56448980277389</v>
      </c>
    </row>
    <row r="1278" spans="6:20" x14ac:dyDescent="0.35">
      <c r="F1278" s="1">
        <f t="shared" si="215"/>
        <v>25.499999999999545</v>
      </c>
      <c r="G1278">
        <f>1/2*$B$8*$B$6*$B$7*(Tabelle2[[#This Row],[vx]]*Tabelle2[[#This Row],[vx]]+Tabelle2[[#This Row],[vy]]*Tabelle2[[#This Row],[vy]])/1000000</f>
        <v>13.763422896399184</v>
      </c>
      <c r="H1278">
        <f>IF($B$3,-Tabelle2[[#This Row],[Fd]]*Tabelle2[[#This Row],[vx]]/Tabelle2[[#This Row],[v]],0)</f>
        <v>-1.3227082333608831</v>
      </c>
      <c r="I1278">
        <f t="shared" si="209"/>
        <v>-0.88180548890725541</v>
      </c>
      <c r="J1278">
        <f t="shared" si="210"/>
        <v>-1.7636109778145108E-2</v>
      </c>
      <c r="K1278">
        <f t="shared" si="211"/>
        <v>0.16936548271493623</v>
      </c>
      <c r="L1278">
        <f>-$B$5*$B$12-IF($B$3,Tabelle2[[#This Row],[Fd]]*Tabelle2[[#This Row],[vy]]/Tabelle2[[#This Row],[v]],0)</f>
        <v>-1.0152827491030063</v>
      </c>
      <c r="M1278">
        <f t="shared" si="212"/>
        <v>-0.67685516606867091</v>
      </c>
      <c r="N1278">
        <f t="shared" si="213"/>
        <v>-1.3537103321373419E-2</v>
      </c>
      <c r="O1278">
        <f t="shared" si="214"/>
        <v>-1.7561351174990401</v>
      </c>
      <c r="P1278" s="1">
        <f t="shared" si="216"/>
        <v>8.4770921906358847</v>
      </c>
      <c r="Q1278" s="1">
        <f t="shared" si="217"/>
        <v>-87.799987323291319</v>
      </c>
      <c r="R1278">
        <f>SQRT(Tabelle2[[#This Row],[vx]]*Tabelle2[[#This Row],[vx]]+Tabelle2[[#This Row],[vy]]*Tabelle2[[#This Row],[vy]])</f>
        <v>88.208269827599821</v>
      </c>
      <c r="S1278">
        <f t="shared" si="218"/>
        <v>742.17612350966351</v>
      </c>
      <c r="T1278" s="1">
        <f t="shared" si="219"/>
        <v>-981.32035365060517</v>
      </c>
    </row>
    <row r="1279" spans="6:20" x14ac:dyDescent="0.35">
      <c r="F1279" s="1">
        <f t="shared" si="215"/>
        <v>25.519999999999545</v>
      </c>
      <c r="G1279">
        <f>1/2*$B$8*$B$6*$B$7*(Tabelle2[[#This Row],[vx]]*Tabelle2[[#This Row],[vx]]+Tabelle2[[#This Row],[vy]]*Tabelle2[[#This Row],[vy]])/1000000</f>
        <v>13.767099776653081</v>
      </c>
      <c r="H1279">
        <f>IF($B$3,-Tabelle2[[#This Row],[Fd]]*Tabelle2[[#This Row],[vx]]/Tabelle2[[#This Row],[v]],0)</f>
        <v>-1.3201327143919057</v>
      </c>
      <c r="I1279">
        <f t="shared" si="209"/>
        <v>-0.88008847626127051</v>
      </c>
      <c r="J1279">
        <f t="shared" si="210"/>
        <v>-1.7601769525225412E-2</v>
      </c>
      <c r="K1279">
        <f t="shared" si="211"/>
        <v>0.16901310392190255</v>
      </c>
      <c r="L1279">
        <f>-$B$5*$B$12-IF($B$3,Tabelle2[[#This Row],[Fd]]*Tabelle2[[#This Row],[vy]]/Tabelle2[[#This Row],[v]],0)</f>
        <v>-1.0113404202850393</v>
      </c>
      <c r="M1279">
        <f t="shared" si="212"/>
        <v>-0.67422694685669293</v>
      </c>
      <c r="N1279">
        <f t="shared" si="213"/>
        <v>-1.3484538937133859E-2</v>
      </c>
      <c r="O1279">
        <f t="shared" si="214"/>
        <v>-1.756405333921625</v>
      </c>
      <c r="P1279" s="1">
        <f t="shared" si="216"/>
        <v>8.4594560808577395</v>
      </c>
      <c r="Q1279" s="1">
        <f t="shared" si="217"/>
        <v>-87.813524426612688</v>
      </c>
      <c r="R1279">
        <f>SQRT(Tabelle2[[#This Row],[vx]]*Tabelle2[[#This Row],[vx]]+Tabelle2[[#This Row],[vy]]*Tabelle2[[#This Row],[vy]])</f>
        <v>88.220051402202571</v>
      </c>
      <c r="S1279">
        <f t="shared" si="218"/>
        <v>742.34548899237848</v>
      </c>
      <c r="T1279" s="1">
        <f t="shared" si="219"/>
        <v>-983.07648876810424</v>
      </c>
    </row>
    <row r="1280" spans="6:20" x14ac:dyDescent="0.35">
      <c r="F1280" s="1">
        <f t="shared" si="215"/>
        <v>25.539999999999544</v>
      </c>
      <c r="G1280">
        <f>1/2*$B$8*$B$6*$B$7*(Tabelle2[[#This Row],[vx]]*Tabelle2[[#This Row],[vx]]+Tabelle2[[#This Row],[vy]]*Tabelle2[[#This Row],[vy]])/1000000</f>
        <v>13.770763098522137</v>
      </c>
      <c r="H1280">
        <f>IF($B$3,-Tabelle2[[#This Row],[Fd]]*Tabelle2[[#This Row],[vx]]/Tabelle2[[#This Row],[v]],0)</f>
        <v>-1.3175611478668232</v>
      </c>
      <c r="I1280">
        <f t="shared" si="209"/>
        <v>-0.87837409857788218</v>
      </c>
      <c r="J1280">
        <f t="shared" si="210"/>
        <v>-1.7567481971557643E-2</v>
      </c>
      <c r="K1280">
        <f t="shared" si="211"/>
        <v>0.16866141140693472</v>
      </c>
      <c r="L1280">
        <f>-$B$5*$B$12-IF($B$3,Tabelle2[[#This Row],[Fd]]*Tabelle2[[#This Row],[vy]]/Tabelle2[[#This Row],[v]],0)</f>
        <v>-1.0074127237047712</v>
      </c>
      <c r="M1280">
        <f t="shared" si="212"/>
        <v>-0.6716084824698475</v>
      </c>
      <c r="N1280">
        <f t="shared" si="213"/>
        <v>-1.343216964939695E-2</v>
      </c>
      <c r="O1280">
        <f t="shared" si="214"/>
        <v>-1.7566745010074905</v>
      </c>
      <c r="P1280" s="1">
        <f t="shared" si="216"/>
        <v>8.4418543113325146</v>
      </c>
      <c r="Q1280" s="1">
        <f t="shared" si="217"/>
        <v>-87.827008965549823</v>
      </c>
      <c r="R1280">
        <f>SQRT(Tabelle2[[#This Row],[vx]]*Tabelle2[[#This Row],[vx]]+Tabelle2[[#This Row],[vy]]*Tabelle2[[#This Row],[vy]])</f>
        <v>88.231787968104399</v>
      </c>
      <c r="S1280">
        <f t="shared" si="218"/>
        <v>742.51450209630036</v>
      </c>
      <c r="T1280" s="1">
        <f t="shared" si="219"/>
        <v>-984.83289410202588</v>
      </c>
    </row>
    <row r="1281" spans="6:20" x14ac:dyDescent="0.35">
      <c r="F1281" s="1">
        <f t="shared" si="215"/>
        <v>25.559999999999544</v>
      </c>
      <c r="G1281">
        <f>1/2*$B$8*$B$6*$B$7*(Tabelle2[[#This Row],[vx]]*Tabelle2[[#This Row],[vx]]+Tabelle2[[#This Row],[vy]]*Tabelle2[[#This Row],[vy]])/1000000</f>
        <v>13.774412907126655</v>
      </c>
      <c r="H1281">
        <f>IF($B$3,-Tabelle2[[#This Row],[Fd]]*Tabelle2[[#This Row],[vx]]/Tabelle2[[#This Row],[v]],0)</f>
        <v>-1.3149935343238761</v>
      </c>
      <c r="I1281">
        <f t="shared" si="209"/>
        <v>-0.87666235621591737</v>
      </c>
      <c r="J1281">
        <f t="shared" si="210"/>
        <v>-1.7533247124318349E-2</v>
      </c>
      <c r="K1281">
        <f t="shared" si="211"/>
        <v>0.16831040411597595</v>
      </c>
      <c r="L1281">
        <f>-$B$5*$B$12-IF($B$3,Tabelle2[[#This Row],[Fd]]*Tabelle2[[#This Row],[vy]]/Tabelle2[[#This Row],[v]],0)</f>
        <v>-1.0034996101555755</v>
      </c>
      <c r="M1281">
        <f t="shared" si="212"/>
        <v>-0.66899974010371699</v>
      </c>
      <c r="N1281">
        <f t="shared" si="213"/>
        <v>-1.337999480207434E-2</v>
      </c>
      <c r="O1281">
        <f t="shared" si="214"/>
        <v>-1.7569426226520051</v>
      </c>
      <c r="P1281" s="1">
        <f t="shared" si="216"/>
        <v>8.4242868293609572</v>
      </c>
      <c r="Q1281" s="1">
        <f t="shared" si="217"/>
        <v>-87.840441135199214</v>
      </c>
      <c r="R1281">
        <f>SQRT(Tabelle2[[#This Row],[vx]]*Tabelle2[[#This Row],[vx]]+Tabelle2[[#This Row],[vy]]*Tabelle2[[#This Row],[vy]])</f>
        <v>88.243479687791904</v>
      </c>
      <c r="S1281">
        <f t="shared" si="218"/>
        <v>742.68316350770726</v>
      </c>
      <c r="T1281" s="1">
        <f t="shared" si="219"/>
        <v>-986.5895686030334</v>
      </c>
    </row>
    <row r="1282" spans="6:20" x14ac:dyDescent="0.35">
      <c r="F1282" s="1">
        <f t="shared" si="215"/>
        <v>25.579999999999544</v>
      </c>
      <c r="G1282">
        <f>1/2*$B$8*$B$6*$B$7*(Tabelle2[[#This Row],[vx]]*Tabelle2[[#This Row],[vx]]+Tabelle2[[#This Row],[vy]]*Tabelle2[[#This Row],[vy]])/1000000</f>
        <v>13.778049247474673</v>
      </c>
      <c r="H1282">
        <f>IF($B$3,-Tabelle2[[#This Row],[Fd]]*Tabelle2[[#This Row],[vx]]/Tabelle2[[#This Row],[v]],0)</f>
        <v>-1.3124298742516329</v>
      </c>
      <c r="I1282">
        <f t="shared" si="209"/>
        <v>-0.87495324950108866</v>
      </c>
      <c r="J1282">
        <f t="shared" si="210"/>
        <v>-1.7499064990021775E-2</v>
      </c>
      <c r="K1282">
        <f t="shared" si="211"/>
        <v>0.16796008099483256</v>
      </c>
      <c r="L1282">
        <f>-$B$5*$B$12-IF($B$3,Tabelle2[[#This Row],[Fd]]*Tabelle2[[#This Row],[vy]]/Tabelle2[[#This Row],[v]],0)</f>
        <v>-0.99960103055659566</v>
      </c>
      <c r="M1282">
        <f t="shared" si="212"/>
        <v>-0.66640068703773048</v>
      </c>
      <c r="N1282">
        <f t="shared" si="213"/>
        <v>-1.332801374075461E-2</v>
      </c>
      <c r="O1282">
        <f t="shared" si="214"/>
        <v>-1.7572097027374336</v>
      </c>
      <c r="P1282" s="1">
        <f t="shared" si="216"/>
        <v>8.4067535822366395</v>
      </c>
      <c r="Q1282" s="1">
        <f t="shared" si="217"/>
        <v>-87.853821130001293</v>
      </c>
      <c r="R1282">
        <f>SQRT(Tabelle2[[#This Row],[vx]]*Tabelle2[[#This Row],[vx]]+Tabelle2[[#This Row],[vy]]*Tabelle2[[#This Row],[vy]])</f>
        <v>88.25512672323751</v>
      </c>
      <c r="S1282">
        <f t="shared" si="218"/>
        <v>742.85147391182329</v>
      </c>
      <c r="T1282" s="1">
        <f t="shared" si="219"/>
        <v>-988.34651122568539</v>
      </c>
    </row>
    <row r="1283" spans="6:20" x14ac:dyDescent="0.35">
      <c r="F1283" s="1">
        <f t="shared" si="215"/>
        <v>25.599999999999543</v>
      </c>
      <c r="G1283">
        <f>1/2*$B$8*$B$6*$B$7*(Tabelle2[[#This Row],[vx]]*Tabelle2[[#This Row],[vx]]+Tabelle2[[#This Row],[vy]]*Tabelle2[[#This Row],[vy]])/1000000</f>
        <v>13.781672164461906</v>
      </c>
      <c r="H1283">
        <f>IF($B$3,-Tabelle2[[#This Row],[Fd]]*Tabelle2[[#This Row],[vx]]/Tabelle2[[#This Row],[v]],0)</f>
        <v>-1.3098701680893277</v>
      </c>
      <c r="I1283">
        <f t="shared" ref="I1283:I1346" si="220">H1283/$B$5</f>
        <v>-0.87324677872621848</v>
      </c>
      <c r="J1283">
        <f t="shared" ref="J1283:J1346" si="221">I1283*$B$13</f>
        <v>-1.746493557452437E-2</v>
      </c>
      <c r="K1283">
        <f t="shared" ref="K1283:K1346" si="222">$B$13*(P1283+J1283/2)</f>
        <v>0.16761044098918715</v>
      </c>
      <c r="L1283">
        <f>-$B$5*$B$12-IF($B$3,Tabelle2[[#This Row],[Fd]]*Tabelle2[[#This Row],[vy]]/Tabelle2[[#This Row],[v]],0)</f>
        <v>-0.99571693595274979</v>
      </c>
      <c r="M1283">
        <f t="shared" ref="M1283:M1346" si="223">L1283/$B$5</f>
        <v>-0.66381129063516653</v>
      </c>
      <c r="N1283">
        <f t="shared" ref="N1283:N1346" si="224">M1283*$B$13</f>
        <v>-1.3276225812703331E-2</v>
      </c>
      <c r="O1283">
        <f t="shared" ref="O1283:O1346" si="225">$B$13*(Q1283+N1283/2)</f>
        <v>-1.7574757451329683</v>
      </c>
      <c r="P1283" s="1">
        <f t="shared" si="216"/>
        <v>8.3892545172466182</v>
      </c>
      <c r="Q1283" s="1">
        <f t="shared" si="217"/>
        <v>-87.867149143742054</v>
      </c>
      <c r="R1283">
        <f>SQRT(Tabelle2[[#This Row],[vx]]*Tabelle2[[#This Row],[vx]]+Tabelle2[[#This Row],[vy]]*Tabelle2[[#This Row],[vy]])</f>
        <v>88.266729235900399</v>
      </c>
      <c r="S1283">
        <f t="shared" si="218"/>
        <v>743.01943399281811</v>
      </c>
      <c r="T1283" s="1">
        <f t="shared" si="219"/>
        <v>-990.10372092842283</v>
      </c>
    </row>
    <row r="1284" spans="6:20" x14ac:dyDescent="0.35">
      <c r="F1284" s="1">
        <f t="shared" ref="F1284:F1347" si="226">F1283+$B$13</f>
        <v>25.619999999999543</v>
      </c>
      <c r="G1284">
        <f>1/2*$B$8*$B$6*$B$7*(Tabelle2[[#This Row],[vx]]*Tabelle2[[#This Row],[vx]]+Tabelle2[[#This Row],[vy]]*Tabelle2[[#This Row],[vy]])/1000000</f>
        <v>13.785281702871726</v>
      </c>
      <c r="H1284">
        <f>IF($B$3,-Tabelle2[[#This Row],[Fd]]*Tabelle2[[#This Row],[vx]]/Tabelle2[[#This Row],[v]],0)</f>
        <v>-1.3073144162271957</v>
      </c>
      <c r="I1284">
        <f t="shared" si="220"/>
        <v>-0.87154294415146383</v>
      </c>
      <c r="J1284">
        <f t="shared" si="221"/>
        <v>-1.7430858883029279E-2</v>
      </c>
      <c r="K1284">
        <f t="shared" si="222"/>
        <v>0.16726148304461158</v>
      </c>
      <c r="L1284">
        <f>-$B$5*$B$12-IF($B$3,Tabelle2[[#This Row],[Fd]]*Tabelle2[[#This Row],[vy]]/Tabelle2[[#This Row],[v]],0)</f>
        <v>-0.99184727751474</v>
      </c>
      <c r="M1284">
        <f t="shared" si="223"/>
        <v>-0.66123151834315996</v>
      </c>
      <c r="N1284">
        <f t="shared" si="224"/>
        <v>-1.3224630366863199E-2</v>
      </c>
      <c r="O1284">
        <f t="shared" si="225"/>
        <v>-1.7577407536947638</v>
      </c>
      <c r="P1284" s="1">
        <f t="shared" ref="P1284:P1347" si="227">P1283+J1283</f>
        <v>8.3717895816720933</v>
      </c>
      <c r="Q1284" s="1">
        <f t="shared" ref="Q1284:Q1347" si="228">Q1283+N1283</f>
        <v>-87.880425369554757</v>
      </c>
      <c r="R1284">
        <f>SQRT(Tabelle2[[#This Row],[vx]]*Tabelle2[[#This Row],[vx]]+Tabelle2[[#This Row],[vy]]*Tabelle2[[#This Row],[vy]])</f>
        <v>88.278287386727641</v>
      </c>
      <c r="S1284">
        <f t="shared" ref="S1284:S1347" si="229">S1283+K1283</f>
        <v>743.18704443380727</v>
      </c>
      <c r="T1284" s="1">
        <f t="shared" ref="T1284:T1347" si="230">T1283+O1283</f>
        <v>-991.86119667355581</v>
      </c>
    </row>
    <row r="1285" spans="6:20" x14ac:dyDescent="0.35">
      <c r="F1285" s="1">
        <f t="shared" si="226"/>
        <v>25.639999999999542</v>
      </c>
      <c r="G1285">
        <f>1/2*$B$8*$B$6*$B$7*(Tabelle2[[#This Row],[vx]]*Tabelle2[[#This Row],[vx]]+Tabelle2[[#This Row],[vy]]*Tabelle2[[#This Row],[vy]])/1000000</f>
        <v>13.788877907375129</v>
      </c>
      <c r="H1285">
        <f>IF($B$3,-Tabelle2[[#This Row],[Fd]]*Tabelle2[[#This Row],[vx]]/Tabelle2[[#This Row],[v]],0)</f>
        <v>-1.3047626190068091</v>
      </c>
      <c r="I1285">
        <f t="shared" si="220"/>
        <v>-0.86984174600453945</v>
      </c>
      <c r="J1285">
        <f t="shared" si="221"/>
        <v>-1.7396834920090788E-2</v>
      </c>
      <c r="K1285">
        <f t="shared" si="222"/>
        <v>0.16691320610658036</v>
      </c>
      <c r="L1285">
        <f>-$B$5*$B$12-IF($B$3,Tabelle2[[#This Row],[Fd]]*Tabelle2[[#This Row],[vy]]/Tabelle2[[#This Row],[v]],0)</f>
        <v>-0.98799200653906638</v>
      </c>
      <c r="M1285">
        <f t="shared" si="223"/>
        <v>-0.65866133769271096</v>
      </c>
      <c r="N1285">
        <f t="shared" si="224"/>
        <v>-1.317322675385422E-2</v>
      </c>
      <c r="O1285">
        <f t="shared" si="225"/>
        <v>-1.7580047322659709</v>
      </c>
      <c r="P1285" s="1">
        <f t="shared" si="227"/>
        <v>8.3543587227890637</v>
      </c>
      <c r="Q1285" s="1">
        <f t="shared" si="228"/>
        <v>-87.893649999921621</v>
      </c>
      <c r="R1285">
        <f>SQRT(Tabelle2[[#This Row],[vx]]*Tabelle2[[#This Row],[vx]]+Tabelle2[[#This Row],[vy]]*Tabelle2[[#This Row],[vy]])</f>
        <v>88.289801336155264</v>
      </c>
      <c r="S1285">
        <f t="shared" si="229"/>
        <v>743.3543059168519</v>
      </c>
      <c r="T1285" s="1">
        <f t="shared" si="230"/>
        <v>-993.61893742725056</v>
      </c>
    </row>
    <row r="1286" spans="6:20" x14ac:dyDescent="0.35">
      <c r="F1286" s="1">
        <f t="shared" si="226"/>
        <v>25.659999999999542</v>
      </c>
      <c r="G1286">
        <f>1/2*$B$8*$B$6*$B$7*(Tabelle2[[#This Row],[vx]]*Tabelle2[[#This Row],[vx]]+Tabelle2[[#This Row],[vy]]*Tabelle2[[#This Row],[vy]])/1000000</f>
        <v>13.792460822530714</v>
      </c>
      <c r="H1286">
        <f>IF($B$3,-Tabelle2[[#This Row],[Fd]]*Tabelle2[[#This Row],[vx]]/Tabelle2[[#This Row],[v]],0)</f>
        <v>-1.3022147767214118</v>
      </c>
      <c r="I1286">
        <f t="shared" si="220"/>
        <v>-0.86814318448094119</v>
      </c>
      <c r="J1286">
        <f t="shared" si="221"/>
        <v>-1.7362863689618823E-2</v>
      </c>
      <c r="K1286">
        <f t="shared" si="222"/>
        <v>0.16656560912048327</v>
      </c>
      <c r="L1286">
        <f>-$B$5*$B$12-IF($B$3,Tabelle2[[#This Row],[Fd]]*Tabelle2[[#This Row],[vy]]/Tabelle2[[#This Row],[v]],0)</f>
        <v>-0.98415107444798267</v>
      </c>
      <c r="M1286">
        <f t="shared" si="223"/>
        <v>-0.65610071629865507</v>
      </c>
      <c r="N1286">
        <f t="shared" si="224"/>
        <v>-1.3122014325973102E-2</v>
      </c>
      <c r="O1286">
        <f t="shared" si="225"/>
        <v>-1.7582676846767691</v>
      </c>
      <c r="P1286" s="1">
        <f t="shared" si="227"/>
        <v>8.3369618878689735</v>
      </c>
      <c r="Q1286" s="1">
        <f t="shared" si="228"/>
        <v>-87.906823226675471</v>
      </c>
      <c r="R1286">
        <f>SQRT(Tabelle2[[#This Row],[vx]]*Tabelle2[[#This Row],[vx]]+Tabelle2[[#This Row],[vy]]*Tabelle2[[#This Row],[vy]])</f>
        <v>88.301271244109216</v>
      </c>
      <c r="S1286">
        <f t="shared" si="229"/>
        <v>743.52121912295843</v>
      </c>
      <c r="T1286" s="1">
        <f t="shared" si="230"/>
        <v>-995.37694215951649</v>
      </c>
    </row>
    <row r="1287" spans="6:20" x14ac:dyDescent="0.35">
      <c r="F1287" s="1">
        <f t="shared" si="226"/>
        <v>25.679999999999541</v>
      </c>
      <c r="G1287">
        <f>1/2*$B$8*$B$6*$B$7*(Tabelle2[[#This Row],[vx]]*Tabelle2[[#This Row],[vx]]+Tabelle2[[#This Row],[vy]]*Tabelle2[[#This Row],[vy]])/1000000</f>
        <v>13.796030492784649</v>
      </c>
      <c r="H1287">
        <f>IF($B$3,-Tabelle2[[#This Row],[Fd]]*Tabelle2[[#This Row],[vx]]/Tabelle2[[#This Row],[v]],0)</f>
        <v>-1.2996708896162479</v>
      </c>
      <c r="I1287">
        <f t="shared" si="220"/>
        <v>-0.86644725974416525</v>
      </c>
      <c r="J1287">
        <f t="shared" si="221"/>
        <v>-1.7328945194883306E-2</v>
      </c>
      <c r="K1287">
        <f t="shared" si="222"/>
        <v>0.16621869103163825</v>
      </c>
      <c r="L1287">
        <f>-$B$5*$B$12-IF($B$3,Tabelle2[[#This Row],[Fd]]*Tabelle2[[#This Row],[vy]]/Tabelle2[[#This Row],[v]],0)</f>
        <v>-0.98032443278953885</v>
      </c>
      <c r="M1287">
        <f t="shared" si="223"/>
        <v>-0.65354962185969256</v>
      </c>
      <c r="N1287">
        <f t="shared" si="224"/>
        <v>-1.3070992437193852E-2</v>
      </c>
      <c r="O1287">
        <f t="shared" si="225"/>
        <v>-1.7585296147444009</v>
      </c>
      <c r="P1287" s="1">
        <f t="shared" si="227"/>
        <v>8.3195990241793538</v>
      </c>
      <c r="Q1287" s="1">
        <f t="shared" si="228"/>
        <v>-87.919945241001443</v>
      </c>
      <c r="R1287">
        <f>SQRT(Tabelle2[[#This Row],[vx]]*Tabelle2[[#This Row],[vx]]+Tabelle2[[#This Row],[vy]]*Tabelle2[[#This Row],[vy]])</f>
        <v>88.312697270006524</v>
      </c>
      <c r="S1287">
        <f t="shared" si="229"/>
        <v>743.68778473207897</v>
      </c>
      <c r="T1287" s="1">
        <f t="shared" si="230"/>
        <v>-997.13520984419324</v>
      </c>
    </row>
    <row r="1288" spans="6:20" x14ac:dyDescent="0.35">
      <c r="F1288" s="1">
        <f t="shared" si="226"/>
        <v>25.699999999999541</v>
      </c>
      <c r="G1288">
        <f>1/2*$B$8*$B$6*$B$7*(Tabelle2[[#This Row],[vx]]*Tabelle2[[#This Row],[vx]]+Tabelle2[[#This Row],[vy]]*Tabelle2[[#This Row],[vy]])/1000000</f>
        <v>13.799586962470658</v>
      </c>
      <c r="H1288">
        <f>IF($B$3,-Tabelle2[[#This Row],[Fd]]*Tabelle2[[#This Row],[vx]]/Tabelle2[[#This Row],[v]],0)</f>
        <v>-1.2971309578888952</v>
      </c>
      <c r="I1288">
        <f t="shared" si="220"/>
        <v>-0.86475397192593018</v>
      </c>
      <c r="J1288">
        <f t="shared" si="221"/>
        <v>-1.7295079438518605E-2</v>
      </c>
      <c r="K1288">
        <f t="shared" si="222"/>
        <v>0.16587245078530422</v>
      </c>
      <c r="L1288">
        <f>-$B$5*$B$12-IF($B$3,Tabelle2[[#This Row],[Fd]]*Tabelle2[[#This Row],[vy]]/Tabelle2[[#This Row],[v]],0)</f>
        <v>-0.97651203323755809</v>
      </c>
      <c r="M1288">
        <f t="shared" si="223"/>
        <v>-0.65100802215837206</v>
      </c>
      <c r="N1288">
        <f t="shared" si="224"/>
        <v>-1.3020160443167441E-2</v>
      </c>
      <c r="O1288">
        <f t="shared" si="225"/>
        <v>-1.7587905262732044</v>
      </c>
      <c r="P1288" s="1">
        <f t="shared" si="227"/>
        <v>8.3022700789844706</v>
      </c>
      <c r="Q1288" s="1">
        <f t="shared" si="228"/>
        <v>-87.933016233438636</v>
      </c>
      <c r="R1288">
        <f>SQRT(Tabelle2[[#This Row],[vx]]*Tabelle2[[#This Row],[vx]]+Tabelle2[[#This Row],[vy]]*Tabelle2[[#This Row],[vy]])</f>
        <v>88.324079572756276</v>
      </c>
      <c r="S1288">
        <f t="shared" si="229"/>
        <v>743.85400342311061</v>
      </c>
      <c r="T1288" s="1">
        <f t="shared" si="230"/>
        <v>-998.8937394589376</v>
      </c>
    </row>
    <row r="1289" spans="6:20" x14ac:dyDescent="0.35">
      <c r="F1289" s="1">
        <f t="shared" si="226"/>
        <v>25.719999999999541</v>
      </c>
      <c r="G1289">
        <f>1/2*$B$8*$B$6*$B$7*(Tabelle2[[#This Row],[vx]]*Tabelle2[[#This Row],[vx]]+Tabelle2[[#This Row],[vy]]*Tabelle2[[#This Row],[vy]])/1000000</f>
        <v>13.803130275810005</v>
      </c>
      <c r="H1289">
        <f>IF($B$3,-Tabelle2[[#This Row],[Fd]]*Tabelle2[[#This Row],[vx]]/Tabelle2[[#This Row],[v]],0)</f>
        <v>-1.2945949816895916</v>
      </c>
      <c r="I1289">
        <f t="shared" si="220"/>
        <v>-0.86306332112639439</v>
      </c>
      <c r="J1289">
        <f t="shared" si="221"/>
        <v>-1.7261266422527888E-2</v>
      </c>
      <c r="K1289">
        <f t="shared" si="222"/>
        <v>0.16552688732669377</v>
      </c>
      <c r="L1289">
        <f>-$B$5*$B$12-IF($B$3,Tabelle2[[#This Row],[Fd]]*Tabelle2[[#This Row],[vy]]/Tabelle2[[#This Row],[v]],0)</f>
        <v>-0.97271382759160652</v>
      </c>
      <c r="M1289">
        <f t="shared" si="223"/>
        <v>-0.64847588506107101</v>
      </c>
      <c r="N1289">
        <f t="shared" si="224"/>
        <v>-1.2969517701221421E-2</v>
      </c>
      <c r="O1289">
        <f t="shared" si="225"/>
        <v>-1.759050423054648</v>
      </c>
      <c r="P1289" s="1">
        <f t="shared" si="227"/>
        <v>8.2849749995459518</v>
      </c>
      <c r="Q1289" s="1">
        <f t="shared" si="228"/>
        <v>-87.946036393881798</v>
      </c>
      <c r="R1289">
        <f>SQRT(Tabelle2[[#This Row],[vx]]*Tabelle2[[#This Row],[vx]]+Tabelle2[[#This Row],[vy]]*Tabelle2[[#This Row],[vy]])</f>
        <v>88.33541831076073</v>
      </c>
      <c r="S1289">
        <f t="shared" si="229"/>
        <v>744.0198758738959</v>
      </c>
      <c r="T1289" s="1">
        <f t="shared" si="230"/>
        <v>-1000.6525299852108</v>
      </c>
    </row>
    <row r="1290" spans="6:20" x14ac:dyDescent="0.35">
      <c r="F1290" s="1">
        <f t="shared" si="226"/>
        <v>25.73999999999954</v>
      </c>
      <c r="G1290">
        <f>1/2*$B$8*$B$6*$B$7*(Tabelle2[[#This Row],[vx]]*Tabelle2[[#This Row],[vx]]+Tabelle2[[#This Row],[vy]]*Tabelle2[[#This Row],[vy]])/1000000</f>
        <v>13.806660476911484</v>
      </c>
      <c r="H1290">
        <f>IF($B$3,-Tabelle2[[#This Row],[Fd]]*Tabelle2[[#This Row],[vx]]/Tabelle2[[#This Row],[v]],0)</f>
        <v>-1.2920629611215655</v>
      </c>
      <c r="I1290">
        <f t="shared" si="220"/>
        <v>-0.86137530741437696</v>
      </c>
      <c r="J1290">
        <f t="shared" si="221"/>
        <v>-1.7227506148287539E-2</v>
      </c>
      <c r="K1290">
        <f t="shared" si="222"/>
        <v>0.16518199960098559</v>
      </c>
      <c r="L1290">
        <f>-$B$5*$B$12-IF($B$3,Tabelle2[[#This Row],[Fd]]*Tabelle2[[#This Row],[vy]]/Tabelle2[[#This Row],[v]],0)</f>
        <v>-0.96892976777699502</v>
      </c>
      <c r="M1290">
        <f t="shared" si="223"/>
        <v>-0.64595317851799672</v>
      </c>
      <c r="N1290">
        <f t="shared" si="224"/>
        <v>-1.2919063570359934E-2</v>
      </c>
      <c r="O1290">
        <f t="shared" si="225"/>
        <v>-1.7593093088673641</v>
      </c>
      <c r="P1290" s="1">
        <f t="shared" si="227"/>
        <v>8.2677137331234238</v>
      </c>
      <c r="Q1290" s="1">
        <f t="shared" si="228"/>
        <v>-87.95900591158302</v>
      </c>
      <c r="R1290">
        <f>SQRT(Tabelle2[[#This Row],[vx]]*Tabelle2[[#This Row],[vx]]+Tabelle2[[#This Row],[vy]]*Tabelle2[[#This Row],[vy]])</f>
        <v>88.346713641916381</v>
      </c>
      <c r="S1290">
        <f t="shared" si="229"/>
        <v>744.18540276122258</v>
      </c>
      <c r="T1290" s="1">
        <f t="shared" si="230"/>
        <v>-1002.4115804082654</v>
      </c>
    </row>
    <row r="1291" spans="6:20" x14ac:dyDescent="0.35">
      <c r="F1291" s="1">
        <f t="shared" si="226"/>
        <v>25.75999999999954</v>
      </c>
      <c r="G1291">
        <f>1/2*$B$8*$B$6*$B$7*(Tabelle2[[#This Row],[vx]]*Tabelle2[[#This Row],[vx]]+Tabelle2[[#This Row],[vy]]*Tabelle2[[#This Row],[vy]])/1000000</f>
        <v>13.810177609771401</v>
      </c>
      <c r="H1291">
        <f>IF($B$3,-Tabelle2[[#This Row],[Fd]]*Tabelle2[[#This Row],[vx]]/Tabelle2[[#This Row],[v]],0)</f>
        <v>-1.2895348962413582</v>
      </c>
      <c r="I1291">
        <f t="shared" si="220"/>
        <v>-0.85968993082757217</v>
      </c>
      <c r="J1291">
        <f t="shared" si="221"/>
        <v>-1.7193798616551445E-2</v>
      </c>
      <c r="K1291">
        <f t="shared" si="222"/>
        <v>0.1648377865533372</v>
      </c>
      <c r="L1291">
        <f>-$B$5*$B$12-IF($B$3,Tabelle2[[#This Row],[Fd]]*Tabelle2[[#This Row],[vy]]/Tabelle2[[#This Row],[v]],0)</f>
        <v>-0.96515980584475614</v>
      </c>
      <c r="M1291">
        <f t="shared" si="223"/>
        <v>-0.64343987056317076</v>
      </c>
      <c r="N1291">
        <f t="shared" si="224"/>
        <v>-1.2868797411263415E-2</v>
      </c>
      <c r="O1291">
        <f t="shared" si="225"/>
        <v>-1.7595671874771805</v>
      </c>
      <c r="P1291" s="1">
        <f t="shared" si="227"/>
        <v>8.250486226975136</v>
      </c>
      <c r="Q1291" s="1">
        <f t="shared" si="228"/>
        <v>-87.971924975153385</v>
      </c>
      <c r="R1291">
        <f>SQRT(Tabelle2[[#This Row],[vx]]*Tabelle2[[#This Row],[vx]]+Tabelle2[[#This Row],[vy]]*Tabelle2[[#This Row],[vy]])</f>
        <v>88.357965723614996</v>
      </c>
      <c r="S1291">
        <f t="shared" si="229"/>
        <v>744.35058476082361</v>
      </c>
      <c r="T1291" s="1">
        <f t="shared" si="230"/>
        <v>-1004.1708897171328</v>
      </c>
    </row>
    <row r="1292" spans="6:20" x14ac:dyDescent="0.35">
      <c r="F1292" s="1">
        <f t="shared" si="226"/>
        <v>25.779999999999539</v>
      </c>
      <c r="G1292">
        <f>1/2*$B$8*$B$6*$B$7*(Tabelle2[[#This Row],[vx]]*Tabelle2[[#This Row],[vx]]+Tabelle2[[#This Row],[vy]]*Tabelle2[[#This Row],[vy]])/1000000</f>
        <v>13.813681718273562</v>
      </c>
      <c r="H1292">
        <f>IF($B$3,-Tabelle2[[#This Row],[Fd]]*Tabelle2[[#This Row],[vx]]/Tabelle2[[#This Row],[v]],0)</f>
        <v>-1.2870107870591503</v>
      </c>
      <c r="I1292">
        <f t="shared" si="220"/>
        <v>-0.85800719137276682</v>
      </c>
      <c r="J1292">
        <f t="shared" si="221"/>
        <v>-1.7160143827455336E-2</v>
      </c>
      <c r="K1292">
        <f t="shared" si="222"/>
        <v>0.16449424712889715</v>
      </c>
      <c r="L1292">
        <f>-$B$5*$B$12-IF($B$3,Tabelle2[[#This Row],[Fd]]*Tabelle2[[#This Row],[vy]]/Tabelle2[[#This Row],[v]],0)</f>
        <v>-0.96140389397163517</v>
      </c>
      <c r="M1292">
        <f t="shared" si="223"/>
        <v>-0.64093592931442345</v>
      </c>
      <c r="N1292">
        <f t="shared" si="224"/>
        <v>-1.2818718586288469E-2</v>
      </c>
      <c r="O1292">
        <f t="shared" si="225"/>
        <v>-1.7598240626371557</v>
      </c>
      <c r="P1292" s="1">
        <f t="shared" si="227"/>
        <v>8.2332924283585847</v>
      </c>
      <c r="Q1292" s="1">
        <f t="shared" si="228"/>
        <v>-87.984793772564643</v>
      </c>
      <c r="R1292">
        <f>SQRT(Tabelle2[[#This Row],[vx]]*Tabelle2[[#This Row],[vx]]+Tabelle2[[#This Row],[vy]]*Tabelle2[[#This Row],[vy]])</f>
        <v>88.369174712744694</v>
      </c>
      <c r="S1292">
        <f t="shared" si="229"/>
        <v>744.51542254737694</v>
      </c>
      <c r="T1292" s="1">
        <f t="shared" si="230"/>
        <v>-1005.93045690461</v>
      </c>
    </row>
    <row r="1293" spans="6:20" x14ac:dyDescent="0.35">
      <c r="F1293" s="1">
        <f t="shared" si="226"/>
        <v>25.799999999999539</v>
      </c>
      <c r="G1293">
        <f>1/2*$B$8*$B$6*$B$7*(Tabelle2[[#This Row],[vx]]*Tabelle2[[#This Row],[vx]]+Tabelle2[[#This Row],[vy]]*Tabelle2[[#This Row],[vy]])/1000000</f>
        <v>13.817172846189294</v>
      </c>
      <c r="H1293">
        <f>IF($B$3,-Tabelle2[[#This Row],[Fd]]*Tabelle2[[#This Row],[vx]]/Tabelle2[[#This Row],[v]],0)</f>
        <v>-1.2844906335390847</v>
      </c>
      <c r="I1293">
        <f t="shared" si="220"/>
        <v>-0.85632708902605648</v>
      </c>
      <c r="J1293">
        <f t="shared" si="221"/>
        <v>-1.7126541780521129E-2</v>
      </c>
      <c r="K1293">
        <f t="shared" si="222"/>
        <v>0.16415138027281739</v>
      </c>
      <c r="L1293">
        <f>-$B$5*$B$12-IF($B$3,Tabelle2[[#This Row],[Fd]]*Tabelle2[[#This Row],[vy]]/Tabelle2[[#This Row],[v]],0)</f>
        <v>-0.95766198446003514</v>
      </c>
      <c r="M1293">
        <f t="shared" si="223"/>
        <v>-0.63844132297335676</v>
      </c>
      <c r="N1293">
        <f t="shared" si="224"/>
        <v>-1.2768826459467135E-2</v>
      </c>
      <c r="O1293">
        <f t="shared" si="225"/>
        <v>-1.7600799380876135</v>
      </c>
      <c r="P1293" s="1">
        <f t="shared" si="227"/>
        <v>8.2161322845311293</v>
      </c>
      <c r="Q1293" s="1">
        <f t="shared" si="228"/>
        <v>-87.997612491150932</v>
      </c>
      <c r="R1293">
        <f>SQRT(Tabelle2[[#This Row],[vx]]*Tabelle2[[#This Row],[vx]]+Tabelle2[[#This Row],[vy]]*Tabelle2[[#This Row],[vy]])</f>
        <v>88.380340765691088</v>
      </c>
      <c r="S1293">
        <f t="shared" si="229"/>
        <v>744.67991679450586</v>
      </c>
      <c r="T1293" s="1">
        <f t="shared" si="230"/>
        <v>-1007.6902809672471</v>
      </c>
    </row>
    <row r="1294" spans="6:20" x14ac:dyDescent="0.35">
      <c r="F1294" s="1">
        <f t="shared" si="226"/>
        <v>25.819999999999538</v>
      </c>
      <c r="G1294">
        <f>1/2*$B$8*$B$6*$B$7*(Tabelle2[[#This Row],[vx]]*Tabelle2[[#This Row],[vx]]+Tabelle2[[#This Row],[vy]]*Tabelle2[[#This Row],[vy]])/1000000</f>
        <v>13.820651037177413</v>
      </c>
      <c r="H1294">
        <f>IF($B$3,-Tabelle2[[#This Row],[Fd]]*Tabelle2[[#This Row],[vx]]/Tabelle2[[#This Row],[v]],0)</f>
        <v>-1.2819744355995857</v>
      </c>
      <c r="I1294">
        <f t="shared" si="220"/>
        <v>-0.85464962373305708</v>
      </c>
      <c r="J1294">
        <f t="shared" si="221"/>
        <v>-1.7092992474661142E-2</v>
      </c>
      <c r="K1294">
        <f t="shared" si="222"/>
        <v>0.16380918493026553</v>
      </c>
      <c r="L1294">
        <f>-$B$5*$B$12-IF($B$3,Tabelle2[[#This Row],[Fd]]*Tabelle2[[#This Row],[vy]]/Tabelle2[[#This Row],[v]],0)</f>
        <v>-0.9539340297380221</v>
      </c>
      <c r="M1294">
        <f t="shared" si="223"/>
        <v>-0.63595601982534811</v>
      </c>
      <c r="N1294">
        <f t="shared" si="224"/>
        <v>-1.2719120396506963E-2</v>
      </c>
      <c r="O1294">
        <f t="shared" si="225"/>
        <v>-1.7603348175561728</v>
      </c>
      <c r="P1294" s="1">
        <f t="shared" si="227"/>
        <v>8.1990057427506073</v>
      </c>
      <c r="Q1294" s="1">
        <f t="shared" si="228"/>
        <v>-88.010381317610396</v>
      </c>
      <c r="R1294">
        <f>SQRT(Tabelle2[[#This Row],[vx]]*Tabelle2[[#This Row],[vx]]+Tabelle2[[#This Row],[vy]]*Tabelle2[[#This Row],[vy]])</f>
        <v>88.391464038338242</v>
      </c>
      <c r="S1294">
        <f t="shared" si="229"/>
        <v>744.84406817477873</v>
      </c>
      <c r="T1294" s="1">
        <f t="shared" si="230"/>
        <v>-1009.4503609053347</v>
      </c>
    </row>
    <row r="1295" spans="6:20" x14ac:dyDescent="0.35">
      <c r="F1295" s="1">
        <f t="shared" si="226"/>
        <v>25.839999999999538</v>
      </c>
      <c r="G1295">
        <f>1/2*$B$8*$B$6*$B$7*(Tabelle2[[#This Row],[vx]]*Tabelle2[[#This Row],[vx]]+Tabelle2[[#This Row],[vy]]*Tabelle2[[#This Row],[vy]])/1000000</f>
        <v>13.824116334784254</v>
      </c>
      <c r="H1295">
        <f>IF($B$3,-Tabelle2[[#This Row],[Fd]]*Tabelle2[[#This Row],[vx]]/Tabelle2[[#This Row],[v]],0)</f>
        <v>-1.2794621931136825</v>
      </c>
      <c r="I1295">
        <f t="shared" si="220"/>
        <v>-0.85297479540912169</v>
      </c>
      <c r="J1295">
        <f t="shared" si="221"/>
        <v>-1.7059495908182433E-2</v>
      </c>
      <c r="K1295">
        <f t="shared" si="222"/>
        <v>0.16346766004643712</v>
      </c>
      <c r="L1295">
        <f>-$B$5*$B$12-IF($B$3,Tabelle2[[#This Row],[Fd]]*Tabelle2[[#This Row],[vy]]/Tabelle2[[#This Row],[v]],0)</f>
        <v>-0.95021998235927008</v>
      </c>
      <c r="M1295">
        <f t="shared" si="223"/>
        <v>-0.63347998823951335</v>
      </c>
      <c r="N1295">
        <f t="shared" si="224"/>
        <v>-1.2669599764790268E-2</v>
      </c>
      <c r="O1295">
        <f t="shared" si="225"/>
        <v>-1.7605887047577862</v>
      </c>
      <c r="P1295" s="1">
        <f t="shared" si="227"/>
        <v>8.1819127502759468</v>
      </c>
      <c r="Q1295" s="1">
        <f t="shared" si="228"/>
        <v>-88.023100438006907</v>
      </c>
      <c r="R1295">
        <f>SQRT(Tabelle2[[#This Row],[vx]]*Tabelle2[[#This Row],[vx]]+Tabelle2[[#This Row],[vy]]*Tabelle2[[#This Row],[vy]])</f>
        <v>88.402544686069874</v>
      </c>
      <c r="S1295">
        <f t="shared" si="229"/>
        <v>745.00787735970903</v>
      </c>
      <c r="T1295" s="1">
        <f t="shared" si="230"/>
        <v>-1011.2106957228909</v>
      </c>
    </row>
    <row r="1296" spans="6:20" x14ac:dyDescent="0.35">
      <c r="F1296" s="1">
        <f t="shared" si="226"/>
        <v>25.859999999999538</v>
      </c>
      <c r="G1296">
        <f>1/2*$B$8*$B$6*$B$7*(Tabelle2[[#This Row],[vx]]*Tabelle2[[#This Row],[vx]]+Tabelle2[[#This Row],[vy]]*Tabelle2[[#This Row],[vy]])/1000000</f>
        <v>13.827568782443651</v>
      </c>
      <c r="H1296">
        <f>IF($B$3,-Tabelle2[[#This Row],[Fd]]*Tabelle2[[#This Row],[vx]]/Tabelle2[[#This Row],[v]],0)</f>
        <v>-1.2769539059093238</v>
      </c>
      <c r="I1296">
        <f t="shared" si="220"/>
        <v>-0.85130260393954915</v>
      </c>
      <c r="J1296">
        <f t="shared" si="221"/>
        <v>-1.7026052078790984E-2</v>
      </c>
      <c r="K1296">
        <f t="shared" si="222"/>
        <v>0.16312680456656739</v>
      </c>
      <c r="L1296">
        <f>-$B$5*$B$12-IF($B$3,Tabelle2[[#This Row],[Fd]]*Tabelle2[[#This Row],[vy]]/Tabelle2[[#This Row],[v]],0)</f>
        <v>-0.94651979500303973</v>
      </c>
      <c r="M1296">
        <f t="shared" si="223"/>
        <v>-0.63101319666869315</v>
      </c>
      <c r="N1296">
        <f t="shared" si="224"/>
        <v>-1.2620263933373864E-2</v>
      </c>
      <c r="O1296">
        <f t="shared" si="225"/>
        <v>-1.7608416033947678</v>
      </c>
      <c r="P1296" s="1">
        <f t="shared" si="227"/>
        <v>8.164853254367765</v>
      </c>
      <c r="Q1296" s="1">
        <f t="shared" si="228"/>
        <v>-88.035770037771698</v>
      </c>
      <c r="R1296">
        <f>SQRT(Tabelle2[[#This Row],[vx]]*Tabelle2[[#This Row],[vx]]+Tabelle2[[#This Row],[vy]]*Tabelle2[[#This Row],[vy]])</f>
        <v>88.413582863770316</v>
      </c>
      <c r="S1296">
        <f t="shared" si="229"/>
        <v>745.17134501975545</v>
      </c>
      <c r="T1296" s="1">
        <f t="shared" si="230"/>
        <v>-1012.9712844276487</v>
      </c>
    </row>
    <row r="1297" spans="6:20" x14ac:dyDescent="0.35">
      <c r="F1297" s="1">
        <f t="shared" si="226"/>
        <v>25.879999999999537</v>
      </c>
      <c r="G1297">
        <f>1/2*$B$8*$B$6*$B$7*(Tabelle2[[#This Row],[vx]]*Tabelle2[[#This Row],[vx]]+Tabelle2[[#This Row],[vy]]*Tabelle2[[#This Row],[vy]])/1000000</f>
        <v>13.831008423476957</v>
      </c>
      <c r="H1297">
        <f>IF($B$3,-Tabelle2[[#This Row],[Fd]]*Tabelle2[[#This Row],[vx]]/Tabelle2[[#This Row],[v]],0)</f>
        <v>-1.2744495737696957</v>
      </c>
      <c r="I1297">
        <f t="shared" si="220"/>
        <v>-0.8496330491797971</v>
      </c>
      <c r="J1297">
        <f t="shared" si="221"/>
        <v>-1.6992660983595944E-2</v>
      </c>
      <c r="K1297">
        <f t="shared" si="222"/>
        <v>0.16278661743594353</v>
      </c>
      <c r="L1297">
        <f>-$B$5*$B$12-IF($B$3,Tabelle2[[#This Row],[Fd]]*Tabelle2[[#This Row],[vy]]/Tabelle2[[#This Row],[v]],0)</f>
        <v>-0.9428334204741482</v>
      </c>
      <c r="M1297">
        <f t="shared" si="223"/>
        <v>-0.62855561364943213</v>
      </c>
      <c r="N1297">
        <f t="shared" si="224"/>
        <v>-1.2571112272988643E-2</v>
      </c>
      <c r="O1297">
        <f t="shared" si="225"/>
        <v>-1.7610935171568312</v>
      </c>
      <c r="P1297" s="1">
        <f t="shared" si="227"/>
        <v>8.1478272022889744</v>
      </c>
      <c r="Q1297" s="1">
        <f t="shared" si="228"/>
        <v>-88.048390301705069</v>
      </c>
      <c r="R1297">
        <f>SQRT(Tabelle2[[#This Row],[vx]]*Tabelle2[[#This Row],[vx]]+Tabelle2[[#This Row],[vy]]*Tabelle2[[#This Row],[vy]])</f>
        <v>88.424578725825725</v>
      </c>
      <c r="S1297">
        <f t="shared" si="229"/>
        <v>745.33447182432201</v>
      </c>
      <c r="T1297" s="1">
        <f t="shared" si="230"/>
        <v>-1014.7321260310434</v>
      </c>
    </row>
    <row r="1298" spans="6:20" x14ac:dyDescent="0.35">
      <c r="F1298" s="1">
        <f t="shared" si="226"/>
        <v>25.899999999999537</v>
      </c>
      <c r="G1298">
        <f>1/2*$B$8*$B$6*$B$7*(Tabelle2[[#This Row],[vx]]*Tabelle2[[#This Row],[vx]]+Tabelle2[[#This Row],[vy]]*Tabelle2[[#This Row],[vy]])/1000000</f>
        <v>13.834435301093068</v>
      </c>
      <c r="H1298">
        <f>IF($B$3,-Tabelle2[[#This Row],[Fd]]*Tabelle2[[#This Row],[vx]]/Tabelle2[[#This Row],[v]],0)</f>
        <v>-1.2719491964335397</v>
      </c>
      <c r="I1298">
        <f t="shared" si="220"/>
        <v>-0.84796613095569306</v>
      </c>
      <c r="J1298">
        <f t="shared" si="221"/>
        <v>-1.6959322619113863E-2</v>
      </c>
      <c r="K1298">
        <f t="shared" si="222"/>
        <v>0.16244709759991643</v>
      </c>
      <c r="L1298">
        <f>-$B$5*$B$12-IF($B$3,Tabelle2[[#This Row],[Fd]]*Tabelle2[[#This Row],[vy]]/Tabelle2[[#This Row],[v]],0)</f>
        <v>-0.93916081170289978</v>
      </c>
      <c r="M1298">
        <f t="shared" si="223"/>
        <v>-0.62610720780193319</v>
      </c>
      <c r="N1298">
        <f t="shared" si="224"/>
        <v>-1.2522144156038664E-2</v>
      </c>
      <c r="O1298">
        <f t="shared" si="225"/>
        <v>-1.7613444497211217</v>
      </c>
      <c r="P1298" s="1">
        <f t="shared" si="227"/>
        <v>8.1308345413053793</v>
      </c>
      <c r="Q1298" s="1">
        <f t="shared" si="228"/>
        <v>-88.060961413978063</v>
      </c>
      <c r="R1298">
        <f>SQRT(Tabelle2[[#This Row],[vx]]*Tabelle2[[#This Row],[vx]]+Tabelle2[[#This Row],[vy]]*Tabelle2[[#This Row],[vy]])</f>
        <v>88.435532426125064</v>
      </c>
      <c r="S1298">
        <f t="shared" si="229"/>
        <v>745.49725844175794</v>
      </c>
      <c r="T1298" s="1">
        <f t="shared" si="230"/>
        <v>-1016.4932195482003</v>
      </c>
    </row>
    <row r="1299" spans="6:20" x14ac:dyDescent="0.35">
      <c r="F1299" s="1">
        <f t="shared" si="226"/>
        <v>25.919999999999536</v>
      </c>
      <c r="G1299">
        <f>1/2*$B$8*$B$6*$B$7*(Tabelle2[[#This Row],[vx]]*Tabelle2[[#This Row],[vx]]+Tabelle2[[#This Row],[vy]]*Tabelle2[[#This Row],[vy]])/1000000</f>
        <v>13.83784945838841</v>
      </c>
      <c r="H1299">
        <f>IF($B$3,-Tabelle2[[#This Row],[Fd]]*Tabelle2[[#This Row],[vx]]/Tabelle2[[#This Row],[v]],0)</f>
        <v>-1.2694527735954622</v>
      </c>
      <c r="I1299">
        <f t="shared" si="220"/>
        <v>-0.84630184906364148</v>
      </c>
      <c r="J1299">
        <f t="shared" si="221"/>
        <v>-1.6926036981272829E-2</v>
      </c>
      <c r="K1299">
        <f t="shared" si="222"/>
        <v>0.1621082440039126</v>
      </c>
      <c r="L1299">
        <f>-$B$5*$B$12-IF($B$3,Tabelle2[[#This Row],[Fd]]*Tabelle2[[#This Row],[vy]]/Tabelle2[[#This Row],[v]],0)</f>
        <v>-0.93550192174507529</v>
      </c>
      <c r="M1299">
        <f t="shared" si="223"/>
        <v>-0.6236679478300502</v>
      </c>
      <c r="N1299">
        <f t="shared" si="224"/>
        <v>-1.2473358956601004E-2</v>
      </c>
      <c r="O1299">
        <f t="shared" si="225"/>
        <v>-1.7615944047522483</v>
      </c>
      <c r="P1299" s="1">
        <f t="shared" si="227"/>
        <v>8.1138752186862657</v>
      </c>
      <c r="Q1299" s="1">
        <f t="shared" si="228"/>
        <v>-88.0734835581341</v>
      </c>
      <c r="R1299">
        <f>SQRT(Tabelle2[[#This Row],[vx]]*Tabelle2[[#This Row],[vx]]+Tabelle2[[#This Row],[vy]]*Tabelle2[[#This Row],[vy]])</f>
        <v>88.446444118061237</v>
      </c>
      <c r="S1299">
        <f t="shared" si="229"/>
        <v>745.6597055393579</v>
      </c>
      <c r="T1299" s="1">
        <f t="shared" si="230"/>
        <v>-1018.2545639979214</v>
      </c>
    </row>
    <row r="1300" spans="6:20" x14ac:dyDescent="0.35">
      <c r="F1300" s="1">
        <f t="shared" si="226"/>
        <v>25.939999999999536</v>
      </c>
      <c r="G1300">
        <f>1/2*$B$8*$B$6*$B$7*(Tabelle2[[#This Row],[vx]]*Tabelle2[[#This Row],[vx]]+Tabelle2[[#This Row],[vy]]*Tabelle2[[#This Row],[vy]])/1000000</f>
        <v>13.84125093834697</v>
      </c>
      <c r="H1300">
        <f>IF($B$3,-Tabelle2[[#This Row],[Fd]]*Tabelle2[[#This Row],[vx]]/Tabelle2[[#This Row],[v]],0)</f>
        <v>-1.2669603049062501</v>
      </c>
      <c r="I1300">
        <f t="shared" si="220"/>
        <v>-0.84464020327083345</v>
      </c>
      <c r="J1300">
        <f t="shared" si="221"/>
        <v>-1.6892804065416669E-2</v>
      </c>
      <c r="K1300">
        <f t="shared" si="222"/>
        <v>0.16177005559344568</v>
      </c>
      <c r="L1300">
        <f>-$B$5*$B$12-IF($B$3,Tabelle2[[#This Row],[Fd]]*Tabelle2[[#This Row],[vy]]/Tabelle2[[#This Row],[v]],0)</f>
        <v>-0.93185670378187169</v>
      </c>
      <c r="M1300">
        <f t="shared" si="223"/>
        <v>-0.62123780252124783</v>
      </c>
      <c r="N1300">
        <f t="shared" si="224"/>
        <v>-1.2424756050424956E-2</v>
      </c>
      <c r="O1300">
        <f t="shared" si="225"/>
        <v>-1.7618433859023181</v>
      </c>
      <c r="P1300" s="1">
        <f t="shared" si="227"/>
        <v>8.0969491817049928</v>
      </c>
      <c r="Q1300" s="1">
        <f t="shared" si="228"/>
        <v>-88.085956917090698</v>
      </c>
      <c r="R1300">
        <f>SQRT(Tabelle2[[#This Row],[vx]]*Tabelle2[[#This Row],[vx]]+Tabelle2[[#This Row],[vy]]*Tabelle2[[#This Row],[vy]])</f>
        <v>88.457313954532168</v>
      </c>
      <c r="S1300">
        <f t="shared" si="229"/>
        <v>745.82181378336179</v>
      </c>
      <c r="T1300" s="1">
        <f t="shared" si="230"/>
        <v>-1020.0161584026737</v>
      </c>
    </row>
    <row r="1301" spans="6:20" x14ac:dyDescent="0.35">
      <c r="F1301" s="1">
        <f t="shared" si="226"/>
        <v>25.959999999999535</v>
      </c>
      <c r="G1301">
        <f>1/2*$B$8*$B$6*$B$7*(Tabelle2[[#This Row],[vx]]*Tabelle2[[#This Row],[vx]]+Tabelle2[[#This Row],[vy]]*Tabelle2[[#This Row],[vy]])/1000000</f>
        <v>13.844639783840329</v>
      </c>
      <c r="H1301">
        <f>IF($B$3,-Tabelle2[[#This Row],[Fd]]*Tabelle2[[#This Row],[vx]]/Tabelle2[[#This Row],[v]],0)</f>
        <v>-1.2644717899731812</v>
      </c>
      <c r="I1301">
        <f t="shared" si="220"/>
        <v>-0.84298119331545418</v>
      </c>
      <c r="J1301">
        <f t="shared" si="221"/>
        <v>-1.6859623866309084E-2</v>
      </c>
      <c r="K1301">
        <f t="shared" si="222"/>
        <v>0.16143253131412841</v>
      </c>
      <c r="L1301">
        <f>-$B$5*$B$12-IF($B$3,Tabelle2[[#This Row],[Fd]]*Tabelle2[[#This Row],[vy]]/Tabelle2[[#This Row],[v]],0)</f>
        <v>-0.92822511111984518</v>
      </c>
      <c r="M1301">
        <f t="shared" si="223"/>
        <v>-0.61881674074656345</v>
      </c>
      <c r="N1301">
        <f t="shared" si="224"/>
        <v>-1.2376334814931269E-2</v>
      </c>
      <c r="O1301">
        <f t="shared" si="225"/>
        <v>-1.7620913968109719</v>
      </c>
      <c r="P1301" s="1">
        <f t="shared" si="227"/>
        <v>8.0800563776395755</v>
      </c>
      <c r="Q1301" s="1">
        <f t="shared" si="228"/>
        <v>-88.09838167314112</v>
      </c>
      <c r="R1301">
        <f>SQRT(Tabelle2[[#This Row],[vx]]*Tabelle2[[#This Row],[vx]]+Tabelle2[[#This Row],[vy]]*Tabelle2[[#This Row],[vy]])</f>
        <v>88.468142087941914</v>
      </c>
      <c r="S1301">
        <f t="shared" si="229"/>
        <v>745.98358383895527</v>
      </c>
      <c r="T1301" s="1">
        <f t="shared" si="230"/>
        <v>-1021.778001788576</v>
      </c>
    </row>
    <row r="1302" spans="6:20" x14ac:dyDescent="0.35">
      <c r="F1302" s="1">
        <f t="shared" si="226"/>
        <v>25.979999999999535</v>
      </c>
      <c r="G1302">
        <f>1/2*$B$8*$B$6*$B$7*(Tabelle2[[#This Row],[vx]]*Tabelle2[[#This Row],[vx]]+Tabelle2[[#This Row],[vy]]*Tabelle2[[#This Row],[vy]])/1000000</f>
        <v>13.848016037627653</v>
      </c>
      <c r="H1302">
        <f>IF($B$3,-Tabelle2[[#This Row],[Fd]]*Tabelle2[[#This Row],[vx]]/Tabelle2[[#This Row],[v]],0)</f>
        <v>-1.2619872283603319</v>
      </c>
      <c r="I1302">
        <f t="shared" si="220"/>
        <v>-0.84132481890688793</v>
      </c>
      <c r="J1302">
        <f t="shared" si="221"/>
        <v>-1.6826496378137761E-2</v>
      </c>
      <c r="K1302">
        <f t="shared" si="222"/>
        <v>0.16109567011168394</v>
      </c>
      <c r="L1302">
        <f>-$B$5*$B$12-IF($B$3,Tabelle2[[#This Row],[Fd]]*Tabelle2[[#This Row],[vy]]/Tabelle2[[#This Row],[v]],0)</f>
        <v>-0.9246070971908793</v>
      </c>
      <c r="M1302">
        <f t="shared" si="223"/>
        <v>-0.61640473146058616</v>
      </c>
      <c r="N1302">
        <f t="shared" si="224"/>
        <v>-1.2328094629211724E-2</v>
      </c>
      <c r="O1302">
        <f t="shared" si="225"/>
        <v>-1.7623384411054133</v>
      </c>
      <c r="P1302" s="1">
        <f t="shared" si="227"/>
        <v>8.0631967537732656</v>
      </c>
      <c r="Q1302" s="1">
        <f t="shared" si="228"/>
        <v>-88.110758007956051</v>
      </c>
      <c r="R1302">
        <f>SQRT(Tabelle2[[#This Row],[vx]]*Tabelle2[[#This Row],[vx]]+Tabelle2[[#This Row],[vy]]*Tabelle2[[#This Row],[vy]])</f>
        <v>88.478928670201753</v>
      </c>
      <c r="S1302">
        <f t="shared" si="229"/>
        <v>746.14501637026945</v>
      </c>
      <c r="T1302" s="1">
        <f t="shared" si="230"/>
        <v>-1023.540093185387</v>
      </c>
    </row>
    <row r="1303" spans="6:20" x14ac:dyDescent="0.35">
      <c r="F1303" s="1">
        <f t="shared" si="226"/>
        <v>25.999999999999535</v>
      </c>
      <c r="G1303">
        <f>1/2*$B$8*$B$6*$B$7*(Tabelle2[[#This Row],[vx]]*Tabelle2[[#This Row],[vx]]+Tabelle2[[#This Row],[vy]]*Tabelle2[[#This Row],[vy]])/1000000</f>
        <v>13.851379742355745</v>
      </c>
      <c r="H1303">
        <f>IF($B$3,-Tabelle2[[#This Row],[Fd]]*Tabelle2[[#This Row],[vx]]/Tabelle2[[#This Row],[v]],0)</f>
        <v>-1.2595066195888869</v>
      </c>
      <c r="I1303">
        <f t="shared" si="220"/>
        <v>-0.83967107972592459</v>
      </c>
      <c r="J1303">
        <f t="shared" si="221"/>
        <v>-1.6793421594518493E-2</v>
      </c>
      <c r="K1303">
        <f t="shared" si="222"/>
        <v>0.16075947093195736</v>
      </c>
      <c r="L1303">
        <f>-$B$5*$B$12-IF($B$3,Tabelle2[[#This Row],[Fd]]*Tabelle2[[#This Row],[vy]]/Tabelle2[[#This Row],[v]],0)</f>
        <v>-0.92100261555212093</v>
      </c>
      <c r="M1303">
        <f t="shared" si="223"/>
        <v>-0.61400174370141392</v>
      </c>
      <c r="N1303">
        <f t="shared" si="224"/>
        <v>-1.2280034874028279E-2</v>
      </c>
      <c r="O1303">
        <f t="shared" si="225"/>
        <v>-1.7625845224004457</v>
      </c>
      <c r="P1303" s="1">
        <f t="shared" si="227"/>
        <v>8.046370257395127</v>
      </c>
      <c r="Q1303" s="1">
        <f t="shared" si="228"/>
        <v>-88.123086102585262</v>
      </c>
      <c r="R1303">
        <f>SQRT(Tabelle2[[#This Row],[vx]]*Tabelle2[[#This Row],[vx]]+Tabelle2[[#This Row],[vy]]*Tabelle2[[#This Row],[vy]])</f>
        <v>88.489673852731244</v>
      </c>
      <c r="S1303">
        <f t="shared" si="229"/>
        <v>746.30611204038109</v>
      </c>
      <c r="T1303" s="1">
        <f t="shared" si="230"/>
        <v>-1025.3024316264925</v>
      </c>
    </row>
    <row r="1304" spans="6:20" x14ac:dyDescent="0.35">
      <c r="F1304" s="1">
        <f t="shared" si="226"/>
        <v>26.019999999999534</v>
      </c>
      <c r="G1304">
        <f>1/2*$B$8*$B$6*$B$7*(Tabelle2[[#This Row],[vx]]*Tabelle2[[#This Row],[vx]]+Tabelle2[[#This Row],[vy]]*Tabelle2[[#This Row],[vy]])/1000000</f>
        <v>13.854730940559064</v>
      </c>
      <c r="H1304">
        <f>IF($B$3,-Tabelle2[[#This Row],[Fd]]*Tabelle2[[#This Row],[vx]]/Tabelle2[[#This Row],[v]],0)</f>
        <v>-1.2570299631374455</v>
      </c>
      <c r="I1304">
        <f t="shared" si="220"/>
        <v>-0.83801997542496365</v>
      </c>
      <c r="J1304">
        <f t="shared" si="221"/>
        <v>-1.6760399508499273E-2</v>
      </c>
      <c r="K1304">
        <f t="shared" si="222"/>
        <v>0.16042393272092717</v>
      </c>
      <c r="L1304">
        <f>-$B$5*$B$12-IF($B$3,Tabelle2[[#This Row],[Fd]]*Tabelle2[[#This Row],[vy]]/Tabelle2[[#This Row],[v]],0)</f>
        <v>-0.91741161988591102</v>
      </c>
      <c r="M1304">
        <f t="shared" si="223"/>
        <v>-0.61160774659060735</v>
      </c>
      <c r="N1304">
        <f t="shared" si="224"/>
        <v>-1.2232154931812147E-2</v>
      </c>
      <c r="O1304">
        <f t="shared" si="225"/>
        <v>-1.7628296442985039</v>
      </c>
      <c r="P1304" s="1">
        <f t="shared" si="227"/>
        <v>8.0295768358006079</v>
      </c>
      <c r="Q1304" s="1">
        <f t="shared" si="228"/>
        <v>-88.135366137459286</v>
      </c>
      <c r="R1304">
        <f>SQRT(Tabelle2[[#This Row],[vx]]*Tabelle2[[#This Row],[vx]]+Tabelle2[[#This Row],[vy]]*Tabelle2[[#This Row],[vy]])</f>
        <v>88.500377786459367</v>
      </c>
      <c r="S1304">
        <f t="shared" si="229"/>
        <v>746.466871511313</v>
      </c>
      <c r="T1304" s="1">
        <f t="shared" si="230"/>
        <v>-1027.0650161488929</v>
      </c>
    </row>
    <row r="1305" spans="6:20" x14ac:dyDescent="0.35">
      <c r="F1305" s="1">
        <f t="shared" si="226"/>
        <v>26.039999999999534</v>
      </c>
      <c r="G1305">
        <f>1/2*$B$8*$B$6*$B$7*(Tabelle2[[#This Row],[vx]]*Tabelle2[[#This Row],[vx]]+Tabelle2[[#This Row],[vy]]*Tabelle2[[#This Row],[vy]])/1000000</f>
        <v>13.858069674659749</v>
      </c>
      <c r="H1305">
        <f>IF($B$3,-Tabelle2[[#This Row],[Fd]]*Tabelle2[[#This Row],[vx]]/Tabelle2[[#This Row],[v]],0)</f>
        <v>-1.2545572584423261</v>
      </c>
      <c r="I1305">
        <f t="shared" si="220"/>
        <v>-0.83637150562821738</v>
      </c>
      <c r="J1305">
        <f t="shared" si="221"/>
        <v>-1.6727430112564348E-2</v>
      </c>
      <c r="K1305">
        <f t="shared" si="222"/>
        <v>0.16008905442471655</v>
      </c>
      <c r="L1305">
        <f>-$B$5*$B$12-IF($B$3,Tabelle2[[#This Row],[Fd]]*Tabelle2[[#This Row],[vy]]/Tabelle2[[#This Row],[v]],0)</f>
        <v>-0.91383406399974199</v>
      </c>
      <c r="M1305">
        <f t="shared" si="223"/>
        <v>-0.60922270933316136</v>
      </c>
      <c r="N1305">
        <f t="shared" si="224"/>
        <v>-1.2184454186663227E-2</v>
      </c>
      <c r="O1305">
        <f t="shared" si="225"/>
        <v>-1.7630738103896886</v>
      </c>
      <c r="P1305" s="1">
        <f t="shared" si="227"/>
        <v>8.012816436292109</v>
      </c>
      <c r="Q1305" s="1">
        <f t="shared" si="228"/>
        <v>-88.147598292391095</v>
      </c>
      <c r="R1305">
        <f>SQRT(Tabelle2[[#This Row],[vx]]*Tabelle2[[#This Row],[vx]]+Tabelle2[[#This Row],[vy]]*Tabelle2[[#This Row],[vy]])</f>
        <v>88.5110406218256</v>
      </c>
      <c r="S1305">
        <f t="shared" si="229"/>
        <v>746.62729544403396</v>
      </c>
      <c r="T1305" s="1">
        <f t="shared" si="230"/>
        <v>-1028.8278457931915</v>
      </c>
    </row>
    <row r="1306" spans="6:20" x14ac:dyDescent="0.35">
      <c r="F1306" s="1">
        <f t="shared" si="226"/>
        <v>26.059999999999533</v>
      </c>
      <c r="G1306">
        <f>1/2*$B$8*$B$6*$B$7*(Tabelle2[[#This Row],[vx]]*Tabelle2[[#This Row],[vx]]+Tabelle2[[#This Row],[vy]]*Tabelle2[[#This Row],[vy]])/1000000</f>
        <v>13.861395986967668</v>
      </c>
      <c r="H1306">
        <f>IF($B$3,-Tabelle2[[#This Row],[Fd]]*Tabelle2[[#This Row],[vx]]/Tabelle2[[#This Row],[v]],0)</f>
        <v>-1.2520885048978689</v>
      </c>
      <c r="I1306">
        <f t="shared" si="220"/>
        <v>-0.83472566993191266</v>
      </c>
      <c r="J1306">
        <f t="shared" si="221"/>
        <v>-1.6694513398638252E-2</v>
      </c>
      <c r="K1306">
        <f t="shared" si="222"/>
        <v>0.15975483498960449</v>
      </c>
      <c r="L1306">
        <f>-$B$5*$B$12-IF($B$3,Tabelle2[[#This Row],[Fd]]*Tabelle2[[#This Row],[vy]]/Tabelle2[[#This Row],[v]],0)</f>
        <v>-0.91026990182618484</v>
      </c>
      <c r="M1306">
        <f t="shared" si="223"/>
        <v>-0.60684660121745659</v>
      </c>
      <c r="N1306">
        <f t="shared" si="224"/>
        <v>-1.2136932024349132E-2</v>
      </c>
      <c r="O1306">
        <f t="shared" si="225"/>
        <v>-1.7633170242517988</v>
      </c>
      <c r="P1306" s="1">
        <f t="shared" si="227"/>
        <v>7.9960890061795444</v>
      </c>
      <c r="Q1306" s="1">
        <f t="shared" si="228"/>
        <v>-88.159782746577761</v>
      </c>
      <c r="R1306">
        <f>SQRT(Tabelle2[[#This Row],[vx]]*Tabelle2[[#This Row],[vx]]+Tabelle2[[#This Row],[vy]]*Tabelle2[[#This Row],[vy]])</f>
        <v>88.521662508781063</v>
      </c>
      <c r="S1306">
        <f t="shared" si="229"/>
        <v>746.78738449845866</v>
      </c>
      <c r="T1306" s="1">
        <f t="shared" si="230"/>
        <v>-1030.5909196035811</v>
      </c>
    </row>
    <row r="1307" spans="6:20" x14ac:dyDescent="0.35">
      <c r="F1307" s="1">
        <f t="shared" si="226"/>
        <v>26.079999999999533</v>
      </c>
      <c r="G1307">
        <f>1/2*$B$8*$B$6*$B$7*(Tabelle2[[#This Row],[vx]]*Tabelle2[[#This Row],[vx]]+Tabelle2[[#This Row],[vy]]*Tabelle2[[#This Row],[vy]])/1000000</f>
        <v>13.864709919680429</v>
      </c>
      <c r="H1307">
        <f>IF($B$3,-Tabelle2[[#This Row],[Fd]]*Tabelle2[[#This Row],[vx]]/Tabelle2[[#This Row],[v]],0)</f>
        <v>-1.24962370185674</v>
      </c>
      <c r="I1307">
        <f t="shared" si="220"/>
        <v>-0.83308246790449336</v>
      </c>
      <c r="J1307">
        <f t="shared" si="221"/>
        <v>-1.6661649358089867E-2</v>
      </c>
      <c r="K1307">
        <f t="shared" si="222"/>
        <v>0.15942127336203724</v>
      </c>
      <c r="L1307">
        <f>-$B$5*$B$12-IF($B$3,Tabelle2[[#This Row],[Fd]]*Tabelle2[[#This Row],[vy]]/Tabelle2[[#This Row],[v]],0)</f>
        <v>-0.90671908742283769</v>
      </c>
      <c r="M1307">
        <f t="shared" si="223"/>
        <v>-0.60447939161522513</v>
      </c>
      <c r="N1307">
        <f t="shared" si="224"/>
        <v>-1.2089587832304502E-2</v>
      </c>
      <c r="O1307">
        <f t="shared" si="225"/>
        <v>-1.7635592894503651</v>
      </c>
      <c r="P1307" s="1">
        <f t="shared" si="227"/>
        <v>7.979394492780906</v>
      </c>
      <c r="Q1307" s="1">
        <f t="shared" si="228"/>
        <v>-88.171919678602109</v>
      </c>
      <c r="R1307">
        <f>SQRT(Tabelle2[[#This Row],[vx]]*Tabelle2[[#This Row],[vx]]+Tabelle2[[#This Row],[vy]]*Tabelle2[[#This Row],[vy]])</f>
        <v>88.532243596789542</v>
      </c>
      <c r="S1307">
        <f t="shared" si="229"/>
        <v>746.94713933344826</v>
      </c>
      <c r="T1307" s="1">
        <f t="shared" si="230"/>
        <v>-1032.354236627833</v>
      </c>
    </row>
    <row r="1308" spans="6:20" x14ac:dyDescent="0.35">
      <c r="F1308" s="1">
        <f t="shared" si="226"/>
        <v>26.099999999999532</v>
      </c>
      <c r="G1308">
        <f>1/2*$B$8*$B$6*$B$7*(Tabelle2[[#This Row],[vx]]*Tabelle2[[#This Row],[vx]]+Tabelle2[[#This Row],[vy]]*Tabelle2[[#This Row],[vy]])/1000000</f>
        <v>13.868011514883458</v>
      </c>
      <c r="H1308">
        <f>IF($B$3,-Tabelle2[[#This Row],[Fd]]*Tabelle2[[#This Row],[vx]]/Tabelle2[[#This Row],[v]],0)</f>
        <v>-1.2471628486302311</v>
      </c>
      <c r="I1308">
        <f t="shared" si="220"/>
        <v>-0.83144189908682076</v>
      </c>
      <c r="J1308">
        <f t="shared" si="221"/>
        <v>-1.6628837981736415E-2</v>
      </c>
      <c r="K1308">
        <f t="shared" si="222"/>
        <v>0.15908836848863897</v>
      </c>
      <c r="L1308">
        <f>-$B$5*$B$12-IF($B$3,Tabelle2[[#This Row],[Fd]]*Tabelle2[[#This Row],[vy]]/Tabelle2[[#This Row],[v]],0)</f>
        <v>-0.90318157497222629</v>
      </c>
      <c r="M1308">
        <f t="shared" si="223"/>
        <v>-0.60212104998148419</v>
      </c>
      <c r="N1308">
        <f t="shared" si="224"/>
        <v>-1.2042420999629684E-2</v>
      </c>
      <c r="O1308">
        <f t="shared" si="225"/>
        <v>-1.7638006095386844</v>
      </c>
      <c r="P1308" s="1">
        <f t="shared" si="227"/>
        <v>7.962732843422816</v>
      </c>
      <c r="Q1308" s="1">
        <f t="shared" si="228"/>
        <v>-88.184009266434416</v>
      </c>
      <c r="R1308">
        <f>SQRT(Tabelle2[[#This Row],[vx]]*Tabelle2[[#This Row],[vx]]+Tabelle2[[#This Row],[vy]]*Tabelle2[[#This Row],[vy]])</f>
        <v>88.542784034828699</v>
      </c>
      <c r="S1308">
        <f t="shared" si="229"/>
        <v>747.10656060681026</v>
      </c>
      <c r="T1308" s="1">
        <f t="shared" si="230"/>
        <v>-1034.1177959172833</v>
      </c>
    </row>
    <row r="1309" spans="6:20" x14ac:dyDescent="0.35">
      <c r="F1309" s="1">
        <f t="shared" si="226"/>
        <v>26.119999999999532</v>
      </c>
      <c r="G1309">
        <f>1/2*$B$8*$B$6*$B$7*(Tabelle2[[#This Row],[vx]]*Tabelle2[[#This Row],[vx]]+Tabelle2[[#This Row],[vy]]*Tabelle2[[#This Row],[vy]])/1000000</f>
        <v>13.871300814549993</v>
      </c>
      <c r="H1309">
        <f>IF($B$3,-Tabelle2[[#This Row],[Fd]]*Tabelle2[[#This Row],[vx]]/Tabelle2[[#This Row],[v]],0)</f>
        <v>-1.2447059444885582</v>
      </c>
      <c r="I1309">
        <f t="shared" si="220"/>
        <v>-0.82980396299237213</v>
      </c>
      <c r="J1309">
        <f t="shared" si="221"/>
        <v>-1.6596079259847442E-2</v>
      </c>
      <c r="K1309">
        <f t="shared" si="222"/>
        <v>0.1587561193162231</v>
      </c>
      <c r="L1309">
        <f>-$B$5*$B$12-IF($B$3,Tabelle2[[#This Row],[Fd]]*Tabelle2[[#This Row],[vy]]/Tabelle2[[#This Row],[v]],0)</f>
        <v>-0.89965731878177024</v>
      </c>
      <c r="M1309">
        <f t="shared" si="223"/>
        <v>-0.59977154585451353</v>
      </c>
      <c r="N1309">
        <f t="shared" si="224"/>
        <v>-1.1995430917090271E-2</v>
      </c>
      <c r="O1309">
        <f t="shared" si="225"/>
        <v>-1.764040988057852</v>
      </c>
      <c r="P1309" s="1">
        <f t="shared" si="227"/>
        <v>7.9461040054410796</v>
      </c>
      <c r="Q1309" s="1">
        <f t="shared" si="228"/>
        <v>-88.19605168743405</v>
      </c>
      <c r="R1309">
        <f>SQRT(Tabelle2[[#This Row],[vx]]*Tabelle2[[#This Row],[vx]]+Tabelle2[[#This Row],[vy]]*Tabelle2[[#This Row],[vy]])</f>
        <v>88.553283971391068</v>
      </c>
      <c r="S1309">
        <f t="shared" si="229"/>
        <v>747.26564897529886</v>
      </c>
      <c r="T1309" s="1">
        <f t="shared" si="230"/>
        <v>-1035.881596526822</v>
      </c>
    </row>
    <row r="1310" spans="6:20" x14ac:dyDescent="0.35">
      <c r="F1310" s="1">
        <f t="shared" si="226"/>
        <v>26.139999999999532</v>
      </c>
      <c r="G1310">
        <f>1/2*$B$8*$B$6*$B$7*(Tabelle2[[#This Row],[vx]]*Tabelle2[[#This Row],[vx]]+Tabelle2[[#This Row],[vy]]*Tabelle2[[#This Row],[vy]])/1000000</f>
        <v>13.874577860541169</v>
      </c>
      <c r="H1310">
        <f>IF($B$3,-Tabelle2[[#This Row],[Fd]]*Tabelle2[[#This Row],[vx]]/Tabelle2[[#This Row],[v]],0)</f>
        <v>-1.24225298866116</v>
      </c>
      <c r="I1310">
        <f t="shared" si="220"/>
        <v>-0.82816865910743998</v>
      </c>
      <c r="J1310">
        <f t="shared" si="221"/>
        <v>-1.6563373182148799E-2</v>
      </c>
      <c r="K1310">
        <f t="shared" si="222"/>
        <v>0.15842452479180316</v>
      </c>
      <c r="L1310">
        <f>-$B$5*$B$12-IF($B$3,Tabelle2[[#This Row],[Fd]]*Tabelle2[[#This Row],[vy]]/Tabelle2[[#This Row],[v]],0)</f>
        <v>-0.89614627328367824</v>
      </c>
      <c r="M1310">
        <f t="shared" si="223"/>
        <v>-0.59743084885578546</v>
      </c>
      <c r="N1310">
        <f t="shared" si="224"/>
        <v>-1.194861697711571E-2</v>
      </c>
      <c r="O1310">
        <f t="shared" si="225"/>
        <v>-1.7642804285367941</v>
      </c>
      <c r="P1310" s="1">
        <f t="shared" si="227"/>
        <v>7.9295079261812322</v>
      </c>
      <c r="Q1310" s="1">
        <f t="shared" si="228"/>
        <v>-88.208047118351146</v>
      </c>
      <c r="R1310">
        <f>SQRT(Tabelle2[[#This Row],[vx]]*Tabelle2[[#This Row],[vx]]+Tabelle2[[#This Row],[vy]]*Tabelle2[[#This Row],[vy]])</f>
        <v>88.563743554485242</v>
      </c>
      <c r="S1310">
        <f t="shared" si="229"/>
        <v>747.42440509461505</v>
      </c>
      <c r="T1310" s="1">
        <f t="shared" si="230"/>
        <v>-1037.6456375148798</v>
      </c>
    </row>
    <row r="1311" spans="6:20" x14ac:dyDescent="0.35">
      <c r="F1311" s="1">
        <f t="shared" si="226"/>
        <v>26.159999999999531</v>
      </c>
      <c r="G1311">
        <f>1/2*$B$8*$B$6*$B$7*(Tabelle2[[#This Row],[vx]]*Tabelle2[[#This Row],[vx]]+Tabelle2[[#This Row],[vy]]*Tabelle2[[#This Row],[vy]])/1000000</f>
        <v>13.877842694606032</v>
      </c>
      <c r="H1311">
        <f>IF($B$3,-Tabelle2[[#This Row],[Fd]]*Tabelle2[[#This Row],[vx]]/Tabelle2[[#This Row],[v]],0)</f>
        <v>-1.2398039803369936</v>
      </c>
      <c r="I1311">
        <f t="shared" si="220"/>
        <v>-0.82653598689132901</v>
      </c>
      <c r="J1311">
        <f t="shared" si="221"/>
        <v>-1.653071973782658E-2</v>
      </c>
      <c r="K1311">
        <f t="shared" si="222"/>
        <v>0.15809358386260342</v>
      </c>
      <c r="L1311">
        <f>-$B$5*$B$12-IF($B$3,Tabelle2[[#This Row],[Fd]]*Tabelle2[[#This Row],[vy]]/Tabelle2[[#This Row],[v]],0)</f>
        <v>-0.89264839303490362</v>
      </c>
      <c r="M1311">
        <f t="shared" si="223"/>
        <v>-0.59509892868993575</v>
      </c>
      <c r="N1311">
        <f t="shared" si="224"/>
        <v>-1.1901978573798716E-2</v>
      </c>
      <c r="O1311">
        <f t="shared" si="225"/>
        <v>-1.7645189344923033</v>
      </c>
      <c r="P1311" s="1">
        <f t="shared" si="227"/>
        <v>7.9129445529990834</v>
      </c>
      <c r="Q1311" s="1">
        <f t="shared" si="228"/>
        <v>-88.219995735328268</v>
      </c>
      <c r="R1311">
        <f>SQRT(Tabelle2[[#This Row],[vx]]*Tabelle2[[#This Row],[vx]]+Tabelle2[[#This Row],[vy]]*Tabelle2[[#This Row],[vy]])</f>
        <v>88.574162931636991</v>
      </c>
      <c r="S1311">
        <f t="shared" si="229"/>
        <v>747.58282961940688</v>
      </c>
      <c r="T1311" s="1">
        <f t="shared" si="230"/>
        <v>-1039.4099179434165</v>
      </c>
    </row>
    <row r="1312" spans="6:20" x14ac:dyDescent="0.35">
      <c r="F1312" s="1">
        <f t="shared" si="226"/>
        <v>26.179999999999531</v>
      </c>
      <c r="G1312">
        <f>1/2*$B$8*$B$6*$B$7*(Tabelle2[[#This Row],[vx]]*Tabelle2[[#This Row],[vx]]+Tabelle2[[#This Row],[vy]]*Tabelle2[[#This Row],[vy]])/1000000</f>
        <v>13.881095358381616</v>
      </c>
      <c r="H1312">
        <f>IF($B$3,-Tabelle2[[#This Row],[Fd]]*Tabelle2[[#This Row],[vx]]/Tabelle2[[#This Row],[v]],0)</f>
        <v>-1.2373589186648302</v>
      </c>
      <c r="I1312">
        <f t="shared" si="220"/>
        <v>-0.82490594577655341</v>
      </c>
      <c r="J1312">
        <f t="shared" si="221"/>
        <v>-1.6498118915531067E-2</v>
      </c>
      <c r="K1312">
        <f t="shared" si="222"/>
        <v>0.15776329547606985</v>
      </c>
      <c r="L1312">
        <f>-$B$5*$B$12-IF($B$3,Tabelle2[[#This Row],[Fd]]*Tabelle2[[#This Row],[vy]]/Tabelle2[[#This Row],[v]],0)</f>
        <v>-0.88916363271703425</v>
      </c>
      <c r="M1312">
        <f t="shared" si="223"/>
        <v>-0.5927757551446895</v>
      </c>
      <c r="N1312">
        <f t="shared" si="224"/>
        <v>-1.1855515102893789E-2</v>
      </c>
      <c r="O1312">
        <f t="shared" si="225"/>
        <v>-1.7647565094290705</v>
      </c>
      <c r="P1312" s="1">
        <f t="shared" si="227"/>
        <v>7.8964138332612572</v>
      </c>
      <c r="Q1312" s="1">
        <f t="shared" si="228"/>
        <v>-88.231897713902072</v>
      </c>
      <c r="R1312">
        <f>SQRT(Tabelle2[[#This Row],[vx]]*Tabelle2[[#This Row],[vx]]+Tabelle2[[#This Row],[vy]]*Tabelle2[[#This Row],[vy]])</f>
        <v>88.584542249890291</v>
      </c>
      <c r="S1312">
        <f t="shared" si="229"/>
        <v>747.74092320326952</v>
      </c>
      <c r="T1312" s="1">
        <f t="shared" si="230"/>
        <v>-1041.1744368779089</v>
      </c>
    </row>
    <row r="1313" spans="6:20" x14ac:dyDescent="0.35">
      <c r="F1313" s="1">
        <f t="shared" si="226"/>
        <v>26.19999999999953</v>
      </c>
      <c r="G1313">
        <f>1/2*$B$8*$B$6*$B$7*(Tabelle2[[#This Row],[vx]]*Tabelle2[[#This Row],[vx]]+Tabelle2[[#This Row],[vy]]*Tabelle2[[#This Row],[vy]])/1000000</f>
        <v>13.884335893392972</v>
      </c>
      <c r="H1313">
        <f>IF($B$3,-Tabelle2[[#This Row],[Fd]]*Tabelle2[[#This Row],[vx]]/Tabelle2[[#This Row],[v]],0)</f>
        <v>-1.2349178027535481</v>
      </c>
      <c r="I1313">
        <f t="shared" si="220"/>
        <v>-0.82327853516903204</v>
      </c>
      <c r="J1313">
        <f t="shared" si="221"/>
        <v>-1.6465570703380641E-2</v>
      </c>
      <c r="K1313">
        <f t="shared" si="222"/>
        <v>0.15743365857988073</v>
      </c>
      <c r="L1313">
        <f>-$B$5*$B$12-IF($B$3,Tabelle2[[#This Row],[Fd]]*Tabelle2[[#This Row],[vy]]/Tabelle2[[#This Row],[v]],0)</f>
        <v>-0.88569194713622856</v>
      </c>
      <c r="M1313">
        <f t="shared" si="223"/>
        <v>-0.59046129809081904</v>
      </c>
      <c r="N1313">
        <f t="shared" si="224"/>
        <v>-1.1809225961816381E-2</v>
      </c>
      <c r="O1313">
        <f t="shared" si="225"/>
        <v>-1.7649931568397177</v>
      </c>
      <c r="P1313" s="1">
        <f t="shared" si="227"/>
        <v>7.8799157143457261</v>
      </c>
      <c r="Q1313" s="1">
        <f t="shared" si="228"/>
        <v>-88.243753229004966</v>
      </c>
      <c r="R1313">
        <f>SQRT(Tabelle2[[#This Row],[vx]]*Tabelle2[[#This Row],[vx]]+Tabelle2[[#This Row],[vy]]*Tabelle2[[#This Row],[vy]])</f>
        <v>88.594881655808521</v>
      </c>
      <c r="S1313">
        <f t="shared" si="229"/>
        <v>747.89868649874563</v>
      </c>
      <c r="T1313" s="1">
        <f t="shared" si="230"/>
        <v>-1042.939193387338</v>
      </c>
    </row>
    <row r="1314" spans="6:20" x14ac:dyDescent="0.35">
      <c r="F1314" s="1">
        <f t="shared" si="226"/>
        <v>26.21999999999953</v>
      </c>
      <c r="G1314">
        <f>1/2*$B$8*$B$6*$B$7*(Tabelle2[[#This Row],[vx]]*Tabelle2[[#This Row],[vx]]+Tabelle2[[#This Row],[vy]]*Tabelle2[[#This Row],[vy]])/1000000</f>
        <v>13.887564341053242</v>
      </c>
      <c r="H1314">
        <f>IF($B$3,-Tabelle2[[#This Row],[Fd]]*Tabelle2[[#This Row],[vx]]/Tabelle2[[#This Row],[v]],0)</f>
        <v>-1.2324806316724248</v>
      </c>
      <c r="I1314">
        <f t="shared" si="220"/>
        <v>-0.82165375444828326</v>
      </c>
      <c r="J1314">
        <f t="shared" si="221"/>
        <v>-1.6433075088965667E-2</v>
      </c>
      <c r="K1314">
        <f t="shared" si="222"/>
        <v>0.15710467212195725</v>
      </c>
      <c r="L1314">
        <f>-$B$5*$B$12-IF($B$3,Tabelle2[[#This Row],[Fd]]*Tabelle2[[#This Row],[vy]]/Tabelle2[[#This Row],[v]],0)</f>
        <v>-0.88223329122312144</v>
      </c>
      <c r="M1314">
        <f t="shared" si="223"/>
        <v>-0.588155527482081</v>
      </c>
      <c r="N1314">
        <f t="shared" si="224"/>
        <v>-1.1763110549641621E-2</v>
      </c>
      <c r="O1314">
        <f t="shared" si="225"/>
        <v>-1.7652288802048322</v>
      </c>
      <c r="P1314" s="1">
        <f t="shared" si="227"/>
        <v>7.8634501436423454</v>
      </c>
      <c r="Q1314" s="1">
        <f t="shared" si="228"/>
        <v>-88.255562454966778</v>
      </c>
      <c r="R1314">
        <f>SQRT(Tabelle2[[#This Row],[vx]]*Tabelle2[[#This Row],[vx]]+Tabelle2[[#This Row],[vy]]*Tabelle2[[#This Row],[vy]])</f>
        <v>88.605181295475546</v>
      </c>
      <c r="S1314">
        <f t="shared" si="229"/>
        <v>748.05612015732549</v>
      </c>
      <c r="T1314" s="1">
        <f t="shared" si="230"/>
        <v>-1044.7041865441777</v>
      </c>
    </row>
    <row r="1315" spans="6:20" x14ac:dyDescent="0.35">
      <c r="F1315" s="1">
        <f t="shared" si="226"/>
        <v>26.239999999999529</v>
      </c>
      <c r="G1315">
        <f>1/2*$B$8*$B$6*$B$7*(Tabelle2[[#This Row],[vx]]*Tabelle2[[#This Row],[vx]]+Tabelle2[[#This Row],[vy]]*Tabelle2[[#This Row],[vy]])/1000000</f>
        <v>13.890780742663694</v>
      </c>
      <c r="H1315">
        <f>IF($B$3,-Tabelle2[[#This Row],[Fd]]*Tabelle2[[#This Row],[vx]]/Tabelle2[[#This Row],[v]],0)</f>
        <v>-1.2300474044514271</v>
      </c>
      <c r="I1315">
        <f t="shared" si="220"/>
        <v>-0.82003160296761812</v>
      </c>
      <c r="J1315">
        <f t="shared" si="221"/>
        <v>-1.6400632059352362E-2</v>
      </c>
      <c r="K1315">
        <f t="shared" si="222"/>
        <v>0.15677633505047409</v>
      </c>
      <c r="L1315">
        <f>-$B$5*$B$12-IF($B$3,Tabelle2[[#This Row],[Fd]]*Tabelle2[[#This Row],[vy]]/Tabelle2[[#This Row],[v]],0)</f>
        <v>-0.8787876200327549</v>
      </c>
      <c r="M1315">
        <f t="shared" si="223"/>
        <v>-0.58585841335516997</v>
      </c>
      <c r="N1315">
        <f t="shared" si="224"/>
        <v>-1.17171682671034E-2</v>
      </c>
      <c r="O1315">
        <f t="shared" si="225"/>
        <v>-1.7654636829929993</v>
      </c>
      <c r="P1315" s="1">
        <f t="shared" si="227"/>
        <v>7.84701706855338</v>
      </c>
      <c r="Q1315" s="1">
        <f t="shared" si="228"/>
        <v>-88.267325565516416</v>
      </c>
      <c r="R1315">
        <f>SQRT(Tabelle2[[#This Row],[vx]]*Tabelle2[[#This Row],[vx]]+Tabelle2[[#This Row],[vy]]*Tabelle2[[#This Row],[vy]])</f>
        <v>88.615441314496849</v>
      </c>
      <c r="S1315">
        <f t="shared" si="229"/>
        <v>748.21322482944743</v>
      </c>
      <c r="T1315" s="1">
        <f t="shared" si="230"/>
        <v>-1046.4694154243825</v>
      </c>
    </row>
    <row r="1316" spans="6:20" x14ac:dyDescent="0.35">
      <c r="F1316" s="1">
        <f t="shared" si="226"/>
        <v>26.259999999999529</v>
      </c>
      <c r="G1316">
        <f>1/2*$B$8*$B$6*$B$7*(Tabelle2[[#This Row],[vx]]*Tabelle2[[#This Row],[vx]]+Tabelle2[[#This Row],[vy]]*Tabelle2[[#This Row],[vy]])/1000000</f>
        <v>13.893985139413799</v>
      </c>
      <c r="H1316">
        <f>IF($B$3,-Tabelle2[[#This Row],[Fd]]*Tabelle2[[#This Row],[vx]]/Tabelle2[[#This Row],[v]],0)</f>
        <v>-1.2276181200815002</v>
      </c>
      <c r="I1316">
        <f t="shared" si="220"/>
        <v>-0.81841208005433341</v>
      </c>
      <c r="J1316">
        <f t="shared" si="221"/>
        <v>-1.6368241601086669E-2</v>
      </c>
      <c r="K1316">
        <f t="shared" si="222"/>
        <v>0.15644864631386968</v>
      </c>
      <c r="L1316">
        <f>-$B$5*$B$12-IF($B$3,Tabelle2[[#This Row],[Fd]]*Tabelle2[[#This Row],[vy]]/Tabelle2[[#This Row],[v]],0)</f>
        <v>-0.87535488874447331</v>
      </c>
      <c r="M1316">
        <f t="shared" si="223"/>
        <v>-0.58356992582964884</v>
      </c>
      <c r="N1316">
        <f t="shared" si="224"/>
        <v>-1.1671398516592976E-2</v>
      </c>
      <c r="O1316">
        <f t="shared" si="225"/>
        <v>-1.7656975686608363</v>
      </c>
      <c r="P1316" s="1">
        <f t="shared" si="227"/>
        <v>7.8306164364940276</v>
      </c>
      <c r="Q1316" s="1">
        <f t="shared" si="228"/>
        <v>-88.279042733783513</v>
      </c>
      <c r="R1316">
        <f>SQRT(Tabelle2[[#This Row],[vx]]*Tabelle2[[#This Row],[vx]]+Tabelle2[[#This Row],[vy]]*Tabelle2[[#This Row],[vy]])</f>
        <v>88.625661858000626</v>
      </c>
      <c r="S1316">
        <f t="shared" si="229"/>
        <v>748.37000116449792</v>
      </c>
      <c r="T1316" s="1">
        <f t="shared" si="230"/>
        <v>-1048.2348791073755</v>
      </c>
    </row>
    <row r="1317" spans="6:20" x14ac:dyDescent="0.35">
      <c r="F1317" s="1">
        <f t="shared" si="226"/>
        <v>26.279999999999529</v>
      </c>
      <c r="G1317">
        <f>1/2*$B$8*$B$6*$B$7*(Tabelle2[[#This Row],[vx]]*Tabelle2[[#This Row],[vx]]+Tabelle2[[#This Row],[vy]]*Tabelle2[[#This Row],[vy]])/1000000</f>
        <v>13.897177572381286</v>
      </c>
      <c r="H1317">
        <f>IF($B$3,-Tabelle2[[#This Row],[Fd]]*Tabelle2[[#This Row],[vx]]/Tabelle2[[#This Row],[v]],0)</f>
        <v>-1.2251927775148579</v>
      </c>
      <c r="I1317">
        <f t="shared" si="220"/>
        <v>-0.81679518500990522</v>
      </c>
      <c r="J1317">
        <f t="shared" si="221"/>
        <v>-1.6335903700198103E-2</v>
      </c>
      <c r="K1317">
        <f t="shared" si="222"/>
        <v>0.15612160486085683</v>
      </c>
      <c r="L1317">
        <f>-$B$5*$B$12-IF($B$3,Tabelle2[[#This Row],[Fd]]*Tabelle2[[#This Row],[vy]]/Tabelle2[[#This Row],[v]],0)</f>
        <v>-0.87193505266182392</v>
      </c>
      <c r="M1317">
        <f t="shared" si="223"/>
        <v>-0.58129003510788257</v>
      </c>
      <c r="N1317">
        <f t="shared" si="224"/>
        <v>-1.1625800702157652E-2</v>
      </c>
      <c r="O1317">
        <f t="shared" si="225"/>
        <v>-1.7659305406530237</v>
      </c>
      <c r="P1317" s="1">
        <f t="shared" si="227"/>
        <v>7.814248194892941</v>
      </c>
      <c r="Q1317" s="1">
        <f t="shared" si="228"/>
        <v>-88.29071413230011</v>
      </c>
      <c r="R1317">
        <f>SQRT(Tabelle2[[#This Row],[vx]]*Tabelle2[[#This Row],[vx]]+Tabelle2[[#This Row],[vy]]*Tabelle2[[#This Row],[vy]])</f>
        <v>88.635843070638899</v>
      </c>
      <c r="S1317">
        <f t="shared" si="229"/>
        <v>748.52644981081176</v>
      </c>
      <c r="T1317" s="1">
        <f t="shared" si="230"/>
        <v>-1050.0005766760364</v>
      </c>
    </row>
    <row r="1318" spans="6:20" x14ac:dyDescent="0.35">
      <c r="F1318" s="1">
        <f t="shared" si="226"/>
        <v>26.299999999999528</v>
      </c>
      <c r="G1318">
        <f>1/2*$B$8*$B$6*$B$7*(Tabelle2[[#This Row],[vx]]*Tabelle2[[#This Row],[vx]]+Tabelle2[[#This Row],[vy]]*Tabelle2[[#This Row],[vy]])/1000000</f>
        <v>13.900358082532202</v>
      </c>
      <c r="H1318">
        <f>IF($B$3,-Tabelle2[[#This Row],[Fd]]*Tabelle2[[#This Row],[vx]]/Tabelle2[[#This Row],[v]],0)</f>
        <v>-1.2227713756652643</v>
      </c>
      <c r="I1318">
        <f t="shared" si="220"/>
        <v>-0.81518091711017615</v>
      </c>
      <c r="J1318">
        <f t="shared" si="221"/>
        <v>-1.6303618342203525E-2</v>
      </c>
      <c r="K1318">
        <f t="shared" si="222"/>
        <v>0.15579520964043284</v>
      </c>
      <c r="L1318">
        <f>-$B$5*$B$12-IF($B$3,Tabelle2[[#This Row],[Fd]]*Tabelle2[[#This Row],[vy]]/Tabelle2[[#This Row],[v]],0)</f>
        <v>-0.86852806721249998</v>
      </c>
      <c r="M1318">
        <f t="shared" si="223"/>
        <v>-0.57901871147499995</v>
      </c>
      <c r="N1318">
        <f t="shared" si="224"/>
        <v>-1.15803742295E-2</v>
      </c>
      <c r="O1318">
        <f t="shared" si="225"/>
        <v>-1.7661626024023407</v>
      </c>
      <c r="P1318" s="1">
        <f t="shared" si="227"/>
        <v>7.797912291192743</v>
      </c>
      <c r="Q1318" s="1">
        <f t="shared" si="228"/>
        <v>-88.302339933002273</v>
      </c>
      <c r="R1318">
        <f>SQRT(Tabelle2[[#This Row],[vx]]*Tabelle2[[#This Row],[vx]]+Tabelle2[[#This Row],[vy]]*Tabelle2[[#This Row],[vy]])</f>
        <v>88.645985096588674</v>
      </c>
      <c r="S1318">
        <f t="shared" si="229"/>
        <v>748.68257141567256</v>
      </c>
      <c r="T1318" s="1">
        <f t="shared" si="230"/>
        <v>-1051.7665072166894</v>
      </c>
    </row>
    <row r="1319" spans="6:20" x14ac:dyDescent="0.35">
      <c r="F1319" s="1">
        <f t="shared" si="226"/>
        <v>26.319999999999528</v>
      </c>
      <c r="G1319">
        <f>1/2*$B$8*$B$6*$B$7*(Tabelle2[[#This Row],[vx]]*Tabelle2[[#This Row],[vx]]+Tabelle2[[#This Row],[vy]]*Tabelle2[[#This Row],[vy]])/1000000</f>
        <v>13.903526710720978</v>
      </c>
      <c r="H1319">
        <f>IF($B$3,-Tabelle2[[#This Row],[Fd]]*Tabelle2[[#This Row],[vx]]/Tabelle2[[#This Row],[v]],0)</f>
        <v>-1.2203539134083226</v>
      </c>
      <c r="I1319">
        <f t="shared" si="220"/>
        <v>-0.81356927560554837</v>
      </c>
      <c r="J1319">
        <f t="shared" si="221"/>
        <v>-1.6271385512110968E-2</v>
      </c>
      <c r="K1319">
        <f t="shared" si="222"/>
        <v>0.15546945960188968</v>
      </c>
      <c r="L1319">
        <f>-$B$5*$B$12-IF($B$3,Tabelle2[[#This Row],[Fd]]*Tabelle2[[#This Row],[vy]]/Tabelle2[[#This Row],[v]],0)</f>
        <v>-0.86513388794820578</v>
      </c>
      <c r="M1319">
        <f t="shared" si="223"/>
        <v>-0.57675592529880382</v>
      </c>
      <c r="N1319">
        <f t="shared" si="224"/>
        <v>-1.1535118505976076E-2</v>
      </c>
      <c r="O1319">
        <f t="shared" si="225"/>
        <v>-1.7663937573296951</v>
      </c>
      <c r="P1319" s="1">
        <f t="shared" si="227"/>
        <v>7.7816086728505391</v>
      </c>
      <c r="Q1319" s="1">
        <f t="shared" si="228"/>
        <v>-88.313920307231768</v>
      </c>
      <c r="R1319">
        <f>SQRT(Tabelle2[[#This Row],[vx]]*Tabelle2[[#This Row],[vx]]+Tabelle2[[#This Row],[vy]]*Tabelle2[[#This Row],[vy]])</f>
        <v>88.656088079553044</v>
      </c>
      <c r="S1319">
        <f t="shared" si="229"/>
        <v>748.83836662531303</v>
      </c>
      <c r="T1319" s="1">
        <f t="shared" si="230"/>
        <v>-1053.5326698190918</v>
      </c>
    </row>
    <row r="1320" spans="6:20" x14ac:dyDescent="0.35">
      <c r="F1320" s="1">
        <f t="shared" si="226"/>
        <v>26.339999999999527</v>
      </c>
      <c r="G1320">
        <f>1/2*$B$8*$B$6*$B$7*(Tabelle2[[#This Row],[vx]]*Tabelle2[[#This Row],[vx]]+Tabelle2[[#This Row],[vy]]*Tabelle2[[#This Row],[vy]])/1000000</f>
        <v>13.906683497690507</v>
      </c>
      <c r="H1320">
        <f>IF($B$3,-Tabelle2[[#This Row],[Fd]]*Tabelle2[[#This Row],[vx]]/Tabelle2[[#This Row],[v]],0)</f>
        <v>-1.2179403895817578</v>
      </c>
      <c r="I1320">
        <f t="shared" si="220"/>
        <v>-0.81196025972117181</v>
      </c>
      <c r="J1320">
        <f t="shared" si="221"/>
        <v>-1.6239205194423435E-2</v>
      </c>
      <c r="K1320">
        <f t="shared" si="222"/>
        <v>0.15514435369482432</v>
      </c>
      <c r="L1320">
        <f>-$B$5*$B$12-IF($B$3,Tabelle2[[#This Row],[Fd]]*Tabelle2[[#This Row],[vy]]/Tabelle2[[#This Row],[v]],0)</f>
        <v>-0.86175247054457316</v>
      </c>
      <c r="M1320">
        <f t="shared" si="223"/>
        <v>-0.5745016470297154</v>
      </c>
      <c r="N1320">
        <f t="shared" si="224"/>
        <v>-1.1490032940594308E-2</v>
      </c>
      <c r="O1320">
        <f t="shared" si="225"/>
        <v>-1.7666240088441609</v>
      </c>
      <c r="P1320" s="1">
        <f t="shared" si="227"/>
        <v>7.7653372873384283</v>
      </c>
      <c r="Q1320" s="1">
        <f t="shared" si="228"/>
        <v>-88.325455425737744</v>
      </c>
      <c r="R1320">
        <f>SQRT(Tabelle2[[#This Row],[vx]]*Tabelle2[[#This Row],[vx]]+Tabelle2[[#This Row],[vy]]*Tabelle2[[#This Row],[vy]])</f>
        <v>88.666152162762273</v>
      </c>
      <c r="S1320">
        <f t="shared" si="229"/>
        <v>748.99383608491496</v>
      </c>
      <c r="T1320" s="1">
        <f t="shared" si="230"/>
        <v>-1055.2990635764215</v>
      </c>
    </row>
    <row r="1321" spans="6:20" x14ac:dyDescent="0.35">
      <c r="F1321" s="1">
        <f t="shared" si="226"/>
        <v>26.359999999999527</v>
      </c>
      <c r="G1321">
        <f>1/2*$B$8*$B$6*$B$7*(Tabelle2[[#This Row],[vx]]*Tabelle2[[#This Row],[vx]]+Tabelle2[[#This Row],[vy]]*Tabelle2[[#This Row],[vy]])/1000000</f>
        <v>13.909828484072206</v>
      </c>
      <c r="H1321">
        <f>IF($B$3,-Tabelle2[[#This Row],[Fd]]*Tabelle2[[#This Row],[vx]]/Tabelle2[[#This Row],[v]],0)</f>
        <v>-1.2155308029856966</v>
      </c>
      <c r="I1321">
        <f t="shared" si="220"/>
        <v>-0.8103538686571311</v>
      </c>
      <c r="J1321">
        <f t="shared" si="221"/>
        <v>-1.6207077373142621E-2</v>
      </c>
      <c r="K1321">
        <f t="shared" si="222"/>
        <v>0.15481989086914869</v>
      </c>
      <c r="L1321">
        <f>-$B$5*$B$12-IF($B$3,Tabelle2[[#This Row],[Fd]]*Tabelle2[[#This Row],[vy]]/Tabelle2[[#This Row],[v]],0)</f>
        <v>-0.85838377080106198</v>
      </c>
      <c r="M1321">
        <f t="shared" si="223"/>
        <v>-0.57225584720070799</v>
      </c>
      <c r="N1321">
        <f t="shared" si="224"/>
        <v>-1.144511694401416E-2</v>
      </c>
      <c r="O1321">
        <f t="shared" si="225"/>
        <v>-1.766853360343007</v>
      </c>
      <c r="P1321" s="1">
        <f t="shared" si="227"/>
        <v>7.7490980821440045</v>
      </c>
      <c r="Q1321" s="1">
        <f t="shared" si="228"/>
        <v>-88.336945458678343</v>
      </c>
      <c r="R1321">
        <f>SQRT(Tabelle2[[#This Row],[vx]]*Tabelle2[[#This Row],[vx]]+Tabelle2[[#This Row],[vy]]*Tabelle2[[#This Row],[vy]])</f>
        <v>88.676177488975028</v>
      </c>
      <c r="S1321">
        <f t="shared" si="229"/>
        <v>749.14898043860978</v>
      </c>
      <c r="T1321" s="1">
        <f t="shared" si="230"/>
        <v>-1057.0656875852658</v>
      </c>
    </row>
    <row r="1322" spans="6:20" x14ac:dyDescent="0.35">
      <c r="F1322" s="1">
        <f t="shared" si="226"/>
        <v>26.379999999999526</v>
      </c>
      <c r="G1322">
        <f>1/2*$B$8*$B$6*$B$7*(Tabelle2[[#This Row],[vx]]*Tabelle2[[#This Row],[vx]]+Tabelle2[[#This Row],[vy]]*Tabelle2[[#This Row],[vy]])/1000000</f>
        <v>13.912961710386085</v>
      </c>
      <c r="H1322">
        <f>IF($B$3,-Tabelle2[[#This Row],[Fd]]*Tabelle2[[#This Row],[vx]]/Tabelle2[[#This Row],[v]],0)</f>
        <v>-1.2131251523829518</v>
      </c>
      <c r="I1322">
        <f t="shared" si="220"/>
        <v>-0.80875010158863458</v>
      </c>
      <c r="J1322">
        <f t="shared" si="221"/>
        <v>-1.6175002031772693E-2</v>
      </c>
      <c r="K1322">
        <f t="shared" si="222"/>
        <v>0.15449607007509952</v>
      </c>
      <c r="L1322">
        <f>-$B$5*$B$12-IF($B$3,Tabelle2[[#This Row],[Fd]]*Tabelle2[[#This Row],[vy]]/Tabelle2[[#This Row],[v]],0)</f>
        <v>-0.85502774464085896</v>
      </c>
      <c r="M1322">
        <f t="shared" si="223"/>
        <v>-0.57001849642723934</v>
      </c>
      <c r="N1322">
        <f t="shared" si="224"/>
        <v>-1.1400369928544787E-2</v>
      </c>
      <c r="O1322">
        <f t="shared" si="225"/>
        <v>-1.7670818152117327</v>
      </c>
      <c r="P1322" s="1">
        <f t="shared" si="227"/>
        <v>7.7328910047708623</v>
      </c>
      <c r="Q1322" s="1">
        <f t="shared" si="228"/>
        <v>-88.348390575622361</v>
      </c>
      <c r="R1322">
        <f>SQRT(Tabelle2[[#This Row],[vx]]*Tabelle2[[#This Row],[vx]]+Tabelle2[[#This Row],[vy]]*Tabelle2[[#This Row],[vy]])</f>
        <v>88.68616420047934</v>
      </c>
      <c r="S1322">
        <f t="shared" si="229"/>
        <v>749.30380032947892</v>
      </c>
      <c r="T1322" s="1">
        <f t="shared" si="230"/>
        <v>-1058.8325409456088</v>
      </c>
    </row>
    <row r="1323" spans="6:20" x14ac:dyDescent="0.35">
      <c r="F1323" s="1">
        <f t="shared" si="226"/>
        <v>26.399999999999526</v>
      </c>
      <c r="G1323">
        <f>1/2*$B$8*$B$6*$B$7*(Tabelle2[[#This Row],[vx]]*Tabelle2[[#This Row],[vx]]+Tabelle2[[#This Row],[vy]]*Tabelle2[[#This Row],[vy]])/1000000</f>
        <v>13.916083217040839</v>
      </c>
      <c r="H1323">
        <f>IF($B$3,-Tabelle2[[#This Row],[Fd]]*Tabelle2[[#This Row],[vx]]/Tabelle2[[#This Row],[v]],0)</f>
        <v>-1.210723436499298</v>
      </c>
      <c r="I1323">
        <f t="shared" si="220"/>
        <v>-0.80714895766619865</v>
      </c>
      <c r="J1323">
        <f t="shared" si="221"/>
        <v>-1.6142979153323973E-2</v>
      </c>
      <c r="K1323">
        <f t="shared" si="222"/>
        <v>0.15417289026324857</v>
      </c>
      <c r="L1323">
        <f>-$B$5*$B$12-IF($B$3,Tabelle2[[#This Row],[Fd]]*Tabelle2[[#This Row],[vy]]/Tabelle2[[#This Row],[v]],0)</f>
        <v>-0.85168434811076388</v>
      </c>
      <c r="M1323">
        <f t="shared" si="223"/>
        <v>-0.56778956540717596</v>
      </c>
      <c r="N1323">
        <f t="shared" si="224"/>
        <v>-1.135579130814352E-2</v>
      </c>
      <c r="O1323">
        <f t="shared" si="225"/>
        <v>-1.7673093768240997</v>
      </c>
      <c r="P1323" s="1">
        <f t="shared" si="227"/>
        <v>7.7167160027390898</v>
      </c>
      <c r="Q1323" s="1">
        <f t="shared" si="228"/>
        <v>-88.359790945550913</v>
      </c>
      <c r="R1323">
        <f>SQRT(Tabelle2[[#This Row],[vx]]*Tabelle2[[#This Row],[vx]]+Tabelle2[[#This Row],[vy]]*Tabelle2[[#This Row],[vy]])</f>
        <v>88.696112439093909</v>
      </c>
      <c r="S1323">
        <f t="shared" si="229"/>
        <v>749.458296399554</v>
      </c>
      <c r="T1323" s="1">
        <f t="shared" si="230"/>
        <v>-1060.5996227608205</v>
      </c>
    </row>
    <row r="1324" spans="6:20" x14ac:dyDescent="0.35">
      <c r="F1324" s="1">
        <f t="shared" si="226"/>
        <v>26.419999999999526</v>
      </c>
      <c r="G1324">
        <f>1/2*$B$8*$B$6*$B$7*(Tabelle2[[#This Row],[vx]]*Tabelle2[[#This Row],[vx]]+Tabelle2[[#This Row],[vy]]*Tabelle2[[#This Row],[vy]])/1000000</f>
        <v>13.919193044333905</v>
      </c>
      <c r="H1324">
        <f>IF($B$3,-Tabelle2[[#This Row],[Fd]]*Tabelle2[[#This Row],[vx]]/Tabelle2[[#This Row],[v]],0)</f>
        <v>-1.2083256540237515</v>
      </c>
      <c r="I1324">
        <f t="shared" si="220"/>
        <v>-0.80555043601583431</v>
      </c>
      <c r="J1324">
        <f t="shared" si="221"/>
        <v>-1.6111008720316688E-2</v>
      </c>
      <c r="K1324">
        <f t="shared" si="222"/>
        <v>0.15385035038451214</v>
      </c>
      <c r="L1324">
        <f>-$B$5*$B$12-IF($B$3,Tabelle2[[#This Row],[Fd]]*Tabelle2[[#This Row],[vy]]/Tabelle2[[#This Row],[v]],0)</f>
        <v>-0.84835353738109198</v>
      </c>
      <c r="M1324">
        <f t="shared" si="223"/>
        <v>-0.56556902492072803</v>
      </c>
      <c r="N1324">
        <f t="shared" si="224"/>
        <v>-1.1311380498414561E-2</v>
      </c>
      <c r="O1324">
        <f t="shared" si="225"/>
        <v>-1.7675360485421656</v>
      </c>
      <c r="P1324" s="1">
        <f t="shared" si="227"/>
        <v>7.7005730235857657</v>
      </c>
      <c r="Q1324" s="1">
        <f t="shared" si="228"/>
        <v>-88.37114673685906</v>
      </c>
      <c r="R1324">
        <f>SQRT(Tabelle2[[#This Row],[vx]]*Tabelle2[[#This Row],[vx]]+Tabelle2[[#This Row],[vy]]*Tabelle2[[#This Row],[vy]])</f>
        <v>88.706022346169107</v>
      </c>
      <c r="S1324">
        <f t="shared" si="229"/>
        <v>749.61246928981723</v>
      </c>
      <c r="T1324" s="1">
        <f t="shared" si="230"/>
        <v>-1062.3669321376447</v>
      </c>
    </row>
    <row r="1325" spans="6:20" x14ac:dyDescent="0.35">
      <c r="F1325" s="1">
        <f t="shared" si="226"/>
        <v>26.439999999999525</v>
      </c>
      <c r="G1325">
        <f>1/2*$B$8*$B$6*$B$7*(Tabelle2[[#This Row],[vx]]*Tabelle2[[#This Row],[vx]]+Tabelle2[[#This Row],[vy]]*Tabelle2[[#This Row],[vy]])/1000000</f>
        <v>13.922291232451553</v>
      </c>
      <c r="H1325">
        <f>IF($B$3,-Tabelle2[[#This Row],[Fd]]*Tabelle2[[#This Row],[vx]]/Tabelle2[[#This Row],[v]],0)</f>
        <v>-1.2059318036088464</v>
      </c>
      <c r="I1325">
        <f t="shared" si="220"/>
        <v>-0.80395453573923092</v>
      </c>
      <c r="J1325">
        <f t="shared" si="221"/>
        <v>-1.6079090714784618E-2</v>
      </c>
      <c r="K1325">
        <f t="shared" si="222"/>
        <v>0.15352844939016114</v>
      </c>
      <c r="L1325">
        <f>-$B$5*$B$12-IF($B$3,Tabelle2[[#This Row],[Fd]]*Tabelle2[[#This Row],[vy]]/Tabelle2[[#This Row],[v]],0)</f>
        <v>-0.84503526874555845</v>
      </c>
      <c r="M1325">
        <f t="shared" si="223"/>
        <v>-0.56335684583037227</v>
      </c>
      <c r="N1325">
        <f t="shared" si="224"/>
        <v>-1.1267136916607445E-2</v>
      </c>
      <c r="O1325">
        <f t="shared" si="225"/>
        <v>-1.7677618337163157</v>
      </c>
      <c r="P1325" s="1">
        <f t="shared" si="227"/>
        <v>7.6844620148654492</v>
      </c>
      <c r="Q1325" s="1">
        <f t="shared" si="228"/>
        <v>-88.382458117357473</v>
      </c>
      <c r="R1325">
        <f>SQRT(Tabelle2[[#This Row],[vx]]*Tabelle2[[#This Row],[vx]]+Tabelle2[[#This Row],[vy]]*Tabelle2[[#This Row],[vy]])</f>
        <v>88.71589406258812</v>
      </c>
      <c r="S1325">
        <f t="shared" si="229"/>
        <v>749.76631964020169</v>
      </c>
      <c r="T1325" s="1">
        <f t="shared" si="230"/>
        <v>-1064.1344681861867</v>
      </c>
    </row>
    <row r="1326" spans="6:20" x14ac:dyDescent="0.35">
      <c r="F1326" s="1">
        <f t="shared" si="226"/>
        <v>26.459999999999525</v>
      </c>
      <c r="G1326">
        <f>1/2*$B$8*$B$6*$B$7*(Tabelle2[[#This Row],[vx]]*Tabelle2[[#This Row],[vx]]+Tabelle2[[#This Row],[vy]]*Tabelle2[[#This Row],[vy]])/1000000</f>
        <v>13.92537782146897</v>
      </c>
      <c r="H1326">
        <f>IF($B$3,-Tabelle2[[#This Row],[Fd]]*Tabelle2[[#This Row],[vx]]/Tabelle2[[#This Row],[v]],0)</f>
        <v>-1.20354188387091</v>
      </c>
      <c r="I1326">
        <f t="shared" si="220"/>
        <v>-0.80236125591394003</v>
      </c>
      <c r="J1326">
        <f t="shared" si="221"/>
        <v>-1.6047225118278802E-2</v>
      </c>
      <c r="K1326">
        <f t="shared" si="222"/>
        <v>0.15320718623183052</v>
      </c>
      <c r="L1326">
        <f>-$B$5*$B$12-IF($B$3,Tabelle2[[#This Row],[Fd]]*Tabelle2[[#This Row],[vy]]/Tabelle2[[#This Row],[v]],0)</f>
        <v>-0.84172949862115765</v>
      </c>
      <c r="M1326">
        <f t="shared" si="223"/>
        <v>-0.56115299908077176</v>
      </c>
      <c r="N1326">
        <f t="shared" si="224"/>
        <v>-1.1223059981615435E-2</v>
      </c>
      <c r="O1326">
        <f t="shared" si="225"/>
        <v>-1.7679867356852976</v>
      </c>
      <c r="P1326" s="1">
        <f t="shared" si="227"/>
        <v>7.6683829241506647</v>
      </c>
      <c r="Q1326" s="1">
        <f t="shared" si="228"/>
        <v>-88.393725254274074</v>
      </c>
      <c r="R1326">
        <f>SQRT(Tabelle2[[#This Row],[vx]]*Tabelle2[[#This Row],[vx]]+Tabelle2[[#This Row],[vy]]*Tabelle2[[#This Row],[vy]])</f>
        <v>88.725727728768135</v>
      </c>
      <c r="S1326">
        <f t="shared" si="229"/>
        <v>749.91984808959182</v>
      </c>
      <c r="T1326" s="1">
        <f t="shared" si="230"/>
        <v>-1065.9022300199031</v>
      </c>
    </row>
    <row r="1327" spans="6:20" x14ac:dyDescent="0.35">
      <c r="F1327" s="1">
        <f t="shared" si="226"/>
        <v>26.479999999999524</v>
      </c>
      <c r="G1327">
        <f>1/2*$B$8*$B$6*$B$7*(Tabelle2[[#This Row],[vx]]*Tabelle2[[#This Row],[vx]]+Tabelle2[[#This Row],[vy]]*Tabelle2[[#This Row],[vy]])/1000000</f>
        <v>13.928452851350341</v>
      </c>
      <c r="H1327">
        <f>IF($B$3,-Tabelle2[[#This Row],[Fd]]*Tabelle2[[#This Row],[vx]]/Tabelle2[[#This Row],[v]],0)</f>
        <v>-1.2011558933903357</v>
      </c>
      <c r="I1327">
        <f t="shared" si="220"/>
        <v>-0.80077059559355712</v>
      </c>
      <c r="J1327">
        <f t="shared" si="221"/>
        <v>-1.6015411911871141E-2</v>
      </c>
      <c r="K1327">
        <f t="shared" si="222"/>
        <v>0.15288655986152899</v>
      </c>
      <c r="L1327">
        <f>-$B$5*$B$12-IF($B$3,Tabelle2[[#This Row],[Fd]]*Tabelle2[[#This Row],[vy]]/Tabelle2[[#This Row],[v]],0)</f>
        <v>-0.8384361835480636</v>
      </c>
      <c r="M1327">
        <f t="shared" si="223"/>
        <v>-0.55895745569870903</v>
      </c>
      <c r="N1327">
        <f t="shared" si="224"/>
        <v>-1.117914911397418E-2</v>
      </c>
      <c r="O1327">
        <f t="shared" si="225"/>
        <v>-1.7682107577762538</v>
      </c>
      <c r="P1327" s="1">
        <f t="shared" si="227"/>
        <v>7.6523356990323856</v>
      </c>
      <c r="Q1327" s="1">
        <f t="shared" si="228"/>
        <v>-88.404948314255691</v>
      </c>
      <c r="R1327">
        <f>SQRT(Tabelle2[[#This Row],[vx]]*Tabelle2[[#This Row],[vx]]+Tabelle2[[#This Row],[vy]]*Tabelle2[[#This Row],[vy]])</f>
        <v>88.735523484661456</v>
      </c>
      <c r="S1327">
        <f t="shared" si="229"/>
        <v>750.07305527582366</v>
      </c>
      <c r="T1327" s="1">
        <f t="shared" si="230"/>
        <v>-1067.6702167555884</v>
      </c>
    </row>
    <row r="1328" spans="6:20" x14ac:dyDescent="0.35">
      <c r="F1328" s="1">
        <f t="shared" si="226"/>
        <v>26.499999999999524</v>
      </c>
      <c r="G1328">
        <f>1/2*$B$8*$B$6*$B$7*(Tabelle2[[#This Row],[vx]]*Tabelle2[[#This Row],[vx]]+Tabelle2[[#This Row],[vy]]*Tabelle2[[#This Row],[vy]])/1000000</f>
        <v>13.931516361948928</v>
      </c>
      <c r="H1328">
        <f>IF($B$3,-Tabelle2[[#This Row],[Fd]]*Tabelle2[[#This Row],[vx]]/Tabelle2[[#This Row],[v]],0)</f>
        <v>-1.1987738307118561</v>
      </c>
      <c r="I1328">
        <f t="shared" si="220"/>
        <v>-0.79918255380790404</v>
      </c>
      <c r="J1328">
        <f t="shared" si="221"/>
        <v>-1.5983651076158081E-2</v>
      </c>
      <c r="K1328">
        <f t="shared" si="222"/>
        <v>0.15256656923164871</v>
      </c>
      <c r="L1328">
        <f>-$B$5*$B$12-IF($B$3,Tabelle2[[#This Row],[Fd]]*Tabelle2[[#This Row],[vy]]/Tabelle2[[#This Row],[v]],0)</f>
        <v>-0.83515528018950747</v>
      </c>
      <c r="M1328">
        <f t="shared" si="223"/>
        <v>-0.55677018679300494</v>
      </c>
      <c r="N1328">
        <f t="shared" si="224"/>
        <v>-1.1135403735860099E-2</v>
      </c>
      <c r="O1328">
        <f t="shared" si="225"/>
        <v>-1.7684339033047518</v>
      </c>
      <c r="P1328" s="1">
        <f t="shared" si="227"/>
        <v>7.6363202871205145</v>
      </c>
      <c r="Q1328" s="1">
        <f t="shared" si="228"/>
        <v>-88.416127463369662</v>
      </c>
      <c r="R1328">
        <f>SQRT(Tabelle2[[#This Row],[vx]]*Tabelle2[[#This Row],[vx]]+Tabelle2[[#This Row],[vy]]*Tabelle2[[#This Row],[vy]])</f>
        <v>88.745281469756563</v>
      </c>
      <c r="S1328">
        <f t="shared" si="229"/>
        <v>750.22594183568515</v>
      </c>
      <c r="T1328" s="1">
        <f t="shared" si="230"/>
        <v>-1069.4384275133646</v>
      </c>
    </row>
    <row r="1329" spans="6:20" x14ac:dyDescent="0.35">
      <c r="F1329" s="1">
        <f t="shared" si="226"/>
        <v>26.519999999999524</v>
      </c>
      <c r="G1329">
        <f>1/2*$B$8*$B$6*$B$7*(Tabelle2[[#This Row],[vx]]*Tabelle2[[#This Row],[vx]]+Tabelle2[[#This Row],[vy]]*Tabelle2[[#This Row],[vy]])/1000000</f>
        <v>13.934568393007174</v>
      </c>
      <c r="H1329">
        <f>IF($B$3,-Tabelle2[[#This Row],[Fd]]*Tabelle2[[#This Row],[vx]]/Tabelle2[[#This Row],[v]],0)</f>
        <v>-1.1963956943448144</v>
      </c>
      <c r="I1329">
        <f t="shared" si="220"/>
        <v>-0.79759712956320961</v>
      </c>
      <c r="J1329">
        <f t="shared" si="221"/>
        <v>-1.5951942591264194E-2</v>
      </c>
      <c r="K1329">
        <f t="shared" si="222"/>
        <v>0.15224721329497448</v>
      </c>
      <c r="L1329">
        <f>-$B$5*$B$12-IF($B$3,Tabelle2[[#This Row],[Fd]]*Tabelle2[[#This Row],[vy]]/Tabelle2[[#This Row],[v]],0)</f>
        <v>-0.83188674533166029</v>
      </c>
      <c r="M1329">
        <f t="shared" si="223"/>
        <v>-0.55459116355444016</v>
      </c>
      <c r="N1329">
        <f t="shared" si="224"/>
        <v>-1.1091823271088803E-2</v>
      </c>
      <c r="O1329">
        <f t="shared" si="225"/>
        <v>-1.7686561755748216</v>
      </c>
      <c r="P1329" s="1">
        <f t="shared" si="227"/>
        <v>7.6203366360443567</v>
      </c>
      <c r="Q1329" s="1">
        <f t="shared" si="228"/>
        <v>-88.427262867105526</v>
      </c>
      <c r="R1329">
        <f>SQRT(Tabelle2[[#This Row],[vx]]*Tabelle2[[#This Row],[vx]]+Tabelle2[[#This Row],[vy]]*Tabelle2[[#This Row],[vy]])</f>
        <v>88.755001823079354</v>
      </c>
      <c r="S1329">
        <f t="shared" si="229"/>
        <v>750.37850840491683</v>
      </c>
      <c r="T1329" s="1">
        <f t="shared" si="230"/>
        <v>-1071.2068614166692</v>
      </c>
    </row>
    <row r="1330" spans="6:20" x14ac:dyDescent="0.35">
      <c r="F1330" s="1">
        <f t="shared" si="226"/>
        <v>26.539999999999523</v>
      </c>
      <c r="G1330">
        <f>1/2*$B$8*$B$6*$B$7*(Tabelle2[[#This Row],[vx]]*Tabelle2[[#This Row],[vx]]+Tabelle2[[#This Row],[vy]]*Tabelle2[[#This Row],[vy]])/1000000</f>
        <v>13.937608984156769</v>
      </c>
      <c r="H1330">
        <f>IF($B$3,-Tabelle2[[#This Row],[Fd]]*Tabelle2[[#This Row],[vx]]/Tabelle2[[#This Row],[v]],0)</f>
        <v>-1.1940214827634326</v>
      </c>
      <c r="I1330">
        <f t="shared" si="220"/>
        <v>-0.79601432184228837</v>
      </c>
      <c r="J1330">
        <f t="shared" si="221"/>
        <v>-1.5920286436845767E-2</v>
      </c>
      <c r="K1330">
        <f t="shared" si="222"/>
        <v>0.15192849100469341</v>
      </c>
      <c r="L1330">
        <f>-$B$5*$B$12-IF($B$3,Tabelle2[[#This Row],[Fd]]*Tabelle2[[#This Row],[vy]]/Tabelle2[[#This Row],[v]],0)</f>
        <v>-0.82863053588351043</v>
      </c>
      <c r="M1330">
        <f t="shared" si="223"/>
        <v>-0.55242035725567362</v>
      </c>
      <c r="N1330">
        <f t="shared" si="224"/>
        <v>-1.1048407145113473E-2</v>
      </c>
      <c r="O1330">
        <f t="shared" si="225"/>
        <v>-1.7688775778789836</v>
      </c>
      <c r="P1330" s="1">
        <f t="shared" si="227"/>
        <v>7.6043846934530928</v>
      </c>
      <c r="Q1330" s="1">
        <f t="shared" si="228"/>
        <v>-88.438354690376613</v>
      </c>
      <c r="R1330">
        <f>SQRT(Tabelle2[[#This Row],[vx]]*Tabelle2[[#This Row],[vx]]+Tabelle2[[#This Row],[vy]]*Tabelle2[[#This Row],[vy]])</f>
        <v>88.764684683194162</v>
      </c>
      <c r="S1330">
        <f t="shared" si="229"/>
        <v>750.53075561821186</v>
      </c>
      <c r="T1330" s="1">
        <f t="shared" si="230"/>
        <v>-1072.9755175922439</v>
      </c>
    </row>
    <row r="1331" spans="6:20" x14ac:dyDescent="0.35">
      <c r="F1331" s="1">
        <f t="shared" si="226"/>
        <v>26.559999999999523</v>
      </c>
      <c r="G1331">
        <f>1/2*$B$8*$B$6*$B$7*(Tabelle2[[#This Row],[vx]]*Tabelle2[[#This Row],[vx]]+Tabelle2[[#This Row],[vy]]*Tabelle2[[#This Row],[vy]])/1000000</f>
        <v>13.940638174918771</v>
      </c>
      <c r="H1331">
        <f>IF($B$3,-Tabelle2[[#This Row],[Fd]]*Tabelle2[[#This Row],[vx]]/Tabelle2[[#This Row],[v]],0)</f>
        <v>-1.1916511944070809</v>
      </c>
      <c r="I1331">
        <f t="shared" si="220"/>
        <v>-0.7944341296047206</v>
      </c>
      <c r="J1331">
        <f t="shared" si="221"/>
        <v>-1.5888682592094413E-2</v>
      </c>
      <c r="K1331">
        <f t="shared" si="222"/>
        <v>0.15161040131440398</v>
      </c>
      <c r="L1331">
        <f>-$B$5*$B$12-IF($B$3,Tabelle2[[#This Row],[Fd]]*Tabelle2[[#This Row],[vy]]/Tabelle2[[#This Row],[v]],0)</f>
        <v>-0.82538660887673387</v>
      </c>
      <c r="M1331">
        <f t="shared" si="223"/>
        <v>-0.55025773925115595</v>
      </c>
      <c r="N1331">
        <f t="shared" si="224"/>
        <v>-1.1005154785023119E-2</v>
      </c>
      <c r="O1331">
        <f t="shared" si="225"/>
        <v>-1.7690981134982846</v>
      </c>
      <c r="P1331" s="1">
        <f t="shared" si="227"/>
        <v>7.5884644070162466</v>
      </c>
      <c r="Q1331" s="1">
        <f t="shared" si="228"/>
        <v>-88.449403097521724</v>
      </c>
      <c r="R1331">
        <f>SQRT(Tabelle2[[#This Row],[vx]]*Tabelle2[[#This Row],[vx]]+Tabelle2[[#This Row],[vy]]*Tabelle2[[#This Row],[vy]])</f>
        <v>88.774330188204956</v>
      </c>
      <c r="S1331">
        <f t="shared" si="229"/>
        <v>750.68268410921655</v>
      </c>
      <c r="T1331" s="1">
        <f t="shared" si="230"/>
        <v>-1074.744395170123</v>
      </c>
    </row>
    <row r="1332" spans="6:20" x14ac:dyDescent="0.35">
      <c r="F1332" s="1">
        <f t="shared" si="226"/>
        <v>26.579999999999522</v>
      </c>
      <c r="G1332">
        <f>1/2*$B$8*$B$6*$B$7*(Tabelle2[[#This Row],[vx]]*Tabelle2[[#This Row],[vx]]+Tabelle2[[#This Row],[vy]]*Tabelle2[[#This Row],[vy]])/1000000</f>
        <v>13.943656004703678</v>
      </c>
      <c r="H1332">
        <f>IF($B$3,-Tabelle2[[#This Row],[Fd]]*Tabelle2[[#This Row],[vx]]/Tabelle2[[#This Row],[v]],0)</f>
        <v>-1.1892848276805443</v>
      </c>
      <c r="I1332">
        <f t="shared" si="220"/>
        <v>-0.79285655178702952</v>
      </c>
      <c r="J1332">
        <f t="shared" si="221"/>
        <v>-1.5857131035740591E-2</v>
      </c>
      <c r="K1332">
        <f t="shared" si="222"/>
        <v>0.15129294317812564</v>
      </c>
      <c r="L1332">
        <f>-$B$5*$B$12-IF($B$3,Tabelle2[[#This Row],[Fd]]*Tabelle2[[#This Row],[vy]]/Tabelle2[[#This Row],[v]],0)</f>
        <v>-0.82215492146558944</v>
      </c>
      <c r="M1332">
        <f t="shared" si="223"/>
        <v>-0.54810328097705963</v>
      </c>
      <c r="N1332">
        <f t="shared" si="224"/>
        <v>-1.0962065619541193E-2</v>
      </c>
      <c r="O1332">
        <f t="shared" si="225"/>
        <v>-1.7693177857023303</v>
      </c>
      <c r="P1332" s="1">
        <f t="shared" si="227"/>
        <v>7.5725757244241523</v>
      </c>
      <c r="Q1332" s="1">
        <f t="shared" si="228"/>
        <v>-88.460408252306749</v>
      </c>
      <c r="R1332">
        <f>SQRT(Tabelle2[[#This Row],[vx]]*Tabelle2[[#This Row],[vx]]+Tabelle2[[#This Row],[vy]]*Tabelle2[[#This Row],[vy]])</f>
        <v>88.783938475756514</v>
      </c>
      <c r="S1332">
        <f t="shared" si="229"/>
        <v>750.83429451053098</v>
      </c>
      <c r="T1332" s="1">
        <f t="shared" si="230"/>
        <v>-1076.5134932836213</v>
      </c>
    </row>
    <row r="1333" spans="6:20" x14ac:dyDescent="0.35">
      <c r="F1333" s="1">
        <f t="shared" si="226"/>
        <v>26.599999999999522</v>
      </c>
      <c r="G1333">
        <f>1/2*$B$8*$B$6*$B$7*(Tabelle2[[#This Row],[vx]]*Tabelle2[[#This Row],[vx]]+Tabelle2[[#This Row],[vy]]*Tabelle2[[#This Row],[vy]])/1000000</f>
        <v>13.946662512811537</v>
      </c>
      <c r="H1333">
        <f>IF($B$3,-Tabelle2[[#This Row],[Fd]]*Tabelle2[[#This Row],[vx]]/Tabelle2[[#This Row],[v]],0)</f>
        <v>-1.1869223809542881</v>
      </c>
      <c r="I1333">
        <f t="shared" si="220"/>
        <v>-0.7912815873028588</v>
      </c>
      <c r="J1333">
        <f t="shared" si="221"/>
        <v>-1.5825631746057178E-2</v>
      </c>
      <c r="K1333">
        <f t="shared" si="222"/>
        <v>0.15097611555030765</v>
      </c>
      <c r="L1333">
        <f>-$B$5*$B$12-IF($B$3,Tabelle2[[#This Row],[Fd]]*Tabelle2[[#This Row],[vy]]/Tabelle2[[#This Row],[v]],0)</f>
        <v>-0.81893543092676779</v>
      </c>
      <c r="M1333">
        <f t="shared" si="223"/>
        <v>-0.54595695395117849</v>
      </c>
      <c r="N1333">
        <f t="shared" si="224"/>
        <v>-1.091913907902357E-2</v>
      </c>
      <c r="O1333">
        <f t="shared" si="225"/>
        <v>-1.769536597749316</v>
      </c>
      <c r="P1333" s="1">
        <f t="shared" si="227"/>
        <v>7.5567185933884113</v>
      </c>
      <c r="Q1333" s="1">
        <f t="shared" si="228"/>
        <v>-88.471370317926286</v>
      </c>
      <c r="R1333">
        <f>SQRT(Tabelle2[[#This Row],[vx]]*Tabelle2[[#This Row],[vx]]+Tabelle2[[#This Row],[vy]]*Tabelle2[[#This Row],[vy]])</f>
        <v>88.793509683035452</v>
      </c>
      <c r="S1333">
        <f t="shared" si="229"/>
        <v>750.98558745370906</v>
      </c>
      <c r="T1333" s="1">
        <f t="shared" si="230"/>
        <v>-1078.2828110693235</v>
      </c>
    </row>
    <row r="1334" spans="6:20" x14ac:dyDescent="0.35">
      <c r="F1334" s="1">
        <f t="shared" si="226"/>
        <v>26.619999999999521</v>
      </c>
      <c r="G1334">
        <f>1/2*$B$8*$B$6*$B$7*(Tabelle2[[#This Row],[vx]]*Tabelle2[[#This Row],[vx]]+Tabelle2[[#This Row],[vy]]*Tabelle2[[#This Row],[vy]])/1000000</f>
        <v>13.949657738432041</v>
      </c>
      <c r="H1334">
        <f>IF($B$3,-Tabelle2[[#This Row],[Fd]]*Tabelle2[[#This Row],[vx]]/Tabelle2[[#This Row],[v]],0)</f>
        <v>-1.1845638525647231</v>
      </c>
      <c r="I1334">
        <f t="shared" si="220"/>
        <v>-0.78970923504314872</v>
      </c>
      <c r="J1334">
        <f t="shared" si="221"/>
        <v>-1.5794184700862975E-2</v>
      </c>
      <c r="K1334">
        <f t="shared" si="222"/>
        <v>0.15065991738583848</v>
      </c>
      <c r="L1334">
        <f>-$B$5*$B$12-IF($B$3,Tabelle2[[#This Row],[Fd]]*Tabelle2[[#This Row],[vy]]/Tabelle2[[#This Row],[v]],0)</f>
        <v>-0.81572809465927598</v>
      </c>
      <c r="M1334">
        <f t="shared" si="223"/>
        <v>-0.54381872977285062</v>
      </c>
      <c r="N1334">
        <f t="shared" si="224"/>
        <v>-1.0876374595457013E-2</v>
      </c>
      <c r="O1334">
        <f t="shared" si="225"/>
        <v>-1.7697545528860608</v>
      </c>
      <c r="P1334" s="1">
        <f t="shared" si="227"/>
        <v>7.5408929616423546</v>
      </c>
      <c r="Q1334" s="1">
        <f t="shared" si="228"/>
        <v>-88.482289457005308</v>
      </c>
      <c r="R1334">
        <f>SQRT(Tabelle2[[#This Row],[vx]]*Tabelle2[[#This Row],[vx]]+Tabelle2[[#This Row],[vy]]*Tabelle2[[#This Row],[vy]])</f>
        <v>88.803043946771439</v>
      </c>
      <c r="S1334">
        <f t="shared" si="229"/>
        <v>751.13656356925935</v>
      </c>
      <c r="T1334" s="1">
        <f t="shared" si="230"/>
        <v>-1080.0523476670728</v>
      </c>
    </row>
    <row r="1335" spans="6:20" x14ac:dyDescent="0.35">
      <c r="F1335" s="1">
        <f t="shared" si="226"/>
        <v>26.639999999999521</v>
      </c>
      <c r="G1335">
        <f>1/2*$B$8*$B$6*$B$7*(Tabelle2[[#This Row],[vx]]*Tabelle2[[#This Row],[vx]]+Tabelle2[[#This Row],[vy]]*Tabelle2[[#This Row],[vy]])/1000000</f>
        <v>13.952641720644618</v>
      </c>
      <c r="H1335">
        <f>IF($B$3,-Tabelle2[[#This Row],[Fd]]*Tabelle2[[#This Row],[vx]]/Tabelle2[[#This Row],[v]],0)</f>
        <v>-1.1822092408144653</v>
      </c>
      <c r="I1335">
        <f t="shared" si="220"/>
        <v>-0.78813949387631022</v>
      </c>
      <c r="J1335">
        <f t="shared" si="221"/>
        <v>-1.5762789877526204E-2</v>
      </c>
      <c r="K1335">
        <f t="shared" si="222"/>
        <v>0.15034434764005458</v>
      </c>
      <c r="L1335">
        <f>-$B$5*$B$12-IF($B$3,Tabelle2[[#This Row],[Fd]]*Tabelle2[[#This Row],[vy]]/Tabelle2[[#This Row],[v]],0)</f>
        <v>-0.81253287018431131</v>
      </c>
      <c r="M1335">
        <f t="shared" si="223"/>
        <v>-0.54168858012287424</v>
      </c>
      <c r="N1335">
        <f t="shared" si="224"/>
        <v>-1.0833771602457486E-2</v>
      </c>
      <c r="O1335">
        <f t="shared" si="225"/>
        <v>-1.7699716543480397</v>
      </c>
      <c r="P1335" s="1">
        <f t="shared" si="227"/>
        <v>7.5250987769414914</v>
      </c>
      <c r="Q1335" s="1">
        <f t="shared" si="228"/>
        <v>-88.493165831600763</v>
      </c>
      <c r="R1335">
        <f>SQRT(Tabelle2[[#This Row],[vx]]*Tabelle2[[#This Row],[vx]]+Tabelle2[[#This Row],[vy]]*Tabelle2[[#This Row],[vy]])</f>
        <v>88.812541403238313</v>
      </c>
      <c r="S1335">
        <f t="shared" si="229"/>
        <v>751.28722348664519</v>
      </c>
      <c r="T1335" s="1">
        <f t="shared" si="230"/>
        <v>-1081.8221022199589</v>
      </c>
    </row>
    <row r="1336" spans="6:20" x14ac:dyDescent="0.35">
      <c r="F1336" s="1">
        <f t="shared" si="226"/>
        <v>26.659999999999521</v>
      </c>
      <c r="G1336">
        <f>1/2*$B$8*$B$6*$B$7*(Tabelle2[[#This Row],[vx]]*Tabelle2[[#This Row],[vx]]+Tabelle2[[#This Row],[vy]]*Tabelle2[[#This Row],[vy]])/1000000</f>
        <v>13.95561449841855</v>
      </c>
      <c r="H1336">
        <f>IF($B$3,-Tabelle2[[#This Row],[Fd]]*Tabelle2[[#This Row],[vx]]/Tabelle2[[#This Row],[v]],0)</f>
        <v>-1.1798585439726019</v>
      </c>
      <c r="I1336">
        <f t="shared" si="220"/>
        <v>-0.78657236264840125</v>
      </c>
      <c r="J1336">
        <f t="shared" si="221"/>
        <v>-1.5731447252968024E-2</v>
      </c>
      <c r="K1336">
        <f t="shared" si="222"/>
        <v>0.15002940526874961</v>
      </c>
      <c r="L1336">
        <f>-$B$5*$B$12-IF($B$3,Tabelle2[[#This Row],[Fd]]*Tabelle2[[#This Row],[vy]]/Tabelle2[[#This Row],[v]],0)</f>
        <v>-0.80934971514511211</v>
      </c>
      <c r="M1336">
        <f t="shared" si="223"/>
        <v>-0.53956647676340808</v>
      </c>
      <c r="N1336">
        <f t="shared" si="224"/>
        <v>-1.0791329535268162E-2</v>
      </c>
      <c r="O1336">
        <f t="shared" si="225"/>
        <v>-1.7701879053594172</v>
      </c>
      <c r="P1336" s="1">
        <f t="shared" si="227"/>
        <v>7.5093359870639649</v>
      </c>
      <c r="Q1336" s="1">
        <f t="shared" si="228"/>
        <v>-88.503999603203226</v>
      </c>
      <c r="R1336">
        <f>SQRT(Tabelle2[[#This Row],[vx]]*Tabelle2[[#This Row],[vx]]+Tabelle2[[#This Row],[vy]]*Tabelle2[[#This Row],[vy]])</f>
        <v>88.822002188255198</v>
      </c>
      <c r="S1336">
        <f t="shared" si="229"/>
        <v>751.43756783428523</v>
      </c>
      <c r="T1336" s="1">
        <f t="shared" si="230"/>
        <v>-1083.5920738743068</v>
      </c>
    </row>
    <row r="1337" spans="6:20" x14ac:dyDescent="0.35">
      <c r="F1337" s="1">
        <f t="shared" si="226"/>
        <v>26.67999999999952</v>
      </c>
      <c r="G1337">
        <f>1/2*$B$8*$B$6*$B$7*(Tabelle2[[#This Row],[vx]]*Tabelle2[[#This Row],[vx]]+Tabelle2[[#This Row],[vy]]*Tabelle2[[#This Row],[vy]])/1000000</f>
        <v>13.958576110613063</v>
      </c>
      <c r="H1337">
        <f>IF($B$3,-Tabelle2[[#This Row],[Fd]]*Tabelle2[[#This Row],[vx]]/Tabelle2[[#This Row],[v]],0)</f>
        <v>-1.1775117602749479</v>
      </c>
      <c r="I1337">
        <f t="shared" si="220"/>
        <v>-0.78500784018329861</v>
      </c>
      <c r="J1337">
        <f t="shared" si="221"/>
        <v>-1.5700156803665974E-2</v>
      </c>
      <c r="K1337">
        <f t="shared" si="222"/>
        <v>0.1497150892281833</v>
      </c>
      <c r="L1337">
        <f>-$B$5*$B$12-IF($B$3,Tabelle2[[#This Row],[Fd]]*Tabelle2[[#This Row],[vy]]/Tabelle2[[#This Row],[v]],0)</f>
        <v>-0.80617858730683523</v>
      </c>
      <c r="M1337">
        <f t="shared" si="223"/>
        <v>-0.53745239153789015</v>
      </c>
      <c r="N1337">
        <f t="shared" si="224"/>
        <v>-1.0749047830757804E-2</v>
      </c>
      <c r="O1337">
        <f t="shared" si="225"/>
        <v>-1.7704033091330775</v>
      </c>
      <c r="P1337" s="1">
        <f t="shared" si="227"/>
        <v>7.4936045398109972</v>
      </c>
      <c r="Q1337" s="1">
        <f t="shared" si="228"/>
        <v>-88.514790932738492</v>
      </c>
      <c r="R1337">
        <f>SQRT(Tabelle2[[#This Row],[vx]]*Tabelle2[[#This Row],[vx]]+Tabelle2[[#This Row],[vy]]*Tabelle2[[#This Row],[vy]])</f>
        <v>88.831426437187645</v>
      </c>
      <c r="S1337">
        <f t="shared" si="229"/>
        <v>751.58759723955393</v>
      </c>
      <c r="T1337" s="1">
        <f t="shared" si="230"/>
        <v>-1085.3622617796661</v>
      </c>
    </row>
    <row r="1338" spans="6:20" x14ac:dyDescent="0.35">
      <c r="F1338" s="1">
        <f t="shared" si="226"/>
        <v>26.69999999999952</v>
      </c>
      <c r="G1338">
        <f>1/2*$B$8*$B$6*$B$7*(Tabelle2[[#This Row],[vx]]*Tabelle2[[#This Row],[vx]]+Tabelle2[[#This Row],[vy]]*Tabelle2[[#This Row],[vy]])/1000000</f>
        <v>13.961526595977446</v>
      </c>
      <c r="H1338">
        <f>IF($B$3,-Tabelle2[[#This Row],[Fd]]*Tabelle2[[#This Row],[vx]]/Tabelle2[[#This Row],[v]],0)</f>
        <v>-1.175168887924307</v>
      </c>
      <c r="I1338">
        <f t="shared" si="220"/>
        <v>-0.78344592528287127</v>
      </c>
      <c r="J1338">
        <f t="shared" si="221"/>
        <v>-1.5668918505657426E-2</v>
      </c>
      <c r="K1338">
        <f t="shared" si="222"/>
        <v>0.14940139847509007</v>
      </c>
      <c r="L1338">
        <f>-$B$5*$B$12-IF($B$3,Tabelle2[[#This Row],[Fd]]*Tabelle2[[#This Row],[vy]]/Tabelle2[[#This Row],[v]],0)</f>
        <v>-0.80301944455641561</v>
      </c>
      <c r="M1338">
        <f t="shared" si="223"/>
        <v>-0.53534629637094377</v>
      </c>
      <c r="N1338">
        <f t="shared" si="224"/>
        <v>-1.0706925927418875E-2</v>
      </c>
      <c r="O1338">
        <f t="shared" si="225"/>
        <v>-1.7706178688706593</v>
      </c>
      <c r="P1338" s="1">
        <f t="shared" si="227"/>
        <v>7.4779043830073313</v>
      </c>
      <c r="Q1338" s="1">
        <f t="shared" si="228"/>
        <v>-88.525539980569249</v>
      </c>
      <c r="R1338">
        <f>SQRT(Tabelle2[[#This Row],[vx]]*Tabelle2[[#This Row],[vx]]+Tabelle2[[#This Row],[vy]]*Tabelle2[[#This Row],[vy]])</f>
        <v>88.840814284948806</v>
      </c>
      <c r="S1338">
        <f t="shared" si="229"/>
        <v>751.73731232878208</v>
      </c>
      <c r="T1338" s="1">
        <f t="shared" si="230"/>
        <v>-1087.1326650887993</v>
      </c>
    </row>
    <row r="1339" spans="6:20" x14ac:dyDescent="0.35">
      <c r="F1339" s="1">
        <f t="shared" si="226"/>
        <v>26.719999999999519</v>
      </c>
      <c r="G1339">
        <f>1/2*$B$8*$B$6*$B$7*(Tabelle2[[#This Row],[vx]]*Tabelle2[[#This Row],[vx]]+Tabelle2[[#This Row],[vy]]*Tabelle2[[#This Row],[vy]])/1000000</f>
        <v>13.964465993151148</v>
      </c>
      <c r="H1339">
        <f>IF($B$3,-Tabelle2[[#This Row],[Fd]]*Tabelle2[[#This Row],[vx]]/Tabelle2[[#This Row],[v]],0)</f>
        <v>-1.172829925090727</v>
      </c>
      <c r="I1339">
        <f t="shared" si="220"/>
        <v>-0.78188661672715132</v>
      </c>
      <c r="J1339">
        <f t="shared" si="221"/>
        <v>-1.5637732334543027E-2</v>
      </c>
      <c r="K1339">
        <f t="shared" si="222"/>
        <v>0.14908833196668805</v>
      </c>
      <c r="L1339">
        <f>-$B$5*$B$12-IF($B$3,Tabelle2[[#This Row],[Fd]]*Tabelle2[[#This Row],[vy]]/Tabelle2[[#This Row],[v]],0)</f>
        <v>-0.79987224490243847</v>
      </c>
      <c r="M1339">
        <f t="shared" si="223"/>
        <v>-0.53324816326829227</v>
      </c>
      <c r="N1339">
        <f t="shared" si="224"/>
        <v>-1.0664963265365845E-2</v>
      </c>
      <c r="O1339">
        <f t="shared" si="225"/>
        <v>-1.7708315877625871</v>
      </c>
      <c r="P1339" s="1">
        <f t="shared" si="227"/>
        <v>7.4622354645016742</v>
      </c>
      <c r="Q1339" s="1">
        <f t="shared" si="228"/>
        <v>-88.536246906496672</v>
      </c>
      <c r="R1339">
        <f>SQRT(Tabelle2[[#This Row],[vx]]*Tabelle2[[#This Row],[vx]]+Tabelle2[[#This Row],[vy]]*Tabelle2[[#This Row],[vy]])</f>
        <v>88.850165866000552</v>
      </c>
      <c r="S1339">
        <f t="shared" si="229"/>
        <v>751.88671372725719</v>
      </c>
      <c r="T1339" s="1">
        <f t="shared" si="230"/>
        <v>-1088.9032829576699</v>
      </c>
    </row>
    <row r="1340" spans="6:20" x14ac:dyDescent="0.35">
      <c r="F1340" s="1">
        <f t="shared" si="226"/>
        <v>26.739999999999519</v>
      </c>
      <c r="G1340">
        <f>1/2*$B$8*$B$6*$B$7*(Tabelle2[[#This Row],[vx]]*Tabelle2[[#This Row],[vx]]+Tabelle2[[#This Row],[vy]]*Tabelle2[[#This Row],[vy]])/1000000</f>
        <v>13.967394340663891</v>
      </c>
      <c r="H1340">
        <f>IF($B$3,-Tabelle2[[#This Row],[Fd]]*Tabelle2[[#This Row],[vx]]/Tabelle2[[#This Row],[v]],0)</f>
        <v>-1.1704948699117586</v>
      </c>
      <c r="I1340">
        <f t="shared" si="220"/>
        <v>-0.78032991327450574</v>
      </c>
      <c r="J1340">
        <f t="shared" si="221"/>
        <v>-1.5606598265490115E-2</v>
      </c>
      <c r="K1340">
        <f t="shared" si="222"/>
        <v>0.14877588866068772</v>
      </c>
      <c r="L1340">
        <f>-$B$5*$B$12-IF($B$3,Tabelle2[[#This Row],[Fd]]*Tabelle2[[#This Row],[vy]]/Tabelle2[[#This Row],[v]],0)</f>
        <v>-0.79673694647496873</v>
      </c>
      <c r="M1340">
        <f t="shared" si="223"/>
        <v>-0.53115796431664586</v>
      </c>
      <c r="N1340">
        <f t="shared" si="224"/>
        <v>-1.0623159286332918E-2</v>
      </c>
      <c r="O1340">
        <f t="shared" si="225"/>
        <v>-1.7710444689881042</v>
      </c>
      <c r="P1340" s="1">
        <f t="shared" si="227"/>
        <v>7.4465977321671311</v>
      </c>
      <c r="Q1340" s="1">
        <f t="shared" si="228"/>
        <v>-88.546911869762042</v>
      </c>
      <c r="R1340">
        <f>SQRT(Tabelle2[[#This Row],[vx]]*Tabelle2[[#This Row],[vx]]+Tabelle2[[#This Row],[vy]]*Tabelle2[[#This Row],[vy]])</f>
        <v>88.859481314354539</v>
      </c>
      <c r="S1340">
        <f t="shared" si="229"/>
        <v>752.0358020592239</v>
      </c>
      <c r="T1340" s="1">
        <f t="shared" si="230"/>
        <v>-1090.6741145454325</v>
      </c>
    </row>
    <row r="1341" spans="6:20" x14ac:dyDescent="0.35">
      <c r="F1341" s="1">
        <f t="shared" si="226"/>
        <v>26.759999999999518</v>
      </c>
      <c r="G1341">
        <f>1/2*$B$8*$B$6*$B$7*(Tabelle2[[#This Row],[vx]]*Tabelle2[[#This Row],[vx]]+Tabelle2[[#This Row],[vy]]*Tabelle2[[#This Row],[vy]])/1000000</f>
        <v>13.970311676935788</v>
      </c>
      <c r="H1341">
        <f>IF($B$3,-Tabelle2[[#This Row],[Fd]]*Tabelle2[[#This Row],[vx]]/Tabelle2[[#This Row],[v]],0)</f>
        <v>-1.1681637204927082</v>
      </c>
      <c r="I1341">
        <f t="shared" si="220"/>
        <v>-0.77877581366180548</v>
      </c>
      <c r="J1341">
        <f t="shared" si="221"/>
        <v>-1.557551627323611E-2</v>
      </c>
      <c r="K1341">
        <f t="shared" si="222"/>
        <v>0.14846406751530045</v>
      </c>
      <c r="L1341">
        <f>-$B$5*$B$12-IF($B$3,Tabelle2[[#This Row],[Fd]]*Tabelle2[[#This Row],[vy]]/Tabelle2[[#This Row],[v]],0)</f>
        <v>-0.79361350752544269</v>
      </c>
      <c r="M1341">
        <f t="shared" si="223"/>
        <v>-0.52907567168362846</v>
      </c>
      <c r="N1341">
        <f t="shared" si="224"/>
        <v>-1.0581513433672569E-2</v>
      </c>
      <c r="O1341">
        <f t="shared" si="225"/>
        <v>-1.7712565157153044</v>
      </c>
      <c r="P1341" s="1">
        <f t="shared" si="227"/>
        <v>7.4309911339016406</v>
      </c>
      <c r="Q1341" s="1">
        <f t="shared" si="228"/>
        <v>-88.557535029048381</v>
      </c>
      <c r="R1341">
        <f>SQRT(Tabelle2[[#This Row],[vx]]*Tabelle2[[#This Row],[vx]]+Tabelle2[[#This Row],[vy]]*Tabelle2[[#This Row],[vy]])</f>
        <v>88.868760763573476</v>
      </c>
      <c r="S1341">
        <f t="shared" si="229"/>
        <v>752.18457794788458</v>
      </c>
      <c r="T1341" s="1">
        <f t="shared" si="230"/>
        <v>-1092.4451590144206</v>
      </c>
    </row>
    <row r="1342" spans="6:20" x14ac:dyDescent="0.35">
      <c r="F1342" s="1">
        <f t="shared" si="226"/>
        <v>26.779999999999518</v>
      </c>
      <c r="G1342">
        <f>1/2*$B$8*$B$6*$B$7*(Tabelle2[[#This Row],[vx]]*Tabelle2[[#This Row],[vx]]+Tabelle2[[#This Row],[vy]]*Tabelle2[[#This Row],[vy]])/1000000</f>
        <v>13.973218040277446</v>
      </c>
      <c r="H1342">
        <f>IF($B$3,-Tabelle2[[#This Row],[Fd]]*Tabelle2[[#This Row],[vx]]/Tabelle2[[#This Row],[v]],0)</f>
        <v>-1.1658364749068928</v>
      </c>
      <c r="I1342">
        <f t="shared" si="220"/>
        <v>-0.77722431660459523</v>
      </c>
      <c r="J1342">
        <f t="shared" si="221"/>
        <v>-1.5544486332091906E-2</v>
      </c>
      <c r="K1342">
        <f t="shared" si="222"/>
        <v>0.14815286748924719</v>
      </c>
      <c r="L1342">
        <f>-$B$5*$B$12-IF($B$3,Tabelle2[[#This Row],[Fd]]*Tabelle2[[#This Row],[vy]]/Tabelle2[[#This Row],[v]],0)</f>
        <v>-0.79050188642650632</v>
      </c>
      <c r="M1342">
        <f t="shared" si="223"/>
        <v>-0.52700125761767092</v>
      </c>
      <c r="N1342">
        <f t="shared" si="224"/>
        <v>-1.0540025152353418E-2</v>
      </c>
      <c r="O1342">
        <f t="shared" si="225"/>
        <v>-1.7714677311011648</v>
      </c>
      <c r="P1342" s="1">
        <f t="shared" si="227"/>
        <v>7.4154156176284047</v>
      </c>
      <c r="Q1342" s="1">
        <f t="shared" si="228"/>
        <v>-88.568116542482059</v>
      </c>
      <c r="R1342">
        <f>SQRT(Tabelle2[[#This Row],[vx]]*Tabelle2[[#This Row],[vx]]+Tabelle2[[#This Row],[vy]]*Tabelle2[[#This Row],[vy]])</f>
        <v>88.878004346772158</v>
      </c>
      <c r="S1342">
        <f t="shared" si="229"/>
        <v>752.33304201539988</v>
      </c>
      <c r="T1342" s="1">
        <f t="shared" si="230"/>
        <v>-1094.2164155301359</v>
      </c>
    </row>
    <row r="1343" spans="6:20" x14ac:dyDescent="0.35">
      <c r="F1343" s="1">
        <f t="shared" si="226"/>
        <v>26.799999999999518</v>
      </c>
      <c r="G1343">
        <f>1/2*$B$8*$B$6*$B$7*(Tabelle2[[#This Row],[vx]]*Tabelle2[[#This Row],[vx]]+Tabelle2[[#This Row],[vy]]*Tabelle2[[#This Row],[vy]])/1000000</f>
        <v>13.976113468890089</v>
      </c>
      <c r="H1343">
        <f>IF($B$3,-Tabelle2[[#This Row],[Fd]]*Tabelle2[[#This Row],[vx]]/Tabelle2[[#This Row],[v]],0)</f>
        <v>-1.1635131311958904</v>
      </c>
      <c r="I1343">
        <f t="shared" si="220"/>
        <v>-0.77567542079726026</v>
      </c>
      <c r="J1343">
        <f t="shared" si="221"/>
        <v>-1.5513508415945206E-2</v>
      </c>
      <c r="K1343">
        <f t="shared" si="222"/>
        <v>0.14784228754176681</v>
      </c>
      <c r="L1343">
        <f>-$B$5*$B$12-IF($B$3,Tabelle2[[#This Row],[Fd]]*Tabelle2[[#This Row],[vy]]/Tabelle2[[#This Row],[v]],0)</f>
        <v>-0.78740204167187855</v>
      </c>
      <c r="M1343">
        <f t="shared" si="223"/>
        <v>-0.52493469444791907</v>
      </c>
      <c r="N1343">
        <f t="shared" si="224"/>
        <v>-1.0498693888958381E-2</v>
      </c>
      <c r="O1343">
        <f t="shared" si="225"/>
        <v>-1.771678118291578</v>
      </c>
      <c r="P1343" s="1">
        <f t="shared" si="227"/>
        <v>7.3998711312963126</v>
      </c>
      <c r="Q1343" s="1">
        <f t="shared" si="228"/>
        <v>-88.578656567634411</v>
      </c>
      <c r="R1343">
        <f>SQRT(Tabelle2[[#This Row],[vx]]*Tabelle2[[#This Row],[vx]]+Tabelle2[[#This Row],[vy]]*Tabelle2[[#This Row],[vy]])</f>
        <v>88.887212196618677</v>
      </c>
      <c r="S1343">
        <f t="shared" si="229"/>
        <v>752.4811948828891</v>
      </c>
      <c r="T1343" s="1">
        <f t="shared" si="230"/>
        <v>-1095.9878832612371</v>
      </c>
    </row>
    <row r="1344" spans="6:20" x14ac:dyDescent="0.35">
      <c r="F1344" s="1">
        <f t="shared" si="226"/>
        <v>26.819999999999517</v>
      </c>
      <c r="G1344">
        <f>1/2*$B$8*$B$6*$B$7*(Tabelle2[[#This Row],[vx]]*Tabelle2[[#This Row],[vx]]+Tabelle2[[#This Row],[vy]]*Tabelle2[[#This Row],[vy]])/1000000</f>
        <v>13.97899800086568</v>
      </c>
      <c r="H1344">
        <f>IF($B$3,-Tabelle2[[#This Row],[Fd]]*Tabelle2[[#This Row],[vx]]/Tabelle2[[#This Row],[v]],0)</f>
        <v>-1.1611936873697939</v>
      </c>
      <c r="I1344">
        <f t="shared" si="220"/>
        <v>-0.77412912491319597</v>
      </c>
      <c r="J1344">
        <f t="shared" si="221"/>
        <v>-1.548258249826392E-2</v>
      </c>
      <c r="K1344">
        <f t="shared" si="222"/>
        <v>0.14753232663262472</v>
      </c>
      <c r="L1344">
        <f>-$B$5*$B$12-IF($B$3,Tabelle2[[#This Row],[Fd]]*Tabelle2[[#This Row],[vy]]/Tabelle2[[#This Row],[v]],0)</f>
        <v>-0.7843139318761736</v>
      </c>
      <c r="M1344">
        <f t="shared" si="223"/>
        <v>-0.52287595458411573</v>
      </c>
      <c r="N1344">
        <f t="shared" si="224"/>
        <v>-1.0457519091682315E-2</v>
      </c>
      <c r="O1344">
        <f t="shared" si="225"/>
        <v>-1.7718876804213843</v>
      </c>
      <c r="P1344" s="1">
        <f t="shared" si="227"/>
        <v>7.3843576228803673</v>
      </c>
      <c r="Q1344" s="1">
        <f t="shared" si="228"/>
        <v>-88.589155261523373</v>
      </c>
      <c r="R1344">
        <f>SQRT(Tabelle2[[#This Row],[vx]]*Tabelle2[[#This Row],[vx]]+Tabelle2[[#This Row],[vy]]*Tabelle2[[#This Row],[vy]])</f>
        <v>88.896384445335485</v>
      </c>
      <c r="S1344">
        <f t="shared" si="229"/>
        <v>752.62903717043082</v>
      </c>
      <c r="T1344" s="1">
        <f t="shared" si="230"/>
        <v>-1097.7595613795288</v>
      </c>
    </row>
    <row r="1345" spans="6:20" x14ac:dyDescent="0.35">
      <c r="F1345" s="1">
        <f t="shared" si="226"/>
        <v>26.839999999999517</v>
      </c>
      <c r="G1345">
        <f>1/2*$B$8*$B$6*$B$7*(Tabelle2[[#This Row],[vx]]*Tabelle2[[#This Row],[vx]]+Tabelle2[[#This Row],[vy]]*Tabelle2[[#This Row],[vy]])/1000000</f>
        <v>13.981871674187019</v>
      </c>
      <c r="H1345">
        <f>IF($B$3,-Tabelle2[[#This Row],[Fd]]*Tabelle2[[#This Row],[vx]]/Tabelle2[[#This Row],[v]],0)</f>
        <v>-1.1588781414074565</v>
      </c>
      <c r="I1345">
        <f t="shared" si="220"/>
        <v>-0.77258542760497095</v>
      </c>
      <c r="J1345">
        <f t="shared" si="221"/>
        <v>-1.545170855209942E-2</v>
      </c>
      <c r="K1345">
        <f t="shared" si="222"/>
        <v>0.14722298372212106</v>
      </c>
      <c r="L1345">
        <f>-$B$5*$B$12-IF($B$3,Tabelle2[[#This Row],[Fd]]*Tabelle2[[#This Row],[vy]]/Tabelle2[[#This Row],[v]],0)</f>
        <v>-0.78123751577481215</v>
      </c>
      <c r="M1345">
        <f t="shared" si="223"/>
        <v>-0.5208250105165414</v>
      </c>
      <c r="N1345">
        <f t="shared" si="224"/>
        <v>-1.0416500210330828E-2</v>
      </c>
      <c r="O1345">
        <f t="shared" si="225"/>
        <v>-1.7720964206144048</v>
      </c>
      <c r="P1345" s="1">
        <f t="shared" si="227"/>
        <v>7.3688750403821031</v>
      </c>
      <c r="Q1345" s="1">
        <f t="shared" si="228"/>
        <v>-88.599612780615061</v>
      </c>
      <c r="R1345">
        <f>SQRT(Tabelle2[[#This Row],[vx]]*Tabelle2[[#This Row],[vx]]+Tabelle2[[#This Row],[vy]]*Tabelle2[[#This Row],[vy]])</f>
        <v>88.905521224700635</v>
      </c>
      <c r="S1345">
        <f t="shared" si="229"/>
        <v>752.77656949706341</v>
      </c>
      <c r="T1345" s="1">
        <f t="shared" si="230"/>
        <v>-1099.5314490599501</v>
      </c>
    </row>
    <row r="1346" spans="6:20" x14ac:dyDescent="0.35">
      <c r="F1346" s="1">
        <f t="shared" si="226"/>
        <v>26.859999999999516</v>
      </c>
      <c r="G1346">
        <f>1/2*$B$8*$B$6*$B$7*(Tabelle2[[#This Row],[vx]]*Tabelle2[[#This Row],[vx]]+Tabelle2[[#This Row],[vy]]*Tabelle2[[#This Row],[vy]])/1000000</f>
        <v>13.984734526727886</v>
      </c>
      <c r="H1346">
        <f>IF($B$3,-Tabelle2[[#This Row],[Fd]]*Tabelle2[[#This Row],[vx]]/Tabelle2[[#This Row],[v]],0)</f>
        <v>-1.1565664912567448</v>
      </c>
      <c r="I1346">
        <f t="shared" si="220"/>
        <v>-0.77104432750449658</v>
      </c>
      <c r="J1346">
        <f t="shared" si="221"/>
        <v>-1.5420886550089932E-2</v>
      </c>
      <c r="K1346">
        <f t="shared" si="222"/>
        <v>0.14691425777109918</v>
      </c>
      <c r="L1346">
        <f>-$B$5*$B$12-IF($B$3,Tabelle2[[#This Row],[Fd]]*Tabelle2[[#This Row],[vy]]/Tabelle2[[#This Row],[v]],0)</f>
        <v>-0.77817275222380111</v>
      </c>
      <c r="M1346">
        <f t="shared" si="223"/>
        <v>-0.51878183481586737</v>
      </c>
      <c r="N1346">
        <f t="shared" si="224"/>
        <v>-1.0375636696317348E-2</v>
      </c>
      <c r="O1346">
        <f t="shared" si="225"/>
        <v>-1.772304341983471</v>
      </c>
      <c r="P1346" s="1">
        <f t="shared" si="227"/>
        <v>7.3534233318300037</v>
      </c>
      <c r="Q1346" s="1">
        <f t="shared" si="228"/>
        <v>-88.610029280825387</v>
      </c>
      <c r="R1346">
        <f>SQRT(Tabelle2[[#This Row],[vx]]*Tabelle2[[#This Row],[vx]]+Tabelle2[[#This Row],[vy]]*Tabelle2[[#This Row],[vy]])</f>
        <v>88.914622666048771</v>
      </c>
      <c r="S1346">
        <f t="shared" si="229"/>
        <v>752.92379248078555</v>
      </c>
      <c r="T1346" s="1">
        <f t="shared" si="230"/>
        <v>-1101.3035454805645</v>
      </c>
    </row>
    <row r="1347" spans="6:20" x14ac:dyDescent="0.35">
      <c r="F1347" s="1">
        <f t="shared" si="226"/>
        <v>26.879999999999516</v>
      </c>
      <c r="G1347">
        <f>1/2*$B$8*$B$6*$B$7*(Tabelle2[[#This Row],[vx]]*Tabelle2[[#This Row],[vx]]+Tabelle2[[#This Row],[vy]]*Tabelle2[[#This Row],[vy]])/1000000</f>
        <v>13.987586596253159</v>
      </c>
      <c r="H1347">
        <f>IF($B$3,-Tabelle2[[#This Row],[Fd]]*Tabelle2[[#This Row],[vx]]/Tabelle2[[#This Row],[v]],0)</f>
        <v>-1.1542587348347817</v>
      </c>
      <c r="I1347">
        <f t="shared" ref="I1347:I1410" si="231">H1347/$B$5</f>
        <v>-0.76950582322318783</v>
      </c>
      <c r="J1347">
        <f t="shared" ref="J1347:J1410" si="232">I1347*$B$13</f>
        <v>-1.5390116464463756E-2</v>
      </c>
      <c r="K1347">
        <f t="shared" ref="K1347:K1410" si="233">$B$13*(P1347+J1347/2)</f>
        <v>0.14660614774095365</v>
      </c>
      <c r="L1347">
        <f>-$B$5*$B$12-IF($B$3,Tabelle2[[#This Row],[Fd]]*Tabelle2[[#This Row],[vy]]/Tabelle2[[#This Row],[v]],0)</f>
        <v>-0.775119600199627</v>
      </c>
      <c r="M1347">
        <f t="shared" ref="M1347:M1410" si="234">L1347/$B$5</f>
        <v>-0.5167464001330847</v>
      </c>
      <c r="N1347">
        <f t="shared" ref="N1347:N1410" si="235">M1347*$B$13</f>
        <v>-1.0334928002661694E-2</v>
      </c>
      <c r="O1347">
        <f t="shared" ref="O1347:O1410" si="236">$B$13*(Q1347+N1347/2)</f>
        <v>-1.7725114476304609</v>
      </c>
      <c r="P1347" s="1">
        <f t="shared" si="227"/>
        <v>7.3380024452799137</v>
      </c>
      <c r="Q1347" s="1">
        <f t="shared" si="228"/>
        <v>-88.620404917521711</v>
      </c>
      <c r="R1347">
        <f>SQRT(Tabelle2[[#This Row],[vx]]*Tabelle2[[#This Row],[vx]]+Tabelle2[[#This Row],[vy]]*Tabelle2[[#This Row],[vy]])</f>
        <v>88.923688900272467</v>
      </c>
      <c r="S1347">
        <f t="shared" si="229"/>
        <v>753.07070673855662</v>
      </c>
      <c r="T1347" s="1">
        <f t="shared" si="230"/>
        <v>-1103.075849822548</v>
      </c>
    </row>
    <row r="1348" spans="6:20" x14ac:dyDescent="0.35">
      <c r="F1348" s="1">
        <f t="shared" ref="F1348:F1411" si="237">F1347+$B$13</f>
        <v>26.899999999999515</v>
      </c>
      <c r="G1348">
        <f>1/2*$B$8*$B$6*$B$7*(Tabelle2[[#This Row],[vx]]*Tabelle2[[#This Row],[vx]]+Tabelle2[[#This Row],[vy]]*Tabelle2[[#This Row],[vy]])/1000000</f>
        <v>13.99042792041892</v>
      </c>
      <c r="H1348">
        <f>IF($B$3,-Tabelle2[[#This Row],[Fd]]*Tabelle2[[#This Row],[vx]]/Tabelle2[[#This Row],[v]],0)</f>
        <v>-1.1519548700281943</v>
      </c>
      <c r="I1348">
        <f t="shared" si="231"/>
        <v>-0.7679699133521295</v>
      </c>
      <c r="J1348">
        <f t="shared" si="232"/>
        <v>-1.5359398267042591E-2</v>
      </c>
      <c r="K1348">
        <f t="shared" si="233"/>
        <v>0.14629865259363858</v>
      </c>
      <c r="L1348">
        <f>-$B$5*$B$12-IF($B$3,Tabelle2[[#This Row],[Fd]]*Tabelle2[[#This Row],[vy]]/Tabelle2[[#This Row],[v]],0)</f>
        <v>-0.77207801879908722</v>
      </c>
      <c r="M1348">
        <f t="shared" si="234"/>
        <v>-0.51471867919939152</v>
      </c>
      <c r="N1348">
        <f t="shared" si="235"/>
        <v>-1.0294373583987831E-2</v>
      </c>
      <c r="O1348">
        <f t="shared" si="236"/>
        <v>-1.7727177406463273</v>
      </c>
      <c r="P1348" s="1">
        <f t="shared" ref="P1348:P1411" si="238">P1347+J1347</f>
        <v>7.3226123288154499</v>
      </c>
      <c r="Q1348" s="1">
        <f t="shared" ref="Q1348:Q1411" si="239">Q1347+N1347</f>
        <v>-88.630739845524374</v>
      </c>
      <c r="R1348">
        <f>SQRT(Tabelle2[[#This Row],[vx]]*Tabelle2[[#This Row],[vx]]+Tabelle2[[#This Row],[vy]]*Tabelle2[[#This Row],[vy]])</f>
        <v>88.932720057823161</v>
      </c>
      <c r="S1348">
        <f t="shared" ref="S1348:S1411" si="240">S1347+K1347</f>
        <v>753.21731288629758</v>
      </c>
      <c r="T1348" s="1">
        <f t="shared" ref="T1348:T1411" si="241">T1347+O1347</f>
        <v>-1104.8483612701784</v>
      </c>
    </row>
    <row r="1349" spans="6:20" x14ac:dyDescent="0.35">
      <c r="F1349" s="1">
        <f t="shared" si="237"/>
        <v>26.919999999999515</v>
      </c>
      <c r="G1349">
        <f>1/2*$B$8*$B$6*$B$7*(Tabelle2[[#This Row],[vx]]*Tabelle2[[#This Row],[vx]]+Tabelle2[[#This Row],[vy]]*Tabelle2[[#This Row],[vy]])/1000000</f>
        <v>13.993258536772611</v>
      </c>
      <c r="H1349">
        <f>IF($B$3,-Tabelle2[[#This Row],[Fd]]*Tabelle2[[#This Row],[vx]]/Tabelle2[[#This Row],[v]],0)</f>
        <v>-1.1496548946933587</v>
      </c>
      <c r="I1349">
        <f t="shared" si="231"/>
        <v>-0.76643659646223916</v>
      </c>
      <c r="J1349">
        <f t="shared" si="232"/>
        <v>-1.5328731929244784E-2</v>
      </c>
      <c r="K1349">
        <f t="shared" si="233"/>
        <v>0.1459917712916757</v>
      </c>
      <c r="L1349">
        <f>-$B$5*$B$12-IF($B$3,Tabelle2[[#This Row],[Fd]]*Tabelle2[[#This Row],[vy]]/Tabelle2[[#This Row],[v]],0)</f>
        <v>-0.76904796723912483</v>
      </c>
      <c r="M1349">
        <f t="shared" si="234"/>
        <v>-0.51269864482608318</v>
      </c>
      <c r="N1349">
        <f t="shared" si="235"/>
        <v>-1.0253972896521664E-2</v>
      </c>
      <c r="O1349">
        <f t="shared" si="236"/>
        <v>-1.7729232241111326</v>
      </c>
      <c r="P1349" s="1">
        <f t="shared" si="238"/>
        <v>7.3072529305484073</v>
      </c>
      <c r="Q1349" s="1">
        <f t="shared" si="239"/>
        <v>-88.641034219108363</v>
      </c>
      <c r="R1349">
        <f>SQRT(Tabelle2[[#This Row],[vx]]*Tabelle2[[#This Row],[vx]]+Tabelle2[[#This Row],[vy]]*Tabelle2[[#This Row],[vy]])</f>
        <v>88.94171626871244</v>
      </c>
      <c r="S1349">
        <f t="shared" si="240"/>
        <v>753.36361153889118</v>
      </c>
      <c r="T1349" s="1">
        <f t="shared" si="241"/>
        <v>-1106.6210790108248</v>
      </c>
    </row>
    <row r="1350" spans="6:20" x14ac:dyDescent="0.35">
      <c r="F1350" s="1">
        <f t="shared" si="237"/>
        <v>26.939999999999515</v>
      </c>
      <c r="G1350">
        <f>1/2*$B$8*$B$6*$B$7*(Tabelle2[[#This Row],[vx]]*Tabelle2[[#This Row],[vx]]+Tabelle2[[#This Row],[vy]]*Tabelle2[[#This Row],[vy]])/1000000</f>
        <v>13.996078482753129</v>
      </c>
      <c r="H1350">
        <f>IF($B$3,-Tabelle2[[#This Row],[Fd]]*Tabelle2[[#This Row],[vx]]/Tabelle2[[#This Row],[v]],0)</f>
        <v>-1.14735880665664</v>
      </c>
      <c r="I1350">
        <f t="shared" si="231"/>
        <v>-0.76490587110442665</v>
      </c>
      <c r="J1350">
        <f t="shared" si="232"/>
        <v>-1.5298117422088532E-2</v>
      </c>
      <c r="K1350">
        <f t="shared" si="233"/>
        <v>0.14568550279816236</v>
      </c>
      <c r="L1350">
        <f>-$B$5*$B$12-IF($B$3,Tabelle2[[#This Row],[Fd]]*Tabelle2[[#This Row],[vy]]/Tabelle2[[#This Row],[v]],0)</f>
        <v>-0.76602940485669357</v>
      </c>
      <c r="M1350">
        <f t="shared" si="234"/>
        <v>-0.51068626990446242</v>
      </c>
      <c r="N1350">
        <f t="shared" si="235"/>
        <v>-1.0213725398089249E-2</v>
      </c>
      <c r="O1350">
        <f t="shared" si="236"/>
        <v>-1.7731279010940788</v>
      </c>
      <c r="P1350" s="1">
        <f t="shared" si="238"/>
        <v>7.2919241986191627</v>
      </c>
      <c r="Q1350" s="1">
        <f t="shared" si="239"/>
        <v>-88.651288192004884</v>
      </c>
      <c r="R1350">
        <f>SQRT(Tabelle2[[#This Row],[vx]]*Tabelle2[[#This Row],[vx]]+Tabelle2[[#This Row],[vy]]*Tabelle2[[#This Row],[vy]])</f>
        <v>88.950677662513129</v>
      </c>
      <c r="S1350">
        <f t="shared" si="240"/>
        <v>753.5096033101828</v>
      </c>
      <c r="T1350" s="1">
        <f t="shared" si="241"/>
        <v>-1108.3940022349359</v>
      </c>
    </row>
    <row r="1351" spans="6:20" x14ac:dyDescent="0.35">
      <c r="F1351" s="1">
        <f t="shared" si="237"/>
        <v>26.959999999999514</v>
      </c>
      <c r="G1351">
        <f>1/2*$B$8*$B$6*$B$7*(Tabelle2[[#This Row],[vx]]*Tabelle2[[#This Row],[vx]]+Tabelle2[[#This Row],[vy]]*Tabelle2[[#This Row],[vy]])/1000000</f>
        <v>13.99888779569098</v>
      </c>
      <c r="H1351">
        <f>IF($B$3,-Tabelle2[[#This Row],[Fd]]*Tabelle2[[#This Row],[vx]]/Tabelle2[[#This Row],[v]],0)</f>
        <v>-1.1450666037146386</v>
      </c>
      <c r="I1351">
        <f t="shared" si="231"/>
        <v>-0.76337773580975909</v>
      </c>
      <c r="J1351">
        <f t="shared" si="232"/>
        <v>-1.5267554716195182E-2</v>
      </c>
      <c r="K1351">
        <f t="shared" si="233"/>
        <v>0.14537984607677953</v>
      </c>
      <c r="L1351">
        <f>-$B$5*$B$12-IF($B$3,Tabelle2[[#This Row],[Fd]]*Tabelle2[[#This Row],[vy]]/Tabelle2[[#This Row],[v]],0)</f>
        <v>-0.76302229110857311</v>
      </c>
      <c r="M1351">
        <f t="shared" si="234"/>
        <v>-0.50868152740571537</v>
      </c>
      <c r="N1351">
        <f t="shared" si="235"/>
        <v>-1.0173630548114307E-2</v>
      </c>
      <c r="O1351">
        <f t="shared" si="236"/>
        <v>-1.7733317746535406</v>
      </c>
      <c r="P1351" s="1">
        <f t="shared" si="238"/>
        <v>7.2766260811970742</v>
      </c>
      <c r="Q1351" s="1">
        <f t="shared" si="239"/>
        <v>-88.661501917402973</v>
      </c>
      <c r="R1351">
        <f>SQRT(Tabelle2[[#This Row],[vx]]*Tabelle2[[#This Row],[vx]]+Tabelle2[[#This Row],[vy]]*Tabelle2[[#This Row],[vy]])</f>
        <v>88.959604368360417</v>
      </c>
      <c r="S1351">
        <f t="shared" si="240"/>
        <v>753.65528881298098</v>
      </c>
      <c r="T1351" s="1">
        <f t="shared" si="241"/>
        <v>-1110.16713013603</v>
      </c>
    </row>
    <row r="1352" spans="6:20" x14ac:dyDescent="0.35">
      <c r="F1352" s="1">
        <f t="shared" si="237"/>
        <v>26.979999999999514</v>
      </c>
      <c r="G1352">
        <f>1/2*$B$8*$B$6*$B$7*(Tabelle2[[#This Row],[vx]]*Tabelle2[[#This Row],[vx]]+Tabelle2[[#This Row],[vy]]*Tabelle2[[#This Row],[vy]])/1000000</f>
        <v>14.001686512808396</v>
      </c>
      <c r="H1352">
        <f>IF($B$3,-Tabelle2[[#This Row],[Fd]]*Tabelle2[[#This Row],[vx]]/Tabelle2[[#This Row],[v]],0)</f>
        <v>-1.142778283634428</v>
      </c>
      <c r="I1352">
        <f t="shared" si="231"/>
        <v>-0.76185218908961871</v>
      </c>
      <c r="J1352">
        <f t="shared" si="232"/>
        <v>-1.5237043781792374E-2</v>
      </c>
      <c r="K1352">
        <f t="shared" si="233"/>
        <v>0.14507480009179965</v>
      </c>
      <c r="L1352">
        <f>-$B$5*$B$12-IF($B$3,Tabelle2[[#This Row],[Fd]]*Tabelle2[[#This Row],[vy]]/Tabelle2[[#This Row],[v]],0)</f>
        <v>-0.76002658557121805</v>
      </c>
      <c r="M1352">
        <f t="shared" si="234"/>
        <v>-0.50668439038081203</v>
      </c>
      <c r="N1352">
        <f t="shared" si="235"/>
        <v>-1.013368780761624E-2</v>
      </c>
      <c r="O1352">
        <f t="shared" si="236"/>
        <v>-1.7735348478370978</v>
      </c>
      <c r="P1352" s="1">
        <f t="shared" si="238"/>
        <v>7.2613585264808789</v>
      </c>
      <c r="Q1352" s="1">
        <f t="shared" si="239"/>
        <v>-88.671675547951082</v>
      </c>
      <c r="R1352">
        <f>SQRT(Tabelle2[[#This Row],[vx]]*Tabelle2[[#This Row],[vx]]+Tabelle2[[#This Row],[vy]]*Tabelle2[[#This Row],[vy]])</f>
        <v>88.968496514952989</v>
      </c>
      <c r="S1352">
        <f t="shared" si="240"/>
        <v>753.80066865905781</v>
      </c>
      <c r="T1352" s="1">
        <f t="shared" si="241"/>
        <v>-1111.9404619106836</v>
      </c>
    </row>
    <row r="1353" spans="6:20" x14ac:dyDescent="0.35">
      <c r="F1353" s="1">
        <f t="shared" si="237"/>
        <v>26.999999999999513</v>
      </c>
      <c r="G1353">
        <f>1/2*$B$8*$B$6*$B$7*(Tabelle2[[#This Row],[vx]]*Tabelle2[[#This Row],[vx]]+Tabelle2[[#This Row],[vy]]*Tabelle2[[#This Row],[vy]])/1000000</f>
        <v>14.004474671219473</v>
      </c>
      <c r="H1353">
        <f>IF($B$3,-Tabelle2[[#This Row],[Fd]]*Tabelle2[[#This Row],[vx]]/Tabelle2[[#This Row],[v]],0)</f>
        <v>-1.140493844153794</v>
      </c>
      <c r="I1353">
        <f t="shared" si="231"/>
        <v>-0.76032922943586267</v>
      </c>
      <c r="J1353">
        <f t="shared" si="232"/>
        <v>-1.5206584588717254E-2</v>
      </c>
      <c r="K1353">
        <f t="shared" si="233"/>
        <v>0.14477036380809455</v>
      </c>
      <c r="L1353">
        <f>-$B$5*$B$12-IF($B$3,Tabelle2[[#This Row],[Fd]]*Tabelle2[[#This Row],[vy]]/Tabelle2[[#This Row],[v]],0)</f>
        <v>-0.75704224794059982</v>
      </c>
      <c r="M1353">
        <f t="shared" si="234"/>
        <v>-0.50469483196039988</v>
      </c>
      <c r="N1353">
        <f t="shared" si="235"/>
        <v>-1.0093896639207997E-2</v>
      </c>
      <c r="O1353">
        <f t="shared" si="236"/>
        <v>-1.773737123681566</v>
      </c>
      <c r="P1353" s="1">
        <f t="shared" si="238"/>
        <v>7.2461214826990865</v>
      </c>
      <c r="Q1353" s="1">
        <f t="shared" si="239"/>
        <v>-88.681809235758692</v>
      </c>
      <c r="R1353">
        <f>SQRT(Tabelle2[[#This Row],[vx]]*Tabelle2[[#This Row],[vx]]+Tabelle2[[#This Row],[vy]]*Tabelle2[[#This Row],[vy]])</f>
        <v>88.977354230554241</v>
      </c>
      <c r="S1353">
        <f t="shared" si="240"/>
        <v>753.94574345914964</v>
      </c>
      <c r="T1353" s="1">
        <f t="shared" si="241"/>
        <v>-1113.7139967585206</v>
      </c>
    </row>
    <row r="1354" spans="6:20" x14ac:dyDescent="0.35">
      <c r="F1354" s="1">
        <f t="shared" si="237"/>
        <v>27.019999999999513</v>
      </c>
      <c r="G1354">
        <f>1/2*$B$8*$B$6*$B$7*(Tabelle2[[#This Row],[vx]]*Tabelle2[[#This Row],[vx]]+Tabelle2[[#This Row],[vy]]*Tabelle2[[#This Row],[vy]])/1000000</f>
        <v>14.007252307930306</v>
      </c>
      <c r="H1354">
        <f>IF($B$3,-Tabelle2[[#This Row],[Fd]]*Tabelle2[[#This Row],[vx]]/Tabelle2[[#This Row],[v]],0)</f>
        <v>-1.1382132829814744</v>
      </c>
      <c r="I1354">
        <f t="shared" si="231"/>
        <v>-0.75880885532098297</v>
      </c>
      <c r="J1354">
        <f t="shared" si="232"/>
        <v>-1.517617710641966E-2</v>
      </c>
      <c r="K1354">
        <f t="shared" si="233"/>
        <v>0.14446653619114319</v>
      </c>
      <c r="L1354">
        <f>-$B$5*$B$12-IF($B$3,Tabelle2[[#This Row],[Fd]]*Tabelle2[[#This Row],[vy]]/Tabelle2[[#This Row],[v]],0)</f>
        <v>-0.75406923803203441</v>
      </c>
      <c r="M1354">
        <f t="shared" si="234"/>
        <v>-0.50271282535468964</v>
      </c>
      <c r="N1354">
        <f t="shared" si="235"/>
        <v>-1.0054256507093793E-2</v>
      </c>
      <c r="O1354">
        <f t="shared" si="236"/>
        <v>-1.7739386052130288</v>
      </c>
      <c r="P1354" s="1">
        <f t="shared" si="238"/>
        <v>7.2309148981103695</v>
      </c>
      <c r="Q1354" s="1">
        <f t="shared" si="239"/>
        <v>-88.691903132397897</v>
      </c>
      <c r="R1354">
        <f>SQRT(Tabelle2[[#This Row],[vx]]*Tabelle2[[#This Row],[vx]]+Tabelle2[[#This Row],[vy]]*Tabelle2[[#This Row],[vy]])</f>
        <v>88.986177642993326</v>
      </c>
      <c r="S1354">
        <f t="shared" si="240"/>
        <v>754.09051382295775</v>
      </c>
      <c r="T1354" s="1">
        <f t="shared" si="241"/>
        <v>-1115.4877338822021</v>
      </c>
    </row>
    <row r="1355" spans="6:20" x14ac:dyDescent="0.35">
      <c r="F1355" s="1">
        <f t="shared" si="237"/>
        <v>27.039999999999512</v>
      </c>
      <c r="G1355">
        <f>1/2*$B$8*$B$6*$B$7*(Tabelle2[[#This Row],[vx]]*Tabelle2[[#This Row],[vx]]+Tabelle2[[#This Row],[vy]]*Tabelle2[[#This Row],[vy]])/1000000</f>
        <v>14.010019459839114</v>
      </c>
      <c r="H1355">
        <f>IF($B$3,-Tabelle2[[#This Row],[Fd]]*Tabelle2[[#This Row],[vx]]/Tabelle2[[#This Row],[v]],0)</f>
        <v>-1.1359365977973936</v>
      </c>
      <c r="I1355">
        <f t="shared" si="231"/>
        <v>-0.75729106519826239</v>
      </c>
      <c r="J1355">
        <f t="shared" si="232"/>
        <v>-1.5145821303965247E-2</v>
      </c>
      <c r="K1355">
        <f t="shared" si="233"/>
        <v>0.14416331620703934</v>
      </c>
      <c r="L1355">
        <f>-$B$5*$B$12-IF($B$3,Tabelle2[[#This Row],[Fd]]*Tabelle2[[#This Row],[vy]]/Tabelle2[[#This Row],[v]],0)</f>
        <v>-0.75110751578002422</v>
      </c>
      <c r="M1355">
        <f t="shared" si="234"/>
        <v>-0.50073834385334948</v>
      </c>
      <c r="N1355">
        <f t="shared" si="235"/>
        <v>-1.001476687706699E-2</v>
      </c>
      <c r="O1355">
        <f t="shared" si="236"/>
        <v>-1.7741392954468704</v>
      </c>
      <c r="P1355" s="1">
        <f t="shared" si="238"/>
        <v>7.2157387210039499</v>
      </c>
      <c r="Q1355" s="1">
        <f t="shared" si="239"/>
        <v>-88.701957388904987</v>
      </c>
      <c r="R1355">
        <f>SQRT(Tabelle2[[#This Row],[vx]]*Tabelle2[[#This Row],[vx]]+Tabelle2[[#This Row],[vy]]*Tabelle2[[#This Row],[vy]])</f>
        <v>88.994966879666364</v>
      </c>
      <c r="S1355">
        <f t="shared" si="240"/>
        <v>754.23498035914884</v>
      </c>
      <c r="T1355" s="1">
        <f t="shared" si="241"/>
        <v>-1117.2616724874151</v>
      </c>
    </row>
    <row r="1356" spans="6:20" x14ac:dyDescent="0.35">
      <c r="F1356" s="1">
        <f t="shared" si="237"/>
        <v>27.059999999999512</v>
      </c>
      <c r="G1356">
        <f>1/2*$B$8*$B$6*$B$7*(Tabelle2[[#This Row],[vx]]*Tabelle2[[#This Row],[vx]]+Tabelle2[[#This Row],[vy]]*Tabelle2[[#This Row],[vy]])/1000000</f>
        <v>14.012776163736387</v>
      </c>
      <c r="H1356">
        <f>IF($B$3,-Tabelle2[[#This Row],[Fd]]*Tabelle2[[#This Row],[vx]]/Tabelle2[[#This Row],[v]],0)</f>
        <v>-1.1336637862529009</v>
      </c>
      <c r="I1356">
        <f t="shared" si="231"/>
        <v>-0.75577585750193388</v>
      </c>
      <c r="J1356">
        <f t="shared" si="232"/>
        <v>-1.5115517150038678E-2</v>
      </c>
      <c r="K1356">
        <f t="shared" si="233"/>
        <v>0.1438607028224993</v>
      </c>
      <c r="L1356">
        <f>-$B$5*$B$12-IF($B$3,Tabelle2[[#This Row],[Fd]]*Tabelle2[[#This Row],[vy]]/Tabelle2[[#This Row],[v]],0)</f>
        <v>-0.74815704123808047</v>
      </c>
      <c r="M1356">
        <f t="shared" si="234"/>
        <v>-0.49877136082538698</v>
      </c>
      <c r="N1356">
        <f t="shared" si="235"/>
        <v>-9.9754272165077391E-3</v>
      </c>
      <c r="O1356">
        <f t="shared" si="236"/>
        <v>-1.7743391973878062</v>
      </c>
      <c r="P1356" s="1">
        <f t="shared" si="238"/>
        <v>7.2005928996999842</v>
      </c>
      <c r="Q1356" s="1">
        <f t="shared" si="239"/>
        <v>-88.71197215578205</v>
      </c>
      <c r="R1356">
        <f>SQRT(Tabelle2[[#This Row],[vx]]*Tabelle2[[#This Row],[vx]]+Tabelle2[[#This Row],[vy]]*Tabelle2[[#This Row],[vy]])</f>
        <v>89.003722067537481</v>
      </c>
      <c r="S1356">
        <f t="shared" si="240"/>
        <v>754.37914367535586</v>
      </c>
      <c r="T1356" s="1">
        <f t="shared" si="241"/>
        <v>-1119.0358117828621</v>
      </c>
    </row>
    <row r="1357" spans="6:20" x14ac:dyDescent="0.35">
      <c r="F1357" s="1">
        <f t="shared" si="237"/>
        <v>27.079999999999512</v>
      </c>
      <c r="G1357">
        <f>1/2*$B$8*$B$6*$B$7*(Tabelle2[[#This Row],[vx]]*Tabelle2[[#This Row],[vx]]+Tabelle2[[#This Row],[vy]]*Tabelle2[[#This Row],[vy]])/1000000</f>
        <v>14.015522456305021</v>
      </c>
      <c r="H1357">
        <f>IF($B$3,-Tabelle2[[#This Row],[Fd]]*Tabelle2[[#This Row],[vx]]/Tabelle2[[#This Row],[v]],0)</f>
        <v>-1.1313948459710017</v>
      </c>
      <c r="I1357">
        <f t="shared" si="231"/>
        <v>-0.75426323064733447</v>
      </c>
      <c r="J1357">
        <f t="shared" si="232"/>
        <v>-1.5085264612946689E-2</v>
      </c>
      <c r="K1357">
        <f t="shared" si="233"/>
        <v>0.14355869500486942</v>
      </c>
      <c r="L1357">
        <f>-$B$5*$B$12-IF($B$3,Tabelle2[[#This Row],[Fd]]*Tabelle2[[#This Row],[vy]]/Tabelle2[[#This Row],[v]],0)</f>
        <v>-0.74521777457856864</v>
      </c>
      <c r="M1357">
        <f t="shared" si="234"/>
        <v>-0.49681184971904574</v>
      </c>
      <c r="N1357">
        <f t="shared" si="235"/>
        <v>-9.9362369943809155E-3</v>
      </c>
      <c r="O1357">
        <f t="shared" si="236"/>
        <v>-1.7745383140299149</v>
      </c>
      <c r="P1357" s="1">
        <f t="shared" si="238"/>
        <v>7.1854773825499452</v>
      </c>
      <c r="Q1357" s="1">
        <f t="shared" si="239"/>
        <v>-88.721947582998553</v>
      </c>
      <c r="R1357">
        <f>SQRT(Tabelle2[[#This Row],[vx]]*Tabelle2[[#This Row],[vx]]+Tabelle2[[#This Row],[vy]]*Tabelle2[[#This Row],[vy]])</f>
        <v>89.012443333140112</v>
      </c>
      <c r="S1357">
        <f t="shared" si="240"/>
        <v>754.52300437817837</v>
      </c>
      <c r="T1357" s="1">
        <f t="shared" si="241"/>
        <v>-1120.81015098025</v>
      </c>
    </row>
    <row r="1358" spans="6:20" x14ac:dyDescent="0.35">
      <c r="F1358" s="1">
        <f t="shared" si="237"/>
        <v>27.099999999999511</v>
      </c>
      <c r="G1358">
        <f>1/2*$B$8*$B$6*$B$7*(Tabelle2[[#This Row],[vx]]*Tabelle2[[#This Row],[vx]]+Tabelle2[[#This Row],[vy]]*Tabelle2[[#This Row],[vy]])/1000000</f>
        <v>14.01825837412046</v>
      </c>
      <c r="H1358">
        <f>IF($B$3,-Tabelle2[[#This Row],[Fd]]*Tabelle2[[#This Row],[vx]]/Tabelle2[[#This Row],[v]],0)</f>
        <v>-1.1291297745465934</v>
      </c>
      <c r="I1358">
        <f t="shared" si="231"/>
        <v>-0.7527531830310622</v>
      </c>
      <c r="J1358">
        <f t="shared" si="232"/>
        <v>-1.5055063660621244E-2</v>
      </c>
      <c r="K1358">
        <f t="shared" si="233"/>
        <v>0.14325729172213375</v>
      </c>
      <c r="L1358">
        <f>-$B$5*$B$12-IF($B$3,Tabelle2[[#This Row],[Fd]]*Tabelle2[[#This Row],[vy]]/Tabelle2[[#This Row],[v]],0)</f>
        <v>-0.74228967609251661</v>
      </c>
      <c r="M1358">
        <f t="shared" si="234"/>
        <v>-0.49485978406167774</v>
      </c>
      <c r="N1358">
        <f t="shared" si="235"/>
        <v>-9.8971956812335549E-3</v>
      </c>
      <c r="O1358">
        <f t="shared" si="236"/>
        <v>-1.7747366483566711</v>
      </c>
      <c r="P1358" s="1">
        <f t="shared" si="238"/>
        <v>7.1703921179369985</v>
      </c>
      <c r="Q1358" s="1">
        <f t="shared" si="239"/>
        <v>-88.73188381999293</v>
      </c>
      <c r="R1358">
        <f>SQRT(Tabelle2[[#This Row],[vx]]*Tabelle2[[#This Row],[vx]]+Tabelle2[[#This Row],[vy]]*Tabelle2[[#This Row],[vy]])</f>
        <v>89.021130802577972</v>
      </c>
      <c r="S1358">
        <f t="shared" si="240"/>
        <v>754.66656307318328</v>
      </c>
      <c r="T1358" s="1">
        <f t="shared" si="241"/>
        <v>-1122.58468929428</v>
      </c>
    </row>
    <row r="1359" spans="6:20" x14ac:dyDescent="0.35">
      <c r="F1359" s="1">
        <f t="shared" si="237"/>
        <v>27.119999999999511</v>
      </c>
      <c r="G1359">
        <f>1/2*$B$8*$B$6*$B$7*(Tabelle2[[#This Row],[vx]]*Tabelle2[[#This Row],[vx]]+Tabelle2[[#This Row],[vy]]*Tabelle2[[#This Row],[vy]])/1000000</f>
        <v>14.020983953650831</v>
      </c>
      <c r="H1359">
        <f>IF($B$3,-Tabelle2[[#This Row],[Fd]]*Tabelle2[[#This Row],[vx]]/Tabelle2[[#This Row],[v]],0)</f>
        <v>-1.1268685695466949</v>
      </c>
      <c r="I1359">
        <f t="shared" si="231"/>
        <v>-0.75124571303112997</v>
      </c>
      <c r="J1359">
        <f t="shared" si="232"/>
        <v>-1.50249142606226E-2</v>
      </c>
      <c r="K1359">
        <f t="shared" si="233"/>
        <v>0.14295649194292132</v>
      </c>
      <c r="L1359">
        <f>-$B$5*$B$12-IF($B$3,Tabelle2[[#This Row],[Fd]]*Tabelle2[[#This Row],[vy]]/Tabelle2[[#This Row],[v]],0)</f>
        <v>-0.73937270618946904</v>
      </c>
      <c r="M1359">
        <f t="shared" si="234"/>
        <v>-0.49291513745964605</v>
      </c>
      <c r="N1359">
        <f t="shared" si="235"/>
        <v>-9.8583027491929206E-3</v>
      </c>
      <c r="O1359">
        <f t="shared" si="236"/>
        <v>-1.7749342033409752</v>
      </c>
      <c r="P1359" s="1">
        <f t="shared" si="238"/>
        <v>7.1553370542763775</v>
      </c>
      <c r="Q1359" s="1">
        <f t="shared" si="239"/>
        <v>-88.741781015674164</v>
      </c>
      <c r="R1359">
        <f>SQRT(Tabelle2[[#This Row],[vx]]*Tabelle2[[#This Row],[vx]]+Tabelle2[[#This Row],[vy]]*Tabelle2[[#This Row],[vy]])</f>
        <v>89.029784601526288</v>
      </c>
      <c r="S1359">
        <f t="shared" si="240"/>
        <v>754.80982036490536</v>
      </c>
      <c r="T1359" s="1">
        <f t="shared" si="241"/>
        <v>-1124.3594259426366</v>
      </c>
    </row>
    <row r="1360" spans="6:20" x14ac:dyDescent="0.35">
      <c r="F1360" s="1">
        <f t="shared" si="237"/>
        <v>27.13999999999951</v>
      </c>
      <c r="G1360">
        <f>1/2*$B$8*$B$6*$B$7*(Tabelle2[[#This Row],[vx]]*Tabelle2[[#This Row],[vx]]+Tabelle2[[#This Row],[vy]]*Tabelle2[[#This Row],[vy]])/1000000</f>
        <v>14.023699231257092</v>
      </c>
      <c r="H1360">
        <f>IF($B$3,-Tabelle2[[#This Row],[Fd]]*Tabelle2[[#This Row],[vx]]/Tabelle2[[#This Row],[v]],0)</f>
        <v>-1.124611228510678</v>
      </c>
      <c r="I1360">
        <f t="shared" si="231"/>
        <v>-0.74974081900711864</v>
      </c>
      <c r="J1360">
        <f t="shared" si="232"/>
        <v>-1.4994816380142374E-2</v>
      </c>
      <c r="K1360">
        <f t="shared" si="233"/>
        <v>0.14265629463651369</v>
      </c>
      <c r="L1360">
        <f>-$B$5*$B$12-IF($B$3,Tabelle2[[#This Row],[Fd]]*Tabelle2[[#This Row],[vy]]/Tabelle2[[#This Row],[v]],0)</f>
        <v>-0.73646682539729014</v>
      </c>
      <c r="M1360">
        <f t="shared" si="234"/>
        <v>-0.49097788359819344</v>
      </c>
      <c r="N1360">
        <f t="shared" si="235"/>
        <v>-9.8195576719638696E-3</v>
      </c>
      <c r="O1360">
        <f t="shared" si="236"/>
        <v>-1.7751309819451868</v>
      </c>
      <c r="P1360" s="1">
        <f t="shared" si="238"/>
        <v>7.1403121400157552</v>
      </c>
      <c r="Q1360" s="1">
        <f t="shared" si="239"/>
        <v>-88.751639318423358</v>
      </c>
      <c r="R1360">
        <f>SQRT(Tabelle2[[#This Row],[vx]]*Tabelle2[[#This Row],[vx]]+Tabelle2[[#This Row],[vy]]*Tabelle2[[#This Row],[vy]])</f>
        <v>89.038404855232926</v>
      </c>
      <c r="S1360">
        <f t="shared" si="240"/>
        <v>754.95277685684823</v>
      </c>
      <c r="T1360" s="1">
        <f t="shared" si="241"/>
        <v>-1126.1343601459776</v>
      </c>
    </row>
    <row r="1361" spans="6:20" x14ac:dyDescent="0.35">
      <c r="F1361" s="1">
        <f t="shared" si="237"/>
        <v>27.15999999999951</v>
      </c>
      <c r="G1361">
        <f>1/2*$B$8*$B$6*$B$7*(Tabelle2[[#This Row],[vx]]*Tabelle2[[#This Row],[vx]]+Tabelle2[[#This Row],[vy]]*Tabelle2[[#This Row],[vy]])/1000000</f>
        <v>14.026404243193173</v>
      </c>
      <c r="H1361">
        <f>IF($B$3,-Tabelle2[[#This Row],[Fd]]*Tabelle2[[#This Row],[vx]]/Tabelle2[[#This Row],[v]],0)</f>
        <v>-1.1223577489504972</v>
      </c>
      <c r="I1361">
        <f t="shared" si="231"/>
        <v>-0.74823849930033148</v>
      </c>
      <c r="J1361">
        <f t="shared" si="232"/>
        <v>-1.496476998600663E-2</v>
      </c>
      <c r="K1361">
        <f t="shared" si="233"/>
        <v>0.14235669877285217</v>
      </c>
      <c r="L1361">
        <f>-$B$5*$B$12-IF($B$3,Tabelle2[[#This Row],[Fd]]*Tabelle2[[#This Row],[vy]]/Tabelle2[[#This Row],[v]],0)</f>
        <v>-0.7335719943620127</v>
      </c>
      <c r="M1361">
        <f t="shared" si="234"/>
        <v>-0.48904799624134182</v>
      </c>
      <c r="N1361">
        <f t="shared" si="235"/>
        <v>-9.7809599248268372E-3</v>
      </c>
      <c r="O1361">
        <f t="shared" si="236"/>
        <v>-1.7753269871211546</v>
      </c>
      <c r="P1361" s="1">
        <f t="shared" si="238"/>
        <v>7.1253173236356124</v>
      </c>
      <c r="Q1361" s="1">
        <f t="shared" si="239"/>
        <v>-88.761458876095318</v>
      </c>
      <c r="R1361">
        <f>SQRT(Tabelle2[[#This Row],[vx]]*Tabelle2[[#This Row],[vx]]+Tabelle2[[#This Row],[vy]]*Tabelle2[[#This Row],[vy]])</f>
        <v>89.046991688519512</v>
      </c>
      <c r="S1361">
        <f t="shared" si="240"/>
        <v>755.09543315148471</v>
      </c>
      <c r="T1361" s="1">
        <f t="shared" si="241"/>
        <v>-1127.9094911279228</v>
      </c>
    </row>
    <row r="1362" spans="6:20" x14ac:dyDescent="0.35">
      <c r="F1362" s="1">
        <f t="shared" si="237"/>
        <v>27.179999999999509</v>
      </c>
      <c r="G1362">
        <f>1/2*$B$8*$B$6*$B$7*(Tabelle2[[#This Row],[vx]]*Tabelle2[[#This Row],[vx]]+Tabelle2[[#This Row],[vy]]*Tabelle2[[#This Row],[vy]])/1000000</f>
        <v>14.029099025606127</v>
      </c>
      <c r="H1362">
        <f>IF($B$3,-Tabelle2[[#This Row],[Fd]]*Tabelle2[[#This Row],[vx]]/Tabelle2[[#This Row],[v]],0)</f>
        <v>-1.1201081283509169</v>
      </c>
      <c r="I1362">
        <f t="shared" si="231"/>
        <v>-0.74673875223394459</v>
      </c>
      <c r="J1362">
        <f t="shared" si="232"/>
        <v>-1.4934775044678892E-2</v>
      </c>
      <c r="K1362">
        <f t="shared" si="233"/>
        <v>0.14205770332254533</v>
      </c>
      <c r="L1362">
        <f>-$B$5*$B$12-IF($B$3,Tabelle2[[#This Row],[Fd]]*Tabelle2[[#This Row],[vy]]/Tabelle2[[#This Row],[v]],0)</f>
        <v>-0.73068817384763207</v>
      </c>
      <c r="M1362">
        <f t="shared" si="234"/>
        <v>-0.48712544923175471</v>
      </c>
      <c r="N1362">
        <f t="shared" si="235"/>
        <v>-9.7425089846350944E-3</v>
      </c>
      <c r="O1362">
        <f t="shared" si="236"/>
        <v>-1.7755222218102491</v>
      </c>
      <c r="P1362" s="1">
        <f t="shared" si="238"/>
        <v>7.1103525536496059</v>
      </c>
      <c r="Q1362" s="1">
        <f t="shared" si="239"/>
        <v>-88.771239836020143</v>
      </c>
      <c r="R1362">
        <f>SQRT(Tabelle2[[#This Row],[vx]]*Tabelle2[[#This Row],[vx]]+Tabelle2[[#This Row],[vy]]*Tabelle2[[#This Row],[vy]])</f>
        <v>89.055545225782552</v>
      </c>
      <c r="S1362">
        <f t="shared" si="240"/>
        <v>755.23778985025751</v>
      </c>
      <c r="T1362" s="1">
        <f t="shared" si="241"/>
        <v>-1129.684818115044</v>
      </c>
    </row>
    <row r="1363" spans="6:20" x14ac:dyDescent="0.35">
      <c r="F1363" s="1">
        <f t="shared" si="237"/>
        <v>27.199999999999509</v>
      </c>
      <c r="G1363">
        <f>1/2*$B$8*$B$6*$B$7*(Tabelle2[[#This Row],[vx]]*Tabelle2[[#This Row],[vx]]+Tabelle2[[#This Row],[vy]]*Tabelle2[[#This Row],[vy]])/1000000</f>
        <v>14.031783614536268</v>
      </c>
      <c r="H1363">
        <f>IF($B$3,-Tabelle2[[#This Row],[Fd]]*Tabelle2[[#This Row],[vx]]/Tabelle2[[#This Row],[v]],0)</f>
        <v>-1.1178623641697389</v>
      </c>
      <c r="I1363">
        <f t="shared" si="231"/>
        <v>-0.74524157611315933</v>
      </c>
      <c r="J1363">
        <f t="shared" si="232"/>
        <v>-1.4904831522263186E-2</v>
      </c>
      <c r="K1363">
        <f t="shared" si="233"/>
        <v>0.14175930725687588</v>
      </c>
      <c r="L1363">
        <f>-$B$5*$B$12-IF($B$3,Tabelle2[[#This Row],[Fd]]*Tabelle2[[#This Row],[vy]]/Tabelle2[[#This Row],[v]],0)</f>
        <v>-0.72781532473595512</v>
      </c>
      <c r="M1363">
        <f t="shared" si="234"/>
        <v>-0.48521021649063673</v>
      </c>
      <c r="N1363">
        <f t="shared" si="235"/>
        <v>-9.7042043298127354E-3</v>
      </c>
      <c r="O1363">
        <f t="shared" si="236"/>
        <v>-1.7757166889433935</v>
      </c>
      <c r="P1363" s="1">
        <f t="shared" si="238"/>
        <v>7.0954177786049266</v>
      </c>
      <c r="Q1363" s="1">
        <f t="shared" si="239"/>
        <v>-88.780982345004773</v>
      </c>
      <c r="R1363">
        <f>SQRT(Tabelle2[[#This Row],[vx]]*Tabelle2[[#This Row],[vx]]+Tabelle2[[#This Row],[vy]]*Tabelle2[[#This Row],[vy]])</f>
        <v>89.064065590994616</v>
      </c>
      <c r="S1363">
        <f t="shared" si="240"/>
        <v>755.37984755358002</v>
      </c>
      <c r="T1363" s="1">
        <f t="shared" si="241"/>
        <v>-1131.4603403368542</v>
      </c>
    </row>
    <row r="1364" spans="6:20" x14ac:dyDescent="0.35">
      <c r="F1364" s="1">
        <f t="shared" si="237"/>
        <v>27.219999999999509</v>
      </c>
      <c r="G1364">
        <f>1/2*$B$8*$B$6*$B$7*(Tabelle2[[#This Row],[vx]]*Tabelle2[[#This Row],[vx]]+Tabelle2[[#This Row],[vy]]*Tabelle2[[#This Row],[vy]])/1000000</f>
        <v>14.034458045917333</v>
      </c>
      <c r="H1364">
        <f>IF($B$3,-Tabelle2[[#This Row],[Fd]]*Tabelle2[[#This Row],[vx]]/Tabelle2[[#This Row],[v]],0)</f>
        <v>-1.1156204538380279</v>
      </c>
      <c r="I1364">
        <f t="shared" si="231"/>
        <v>-0.74374696922535188</v>
      </c>
      <c r="J1364">
        <f t="shared" si="232"/>
        <v>-1.4874939384507038E-2</v>
      </c>
      <c r="K1364">
        <f t="shared" si="233"/>
        <v>0.1414615095478082</v>
      </c>
      <c r="L1364">
        <f>-$B$5*$B$12-IF($B$3,Tabelle2[[#This Row],[Fd]]*Tabelle2[[#This Row],[vy]]/Tabelle2[[#This Row],[v]],0)</f>
        <v>-0.72495340802640484</v>
      </c>
      <c r="M1364">
        <f t="shared" si="234"/>
        <v>-0.48330227201760323</v>
      </c>
      <c r="N1364">
        <f t="shared" si="235"/>
        <v>-9.6660454403520654E-3</v>
      </c>
      <c r="O1364">
        <f t="shared" si="236"/>
        <v>-1.7759103914410952</v>
      </c>
      <c r="P1364" s="1">
        <f t="shared" si="238"/>
        <v>7.0805129470826635</v>
      </c>
      <c r="Q1364" s="1">
        <f t="shared" si="239"/>
        <v>-88.79068654933458</v>
      </c>
      <c r="R1364">
        <f>SQRT(Tabelle2[[#This Row],[vx]]*Tabelle2[[#This Row],[vx]]+Tabelle2[[#This Row],[vy]]*Tabelle2[[#This Row],[vy]])</f>
        <v>89.072552907705472</v>
      </c>
      <c r="S1364">
        <f t="shared" si="240"/>
        <v>755.52160686083687</v>
      </c>
      <c r="T1364" s="1">
        <f t="shared" si="241"/>
        <v>-1133.2360570257977</v>
      </c>
    </row>
    <row r="1365" spans="6:20" x14ac:dyDescent="0.35">
      <c r="F1365" s="1">
        <f t="shared" si="237"/>
        <v>27.239999999999508</v>
      </c>
      <c r="G1365">
        <f>1/2*$B$8*$B$6*$B$7*(Tabelle2[[#This Row],[vx]]*Tabelle2[[#This Row],[vx]]+Tabelle2[[#This Row],[vy]]*Tabelle2[[#This Row],[vy]])/1000000</f>
        <v>14.037122355576615</v>
      </c>
      <c r="H1365">
        <f>IF($B$3,-Tabelle2[[#This Row],[Fd]]*Tabelle2[[#This Row],[vx]]/Tabelle2[[#This Row],[v]],0)</f>
        <v>-1.1133823947603356</v>
      </c>
      <c r="I1365">
        <f t="shared" si="231"/>
        <v>-0.74225492984022379</v>
      </c>
      <c r="J1365">
        <f t="shared" si="232"/>
        <v>-1.4845098596804477E-2</v>
      </c>
      <c r="K1365">
        <f t="shared" si="233"/>
        <v>0.14116430916799508</v>
      </c>
      <c r="L1365">
        <f>-$B$5*$B$12-IF($B$3,Tabelle2[[#This Row],[Fd]]*Tabelle2[[#This Row],[vy]]/Tabelle2[[#This Row],[v]],0)</f>
        <v>-0.72210238483584988</v>
      </c>
      <c r="M1365">
        <f t="shared" si="234"/>
        <v>-0.48140158989056658</v>
      </c>
      <c r="N1365">
        <f t="shared" si="235"/>
        <v>-9.6280317978113313E-3</v>
      </c>
      <c r="O1365">
        <f t="shared" si="236"/>
        <v>-1.7761033322134767</v>
      </c>
      <c r="P1365" s="1">
        <f t="shared" si="238"/>
        <v>7.0656380076981566</v>
      </c>
      <c r="Q1365" s="1">
        <f t="shared" si="239"/>
        <v>-88.800352594774935</v>
      </c>
      <c r="R1365">
        <f>SQRT(Tabelle2[[#This Row],[vx]]*Tabelle2[[#This Row],[vx]]+Tabelle2[[#This Row],[vy]]*Tabelle2[[#This Row],[vy]])</f>
        <v>89.081007299043151</v>
      </c>
      <c r="S1365">
        <f t="shared" si="240"/>
        <v>755.66306837038462</v>
      </c>
      <c r="T1365" s="1">
        <f t="shared" si="241"/>
        <v>-1135.0119674172388</v>
      </c>
    </row>
    <row r="1366" spans="6:20" x14ac:dyDescent="0.35">
      <c r="F1366" s="1">
        <f t="shared" si="237"/>
        <v>27.259999999999508</v>
      </c>
      <c r="G1366">
        <f>1/2*$B$8*$B$6*$B$7*(Tabelle2[[#This Row],[vx]]*Tabelle2[[#This Row],[vx]]+Tabelle2[[#This Row],[vy]]*Tabelle2[[#This Row],[vy]])/1000000</f>
        <v>14.039776579235124</v>
      </c>
      <c r="H1366">
        <f>IF($B$3,-Tabelle2[[#This Row],[Fd]]*Tabelle2[[#This Row],[vx]]/Tabelle2[[#This Row],[v]],0)</f>
        <v>-1.1111481843149238</v>
      </c>
      <c r="I1366">
        <f t="shared" si="231"/>
        <v>-0.74076545620994916</v>
      </c>
      <c r="J1366">
        <f t="shared" si="232"/>
        <v>-1.4815309124198983E-2</v>
      </c>
      <c r="K1366">
        <f t="shared" si="233"/>
        <v>0.14086770509078506</v>
      </c>
      <c r="L1366">
        <f>-$B$5*$B$12-IF($B$3,Tabelle2[[#This Row],[Fd]]*Tabelle2[[#This Row],[vy]]/Tabelle2[[#This Row],[v]],0)</f>
        <v>-0.71926221639842325</v>
      </c>
      <c r="M1366">
        <f t="shared" si="234"/>
        <v>-0.4795081442656155</v>
      </c>
      <c r="N1366">
        <f t="shared" si="235"/>
        <v>-9.5901628853123106E-3</v>
      </c>
      <c r="O1366">
        <f t="shared" si="236"/>
        <v>-1.7762955141603081</v>
      </c>
      <c r="P1366" s="1">
        <f t="shared" si="238"/>
        <v>7.0507929091013519</v>
      </c>
      <c r="Q1366" s="1">
        <f t="shared" si="239"/>
        <v>-88.809980626572752</v>
      </c>
      <c r="R1366">
        <f>SQRT(Tabelle2[[#This Row],[vx]]*Tabelle2[[#This Row],[vx]]+Tabelle2[[#This Row],[vy]]*Tabelle2[[#This Row],[vy]])</f>
        <v>89.089428887715187</v>
      </c>
      <c r="S1366">
        <f t="shared" si="240"/>
        <v>755.80423267955257</v>
      </c>
      <c r="T1366" s="1">
        <f t="shared" si="241"/>
        <v>-1136.7880707494523</v>
      </c>
    </row>
    <row r="1367" spans="6:20" x14ac:dyDescent="0.35">
      <c r="F1367" s="1">
        <f t="shared" si="237"/>
        <v>27.279999999999507</v>
      </c>
      <c r="G1367">
        <f>1/2*$B$8*$B$6*$B$7*(Tabelle2[[#This Row],[vx]]*Tabelle2[[#This Row],[vx]]+Tabelle2[[#This Row],[vy]]*Tabelle2[[#This Row],[vy]])/1000000</f>
        <v>14.042420752507736</v>
      </c>
      <c r="H1367">
        <f>IF($B$3,-Tabelle2[[#This Row],[Fd]]*Tabelle2[[#This Row],[vx]]/Tabelle2[[#This Row],[v]],0)</f>
        <v>-1.1089178198539866</v>
      </c>
      <c r="I1367">
        <f t="shared" si="231"/>
        <v>-0.73927854656932446</v>
      </c>
      <c r="J1367">
        <f t="shared" si="232"/>
        <v>-1.478557093138649E-2</v>
      </c>
      <c r="K1367">
        <f t="shared" si="233"/>
        <v>0.1405716962902292</v>
      </c>
      <c r="L1367">
        <f>-$B$5*$B$12-IF($B$3,Tabelle2[[#This Row],[Fd]]*Tabelle2[[#This Row],[vy]]/Tabelle2[[#This Row],[v]],0)</f>
        <v>-0.71643286406533058</v>
      </c>
      <c r="M1367">
        <f t="shared" si="234"/>
        <v>-0.47762190937688703</v>
      </c>
      <c r="N1367">
        <f t="shared" si="235"/>
        <v>-9.5524381875377404E-3</v>
      </c>
      <c r="O1367">
        <f t="shared" si="236"/>
        <v>-1.7764869401710368</v>
      </c>
      <c r="P1367" s="1">
        <f t="shared" si="238"/>
        <v>7.0359775999771532</v>
      </c>
      <c r="Q1367" s="1">
        <f t="shared" si="239"/>
        <v>-88.819570789458069</v>
      </c>
      <c r="R1367">
        <f>SQRT(Tabelle2[[#This Row],[vx]]*Tabelle2[[#This Row],[vx]]+Tabelle2[[#This Row],[vy]]*Tabelle2[[#This Row],[vy]])</f>
        <v>89.09781779600965</v>
      </c>
      <c r="S1367">
        <f t="shared" si="240"/>
        <v>755.94510038464341</v>
      </c>
      <c r="T1367" s="1">
        <f t="shared" si="241"/>
        <v>-1138.5643662636126</v>
      </c>
    </row>
    <row r="1368" spans="6:20" x14ac:dyDescent="0.35">
      <c r="F1368" s="1">
        <f t="shared" si="237"/>
        <v>27.299999999999507</v>
      </c>
      <c r="G1368">
        <f>1/2*$B$8*$B$6*$B$7*(Tabelle2[[#This Row],[vx]]*Tabelle2[[#This Row],[vx]]+Tabelle2[[#This Row],[vy]]*Tabelle2[[#This Row],[vy]])/1000000</f>
        <v>14.04505491090335</v>
      </c>
      <c r="H1368">
        <f>IF($B$3,-Tabelle2[[#This Row],[Fd]]*Tabelle2[[#This Row],[vx]]/Tabelle2[[#This Row],[v]],0)</f>
        <v>-1.1066912987038715</v>
      </c>
      <c r="I1368">
        <f t="shared" si="231"/>
        <v>-0.73779419913591437</v>
      </c>
      <c r="J1368">
        <f t="shared" si="232"/>
        <v>-1.4755883982718288E-2</v>
      </c>
      <c r="K1368">
        <f t="shared" si="233"/>
        <v>0.14027628174108814</v>
      </c>
      <c r="L1368">
        <f>-$B$5*$B$12-IF($B$3,Tabelle2[[#This Row],[Fd]]*Tabelle2[[#This Row],[vy]]/Tabelle2[[#This Row],[v]],0)</f>
        <v>-0.71361428930466886</v>
      </c>
      <c r="M1368">
        <f t="shared" si="234"/>
        <v>-0.47574285953644591</v>
      </c>
      <c r="N1368">
        <f t="shared" si="235"/>
        <v>-9.5148571907289186E-3</v>
      </c>
      <c r="O1368">
        <f t="shared" si="236"/>
        <v>-1.7766776131248196</v>
      </c>
      <c r="P1368" s="1">
        <f t="shared" si="238"/>
        <v>7.0211920290457668</v>
      </c>
      <c r="Q1368" s="1">
        <f t="shared" si="239"/>
        <v>-88.82912322764561</v>
      </c>
      <c r="R1368">
        <f>SQRT(Tabelle2[[#This Row],[vx]]*Tabelle2[[#This Row],[vx]]+Tabelle2[[#This Row],[vy]]*Tabelle2[[#This Row],[vy]])</f>
        <v>89.106174145796345</v>
      </c>
      <c r="S1368">
        <f t="shared" si="240"/>
        <v>756.08567208093359</v>
      </c>
      <c r="T1368" s="1">
        <f t="shared" si="241"/>
        <v>-1140.3408532037836</v>
      </c>
    </row>
    <row r="1369" spans="6:20" x14ac:dyDescent="0.35">
      <c r="F1369" s="1">
        <f t="shared" si="237"/>
        <v>27.319999999999506</v>
      </c>
      <c r="G1369">
        <f>1/2*$B$8*$B$6*$B$7*(Tabelle2[[#This Row],[vx]]*Tabelle2[[#This Row],[vx]]+Tabelle2[[#This Row],[vy]]*Tabelle2[[#This Row],[vy]])/1000000</f>
        <v>14.047679089825039</v>
      </c>
      <c r="H1369">
        <f>IF($B$3,-Tabelle2[[#This Row],[Fd]]*Tabelle2[[#This Row],[vx]]/Tabelle2[[#This Row],[v]],0)</f>
        <v>-1.1044686181652987</v>
      </c>
      <c r="I1369">
        <f t="shared" si="231"/>
        <v>-0.73631241211019915</v>
      </c>
      <c r="J1369">
        <f t="shared" si="232"/>
        <v>-1.4726248242203983E-2</v>
      </c>
      <c r="K1369">
        <f t="shared" si="233"/>
        <v>0.13998146041883894</v>
      </c>
      <c r="L1369">
        <f>-$B$5*$B$12-IF($B$3,Tabelle2[[#This Row],[Fd]]*Tabelle2[[#This Row],[vy]]/Tabelle2[[#This Row],[v]],0)</f>
        <v>-0.71080645370124707</v>
      </c>
      <c r="M1369">
        <f t="shared" si="234"/>
        <v>-0.47387096913416471</v>
      </c>
      <c r="N1369">
        <f t="shared" si="235"/>
        <v>-9.4774193826832939E-3</v>
      </c>
      <c r="O1369">
        <f t="shared" si="236"/>
        <v>-1.7768675358905535</v>
      </c>
      <c r="P1369" s="1">
        <f t="shared" si="238"/>
        <v>7.0064361450630486</v>
      </c>
      <c r="Q1369" s="1">
        <f t="shared" si="239"/>
        <v>-88.838638084836333</v>
      </c>
      <c r="R1369">
        <f>SQRT(Tabelle2[[#This Row],[vx]]*Tabelle2[[#This Row],[vx]]+Tabelle2[[#This Row],[vy]]*Tabelle2[[#This Row],[vy]])</f>
        <v>89.114498058527928</v>
      </c>
      <c r="S1369">
        <f t="shared" si="240"/>
        <v>756.22594836267467</v>
      </c>
      <c r="T1369" s="1">
        <f t="shared" si="241"/>
        <v>-1142.1175308169084</v>
      </c>
    </row>
    <row r="1370" spans="6:20" x14ac:dyDescent="0.35">
      <c r="F1370" s="1">
        <f t="shared" si="237"/>
        <v>27.339999999999506</v>
      </c>
      <c r="G1370">
        <f>1/2*$B$8*$B$6*$B$7*(Tabelle2[[#This Row],[vx]]*Tabelle2[[#This Row],[vx]]+Tabelle2[[#This Row],[vy]]*Tabelle2[[#This Row],[vy]])/1000000</f>
        <v>14.050293324570205</v>
      </c>
      <c r="H1370">
        <f>IF($B$3,-Tabelle2[[#This Row],[Fd]]*Tabelle2[[#This Row],[vx]]/Tabelle2[[#This Row],[v]],0)</f>
        <v>-1.1022497755135783</v>
      </c>
      <c r="I1370">
        <f t="shared" si="231"/>
        <v>-0.73483318367571882</v>
      </c>
      <c r="J1370">
        <f t="shared" si="232"/>
        <v>-1.4696663673514377E-2</v>
      </c>
      <c r="K1370">
        <f t="shared" si="233"/>
        <v>0.13968723129968175</v>
      </c>
      <c r="L1370">
        <f>-$B$5*$B$12-IF($B$3,Tabelle2[[#This Row],[Fd]]*Tabelle2[[#This Row],[vy]]/Tabelle2[[#This Row],[v]],0)</f>
        <v>-0.70800931895639785</v>
      </c>
      <c r="M1370">
        <f t="shared" si="234"/>
        <v>-0.47200621263759857</v>
      </c>
      <c r="N1370">
        <f t="shared" si="235"/>
        <v>-9.4401242527519715E-3</v>
      </c>
      <c r="O1370">
        <f t="shared" si="236"/>
        <v>-1.7770567113269078</v>
      </c>
      <c r="P1370" s="1">
        <f t="shared" si="238"/>
        <v>6.9917098968208444</v>
      </c>
      <c r="Q1370" s="1">
        <f t="shared" si="239"/>
        <v>-88.84811550421901</v>
      </c>
      <c r="R1370">
        <f>SQRT(Tabelle2[[#This Row],[vx]]*Tabelle2[[#This Row],[vx]]+Tabelle2[[#This Row],[vy]]*Tabelle2[[#This Row],[vy]])</f>
        <v>89.122789655241078</v>
      </c>
      <c r="S1370">
        <f t="shared" si="240"/>
        <v>756.36592982309355</v>
      </c>
      <c r="T1370" s="1">
        <f t="shared" si="241"/>
        <v>-1143.8943983527988</v>
      </c>
    </row>
    <row r="1371" spans="6:20" x14ac:dyDescent="0.35">
      <c r="F1371" s="1">
        <f t="shared" si="237"/>
        <v>27.359999999999506</v>
      </c>
      <c r="G1371">
        <f>1/2*$B$8*$B$6*$B$7*(Tabelle2[[#This Row],[vx]]*Tabelle2[[#This Row],[vx]]+Tabelle2[[#This Row],[vy]]*Tabelle2[[#This Row],[vy]])/1000000</f>
        <v>14.052897650330751</v>
      </c>
      <c r="H1371">
        <f>IF($B$3,-Tabelle2[[#This Row],[Fd]]*Tabelle2[[#This Row],[vx]]/Tabelle2[[#This Row],[v]],0)</f>
        <v>-1.1000347679988307</v>
      </c>
      <c r="I1371">
        <f t="shared" si="231"/>
        <v>-0.73335651199922047</v>
      </c>
      <c r="J1371">
        <f t="shared" si="232"/>
        <v>-1.466713023998441E-2</v>
      </c>
      <c r="K1371">
        <f t="shared" si="233"/>
        <v>0.13939359336054677</v>
      </c>
      <c r="L1371">
        <f>-$B$5*$B$12-IF($B$3,Tabelle2[[#This Row],[Fd]]*Tabelle2[[#This Row],[vy]]/Tabelle2[[#This Row],[v]],0)</f>
        <v>-0.70522284688777326</v>
      </c>
      <c r="M1371">
        <f t="shared" si="234"/>
        <v>-0.47014856459184884</v>
      </c>
      <c r="N1371">
        <f t="shared" si="235"/>
        <v>-9.4029712918369777E-3</v>
      </c>
      <c r="O1371">
        <f t="shared" si="236"/>
        <v>-1.7772451422823536</v>
      </c>
      <c r="P1371" s="1">
        <f t="shared" si="238"/>
        <v>6.9770132331473302</v>
      </c>
      <c r="Q1371" s="1">
        <f t="shared" si="239"/>
        <v>-88.857555628471758</v>
      </c>
      <c r="R1371">
        <f>SQRT(Tabelle2[[#This Row],[vx]]*Tabelle2[[#This Row],[vx]]+Tabelle2[[#This Row],[vy]]*Tabelle2[[#This Row],[vy]])</f>
        <v>89.131049056557529</v>
      </c>
      <c r="S1371">
        <f t="shared" si="240"/>
        <v>756.50561705439327</v>
      </c>
      <c r="T1371" s="1">
        <f t="shared" si="241"/>
        <v>-1145.6714550641257</v>
      </c>
    </row>
    <row r="1372" spans="6:20" x14ac:dyDescent="0.35">
      <c r="F1372" s="1">
        <f t="shared" si="237"/>
        <v>27.379999999999505</v>
      </c>
      <c r="G1372">
        <f>1/2*$B$8*$B$6*$B$7*(Tabelle2[[#This Row],[vx]]*Tabelle2[[#This Row],[vx]]+Tabelle2[[#This Row],[vy]]*Tabelle2[[#This Row],[vy]])/1000000</f>
        <v>14.055492102193217</v>
      </c>
      <c r="H1372">
        <f>IF($B$3,-Tabelle2[[#This Row],[Fd]]*Tabelle2[[#This Row],[vx]]/Tabelle2[[#This Row],[v]],0)</f>
        <v>-1.0978235928461983</v>
      </c>
      <c r="I1372">
        <f t="shared" si="231"/>
        <v>-0.7318823952307989</v>
      </c>
      <c r="J1372">
        <f t="shared" si="232"/>
        <v>-1.4637647904615978E-2</v>
      </c>
      <c r="K1372">
        <f t="shared" si="233"/>
        <v>0.13910054557910076</v>
      </c>
      <c r="L1372">
        <f>-$B$5*$B$12-IF($B$3,Tabelle2[[#This Row],[Fd]]*Tabelle2[[#This Row],[vy]]/Tabelle2[[#This Row],[v]],0)</f>
        <v>-0.70244699942918487</v>
      </c>
      <c r="M1372">
        <f t="shared" si="234"/>
        <v>-0.46829799961945656</v>
      </c>
      <c r="N1372">
        <f t="shared" si="235"/>
        <v>-9.365959992389131E-3</v>
      </c>
      <c r="O1372">
        <f t="shared" si="236"/>
        <v>-1.7774328315951957</v>
      </c>
      <c r="P1372" s="1">
        <f t="shared" si="238"/>
        <v>6.9623461029073459</v>
      </c>
      <c r="Q1372" s="1">
        <f t="shared" si="239"/>
        <v>-88.866958599763592</v>
      </c>
      <c r="R1372">
        <f>SQRT(Tabelle2[[#This Row],[vx]]*Tabelle2[[#This Row],[vx]]+Tabelle2[[#This Row],[vy]]*Tabelle2[[#This Row],[vy]])</f>
        <v>89.139276382685352</v>
      </c>
      <c r="S1372">
        <f t="shared" si="240"/>
        <v>756.64501064775379</v>
      </c>
      <c r="T1372" s="1">
        <f t="shared" si="241"/>
        <v>-1147.4487002064079</v>
      </c>
    </row>
    <row r="1373" spans="6:20" x14ac:dyDescent="0.35">
      <c r="F1373" s="1">
        <f t="shared" si="237"/>
        <v>27.399999999999505</v>
      </c>
      <c r="G1373">
        <f>1/2*$B$8*$B$6*$B$7*(Tabelle2[[#This Row],[vx]]*Tabelle2[[#This Row],[vx]]+Tabelle2[[#This Row],[vy]]*Tabelle2[[#This Row],[vy]])/1000000</f>
        <v>14.058076715138952</v>
      </c>
      <c r="H1373">
        <f>IF($B$3,-Tabelle2[[#This Row],[Fd]]*Tabelle2[[#This Row],[vx]]/Tabelle2[[#This Row],[v]],0)</f>
        <v>-1.095616247256064</v>
      </c>
      <c r="I1373">
        <f t="shared" si="231"/>
        <v>-0.73041083150404262</v>
      </c>
      <c r="J1373">
        <f t="shared" si="232"/>
        <v>-1.4608216630080852E-2</v>
      </c>
      <c r="K1373">
        <f t="shared" si="233"/>
        <v>0.13880808693375379</v>
      </c>
      <c r="L1373">
        <f>-$B$5*$B$12-IF($B$3,Tabelle2[[#This Row],[Fd]]*Tabelle2[[#This Row],[vy]]/Tabelle2[[#This Row],[v]],0)</f>
        <v>-0.69968173863038885</v>
      </c>
      <c r="M1373">
        <f t="shared" si="234"/>
        <v>-0.46645449242025921</v>
      </c>
      <c r="N1373">
        <f t="shared" si="235"/>
        <v>-9.3290898484051851E-3</v>
      </c>
      <c r="O1373">
        <f t="shared" si="236"/>
        <v>-1.7776197820936037</v>
      </c>
      <c r="P1373" s="1">
        <f t="shared" si="238"/>
        <v>6.9477084550027302</v>
      </c>
      <c r="Q1373" s="1">
        <f t="shared" si="239"/>
        <v>-88.876324559755986</v>
      </c>
      <c r="R1373">
        <f>SQRT(Tabelle2[[#This Row],[vx]]*Tabelle2[[#This Row],[vx]]+Tabelle2[[#This Row],[vy]]*Tabelle2[[#This Row],[vy]])</f>
        <v>89.147471753419921</v>
      </c>
      <c r="S1373">
        <f t="shared" si="240"/>
        <v>756.78411119333293</v>
      </c>
      <c r="T1373" s="1">
        <f t="shared" si="241"/>
        <v>-1149.2261330380031</v>
      </c>
    </row>
    <row r="1374" spans="6:20" x14ac:dyDescent="0.35">
      <c r="F1374" s="1">
        <f t="shared" si="237"/>
        <v>27.419999999999504</v>
      </c>
      <c r="G1374">
        <f>1/2*$B$8*$B$6*$B$7*(Tabelle2[[#This Row],[vx]]*Tabelle2[[#This Row],[vx]]+Tabelle2[[#This Row],[vy]]*Tabelle2[[#This Row],[vy]])/1000000</f>
        <v>14.060651524044278</v>
      </c>
      <c r="H1374">
        <f>IF($B$3,-Tabelle2[[#This Row],[Fd]]*Tabelle2[[#This Row],[vx]]/Tabelle2[[#This Row],[v]],0)</f>
        <v>-1.0934127284042625</v>
      </c>
      <c r="I1374">
        <f t="shared" si="231"/>
        <v>-0.72894181893617505</v>
      </c>
      <c r="J1374">
        <f t="shared" si="232"/>
        <v>-1.4578836378723502E-2</v>
      </c>
      <c r="K1374">
        <f t="shared" si="233"/>
        <v>0.13851621640366577</v>
      </c>
      <c r="L1374">
        <f>-$B$5*$B$12-IF($B$3,Tabelle2[[#This Row],[Fd]]*Tabelle2[[#This Row],[vy]]/Tabelle2[[#This Row],[v]],0)</f>
        <v>-0.69692702665690121</v>
      </c>
      <c r="M1374">
        <f t="shared" si="234"/>
        <v>-0.46461801777126749</v>
      </c>
      <c r="N1374">
        <f t="shared" si="235"/>
        <v>-9.2923603554253501E-3</v>
      </c>
      <c r="O1374">
        <f t="shared" si="236"/>
        <v>-1.7778059965956423</v>
      </c>
      <c r="P1374" s="1">
        <f t="shared" si="238"/>
        <v>6.9331002383726492</v>
      </c>
      <c r="Q1374" s="1">
        <f t="shared" si="239"/>
        <v>-88.885653649604393</v>
      </c>
      <c r="R1374">
        <f>SQRT(Tabelle2[[#This Row],[vx]]*Tabelle2[[#This Row],[vx]]+Tabelle2[[#This Row],[vy]]*Tabelle2[[#This Row],[vy]])</f>
        <v>89.155635288145149</v>
      </c>
      <c r="S1374">
        <f t="shared" si="240"/>
        <v>756.92291928026668</v>
      </c>
      <c r="T1374" s="1">
        <f t="shared" si="241"/>
        <v>-1151.0037528200967</v>
      </c>
    </row>
    <row r="1375" spans="6:20" x14ac:dyDescent="0.35">
      <c r="F1375" s="1">
        <f t="shared" si="237"/>
        <v>27.439999999999504</v>
      </c>
      <c r="G1375">
        <f>1/2*$B$8*$B$6*$B$7*(Tabelle2[[#This Row],[vx]]*Tabelle2[[#This Row],[vx]]+Tabelle2[[#This Row],[vy]]*Tabelle2[[#This Row],[vy]])/1000000</f>
        <v>14.063216563680648</v>
      </c>
      <c r="H1375">
        <f>IF($B$3,-Tabelle2[[#This Row],[Fd]]*Tabelle2[[#This Row],[vx]]/Tabelle2[[#This Row],[v]],0)</f>
        <v>-1.0912130334422938</v>
      </c>
      <c r="I1375">
        <f t="shared" si="231"/>
        <v>-0.72747535562819587</v>
      </c>
      <c r="J1375">
        <f t="shared" si="232"/>
        <v>-1.4549507112563918E-2</v>
      </c>
      <c r="K1375">
        <f t="shared" si="233"/>
        <v>0.13822493296875288</v>
      </c>
      <c r="L1375">
        <f>-$B$5*$B$12-IF($B$3,Tabelle2[[#This Row],[Fd]]*Tabelle2[[#This Row],[vy]]/Tabelle2[[#This Row],[v]],0)</f>
        <v>-0.69418282578981128</v>
      </c>
      <c r="M1375">
        <f t="shared" si="234"/>
        <v>-0.46278855052654083</v>
      </c>
      <c r="N1375">
        <f t="shared" si="235"/>
        <v>-9.255771010530817E-3</v>
      </c>
      <c r="O1375">
        <f t="shared" si="236"/>
        <v>-1.777991477909302</v>
      </c>
      <c r="P1375" s="1">
        <f t="shared" si="238"/>
        <v>6.9185214019939254</v>
      </c>
      <c r="Q1375" s="1">
        <f t="shared" si="239"/>
        <v>-88.894946009959824</v>
      </c>
      <c r="R1375">
        <f>SQRT(Tabelle2[[#This Row],[vx]]*Tabelle2[[#This Row],[vx]]+Tabelle2[[#This Row],[vy]]*Tabelle2[[#This Row],[vy]])</f>
        <v>89.163767105834637</v>
      </c>
      <c r="S1375">
        <f t="shared" si="240"/>
        <v>757.06143549667036</v>
      </c>
      <c r="T1375" s="1">
        <f t="shared" si="241"/>
        <v>-1152.7815588166923</v>
      </c>
    </row>
    <row r="1376" spans="6:20" x14ac:dyDescent="0.35">
      <c r="F1376" s="1">
        <f t="shared" si="237"/>
        <v>27.459999999999503</v>
      </c>
      <c r="G1376">
        <f>1/2*$B$8*$B$6*$B$7*(Tabelle2[[#This Row],[vx]]*Tabelle2[[#This Row],[vx]]+Tabelle2[[#This Row],[vy]]*Tabelle2[[#This Row],[vy]])/1000000</f>
        <v>14.065771868714798</v>
      </c>
      <c r="H1376">
        <f>IF($B$3,-Tabelle2[[#This Row],[Fd]]*Tabelle2[[#This Row],[vx]]/Tabelle2[[#This Row],[v]],0)</f>
        <v>-1.0890171594975337</v>
      </c>
      <c r="I1376">
        <f t="shared" si="231"/>
        <v>-0.72601143966502246</v>
      </c>
      <c r="J1376">
        <f t="shared" si="232"/>
        <v>-1.4520228793300449E-2</v>
      </c>
      <c r="K1376">
        <f t="shared" si="233"/>
        <v>0.13793423560969423</v>
      </c>
      <c r="L1376">
        <f>-$B$5*$B$12-IF($B$3,Tabelle2[[#This Row],[Fd]]*Tabelle2[[#This Row],[vy]]/Tabelle2[[#This Row],[v]],0)</f>
        <v>-0.6914490984255881</v>
      </c>
      <c r="M1376">
        <f t="shared" si="234"/>
        <v>-0.46096606561705872</v>
      </c>
      <c r="N1376">
        <f t="shared" si="235"/>
        <v>-9.2193213123411746E-3</v>
      </c>
      <c r="O1376">
        <f t="shared" si="236"/>
        <v>-1.7781762288325305</v>
      </c>
      <c r="P1376" s="1">
        <f t="shared" si="238"/>
        <v>6.9039718948813613</v>
      </c>
      <c r="Q1376" s="1">
        <f t="shared" si="239"/>
        <v>-88.904201780970354</v>
      </c>
      <c r="R1376">
        <f>SQRT(Tabelle2[[#This Row],[vx]]*Tabelle2[[#This Row],[vx]]+Tabelle2[[#This Row],[vy]]*Tabelle2[[#This Row],[vy]])</f>
        <v>89.171867325052716</v>
      </c>
      <c r="S1376">
        <f t="shared" si="240"/>
        <v>757.19966042963915</v>
      </c>
      <c r="T1376" s="1">
        <f t="shared" si="241"/>
        <v>-1154.5595502946016</v>
      </c>
    </row>
    <row r="1377" spans="6:20" x14ac:dyDescent="0.35">
      <c r="F1377" s="1">
        <f t="shared" si="237"/>
        <v>27.479999999999503</v>
      </c>
      <c r="G1377">
        <f>1/2*$B$8*$B$6*$B$7*(Tabelle2[[#This Row],[vx]]*Tabelle2[[#This Row],[vx]]+Tabelle2[[#This Row],[vy]]*Tabelle2[[#This Row],[vy]])/1000000</f>
        <v>14.068317473708941</v>
      </c>
      <c r="H1377">
        <f>IF($B$3,-Tabelle2[[#This Row],[Fd]]*Tabelle2[[#This Row],[vx]]/Tabelle2[[#This Row],[v]],0)</f>
        <v>-1.0868251036734458</v>
      </c>
      <c r="I1377">
        <f t="shared" si="231"/>
        <v>-0.72455006911563047</v>
      </c>
      <c r="J1377">
        <f t="shared" si="232"/>
        <v>-1.449100138231261E-2</v>
      </c>
      <c r="K1377">
        <f t="shared" si="233"/>
        <v>0.1376441233079381</v>
      </c>
      <c r="L1377">
        <f>-$B$5*$B$12-IF($B$3,Tabelle2[[#This Row],[Fd]]*Tabelle2[[#This Row],[vy]]/Tabelle2[[#This Row],[v]],0)</f>
        <v>-0.68872580707586906</v>
      </c>
      <c r="M1377">
        <f t="shared" si="234"/>
        <v>-0.45915053805057937</v>
      </c>
      <c r="N1377">
        <f t="shared" si="235"/>
        <v>-9.1830107610115872E-3</v>
      </c>
      <c r="O1377">
        <f t="shared" si="236"/>
        <v>-1.778360252153264</v>
      </c>
      <c r="P1377" s="1">
        <f t="shared" si="238"/>
        <v>6.8894516660880605</v>
      </c>
      <c r="Q1377" s="1">
        <f t="shared" si="239"/>
        <v>-88.913421102282697</v>
      </c>
      <c r="R1377">
        <f>SQRT(Tabelle2[[#This Row],[vx]]*Tabelle2[[#This Row],[vx]]+Tabelle2[[#This Row],[vy]]*Tabelle2[[#This Row],[vy]])</f>
        <v>89.179936063955637</v>
      </c>
      <c r="S1377">
        <f t="shared" si="240"/>
        <v>757.33759466524884</v>
      </c>
      <c r="T1377" s="1">
        <f t="shared" si="241"/>
        <v>-1156.3377265234342</v>
      </c>
    </row>
    <row r="1378" spans="6:20" x14ac:dyDescent="0.35">
      <c r="F1378" s="1">
        <f t="shared" si="237"/>
        <v>27.499999999999503</v>
      </c>
      <c r="G1378">
        <f>1/2*$B$8*$B$6*$B$7*(Tabelle2[[#This Row],[vx]]*Tabelle2[[#This Row],[vx]]+Tabelle2[[#This Row],[vy]]*Tabelle2[[#This Row],[vy]])/1000000</f>
        <v>14.070853413120897</v>
      </c>
      <c r="H1378">
        <f>IF($B$3,-Tabelle2[[#This Row],[Fd]]*Tabelle2[[#This Row],[vx]]/Tabelle2[[#This Row],[v]],0)</f>
        <v>-1.0846368630497876</v>
      </c>
      <c r="I1378">
        <f t="shared" si="231"/>
        <v>-0.72309124203319175</v>
      </c>
      <c r="J1378">
        <f t="shared" si="232"/>
        <v>-1.4461824840663835E-2</v>
      </c>
      <c r="K1378">
        <f t="shared" si="233"/>
        <v>0.13735459504570832</v>
      </c>
      <c r="L1378">
        <f>-$B$5*$B$12-IF($B$3,Tabelle2[[#This Row],[Fd]]*Tabelle2[[#This Row],[vy]]/Tabelle2[[#This Row],[v]],0)</f>
        <v>-0.68601291436728395</v>
      </c>
      <c r="M1378">
        <f t="shared" si="234"/>
        <v>-0.45734194291152264</v>
      </c>
      <c r="N1378">
        <f t="shared" si="235"/>
        <v>-9.1468388582304529E-3</v>
      </c>
      <c r="O1378">
        <f t="shared" si="236"/>
        <v>-1.7785435506494565</v>
      </c>
      <c r="P1378" s="1">
        <f t="shared" si="238"/>
        <v>6.874960664705748</v>
      </c>
      <c r="Q1378" s="1">
        <f t="shared" si="239"/>
        <v>-88.922604113043704</v>
      </c>
      <c r="R1378">
        <f>SQRT(Tabelle2[[#This Row],[vx]]*Tabelle2[[#This Row],[vx]]+Tabelle2[[#This Row],[vy]]*Tabelle2[[#This Row],[vy]])</f>
        <v>89.187973440292652</v>
      </c>
      <c r="S1378">
        <f t="shared" si="240"/>
        <v>757.47523878855679</v>
      </c>
      <c r="T1378" s="1">
        <f t="shared" si="241"/>
        <v>-1158.1160867755875</v>
      </c>
    </row>
    <row r="1379" spans="6:20" x14ac:dyDescent="0.35">
      <c r="F1379" s="1">
        <f t="shared" si="237"/>
        <v>27.519999999999502</v>
      </c>
      <c r="G1379">
        <f>1/2*$B$8*$B$6*$B$7*(Tabelle2[[#This Row],[vx]]*Tabelle2[[#This Row],[vx]]+Tabelle2[[#This Row],[vy]]*Tabelle2[[#This Row],[vy]])/1000000</f>
        <v>14.073379721304297</v>
      </c>
      <c r="H1379">
        <f>IF($B$3,-Tabelle2[[#This Row],[Fd]]*Tabelle2[[#This Row],[vx]]/Tabelle2[[#This Row],[v]],0)</f>
        <v>-1.0824524346828206</v>
      </c>
      <c r="I1379">
        <f t="shared" si="231"/>
        <v>-0.72163495645521369</v>
      </c>
      <c r="J1379">
        <f t="shared" si="232"/>
        <v>-1.4432699129104274E-2</v>
      </c>
      <c r="K1379">
        <f t="shared" si="233"/>
        <v>0.13706564980601063</v>
      </c>
      <c r="L1379">
        <f>-$B$5*$B$12-IF($B$3,Tabelle2[[#This Row],[Fd]]*Tabelle2[[#This Row],[vy]]/Tabelle2[[#This Row],[v]],0)</f>
        <v>-0.68331038304124192</v>
      </c>
      <c r="M1379">
        <f t="shared" si="234"/>
        <v>-0.45554025536082793</v>
      </c>
      <c r="N1379">
        <f t="shared" si="235"/>
        <v>-9.1108051072165581E-3</v>
      </c>
      <c r="O1379">
        <f t="shared" si="236"/>
        <v>-1.7787261270891108</v>
      </c>
      <c r="P1379" s="1">
        <f t="shared" si="238"/>
        <v>6.8604988398650839</v>
      </c>
      <c r="Q1379" s="1">
        <f t="shared" si="239"/>
        <v>-88.931750951901932</v>
      </c>
      <c r="R1379">
        <f>SQRT(Tabelle2[[#This Row],[vx]]*Tabelle2[[#This Row],[vx]]+Tabelle2[[#This Row],[vy]]*Tabelle2[[#This Row],[vy]])</f>
        <v>89.195979571407264</v>
      </c>
      <c r="S1379">
        <f t="shared" si="240"/>
        <v>757.61259338360253</v>
      </c>
      <c r="T1379" s="1">
        <f t="shared" si="241"/>
        <v>-1159.8946303262369</v>
      </c>
    </row>
    <row r="1380" spans="6:20" x14ac:dyDescent="0.35">
      <c r="F1380" s="1">
        <f t="shared" si="237"/>
        <v>27.539999999999502</v>
      </c>
      <c r="G1380">
        <f>1/2*$B$8*$B$6*$B$7*(Tabelle2[[#This Row],[vx]]*Tabelle2[[#This Row],[vx]]+Tabelle2[[#This Row],[vy]]*Tabelle2[[#This Row],[vy]])/1000000</f>
        <v>14.075896432508713</v>
      </c>
      <c r="H1380">
        <f>IF($B$3,-Tabelle2[[#This Row],[Fd]]*Tabelle2[[#This Row],[vx]]/Tabelle2[[#This Row],[v]],0)</f>
        <v>-1.0802718156055167</v>
      </c>
      <c r="I1380">
        <f t="shared" si="231"/>
        <v>-0.72018121040367777</v>
      </c>
      <c r="J1380">
        <f t="shared" si="232"/>
        <v>-1.4403624208073555E-2</v>
      </c>
      <c r="K1380">
        <f t="shared" si="233"/>
        <v>0.13677728657263885</v>
      </c>
      <c r="L1380">
        <f>-$B$5*$B$12-IF($B$3,Tabelle2[[#This Row],[Fd]]*Tabelle2[[#This Row],[vy]]/Tabelle2[[#This Row],[v]],0)</f>
        <v>-0.68061817595374663</v>
      </c>
      <c r="M1380">
        <f t="shared" si="234"/>
        <v>-0.4537454506358311</v>
      </c>
      <c r="N1380">
        <f t="shared" si="235"/>
        <v>-9.074909012716622E-3</v>
      </c>
      <c r="O1380">
        <f t="shared" si="236"/>
        <v>-1.7789079842303102</v>
      </c>
      <c r="P1380" s="1">
        <f t="shared" si="238"/>
        <v>6.8460661407359797</v>
      </c>
      <c r="Q1380" s="1">
        <f t="shared" si="239"/>
        <v>-88.940861757009145</v>
      </c>
      <c r="R1380">
        <f>SQRT(Tabelle2[[#This Row],[vx]]*Tabelle2[[#This Row],[vx]]+Tabelle2[[#This Row],[vy]]*Tabelle2[[#This Row],[vy]])</f>
        <v>89.203954574238153</v>
      </c>
      <c r="S1380">
        <f t="shared" si="240"/>
        <v>757.74965903340853</v>
      </c>
      <c r="T1380" s="1">
        <f t="shared" si="241"/>
        <v>-1161.6733564533261</v>
      </c>
    </row>
    <row r="1381" spans="6:20" x14ac:dyDescent="0.35">
      <c r="F1381" s="1">
        <f t="shared" si="237"/>
        <v>27.559999999999501</v>
      </c>
      <c r="G1381">
        <f>1/2*$B$8*$B$6*$B$7*(Tabelle2[[#This Row],[vx]]*Tabelle2[[#This Row],[vx]]+Tabelle2[[#This Row],[vy]]*Tabelle2[[#This Row],[vy]])/1000000</f>
        <v>14.078403580879854</v>
      </c>
      <c r="H1381">
        <f>IF($B$3,-Tabelle2[[#This Row],[Fd]]*Tabelle2[[#This Row],[vx]]/Tabelle2[[#This Row],[v]],0)</f>
        <v>-1.0780950028277614</v>
      </c>
      <c r="I1381">
        <f t="shared" si="231"/>
        <v>-0.71873000188517422</v>
      </c>
      <c r="J1381">
        <f t="shared" si="232"/>
        <v>-1.4374600037703484E-2</v>
      </c>
      <c r="K1381">
        <f t="shared" si="233"/>
        <v>0.13648950433018109</v>
      </c>
      <c r="L1381">
        <f>-$B$5*$B$12-IF($B$3,Tabelle2[[#This Row],[Fd]]*Tabelle2[[#This Row],[vy]]/Tabelle2[[#This Row],[v]],0)</f>
        <v>-0.67793625607518493</v>
      </c>
      <c r="M1381">
        <f t="shared" si="234"/>
        <v>-0.4519575040501233</v>
      </c>
      <c r="N1381">
        <f t="shared" si="235"/>
        <v>-9.0391500810024662E-3</v>
      </c>
      <c r="O1381">
        <f t="shared" si="236"/>
        <v>-1.7790891248212473</v>
      </c>
      <c r="P1381" s="1">
        <f t="shared" si="238"/>
        <v>6.8316625165279063</v>
      </c>
      <c r="Q1381" s="1">
        <f t="shared" si="239"/>
        <v>-88.949936666021856</v>
      </c>
      <c r="R1381">
        <f>SQRT(Tabelle2[[#This Row],[vx]]*Tabelle2[[#This Row],[vx]]+Tabelle2[[#This Row],[vy]]*Tabelle2[[#This Row],[vy]])</f>
        <v>89.211898565320482</v>
      </c>
      <c r="S1381">
        <f t="shared" si="240"/>
        <v>757.88643631998116</v>
      </c>
      <c r="T1381" s="1">
        <f t="shared" si="241"/>
        <v>-1163.4522644375563</v>
      </c>
    </row>
    <row r="1382" spans="6:20" x14ac:dyDescent="0.35">
      <c r="F1382" s="1">
        <f t="shared" si="237"/>
        <v>27.579999999999501</v>
      </c>
      <c r="G1382">
        <f>1/2*$B$8*$B$6*$B$7*(Tabelle2[[#This Row],[vx]]*Tabelle2[[#This Row],[vx]]+Tabelle2[[#This Row],[vy]]*Tabelle2[[#This Row],[vy]])/1000000</f>
        <v>14.080901200459733</v>
      </c>
      <c r="H1382">
        <f>IF($B$3,-Tabelle2[[#This Row],[Fd]]*Tabelle2[[#This Row],[vx]]/Tabelle2[[#This Row],[v]],0)</f>
        <v>-1.0759219933365618</v>
      </c>
      <c r="I1382">
        <f t="shared" si="231"/>
        <v>-0.71728132889104124</v>
      </c>
      <c r="J1382">
        <f t="shared" si="232"/>
        <v>-1.4345626577820824E-2</v>
      </c>
      <c r="K1382">
        <f t="shared" si="233"/>
        <v>0.13620230206402587</v>
      </c>
      <c r="L1382">
        <f>-$B$5*$B$12-IF($B$3,Tabelle2[[#This Row],[Fd]]*Tabelle2[[#This Row],[vy]]/Tabelle2[[#This Row],[v]],0)</f>
        <v>-0.67526458649013321</v>
      </c>
      <c r="M1382">
        <f t="shared" si="234"/>
        <v>-0.45017639099342216</v>
      </c>
      <c r="N1382">
        <f t="shared" si="235"/>
        <v>-9.003527819868443E-3</v>
      </c>
      <c r="O1382">
        <f t="shared" si="236"/>
        <v>-1.7792695516002559</v>
      </c>
      <c r="P1382" s="1">
        <f t="shared" si="238"/>
        <v>6.8172879164902032</v>
      </c>
      <c r="Q1382" s="1">
        <f t="shared" si="239"/>
        <v>-88.958975816102864</v>
      </c>
      <c r="R1382">
        <f>SQRT(Tabelle2[[#This Row],[vx]]*Tabelle2[[#This Row],[vx]]+Tabelle2[[#This Row],[vy]]*Tabelle2[[#This Row],[vy]])</f>
        <v>89.219811660786959</v>
      </c>
      <c r="S1382">
        <f t="shared" si="240"/>
        <v>758.0229258243113</v>
      </c>
      <c r="T1382" s="1">
        <f t="shared" si="241"/>
        <v>-1165.2313535623775</v>
      </c>
    </row>
    <row r="1383" spans="6:20" x14ac:dyDescent="0.35">
      <c r="F1383" s="1">
        <f t="shared" si="237"/>
        <v>27.5999999999995</v>
      </c>
      <c r="G1383">
        <f>1/2*$B$8*$B$6*$B$7*(Tabelle2[[#This Row],[vx]]*Tabelle2[[#This Row],[vx]]+Tabelle2[[#This Row],[vy]]*Tabelle2[[#This Row],[vy]])/1000000</f>
        <v>14.083389325186824</v>
      </c>
      <c r="H1383">
        <f>IF($B$3,-Tabelle2[[#This Row],[Fd]]*Tabelle2[[#This Row],[vx]]/Tabelle2[[#This Row],[v]],0)</f>
        <v>-1.0737527840962471</v>
      </c>
      <c r="I1383">
        <f t="shared" si="231"/>
        <v>-0.71583518939749802</v>
      </c>
      <c r="J1383">
        <f t="shared" si="232"/>
        <v>-1.4316703787949961E-2</v>
      </c>
      <c r="K1383">
        <f t="shared" si="233"/>
        <v>0.13591567876036814</v>
      </c>
      <c r="L1383">
        <f>-$B$5*$B$12-IF($B$3,Tabelle2[[#This Row],[Fd]]*Tabelle2[[#This Row],[vy]]/Tabelle2[[#This Row],[v]],0)</f>
        <v>-0.67260313039715847</v>
      </c>
      <c r="M1383">
        <f t="shared" si="234"/>
        <v>-0.44840208693143896</v>
      </c>
      <c r="N1383">
        <f t="shared" si="235"/>
        <v>-8.9680417386287792E-3</v>
      </c>
      <c r="O1383">
        <f t="shared" si="236"/>
        <v>-1.7794492672958411</v>
      </c>
      <c r="P1383" s="1">
        <f t="shared" si="238"/>
        <v>6.8029422899123819</v>
      </c>
      <c r="Q1383" s="1">
        <f t="shared" si="239"/>
        <v>-88.967979343922735</v>
      </c>
      <c r="R1383">
        <f>SQRT(Tabelle2[[#This Row],[vx]]*Tabelle2[[#This Row],[vx]]+Tabelle2[[#This Row],[vy]]*Tabelle2[[#This Row],[vy]])</f>
        <v>89.227693976368911</v>
      </c>
      <c r="S1383">
        <f t="shared" si="240"/>
        <v>758.15912812637532</v>
      </c>
      <c r="T1383" s="1">
        <f t="shared" si="241"/>
        <v>-1167.0106231139778</v>
      </c>
    </row>
    <row r="1384" spans="6:20" x14ac:dyDescent="0.35">
      <c r="F1384" s="1">
        <f t="shared" si="237"/>
        <v>27.6199999999995</v>
      </c>
      <c r="G1384">
        <f>1/2*$B$8*$B$6*$B$7*(Tabelle2[[#This Row],[vx]]*Tabelle2[[#This Row],[vx]]+Tabelle2[[#This Row],[vy]]*Tabelle2[[#This Row],[vy]])/1000000</f>
        <v>14.085867988896242</v>
      </c>
      <c r="H1384">
        <f>IF($B$3,-Tabelle2[[#This Row],[Fd]]*Tabelle2[[#This Row],[vx]]/Tabelle2[[#This Row],[v]],0)</f>
        <v>-1.071587372048671</v>
      </c>
      <c r="I1384">
        <f t="shared" si="231"/>
        <v>-0.71439158136578074</v>
      </c>
      <c r="J1384">
        <f t="shared" si="232"/>
        <v>-1.4287831627315615E-2</v>
      </c>
      <c r="K1384">
        <f t="shared" si="233"/>
        <v>0.13562963340621548</v>
      </c>
      <c r="L1384">
        <f>-$B$5*$B$12-IF($B$3,Tabelle2[[#This Row],[Fd]]*Tabelle2[[#This Row],[vy]]/Tabelle2[[#This Row],[v]],0)</f>
        <v>-0.66995185110860334</v>
      </c>
      <c r="M1384">
        <f t="shared" si="234"/>
        <v>-0.44663456740573554</v>
      </c>
      <c r="N1384">
        <f t="shared" si="235"/>
        <v>-8.9326913481147102E-3</v>
      </c>
      <c r="O1384">
        <f t="shared" si="236"/>
        <v>-1.7796282746267085</v>
      </c>
      <c r="P1384" s="1">
        <f t="shared" si="238"/>
        <v>6.7886255861244322</v>
      </c>
      <c r="Q1384" s="1">
        <f t="shared" si="239"/>
        <v>-88.976947385661362</v>
      </c>
      <c r="R1384">
        <f>SQRT(Tabelle2[[#This Row],[vx]]*Tabelle2[[#This Row],[vx]]+Tabelle2[[#This Row],[vy]]*Tabelle2[[#This Row],[vy]])</f>
        <v>89.235545627397457</v>
      </c>
      <c r="S1384">
        <f t="shared" si="240"/>
        <v>758.29504380513572</v>
      </c>
      <c r="T1384" s="1">
        <f t="shared" si="241"/>
        <v>-1168.7900723812736</v>
      </c>
    </row>
    <row r="1385" spans="6:20" x14ac:dyDescent="0.35">
      <c r="F1385" s="1">
        <f t="shared" si="237"/>
        <v>27.6399999999995</v>
      </c>
      <c r="G1385">
        <f>1/2*$B$8*$B$6*$B$7*(Tabelle2[[#This Row],[vx]]*Tabelle2[[#This Row],[vx]]+Tabelle2[[#This Row],[vy]]*Tabelle2[[#This Row],[vy]])/1000000</f>
        <v>14.088337225319922</v>
      </c>
      <c r="H1385">
        <f>IF($B$3,-Tabelle2[[#This Row],[Fd]]*Tabelle2[[#This Row],[vx]]/Tabelle2[[#This Row],[v]],0)</f>
        <v>-1.069425754113414</v>
      </c>
      <c r="I1385">
        <f t="shared" si="231"/>
        <v>-0.712950502742276</v>
      </c>
      <c r="J1385">
        <f t="shared" si="232"/>
        <v>-1.425901005484552E-2</v>
      </c>
      <c r="K1385">
        <f t="shared" si="233"/>
        <v>0.13534416498939389</v>
      </c>
      <c r="L1385">
        <f>-$B$5*$B$12-IF($B$3,Tabelle2[[#This Row],[Fd]]*Tabelle2[[#This Row],[vy]]/Tabelle2[[#This Row],[v]],0)</f>
        <v>-0.66731071205039783</v>
      </c>
      <c r="M1385">
        <f t="shared" si="234"/>
        <v>-0.44487380803359855</v>
      </c>
      <c r="N1385">
        <f t="shared" si="235"/>
        <v>-8.8974761606719719E-3</v>
      </c>
      <c r="O1385">
        <f t="shared" si="236"/>
        <v>-1.7798065763017965</v>
      </c>
      <c r="P1385" s="1">
        <f t="shared" si="238"/>
        <v>6.7743377544971164</v>
      </c>
      <c r="Q1385" s="1">
        <f t="shared" si="239"/>
        <v>-88.985880077009483</v>
      </c>
      <c r="R1385">
        <f>SQRT(Tabelle2[[#This Row],[vx]]*Tabelle2[[#This Row],[vx]]+Tabelle2[[#This Row],[vy]]*Tabelle2[[#This Row],[vy]])</f>
        <v>89.243366728804659</v>
      </c>
      <c r="S1385">
        <f t="shared" si="240"/>
        <v>758.43067343854193</v>
      </c>
      <c r="T1385" s="1">
        <f t="shared" si="241"/>
        <v>-1170.5697006559003</v>
      </c>
    </row>
    <row r="1386" spans="6:20" x14ac:dyDescent="0.35">
      <c r="F1386" s="1">
        <f t="shared" si="237"/>
        <v>27.659999999999499</v>
      </c>
      <c r="G1386">
        <f>1/2*$B$8*$B$6*$B$7*(Tabelle2[[#This Row],[vx]]*Tabelle2[[#This Row],[vx]]+Tabelle2[[#This Row],[vy]]*Tabelle2[[#This Row],[vy]])/1000000</f>
        <v>14.090797068086786</v>
      </c>
      <c r="H1386">
        <f>IF($B$3,-Tabelle2[[#This Row],[Fd]]*Tabelle2[[#This Row],[vx]]/Tabelle2[[#This Row],[v]],0)</f>
        <v>-1.0672679271879821</v>
      </c>
      <c r="I1386">
        <f t="shared" si="231"/>
        <v>-0.71151195145865476</v>
      </c>
      <c r="J1386">
        <f t="shared" si="232"/>
        <v>-1.4230239029173095E-2</v>
      </c>
      <c r="K1386">
        <f t="shared" si="233"/>
        <v>0.13505927249855368</v>
      </c>
      <c r="L1386">
        <f>-$B$5*$B$12-IF($B$3,Tabelle2[[#This Row],[Fd]]*Tabelle2[[#This Row],[vy]]/Tabelle2[[#This Row],[v]],0)</f>
        <v>-0.66467967676184792</v>
      </c>
      <c r="M1386">
        <f t="shared" si="234"/>
        <v>-0.44311978450789863</v>
      </c>
      <c r="N1386">
        <f t="shared" si="235"/>
        <v>-8.8623956901579728E-3</v>
      </c>
      <c r="O1386">
        <f t="shared" si="236"/>
        <v>-1.7799841750203047</v>
      </c>
      <c r="P1386" s="1">
        <f t="shared" si="238"/>
        <v>6.7600787444422705</v>
      </c>
      <c r="Q1386" s="1">
        <f t="shared" si="239"/>
        <v>-88.994777553170152</v>
      </c>
      <c r="R1386">
        <f>SQRT(Tabelle2[[#This Row],[vx]]*Tabelle2[[#This Row],[vx]]+Tabelle2[[#This Row],[vy]]*Tabelle2[[#This Row],[vy]])</f>
        <v>89.251157395124565</v>
      </c>
      <c r="S1386">
        <f t="shared" si="240"/>
        <v>758.56601760353135</v>
      </c>
      <c r="T1386" s="1">
        <f t="shared" si="241"/>
        <v>-1172.3495072322021</v>
      </c>
    </row>
    <row r="1387" spans="6:20" x14ac:dyDescent="0.35">
      <c r="F1387" s="1">
        <f t="shared" si="237"/>
        <v>27.679999999999499</v>
      </c>
      <c r="G1387">
        <f>1/2*$B$8*$B$6*$B$7*(Tabelle2[[#This Row],[vx]]*Tabelle2[[#This Row],[vx]]+Tabelle2[[#This Row],[vy]]*Tabelle2[[#This Row],[vy]])/1000000</f>
        <v>14.093247550722923</v>
      </c>
      <c r="H1387">
        <f>IF($B$3,-Tabelle2[[#This Row],[Fd]]*Tabelle2[[#This Row],[vx]]/Tabelle2[[#This Row],[v]],0)</f>
        <v>-1.065113888148006</v>
      </c>
      <c r="I1387">
        <f t="shared" si="231"/>
        <v>-0.71007592543200404</v>
      </c>
      <c r="J1387">
        <f t="shared" si="232"/>
        <v>-1.4201518508640081E-2</v>
      </c>
      <c r="K1387">
        <f t="shared" si="233"/>
        <v>0.13477495492317557</v>
      </c>
      <c r="L1387">
        <f>-$B$5*$B$12-IF($B$3,Tabelle2[[#This Row],[Fd]]*Tabelle2[[#This Row],[vy]]/Tabelle2[[#This Row],[v]],0)</f>
        <v>-0.66205870889542595</v>
      </c>
      <c r="M1387">
        <f t="shared" si="234"/>
        <v>-0.44137247259695062</v>
      </c>
      <c r="N1387">
        <f t="shared" si="235"/>
        <v>-8.8274494519390134E-3</v>
      </c>
      <c r="O1387">
        <f t="shared" si="236"/>
        <v>-1.7801610734717255</v>
      </c>
      <c r="P1387" s="1">
        <f t="shared" si="238"/>
        <v>6.7458485054130977</v>
      </c>
      <c r="Q1387" s="1">
        <f t="shared" si="239"/>
        <v>-89.003639948860311</v>
      </c>
      <c r="R1387">
        <f>SQRT(Tabelle2[[#This Row],[vx]]*Tabelle2[[#This Row],[vx]]+Tabelle2[[#This Row],[vy]]*Tabelle2[[#This Row],[vy]])</f>
        <v>89.258917740494411</v>
      </c>
      <c r="S1387">
        <f t="shared" si="240"/>
        <v>758.7010768760299</v>
      </c>
      <c r="T1387" s="1">
        <f t="shared" si="241"/>
        <v>-1174.1294914072223</v>
      </c>
    </row>
    <row r="1388" spans="6:20" x14ac:dyDescent="0.35">
      <c r="F1388" s="1">
        <f t="shared" si="237"/>
        <v>27.699999999999498</v>
      </c>
      <c r="G1388">
        <f>1/2*$B$8*$B$6*$B$7*(Tabelle2[[#This Row],[vx]]*Tabelle2[[#This Row],[vx]]+Tabelle2[[#This Row],[vy]]*Tabelle2[[#This Row],[vy]])/1000000</f>
        <v>14.095688706651762</v>
      </c>
      <c r="H1388">
        <f>IF($B$3,-Tabelle2[[#This Row],[Fd]]*Tabelle2[[#This Row],[vx]]/Tabelle2[[#This Row],[v]],0)</f>
        <v>-1.0629636338474377</v>
      </c>
      <c r="I1388">
        <f t="shared" si="231"/>
        <v>-0.70864242256495846</v>
      </c>
      <c r="J1388">
        <f t="shared" si="232"/>
        <v>-1.417284845129917E-2</v>
      </c>
      <c r="K1388">
        <f t="shared" si="233"/>
        <v>0.13449121125357616</v>
      </c>
      <c r="L1388">
        <f>-$B$5*$B$12-IF($B$3,Tabelle2[[#This Row],[Fd]]*Tabelle2[[#This Row],[vy]]/Tabelle2[[#This Row],[v]],0)</f>
        <v>-0.65944777221656459</v>
      </c>
      <c r="M1388">
        <f t="shared" si="234"/>
        <v>-0.43963184814437639</v>
      </c>
      <c r="N1388">
        <f t="shared" si="235"/>
        <v>-8.7926369628875279E-3</v>
      </c>
      <c r="O1388">
        <f t="shared" si="236"/>
        <v>-1.7803372743358739</v>
      </c>
      <c r="P1388" s="1">
        <f t="shared" si="238"/>
        <v>6.7316469869044573</v>
      </c>
      <c r="Q1388" s="1">
        <f t="shared" si="239"/>
        <v>-89.012467398312253</v>
      </c>
      <c r="R1388">
        <f>SQRT(Tabelle2[[#This Row],[vx]]*Tabelle2[[#This Row],[vx]]+Tabelle2[[#This Row],[vy]]*Tabelle2[[#This Row],[vy]])</f>
        <v>89.266647878655675</v>
      </c>
      <c r="S1388">
        <f t="shared" si="240"/>
        <v>758.83585183095306</v>
      </c>
      <c r="T1388" s="1">
        <f t="shared" si="241"/>
        <v>-1175.9096524806939</v>
      </c>
    </row>
    <row r="1389" spans="6:20" x14ac:dyDescent="0.35">
      <c r="F1389" s="1">
        <f t="shared" si="237"/>
        <v>27.719999999999498</v>
      </c>
      <c r="G1389">
        <f>1/2*$B$8*$B$6*$B$7*(Tabelle2[[#This Row],[vx]]*Tabelle2[[#This Row],[vx]]+Tabelle2[[#This Row],[vy]]*Tabelle2[[#This Row],[vy]])/1000000</f>
        <v>14.098120569194244</v>
      </c>
      <c r="H1389">
        <f>IF($B$3,-Tabelle2[[#This Row],[Fd]]*Tabelle2[[#This Row],[vx]]/Tabelle2[[#This Row],[v]],0)</f>
        <v>-1.0608171611187489</v>
      </c>
      <c r="I1389">
        <f t="shared" si="231"/>
        <v>-0.70721144074583264</v>
      </c>
      <c r="J1389">
        <f t="shared" si="232"/>
        <v>-1.4144228814916653E-2</v>
      </c>
      <c r="K1389">
        <f t="shared" si="233"/>
        <v>0.134208040480914</v>
      </c>
      <c r="L1389">
        <f>-$B$5*$B$12-IF($B$3,Tabelle2[[#This Row],[Fd]]*Tabelle2[[#This Row],[vy]]/Tabelle2[[#This Row],[v]],0)</f>
        <v>-0.65684683060346849</v>
      </c>
      <c r="M1389">
        <f t="shared" si="234"/>
        <v>-0.43789788706897897</v>
      </c>
      <c r="N1389">
        <f t="shared" si="235"/>
        <v>-8.7579577413795795E-3</v>
      </c>
      <c r="O1389">
        <f t="shared" si="236"/>
        <v>-1.7805127802829168</v>
      </c>
      <c r="P1389" s="1">
        <f t="shared" si="238"/>
        <v>6.7174741384531584</v>
      </c>
      <c r="Q1389" s="1">
        <f t="shared" si="239"/>
        <v>-89.021260035275148</v>
      </c>
      <c r="R1389">
        <f>SQRT(Tabelle2[[#This Row],[vx]]*Tabelle2[[#This Row],[vx]]+Tabelle2[[#This Row],[vy]]*Tabelle2[[#This Row],[vy]])</f>
        <v>89.274347922955243</v>
      </c>
      <c r="S1389">
        <f t="shared" si="240"/>
        <v>758.97034304220665</v>
      </c>
      <c r="T1389" s="1">
        <f t="shared" si="241"/>
        <v>-1177.6899897550297</v>
      </c>
    </row>
    <row r="1390" spans="6:20" x14ac:dyDescent="0.35">
      <c r="F1390" s="1">
        <f t="shared" si="237"/>
        <v>27.739999999999498</v>
      </c>
      <c r="G1390">
        <f>1/2*$B$8*$B$6*$B$7*(Tabelle2[[#This Row],[vx]]*Tabelle2[[#This Row],[vx]]+Tabelle2[[#This Row],[vy]]*Tabelle2[[#This Row],[vy]])/1000000</f>
        <v>14.100543171569011</v>
      </c>
      <c r="H1390">
        <f>IF($B$3,-Tabelle2[[#This Row],[Fd]]*Tabelle2[[#This Row],[vx]]/Tabelle2[[#This Row],[v]],0)</f>
        <v>-1.058674466773124</v>
      </c>
      <c r="I1390">
        <f t="shared" si="231"/>
        <v>-0.70578297784874933</v>
      </c>
      <c r="J1390">
        <f t="shared" si="232"/>
        <v>-1.4115659556974986E-2</v>
      </c>
      <c r="K1390">
        <f t="shared" si="233"/>
        <v>0.13392544159719511</v>
      </c>
      <c r="L1390">
        <f>-$B$5*$B$12-IF($B$3,Tabelle2[[#This Row],[Fd]]*Tabelle2[[#This Row],[vy]]/Tabelle2[[#This Row],[v]],0)</f>
        <v>-0.65425584804687098</v>
      </c>
      <c r="M1390">
        <f t="shared" si="234"/>
        <v>-0.43617056536458065</v>
      </c>
      <c r="N1390">
        <f t="shared" si="235"/>
        <v>-8.7234113072916127E-3</v>
      </c>
      <c r="O1390">
        <f t="shared" si="236"/>
        <v>-1.7806875939734037</v>
      </c>
      <c r="P1390" s="1">
        <f t="shared" si="238"/>
        <v>6.7033299096382422</v>
      </c>
      <c r="Q1390" s="1">
        <f t="shared" si="239"/>
        <v>-89.030017993016529</v>
      </c>
      <c r="R1390">
        <f>SQRT(Tabelle2[[#This Row],[vx]]*Tabelle2[[#This Row],[vx]]+Tabelle2[[#This Row],[vy]]*Tabelle2[[#This Row],[vy]])</f>
        <v>89.282017986346489</v>
      </c>
      <c r="S1390">
        <f t="shared" si="240"/>
        <v>759.10455108268752</v>
      </c>
      <c r="T1390" s="1">
        <f t="shared" si="241"/>
        <v>-1179.4705025353126</v>
      </c>
    </row>
    <row r="1391" spans="6:20" x14ac:dyDescent="0.35">
      <c r="F1391" s="1">
        <f t="shared" si="237"/>
        <v>27.759999999999497</v>
      </c>
      <c r="G1391">
        <f>1/2*$B$8*$B$6*$B$7*(Tabelle2[[#This Row],[vx]]*Tabelle2[[#This Row],[vx]]+Tabelle2[[#This Row],[vy]]*Tabelle2[[#This Row],[vy]])/1000000</f>
        <v>14.102956546892582</v>
      </c>
      <c r="H1391">
        <f>IF($B$3,-Tabelle2[[#This Row],[Fd]]*Tabelle2[[#This Row],[vx]]/Tabelle2[[#This Row],[v]],0)</f>
        <v>-1.0565355476006566</v>
      </c>
      <c r="I1391">
        <f t="shared" si="231"/>
        <v>-0.70435703173377107</v>
      </c>
      <c r="J1391">
        <f t="shared" si="232"/>
        <v>-1.4087140634675421E-2</v>
      </c>
      <c r="K1391">
        <f t="shared" si="233"/>
        <v>0.13364341359527859</v>
      </c>
      <c r="L1391">
        <f>-$B$5*$B$12-IF($B$3,Tabelle2[[#This Row],[Fd]]*Tabelle2[[#This Row],[vy]]/Tabelle2[[#This Row],[v]],0)</f>
        <v>-0.65167478864985995</v>
      </c>
      <c r="M1391">
        <f t="shared" si="234"/>
        <v>-0.43444985909990663</v>
      </c>
      <c r="N1391">
        <f t="shared" si="235"/>
        <v>-8.6889971819981322E-3</v>
      </c>
      <c r="O1391">
        <f t="shared" si="236"/>
        <v>-1.7808617180582962</v>
      </c>
      <c r="P1391" s="1">
        <f t="shared" si="238"/>
        <v>6.6892142500812675</v>
      </c>
      <c r="Q1391" s="1">
        <f t="shared" si="239"/>
        <v>-89.038741404323815</v>
      </c>
      <c r="R1391">
        <f>SQRT(Tabelle2[[#This Row],[vx]]*Tabelle2[[#This Row],[vx]]+Tabelle2[[#This Row],[vy]]*Tabelle2[[#This Row],[vy]])</f>
        <v>89.289658181390408</v>
      </c>
      <c r="S1391">
        <f t="shared" si="240"/>
        <v>759.23847652428469</v>
      </c>
      <c r="T1391" s="1">
        <f t="shared" si="241"/>
        <v>-1181.251190129286</v>
      </c>
    </row>
    <row r="1392" spans="6:20" x14ac:dyDescent="0.35">
      <c r="F1392" s="1">
        <f t="shared" si="237"/>
        <v>27.779999999999497</v>
      </c>
      <c r="G1392">
        <f>1/2*$B$8*$B$6*$B$7*(Tabelle2[[#This Row],[vx]]*Tabelle2[[#This Row],[vx]]+Tabelle2[[#This Row],[vy]]*Tabelle2[[#This Row],[vy]])/1000000</f>
        <v>14.105360728179519</v>
      </c>
      <c r="H1392">
        <f>IF($B$3,-Tabelle2[[#This Row],[Fd]]*Tabelle2[[#This Row],[vx]]/Tabelle2[[#This Row],[v]],0)</f>
        <v>-1.0544004003705407</v>
      </c>
      <c r="I1392">
        <f t="shared" si="231"/>
        <v>-0.70293360024702711</v>
      </c>
      <c r="J1392">
        <f t="shared" si="232"/>
        <v>-1.4058672004940542E-2</v>
      </c>
      <c r="K1392">
        <f t="shared" si="233"/>
        <v>0.13336195546888244</v>
      </c>
      <c r="L1392">
        <f>-$B$5*$B$12-IF($B$3,Tabelle2[[#This Row],[Fd]]*Tabelle2[[#This Row],[vy]]/Tabelle2[[#This Row],[v]],0)</f>
        <v>-0.64910361662764515</v>
      </c>
      <c r="M1392">
        <f t="shared" si="234"/>
        <v>-0.4327357444184301</v>
      </c>
      <c r="N1392">
        <f t="shared" si="235"/>
        <v>-8.6547148883686018E-3</v>
      </c>
      <c r="O1392">
        <f t="shared" si="236"/>
        <v>-1.7810351551789998</v>
      </c>
      <c r="P1392" s="1">
        <f t="shared" si="238"/>
        <v>6.675127109446592</v>
      </c>
      <c r="Q1392" s="1">
        <f t="shared" si="239"/>
        <v>-89.047430401505807</v>
      </c>
      <c r="R1392">
        <f>SQRT(Tabelle2[[#This Row],[vx]]*Tabelle2[[#This Row],[vx]]+Tabelle2[[#This Row],[vy]]*Tabelle2[[#This Row],[vy]])</f>
        <v>89.297268620256744</v>
      </c>
      <c r="S1392">
        <f t="shared" si="240"/>
        <v>759.37211993787992</v>
      </c>
      <c r="T1392" s="1">
        <f t="shared" si="241"/>
        <v>-1183.0320518473443</v>
      </c>
    </row>
    <row r="1393" spans="6:20" x14ac:dyDescent="0.35">
      <c r="F1393" s="1">
        <f t="shared" si="237"/>
        <v>27.799999999999496</v>
      </c>
      <c r="G1393">
        <f>1/2*$B$8*$B$6*$B$7*(Tabelle2[[#This Row],[vx]]*Tabelle2[[#This Row],[vx]]+Tabelle2[[#This Row],[vy]]*Tabelle2[[#This Row],[vy]])/1000000</f>
        <v>14.10775574834264</v>
      </c>
      <c r="H1393">
        <f>IF($B$3,-Tabelle2[[#This Row],[Fd]]*Tabelle2[[#This Row],[vx]]/Tabelle2[[#This Row],[v]],0)</f>
        <v>-1.0522690218312649</v>
      </c>
      <c r="I1393">
        <f t="shared" si="231"/>
        <v>-0.70151268122084331</v>
      </c>
      <c r="J1393">
        <f t="shared" si="232"/>
        <v>-1.4030253624416867E-2</v>
      </c>
      <c r="K1393">
        <f t="shared" si="233"/>
        <v>0.13308106621258886</v>
      </c>
      <c r="L1393">
        <f>-$B$5*$B$12-IF($B$3,Tabelle2[[#This Row],[Fd]]*Tabelle2[[#This Row],[vy]]/Tabelle2[[#This Row],[v]],0)</f>
        <v>-0.64654229630735038</v>
      </c>
      <c r="M1393">
        <f t="shared" si="234"/>
        <v>-0.43102819753823357</v>
      </c>
      <c r="N1393">
        <f t="shared" si="235"/>
        <v>-8.6205639507646713E-3</v>
      </c>
      <c r="O1393">
        <f t="shared" si="236"/>
        <v>-1.781207907967391</v>
      </c>
      <c r="P1393" s="1">
        <f t="shared" si="238"/>
        <v>6.6610684374416511</v>
      </c>
      <c r="Q1393" s="1">
        <f t="shared" si="239"/>
        <v>-89.056085116394172</v>
      </c>
      <c r="R1393">
        <f>SQRT(Tabelle2[[#This Row],[vx]]*Tabelle2[[#This Row],[vx]]+Tabelle2[[#This Row],[vy]]*Tabelle2[[#This Row],[vy]])</f>
        <v>89.304849414725098</v>
      </c>
      <c r="S1393">
        <f t="shared" si="240"/>
        <v>759.50548189334881</v>
      </c>
      <c r="T1393" s="1">
        <f t="shared" si="241"/>
        <v>-1184.8130870025234</v>
      </c>
    </row>
    <row r="1394" spans="6:20" x14ac:dyDescent="0.35">
      <c r="F1394" s="1">
        <f t="shared" si="237"/>
        <v>27.819999999999496</v>
      </c>
      <c r="G1394">
        <f>1/2*$B$8*$B$6*$B$7*(Tabelle2[[#This Row],[vx]]*Tabelle2[[#This Row],[vx]]+Tabelle2[[#This Row],[vy]]*Tabelle2[[#This Row],[vy]])/1000000</f>
        <v>14.110141640193167</v>
      </c>
      <c r="H1394">
        <f>IF($B$3,-Tabelle2[[#This Row],[Fd]]*Tabelle2[[#This Row],[vx]]/Tabelle2[[#This Row],[v]],0)</f>
        <v>-1.0501414087108016</v>
      </c>
      <c r="I1394">
        <f t="shared" si="231"/>
        <v>-0.7000942724738678</v>
      </c>
      <c r="J1394">
        <f t="shared" si="232"/>
        <v>-1.4001885449477357E-2</v>
      </c>
      <c r="K1394">
        <f t="shared" si="233"/>
        <v>0.13280074482184992</v>
      </c>
      <c r="L1394">
        <f>-$B$5*$B$12-IF($B$3,Tabelle2[[#This Row],[Fd]]*Tabelle2[[#This Row],[vy]]/Tabelle2[[#This Row],[v]],0)</f>
        <v>-0.64399079212780741</v>
      </c>
      <c r="M1394">
        <f t="shared" si="234"/>
        <v>-0.42932719475187159</v>
      </c>
      <c r="N1394">
        <f t="shared" si="235"/>
        <v>-8.5865438950374316E-3</v>
      </c>
      <c r="O1394">
        <f t="shared" si="236"/>
        <v>-1.7813799790458493</v>
      </c>
      <c r="P1394" s="1">
        <f t="shared" si="238"/>
        <v>6.6470381838172345</v>
      </c>
      <c r="Q1394" s="1">
        <f t="shared" si="239"/>
        <v>-89.064705680344943</v>
      </c>
      <c r="R1394">
        <f>SQRT(Tabelle2[[#This Row],[vx]]*Tabelle2[[#This Row],[vx]]+Tabelle2[[#This Row],[vy]]*Tabelle2[[#This Row],[vy]])</f>
        <v>89.312400676186016</v>
      </c>
      <c r="S1394">
        <f t="shared" si="240"/>
        <v>759.63856295956145</v>
      </c>
      <c r="T1394" s="1">
        <f t="shared" si="241"/>
        <v>-1186.5942949104908</v>
      </c>
    </row>
    <row r="1395" spans="6:20" x14ac:dyDescent="0.35">
      <c r="F1395" s="1">
        <f t="shared" si="237"/>
        <v>27.839999999999495</v>
      </c>
      <c r="G1395">
        <f>1/2*$B$8*$B$6*$B$7*(Tabelle2[[#This Row],[vx]]*Tabelle2[[#This Row],[vx]]+Tabelle2[[#This Row],[vy]]*Tabelle2[[#This Row],[vy]])/1000000</f>
        <v>14.112518436440915</v>
      </c>
      <c r="H1395">
        <f>IF($B$3,-Tabelle2[[#This Row],[Fd]]*Tabelle2[[#This Row],[vx]]/Tabelle2[[#This Row],[v]],0)</f>
        <v>-1.0480175577167965</v>
      </c>
      <c r="I1395">
        <f t="shared" si="231"/>
        <v>-0.69867837181119763</v>
      </c>
      <c r="J1395">
        <f t="shared" si="232"/>
        <v>-1.3973567436223952E-2</v>
      </c>
      <c r="K1395">
        <f t="shared" si="233"/>
        <v>0.13252099029299289</v>
      </c>
      <c r="L1395">
        <f>-$B$5*$B$12-IF($B$3,Tabelle2[[#This Row],[Fd]]*Tabelle2[[#This Row],[vy]]/Tabelle2[[#This Row],[v]],0)</f>
        <v>-0.64144906863935525</v>
      </c>
      <c r="M1395">
        <f t="shared" si="234"/>
        <v>-0.42763271242623685</v>
      </c>
      <c r="N1395">
        <f t="shared" si="235"/>
        <v>-8.5526542485247371E-3</v>
      </c>
      <c r="O1395">
        <f t="shared" si="236"/>
        <v>-1.7815513710272848</v>
      </c>
      <c r="P1395" s="1">
        <f t="shared" si="238"/>
        <v>6.6330362983677569</v>
      </c>
      <c r="Q1395" s="1">
        <f t="shared" si="239"/>
        <v>-89.073292224239978</v>
      </c>
      <c r="R1395">
        <f>SQRT(Tabelle2[[#This Row],[vx]]*Tabelle2[[#This Row],[vx]]+Tabelle2[[#This Row],[vy]]*Tabelle2[[#This Row],[vy]])</f>
        <v>89.319922515642133</v>
      </c>
      <c r="S1395">
        <f t="shared" si="240"/>
        <v>759.77136370438325</v>
      </c>
      <c r="T1395" s="1">
        <f t="shared" si="241"/>
        <v>-1188.3756748895366</v>
      </c>
    </row>
    <row r="1396" spans="6:20" x14ac:dyDescent="0.35">
      <c r="F1396" s="1">
        <f t="shared" si="237"/>
        <v>27.859999999999495</v>
      </c>
      <c r="G1396">
        <f>1/2*$B$8*$B$6*$B$7*(Tabelle2[[#This Row],[vx]]*Tabelle2[[#This Row],[vx]]+Tabelle2[[#This Row],[vy]]*Tabelle2[[#This Row],[vy]])/1000000</f>
        <v>14.114886169694495</v>
      </c>
      <c r="H1396">
        <f>IF($B$3,-Tabelle2[[#This Row],[Fd]]*Tabelle2[[#This Row],[vx]]/Tabelle2[[#This Row],[v]],0)</f>
        <v>-1.0458974655367601</v>
      </c>
      <c r="I1396">
        <f t="shared" si="231"/>
        <v>-0.69726497702450674</v>
      </c>
      <c r="J1396">
        <f t="shared" si="232"/>
        <v>-1.3945299540490135E-2</v>
      </c>
      <c r="K1396">
        <f t="shared" si="233"/>
        <v>0.13224180162322577</v>
      </c>
      <c r="L1396">
        <f>-$B$5*$B$12-IF($B$3,Tabelle2[[#This Row],[Fd]]*Tabelle2[[#This Row],[vy]]/Tabelle2[[#This Row],[v]],0)</f>
        <v>-0.63891709050359857</v>
      </c>
      <c r="M1396">
        <f t="shared" si="234"/>
        <v>-0.42594472700239905</v>
      </c>
      <c r="N1396">
        <f t="shared" si="235"/>
        <v>-8.5188945400479811E-3</v>
      </c>
      <c r="O1396">
        <f t="shared" si="236"/>
        <v>-1.7817220865151706</v>
      </c>
      <c r="P1396" s="1">
        <f t="shared" si="238"/>
        <v>6.6190627309315326</v>
      </c>
      <c r="Q1396" s="1">
        <f t="shared" si="239"/>
        <v>-89.081844878488496</v>
      </c>
      <c r="R1396">
        <f>SQRT(Tabelle2[[#This Row],[vx]]*Tabelle2[[#This Row],[vx]]+Tabelle2[[#This Row],[vy]]*Tabelle2[[#This Row],[vy]])</f>
        <v>89.327415043709252</v>
      </c>
      <c r="S1396">
        <f t="shared" si="240"/>
        <v>759.90388469467621</v>
      </c>
      <c r="T1396" s="1">
        <f t="shared" si="241"/>
        <v>-1190.1572262605639</v>
      </c>
    </row>
    <row r="1397" spans="6:20" x14ac:dyDescent="0.35">
      <c r="F1397" s="1">
        <f t="shared" si="237"/>
        <v>27.879999999999495</v>
      </c>
      <c r="G1397">
        <f>1/2*$B$8*$B$6*$B$7*(Tabelle2[[#This Row],[vx]]*Tabelle2[[#This Row],[vx]]+Tabelle2[[#This Row],[vy]]*Tabelle2[[#This Row],[vy]])/1000000</f>
        <v>14.117244872461482</v>
      </c>
      <c r="H1397">
        <f>IF($B$3,-Tabelle2[[#This Row],[Fd]]*Tabelle2[[#This Row],[vx]]/Tabelle2[[#This Row],[v]],0)</f>
        <v>-1.0437811288382528</v>
      </c>
      <c r="I1397">
        <f t="shared" si="231"/>
        <v>-0.69585408589216857</v>
      </c>
      <c r="J1397">
        <f t="shared" si="232"/>
        <v>-1.3917081717843371E-2</v>
      </c>
      <c r="K1397">
        <f t="shared" si="233"/>
        <v>0.13196317781064243</v>
      </c>
      <c r="L1397">
        <f>-$B$5*$B$12-IF($B$3,Tabelle2[[#This Row],[Fd]]*Tabelle2[[#This Row],[vy]]/Tabelle2[[#This Row],[v]],0)</f>
        <v>-0.63639482249320345</v>
      </c>
      <c r="M1397">
        <f t="shared" si="234"/>
        <v>-0.42426321499546898</v>
      </c>
      <c r="N1397">
        <f t="shared" si="235"/>
        <v>-8.4852642999093796E-3</v>
      </c>
      <c r="O1397">
        <f t="shared" si="236"/>
        <v>-1.78189212810357</v>
      </c>
      <c r="P1397" s="1">
        <f t="shared" si="238"/>
        <v>6.6051174313910428</v>
      </c>
      <c r="Q1397" s="1">
        <f t="shared" si="239"/>
        <v>-89.090363773028542</v>
      </c>
      <c r="R1397">
        <f>SQRT(Tabelle2[[#This Row],[vx]]*Tabelle2[[#This Row],[vx]]+Tabelle2[[#This Row],[vy]]*Tabelle2[[#This Row],[vy]])</f>
        <v>89.334878370617503</v>
      </c>
      <c r="S1397">
        <f t="shared" si="240"/>
        <v>760.0361264962994</v>
      </c>
      <c r="T1397" s="1">
        <f t="shared" si="241"/>
        <v>-1191.9389483470791</v>
      </c>
    </row>
    <row r="1398" spans="6:20" x14ac:dyDescent="0.35">
      <c r="F1398" s="1">
        <f t="shared" si="237"/>
        <v>27.899999999999494</v>
      </c>
      <c r="G1398">
        <f>1/2*$B$8*$B$6*$B$7*(Tabelle2[[#This Row],[vx]]*Tabelle2[[#This Row],[vx]]+Tabelle2[[#This Row],[vy]]*Tabelle2[[#This Row],[vy]])/1000000</f>
        <v>14.119594577148606</v>
      </c>
      <c r="H1398">
        <f>IF($B$3,-Tabelle2[[#This Row],[Fd]]*Tabelle2[[#This Row],[vx]]/Tabelle2[[#This Row],[v]],0)</f>
        <v>-1.041668544269073</v>
      </c>
      <c r="I1398">
        <f t="shared" si="231"/>
        <v>-0.69444569617938201</v>
      </c>
      <c r="J1398">
        <f t="shared" si="232"/>
        <v>-1.388891392358764E-2</v>
      </c>
      <c r="K1398">
        <f t="shared" si="233"/>
        <v>0.13168511785422812</v>
      </c>
      <c r="L1398">
        <f>-$B$5*$B$12-IF($B$3,Tabelle2[[#This Row],[Fd]]*Tabelle2[[#This Row],[vy]]/Tabelle2[[#This Row],[v]],0)</f>
        <v>-0.63388222949169837</v>
      </c>
      <c r="M1398">
        <f t="shared" si="234"/>
        <v>-0.42258815299446556</v>
      </c>
      <c r="N1398">
        <f t="shared" si="235"/>
        <v>-8.4517630598893115E-3</v>
      </c>
      <c r="O1398">
        <f t="shared" si="236"/>
        <v>-1.7820614983771679</v>
      </c>
      <c r="P1398" s="1">
        <f t="shared" si="238"/>
        <v>6.5912003496731995</v>
      </c>
      <c r="Q1398" s="1">
        <f t="shared" si="239"/>
        <v>-89.098849037328449</v>
      </c>
      <c r="R1398">
        <f>SQRT(Tabelle2[[#This Row],[vx]]*Tabelle2[[#This Row],[vx]]+Tabelle2[[#This Row],[vy]]*Tabelle2[[#This Row],[vy]])</f>
        <v>89.342312606212388</v>
      </c>
      <c r="S1398">
        <f t="shared" si="240"/>
        <v>760.16808967411009</v>
      </c>
      <c r="T1398" s="1">
        <f t="shared" si="241"/>
        <v>-1193.7208404751827</v>
      </c>
    </row>
    <row r="1399" spans="6:20" x14ac:dyDescent="0.35">
      <c r="F1399" s="1">
        <f t="shared" si="237"/>
        <v>27.919999999999494</v>
      </c>
      <c r="G1399">
        <f>1/2*$B$8*$B$6*$B$7*(Tabelle2[[#This Row],[vx]]*Tabelle2[[#This Row],[vx]]+Tabelle2[[#This Row],[vy]]*Tabelle2[[#This Row],[vy]])/1000000</f>
        <v>14.121935316061929</v>
      </c>
      <c r="H1399">
        <f>IF($B$3,-Tabelle2[[#This Row],[Fd]]*Tabelle2[[#This Row],[vx]]/Tabelle2[[#This Row],[v]],0)</f>
        <v>-1.0395597084574411</v>
      </c>
      <c r="I1399">
        <f t="shared" si="231"/>
        <v>-0.69303980563829404</v>
      </c>
      <c r="J1399">
        <f t="shared" si="232"/>
        <v>-1.3860796112765882E-2</v>
      </c>
      <c r="K1399">
        <f t="shared" si="233"/>
        <v>0.13140762075386456</v>
      </c>
      <c r="L1399">
        <f>-$B$5*$B$12-IF($B$3,Tabelle2[[#This Row],[Fd]]*Tabelle2[[#This Row],[vy]]/Tabelle2[[#This Row],[v]],0)</f>
        <v>-0.63137927649323977</v>
      </c>
      <c r="M1399">
        <f t="shared" si="234"/>
        <v>-0.42091951766215985</v>
      </c>
      <c r="N1399">
        <f t="shared" si="235"/>
        <v>-8.4183903532431964E-3</v>
      </c>
      <c r="O1399">
        <f t="shared" si="236"/>
        <v>-1.7822301999112995</v>
      </c>
      <c r="P1399" s="1">
        <f t="shared" si="238"/>
        <v>6.5773114357496114</v>
      </c>
      <c r="Q1399" s="1">
        <f t="shared" si="239"/>
        <v>-89.107300800388344</v>
      </c>
      <c r="R1399">
        <f>SQRT(Tabelle2[[#This Row],[vx]]*Tabelle2[[#This Row],[vx]]+Tabelle2[[#This Row],[vy]]*Tabelle2[[#This Row],[vy]])</f>
        <v>89.349717859955945</v>
      </c>
      <c r="S1399">
        <f t="shared" si="240"/>
        <v>760.2997747919643</v>
      </c>
      <c r="T1399" s="1">
        <f t="shared" si="241"/>
        <v>-1195.5029019735598</v>
      </c>
    </row>
    <row r="1400" spans="6:20" x14ac:dyDescent="0.35">
      <c r="F1400" s="1">
        <f t="shared" si="237"/>
        <v>27.939999999999493</v>
      </c>
      <c r="G1400">
        <f>1/2*$B$8*$B$6*$B$7*(Tabelle2[[#This Row],[vx]]*Tabelle2[[#This Row],[vx]]+Tabelle2[[#This Row],[vy]]*Tabelle2[[#This Row],[vy]])/1000000</f>
        <v>14.124267121407042</v>
      </c>
      <c r="H1400">
        <f>IF($B$3,-Tabelle2[[#This Row],[Fd]]*Tabelle2[[#This Row],[vx]]/Tabelle2[[#This Row],[v]],0)</f>
        <v>-1.0374546180121862</v>
      </c>
      <c r="I1400">
        <f t="shared" si="231"/>
        <v>-0.69163641200812409</v>
      </c>
      <c r="J1400">
        <f t="shared" si="232"/>
        <v>-1.3832728240162483E-2</v>
      </c>
      <c r="K1400">
        <f t="shared" si="233"/>
        <v>0.1311306855103353</v>
      </c>
      <c r="L1400">
        <f>-$B$5*$B$12-IF($B$3,Tabelle2[[#This Row],[Fd]]*Tabelle2[[#This Row],[vy]]/Tabelle2[[#This Row],[v]],0)</f>
        <v>-0.62888592860241133</v>
      </c>
      <c r="M1400">
        <f t="shared" si="234"/>
        <v>-0.41925728573494087</v>
      </c>
      <c r="N1400">
        <f t="shared" si="235"/>
        <v>-8.3851457146988176E-3</v>
      </c>
      <c r="O1400">
        <f t="shared" si="236"/>
        <v>-1.7823982352719787</v>
      </c>
      <c r="P1400" s="1">
        <f t="shared" si="238"/>
        <v>6.5634506396368453</v>
      </c>
      <c r="Q1400" s="1">
        <f t="shared" si="239"/>
        <v>-89.115719190741586</v>
      </c>
      <c r="R1400">
        <f>SQRT(Tabelle2[[#This Row],[vx]]*Tabelle2[[#This Row],[vx]]+Tabelle2[[#This Row],[vy]]*Tabelle2[[#This Row],[vy]])</f>
        <v>89.357094240927836</v>
      </c>
      <c r="S1400">
        <f t="shared" si="240"/>
        <v>760.43118241271816</v>
      </c>
      <c r="T1400" s="1">
        <f t="shared" si="241"/>
        <v>-1197.2851321734711</v>
      </c>
    </row>
    <row r="1401" spans="6:20" x14ac:dyDescent="0.35">
      <c r="F1401" s="1">
        <f t="shared" si="237"/>
        <v>27.959999999999493</v>
      </c>
      <c r="G1401">
        <f>1/2*$B$8*$B$6*$B$7*(Tabelle2[[#This Row],[vx]]*Tabelle2[[#This Row],[vx]]+Tabelle2[[#This Row],[vy]]*Tabelle2[[#This Row],[vy]])/1000000</f>
        <v>14.126590025289252</v>
      </c>
      <c r="H1401">
        <f>IF($B$3,-Tabelle2[[#This Row],[Fd]]*Tabelle2[[#This Row],[vx]]/Tabelle2[[#This Row],[v]],0)</f>
        <v>-1.0353532695229286</v>
      </c>
      <c r="I1401">
        <f t="shared" si="231"/>
        <v>-0.69023551301528574</v>
      </c>
      <c r="J1401">
        <f t="shared" si="232"/>
        <v>-1.3804710260305716E-2</v>
      </c>
      <c r="K1401">
        <f t="shared" si="233"/>
        <v>0.13085431112533061</v>
      </c>
      <c r="L1401">
        <f>-$B$5*$B$12-IF($B$3,Tabelle2[[#This Row],[Fd]]*Tabelle2[[#This Row],[vy]]/Tabelle2[[#This Row],[v]],0)</f>
        <v>-0.62640215103398056</v>
      </c>
      <c r="M1401">
        <f t="shared" si="234"/>
        <v>-0.41760143402265371</v>
      </c>
      <c r="N1401">
        <f t="shared" si="235"/>
        <v>-8.352028680453075E-3</v>
      </c>
      <c r="O1401">
        <f t="shared" si="236"/>
        <v>-1.7825656070159304</v>
      </c>
      <c r="P1401" s="1">
        <f t="shared" si="238"/>
        <v>6.549617911396683</v>
      </c>
      <c r="Q1401" s="1">
        <f t="shared" si="239"/>
        <v>-89.124104336456284</v>
      </c>
      <c r="R1401">
        <f>SQRT(Tabelle2[[#This Row],[vx]]*Tabelle2[[#This Row],[vx]]+Tabelle2[[#This Row],[vy]]*Tabelle2[[#This Row],[vy]])</f>
        <v>89.364441857826392</v>
      </c>
      <c r="S1401">
        <f t="shared" si="240"/>
        <v>760.56231309822851</v>
      </c>
      <c r="T1401" s="1">
        <f t="shared" si="241"/>
        <v>-1199.0675304087431</v>
      </c>
    </row>
    <row r="1402" spans="6:20" x14ac:dyDescent="0.35">
      <c r="F1402" s="1">
        <f t="shared" si="237"/>
        <v>27.979999999999492</v>
      </c>
      <c r="G1402">
        <f>1/2*$B$8*$B$6*$B$7*(Tabelle2[[#This Row],[vx]]*Tabelle2[[#This Row],[vx]]+Tabelle2[[#This Row],[vy]]*Tabelle2[[#This Row],[vy]])/1000000</f>
        <v>14.128904059713761</v>
      </c>
      <c r="H1402">
        <f>IF($B$3,-Tabelle2[[#This Row],[Fd]]*Tabelle2[[#This Row],[vx]]/Tabelle2[[#This Row],[v]],0)</f>
        <v>-1.0332556595602609</v>
      </c>
      <c r="I1402">
        <f t="shared" si="231"/>
        <v>-0.68883710637350726</v>
      </c>
      <c r="J1402">
        <f t="shared" si="232"/>
        <v>-1.3776742127470145E-2</v>
      </c>
      <c r="K1402">
        <f t="shared" si="233"/>
        <v>0.13057849660145285</v>
      </c>
      <c r="L1402">
        <f>-$B$5*$B$12-IF($B$3,Tabelle2[[#This Row],[Fd]]*Tabelle2[[#This Row],[vy]]/Tabelle2[[#This Row],[v]],0)</f>
        <v>-0.62392790911271057</v>
      </c>
      <c r="M1402">
        <f t="shared" si="234"/>
        <v>-0.41595193940847369</v>
      </c>
      <c r="N1402">
        <f t="shared" si="235"/>
        <v>-8.3190387881694732E-3</v>
      </c>
      <c r="O1402">
        <f t="shared" si="236"/>
        <v>-1.7827323176906162</v>
      </c>
      <c r="P1402" s="1">
        <f t="shared" si="238"/>
        <v>6.535813201136377</v>
      </c>
      <c r="Q1402" s="1">
        <f t="shared" si="239"/>
        <v>-89.132456365136733</v>
      </c>
      <c r="R1402">
        <f>SQRT(Tabelle2[[#This Row],[vx]]*Tabelle2[[#This Row],[vx]]+Tabelle2[[#This Row],[vy]]*Tabelle2[[#This Row],[vy]])</f>
        <v>89.371760818969832</v>
      </c>
      <c r="S1402">
        <f t="shared" si="240"/>
        <v>760.6931674093538</v>
      </c>
      <c r="T1402" s="1">
        <f t="shared" si="241"/>
        <v>-1200.8500960157589</v>
      </c>
    </row>
    <row r="1403" spans="6:20" x14ac:dyDescent="0.35">
      <c r="F1403" s="1">
        <f t="shared" si="237"/>
        <v>27.999999999999492</v>
      </c>
      <c r="G1403">
        <f>1/2*$B$8*$B$6*$B$7*(Tabelle2[[#This Row],[vx]]*Tabelle2[[#This Row],[vx]]+Tabelle2[[#This Row],[vy]]*Tabelle2[[#This Row],[vy]])/1000000</f>
        <v>14.131209256585874</v>
      </c>
      <c r="H1403">
        <f>IF($B$3,-Tabelle2[[#This Row],[Fd]]*Tabelle2[[#This Row],[vx]]/Tabelle2[[#This Row],[v]],0)</f>
        <v>-1.0311617846759318</v>
      </c>
      <c r="I1403">
        <f t="shared" si="231"/>
        <v>-0.68744118978395452</v>
      </c>
      <c r="J1403">
        <f t="shared" si="232"/>
        <v>-1.3748823795679091E-2</v>
      </c>
      <c r="K1403">
        <f t="shared" si="233"/>
        <v>0.13030324094222137</v>
      </c>
      <c r="L1403">
        <f>-$B$5*$B$12-IF($B$3,Tabelle2[[#This Row],[Fd]]*Tabelle2[[#This Row],[vy]]/Tabelle2[[#This Row],[v]],0)</f>
        <v>-0.62146316827311665</v>
      </c>
      <c r="M1403">
        <f t="shared" si="234"/>
        <v>-0.41430877884874445</v>
      </c>
      <c r="N1403">
        <f t="shared" si="235"/>
        <v>-8.2861755769748895E-3</v>
      </c>
      <c r="O1403">
        <f t="shared" si="236"/>
        <v>-1.782898369834268</v>
      </c>
      <c r="P1403" s="1">
        <f t="shared" si="238"/>
        <v>6.5220364590089073</v>
      </c>
      <c r="Q1403" s="1">
        <f t="shared" si="239"/>
        <v>-89.140775403924906</v>
      </c>
      <c r="R1403">
        <f>SQRT(Tabelle2[[#This Row],[vx]]*Tabelle2[[#This Row],[vx]]+Tabelle2[[#This Row],[vy]]*Tabelle2[[#This Row],[vy]])</f>
        <v>89.3790512322973</v>
      </c>
      <c r="S1403">
        <f t="shared" si="240"/>
        <v>760.82374590595521</v>
      </c>
      <c r="T1403" s="1">
        <f t="shared" si="241"/>
        <v>-1202.6328283334497</v>
      </c>
    </row>
    <row r="1404" spans="6:20" x14ac:dyDescent="0.35">
      <c r="F1404" s="1">
        <f t="shared" si="237"/>
        <v>28.019999999999492</v>
      </c>
      <c r="G1404">
        <f>1/2*$B$8*$B$6*$B$7*(Tabelle2[[#This Row],[vx]]*Tabelle2[[#This Row],[vx]]+Tabelle2[[#This Row],[vy]]*Tabelle2[[#This Row],[vy]])/1000000</f>
        <v>14.133505647711157</v>
      </c>
      <c r="H1404">
        <f>IF($B$3,-Tabelle2[[#This Row],[Fd]]*Tabelle2[[#This Row],[vx]]/Tabelle2[[#This Row],[v]],0)</f>
        <v>-1.0290716414030243</v>
      </c>
      <c r="I1404">
        <f t="shared" si="231"/>
        <v>-0.68604776093534958</v>
      </c>
      <c r="J1404">
        <f t="shared" si="232"/>
        <v>-1.3720955218706992E-2</v>
      </c>
      <c r="K1404">
        <f t="shared" si="233"/>
        <v>0.13002854315207749</v>
      </c>
      <c r="L1404">
        <f>-$B$5*$B$12-IF($B$3,Tabelle2[[#This Row],[Fd]]*Tabelle2[[#This Row],[vy]]/Tabelle2[[#This Row],[v]],0)</f>
        <v>-0.61900789405927625</v>
      </c>
      <c r="M1404">
        <f t="shared" si="234"/>
        <v>-0.41267192937285085</v>
      </c>
      <c r="N1404">
        <f t="shared" si="235"/>
        <v>-8.2534385874570172E-3</v>
      </c>
      <c r="O1404">
        <f t="shared" si="236"/>
        <v>-1.7830637659759121</v>
      </c>
      <c r="P1404" s="1">
        <f t="shared" si="238"/>
        <v>6.508287635213228</v>
      </c>
      <c r="Q1404" s="1">
        <f t="shared" si="239"/>
        <v>-89.149061579501875</v>
      </c>
      <c r="R1404">
        <f>SQRT(Tabelle2[[#This Row],[vx]]*Tabelle2[[#This Row],[vx]]+Tabelle2[[#This Row],[vy]]*Tabelle2[[#This Row],[vy]])</f>
        <v>89.386313205369916</v>
      </c>
      <c r="S1404">
        <f t="shared" si="240"/>
        <v>760.95404914689743</v>
      </c>
      <c r="T1404" s="1">
        <f t="shared" si="241"/>
        <v>-1204.415726703284</v>
      </c>
    </row>
    <row r="1405" spans="6:20" x14ac:dyDescent="0.35">
      <c r="F1405" s="1">
        <f t="shared" si="237"/>
        <v>28.039999999999491</v>
      </c>
      <c r="G1405">
        <f>1/2*$B$8*$B$6*$B$7*(Tabelle2[[#This Row],[vx]]*Tabelle2[[#This Row],[vx]]+Tabelle2[[#This Row],[vy]]*Tabelle2[[#This Row],[vy]])/1000000</f>
        <v>14.135793264795664</v>
      </c>
      <c r="H1405">
        <f>IF($B$3,-Tabelle2[[#This Row],[Fd]]*Tabelle2[[#This Row],[vx]]/Tabelle2[[#This Row],[v]],0)</f>
        <v>-1.0269852262561365</v>
      </c>
      <c r="I1405">
        <f t="shared" si="231"/>
        <v>-0.68465681750409102</v>
      </c>
      <c r="J1405">
        <f t="shared" si="232"/>
        <v>-1.3693136350081821E-2</v>
      </c>
      <c r="K1405">
        <f t="shared" si="233"/>
        <v>0.12975440223638962</v>
      </c>
      <c r="L1405">
        <f>-$B$5*$B$12-IF($B$3,Tabelle2[[#This Row],[Fd]]*Tabelle2[[#This Row],[vy]]/Tabelle2[[#This Row],[v]],0)</f>
        <v>-0.61656205212456427</v>
      </c>
      <c r="M1405">
        <f t="shared" si="234"/>
        <v>-0.41104136808304287</v>
      </c>
      <c r="N1405">
        <f t="shared" si="235"/>
        <v>-8.2208273616608575E-3</v>
      </c>
      <c r="O1405">
        <f t="shared" si="236"/>
        <v>-1.7832285086354034</v>
      </c>
      <c r="P1405" s="1">
        <f t="shared" si="238"/>
        <v>6.494566679994521</v>
      </c>
      <c r="Q1405" s="1">
        <f t="shared" si="239"/>
        <v>-89.157315018089335</v>
      </c>
      <c r="R1405">
        <f>SQRT(Tabelle2[[#This Row],[vx]]*Tabelle2[[#This Row],[vx]]+Tabelle2[[#This Row],[vy]]*Tabelle2[[#This Row],[vy]])</f>
        <v>89.393546845371972</v>
      </c>
      <c r="S1405">
        <f t="shared" si="240"/>
        <v>761.08407769004953</v>
      </c>
      <c r="T1405" s="1">
        <f t="shared" si="241"/>
        <v>-1206.1987904692598</v>
      </c>
    </row>
    <row r="1406" spans="6:20" x14ac:dyDescent="0.35">
      <c r="F1406" s="1">
        <f t="shared" si="237"/>
        <v>28.059999999999491</v>
      </c>
      <c r="G1406">
        <f>1/2*$B$8*$B$6*$B$7*(Tabelle2[[#This Row],[vx]]*Tabelle2[[#This Row],[vx]]+Tabelle2[[#This Row],[vy]]*Tabelle2[[#This Row],[vy]])/1000000</f>
        <v>14.138072139446102</v>
      </c>
      <c r="H1406">
        <f>IF($B$3,-Tabelle2[[#This Row],[Fd]]*Tabelle2[[#This Row],[vx]]/Tabelle2[[#This Row],[v]],0)</f>
        <v>-1.0249025357315591</v>
      </c>
      <c r="I1406">
        <f t="shared" si="231"/>
        <v>-0.68326835715437273</v>
      </c>
      <c r="J1406">
        <f t="shared" si="232"/>
        <v>-1.3665367143087455E-2</v>
      </c>
      <c r="K1406">
        <f t="shared" si="233"/>
        <v>0.12948081720145793</v>
      </c>
      <c r="L1406">
        <f>-$B$5*$B$12-IF($B$3,Tabelle2[[#This Row],[Fd]]*Tabelle2[[#This Row],[vy]]/Tabelle2[[#This Row],[v]],0)</f>
        <v>-0.6141256082314861</v>
      </c>
      <c r="M1406">
        <f t="shared" si="234"/>
        <v>-0.40941707215432405</v>
      </c>
      <c r="N1406">
        <f t="shared" si="235"/>
        <v>-8.1883414430864807E-3</v>
      </c>
      <c r="O1406">
        <f t="shared" si="236"/>
        <v>-1.7833926003234506</v>
      </c>
      <c r="P1406" s="1">
        <f t="shared" si="238"/>
        <v>6.4808735436444396</v>
      </c>
      <c r="Q1406" s="1">
        <f t="shared" si="239"/>
        <v>-89.165535845450989</v>
      </c>
      <c r="R1406">
        <f>SQRT(Tabelle2[[#This Row],[vx]]*Tabelle2[[#This Row],[vx]]+Tabelle2[[#This Row],[vy]]*Tabelle2[[#This Row],[vy]])</f>
        <v>89.400752259111982</v>
      </c>
      <c r="S1406">
        <f t="shared" si="240"/>
        <v>761.21383209228588</v>
      </c>
      <c r="T1406" s="1">
        <f t="shared" si="241"/>
        <v>-1207.9820189778952</v>
      </c>
    </row>
    <row r="1407" spans="6:20" x14ac:dyDescent="0.35">
      <c r="F1407" s="1">
        <f t="shared" si="237"/>
        <v>28.07999999999949</v>
      </c>
      <c r="G1407">
        <f>1/2*$B$8*$B$6*$B$7*(Tabelle2[[#This Row],[vx]]*Tabelle2[[#This Row],[vx]]+Tabelle2[[#This Row],[vy]]*Tabelle2[[#This Row],[vy]])/1000000</f>
        <v>14.140342303170039</v>
      </c>
      <c r="H1407">
        <f>IF($B$3,-Tabelle2[[#This Row],[Fd]]*Tabelle2[[#This Row],[vx]]/Tabelle2[[#This Row],[v]],0)</f>
        <v>-1.0228235663074523</v>
      </c>
      <c r="I1407">
        <f t="shared" si="231"/>
        <v>-0.6818823775383015</v>
      </c>
      <c r="J1407">
        <f t="shared" si="232"/>
        <v>-1.3637647550766031E-2</v>
      </c>
      <c r="K1407">
        <f t="shared" si="233"/>
        <v>0.12920778705451938</v>
      </c>
      <c r="L1407">
        <f>-$B$5*$B$12-IF($B$3,Tabelle2[[#This Row],[Fd]]*Tabelle2[[#This Row],[vy]]/Tabelle2[[#This Row],[v]],0)</f>
        <v>-0.61169852825139692</v>
      </c>
      <c r="M1407">
        <f t="shared" si="234"/>
        <v>-0.40779901883426461</v>
      </c>
      <c r="N1407">
        <f t="shared" si="235"/>
        <v>-8.1559803766852925E-3</v>
      </c>
      <c r="O1407">
        <f t="shared" si="236"/>
        <v>-1.7835560435416487</v>
      </c>
      <c r="P1407" s="1">
        <f t="shared" si="238"/>
        <v>6.4672081765013525</v>
      </c>
      <c r="Q1407" s="1">
        <f t="shared" si="239"/>
        <v>-89.173724186894077</v>
      </c>
      <c r="R1407">
        <f>SQRT(Tabelle2[[#This Row],[vx]]*Tabelle2[[#This Row],[vx]]+Tabelle2[[#This Row],[vy]]*Tabelle2[[#This Row],[vy]])</f>
        <v>89.407929553023777</v>
      </c>
      <c r="S1407">
        <f t="shared" si="240"/>
        <v>761.34331290948739</v>
      </c>
      <c r="T1407" s="1">
        <f t="shared" si="241"/>
        <v>-1209.7654115782186</v>
      </c>
    </row>
    <row r="1408" spans="6:20" x14ac:dyDescent="0.35">
      <c r="F1408" s="1">
        <f t="shared" si="237"/>
        <v>28.09999999999949</v>
      </c>
      <c r="G1408">
        <f>1/2*$B$8*$B$6*$B$7*(Tabelle2[[#This Row],[vx]]*Tabelle2[[#This Row],[vx]]+Tabelle2[[#This Row],[vy]]*Tabelle2[[#This Row],[vy]])/1000000</f>
        <v>14.142603787376084</v>
      </c>
      <c r="H1408">
        <f>IF($B$3,-Tabelle2[[#This Row],[Fd]]*Tabelle2[[#This Row],[vx]]/Tabelle2[[#This Row],[v]],0)</f>
        <v>-1.0207483144440224</v>
      </c>
      <c r="I1408">
        <f t="shared" si="231"/>
        <v>-0.68049887629601491</v>
      </c>
      <c r="J1408">
        <f t="shared" si="232"/>
        <v>-1.3609977525920299E-2</v>
      </c>
      <c r="K1408">
        <f t="shared" si="233"/>
        <v>0.12893531080375253</v>
      </c>
      <c r="L1408">
        <f>-$B$5*$B$12-IF($B$3,Tabelle2[[#This Row],[Fd]]*Tabelle2[[#This Row],[vy]]/Tabelle2[[#This Row],[v]],0)</f>
        <v>-0.60928077816434012</v>
      </c>
      <c r="M1408">
        <f t="shared" si="234"/>
        <v>-0.40618718544289339</v>
      </c>
      <c r="N1408">
        <f t="shared" si="235"/>
        <v>-8.1237437088578675E-3</v>
      </c>
      <c r="O1408">
        <f t="shared" si="236"/>
        <v>-1.783718840782504</v>
      </c>
      <c r="P1408" s="1">
        <f t="shared" si="238"/>
        <v>6.4535705289505865</v>
      </c>
      <c r="Q1408" s="1">
        <f t="shared" si="239"/>
        <v>-89.181880167270762</v>
      </c>
      <c r="R1408">
        <f>SQRT(Tabelle2[[#This Row],[vx]]*Tabelle2[[#This Row],[vx]]+Tabelle2[[#This Row],[vy]]*Tabelle2[[#This Row],[vy]])</f>
        <v>89.415078833167627</v>
      </c>
      <c r="S1408">
        <f t="shared" si="240"/>
        <v>761.47252069654189</v>
      </c>
      <c r="T1408" s="1">
        <f t="shared" si="241"/>
        <v>-1211.5489676217603</v>
      </c>
    </row>
    <row r="1409" spans="6:20" x14ac:dyDescent="0.35">
      <c r="F1409" s="1">
        <f t="shared" si="237"/>
        <v>28.119999999999489</v>
      </c>
      <c r="G1409">
        <f>1/2*$B$8*$B$6*$B$7*(Tabelle2[[#This Row],[vx]]*Tabelle2[[#This Row],[vx]]+Tabelle2[[#This Row],[vy]]*Tabelle2[[#This Row],[vy]])/1000000</f>
        <v>14.144856623374089</v>
      </c>
      <c r="H1409">
        <f>IF($B$3,-Tabelle2[[#This Row],[Fd]]*Tabelle2[[#This Row],[vx]]/Tabelle2[[#This Row],[v]],0)</f>
        <v>-1.0186767765836973</v>
      </c>
      <c r="I1409">
        <f t="shared" si="231"/>
        <v>-0.67911785105579814</v>
      </c>
      <c r="J1409">
        <f t="shared" si="232"/>
        <v>-1.3582357021115963E-2</v>
      </c>
      <c r="K1409">
        <f t="shared" si="233"/>
        <v>0.12866338745828215</v>
      </c>
      <c r="L1409">
        <f>-$B$5*$B$12-IF($B$3,Tabelle2[[#This Row],[Fd]]*Tabelle2[[#This Row],[vy]]/Tabelle2[[#This Row],[v]],0)</f>
        <v>-0.60687232405877012</v>
      </c>
      <c r="M1409">
        <f t="shared" si="234"/>
        <v>-0.40458154937251339</v>
      </c>
      <c r="N1409">
        <f t="shared" si="235"/>
        <v>-8.0916309874502681E-3</v>
      </c>
      <c r="O1409">
        <f t="shared" si="236"/>
        <v>-1.7838809945294671</v>
      </c>
      <c r="P1409" s="1">
        <f t="shared" si="238"/>
        <v>6.4399605514246661</v>
      </c>
      <c r="Q1409" s="1">
        <f t="shared" si="239"/>
        <v>-89.190003910979627</v>
      </c>
      <c r="R1409">
        <f>SQRT(Tabelle2[[#This Row],[vx]]*Tabelle2[[#This Row],[vx]]+Tabelle2[[#This Row],[vy]]*Tabelle2[[#This Row],[vy]])</f>
        <v>89.422200205231292</v>
      </c>
      <c r="S1409">
        <f t="shared" si="240"/>
        <v>761.60145600734563</v>
      </c>
      <c r="T1409" s="1">
        <f t="shared" si="241"/>
        <v>-1213.3326864625428</v>
      </c>
    </row>
    <row r="1410" spans="6:20" x14ac:dyDescent="0.35">
      <c r="F1410" s="1">
        <f t="shared" si="237"/>
        <v>28.139999999999489</v>
      </c>
      <c r="G1410">
        <f>1/2*$B$8*$B$6*$B$7*(Tabelle2[[#This Row],[vx]]*Tabelle2[[#This Row],[vx]]+Tabelle2[[#This Row],[vy]]*Tabelle2[[#This Row],[vy]])/1000000</f>
        <v>14.147100842375341</v>
      </c>
      <c r="H1410">
        <f>IF($B$3,-Tabelle2[[#This Row],[Fd]]*Tabelle2[[#This Row],[vx]]/Tabelle2[[#This Row],[v]],0)</f>
        <v>-1.0166089491513</v>
      </c>
      <c r="I1410">
        <f t="shared" si="231"/>
        <v>-0.67773929943419997</v>
      </c>
      <c r="J1410">
        <f t="shared" si="232"/>
        <v>-1.3554785988683999E-2</v>
      </c>
      <c r="K1410">
        <f t="shared" si="233"/>
        <v>0.12839201602818415</v>
      </c>
      <c r="L1410">
        <f>-$B$5*$B$12-IF($B$3,Tabelle2[[#This Row],[Fd]]*Tabelle2[[#This Row],[vy]]/Tabelle2[[#This Row],[v]],0)</f>
        <v>-0.60447313213136589</v>
      </c>
      <c r="M1410">
        <f t="shared" si="234"/>
        <v>-0.40298208808757724</v>
      </c>
      <c r="N1410">
        <f t="shared" si="235"/>
        <v>-8.0596417617515449E-3</v>
      </c>
      <c r="O1410">
        <f t="shared" si="236"/>
        <v>-1.784042507256959</v>
      </c>
      <c r="P1410" s="1">
        <f t="shared" si="238"/>
        <v>6.4263781944035498</v>
      </c>
      <c r="Q1410" s="1">
        <f t="shared" si="239"/>
        <v>-89.198095541967078</v>
      </c>
      <c r="R1410">
        <f>SQRT(Tabelle2[[#This Row],[vx]]*Tabelle2[[#This Row],[vx]]+Tabelle2[[#This Row],[vy]]*Tabelle2[[#This Row],[vy]])</f>
        <v>89.429293774531132</v>
      </c>
      <c r="S1410">
        <f t="shared" si="240"/>
        <v>761.73011939480386</v>
      </c>
      <c r="T1410" s="1">
        <f t="shared" si="241"/>
        <v>-1215.1165674570723</v>
      </c>
    </row>
    <row r="1411" spans="6:20" x14ac:dyDescent="0.35">
      <c r="F1411" s="1">
        <f t="shared" si="237"/>
        <v>28.159999999999489</v>
      </c>
      <c r="G1411">
        <f>1/2*$B$8*$B$6*$B$7*(Tabelle2[[#This Row],[vx]]*Tabelle2[[#This Row],[vx]]+Tabelle2[[#This Row],[vy]]*Tabelle2[[#This Row],[vy]])/1000000</f>
        <v>14.149336475492751</v>
      </c>
      <c r="H1411">
        <f>IF($B$3,-Tabelle2[[#This Row],[Fd]]*Tabelle2[[#This Row],[vx]]/Tabelle2[[#This Row],[v]],0)</f>
        <v>-1.0145448285542218</v>
      </c>
      <c r="I1411">
        <f t="shared" ref="I1411:I1474" si="242">H1411/$B$5</f>
        <v>-0.67636321903614782</v>
      </c>
      <c r="J1411">
        <f t="shared" ref="J1411:J1474" si="243">I1411*$B$13</f>
        <v>-1.3527264380722957E-2</v>
      </c>
      <c r="K1411">
        <f t="shared" ref="K1411:K1474" si="244">$B$13*(P1411+J1411/2)</f>
        <v>0.12812119552449008</v>
      </c>
      <c r="L1411">
        <f>-$B$5*$B$12-IF($B$3,Tabelle2[[#This Row],[Fd]]*Tabelle2[[#This Row],[vy]]/Tabelle2[[#This Row],[v]],0)</f>
        <v>-0.60208316868679468</v>
      </c>
      <c r="M1411">
        <f t="shared" ref="M1411:M1474" si="245">L1411/$B$5</f>
        <v>-0.4013887791245298</v>
      </c>
      <c r="N1411">
        <f t="shared" ref="N1411:N1474" si="246">M1411*$B$13</f>
        <v>-8.0277755824905966E-3</v>
      </c>
      <c r="O1411">
        <f t="shared" ref="O1411:O1474" si="247">$B$13*(Q1411+N1411/2)</f>
        <v>-1.7842033814304015</v>
      </c>
      <c r="P1411" s="1">
        <f t="shared" si="238"/>
        <v>6.4128234084148659</v>
      </c>
      <c r="Q1411" s="1">
        <f t="shared" si="239"/>
        <v>-89.206155183728825</v>
      </c>
      <c r="R1411">
        <f>SQRT(Tabelle2[[#This Row],[vx]]*Tabelle2[[#This Row],[vx]]+Tabelle2[[#This Row],[vy]]*Tabelle2[[#This Row],[vy]])</f>
        <v>89.436359646013216</v>
      </c>
      <c r="S1411">
        <f t="shared" si="240"/>
        <v>761.85851141083208</v>
      </c>
      <c r="T1411" s="1">
        <f t="shared" si="241"/>
        <v>-1216.9006099643293</v>
      </c>
    </row>
    <row r="1412" spans="6:20" x14ac:dyDescent="0.35">
      <c r="F1412" s="1">
        <f t="shared" ref="F1412:F1475" si="248">F1411+$B$13</f>
        <v>28.179999999999488</v>
      </c>
      <c r="G1412">
        <f>1/2*$B$8*$B$6*$B$7*(Tabelle2[[#This Row],[vx]]*Tabelle2[[#This Row],[vx]]+Tabelle2[[#This Row],[vy]]*Tabelle2[[#This Row],[vy]])/1000000</f>
        <v>14.151563553741068</v>
      </c>
      <c r="H1412">
        <f>IF($B$3,-Tabelle2[[#This Row],[Fd]]*Tabelle2[[#This Row],[vx]]/Tabelle2[[#This Row],[v]],0)</f>
        <v>-1.0124844111825952</v>
      </c>
      <c r="I1412">
        <f t="shared" si="242"/>
        <v>-0.67498960745506353</v>
      </c>
      <c r="J1412">
        <f t="shared" si="243"/>
        <v>-1.3499792149101271E-2</v>
      </c>
      <c r="K1412">
        <f t="shared" si="244"/>
        <v>0.12785092495919184</v>
      </c>
      <c r="L1412">
        <f>-$B$5*$B$12-IF($B$3,Tabelle2[[#This Row],[Fd]]*Tabelle2[[#This Row],[vy]]/Tabelle2[[#This Row],[v]],0)</f>
        <v>-0.599702400137474</v>
      </c>
      <c r="M1412">
        <f t="shared" si="245"/>
        <v>-0.39980160009164933</v>
      </c>
      <c r="N1412">
        <f t="shared" si="246"/>
        <v>-7.996032001832987E-3</v>
      </c>
      <c r="O1412">
        <f t="shared" si="247"/>
        <v>-1.7843636195062447</v>
      </c>
      <c r="P1412" s="1">
        <f t="shared" ref="P1412:P1475" si="249">P1411+J1411</f>
        <v>6.3992961440341425</v>
      </c>
      <c r="Q1412" s="1">
        <f t="shared" ref="Q1412:Q1475" si="250">Q1411+N1411</f>
        <v>-89.214182959311316</v>
      </c>
      <c r="R1412">
        <f>SQRT(Tabelle2[[#This Row],[vx]]*Tabelle2[[#This Row],[vx]]+Tabelle2[[#This Row],[vy]]*Tabelle2[[#This Row],[vy]])</f>
        <v>89.443397924254441</v>
      </c>
      <c r="S1412">
        <f t="shared" ref="S1412:S1475" si="251">S1411+K1411</f>
        <v>761.98663260635658</v>
      </c>
      <c r="T1412" s="1">
        <f t="shared" ref="T1412:T1475" si="252">T1411+O1411</f>
        <v>-1218.6848133457597</v>
      </c>
    </row>
    <row r="1413" spans="6:20" x14ac:dyDescent="0.35">
      <c r="F1413" s="1">
        <f t="shared" si="248"/>
        <v>28.199999999999488</v>
      </c>
      <c r="G1413">
        <f>1/2*$B$8*$B$6*$B$7*(Tabelle2[[#This Row],[vx]]*Tabelle2[[#This Row],[vx]]+Tabelle2[[#This Row],[vy]]*Tabelle2[[#This Row],[vy]])/1000000</f>
        <v>14.153782108037044</v>
      </c>
      <c r="H1413">
        <f>IF($B$3,-Tabelle2[[#This Row],[Fd]]*Tabelle2[[#This Row],[vx]]/Tabelle2[[#This Row],[v]],0)</f>
        <v>-1.0104276934094636</v>
      </c>
      <c r="I1413">
        <f t="shared" si="242"/>
        <v>-0.67361846227297573</v>
      </c>
      <c r="J1413">
        <f t="shared" si="243"/>
        <v>-1.3472369245459515E-2</v>
      </c>
      <c r="K1413">
        <f t="shared" si="244"/>
        <v>0.12758120334524622</v>
      </c>
      <c r="L1413">
        <f>-$B$5*$B$12-IF($B$3,Tabelle2[[#This Row],[Fd]]*Tabelle2[[#This Row],[vy]]/Tabelle2[[#This Row],[v]],0)</f>
        <v>-0.59733079300337444</v>
      </c>
      <c r="M1413">
        <f t="shared" si="245"/>
        <v>-0.39822052866891627</v>
      </c>
      <c r="N1413">
        <f t="shared" si="246"/>
        <v>-7.9644105733783256E-3</v>
      </c>
      <c r="O1413">
        <f t="shared" si="247"/>
        <v>-1.7845232239319966</v>
      </c>
      <c r="P1413" s="1">
        <f t="shared" si="249"/>
        <v>6.3857963518850411</v>
      </c>
      <c r="Q1413" s="1">
        <f t="shared" si="250"/>
        <v>-89.222178991313143</v>
      </c>
      <c r="R1413">
        <f>SQRT(Tabelle2[[#This Row],[vx]]*Tabelle2[[#This Row],[vx]]+Tabelle2[[#This Row],[vy]]*Tabelle2[[#This Row],[vy]])</f>
        <v>89.450408713463517</v>
      </c>
      <c r="S1413">
        <f t="shared" si="251"/>
        <v>762.11448353131573</v>
      </c>
      <c r="T1413" s="1">
        <f t="shared" si="252"/>
        <v>-1220.4691769652659</v>
      </c>
    </row>
    <row r="1414" spans="6:20" x14ac:dyDescent="0.35">
      <c r="F1414" s="1">
        <f t="shared" si="248"/>
        <v>28.219999999999487</v>
      </c>
      <c r="G1414">
        <f>1/2*$B$8*$B$6*$B$7*(Tabelle2[[#This Row],[vx]]*Tabelle2[[#This Row],[vx]]+Tabelle2[[#This Row],[vy]]*Tabelle2[[#This Row],[vy]])/1000000</f>
        <v>14.155992169199662</v>
      </c>
      <c r="H1414">
        <f>IF($B$3,-Tabelle2[[#This Row],[Fd]]*Tabelle2[[#This Row],[vx]]/Tabelle2[[#This Row],[v]],0)</f>
        <v>-1.0083746715909525</v>
      </c>
      <c r="I1414">
        <f t="shared" si="242"/>
        <v>-0.67224978106063504</v>
      </c>
      <c r="J1414">
        <f t="shared" si="243"/>
        <v>-1.3444995621212701E-2</v>
      </c>
      <c r="K1414">
        <f t="shared" si="244"/>
        <v>0.12731202969657951</v>
      </c>
      <c r="L1414">
        <f>-$B$5*$B$12-IF($B$3,Tabelle2[[#This Row],[Fd]]*Tabelle2[[#This Row],[vy]]/Tabelle2[[#This Row],[v]],0)</f>
        <v>-0.59496831391175853</v>
      </c>
      <c r="M1414">
        <f t="shared" si="245"/>
        <v>-0.39664554260783902</v>
      </c>
      <c r="N1414">
        <f t="shared" si="246"/>
        <v>-7.9329108521567805E-3</v>
      </c>
      <c r="O1414">
        <f t="shared" si="247"/>
        <v>-1.7846821971462521</v>
      </c>
      <c r="P1414" s="1">
        <f t="shared" si="249"/>
        <v>6.3723239826395819</v>
      </c>
      <c r="Q1414" s="1">
        <f t="shared" si="250"/>
        <v>-89.230143401886522</v>
      </c>
      <c r="R1414">
        <f>SQRT(Tabelle2[[#This Row],[vx]]*Tabelle2[[#This Row],[vx]]+Tabelle2[[#This Row],[vy]]*Tabelle2[[#This Row],[vy]])</f>
        <v>89.457392117482144</v>
      </c>
      <c r="S1414">
        <f t="shared" si="251"/>
        <v>762.24206473466097</v>
      </c>
      <c r="T1414" s="1">
        <f t="shared" si="252"/>
        <v>-1222.2537001891978</v>
      </c>
    </row>
    <row r="1415" spans="6:20" x14ac:dyDescent="0.35">
      <c r="F1415" s="1">
        <f t="shared" si="248"/>
        <v>28.239999999999487</v>
      </c>
      <c r="G1415">
        <f>1/2*$B$8*$B$6*$B$7*(Tabelle2[[#This Row],[vx]]*Tabelle2[[#This Row],[vx]]+Tabelle2[[#This Row],[vy]]*Tabelle2[[#This Row],[vy]])/1000000</f>
        <v>14.158193767950317</v>
      </c>
      <c r="H1415">
        <f>IF($B$3,-Tabelle2[[#This Row],[Fd]]*Tabelle2[[#This Row],[vx]]/Tabelle2[[#This Row],[v]],0)</f>
        <v>-1.0063253420664384</v>
      </c>
      <c r="I1415">
        <f t="shared" si="242"/>
        <v>-0.67088356137762561</v>
      </c>
      <c r="J1415">
        <f t="shared" si="243"/>
        <v>-1.3417671227552512E-2</v>
      </c>
      <c r="K1415">
        <f t="shared" si="244"/>
        <v>0.12704340302809186</v>
      </c>
      <c r="L1415">
        <f>-$B$5*$B$12-IF($B$3,Tabelle2[[#This Row],[Fd]]*Tabelle2[[#This Row],[vy]]/Tabelle2[[#This Row],[v]],0)</f>
        <v>-0.59261492959698181</v>
      </c>
      <c r="M1415">
        <f t="shared" si="245"/>
        <v>-0.39507661973132119</v>
      </c>
      <c r="N1415">
        <f t="shared" si="246"/>
        <v>-7.9015323946264246E-3</v>
      </c>
      <c r="O1415">
        <f t="shared" si="247"/>
        <v>-1.7848405415787199</v>
      </c>
      <c r="P1415" s="1">
        <f t="shared" si="249"/>
        <v>6.3588789870183691</v>
      </c>
      <c r="Q1415" s="1">
        <f t="shared" si="250"/>
        <v>-89.238076312738684</v>
      </c>
      <c r="R1415">
        <f>SQRT(Tabelle2[[#This Row],[vx]]*Tabelle2[[#This Row],[vx]]+Tabelle2[[#This Row],[vy]]*Tabelle2[[#This Row],[vy]])</f>
        <v>89.464348239786091</v>
      </c>
      <c r="S1415">
        <f t="shared" si="251"/>
        <v>762.36937676435753</v>
      </c>
      <c r="T1415" s="1">
        <f t="shared" si="252"/>
        <v>-1224.038382386344</v>
      </c>
    </row>
    <row r="1416" spans="6:20" x14ac:dyDescent="0.35">
      <c r="F1416" s="1">
        <f t="shared" si="248"/>
        <v>28.259999999999486</v>
      </c>
      <c r="G1416">
        <f>1/2*$B$8*$B$6*$B$7*(Tabelle2[[#This Row],[vx]]*Tabelle2[[#This Row],[vx]]+Tabelle2[[#This Row],[vy]]*Tabelle2[[#This Row],[vy]])/1000000</f>
        <v>14.160386934913014</v>
      </c>
      <c r="H1416">
        <f>IF($B$3,-Tabelle2[[#This Row],[Fd]]*Tabelle2[[#This Row],[vx]]/Tabelle2[[#This Row],[v]],0)</f>
        <v>-1.0042797011587161</v>
      </c>
      <c r="I1416">
        <f t="shared" si="242"/>
        <v>-0.66951980077247741</v>
      </c>
      <c r="J1416">
        <f t="shared" si="243"/>
        <v>-1.3390396015449548E-2</v>
      </c>
      <c r="K1416">
        <f t="shared" si="244"/>
        <v>0.12677532235566186</v>
      </c>
      <c r="L1416">
        <f>-$B$5*$B$12-IF($B$3,Tabelle2[[#This Row],[Fd]]*Tabelle2[[#This Row],[vy]]/Tabelle2[[#This Row],[v]],0)</f>
        <v>-0.59027060690026012</v>
      </c>
      <c r="M1416">
        <f t="shared" si="245"/>
        <v>-0.39351373793350675</v>
      </c>
      <c r="N1416">
        <f t="shared" si="246"/>
        <v>-7.8702747586701354E-3</v>
      </c>
      <c r="O1416">
        <f t="shared" si="247"/>
        <v>-1.7849982596502529</v>
      </c>
      <c r="P1416" s="1">
        <f t="shared" si="249"/>
        <v>6.3454613157908168</v>
      </c>
      <c r="Q1416" s="1">
        <f t="shared" si="250"/>
        <v>-89.245977845133311</v>
      </c>
      <c r="R1416">
        <f>SQRT(Tabelle2[[#This Row],[vx]]*Tabelle2[[#This Row],[vx]]+Tabelle2[[#This Row],[vy]]*Tabelle2[[#This Row],[vy]])</f>
        <v>89.471277183486237</v>
      </c>
      <c r="S1416">
        <f t="shared" si="251"/>
        <v>762.49642016738562</v>
      </c>
      <c r="T1416" s="1">
        <f t="shared" si="252"/>
        <v>-1225.8232229279226</v>
      </c>
    </row>
    <row r="1417" spans="6:20" x14ac:dyDescent="0.35">
      <c r="F1417" s="1">
        <f t="shared" si="248"/>
        <v>28.279999999999486</v>
      </c>
      <c r="G1417">
        <f>1/2*$B$8*$B$6*$B$7*(Tabelle2[[#This Row],[vx]]*Tabelle2[[#This Row],[vx]]+Tabelle2[[#This Row],[vy]]*Tabelle2[[#This Row],[vy]])/1000000</f>
        <v>14.162571700614563</v>
      </c>
      <c r="H1417">
        <f>IF($B$3,-Tabelle2[[#This Row],[Fd]]*Tabelle2[[#This Row],[vx]]/Tabelle2[[#This Row],[v]],0)</f>
        <v>-1.0022377451741673</v>
      </c>
      <c r="I1417">
        <f t="shared" si="242"/>
        <v>-0.66815849678277817</v>
      </c>
      <c r="J1417">
        <f t="shared" si="243"/>
        <v>-1.3363169935655563E-2</v>
      </c>
      <c r="K1417">
        <f t="shared" si="244"/>
        <v>0.12650778669615081</v>
      </c>
      <c r="L1417">
        <f>-$B$5*$B$12-IF($B$3,Tabelle2[[#This Row],[Fd]]*Tabelle2[[#This Row],[vy]]/Tabelle2[[#This Row],[v]],0)</f>
        <v>-0.58793531276943867</v>
      </c>
      <c r="M1417">
        <f t="shared" si="245"/>
        <v>-0.3919568751796258</v>
      </c>
      <c r="N1417">
        <f t="shared" si="246"/>
        <v>-7.8391375035925161E-3</v>
      </c>
      <c r="O1417">
        <f t="shared" si="247"/>
        <v>-1.7851553537728757</v>
      </c>
      <c r="P1417" s="1">
        <f t="shared" si="249"/>
        <v>6.3320709197753677</v>
      </c>
      <c r="Q1417" s="1">
        <f t="shared" si="250"/>
        <v>-89.253848119891984</v>
      </c>
      <c r="R1417">
        <f>SQRT(Tabelle2[[#This Row],[vx]]*Tabelle2[[#This Row],[vx]]+Tabelle2[[#This Row],[vy]]*Tabelle2[[#This Row],[vy]])</f>
        <v>89.478179051329661</v>
      </c>
      <c r="S1417">
        <f t="shared" si="251"/>
        <v>762.62319548974131</v>
      </c>
      <c r="T1417" s="1">
        <f t="shared" si="252"/>
        <v>-1227.608221187573</v>
      </c>
    </row>
    <row r="1418" spans="6:20" x14ac:dyDescent="0.35">
      <c r="F1418" s="1">
        <f t="shared" si="248"/>
        <v>28.299999999999486</v>
      </c>
      <c r="G1418">
        <f>1/2*$B$8*$B$6*$B$7*(Tabelle2[[#This Row],[vx]]*Tabelle2[[#This Row],[vx]]+Tabelle2[[#This Row],[vy]]*Tabelle2[[#This Row],[vy]])/1000000</f>
        <v>14.164748095484802</v>
      </c>
      <c r="H1418">
        <f>IF($B$3,-Tabelle2[[#This Row],[Fd]]*Tabelle2[[#This Row],[vx]]/Tabelle2[[#This Row],[v]],0)</f>
        <v>-1.0001994704029253</v>
      </c>
      <c r="I1418">
        <f t="shared" si="242"/>
        <v>-0.6667996469352836</v>
      </c>
      <c r="J1418">
        <f t="shared" si="243"/>
        <v>-1.3335992938705672E-2</v>
      </c>
      <c r="K1418">
        <f t="shared" si="244"/>
        <v>0.12624079506740718</v>
      </c>
      <c r="L1418">
        <f>-$B$5*$B$12-IF($B$3,Tabelle2[[#This Row],[Fd]]*Tabelle2[[#This Row],[vy]]/Tabelle2[[#This Row],[v]],0)</f>
        <v>-0.58560901425875045</v>
      </c>
      <c r="M1418">
        <f t="shared" si="245"/>
        <v>-0.39040600950583365</v>
      </c>
      <c r="N1418">
        <f t="shared" si="246"/>
        <v>-7.8081201901166733E-3</v>
      </c>
      <c r="O1418">
        <f t="shared" si="247"/>
        <v>-1.7853118263498127</v>
      </c>
      <c r="P1418" s="1">
        <f t="shared" si="249"/>
        <v>6.318707749839712</v>
      </c>
      <c r="Q1418" s="1">
        <f t="shared" si="250"/>
        <v>-89.261687257395579</v>
      </c>
      <c r="R1418">
        <f>SQRT(Tabelle2[[#This Row],[vx]]*Tabelle2[[#This Row],[vx]]+Tabelle2[[#This Row],[vy]]*Tabelle2[[#This Row],[vy]])</f>
        <v>89.485053945700784</v>
      </c>
      <c r="S1418">
        <f t="shared" si="251"/>
        <v>762.74970327643746</v>
      </c>
      <c r="T1418" s="1">
        <f t="shared" si="252"/>
        <v>-1229.3933765413458</v>
      </c>
    </row>
    <row r="1419" spans="6:20" x14ac:dyDescent="0.35">
      <c r="F1419" s="1">
        <f t="shared" si="248"/>
        <v>28.319999999999485</v>
      </c>
      <c r="G1419">
        <f>1/2*$B$8*$B$6*$B$7*(Tabelle2[[#This Row],[vx]]*Tabelle2[[#This Row],[vx]]+Tabelle2[[#This Row],[vy]]*Tabelle2[[#This Row],[vy]])/1000000</f>
        <v>14.16691614985676</v>
      </c>
      <c r="H1419">
        <f>IF($B$3,-Tabelle2[[#This Row],[Fd]]*Tabelle2[[#This Row],[vx]]/Tabelle2[[#This Row],[v]],0)</f>
        <v>-0.99816487311904034</v>
      </c>
      <c r="I1419">
        <f t="shared" si="242"/>
        <v>-0.66544324874602689</v>
      </c>
      <c r="J1419">
        <f t="shared" si="243"/>
        <v>-1.3308864974920539E-2</v>
      </c>
      <c r="K1419">
        <f t="shared" si="244"/>
        <v>0.12597434648827091</v>
      </c>
      <c r="L1419">
        <f>-$B$5*$B$12-IF($B$3,Tabelle2[[#This Row],[Fd]]*Tabelle2[[#This Row],[vy]]/Tabelle2[[#This Row],[v]],0)</f>
        <v>-0.58329167852861552</v>
      </c>
      <c r="M1419">
        <f t="shared" si="245"/>
        <v>-0.388861119019077</v>
      </c>
      <c r="N1419">
        <f t="shared" si="246"/>
        <v>-7.7772223803815399E-3</v>
      </c>
      <c r="O1419">
        <f t="shared" si="247"/>
        <v>-1.7854676797755178</v>
      </c>
      <c r="P1419" s="1">
        <f t="shared" si="249"/>
        <v>6.3053717569010059</v>
      </c>
      <c r="Q1419" s="1">
        <f t="shared" si="250"/>
        <v>-89.269495377585699</v>
      </c>
      <c r="R1419">
        <f>SQRT(Tabelle2[[#This Row],[vx]]*Tabelle2[[#This Row],[vx]]+Tabelle2[[#This Row],[vy]]*Tabelle2[[#This Row],[vy]])</f>
        <v>89.491901968622386</v>
      </c>
      <c r="S1419">
        <f t="shared" si="251"/>
        <v>762.87594407150482</v>
      </c>
      <c r="T1419" s="1">
        <f t="shared" si="252"/>
        <v>-1231.1786883676957</v>
      </c>
    </row>
    <row r="1420" spans="6:20" x14ac:dyDescent="0.35">
      <c r="F1420" s="1">
        <f t="shared" si="248"/>
        <v>28.339999999999485</v>
      </c>
      <c r="G1420">
        <f>1/2*$B$8*$B$6*$B$7*(Tabelle2[[#This Row],[vx]]*Tabelle2[[#This Row],[vx]]+Tabelle2[[#This Row],[vy]]*Tabelle2[[#This Row],[vy]])/1000000</f>
        <v>14.169075893966889</v>
      </c>
      <c r="H1420">
        <f>IF($B$3,-Tabelle2[[#This Row],[Fd]]*Tabelle2[[#This Row],[vx]]/Tabelle2[[#This Row],[v]],0)</f>
        <v>-0.99613394958064527</v>
      </c>
      <c r="I1420">
        <f t="shared" si="242"/>
        <v>-0.66408929972043018</v>
      </c>
      <c r="J1420">
        <f t="shared" si="243"/>
        <v>-1.3281785994408603E-2</v>
      </c>
      <c r="K1420">
        <f t="shared" si="244"/>
        <v>0.12570843997857764</v>
      </c>
      <c r="L1420">
        <f>-$B$5*$B$12-IF($B$3,Tabelle2[[#This Row],[Fd]]*Tabelle2[[#This Row],[vy]]/Tabelle2[[#This Row],[v]],0)</f>
        <v>-0.5809832728453852</v>
      </c>
      <c r="M1420">
        <f t="shared" si="245"/>
        <v>-0.38732218189692347</v>
      </c>
      <c r="N1420">
        <f t="shared" si="246"/>
        <v>-7.7464436379384698E-3</v>
      </c>
      <c r="O1420">
        <f t="shared" si="247"/>
        <v>-1.7856229164357009</v>
      </c>
      <c r="P1420" s="1">
        <f t="shared" si="249"/>
        <v>6.2920628919260855</v>
      </c>
      <c r="Q1420" s="1">
        <f t="shared" si="250"/>
        <v>-89.277272599966082</v>
      </c>
      <c r="R1420">
        <f>SQRT(Tabelle2[[#This Row],[vx]]*Tabelle2[[#This Row],[vx]]+Tabelle2[[#This Row],[vy]]*Tabelle2[[#This Row],[vy]])</f>
        <v>89.498723221756677</v>
      </c>
      <c r="S1420">
        <f t="shared" si="251"/>
        <v>763.00191841799312</v>
      </c>
      <c r="T1420" s="1">
        <f t="shared" si="252"/>
        <v>-1232.9641560474713</v>
      </c>
    </row>
    <row r="1421" spans="6:20" x14ac:dyDescent="0.35">
      <c r="F1421" s="1">
        <f t="shared" si="248"/>
        <v>28.359999999999484</v>
      </c>
      <c r="G1421">
        <f>1/2*$B$8*$B$6*$B$7*(Tabelle2[[#This Row],[vx]]*Tabelle2[[#This Row],[vx]]+Tabelle2[[#This Row],[vy]]*Tabelle2[[#This Row],[vy]])/1000000</f>
        <v>14.171227357955242</v>
      </c>
      <c r="H1421">
        <f>IF($B$3,-Tabelle2[[#This Row],[Fd]]*Tabelle2[[#This Row],[vx]]/Tabelle2[[#This Row],[v]],0)</f>
        <v>-0.99410669603011648</v>
      </c>
      <c r="I1421">
        <f t="shared" si="242"/>
        <v>-0.66273779735341098</v>
      </c>
      <c r="J1421">
        <f t="shared" si="243"/>
        <v>-1.3254755947068221E-2</v>
      </c>
      <c r="K1421">
        <f t="shared" si="244"/>
        <v>0.12544307455916287</v>
      </c>
      <c r="L1421">
        <f>-$B$5*$B$12-IF($B$3,Tabelle2[[#This Row],[Fd]]*Tabelle2[[#This Row],[vy]]/Tabelle2[[#This Row],[v]],0)</f>
        <v>-0.57868376458112891</v>
      </c>
      <c r="M1421">
        <f t="shared" si="245"/>
        <v>-0.38578917638741927</v>
      </c>
      <c r="N1421">
        <f t="shared" si="246"/>
        <v>-7.7157835277483853E-3</v>
      </c>
      <c r="O1421">
        <f t="shared" si="247"/>
        <v>-1.785777538707358</v>
      </c>
      <c r="P1421" s="1">
        <f t="shared" si="249"/>
        <v>6.2787811059316772</v>
      </c>
      <c r="Q1421" s="1">
        <f t="shared" si="250"/>
        <v>-89.285019043604024</v>
      </c>
      <c r="R1421">
        <f>SQRT(Tabelle2[[#This Row],[vx]]*Tabelle2[[#This Row],[vx]]+Tabelle2[[#This Row],[vy]]*Tabelle2[[#This Row],[vy]])</f>
        <v>89.505517806406431</v>
      </c>
      <c r="S1421">
        <f t="shared" si="251"/>
        <v>763.12762685797168</v>
      </c>
      <c r="T1421" s="1">
        <f t="shared" si="252"/>
        <v>-1234.7497789639069</v>
      </c>
    </row>
    <row r="1422" spans="6:20" x14ac:dyDescent="0.35">
      <c r="F1422" s="1">
        <f t="shared" si="248"/>
        <v>28.379999999999484</v>
      </c>
      <c r="G1422">
        <f>1/2*$B$8*$B$6*$B$7*(Tabelle2[[#This Row],[vx]]*Tabelle2[[#This Row],[vx]]+Tabelle2[[#This Row],[vy]]*Tabelle2[[#This Row],[vy]])/1000000</f>
        <v>14.173370571865689</v>
      </c>
      <c r="H1422">
        <f>IF($B$3,-Tabelle2[[#This Row],[Fd]]*Tabelle2[[#This Row],[vx]]/Tabelle2[[#This Row],[v]],0)</f>
        <v>-0.99208310869423777</v>
      </c>
      <c r="I1422">
        <f t="shared" si="242"/>
        <v>-0.66138873912949181</v>
      </c>
      <c r="J1422">
        <f t="shared" si="243"/>
        <v>-1.3227774782589836E-2</v>
      </c>
      <c r="K1422">
        <f t="shared" si="244"/>
        <v>0.12517824925186627</v>
      </c>
      <c r="L1422">
        <f>-$B$5*$B$12-IF($B$3,Tabelle2[[#This Row],[Fd]]*Tabelle2[[#This Row],[vy]]/Tabelle2[[#This Row],[v]],0)</f>
        <v>-0.57639312121339437</v>
      </c>
      <c r="M1422">
        <f t="shared" si="245"/>
        <v>-0.3842620808089296</v>
      </c>
      <c r="N1422">
        <f t="shared" si="246"/>
        <v>-7.6852416161785923E-3</v>
      </c>
      <c r="O1422">
        <f t="shared" si="247"/>
        <v>-1.785931548958797</v>
      </c>
      <c r="P1422" s="1">
        <f t="shared" si="249"/>
        <v>6.2655263499846088</v>
      </c>
      <c r="Q1422" s="1">
        <f t="shared" si="250"/>
        <v>-89.292734827131767</v>
      </c>
      <c r="R1422">
        <f>SQRT(Tabelle2[[#This Row],[vx]]*Tabelle2[[#This Row],[vx]]+Tabelle2[[#This Row],[vy]]*Tabelle2[[#This Row],[vy]])</f>
        <v>89.512285823515995</v>
      </c>
      <c r="S1422">
        <f t="shared" si="251"/>
        <v>763.25306993253082</v>
      </c>
      <c r="T1422" s="1">
        <f t="shared" si="252"/>
        <v>-1236.5355565026143</v>
      </c>
    </row>
    <row r="1423" spans="6:20" x14ac:dyDescent="0.35">
      <c r="F1423" s="1">
        <f t="shared" si="248"/>
        <v>28.399999999999483</v>
      </c>
      <c r="G1423">
        <f>1/2*$B$8*$B$6*$B$7*(Tabelle2[[#This Row],[vx]]*Tabelle2[[#This Row],[vx]]+Tabelle2[[#This Row],[vy]]*Tabelle2[[#This Row],[vy]])/1000000</f>
        <v>14.175505565646112</v>
      </c>
      <c r="H1423">
        <f>IF($B$3,-Tabelle2[[#This Row],[Fd]]*Tabelle2[[#This Row],[vx]]/Tabelle2[[#This Row],[v]],0)</f>
        <v>-0.99006318378436087</v>
      </c>
      <c r="I1423">
        <f t="shared" si="242"/>
        <v>-0.66004212252290728</v>
      </c>
      <c r="J1423">
        <f t="shared" si="243"/>
        <v>-1.3200842450458146E-2</v>
      </c>
      <c r="K1423">
        <f t="shared" si="244"/>
        <v>0.12491396307953581</v>
      </c>
      <c r="L1423">
        <f>-$B$5*$B$12-IF($B$3,Tabelle2[[#This Row],[Fd]]*Tabelle2[[#This Row],[vy]]/Tabelle2[[#This Row],[v]],0)</f>
        <v>-0.5741113103249873</v>
      </c>
      <c r="M1423">
        <f t="shared" si="245"/>
        <v>-0.38274087354999153</v>
      </c>
      <c r="N1423">
        <f t="shared" si="246"/>
        <v>-7.6548174709998307E-3</v>
      </c>
      <c r="O1423">
        <f t="shared" si="247"/>
        <v>-1.7860849495496689</v>
      </c>
      <c r="P1423" s="1">
        <f t="shared" si="249"/>
        <v>6.252298575202019</v>
      </c>
      <c r="Q1423" s="1">
        <f t="shared" si="250"/>
        <v>-89.30042006874794</v>
      </c>
      <c r="R1423">
        <f>SQRT(Tabelle2[[#This Row],[vx]]*Tabelle2[[#This Row],[vx]]+Tabelle2[[#This Row],[vy]]*Tabelle2[[#This Row],[vy]])</f>
        <v>89.519027373672429</v>
      </c>
      <c r="S1423">
        <f t="shared" si="251"/>
        <v>763.37824818178274</v>
      </c>
      <c r="T1423" s="1">
        <f t="shared" si="252"/>
        <v>-1238.3214880515732</v>
      </c>
    </row>
    <row r="1424" spans="6:20" x14ac:dyDescent="0.35">
      <c r="F1424" s="1">
        <f t="shared" si="248"/>
        <v>28.419999999999483</v>
      </c>
      <c r="G1424">
        <f>1/2*$B$8*$B$6*$B$7*(Tabelle2[[#This Row],[vx]]*Tabelle2[[#This Row],[vx]]+Tabelle2[[#This Row],[vy]]*Tabelle2[[#This Row],[vy]])/1000000</f>
        <v>14.17763236914862</v>
      </c>
      <c r="H1424">
        <f>IF($B$3,-Tabelle2[[#This Row],[Fd]]*Tabelle2[[#This Row],[vx]]/Tabelle2[[#This Row],[v]],0)</f>
        <v>-0.98804691749656648</v>
      </c>
      <c r="I1424">
        <f t="shared" si="242"/>
        <v>-0.65869794499771095</v>
      </c>
      <c r="J1424">
        <f t="shared" si="243"/>
        <v>-1.317395889995422E-2</v>
      </c>
      <c r="K1424">
        <f t="shared" si="244"/>
        <v>0.12465021506603167</v>
      </c>
      <c r="L1424">
        <f>-$B$5*$B$12-IF($B$3,Tabelle2[[#This Row],[Fd]]*Tabelle2[[#This Row],[vy]]/Tabelle2[[#This Row],[v]],0)</f>
        <v>-0.57183829960371746</v>
      </c>
      <c r="M1424">
        <f t="shared" si="245"/>
        <v>-0.38122553306914497</v>
      </c>
      <c r="N1424">
        <f t="shared" si="246"/>
        <v>-7.6245106613829E-3</v>
      </c>
      <c r="O1424">
        <f t="shared" si="247"/>
        <v>-1.7862377428309928</v>
      </c>
      <c r="P1424" s="1">
        <f t="shared" si="249"/>
        <v>6.2390977327515609</v>
      </c>
      <c r="Q1424" s="1">
        <f t="shared" si="250"/>
        <v>-89.308074886218947</v>
      </c>
      <c r="R1424">
        <f>SQRT(Tabelle2[[#This Row],[vx]]*Tabelle2[[#This Row],[vx]]+Tabelle2[[#This Row],[vy]]*Tabelle2[[#This Row],[vy]])</f>
        <v>89.52574255710654</v>
      </c>
      <c r="S1424">
        <f t="shared" si="251"/>
        <v>763.50316214486224</v>
      </c>
      <c r="T1424" s="1">
        <f t="shared" si="252"/>
        <v>-1240.1075730011228</v>
      </c>
    </row>
    <row r="1425" spans="6:20" x14ac:dyDescent="0.35">
      <c r="F1425" s="1">
        <f t="shared" si="248"/>
        <v>28.439999999999483</v>
      </c>
      <c r="G1425">
        <f>1/2*$B$8*$B$6*$B$7*(Tabelle2[[#This Row],[vx]]*Tabelle2[[#This Row],[vx]]+Tabelle2[[#This Row],[vy]]*Tabelle2[[#This Row],[vy]])/1000000</f>
        <v>14.179751012129719</v>
      </c>
      <c r="H1425">
        <f>IF($B$3,-Tabelle2[[#This Row],[Fd]]*Tabelle2[[#This Row],[vx]]/Tabelle2[[#This Row],[v]],0)</f>
        <v>-0.98603430601182196</v>
      </c>
      <c r="I1425">
        <f t="shared" si="242"/>
        <v>-0.65735620400788131</v>
      </c>
      <c r="J1425">
        <f t="shared" si="243"/>
        <v>-1.3147124080157627E-2</v>
      </c>
      <c r="K1425">
        <f t="shared" si="244"/>
        <v>0.12438700423623056</v>
      </c>
      <c r="L1425">
        <f>-$B$5*$B$12-IF($B$3,Tabelle2[[#This Row],[Fd]]*Tabelle2[[#This Row],[vy]]/Tabelle2[[#This Row],[v]],0)</f>
        <v>-0.56957405684220497</v>
      </c>
      <c r="M1425">
        <f t="shared" si="245"/>
        <v>-0.37971603789480329</v>
      </c>
      <c r="N1425">
        <f t="shared" si="246"/>
        <v>-7.5943207578960661E-3</v>
      </c>
      <c r="O1425">
        <f t="shared" si="247"/>
        <v>-1.7863899311451856</v>
      </c>
      <c r="P1425" s="1">
        <f t="shared" si="249"/>
        <v>6.2259237738516067</v>
      </c>
      <c r="Q1425" s="1">
        <f t="shared" si="250"/>
        <v>-89.315699396880333</v>
      </c>
      <c r="R1425">
        <f>SQRT(Tabelle2[[#This Row],[vx]]*Tabelle2[[#This Row],[vx]]+Tabelle2[[#This Row],[vy]]*Tabelle2[[#This Row],[vy]])</f>
        <v>89.532431473693933</v>
      </c>
      <c r="S1425">
        <f t="shared" si="251"/>
        <v>763.62781235992827</v>
      </c>
      <c r="T1425" s="1">
        <f t="shared" si="252"/>
        <v>-1241.8938107439537</v>
      </c>
    </row>
    <row r="1426" spans="6:20" x14ac:dyDescent="0.35">
      <c r="F1426" s="1">
        <f t="shared" si="248"/>
        <v>28.459999999999482</v>
      </c>
      <c r="G1426">
        <f>1/2*$B$8*$B$6*$B$7*(Tabelle2[[#This Row],[vx]]*Tabelle2[[#This Row],[vx]]+Tabelle2[[#This Row],[vy]]*Tabelle2[[#This Row],[vy]])/1000000</f>
        <v>14.181861524250555</v>
      </c>
      <c r="H1426">
        <f>IF($B$3,-Tabelle2[[#This Row],[Fd]]*Tabelle2[[#This Row],[vx]]/Tabelle2[[#This Row],[v]],0)</f>
        <v>-0.98402534549614162</v>
      </c>
      <c r="I1426">
        <f t="shared" si="242"/>
        <v>-0.65601689699742771</v>
      </c>
      <c r="J1426">
        <f t="shared" si="243"/>
        <v>-1.3120337939948554E-2</v>
      </c>
      <c r="K1426">
        <f t="shared" si="244"/>
        <v>0.1241243296160295</v>
      </c>
      <c r="L1426">
        <f>-$B$5*$B$12-IF($B$3,Tabelle2[[#This Row],[Fd]]*Tabelle2[[#This Row],[vy]]/Tabelle2[[#This Row],[v]],0)</f>
        <v>-0.56731854993760855</v>
      </c>
      <c r="M1426">
        <f t="shared" si="245"/>
        <v>-0.37821236662507235</v>
      </c>
      <c r="N1426">
        <f t="shared" si="246"/>
        <v>-7.564247332501447E-3</v>
      </c>
      <c r="O1426">
        <f t="shared" si="247"/>
        <v>-1.7865415168260899</v>
      </c>
      <c r="P1426" s="1">
        <f t="shared" si="249"/>
        <v>6.2127766497714489</v>
      </c>
      <c r="Q1426" s="1">
        <f t="shared" si="250"/>
        <v>-89.323293717638236</v>
      </c>
      <c r="R1426">
        <f>SQRT(Tabelle2[[#This Row],[vx]]*Tabelle2[[#This Row],[vx]]+Tabelle2[[#This Row],[vy]]*Tabelle2[[#This Row],[vy]])</f>
        <v>89.539094222956123</v>
      </c>
      <c r="S1426">
        <f t="shared" si="251"/>
        <v>763.75219936416454</v>
      </c>
      <c r="T1426" s="1">
        <f t="shared" si="252"/>
        <v>-1243.6802006750988</v>
      </c>
    </row>
    <row r="1427" spans="6:20" x14ac:dyDescent="0.35">
      <c r="F1427" s="1">
        <f t="shared" si="248"/>
        <v>28.479999999999482</v>
      </c>
      <c r="G1427">
        <f>1/2*$B$8*$B$6*$B$7*(Tabelle2[[#This Row],[vx]]*Tabelle2[[#This Row],[vx]]+Tabelle2[[#This Row],[vy]]*Tabelle2[[#This Row],[vy]])/1000000</f>
        <v>14.18396393507709</v>
      </c>
      <c r="H1427">
        <f>IF($B$3,-Tabelle2[[#This Row],[Fd]]*Tabelle2[[#This Row],[vx]]/Tabelle2[[#This Row],[v]],0)</f>
        <v>-0.98202003210074307</v>
      </c>
      <c r="I1427">
        <f t="shared" si="242"/>
        <v>-0.65468002140049542</v>
      </c>
      <c r="J1427">
        <f t="shared" si="243"/>
        <v>-1.3093600428009909E-2</v>
      </c>
      <c r="K1427">
        <f t="shared" si="244"/>
        <v>0.12386219023234991</v>
      </c>
      <c r="L1427">
        <f>-$B$5*$B$12-IF($B$3,Tabelle2[[#This Row],[Fd]]*Tabelle2[[#This Row],[vy]]/Tabelle2[[#This Row],[v]],0)</f>
        <v>-0.56507174689142126</v>
      </c>
      <c r="M1427">
        <f t="shared" si="245"/>
        <v>-0.37671449792761419</v>
      </c>
      <c r="N1427">
        <f t="shared" si="246"/>
        <v>-7.534289958552284E-3</v>
      </c>
      <c r="O1427">
        <f t="shared" si="247"/>
        <v>-1.7866925021990003</v>
      </c>
      <c r="P1427" s="1">
        <f t="shared" si="249"/>
        <v>6.1996563118315002</v>
      </c>
      <c r="Q1427" s="1">
        <f t="shared" si="250"/>
        <v>-89.330857964970733</v>
      </c>
      <c r="R1427">
        <f>SQRT(Tabelle2[[#This Row],[vx]]*Tabelle2[[#This Row],[vx]]+Tabelle2[[#This Row],[vy]]*Tabelle2[[#This Row],[vy]])</f>
        <v>89.545730904061571</v>
      </c>
      <c r="S1427">
        <f t="shared" si="251"/>
        <v>763.87632369378059</v>
      </c>
      <c r="T1427" s="1">
        <f t="shared" si="252"/>
        <v>-1245.4667421919248</v>
      </c>
    </row>
    <row r="1428" spans="6:20" x14ac:dyDescent="0.35">
      <c r="F1428" s="1">
        <f t="shared" si="248"/>
        <v>28.499999999999481</v>
      </c>
      <c r="G1428">
        <f>1/2*$B$8*$B$6*$B$7*(Tabelle2[[#This Row],[vx]]*Tabelle2[[#This Row],[vx]]+Tabelle2[[#This Row],[vy]]*Tabelle2[[#This Row],[vy]])/1000000</f>
        <v>14.186058274080326</v>
      </c>
      <c r="H1428">
        <f>IF($B$3,-Tabelle2[[#This Row],[Fd]]*Tabelle2[[#This Row],[vx]]/Tabelle2[[#This Row],[v]],0)</f>
        <v>-0.98001836196220449</v>
      </c>
      <c r="I1428">
        <f t="shared" si="242"/>
        <v>-0.6533455746414697</v>
      </c>
      <c r="J1428">
        <f t="shared" si="243"/>
        <v>-1.3066911492829394E-2</v>
      </c>
      <c r="K1428">
        <f t="shared" si="244"/>
        <v>0.12360058511314151</v>
      </c>
      <c r="L1428">
        <f>-$B$5*$B$12-IF($B$3,Tabelle2[[#This Row],[Fd]]*Tabelle2[[#This Row],[vy]]/Tabelle2[[#This Row],[v]],0)</f>
        <v>-0.5628336158092111</v>
      </c>
      <c r="M1428">
        <f t="shared" si="245"/>
        <v>-0.37522241053947408</v>
      </c>
      <c r="N1428">
        <f t="shared" si="246"/>
        <v>-7.5044482107894817E-3</v>
      </c>
      <c r="O1428">
        <f t="shared" si="247"/>
        <v>-1.7868428895806938</v>
      </c>
      <c r="P1428" s="1">
        <f t="shared" si="249"/>
        <v>6.1865627114034902</v>
      </c>
      <c r="Q1428" s="1">
        <f t="shared" si="250"/>
        <v>-89.338392254929289</v>
      </c>
      <c r="R1428">
        <f>SQRT(Tabelle2[[#This Row],[vx]]*Tabelle2[[#This Row],[vx]]+Tabelle2[[#This Row],[vy]]*Tabelle2[[#This Row],[vy]])</f>
        <v>89.552341615826762</v>
      </c>
      <c r="S1428">
        <f t="shared" si="251"/>
        <v>764.00018588401292</v>
      </c>
      <c r="T1428" s="1">
        <f t="shared" si="252"/>
        <v>-1247.2534346941238</v>
      </c>
    </row>
    <row r="1429" spans="6:20" x14ac:dyDescent="0.35">
      <c r="F1429" s="1">
        <f t="shared" si="248"/>
        <v>28.519999999999481</v>
      </c>
      <c r="G1429">
        <f>1/2*$B$8*$B$6*$B$7*(Tabelle2[[#This Row],[vx]]*Tabelle2[[#This Row],[vx]]+Tabelle2[[#This Row],[vy]]*Tabelle2[[#This Row],[vy]])/1000000</f>
        <v>14.18814457063649</v>
      </c>
      <c r="H1429">
        <f>IF($B$3,-Tabelle2[[#This Row],[Fd]]*Tabelle2[[#This Row],[vx]]/Tabelle2[[#This Row],[v]],0)</f>
        <v>-0.978020331202619</v>
      </c>
      <c r="I1429">
        <f t="shared" si="242"/>
        <v>-0.65201355413507933</v>
      </c>
      <c r="J1429">
        <f t="shared" si="243"/>
        <v>-1.3040271082701588E-2</v>
      </c>
      <c r="K1429">
        <f t="shared" si="244"/>
        <v>0.12333951328738621</v>
      </c>
      <c r="L1429">
        <f>-$B$5*$B$12-IF($B$3,Tabelle2[[#This Row],[Fd]]*Tabelle2[[#This Row],[vy]]/Tabelle2[[#This Row],[v]],0)</f>
        <v>-0.56060412490042033</v>
      </c>
      <c r="M1429">
        <f t="shared" si="245"/>
        <v>-0.37373608326694691</v>
      </c>
      <c r="N1429">
        <f t="shared" si="246"/>
        <v>-7.4747216653389386E-3</v>
      </c>
      <c r="O1429">
        <f t="shared" si="247"/>
        <v>-1.7869926812794552</v>
      </c>
      <c r="P1429" s="1">
        <f t="shared" si="249"/>
        <v>6.1734957999106612</v>
      </c>
      <c r="Q1429" s="1">
        <f t="shared" si="250"/>
        <v>-89.345896703140085</v>
      </c>
      <c r="R1429">
        <f>SQRT(Tabelle2[[#This Row],[vx]]*Tabelle2[[#This Row],[vx]]+Tabelle2[[#This Row],[vy]]*Tabelle2[[#This Row],[vy]])</f>
        <v>89.558926456717273</v>
      </c>
      <c r="S1429">
        <f t="shared" si="251"/>
        <v>764.12378646912612</v>
      </c>
      <c r="T1429" s="1">
        <f t="shared" si="252"/>
        <v>-1249.0402775837044</v>
      </c>
    </row>
    <row r="1430" spans="6:20" x14ac:dyDescent="0.35">
      <c r="F1430" s="1">
        <f t="shared" si="248"/>
        <v>28.53999999999948</v>
      </c>
      <c r="G1430">
        <f>1/2*$B$8*$B$6*$B$7*(Tabelle2[[#This Row],[vx]]*Tabelle2[[#This Row],[vx]]+Tabelle2[[#This Row],[vy]]*Tabelle2[[#This Row],[vy]])/1000000</f>
        <v>14.190222854027249</v>
      </c>
      <c r="H1430">
        <f>IF($B$3,-Tabelle2[[#This Row],[Fd]]*Tabelle2[[#This Row],[vx]]/Tabelle2[[#This Row],[v]],0)</f>
        <v>-0.97602593592975018</v>
      </c>
      <c r="I1430">
        <f t="shared" si="242"/>
        <v>-0.65068395728650008</v>
      </c>
      <c r="J1430">
        <f t="shared" si="243"/>
        <v>-1.3013679145730001E-2</v>
      </c>
      <c r="K1430">
        <f t="shared" si="244"/>
        <v>0.12307897378510189</v>
      </c>
      <c r="L1430">
        <f>-$B$5*$B$12-IF($B$3,Tabelle2[[#This Row],[Fd]]*Tabelle2[[#This Row],[vy]]/Tabelle2[[#This Row],[v]],0)</f>
        <v>-0.55838324247810611</v>
      </c>
      <c r="M1430">
        <f t="shared" si="245"/>
        <v>-0.37225549498540406</v>
      </c>
      <c r="N1430">
        <f t="shared" si="246"/>
        <v>-7.4451098997080816E-3</v>
      </c>
      <c r="O1430">
        <f t="shared" si="247"/>
        <v>-1.7871418795951055</v>
      </c>
      <c r="P1430" s="1">
        <f t="shared" si="249"/>
        <v>6.1604555288279599</v>
      </c>
      <c r="Q1430" s="1">
        <f t="shared" si="250"/>
        <v>-89.353371424805417</v>
      </c>
      <c r="R1430">
        <f>SQRT(Tabelle2[[#This Row],[vx]]*Tabelle2[[#This Row],[vx]]+Tabelle2[[#This Row],[vy]]*Tabelle2[[#This Row],[vy]])</f>
        <v>89.565485524848796</v>
      </c>
      <c r="S1430">
        <f t="shared" si="251"/>
        <v>764.24712598241354</v>
      </c>
      <c r="T1430" s="1">
        <f t="shared" si="252"/>
        <v>-1250.8272702649838</v>
      </c>
    </row>
    <row r="1431" spans="6:20" x14ac:dyDescent="0.35">
      <c r="F1431" s="1">
        <f t="shared" si="248"/>
        <v>28.55999999999948</v>
      </c>
      <c r="G1431">
        <f>1/2*$B$8*$B$6*$B$7*(Tabelle2[[#This Row],[vx]]*Tabelle2[[#This Row],[vx]]+Tabelle2[[#This Row],[vy]]*Tabelle2[[#This Row],[vy]])/1000000</f>
        <v>14.192293153439923</v>
      </c>
      <c r="H1431">
        <f>IF($B$3,-Tabelle2[[#This Row],[Fd]]*Tabelle2[[#This Row],[vx]]/Tabelle2[[#This Row],[v]],0)</f>
        <v>-0.97403517223718561</v>
      </c>
      <c r="I1431">
        <f t="shared" si="242"/>
        <v>-0.64935678149145704</v>
      </c>
      <c r="J1431">
        <f t="shared" si="243"/>
        <v>-1.2987135629829141E-2</v>
      </c>
      <c r="K1431">
        <f t="shared" si="244"/>
        <v>0.1228189656373463</v>
      </c>
      <c r="L1431">
        <f>-$B$5*$B$12-IF($B$3,Tabelle2[[#This Row],[Fd]]*Tabelle2[[#This Row],[vy]]/Tabelle2[[#This Row],[v]],0)</f>
        <v>-0.55617093695871134</v>
      </c>
      <c r="M1431">
        <f t="shared" si="245"/>
        <v>-0.37078062463914091</v>
      </c>
      <c r="N1431">
        <f t="shared" si="246"/>
        <v>-7.4156124927828183E-3</v>
      </c>
      <c r="O1431">
        <f t="shared" si="247"/>
        <v>-1.7872904868190305</v>
      </c>
      <c r="P1431" s="1">
        <f t="shared" si="249"/>
        <v>6.1474418496822301</v>
      </c>
      <c r="Q1431" s="1">
        <f t="shared" si="250"/>
        <v>-89.360816534705123</v>
      </c>
      <c r="R1431">
        <f>SQRT(Tabelle2[[#This Row],[vx]]*Tabelle2[[#This Row],[vx]]+Tabelle2[[#This Row],[vy]]*Tabelle2[[#This Row],[vy]])</f>
        <v>89.572018917988288</v>
      </c>
      <c r="S1431">
        <f t="shared" si="251"/>
        <v>764.37020495619868</v>
      </c>
      <c r="T1431" s="1">
        <f t="shared" si="252"/>
        <v>-1252.6144121445789</v>
      </c>
    </row>
    <row r="1432" spans="6:20" x14ac:dyDescent="0.35">
      <c r="F1432" s="1">
        <f t="shared" si="248"/>
        <v>28.57999999999948</v>
      </c>
      <c r="G1432">
        <f>1/2*$B$8*$B$6*$B$7*(Tabelle2[[#This Row],[vx]]*Tabelle2[[#This Row],[vx]]+Tabelle2[[#This Row],[vy]]*Tabelle2[[#This Row],[vy]])/1000000</f>
        <v>14.194355497967683</v>
      </c>
      <c r="H1432">
        <f>IF($B$3,-Tabelle2[[#This Row],[Fd]]*Tabelle2[[#This Row],[vx]]/Tabelle2[[#This Row],[v]],0)</f>
        <v>-0.97204803620448976</v>
      </c>
      <c r="I1432">
        <f t="shared" si="242"/>
        <v>-0.64803202413632655</v>
      </c>
      <c r="J1432">
        <f t="shared" si="243"/>
        <v>-1.2960640482726531E-2</v>
      </c>
      <c r="K1432">
        <f t="shared" si="244"/>
        <v>0.12255948787622076</v>
      </c>
      <c r="L1432">
        <f>-$B$5*$B$12-IF($B$3,Tabelle2[[#This Row],[Fd]]*Tabelle2[[#This Row],[vy]]/Tabelle2[[#This Row],[v]],0)</f>
        <v>-0.55396717686183727</v>
      </c>
      <c r="M1432">
        <f t="shared" si="245"/>
        <v>-0.36931145124122483</v>
      </c>
      <c r="N1432">
        <f t="shared" si="246"/>
        <v>-7.3862290248244969E-3</v>
      </c>
      <c r="O1432">
        <f t="shared" si="247"/>
        <v>-1.7874385052342063</v>
      </c>
      <c r="P1432" s="1">
        <f t="shared" si="249"/>
        <v>6.1344547140524011</v>
      </c>
      <c r="Q1432" s="1">
        <f t="shared" si="250"/>
        <v>-89.368232147197901</v>
      </c>
      <c r="R1432">
        <f>SQRT(Tabelle2[[#This Row],[vx]]*Tabelle2[[#This Row],[vx]]+Tabelle2[[#This Row],[vy]]*Tabelle2[[#This Row],[vy]])</f>
        <v>89.578526733554938</v>
      </c>
      <c r="S1432">
        <f t="shared" si="251"/>
        <v>764.49302392183597</v>
      </c>
      <c r="T1432" s="1">
        <f t="shared" si="252"/>
        <v>-1254.4017026313979</v>
      </c>
    </row>
    <row r="1433" spans="6:20" x14ac:dyDescent="0.35">
      <c r="F1433" s="1">
        <f t="shared" si="248"/>
        <v>28.599999999999479</v>
      </c>
      <c r="G1433">
        <f>1/2*$B$8*$B$6*$B$7*(Tabelle2[[#This Row],[vx]]*Tabelle2[[#This Row],[vx]]+Tabelle2[[#This Row],[vy]]*Tabelle2[[#This Row],[vy]])/1000000</f>
        <v>14.196409916609749</v>
      </c>
      <c r="H1433">
        <f>IF($B$3,-Tabelle2[[#This Row],[Fd]]*Tabelle2[[#This Row],[vx]]/Tabelle2[[#This Row],[v]],0)</f>
        <v>-0.97006452389735531</v>
      </c>
      <c r="I1433">
        <f t="shared" si="242"/>
        <v>-0.64670968259823691</v>
      </c>
      <c r="J1433">
        <f t="shared" si="243"/>
        <v>-1.2934193651964739E-2</v>
      </c>
      <c r="K1433">
        <f t="shared" si="244"/>
        <v>0.12230053953487384</v>
      </c>
      <c r="L1433">
        <f>-$B$5*$B$12-IF($B$3,Tabelle2[[#This Row],[Fd]]*Tabelle2[[#This Row],[vy]]/Tabelle2[[#This Row],[v]],0)</f>
        <v>-0.55177193081000198</v>
      </c>
      <c r="M1433">
        <f t="shared" si="245"/>
        <v>-0.36784795387333463</v>
      </c>
      <c r="N1433">
        <f t="shared" si="246"/>
        <v>-7.3569590774666925E-3</v>
      </c>
      <c r="O1433">
        <f t="shared" si="247"/>
        <v>-1.7875859371152294</v>
      </c>
      <c r="P1433" s="1">
        <f t="shared" si="249"/>
        <v>6.1214940735696741</v>
      </c>
      <c r="Q1433" s="1">
        <f t="shared" si="250"/>
        <v>-89.375618376222732</v>
      </c>
      <c r="R1433">
        <f>SQRT(Tabelle2[[#This Row],[vx]]*Tabelle2[[#This Row],[vx]]+Tabelle2[[#This Row],[vy]]*Tabelle2[[#This Row],[vy]])</f>
        <v>89.585009068621247</v>
      </c>
      <c r="S1433">
        <f t="shared" si="251"/>
        <v>764.61558340971214</v>
      </c>
      <c r="T1433" s="1">
        <f t="shared" si="252"/>
        <v>-1256.1891411366321</v>
      </c>
    </row>
    <row r="1434" spans="6:20" x14ac:dyDescent="0.35">
      <c r="F1434" s="1">
        <f t="shared" si="248"/>
        <v>28.619999999999479</v>
      </c>
      <c r="G1434">
        <f>1/2*$B$8*$B$6*$B$7*(Tabelle2[[#This Row],[vx]]*Tabelle2[[#This Row],[vx]]+Tabelle2[[#This Row],[vy]]*Tabelle2[[#This Row],[vy]])/1000000</f>
        <v>14.198456438271617</v>
      </c>
      <c r="H1434">
        <f>IF($B$3,-Tabelle2[[#This Row],[Fd]]*Tabelle2[[#This Row],[vx]]/Tabelle2[[#This Row],[v]],0)</f>
        <v>-0.96808463136775491</v>
      </c>
      <c r="I1434">
        <f t="shared" si="242"/>
        <v>-0.64538975424516998</v>
      </c>
      <c r="J1434">
        <f t="shared" si="243"/>
        <v>-1.29077950849034E-2</v>
      </c>
      <c r="K1434">
        <f t="shared" si="244"/>
        <v>0.12204211964750515</v>
      </c>
      <c r="L1434">
        <f>-$B$5*$B$12-IF($B$3,Tabelle2[[#This Row],[Fd]]*Tabelle2[[#This Row],[vy]]/Tabelle2[[#This Row],[v]],0)</f>
        <v>-0.54958516752840403</v>
      </c>
      <c r="M1434">
        <f t="shared" si="245"/>
        <v>-0.3663901116856027</v>
      </c>
      <c r="N1434">
        <f t="shared" si="246"/>
        <v>-7.3278022337120545E-3</v>
      </c>
      <c r="O1434">
        <f t="shared" si="247"/>
        <v>-1.7877327847283411</v>
      </c>
      <c r="P1434" s="1">
        <f t="shared" si="249"/>
        <v>6.108559879917709</v>
      </c>
      <c r="Q1434" s="1">
        <f t="shared" si="250"/>
        <v>-89.382975335300202</v>
      </c>
      <c r="R1434">
        <f>SQRT(Tabelle2[[#This Row],[vx]]*Tabelle2[[#This Row],[vx]]+Tabelle2[[#This Row],[vy]]*Tabelle2[[#This Row],[vy]])</f>
        <v>89.591466019914108</v>
      </c>
      <c r="S1434">
        <f t="shared" si="251"/>
        <v>764.73788394924702</v>
      </c>
      <c r="T1434" s="1">
        <f t="shared" si="252"/>
        <v>-1257.9767270737473</v>
      </c>
    </row>
    <row r="1435" spans="6:20" x14ac:dyDescent="0.35">
      <c r="F1435" s="1">
        <f t="shared" si="248"/>
        <v>28.639999999999478</v>
      </c>
      <c r="G1435">
        <f>1/2*$B$8*$B$6*$B$7*(Tabelle2[[#This Row],[vx]]*Tabelle2[[#This Row],[vx]]+Tabelle2[[#This Row],[vy]]*Tabelle2[[#This Row],[vy]])/1000000</f>
        <v>14.200495091765241</v>
      </c>
      <c r="H1435">
        <f>IF($B$3,-Tabelle2[[#This Row],[Fd]]*Tabelle2[[#This Row],[vx]]/Tabelle2[[#This Row],[v]],0)</f>
        <v>-0.96610835465408995</v>
      </c>
      <c r="I1435">
        <f t="shared" si="242"/>
        <v>-0.64407223643605993</v>
      </c>
      <c r="J1435">
        <f t="shared" si="243"/>
        <v>-1.2881444728721199E-2</v>
      </c>
      <c r="K1435">
        <f t="shared" si="244"/>
        <v>0.12178422724936891</v>
      </c>
      <c r="L1435">
        <f>-$B$5*$B$12-IF($B$3,Tabelle2[[#This Row],[Fd]]*Tabelle2[[#This Row],[vy]]/Tabelle2[[#This Row],[v]],0)</f>
        <v>-0.54740685584469873</v>
      </c>
      <c r="M1435">
        <f t="shared" si="245"/>
        <v>-0.3649379038964658</v>
      </c>
      <c r="N1435">
        <f t="shared" si="246"/>
        <v>-7.2987580779293165E-3</v>
      </c>
      <c r="O1435">
        <f t="shared" si="247"/>
        <v>-1.7878790503314577</v>
      </c>
      <c r="P1435" s="1">
        <f t="shared" si="249"/>
        <v>6.095652084832806</v>
      </c>
      <c r="Q1435" s="1">
        <f t="shared" si="250"/>
        <v>-89.39030313753392</v>
      </c>
      <c r="R1435">
        <f>SQRT(Tabelle2[[#This Row],[vx]]*Tabelle2[[#This Row],[vx]]+Tabelle2[[#This Row],[vy]]*Tabelle2[[#This Row],[vy]])</f>
        <v>89.597897683815845</v>
      </c>
      <c r="S1435">
        <f t="shared" si="251"/>
        <v>764.85992606889454</v>
      </c>
      <c r="T1435" s="1">
        <f t="shared" si="252"/>
        <v>-1259.7644598584757</v>
      </c>
    </row>
    <row r="1436" spans="6:20" x14ac:dyDescent="0.35">
      <c r="F1436" s="1">
        <f t="shared" si="248"/>
        <v>28.659999999999478</v>
      </c>
      <c r="G1436">
        <f>1/2*$B$8*$B$6*$B$7*(Tabelle2[[#This Row],[vx]]*Tabelle2[[#This Row],[vx]]+Tabelle2[[#This Row],[vy]]*Tabelle2[[#This Row],[vy]])/1000000</f>
        <v>14.202525905809265</v>
      </c>
      <c r="H1436">
        <f>IF($B$3,-Tabelle2[[#This Row],[Fd]]*Tabelle2[[#This Row],[vx]]/Tabelle2[[#This Row],[v]],0)</f>
        <v>-0.96413568978134079</v>
      </c>
      <c r="I1436">
        <f t="shared" si="242"/>
        <v>-0.6427571265208939</v>
      </c>
      <c r="J1436">
        <f t="shared" si="243"/>
        <v>-1.2855142530417878E-2</v>
      </c>
      <c r="K1436">
        <f t="shared" si="244"/>
        <v>0.12152686137677751</v>
      </c>
      <c r="L1436">
        <f>-$B$5*$B$12-IF($B$3,Tabelle2[[#This Row],[Fd]]*Tabelle2[[#This Row],[vy]]/Tabelle2[[#This Row],[v]],0)</f>
        <v>-0.54523696468874761</v>
      </c>
      <c r="M1436">
        <f t="shared" si="245"/>
        <v>-0.36349130979249838</v>
      </c>
      <c r="N1436">
        <f t="shared" si="246"/>
        <v>-7.2698261958499683E-3</v>
      </c>
      <c r="O1436">
        <f t="shared" si="247"/>
        <v>-1.7880247361741954</v>
      </c>
      <c r="P1436" s="1">
        <f t="shared" si="249"/>
        <v>6.0827706401040844</v>
      </c>
      <c r="Q1436" s="1">
        <f t="shared" si="250"/>
        <v>-89.397601895611842</v>
      </c>
      <c r="R1436">
        <f>SQRT(Tabelle2[[#This Row],[vx]]*Tabelle2[[#This Row],[vx]]+Tabelle2[[#This Row],[vy]]*Tabelle2[[#This Row],[vy]])</f>
        <v>89.604304156365245</v>
      </c>
      <c r="S1436">
        <f t="shared" si="251"/>
        <v>764.98171029614389</v>
      </c>
      <c r="T1436" s="1">
        <f t="shared" si="252"/>
        <v>-1261.5523389088071</v>
      </c>
    </row>
    <row r="1437" spans="6:20" x14ac:dyDescent="0.35">
      <c r="F1437" s="1">
        <f t="shared" si="248"/>
        <v>28.679999999999477</v>
      </c>
      <c r="G1437">
        <f>1/2*$B$8*$B$6*$B$7*(Tabelle2[[#This Row],[vx]]*Tabelle2[[#This Row],[vx]]+Tabelle2[[#This Row],[vy]]*Tabelle2[[#This Row],[vy]])/1000000</f>
        <v>14.204548909029219</v>
      </c>
      <c r="H1437">
        <f>IF($B$3,-Tabelle2[[#This Row],[Fd]]*Tabelle2[[#This Row],[vx]]/Tabelle2[[#This Row],[v]],0)</f>
        <v>-0.96216663276121461</v>
      </c>
      <c r="I1437">
        <f t="shared" si="242"/>
        <v>-0.64144442184080974</v>
      </c>
      <c r="J1437">
        <f t="shared" si="243"/>
        <v>-1.2828888436816194E-2</v>
      </c>
      <c r="K1437">
        <f t="shared" si="244"/>
        <v>0.12127002106710517</v>
      </c>
      <c r="L1437">
        <f>-$B$5*$B$12-IF($B$3,Tabelle2[[#This Row],[Fd]]*Tabelle2[[#This Row],[vy]]/Tabelle2[[#This Row],[v]],0)</f>
        <v>-0.54307546309238219</v>
      </c>
      <c r="M1437">
        <f t="shared" si="245"/>
        <v>-0.36205030872825478</v>
      </c>
      <c r="N1437">
        <f t="shared" si="246"/>
        <v>-7.2410061745650954E-3</v>
      </c>
      <c r="O1437">
        <f t="shared" si="247"/>
        <v>-1.7881698444978995</v>
      </c>
      <c r="P1437" s="1">
        <f t="shared" si="249"/>
        <v>6.0699154975736667</v>
      </c>
      <c r="Q1437" s="1">
        <f t="shared" si="250"/>
        <v>-89.404871721807694</v>
      </c>
      <c r="R1437">
        <f>SQRT(Tabelle2[[#This Row],[vx]]*Tabelle2[[#This Row],[vx]]+Tabelle2[[#This Row],[vy]]*Tabelle2[[#This Row],[vy]])</f>
        <v>89.61068553325866</v>
      </c>
      <c r="S1437">
        <f t="shared" si="251"/>
        <v>765.10323715752065</v>
      </c>
      <c r="T1437" s="1">
        <f t="shared" si="252"/>
        <v>-1263.3403636449814</v>
      </c>
    </row>
    <row r="1438" spans="6:20" x14ac:dyDescent="0.35">
      <c r="F1438" s="1">
        <f t="shared" si="248"/>
        <v>28.699999999999477</v>
      </c>
      <c r="G1438">
        <f>1/2*$B$8*$B$6*$B$7*(Tabelle2[[#This Row],[vx]]*Tabelle2[[#This Row],[vx]]+Tabelle2[[#This Row],[vy]]*Tabelle2[[#This Row],[vy]])/1000000</f>
        <v>14.20656412995773</v>
      </c>
      <c r="H1438">
        <f>IF($B$3,-Tabelle2[[#This Row],[Fd]]*Tabelle2[[#This Row],[vx]]/Tabelle2[[#This Row],[v]],0)</f>
        <v>-0.96020117959229279</v>
      </c>
      <c r="I1438">
        <f t="shared" si="242"/>
        <v>-0.64013411972819523</v>
      </c>
      <c r="J1438">
        <f t="shared" si="243"/>
        <v>-1.2802682394563905E-2</v>
      </c>
      <c r="K1438">
        <f t="shared" si="244"/>
        <v>0.12101370535879136</v>
      </c>
      <c r="L1438">
        <f>-$B$5*$B$12-IF($B$3,Tabelle2[[#This Row],[Fd]]*Tabelle2[[#This Row],[vy]]/Tabelle2[[#This Row],[v]],0)</f>
        <v>-0.54092232018918196</v>
      </c>
      <c r="M1438">
        <f t="shared" si="245"/>
        <v>-0.36061488012612131</v>
      </c>
      <c r="N1438">
        <f t="shared" si="246"/>
        <v>-7.2122976025224264E-3</v>
      </c>
      <c r="O1438">
        <f t="shared" si="247"/>
        <v>-1.7883143775356707</v>
      </c>
      <c r="P1438" s="1">
        <f t="shared" si="249"/>
        <v>6.0570866091368503</v>
      </c>
      <c r="Q1438" s="1">
        <f t="shared" si="250"/>
        <v>-89.412112727982262</v>
      </c>
      <c r="R1438">
        <f>SQRT(Tabelle2[[#This Row],[vx]]*Tabelle2[[#This Row],[vx]]+Tabelle2[[#This Row],[vy]]*Tabelle2[[#This Row],[vy]])</f>
        <v>89.617041909851011</v>
      </c>
      <c r="S1438">
        <f t="shared" si="251"/>
        <v>765.22450717858771</v>
      </c>
      <c r="T1438" s="1">
        <f t="shared" si="252"/>
        <v>-1265.1285334894792</v>
      </c>
    </row>
    <row r="1439" spans="6:20" x14ac:dyDescent="0.35">
      <c r="F1439" s="1">
        <f t="shared" si="248"/>
        <v>28.719999999999477</v>
      </c>
      <c r="G1439">
        <f>1/2*$B$8*$B$6*$B$7*(Tabelle2[[#This Row],[vx]]*Tabelle2[[#This Row],[vx]]+Tabelle2[[#This Row],[vy]]*Tabelle2[[#This Row],[vy]])/1000000</f>
        <v>14.208571597034723</v>
      </c>
      <c r="H1439">
        <f>IF($B$3,-Tabelle2[[#This Row],[Fd]]*Tabelle2[[#This Row],[vx]]/Tabelle2[[#This Row],[v]],0)</f>
        <v>-0.95823932626017672</v>
      </c>
      <c r="I1439">
        <f t="shared" si="242"/>
        <v>-0.63882621750678448</v>
      </c>
      <c r="J1439">
        <f t="shared" si="243"/>
        <v>-1.277652435013569E-2</v>
      </c>
      <c r="K1439">
        <f t="shared" si="244"/>
        <v>0.12075791329134437</v>
      </c>
      <c r="L1439">
        <f>-$B$5*$B$12-IF($B$3,Tabelle2[[#This Row],[Fd]]*Tabelle2[[#This Row],[vy]]/Tabelle2[[#This Row],[v]],0)</f>
        <v>-0.53877750521422207</v>
      </c>
      <c r="M1439">
        <f t="shared" si="245"/>
        <v>-0.35918500347614807</v>
      </c>
      <c r="N1439">
        <f t="shared" si="246"/>
        <v>-7.1837000695229615E-3</v>
      </c>
      <c r="O1439">
        <f t="shared" si="247"/>
        <v>-1.788458337512391</v>
      </c>
      <c r="P1439" s="1">
        <f t="shared" si="249"/>
        <v>6.0442839267422865</v>
      </c>
      <c r="Q1439" s="1">
        <f t="shared" si="250"/>
        <v>-89.419325025584783</v>
      </c>
      <c r="R1439">
        <f>SQRT(Tabelle2[[#This Row],[vx]]*Tabelle2[[#This Row],[vx]]+Tabelle2[[#This Row],[vy]]*Tabelle2[[#This Row],[vy]])</f>
        <v>89.62337338115681</v>
      </c>
      <c r="S1439">
        <f t="shared" si="251"/>
        <v>765.34552088394651</v>
      </c>
      <c r="T1439" s="1">
        <f t="shared" si="252"/>
        <v>-1266.9168478670149</v>
      </c>
    </row>
    <row r="1440" spans="6:20" x14ac:dyDescent="0.35">
      <c r="F1440" s="1">
        <f t="shared" si="248"/>
        <v>28.739999999999476</v>
      </c>
      <c r="G1440">
        <f>1/2*$B$8*$B$6*$B$7*(Tabelle2[[#This Row],[vx]]*Tabelle2[[#This Row],[vx]]+Tabelle2[[#This Row],[vy]]*Tabelle2[[#This Row],[vy]])/1000000</f>
        <v>14.21057133860764</v>
      </c>
      <c r="H1440">
        <f>IF($B$3,-Tabelle2[[#This Row],[Fd]]*Tabelle2[[#This Row],[vx]]/Tabelle2[[#This Row],[v]],0)</f>
        <v>-0.95628106873763385</v>
      </c>
      <c r="I1440">
        <f t="shared" si="242"/>
        <v>-0.6375207124917559</v>
      </c>
      <c r="J1440">
        <f t="shared" si="243"/>
        <v>-1.2750414249835118E-2</v>
      </c>
      <c r="K1440">
        <f t="shared" si="244"/>
        <v>0.12050264390534468</v>
      </c>
      <c r="L1440">
        <f>-$B$5*$B$12-IF($B$3,Tabelle2[[#This Row],[Fd]]*Tabelle2[[#This Row],[vy]]/Tabelle2[[#This Row],[v]],0)</f>
        <v>-0.53664098750384248</v>
      </c>
      <c r="M1440">
        <f t="shared" si="245"/>
        <v>-0.35776065833589499</v>
      </c>
      <c r="N1440">
        <f t="shared" si="246"/>
        <v>-7.1552131667178996E-3</v>
      </c>
      <c r="O1440">
        <f t="shared" si="247"/>
        <v>-1.7886017266447534</v>
      </c>
      <c r="P1440" s="1">
        <f t="shared" si="249"/>
        <v>6.0315074023921511</v>
      </c>
      <c r="Q1440" s="1">
        <f t="shared" si="250"/>
        <v>-89.426508725654301</v>
      </c>
      <c r="R1440">
        <f>SQRT(Tabelle2[[#This Row],[vx]]*Tabelle2[[#This Row],[vx]]+Tabelle2[[#This Row],[vy]]*Tabelle2[[#This Row],[vy]])</f>
        <v>89.629680041851287</v>
      </c>
      <c r="S1440">
        <f t="shared" si="251"/>
        <v>765.46627879723781</v>
      </c>
      <c r="T1440" s="1">
        <f t="shared" si="252"/>
        <v>-1268.7053062045272</v>
      </c>
    </row>
    <row r="1441" spans="6:20" x14ac:dyDescent="0.35">
      <c r="F1441" s="1">
        <f t="shared" si="248"/>
        <v>28.759999999999476</v>
      </c>
      <c r="G1441">
        <f>1/2*$B$8*$B$6*$B$7*(Tabelle2[[#This Row],[vx]]*Tabelle2[[#This Row],[vx]]+Tabelle2[[#This Row],[vy]]*Tabelle2[[#This Row],[vy]])/1000000</f>
        <v>14.212563382931647</v>
      </c>
      <c r="H1441">
        <f>IF($B$3,-Tabelle2[[#This Row],[Fd]]*Tabelle2[[#This Row],[vx]]/Tabelle2[[#This Row],[v]],0)</f>
        <v>-0.95432640298474214</v>
      </c>
      <c r="I1441">
        <f t="shared" si="242"/>
        <v>-0.63621760198982813</v>
      </c>
      <c r="J1441">
        <f t="shared" si="243"/>
        <v>-1.2724352039796563E-2</v>
      </c>
      <c r="K1441">
        <f t="shared" si="244"/>
        <v>0.12024789624244836</v>
      </c>
      <c r="L1441">
        <f>-$B$5*$B$12-IF($B$3,Tabelle2[[#This Row],[Fd]]*Tabelle2[[#This Row],[vy]]/Tabelle2[[#This Row],[v]],0)</f>
        <v>-0.53451273649541697</v>
      </c>
      <c r="M1441">
        <f t="shared" si="245"/>
        <v>-0.356341824330278</v>
      </c>
      <c r="N1441">
        <f t="shared" si="246"/>
        <v>-7.1268364866055598E-3</v>
      </c>
      <c r="O1441">
        <f t="shared" si="247"/>
        <v>-1.7887445471412864</v>
      </c>
      <c r="P1441" s="1">
        <f t="shared" si="249"/>
        <v>6.0187569881423162</v>
      </c>
      <c r="Q1441" s="1">
        <f t="shared" si="250"/>
        <v>-89.433663938821013</v>
      </c>
      <c r="R1441">
        <f>SQRT(Tabelle2[[#This Row],[vx]]*Tabelle2[[#This Row],[vx]]+Tabelle2[[#This Row],[vy]]*Tabelle2[[#This Row],[vy]])</f>
        <v>89.635961986271369</v>
      </c>
      <c r="S1441">
        <f t="shared" si="251"/>
        <v>765.5867814411431</v>
      </c>
      <c r="T1441" s="1">
        <f t="shared" si="252"/>
        <v>-1270.4939079311721</v>
      </c>
    </row>
    <row r="1442" spans="6:20" x14ac:dyDescent="0.35">
      <c r="F1442" s="1">
        <f t="shared" si="248"/>
        <v>28.779999999999475</v>
      </c>
      <c r="G1442">
        <f>1/2*$B$8*$B$6*$B$7*(Tabelle2[[#This Row],[vx]]*Tabelle2[[#This Row],[vx]]+Tabelle2[[#This Row],[vy]]*Tabelle2[[#This Row],[vy]])/1000000</f>
        <v>14.214547758169843</v>
      </c>
      <c r="H1442">
        <f>IF($B$3,-Tabelle2[[#This Row],[Fd]]*Tabelle2[[#This Row],[vx]]/Tabelle2[[#This Row],[v]],0)</f>
        <v>-0.95237532494903432</v>
      </c>
      <c r="I1442">
        <f t="shared" si="242"/>
        <v>-0.63491688329935625</v>
      </c>
      <c r="J1442">
        <f t="shared" si="243"/>
        <v>-1.2698337665987125E-2</v>
      </c>
      <c r="K1442">
        <f t="shared" si="244"/>
        <v>0.11999366934539051</v>
      </c>
      <c r="L1442">
        <f>-$B$5*$B$12-IF($B$3,Tabelle2[[#This Row],[Fd]]*Tabelle2[[#This Row],[vy]]/Tabelle2[[#This Row],[v]],0)</f>
        <v>-0.5323927217270974</v>
      </c>
      <c r="M1442">
        <f t="shared" si="245"/>
        <v>-0.35492848115139825</v>
      </c>
      <c r="N1442">
        <f t="shared" si="246"/>
        <v>-7.098569623027965E-3</v>
      </c>
      <c r="O1442">
        <f t="shared" si="247"/>
        <v>-1.7888868012023826</v>
      </c>
      <c r="P1442" s="1">
        <f t="shared" si="249"/>
        <v>6.0060326361025194</v>
      </c>
      <c r="Q1442" s="1">
        <f t="shared" si="250"/>
        <v>-89.440790775307619</v>
      </c>
      <c r="R1442">
        <f>SQRT(Tabelle2[[#This Row],[vx]]*Tabelle2[[#This Row],[vx]]+Tabelle2[[#This Row],[vy]]*Tabelle2[[#This Row],[vy]])</f>
        <v>89.642219308416728</v>
      </c>
      <c r="S1442">
        <f t="shared" si="251"/>
        <v>765.70702933738551</v>
      </c>
      <c r="T1442" s="1">
        <f t="shared" si="252"/>
        <v>-1272.2826524783134</v>
      </c>
    </row>
    <row r="1443" spans="6:20" x14ac:dyDescent="0.35">
      <c r="F1443" s="1">
        <f t="shared" si="248"/>
        <v>28.799999999999475</v>
      </c>
      <c r="G1443">
        <f>1/2*$B$8*$B$6*$B$7*(Tabelle2[[#This Row],[vx]]*Tabelle2[[#This Row],[vx]]+Tabelle2[[#This Row],[vy]]*Tabelle2[[#This Row],[vy]])/1000000</f>
        <v>14.216524492393468</v>
      </c>
      <c r="H1443">
        <f>IF($B$3,-Tabelle2[[#This Row],[Fd]]*Tabelle2[[#This Row],[vx]]/Tabelle2[[#This Row],[v]],0)</f>
        <v>-0.95042783056563962</v>
      </c>
      <c r="I1443">
        <f t="shared" si="242"/>
        <v>-0.63361855371042641</v>
      </c>
      <c r="J1443">
        <f t="shared" si="243"/>
        <v>-1.2672371074208528E-2</v>
      </c>
      <c r="K1443">
        <f t="shared" si="244"/>
        <v>0.11973996225798857</v>
      </c>
      <c r="L1443">
        <f>-$B$5*$B$12-IF($B$3,Tabelle2[[#This Row],[Fd]]*Tabelle2[[#This Row],[vy]]/Tabelle2[[#This Row],[v]],0)</f>
        <v>-0.53028091283758805</v>
      </c>
      <c r="M1443">
        <f t="shared" si="245"/>
        <v>-0.35352060855839201</v>
      </c>
      <c r="N1443">
        <f t="shared" si="246"/>
        <v>-7.0704121711678402E-3</v>
      </c>
      <c r="O1443">
        <f t="shared" si="247"/>
        <v>-1.7890284910203247</v>
      </c>
      <c r="P1443" s="1">
        <f t="shared" si="249"/>
        <v>5.9933342984365323</v>
      </c>
      <c r="Q1443" s="1">
        <f t="shared" si="250"/>
        <v>-89.447889344930644</v>
      </c>
      <c r="R1443">
        <f>SQRT(Tabelle2[[#This Row],[vx]]*Tabelle2[[#This Row],[vx]]+Tabelle2[[#This Row],[vy]]*Tabelle2[[#This Row],[vy]])</f>
        <v>89.648452101950838</v>
      </c>
      <c r="S1443">
        <f t="shared" si="251"/>
        <v>765.82702300673088</v>
      </c>
      <c r="T1443" s="1">
        <f t="shared" si="252"/>
        <v>-1274.0715392795157</v>
      </c>
    </row>
    <row r="1444" spans="6:20" x14ac:dyDescent="0.35">
      <c r="F1444" s="1">
        <f t="shared" si="248"/>
        <v>28.819999999999474</v>
      </c>
      <c r="G1444">
        <f>1/2*$B$8*$B$6*$B$7*(Tabelle2[[#This Row],[vx]]*Tabelle2[[#This Row],[vx]]+Tabelle2[[#This Row],[vy]]*Tabelle2[[#This Row],[vy]])/1000000</f>
        <v>14.218493613582117</v>
      </c>
      <c r="H1444">
        <f>IF($B$3,-Tabelle2[[#This Row],[Fd]]*Tabelle2[[#This Row],[vx]]/Tabelle2[[#This Row],[v]],0)</f>
        <v>-0.94848391575742652</v>
      </c>
      <c r="I1444">
        <f t="shared" si="242"/>
        <v>-0.63232261050495098</v>
      </c>
      <c r="J1444">
        <f t="shared" si="243"/>
        <v>-1.2646452210099021E-2</v>
      </c>
      <c r="K1444">
        <f t="shared" si="244"/>
        <v>0.11948677402514549</v>
      </c>
      <c r="L1444">
        <f>-$B$5*$B$12-IF($B$3,Tabelle2[[#This Row],[Fd]]*Tabelle2[[#This Row],[vy]]/Tabelle2[[#This Row],[v]],0)</f>
        <v>-0.52817727956590943</v>
      </c>
      <c r="M1444">
        <f t="shared" si="245"/>
        <v>-0.35211818637727293</v>
      </c>
      <c r="N1444">
        <f t="shared" si="246"/>
        <v>-7.042363727545459E-3</v>
      </c>
      <c r="O1444">
        <f t="shared" si="247"/>
        <v>-1.7891696187793118</v>
      </c>
      <c r="P1444" s="1">
        <f t="shared" si="249"/>
        <v>5.9806619273623234</v>
      </c>
      <c r="Q1444" s="1">
        <f t="shared" si="250"/>
        <v>-89.454959757101818</v>
      </c>
      <c r="R1444">
        <f>SQRT(Tabelle2[[#This Row],[vx]]*Tabelle2[[#This Row],[vx]]+Tabelle2[[#This Row],[vy]]*Tabelle2[[#This Row],[vy]])</f>
        <v>89.654660460201995</v>
      </c>
      <c r="S1444">
        <f t="shared" si="251"/>
        <v>765.94676296898888</v>
      </c>
      <c r="T1444" s="1">
        <f t="shared" si="252"/>
        <v>-1275.8605677705361</v>
      </c>
    </row>
    <row r="1445" spans="6:20" x14ac:dyDescent="0.35">
      <c r="F1445" s="1">
        <f t="shared" si="248"/>
        <v>28.839999999999474</v>
      </c>
      <c r="G1445">
        <f>1/2*$B$8*$B$6*$B$7*(Tabelle2[[#This Row],[vx]]*Tabelle2[[#This Row],[vx]]+Tabelle2[[#This Row],[vy]]*Tabelle2[[#This Row],[vy]])/1000000</f>
        <v>14.220455149623946</v>
      </c>
      <c r="H1445">
        <f>IF($B$3,-Tabelle2[[#This Row],[Fd]]*Tabelle2[[#This Row],[vx]]/Tabelle2[[#This Row],[v]],0)</f>
        <v>-0.94654357643514409</v>
      </c>
      <c r="I1445">
        <f t="shared" si="242"/>
        <v>-0.63102905095676276</v>
      </c>
      <c r="J1445">
        <f t="shared" si="243"/>
        <v>-1.2620581019135255E-2</v>
      </c>
      <c r="K1445">
        <f t="shared" si="244"/>
        <v>0.11923410369285314</v>
      </c>
      <c r="L1445">
        <f>-$B$5*$B$12-IF($B$3,Tabelle2[[#This Row],[Fd]]*Tabelle2[[#This Row],[vy]]/Tabelle2[[#This Row],[v]],0)</f>
        <v>-0.52608179175115488</v>
      </c>
      <c r="M1445">
        <f t="shared" si="245"/>
        <v>-0.35072119450076994</v>
      </c>
      <c r="N1445">
        <f t="shared" si="246"/>
        <v>-7.0144238900153987E-3</v>
      </c>
      <c r="O1445">
        <f t="shared" si="247"/>
        <v>-1.7893101866554875</v>
      </c>
      <c r="P1445" s="1">
        <f t="shared" si="249"/>
        <v>5.9680154751522245</v>
      </c>
      <c r="Q1445" s="1">
        <f t="shared" si="250"/>
        <v>-89.462002120829368</v>
      </c>
      <c r="R1445">
        <f>SQRT(Tabelle2[[#This Row],[vx]]*Tabelle2[[#This Row],[vx]]+Tabelle2[[#This Row],[vy]]*Tabelle2[[#This Row],[vy]])</f>
        <v>89.660844476164371</v>
      </c>
      <c r="S1445">
        <f t="shared" si="251"/>
        <v>766.06624974301405</v>
      </c>
      <c r="T1445" s="1">
        <f t="shared" si="252"/>
        <v>-1277.6497373893155</v>
      </c>
    </row>
    <row r="1446" spans="6:20" x14ac:dyDescent="0.35">
      <c r="F1446" s="1">
        <f t="shared" si="248"/>
        <v>28.859999999999474</v>
      </c>
      <c r="G1446">
        <f>1/2*$B$8*$B$6*$B$7*(Tabelle2[[#This Row],[vx]]*Tabelle2[[#This Row],[vx]]+Tabelle2[[#This Row],[vy]]*Tabelle2[[#This Row],[vy]])/1000000</f>
        <v>14.222409128315883</v>
      </c>
      <c r="H1446">
        <f>IF($B$3,-Tabelle2[[#This Row],[Fd]]*Tabelle2[[#This Row],[vx]]/Tabelle2[[#This Row],[v]],0)</f>
        <v>-0.94460680849756096</v>
      </c>
      <c r="I1446">
        <f t="shared" si="242"/>
        <v>-0.6297378723317073</v>
      </c>
      <c r="J1446">
        <f t="shared" si="243"/>
        <v>-1.2594757446634146E-2</v>
      </c>
      <c r="K1446">
        <f t="shared" si="244"/>
        <v>0.11898195030819546</v>
      </c>
      <c r="L1446">
        <f>-$B$5*$B$12-IF($B$3,Tabelle2[[#This Row],[Fd]]*Tabelle2[[#This Row],[vy]]/Tabelle2[[#This Row],[v]],0)</f>
        <v>-0.52399441933225788</v>
      </c>
      <c r="M1446">
        <f t="shared" si="245"/>
        <v>-0.34932961288817194</v>
      </c>
      <c r="N1446">
        <f t="shared" si="246"/>
        <v>-6.9865922577634389E-3</v>
      </c>
      <c r="O1446">
        <f t="shared" si="247"/>
        <v>-1.7894501968169652</v>
      </c>
      <c r="P1446" s="1">
        <f t="shared" si="249"/>
        <v>5.9553948941330894</v>
      </c>
      <c r="Q1446" s="1">
        <f t="shared" si="250"/>
        <v>-89.469016544719381</v>
      </c>
      <c r="R1446">
        <f>SQRT(Tabelle2[[#This Row],[vx]]*Tabelle2[[#This Row],[vx]]+Tabelle2[[#This Row],[vy]]*Tabelle2[[#This Row],[vy]])</f>
        <v>89.667004242499019</v>
      </c>
      <c r="S1446">
        <f t="shared" si="251"/>
        <v>766.18548384670692</v>
      </c>
      <c r="T1446" s="1">
        <f t="shared" si="252"/>
        <v>-1279.439047575971</v>
      </c>
    </row>
    <row r="1447" spans="6:20" x14ac:dyDescent="0.35">
      <c r="F1447" s="1">
        <f t="shared" si="248"/>
        <v>28.879999999999473</v>
      </c>
      <c r="G1447">
        <f>1/2*$B$8*$B$6*$B$7*(Tabelle2[[#This Row],[vx]]*Tabelle2[[#This Row],[vx]]+Tabelle2[[#This Row],[vy]]*Tabelle2[[#This Row],[vy]])/1000000</f>
        <v>14.224355577363845</v>
      </c>
      <c r="H1447">
        <f>IF($B$3,-Tabelle2[[#This Row],[Fd]]*Tabelle2[[#This Row],[vx]]/Tabelle2[[#This Row],[v]],0)</f>
        <v>-0.94267360783160592</v>
      </c>
      <c r="I1447">
        <f t="shared" si="242"/>
        <v>-0.62844907188773724</v>
      </c>
      <c r="J1447">
        <f t="shared" si="243"/>
        <v>-1.2568981437754746E-2</v>
      </c>
      <c r="K1447">
        <f t="shared" si="244"/>
        <v>0.11873031291935156</v>
      </c>
      <c r="L1447">
        <f>-$B$5*$B$12-IF($B$3,Tabelle2[[#This Row],[Fd]]*Tabelle2[[#This Row],[vy]]/Tabelle2[[#This Row],[v]],0)</f>
        <v>-0.52191513234773623</v>
      </c>
      <c r="M1447">
        <f t="shared" si="245"/>
        <v>-0.34794342156515751</v>
      </c>
      <c r="N1447">
        <f t="shared" si="246"/>
        <v>-6.9588684313031503E-3</v>
      </c>
      <c r="O1447">
        <f t="shared" si="247"/>
        <v>-1.7895896514238558</v>
      </c>
      <c r="P1447" s="1">
        <f t="shared" si="249"/>
        <v>5.9428001366864551</v>
      </c>
      <c r="Q1447" s="1">
        <f t="shared" si="250"/>
        <v>-89.476003136977141</v>
      </c>
      <c r="R1447">
        <f>SQRT(Tabelle2[[#This Row],[vx]]*Tabelle2[[#This Row],[vx]]+Tabelle2[[#This Row],[vy]]*Tabelle2[[#This Row],[vy]])</f>
        <v>89.673139851534941</v>
      </c>
      <c r="S1447">
        <f t="shared" si="251"/>
        <v>766.30446579701515</v>
      </c>
      <c r="T1447" s="1">
        <f t="shared" si="252"/>
        <v>-1281.2284977727879</v>
      </c>
    </row>
    <row r="1448" spans="6:20" x14ac:dyDescent="0.35">
      <c r="F1448" s="1">
        <f t="shared" si="248"/>
        <v>28.899999999999473</v>
      </c>
      <c r="G1448">
        <f>1/2*$B$8*$B$6*$B$7*(Tabelle2[[#This Row],[vx]]*Tabelle2[[#This Row],[vx]]+Tabelle2[[#This Row],[vy]]*Tabelle2[[#This Row],[vy]])/1000000</f>
        <v>14.226294524382947</v>
      </c>
      <c r="H1448">
        <f>IF($B$3,-Tabelle2[[#This Row],[Fd]]*Tabelle2[[#This Row],[vx]]/Tabelle2[[#This Row],[v]],0)</f>
        <v>-0.94074397031250612</v>
      </c>
      <c r="I1448">
        <f t="shared" si="242"/>
        <v>-0.62716264687500412</v>
      </c>
      <c r="J1448">
        <f t="shared" si="243"/>
        <v>-1.2543252937500082E-2</v>
      </c>
      <c r="K1448">
        <f t="shared" si="244"/>
        <v>0.11847919057559901</v>
      </c>
      <c r="L1448">
        <f>-$B$5*$B$12-IF($B$3,Tabelle2[[#This Row],[Fd]]*Tabelle2[[#This Row],[vy]]/Tabelle2[[#This Row],[v]],0)</f>
        <v>-0.51984390093547184</v>
      </c>
      <c r="M1448">
        <f t="shared" si="245"/>
        <v>-0.34656260062364791</v>
      </c>
      <c r="N1448">
        <f t="shared" si="246"/>
        <v>-6.9312520124729582E-3</v>
      </c>
      <c r="O1448">
        <f t="shared" si="247"/>
        <v>-1.7897285526282936</v>
      </c>
      <c r="P1448" s="1">
        <f t="shared" si="249"/>
        <v>5.9302311552487001</v>
      </c>
      <c r="Q1448" s="1">
        <f t="shared" si="250"/>
        <v>-89.482962005408439</v>
      </c>
      <c r="R1448">
        <f>SQRT(Tabelle2[[#This Row],[vx]]*Tabelle2[[#This Row],[vx]]+Tabelle2[[#This Row],[vy]]*Tabelle2[[#This Row],[vy]])</f>
        <v>89.6792513952701</v>
      </c>
      <c r="S1448">
        <f t="shared" si="251"/>
        <v>766.42319610993445</v>
      </c>
      <c r="T1448" s="1">
        <f t="shared" si="252"/>
        <v>-1283.0180874242119</v>
      </c>
    </row>
    <row r="1449" spans="6:20" x14ac:dyDescent="0.35">
      <c r="F1449" s="1">
        <f t="shared" si="248"/>
        <v>28.919999999999472</v>
      </c>
      <c r="G1449">
        <f>1/2*$B$8*$B$6*$B$7*(Tabelle2[[#This Row],[vx]]*Tabelle2[[#This Row],[vx]]+Tabelle2[[#This Row],[vy]]*Tabelle2[[#This Row],[vy]])/1000000</f>
        <v>14.228225996897716</v>
      </c>
      <c r="H1449">
        <f>IF($B$3,-Tabelle2[[#This Row],[Fd]]*Tabelle2[[#This Row],[vx]]/Tabelle2[[#This Row],[v]],0)</f>
        <v>-0.93881789180392472</v>
      </c>
      <c r="I1449">
        <f t="shared" si="242"/>
        <v>-0.62587859453594985</v>
      </c>
      <c r="J1449">
        <f t="shared" si="243"/>
        <v>-1.2517571890718997E-2</v>
      </c>
      <c r="K1449">
        <f t="shared" si="244"/>
        <v>0.11822858232731681</v>
      </c>
      <c r="L1449">
        <f>-$B$5*$B$12-IF($B$3,Tabelle2[[#This Row],[Fd]]*Tabelle2[[#This Row],[vy]]/Tabelle2[[#This Row],[v]],0)</f>
        <v>-0.5177806953324513</v>
      </c>
      <c r="M1449">
        <f t="shared" si="245"/>
        <v>-0.34518713022163422</v>
      </c>
      <c r="N1449">
        <f t="shared" si="246"/>
        <v>-6.9037426044326845E-3</v>
      </c>
      <c r="O1449">
        <f t="shared" si="247"/>
        <v>-1.7898669025744627</v>
      </c>
      <c r="P1449" s="1">
        <f t="shared" si="249"/>
        <v>5.9176879023111999</v>
      </c>
      <c r="Q1449" s="1">
        <f t="shared" si="250"/>
        <v>-89.489893257420917</v>
      </c>
      <c r="R1449">
        <f>SQRT(Tabelle2[[#This Row],[vx]]*Tabelle2[[#This Row],[vx]]+Tabelle2[[#This Row],[vy]]*Tabelle2[[#This Row],[vy]])</f>
        <v>89.685338965372424</v>
      </c>
      <c r="S1449">
        <f t="shared" si="251"/>
        <v>766.54167530051006</v>
      </c>
      <c r="T1449" s="1">
        <f t="shared" si="252"/>
        <v>-1284.8078159768402</v>
      </c>
    </row>
    <row r="1450" spans="6:20" x14ac:dyDescent="0.35">
      <c r="F1450" s="1">
        <f t="shared" si="248"/>
        <v>28.939999999999472</v>
      </c>
      <c r="G1450">
        <f>1/2*$B$8*$B$6*$B$7*(Tabelle2[[#This Row],[vx]]*Tabelle2[[#This Row],[vx]]+Tabelle2[[#This Row],[vy]]*Tabelle2[[#This Row],[vy]])/1000000</f>
        <v>14.23015002234229</v>
      </c>
      <c r="H1450">
        <f>IF($B$3,-Tabelle2[[#This Row],[Fd]]*Tabelle2[[#This Row],[vx]]/Tabelle2[[#This Row],[v]],0)</f>
        <v>-0.93689536815809693</v>
      </c>
      <c r="I1450">
        <f t="shared" si="242"/>
        <v>-0.62459691210539792</v>
      </c>
      <c r="J1450">
        <f t="shared" si="243"/>
        <v>-1.2491938242107958E-2</v>
      </c>
      <c r="K1450">
        <f t="shared" si="244"/>
        <v>0.11797848722598854</v>
      </c>
      <c r="L1450">
        <f>-$B$5*$B$12-IF($B$3,Tabelle2[[#This Row],[Fd]]*Tabelle2[[#This Row],[vy]]/Tabelle2[[#This Row],[v]],0)</f>
        <v>-0.51572548587456346</v>
      </c>
      <c r="M1450">
        <f t="shared" si="245"/>
        <v>-0.34381699058304233</v>
      </c>
      <c r="N1450">
        <f t="shared" si="246"/>
        <v>-6.8763398116608466E-3</v>
      </c>
      <c r="O1450">
        <f t="shared" si="247"/>
        <v>-1.7900047033986237</v>
      </c>
      <c r="P1450" s="1">
        <f t="shared" si="249"/>
        <v>5.9051703304204812</v>
      </c>
      <c r="Q1450" s="1">
        <f t="shared" si="250"/>
        <v>-89.496797000025353</v>
      </c>
      <c r="R1450">
        <f>SQRT(Tabelle2[[#This Row],[vx]]*Tabelle2[[#This Row],[vx]]+Tabelle2[[#This Row],[vy]]*Tabelle2[[#This Row],[vy]])</f>
        <v>89.691402653180901</v>
      </c>
      <c r="S1450">
        <f t="shared" si="251"/>
        <v>766.6599038828374</v>
      </c>
      <c r="T1450" s="1">
        <f t="shared" si="252"/>
        <v>-1286.5976828794146</v>
      </c>
    </row>
    <row r="1451" spans="6:20" x14ac:dyDescent="0.35">
      <c r="F1451" s="1">
        <f t="shared" si="248"/>
        <v>28.959999999999471</v>
      </c>
      <c r="G1451">
        <f>1/2*$B$8*$B$6*$B$7*(Tabelle2[[#This Row],[vx]]*Tabelle2[[#This Row],[vx]]+Tabelle2[[#This Row],[vy]]*Tabelle2[[#This Row],[vy]])/1000000</f>
        <v>14.232066628060645</v>
      </c>
      <c r="H1451">
        <f>IF($B$3,-Tabelle2[[#This Row],[Fd]]*Tabelle2[[#This Row],[vx]]/Tabelle2[[#This Row],[v]],0)</f>
        <v>-0.93497639521596732</v>
      </c>
      <c r="I1451">
        <f t="shared" si="242"/>
        <v>-0.62331759681064491</v>
      </c>
      <c r="J1451">
        <f t="shared" si="243"/>
        <v>-1.2466351936212899E-2</v>
      </c>
      <c r="K1451">
        <f t="shared" si="244"/>
        <v>0.11772890432420534</v>
      </c>
      <c r="L1451">
        <f>-$B$5*$B$12-IF($B$3,Tabelle2[[#This Row],[Fd]]*Tabelle2[[#This Row],[vy]]/Tabelle2[[#This Row],[v]],0)</f>
        <v>-0.51367824299630627</v>
      </c>
      <c r="M1451">
        <f t="shared" si="245"/>
        <v>-0.34245216199753753</v>
      </c>
      <c r="N1451">
        <f t="shared" si="246"/>
        <v>-6.8490432399507511E-3</v>
      </c>
      <c r="O1451">
        <f t="shared" si="247"/>
        <v>-1.7901419572291397</v>
      </c>
      <c r="P1451" s="1">
        <f t="shared" si="249"/>
        <v>5.8926783921783734</v>
      </c>
      <c r="Q1451" s="1">
        <f t="shared" si="250"/>
        <v>-89.503673339837007</v>
      </c>
      <c r="R1451">
        <f>SQRT(Tabelle2[[#This Row],[vx]]*Tabelle2[[#This Row],[vx]]+Tabelle2[[#This Row],[vy]]*Tabelle2[[#This Row],[vy]])</f>
        <v>89.69744254970648</v>
      </c>
      <c r="S1451">
        <f t="shared" si="251"/>
        <v>766.77788237006337</v>
      </c>
      <c r="T1451" s="1">
        <f t="shared" si="252"/>
        <v>-1288.3876875828132</v>
      </c>
    </row>
    <row r="1452" spans="6:20" x14ac:dyDescent="0.35">
      <c r="F1452" s="1">
        <f t="shared" si="248"/>
        <v>28.979999999999471</v>
      </c>
      <c r="G1452">
        <f>1/2*$B$8*$B$6*$B$7*(Tabelle2[[#This Row],[vx]]*Tabelle2[[#This Row],[vx]]+Tabelle2[[#This Row],[vy]]*Tabelle2[[#This Row],[vy]])/1000000</f>
        <v>14.23397584130681</v>
      </c>
      <c r="H1452">
        <f>IF($B$3,-Tabelle2[[#This Row],[Fd]]*Tabelle2[[#This Row],[vx]]/Tabelle2[[#This Row],[v]],0)</f>
        <v>-0.93306096880732348</v>
      </c>
      <c r="I1452">
        <f t="shared" si="242"/>
        <v>-0.62204064587154895</v>
      </c>
      <c r="J1452">
        <f t="shared" si="243"/>
        <v>-1.2440812917430979E-2</v>
      </c>
      <c r="K1452">
        <f t="shared" si="244"/>
        <v>0.11747983267566892</v>
      </c>
      <c r="L1452">
        <f>-$B$5*$B$12-IF($B$3,Tabelle2[[#This Row],[Fd]]*Tabelle2[[#This Row],[vy]]/Tabelle2[[#This Row],[v]],0)</f>
        <v>-0.51163893723058784</v>
      </c>
      <c r="M1452">
        <f t="shared" si="245"/>
        <v>-0.34109262482039188</v>
      </c>
      <c r="N1452">
        <f t="shared" si="246"/>
        <v>-6.8218524964078374E-3</v>
      </c>
      <c r="O1452">
        <f t="shared" si="247"/>
        <v>-1.7902786661865033</v>
      </c>
      <c r="P1452" s="1">
        <f t="shared" si="249"/>
        <v>5.8802120402421609</v>
      </c>
      <c r="Q1452" s="1">
        <f t="shared" si="250"/>
        <v>-89.51052238307696</v>
      </c>
      <c r="R1452">
        <f>SQRT(Tabelle2[[#This Row],[vx]]*Tabelle2[[#This Row],[vx]]+Tabelle2[[#This Row],[vy]]*Tabelle2[[#This Row],[vy]])</f>
        <v>89.70345874563327</v>
      </c>
      <c r="S1452">
        <f t="shared" si="251"/>
        <v>766.89561127438753</v>
      </c>
      <c r="T1452" s="1">
        <f t="shared" si="252"/>
        <v>-1290.1778295400425</v>
      </c>
    </row>
    <row r="1453" spans="6:20" x14ac:dyDescent="0.35">
      <c r="F1453" s="1">
        <f t="shared" si="248"/>
        <v>28.999999999999471</v>
      </c>
      <c r="G1453">
        <f>1/2*$B$8*$B$6*$B$7*(Tabelle2[[#This Row],[vx]]*Tabelle2[[#This Row],[vx]]+Tabelle2[[#This Row],[vy]]*Tabelle2[[#This Row],[vy]])/1000000</f>
        <v>14.235877689245054</v>
      </c>
      <c r="H1453">
        <f>IF($B$3,-Tabelle2[[#This Row],[Fd]]*Tabelle2[[#This Row],[vx]]/Tabelle2[[#This Row],[v]],0)</f>
        <v>-0.93114908475093072</v>
      </c>
      <c r="I1453">
        <f t="shared" si="242"/>
        <v>-0.62076605650062044</v>
      </c>
      <c r="J1453">
        <f t="shared" si="243"/>
        <v>-1.2415321130012409E-2</v>
      </c>
      <c r="K1453">
        <f t="shared" si="244"/>
        <v>0.11723127133519448</v>
      </c>
      <c r="L1453">
        <f>-$B$5*$B$12-IF($B$3,Tabelle2[[#This Row],[Fd]]*Tabelle2[[#This Row],[vy]]/Tabelle2[[#This Row],[v]],0)</f>
        <v>-0.50960753920847779</v>
      </c>
      <c r="M1453">
        <f t="shared" si="245"/>
        <v>-0.33973835947231851</v>
      </c>
      <c r="N1453">
        <f t="shared" si="246"/>
        <v>-6.7947671894463702E-3</v>
      </c>
      <c r="O1453">
        <f t="shared" si="247"/>
        <v>-1.7904148323833615</v>
      </c>
      <c r="P1453" s="1">
        <f t="shared" si="249"/>
        <v>5.86777122732473</v>
      </c>
      <c r="Q1453" s="1">
        <f t="shared" si="250"/>
        <v>-89.517344235573361</v>
      </c>
      <c r="R1453">
        <f>SQRT(Tabelle2[[#This Row],[vx]]*Tabelle2[[#This Row],[vx]]+Tabelle2[[#This Row],[vy]]*Tabelle2[[#This Row],[vy]])</f>
        <v>89.709451331319372</v>
      </c>
      <c r="S1453">
        <f t="shared" si="251"/>
        <v>767.01309110706325</v>
      </c>
      <c r="T1453" s="1">
        <f t="shared" si="252"/>
        <v>-1291.9681082062289</v>
      </c>
    </row>
    <row r="1454" spans="6:20" x14ac:dyDescent="0.35">
      <c r="F1454" s="1">
        <f t="shared" si="248"/>
        <v>29.01999999999947</v>
      </c>
      <c r="G1454">
        <f>1/2*$B$8*$B$6*$B$7*(Tabelle2[[#This Row],[vx]]*Tabelle2[[#This Row],[vx]]+Tabelle2[[#This Row],[vy]]*Tabelle2[[#This Row],[vy]])/1000000</f>
        <v>14.237772198950138</v>
      </c>
      <c r="H1454">
        <f>IF($B$3,-Tabelle2[[#This Row],[Fd]]*Tabelle2[[#This Row],[vx]]/Tabelle2[[#This Row],[v]],0)</f>
        <v>-0.92924073885466674</v>
      </c>
      <c r="I1454">
        <f t="shared" si="242"/>
        <v>-0.61949382590311119</v>
      </c>
      <c r="J1454">
        <f t="shared" si="243"/>
        <v>-1.2389876518062224E-2</v>
      </c>
      <c r="K1454">
        <f t="shared" si="244"/>
        <v>0.11698321935871374</v>
      </c>
      <c r="L1454">
        <f>-$B$5*$B$12-IF($B$3,Tabelle2[[#This Row],[Fd]]*Tabelle2[[#This Row],[vy]]/Tabelle2[[#This Row],[v]],0)</f>
        <v>-0.50758401965894784</v>
      </c>
      <c r="M1454">
        <f t="shared" si="245"/>
        <v>-0.33838934643929858</v>
      </c>
      <c r="N1454">
        <f t="shared" si="246"/>
        <v>-6.7677869287859713E-3</v>
      </c>
      <c r="O1454">
        <f t="shared" si="247"/>
        <v>-1.7905504579245439</v>
      </c>
      <c r="P1454" s="1">
        <f t="shared" si="249"/>
        <v>5.8553559061947178</v>
      </c>
      <c r="Q1454" s="1">
        <f t="shared" si="250"/>
        <v>-89.524139002762809</v>
      </c>
      <c r="R1454">
        <f>SQRT(Tabelle2[[#This Row],[vx]]*Tabelle2[[#This Row],[vx]]+Tabelle2[[#This Row],[vy]]*Tabelle2[[#This Row],[vy]])</f>
        <v>89.715420396798038</v>
      </c>
      <c r="S1454">
        <f t="shared" si="251"/>
        <v>767.13032237839843</v>
      </c>
      <c r="T1454" s="1">
        <f t="shared" si="252"/>
        <v>-1293.7585230386121</v>
      </c>
    </row>
    <row r="1455" spans="6:20" x14ac:dyDescent="0.35">
      <c r="F1455" s="1">
        <f t="shared" si="248"/>
        <v>29.03999999999947</v>
      </c>
      <c r="G1455">
        <f>1/2*$B$8*$B$6*$B$7*(Tabelle2[[#This Row],[vx]]*Tabelle2[[#This Row],[vx]]+Tabelle2[[#This Row],[vy]]*Tabelle2[[#This Row],[vy]])/1000000</f>
        <v>14.239659397407497</v>
      </c>
      <c r="H1455">
        <f>IF($B$3,-Tabelle2[[#This Row],[Fd]]*Tabelle2[[#This Row],[vx]]/Tabelle2[[#This Row],[v]],0)</f>
        <v>-0.92733592691565225</v>
      </c>
      <c r="I1455">
        <f t="shared" si="242"/>
        <v>-0.6182239512771015</v>
      </c>
      <c r="J1455">
        <f t="shared" si="243"/>
        <v>-1.236447902554203E-2</v>
      </c>
      <c r="K1455">
        <f t="shared" si="244"/>
        <v>0.11673567580327769</v>
      </c>
      <c r="L1455">
        <f>-$B$5*$B$12-IF($B$3,Tabelle2[[#This Row],[Fd]]*Tabelle2[[#This Row],[vy]]/Tabelle2[[#This Row],[v]],0)</f>
        <v>-0.50556834940865159</v>
      </c>
      <c r="M1455">
        <f t="shared" si="245"/>
        <v>-0.33704556627243437</v>
      </c>
      <c r="N1455">
        <f t="shared" si="246"/>
        <v>-6.7409113254486876E-3</v>
      </c>
      <c r="O1455">
        <f t="shared" si="247"/>
        <v>-1.7906855449070864</v>
      </c>
      <c r="P1455" s="1">
        <f t="shared" si="249"/>
        <v>5.8429660296766555</v>
      </c>
      <c r="Q1455" s="1">
        <f t="shared" si="250"/>
        <v>-89.530906789691599</v>
      </c>
      <c r="R1455">
        <f>SQRT(Tabelle2[[#This Row],[vx]]*Tabelle2[[#This Row],[vx]]+Tabelle2[[#This Row],[vy]]*Tabelle2[[#This Row],[vy]])</f>
        <v>89.721366031778629</v>
      </c>
      <c r="S1455">
        <f t="shared" si="251"/>
        <v>767.24730559775719</v>
      </c>
      <c r="T1455" s="1">
        <f t="shared" si="252"/>
        <v>-1295.5490734965367</v>
      </c>
    </row>
    <row r="1456" spans="6:20" x14ac:dyDescent="0.35">
      <c r="F1456" s="1">
        <f t="shared" si="248"/>
        <v>29.059999999999469</v>
      </c>
      <c r="G1456">
        <f>1/2*$B$8*$B$6*$B$7*(Tabelle2[[#This Row],[vx]]*Tabelle2[[#This Row],[vx]]+Tabelle2[[#This Row],[vy]]*Tabelle2[[#This Row],[vy]])/1000000</f>
        <v>14.241539311513463</v>
      </c>
      <c r="H1456">
        <f>IF($B$3,-Tabelle2[[#This Row],[Fd]]*Tabelle2[[#This Row],[vx]]/Tabelle2[[#This Row],[v]],0)</f>
        <v>-0.92543464472038439</v>
      </c>
      <c r="I1456">
        <f t="shared" si="242"/>
        <v>-0.61695642981358956</v>
      </c>
      <c r="J1456">
        <f t="shared" si="243"/>
        <v>-1.2339128596271792E-2</v>
      </c>
      <c r="K1456">
        <f t="shared" si="244"/>
        <v>0.11648863972705956</v>
      </c>
      <c r="L1456">
        <f>-$B$5*$B$12-IF($B$3,Tabelle2[[#This Row],[Fd]]*Tabelle2[[#This Row],[vy]]/Tabelle2[[#This Row],[v]],0)</f>
        <v>-0.5035604993816829</v>
      </c>
      <c r="M1456">
        <f t="shared" si="245"/>
        <v>-0.3357069995877886</v>
      </c>
      <c r="N1456">
        <f t="shared" si="246"/>
        <v>-6.7141399917557722E-3</v>
      </c>
      <c r="O1456">
        <f t="shared" si="247"/>
        <v>-1.7908200954202584</v>
      </c>
      <c r="P1456" s="1">
        <f t="shared" si="249"/>
        <v>5.8306015506511137</v>
      </c>
      <c r="Q1456" s="1">
        <f t="shared" si="250"/>
        <v>-89.53764770101705</v>
      </c>
      <c r="R1456">
        <f>SQRT(Tabelle2[[#This Row],[vx]]*Tabelle2[[#This Row],[vx]]+Tabelle2[[#This Row],[vy]]*Tabelle2[[#This Row],[vy]])</f>
        <v>89.727288325647621</v>
      </c>
      <c r="S1456">
        <f t="shared" si="251"/>
        <v>767.36404127356047</v>
      </c>
      <c r="T1456" s="1">
        <f t="shared" si="252"/>
        <v>-1297.3397590414438</v>
      </c>
    </row>
    <row r="1457" spans="6:20" x14ac:dyDescent="0.35">
      <c r="F1457" s="1">
        <f t="shared" si="248"/>
        <v>29.079999999999469</v>
      </c>
      <c r="G1457">
        <f>1/2*$B$8*$B$6*$B$7*(Tabelle2[[#This Row],[vx]]*Tabelle2[[#This Row],[vx]]+Tabelle2[[#This Row],[vy]]*Tabelle2[[#This Row],[vy]])/1000000</f>
        <v>14.243411968075476</v>
      </c>
      <c r="H1457">
        <f>IF($B$3,-Tabelle2[[#This Row],[Fd]]*Tabelle2[[#This Row],[vx]]/Tabelle2[[#This Row],[v]],0)</f>
        <v>-0.92353688804486556</v>
      </c>
      <c r="I1457">
        <f t="shared" si="242"/>
        <v>-0.61569125869657704</v>
      </c>
      <c r="J1457">
        <f t="shared" si="243"/>
        <v>-1.2313825173931542E-2</v>
      </c>
      <c r="K1457">
        <f t="shared" si="244"/>
        <v>0.11624211018935751</v>
      </c>
      <c r="L1457">
        <f>-$B$5*$B$12-IF($B$3,Tabelle2[[#This Row],[Fd]]*Tabelle2[[#This Row],[vy]]/Tabelle2[[#This Row],[v]],0)</f>
        <v>-0.5015604405993237</v>
      </c>
      <c r="M1457">
        <f t="shared" si="245"/>
        <v>-0.33437362706621582</v>
      </c>
      <c r="N1457">
        <f t="shared" si="246"/>
        <v>-6.6874725413243168E-3</v>
      </c>
      <c r="O1457">
        <f t="shared" si="247"/>
        <v>-1.7909541115455896</v>
      </c>
      <c r="P1457" s="1">
        <f t="shared" si="249"/>
        <v>5.8182624220548416</v>
      </c>
      <c r="Q1457" s="1">
        <f t="shared" si="250"/>
        <v>-89.544361841008808</v>
      </c>
      <c r="R1457">
        <f>SQRT(Tabelle2[[#This Row],[vx]]*Tabelle2[[#This Row],[vx]]+Tabelle2[[#This Row],[vy]]*Tabelle2[[#This Row],[vy]])</f>
        <v>89.733187367469625</v>
      </c>
      <c r="S1457">
        <f t="shared" si="251"/>
        <v>767.48052991328757</v>
      </c>
      <c r="T1457" s="1">
        <f t="shared" si="252"/>
        <v>-1299.1305791368641</v>
      </c>
    </row>
    <row r="1458" spans="6:20" x14ac:dyDescent="0.35">
      <c r="F1458" s="1">
        <f t="shared" si="248"/>
        <v>29.099999999999469</v>
      </c>
      <c r="G1458">
        <f>1/2*$B$8*$B$6*$B$7*(Tabelle2[[#This Row],[vx]]*Tabelle2[[#This Row],[vx]]+Tabelle2[[#This Row],[vy]]*Tabelle2[[#This Row],[vy]])/1000000</f>
        <v>14.245277393812314</v>
      </c>
      <c r="H1458">
        <f>IF($B$3,-Tabelle2[[#This Row],[Fd]]*Tabelle2[[#This Row],[vx]]/Tabelle2[[#This Row],[v]],0)</f>
        <v>-0.92164265265473655</v>
      </c>
      <c r="I1458">
        <f t="shared" si="242"/>
        <v>-0.6144284351031577</v>
      </c>
      <c r="J1458">
        <f t="shared" si="243"/>
        <v>-1.2288568702063154E-2</v>
      </c>
      <c r="K1458">
        <f t="shared" si="244"/>
        <v>0.11599608625059757</v>
      </c>
      <c r="L1458">
        <f>-$B$5*$B$12-IF($B$3,Tabelle2[[#This Row],[Fd]]*Tabelle2[[#This Row],[vy]]/Tabelle2[[#This Row],[v]],0)</f>
        <v>-0.49956814417980233</v>
      </c>
      <c r="M1458">
        <f t="shared" si="245"/>
        <v>-0.33304542945320154</v>
      </c>
      <c r="N1458">
        <f t="shared" si="246"/>
        <v>-6.6609085890640312E-3</v>
      </c>
      <c r="O1458">
        <f t="shared" si="247"/>
        <v>-1.7910875953568934</v>
      </c>
      <c r="P1458" s="1">
        <f t="shared" si="249"/>
        <v>5.8059485968809099</v>
      </c>
      <c r="Q1458" s="1">
        <f t="shared" si="250"/>
        <v>-89.551049313550138</v>
      </c>
      <c r="R1458">
        <f>SQRT(Tabelle2[[#This Row],[vx]]*Tabelle2[[#This Row],[vx]]+Tabelle2[[#This Row],[vy]]*Tabelle2[[#This Row],[vy]])</f>
        <v>89.739063245988433</v>
      </c>
      <c r="S1458">
        <f t="shared" si="251"/>
        <v>767.59677202347689</v>
      </c>
      <c r="T1458" s="1">
        <f t="shared" si="252"/>
        <v>-1300.9215332484096</v>
      </c>
    </row>
    <row r="1459" spans="6:20" x14ac:dyDescent="0.35">
      <c r="F1459" s="1">
        <f t="shared" si="248"/>
        <v>29.119999999999468</v>
      </c>
      <c r="G1459">
        <f>1/2*$B$8*$B$6*$B$7*(Tabelle2[[#This Row],[vx]]*Tabelle2[[#This Row],[vx]]+Tabelle2[[#This Row],[vy]]*Tabelle2[[#This Row],[vy]])/1000000</f>
        <v>14.24713561535428</v>
      </c>
      <c r="H1459">
        <f>IF($B$3,-Tabelle2[[#This Row],[Fd]]*Tabelle2[[#This Row],[vx]]/Tabelle2[[#This Row],[v]],0)</f>
        <v>-0.91975193430540281</v>
      </c>
      <c r="I1459">
        <f t="shared" si="242"/>
        <v>-0.61316795620360187</v>
      </c>
      <c r="J1459">
        <f t="shared" si="243"/>
        <v>-1.2263359124072037E-2</v>
      </c>
      <c r="K1459">
        <f t="shared" si="244"/>
        <v>0.11575056697233622</v>
      </c>
      <c r="L1459">
        <f>-$B$5*$B$12-IF($B$3,Tabelle2[[#This Row],[Fd]]*Tabelle2[[#This Row],[vy]]/Tabelle2[[#This Row],[v]],0)</f>
        <v>-0.49758358133806979</v>
      </c>
      <c r="M1459">
        <f t="shared" si="245"/>
        <v>-0.33172238755871319</v>
      </c>
      <c r="N1459">
        <f t="shared" si="246"/>
        <v>-6.6344477511742642E-3</v>
      </c>
      <c r="O1459">
        <f t="shared" si="247"/>
        <v>-1.7912205489202959</v>
      </c>
      <c r="P1459" s="1">
        <f t="shared" si="249"/>
        <v>5.7936600281788468</v>
      </c>
      <c r="Q1459" s="1">
        <f t="shared" si="250"/>
        <v>-89.557710222139207</v>
      </c>
      <c r="R1459">
        <f>SQRT(Tabelle2[[#This Row],[vx]]*Tabelle2[[#This Row],[vx]]+Tabelle2[[#This Row],[vy]]*Tabelle2[[#This Row],[vy]])</f>
        <v>89.744916049627989</v>
      </c>
      <c r="S1459">
        <f t="shared" si="251"/>
        <v>767.71276810972745</v>
      </c>
      <c r="T1459" s="1">
        <f t="shared" si="252"/>
        <v>-1302.7126208437664</v>
      </c>
    </row>
    <row r="1460" spans="6:20" x14ac:dyDescent="0.35">
      <c r="F1460" s="1">
        <f t="shared" si="248"/>
        <v>29.139999999999468</v>
      </c>
      <c r="G1460">
        <f>1/2*$B$8*$B$6*$B$7*(Tabelle2[[#This Row],[vx]]*Tabelle2[[#This Row],[vx]]+Tabelle2[[#This Row],[vy]]*Tabelle2[[#This Row],[vy]])/1000000</f>
        <v>14.248986659243432</v>
      </c>
      <c r="H1460">
        <f>IF($B$3,-Tabelle2[[#This Row],[Fd]]*Tabelle2[[#This Row],[vx]]/Tabelle2[[#This Row],[v]],0)</f>
        <v>-0.91786472874216474</v>
      </c>
      <c r="I1460">
        <f t="shared" si="242"/>
        <v>-0.61190981916144316</v>
      </c>
      <c r="J1460">
        <f t="shared" si="243"/>
        <v>-1.2238196383228863E-2</v>
      </c>
      <c r="K1460">
        <f t="shared" si="244"/>
        <v>0.11550555141726321</v>
      </c>
      <c r="L1460">
        <f>-$B$5*$B$12-IF($B$3,Tabelle2[[#This Row],[Fd]]*Tabelle2[[#This Row],[vy]]/Tabelle2[[#This Row],[v]],0)</f>
        <v>-0.4956067233855439</v>
      </c>
      <c r="M1460">
        <f t="shared" si="245"/>
        <v>-0.33040448225702929</v>
      </c>
      <c r="N1460">
        <f t="shared" si="246"/>
        <v>-6.6080896451405861E-3</v>
      </c>
      <c r="O1460">
        <f t="shared" si="247"/>
        <v>-1.7913529742942589</v>
      </c>
      <c r="P1460" s="1">
        <f t="shared" si="249"/>
        <v>5.7813966690547751</v>
      </c>
      <c r="Q1460" s="1">
        <f t="shared" si="250"/>
        <v>-89.564344669890374</v>
      </c>
      <c r="R1460">
        <f>SQRT(Tabelle2[[#This Row],[vx]]*Tabelle2[[#This Row],[vx]]+Tabelle2[[#This Row],[vy]]*Tabelle2[[#This Row],[vy]])</f>
        <v>89.750745866493375</v>
      </c>
      <c r="S1460">
        <f t="shared" si="251"/>
        <v>767.82851867669979</v>
      </c>
      <c r="T1460" s="1">
        <f t="shared" si="252"/>
        <v>-1304.5038413926868</v>
      </c>
    </row>
    <row r="1461" spans="6:20" x14ac:dyDescent="0.35">
      <c r="F1461" s="1">
        <f t="shared" si="248"/>
        <v>29.159999999999467</v>
      </c>
      <c r="G1461">
        <f>1/2*$B$8*$B$6*$B$7*(Tabelle2[[#This Row],[vx]]*Tabelle2[[#This Row],[vx]]+Tabelle2[[#This Row],[vy]]*Tabelle2[[#This Row],[vy]])/1000000</f>
        <v>14.250830551933801</v>
      </c>
      <c r="H1461">
        <f>IF($B$3,-Tabelle2[[#This Row],[Fd]]*Tabelle2[[#This Row],[vx]]/Tabelle2[[#This Row],[v]],0)</f>
        <v>-0.91598103170034462</v>
      </c>
      <c r="I1461">
        <f t="shared" si="242"/>
        <v>-0.61065402113356304</v>
      </c>
      <c r="J1461">
        <f t="shared" si="243"/>
        <v>-1.221308042267126E-2</v>
      </c>
      <c r="K1461">
        <f t="shared" si="244"/>
        <v>0.11526103864920421</v>
      </c>
      <c r="L1461">
        <f>-$B$5*$B$12-IF($B$3,Tabelle2[[#This Row],[Fd]]*Tabelle2[[#This Row],[vy]]/Tabelle2[[#This Row],[v]],0)</f>
        <v>-0.49363754172986951</v>
      </c>
      <c r="M1461">
        <f t="shared" si="245"/>
        <v>-0.32909169448657966</v>
      </c>
      <c r="N1461">
        <f t="shared" si="246"/>
        <v>-6.5818338897315936E-3</v>
      </c>
      <c r="O1461">
        <f t="shared" si="247"/>
        <v>-1.7914848735296076</v>
      </c>
      <c r="P1461" s="1">
        <f t="shared" si="249"/>
        <v>5.7691584726715464</v>
      </c>
      <c r="Q1461" s="1">
        <f t="shared" si="250"/>
        <v>-89.570952759535515</v>
      </c>
      <c r="R1461">
        <f>SQRT(Tabelle2[[#This Row],[vx]]*Tabelle2[[#This Row],[vx]]+Tabelle2[[#This Row],[vy]]*Tabelle2[[#This Row],[vy]])</f>
        <v>89.756552784371905</v>
      </c>
      <c r="S1461">
        <f t="shared" si="251"/>
        <v>767.94402422811709</v>
      </c>
      <c r="T1461" s="1">
        <f t="shared" si="252"/>
        <v>-1306.2951943669811</v>
      </c>
    </row>
    <row r="1462" spans="6:20" x14ac:dyDescent="0.35">
      <c r="F1462" s="1">
        <f t="shared" si="248"/>
        <v>29.179999999999467</v>
      </c>
      <c r="G1462">
        <f>1/2*$B$8*$B$6*$B$7*(Tabelle2[[#This Row],[vx]]*Tabelle2[[#This Row],[vx]]+Tabelle2[[#This Row],[vy]]*Tabelle2[[#This Row],[vy]])/1000000</f>
        <v>14.252667319791598</v>
      </c>
      <c r="H1462">
        <f>IF($B$3,-Tabelle2[[#This Row],[Fd]]*Tabelle2[[#This Row],[vx]]/Tabelle2[[#This Row],[v]],0)</f>
        <v>-0.91410083890541405</v>
      </c>
      <c r="I1462">
        <f t="shared" si="242"/>
        <v>-0.60940055927027603</v>
      </c>
      <c r="J1462">
        <f t="shared" si="243"/>
        <v>-1.2188011185405521E-2</v>
      </c>
      <c r="K1462">
        <f t="shared" si="244"/>
        <v>0.11501702773312346</v>
      </c>
      <c r="L1462">
        <f>-$B$5*$B$12-IF($B$3,Tabelle2[[#This Row],[Fd]]*Tabelle2[[#This Row],[vy]]/Tabelle2[[#This Row],[v]],0)</f>
        <v>-0.49167600787467869</v>
      </c>
      <c r="M1462">
        <f t="shared" si="245"/>
        <v>-0.32778400524978579</v>
      </c>
      <c r="N1462">
        <f t="shared" si="246"/>
        <v>-6.5556801049957156E-3</v>
      </c>
      <c r="O1462">
        <f t="shared" si="247"/>
        <v>-1.791616248669555</v>
      </c>
      <c r="P1462" s="1">
        <f t="shared" si="249"/>
        <v>5.7569453922488751</v>
      </c>
      <c r="Q1462" s="1">
        <f t="shared" si="250"/>
        <v>-89.577534593425241</v>
      </c>
      <c r="R1462">
        <f>SQRT(Tabelle2[[#This Row],[vx]]*Tabelle2[[#This Row],[vx]]+Tabelle2[[#This Row],[vy]]*Tabelle2[[#This Row],[vy]])</f>
        <v>89.762336890734034</v>
      </c>
      <c r="S1462">
        <f t="shared" si="251"/>
        <v>768.05928526676632</v>
      </c>
      <c r="T1462" s="1">
        <f t="shared" si="252"/>
        <v>-1308.0866792405106</v>
      </c>
    </row>
    <row r="1463" spans="6:20" x14ac:dyDescent="0.35">
      <c r="F1463" s="1">
        <f t="shared" si="248"/>
        <v>29.199999999999466</v>
      </c>
      <c r="G1463">
        <f>1/2*$B$8*$B$6*$B$7*(Tabelle2[[#This Row],[vx]]*Tabelle2[[#This Row],[vx]]+Tabelle2[[#This Row],[vy]]*Tabelle2[[#This Row],[vy]])/1000000</f>
        <v>14.254496989095431</v>
      </c>
      <c r="H1463">
        <f>IF($B$3,-Tabelle2[[#This Row],[Fd]]*Tabelle2[[#This Row],[vx]]/Tabelle2[[#This Row],[v]],0)</f>
        <v>-0.9122241460731193</v>
      </c>
      <c r="I1463">
        <f t="shared" si="242"/>
        <v>-0.60814943071541283</v>
      </c>
      <c r="J1463">
        <f t="shared" si="243"/>
        <v>-1.2162988614308257E-2</v>
      </c>
      <c r="K1463">
        <f t="shared" si="244"/>
        <v>0.11477351773512631</v>
      </c>
      <c r="L1463">
        <f>-$B$5*$B$12-IF($B$3,Tabelle2[[#This Row],[Fd]]*Tabelle2[[#This Row],[vy]]/Tabelle2[[#This Row],[v]],0)</f>
        <v>-0.48972209341933848</v>
      </c>
      <c r="M1463">
        <f t="shared" si="245"/>
        <v>-0.3264813956128923</v>
      </c>
      <c r="N1463">
        <f t="shared" si="246"/>
        <v>-6.5296279122578462E-3</v>
      </c>
      <c r="O1463">
        <f t="shared" si="247"/>
        <v>-1.7917471017497275</v>
      </c>
      <c r="P1463" s="1">
        <f t="shared" si="249"/>
        <v>5.7447573810634696</v>
      </c>
      <c r="Q1463" s="1">
        <f t="shared" si="250"/>
        <v>-89.584090273530236</v>
      </c>
      <c r="R1463">
        <f>SQRT(Tabelle2[[#This Row],[vx]]*Tabelle2[[#This Row],[vx]]+Tabelle2[[#This Row],[vy]]*Tabelle2[[#This Row],[vy]])</f>
        <v>89.768098272734377</v>
      </c>
      <c r="S1463">
        <f t="shared" si="251"/>
        <v>768.1743022944994</v>
      </c>
      <c r="T1463" s="1">
        <f t="shared" si="252"/>
        <v>-1309.8782954891801</v>
      </c>
    </row>
    <row r="1464" spans="6:20" x14ac:dyDescent="0.35">
      <c r="F1464" s="1">
        <f t="shared" si="248"/>
        <v>29.219999999999466</v>
      </c>
      <c r="G1464">
        <f>1/2*$B$8*$B$6*$B$7*(Tabelle2[[#This Row],[vx]]*Tabelle2[[#This Row],[vx]]+Tabelle2[[#This Row],[vy]]*Tabelle2[[#This Row],[vy]])/1000000</f>
        <v>14.256319586036517</v>
      </c>
      <c r="H1464">
        <f>IF($B$3,-Tabelle2[[#This Row],[Fd]]*Tabelle2[[#This Row],[vx]]/Tabelle2[[#This Row],[v]],0)</f>
        <v>-0.91035094890960722</v>
      </c>
      <c r="I1464">
        <f t="shared" si="242"/>
        <v>-0.60690063260640481</v>
      </c>
      <c r="J1464">
        <f t="shared" si="243"/>
        <v>-1.2138012652128096E-2</v>
      </c>
      <c r="K1464">
        <f t="shared" si="244"/>
        <v>0.11453050772246194</v>
      </c>
      <c r="L1464">
        <f>-$B$5*$B$12-IF($B$3,Tabelle2[[#This Row],[Fd]]*Tabelle2[[#This Row],[vy]]/Tabelle2[[#This Row],[v]],0)</f>
        <v>-0.48777577005873773</v>
      </c>
      <c r="M1464">
        <f t="shared" si="245"/>
        <v>-0.32518384670582517</v>
      </c>
      <c r="N1464">
        <f t="shared" si="246"/>
        <v>-6.5036769341165037E-3</v>
      </c>
      <c r="O1464">
        <f t="shared" si="247"/>
        <v>-1.7918774347981912</v>
      </c>
      <c r="P1464" s="1">
        <f t="shared" si="249"/>
        <v>5.7325943924491609</v>
      </c>
      <c r="Q1464" s="1">
        <f t="shared" si="250"/>
        <v>-89.590619901442494</v>
      </c>
      <c r="R1464">
        <f>SQRT(Tabelle2[[#This Row],[vx]]*Tabelle2[[#This Row],[vx]]+Tabelle2[[#This Row],[vy]]*Tabelle2[[#This Row],[vy]])</f>
        <v>89.773837017212784</v>
      </c>
      <c r="S1464">
        <f t="shared" si="251"/>
        <v>768.2890758122345</v>
      </c>
      <c r="T1464" s="1">
        <f t="shared" si="252"/>
        <v>-1311.6700425909298</v>
      </c>
    </row>
    <row r="1465" spans="6:20" x14ac:dyDescent="0.35">
      <c r="F1465" s="1">
        <f t="shared" si="248"/>
        <v>29.239999999999466</v>
      </c>
      <c r="G1465">
        <f>1/2*$B$8*$B$6*$B$7*(Tabelle2[[#This Row],[vx]]*Tabelle2[[#This Row],[vx]]+Tabelle2[[#This Row],[vy]]*Tabelle2[[#This Row],[vy]])/1000000</f>
        <v>14.258135136718893</v>
      </c>
      <c r="H1465">
        <f>IF($B$3,-Tabelle2[[#This Row],[Fd]]*Tabelle2[[#This Row],[vx]]/Tabelle2[[#This Row],[v]],0)</f>
        <v>-0.90848124311154899</v>
      </c>
      <c r="I1465">
        <f t="shared" si="242"/>
        <v>-0.60565416207436595</v>
      </c>
      <c r="J1465">
        <f t="shared" si="243"/>
        <v>-1.211308324148732E-2</v>
      </c>
      <c r="K1465">
        <f t="shared" si="244"/>
        <v>0.11428799676352577</v>
      </c>
      <c r="L1465">
        <f>-$B$5*$B$12-IF($B$3,Tabelle2[[#This Row],[Fd]]*Tabelle2[[#This Row],[vy]]/Tabelle2[[#This Row],[v]],0)</f>
        <v>-0.48583700958301534</v>
      </c>
      <c r="M1465">
        <f t="shared" si="245"/>
        <v>-0.32389133972201023</v>
      </c>
      <c r="N1465">
        <f t="shared" si="246"/>
        <v>-6.4778267944402045E-3</v>
      </c>
      <c r="O1465">
        <f t="shared" si="247"/>
        <v>-1.7920072498354767</v>
      </c>
      <c r="P1465" s="1">
        <f t="shared" si="249"/>
        <v>5.7204563797970325</v>
      </c>
      <c r="Q1465" s="1">
        <f t="shared" si="250"/>
        <v>-89.59712357837661</v>
      </c>
      <c r="R1465">
        <f>SQRT(Tabelle2[[#This Row],[vx]]*Tabelle2[[#This Row],[vx]]+Tabelle2[[#This Row],[vy]]*Tabelle2[[#This Row],[vy]])</f>
        <v>89.779553210695198</v>
      </c>
      <c r="S1465">
        <f t="shared" si="251"/>
        <v>768.40360631995691</v>
      </c>
      <c r="T1465" s="1">
        <f t="shared" si="252"/>
        <v>-1313.461920025728</v>
      </c>
    </row>
    <row r="1466" spans="6:20" x14ac:dyDescent="0.35">
      <c r="F1466" s="1">
        <f t="shared" si="248"/>
        <v>29.259999999999465</v>
      </c>
      <c r="G1466">
        <f>1/2*$B$8*$B$6*$B$7*(Tabelle2[[#This Row],[vx]]*Tabelle2[[#This Row],[vx]]+Tabelle2[[#This Row],[vy]]*Tabelle2[[#This Row],[vy]])/1000000</f>
        <v>14.259943667159648</v>
      </c>
      <c r="H1466">
        <f>IF($B$3,-Tabelle2[[#This Row],[Fd]]*Tabelle2[[#This Row],[vx]]/Tabelle2[[#This Row],[v]],0)</f>
        <v>-0.90661502436626429</v>
      </c>
      <c r="I1466">
        <f t="shared" si="242"/>
        <v>-0.60441001624417623</v>
      </c>
      <c r="J1466">
        <f t="shared" si="243"/>
        <v>-1.2088200324883525E-2</v>
      </c>
      <c r="K1466">
        <f t="shared" si="244"/>
        <v>0.11404598392786205</v>
      </c>
      <c r="L1466">
        <f>-$B$5*$B$12-IF($B$3,Tabelle2[[#This Row],[Fd]]*Tabelle2[[#This Row],[vy]]/Tabelle2[[#This Row],[v]],0)</f>
        <v>-0.4839057838773364</v>
      </c>
      <c r="M1466">
        <f t="shared" si="245"/>
        <v>-0.32260385591822427</v>
      </c>
      <c r="N1466">
        <f t="shared" si="246"/>
        <v>-6.4520771183644854E-3</v>
      </c>
      <c r="O1466">
        <f t="shared" si="247"/>
        <v>-1.7921365488746046</v>
      </c>
      <c r="P1466" s="1">
        <f t="shared" si="249"/>
        <v>5.7083432965555447</v>
      </c>
      <c r="Q1466" s="1">
        <f t="shared" si="250"/>
        <v>-89.603601405171048</v>
      </c>
      <c r="R1466">
        <f>SQRT(Tabelle2[[#This Row],[vx]]*Tabelle2[[#This Row],[vx]]+Tabelle2[[#This Row],[vy]]*Tabelle2[[#This Row],[vy]])</f>
        <v>89.785246939394796</v>
      </c>
      <c r="S1466">
        <f t="shared" si="251"/>
        <v>768.51789431672046</v>
      </c>
      <c r="T1466" s="1">
        <f t="shared" si="252"/>
        <v>-1315.2539272755635</v>
      </c>
    </row>
    <row r="1467" spans="6:20" x14ac:dyDescent="0.35">
      <c r="F1467" s="1">
        <f t="shared" si="248"/>
        <v>29.279999999999465</v>
      </c>
      <c r="G1467">
        <f>1/2*$B$8*$B$6*$B$7*(Tabelle2[[#This Row],[vx]]*Tabelle2[[#This Row],[vx]]+Tabelle2[[#This Row],[vy]]*Tabelle2[[#This Row],[vy]])/1000000</f>
        <v>14.261745203289118</v>
      </c>
      <c r="H1467">
        <f>IF($B$3,-Tabelle2[[#This Row],[Fd]]*Tabelle2[[#This Row],[vx]]/Tabelle2[[#This Row],[v]],0)</f>
        <v>-0.9047522883518444</v>
      </c>
      <c r="I1467">
        <f t="shared" si="242"/>
        <v>-0.60316819223456297</v>
      </c>
      <c r="J1467">
        <f t="shared" si="243"/>
        <v>-1.206336384469126E-2</v>
      </c>
      <c r="K1467">
        <f t="shared" si="244"/>
        <v>0.11380446828616632</v>
      </c>
      <c r="L1467">
        <f>-$B$5*$B$12-IF($B$3,Tabelle2[[#This Row],[Fd]]*Tabelle2[[#This Row],[vy]]/Tabelle2[[#This Row],[v]],0)</f>
        <v>-0.48198206492163997</v>
      </c>
      <c r="M1467">
        <f t="shared" si="245"/>
        <v>-0.32132137661442667</v>
      </c>
      <c r="N1467">
        <f t="shared" si="246"/>
        <v>-6.4264275322885337E-3</v>
      </c>
      <c r="O1467">
        <f t="shared" si="247"/>
        <v>-1.7922653339211112</v>
      </c>
      <c r="P1467" s="1">
        <f t="shared" si="249"/>
        <v>5.6962550962306615</v>
      </c>
      <c r="Q1467" s="1">
        <f t="shared" si="250"/>
        <v>-89.610053482289416</v>
      </c>
      <c r="R1467">
        <f>SQRT(Tabelle2[[#This Row],[vx]]*Tabelle2[[#This Row],[vx]]+Tabelle2[[#This Row],[vy]]*Tabelle2[[#This Row],[vy]])</f>
        <v>89.790918289212883</v>
      </c>
      <c r="S1467">
        <f t="shared" si="251"/>
        <v>768.63194030064835</v>
      </c>
      <c r="T1467" s="1">
        <f t="shared" si="252"/>
        <v>-1317.0460638244381</v>
      </c>
    </row>
    <row r="1468" spans="6:20" x14ac:dyDescent="0.35">
      <c r="F1468" s="1">
        <f t="shared" si="248"/>
        <v>29.299999999999464</v>
      </c>
      <c r="G1468">
        <f>1/2*$B$8*$B$6*$B$7*(Tabelle2[[#This Row],[vx]]*Tabelle2[[#This Row],[vx]]+Tabelle2[[#This Row],[vy]]*Tabelle2[[#This Row],[vy]])/1000000</f>
        <v>14.263539770951112</v>
      </c>
      <c r="H1468">
        <f>IF($B$3,-Tabelle2[[#This Row],[Fd]]*Tabelle2[[#This Row],[vx]]/Tabelle2[[#This Row],[v]],0)</f>
        <v>-0.90289303073727356</v>
      </c>
      <c r="I1468">
        <f t="shared" si="242"/>
        <v>-0.60192868715818237</v>
      </c>
      <c r="J1468">
        <f t="shared" si="243"/>
        <v>-1.2038573743163647E-2</v>
      </c>
      <c r="K1468">
        <f t="shared" si="244"/>
        <v>0.11356344891028776</v>
      </c>
      <c r="L1468">
        <f>-$B$5*$B$12-IF($B$3,Tabelle2[[#This Row],[Fd]]*Tabelle2[[#This Row],[vy]]/Tabelle2[[#This Row],[v]],0)</f>
        <v>-0.48006582479039928</v>
      </c>
      <c r="M1468">
        <f t="shared" si="245"/>
        <v>-0.3200438831935995</v>
      </c>
      <c r="N1468">
        <f t="shared" si="246"/>
        <v>-6.4008776638719905E-3</v>
      </c>
      <c r="O1468">
        <f t="shared" si="247"/>
        <v>-1.792393606973073</v>
      </c>
      <c r="P1468" s="1">
        <f t="shared" si="249"/>
        <v>5.6841917323859699</v>
      </c>
      <c r="Q1468" s="1">
        <f t="shared" si="250"/>
        <v>-89.616479909821706</v>
      </c>
      <c r="R1468">
        <f>SQRT(Tabelle2[[#This Row],[vx]]*Tabelle2[[#This Row],[vx]]+Tabelle2[[#This Row],[vy]]*Tabelle2[[#This Row],[vy]])</f>
        <v>89.796567345739902</v>
      </c>
      <c r="S1468">
        <f t="shared" si="251"/>
        <v>768.74574476893451</v>
      </c>
      <c r="T1468" s="1">
        <f t="shared" si="252"/>
        <v>-1318.8383291583591</v>
      </c>
    </row>
    <row r="1469" spans="6:20" x14ac:dyDescent="0.35">
      <c r="F1469" s="1">
        <f t="shared" si="248"/>
        <v>29.319999999999464</v>
      </c>
      <c r="G1469">
        <f>1/2*$B$8*$B$6*$B$7*(Tabelle2[[#This Row],[vx]]*Tabelle2[[#This Row],[vx]]+Tabelle2[[#This Row],[vy]]*Tabelle2[[#This Row],[vy]])/1000000</f>
        <v>14.265327395903128</v>
      </c>
      <c r="H1469">
        <f>IF($B$3,-Tabelle2[[#This Row],[Fd]]*Tabelle2[[#This Row],[vx]]/Tabelle2[[#This Row],[v]],0)</f>
        <v>-0.90103724718255052</v>
      </c>
      <c r="I1469">
        <f t="shared" si="242"/>
        <v>-0.60069149812170031</v>
      </c>
      <c r="J1469">
        <f t="shared" si="243"/>
        <v>-1.2013829962434006E-2</v>
      </c>
      <c r="K1469">
        <f t="shared" si="244"/>
        <v>0.11332292487323178</v>
      </c>
      <c r="L1469">
        <f>-$B$5*$B$12-IF($B$3,Tabelle2[[#This Row],[Fd]]*Tabelle2[[#This Row],[vy]]/Tabelle2[[#This Row],[v]],0)</f>
        <v>-0.47815703565239076</v>
      </c>
      <c r="M1469">
        <f t="shared" si="245"/>
        <v>-0.31877135710159382</v>
      </c>
      <c r="N1469">
        <f t="shared" si="246"/>
        <v>-6.3754271420318762E-3</v>
      </c>
      <c r="O1469">
        <f t="shared" si="247"/>
        <v>-1.792521370021132</v>
      </c>
      <c r="P1469" s="1">
        <f t="shared" si="249"/>
        <v>5.6721531586428062</v>
      </c>
      <c r="Q1469" s="1">
        <f t="shared" si="250"/>
        <v>-89.622880787485585</v>
      </c>
      <c r="R1469">
        <f>SQRT(Tabelle2[[#This Row],[vx]]*Tabelle2[[#This Row],[vx]]+Tabelle2[[#This Row],[vy]]*Tabelle2[[#This Row],[vy]])</f>
        <v>89.802194194256487</v>
      </c>
      <c r="S1469">
        <f t="shared" si="251"/>
        <v>768.85930821784484</v>
      </c>
      <c r="T1469" s="1">
        <f t="shared" si="252"/>
        <v>-1320.6307227653322</v>
      </c>
    </row>
    <row r="1470" spans="6:20" x14ac:dyDescent="0.35">
      <c r="F1470" s="1">
        <f t="shared" si="248"/>
        <v>29.339999999999463</v>
      </c>
      <c r="G1470">
        <f>1/2*$B$8*$B$6*$B$7*(Tabelle2[[#This Row],[vx]]*Tabelle2[[#This Row],[vx]]+Tabelle2[[#This Row],[vy]]*Tabelle2[[#This Row],[vy]])/1000000</f>
        <v>14.267108103816561</v>
      </c>
      <c r="H1470">
        <f>IF($B$3,-Tabelle2[[#This Row],[Fd]]*Tabelle2[[#This Row],[vx]]/Tabelle2[[#This Row],[v]],0)</f>
        <v>-0.89918493333880978</v>
      </c>
      <c r="I1470">
        <f t="shared" si="242"/>
        <v>-0.59945662222587315</v>
      </c>
      <c r="J1470">
        <f t="shared" si="243"/>
        <v>-1.1989132444517464E-2</v>
      </c>
      <c r="K1470">
        <f t="shared" si="244"/>
        <v>0.11308289524916226</v>
      </c>
      <c r="L1470">
        <f>-$B$5*$B$12-IF($B$3,Tabelle2[[#This Row],[Fd]]*Tabelle2[[#This Row],[vy]]/Tabelle2[[#This Row],[v]],0)</f>
        <v>-0.47625566977043299</v>
      </c>
      <c r="M1470">
        <f t="shared" si="245"/>
        <v>-0.31750377984695533</v>
      </c>
      <c r="N1470">
        <f t="shared" si="246"/>
        <v>-6.3500755969391068E-3</v>
      </c>
      <c r="O1470">
        <f t="shared" si="247"/>
        <v>-1.7926486250485218</v>
      </c>
      <c r="P1470" s="1">
        <f t="shared" si="249"/>
        <v>5.6601393286803718</v>
      </c>
      <c r="Q1470" s="1">
        <f t="shared" si="250"/>
        <v>-89.629256214627617</v>
      </c>
      <c r="R1470">
        <f>SQRT(Tabelle2[[#This Row],[vx]]*Tabelle2[[#This Row],[vx]]+Tabelle2[[#This Row],[vy]]*Tabelle2[[#This Row],[vy]])</f>
        <v>89.807798919734353</v>
      </c>
      <c r="S1470">
        <f t="shared" si="251"/>
        <v>768.97263114271811</v>
      </c>
      <c r="T1470" s="1">
        <f t="shared" si="252"/>
        <v>-1322.4232441353533</v>
      </c>
    </row>
    <row r="1471" spans="6:20" x14ac:dyDescent="0.35">
      <c r="F1471" s="1">
        <f t="shared" si="248"/>
        <v>29.359999999999463</v>
      </c>
      <c r="G1471">
        <f>1/2*$B$8*$B$6*$B$7*(Tabelle2[[#This Row],[vx]]*Tabelle2[[#This Row],[vx]]+Tabelle2[[#This Row],[vy]]*Tabelle2[[#This Row],[vy]])/1000000</f>
        <v>14.268881920276927</v>
      </c>
      <c r="H1471">
        <f>IF($B$3,-Tabelle2[[#This Row],[Fd]]*Tabelle2[[#This Row],[vx]]/Tabelle2[[#This Row],[v]],0)</f>
        <v>-0.89733608484844074</v>
      </c>
      <c r="I1471">
        <f t="shared" si="242"/>
        <v>-0.59822405656562716</v>
      </c>
      <c r="J1471">
        <f t="shared" si="243"/>
        <v>-1.1964481131312543E-2</v>
      </c>
      <c r="K1471">
        <f t="shared" si="244"/>
        <v>0.11284335911340396</v>
      </c>
      <c r="L1471">
        <f>-$B$5*$B$12-IF($B$3,Tabelle2[[#This Row],[Fd]]*Tabelle2[[#This Row],[vy]]/Tabelle2[[#This Row],[v]],0)</f>
        <v>-0.47436169950115392</v>
      </c>
      <c r="M1471">
        <f t="shared" si="245"/>
        <v>-0.31624113300076928</v>
      </c>
      <c r="N1471">
        <f t="shared" si="246"/>
        <v>-6.324822660015386E-3</v>
      </c>
      <c r="O1471">
        <f t="shared" si="247"/>
        <v>-1.7927753740310914</v>
      </c>
      <c r="P1471" s="1">
        <f t="shared" si="249"/>
        <v>5.6481501962358545</v>
      </c>
      <c r="Q1471" s="1">
        <f t="shared" si="250"/>
        <v>-89.635606290224558</v>
      </c>
      <c r="R1471">
        <f>SQRT(Tabelle2[[#This Row],[vx]]*Tabelle2[[#This Row],[vx]]+Tabelle2[[#This Row],[vy]]*Tabelle2[[#This Row],[vy]])</f>
        <v>89.813381606837311</v>
      </c>
      <c r="S1471">
        <f t="shared" si="251"/>
        <v>769.08571403796725</v>
      </c>
      <c r="T1471" s="1">
        <f t="shared" si="252"/>
        <v>-1324.2158927604019</v>
      </c>
    </row>
    <row r="1472" spans="6:20" x14ac:dyDescent="0.35">
      <c r="F1472" s="1">
        <f t="shared" si="248"/>
        <v>29.379999999999463</v>
      </c>
      <c r="G1472">
        <f>1/2*$B$8*$B$6*$B$7*(Tabelle2[[#This Row],[vx]]*Tabelle2[[#This Row],[vx]]+Tabelle2[[#This Row],[vy]]*Tabelle2[[#This Row],[vy]])/1000000</f>
        <v>14.270648870784072</v>
      </c>
      <c r="H1472">
        <f>IF($B$3,-Tabelle2[[#This Row],[Fd]]*Tabelle2[[#This Row],[vx]]/Tabelle2[[#This Row],[v]],0)</f>
        <v>-0.8954906973452067</v>
      </c>
      <c r="I1472">
        <f t="shared" si="242"/>
        <v>-0.59699379823013776</v>
      </c>
      <c r="J1472">
        <f t="shared" si="243"/>
        <v>-1.1939875964602756E-2</v>
      </c>
      <c r="K1472">
        <f t="shared" si="244"/>
        <v>0.11260431554244482</v>
      </c>
      <c r="L1472">
        <f>-$B$5*$B$12-IF($B$3,Tabelle2[[#This Row],[Fd]]*Tabelle2[[#This Row],[vy]]/Tabelle2[[#This Row],[v]],0)</f>
        <v>-0.47247509729476</v>
      </c>
      <c r="M1472">
        <f t="shared" si="245"/>
        <v>-0.31498339819650667</v>
      </c>
      <c r="N1472">
        <f t="shared" si="246"/>
        <v>-6.2996679639301337E-3</v>
      </c>
      <c r="O1472">
        <f t="shared" si="247"/>
        <v>-1.7929016189373308</v>
      </c>
      <c r="P1472" s="1">
        <f t="shared" si="249"/>
        <v>5.636185715104542</v>
      </c>
      <c r="Q1472" s="1">
        <f t="shared" si="250"/>
        <v>-89.641931112884578</v>
      </c>
      <c r="R1472">
        <f>SQRT(Tabelle2[[#This Row],[vx]]*Tabelle2[[#This Row],[vx]]+Tabelle2[[#This Row],[vy]]*Tabelle2[[#This Row],[vy]])</f>
        <v>89.81894233992233</v>
      </c>
      <c r="S1472">
        <f t="shared" si="251"/>
        <v>769.19855739708066</v>
      </c>
      <c r="T1472" s="1">
        <f t="shared" si="252"/>
        <v>-1326.008668134433</v>
      </c>
    </row>
    <row r="1473" spans="6:20" x14ac:dyDescent="0.35">
      <c r="F1473" s="1">
        <f t="shared" si="248"/>
        <v>29.399999999999462</v>
      </c>
      <c r="G1473">
        <f>1/2*$B$8*$B$6*$B$7*(Tabelle2[[#This Row],[vx]]*Tabelle2[[#This Row],[vx]]+Tabelle2[[#This Row],[vy]]*Tabelle2[[#This Row],[vy]])/1000000</f>
        <v>14.272408980752386</v>
      </c>
      <c r="H1473">
        <f>IF($B$3,-Tabelle2[[#This Row],[Fd]]*Tabelle2[[#This Row],[vx]]/Tabelle2[[#This Row],[v]],0)</f>
        <v>-0.89364876645436231</v>
      </c>
      <c r="I1473">
        <f t="shared" si="242"/>
        <v>-0.59576584430290824</v>
      </c>
      <c r="J1473">
        <f t="shared" si="243"/>
        <v>-1.1915316886058165E-2</v>
      </c>
      <c r="K1473">
        <f t="shared" si="244"/>
        <v>0.1123657636139382</v>
      </c>
      <c r="L1473">
        <f>-$B$5*$B$12-IF($B$3,Tabelle2[[#This Row],[Fd]]*Tabelle2[[#This Row],[vy]]/Tabelle2[[#This Row],[v]],0)</f>
        <v>-0.47059583569477503</v>
      </c>
      <c r="M1473">
        <f t="shared" si="245"/>
        <v>-0.31373055712985004</v>
      </c>
      <c r="N1473">
        <f t="shared" si="246"/>
        <v>-6.2746111425970013E-3</v>
      </c>
      <c r="O1473">
        <f t="shared" si="247"/>
        <v>-1.7930273617283963</v>
      </c>
      <c r="P1473" s="1">
        <f t="shared" si="249"/>
        <v>5.624245839139939</v>
      </c>
      <c r="Q1473" s="1">
        <f t="shared" si="250"/>
        <v>-89.648230780848507</v>
      </c>
      <c r="R1473">
        <f>SQRT(Tabelle2[[#This Row],[vx]]*Tabelle2[[#This Row],[vx]]+Tabelle2[[#This Row],[vy]]*Tabelle2[[#This Row],[vy]])</f>
        <v>89.824481203040392</v>
      </c>
      <c r="S1473">
        <f t="shared" si="251"/>
        <v>769.31116171262306</v>
      </c>
      <c r="T1473" s="1">
        <f t="shared" si="252"/>
        <v>-1327.8015697533704</v>
      </c>
    </row>
    <row r="1474" spans="6:20" x14ac:dyDescent="0.35">
      <c r="F1474" s="1">
        <f t="shared" si="248"/>
        <v>29.419999999999462</v>
      </c>
      <c r="G1474">
        <f>1/2*$B$8*$B$6*$B$7*(Tabelle2[[#This Row],[vx]]*Tabelle2[[#This Row],[vx]]+Tabelle2[[#This Row],[vy]]*Tabelle2[[#This Row],[vy]])/1000000</f>
        <v>14.274162275511038</v>
      </c>
      <c r="H1474">
        <f>IF($B$3,-Tabelle2[[#This Row],[Fd]]*Tabelle2[[#This Row],[vx]]/Tabelle2[[#This Row],[v]],0)</f>
        <v>-0.89181028779277416</v>
      </c>
      <c r="I1474">
        <f t="shared" si="242"/>
        <v>-0.59454019186184948</v>
      </c>
      <c r="J1474">
        <f t="shared" si="243"/>
        <v>-1.189080383723699E-2</v>
      </c>
      <c r="K1474">
        <f t="shared" si="244"/>
        <v>0.11212770240670525</v>
      </c>
      <c r="L1474">
        <f>-$B$5*$B$12-IF($B$3,Tabelle2[[#This Row],[Fd]]*Tabelle2[[#This Row],[vy]]/Tabelle2[[#This Row],[v]],0)</f>
        <v>-0.46872388733780568</v>
      </c>
      <c r="M1474">
        <f t="shared" si="245"/>
        <v>-0.31248259155853714</v>
      </c>
      <c r="N1474">
        <f t="shared" si="246"/>
        <v>-6.2496518311707426E-3</v>
      </c>
      <c r="O1474">
        <f t="shared" si="247"/>
        <v>-1.7931526043581341</v>
      </c>
      <c r="P1474" s="1">
        <f t="shared" si="249"/>
        <v>5.6123305222538811</v>
      </c>
      <c r="Q1474" s="1">
        <f t="shared" si="250"/>
        <v>-89.654505391991108</v>
      </c>
      <c r="R1474">
        <f>SQRT(Tabelle2[[#This Row],[vx]]*Tabelle2[[#This Row],[vx]]+Tabelle2[[#This Row],[vy]]*Tabelle2[[#This Row],[vy]])</f>
        <v>89.829998279937556</v>
      </c>
      <c r="S1474">
        <f t="shared" si="251"/>
        <v>769.42352747623704</v>
      </c>
      <c r="T1474" s="1">
        <f t="shared" si="252"/>
        <v>-1329.5945971150988</v>
      </c>
    </row>
    <row r="1475" spans="6:20" x14ac:dyDescent="0.35">
      <c r="F1475" s="1">
        <f t="shared" si="248"/>
        <v>29.439999999999461</v>
      </c>
      <c r="G1475">
        <f>1/2*$B$8*$B$6*$B$7*(Tabelle2[[#This Row],[vx]]*Tabelle2[[#This Row],[vx]]+Tabelle2[[#This Row],[vy]]*Tabelle2[[#This Row],[vy]])/1000000</f>
        <v>14.275908780304158</v>
      </c>
      <c r="H1475">
        <f>IF($B$3,-Tabelle2[[#This Row],[Fd]]*Tabelle2[[#This Row],[vx]]/Tabelle2[[#This Row],[v]],0)</f>
        <v>-0.88997525696903279</v>
      </c>
      <c r="I1475">
        <f t="shared" ref="I1475:I1538" si="253">H1475/$B$5</f>
        <v>-0.59331683797935519</v>
      </c>
      <c r="J1475">
        <f t="shared" ref="J1475:J1538" si="254">I1475*$B$13</f>
        <v>-1.1866336759587105E-2</v>
      </c>
      <c r="K1475">
        <f t="shared" ref="K1475:K1538" si="255">$B$13*(P1475+J1475/2)</f>
        <v>0.11189013100073701</v>
      </c>
      <c r="L1475">
        <f>-$B$5*$B$12-IF($B$3,Tabelle2[[#This Row],[Fd]]*Tabelle2[[#This Row],[vy]]/Tabelle2[[#This Row],[v]],0)</f>
        <v>-0.46685922495330345</v>
      </c>
      <c r="M1475">
        <f t="shared" ref="M1475:M1538" si="256">L1475/$B$5</f>
        <v>-0.3112394833022023</v>
      </c>
      <c r="N1475">
        <f t="shared" ref="N1475:N1538" si="257">M1475*$B$13</f>
        <v>-6.224789666044046E-3</v>
      </c>
      <c r="O1475">
        <f t="shared" ref="O1475:O1538" si="258">$B$13*(Q1475+N1475/2)</f>
        <v>-1.7932773487731062</v>
      </c>
      <c r="P1475" s="1">
        <f t="shared" si="249"/>
        <v>5.6004397184166441</v>
      </c>
      <c r="Q1475" s="1">
        <f t="shared" si="250"/>
        <v>-89.660755043822277</v>
      </c>
      <c r="R1475">
        <f>SQRT(Tabelle2[[#This Row],[vx]]*Tabelle2[[#This Row],[vx]]+Tabelle2[[#This Row],[vy]]*Tabelle2[[#This Row],[vy]])</f>
        <v>89.835493654055909</v>
      </c>
      <c r="S1475">
        <f t="shared" si="251"/>
        <v>769.53565517864376</v>
      </c>
      <c r="T1475" s="1">
        <f t="shared" si="252"/>
        <v>-1331.3877497194569</v>
      </c>
    </row>
    <row r="1476" spans="6:20" x14ac:dyDescent="0.35">
      <c r="F1476" s="1">
        <f t="shared" ref="F1476:F1539" si="259">F1475+$B$13</f>
        <v>29.459999999999461</v>
      </c>
      <c r="G1476">
        <f>1/2*$B$8*$B$6*$B$7*(Tabelle2[[#This Row],[vx]]*Tabelle2[[#This Row],[vx]]+Tabelle2[[#This Row],[vy]]*Tabelle2[[#This Row],[vy]])/1000000</f>
        <v>14.277648520291086</v>
      </c>
      <c r="H1476">
        <f>IF($B$3,-Tabelle2[[#This Row],[Fd]]*Tabelle2[[#This Row],[vx]]/Tabelle2[[#This Row],[v]],0)</f>
        <v>-0.8881436695835726</v>
      </c>
      <c r="I1476">
        <f t="shared" si="253"/>
        <v>-0.5920957797223817</v>
      </c>
      <c r="J1476">
        <f t="shared" si="254"/>
        <v>-1.1841915594447635E-2</v>
      </c>
      <c r="K1476">
        <f t="shared" si="255"/>
        <v>0.11165304847719668</v>
      </c>
      <c r="L1476">
        <f>-$B$5*$B$12-IF($B$3,Tabelle2[[#This Row],[Fd]]*Tabelle2[[#This Row],[vy]]/Tabelle2[[#This Row],[v]],0)</f>
        <v>-0.46500182136331425</v>
      </c>
      <c r="M1476">
        <f t="shared" si="256"/>
        <v>-0.3100012142422095</v>
      </c>
      <c r="N1476">
        <f t="shared" si="257"/>
        <v>-6.2000242848441901E-3</v>
      </c>
      <c r="O1476">
        <f t="shared" si="258"/>
        <v>-1.7934015969126151</v>
      </c>
      <c r="P1476" s="1">
        <f t="shared" ref="P1476:P1539" si="260">P1475+J1475</f>
        <v>5.5885733816570573</v>
      </c>
      <c r="Q1476" s="1">
        <f t="shared" ref="Q1476:Q1539" si="261">Q1475+N1475</f>
        <v>-89.666979833488327</v>
      </c>
      <c r="R1476">
        <f>SQRT(Tabelle2[[#This Row],[vx]]*Tabelle2[[#This Row],[vx]]+Tabelle2[[#This Row],[vy]]*Tabelle2[[#This Row],[vy]])</f>
        <v>89.840967408534553</v>
      </c>
      <c r="S1476">
        <f t="shared" ref="S1476:S1539" si="262">S1475+K1475</f>
        <v>769.64754530964456</v>
      </c>
      <c r="T1476" s="1">
        <f t="shared" ref="T1476:T1539" si="263">T1475+O1475</f>
        <v>-1333.1810270682299</v>
      </c>
    </row>
    <row r="1477" spans="6:20" x14ac:dyDescent="0.35">
      <c r="F1477" s="1">
        <f t="shared" si="259"/>
        <v>29.47999999999946</v>
      </c>
      <c r="G1477">
        <f>1/2*$B$8*$B$6*$B$7*(Tabelle2[[#This Row],[vx]]*Tabelle2[[#This Row],[vx]]+Tabelle2[[#This Row],[vy]]*Tabelle2[[#This Row],[vy]])/1000000</f>
        <v>14.279381520546567</v>
      </c>
      <c r="H1477">
        <f>IF($B$3,-Tabelle2[[#This Row],[Fd]]*Tabelle2[[#This Row],[vx]]/Tabelle2[[#This Row],[v]],0)</f>
        <v>-0.88631552122878565</v>
      </c>
      <c r="I1477">
        <f t="shared" si="253"/>
        <v>-0.59087701415252381</v>
      </c>
      <c r="J1477">
        <f t="shared" si="254"/>
        <v>-1.1817540283050477E-2</v>
      </c>
      <c r="K1477">
        <f t="shared" si="255"/>
        <v>0.11141645391842168</v>
      </c>
      <c r="L1477">
        <f>-$B$5*$B$12-IF($B$3,Tabelle2[[#This Row],[Fd]]*Tabelle2[[#This Row],[vy]]/Tabelle2[[#This Row],[v]],0)</f>
        <v>-0.4631516494822403</v>
      </c>
      <c r="M1477">
        <f t="shared" si="256"/>
        <v>-0.30876776632149355</v>
      </c>
      <c r="N1477">
        <f t="shared" si="257"/>
        <v>-6.1753553264298714E-3</v>
      </c>
      <c r="O1477">
        <f t="shared" si="258"/>
        <v>-1.7935253507087279</v>
      </c>
      <c r="P1477" s="1">
        <f t="shared" si="260"/>
        <v>5.5767314660626095</v>
      </c>
      <c r="Q1477" s="1">
        <f t="shared" si="261"/>
        <v>-89.673179857773178</v>
      </c>
      <c r="R1477">
        <f>SQRT(Tabelle2[[#This Row],[vx]]*Tabelle2[[#This Row],[vx]]+Tabelle2[[#This Row],[vy]]*Tabelle2[[#This Row],[vy]])</f>
        <v>89.846419626210533</v>
      </c>
      <c r="S1477">
        <f t="shared" si="262"/>
        <v>769.75919835812181</v>
      </c>
      <c r="T1477" s="1">
        <f t="shared" si="263"/>
        <v>-1334.9744286651426</v>
      </c>
    </row>
    <row r="1478" spans="6:20" x14ac:dyDescent="0.35">
      <c r="F1478" s="1">
        <f t="shared" si="259"/>
        <v>29.49999999999946</v>
      </c>
      <c r="G1478">
        <f>1/2*$B$8*$B$6*$B$7*(Tabelle2[[#This Row],[vx]]*Tabelle2[[#This Row],[vx]]+Tabelle2[[#This Row],[vy]]*Tabelle2[[#This Row],[vy]])/1000000</f>
        <v>14.28110780606097</v>
      </c>
      <c r="H1478">
        <f>IF($B$3,-Tabelle2[[#This Row],[Fd]]*Tabelle2[[#This Row],[vx]]/Tabelle2[[#This Row],[v]],0)</f>
        <v>-0.88449080748913533</v>
      </c>
      <c r="I1478">
        <f t="shared" si="253"/>
        <v>-0.58966053832609022</v>
      </c>
      <c r="J1478">
        <f t="shared" si="254"/>
        <v>-1.1793210766521805E-2</v>
      </c>
      <c r="K1478">
        <f t="shared" si="255"/>
        <v>0.11118034640792597</v>
      </c>
      <c r="L1478">
        <f>-$B$5*$B$12-IF($B$3,Tabelle2[[#This Row],[Fd]]*Tabelle2[[#This Row],[vy]]/Tabelle2[[#This Row],[v]],0)</f>
        <v>-0.46130868231661282</v>
      </c>
      <c r="M1478">
        <f t="shared" si="256"/>
        <v>-0.30753912154440854</v>
      </c>
      <c r="N1478">
        <f t="shared" si="257"/>
        <v>-6.1507824308881711E-3</v>
      </c>
      <c r="O1478">
        <f t="shared" si="258"/>
        <v>-1.7936486120863011</v>
      </c>
      <c r="P1478" s="1">
        <f t="shared" si="260"/>
        <v>5.5649139257795595</v>
      </c>
      <c r="Q1478" s="1">
        <f t="shared" si="261"/>
        <v>-89.679355213099612</v>
      </c>
      <c r="R1478">
        <f>SQRT(Tabelle2[[#This Row],[vx]]*Tabelle2[[#This Row],[vx]]+Tabelle2[[#This Row],[vy]]*Tabelle2[[#This Row],[vy]])</f>
        <v>89.851850389619869</v>
      </c>
      <c r="S1478">
        <f t="shared" si="262"/>
        <v>769.87061481204023</v>
      </c>
      <c r="T1478" s="1">
        <f t="shared" si="263"/>
        <v>-1336.7679540158513</v>
      </c>
    </row>
    <row r="1479" spans="6:20" x14ac:dyDescent="0.35">
      <c r="F1479" s="1">
        <f t="shared" si="259"/>
        <v>29.51999999999946</v>
      </c>
      <c r="G1479">
        <f>1/2*$B$8*$B$6*$B$7*(Tabelle2[[#This Row],[vx]]*Tabelle2[[#This Row],[vx]]+Tabelle2[[#This Row],[vy]]*Tabelle2[[#This Row],[vy]])/1000000</f>
        <v>14.282827401740514</v>
      </c>
      <c r="H1479">
        <f>IF($B$3,-Tabelle2[[#This Row],[Fd]]*Tabelle2[[#This Row],[vx]]/Tabelle2[[#This Row],[v]],0)</f>
        <v>-0.88266952394127152</v>
      </c>
      <c r="I1479">
        <f t="shared" si="253"/>
        <v>-0.58844634929418105</v>
      </c>
      <c r="J1479">
        <f t="shared" si="254"/>
        <v>-1.1768926985883622E-2</v>
      </c>
      <c r="K1479">
        <f t="shared" si="255"/>
        <v>0.11094472503040193</v>
      </c>
      <c r="L1479">
        <f>-$B$5*$B$12-IF($B$3,Tabelle2[[#This Row],[Fd]]*Tabelle2[[#This Row],[vy]]/Tabelle2[[#This Row],[v]],0)</f>
        <v>-0.45947289296481486</v>
      </c>
      <c r="M1479">
        <f t="shared" si="256"/>
        <v>-0.30631526197654324</v>
      </c>
      <c r="N1479">
        <f t="shared" si="257"/>
        <v>-6.1263052395308651E-3</v>
      </c>
      <c r="O1479">
        <f t="shared" si="258"/>
        <v>-1.7937713829630053</v>
      </c>
      <c r="P1479" s="1">
        <f t="shared" si="260"/>
        <v>5.5531207150130379</v>
      </c>
      <c r="Q1479" s="1">
        <f t="shared" si="261"/>
        <v>-89.685505995530505</v>
      </c>
      <c r="R1479">
        <f>SQRT(Tabelle2[[#This Row],[vx]]*Tabelle2[[#This Row],[vx]]+Tabelle2[[#This Row],[vy]]*Tabelle2[[#This Row],[vy]])</f>
        <v>89.857259780998476</v>
      </c>
      <c r="S1479">
        <f t="shared" si="262"/>
        <v>769.98179515844811</v>
      </c>
      <c r="T1479" s="1">
        <f t="shared" si="263"/>
        <v>-1338.5616026279376</v>
      </c>
    </row>
    <row r="1480" spans="6:20" x14ac:dyDescent="0.35">
      <c r="F1480" s="1">
        <f t="shared" si="259"/>
        <v>29.539999999999459</v>
      </c>
      <c r="G1480">
        <f>1/2*$B$8*$B$6*$B$7*(Tabelle2[[#This Row],[vx]]*Tabelle2[[#This Row],[vx]]+Tabelle2[[#This Row],[vy]]*Tabelle2[[#This Row],[vy]])/1000000</f>
        <v>14.28454033240747</v>
      </c>
      <c r="H1480">
        <f>IF($B$3,-Tabelle2[[#This Row],[Fd]]*Tabelle2[[#This Row],[vx]]/Tabelle2[[#This Row],[v]],0)</f>
        <v>-0.88085166615414257</v>
      </c>
      <c r="I1480">
        <f t="shared" si="253"/>
        <v>-0.58723444410276171</v>
      </c>
      <c r="J1480">
        <f t="shared" si="254"/>
        <v>-1.1744688882055234E-2</v>
      </c>
      <c r="K1480">
        <f t="shared" si="255"/>
        <v>0.11070958887172254</v>
      </c>
      <c r="L1480">
        <f>-$B$5*$B$12-IF($B$3,Tabelle2[[#This Row],[Fd]]*Tabelle2[[#This Row],[vy]]/Tabelle2[[#This Row],[v]],0)</f>
        <v>-0.4576442546168753</v>
      </c>
      <c r="M1480">
        <f t="shared" si="256"/>
        <v>-0.30509616974458353</v>
      </c>
      <c r="N1480">
        <f t="shared" si="257"/>
        <v>-6.101923394891671E-3</v>
      </c>
      <c r="O1480">
        <f t="shared" si="258"/>
        <v>-1.7938936652493496</v>
      </c>
      <c r="P1480" s="1">
        <f t="shared" si="260"/>
        <v>5.5413517880271543</v>
      </c>
      <c r="Q1480" s="1">
        <f t="shared" si="261"/>
        <v>-89.691632300770038</v>
      </c>
      <c r="R1480">
        <f>SQRT(Tabelle2[[#This Row],[vx]]*Tabelle2[[#This Row],[vx]]+Tabelle2[[#This Row],[vy]]*Tabelle2[[#This Row],[vy]])</f>
        <v>89.862647882283142</v>
      </c>
      <c r="S1480">
        <f t="shared" si="262"/>
        <v>770.09273988347854</v>
      </c>
      <c r="T1480" s="1">
        <f t="shared" si="263"/>
        <v>-1340.3553740109007</v>
      </c>
    </row>
    <row r="1481" spans="6:20" x14ac:dyDescent="0.35">
      <c r="F1481" s="1">
        <f t="shared" si="259"/>
        <v>29.559999999999459</v>
      </c>
      <c r="G1481">
        <f>1/2*$B$8*$B$6*$B$7*(Tabelle2[[#This Row],[vx]]*Tabelle2[[#This Row],[vx]]+Tabelle2[[#This Row],[vy]]*Tabelle2[[#This Row],[vy]])/1000000</f>
        <v>14.286246622800398</v>
      </c>
      <c r="H1481">
        <f>IF($B$3,-Tabelle2[[#This Row],[Fd]]*Tabelle2[[#This Row],[vx]]/Tabelle2[[#This Row],[v]],0)</f>
        <v>-0.87903722968910813</v>
      </c>
      <c r="I1481">
        <f t="shared" si="253"/>
        <v>-0.58602481979273879</v>
      </c>
      <c r="J1481">
        <f t="shared" si="254"/>
        <v>-1.1720496395854776E-2</v>
      </c>
      <c r="K1481">
        <f t="shared" si="255"/>
        <v>0.11047493701894343</v>
      </c>
      <c r="L1481">
        <f>-$B$5*$B$12-IF($B$3,Tabelle2[[#This Row],[Fd]]*Tabelle2[[#This Row],[vy]]/Tabelle2[[#This Row],[v]],0)</f>
        <v>-0.4558227405541988</v>
      </c>
      <c r="M1481">
        <f t="shared" si="256"/>
        <v>-0.30388182703613253</v>
      </c>
      <c r="N1481">
        <f t="shared" si="257"/>
        <v>-6.0776365407226507E-3</v>
      </c>
      <c r="O1481">
        <f t="shared" si="258"/>
        <v>-1.7940154608487058</v>
      </c>
      <c r="P1481" s="1">
        <f t="shared" si="260"/>
        <v>5.5296070991450987</v>
      </c>
      <c r="Q1481" s="1">
        <f t="shared" si="261"/>
        <v>-89.697734224164932</v>
      </c>
      <c r="R1481">
        <f>SQRT(Tabelle2[[#This Row],[vx]]*Tabelle2[[#This Row],[vx]]+Tabelle2[[#This Row],[vy]]*Tabelle2[[#This Row],[vy]])</f>
        <v>89.868014775112542</v>
      </c>
      <c r="S1481">
        <f t="shared" si="262"/>
        <v>770.20344947235026</v>
      </c>
      <c r="T1481" s="1">
        <f t="shared" si="263"/>
        <v>-1342.14926767615</v>
      </c>
    </row>
    <row r="1482" spans="6:20" x14ac:dyDescent="0.35">
      <c r="F1482" s="1">
        <f t="shared" si="259"/>
        <v>29.579999999999458</v>
      </c>
      <c r="G1482">
        <f>1/2*$B$8*$B$6*$B$7*(Tabelle2[[#This Row],[vx]]*Tabelle2[[#This Row],[vx]]+Tabelle2[[#This Row],[vy]]*Tabelle2[[#This Row],[vy]])/1000000</f>
        <v>14.287946297574333</v>
      </c>
      <c r="H1482">
        <f>IF($B$3,-Tabelle2[[#This Row],[Fd]]*Tabelle2[[#This Row],[vx]]/Tabelle2[[#This Row],[v]],0)</f>
        <v>-0.87722621010005075</v>
      </c>
      <c r="I1482">
        <f t="shared" si="253"/>
        <v>-0.58481747340003387</v>
      </c>
      <c r="J1482">
        <f t="shared" si="254"/>
        <v>-1.1696349468000678E-2</v>
      </c>
      <c r="K1482">
        <f t="shared" si="255"/>
        <v>0.11024076856030489</v>
      </c>
      <c r="L1482">
        <f>-$B$5*$B$12-IF($B$3,Tabelle2[[#This Row],[Fd]]*Tabelle2[[#This Row],[vy]]/Tabelle2[[#This Row],[v]],0)</f>
        <v>-0.45400832414934911</v>
      </c>
      <c r="M1482">
        <f t="shared" si="256"/>
        <v>-0.30267221609956607</v>
      </c>
      <c r="N1482">
        <f t="shared" si="257"/>
        <v>-6.0534443219913215E-3</v>
      </c>
      <c r="O1482">
        <f t="shared" si="258"/>
        <v>-1.7941367716573331</v>
      </c>
      <c r="P1482" s="1">
        <f t="shared" si="260"/>
        <v>5.5178866027492441</v>
      </c>
      <c r="Q1482" s="1">
        <f t="shared" si="261"/>
        <v>-89.703811860705656</v>
      </c>
      <c r="R1482">
        <f>SQRT(Tabelle2[[#This Row],[vx]]*Tabelle2[[#This Row],[vx]]+Tabelle2[[#This Row],[vy]]*Tabelle2[[#This Row],[vy]])</f>
        <v>89.873360540828102</v>
      </c>
      <c r="S1482">
        <f t="shared" si="262"/>
        <v>770.31392440936918</v>
      </c>
      <c r="T1482" s="1">
        <f t="shared" si="263"/>
        <v>-1343.9432831369986</v>
      </c>
    </row>
    <row r="1483" spans="6:20" x14ac:dyDescent="0.35">
      <c r="F1483" s="1">
        <f t="shared" si="259"/>
        <v>29.599999999999458</v>
      </c>
      <c r="G1483">
        <f>1/2*$B$8*$B$6*$B$7*(Tabelle2[[#This Row],[vx]]*Tabelle2[[#This Row],[vx]]+Tabelle2[[#This Row],[vy]]*Tabelle2[[#This Row],[vy]])/1000000</f>
        <v>14.289639381301026</v>
      </c>
      <c r="H1483">
        <f>IF($B$3,-Tabelle2[[#This Row],[Fd]]*Tabelle2[[#This Row],[vx]]/Tabelle2[[#This Row],[v]],0)</f>
        <v>-0.87541860293348561</v>
      </c>
      <c r="I1483">
        <f t="shared" si="253"/>
        <v>-0.58361240195565711</v>
      </c>
      <c r="J1483">
        <f t="shared" si="254"/>
        <v>-1.1672248039113143E-2</v>
      </c>
      <c r="K1483">
        <f t="shared" si="255"/>
        <v>0.11000708258523373</v>
      </c>
      <c r="L1483">
        <f>-$B$5*$B$12-IF($B$3,Tabelle2[[#This Row],[Fd]]*Tabelle2[[#This Row],[vy]]/Tabelle2[[#This Row],[v]],0)</f>
        <v>-0.45220097886578436</v>
      </c>
      <c r="M1483">
        <f t="shared" si="256"/>
        <v>-0.30146731924385622</v>
      </c>
      <c r="N1483">
        <f t="shared" si="257"/>
        <v>-6.0293463848771246E-3</v>
      </c>
      <c r="O1483">
        <f t="shared" si="258"/>
        <v>-1.7942575995644017</v>
      </c>
      <c r="P1483" s="1">
        <f t="shared" si="260"/>
        <v>5.5061902532812432</v>
      </c>
      <c r="Q1483" s="1">
        <f t="shared" si="261"/>
        <v>-89.709865305027648</v>
      </c>
      <c r="R1483">
        <f>SQRT(Tabelle2[[#This Row],[vx]]*Tabelle2[[#This Row],[vx]]+Tabelle2[[#This Row],[vy]]*Tabelle2[[#This Row],[vy]])</f>
        <v>89.878685260475038</v>
      </c>
      <c r="S1483">
        <f t="shared" si="262"/>
        <v>770.42416517792947</v>
      </c>
      <c r="T1483" s="1">
        <f t="shared" si="263"/>
        <v>-1345.737419908656</v>
      </c>
    </row>
    <row r="1484" spans="6:20" x14ac:dyDescent="0.35">
      <c r="F1484" s="1">
        <f t="shared" si="259"/>
        <v>29.619999999999457</v>
      </c>
      <c r="G1484">
        <f>1/2*$B$8*$B$6*$B$7*(Tabelle2[[#This Row],[vx]]*Tabelle2[[#This Row],[vx]]+Tabelle2[[#This Row],[vy]]*Tabelle2[[#This Row],[vy]])/1000000</f>
        <v>14.29132589846915</v>
      </c>
      <c r="H1484">
        <f>IF($B$3,-Tabelle2[[#This Row],[Fd]]*Tabelle2[[#This Row],[vx]]/Tabelle2[[#This Row],[v]],0)</f>
        <v>-0.87361440372867227</v>
      </c>
      <c r="I1484">
        <f t="shared" si="253"/>
        <v>-0.58240960248578155</v>
      </c>
      <c r="J1484">
        <f t="shared" si="254"/>
        <v>-1.1648192049715631E-2</v>
      </c>
      <c r="K1484">
        <f t="shared" si="255"/>
        <v>0.10977387818434546</v>
      </c>
      <c r="L1484">
        <f>-$B$5*$B$12-IF($B$3,Tabelle2[[#This Row],[Fd]]*Tabelle2[[#This Row],[vy]]/Tabelle2[[#This Row],[v]],0)</f>
        <v>-0.45040067825763153</v>
      </c>
      <c r="M1484">
        <f t="shared" si="256"/>
        <v>-0.300267118838421</v>
      </c>
      <c r="N1484">
        <f t="shared" si="257"/>
        <v>-6.0053423767684197E-3</v>
      </c>
      <c r="O1484">
        <f t="shared" si="258"/>
        <v>-1.7943779464520182</v>
      </c>
      <c r="P1484" s="1">
        <f t="shared" si="260"/>
        <v>5.4945180052421305</v>
      </c>
      <c r="Q1484" s="1">
        <f t="shared" si="261"/>
        <v>-89.715894651412526</v>
      </c>
      <c r="R1484">
        <f>SQRT(Tabelle2[[#This Row],[vx]]*Tabelle2[[#This Row],[vx]]+Tabelle2[[#This Row],[vy]]*Tabelle2[[#This Row],[vy]])</f>
        <v>89.883989014803305</v>
      </c>
      <c r="S1484">
        <f t="shared" si="262"/>
        <v>770.53417226051465</v>
      </c>
      <c r="T1484" s="1">
        <f t="shared" si="263"/>
        <v>-1347.5316775082204</v>
      </c>
    </row>
    <row r="1485" spans="6:20" x14ac:dyDescent="0.35">
      <c r="F1485" s="1">
        <f t="shared" si="259"/>
        <v>29.639999999999457</v>
      </c>
      <c r="G1485">
        <f>1/2*$B$8*$B$6*$B$7*(Tabelle2[[#This Row],[vx]]*Tabelle2[[#This Row],[vx]]+Tabelle2[[#This Row],[vy]]*Tabelle2[[#This Row],[vy]])/1000000</f>
        <v>14.293005873484516</v>
      </c>
      <c r="H1485">
        <f>IF($B$3,-Tabelle2[[#This Row],[Fd]]*Tabelle2[[#This Row],[vx]]/Tabelle2[[#This Row],[v]],0)</f>
        <v>-0.87181360801772245</v>
      </c>
      <c r="I1485">
        <f t="shared" si="253"/>
        <v>-0.58120907201181493</v>
      </c>
      <c r="J1485">
        <f t="shared" si="254"/>
        <v>-1.16241814402363E-2</v>
      </c>
      <c r="K1485">
        <f t="shared" si="255"/>
        <v>0.10954115444944593</v>
      </c>
      <c r="L1485">
        <f>-$B$5*$B$12-IF($B$3,Tabelle2[[#This Row],[Fd]]*Tabelle2[[#This Row],[vy]]/Tabelle2[[#This Row],[v]],0)</f>
        <v>-0.44860739596943588</v>
      </c>
      <c r="M1485">
        <f t="shared" si="256"/>
        <v>-0.29907159731295724</v>
      </c>
      <c r="N1485">
        <f t="shared" si="257"/>
        <v>-5.9814319462591446E-3</v>
      </c>
      <c r="O1485">
        <f t="shared" si="258"/>
        <v>-1.7944978141952483</v>
      </c>
      <c r="P1485" s="1">
        <f t="shared" si="260"/>
        <v>5.4828698131924147</v>
      </c>
      <c r="Q1485" s="1">
        <f t="shared" si="261"/>
        <v>-89.721899993789293</v>
      </c>
      <c r="R1485">
        <f>SQRT(Tabelle2[[#This Row],[vx]]*Tabelle2[[#This Row],[vx]]+Tabelle2[[#This Row],[vy]]*Tabelle2[[#This Row],[vy]])</f>
        <v>89.889271884268496</v>
      </c>
      <c r="S1485">
        <f t="shared" si="262"/>
        <v>770.64394613869899</v>
      </c>
      <c r="T1485" s="1">
        <f t="shared" si="263"/>
        <v>-1349.3260554546723</v>
      </c>
    </row>
    <row r="1486" spans="6:20" x14ac:dyDescent="0.35">
      <c r="F1486" s="1">
        <f t="shared" si="259"/>
        <v>29.659999999999457</v>
      </c>
      <c r="G1486">
        <f>1/2*$B$8*$B$6*$B$7*(Tabelle2[[#This Row],[vx]]*Tabelle2[[#This Row],[vx]]+Tabelle2[[#This Row],[vy]]*Tabelle2[[#This Row],[vy]])/1000000</f>
        <v>14.294679330670295</v>
      </c>
      <c r="H1486">
        <f>IF($B$3,-Tabelle2[[#This Row],[Fd]]*Tabelle2[[#This Row],[vx]]/Tabelle2[[#This Row],[v]],0)</f>
        <v>-0.87001621132570994</v>
      </c>
      <c r="I1486">
        <f t="shared" si="253"/>
        <v>-0.5800108075504733</v>
      </c>
      <c r="J1486">
        <f t="shared" si="254"/>
        <v>-1.1600216151009465E-2</v>
      </c>
      <c r="K1486">
        <f t="shared" si="255"/>
        <v>0.10930891047353347</v>
      </c>
      <c r="L1486">
        <f>-$B$5*$B$12-IF($B$3,Tabelle2[[#This Row],[Fd]]*Tabelle2[[#This Row],[vy]]/Tabelle2[[#This Row],[v]],0)</f>
        <v>-0.44682110573591771</v>
      </c>
      <c r="M1486">
        <f t="shared" si="256"/>
        <v>-0.29788073715727847</v>
      </c>
      <c r="N1486">
        <f t="shared" si="257"/>
        <v>-5.9576147431455694E-3</v>
      </c>
      <c r="O1486">
        <f t="shared" si="258"/>
        <v>-1.7946172046621425</v>
      </c>
      <c r="P1486" s="1">
        <f t="shared" si="260"/>
        <v>5.4712456317521783</v>
      </c>
      <c r="Q1486" s="1">
        <f t="shared" si="261"/>
        <v>-89.727881425735546</v>
      </c>
      <c r="R1486">
        <f>SQRT(Tabelle2[[#This Row],[vx]]*Tabelle2[[#This Row],[vx]]+Tabelle2[[#This Row],[vy]]*Tabelle2[[#This Row],[vy]])</f>
        <v>89.894533949032876</v>
      </c>
      <c r="S1486">
        <f t="shared" si="262"/>
        <v>770.7534872931484</v>
      </c>
      <c r="T1486" s="1">
        <f t="shared" si="263"/>
        <v>-1351.1205532688675</v>
      </c>
    </row>
    <row r="1487" spans="6:20" x14ac:dyDescent="0.35">
      <c r="F1487" s="1">
        <f t="shared" si="259"/>
        <v>29.679999999999456</v>
      </c>
      <c r="G1487">
        <f>1/2*$B$8*$B$6*$B$7*(Tabelle2[[#This Row],[vx]]*Tabelle2[[#This Row],[vx]]+Tabelle2[[#This Row],[vy]]*Tabelle2[[#This Row],[vy]])/1000000</f>
        <v>14.296346294267224</v>
      </c>
      <c r="H1487">
        <f>IF($B$3,-Tabelle2[[#This Row],[Fd]]*Tabelle2[[#This Row],[vx]]/Tabelle2[[#This Row],[v]],0)</f>
        <v>-0.86822220917077775</v>
      </c>
      <c r="I1487">
        <f t="shared" si="253"/>
        <v>-0.57881480611385183</v>
      </c>
      <c r="J1487">
        <f t="shared" si="254"/>
        <v>-1.1576296122277037E-2</v>
      </c>
      <c r="K1487">
        <f t="shared" si="255"/>
        <v>0.10907714535080061</v>
      </c>
      <c r="L1487">
        <f>-$B$5*$B$12-IF($B$3,Tabelle2[[#This Row],[Fd]]*Tabelle2[[#This Row],[vy]]/Tabelle2[[#This Row],[v]],0)</f>
        <v>-0.44504178138174133</v>
      </c>
      <c r="M1487">
        <f t="shared" si="256"/>
        <v>-0.29669452092116089</v>
      </c>
      <c r="N1487">
        <f t="shared" si="257"/>
        <v>-5.9338904184232178E-3</v>
      </c>
      <c r="O1487">
        <f t="shared" si="258"/>
        <v>-1.7947361197137579</v>
      </c>
      <c r="P1487" s="1">
        <f t="shared" si="260"/>
        <v>5.4596454156011687</v>
      </c>
      <c r="Q1487" s="1">
        <f t="shared" si="261"/>
        <v>-89.733839040478685</v>
      </c>
      <c r="R1487">
        <f>SQRT(Tabelle2[[#This Row],[vx]]*Tabelle2[[#This Row],[vx]]+Tabelle2[[#This Row],[vy]]*Tabelle2[[#This Row],[vy]])</f>
        <v>89.899775288966282</v>
      </c>
      <c r="S1487">
        <f t="shared" si="262"/>
        <v>770.86279620362188</v>
      </c>
      <c r="T1487" s="1">
        <f t="shared" si="263"/>
        <v>-1352.9151704735298</v>
      </c>
    </row>
    <row r="1488" spans="6:20" x14ac:dyDescent="0.35">
      <c r="F1488" s="1">
        <f t="shared" si="259"/>
        <v>29.699999999999456</v>
      </c>
      <c r="G1488">
        <f>1/2*$B$8*$B$6*$B$7*(Tabelle2[[#This Row],[vx]]*Tabelle2[[#This Row],[vx]]+Tabelle2[[#This Row],[vy]]*Tabelle2[[#This Row],[vy]])/1000000</f>
        <v>14.298006788433831</v>
      </c>
      <c r="H1488">
        <f>IF($B$3,-Tabelle2[[#This Row],[Fd]]*Tabelle2[[#This Row],[vx]]/Tabelle2[[#This Row],[v]],0)</f>
        <v>-0.86643159706424588</v>
      </c>
      <c r="I1488">
        <f t="shared" si="253"/>
        <v>-0.57762106470949726</v>
      </c>
      <c r="J1488">
        <f t="shared" si="254"/>
        <v>-1.1552421294189945E-2</v>
      </c>
      <c r="K1488">
        <f t="shared" si="255"/>
        <v>0.10884585817663593</v>
      </c>
      <c r="L1488">
        <f>-$B$5*$B$12-IF($B$3,Tabelle2[[#This Row],[Fd]]*Tabelle2[[#This Row],[vy]]/Tabelle2[[#This Row],[v]],0)</f>
        <v>-0.4432693968212611</v>
      </c>
      <c r="M1488">
        <f t="shared" si="256"/>
        <v>-0.29551293121417405</v>
      </c>
      <c r="N1488">
        <f t="shared" si="257"/>
        <v>-5.9102586242834806E-3</v>
      </c>
      <c r="O1488">
        <f t="shared" si="258"/>
        <v>-1.7948545612041849</v>
      </c>
      <c r="P1488" s="1">
        <f t="shared" si="260"/>
        <v>5.4480691194788919</v>
      </c>
      <c r="Q1488" s="1">
        <f t="shared" si="261"/>
        <v>-89.739772930897104</v>
      </c>
      <c r="R1488">
        <f>SQRT(Tabelle2[[#This Row],[vx]]*Tabelle2[[#This Row],[vx]]+Tabelle2[[#This Row],[vy]]*Tabelle2[[#This Row],[vy]])</f>
        <v>89.904995983647055</v>
      </c>
      <c r="S1488">
        <f t="shared" si="262"/>
        <v>770.97187334897274</v>
      </c>
      <c r="T1488" s="1">
        <f t="shared" si="263"/>
        <v>-1354.7099065932434</v>
      </c>
    </row>
    <row r="1489" spans="6:20" x14ac:dyDescent="0.35">
      <c r="F1489" s="1">
        <f t="shared" si="259"/>
        <v>29.719999999999455</v>
      </c>
      <c r="G1489">
        <f>1/2*$B$8*$B$6*$B$7*(Tabelle2[[#This Row],[vx]]*Tabelle2[[#This Row],[vx]]+Tabelle2[[#This Row],[vy]]*Tabelle2[[#This Row],[vy]])/1000000</f>
        <v>14.299660837246646</v>
      </c>
      <c r="H1489">
        <f>IF($B$3,-Tabelle2[[#This Row],[Fd]]*Tabelle2[[#This Row],[vx]]/Tabelle2[[#This Row],[v]],0)</f>
        <v>-0.86464437051071674</v>
      </c>
      <c r="I1489">
        <f t="shared" si="253"/>
        <v>-0.57642958034047787</v>
      </c>
      <c r="J1489">
        <f t="shared" si="254"/>
        <v>-1.1528591606809557E-2</v>
      </c>
      <c r="K1489">
        <f t="shared" si="255"/>
        <v>0.10861504804762595</v>
      </c>
      <c r="L1489">
        <f>-$B$5*$B$12-IF($B$3,Tabelle2[[#This Row],[Fd]]*Tabelle2[[#This Row],[vy]]/Tabelle2[[#This Row],[v]],0)</f>
        <v>-0.44150392605828337</v>
      </c>
      <c r="M1489">
        <f t="shared" si="256"/>
        <v>-0.29433595070552226</v>
      </c>
      <c r="N1489">
        <f t="shared" si="257"/>
        <v>-5.8867190141104458E-3</v>
      </c>
      <c r="O1489">
        <f t="shared" si="258"/>
        <v>-1.7949725309805689</v>
      </c>
      <c r="P1489" s="1">
        <f t="shared" si="260"/>
        <v>5.4365166981847022</v>
      </c>
      <c r="Q1489" s="1">
        <f t="shared" si="261"/>
        <v>-89.745683189521387</v>
      </c>
      <c r="R1489">
        <f>SQRT(Tabelle2[[#This Row],[vx]]*Tabelle2[[#This Row],[vx]]+Tabelle2[[#This Row],[vy]]*Tabelle2[[#This Row],[vy]])</f>
        <v>89.910196112363039</v>
      </c>
      <c r="S1489">
        <f t="shared" si="262"/>
        <v>771.0807192071494</v>
      </c>
      <c r="T1489" s="1">
        <f t="shared" si="263"/>
        <v>-1356.5047611544476</v>
      </c>
    </row>
    <row r="1490" spans="6:20" x14ac:dyDescent="0.35">
      <c r="F1490" s="1">
        <f t="shared" si="259"/>
        <v>29.739999999999455</v>
      </c>
      <c r="G1490">
        <f>1/2*$B$8*$B$6*$B$7*(Tabelle2[[#This Row],[vx]]*Tabelle2[[#This Row],[vx]]+Tabelle2[[#This Row],[vy]]*Tabelle2[[#This Row],[vy]])/1000000</f>
        <v>14.301308464700424</v>
      </c>
      <c r="H1490">
        <f>IF($B$3,-Tabelle2[[#This Row],[Fd]]*Tabelle2[[#This Row],[vx]]/Tabelle2[[#This Row],[v]],0)</f>
        <v>-0.86286052500818244</v>
      </c>
      <c r="I1490">
        <f t="shared" si="253"/>
        <v>-0.57524035000545493</v>
      </c>
      <c r="J1490">
        <f t="shared" si="254"/>
        <v>-1.1504807000109099E-2</v>
      </c>
      <c r="K1490">
        <f t="shared" si="255"/>
        <v>0.10838471406155675</v>
      </c>
      <c r="L1490">
        <f>-$B$5*$B$12-IF($B$3,Tabelle2[[#This Row],[Fd]]*Tabelle2[[#This Row],[vy]]/Tabelle2[[#This Row],[v]],0)</f>
        <v>-0.43974534318583203</v>
      </c>
      <c r="M1490">
        <f t="shared" si="256"/>
        <v>-0.293163562123888</v>
      </c>
      <c r="N1490">
        <f t="shared" si="257"/>
        <v>-5.8632712424777599E-3</v>
      </c>
      <c r="O1490">
        <f t="shared" si="258"/>
        <v>-1.7950900308831348</v>
      </c>
      <c r="P1490" s="1">
        <f t="shared" si="260"/>
        <v>5.4249881065778922</v>
      </c>
      <c r="Q1490" s="1">
        <f t="shared" si="261"/>
        <v>-89.751569908535501</v>
      </c>
      <c r="R1490">
        <f>SQRT(Tabelle2[[#This Row],[vx]]*Tabelle2[[#This Row],[vx]]+Tabelle2[[#This Row],[vy]]*Tabelle2[[#This Row],[vy]])</f>
        <v>89.915375754112532</v>
      </c>
      <c r="S1490">
        <f t="shared" si="262"/>
        <v>771.18933425519708</v>
      </c>
      <c r="T1490" s="1">
        <f t="shared" si="263"/>
        <v>-1358.2997336854282</v>
      </c>
    </row>
    <row r="1491" spans="6:20" x14ac:dyDescent="0.35">
      <c r="F1491" s="1">
        <f t="shared" si="259"/>
        <v>29.759999999999454</v>
      </c>
      <c r="G1491">
        <f>1/2*$B$8*$B$6*$B$7*(Tabelle2[[#This Row],[vx]]*Tabelle2[[#This Row],[vx]]+Tabelle2[[#This Row],[vy]]*Tabelle2[[#This Row],[vy]])/1000000</f>
        <v>14.302949694708344</v>
      </c>
      <c r="H1491">
        <f>IF($B$3,-Tabelle2[[#This Row],[Fd]]*Tabelle2[[#This Row],[vx]]/Tabelle2[[#This Row],[v]],0)</f>
        <v>-0.86108005604812909</v>
      </c>
      <c r="I1491">
        <f t="shared" si="253"/>
        <v>-0.57405337069875273</v>
      </c>
      <c r="J1491">
        <f t="shared" si="254"/>
        <v>-1.1481067413975055E-2</v>
      </c>
      <c r="K1491">
        <f t="shared" si="255"/>
        <v>0.10815485531741592</v>
      </c>
      <c r="L1491">
        <f>-$B$5*$B$12-IF($B$3,Tabelle2[[#This Row],[Fd]]*Tabelle2[[#This Row],[vy]]/Tabelle2[[#This Row],[v]],0)</f>
        <v>-0.43799362238590156</v>
      </c>
      <c r="M1491">
        <f t="shared" si="256"/>
        <v>-0.29199574825726771</v>
      </c>
      <c r="N1491">
        <f t="shared" si="257"/>
        <v>-5.8399149651453541E-3</v>
      </c>
      <c r="O1491">
        <f t="shared" si="258"/>
        <v>-1.795207062745211</v>
      </c>
      <c r="P1491" s="1">
        <f t="shared" si="260"/>
        <v>5.4134832995777833</v>
      </c>
      <c r="Q1491" s="1">
        <f t="shared" si="261"/>
        <v>-89.757433179777976</v>
      </c>
      <c r="R1491">
        <f>SQRT(Tabelle2[[#This Row],[vx]]*Tabelle2[[#This Row],[vx]]+Tabelle2[[#This Row],[vy]]*Tabelle2[[#This Row],[vy]])</f>
        <v>89.920534987605123</v>
      </c>
      <c r="S1491">
        <f t="shared" si="262"/>
        <v>771.29771896925865</v>
      </c>
      <c r="T1491" s="1">
        <f t="shared" si="263"/>
        <v>-1360.0948237163113</v>
      </c>
    </row>
    <row r="1492" spans="6:20" x14ac:dyDescent="0.35">
      <c r="F1492" s="1">
        <f t="shared" si="259"/>
        <v>29.779999999999454</v>
      </c>
      <c r="G1492">
        <f>1/2*$B$8*$B$6*$B$7*(Tabelle2[[#This Row],[vx]]*Tabelle2[[#This Row],[vx]]+Tabelle2[[#This Row],[vy]]*Tabelle2[[#This Row],[vy]])/1000000</f>
        <v>14.304584551102241</v>
      </c>
      <c r="H1492">
        <f>IF($B$3,-Tabelle2[[#This Row],[Fd]]*Tabelle2[[#This Row],[vx]]/Tabelle2[[#This Row],[v]],0)</f>
        <v>-0.85930295911564114</v>
      </c>
      <c r="I1492">
        <f t="shared" si="253"/>
        <v>-0.57286863941042743</v>
      </c>
      <c r="J1492">
        <f t="shared" si="254"/>
        <v>-1.1457372788208549E-2</v>
      </c>
      <c r="K1492">
        <f t="shared" si="255"/>
        <v>0.10792547091539408</v>
      </c>
      <c r="L1492">
        <f>-$B$5*$B$12-IF($B$3,Tabelle2[[#This Row],[Fd]]*Tabelle2[[#This Row],[vy]]/Tabelle2[[#This Row],[v]],0)</f>
        <v>-0.43624873792921548</v>
      </c>
      <c r="M1492">
        <f t="shared" si="256"/>
        <v>-0.2908324919528103</v>
      </c>
      <c r="N1492">
        <f t="shared" si="257"/>
        <v>-5.8166498390562057E-3</v>
      </c>
      <c r="O1492">
        <f t="shared" si="258"/>
        <v>-1.7953236283932532</v>
      </c>
      <c r="P1492" s="1">
        <f t="shared" si="260"/>
        <v>5.4020022321638086</v>
      </c>
      <c r="Q1492" s="1">
        <f t="shared" si="261"/>
        <v>-89.763273094743127</v>
      </c>
      <c r="R1492">
        <f>SQRT(Tabelle2[[#This Row],[vx]]*Tabelle2[[#This Row],[vx]]+Tabelle2[[#This Row],[vy]]*Tabelle2[[#This Row],[vy]])</f>
        <v>89.925673891262761</v>
      </c>
      <c r="S1492">
        <f t="shared" si="262"/>
        <v>771.40587382457602</v>
      </c>
      <c r="T1492" s="1">
        <f t="shared" si="263"/>
        <v>-1361.8900307790566</v>
      </c>
    </row>
    <row r="1493" spans="6:20" x14ac:dyDescent="0.35">
      <c r="F1493" s="1">
        <f t="shared" si="259"/>
        <v>29.799999999999454</v>
      </c>
      <c r="G1493">
        <f>1/2*$B$8*$B$6*$B$7*(Tabelle2[[#This Row],[vx]]*Tabelle2[[#This Row],[vx]]+Tabelle2[[#This Row],[vy]]*Tabelle2[[#This Row],[vy]])/1000000</f>
        <v>14.306213057632826</v>
      </c>
      <c r="H1493">
        <f>IF($B$3,-Tabelle2[[#This Row],[Fd]]*Tabelle2[[#This Row],[vx]]/Tabelle2[[#This Row],[v]],0)</f>
        <v>-0.85752922968950529</v>
      </c>
      <c r="I1493">
        <f t="shared" si="253"/>
        <v>-0.57168615312633686</v>
      </c>
      <c r="J1493">
        <f t="shared" si="254"/>
        <v>-1.1433723062526737E-2</v>
      </c>
      <c r="K1493">
        <f t="shared" si="255"/>
        <v>0.10769655995688673</v>
      </c>
      <c r="L1493">
        <f>-$B$5*$B$12-IF($B$3,Tabelle2[[#This Row],[Fd]]*Tabelle2[[#This Row],[vy]]/Tabelle2[[#This Row],[v]],0)</f>
        <v>-0.43451066417498119</v>
      </c>
      <c r="M1493">
        <f t="shared" si="256"/>
        <v>-0.28967377611665412</v>
      </c>
      <c r="N1493">
        <f t="shared" si="257"/>
        <v>-5.7934755223330824E-3</v>
      </c>
      <c r="O1493">
        <f t="shared" si="258"/>
        <v>-1.7954397296468672</v>
      </c>
      <c r="P1493" s="1">
        <f t="shared" si="260"/>
        <v>5.3905448593756002</v>
      </c>
      <c r="Q1493" s="1">
        <f t="shared" si="261"/>
        <v>-89.769089744582189</v>
      </c>
      <c r="R1493">
        <f>SQRT(Tabelle2[[#This Row],[vx]]*Tabelle2[[#This Row],[vx]]+Tabelle2[[#This Row],[vy]]*Tabelle2[[#This Row],[vy]])</f>
        <v>89.930792543220662</v>
      </c>
      <c r="S1493">
        <f t="shared" si="262"/>
        <v>771.51379929549137</v>
      </c>
      <c r="T1493" s="1">
        <f t="shared" si="263"/>
        <v>-1363.6853544074499</v>
      </c>
    </row>
    <row r="1494" spans="6:20" x14ac:dyDescent="0.35">
      <c r="F1494" s="1">
        <f t="shared" si="259"/>
        <v>29.819999999999453</v>
      </c>
      <c r="G1494">
        <f>1/2*$B$8*$B$6*$B$7*(Tabelle2[[#This Row],[vx]]*Tabelle2[[#This Row],[vx]]+Tabelle2[[#This Row],[vy]]*Tabelle2[[#This Row],[vy]])/1000000</f>
        <v>14.307835237969876</v>
      </c>
      <c r="H1494">
        <f>IF($B$3,-Tabelle2[[#This Row],[Fd]]*Tabelle2[[#This Row],[vx]]/Tabelle2[[#This Row],[v]],0)</f>
        <v>-0.85575886324231354</v>
      </c>
      <c r="I1494">
        <f t="shared" si="253"/>
        <v>-0.57050590882820906</v>
      </c>
      <c r="J1494">
        <f t="shared" si="254"/>
        <v>-1.1410118176564182E-2</v>
      </c>
      <c r="K1494">
        <f t="shared" si="255"/>
        <v>0.10746812154449584</v>
      </c>
      <c r="L1494">
        <f>-$B$5*$B$12-IF($B$3,Tabelle2[[#This Row],[Fd]]*Tabelle2[[#This Row],[vy]]/Tabelle2[[#This Row],[v]],0)</f>
        <v>-0.43277937557066259</v>
      </c>
      <c r="M1494">
        <f t="shared" si="256"/>
        <v>-0.28851958371377506</v>
      </c>
      <c r="N1494">
        <f t="shared" si="257"/>
        <v>-5.7703916742755015E-3</v>
      </c>
      <c r="O1494">
        <f t="shared" si="258"/>
        <v>-1.7955553683188334</v>
      </c>
      <c r="P1494" s="1">
        <f t="shared" si="260"/>
        <v>5.3791111363130737</v>
      </c>
      <c r="Q1494" s="1">
        <f t="shared" si="261"/>
        <v>-89.774883220104527</v>
      </c>
      <c r="R1494">
        <f>SQRT(Tabelle2[[#This Row],[vx]]*Tabelle2[[#This Row],[vx]]+Tabelle2[[#This Row],[vy]]*Tabelle2[[#This Row],[vy]])</f>
        <v>89.935891021328146</v>
      </c>
      <c r="S1494">
        <f t="shared" si="262"/>
        <v>771.6214958554483</v>
      </c>
      <c r="T1494" s="1">
        <f t="shared" si="263"/>
        <v>-1365.4807941370968</v>
      </c>
    </row>
    <row r="1495" spans="6:20" x14ac:dyDescent="0.35">
      <c r="F1495" s="1">
        <f t="shared" si="259"/>
        <v>29.839999999999453</v>
      </c>
      <c r="G1495">
        <f>1/2*$B$8*$B$6*$B$7*(Tabelle2[[#This Row],[vx]]*Tabelle2[[#This Row],[vx]]+Tabelle2[[#This Row],[vy]]*Tabelle2[[#This Row],[vy]])/1000000</f>
        <v>14.309451115702482</v>
      </c>
      <c r="H1495">
        <f>IF($B$3,-Tabelle2[[#This Row],[Fd]]*Tabelle2[[#This Row],[vx]]/Tabelle2[[#This Row],[v]],0)</f>
        <v>-0.85399185524056609</v>
      </c>
      <c r="I1495">
        <f t="shared" si="253"/>
        <v>-0.56932790349371076</v>
      </c>
      <c r="J1495">
        <f t="shared" si="254"/>
        <v>-1.1386558069874216E-2</v>
      </c>
      <c r="K1495">
        <f t="shared" si="255"/>
        <v>0.10724015478203144</v>
      </c>
      <c r="L1495">
        <f>-$B$5*$B$12-IF($B$3,Tabelle2[[#This Row],[Fd]]*Tabelle2[[#This Row],[vy]]/Tabelle2[[#This Row],[v]],0)</f>
        <v>-0.43105484665172078</v>
      </c>
      <c r="M1495">
        <f t="shared" si="256"/>
        <v>-0.28736989776781385</v>
      </c>
      <c r="N1495">
        <f t="shared" si="257"/>
        <v>-5.7473979553562772E-3</v>
      </c>
      <c r="O1495">
        <f t="shared" si="258"/>
        <v>-1.7956705462151297</v>
      </c>
      <c r="P1495" s="1">
        <f t="shared" si="260"/>
        <v>5.3677010181365095</v>
      </c>
      <c r="Q1495" s="1">
        <f t="shared" si="261"/>
        <v>-89.780653611778803</v>
      </c>
      <c r="R1495">
        <f>SQRT(Tabelle2[[#This Row],[vx]]*Tabelle2[[#This Row],[vx]]+Tabelle2[[#This Row],[vy]]*Tabelle2[[#This Row],[vy]])</f>
        <v>89.940969403149722</v>
      </c>
      <c r="S1495">
        <f t="shared" si="262"/>
        <v>771.72896397699276</v>
      </c>
      <c r="T1495" s="1">
        <f t="shared" si="263"/>
        <v>-1367.2763495054157</v>
      </c>
    </row>
    <row r="1496" spans="6:20" x14ac:dyDescent="0.35">
      <c r="F1496" s="1">
        <f t="shared" si="259"/>
        <v>29.859999999999452</v>
      </c>
      <c r="G1496">
        <f>1/2*$B$8*$B$6*$B$7*(Tabelle2[[#This Row],[vx]]*Tabelle2[[#This Row],[vx]]+Tabelle2[[#This Row],[vy]]*Tabelle2[[#This Row],[vy]])/1000000</f>
        <v>14.311060714339241</v>
      </c>
      <c r="H1496">
        <f>IF($B$3,-Tabelle2[[#This Row],[Fd]]*Tabelle2[[#This Row],[vx]]/Tabelle2[[#This Row],[v]],0)</f>
        <v>-0.85222820114477182</v>
      </c>
      <c r="I1496">
        <f t="shared" si="253"/>
        <v>-0.56815213409651455</v>
      </c>
      <c r="J1496">
        <f t="shared" si="254"/>
        <v>-1.1363042681930292E-2</v>
      </c>
      <c r="K1496">
        <f t="shared" si="255"/>
        <v>0.10701265877451339</v>
      </c>
      <c r="L1496">
        <f>-$B$5*$B$12-IF($B$3,Tabelle2[[#This Row],[Fd]]*Tabelle2[[#This Row],[vy]]/Tabelle2[[#This Row],[v]],0)</f>
        <v>-0.42933705204138839</v>
      </c>
      <c r="M1496">
        <f t="shared" si="256"/>
        <v>-0.28622470136092559</v>
      </c>
      <c r="N1496">
        <f t="shared" si="257"/>
        <v>-5.7244940272185123E-3</v>
      </c>
      <c r="O1496">
        <f t="shared" si="258"/>
        <v>-1.7957852651349555</v>
      </c>
      <c r="P1496" s="1">
        <f t="shared" si="260"/>
        <v>5.3563144600666348</v>
      </c>
      <c r="Q1496" s="1">
        <f t="shared" si="261"/>
        <v>-89.786401009734163</v>
      </c>
      <c r="R1496">
        <f>SQRT(Tabelle2[[#This Row],[vx]]*Tabelle2[[#This Row],[vx]]+Tabelle2[[#This Row],[vy]]*Tabelle2[[#This Row],[vy]])</f>
        <v>89.946027765965908</v>
      </c>
      <c r="S1496">
        <f t="shared" si="262"/>
        <v>771.83620413177482</v>
      </c>
      <c r="T1496" s="1">
        <f t="shared" si="263"/>
        <v>-1369.0720200516309</v>
      </c>
    </row>
    <row r="1497" spans="6:20" x14ac:dyDescent="0.35">
      <c r="F1497" s="1">
        <f t="shared" si="259"/>
        <v>29.879999999999452</v>
      </c>
      <c r="G1497">
        <f>1/2*$B$8*$B$6*$B$7*(Tabelle2[[#This Row],[vx]]*Tabelle2[[#This Row],[vx]]+Tabelle2[[#This Row],[vy]]*Tabelle2[[#This Row],[vy]])/1000000</f>
        <v>14.31266405730848</v>
      </c>
      <c r="H1497">
        <f>IF($B$3,-Tabelle2[[#This Row],[Fd]]*Tabelle2[[#This Row],[vx]]/Tabelle2[[#This Row],[v]],0)</f>
        <v>-0.85046789640954989</v>
      </c>
      <c r="I1497">
        <f t="shared" si="253"/>
        <v>-0.5669785976063666</v>
      </c>
      <c r="J1497">
        <f t="shared" si="254"/>
        <v>-1.1339571952127332E-2</v>
      </c>
      <c r="K1497">
        <f t="shared" si="255"/>
        <v>0.10678563262817281</v>
      </c>
      <c r="L1497">
        <f>-$B$5*$B$12-IF($B$3,Tabelle2[[#This Row],[Fd]]*Tabelle2[[#This Row],[vy]]/Tabelle2[[#This Row],[v]],0)</f>
        <v>-0.42762596645042095</v>
      </c>
      <c r="M1497">
        <f t="shared" si="256"/>
        <v>-0.28508397763361398</v>
      </c>
      <c r="N1497">
        <f t="shared" si="257"/>
        <v>-5.7016795526722798E-3</v>
      </c>
      <c r="O1497">
        <f t="shared" si="258"/>
        <v>-1.7958995268707545</v>
      </c>
      <c r="P1497" s="1">
        <f t="shared" si="260"/>
        <v>5.3449514173847046</v>
      </c>
      <c r="Q1497" s="1">
        <f t="shared" si="261"/>
        <v>-89.792125503761383</v>
      </c>
      <c r="R1497">
        <f>SQRT(Tabelle2[[#This Row],[vx]]*Tabelle2[[#This Row],[vx]]+Tabelle2[[#This Row],[vy]]*Tabelle2[[#This Row],[vy]])</f>
        <v>89.951066186774227</v>
      </c>
      <c r="S1497">
        <f t="shared" si="262"/>
        <v>771.94321679054929</v>
      </c>
      <c r="T1497" s="1">
        <f t="shared" si="263"/>
        <v>-1370.867805316766</v>
      </c>
    </row>
    <row r="1498" spans="6:20" x14ac:dyDescent="0.35">
      <c r="F1498" s="1">
        <f t="shared" si="259"/>
        <v>29.899999999999451</v>
      </c>
      <c r="G1498">
        <f>1/2*$B$8*$B$6*$B$7*(Tabelle2[[#This Row],[vx]]*Tabelle2[[#This Row],[vx]]+Tabelle2[[#This Row],[vy]]*Tabelle2[[#This Row],[vy]])/1000000</f>
        <v>14.314261167958476</v>
      </c>
      <c r="H1498">
        <f>IF($B$3,-Tabelle2[[#This Row],[Fd]]*Tabelle2[[#This Row],[vx]]/Tabelle2[[#This Row],[v]],0)</f>
        <v>-0.84871093648373097</v>
      </c>
      <c r="I1498">
        <f t="shared" si="253"/>
        <v>-0.56580729098915394</v>
      </c>
      <c r="J1498">
        <f t="shared" si="254"/>
        <v>-1.131614581978308E-2</v>
      </c>
      <c r="K1498">
        <f t="shared" si="255"/>
        <v>0.10655907545045372</v>
      </c>
      <c r="L1498">
        <f>-$B$5*$B$12-IF($B$3,Tabelle2[[#This Row],[Fd]]*Tabelle2[[#This Row],[vy]]/Tabelle2[[#This Row],[v]],0)</f>
        <v>-0.42592156467685705</v>
      </c>
      <c r="M1498">
        <f t="shared" si="256"/>
        <v>-0.28394770978457134</v>
      </c>
      <c r="N1498">
        <f t="shared" si="257"/>
        <v>-5.6789541956914274E-3</v>
      </c>
      <c r="O1498">
        <f t="shared" si="258"/>
        <v>-1.7960133332082382</v>
      </c>
      <c r="P1498" s="1">
        <f t="shared" si="260"/>
        <v>5.3336118454325776</v>
      </c>
      <c r="Q1498" s="1">
        <f t="shared" si="261"/>
        <v>-89.797827183314055</v>
      </c>
      <c r="R1498">
        <f>SQRT(Tabelle2[[#This Row],[vx]]*Tabelle2[[#This Row],[vx]]+Tabelle2[[#This Row],[vy]]*Tabelle2[[#This Row],[vy]])</f>
        <v>89.956084742290088</v>
      </c>
      <c r="S1498">
        <f t="shared" si="262"/>
        <v>772.05000242317749</v>
      </c>
      <c r="T1498" s="1">
        <f t="shared" si="263"/>
        <v>-1372.6637048436367</v>
      </c>
    </row>
    <row r="1499" spans="6:20" x14ac:dyDescent="0.35">
      <c r="F1499" s="1">
        <f t="shared" si="259"/>
        <v>29.919999999999451</v>
      </c>
      <c r="G1499">
        <f>1/2*$B$8*$B$6*$B$7*(Tabelle2[[#This Row],[vx]]*Tabelle2[[#This Row],[vx]]+Tabelle2[[#This Row],[vy]]*Tabelle2[[#This Row],[vy]])/1000000</f>
        <v>14.315852069557657</v>
      </c>
      <c r="H1499">
        <f>IF($B$3,-Tabelle2[[#This Row],[Fd]]*Tabelle2[[#This Row],[vx]]/Tabelle2[[#This Row],[v]],0)</f>
        <v>-0.84695731681045505</v>
      </c>
      <c r="I1499">
        <f t="shared" si="253"/>
        <v>-0.56463821120697</v>
      </c>
      <c r="J1499">
        <f t="shared" si="254"/>
        <v>-1.12927642241394E-2</v>
      </c>
      <c r="K1499">
        <f t="shared" si="255"/>
        <v>0.10633298635001451</v>
      </c>
      <c r="L1499">
        <f>-$B$5*$B$12-IF($B$3,Tabelle2[[#This Row],[Fd]]*Tabelle2[[#This Row],[vy]]/Tabelle2[[#This Row],[v]],0)</f>
        <v>-0.42422382160578742</v>
      </c>
      <c r="M1499">
        <f t="shared" si="256"/>
        <v>-0.28281588107052497</v>
      </c>
      <c r="N1499">
        <f t="shared" si="257"/>
        <v>-5.6563176214104996E-3</v>
      </c>
      <c r="O1499">
        <f t="shared" si="258"/>
        <v>-1.7961266859264089</v>
      </c>
      <c r="P1499" s="1">
        <f t="shared" si="260"/>
        <v>5.3222956996127948</v>
      </c>
      <c r="Q1499" s="1">
        <f t="shared" si="261"/>
        <v>-89.803506137509743</v>
      </c>
      <c r="R1499">
        <f>SQRT(Tabelle2[[#This Row],[vx]]*Tabelle2[[#This Row],[vx]]+Tabelle2[[#This Row],[vy]]*Tabelle2[[#This Row],[vy]])</f>
        <v>89.961083508947723</v>
      </c>
      <c r="S1499">
        <f t="shared" si="262"/>
        <v>772.15656149862798</v>
      </c>
      <c r="T1499" s="1">
        <f t="shared" si="263"/>
        <v>-1374.4597181768449</v>
      </c>
    </row>
    <row r="1500" spans="6:20" x14ac:dyDescent="0.35">
      <c r="F1500" s="1">
        <f t="shared" si="259"/>
        <v>29.939999999999451</v>
      </c>
      <c r="G1500">
        <f>1/2*$B$8*$B$6*$B$7*(Tabelle2[[#This Row],[vx]]*Tabelle2[[#This Row],[vx]]+Tabelle2[[#This Row],[vy]]*Tabelle2[[#This Row],[vy]])/1000000</f>
        <v>14.317436785294845</v>
      </c>
      <c r="H1500">
        <f>IF($B$3,-Tabelle2[[#This Row],[Fd]]*Tabelle2[[#This Row],[vx]]/Tabelle2[[#This Row],[v]],0)</f>
        <v>-0.84520703282727228</v>
      </c>
      <c r="I1500">
        <f t="shared" si="253"/>
        <v>-0.56347135521818148</v>
      </c>
      <c r="J1500">
        <f t="shared" si="254"/>
        <v>-1.1269427104363629E-2</v>
      </c>
      <c r="K1500">
        <f t="shared" si="255"/>
        <v>0.10610736443672948</v>
      </c>
      <c r="L1500">
        <f>-$B$5*$B$12-IF($B$3,Tabelle2[[#This Row],[Fd]]*Tabelle2[[#This Row],[vy]]/Tabelle2[[#This Row],[v]],0)</f>
        <v>-0.4225327122090885</v>
      </c>
      <c r="M1500">
        <f t="shared" si="256"/>
        <v>-0.28168847480605902</v>
      </c>
      <c r="N1500">
        <f t="shared" si="257"/>
        <v>-5.6337694961211809E-3</v>
      </c>
      <c r="O1500">
        <f t="shared" si="258"/>
        <v>-1.7962395867975844</v>
      </c>
      <c r="P1500" s="1">
        <f t="shared" si="260"/>
        <v>5.3110029353886556</v>
      </c>
      <c r="Q1500" s="1">
        <f t="shared" si="261"/>
        <v>-89.809162455131158</v>
      </c>
      <c r="R1500">
        <f>SQRT(Tabelle2[[#This Row],[vx]]*Tabelle2[[#This Row],[vx]]+Tabelle2[[#This Row],[vy]]*Tabelle2[[#This Row],[vy]])</f>
        <v>89.966062562901172</v>
      </c>
      <c r="S1500">
        <f t="shared" si="262"/>
        <v>772.26289448497801</v>
      </c>
      <c r="T1500" s="1">
        <f t="shared" si="263"/>
        <v>-1376.2558448627713</v>
      </c>
    </row>
    <row r="1501" spans="6:20" x14ac:dyDescent="0.35">
      <c r="F1501" s="1">
        <f t="shared" si="259"/>
        <v>29.95999999999945</v>
      </c>
      <c r="G1501">
        <f>1/2*$B$8*$B$6*$B$7*(Tabelle2[[#This Row],[vx]]*Tabelle2[[#This Row],[vx]]+Tabelle2[[#This Row],[vy]]*Tabelle2[[#This Row],[vy]])/1000000</f>
        <v>14.319015338279428</v>
      </c>
      <c r="H1501">
        <f>IF($B$3,-Tabelle2[[#This Row],[Fd]]*Tabelle2[[#This Row],[vx]]/Tabelle2[[#This Row],[v]],0)</f>
        <v>-0.8434600799662394</v>
      </c>
      <c r="I1501">
        <f t="shared" si="253"/>
        <v>-0.56230671997749293</v>
      </c>
      <c r="J1501">
        <f t="shared" si="254"/>
        <v>-1.1246134399549858E-2</v>
      </c>
      <c r="K1501">
        <f t="shared" si="255"/>
        <v>0.10588220882169035</v>
      </c>
      <c r="L1501">
        <f>-$B$5*$B$12-IF($B$3,Tabelle2[[#This Row],[Fd]]*Tabelle2[[#This Row],[vy]]/Tabelle2[[#This Row],[v]],0)</f>
        <v>-0.42084821154522345</v>
      </c>
      <c r="M1501">
        <f t="shared" si="256"/>
        <v>-0.28056547436348228</v>
      </c>
      <c r="N1501">
        <f t="shared" si="257"/>
        <v>-5.6113094872696457E-3</v>
      </c>
      <c r="O1501">
        <f t="shared" si="258"/>
        <v>-1.7963520375874182</v>
      </c>
      <c r="P1501" s="1">
        <f t="shared" si="260"/>
        <v>5.2997335082842918</v>
      </c>
      <c r="Q1501" s="1">
        <f t="shared" si="261"/>
        <v>-89.814796224627273</v>
      </c>
      <c r="R1501">
        <f>SQRT(Tabelle2[[#This Row],[vx]]*Tabelle2[[#This Row],[vx]]+Tabelle2[[#This Row],[vy]]*Tabelle2[[#This Row],[vy]])</f>
        <v>89.971021980025057</v>
      </c>
      <c r="S1501">
        <f t="shared" si="262"/>
        <v>772.36900184941476</v>
      </c>
      <c r="T1501" s="1">
        <f t="shared" si="263"/>
        <v>-1378.0520844495688</v>
      </c>
    </row>
    <row r="1502" spans="6:20" x14ac:dyDescent="0.35">
      <c r="F1502" s="1">
        <f t="shared" si="259"/>
        <v>29.97999999999945</v>
      </c>
      <c r="G1502">
        <f>1/2*$B$8*$B$6*$B$7*(Tabelle2[[#This Row],[vx]]*Tabelle2[[#This Row],[vx]]+Tabelle2[[#This Row],[vy]]*Tabelle2[[#This Row],[vy]])/1000000</f>
        <v>14.320587751541623</v>
      </c>
      <c r="H1502">
        <f>IF($B$3,-Tabelle2[[#This Row],[Fd]]*Tabelle2[[#This Row],[vx]]/Tabelle2[[#This Row],[v]],0)</f>
        <v>-0.84171645365401948</v>
      </c>
      <c r="I1502">
        <f t="shared" si="253"/>
        <v>-0.56114430243601299</v>
      </c>
      <c r="J1502">
        <f t="shared" si="254"/>
        <v>-1.122288604872026E-2</v>
      </c>
      <c r="K1502">
        <f t="shared" si="255"/>
        <v>0.10565751861720762</v>
      </c>
      <c r="L1502">
        <f>-$B$5*$B$12-IF($B$3,Tabelle2[[#This Row],[Fd]]*Tabelle2[[#This Row],[vy]]/Tabelle2[[#This Row],[v]],0)</f>
        <v>-0.4191702947589615</v>
      </c>
      <c r="M1502">
        <f t="shared" si="256"/>
        <v>-0.279446863172641</v>
      </c>
      <c r="N1502">
        <f t="shared" si="257"/>
        <v>-5.5889372634528199E-3</v>
      </c>
      <c r="O1502">
        <f t="shared" si="258"/>
        <v>-1.7964640400549252</v>
      </c>
      <c r="P1502" s="1">
        <f t="shared" si="260"/>
        <v>5.2884873738847418</v>
      </c>
      <c r="Q1502" s="1">
        <f t="shared" si="261"/>
        <v>-89.820407534114537</v>
      </c>
      <c r="R1502">
        <f>SQRT(Tabelle2[[#This Row],[vx]]*Tabelle2[[#This Row],[vx]]+Tabelle2[[#This Row],[vy]]*Tabelle2[[#This Row],[vy]])</f>
        <v>89.975961835915697</v>
      </c>
      <c r="S1502">
        <f t="shared" si="262"/>
        <v>772.4748840582364</v>
      </c>
      <c r="T1502" s="1">
        <f t="shared" si="263"/>
        <v>-1379.8484364871563</v>
      </c>
    </row>
    <row r="1503" spans="6:20" x14ac:dyDescent="0.35">
      <c r="F1503" s="1">
        <f t="shared" si="259"/>
        <v>29.999999999999449</v>
      </c>
      <c r="G1503">
        <f>1/2*$B$8*$B$6*$B$7*(Tabelle2[[#This Row],[vx]]*Tabelle2[[#This Row],[vx]]+Tabelle2[[#This Row],[vy]]*Tabelle2[[#This Row],[vy]])/1000000</f>
        <v>14.32215404803266</v>
      </c>
      <c r="H1503">
        <f>IF($B$3,-Tabelle2[[#This Row],[Fd]]*Tabelle2[[#This Row],[vx]]/Tabelle2[[#This Row],[v]],0)</f>
        <v>-0.83997614931197728</v>
      </c>
      <c r="I1503">
        <f t="shared" si="253"/>
        <v>-0.55998409954131823</v>
      </c>
      <c r="J1503">
        <f t="shared" si="254"/>
        <v>-1.1199681990826365E-2</v>
      </c>
      <c r="K1503">
        <f t="shared" si="255"/>
        <v>0.10543329293681217</v>
      </c>
      <c r="L1503">
        <f>-$B$5*$B$12-IF($B$3,Tabelle2[[#This Row],[Fd]]*Tabelle2[[#This Row],[vy]]/Tabelle2[[#This Row],[v]],0)</f>
        <v>-0.41749893708116126</v>
      </c>
      <c r="M1503">
        <f t="shared" si="256"/>
        <v>-0.27833262472077419</v>
      </c>
      <c r="N1503">
        <f t="shared" si="257"/>
        <v>-5.5666524944154843E-3</v>
      </c>
      <c r="O1503">
        <f t="shared" si="258"/>
        <v>-1.796575595952504</v>
      </c>
      <c r="P1503" s="1">
        <f t="shared" si="260"/>
        <v>5.2772644878360211</v>
      </c>
      <c r="Q1503" s="1">
        <f t="shared" si="261"/>
        <v>-89.825996471377991</v>
      </c>
      <c r="R1503">
        <f>SQRT(Tabelle2[[#This Row],[vx]]*Tabelle2[[#This Row],[vx]]+Tabelle2[[#This Row],[vy]]*Tabelle2[[#This Row],[vy]])</f>
        <v>89.980882205891859</v>
      </c>
      <c r="S1503">
        <f t="shared" si="262"/>
        <v>772.58054157685365</v>
      </c>
      <c r="T1503" s="1">
        <f t="shared" si="263"/>
        <v>-1381.6449005272111</v>
      </c>
    </row>
    <row r="1504" spans="6:20" x14ac:dyDescent="0.35">
      <c r="F1504" s="1">
        <f t="shared" si="259"/>
        <v>30.019999999999449</v>
      </c>
      <c r="G1504">
        <f>1/2*$B$8*$B$6*$B$7*(Tabelle2[[#This Row],[vx]]*Tabelle2[[#This Row],[vx]]+Tabelle2[[#This Row],[vy]]*Tabelle2[[#This Row],[vy]])/1000000</f>
        <v>14.323714250624997</v>
      </c>
      <c r="H1504">
        <f>IF($B$3,-Tabelle2[[#This Row],[Fd]]*Tabelle2[[#This Row],[vx]]/Tabelle2[[#This Row],[v]],0)</f>
        <v>-0.8382391623562766</v>
      </c>
      <c r="I1504">
        <f t="shared" si="253"/>
        <v>-0.55882610823751777</v>
      </c>
      <c r="J1504">
        <f t="shared" si="254"/>
        <v>-1.1176522164750355E-2</v>
      </c>
      <c r="K1504">
        <f t="shared" si="255"/>
        <v>0.10520953089525641</v>
      </c>
      <c r="L1504">
        <f>-$B$5*$B$12-IF($B$3,Tabelle2[[#This Row],[Fd]]*Tabelle2[[#This Row],[vy]]/Tabelle2[[#This Row],[v]],0)</f>
        <v>-0.41583411382853264</v>
      </c>
      <c r="M1504">
        <f t="shared" si="256"/>
        <v>-0.27722274255235507</v>
      </c>
      <c r="N1504">
        <f t="shared" si="257"/>
        <v>-5.5444548510471016E-3</v>
      </c>
      <c r="O1504">
        <f t="shared" si="258"/>
        <v>-1.7966867070259585</v>
      </c>
      <c r="P1504" s="1">
        <f t="shared" si="260"/>
        <v>5.2660648058451951</v>
      </c>
      <c r="Q1504" s="1">
        <f t="shared" si="261"/>
        <v>-89.8315631238724</v>
      </c>
      <c r="R1504">
        <f>SQRT(Tabelle2[[#This Row],[vx]]*Tabelle2[[#This Row],[vx]]+Tabelle2[[#This Row],[vy]]*Tabelle2[[#This Row],[vy]])</f>
        <v>89.985783164995752</v>
      </c>
      <c r="S1504">
        <f t="shared" si="262"/>
        <v>772.68597486979047</v>
      </c>
      <c r="T1504" s="1">
        <f t="shared" si="263"/>
        <v>-1383.4414761231637</v>
      </c>
    </row>
    <row r="1505" spans="6:20" x14ac:dyDescent="0.35">
      <c r="F1505" s="1">
        <f t="shared" si="259"/>
        <v>30.039999999999448</v>
      </c>
      <c r="G1505">
        <f>1/2*$B$8*$B$6*$B$7*(Tabelle2[[#This Row],[vx]]*Tabelle2[[#This Row],[vx]]+Tabelle2[[#This Row],[vy]]*Tabelle2[[#This Row],[vy]])/1000000</f>
        <v>14.325268382112561</v>
      </c>
      <c r="H1505">
        <f>IF($B$3,-Tabelle2[[#This Row],[Fd]]*Tabelle2[[#This Row],[vx]]/Tabelle2[[#This Row],[v]],0)</f>
        <v>-0.83650548819797532</v>
      </c>
      <c r="I1505">
        <f t="shared" si="253"/>
        <v>-0.55767032546531692</v>
      </c>
      <c r="J1505">
        <f t="shared" si="254"/>
        <v>-1.1153406509306338E-2</v>
      </c>
      <c r="K1505">
        <f t="shared" si="255"/>
        <v>0.10498623160851583</v>
      </c>
      <c r="L1505">
        <f>-$B$5*$B$12-IF($B$3,Tabelle2[[#This Row],[Fd]]*Tabelle2[[#This Row],[vy]]/Tabelle2[[#This Row],[v]],0)</f>
        <v>-0.41417580040337043</v>
      </c>
      <c r="M1505">
        <f t="shared" si="256"/>
        <v>-0.27611720026891362</v>
      </c>
      <c r="N1505">
        <f t="shared" si="257"/>
        <v>-5.5223440053782727E-3</v>
      </c>
      <c r="O1505">
        <f t="shared" si="258"/>
        <v>-1.7967973750145227</v>
      </c>
      <c r="P1505" s="1">
        <f t="shared" si="260"/>
        <v>5.2548882836804447</v>
      </c>
      <c r="Q1505" s="1">
        <f t="shared" si="261"/>
        <v>-89.837107578723447</v>
      </c>
      <c r="R1505">
        <f>SQRT(Tabelle2[[#This Row],[vx]]*Tabelle2[[#This Row],[vx]]+Tabelle2[[#This Row],[vy]]*Tabelle2[[#This Row],[vy]])</f>
        <v>89.990664787993936</v>
      </c>
      <c r="S1505">
        <f t="shared" si="262"/>
        <v>772.79118440068578</v>
      </c>
      <c r="T1505" s="1">
        <f t="shared" si="263"/>
        <v>-1385.2381628301896</v>
      </c>
    </row>
    <row r="1506" spans="6:20" x14ac:dyDescent="0.35">
      <c r="F1506" s="1">
        <f t="shared" si="259"/>
        <v>30.059999999999448</v>
      </c>
      <c r="G1506">
        <f>1/2*$B$8*$B$6*$B$7*(Tabelle2[[#This Row],[vx]]*Tabelle2[[#This Row],[vx]]+Tabelle2[[#This Row],[vy]]*Tabelle2[[#This Row],[vy]])/1000000</f>
        <v>14.326816465210928</v>
      </c>
      <c r="H1506">
        <f>IF($B$3,-Tabelle2[[#This Row],[Fd]]*Tabelle2[[#This Row],[vx]]/Tabelle2[[#This Row],[v]],0)</f>
        <v>-0.83477512224312056</v>
      </c>
      <c r="I1506">
        <f t="shared" si="253"/>
        <v>-0.55651674816208041</v>
      </c>
      <c r="J1506">
        <f t="shared" si="254"/>
        <v>-1.1130334963241608E-2</v>
      </c>
      <c r="K1506">
        <f t="shared" si="255"/>
        <v>0.10476339419379035</v>
      </c>
      <c r="L1506">
        <f>-$B$5*$B$12-IF($B$3,Tabelle2[[#This Row],[Fd]]*Tabelle2[[#This Row],[vy]]/Tabelle2[[#This Row],[v]],0)</f>
        <v>-0.41252397229336424</v>
      </c>
      <c r="M1506">
        <f t="shared" si="256"/>
        <v>-0.27501598152890949</v>
      </c>
      <c r="N1506">
        <f t="shared" si="257"/>
        <v>-5.5003196305781895E-3</v>
      </c>
      <c r="O1506">
        <f t="shared" si="258"/>
        <v>-1.7969076016508825</v>
      </c>
      <c r="P1506" s="1">
        <f t="shared" si="260"/>
        <v>5.2437348771711383</v>
      </c>
      <c r="Q1506" s="1">
        <f t="shared" si="261"/>
        <v>-89.842629922728833</v>
      </c>
      <c r="R1506">
        <f>SQRT(Tabelle2[[#This Row],[vx]]*Tabelle2[[#This Row],[vx]]+Tabelle2[[#This Row],[vy]]*Tabelle2[[#This Row],[vy]])</f>
        <v>89.995527149378205</v>
      </c>
      <c r="S1506">
        <f t="shared" si="262"/>
        <v>772.89617063229434</v>
      </c>
      <c r="T1506" s="1">
        <f t="shared" si="263"/>
        <v>-1387.034960205204</v>
      </c>
    </row>
    <row r="1507" spans="6:20" x14ac:dyDescent="0.35">
      <c r="F1507" s="1">
        <f t="shared" si="259"/>
        <v>30.079999999999448</v>
      </c>
      <c r="G1507">
        <f>1/2*$B$8*$B$6*$B$7*(Tabelle2[[#This Row],[vx]]*Tabelle2[[#This Row],[vx]]+Tabelle2[[#This Row],[vy]]*Tabelle2[[#This Row],[vy]])/1000000</f>
        <v>14.328358522557567</v>
      </c>
      <c r="H1507">
        <f>IF($B$3,-Tabelle2[[#This Row],[Fd]]*Tabelle2[[#This Row],[vx]]/Tabelle2[[#This Row],[v]],0)</f>
        <v>-0.83304805989284358</v>
      </c>
      <c r="I1507">
        <f t="shared" si="253"/>
        <v>-0.55536537326189572</v>
      </c>
      <c r="J1507">
        <f t="shared" si="254"/>
        <v>-1.1107307465237914E-2</v>
      </c>
      <c r="K1507">
        <f t="shared" si="255"/>
        <v>0.10454101776950556</v>
      </c>
      <c r="L1507">
        <f>-$B$5*$B$12-IF($B$3,Tabelle2[[#This Row],[Fd]]*Tabelle2[[#This Row],[vy]]/Tabelle2[[#This Row],[v]],0)</f>
        <v>-0.41087860507130713</v>
      </c>
      <c r="M1507">
        <f t="shared" si="256"/>
        <v>-0.27391907004753807</v>
      </c>
      <c r="N1507">
        <f t="shared" si="257"/>
        <v>-5.4783814009507614E-3</v>
      </c>
      <c r="O1507">
        <f t="shared" si="258"/>
        <v>-1.797017388661198</v>
      </c>
      <c r="P1507" s="1">
        <f t="shared" si="260"/>
        <v>5.2326045422078966</v>
      </c>
      <c r="Q1507" s="1">
        <f t="shared" si="261"/>
        <v>-89.848130242359417</v>
      </c>
      <c r="R1507">
        <f>SQRT(Tabelle2[[#This Row],[vx]]*Tabelle2[[#This Row],[vx]]+Tabelle2[[#This Row],[vy]]*Tabelle2[[#This Row],[vy]])</f>
        <v>90.000370323366539</v>
      </c>
      <c r="S1507">
        <f t="shared" si="262"/>
        <v>773.00093402648815</v>
      </c>
      <c r="T1507" s="1">
        <f t="shared" si="263"/>
        <v>-1388.8318678068549</v>
      </c>
    </row>
    <row r="1508" spans="6:20" x14ac:dyDescent="0.35">
      <c r="F1508" s="1">
        <f t="shared" si="259"/>
        <v>30.099999999999447</v>
      </c>
      <c r="G1508">
        <f>1/2*$B$8*$B$6*$B$7*(Tabelle2[[#This Row],[vx]]*Tabelle2[[#This Row],[vx]]+Tabelle2[[#This Row],[vy]]*Tabelle2[[#This Row],[vy]])/1000000</f>
        <v>14.329894576712022</v>
      </c>
      <c r="H1508">
        <f>IF($B$3,-Tabelle2[[#This Row],[Fd]]*Tabelle2[[#This Row],[vx]]/Tabelle2[[#This Row],[v]],0)</f>
        <v>-0.83132429654345275</v>
      </c>
      <c r="I1508">
        <f t="shared" si="253"/>
        <v>-0.55421619769563513</v>
      </c>
      <c r="J1508">
        <f t="shared" si="254"/>
        <v>-1.1084323953912702E-2</v>
      </c>
      <c r="K1508">
        <f t="shared" si="255"/>
        <v>0.10431910145531405</v>
      </c>
      <c r="L1508">
        <f>-$B$5*$B$12-IF($B$3,Tabelle2[[#This Row],[Fd]]*Tabelle2[[#This Row],[vy]]/Tabelle2[[#This Row],[v]],0)</f>
        <v>-0.40923967439489317</v>
      </c>
      <c r="M1508">
        <f t="shared" si="256"/>
        <v>-0.27282644959659547</v>
      </c>
      <c r="N1508">
        <f t="shared" si="257"/>
        <v>-5.4565289919319094E-3</v>
      </c>
      <c r="O1508">
        <f t="shared" si="258"/>
        <v>-1.7971267377651268</v>
      </c>
      <c r="P1508" s="1">
        <f t="shared" si="260"/>
        <v>5.2214972347426585</v>
      </c>
      <c r="Q1508" s="1">
        <f t="shared" si="261"/>
        <v>-89.853608623760366</v>
      </c>
      <c r="R1508">
        <f>SQRT(Tabelle2[[#This Row],[vx]]*Tabelle2[[#This Row],[vx]]+Tabelle2[[#This Row],[vy]]*Tabelle2[[#This Row],[vy]])</f>
        <v>90.005194383903913</v>
      </c>
      <c r="S1508">
        <f t="shared" si="262"/>
        <v>773.10547504425767</v>
      </c>
      <c r="T1508" s="1">
        <f t="shared" si="263"/>
        <v>-1390.6288851955162</v>
      </c>
    </row>
    <row r="1509" spans="6:20" x14ac:dyDescent="0.35">
      <c r="F1509" s="1">
        <f t="shared" si="259"/>
        <v>30.119999999999447</v>
      </c>
      <c r="G1509">
        <f>1/2*$B$8*$B$6*$B$7*(Tabelle2[[#This Row],[vx]]*Tabelle2[[#This Row],[vx]]+Tabelle2[[#This Row],[vy]]*Tabelle2[[#This Row],[vy]])/1000000</f>
        <v>14.331424650156173</v>
      </c>
      <c r="H1509">
        <f>IF($B$3,-Tabelle2[[#This Row],[Fd]]*Tabelle2[[#This Row],[vx]]/Tabelle2[[#This Row],[v]],0)</f>
        <v>-0.82960382758652784</v>
      </c>
      <c r="I1509">
        <f t="shared" si="253"/>
        <v>-0.55306921839101852</v>
      </c>
      <c r="J1509">
        <f t="shared" si="254"/>
        <v>-1.106138436782037E-2</v>
      </c>
      <c r="K1509">
        <f t="shared" si="255"/>
        <v>0.1040976443720967</v>
      </c>
      <c r="L1509">
        <f>-$B$5*$B$12-IF($B$3,Tabelle2[[#This Row],[Fd]]*Tabelle2[[#This Row],[vy]]/Tabelle2[[#This Row],[v]],0)</f>
        <v>-0.4076071560064527</v>
      </c>
      <c r="M1509">
        <f t="shared" si="256"/>
        <v>-0.27173810400430182</v>
      </c>
      <c r="N1509">
        <f t="shared" si="257"/>
        <v>-5.4347620800860369E-3</v>
      </c>
      <c r="O1509">
        <f t="shared" si="258"/>
        <v>-1.7972356506758467</v>
      </c>
      <c r="P1509" s="1">
        <f t="shared" si="260"/>
        <v>5.2104129107887456</v>
      </c>
      <c r="Q1509" s="1">
        <f t="shared" si="261"/>
        <v>-89.859065152752294</v>
      </c>
      <c r="R1509">
        <f>SQRT(Tabelle2[[#This Row],[vx]]*Tabelle2[[#This Row],[vx]]+Tabelle2[[#This Row],[vy]]*Tabelle2[[#This Row],[vy]])</f>
        <v>90.009999404663347</v>
      </c>
      <c r="S1509">
        <f t="shared" si="262"/>
        <v>773.20979414571298</v>
      </c>
      <c r="T1509" s="1">
        <f t="shared" si="263"/>
        <v>-1392.4260119332814</v>
      </c>
    </row>
    <row r="1510" spans="6:20" x14ac:dyDescent="0.35">
      <c r="F1510" s="1">
        <f t="shared" si="259"/>
        <v>30.139999999999446</v>
      </c>
      <c r="G1510">
        <f>1/2*$B$8*$B$6*$B$7*(Tabelle2[[#This Row],[vx]]*Tabelle2[[#This Row],[vx]]+Tabelle2[[#This Row],[vy]]*Tabelle2[[#This Row],[vy]])/1000000</f>
        <v>14.332948765294407</v>
      </c>
      <c r="H1510">
        <f>IF($B$3,-Tabelle2[[#This Row],[Fd]]*Tabelle2[[#This Row],[vx]]/Tabelle2[[#This Row],[v]],0)</f>
        <v>-0.82788664840901161</v>
      </c>
      <c r="I1510">
        <f t="shared" si="253"/>
        <v>-0.5519244322726744</v>
      </c>
      <c r="J1510">
        <f t="shared" si="254"/>
        <v>-1.1038488645453488E-2</v>
      </c>
      <c r="K1510">
        <f t="shared" si="255"/>
        <v>0.10387664564196397</v>
      </c>
      <c r="L1510">
        <f>-$B$5*$B$12-IF($B$3,Tabelle2[[#This Row],[Fd]]*Tabelle2[[#This Row],[vy]]/Tabelle2[[#This Row],[v]],0)</f>
        <v>-0.40598102573273565</v>
      </c>
      <c r="M1510">
        <f t="shared" si="256"/>
        <v>-0.27065401715515708</v>
      </c>
      <c r="N1510">
        <f t="shared" si="257"/>
        <v>-5.4130803431031421E-3</v>
      </c>
      <c r="O1510">
        <f t="shared" si="258"/>
        <v>-1.7973441291000785</v>
      </c>
      <c r="P1510" s="1">
        <f t="shared" si="260"/>
        <v>5.1993515264209256</v>
      </c>
      <c r="Q1510" s="1">
        <f t="shared" si="261"/>
        <v>-89.864499914832379</v>
      </c>
      <c r="R1510">
        <f>SQRT(Tabelle2[[#This Row],[vx]]*Tabelle2[[#This Row],[vx]]+Tabelle2[[#This Row],[vy]]*Tabelle2[[#This Row],[vy]])</f>
        <v>90.014785459046692</v>
      </c>
      <c r="S1510">
        <f t="shared" si="262"/>
        <v>773.31389179008511</v>
      </c>
      <c r="T1510" s="1">
        <f t="shared" si="263"/>
        <v>-1394.2232475839573</v>
      </c>
    </row>
    <row r="1511" spans="6:20" x14ac:dyDescent="0.35">
      <c r="F1511" s="1">
        <f t="shared" si="259"/>
        <v>30.159999999999446</v>
      </c>
      <c r="G1511">
        <f>1/2*$B$8*$B$6*$B$7*(Tabelle2[[#This Row],[vx]]*Tabelle2[[#This Row],[vx]]+Tabelle2[[#This Row],[vy]]*Tabelle2[[#This Row],[vy]])/1000000</f>
        <v>14.334466944453853</v>
      </c>
      <c r="H1511">
        <f>IF($B$3,-Tabelle2[[#This Row],[Fd]]*Tabelle2[[#This Row],[vx]]/Tabelle2[[#This Row],[v]],0)</f>
        <v>-0.82617275439330151</v>
      </c>
      <c r="I1511">
        <f t="shared" si="253"/>
        <v>-0.55078183626220101</v>
      </c>
      <c r="J1511">
        <f t="shared" si="254"/>
        <v>-1.101563672524402E-2</v>
      </c>
      <c r="K1511">
        <f t="shared" si="255"/>
        <v>0.10365610438825701</v>
      </c>
      <c r="L1511">
        <f>-$B$5*$B$12-IF($B$3,Tabelle2[[#This Row],[Fd]]*Tabelle2[[#This Row],[vy]]/Tabelle2[[#This Row],[v]],0)</f>
        <v>-0.40436125948466639</v>
      </c>
      <c r="M1511">
        <f t="shared" si="256"/>
        <v>-0.26957417298977759</v>
      </c>
      <c r="N1511">
        <f t="shared" si="257"/>
        <v>-5.3914834597955522E-3</v>
      </c>
      <c r="O1511">
        <f t="shared" si="258"/>
        <v>-1.7974521747381076</v>
      </c>
      <c r="P1511" s="1">
        <f t="shared" si="260"/>
        <v>5.1883130377754725</v>
      </c>
      <c r="Q1511" s="1">
        <f t="shared" si="261"/>
        <v>-89.869912995175483</v>
      </c>
      <c r="R1511">
        <f>SQRT(Tabelle2[[#This Row],[vx]]*Tabelle2[[#This Row],[vx]]+Tabelle2[[#This Row],[vy]]*Tabelle2[[#This Row],[vy]])</f>
        <v>90.019552620185593</v>
      </c>
      <c r="S1511">
        <f t="shared" si="262"/>
        <v>773.41776843572711</v>
      </c>
      <c r="T1511" s="1">
        <f t="shared" si="263"/>
        <v>-1396.0205917130575</v>
      </c>
    </row>
    <row r="1512" spans="6:20" x14ac:dyDescent="0.35">
      <c r="F1512" s="1">
        <f t="shared" si="259"/>
        <v>30.179999999999445</v>
      </c>
      <c r="G1512">
        <f>1/2*$B$8*$B$6*$B$7*(Tabelle2[[#This Row],[vx]]*Tabelle2[[#This Row],[vx]]+Tabelle2[[#This Row],[vy]]*Tabelle2[[#This Row],[vy]])/1000000</f>
        <v>14.335979209884586</v>
      </c>
      <c r="H1512">
        <f>IF($B$3,-Tabelle2[[#This Row],[Fd]]*Tabelle2[[#This Row],[vx]]/Tabelle2[[#This Row],[v]],0)</f>
        <v>-0.82446214091734138</v>
      </c>
      <c r="I1512">
        <f t="shared" si="253"/>
        <v>-0.54964142727822762</v>
      </c>
      <c r="J1512">
        <f t="shared" si="254"/>
        <v>-1.0992828545564553E-2</v>
      </c>
      <c r="K1512">
        <f t="shared" si="255"/>
        <v>0.10343601973554893</v>
      </c>
      <c r="L1512">
        <f>-$B$5*$B$12-IF($B$3,Tabelle2[[#This Row],[Fd]]*Tabelle2[[#This Row],[vy]]/Tabelle2[[#This Row],[v]],0)</f>
        <v>-0.40274783325708974</v>
      </c>
      <c r="M1512">
        <f t="shared" si="256"/>
        <v>-0.26849855550472651</v>
      </c>
      <c r="N1512">
        <f t="shared" si="257"/>
        <v>-5.3699711100945301E-3</v>
      </c>
      <c r="O1512">
        <f t="shared" si="258"/>
        <v>-1.7975597892838064</v>
      </c>
      <c r="P1512" s="1">
        <f t="shared" si="260"/>
        <v>5.1772974010502288</v>
      </c>
      <c r="Q1512" s="1">
        <f t="shared" si="261"/>
        <v>-89.875304478635272</v>
      </c>
      <c r="R1512">
        <f>SQRT(Tabelle2[[#This Row],[vx]]*Tabelle2[[#This Row],[vx]]+Tabelle2[[#This Row],[vy]]*Tabelle2[[#This Row],[vy]])</f>
        <v>90.024300960942313</v>
      </c>
      <c r="S1512">
        <f t="shared" si="262"/>
        <v>773.52142454011539</v>
      </c>
      <c r="T1512" s="1">
        <f t="shared" si="263"/>
        <v>-1397.8180438877955</v>
      </c>
    </row>
    <row r="1513" spans="6:20" x14ac:dyDescent="0.35">
      <c r="F1513" s="1">
        <f t="shared" si="259"/>
        <v>30.199999999999445</v>
      </c>
      <c r="G1513">
        <f>1/2*$B$8*$B$6*$B$7*(Tabelle2[[#This Row],[vx]]*Tabelle2[[#This Row],[vx]]+Tabelle2[[#This Row],[vy]]*Tabelle2[[#This Row],[vy]])/1000000</f>
        <v>14.337485583759857</v>
      </c>
      <c r="H1513">
        <f>IF($B$3,-Tabelle2[[#This Row],[Fd]]*Tabelle2[[#This Row],[vx]]/Tabelle2[[#This Row],[v]],0)</f>
        <v>-0.82275480335471285</v>
      </c>
      <c r="I1513">
        <f t="shared" si="253"/>
        <v>-0.5485032022364752</v>
      </c>
      <c r="J1513">
        <f t="shared" si="254"/>
        <v>-1.0970064044729505E-2</v>
      </c>
      <c r="K1513">
        <f t="shared" si="255"/>
        <v>0.10321639080964599</v>
      </c>
      <c r="L1513">
        <f>-$B$5*$B$12-IF($B$3,Tabelle2[[#This Row],[Fd]]*Tabelle2[[#This Row],[vy]]/Tabelle2[[#This Row],[v]],0)</f>
        <v>-0.40114072312856308</v>
      </c>
      <c r="M1513">
        <f t="shared" si="256"/>
        <v>-0.26742714875237539</v>
      </c>
      <c r="N1513">
        <f t="shared" si="257"/>
        <v>-5.3485429750475075E-3</v>
      </c>
      <c r="O1513">
        <f t="shared" si="258"/>
        <v>-1.7976669744246578</v>
      </c>
      <c r="P1513" s="1">
        <f t="shared" si="260"/>
        <v>5.1663045725046643</v>
      </c>
      <c r="Q1513" s="1">
        <f t="shared" si="261"/>
        <v>-89.880674449745371</v>
      </c>
      <c r="R1513">
        <f>SQRT(Tabelle2[[#This Row],[vx]]*Tabelle2[[#This Row],[vx]]+Tabelle2[[#This Row],[vy]]*Tabelle2[[#This Row],[vy]])</f>
        <v>90.029030553910729</v>
      </c>
      <c r="S1513">
        <f t="shared" si="262"/>
        <v>773.62486055985096</v>
      </c>
      <c r="T1513" s="1">
        <f t="shared" si="263"/>
        <v>-1399.6156036770792</v>
      </c>
    </row>
    <row r="1514" spans="6:20" x14ac:dyDescent="0.35">
      <c r="F1514" s="1">
        <f t="shared" si="259"/>
        <v>30.219999999999445</v>
      </c>
      <c r="G1514">
        <f>1/2*$B$8*$B$6*$B$7*(Tabelle2[[#This Row],[vx]]*Tabelle2[[#This Row],[vx]]+Tabelle2[[#This Row],[vy]]*Tabelle2[[#This Row],[vy]])/1000000</f>
        <v>14.338986088176286</v>
      </c>
      <c r="H1514">
        <f>IF($B$3,-Tabelle2[[#This Row],[Fd]]*Tabelle2[[#This Row],[vx]]/Tabelle2[[#This Row],[v]],0)</f>
        <v>-0.82105073707472331</v>
      </c>
      <c r="I1514">
        <f t="shared" si="253"/>
        <v>-0.54736715804981551</v>
      </c>
      <c r="J1514">
        <f t="shared" si="254"/>
        <v>-1.094734316099631E-2</v>
      </c>
      <c r="K1514">
        <f t="shared" si="255"/>
        <v>0.10299721673758873</v>
      </c>
      <c r="L1514">
        <f>-$B$5*$B$12-IF($B$3,Tabelle2[[#This Row],[Fd]]*Tabelle2[[#This Row],[vy]]/Tabelle2[[#This Row],[v]],0)</f>
        <v>-0.39953990526109173</v>
      </c>
      <c r="M1514">
        <f t="shared" si="256"/>
        <v>-0.26635993684072784</v>
      </c>
      <c r="N1514">
        <f t="shared" si="257"/>
        <v>-5.3271987368145573E-3</v>
      </c>
      <c r="O1514">
        <f t="shared" si="258"/>
        <v>-1.7977737318417764</v>
      </c>
      <c r="P1514" s="1">
        <f t="shared" si="260"/>
        <v>5.1553345084599345</v>
      </c>
      <c r="Q1514" s="1">
        <f t="shared" si="261"/>
        <v>-89.886022992720413</v>
      </c>
      <c r="R1514">
        <f>SQRT(Tabelle2[[#This Row],[vx]]*Tabelle2[[#This Row],[vx]]+Tabelle2[[#This Row],[vy]]*Tabelle2[[#This Row],[vy]])</f>
        <v>90.033741471417159</v>
      </c>
      <c r="S1514">
        <f t="shared" si="262"/>
        <v>773.72807695066058</v>
      </c>
      <c r="T1514" s="1">
        <f t="shared" si="263"/>
        <v>-1401.4132706515038</v>
      </c>
    </row>
    <row r="1515" spans="6:20" x14ac:dyDescent="0.35">
      <c r="F1515" s="1">
        <f t="shared" si="259"/>
        <v>30.239999999999444</v>
      </c>
      <c r="G1515">
        <f>1/2*$B$8*$B$6*$B$7*(Tabelle2[[#This Row],[vx]]*Tabelle2[[#This Row],[vx]]+Tabelle2[[#This Row],[vy]]*Tabelle2[[#This Row],[vy]])/1000000</f>
        <v>14.340480745154085</v>
      </c>
      <c r="H1515">
        <f>IF($B$3,-Tabelle2[[#This Row],[Fd]]*Tabelle2[[#This Row],[vx]]/Tabelle2[[#This Row],[v]],0)</f>
        <v>-0.81934993744249707</v>
      </c>
      <c r="I1515">
        <f t="shared" si="253"/>
        <v>-0.54623329162833134</v>
      </c>
      <c r="J1515">
        <f t="shared" si="254"/>
        <v>-1.0924665832566627E-2</v>
      </c>
      <c r="K1515">
        <f t="shared" si="255"/>
        <v>0.10277849664765309</v>
      </c>
      <c r="L1515">
        <f>-$B$5*$B$12-IF($B$3,Tabelle2[[#This Row],[Fd]]*Tabelle2[[#This Row],[vy]]/Tabelle2[[#This Row],[v]],0)</f>
        <v>-0.39794535589990687</v>
      </c>
      <c r="M1515">
        <f t="shared" si="256"/>
        <v>-0.26529690393327127</v>
      </c>
      <c r="N1515">
        <f t="shared" si="257"/>
        <v>-5.3059380786654254E-3</v>
      </c>
      <c r="O1515">
        <f t="shared" si="258"/>
        <v>-1.797880063209931</v>
      </c>
      <c r="P1515" s="1">
        <f t="shared" si="260"/>
        <v>5.1443871652989381</v>
      </c>
      <c r="Q1515" s="1">
        <f t="shared" si="261"/>
        <v>-89.891350191457221</v>
      </c>
      <c r="R1515">
        <f>SQRT(Tabelle2[[#This Row],[vx]]*Tabelle2[[#This Row],[vx]]+Tabelle2[[#This Row],[vy]]*Tabelle2[[#This Row],[vy]])</f>
        <v>90.038433785521221</v>
      </c>
      <c r="S1515">
        <f t="shared" si="262"/>
        <v>773.83107416739813</v>
      </c>
      <c r="T1515" s="1">
        <f t="shared" si="263"/>
        <v>-1403.2110443833456</v>
      </c>
    </row>
    <row r="1516" spans="6:20" x14ac:dyDescent="0.35">
      <c r="F1516" s="1">
        <f t="shared" si="259"/>
        <v>30.259999999999444</v>
      </c>
      <c r="G1516">
        <f>1/2*$B$8*$B$6*$B$7*(Tabelle2[[#This Row],[vx]]*Tabelle2[[#This Row],[vx]]+Tabelle2[[#This Row],[vy]]*Tabelle2[[#This Row],[vy]])/1000000</f>
        <v>14.341969576637283</v>
      </c>
      <c r="H1516">
        <f>IF($B$3,-Tabelle2[[#This Row],[Fd]]*Tabelle2[[#This Row],[vx]]/Tabelle2[[#This Row],[v]],0)</f>
        <v>-0.81765239981906401</v>
      </c>
      <c r="I1516">
        <f t="shared" si="253"/>
        <v>-0.54510159987937601</v>
      </c>
      <c r="J1516">
        <f t="shared" si="254"/>
        <v>-1.0902031997587521E-2</v>
      </c>
      <c r="K1516">
        <f t="shared" si="255"/>
        <v>0.10256022966935154</v>
      </c>
      <c r="L1516">
        <f>-$B$5*$B$12-IF($B$3,Tabelle2[[#This Row],[Fd]]*Tabelle2[[#This Row],[vy]]/Tabelle2[[#This Row],[v]],0)</f>
        <v>-0.39635705137321509</v>
      </c>
      <c r="M1516">
        <f t="shared" si="256"/>
        <v>-0.26423803424881004</v>
      </c>
      <c r="N1516">
        <f t="shared" si="257"/>
        <v>-5.2847606849762011E-3</v>
      </c>
      <c r="O1516">
        <f t="shared" si="258"/>
        <v>-1.7979859701975676</v>
      </c>
      <c r="P1516" s="1">
        <f t="shared" si="260"/>
        <v>5.1334624994663711</v>
      </c>
      <c r="Q1516" s="1">
        <f t="shared" si="261"/>
        <v>-89.896656129535884</v>
      </c>
      <c r="R1516">
        <f>SQRT(Tabelle2[[#This Row],[vx]]*Tabelle2[[#This Row],[vx]]+Tabelle2[[#This Row],[vy]]*Tabelle2[[#This Row],[vy]])</f>
        <v>90.043107568016822</v>
      </c>
      <c r="S1516">
        <f t="shared" si="262"/>
        <v>773.93385266404573</v>
      </c>
      <c r="T1516" s="1">
        <f t="shared" si="263"/>
        <v>-1405.0089244465555</v>
      </c>
    </row>
    <row r="1517" spans="6:20" x14ac:dyDescent="0.35">
      <c r="F1517" s="1">
        <f t="shared" si="259"/>
        <v>30.279999999999443</v>
      </c>
      <c r="G1517">
        <f>1/2*$B$8*$B$6*$B$7*(Tabelle2[[#This Row],[vx]]*Tabelle2[[#This Row],[vx]]+Tabelle2[[#This Row],[vy]]*Tabelle2[[#This Row],[vy]])/1000000</f>
        <v>14.343452604493914</v>
      </c>
      <c r="H1517">
        <f>IF($B$3,-Tabelle2[[#This Row],[Fd]]*Tabelle2[[#This Row],[vx]]/Tabelle2[[#This Row],[v]],0)</f>
        <v>-0.81595811956144648</v>
      </c>
      <c r="I1517">
        <f t="shared" si="253"/>
        <v>-0.54397207970763095</v>
      </c>
      <c r="J1517">
        <f t="shared" si="254"/>
        <v>-1.087944159415262E-2</v>
      </c>
      <c r="K1517">
        <f t="shared" si="255"/>
        <v>0.10234241493343416</v>
      </c>
      <c r="L1517">
        <f>-$B$5*$B$12-IF($B$3,Tabelle2[[#This Row],[Fd]]*Tabelle2[[#This Row],[vy]]/Tabelle2[[#This Row],[v]],0)</f>
        <v>-0.39477496809198342</v>
      </c>
      <c r="M1517">
        <f t="shared" si="256"/>
        <v>-0.26318331206132228</v>
      </c>
      <c r="N1517">
        <f t="shared" si="257"/>
        <v>-5.2636662412264461E-3</v>
      </c>
      <c r="O1517">
        <f t="shared" si="258"/>
        <v>-1.7980914544668296</v>
      </c>
      <c r="P1517" s="1">
        <f t="shared" si="260"/>
        <v>5.1225604674687837</v>
      </c>
      <c r="Q1517" s="1">
        <f t="shared" si="261"/>
        <v>-89.901940890220857</v>
      </c>
      <c r="R1517">
        <f>SQRT(Tabelle2[[#This Row],[vx]]*Tabelle2[[#This Row],[vx]]+Tabelle2[[#This Row],[vy]]*Tabelle2[[#This Row],[vy]])</f>
        <v>90.047762890432978</v>
      </c>
      <c r="S1517">
        <f t="shared" si="262"/>
        <v>774.03641289371512</v>
      </c>
      <c r="T1517" s="1">
        <f t="shared" si="263"/>
        <v>-1406.806910416753</v>
      </c>
    </row>
    <row r="1518" spans="6:20" x14ac:dyDescent="0.35">
      <c r="F1518" s="1">
        <f t="shared" si="259"/>
        <v>30.299999999999443</v>
      </c>
      <c r="G1518">
        <f>1/2*$B$8*$B$6*$B$7*(Tabelle2[[#This Row],[vx]]*Tabelle2[[#This Row],[vx]]+Tabelle2[[#This Row],[vy]]*Tabelle2[[#This Row],[vy]])/1000000</f>
        <v>14.344929850516248</v>
      </c>
      <c r="H1518">
        <f>IF($B$3,-Tabelle2[[#This Row],[Fd]]*Tabelle2[[#This Row],[vx]]/Tabelle2[[#This Row],[v]],0)</f>
        <v>-0.81426709202274772</v>
      </c>
      <c r="I1518">
        <f t="shared" si="253"/>
        <v>-0.54284472801516515</v>
      </c>
      <c r="J1518">
        <f t="shared" si="254"/>
        <v>-1.0856894560303303E-2</v>
      </c>
      <c r="K1518">
        <f t="shared" si="255"/>
        <v>0.10212505157188959</v>
      </c>
      <c r="L1518">
        <f>-$B$5*$B$12-IF($B$3,Tabelle2[[#This Row],[Fd]]*Tabelle2[[#This Row],[vy]]/Tabelle2[[#This Row],[v]],0)</f>
        <v>-0.3931990825496765</v>
      </c>
      <c r="M1518">
        <f t="shared" si="256"/>
        <v>-0.26213272169978435</v>
      </c>
      <c r="N1518">
        <f t="shared" si="257"/>
        <v>-5.2426544339956868E-3</v>
      </c>
      <c r="O1518">
        <f t="shared" si="258"/>
        <v>-1.7981965176735815</v>
      </c>
      <c r="P1518" s="1">
        <f t="shared" si="260"/>
        <v>5.1116810258746312</v>
      </c>
      <c r="Q1518" s="1">
        <f t="shared" si="261"/>
        <v>-89.907204556462077</v>
      </c>
      <c r="R1518">
        <f>SQRT(Tabelle2[[#This Row],[vx]]*Tabelle2[[#This Row],[vx]]+Tabelle2[[#This Row],[vy]]*Tabelle2[[#This Row],[vy]])</f>
        <v>90.05239982403468</v>
      </c>
      <c r="S1518">
        <f t="shared" si="262"/>
        <v>774.13875530864857</v>
      </c>
      <c r="T1518" s="1">
        <f t="shared" si="263"/>
        <v>-1408.6050018712199</v>
      </c>
    </row>
    <row r="1519" spans="6:20" x14ac:dyDescent="0.35">
      <c r="F1519" s="1">
        <f t="shared" si="259"/>
        <v>30.319999999999443</v>
      </c>
      <c r="G1519">
        <f>1/2*$B$8*$B$6*$B$7*(Tabelle2[[#This Row],[vx]]*Tabelle2[[#This Row],[vx]]+Tabelle2[[#This Row],[vy]]*Tabelle2[[#This Row],[vy]])/1000000</f>
        <v>14.346401336421009</v>
      </c>
      <c r="H1519">
        <f>IF($B$3,-Tabelle2[[#This Row],[Fd]]*Tabelle2[[#This Row],[vx]]/Tabelle2[[#This Row],[v]],0)</f>
        <v>-0.81257931255223925</v>
      </c>
      <c r="I1519">
        <f t="shared" si="253"/>
        <v>-0.54171954170149283</v>
      </c>
      <c r="J1519">
        <f t="shared" si="254"/>
        <v>-1.0834390834029857E-2</v>
      </c>
      <c r="K1519">
        <f t="shared" si="255"/>
        <v>0.10190813871794627</v>
      </c>
      <c r="L1519">
        <f>-$B$5*$B$12-IF($B$3,Tabelle2[[#This Row],[Fd]]*Tabelle2[[#This Row],[vy]]/Tabelle2[[#This Row],[v]],0)</f>
        <v>-0.39162937132203446</v>
      </c>
      <c r="M1519">
        <f t="shared" si="256"/>
        <v>-0.26108624754802295</v>
      </c>
      <c r="N1519">
        <f t="shared" si="257"/>
        <v>-5.2217249509604593E-3</v>
      </c>
      <c r="O1519">
        <f t="shared" si="258"/>
        <v>-1.7983011614674311</v>
      </c>
      <c r="P1519" s="1">
        <f t="shared" si="260"/>
        <v>5.1008241313143277</v>
      </c>
      <c r="Q1519" s="1">
        <f t="shared" si="261"/>
        <v>-89.912447210896076</v>
      </c>
      <c r="R1519">
        <f>SQRT(Tabelle2[[#This Row],[vx]]*Tabelle2[[#This Row],[vx]]+Tabelle2[[#This Row],[vy]]*Tabelle2[[#This Row],[vy]])</f>
        <v>90.05701843982385</v>
      </c>
      <c r="S1519">
        <f t="shared" si="262"/>
        <v>774.24088036022044</v>
      </c>
      <c r="T1519" s="1">
        <f t="shared" si="263"/>
        <v>-1410.4031983888935</v>
      </c>
    </row>
    <row r="1520" spans="6:20" x14ac:dyDescent="0.35">
      <c r="F1520" s="1">
        <f t="shared" si="259"/>
        <v>30.339999999999442</v>
      </c>
      <c r="G1520">
        <f>1/2*$B$8*$B$6*$B$7*(Tabelle2[[#This Row],[vx]]*Tabelle2[[#This Row],[vx]]+Tabelle2[[#This Row],[vy]]*Tabelle2[[#This Row],[vy]])/1000000</f>
        <v>14.347867083849561</v>
      </c>
      <c r="H1520">
        <f>IF($B$3,-Tabelle2[[#This Row],[Fd]]*Tabelle2[[#This Row],[vx]]/Tabelle2[[#This Row],[v]],0)</f>
        <v>-0.8108947764954465</v>
      </c>
      <c r="I1520">
        <f t="shared" si="253"/>
        <v>-0.54059651766363104</v>
      </c>
      <c r="J1520">
        <f t="shared" si="254"/>
        <v>-1.081193035327262E-2</v>
      </c>
      <c r="K1520">
        <f t="shared" si="255"/>
        <v>0.10169167550607323</v>
      </c>
      <c r="L1520">
        <f>-$B$5*$B$12-IF($B$3,Tabelle2[[#This Row],[Fd]]*Tabelle2[[#This Row],[vy]]/Tabelle2[[#This Row],[v]],0)</f>
        <v>-0.39006581106684024</v>
      </c>
      <c r="M1520">
        <f t="shared" si="256"/>
        <v>-0.26004387404456014</v>
      </c>
      <c r="N1520">
        <f t="shared" si="257"/>
        <v>-5.2008774808912032E-3</v>
      </c>
      <c r="O1520">
        <f t="shared" si="258"/>
        <v>-1.7984053874917496</v>
      </c>
      <c r="P1520" s="1">
        <f t="shared" si="260"/>
        <v>5.0899897404802976</v>
      </c>
      <c r="Q1520" s="1">
        <f t="shared" si="261"/>
        <v>-89.917668935847033</v>
      </c>
      <c r="R1520">
        <f>SQRT(Tabelle2[[#This Row],[vx]]*Tabelle2[[#This Row],[vx]]+Tabelle2[[#This Row],[vy]]*Tabelle2[[#This Row],[vy]])</f>
        <v>90.061618808540103</v>
      </c>
      <c r="S1520">
        <f t="shared" si="262"/>
        <v>774.34278849893838</v>
      </c>
      <c r="T1520" s="1">
        <f t="shared" si="263"/>
        <v>-1412.2014995503609</v>
      </c>
    </row>
    <row r="1521" spans="6:20" x14ac:dyDescent="0.35">
      <c r="F1521" s="1">
        <f t="shared" si="259"/>
        <v>30.359999999999442</v>
      </c>
      <c r="G1521">
        <f>1/2*$B$8*$B$6*$B$7*(Tabelle2[[#This Row],[vx]]*Tabelle2[[#This Row],[vx]]+Tabelle2[[#This Row],[vy]]*Tabelle2[[#This Row],[vy]])/1000000</f>
        <v>14.349327114368148</v>
      </c>
      <c r="H1521">
        <f>IF($B$3,-Tabelle2[[#This Row],[Fd]]*Tabelle2[[#This Row],[vx]]/Tabelle2[[#This Row],[v]],0)</f>
        <v>-0.80921347919423425</v>
      </c>
      <c r="I1521">
        <f t="shared" si="253"/>
        <v>-0.53947565279615617</v>
      </c>
      <c r="J1521">
        <f t="shared" si="254"/>
        <v>-1.0789513055923124E-2</v>
      </c>
      <c r="K1521">
        <f t="shared" si="255"/>
        <v>0.10147566107198125</v>
      </c>
      <c r="L1521">
        <f>-$B$5*$B$12-IF($B$3,Tabelle2[[#This Row],[Fd]]*Tabelle2[[#This Row],[vy]]/Tabelle2[[#This Row],[v]],0)</f>
        <v>-0.38850837852367803</v>
      </c>
      <c r="M1521">
        <f t="shared" si="256"/>
        <v>-0.25900558568245202</v>
      </c>
      <c r="N1521">
        <f t="shared" si="257"/>
        <v>-5.1801117136490403E-3</v>
      </c>
      <c r="O1521">
        <f t="shared" si="258"/>
        <v>-1.7985091973836951</v>
      </c>
      <c r="P1521" s="1">
        <f t="shared" si="260"/>
        <v>5.0791778101270246</v>
      </c>
      <c r="Q1521" s="1">
        <f t="shared" si="261"/>
        <v>-89.922869813327921</v>
      </c>
      <c r="R1521">
        <f>SQRT(Tabelle2[[#This Row],[vx]]*Tabelle2[[#This Row],[vx]]+Tabelle2[[#This Row],[vy]]*Tabelle2[[#This Row],[vy]])</f>
        <v>90.066201000661778</v>
      </c>
      <c r="S1521">
        <f t="shared" si="262"/>
        <v>774.44448017444449</v>
      </c>
      <c r="T1521" s="1">
        <f t="shared" si="263"/>
        <v>-1413.9999049378528</v>
      </c>
    </row>
    <row r="1522" spans="6:20" x14ac:dyDescent="0.35">
      <c r="F1522" s="1">
        <f t="shared" si="259"/>
        <v>30.379999999999441</v>
      </c>
      <c r="G1522">
        <f>1/2*$B$8*$B$6*$B$7*(Tabelle2[[#This Row],[vx]]*Tabelle2[[#This Row],[vx]]+Tabelle2[[#This Row],[vy]]*Tabelle2[[#This Row],[vy]])/1000000</f>
        <v>14.350781449468093</v>
      </c>
      <c r="H1522">
        <f>IF($B$3,-Tabelle2[[#This Row],[Fd]]*Tabelle2[[#This Row],[vx]]/Tabelle2[[#This Row],[v]],0)</f>
        <v>-0.80753541598689305</v>
      </c>
      <c r="I1522">
        <f t="shared" si="253"/>
        <v>-0.53835694399126199</v>
      </c>
      <c r="J1522">
        <f t="shared" si="254"/>
        <v>-1.0767138879825239E-2</v>
      </c>
      <c r="K1522">
        <f t="shared" si="255"/>
        <v>0.10126009455262379</v>
      </c>
      <c r="L1522">
        <f>-$B$5*$B$12-IF($B$3,Tabelle2[[#This Row],[Fd]]*Tabelle2[[#This Row],[vy]]/Tabelle2[[#This Row],[v]],0)</f>
        <v>-0.38695705051368812</v>
      </c>
      <c r="M1522">
        <f t="shared" si="256"/>
        <v>-0.25797136700912543</v>
      </c>
      <c r="N1522">
        <f t="shared" si="257"/>
        <v>-5.1594273401825083E-3</v>
      </c>
      <c r="O1522">
        <f t="shared" si="258"/>
        <v>-1.7986125927742331</v>
      </c>
      <c r="P1522" s="1">
        <f t="shared" si="260"/>
        <v>5.0683882970711016</v>
      </c>
      <c r="Q1522" s="1">
        <f t="shared" si="261"/>
        <v>-89.928049925041563</v>
      </c>
      <c r="R1522">
        <f>SQRT(Tabelle2[[#This Row],[vx]]*Tabelle2[[#This Row],[vx]]+Tabelle2[[#This Row],[vy]]*Tabelle2[[#This Row],[vy]])</f>
        <v>90.070765086406666</v>
      </c>
      <c r="S1522">
        <f t="shared" si="262"/>
        <v>774.54595583551645</v>
      </c>
      <c r="T1522" s="1">
        <f t="shared" si="263"/>
        <v>-1415.7984141352365</v>
      </c>
    </row>
    <row r="1523" spans="6:20" x14ac:dyDescent="0.35">
      <c r="F1523" s="1">
        <f t="shared" si="259"/>
        <v>30.399999999999441</v>
      </c>
      <c r="G1523">
        <f>1/2*$B$8*$B$6*$B$7*(Tabelle2[[#This Row],[vx]]*Tabelle2[[#This Row],[vx]]+Tabelle2[[#This Row],[vy]]*Tabelle2[[#This Row],[vy]])/1000000</f>
        <v>14.352230110566021</v>
      </c>
      <c r="H1523">
        <f>IF($B$3,-Tabelle2[[#This Row],[Fd]]*Tabelle2[[#This Row],[vx]]/Tabelle2[[#This Row],[v]],0)</f>
        <v>-0.80586058220822276</v>
      </c>
      <c r="I1523">
        <f t="shared" si="253"/>
        <v>-0.53724038813881514</v>
      </c>
      <c r="J1523">
        <f t="shared" si="254"/>
        <v>-1.0744807762776303E-2</v>
      </c>
      <c r="K1523">
        <f t="shared" si="255"/>
        <v>0.10104497508619777</v>
      </c>
      <c r="L1523">
        <f>-$B$5*$B$12-IF($B$3,Tabelle2[[#This Row],[Fd]]*Tabelle2[[#This Row],[vy]]/Tabelle2[[#This Row],[v]],0)</f>
        <v>-0.38541180393934127</v>
      </c>
      <c r="M1523">
        <f t="shared" si="256"/>
        <v>-0.25694120262622749</v>
      </c>
      <c r="N1523">
        <f t="shared" si="257"/>
        <v>-5.13882405252455E-3</v>
      </c>
      <c r="O1523">
        <f t="shared" si="258"/>
        <v>-1.7987155752881603</v>
      </c>
      <c r="P1523" s="1">
        <f t="shared" si="260"/>
        <v>5.0576211581912762</v>
      </c>
      <c r="Q1523" s="1">
        <f t="shared" si="261"/>
        <v>-89.933209352381752</v>
      </c>
      <c r="R1523">
        <f>SQRT(Tabelle2[[#This Row],[vx]]*Tabelle2[[#This Row],[vx]]+Tabelle2[[#This Row],[vy]]*Tabelle2[[#This Row],[vy]])</f>
        <v>90.075311135733017</v>
      </c>
      <c r="S1523">
        <f t="shared" si="262"/>
        <v>774.64721593006902</v>
      </c>
      <c r="T1523" s="1">
        <f t="shared" si="263"/>
        <v>-1417.5970267280106</v>
      </c>
    </row>
    <row r="1524" spans="6:20" x14ac:dyDescent="0.35">
      <c r="F1524" s="1">
        <f t="shared" si="259"/>
        <v>30.41999999999944</v>
      </c>
      <c r="G1524">
        <f>1/2*$B$8*$B$6*$B$7*(Tabelle2[[#This Row],[vx]]*Tabelle2[[#This Row],[vx]]+Tabelle2[[#This Row],[vy]]*Tabelle2[[#This Row],[vy]])/1000000</f>
        <v>14.353673119004041</v>
      </c>
      <c r="H1524">
        <f>IF($B$3,-Tabelle2[[#This Row],[Fd]]*Tabelle2[[#This Row],[vx]]/Tabelle2[[#This Row],[v]],0)</f>
        <v>-0.80418897318961624</v>
      </c>
      <c r="I1524">
        <f t="shared" si="253"/>
        <v>-0.53612598212641083</v>
      </c>
      <c r="J1524">
        <f t="shared" si="254"/>
        <v>-1.0722519642528216E-2</v>
      </c>
      <c r="K1524">
        <f t="shared" si="255"/>
        <v>0.10083030181214472</v>
      </c>
      <c r="L1524">
        <f>-$B$5*$B$12-IF($B$3,Tabelle2[[#This Row],[Fd]]*Tabelle2[[#This Row],[vy]]/Tabelle2[[#This Row],[v]],0)</f>
        <v>-0.38387261578422027</v>
      </c>
      <c r="M1524">
        <f t="shared" si="256"/>
        <v>-0.2559150771894802</v>
      </c>
      <c r="N1524">
        <f t="shared" si="257"/>
        <v>-5.1183015437896041E-3</v>
      </c>
      <c r="O1524">
        <f t="shared" si="258"/>
        <v>-1.7988181465441235</v>
      </c>
      <c r="P1524" s="1">
        <f t="shared" si="260"/>
        <v>5.0468763504284997</v>
      </c>
      <c r="Q1524" s="1">
        <f t="shared" si="261"/>
        <v>-89.938348176434275</v>
      </c>
      <c r="R1524">
        <f>SQRT(Tabelle2[[#This Row],[vx]]*Tabelle2[[#This Row],[vx]]+Tabelle2[[#This Row],[vy]]*Tabelle2[[#This Row],[vy]])</f>
        <v>90.079839218340268</v>
      </c>
      <c r="S1524">
        <f t="shared" si="262"/>
        <v>774.74826090515523</v>
      </c>
      <c r="T1524" s="1">
        <f t="shared" si="263"/>
        <v>-1419.3957423032989</v>
      </c>
    </row>
    <row r="1525" spans="6:20" x14ac:dyDescent="0.35">
      <c r="F1525" s="1">
        <f t="shared" si="259"/>
        <v>30.43999999999944</v>
      </c>
      <c r="G1525">
        <f>1/2*$B$8*$B$6*$B$7*(Tabelle2[[#This Row],[vx]]*Tabelle2[[#This Row],[vx]]+Tabelle2[[#This Row],[vy]]*Tabelle2[[#This Row],[vy]])/1000000</f>
        <v>14.355110496050003</v>
      </c>
      <c r="H1525">
        <f>IF($B$3,-Tabelle2[[#This Row],[Fd]]*Tabelle2[[#This Row],[vx]]/Tabelle2[[#This Row],[v]],0)</f>
        <v>-0.80252058425914374</v>
      </c>
      <c r="I1525">
        <f t="shared" si="253"/>
        <v>-0.53501372283942916</v>
      </c>
      <c r="J1525">
        <f t="shared" si="254"/>
        <v>-1.0700274456788584E-2</v>
      </c>
      <c r="K1525">
        <f t="shared" si="255"/>
        <v>0.10061607387115155</v>
      </c>
      <c r="L1525">
        <f>-$B$5*$B$12-IF($B$3,Tabelle2[[#This Row],[Fd]]*Tabelle2[[#This Row],[vy]]/Tabelle2[[#This Row],[v]],0)</f>
        <v>-0.38233946311274281</v>
      </c>
      <c r="M1525">
        <f t="shared" si="256"/>
        <v>-0.2548929754084952</v>
      </c>
      <c r="N1525">
        <f t="shared" si="257"/>
        <v>-5.0978595081699043E-3</v>
      </c>
      <c r="O1525">
        <f t="shared" si="258"/>
        <v>-1.798920308154643</v>
      </c>
      <c r="P1525" s="1">
        <f t="shared" si="260"/>
        <v>5.0361538307859712</v>
      </c>
      <c r="Q1525" s="1">
        <f t="shared" si="261"/>
        <v>-89.943466477978063</v>
      </c>
      <c r="R1525">
        <f>SQRT(Tabelle2[[#This Row],[vx]]*Tabelle2[[#This Row],[vx]]+Tabelle2[[#This Row],[vy]]*Tabelle2[[#This Row],[vy]])</f>
        <v>90.084349403670032</v>
      </c>
      <c r="S1525">
        <f t="shared" si="262"/>
        <v>774.84909120696739</v>
      </c>
      <c r="T1525" s="1">
        <f t="shared" si="263"/>
        <v>-1421.194560449843</v>
      </c>
    </row>
    <row r="1526" spans="6:20" x14ac:dyDescent="0.35">
      <c r="F1526" s="1">
        <f t="shared" si="259"/>
        <v>30.45999999999944</v>
      </c>
      <c r="G1526">
        <f>1/2*$B$8*$B$6*$B$7*(Tabelle2[[#This Row],[vx]]*Tabelle2[[#This Row],[vx]]+Tabelle2[[#This Row],[vy]]*Tabelle2[[#This Row],[vy]])/1000000</f>
        <v>14.356542262897669</v>
      </c>
      <c r="H1526">
        <f>IF($B$3,-Tabelle2[[#This Row],[Fd]]*Tabelle2[[#This Row],[vx]]/Tabelle2[[#This Row],[v]],0)</f>
        <v>-0.80085541074163558</v>
      </c>
      <c r="I1526">
        <f t="shared" si="253"/>
        <v>-0.53390360716109042</v>
      </c>
      <c r="J1526">
        <f t="shared" si="254"/>
        <v>-1.0678072143221808E-2</v>
      </c>
      <c r="K1526">
        <f t="shared" si="255"/>
        <v>0.10040229040515143</v>
      </c>
      <c r="L1526">
        <f>-$B$5*$B$12-IF($B$3,Tabelle2[[#This Row],[Fd]]*Tabelle2[[#This Row],[vy]]/Tabelle2[[#This Row],[v]],0)</f>
        <v>-0.38081232306996959</v>
      </c>
      <c r="M1526">
        <f t="shared" si="256"/>
        <v>-0.25387488204664638</v>
      </c>
      <c r="N1526">
        <f t="shared" si="257"/>
        <v>-5.0774976409329277E-3</v>
      </c>
      <c r="O1526">
        <f t="shared" si="258"/>
        <v>-1.7990220617261341</v>
      </c>
      <c r="P1526" s="1">
        <f t="shared" si="260"/>
        <v>5.0254535563291824</v>
      </c>
      <c r="Q1526" s="1">
        <f t="shared" si="261"/>
        <v>-89.948564337486232</v>
      </c>
      <c r="R1526">
        <f>SQRT(Tabelle2[[#This Row],[vx]]*Tabelle2[[#This Row],[vx]]+Tabelle2[[#This Row],[vy]]*Tabelle2[[#This Row],[vy]])</f>
        <v>90.088841760906888</v>
      </c>
      <c r="S1526">
        <f t="shared" si="262"/>
        <v>774.94970728083854</v>
      </c>
      <c r="T1526" s="1">
        <f t="shared" si="263"/>
        <v>-1422.9934807579978</v>
      </c>
    </row>
    <row r="1527" spans="6:20" x14ac:dyDescent="0.35">
      <c r="F1527" s="1">
        <f t="shared" si="259"/>
        <v>30.479999999999439</v>
      </c>
      <c r="G1527">
        <f>1/2*$B$8*$B$6*$B$7*(Tabelle2[[#This Row],[vx]]*Tabelle2[[#This Row],[vx]]+Tabelle2[[#This Row],[vy]]*Tabelle2[[#This Row],[vy]])/1000000</f>
        <v>14.357968440666953</v>
      </c>
      <c r="H1527">
        <f>IF($B$3,-Tabelle2[[#This Row],[Fd]]*Tabelle2[[#This Row],[vx]]/Tabelle2[[#This Row],[v]],0)</f>
        <v>-0.79919344795876346</v>
      </c>
      <c r="I1527">
        <f t="shared" si="253"/>
        <v>-0.53279563197250901</v>
      </c>
      <c r="J1527">
        <f t="shared" si="254"/>
        <v>-1.065591263945018E-2</v>
      </c>
      <c r="K1527">
        <f t="shared" si="255"/>
        <v>0.10018895055732471</v>
      </c>
      <c r="L1527">
        <f>-$B$5*$B$12-IF($B$3,Tabelle2[[#This Row],[Fd]]*Tabelle2[[#This Row],[vy]]/Tabelle2[[#This Row],[v]],0)</f>
        <v>-0.3792911728813344</v>
      </c>
      <c r="M1527">
        <f t="shared" si="256"/>
        <v>-0.25286078192088962</v>
      </c>
      <c r="N1527">
        <f t="shared" si="257"/>
        <v>-5.0572156384177929E-3</v>
      </c>
      <c r="O1527">
        <f t="shared" si="258"/>
        <v>-1.7991234088589279</v>
      </c>
      <c r="P1527" s="1">
        <f t="shared" si="260"/>
        <v>5.0147754841859609</v>
      </c>
      <c r="Q1527" s="1">
        <f t="shared" si="261"/>
        <v>-89.953641835127172</v>
      </c>
      <c r="R1527">
        <f>SQRT(Tabelle2[[#This Row],[vx]]*Tabelle2[[#This Row],[vx]]+Tabelle2[[#This Row],[vy]]*Tabelle2[[#This Row],[vy]])</f>
        <v>90.093316358979337</v>
      </c>
      <c r="S1527">
        <f t="shared" si="262"/>
        <v>775.05010957124364</v>
      </c>
      <c r="T1527" s="1">
        <f t="shared" si="263"/>
        <v>-1424.7925028197239</v>
      </c>
    </row>
    <row r="1528" spans="6:20" x14ac:dyDescent="0.35">
      <c r="F1528" s="1">
        <f t="shared" si="259"/>
        <v>30.499999999999439</v>
      </c>
      <c r="G1528">
        <f>1/2*$B$8*$B$6*$B$7*(Tabelle2[[#This Row],[vx]]*Tabelle2[[#This Row],[vx]]+Tabelle2[[#This Row],[vy]]*Tabelle2[[#This Row],[vy]])/1000000</f>
        <v>14.35938905040411</v>
      </c>
      <c r="H1528">
        <f>IF($B$3,-Tabelle2[[#This Row],[Fd]]*Tabelle2[[#This Row],[vx]]/Tabelle2[[#This Row],[v]],0)</f>
        <v>-0.79753469122912291</v>
      </c>
      <c r="I1528">
        <f t="shared" si="253"/>
        <v>-0.53168979415274864</v>
      </c>
      <c r="J1528">
        <f t="shared" si="254"/>
        <v>-1.0633795883054973E-2</v>
      </c>
      <c r="K1528">
        <f t="shared" si="255"/>
        <v>9.997605347209966E-2</v>
      </c>
      <c r="L1528">
        <f>-$B$5*$B$12-IF($B$3,Tabelle2[[#This Row],[Fd]]*Tabelle2[[#This Row],[vy]]/Tabelle2[[#This Row],[v]],0)</f>
        <v>-0.37777598985244687</v>
      </c>
      <c r="M1528">
        <f t="shared" si="256"/>
        <v>-0.25185065990163125</v>
      </c>
      <c r="N1528">
        <f t="shared" si="257"/>
        <v>-5.0370131980326249E-3</v>
      </c>
      <c r="O1528">
        <f t="shared" si="258"/>
        <v>-1.7992243511472921</v>
      </c>
      <c r="P1528" s="1">
        <f t="shared" si="260"/>
        <v>5.0041195715465108</v>
      </c>
      <c r="Q1528" s="1">
        <f t="shared" si="261"/>
        <v>-89.958699050765588</v>
      </c>
      <c r="R1528">
        <f>SQRT(Tabelle2[[#This Row],[vx]]*Tabelle2[[#This Row],[vx]]+Tabelle2[[#This Row],[vy]]*Tabelle2[[#This Row],[vy]])</f>
        <v>90.097773266560523</v>
      </c>
      <c r="S1528">
        <f t="shared" si="262"/>
        <v>775.15029852180101</v>
      </c>
      <c r="T1528" s="1">
        <f t="shared" si="263"/>
        <v>-1426.591626228583</v>
      </c>
    </row>
    <row r="1529" spans="6:20" x14ac:dyDescent="0.35">
      <c r="F1529" s="1">
        <f t="shared" si="259"/>
        <v>30.519999999999438</v>
      </c>
      <c r="G1529">
        <f>1/2*$B$8*$B$6*$B$7*(Tabelle2[[#This Row],[vx]]*Tabelle2[[#This Row],[vx]]+Tabelle2[[#This Row],[vy]]*Tabelle2[[#This Row],[vy]])/1000000</f>
        <v>14.360804113081958</v>
      </c>
      <c r="H1529">
        <f>IF($B$3,-Tabelle2[[#This Row],[Fd]]*Tabelle2[[#This Row],[vx]]/Tabelle2[[#This Row],[v]],0)</f>
        <v>-0.79587913586831394</v>
      </c>
      <c r="I1529">
        <f t="shared" si="253"/>
        <v>-0.53058609057887596</v>
      </c>
      <c r="J1529">
        <f t="shared" si="254"/>
        <v>-1.061172181157752E-2</v>
      </c>
      <c r="K1529">
        <f t="shared" si="255"/>
        <v>9.9763598295153355E-2</v>
      </c>
      <c r="L1529">
        <f>-$B$5*$B$12-IF($B$3,Tabelle2[[#This Row],[Fd]]*Tabelle2[[#This Row],[vy]]/Tabelle2[[#This Row],[v]],0)</f>
        <v>-0.37626675136882426</v>
      </c>
      <c r="M1529">
        <f t="shared" si="256"/>
        <v>-0.25084450091254951</v>
      </c>
      <c r="N1529">
        <f t="shared" si="257"/>
        <v>-5.0168900182509905E-3</v>
      </c>
      <c r="O1529">
        <f t="shared" si="258"/>
        <v>-1.799324890179455</v>
      </c>
      <c r="P1529" s="1">
        <f t="shared" si="260"/>
        <v>4.9934857756634559</v>
      </c>
      <c r="Q1529" s="1">
        <f t="shared" si="261"/>
        <v>-89.963736063963623</v>
      </c>
      <c r="R1529">
        <f>SQRT(Tabelle2[[#This Row],[vx]]*Tabelle2[[#This Row],[vx]]+Tabelle2[[#This Row],[vy]]*Tabelle2[[#This Row],[vy]])</f>
        <v>90.102212552069233</v>
      </c>
      <c r="S1529">
        <f t="shared" si="262"/>
        <v>775.25027457527312</v>
      </c>
      <c r="T1529" s="1">
        <f t="shared" si="263"/>
        <v>-1428.3908505797303</v>
      </c>
    </row>
    <row r="1530" spans="6:20" x14ac:dyDescent="0.35">
      <c r="F1530" s="1">
        <f t="shared" si="259"/>
        <v>30.539999999999438</v>
      </c>
      <c r="G1530">
        <f>1/2*$B$8*$B$6*$B$7*(Tabelle2[[#This Row],[vx]]*Tabelle2[[#This Row],[vx]]+Tabelle2[[#This Row],[vy]]*Tabelle2[[#This Row],[vy]])/1000000</f>
        <v>14.362213649600095</v>
      </c>
      <c r="H1530">
        <f>IF($B$3,-Tabelle2[[#This Row],[Fd]]*Tabelle2[[#This Row],[vx]]/Tabelle2[[#This Row],[v]],0)</f>
        <v>-0.79422677718902224</v>
      </c>
      <c r="I1530">
        <f t="shared" si="253"/>
        <v>-0.52948451812601482</v>
      </c>
      <c r="J1530">
        <f t="shared" si="254"/>
        <v>-1.0589690362520297E-2</v>
      </c>
      <c r="K1530">
        <f t="shared" si="255"/>
        <v>9.9551584173412366E-2</v>
      </c>
      <c r="L1530">
        <f>-$B$5*$B$12-IF($B$3,Tabelle2[[#This Row],[Fd]]*Tabelle2[[#This Row],[vy]]/Tabelle2[[#This Row],[v]],0)</f>
        <v>-0.37476343489567121</v>
      </c>
      <c r="M1530">
        <f t="shared" si="256"/>
        <v>-0.24984228993044746</v>
      </c>
      <c r="N1530">
        <f t="shared" si="257"/>
        <v>-4.9968457986089496E-3</v>
      </c>
      <c r="O1530">
        <f t="shared" si="258"/>
        <v>-1.7994250275376238</v>
      </c>
      <c r="P1530" s="1">
        <f t="shared" si="260"/>
        <v>4.9828740538518783</v>
      </c>
      <c r="Q1530" s="1">
        <f t="shared" si="261"/>
        <v>-89.968752953981877</v>
      </c>
      <c r="R1530">
        <f>SQRT(Tabelle2[[#This Row],[vx]]*Tabelle2[[#This Row],[vx]]+Tabelle2[[#This Row],[vy]]*Tabelle2[[#This Row],[vy]])</f>
        <v>90.106634283670658</v>
      </c>
      <c r="S1530">
        <f t="shared" si="262"/>
        <v>775.35003817356824</v>
      </c>
      <c r="T1530" s="1">
        <f t="shared" si="263"/>
        <v>-1430.1901754699097</v>
      </c>
    </row>
    <row r="1531" spans="6:20" x14ac:dyDescent="0.35">
      <c r="F1531" s="1">
        <f t="shared" si="259"/>
        <v>30.559999999999437</v>
      </c>
      <c r="G1531">
        <f>1/2*$B$8*$B$6*$B$7*(Tabelle2[[#This Row],[vx]]*Tabelle2[[#This Row],[vx]]+Tabelle2[[#This Row],[vy]]*Tabelle2[[#This Row],[vy]])/1000000</f>
        <v>14.363617680785097</v>
      </c>
      <c r="H1531">
        <f>IF($B$3,-Tabelle2[[#This Row],[Fd]]*Tabelle2[[#This Row],[vx]]/Tabelle2[[#This Row],[v]],0)</f>
        <v>-0.79257761050109832</v>
      </c>
      <c r="I1531">
        <f t="shared" si="253"/>
        <v>-0.52838507366739884</v>
      </c>
      <c r="J1531">
        <f t="shared" si="254"/>
        <v>-1.0567701473347978E-2</v>
      </c>
      <c r="K1531">
        <f t="shared" si="255"/>
        <v>9.9340010255053679E-2</v>
      </c>
      <c r="L1531">
        <f>-$B$5*$B$12-IF($B$3,Tabelle2[[#This Row],[Fd]]*Tabelle2[[#This Row],[vy]]/Tabelle2[[#This Row],[v]],0)</f>
        <v>-0.3732660179776488</v>
      </c>
      <c r="M1531">
        <f t="shared" si="256"/>
        <v>-0.2488440119850992</v>
      </c>
      <c r="N1531">
        <f t="shared" si="257"/>
        <v>-4.9768802397019843E-3</v>
      </c>
      <c r="O1531">
        <f t="shared" si="258"/>
        <v>-1.7995247647980068</v>
      </c>
      <c r="P1531" s="1">
        <f t="shared" si="260"/>
        <v>4.9722843634893579</v>
      </c>
      <c r="Q1531" s="1">
        <f t="shared" si="261"/>
        <v>-89.973749799780492</v>
      </c>
      <c r="R1531">
        <f>SQRT(Tabelle2[[#This Row],[vx]]*Tabelle2[[#This Row],[vx]]+Tabelle2[[#This Row],[vy]]*Tabelle2[[#This Row],[vy]])</f>
        <v>90.111038529277309</v>
      </c>
      <c r="S1531">
        <f t="shared" si="262"/>
        <v>775.44958975774171</v>
      </c>
      <c r="T1531" s="1">
        <f t="shared" si="263"/>
        <v>-1431.9896004974473</v>
      </c>
    </row>
    <row r="1532" spans="6:20" x14ac:dyDescent="0.35">
      <c r="F1532" s="1">
        <f t="shared" si="259"/>
        <v>30.579999999999437</v>
      </c>
      <c r="G1532">
        <f>1/2*$B$8*$B$6*$B$7*(Tabelle2[[#This Row],[vx]]*Tabelle2[[#This Row],[vx]]+Tabelle2[[#This Row],[vy]]*Tabelle2[[#This Row],[vy]])/1000000</f>
        <v>14.365016227390724</v>
      </c>
      <c r="H1532">
        <f>IF($B$3,-Tabelle2[[#This Row],[Fd]]*Tabelle2[[#This Row],[vx]]/Tabelle2[[#This Row],[v]],0)</f>
        <v>-0.79093163111163678</v>
      </c>
      <c r="I1532">
        <f t="shared" si="253"/>
        <v>-0.52728775407442452</v>
      </c>
      <c r="J1532">
        <f t="shared" si="254"/>
        <v>-1.054575508148849E-2</v>
      </c>
      <c r="K1532">
        <f t="shared" si="255"/>
        <v>9.9128875689505305E-2</v>
      </c>
      <c r="L1532">
        <f>-$B$5*$B$12-IF($B$3,Tabelle2[[#This Row],[Fd]]*Tabelle2[[#This Row],[vy]]/Tabelle2[[#This Row],[v]],0)</f>
        <v>-0.37177447823865784</v>
      </c>
      <c r="M1532">
        <f t="shared" si="256"/>
        <v>-0.24784965215910523</v>
      </c>
      <c r="N1532">
        <f t="shared" si="257"/>
        <v>-4.9569930431821044E-3</v>
      </c>
      <c r="O1532">
        <f t="shared" si="258"/>
        <v>-1.7996241035308356</v>
      </c>
      <c r="P1532" s="1">
        <f t="shared" si="260"/>
        <v>4.96171666201601</v>
      </c>
      <c r="Q1532" s="1">
        <f t="shared" si="261"/>
        <v>-89.978726680020188</v>
      </c>
      <c r="R1532">
        <f>SQRT(Tabelle2[[#This Row],[vx]]*Tabelle2[[#This Row],[vx]]+Tabelle2[[#This Row],[vy]]*Tabelle2[[#This Row],[vy]])</f>
        <v>90.115425356549835</v>
      </c>
      <c r="S1532">
        <f t="shared" si="262"/>
        <v>775.54892976799681</v>
      </c>
      <c r="T1532" s="1">
        <f t="shared" si="263"/>
        <v>-1433.7891252622453</v>
      </c>
    </row>
    <row r="1533" spans="6:20" x14ac:dyDescent="0.35">
      <c r="F1533" s="1">
        <f t="shared" si="259"/>
        <v>30.599999999999437</v>
      </c>
      <c r="G1533">
        <f>1/2*$B$8*$B$6*$B$7*(Tabelle2[[#This Row],[vx]]*Tabelle2[[#This Row],[vx]]+Tabelle2[[#This Row],[vy]]*Tabelle2[[#This Row],[vy]])/1000000</f>
        <v>14.366409310098152</v>
      </c>
      <c r="H1533">
        <f>IF($B$3,-Tabelle2[[#This Row],[Fd]]*Tabelle2[[#This Row],[vx]]/Tabelle2[[#This Row],[v]],0)</f>
        <v>-0.7892888343250567</v>
      </c>
      <c r="I1533">
        <f t="shared" si="253"/>
        <v>-0.52619255621670447</v>
      </c>
      <c r="J1533">
        <f t="shared" si="254"/>
        <v>-1.0523851124334089E-2</v>
      </c>
      <c r="K1533">
        <f t="shared" si="255"/>
        <v>9.8918179627447089E-2</v>
      </c>
      <c r="L1533">
        <f>-$B$5*$B$12-IF($B$3,Tabelle2[[#This Row],[Fd]]*Tabelle2[[#This Row],[vy]]/Tabelle2[[#This Row],[v]],0)</f>
        <v>-0.37028879338155996</v>
      </c>
      <c r="M1533">
        <f t="shared" si="256"/>
        <v>-0.24685919558770664</v>
      </c>
      <c r="N1533">
        <f t="shared" si="257"/>
        <v>-4.9371839117541326E-3</v>
      </c>
      <c r="O1533">
        <f t="shared" si="258"/>
        <v>-1.799723045300385</v>
      </c>
      <c r="P1533" s="1">
        <f t="shared" si="260"/>
        <v>4.9511709069345216</v>
      </c>
      <c r="Q1533" s="1">
        <f t="shared" si="261"/>
        <v>-89.983683673063368</v>
      </c>
      <c r="R1533">
        <f>SQRT(Tabelle2[[#This Row],[vx]]*Tabelle2[[#This Row],[vx]]+Tabelle2[[#This Row],[vy]]*Tabelle2[[#This Row],[vy]])</f>
        <v>90.119794832897867</v>
      </c>
      <c r="S1533">
        <f t="shared" si="262"/>
        <v>775.64805864368634</v>
      </c>
      <c r="T1533" s="1">
        <f t="shared" si="263"/>
        <v>-1435.588749365776</v>
      </c>
    </row>
    <row r="1534" spans="6:20" x14ac:dyDescent="0.35">
      <c r="F1534" s="1">
        <f t="shared" si="259"/>
        <v>30.619999999999436</v>
      </c>
      <c r="G1534">
        <f>1/2*$B$8*$B$6*$B$7*(Tabelle2[[#This Row],[vx]]*Tabelle2[[#This Row],[vx]]+Tabelle2[[#This Row],[vy]]*Tabelle2[[#This Row],[vy]])/1000000</f>
        <v>14.367796949516164</v>
      </c>
      <c r="H1534">
        <f>IF($B$3,-Tabelle2[[#This Row],[Fd]]*Tabelle2[[#This Row],[vx]]/Tabelle2[[#This Row],[v]],0)</f>
        <v>-0.78764921544317734</v>
      </c>
      <c r="I1534">
        <f t="shared" si="253"/>
        <v>-0.52509947696211823</v>
      </c>
      <c r="J1534">
        <f t="shared" si="254"/>
        <v>-1.0501989539242364E-2</v>
      </c>
      <c r="K1534">
        <f t="shared" si="255"/>
        <v>9.8707921220811332E-2</v>
      </c>
      <c r="L1534">
        <f>-$B$5*$B$12-IF($B$3,Tabelle2[[#This Row],[Fd]]*Tabelle2[[#This Row],[vy]]/Tabelle2[[#This Row],[v]],0)</f>
        <v>-0.36880894118798757</v>
      </c>
      <c r="M1534">
        <f t="shared" si="256"/>
        <v>-0.24587262745865837</v>
      </c>
      <c r="N1534">
        <f t="shared" si="257"/>
        <v>-4.9174525491731671E-3</v>
      </c>
      <c r="O1534">
        <f t="shared" si="258"/>
        <v>-1.799821591664994</v>
      </c>
      <c r="P1534" s="1">
        <f t="shared" si="260"/>
        <v>4.9406470558101878</v>
      </c>
      <c r="Q1534" s="1">
        <f t="shared" si="261"/>
        <v>-89.988620856975118</v>
      </c>
      <c r="R1534">
        <f>SQRT(Tabelle2[[#This Row],[vx]]*Tabelle2[[#This Row],[vx]]+Tabelle2[[#This Row],[vy]]*Tabelle2[[#This Row],[vy]])</f>
        <v>90.124147025480937</v>
      </c>
      <c r="S1534">
        <f t="shared" si="262"/>
        <v>775.74697682331384</v>
      </c>
      <c r="T1534" s="1">
        <f t="shared" si="263"/>
        <v>-1437.3884724110765</v>
      </c>
    </row>
    <row r="1535" spans="6:20" x14ac:dyDescent="0.35">
      <c r="F1535" s="1">
        <f t="shared" si="259"/>
        <v>30.639999999999436</v>
      </c>
      <c r="G1535">
        <f>1/2*$B$8*$B$6*$B$7*(Tabelle2[[#This Row],[vx]]*Tabelle2[[#This Row],[vx]]+Tabelle2[[#This Row],[vy]]*Tabelle2[[#This Row],[vy]])/1000000</f>
        <v>14.369179166181366</v>
      </c>
      <c r="H1535">
        <f>IF($B$3,-Tabelle2[[#This Row],[Fd]]*Tabelle2[[#This Row],[vx]]/Tabelle2[[#This Row],[v]],0)</f>
        <v>-0.78601276976529877</v>
      </c>
      <c r="I1535">
        <f t="shared" si="253"/>
        <v>-0.52400851317686581</v>
      </c>
      <c r="J1535">
        <f t="shared" si="254"/>
        <v>-1.0480170263537316E-2</v>
      </c>
      <c r="K1535">
        <f t="shared" si="255"/>
        <v>9.8498099622783539E-2</v>
      </c>
      <c r="L1535">
        <f>-$B$5*$B$12-IF($B$3,Tabelle2[[#This Row],[Fd]]*Tabelle2[[#This Row],[vy]]/Tabelle2[[#This Row],[v]],0)</f>
        <v>-0.36733489951809162</v>
      </c>
      <c r="M1535">
        <f t="shared" si="256"/>
        <v>-0.24488993301206108</v>
      </c>
      <c r="N1535">
        <f t="shared" si="257"/>
        <v>-4.897798660241222E-3</v>
      </c>
      <c r="O1535">
        <f t="shared" si="258"/>
        <v>-1.7999197441770884</v>
      </c>
      <c r="P1535" s="1">
        <f t="shared" si="260"/>
        <v>4.9301450662709456</v>
      </c>
      <c r="Q1535" s="1">
        <f t="shared" si="261"/>
        <v>-89.993538309524297</v>
      </c>
      <c r="R1535">
        <f>SQRT(Tabelle2[[#This Row],[vx]]*Tabelle2[[#This Row],[vx]]+Tabelle2[[#This Row],[vy]]*Tabelle2[[#This Row],[vy]])</f>
        <v>90.128482001209207</v>
      </c>
      <c r="S1535">
        <f t="shared" si="262"/>
        <v>775.84568474453465</v>
      </c>
      <c r="T1535" s="1">
        <f t="shared" si="263"/>
        <v>-1439.1882940027415</v>
      </c>
    </row>
    <row r="1536" spans="6:20" x14ac:dyDescent="0.35">
      <c r="F1536" s="1">
        <f t="shared" si="259"/>
        <v>30.659999999999435</v>
      </c>
      <c r="G1536">
        <f>1/2*$B$8*$B$6*$B$7*(Tabelle2[[#This Row],[vx]]*Tabelle2[[#This Row],[vx]]+Tabelle2[[#This Row],[vy]]*Tabelle2[[#This Row],[vy]])/1000000</f>
        <v>14.370555980558391</v>
      </c>
      <c r="H1536">
        <f>IF($B$3,-Tabelle2[[#This Row],[Fd]]*Tabelle2[[#This Row],[vx]]/Tabelle2[[#This Row],[v]],0)</f>
        <v>-0.78437949258827588</v>
      </c>
      <c r="I1536">
        <f t="shared" si="253"/>
        <v>-0.52291966172551729</v>
      </c>
      <c r="J1536">
        <f t="shared" si="254"/>
        <v>-1.0458393234510347E-2</v>
      </c>
      <c r="K1536">
        <f t="shared" si="255"/>
        <v>9.8288713987803061E-2</v>
      </c>
      <c r="L1536">
        <f>-$B$5*$B$12-IF($B$3,Tabelle2[[#This Row],[Fd]]*Tabelle2[[#This Row],[vy]]/Tabelle2[[#This Row],[v]],0)</f>
        <v>-0.36586664631032484</v>
      </c>
      <c r="M1536">
        <f t="shared" si="256"/>
        <v>-0.24391109754021656</v>
      </c>
      <c r="N1536">
        <f t="shared" si="257"/>
        <v>-4.8782219508043314E-3</v>
      </c>
      <c r="O1536">
        <f t="shared" si="258"/>
        <v>-1.8000175043831987</v>
      </c>
      <c r="P1536" s="1">
        <f t="shared" si="260"/>
        <v>4.9196648960074079</v>
      </c>
      <c r="Q1536" s="1">
        <f t="shared" si="261"/>
        <v>-89.998436108184535</v>
      </c>
      <c r="R1536">
        <f>SQRT(Tabelle2[[#This Row],[vx]]*Tabelle2[[#This Row],[vx]]+Tabelle2[[#This Row],[vy]]*Tabelle2[[#This Row],[vy]])</f>
        <v>90.132799826744431</v>
      </c>
      <c r="S1536">
        <f t="shared" si="262"/>
        <v>775.94418284415747</v>
      </c>
      <c r="T1536" s="1">
        <f t="shared" si="263"/>
        <v>-1440.9882137469185</v>
      </c>
    </row>
    <row r="1537" spans="6:20" x14ac:dyDescent="0.35">
      <c r="F1537" s="1">
        <f t="shared" si="259"/>
        <v>30.679999999999435</v>
      </c>
      <c r="G1537">
        <f>1/2*$B$8*$B$6*$B$7*(Tabelle2[[#This Row],[vx]]*Tabelle2[[#This Row],[vx]]+Tabelle2[[#This Row],[vy]]*Tabelle2[[#This Row],[vy]])/1000000</f>
        <v>14.371927413040122</v>
      </c>
      <c r="H1537">
        <f>IF($B$3,-Tabelle2[[#This Row],[Fd]]*Tabelle2[[#This Row],[vx]]/Tabelle2[[#This Row],[v]],0)</f>
        <v>-0.78274937920659793</v>
      </c>
      <c r="I1537">
        <f t="shared" si="253"/>
        <v>-0.52183291947106525</v>
      </c>
      <c r="J1537">
        <f t="shared" si="254"/>
        <v>-1.0436658389421306E-2</v>
      </c>
      <c r="K1537">
        <f t="shared" si="255"/>
        <v>9.8079763471563733E-2</v>
      </c>
      <c r="L1537">
        <f>-$B$5*$B$12-IF($B$3,Tabelle2[[#This Row],[Fd]]*Tabelle2[[#This Row],[vy]]/Tabelle2[[#This Row],[v]],0)</f>
        <v>-0.36440415958118422</v>
      </c>
      <c r="M1537">
        <f t="shared" si="256"/>
        <v>-0.24293610638745614</v>
      </c>
      <c r="N1537">
        <f t="shared" si="257"/>
        <v>-4.8587221277491231E-3</v>
      </c>
      <c r="O1537">
        <f t="shared" si="258"/>
        <v>-1.8001148738239843</v>
      </c>
      <c r="P1537" s="1">
        <f t="shared" si="260"/>
        <v>4.9092065027728973</v>
      </c>
      <c r="Q1537" s="1">
        <f t="shared" si="261"/>
        <v>-90.003314330135339</v>
      </c>
      <c r="R1537">
        <f>SQRT(Tabelle2[[#This Row],[vx]]*Tabelle2[[#This Row],[vx]]+Tabelle2[[#This Row],[vy]]*Tabelle2[[#This Row],[vy]])</f>
        <v>90.137100568500728</v>
      </c>
      <c r="S1537">
        <f t="shared" si="262"/>
        <v>776.04247155814528</v>
      </c>
      <c r="T1537" s="1">
        <f t="shared" si="263"/>
        <v>-1442.7882312513018</v>
      </c>
    </row>
    <row r="1538" spans="6:20" x14ac:dyDescent="0.35">
      <c r="F1538" s="1">
        <f t="shared" si="259"/>
        <v>30.699999999999434</v>
      </c>
      <c r="G1538">
        <f>1/2*$B$8*$B$6*$B$7*(Tabelle2[[#This Row],[vx]]*Tabelle2[[#This Row],[vx]]+Tabelle2[[#This Row],[vy]]*Tabelle2[[#This Row],[vy]])/1000000</f>
        <v>14.373293483947872</v>
      </c>
      <c r="H1538">
        <f>IF($B$3,-Tabelle2[[#This Row],[Fd]]*Tabelle2[[#This Row],[vx]]/Tabelle2[[#This Row],[v]],0)</f>
        <v>-0.78112242491246242</v>
      </c>
      <c r="I1538">
        <f t="shared" si="253"/>
        <v>-0.52074828327497491</v>
      </c>
      <c r="J1538">
        <f t="shared" si="254"/>
        <v>-1.0414965665499499E-2</v>
      </c>
      <c r="K1538">
        <f t="shared" si="255"/>
        <v>9.7871247231014508E-2</v>
      </c>
      <c r="L1538">
        <f>-$B$5*$B$12-IF($B$3,Tabelle2[[#This Row],[Fd]]*Tabelle2[[#This Row],[vy]]/Tabelle2[[#This Row],[v]],0)</f>
        <v>-0.36294741742501913</v>
      </c>
      <c r="M1538">
        <f t="shared" si="256"/>
        <v>-0.24196494495001275</v>
      </c>
      <c r="N1538">
        <f t="shared" si="257"/>
        <v>-4.839298899000255E-3</v>
      </c>
      <c r="O1538">
        <f t="shared" si="258"/>
        <v>-1.800211854034252</v>
      </c>
      <c r="P1538" s="1">
        <f t="shared" si="260"/>
        <v>4.8987698443834757</v>
      </c>
      <c r="Q1538" s="1">
        <f t="shared" si="261"/>
        <v>-90.008173052263089</v>
      </c>
      <c r="R1538">
        <f>SQRT(Tabelle2[[#This Row],[vx]]*Tabelle2[[#This Row],[vx]]+Tabelle2[[#This Row],[vy]]*Tabelle2[[#This Row],[vy]])</f>
        <v>90.141384292645412</v>
      </c>
      <c r="S1538">
        <f t="shared" si="262"/>
        <v>776.14055132161684</v>
      </c>
      <c r="T1538" s="1">
        <f t="shared" si="263"/>
        <v>-1444.5883461251258</v>
      </c>
    </row>
    <row r="1539" spans="6:20" x14ac:dyDescent="0.35">
      <c r="F1539" s="1">
        <f t="shared" si="259"/>
        <v>30.719999999999434</v>
      </c>
      <c r="G1539">
        <f>1/2*$B$8*$B$6*$B$7*(Tabelle2[[#This Row],[vx]]*Tabelle2[[#This Row],[vx]]+Tabelle2[[#This Row],[vy]]*Tabelle2[[#This Row],[vy]])/1000000</f>
        <v>14.374654213531633</v>
      </c>
      <c r="H1539">
        <f>IF($B$3,-Tabelle2[[#This Row],[Fd]]*Tabelle2[[#This Row],[vx]]/Tabelle2[[#This Row],[v]],0)</f>
        <v>-0.77949862499585254</v>
      </c>
      <c r="I1539">
        <f t="shared" ref="I1539:I1581" si="264">H1539/$B$5</f>
        <v>-0.51966574999723503</v>
      </c>
      <c r="J1539">
        <f t="shared" ref="J1539:J1581" si="265">I1539*$B$13</f>
        <v>-1.0393314999944701E-2</v>
      </c>
      <c r="K1539">
        <f t="shared" ref="K1539:K1581" si="266">$B$13*(P1539+J1539/2)</f>
        <v>9.7663164424360072E-2</v>
      </c>
      <c r="L1539">
        <f>-$B$5*$B$12-IF($B$3,Tabelle2[[#This Row],[Fd]]*Tabelle2[[#This Row],[vy]]/Tabelle2[[#This Row],[v]],0)</f>
        <v>-0.36149639801374711</v>
      </c>
      <c r="M1539">
        <f t="shared" ref="M1539:M1581" si="267">L1539/$B$5</f>
        <v>-0.2409975986758314</v>
      </c>
      <c r="N1539">
        <f t="shared" ref="N1539:N1581" si="268">M1539*$B$13</f>
        <v>-4.8199519735166278E-3</v>
      </c>
      <c r="O1539">
        <f t="shared" ref="O1539:O1581" si="269">$B$13*(Q1539+N1539/2)</f>
        <v>-1.8003084465429771</v>
      </c>
      <c r="P1539" s="1">
        <f t="shared" si="260"/>
        <v>4.8883548787179762</v>
      </c>
      <c r="Q1539" s="1">
        <f t="shared" si="261"/>
        <v>-90.013012351162089</v>
      </c>
      <c r="R1539">
        <f>SQRT(Tabelle2[[#This Row],[vx]]*Tabelle2[[#This Row],[vx]]+Tabelle2[[#This Row],[vy]]*Tabelle2[[#This Row],[vy]])</f>
        <v>90.145651065099884</v>
      </c>
      <c r="S1539">
        <f t="shared" si="262"/>
        <v>776.23842256884791</v>
      </c>
      <c r="T1539" s="1">
        <f t="shared" si="263"/>
        <v>-1446.3885579791599</v>
      </c>
    </row>
    <row r="1540" spans="6:20" x14ac:dyDescent="0.35">
      <c r="F1540" s="1">
        <f t="shared" ref="F1540:F1581" si="270">F1539+$B$13</f>
        <v>30.739999999999434</v>
      </c>
      <c r="G1540">
        <f>1/2*$B$8*$B$6*$B$7*(Tabelle2[[#This Row],[vx]]*Tabelle2[[#This Row],[vx]]+Tabelle2[[#This Row],[vy]]*Tabelle2[[#This Row],[vy]])/1000000</f>
        <v>14.376009621970246</v>
      </c>
      <c r="H1540">
        <f>IF($B$3,-Tabelle2[[#This Row],[Fd]]*Tabelle2[[#This Row],[vx]]/Tabelle2[[#This Row],[v]],0)</f>
        <v>-0.77787797474460951</v>
      </c>
      <c r="I1540">
        <f t="shared" si="264"/>
        <v>-0.51858531649640638</v>
      </c>
      <c r="J1540">
        <f t="shared" si="265"/>
        <v>-1.0371706329928128E-2</v>
      </c>
      <c r="K1540">
        <f t="shared" si="266"/>
        <v>9.7455514211061342E-2</v>
      </c>
      <c r="L1540">
        <f>-$B$5*$B$12-IF($B$3,Tabelle2[[#This Row],[Fd]]*Tabelle2[[#This Row],[vy]]/Tabelle2[[#This Row],[v]],0)</f>
        <v>-0.36005107959668514</v>
      </c>
      <c r="M1540">
        <f t="shared" si="267"/>
        <v>-0.24003405306445677</v>
      </c>
      <c r="N1540">
        <f t="shared" si="268"/>
        <v>-4.8006810612891354E-3</v>
      </c>
      <c r="O1540">
        <f t="shared" si="269"/>
        <v>-1.8004046528733251</v>
      </c>
      <c r="P1540" s="1">
        <f t="shared" ref="P1540:P1581" si="271">P1539+J1539</f>
        <v>4.8779615637180314</v>
      </c>
      <c r="Q1540" s="1">
        <f t="shared" ref="Q1540:Q1581" si="272">Q1539+N1539</f>
        <v>-90.017832303135606</v>
      </c>
      <c r="R1540">
        <f>SQRT(Tabelle2[[#This Row],[vx]]*Tabelle2[[#This Row],[vx]]+Tabelle2[[#This Row],[vy]]*Tabelle2[[#This Row],[vy]])</f>
        <v>90.149900951540459</v>
      </c>
      <c r="S1540">
        <f t="shared" ref="S1540:S1581" si="273">S1539+K1539</f>
        <v>776.33608573327228</v>
      </c>
      <c r="T1540" s="1">
        <f t="shared" ref="T1540:T1581" si="274">T1539+O1539</f>
        <v>-1448.1888664257028</v>
      </c>
    </row>
    <row r="1541" spans="6:20" x14ac:dyDescent="0.35">
      <c r="F1541" s="1">
        <f t="shared" si="270"/>
        <v>30.759999999999433</v>
      </c>
      <c r="G1541">
        <f>1/2*$B$8*$B$6*$B$7*(Tabelle2[[#This Row],[vx]]*Tabelle2[[#This Row],[vx]]+Tabelle2[[#This Row],[vy]]*Tabelle2[[#This Row],[vy]])/1000000</f>
        <v>14.377359729371632</v>
      </c>
      <c r="H1541">
        <f>IF($B$3,-Tabelle2[[#This Row],[Fd]]*Tabelle2[[#This Row],[vx]]/Tabelle2[[#This Row],[v]],0)</f>
        <v>-0.77626046944451021</v>
      </c>
      <c r="I1541">
        <f t="shared" si="264"/>
        <v>-0.51750697962967351</v>
      </c>
      <c r="J1541">
        <f t="shared" si="265"/>
        <v>-1.035013959259347E-2</v>
      </c>
      <c r="K1541">
        <f t="shared" si="266"/>
        <v>9.7248295751836134E-2</v>
      </c>
      <c r="L1541">
        <f>-$B$5*$B$12-IF($B$3,Tabelle2[[#This Row],[Fd]]*Tabelle2[[#This Row],[vy]]/Tabelle2[[#This Row],[v]],0)</f>
        <v>-0.35861144050026184</v>
      </c>
      <c r="M1541">
        <f t="shared" si="267"/>
        <v>-0.23907429366684121</v>
      </c>
      <c r="N1541">
        <f t="shared" si="268"/>
        <v>-4.7814858733368241E-3</v>
      </c>
      <c r="O1541">
        <f t="shared" si="269"/>
        <v>-1.8005004745426711</v>
      </c>
      <c r="P1541" s="1">
        <f t="shared" si="271"/>
        <v>4.8675898573881033</v>
      </c>
      <c r="Q1541" s="1">
        <f t="shared" si="272"/>
        <v>-90.022632984196889</v>
      </c>
      <c r="R1541">
        <f>SQRT(Tabelle2[[#This Row],[vx]]*Tabelle2[[#This Row],[vx]]+Tabelle2[[#This Row],[vy]]*Tabelle2[[#This Row],[vy]])</f>
        <v>90.154134017399116</v>
      </c>
      <c r="S1541">
        <f t="shared" si="273"/>
        <v>776.43354124748339</v>
      </c>
      <c r="T1541" s="1">
        <f t="shared" si="274"/>
        <v>-1449.9892710785762</v>
      </c>
    </row>
    <row r="1542" spans="6:20" x14ac:dyDescent="0.35">
      <c r="F1542" s="1">
        <f t="shared" si="270"/>
        <v>30.779999999999433</v>
      </c>
      <c r="G1542">
        <f>1/2*$B$8*$B$6*$B$7*(Tabelle2[[#This Row],[vx]]*Tabelle2[[#This Row],[vx]]+Tabelle2[[#This Row],[vy]]*Tabelle2[[#This Row],[vy]])/1000000</f>
        <v>14.378704555772996</v>
      </c>
      <c r="H1542">
        <f>IF($B$3,-Tabelle2[[#This Row],[Fd]]*Tabelle2[[#This Row],[vx]]/Tabelle2[[#This Row],[v]],0)</f>
        <v>-0.77464610437933834</v>
      </c>
      <c r="I1542">
        <f t="shared" si="264"/>
        <v>-0.51643073625289226</v>
      </c>
      <c r="J1542">
        <f t="shared" si="265"/>
        <v>-1.0328614725057845E-2</v>
      </c>
      <c r="K1542">
        <f t="shared" si="266"/>
        <v>9.704150820865963E-2</v>
      </c>
      <c r="L1542">
        <f>-$B$5*$B$12-IF($B$3,Tabelle2[[#This Row],[Fd]]*Tabelle2[[#This Row],[vy]]/Tabelle2[[#This Row],[v]],0)</f>
        <v>-0.35717745912782739</v>
      </c>
      <c r="M1542">
        <f t="shared" si="267"/>
        <v>-0.23811830608521825</v>
      </c>
      <c r="N1542">
        <f t="shared" si="268"/>
        <v>-4.762366121704365E-3</v>
      </c>
      <c r="O1542">
        <f t="shared" si="269"/>
        <v>-1.8005959130626215</v>
      </c>
      <c r="P1542" s="1">
        <f t="shared" si="271"/>
        <v>4.85723971779551</v>
      </c>
      <c r="Q1542" s="1">
        <f t="shared" si="272"/>
        <v>-90.027414470070227</v>
      </c>
      <c r="R1542">
        <f>SQRT(Tabelle2[[#This Row],[vx]]*Tabelle2[[#This Row],[vx]]+Tabelle2[[#This Row],[vy]]*Tabelle2[[#This Row],[vy]])</f>
        <v>90.158350327864468</v>
      </c>
      <c r="S1542">
        <f t="shared" si="273"/>
        <v>776.53078954323519</v>
      </c>
      <c r="T1542" s="1">
        <f t="shared" si="274"/>
        <v>-1451.7897715531187</v>
      </c>
    </row>
    <row r="1543" spans="6:20" x14ac:dyDescent="0.35">
      <c r="F1543" s="1">
        <f t="shared" si="270"/>
        <v>30.799999999999432</v>
      </c>
      <c r="G1543">
        <f>1/2*$B$8*$B$6*$B$7*(Tabelle2[[#This Row],[vx]]*Tabelle2[[#This Row],[vx]]+Tabelle2[[#This Row],[vy]]*Tabelle2[[#This Row],[vy]])/1000000</f>
        <v>14.380044121141029</v>
      </c>
      <c r="H1543">
        <f>IF($B$3,-Tabelle2[[#This Row],[Fd]]*Tabelle2[[#This Row],[vx]]/Tabelle2[[#This Row],[v]],0)</f>
        <v>-0.77303487483095912</v>
      </c>
      <c r="I1543">
        <f t="shared" si="264"/>
        <v>-0.51535658322063937</v>
      </c>
      <c r="J1543">
        <f t="shared" si="265"/>
        <v>-1.0307131664412788E-2</v>
      </c>
      <c r="K1543">
        <f t="shared" si="266"/>
        <v>9.6835150744764911E-2</v>
      </c>
      <c r="L1543">
        <f>-$B$5*$B$12-IF($B$3,Tabelle2[[#This Row],[Fd]]*Tabelle2[[#This Row],[vy]]/Tabelle2[[#This Row],[v]],0)</f>
        <v>-0.35574911395940134</v>
      </c>
      <c r="M1543">
        <f t="shared" si="267"/>
        <v>-0.23716607597293424</v>
      </c>
      <c r="N1543">
        <f t="shared" si="268"/>
        <v>-4.7433215194586853E-3</v>
      </c>
      <c r="O1543">
        <f t="shared" si="269"/>
        <v>-1.8006909699390334</v>
      </c>
      <c r="P1543" s="1">
        <f t="shared" si="271"/>
        <v>4.8469111030704521</v>
      </c>
      <c r="Q1543" s="1">
        <f t="shared" si="272"/>
        <v>-90.032176836191937</v>
      </c>
      <c r="R1543">
        <f>SQRT(Tabelle2[[#This Row],[vx]]*Tabelle2[[#This Row],[vx]]+Tabelle2[[#This Row],[vy]]*Tabelle2[[#This Row],[vy]])</f>
        <v>90.162549947882482</v>
      </c>
      <c r="S1543">
        <f t="shared" si="273"/>
        <v>776.62783105144388</v>
      </c>
      <c r="T1543" s="1">
        <f t="shared" si="274"/>
        <v>-1453.5903674661813</v>
      </c>
    </row>
    <row r="1544" spans="6:20" x14ac:dyDescent="0.35">
      <c r="F1544" s="1">
        <f t="shared" si="270"/>
        <v>30.819999999999432</v>
      </c>
      <c r="G1544">
        <f>1/2*$B$8*$B$6*$B$7*(Tabelle2[[#This Row],[vx]]*Tabelle2[[#This Row],[vx]]+Tabelle2[[#This Row],[vy]]*Tabelle2[[#This Row],[vy]])/1000000</f>
        <v>14.381378445372112</v>
      </c>
      <c r="H1544">
        <f>IF($B$3,-Tabelle2[[#This Row],[Fd]]*Tabelle2[[#This Row],[vx]]/Tabelle2[[#This Row],[v]],0)</f>
        <v>-0.77142677607939247</v>
      </c>
      <c r="I1544">
        <f t="shared" si="264"/>
        <v>-0.51428451738626169</v>
      </c>
      <c r="J1544">
        <f t="shared" si="265"/>
        <v>-1.0285690347725234E-2</v>
      </c>
      <c r="K1544">
        <f t="shared" si="266"/>
        <v>9.6629222524643538E-2</v>
      </c>
      <c r="L1544">
        <f>-$B$5*$B$12-IF($B$3,Tabelle2[[#This Row],[Fd]]*Tabelle2[[#This Row],[vy]]/Tabelle2[[#This Row],[v]],0)</f>
        <v>-0.35432638355145407</v>
      </c>
      <c r="M1544">
        <f t="shared" si="267"/>
        <v>-0.23621758903430271</v>
      </c>
      <c r="N1544">
        <f t="shared" si="268"/>
        <v>-4.7243517806860539E-3</v>
      </c>
      <c r="O1544">
        <f t="shared" si="269"/>
        <v>-1.8007856466720347</v>
      </c>
      <c r="P1544" s="1">
        <f t="shared" si="271"/>
        <v>4.8366039714060394</v>
      </c>
      <c r="Q1544" s="1">
        <f t="shared" si="272"/>
        <v>-90.036920157711393</v>
      </c>
      <c r="R1544">
        <f>SQRT(Tabelle2[[#This Row],[vx]]*Tabelle2[[#This Row],[vx]]+Tabelle2[[#This Row],[vy]]*Tabelle2[[#This Row],[vy]])</f>
        <v>90.16673294215731</v>
      </c>
      <c r="S1544">
        <f t="shared" si="273"/>
        <v>776.72466620218859</v>
      </c>
      <c r="T1544" s="1">
        <f t="shared" si="274"/>
        <v>-1455.3910584361204</v>
      </c>
    </row>
    <row r="1545" spans="6:20" x14ac:dyDescent="0.35">
      <c r="F1545" s="1">
        <f t="shared" si="270"/>
        <v>30.839999999999431</v>
      </c>
      <c r="G1545">
        <f>1/2*$B$8*$B$6*$B$7*(Tabelle2[[#This Row],[vx]]*Tabelle2[[#This Row],[vx]]+Tabelle2[[#This Row],[vy]]*Tabelle2[[#This Row],[vy]])/1000000</f>
        <v>14.382707548292533</v>
      </c>
      <c r="H1545">
        <f>IF($B$3,-Tabelle2[[#This Row],[Fd]]*Tabelle2[[#This Row],[vx]]/Tabelle2[[#This Row],[v]],0)</f>
        <v>-0.7698218034028842</v>
      </c>
      <c r="I1545">
        <f t="shared" si="264"/>
        <v>-0.51321453560192276</v>
      </c>
      <c r="J1545">
        <f t="shared" si="265"/>
        <v>-1.0264290712038455E-2</v>
      </c>
      <c r="K1545">
        <f t="shared" si="266"/>
        <v>9.6423722714045895E-2</v>
      </c>
      <c r="L1545">
        <f>-$B$5*$B$12-IF($B$3,Tabelle2[[#This Row],[Fd]]*Tabelle2[[#This Row],[vy]]/Tabelle2[[#This Row],[v]],0)</f>
        <v>-0.35290924653668121</v>
      </c>
      <c r="M1545">
        <f t="shared" si="267"/>
        <v>-0.23527283102445415</v>
      </c>
      <c r="N1545">
        <f t="shared" si="268"/>
        <v>-4.7054566204890831E-3</v>
      </c>
      <c r="O1545">
        <f t="shared" si="269"/>
        <v>-1.8008799447560464</v>
      </c>
      <c r="P1545" s="1">
        <f t="shared" si="271"/>
        <v>4.8263182810583141</v>
      </c>
      <c r="Q1545" s="1">
        <f t="shared" si="272"/>
        <v>-90.041644509492073</v>
      </c>
      <c r="R1545">
        <f>SQRT(Tabelle2[[#This Row],[vx]]*Tabelle2[[#This Row],[vx]]+Tabelle2[[#This Row],[vy]]*Tabelle2[[#This Row],[vy]])</f>
        <v>90.170899375152189</v>
      </c>
      <c r="S1545">
        <f t="shared" si="273"/>
        <v>776.82129542471318</v>
      </c>
      <c r="T1545" s="1">
        <f t="shared" si="274"/>
        <v>-1457.1918440827924</v>
      </c>
    </row>
    <row r="1546" spans="6:20" x14ac:dyDescent="0.35">
      <c r="F1546" s="1">
        <f t="shared" si="270"/>
        <v>30.859999999999431</v>
      </c>
      <c r="G1546">
        <f>1/2*$B$8*$B$6*$B$7*(Tabelle2[[#This Row],[vx]]*Tabelle2[[#This Row],[vx]]+Tabelle2[[#This Row],[vy]]*Tabelle2[[#This Row],[vy]])/1000000</f>
        <v>14.384031449658696</v>
      </c>
      <c r="H1546">
        <f>IF($B$3,-Tabelle2[[#This Row],[Fd]]*Tabelle2[[#This Row],[vx]]/Tabelle2[[#This Row],[v]],0)</f>
        <v>-0.76821995207797866</v>
      </c>
      <c r="I1546">
        <f t="shared" si="264"/>
        <v>-0.5121466347186524</v>
      </c>
      <c r="J1546">
        <f t="shared" si="265"/>
        <v>-1.0242932694373048E-2</v>
      </c>
      <c r="K1546">
        <f t="shared" si="266"/>
        <v>9.6218650479981779E-2</v>
      </c>
      <c r="L1546">
        <f>-$B$5*$B$12-IF($B$3,Tabelle2[[#This Row],[Fd]]*Tabelle2[[#This Row],[vy]]/Tabelle2[[#This Row],[v]],0)</f>
        <v>-0.35149768162375494</v>
      </c>
      <c r="M1546">
        <f t="shared" si="267"/>
        <v>-0.23433178774916996</v>
      </c>
      <c r="N1546">
        <f t="shared" si="268"/>
        <v>-4.6866357549833993E-3</v>
      </c>
      <c r="O1546">
        <f t="shared" si="269"/>
        <v>-1.8009738656798009</v>
      </c>
      <c r="P1546" s="1">
        <f t="shared" si="271"/>
        <v>4.8160539903462753</v>
      </c>
      <c r="Q1546" s="1">
        <f t="shared" si="272"/>
        <v>-90.046349966112558</v>
      </c>
      <c r="R1546">
        <f>SQRT(Tabelle2[[#This Row],[vx]]*Tabelle2[[#This Row],[vx]]+Tabelle2[[#This Row],[vy]]*Tabelle2[[#This Row],[vy]])</f>
        <v>90.175049311090206</v>
      </c>
      <c r="S1546">
        <f t="shared" si="273"/>
        <v>776.91771914742719</v>
      </c>
      <c r="T1546" s="1">
        <f t="shared" si="274"/>
        <v>-1458.9927240275483</v>
      </c>
    </row>
    <row r="1547" spans="6:20" x14ac:dyDescent="0.35">
      <c r="F1547" s="1">
        <f t="shared" si="270"/>
        <v>30.879999999999431</v>
      </c>
      <c r="G1547">
        <f>1/2*$B$8*$B$6*$B$7*(Tabelle2[[#This Row],[vx]]*Tabelle2[[#This Row],[vx]]+Tabelle2[[#This Row],[vy]]*Tabelle2[[#This Row],[vy]])/1000000</f>
        <v>14.385350169157311</v>
      </c>
      <c r="H1547">
        <f>IF($B$3,-Tabelle2[[#This Row],[Fd]]*Tabelle2[[#This Row],[vx]]/Tabelle2[[#This Row],[v]],0)</f>
        <v>-0.76662121737958999</v>
      </c>
      <c r="I1547">
        <f t="shared" si="264"/>
        <v>-0.51108081158639329</v>
      </c>
      <c r="J1547">
        <f t="shared" si="265"/>
        <v>-1.0221616231727865E-2</v>
      </c>
      <c r="K1547">
        <f t="shared" si="266"/>
        <v>9.6014004990720769E-2</v>
      </c>
      <c r="L1547">
        <f>-$B$5*$B$12-IF($B$3,Tabelle2[[#This Row],[Fd]]*Tabelle2[[#This Row],[vy]]/Tabelle2[[#This Row],[v]],0)</f>
        <v>-0.35009166759711796</v>
      </c>
      <c r="M1547">
        <f t="shared" si="267"/>
        <v>-0.2333944450647453</v>
      </c>
      <c r="N1547">
        <f t="shared" si="268"/>
        <v>-4.6678889012949061E-3</v>
      </c>
      <c r="O1547">
        <f t="shared" si="269"/>
        <v>-1.8010674109263636</v>
      </c>
      <c r="P1547" s="1">
        <f t="shared" si="271"/>
        <v>4.8058110576519022</v>
      </c>
      <c r="Q1547" s="1">
        <f t="shared" si="272"/>
        <v>-90.051036601867537</v>
      </c>
      <c r="R1547">
        <f>SQRT(Tabelle2[[#This Row],[vx]]*Tabelle2[[#This Row],[vx]]+Tabelle2[[#This Row],[vy]]*Tabelle2[[#This Row],[vy]])</f>
        <v>90.179182813955109</v>
      </c>
      <c r="S1547">
        <f t="shared" si="273"/>
        <v>777.01393779790715</v>
      </c>
      <c r="T1547" s="1">
        <f t="shared" si="274"/>
        <v>-1460.7936978932282</v>
      </c>
    </row>
    <row r="1548" spans="6:20" x14ac:dyDescent="0.35">
      <c r="F1548" s="1">
        <f t="shared" si="270"/>
        <v>30.89999999999943</v>
      </c>
      <c r="G1548">
        <f>1/2*$B$8*$B$6*$B$7*(Tabelle2[[#This Row],[vx]]*Tabelle2[[#This Row],[vx]]+Tabelle2[[#This Row],[vy]]*Tabelle2[[#This Row],[vy]])/1000000</f>
        <v>14.386663726405615</v>
      </c>
      <c r="H1548">
        <f>IF($B$3,-Tabelle2[[#This Row],[Fd]]*Tabelle2[[#This Row],[vx]]/Tabelle2[[#This Row],[v]],0)</f>
        <v>-0.76502559458107233</v>
      </c>
      <c r="I1548">
        <f t="shared" si="264"/>
        <v>-0.51001706305404826</v>
      </c>
      <c r="J1548">
        <f t="shared" si="265"/>
        <v>-1.0200341261080966E-2</v>
      </c>
      <c r="K1548">
        <f t="shared" si="266"/>
        <v>9.5809785415792686E-2</v>
      </c>
      <c r="L1548">
        <f>-$B$5*$B$12-IF($B$3,Tabelle2[[#This Row],[Fd]]*Tabelle2[[#This Row],[vy]]/Tabelle2[[#This Row],[v]],0)</f>
        <v>-0.34869118331674542</v>
      </c>
      <c r="M1548">
        <f t="shared" si="267"/>
        <v>-0.23246078887783028</v>
      </c>
      <c r="N1548">
        <f t="shared" si="268"/>
        <v>-4.6492157775566059E-3</v>
      </c>
      <c r="O1548">
        <f t="shared" si="269"/>
        <v>-1.8011605819731522</v>
      </c>
      <c r="P1548" s="1">
        <f t="shared" si="271"/>
        <v>4.7955894414201747</v>
      </c>
      <c r="Q1548" s="1">
        <f t="shared" si="272"/>
        <v>-90.055704490768832</v>
      </c>
      <c r="R1548">
        <f>SQRT(Tabelle2[[#This Row],[vx]]*Tabelle2[[#This Row],[vx]]+Tabelle2[[#This Row],[vy]]*Tabelle2[[#This Row],[vy]])</f>
        <v>90.183299947492173</v>
      </c>
      <c r="S1548">
        <f t="shared" si="273"/>
        <v>777.10995180289785</v>
      </c>
      <c r="T1548" s="1">
        <f t="shared" si="274"/>
        <v>-1462.5947653041546</v>
      </c>
    </row>
    <row r="1549" spans="6:20" x14ac:dyDescent="0.35">
      <c r="F1549" s="1">
        <f t="shared" si="270"/>
        <v>30.91999999999943</v>
      </c>
      <c r="G1549">
        <f>1/2*$B$8*$B$6*$B$7*(Tabelle2[[#This Row],[vx]]*Tabelle2[[#This Row],[vx]]+Tabelle2[[#This Row],[vy]]*Tabelle2[[#This Row],[vy]])/1000000</f>
        <v>14.387972140951572</v>
      </c>
      <c r="H1549">
        <f>IF($B$3,-Tabelle2[[#This Row],[Fd]]*Tabelle2[[#This Row],[vx]]/Tabelle2[[#This Row],[v]],0)</f>
        <v>-0.76343307895429036</v>
      </c>
      <c r="I1549">
        <f t="shared" si="264"/>
        <v>-0.50895538596952694</v>
      </c>
      <c r="J1549">
        <f t="shared" si="265"/>
        <v>-1.0179107719390538E-2</v>
      </c>
      <c r="K1549">
        <f t="shared" si="266"/>
        <v>9.5605990925987983E-2</v>
      </c>
      <c r="L1549">
        <f>-$B$5*$B$12-IF($B$3,Tabelle2[[#This Row],[Fd]]*Tabelle2[[#This Row],[vy]]/Tabelle2[[#This Row],[v]],0)</f>
        <v>-0.34729620771791581</v>
      </c>
      <c r="M1549">
        <f t="shared" si="267"/>
        <v>-0.23153080514527721</v>
      </c>
      <c r="N1549">
        <f t="shared" si="268"/>
        <v>-4.6306161029055441E-3</v>
      </c>
      <c r="O1549">
        <f t="shared" si="269"/>
        <v>-1.801253380291957</v>
      </c>
      <c r="P1549" s="1">
        <f t="shared" si="271"/>
        <v>4.7853891001590938</v>
      </c>
      <c r="Q1549" s="1">
        <f t="shared" si="272"/>
        <v>-90.060353706546394</v>
      </c>
      <c r="R1549">
        <f>SQRT(Tabelle2[[#This Row],[vx]]*Tabelle2[[#This Row],[vx]]+Tabelle2[[#This Row],[vy]]*Tabelle2[[#This Row],[vy]])</f>
        <v>90.187400775208985</v>
      </c>
      <c r="S1549">
        <f t="shared" si="273"/>
        <v>777.20576158831364</v>
      </c>
      <c r="T1549" s="1">
        <f t="shared" si="274"/>
        <v>-1464.3959258861278</v>
      </c>
    </row>
    <row r="1550" spans="6:20" x14ac:dyDescent="0.35">
      <c r="F1550" s="1">
        <f t="shared" si="270"/>
        <v>30.939999999999429</v>
      </c>
      <c r="G1550">
        <f>1/2*$B$8*$B$6*$B$7*(Tabelle2[[#This Row],[vx]]*Tabelle2[[#This Row],[vx]]+Tabelle2[[#This Row],[vy]]*Tabelle2[[#This Row],[vy]])/1000000</f>
        <v>14.389275432274072</v>
      </c>
      <c r="H1550">
        <f>IF($B$3,-Tabelle2[[#This Row],[Fd]]*Tabelle2[[#This Row],[vx]]/Tabelle2[[#This Row],[v]],0)</f>
        <v>-0.76184366576968932</v>
      </c>
      <c r="I1550">
        <f t="shared" si="264"/>
        <v>-0.50789577717979284</v>
      </c>
      <c r="J1550">
        <f t="shared" si="265"/>
        <v>-1.0157915543595858E-2</v>
      </c>
      <c r="K1550">
        <f t="shared" si="266"/>
        <v>9.5402620693358101E-2</v>
      </c>
      <c r="L1550">
        <f>-$B$5*$B$12-IF($B$3,Tabelle2[[#This Row],[Fd]]*Tabelle2[[#This Row],[vy]]/Tabelle2[[#This Row],[v]],0)</f>
        <v>-0.34590671981099597</v>
      </c>
      <c r="M1550">
        <f t="shared" si="267"/>
        <v>-0.23060447987399732</v>
      </c>
      <c r="N1550">
        <f t="shared" si="268"/>
        <v>-4.6120895974799464E-3</v>
      </c>
      <c r="O1550">
        <f t="shared" si="269"/>
        <v>-1.8013458073489608</v>
      </c>
      <c r="P1550" s="1">
        <f t="shared" si="271"/>
        <v>4.7752099924397031</v>
      </c>
      <c r="Q1550" s="1">
        <f t="shared" si="272"/>
        <v>-90.064984322649295</v>
      </c>
      <c r="R1550">
        <f>SQRT(Tabelle2[[#This Row],[vx]]*Tabelle2[[#This Row],[vx]]+Tabelle2[[#This Row],[vy]]*Tabelle2[[#This Row],[vy]])</f>
        <v>90.19148536037622</v>
      </c>
      <c r="S1550">
        <f t="shared" si="273"/>
        <v>777.30136757923958</v>
      </c>
      <c r="T1550" s="1">
        <f t="shared" si="274"/>
        <v>-1466.1971792664197</v>
      </c>
    </row>
    <row r="1551" spans="6:20" x14ac:dyDescent="0.35">
      <c r="F1551" s="1">
        <f t="shared" si="270"/>
        <v>30.959999999999429</v>
      </c>
      <c r="G1551">
        <f>1/2*$B$8*$B$6*$B$7*(Tabelle2[[#This Row],[vx]]*Tabelle2[[#This Row],[vx]]+Tabelle2[[#This Row],[vy]]*Tabelle2[[#This Row],[vy]])/1000000</f>
        <v>14.390573619783156</v>
      </c>
      <c r="H1551">
        <f>IF($B$3,-Tabelle2[[#This Row],[Fd]]*Tabelle2[[#This Row],[vx]]/Tabelle2[[#This Row],[v]],0)</f>
        <v>-0.76025735029636343</v>
      </c>
      <c r="I1551">
        <f t="shared" si="264"/>
        <v>-0.50683823353090895</v>
      </c>
      <c r="J1551">
        <f t="shared" si="265"/>
        <v>-1.0136764670618179E-2</v>
      </c>
      <c r="K1551">
        <f t="shared" si="266"/>
        <v>9.5199673891215975E-2</v>
      </c>
      <c r="L1551">
        <f>-$B$5*$B$12-IF($B$3,Tabelle2[[#This Row],[Fd]]*Tabelle2[[#This Row],[vy]]/Tabelle2[[#This Row],[v]],0)</f>
        <v>-0.34452269868118712</v>
      </c>
      <c r="M1551">
        <f t="shared" si="267"/>
        <v>-0.22968179912079142</v>
      </c>
      <c r="N1551">
        <f t="shared" si="268"/>
        <v>-4.5936359824158288E-3</v>
      </c>
      <c r="O1551">
        <f t="shared" si="269"/>
        <v>-1.8014378646047597</v>
      </c>
      <c r="P1551" s="1">
        <f t="shared" si="271"/>
        <v>4.7650520768961071</v>
      </c>
      <c r="Q1551" s="1">
        <f t="shared" si="272"/>
        <v>-90.069596412246781</v>
      </c>
      <c r="R1551">
        <f>SQRT(Tabelle2[[#This Row],[vx]]*Tabelle2[[#This Row],[vx]]+Tabelle2[[#This Row],[vy]]*Tabelle2[[#This Row],[vy]])</f>
        <v>90.195553766028567</v>
      </c>
      <c r="S1551">
        <f t="shared" si="273"/>
        <v>777.39677019993292</v>
      </c>
      <c r="T1551" s="1">
        <f t="shared" si="274"/>
        <v>-1467.9985250737686</v>
      </c>
    </row>
    <row r="1552" spans="6:20" x14ac:dyDescent="0.35">
      <c r="F1552" s="1">
        <f t="shared" si="270"/>
        <v>30.979999999999428</v>
      </c>
      <c r="G1552">
        <f>1/2*$B$8*$B$6*$B$7*(Tabelle2[[#This Row],[vx]]*Tabelle2[[#This Row],[vx]]+Tabelle2[[#This Row],[vy]]*Tabelle2[[#This Row],[vy]])/1000000</f>
        <v>14.391866722820197</v>
      </c>
      <c r="H1552">
        <f>IF($B$3,-Tabelle2[[#This Row],[Fd]]*Tabelle2[[#This Row],[vx]]/Tabelle2[[#This Row],[v]],0)</f>
        <v>-0.75867412780212595</v>
      </c>
      <c r="I1552">
        <f t="shared" si="264"/>
        <v>-0.50578275186808397</v>
      </c>
      <c r="J1552">
        <f t="shared" si="265"/>
        <v>-1.0115655037361679E-2</v>
      </c>
      <c r="K1552">
        <f t="shared" si="266"/>
        <v>9.4997149694136154E-2</v>
      </c>
      <c r="L1552">
        <f>-$B$5*$B$12-IF($B$3,Tabelle2[[#This Row],[Fd]]*Tabelle2[[#This Row],[vy]]/Tabelle2[[#This Row],[v]],0)</f>
        <v>-0.34314412348832946</v>
      </c>
      <c r="M1552">
        <f t="shared" si="267"/>
        <v>-0.22876274899221963</v>
      </c>
      <c r="N1552">
        <f t="shared" si="268"/>
        <v>-4.5752549798443931E-3</v>
      </c>
      <c r="O1552">
        <f t="shared" si="269"/>
        <v>-1.8015295535143825</v>
      </c>
      <c r="P1552" s="1">
        <f t="shared" si="271"/>
        <v>4.7549153122254886</v>
      </c>
      <c r="Q1552" s="1">
        <f t="shared" si="272"/>
        <v>-90.074190048229198</v>
      </c>
      <c r="R1552">
        <f>SQRT(Tabelle2[[#This Row],[vx]]*Tabelle2[[#This Row],[vx]]+Tabelle2[[#This Row],[vy]]*Tabelle2[[#This Row],[vy]])</f>
        <v>90.199606054965386</v>
      </c>
      <c r="S1552">
        <f t="shared" si="273"/>
        <v>777.49196987382413</v>
      </c>
      <c r="T1552" s="1">
        <f t="shared" si="274"/>
        <v>-1469.7999629383735</v>
      </c>
    </row>
    <row r="1553" spans="6:20" x14ac:dyDescent="0.35">
      <c r="F1553" s="1">
        <f t="shared" si="270"/>
        <v>30.999999999999428</v>
      </c>
      <c r="G1553">
        <f>1/2*$B$8*$B$6*$B$7*(Tabelle2[[#This Row],[vx]]*Tabelle2[[#This Row],[vx]]+Tabelle2[[#This Row],[vy]]*Tabelle2[[#This Row],[vy]])/1000000</f>
        <v>14.393154760658124</v>
      </c>
      <c r="H1553">
        <f>IF($B$3,-Tabelle2[[#This Row],[Fd]]*Tabelle2[[#This Row],[vx]]/Tabelle2[[#This Row],[v]],0)</f>
        <v>-0.75709399355357621</v>
      </c>
      <c r="I1553">
        <f t="shared" si="264"/>
        <v>-0.50472932903571743</v>
      </c>
      <c r="J1553">
        <f t="shared" si="265"/>
        <v>-1.0094586580714349E-2</v>
      </c>
      <c r="K1553">
        <f t="shared" si="266"/>
        <v>9.4795047277955388E-2</v>
      </c>
      <c r="L1553">
        <f>-$B$5*$B$12-IF($B$3,Tabelle2[[#This Row],[Fd]]*Tabelle2[[#This Row],[vy]]/Tabelle2[[#This Row],[v]],0)</f>
        <v>-0.34177097346665342</v>
      </c>
      <c r="M1553">
        <f t="shared" si="267"/>
        <v>-0.22784731564443561</v>
      </c>
      <c r="N1553">
        <f t="shared" si="268"/>
        <v>-4.5569463128887124E-3</v>
      </c>
      <c r="O1553">
        <f t="shared" si="269"/>
        <v>-1.8016208755273098</v>
      </c>
      <c r="P1553" s="1">
        <f t="shared" si="271"/>
        <v>4.7447996571881266</v>
      </c>
      <c r="Q1553" s="1">
        <f t="shared" si="272"/>
        <v>-90.078765303209039</v>
      </c>
      <c r="R1553">
        <f>SQRT(Tabelle2[[#This Row],[vx]]*Tabelle2[[#This Row],[vx]]+Tabelle2[[#This Row],[vy]]*Tabelle2[[#This Row],[vy]])</f>
        <v>90.203642289751627</v>
      </c>
      <c r="S1553">
        <f t="shared" si="273"/>
        <v>777.58696702351824</v>
      </c>
      <c r="T1553" s="1">
        <f t="shared" si="274"/>
        <v>-1471.6014924918879</v>
      </c>
    </row>
    <row r="1554" spans="6:20" x14ac:dyDescent="0.35">
      <c r="F1554" s="1">
        <f t="shared" si="270"/>
        <v>31.019999999999428</v>
      </c>
      <c r="G1554">
        <f>1/2*$B$8*$B$6*$B$7*(Tabelle2[[#This Row],[vx]]*Tabelle2[[#This Row],[vx]]+Tabelle2[[#This Row],[vy]]*Tabelle2[[#This Row],[vy]])/1000000</f>
        <v>14.394437752501613</v>
      </c>
      <c r="H1554">
        <f>IF($B$3,-Tabelle2[[#This Row],[Fd]]*Tabelle2[[#This Row],[vx]]/Tabelle2[[#This Row],[v]],0)</f>
        <v>-0.75551694281616788</v>
      </c>
      <c r="I1554">
        <f t="shared" si="264"/>
        <v>-0.50367796187744529</v>
      </c>
      <c r="J1554">
        <f t="shared" si="265"/>
        <v>-1.0073559237548905E-2</v>
      </c>
      <c r="K1554">
        <f t="shared" si="266"/>
        <v>9.4593365819772762E-2</v>
      </c>
      <c r="L1554">
        <f>-$B$5*$B$12-IF($B$3,Tabelle2[[#This Row],[Fd]]*Tabelle2[[#This Row],[vy]]/Tabelle2[[#This Row],[v]],0)</f>
        <v>-0.34040322792456834</v>
      </c>
      <c r="M1554">
        <f t="shared" si="267"/>
        <v>-0.22693548528304555</v>
      </c>
      <c r="N1554">
        <f t="shared" si="268"/>
        <v>-4.5387097056609109E-3</v>
      </c>
      <c r="O1554">
        <f t="shared" si="269"/>
        <v>-1.8017118320874952</v>
      </c>
      <c r="P1554" s="1">
        <f t="shared" si="271"/>
        <v>4.7347050706074123</v>
      </c>
      <c r="Q1554" s="1">
        <f t="shared" si="272"/>
        <v>-90.083322249521927</v>
      </c>
      <c r="R1554">
        <f>SQRT(Tabelle2[[#This Row],[vx]]*Tabelle2[[#This Row],[vx]]+Tabelle2[[#This Row],[vy]]*Tabelle2[[#This Row],[vy]])</f>
        <v>90.207662532718629</v>
      </c>
      <c r="S1554">
        <f t="shared" si="273"/>
        <v>777.68176207079625</v>
      </c>
      <c r="T1554" s="1">
        <f t="shared" si="274"/>
        <v>-1473.4031133674152</v>
      </c>
    </row>
    <row r="1555" spans="6:20" x14ac:dyDescent="0.35">
      <c r="F1555" s="1">
        <f t="shared" si="270"/>
        <v>31.039999999999427</v>
      </c>
      <c r="G1555">
        <f>1/2*$B$8*$B$6*$B$7*(Tabelle2[[#This Row],[vx]]*Tabelle2[[#This Row],[vx]]+Tabelle2[[#This Row],[vy]]*Tabelle2[[#This Row],[vy]])/1000000</f>
        <v>14.395715717487297</v>
      </c>
      <c r="H1555">
        <f>IF($B$3,-Tabelle2[[#This Row],[Fd]]*Tabelle2[[#This Row],[vx]]/Tabelle2[[#This Row],[v]],0)</f>
        <v>-0.75394297085427575</v>
      </c>
      <c r="I1555">
        <f t="shared" si="264"/>
        <v>-0.50262864723618383</v>
      </c>
      <c r="J1555">
        <f t="shared" si="265"/>
        <v>-1.0052572944723677E-2</v>
      </c>
      <c r="K1555">
        <f t="shared" si="266"/>
        <v>9.4392104497950019E-2</v>
      </c>
      <c r="L1555">
        <f>-$B$5*$B$12-IF($B$3,Tabelle2[[#This Row],[Fd]]*Tabelle2[[#This Row],[vy]]/Tabelle2[[#This Row],[v]],0)</f>
        <v>-0.33904086624442975</v>
      </c>
      <c r="M1555">
        <f t="shared" si="267"/>
        <v>-0.22602724416295317</v>
      </c>
      <c r="N1555">
        <f t="shared" si="268"/>
        <v>-4.5205448832590636E-3</v>
      </c>
      <c r="O1555">
        <f t="shared" si="269"/>
        <v>-1.8018024246333844</v>
      </c>
      <c r="P1555" s="1">
        <f t="shared" si="271"/>
        <v>4.7246315113698634</v>
      </c>
      <c r="Q1555" s="1">
        <f t="shared" si="272"/>
        <v>-90.087860959227584</v>
      </c>
      <c r="R1555">
        <f>SQRT(Tabelle2[[#This Row],[vx]]*Tabelle2[[#This Row],[vx]]+Tabelle2[[#This Row],[vy]]*Tabelle2[[#This Row],[vy]])</f>
        <v>90.211666845964842</v>
      </c>
      <c r="S1555">
        <f t="shared" si="273"/>
        <v>777.77635543661597</v>
      </c>
      <c r="T1555" s="1">
        <f t="shared" si="274"/>
        <v>-1475.2048251995027</v>
      </c>
    </row>
    <row r="1556" spans="6:20" x14ac:dyDescent="0.35">
      <c r="F1556" s="1">
        <f t="shared" si="270"/>
        <v>31.059999999999427</v>
      </c>
      <c r="G1556">
        <f>1/2*$B$8*$B$6*$B$7*(Tabelle2[[#This Row],[vx]]*Tabelle2[[#This Row],[vx]]+Tabelle2[[#This Row],[vy]]*Tabelle2[[#This Row],[vy]])/1000000</f>
        <v>14.396988674683977</v>
      </c>
      <c r="H1556">
        <f>IF($B$3,-Tabelle2[[#This Row],[Fd]]*Tabelle2[[#This Row],[vx]]/Tabelle2[[#This Row],[v]],0)</f>
        <v>-0.75237207293126351</v>
      </c>
      <c r="I1556">
        <f t="shared" si="264"/>
        <v>-0.50158138195417568</v>
      </c>
      <c r="J1556">
        <f t="shared" si="265"/>
        <v>-1.0031627639083513E-2</v>
      </c>
      <c r="K1556">
        <f t="shared" si="266"/>
        <v>9.419126249211196E-2</v>
      </c>
      <c r="L1556">
        <f>-$B$5*$B$12-IF($B$3,Tabelle2[[#This Row],[Fd]]*Tabelle2[[#This Row],[vy]]/Tabelle2[[#This Row],[v]],0)</f>
        <v>-0.33768386788230131</v>
      </c>
      <c r="M1556">
        <f t="shared" si="267"/>
        <v>-0.22512257858820087</v>
      </c>
      <c r="N1556">
        <f t="shared" si="268"/>
        <v>-4.5024515717640174E-3</v>
      </c>
      <c r="O1556">
        <f t="shared" si="269"/>
        <v>-1.8018926545979346</v>
      </c>
      <c r="P1556" s="1">
        <f t="shared" si="271"/>
        <v>4.7145789384251398</v>
      </c>
      <c r="Q1556" s="1">
        <f t="shared" si="272"/>
        <v>-90.092381504110847</v>
      </c>
      <c r="R1556">
        <f>SQRT(Tabelle2[[#This Row],[vx]]*Tabelle2[[#This Row],[vx]]+Tabelle2[[#This Row],[vy]]*Tabelle2[[#This Row],[vy]])</f>
        <v>90.215655291356697</v>
      </c>
      <c r="S1556">
        <f t="shared" si="273"/>
        <v>777.87074754111393</v>
      </c>
      <c r="T1556" s="1">
        <f t="shared" si="274"/>
        <v>-1477.0066276241362</v>
      </c>
    </row>
    <row r="1557" spans="6:20" x14ac:dyDescent="0.35">
      <c r="F1557" s="1">
        <f t="shared" si="270"/>
        <v>31.079999999999426</v>
      </c>
      <c r="G1557">
        <f>1/2*$B$8*$B$6*$B$7*(Tabelle2[[#This Row],[vx]]*Tabelle2[[#This Row],[vx]]+Tabelle2[[#This Row],[vy]]*Tabelle2[[#This Row],[vy]])/1000000</f>
        <v>14.398256643092809</v>
      </c>
      <c r="H1557">
        <f>IF($B$3,-Tabelle2[[#This Row],[Fd]]*Tabelle2[[#This Row],[vx]]/Tabelle2[[#This Row],[v]],0)</f>
        <v>-0.75080424430954829</v>
      </c>
      <c r="I1557">
        <f t="shared" si="264"/>
        <v>-0.50053616287303215</v>
      </c>
      <c r="J1557">
        <f t="shared" si="265"/>
        <v>-1.0010723257460644E-2</v>
      </c>
      <c r="K1557">
        <f t="shared" si="266"/>
        <v>9.399083898314653E-2</v>
      </c>
      <c r="L1557">
        <f>-$B$5*$B$12-IF($B$3,Tabelle2[[#This Row],[Fd]]*Tabelle2[[#This Row],[vy]]/Tabelle2[[#This Row],[v]],0)</f>
        <v>-0.33633221236775945</v>
      </c>
      <c r="M1557">
        <f t="shared" si="267"/>
        <v>-0.22422147491183964</v>
      </c>
      <c r="N1557">
        <f t="shared" si="268"/>
        <v>-4.4844294982367928E-3</v>
      </c>
      <c r="O1557">
        <f t="shared" si="269"/>
        <v>-1.8019825234086346</v>
      </c>
      <c r="P1557" s="1">
        <f t="shared" si="271"/>
        <v>4.7045473107860563</v>
      </c>
      <c r="Q1557" s="1">
        <f t="shared" si="272"/>
        <v>-90.096883955682614</v>
      </c>
      <c r="R1557">
        <f>SQRT(Tabelle2[[#This Row],[vx]]*Tabelle2[[#This Row],[vx]]+Tabelle2[[#This Row],[vy]]*Tabelle2[[#This Row],[vy]])</f>
        <v>90.219627930529413</v>
      </c>
      <c r="S1557">
        <f t="shared" si="273"/>
        <v>777.96493880360606</v>
      </c>
      <c r="T1557" s="1">
        <f t="shared" si="274"/>
        <v>-1478.808520278734</v>
      </c>
    </row>
    <row r="1558" spans="6:20" x14ac:dyDescent="0.35">
      <c r="F1558" s="1">
        <f t="shared" si="270"/>
        <v>31.099999999999426</v>
      </c>
      <c r="G1558">
        <f>1/2*$B$8*$B$6*$B$7*(Tabelle2[[#This Row],[vx]]*Tabelle2[[#This Row],[vx]]+Tabelle2[[#This Row],[vy]]*Tabelle2[[#This Row],[vy]])/1000000</f>
        <v>14.399519641647514</v>
      </c>
      <c r="H1558">
        <f>IF($B$3,-Tabelle2[[#This Row],[Fd]]*Tabelle2[[#This Row],[vx]]/Tabelle2[[#This Row],[v]],0)</f>
        <v>-0.74923948025066767</v>
      </c>
      <c r="I1558">
        <f t="shared" si="264"/>
        <v>-0.49949298683377846</v>
      </c>
      <c r="J1558">
        <f t="shared" si="265"/>
        <v>-9.9898597366755697E-3</v>
      </c>
      <c r="K1558">
        <f t="shared" si="266"/>
        <v>9.3790833153205161E-2</v>
      </c>
      <c r="L1558">
        <f>-$B$5*$B$12-IF($B$3,Tabelle2[[#This Row],[Fd]]*Tabelle2[[#This Row],[vy]]/Tabelle2[[#This Row],[v]],0)</f>
        <v>-0.33498587930365531</v>
      </c>
      <c r="M1558">
        <f t="shared" si="267"/>
        <v>-0.22332391953577022</v>
      </c>
      <c r="N1558">
        <f t="shared" si="268"/>
        <v>-4.4664783907154048E-3</v>
      </c>
      <c r="O1558">
        <f t="shared" si="269"/>
        <v>-1.8020720324875243</v>
      </c>
      <c r="P1558" s="1">
        <f t="shared" si="271"/>
        <v>4.6945365875285958</v>
      </c>
      <c r="Q1558" s="1">
        <f t="shared" si="272"/>
        <v>-90.101368385180848</v>
      </c>
      <c r="R1558">
        <f>SQRT(Tabelle2[[#This Row],[vx]]*Tabelle2[[#This Row],[vx]]+Tabelle2[[#This Row],[vy]]*Tabelle2[[#This Row],[vy]])</f>
        <v>90.223584824887723</v>
      </c>
      <c r="S1558">
        <f t="shared" si="273"/>
        <v>778.05892964258919</v>
      </c>
      <c r="T1558" s="1">
        <f t="shared" si="274"/>
        <v>-1480.6105028021427</v>
      </c>
    </row>
    <row r="1559" spans="6:20" x14ac:dyDescent="0.35">
      <c r="F1559" s="1">
        <f t="shared" si="270"/>
        <v>31.119999999999425</v>
      </c>
      <c r="G1559">
        <f>1/2*$B$8*$B$6*$B$7*(Tabelle2[[#This Row],[vx]]*Tabelle2[[#This Row],[vx]]+Tabelle2[[#This Row],[vy]]*Tabelle2[[#This Row],[vy]])/1000000</f>
        <v>14.400777689214593</v>
      </c>
      <c r="H1559">
        <f>IF($B$3,-Tabelle2[[#This Row],[Fd]]*Tabelle2[[#This Row],[vx]]/Tabelle2[[#This Row],[v]],0)</f>
        <v>-0.74767777601534513</v>
      </c>
      <c r="I1559">
        <f t="shared" si="264"/>
        <v>-0.49845185067689673</v>
      </c>
      <c r="J1559">
        <f t="shared" si="265"/>
        <v>-9.9690370135379347E-3</v>
      </c>
      <c r="K1559">
        <f t="shared" si="266"/>
        <v>9.3591244185703013E-2</v>
      </c>
      <c r="L1559">
        <f>-$B$5*$B$12-IF($B$3,Tabelle2[[#This Row],[Fd]]*Tabelle2[[#This Row],[vy]]/Tabelle2[[#This Row],[v]],0)</f>
        <v>-0.33364484836586961</v>
      </c>
      <c r="M1559">
        <f t="shared" si="267"/>
        <v>-0.22242989891057974</v>
      </c>
      <c r="N1559">
        <f t="shared" si="268"/>
        <v>-4.4485979782115945E-3</v>
      </c>
      <c r="O1559">
        <f t="shared" si="269"/>
        <v>-1.8021611832512132</v>
      </c>
      <c r="P1559" s="1">
        <f t="shared" si="271"/>
        <v>4.6845467277919202</v>
      </c>
      <c r="Q1559" s="1">
        <f t="shared" si="272"/>
        <v>-90.105834863571559</v>
      </c>
      <c r="R1559">
        <f>SQRT(Tabelle2[[#This Row],[vx]]*Tabelle2[[#This Row],[vx]]+Tabelle2[[#This Row],[vy]]*Tabelle2[[#This Row],[vy]])</f>
        <v>90.227526035606758</v>
      </c>
      <c r="S1559">
        <f t="shared" si="273"/>
        <v>778.1527204757424</v>
      </c>
      <c r="T1559" s="1">
        <f t="shared" si="274"/>
        <v>-1482.4125748346303</v>
      </c>
    </row>
    <row r="1560" spans="6:20" x14ac:dyDescent="0.35">
      <c r="F1560" s="1">
        <f t="shared" si="270"/>
        <v>31.139999999999425</v>
      </c>
      <c r="G1560">
        <f>1/2*$B$8*$B$6*$B$7*(Tabelle2[[#This Row],[vx]]*Tabelle2[[#This Row],[vx]]+Tabelle2[[#This Row],[vy]]*Tabelle2[[#This Row],[vy]])/1000000</f>
        <v>14.40203080459351</v>
      </c>
      <c r="H1560">
        <f>IF($B$3,-Tabelle2[[#This Row],[Fd]]*Tabelle2[[#This Row],[vx]]/Tabelle2[[#This Row],[v]],0)</f>
        <v>-0.74611912686355408</v>
      </c>
      <c r="I1560">
        <f t="shared" si="264"/>
        <v>-0.49741275124236939</v>
      </c>
      <c r="J1560">
        <f t="shared" si="265"/>
        <v>-9.9482550248473876E-3</v>
      </c>
      <c r="K1560">
        <f t="shared" si="266"/>
        <v>9.3392071265319176E-2</v>
      </c>
      <c r="L1560">
        <f>-$B$5*$B$12-IF($B$3,Tabelle2[[#This Row],[Fd]]*Tabelle2[[#This Row],[vy]]/Tabelle2[[#This Row],[v]],0)</f>
        <v>-0.33230909930312258</v>
      </c>
      <c r="M1560">
        <f t="shared" si="267"/>
        <v>-0.22153939953541504</v>
      </c>
      <c r="N1560">
        <f t="shared" si="268"/>
        <v>-4.4307879907083013E-3</v>
      </c>
      <c r="O1560">
        <f t="shared" si="269"/>
        <v>-1.8022499771109026</v>
      </c>
      <c r="P1560" s="1">
        <f t="shared" si="271"/>
        <v>4.6745776907783823</v>
      </c>
      <c r="Q1560" s="1">
        <f t="shared" si="272"/>
        <v>-90.11028346154977</v>
      </c>
      <c r="R1560">
        <f>SQRT(Tabelle2[[#This Row],[vx]]*Tabelle2[[#This Row],[vx]]+Tabelle2[[#This Row],[vy]]*Tabelle2[[#This Row],[vy]])</f>
        <v>90.231451623632722</v>
      </c>
      <c r="S1560">
        <f t="shared" si="273"/>
        <v>778.24631171992814</v>
      </c>
      <c r="T1560" s="1">
        <f t="shared" si="274"/>
        <v>-1484.2147360178815</v>
      </c>
    </row>
    <row r="1561" spans="6:20" x14ac:dyDescent="0.35">
      <c r="F1561" s="1">
        <f t="shared" si="270"/>
        <v>31.159999999999425</v>
      </c>
      <c r="G1561">
        <f>1/2*$B$8*$B$6*$B$7*(Tabelle2[[#This Row],[vx]]*Tabelle2[[#This Row],[vx]]+Tabelle2[[#This Row],[vy]]*Tabelle2[[#This Row],[vy]])/1000000</f>
        <v>14.403279006516911</v>
      </c>
      <c r="H1561">
        <f>IF($B$3,-Tabelle2[[#This Row],[Fd]]*Tabelle2[[#This Row],[vx]]/Tabelle2[[#This Row],[v]],0)</f>
        <v>-0.74456352805458181</v>
      </c>
      <c r="I1561">
        <f t="shared" si="264"/>
        <v>-0.49637568536972121</v>
      </c>
      <c r="J1561">
        <f t="shared" si="265"/>
        <v>-9.9275137073944249E-3</v>
      </c>
      <c r="K1561">
        <f t="shared" si="266"/>
        <v>9.3193313577996761E-2</v>
      </c>
      <c r="L1561">
        <f>-$B$5*$B$12-IF($B$3,Tabelle2[[#This Row],[Fd]]*Tabelle2[[#This Row],[vy]]/Tabelle2[[#This Row],[v]],0)</f>
        <v>-0.33097861193672529</v>
      </c>
      <c r="M1561">
        <f t="shared" si="267"/>
        <v>-0.22065240795781685</v>
      </c>
      <c r="N1561">
        <f t="shared" si="268"/>
        <v>-4.4130481591563367E-3</v>
      </c>
      <c r="O1561">
        <f t="shared" si="269"/>
        <v>-1.8023384154724014</v>
      </c>
      <c r="P1561" s="1">
        <f t="shared" si="271"/>
        <v>4.6646294357535352</v>
      </c>
      <c r="Q1561" s="1">
        <f t="shared" si="272"/>
        <v>-90.114714249540484</v>
      </c>
      <c r="R1561">
        <f>SQRT(Tabelle2[[#This Row],[vx]]*Tabelle2[[#This Row],[vx]]+Tabelle2[[#This Row],[vy]]*Tabelle2[[#This Row],[vy]])</f>
        <v>90.235361649683838</v>
      </c>
      <c r="S1561">
        <f t="shared" si="273"/>
        <v>778.33970379119341</v>
      </c>
      <c r="T1561" s="1">
        <f t="shared" si="274"/>
        <v>-1486.0169859949924</v>
      </c>
    </row>
    <row r="1562" spans="6:20" x14ac:dyDescent="0.35">
      <c r="F1562" s="1">
        <f t="shared" si="270"/>
        <v>31.179999999999424</v>
      </c>
      <c r="G1562">
        <f>1/2*$B$8*$B$6*$B$7*(Tabelle2[[#This Row],[vx]]*Tabelle2[[#This Row],[vx]]+Tabelle2[[#This Row],[vy]]*Tabelle2[[#This Row],[vy]])/1000000</f>
        <v>14.404522313650808</v>
      </c>
      <c r="H1562">
        <f>IF($B$3,-Tabelle2[[#This Row],[Fd]]*Tabelle2[[#This Row],[vx]]/Tabelle2[[#This Row],[v]],0)</f>
        <v>-0.743010974847095</v>
      </c>
      <c r="I1562">
        <f t="shared" si="264"/>
        <v>-0.49534064989806331</v>
      </c>
      <c r="J1562">
        <f t="shared" si="265"/>
        <v>-9.9068129979612667E-3</v>
      </c>
      <c r="K1562">
        <f t="shared" si="266"/>
        <v>9.2994970310943212E-2</v>
      </c>
      <c r="L1562">
        <f>-$B$5*$B$12-IF($B$3,Tabelle2[[#This Row],[Fd]]*Tabelle2[[#This Row],[vy]]/Tabelle2[[#This Row],[v]],0)</f>
        <v>-0.32965336616038243</v>
      </c>
      <c r="M1562">
        <f t="shared" si="267"/>
        <v>-0.21976891077358829</v>
      </c>
      <c r="N1562">
        <f t="shared" si="268"/>
        <v>-4.3953782154717656E-3</v>
      </c>
      <c r="O1562">
        <f t="shared" si="269"/>
        <v>-1.8024264997361474</v>
      </c>
      <c r="P1562" s="1">
        <f t="shared" si="271"/>
        <v>4.654701922046141</v>
      </c>
      <c r="Q1562" s="1">
        <f t="shared" si="272"/>
        <v>-90.119127297699634</v>
      </c>
      <c r="R1562">
        <f>SQRT(Tabelle2[[#This Row],[vx]]*Tabelle2[[#This Row],[vx]]+Tabelle2[[#This Row],[vy]]*Tabelle2[[#This Row],[vy]])</f>
        <v>90.239256174250968</v>
      </c>
      <c r="S1562">
        <f t="shared" si="273"/>
        <v>778.43289710477143</v>
      </c>
      <c r="T1562" s="1">
        <f t="shared" si="274"/>
        <v>-1487.8193244104648</v>
      </c>
    </row>
    <row r="1563" spans="6:20" x14ac:dyDescent="0.35">
      <c r="F1563" s="1">
        <f t="shared" si="270"/>
        <v>31.199999999999424</v>
      </c>
      <c r="G1563">
        <f>1/2*$B$8*$B$6*$B$7*(Tabelle2[[#This Row],[vx]]*Tabelle2[[#This Row],[vx]]+Tabelle2[[#This Row],[vy]]*Tabelle2[[#This Row],[vy]])/1000000</f>
        <v>14.405760744594813</v>
      </c>
      <c r="H1563">
        <f>IF($B$3,-Tabelle2[[#This Row],[Fd]]*Tabelle2[[#This Row],[vx]]/Tabelle2[[#This Row],[v]],0)</f>
        <v>-0.74146146249920131</v>
      </c>
      <c r="I1563">
        <f t="shared" si="264"/>
        <v>-0.49430764166613422</v>
      </c>
      <c r="J1563">
        <f t="shared" si="265"/>
        <v>-9.8861528333226839E-3</v>
      </c>
      <c r="K1563">
        <f t="shared" si="266"/>
        <v>9.2797040652630364E-2</v>
      </c>
      <c r="L1563">
        <f>-$B$5*$B$12-IF($B$3,Tabelle2[[#This Row],[Fd]]*Tabelle2[[#This Row],[vy]]/Tabelle2[[#This Row],[v]],0)</f>
        <v>-0.32833334193992592</v>
      </c>
      <c r="M1563">
        <f t="shared" si="267"/>
        <v>-0.21888889462661729</v>
      </c>
      <c r="N1563">
        <f t="shared" si="268"/>
        <v>-4.377777892532346E-3</v>
      </c>
      <c r="O1563">
        <f t="shared" si="269"/>
        <v>-1.8025142312972275</v>
      </c>
      <c r="P1563" s="1">
        <f t="shared" si="271"/>
        <v>4.6447951090481796</v>
      </c>
      <c r="Q1563" s="1">
        <f t="shared" si="272"/>
        <v>-90.123522675915112</v>
      </c>
      <c r="R1563">
        <f>SQRT(Tabelle2[[#This Row],[vx]]*Tabelle2[[#This Row],[vx]]+Tabelle2[[#This Row],[vy]]*Tabelle2[[#This Row],[vy]])</f>
        <v>90.243135257598539</v>
      </c>
      <c r="S1563">
        <f t="shared" si="273"/>
        <v>778.52589207508242</v>
      </c>
      <c r="T1563" s="1">
        <f t="shared" si="274"/>
        <v>-1489.6217509102009</v>
      </c>
    </row>
    <row r="1564" spans="6:20" x14ac:dyDescent="0.35">
      <c r="F1564" s="1">
        <f t="shared" si="270"/>
        <v>31.219999999999423</v>
      </c>
      <c r="G1564">
        <f>1/2*$B$8*$B$6*$B$7*(Tabelle2[[#This Row],[vx]]*Tabelle2[[#This Row],[vx]]+Tabelle2[[#This Row],[vy]]*Tabelle2[[#This Row],[vy]])/1000000</f>
        <v>14.406994317882283</v>
      </c>
      <c r="H1564">
        <f>IF($B$3,-Tabelle2[[#This Row],[Fd]]*Tabelle2[[#This Row],[vx]]/Tabelle2[[#This Row],[v]],0)</f>
        <v>-0.73991498626851282</v>
      </c>
      <c r="I1564">
        <f t="shared" si="264"/>
        <v>-0.4932766575123419</v>
      </c>
      <c r="J1564">
        <f t="shared" si="265"/>
        <v>-9.8655331502468385E-3</v>
      </c>
      <c r="K1564">
        <f t="shared" si="266"/>
        <v>9.2599523792794666E-2</v>
      </c>
      <c r="L1564">
        <f>-$B$5*$B$12-IF($B$3,Tabelle2[[#This Row],[Fd]]*Tabelle2[[#This Row],[vy]]/Tabelle2[[#This Row],[v]],0)</f>
        <v>-0.32701851931315318</v>
      </c>
      <c r="M1564">
        <f t="shared" si="267"/>
        <v>-0.21801234620876878</v>
      </c>
      <c r="N1564">
        <f t="shared" si="268"/>
        <v>-4.3602469241753759E-3</v>
      </c>
      <c r="O1564">
        <f t="shared" si="269"/>
        <v>-1.8026016115453944</v>
      </c>
      <c r="P1564" s="1">
        <f t="shared" si="271"/>
        <v>4.6349089562148569</v>
      </c>
      <c r="Q1564" s="1">
        <f t="shared" si="272"/>
        <v>-90.127900453807641</v>
      </c>
      <c r="R1564">
        <f>SQRT(Tabelle2[[#This Row],[vx]]*Tabelle2[[#This Row],[vx]]+Tabelle2[[#This Row],[vy]]*Tabelle2[[#This Row],[vy]])</f>
        <v>90.246998959765193</v>
      </c>
      <c r="S1564">
        <f t="shared" si="273"/>
        <v>778.61868911573504</v>
      </c>
      <c r="T1564" s="1">
        <f t="shared" si="274"/>
        <v>-1491.4242651414982</v>
      </c>
    </row>
    <row r="1565" spans="6:20" x14ac:dyDescent="0.35">
      <c r="F1565" s="1">
        <f t="shared" si="270"/>
        <v>31.239999999999423</v>
      </c>
      <c r="G1565">
        <f>1/2*$B$8*$B$6*$B$7*(Tabelle2[[#This Row],[vx]]*Tabelle2[[#This Row],[vx]]+Tabelle2[[#This Row],[vy]]*Tabelle2[[#This Row],[vy]])/1000000</f>
        <v>14.40822305198059</v>
      </c>
      <c r="H1565">
        <f>IF($B$3,-Tabelle2[[#This Row],[Fd]]*Tabelle2[[#This Row],[vx]]/Tabelle2[[#This Row],[v]],0)</f>
        <v>-0.73837154141220895</v>
      </c>
      <c r="I1565">
        <f t="shared" si="264"/>
        <v>-0.49224769427480597</v>
      </c>
      <c r="J1565">
        <f t="shared" si="265"/>
        <v>-9.8449538854961192E-3</v>
      </c>
      <c r="K1565">
        <f t="shared" si="266"/>
        <v>9.2402418922437238E-2</v>
      </c>
      <c r="L1565">
        <f>-$B$5*$B$12-IF($B$3,Tabelle2[[#This Row],[Fd]]*Tabelle2[[#This Row],[vy]]/Tabelle2[[#This Row],[v]],0)</f>
        <v>-0.32570887838954476</v>
      </c>
      <c r="M1565">
        <f t="shared" si="267"/>
        <v>-0.21713925225969652</v>
      </c>
      <c r="N1565">
        <f t="shared" si="268"/>
        <v>-4.3427850451939302E-3</v>
      </c>
      <c r="O1565">
        <f t="shared" si="269"/>
        <v>-1.8026886418650885</v>
      </c>
      <c r="P1565" s="1">
        <f t="shared" si="271"/>
        <v>4.6250434230646098</v>
      </c>
      <c r="Q1565" s="1">
        <f t="shared" si="272"/>
        <v>-90.13226070073182</v>
      </c>
      <c r="R1565">
        <f>SQRT(Tabelle2[[#This Row],[vx]]*Tabelle2[[#This Row],[vx]]+Tabelle2[[#This Row],[vy]]*Tabelle2[[#This Row],[vy]])</f>
        <v>90.250847340564718</v>
      </c>
      <c r="S1565">
        <f t="shared" si="273"/>
        <v>778.71128863952788</v>
      </c>
      <c r="T1565" s="1">
        <f t="shared" si="274"/>
        <v>-1493.2268667530436</v>
      </c>
    </row>
    <row r="1566" spans="6:20" x14ac:dyDescent="0.35">
      <c r="F1566" s="1">
        <f t="shared" si="270"/>
        <v>31.259999999999422</v>
      </c>
      <c r="G1566">
        <f>1/2*$B$8*$B$6*$B$7*(Tabelle2[[#This Row],[vx]]*Tabelle2[[#This Row],[vx]]+Tabelle2[[#This Row],[vy]]*Tabelle2[[#This Row],[vy]])/1000000</f>
        <v>14.409446965291265</v>
      </c>
      <c r="H1566">
        <f>IF($B$3,-Tabelle2[[#This Row],[Fd]]*Tabelle2[[#This Row],[vx]]/Tabelle2[[#This Row],[v]],0)</f>
        <v>-0.73683112318709765</v>
      </c>
      <c r="I1566">
        <f t="shared" si="264"/>
        <v>-0.49122074879139843</v>
      </c>
      <c r="J1566">
        <f t="shared" si="265"/>
        <v>-9.8244149758279688E-3</v>
      </c>
      <c r="K1566">
        <f t="shared" si="266"/>
        <v>9.220572523382399E-2</v>
      </c>
      <c r="L1566">
        <f>-$B$5*$B$12-IF($B$3,Tabelle2[[#This Row],[Fd]]*Tabelle2[[#This Row],[vy]]/Tabelle2[[#This Row],[v]],0)</f>
        <v>-0.32440439935009202</v>
      </c>
      <c r="M1566">
        <f t="shared" si="267"/>
        <v>-0.216269599566728</v>
      </c>
      <c r="N1566">
        <f t="shared" si="268"/>
        <v>-4.3253919913345601E-3</v>
      </c>
      <c r="O1566">
        <f t="shared" si="269"/>
        <v>-1.8027753236354536</v>
      </c>
      <c r="P1566" s="1">
        <f t="shared" si="271"/>
        <v>4.6151984691791137</v>
      </c>
      <c r="Q1566" s="1">
        <f t="shared" si="272"/>
        <v>-90.136603485777016</v>
      </c>
      <c r="R1566">
        <f>SQRT(Tabelle2[[#This Row],[vx]]*Tabelle2[[#This Row],[vx]]+Tabelle2[[#This Row],[vy]]*Tabelle2[[#This Row],[vy]])</f>
        <v>90.254680459586709</v>
      </c>
      <c r="S1566">
        <f t="shared" si="273"/>
        <v>778.80369105845034</v>
      </c>
      <c r="T1566" s="1">
        <f t="shared" si="274"/>
        <v>-1495.0295553949088</v>
      </c>
    </row>
    <row r="1567" spans="6:20" x14ac:dyDescent="0.35">
      <c r="F1567" s="1">
        <f t="shared" si="270"/>
        <v>31.279999999999422</v>
      </c>
      <c r="G1567">
        <f>1/2*$B$8*$B$6*$B$7*(Tabelle2[[#This Row],[vx]]*Tabelle2[[#This Row],[vx]]+Tabelle2[[#This Row],[vy]]*Tabelle2[[#This Row],[vy]])/1000000</f>
        <v>14.410666076150228</v>
      </c>
      <c r="H1567">
        <f>IF($B$3,-Tabelle2[[#This Row],[Fd]]*Tabelle2[[#This Row],[vx]]/Tabelle2[[#This Row],[v]],0)</f>
        <v>-0.73529372684967764</v>
      </c>
      <c r="I1567">
        <f t="shared" si="264"/>
        <v>-0.49019581789978511</v>
      </c>
      <c r="J1567">
        <f t="shared" si="265"/>
        <v>-9.8039163579957019E-3</v>
      </c>
      <c r="K1567">
        <f t="shared" si="266"/>
        <v>9.2009441920485754E-2</v>
      </c>
      <c r="L1567">
        <f>-$B$5*$B$12-IF($B$3,Tabelle2[[#This Row],[Fd]]*Tabelle2[[#This Row],[vy]]/Tabelle2[[#This Row],[v]],0)</f>
        <v>-0.32310506244703951</v>
      </c>
      <c r="M1567">
        <f t="shared" si="267"/>
        <v>-0.215403374964693</v>
      </c>
      <c r="N1567">
        <f t="shared" si="268"/>
        <v>-4.3080674992938602E-3</v>
      </c>
      <c r="O1567">
        <f t="shared" si="269"/>
        <v>-1.8028616582303598</v>
      </c>
      <c r="P1567" s="1">
        <f t="shared" si="271"/>
        <v>4.6053740542032857</v>
      </c>
      <c r="Q1567" s="1">
        <f t="shared" si="272"/>
        <v>-90.140928877768346</v>
      </c>
      <c r="R1567">
        <f>SQRT(Tabelle2[[#This Row],[vx]]*Tabelle2[[#This Row],[vx]]+Tabelle2[[#This Row],[vy]]*Tabelle2[[#This Row],[vy]])</f>
        <v>90.258498376197352</v>
      </c>
      <c r="S1567">
        <f t="shared" si="273"/>
        <v>778.89589678368418</v>
      </c>
      <c r="T1567" s="1">
        <f t="shared" si="274"/>
        <v>-1496.8323307185442</v>
      </c>
    </row>
    <row r="1568" spans="6:20" x14ac:dyDescent="0.35">
      <c r="F1568" s="1">
        <f t="shared" si="270"/>
        <v>31.299999999999422</v>
      </c>
      <c r="G1568">
        <f>1/2*$B$8*$B$6*$B$7*(Tabelle2[[#This Row],[vx]]*Tabelle2[[#This Row],[vx]]+Tabelle2[[#This Row],[vy]]*Tabelle2[[#This Row],[vy]])/1000000</f>
        <v>14.411880402827986</v>
      </c>
      <c r="H1568">
        <f>IF($B$3,-Tabelle2[[#This Row],[Fd]]*Tabelle2[[#This Row],[vx]]/Tabelle2[[#This Row],[v]],0)</f>
        <v>-0.73375934765619888</v>
      </c>
      <c r="I1568">
        <f t="shared" si="264"/>
        <v>-0.48917289843746592</v>
      </c>
      <c r="J1568">
        <f t="shared" si="265"/>
        <v>-9.7834579687493192E-3</v>
      </c>
      <c r="K1568">
        <f t="shared" si="266"/>
        <v>9.1813568177218308E-2</v>
      </c>
      <c r="L1568">
        <f>-$B$5*$B$12-IF($B$3,Tabelle2[[#This Row],[Fd]]*Tabelle2[[#This Row],[vy]]/Tabelle2[[#This Row],[v]],0)</f>
        <v>-0.32181084800367898</v>
      </c>
      <c r="M1568">
        <f t="shared" si="267"/>
        <v>-0.214540565335786</v>
      </c>
      <c r="N1568">
        <f t="shared" si="268"/>
        <v>-4.2908113067157199E-3</v>
      </c>
      <c r="O1568">
        <f t="shared" si="269"/>
        <v>-1.8029476470184198</v>
      </c>
      <c r="P1568" s="1">
        <f t="shared" si="271"/>
        <v>4.5955701378452902</v>
      </c>
      <c r="Q1568" s="1">
        <f t="shared" si="272"/>
        <v>-90.145236945267641</v>
      </c>
      <c r="R1568">
        <f>SQRT(Tabelle2[[#This Row],[vx]]*Tabelle2[[#This Row],[vx]]+Tabelle2[[#This Row],[vy]]*Tabelle2[[#This Row],[vy]])</f>
        <v>90.262301149540278</v>
      </c>
      <c r="S1568">
        <f t="shared" si="273"/>
        <v>778.98790622560466</v>
      </c>
      <c r="T1568" s="1">
        <f t="shared" si="274"/>
        <v>-1498.6351923767745</v>
      </c>
    </row>
    <row r="1569" spans="6:20" x14ac:dyDescent="0.35">
      <c r="F1569" s="1">
        <f t="shared" si="270"/>
        <v>31.319999999999421</v>
      </c>
      <c r="G1569">
        <f>1/2*$B$8*$B$6*$B$7*(Tabelle2[[#This Row],[vx]]*Tabelle2[[#This Row],[vx]]+Tabelle2[[#This Row],[vy]]*Tabelle2[[#This Row],[vy]])/1000000</f>
        <v>14.413089963529817</v>
      </c>
      <c r="H1569">
        <f>IF($B$3,-Tabelle2[[#This Row],[Fd]]*Tabelle2[[#This Row],[vx]]/Tabelle2[[#This Row],[v]],0)</f>
        <v>-0.73222798086272267</v>
      </c>
      <c r="I1569">
        <f t="shared" si="264"/>
        <v>-0.48815198724181513</v>
      </c>
      <c r="J1569">
        <f t="shared" si="265"/>
        <v>-9.7630397448363031E-3</v>
      </c>
      <c r="K1569">
        <f t="shared" si="266"/>
        <v>9.1618103200082443E-2</v>
      </c>
      <c r="L1569">
        <f>-$B$5*$B$12-IF($B$3,Tabelle2[[#This Row],[Fd]]*Tabelle2[[#This Row],[vy]]/Tabelle2[[#This Row],[v]],0)</f>
        <v>-0.32052173641414505</v>
      </c>
      <c r="M1569">
        <f t="shared" si="267"/>
        <v>-0.21368115760943004</v>
      </c>
      <c r="N1569">
        <f t="shared" si="268"/>
        <v>-4.273623152188601E-3</v>
      </c>
      <c r="O1569">
        <f t="shared" si="269"/>
        <v>-1.8030332913630092</v>
      </c>
      <c r="P1569" s="1">
        <f t="shared" si="271"/>
        <v>4.5857866798765405</v>
      </c>
      <c r="Q1569" s="1">
        <f t="shared" si="272"/>
        <v>-90.149527756574358</v>
      </c>
      <c r="R1569">
        <f>SQRT(Tabelle2[[#This Row],[vx]]*Tabelle2[[#This Row],[vx]]+Tabelle2[[#This Row],[vy]]*Tabelle2[[#This Row],[vy]])</f>
        <v>90.266088838537271</v>
      </c>
      <c r="S1569">
        <f t="shared" si="273"/>
        <v>779.07971979378192</v>
      </c>
      <c r="T1569" s="1">
        <f t="shared" si="274"/>
        <v>-1500.438140023793</v>
      </c>
    </row>
    <row r="1570" spans="6:20" x14ac:dyDescent="0.35">
      <c r="F1570" s="1">
        <f t="shared" si="270"/>
        <v>31.339999999999421</v>
      </c>
      <c r="G1570">
        <f>1/2*$B$8*$B$6*$B$7*(Tabelle2[[#This Row],[vx]]*Tabelle2[[#This Row],[vx]]+Tabelle2[[#This Row],[vy]]*Tabelle2[[#This Row],[vy]])/1000000</f>
        <v>14.414294776395986</v>
      </c>
      <c r="H1570">
        <f>IF($B$3,-Tabelle2[[#This Row],[Fd]]*Tabelle2[[#This Row],[vx]]/Tabelle2[[#This Row],[v]],0)</f>
        <v>-0.73069962172518277</v>
      </c>
      <c r="I1570">
        <f t="shared" si="264"/>
        <v>-0.48713308115012183</v>
      </c>
      <c r="J1570">
        <f t="shared" si="265"/>
        <v>-9.7426616230024375E-3</v>
      </c>
      <c r="K1570">
        <f t="shared" si="266"/>
        <v>9.1423046186404053E-2</v>
      </c>
      <c r="L1570">
        <f>-$B$5*$B$12-IF($B$3,Tabelle2[[#This Row],[Fd]]*Tabelle2[[#This Row],[vy]]/Tabelle2[[#This Row],[v]],0)</f>
        <v>-0.31923770814316121</v>
      </c>
      <c r="M1570">
        <f t="shared" si="267"/>
        <v>-0.21282513876210749</v>
      </c>
      <c r="N1570">
        <f t="shared" si="268"/>
        <v>-4.2565027752421497E-3</v>
      </c>
      <c r="O1570">
        <f t="shared" si="269"/>
        <v>-1.8031185926222832</v>
      </c>
      <c r="P1570" s="1">
        <f t="shared" si="271"/>
        <v>4.5760236401317043</v>
      </c>
      <c r="Q1570" s="1">
        <f t="shared" si="272"/>
        <v>-90.153801379726545</v>
      </c>
      <c r="R1570">
        <f>SQRT(Tabelle2[[#This Row],[vx]]*Tabelle2[[#This Row],[vx]]+Tabelle2[[#This Row],[vy]]*Tabelle2[[#This Row],[vy]])</f>
        <v>90.269861501889039</v>
      </c>
      <c r="S1570">
        <f t="shared" si="273"/>
        <v>779.17133789698198</v>
      </c>
      <c r="T1570" s="1">
        <f t="shared" si="274"/>
        <v>-1502.2411733151559</v>
      </c>
    </row>
    <row r="1571" spans="6:20" x14ac:dyDescent="0.35">
      <c r="F1571" s="1">
        <f t="shared" si="270"/>
        <v>31.35999999999942</v>
      </c>
      <c r="G1571">
        <f>1/2*$B$8*$B$6*$B$7*(Tabelle2[[#This Row],[vx]]*Tabelle2[[#This Row],[vx]]+Tabelle2[[#This Row],[vy]]*Tabelle2[[#This Row],[vy]])/1000000</f>
        <v>14.415494859501933</v>
      </c>
      <c r="H1571">
        <f>IF($B$3,-Tabelle2[[#This Row],[Fd]]*Tabelle2[[#This Row],[vx]]/Tabelle2[[#This Row],[v]],0)</f>
        <v>-0.72917426549944486</v>
      </c>
      <c r="I1571">
        <f t="shared" si="264"/>
        <v>-0.48611617699962989</v>
      </c>
      <c r="J1571">
        <f t="shared" si="265"/>
        <v>-9.7223235399925972E-3</v>
      </c>
      <c r="K1571">
        <f t="shared" si="266"/>
        <v>9.1228396334774101E-2</v>
      </c>
      <c r="L1571">
        <f>-$B$5*$B$12-IF($B$3,Tabelle2[[#This Row],[Fd]]*Tabelle2[[#This Row],[vy]]/Tabelle2[[#This Row],[v]],0)</f>
        <v>-0.31795874372584976</v>
      </c>
      <c r="M1571">
        <f t="shared" si="267"/>
        <v>-0.21197249581723318</v>
      </c>
      <c r="N1571">
        <f t="shared" si="268"/>
        <v>-4.2394499163446635E-3</v>
      </c>
      <c r="O1571">
        <f t="shared" si="269"/>
        <v>-1.8032035521491994</v>
      </c>
      <c r="P1571" s="1">
        <f t="shared" si="271"/>
        <v>4.5662809785087015</v>
      </c>
      <c r="Q1571" s="1">
        <f t="shared" si="272"/>
        <v>-90.158057882501794</v>
      </c>
      <c r="R1571">
        <f>SQRT(Tabelle2[[#This Row],[vx]]*Tabelle2[[#This Row],[vx]]+Tabelle2[[#This Row],[vy]]*Tabelle2[[#This Row],[vy]])</f>
        <v>90.273619198075991</v>
      </c>
      <c r="S1571">
        <f t="shared" si="273"/>
        <v>779.26276094316836</v>
      </c>
      <c r="T1571" s="1">
        <f t="shared" si="274"/>
        <v>-1504.0442919077782</v>
      </c>
    </row>
    <row r="1572" spans="6:20" x14ac:dyDescent="0.35">
      <c r="F1572" s="1">
        <f t="shared" si="270"/>
        <v>31.37999999999942</v>
      </c>
      <c r="G1572">
        <f>1/2*$B$8*$B$6*$B$7*(Tabelle2[[#This Row],[vx]]*Tabelle2[[#This Row],[vx]]+Tabelle2[[#This Row],[vy]]*Tabelle2[[#This Row],[vy]])/1000000</f>
        <v>14.416690230858478</v>
      </c>
      <c r="H1572">
        <f>IF($B$3,-Tabelle2[[#This Row],[Fd]]*Tabelle2[[#This Row],[vx]]/Tabelle2[[#This Row],[v]],0)</f>
        <v>-0.72765190744136476</v>
      </c>
      <c r="I1572">
        <f t="shared" si="264"/>
        <v>-0.48510127162757649</v>
      </c>
      <c r="J1572">
        <f t="shared" si="265"/>
        <v>-9.7020254325515306E-3</v>
      </c>
      <c r="K1572">
        <f t="shared" si="266"/>
        <v>9.1034152845048663E-2</v>
      </c>
      <c r="L1572">
        <f>-$B$5*$B$12-IF($B$3,Tabelle2[[#This Row],[Fd]]*Tabelle2[[#This Row],[vy]]/Tabelle2[[#This Row],[v]],0)</f>
        <v>-0.31668482376749729</v>
      </c>
      <c r="M1572">
        <f t="shared" si="267"/>
        <v>-0.21112321584499819</v>
      </c>
      <c r="N1572">
        <f t="shared" si="268"/>
        <v>-4.2224643168999642E-3</v>
      </c>
      <c r="O1572">
        <f t="shared" si="269"/>
        <v>-1.8032881712915318</v>
      </c>
      <c r="P1572" s="1">
        <f t="shared" si="271"/>
        <v>4.5565586549687085</v>
      </c>
      <c r="Q1572" s="1">
        <f t="shared" si="272"/>
        <v>-90.162297332418134</v>
      </c>
      <c r="R1572">
        <f>SQRT(Tabelle2[[#This Row],[vx]]*Tabelle2[[#This Row],[vx]]+Tabelle2[[#This Row],[vy]]*Tabelle2[[#This Row],[vy]])</f>
        <v>90.277361985359008</v>
      </c>
      <c r="S1572">
        <f t="shared" si="273"/>
        <v>779.35398933950319</v>
      </c>
      <c r="T1572" s="1">
        <f t="shared" si="274"/>
        <v>-1505.8474954599274</v>
      </c>
    </row>
    <row r="1573" spans="6:20" x14ac:dyDescent="0.35">
      <c r="F1573" s="1">
        <f t="shared" si="270"/>
        <v>31.399999999999419</v>
      </c>
      <c r="G1573">
        <f>1/2*$B$8*$B$6*$B$7*(Tabelle2[[#This Row],[vx]]*Tabelle2[[#This Row],[vx]]+Tabelle2[[#This Row],[vy]]*Tabelle2[[#This Row],[vy]])/1000000</f>
        <v>14.417880908412027</v>
      </c>
      <c r="H1573">
        <f>IF($B$3,-Tabelle2[[#This Row],[Fd]]*Tabelle2[[#This Row],[vx]]/Tabelle2[[#This Row],[v]],0)</f>
        <v>-0.72613254280684836</v>
      </c>
      <c r="I1573">
        <f t="shared" si="264"/>
        <v>-0.48408836187123222</v>
      </c>
      <c r="J1573">
        <f t="shared" si="265"/>
        <v>-9.681767237424645E-3</v>
      </c>
      <c r="K1573">
        <f t="shared" si="266"/>
        <v>9.0840314918348888E-2</v>
      </c>
      <c r="L1573">
        <f>-$B$5*$B$12-IF($B$3,Tabelle2[[#This Row],[Fd]]*Tabelle2[[#This Row],[vy]]/Tabelle2[[#This Row],[v]],0)</f>
        <v>-0.31541592894333625</v>
      </c>
      <c r="M1573">
        <f t="shared" si="267"/>
        <v>-0.21027728596222417</v>
      </c>
      <c r="N1573">
        <f t="shared" si="268"/>
        <v>-4.2055457192444832E-3</v>
      </c>
      <c r="O1573">
        <f t="shared" si="269"/>
        <v>-1.8033724513918929</v>
      </c>
      <c r="P1573" s="1">
        <f t="shared" si="271"/>
        <v>4.5468566295361565</v>
      </c>
      <c r="Q1573" s="1">
        <f t="shared" si="272"/>
        <v>-90.166519796735031</v>
      </c>
      <c r="R1573">
        <f>SQRT(Tabelle2[[#This Row],[vx]]*Tabelle2[[#This Row],[vx]]+Tabelle2[[#This Row],[vy]]*Tabelle2[[#This Row],[vy]])</f>
        <v>90.281089921780236</v>
      </c>
      <c r="S1573">
        <f t="shared" si="273"/>
        <v>779.44502349234824</v>
      </c>
      <c r="T1573" s="1">
        <f t="shared" si="274"/>
        <v>-1507.6507836312189</v>
      </c>
    </row>
    <row r="1574" spans="6:20" x14ac:dyDescent="0.35">
      <c r="F1574" s="1">
        <f t="shared" si="270"/>
        <v>31.419999999999419</v>
      </c>
      <c r="G1574">
        <f>1/2*$B$8*$B$6*$B$7*(Tabelle2[[#This Row],[vx]]*Tabelle2[[#This Row],[vx]]+Tabelle2[[#This Row],[vy]]*Tabelle2[[#This Row],[vy]])/1000000</f>
        <v>14.419066910044743</v>
      </c>
      <c r="H1574">
        <f>IF($B$3,-Tabelle2[[#This Row],[Fd]]*Tabelle2[[#This Row],[vx]]/Tabelle2[[#This Row],[v]],0)</f>
        <v>-0.7246161668519091</v>
      </c>
      <c r="I1574">
        <f t="shared" si="264"/>
        <v>-0.48307744456793938</v>
      </c>
      <c r="J1574">
        <f t="shared" si="265"/>
        <v>-9.6615488913587878E-3</v>
      </c>
      <c r="K1574">
        <f t="shared" si="266"/>
        <v>9.0646881757061065E-2</v>
      </c>
      <c r="L1574">
        <f>-$B$5*$B$12-IF($B$3,Tabelle2[[#This Row],[Fd]]*Tabelle2[[#This Row],[vy]]/Tabelle2[[#This Row],[v]],0)</f>
        <v>-0.31415203999833707</v>
      </c>
      <c r="M1574">
        <f t="shared" si="267"/>
        <v>-0.20943469333222473</v>
      </c>
      <c r="N1574">
        <f t="shared" si="268"/>
        <v>-4.1886938666444943E-3</v>
      </c>
      <c r="O1574">
        <f t="shared" si="269"/>
        <v>-1.8034563937877519</v>
      </c>
      <c r="P1574" s="1">
        <f t="shared" si="271"/>
        <v>4.5371748622987322</v>
      </c>
      <c r="Q1574" s="1">
        <f t="shared" si="272"/>
        <v>-90.170725342454276</v>
      </c>
      <c r="R1574">
        <f>SQRT(Tabelle2[[#This Row],[vx]]*Tabelle2[[#This Row],[vx]]+Tabelle2[[#This Row],[vy]]*Tabelle2[[#This Row],[vy]])</f>
        <v>90.284803065163757</v>
      </c>
      <c r="S1574">
        <f t="shared" si="273"/>
        <v>779.53586380726654</v>
      </c>
      <c r="T1574" s="1">
        <f t="shared" si="274"/>
        <v>-1509.4541560826108</v>
      </c>
    </row>
    <row r="1575" spans="6:20" x14ac:dyDescent="0.35">
      <c r="F1575" s="1">
        <f t="shared" si="270"/>
        <v>31.439999999999419</v>
      </c>
      <c r="G1575">
        <f>1/2*$B$8*$B$6*$B$7*(Tabelle2[[#This Row],[vx]]*Tabelle2[[#This Row],[vx]]+Tabelle2[[#This Row],[vy]]*Tabelle2[[#This Row],[vy]])/1000000</f>
        <v>14.420248253574773</v>
      </c>
      <c r="H1575">
        <f>IF($B$3,-Tabelle2[[#This Row],[Fd]]*Tabelle2[[#This Row],[vx]]/Tabelle2[[#This Row],[v]],0)</f>
        <v>-0.72310277483272667</v>
      </c>
      <c r="I1575">
        <f t="shared" si="264"/>
        <v>-0.48206851655515109</v>
      </c>
      <c r="J1575">
        <f t="shared" si="265"/>
        <v>-9.6413703311030215E-3</v>
      </c>
      <c r="K1575">
        <f t="shared" si="266"/>
        <v>9.0453852564836443E-2</v>
      </c>
      <c r="L1575">
        <f>-$B$5*$B$12-IF($B$3,Tabelle2[[#This Row],[Fd]]*Tabelle2[[#This Row],[vy]]/Tabelle2[[#This Row],[v]],0)</f>
        <v>-0.31289313774698257</v>
      </c>
      <c r="M1575">
        <f t="shared" si="267"/>
        <v>-0.20859542516465504</v>
      </c>
      <c r="N1575">
        <f t="shared" si="268"/>
        <v>-4.171908503293101E-3</v>
      </c>
      <c r="O1575">
        <f t="shared" si="269"/>
        <v>-1.8035399998114512</v>
      </c>
      <c r="P1575" s="1">
        <f t="shared" si="271"/>
        <v>4.5275133134073737</v>
      </c>
      <c r="Q1575" s="1">
        <f t="shared" si="272"/>
        <v>-90.174914036320914</v>
      </c>
      <c r="R1575">
        <f>SQRT(Tabelle2[[#This Row],[vx]]*Tabelle2[[#This Row],[vx]]+Tabelle2[[#This Row],[vy]]*Tabelle2[[#This Row],[vy]])</f>
        <v>90.288501473116426</v>
      </c>
      <c r="S1575">
        <f t="shared" si="273"/>
        <v>779.62651068902358</v>
      </c>
      <c r="T1575" s="1">
        <f t="shared" si="274"/>
        <v>-1511.2576124763984</v>
      </c>
    </row>
    <row r="1576" spans="6:20" x14ac:dyDescent="0.35">
      <c r="F1576" s="1">
        <f t="shared" si="270"/>
        <v>31.459999999999418</v>
      </c>
      <c r="G1576">
        <f>1/2*$B$8*$B$6*$B$7*(Tabelle2[[#This Row],[vx]]*Tabelle2[[#This Row],[vx]]+Tabelle2[[#This Row],[vy]]*Tabelle2[[#This Row],[vy]])/1000000</f>
        <v>14.421424956756436</v>
      </c>
      <c r="H1576">
        <f>IF($B$3,-Tabelle2[[#This Row],[Fd]]*Tabelle2[[#This Row],[vx]]/Tabelle2[[#This Row],[v]],0)</f>
        <v>-0.72159236200570287</v>
      </c>
      <c r="I1576">
        <f t="shared" si="264"/>
        <v>-0.48106157467046856</v>
      </c>
      <c r="J1576">
        <f t="shared" si="265"/>
        <v>-9.6212314934093716E-3</v>
      </c>
      <c r="K1576">
        <f t="shared" si="266"/>
        <v>9.0261226546591328E-2</v>
      </c>
      <c r="L1576">
        <f>-$B$5*$B$12-IF($B$3,Tabelle2[[#This Row],[Fd]]*Tabelle2[[#This Row],[vy]]/Tabelle2[[#This Row],[v]],0)</f>
        <v>-0.3116392030730406</v>
      </c>
      <c r="M1576">
        <f t="shared" si="267"/>
        <v>-0.20775946871536041</v>
      </c>
      <c r="N1576">
        <f t="shared" si="268"/>
        <v>-4.1551893743072086E-3</v>
      </c>
      <c r="O1576">
        <f t="shared" si="269"/>
        <v>-1.8036232707902273</v>
      </c>
      <c r="P1576" s="1">
        <f t="shared" si="271"/>
        <v>4.5178719430762708</v>
      </c>
      <c r="Q1576" s="1">
        <f t="shared" si="272"/>
        <v>-90.179085944824209</v>
      </c>
      <c r="R1576">
        <f>SQRT(Tabelle2[[#This Row],[vx]]*Tabelle2[[#This Row],[vx]]+Tabelle2[[#This Row],[vy]]*Tabelle2[[#This Row],[vy]])</f>
        <v>90.292185203028652</v>
      </c>
      <c r="S1576">
        <f t="shared" si="273"/>
        <v>779.71696454158837</v>
      </c>
      <c r="T1576" s="1">
        <f t="shared" si="274"/>
        <v>-1513.0611524762098</v>
      </c>
    </row>
    <row r="1577" spans="6:20" x14ac:dyDescent="0.35">
      <c r="F1577" s="1">
        <f t="shared" si="270"/>
        <v>31.479999999999418</v>
      </c>
      <c r="G1577">
        <f>1/2*$B$8*$B$6*$B$7*(Tabelle2[[#This Row],[vx]]*Tabelle2[[#This Row],[vx]]+Tabelle2[[#This Row],[vy]]*Tabelle2[[#This Row],[vy]])/1000000</f>
        <v>14.422597037280406</v>
      </c>
      <c r="H1577">
        <f>IF($B$3,-Tabelle2[[#This Row],[Fd]]*Tabelle2[[#This Row],[vx]]/Tabelle2[[#This Row],[v]],0)</f>
        <v>-0.7200849236275203</v>
      </c>
      <c r="I1577">
        <f t="shared" si="264"/>
        <v>-0.48005661575168018</v>
      </c>
      <c r="J1577">
        <f t="shared" si="265"/>
        <v>-9.6011323150336034E-3</v>
      </c>
      <c r="K1577">
        <f t="shared" si="266"/>
        <v>9.006900290850689E-2</v>
      </c>
      <c r="L1577">
        <f>-$B$5*$B$12-IF($B$3,Tabelle2[[#This Row],[Fd]]*Tabelle2[[#This Row],[vy]]/Tabelle2[[#This Row],[v]],0)</f>
        <v>-0.31039021692937752</v>
      </c>
      <c r="M1577">
        <f t="shared" si="267"/>
        <v>-0.20692681128625168</v>
      </c>
      <c r="N1577">
        <f t="shared" si="268"/>
        <v>-4.1385362257250332E-3</v>
      </c>
      <c r="O1577">
        <f t="shared" si="269"/>
        <v>-1.8037062080462274</v>
      </c>
      <c r="P1577" s="1">
        <f t="shared" si="271"/>
        <v>4.5082507115828614</v>
      </c>
      <c r="Q1577" s="1">
        <f t="shared" si="272"/>
        <v>-90.183241134198511</v>
      </c>
      <c r="R1577">
        <f>SQRT(Tabelle2[[#This Row],[vx]]*Tabelle2[[#This Row],[vx]]+Tabelle2[[#This Row],[vy]]*Tabelle2[[#This Row],[vy]])</f>
        <v>90.295854312075051</v>
      </c>
      <c r="S1577">
        <f t="shared" si="273"/>
        <v>779.80722576813491</v>
      </c>
      <c r="T1577" s="1">
        <f t="shared" si="274"/>
        <v>-1514.8647757470001</v>
      </c>
    </row>
    <row r="1578" spans="6:20" x14ac:dyDescent="0.35">
      <c r="F1578" s="1">
        <f t="shared" si="270"/>
        <v>31.499999999999417</v>
      </c>
      <c r="G1578">
        <f>1/2*$B$8*$B$6*$B$7*(Tabelle2[[#This Row],[vx]]*Tabelle2[[#This Row],[vx]]+Tabelle2[[#This Row],[vy]]*Tabelle2[[#This Row],[vy]])/1000000</f>
        <v>14.423764512773936</v>
      </c>
      <c r="H1578">
        <f>IF($B$3,-Tabelle2[[#This Row],[Fd]]*Tabelle2[[#This Row],[vx]]/Tabelle2[[#This Row],[v]],0)</f>
        <v>-0.71858045495519818</v>
      </c>
      <c r="I1578">
        <f t="shared" si="264"/>
        <v>-0.47905363663679879</v>
      </c>
      <c r="J1578">
        <f t="shared" si="265"/>
        <v>-9.5810727327359756E-3</v>
      </c>
      <c r="K1578">
        <f t="shared" si="266"/>
        <v>8.987718085802919E-2</v>
      </c>
      <c r="L1578">
        <f>-$B$5*$B$12-IF($B$3,Tabelle2[[#This Row],[Fd]]*Tabelle2[[#This Row],[vy]]/Tabelle2[[#This Row],[v]],0)</f>
        <v>-0.30914616033769704</v>
      </c>
      <c r="M1578">
        <f t="shared" si="267"/>
        <v>-0.20609744022513135</v>
      </c>
      <c r="N1578">
        <f t="shared" si="268"/>
        <v>-4.1219488045026271E-3</v>
      </c>
      <c r="O1578">
        <f t="shared" si="269"/>
        <v>-1.8037888128965298</v>
      </c>
      <c r="P1578" s="1">
        <f t="shared" si="271"/>
        <v>4.4986495792678278</v>
      </c>
      <c r="Q1578" s="1">
        <f t="shared" si="272"/>
        <v>-90.187379670424235</v>
      </c>
      <c r="R1578">
        <f>SQRT(Tabelle2[[#This Row],[vx]]*Tabelle2[[#This Row],[vx]]+Tabelle2[[#This Row],[vy]]*Tabelle2[[#This Row],[vy]])</f>
        <v>90.299508857215258</v>
      </c>
      <c r="S1578">
        <f t="shared" si="273"/>
        <v>779.89729477104345</v>
      </c>
      <c r="T1578" s="1">
        <f t="shared" si="274"/>
        <v>-1516.6684819550462</v>
      </c>
    </row>
    <row r="1579" spans="6:20" x14ac:dyDescent="0.35">
      <c r="F1579" s="1">
        <f t="shared" si="270"/>
        <v>31.519999999999417</v>
      </c>
      <c r="G1579">
        <f>1/2*$B$8*$B$6*$B$7*(Tabelle2[[#This Row],[vx]]*Tabelle2[[#This Row],[vx]]+Tabelle2[[#This Row],[vy]]*Tabelle2[[#This Row],[vy]])/1000000</f>
        <v>14.424927400801019</v>
      </c>
      <c r="H1579">
        <f>IF($B$3,-Tabelle2[[#This Row],[Fd]]*Tabelle2[[#This Row],[vx]]/Tabelle2[[#This Row],[v]],0)</f>
        <v>-0.71707895124614796</v>
      </c>
      <c r="I1579">
        <f t="shared" si="264"/>
        <v>-0.47805263416409866</v>
      </c>
      <c r="J1579">
        <f t="shared" si="265"/>
        <v>-9.5610526832819731E-3</v>
      </c>
      <c r="K1579">
        <f t="shared" si="266"/>
        <v>8.9685759603869028E-2</v>
      </c>
      <c r="L1579">
        <f>-$B$5*$B$12-IF($B$3,Tabelle2[[#This Row],[Fd]]*Tabelle2[[#This Row],[vy]]/Tabelle2[[#This Row],[v]],0)</f>
        <v>-0.30790701438836976</v>
      </c>
      <c r="M1579">
        <f t="shared" si="267"/>
        <v>-0.20527134292557983</v>
      </c>
      <c r="N1579">
        <f t="shared" si="268"/>
        <v>-4.1054268585115966E-3</v>
      </c>
      <c r="O1579">
        <f t="shared" si="269"/>
        <v>-1.8038710866531598</v>
      </c>
      <c r="P1579" s="1">
        <f t="shared" si="271"/>
        <v>4.4890685065350917</v>
      </c>
      <c r="Q1579" s="1">
        <f t="shared" si="272"/>
        <v>-90.191501619228731</v>
      </c>
      <c r="R1579">
        <f>SQRT(Tabelle2[[#This Row],[vx]]*Tabelle2[[#This Row],[vx]]+Tabelle2[[#This Row],[vy]]*Tabelle2[[#This Row],[vy]])</f>
        <v>90.303148895194695</v>
      </c>
      <c r="S1579">
        <f t="shared" si="273"/>
        <v>779.98717195190147</v>
      </c>
      <c r="T1579" s="1">
        <f t="shared" si="274"/>
        <v>-1518.4722707679427</v>
      </c>
    </row>
    <row r="1580" spans="6:20" x14ac:dyDescent="0.35">
      <c r="F1580" s="1">
        <f t="shared" si="270"/>
        <v>31.539999999999417</v>
      </c>
      <c r="G1580">
        <f>1/2*$B$8*$B$6*$B$7*(Tabelle2[[#This Row],[vx]]*Tabelle2[[#This Row],[vx]]+Tabelle2[[#This Row],[vy]]*Tabelle2[[#This Row],[vy]])/1000000</f>
        <v>14.426085718862625</v>
      </c>
      <c r="H1580">
        <f>IF($B$3,-Tabelle2[[#This Row],[Fd]]*Tabelle2[[#This Row],[vx]]/Tabelle2[[#This Row],[v]],0)</f>
        <v>-0.71558040775822973</v>
      </c>
      <c r="I1580">
        <f t="shared" si="264"/>
        <v>-0.47705360517215317</v>
      </c>
      <c r="J1580">
        <f t="shared" si="265"/>
        <v>-9.5410721034430643E-3</v>
      </c>
      <c r="K1580">
        <f t="shared" si="266"/>
        <v>8.9494738356001746E-2</v>
      </c>
      <c r="L1580">
        <f>-$B$5*$B$12-IF($B$3,Tabelle2[[#This Row],[Fd]]*Tabelle2[[#This Row],[vy]]/Tabelle2[[#This Row],[v]],0)</f>
        <v>-0.30667276024018086</v>
      </c>
      <c r="M1580">
        <f t="shared" si="267"/>
        <v>-0.20444850682678725</v>
      </c>
      <c r="N1580">
        <f t="shared" si="268"/>
        <v>-4.0889701365357453E-3</v>
      </c>
      <c r="O1580">
        <f t="shared" si="269"/>
        <v>-1.8039530306231104</v>
      </c>
      <c r="P1580" s="1">
        <f t="shared" si="271"/>
        <v>4.4795074538518094</v>
      </c>
      <c r="Q1580" s="1">
        <f t="shared" si="272"/>
        <v>-90.195607046087247</v>
      </c>
      <c r="R1580">
        <f>SQRT(Tabelle2[[#This Row],[vx]]*Tabelle2[[#This Row],[vx]]+Tabelle2[[#This Row],[vy]]*Tabelle2[[#This Row],[vy]])</f>
        <v>90.306774482545308</v>
      </c>
      <c r="S1580">
        <f t="shared" si="273"/>
        <v>780.07685771150534</v>
      </c>
      <c r="T1580" s="1">
        <f t="shared" si="274"/>
        <v>-1520.2761418545958</v>
      </c>
    </row>
    <row r="1581" spans="6:20" x14ac:dyDescent="0.35">
      <c r="F1581" s="1">
        <f t="shared" si="270"/>
        <v>31.559999999999416</v>
      </c>
      <c r="G1581">
        <f>1/2*$B$8*$B$6*$B$7*(Tabelle2[[#This Row],[vx]]*Tabelle2[[#This Row],[vx]]+Tabelle2[[#This Row],[vy]]*Tabelle2[[#This Row],[vy]])/1000000</f>
        <v>14.427239484396857</v>
      </c>
      <c r="H1581">
        <f>IF($B$3,-Tabelle2[[#This Row],[Fd]]*Tabelle2[[#This Row],[vx]]/Tabelle2[[#This Row],[v]],0)</f>
        <v>-0.7140848197498072</v>
      </c>
      <c r="I1581">
        <f t="shared" si="264"/>
        <v>-0.47605654649987145</v>
      </c>
      <c r="J1581">
        <f t="shared" si="265"/>
        <v>-9.5211309299974289E-3</v>
      </c>
      <c r="K1581">
        <f t="shared" si="266"/>
        <v>8.9304116325667357E-2</v>
      </c>
      <c r="L1581">
        <f>-$B$5*$B$12-IF($B$3,Tabelle2[[#This Row],[Fd]]*Tabelle2[[#This Row],[vy]]/Tabelle2[[#This Row],[v]],0)</f>
        <v>-0.30544337912014008</v>
      </c>
      <c r="M1581">
        <f t="shared" si="267"/>
        <v>-0.20362891941342673</v>
      </c>
      <c r="N1581">
        <f t="shared" si="268"/>
        <v>-4.0725783882685348E-3</v>
      </c>
      <c r="O1581">
        <f t="shared" si="269"/>
        <v>-1.8040346461083585</v>
      </c>
      <c r="P1581" s="1">
        <f t="shared" si="271"/>
        <v>4.4699663817483666</v>
      </c>
      <c r="Q1581" s="1">
        <f t="shared" si="272"/>
        <v>-90.199696016223783</v>
      </c>
      <c r="R1581">
        <f>SQRT(Tabelle2[[#This Row],[vx]]*Tabelle2[[#This Row],[vx]]+Tabelle2[[#This Row],[vy]]*Tabelle2[[#This Row],[vy]])</f>
        <v>90.310385675586261</v>
      </c>
      <c r="S1581">
        <f t="shared" si="273"/>
        <v>780.16635244986139</v>
      </c>
      <c r="T1581" s="1">
        <f t="shared" si="274"/>
        <v>-1522.0800948852188</v>
      </c>
    </row>
  </sheetData>
  <mergeCells count="2">
    <mergeCell ref="A16:B16"/>
    <mergeCell ref="A25:B25"/>
  </mergeCells>
  <pageMargins left="0.7" right="0.7" top="0.78740157499999996" bottom="0.78740157499999996" header="0.3" footer="0.3"/>
  <pageSetup paperSize="9" orientation="portrait" r:id="rId1"/>
  <ignoredErrors>
    <ignoredError sqref="S3 P3:Q3 F3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61F0-1425-4947-98B2-E211FA8DA0D0}">
  <sheetPr codeName="Tabelle4">
    <tabColor theme="5" tint="0.59999389629810485"/>
  </sheetPr>
  <dimension ref="A1:C25"/>
  <sheetViews>
    <sheetView zoomScale="113" zoomScaleNormal="160" workbookViewId="0">
      <selection activeCell="J32" sqref="J32"/>
    </sheetView>
  </sheetViews>
  <sheetFormatPr defaultColWidth="9.08984375" defaultRowHeight="14.5" x14ac:dyDescent="0.35"/>
  <cols>
    <col min="1" max="1" width="21.6328125" customWidth="1"/>
    <col min="2" max="2" width="9.90625" bestFit="1" customWidth="1"/>
    <col min="3" max="3" width="25.54296875" bestFit="1" customWidth="1"/>
  </cols>
  <sheetData>
    <row r="1" spans="1:3" x14ac:dyDescent="0.35">
      <c r="A1" s="2" t="s">
        <v>6</v>
      </c>
    </row>
    <row r="2" spans="1:3" x14ac:dyDescent="0.35">
      <c r="A2" s="9" t="s">
        <v>21</v>
      </c>
      <c r="B2" s="9">
        <f>Main!B8</f>
        <v>60</v>
      </c>
    </row>
    <row r="3" spans="1:3" x14ac:dyDescent="0.35">
      <c r="A3" s="9" t="s">
        <v>114</v>
      </c>
      <c r="B3" s="9">
        <f>Main!B14</f>
        <v>0.75</v>
      </c>
    </row>
    <row r="4" spans="1:3" x14ac:dyDescent="0.35">
      <c r="A4" s="9" t="s">
        <v>113</v>
      </c>
      <c r="B4" s="9">
        <f>Main!B15</f>
        <v>3850</v>
      </c>
    </row>
    <row r="5" spans="1:3" x14ac:dyDescent="0.35">
      <c r="A5" s="9" t="s">
        <v>112</v>
      </c>
      <c r="B5" s="9">
        <f>Main!B16</f>
        <v>1.225225</v>
      </c>
    </row>
    <row r="6" spans="1:3" x14ac:dyDescent="0.35">
      <c r="A6" s="9" t="s">
        <v>7</v>
      </c>
      <c r="B6" s="15">
        <f>Main!B22</f>
        <v>2</v>
      </c>
    </row>
    <row r="10" spans="1:3" x14ac:dyDescent="0.35">
      <c r="A10" s="2" t="s">
        <v>13</v>
      </c>
    </row>
    <row r="11" spans="1:3" x14ac:dyDescent="0.35">
      <c r="A11" t="s">
        <v>74</v>
      </c>
    </row>
    <row r="12" spans="1:3" x14ac:dyDescent="0.35">
      <c r="A12" s="9" t="s">
        <v>89</v>
      </c>
      <c r="B12" s="9">
        <f>Main!B66</f>
        <v>13.413716694115408</v>
      </c>
    </row>
    <row r="13" spans="1:3" x14ac:dyDescent="0.35">
      <c r="A13" s="4" t="s">
        <v>24</v>
      </c>
      <c r="B13" s="4">
        <f>Kinematics2!B26/B2</f>
        <v>0.81466268468083425</v>
      </c>
    </row>
    <row r="14" spans="1:3" x14ac:dyDescent="0.35">
      <c r="A14" s="4" t="s">
        <v>25</v>
      </c>
      <c r="B14" s="4">
        <f>B13*B6</f>
        <v>1.6293253693616685</v>
      </c>
    </row>
    <row r="15" spans="1:3" x14ac:dyDescent="0.35">
      <c r="A15" s="4" t="s">
        <v>26</v>
      </c>
      <c r="B15" s="3">
        <f>(Kinematics2!B18^2)/B6</f>
        <v>4778.4620866419673</v>
      </c>
      <c r="C15" t="s">
        <v>30</v>
      </c>
    </row>
    <row r="16" spans="1:3" x14ac:dyDescent="0.35">
      <c r="A16" s="4" t="s">
        <v>27</v>
      </c>
      <c r="B16" s="4">
        <f>B15/Kinematics2!B12</f>
        <v>487.1011301367958</v>
      </c>
      <c r="C16" t="s">
        <v>29</v>
      </c>
    </row>
    <row r="18" spans="1:3" x14ac:dyDescent="0.35">
      <c r="A18" t="s">
        <v>111</v>
      </c>
    </row>
    <row r="19" spans="1:3" x14ac:dyDescent="0.35">
      <c r="A19" s="4" t="s">
        <v>118</v>
      </c>
      <c r="B19" s="12">
        <f>(1/2)*B5*Kinematics2!B18^2*(B4/10^6)*B3</f>
        <v>16.905420869180798</v>
      </c>
      <c r="C19" t="s">
        <v>119</v>
      </c>
    </row>
    <row r="22" spans="1:3" x14ac:dyDescent="0.35">
      <c r="A22" s="4" t="s">
        <v>120</v>
      </c>
      <c r="B22" s="4">
        <f>B19*B6</f>
        <v>33.810841738361596</v>
      </c>
      <c r="C22" t="s">
        <v>122</v>
      </c>
    </row>
    <row r="23" spans="1:3" x14ac:dyDescent="0.35">
      <c r="A23" s="4" t="s">
        <v>123</v>
      </c>
      <c r="B23" s="4">
        <f>B12*B13</f>
        <v>10.927654453576183</v>
      </c>
      <c r="C23" t="s">
        <v>121</v>
      </c>
    </row>
    <row r="24" spans="1:3" x14ac:dyDescent="0.35">
      <c r="A24" s="4" t="s">
        <v>31</v>
      </c>
      <c r="B24" s="4">
        <f>B22+B23</f>
        <v>44.738496191937777</v>
      </c>
      <c r="C24" t="s">
        <v>33</v>
      </c>
    </row>
    <row r="25" spans="1:3" x14ac:dyDescent="0.35">
      <c r="A25" s="4" t="s">
        <v>32</v>
      </c>
      <c r="B25" s="4">
        <f>B24*Kinematics2!B26</f>
        <v>2186.8070049784383</v>
      </c>
      <c r="C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03447-821E-4DCC-8077-9974D92C12A7}">
  <sheetPr codeName="Tabelle5">
    <tabColor theme="9" tint="0.59999389629810485"/>
  </sheetPr>
  <dimension ref="A1:E5"/>
  <sheetViews>
    <sheetView zoomScale="110" zoomScaleNormal="190" workbookViewId="0">
      <selection activeCell="B19" sqref="B19"/>
    </sheetView>
  </sheetViews>
  <sheetFormatPr defaultColWidth="9.08984375" defaultRowHeight="14.5" x14ac:dyDescent="0.35"/>
  <cols>
    <col min="1" max="1" width="13.453125" bestFit="1" customWidth="1"/>
    <col min="2" max="2" width="20.54296875" bestFit="1" customWidth="1"/>
    <col min="3" max="3" width="21.54296875" bestFit="1" customWidth="1"/>
    <col min="4" max="4" width="24.90625" bestFit="1" customWidth="1"/>
    <col min="5" max="5" width="20.08984375" bestFit="1" customWidth="1"/>
  </cols>
  <sheetData>
    <row r="1" spans="1:5" x14ac:dyDescent="0.35">
      <c r="A1" t="s">
        <v>51</v>
      </c>
      <c r="B1" t="s">
        <v>53</v>
      </c>
      <c r="C1" t="s">
        <v>99</v>
      </c>
      <c r="D1" t="s">
        <v>54</v>
      </c>
      <c r="E1" t="s">
        <v>55</v>
      </c>
    </row>
    <row r="2" spans="1:5" x14ac:dyDescent="0.35">
      <c r="A2" t="s">
        <v>52</v>
      </c>
      <c r="B2">
        <v>81</v>
      </c>
      <c r="C2">
        <v>210000</v>
      </c>
      <c r="D2">
        <v>7850</v>
      </c>
      <c r="E2">
        <v>235</v>
      </c>
    </row>
    <row r="3" spans="1:5" x14ac:dyDescent="0.35">
      <c r="A3" t="s">
        <v>57</v>
      </c>
      <c r="B3">
        <v>15</v>
      </c>
      <c r="C3">
        <v>228000</v>
      </c>
      <c r="D3">
        <v>1500</v>
      </c>
      <c r="E3">
        <v>600</v>
      </c>
    </row>
    <row r="4" spans="1:5" x14ac:dyDescent="0.35">
      <c r="A4" t="s">
        <v>59</v>
      </c>
      <c r="B4">
        <v>26</v>
      </c>
      <c r="C4">
        <v>68000</v>
      </c>
      <c r="D4">
        <v>2700</v>
      </c>
      <c r="E4">
        <v>170</v>
      </c>
    </row>
    <row r="5" spans="1:5" x14ac:dyDescent="0.35">
      <c r="A5" t="s">
        <v>60</v>
      </c>
      <c r="B5" t="s">
        <v>61</v>
      </c>
      <c r="C5">
        <v>9860</v>
      </c>
      <c r="D5" t="s">
        <v>61</v>
      </c>
      <c r="E5">
        <v>168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98FD-AEBB-40A6-BF5F-3A3984BC9D2D}">
  <sheetPr codeName="Tabelle6">
    <tabColor rgb="FF00B050"/>
  </sheetPr>
  <dimension ref="A1"/>
  <sheetViews>
    <sheetView zoomScale="136" zoomScaleNormal="160" workbookViewId="0">
      <selection activeCell="B10" sqref="B10"/>
    </sheetView>
  </sheetViews>
  <sheetFormatPr defaultColWidth="9.08984375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68F8-37DA-42DA-B117-EB459BE3AA07}">
  <sheetPr codeName="Tabelle2">
    <tabColor theme="5" tint="0.59999389629810485"/>
  </sheetPr>
  <dimension ref="A1:K1581"/>
  <sheetViews>
    <sheetView zoomScale="97" zoomScaleNormal="160" workbookViewId="0">
      <selection activeCell="K37" sqref="K37"/>
    </sheetView>
  </sheetViews>
  <sheetFormatPr defaultColWidth="9.08984375" defaultRowHeight="14.5" x14ac:dyDescent="0.35"/>
  <cols>
    <col min="1" max="1" width="14.54296875" customWidth="1"/>
    <col min="2" max="2" width="8.6328125" style="1"/>
    <col min="6" max="6" width="10" bestFit="1" customWidth="1"/>
    <col min="10" max="10" width="18.90625" customWidth="1"/>
  </cols>
  <sheetData>
    <row r="1" spans="1:11" x14ac:dyDescent="0.35">
      <c r="A1" s="2" t="s">
        <v>6</v>
      </c>
      <c r="F1" s="2" t="s">
        <v>15</v>
      </c>
      <c r="J1" s="2" t="s">
        <v>16</v>
      </c>
    </row>
    <row r="2" spans="1:11" x14ac:dyDescent="0.35">
      <c r="A2" s="9" t="s">
        <v>0</v>
      </c>
      <c r="B2" s="15">
        <f>Main!B3</f>
        <v>200</v>
      </c>
      <c r="F2" s="5" t="s">
        <v>20</v>
      </c>
      <c r="G2" s="5" t="s">
        <v>18</v>
      </c>
      <c r="H2" s="5" t="s">
        <v>19</v>
      </c>
      <c r="J2" t="s">
        <v>17</v>
      </c>
      <c r="K2">
        <f>COUNTIF(H:H,"&gt;0")+1</f>
        <v>639</v>
      </c>
    </row>
    <row r="3" spans="1:11" x14ac:dyDescent="0.35">
      <c r="A3" s="8" t="s">
        <v>1</v>
      </c>
      <c r="B3" s="15">
        <f>Main!B5</f>
        <v>40</v>
      </c>
      <c r="F3">
        <v>0</v>
      </c>
      <c r="G3">
        <f t="shared" ref="G3:G66" si="0">$B$15*F3</f>
        <v>0</v>
      </c>
      <c r="H3">
        <f t="shared" ref="H3:H66" si="1">$B$13*F3-($B$8*F3^2)/2+$B$12</f>
        <v>1.7144247806269215</v>
      </c>
    </row>
    <row r="4" spans="1:11" x14ac:dyDescent="0.35">
      <c r="F4">
        <v>0.02</v>
      </c>
      <c r="G4">
        <f t="shared" si="0"/>
        <v>1.0467394398169905</v>
      </c>
      <c r="H4">
        <f t="shared" si="1"/>
        <v>2.9599182685388712</v>
      </c>
    </row>
    <row r="5" spans="1:11" x14ac:dyDescent="0.35">
      <c r="F5">
        <v>0.04</v>
      </c>
      <c r="G5">
        <f t="shared" si="0"/>
        <v>2.0934788796339809</v>
      </c>
      <c r="H5">
        <f t="shared" si="1"/>
        <v>4.2014877564508204</v>
      </c>
    </row>
    <row r="6" spans="1:11" x14ac:dyDescent="0.35">
      <c r="F6">
        <v>0.06</v>
      </c>
      <c r="G6">
        <f t="shared" si="0"/>
        <v>3.1402183194509714</v>
      </c>
      <c r="H6">
        <f t="shared" si="1"/>
        <v>5.43913324436277</v>
      </c>
    </row>
    <row r="7" spans="1:11" x14ac:dyDescent="0.35">
      <c r="A7" s="2" t="s">
        <v>9</v>
      </c>
      <c r="F7">
        <v>0.08</v>
      </c>
      <c r="G7">
        <f t="shared" si="0"/>
        <v>4.1869577592679619</v>
      </c>
      <c r="H7">
        <f t="shared" si="1"/>
        <v>6.6728547322747191</v>
      </c>
    </row>
    <row r="8" spans="1:11" x14ac:dyDescent="0.35">
      <c r="A8" s="21" t="s">
        <v>10</v>
      </c>
      <c r="B8" s="22">
        <v>9.81</v>
      </c>
      <c r="F8">
        <v>0.1</v>
      </c>
      <c r="G8">
        <f t="shared" si="0"/>
        <v>5.2336971990849532</v>
      </c>
      <c r="H8">
        <f t="shared" si="1"/>
        <v>7.9026522201866687</v>
      </c>
    </row>
    <row r="9" spans="1:11" x14ac:dyDescent="0.35">
      <c r="F9">
        <v>0.12</v>
      </c>
      <c r="G9">
        <f t="shared" si="0"/>
        <v>6.2804366389019428</v>
      </c>
      <c r="H9">
        <f t="shared" si="1"/>
        <v>9.1285257080986177</v>
      </c>
    </row>
    <row r="10" spans="1:11" x14ac:dyDescent="0.35">
      <c r="A10" s="2" t="s">
        <v>45</v>
      </c>
      <c r="F10">
        <v>0.14000000000000001</v>
      </c>
      <c r="G10">
        <f t="shared" si="0"/>
        <v>7.3271760787189342</v>
      </c>
      <c r="H10">
        <f t="shared" si="1"/>
        <v>10.350475196010567</v>
      </c>
    </row>
    <row r="11" spans="1:11" x14ac:dyDescent="0.35">
      <c r="A11" s="29" t="s">
        <v>75</v>
      </c>
      <c r="B11" s="29"/>
      <c r="F11">
        <v>0.16</v>
      </c>
      <c r="G11">
        <f t="shared" si="0"/>
        <v>8.3739155185359238</v>
      </c>
      <c r="H11">
        <f t="shared" si="1"/>
        <v>11.568500683922519</v>
      </c>
    </row>
    <row r="12" spans="1:11" x14ac:dyDescent="0.35">
      <c r="A12" s="4" t="s">
        <v>2</v>
      </c>
      <c r="B12" s="3">
        <f>Main!B19-Main!B22*SIN(RADIANS(B3))</f>
        <v>1.7144247806269215</v>
      </c>
      <c r="F12">
        <v>0.18</v>
      </c>
      <c r="G12">
        <f t="shared" si="0"/>
        <v>9.4206549583529142</v>
      </c>
      <c r="H12">
        <f t="shared" si="1"/>
        <v>12.782602171834466</v>
      </c>
    </row>
    <row r="13" spans="1:11" x14ac:dyDescent="0.35">
      <c r="A13" s="4" t="s">
        <v>3</v>
      </c>
      <c r="B13" s="3">
        <f>SQRT(2*B8*(B2-B12))</f>
        <v>62.372774395597474</v>
      </c>
      <c r="F13">
        <v>0.2</v>
      </c>
      <c r="G13">
        <f t="shared" si="0"/>
        <v>10.467394398169906</v>
      </c>
      <c r="H13">
        <f t="shared" si="1"/>
        <v>13.992779659746418</v>
      </c>
    </row>
    <row r="14" spans="1:11" x14ac:dyDescent="0.35">
      <c r="A14" s="4" t="s">
        <v>4</v>
      </c>
      <c r="B14" s="3">
        <f>B13/COS(RADIANS(B3))</f>
        <v>81.421874351890651</v>
      </c>
      <c r="F14">
        <v>0.22</v>
      </c>
      <c r="G14">
        <f t="shared" si="0"/>
        <v>11.514133837986895</v>
      </c>
      <c r="H14">
        <f t="shared" si="1"/>
        <v>15.199033147658366</v>
      </c>
    </row>
    <row r="15" spans="1:11" x14ac:dyDescent="0.35">
      <c r="A15" s="4" t="s">
        <v>5</v>
      </c>
      <c r="B15" s="3">
        <f>B14*SIN(RADIANS(B3))</f>
        <v>52.336971990849527</v>
      </c>
      <c r="F15">
        <v>0.24</v>
      </c>
      <c r="G15">
        <f t="shared" si="0"/>
        <v>12.560873277803886</v>
      </c>
      <c r="H15">
        <f t="shared" si="1"/>
        <v>16.401362635570315</v>
      </c>
    </row>
    <row r="16" spans="1:11" x14ac:dyDescent="0.35">
      <c r="A16" s="4" t="s">
        <v>14</v>
      </c>
      <c r="B16" s="3">
        <f>B13/B8</f>
        <v>6.3580809781444927</v>
      </c>
      <c r="F16">
        <v>0.26</v>
      </c>
      <c r="G16">
        <f t="shared" si="0"/>
        <v>13.607612717620878</v>
      </c>
      <c r="H16">
        <f t="shared" si="1"/>
        <v>17.599768123482264</v>
      </c>
    </row>
    <row r="17" spans="1:8" x14ac:dyDescent="0.35">
      <c r="A17" s="4" t="s">
        <v>11</v>
      </c>
      <c r="B17" s="3">
        <f>(B13+SQRT(B13^2+2*B12*B8))/B8</f>
        <v>12.743589546285502</v>
      </c>
      <c r="F17">
        <v>0.28000000000000003</v>
      </c>
      <c r="G17">
        <f t="shared" si="0"/>
        <v>14.654352157437868</v>
      </c>
      <c r="H17">
        <f t="shared" si="1"/>
        <v>18.794249611394214</v>
      </c>
    </row>
    <row r="18" spans="1:8" x14ac:dyDescent="0.35">
      <c r="A18" s="4" t="s">
        <v>12</v>
      </c>
      <c r="B18" s="3">
        <f>B15*B17</f>
        <v>666.96088914682718</v>
      </c>
      <c r="F18">
        <v>0.3</v>
      </c>
      <c r="G18">
        <f t="shared" si="0"/>
        <v>15.701091597254857</v>
      </c>
      <c r="H18">
        <f t="shared" si="1"/>
        <v>19.984807099306163</v>
      </c>
    </row>
    <row r="19" spans="1:8" x14ac:dyDescent="0.35">
      <c r="F19">
        <v>0.32</v>
      </c>
      <c r="G19">
        <f t="shared" si="0"/>
        <v>16.747831037071848</v>
      </c>
      <c r="H19">
        <f t="shared" si="1"/>
        <v>21.171440587218111</v>
      </c>
    </row>
    <row r="20" spans="1:8" x14ac:dyDescent="0.35">
      <c r="A20" s="29" t="s">
        <v>76</v>
      </c>
      <c r="B20" s="29"/>
      <c r="F20">
        <v>0.34</v>
      </c>
      <c r="G20">
        <f t="shared" si="0"/>
        <v>17.79457047688884</v>
      </c>
      <c r="H20">
        <f t="shared" si="1"/>
        <v>22.354150075130061</v>
      </c>
    </row>
    <row r="21" spans="1:8" x14ac:dyDescent="0.35">
      <c r="A21" s="6" t="s">
        <v>23</v>
      </c>
      <c r="B21" s="3">
        <f>B14/Main!B22</f>
        <v>40.710937175945325</v>
      </c>
      <c r="F21">
        <v>0.36</v>
      </c>
      <c r="G21">
        <f t="shared" si="0"/>
        <v>18.841309916705828</v>
      </c>
      <c r="H21">
        <f t="shared" si="1"/>
        <v>23.53293556304201</v>
      </c>
    </row>
    <row r="22" spans="1:8" x14ac:dyDescent="0.35">
      <c r="A22" s="4" t="s">
        <v>22</v>
      </c>
      <c r="B22" s="4">
        <f>B21/(2*PI())</f>
        <v>6.4793468894553046</v>
      </c>
      <c r="F22">
        <v>0.38</v>
      </c>
      <c r="G22">
        <f t="shared" si="0"/>
        <v>19.888049356522821</v>
      </c>
      <c r="H22">
        <f t="shared" si="1"/>
        <v>24.70779705095396</v>
      </c>
    </row>
    <row r="23" spans="1:8" x14ac:dyDescent="0.35">
      <c r="A23" s="4" t="s">
        <v>28</v>
      </c>
      <c r="B23" s="4">
        <f>30*B21/PI()</f>
        <v>388.76081336731829</v>
      </c>
      <c r="F23">
        <v>0.4</v>
      </c>
      <c r="G23">
        <f t="shared" si="0"/>
        <v>20.934788796339813</v>
      </c>
      <c r="H23">
        <f t="shared" si="1"/>
        <v>25.87873453886591</v>
      </c>
    </row>
    <row r="24" spans="1:8" x14ac:dyDescent="0.35">
      <c r="F24">
        <v>0.42</v>
      </c>
      <c r="G24">
        <f t="shared" si="0"/>
        <v>21.981528236156802</v>
      </c>
      <c r="H24">
        <f t="shared" si="1"/>
        <v>27.045748026777861</v>
      </c>
    </row>
    <row r="25" spans="1:8" x14ac:dyDescent="0.35">
      <c r="F25">
        <v>0.44</v>
      </c>
      <c r="G25">
        <f t="shared" si="0"/>
        <v>23.02826767597379</v>
      </c>
      <c r="H25">
        <f t="shared" si="1"/>
        <v>28.208837514689808</v>
      </c>
    </row>
    <row r="26" spans="1:8" x14ac:dyDescent="0.35">
      <c r="F26">
        <v>0.46</v>
      </c>
      <c r="G26">
        <f t="shared" si="0"/>
        <v>24.075007115790783</v>
      </c>
      <c r="H26">
        <f t="shared" si="1"/>
        <v>29.36800300260176</v>
      </c>
    </row>
    <row r="27" spans="1:8" x14ac:dyDescent="0.35">
      <c r="F27">
        <v>0.48</v>
      </c>
      <c r="G27">
        <f t="shared" si="0"/>
        <v>25.121746555607771</v>
      </c>
      <c r="H27">
        <f t="shared" si="1"/>
        <v>30.523244490513708</v>
      </c>
    </row>
    <row r="28" spans="1:8" x14ac:dyDescent="0.35">
      <c r="F28">
        <v>0.5</v>
      </c>
      <c r="G28">
        <f t="shared" si="0"/>
        <v>26.168485995424764</v>
      </c>
      <c r="H28">
        <f t="shared" si="1"/>
        <v>31.674561978425658</v>
      </c>
    </row>
    <row r="29" spans="1:8" x14ac:dyDescent="0.35">
      <c r="F29">
        <v>0.52</v>
      </c>
      <c r="G29">
        <f t="shared" si="0"/>
        <v>27.215225435241756</v>
      </c>
      <c r="H29">
        <f t="shared" si="1"/>
        <v>32.821955466337606</v>
      </c>
    </row>
    <row r="30" spans="1:8" x14ac:dyDescent="0.35">
      <c r="F30">
        <v>0.54</v>
      </c>
      <c r="G30">
        <f t="shared" si="0"/>
        <v>28.261964875058748</v>
      </c>
      <c r="H30">
        <f t="shared" si="1"/>
        <v>33.965424954249556</v>
      </c>
    </row>
    <row r="31" spans="1:8" x14ac:dyDescent="0.35">
      <c r="F31">
        <v>0.56000000000000005</v>
      </c>
      <c r="G31">
        <f t="shared" si="0"/>
        <v>29.308704314875737</v>
      </c>
      <c r="H31">
        <f t="shared" si="1"/>
        <v>35.104970442161509</v>
      </c>
    </row>
    <row r="32" spans="1:8" x14ac:dyDescent="0.35">
      <c r="F32">
        <v>0.57999999999999996</v>
      </c>
      <c r="G32">
        <f t="shared" si="0"/>
        <v>30.355443754692722</v>
      </c>
      <c r="H32">
        <f t="shared" si="1"/>
        <v>36.240591930073457</v>
      </c>
    </row>
    <row r="33" spans="6:8" x14ac:dyDescent="0.35">
      <c r="F33">
        <v>0.6</v>
      </c>
      <c r="G33">
        <f t="shared" si="0"/>
        <v>31.402183194509714</v>
      </c>
      <c r="H33">
        <f t="shared" si="1"/>
        <v>37.372289417985407</v>
      </c>
    </row>
    <row r="34" spans="6:8" x14ac:dyDescent="0.35">
      <c r="F34">
        <v>0.62</v>
      </c>
      <c r="G34">
        <f t="shared" si="0"/>
        <v>32.448922634326706</v>
      </c>
      <c r="H34">
        <f t="shared" si="1"/>
        <v>38.500062905897352</v>
      </c>
    </row>
    <row r="35" spans="6:8" x14ac:dyDescent="0.35">
      <c r="F35">
        <v>0.64</v>
      </c>
      <c r="G35">
        <f t="shared" si="0"/>
        <v>33.495662074143695</v>
      </c>
      <c r="H35">
        <f t="shared" si="1"/>
        <v>39.623912393809306</v>
      </c>
    </row>
    <row r="36" spans="6:8" x14ac:dyDescent="0.35">
      <c r="F36">
        <v>0.66</v>
      </c>
      <c r="G36">
        <f t="shared" si="0"/>
        <v>34.542401513960691</v>
      </c>
      <c r="H36">
        <f t="shared" si="1"/>
        <v>40.743837881721255</v>
      </c>
    </row>
    <row r="37" spans="6:8" x14ac:dyDescent="0.35">
      <c r="F37">
        <v>0.68</v>
      </c>
      <c r="G37">
        <f t="shared" si="0"/>
        <v>35.589140953777679</v>
      </c>
      <c r="H37">
        <f t="shared" si="1"/>
        <v>41.8598393696332</v>
      </c>
    </row>
    <row r="38" spans="6:8" x14ac:dyDescent="0.35">
      <c r="F38">
        <v>0.7</v>
      </c>
      <c r="G38">
        <f t="shared" si="0"/>
        <v>36.635880393594668</v>
      </c>
      <c r="H38">
        <f t="shared" si="1"/>
        <v>42.971916857545153</v>
      </c>
    </row>
    <row r="39" spans="6:8" x14ac:dyDescent="0.35">
      <c r="F39">
        <v>0.72</v>
      </c>
      <c r="G39">
        <f t="shared" si="0"/>
        <v>37.682619833411657</v>
      </c>
      <c r="H39">
        <f t="shared" si="1"/>
        <v>44.080070345457102</v>
      </c>
    </row>
    <row r="40" spans="6:8" x14ac:dyDescent="0.35">
      <c r="F40">
        <v>0.74</v>
      </c>
      <c r="G40">
        <f t="shared" si="0"/>
        <v>38.729359273228653</v>
      </c>
      <c r="H40">
        <f t="shared" si="1"/>
        <v>45.184299833369053</v>
      </c>
    </row>
    <row r="41" spans="6:8" x14ac:dyDescent="0.35">
      <c r="F41">
        <v>0.76</v>
      </c>
      <c r="G41">
        <f t="shared" si="0"/>
        <v>39.776098713045641</v>
      </c>
      <c r="H41">
        <f t="shared" si="1"/>
        <v>46.284605321280999</v>
      </c>
    </row>
    <row r="42" spans="6:8" x14ac:dyDescent="0.35">
      <c r="F42">
        <v>0.78</v>
      </c>
      <c r="G42">
        <f t="shared" si="0"/>
        <v>40.82283815286263</v>
      </c>
      <c r="H42">
        <f t="shared" si="1"/>
        <v>47.380986809192947</v>
      </c>
    </row>
    <row r="43" spans="6:8" x14ac:dyDescent="0.35">
      <c r="F43">
        <v>0.8</v>
      </c>
      <c r="G43">
        <f t="shared" si="0"/>
        <v>41.869577592679626</v>
      </c>
      <c r="H43">
        <f t="shared" si="1"/>
        <v>48.473444297104898</v>
      </c>
    </row>
    <row r="44" spans="6:8" x14ac:dyDescent="0.35">
      <c r="F44">
        <v>0.82</v>
      </c>
      <c r="G44">
        <f t="shared" si="0"/>
        <v>42.916317032496607</v>
      </c>
      <c r="H44">
        <f t="shared" si="1"/>
        <v>49.56197778501685</v>
      </c>
    </row>
    <row r="45" spans="6:8" x14ac:dyDescent="0.35">
      <c r="F45">
        <v>0.84</v>
      </c>
      <c r="G45">
        <f t="shared" si="0"/>
        <v>43.963056472313603</v>
      </c>
      <c r="H45">
        <f t="shared" si="1"/>
        <v>50.646587272928798</v>
      </c>
    </row>
    <row r="46" spans="6:8" x14ac:dyDescent="0.35">
      <c r="F46">
        <v>0.86</v>
      </c>
      <c r="G46">
        <f t="shared" si="0"/>
        <v>45.009795912130592</v>
      </c>
      <c r="H46">
        <f t="shared" si="1"/>
        <v>51.727272760840748</v>
      </c>
    </row>
    <row r="47" spans="6:8" x14ac:dyDescent="0.35">
      <c r="F47">
        <v>0.88</v>
      </c>
      <c r="G47">
        <f t="shared" si="0"/>
        <v>46.056535351947581</v>
      </c>
      <c r="H47">
        <f t="shared" si="1"/>
        <v>52.8040342487527</v>
      </c>
    </row>
    <row r="48" spans="6:8" x14ac:dyDescent="0.35">
      <c r="F48">
        <v>0.9</v>
      </c>
      <c r="G48">
        <f t="shared" si="0"/>
        <v>47.103274791764576</v>
      </c>
      <c r="H48">
        <f t="shared" si="1"/>
        <v>53.876871736664647</v>
      </c>
    </row>
    <row r="49" spans="6:8" x14ac:dyDescent="0.35">
      <c r="F49">
        <v>0.92</v>
      </c>
      <c r="G49">
        <f t="shared" si="0"/>
        <v>48.150014231581565</v>
      </c>
      <c r="H49">
        <f t="shared" si="1"/>
        <v>54.945785224576596</v>
      </c>
    </row>
    <row r="50" spans="6:8" x14ac:dyDescent="0.35">
      <c r="F50">
        <v>0.94</v>
      </c>
      <c r="G50">
        <f t="shared" si="0"/>
        <v>49.196753671398554</v>
      </c>
      <c r="H50">
        <f t="shared" si="1"/>
        <v>56.010774712488548</v>
      </c>
    </row>
    <row r="51" spans="6:8" x14ac:dyDescent="0.35">
      <c r="F51">
        <v>0.96</v>
      </c>
      <c r="G51">
        <f t="shared" si="0"/>
        <v>50.243493111215543</v>
      </c>
      <c r="H51">
        <f t="shared" si="1"/>
        <v>57.071840200400494</v>
      </c>
    </row>
    <row r="52" spans="6:8" x14ac:dyDescent="0.35">
      <c r="F52">
        <v>0.98</v>
      </c>
      <c r="G52">
        <f t="shared" si="0"/>
        <v>51.290232551032538</v>
      </c>
      <c r="H52">
        <f t="shared" si="1"/>
        <v>58.128981688312443</v>
      </c>
    </row>
    <row r="53" spans="6:8" x14ac:dyDescent="0.35">
      <c r="F53">
        <v>1</v>
      </c>
      <c r="G53">
        <f t="shared" si="0"/>
        <v>52.336971990849527</v>
      </c>
      <c r="H53">
        <f t="shared" si="1"/>
        <v>59.182199176224394</v>
      </c>
    </row>
    <row r="54" spans="6:8" x14ac:dyDescent="0.35">
      <c r="F54">
        <v>1.02</v>
      </c>
      <c r="G54">
        <f t="shared" si="0"/>
        <v>53.383711430666516</v>
      </c>
      <c r="H54">
        <f t="shared" si="1"/>
        <v>60.231492664136347</v>
      </c>
    </row>
    <row r="55" spans="6:8" x14ac:dyDescent="0.35">
      <c r="F55">
        <v>1.04</v>
      </c>
      <c r="G55">
        <f t="shared" si="0"/>
        <v>54.430450870483511</v>
      </c>
      <c r="H55">
        <f t="shared" si="1"/>
        <v>61.276862152048295</v>
      </c>
    </row>
    <row r="56" spans="6:8" x14ac:dyDescent="0.35">
      <c r="F56">
        <v>1.06</v>
      </c>
      <c r="G56">
        <f t="shared" si="0"/>
        <v>55.4771903103005</v>
      </c>
      <c r="H56">
        <f t="shared" si="1"/>
        <v>62.318307639960246</v>
      </c>
    </row>
    <row r="57" spans="6:8" x14ac:dyDescent="0.35">
      <c r="F57">
        <v>1.08</v>
      </c>
      <c r="G57">
        <f t="shared" si="0"/>
        <v>56.523929750117496</v>
      </c>
      <c r="H57">
        <f t="shared" si="1"/>
        <v>63.355829127872191</v>
      </c>
    </row>
    <row r="58" spans="6:8" x14ac:dyDescent="0.35">
      <c r="F58">
        <v>1.1000000000000001</v>
      </c>
      <c r="G58">
        <f t="shared" si="0"/>
        <v>57.570669189934485</v>
      </c>
      <c r="H58">
        <f t="shared" si="1"/>
        <v>64.389426615784146</v>
      </c>
    </row>
    <row r="59" spans="6:8" x14ac:dyDescent="0.35">
      <c r="F59">
        <v>1.1200000000000001</v>
      </c>
      <c r="G59">
        <f t="shared" si="0"/>
        <v>58.617408629751473</v>
      </c>
      <c r="H59">
        <f t="shared" si="1"/>
        <v>65.419100103696096</v>
      </c>
    </row>
    <row r="60" spans="6:8" x14ac:dyDescent="0.35">
      <c r="F60">
        <v>1.1399999999999999</v>
      </c>
      <c r="G60">
        <f t="shared" si="0"/>
        <v>59.664148069568455</v>
      </c>
      <c r="H60">
        <f t="shared" si="1"/>
        <v>66.444849591608047</v>
      </c>
    </row>
    <row r="61" spans="6:8" x14ac:dyDescent="0.35">
      <c r="F61">
        <v>1.1599999999999999</v>
      </c>
      <c r="G61">
        <f t="shared" si="0"/>
        <v>60.710887509385444</v>
      </c>
      <c r="H61">
        <f t="shared" si="1"/>
        <v>67.466675079520002</v>
      </c>
    </row>
    <row r="62" spans="6:8" x14ac:dyDescent="0.35">
      <c r="F62">
        <v>1.18</v>
      </c>
      <c r="G62">
        <f t="shared" si="0"/>
        <v>61.757626949202439</v>
      </c>
      <c r="H62">
        <f t="shared" si="1"/>
        <v>68.484576567431944</v>
      </c>
    </row>
    <row r="63" spans="6:8" x14ac:dyDescent="0.35">
      <c r="F63">
        <v>1.2</v>
      </c>
      <c r="G63">
        <f t="shared" si="0"/>
        <v>62.804366389019428</v>
      </c>
      <c r="H63">
        <f t="shared" si="1"/>
        <v>69.498554055343902</v>
      </c>
    </row>
    <row r="64" spans="6:8" x14ac:dyDescent="0.35">
      <c r="F64">
        <v>1.22</v>
      </c>
      <c r="G64">
        <f t="shared" si="0"/>
        <v>63.851105828836424</v>
      </c>
      <c r="H64">
        <f t="shared" si="1"/>
        <v>70.508607543255849</v>
      </c>
    </row>
    <row r="65" spans="6:8" x14ac:dyDescent="0.35">
      <c r="F65">
        <v>1.24</v>
      </c>
      <c r="G65">
        <f t="shared" si="0"/>
        <v>64.897845268653413</v>
      </c>
      <c r="H65">
        <f t="shared" si="1"/>
        <v>71.514737031167797</v>
      </c>
    </row>
    <row r="66" spans="6:8" x14ac:dyDescent="0.35">
      <c r="F66">
        <v>1.26</v>
      </c>
      <c r="G66">
        <f t="shared" si="0"/>
        <v>65.944584708470401</v>
      </c>
      <c r="H66">
        <f t="shared" si="1"/>
        <v>72.516942519079748</v>
      </c>
    </row>
    <row r="67" spans="6:8" x14ac:dyDescent="0.35">
      <c r="F67">
        <v>1.28</v>
      </c>
      <c r="G67">
        <f t="shared" ref="G67:G130" si="2">$B$15*F67</f>
        <v>66.99132414828739</v>
      </c>
      <c r="H67">
        <f t="shared" ref="H67:H130" si="3">$B$13*F67-($B$8*F67^2)/2+$B$12</f>
        <v>73.515224006991701</v>
      </c>
    </row>
    <row r="68" spans="6:8" x14ac:dyDescent="0.35">
      <c r="F68">
        <v>1.3</v>
      </c>
      <c r="G68">
        <f t="shared" si="2"/>
        <v>68.038063588104393</v>
      </c>
      <c r="H68">
        <f t="shared" si="3"/>
        <v>74.509581494903642</v>
      </c>
    </row>
    <row r="69" spans="6:8" x14ac:dyDescent="0.35">
      <c r="F69">
        <v>1.32</v>
      </c>
      <c r="G69">
        <f t="shared" si="2"/>
        <v>69.084803027921382</v>
      </c>
      <c r="H69">
        <f t="shared" si="3"/>
        <v>75.5000149828156</v>
      </c>
    </row>
    <row r="70" spans="6:8" x14ac:dyDescent="0.35">
      <c r="F70">
        <v>1.34</v>
      </c>
      <c r="G70">
        <f t="shared" si="2"/>
        <v>70.13154246773837</v>
      </c>
      <c r="H70">
        <f t="shared" si="3"/>
        <v>76.486524470727545</v>
      </c>
    </row>
    <row r="71" spans="6:8" x14ac:dyDescent="0.35">
      <c r="F71">
        <v>1.36</v>
      </c>
      <c r="G71">
        <f t="shared" si="2"/>
        <v>71.178281907555359</v>
      </c>
      <c r="H71">
        <f t="shared" si="3"/>
        <v>77.469109958639493</v>
      </c>
    </row>
    <row r="72" spans="6:8" x14ac:dyDescent="0.35">
      <c r="F72">
        <v>1.38</v>
      </c>
      <c r="G72">
        <f t="shared" si="2"/>
        <v>72.225021347372348</v>
      </c>
      <c r="H72">
        <f t="shared" si="3"/>
        <v>78.447771446551442</v>
      </c>
    </row>
    <row r="73" spans="6:8" x14ac:dyDescent="0.35">
      <c r="F73">
        <v>1.4</v>
      </c>
      <c r="G73">
        <f t="shared" si="2"/>
        <v>73.271760787189336</v>
      </c>
      <c r="H73">
        <f t="shared" si="3"/>
        <v>79.422508934463394</v>
      </c>
    </row>
    <row r="74" spans="6:8" x14ac:dyDescent="0.35">
      <c r="F74">
        <v>1.42</v>
      </c>
      <c r="G74">
        <f t="shared" si="2"/>
        <v>74.318500227006325</v>
      </c>
      <c r="H74">
        <f t="shared" si="3"/>
        <v>80.393322422375348</v>
      </c>
    </row>
    <row r="75" spans="6:8" x14ac:dyDescent="0.35">
      <c r="F75">
        <v>1.44</v>
      </c>
      <c r="G75">
        <f t="shared" si="2"/>
        <v>75.365239666823314</v>
      </c>
      <c r="H75">
        <f t="shared" si="3"/>
        <v>81.36021191028729</v>
      </c>
    </row>
    <row r="76" spans="6:8" x14ac:dyDescent="0.35">
      <c r="F76">
        <v>1.46</v>
      </c>
      <c r="G76">
        <f t="shared" si="2"/>
        <v>76.411979106640302</v>
      </c>
      <c r="H76">
        <f t="shared" si="3"/>
        <v>82.323177398199249</v>
      </c>
    </row>
    <row r="77" spans="6:8" x14ac:dyDescent="0.35">
      <c r="F77">
        <v>1.48</v>
      </c>
      <c r="G77">
        <f t="shared" si="2"/>
        <v>77.458718546457305</v>
      </c>
      <c r="H77">
        <f t="shared" si="3"/>
        <v>83.282218886111195</v>
      </c>
    </row>
    <row r="78" spans="6:8" x14ac:dyDescent="0.35">
      <c r="F78">
        <v>1.5</v>
      </c>
      <c r="G78">
        <f t="shared" si="2"/>
        <v>78.505457986274294</v>
      </c>
      <c r="H78">
        <f t="shared" si="3"/>
        <v>84.237336374023144</v>
      </c>
    </row>
    <row r="79" spans="6:8" x14ac:dyDescent="0.35">
      <c r="F79">
        <v>1.52</v>
      </c>
      <c r="G79">
        <f t="shared" si="2"/>
        <v>79.552197426091283</v>
      </c>
      <c r="H79">
        <f t="shared" si="3"/>
        <v>85.188529861935081</v>
      </c>
    </row>
    <row r="80" spans="6:8" x14ac:dyDescent="0.35">
      <c r="F80">
        <v>1.54</v>
      </c>
      <c r="G80">
        <f t="shared" si="2"/>
        <v>80.598936865908271</v>
      </c>
      <c r="H80">
        <f t="shared" si="3"/>
        <v>86.135799349847034</v>
      </c>
    </row>
    <row r="81" spans="6:8" x14ac:dyDescent="0.35">
      <c r="F81">
        <v>1.56</v>
      </c>
      <c r="G81">
        <f t="shared" si="2"/>
        <v>81.64567630572526</v>
      </c>
      <c r="H81">
        <f t="shared" si="3"/>
        <v>87.079144837758989</v>
      </c>
    </row>
    <row r="82" spans="6:8" x14ac:dyDescent="0.35">
      <c r="F82">
        <v>1.58</v>
      </c>
      <c r="G82">
        <f t="shared" si="2"/>
        <v>82.692415745542263</v>
      </c>
      <c r="H82">
        <f t="shared" si="3"/>
        <v>88.018566325670932</v>
      </c>
    </row>
    <row r="83" spans="6:8" x14ac:dyDescent="0.35">
      <c r="F83">
        <v>1.6</v>
      </c>
      <c r="G83">
        <f t="shared" si="2"/>
        <v>83.739155185359252</v>
      </c>
      <c r="H83">
        <f t="shared" si="3"/>
        <v>88.954063813582877</v>
      </c>
    </row>
    <row r="84" spans="6:8" x14ac:dyDescent="0.35">
      <c r="F84">
        <v>1.62</v>
      </c>
      <c r="G84">
        <f t="shared" si="2"/>
        <v>84.78589462517624</v>
      </c>
      <c r="H84">
        <f t="shared" si="3"/>
        <v>89.885637301494839</v>
      </c>
    </row>
    <row r="85" spans="6:8" x14ac:dyDescent="0.35">
      <c r="F85">
        <v>1.64</v>
      </c>
      <c r="G85">
        <f t="shared" si="2"/>
        <v>85.832634064993215</v>
      </c>
      <c r="H85">
        <f t="shared" si="3"/>
        <v>90.813286789406789</v>
      </c>
    </row>
    <row r="86" spans="6:8" x14ac:dyDescent="0.35">
      <c r="F86">
        <v>1.66</v>
      </c>
      <c r="G86">
        <f t="shared" si="2"/>
        <v>86.879373504810204</v>
      </c>
      <c r="H86">
        <f t="shared" si="3"/>
        <v>91.73701227731874</v>
      </c>
    </row>
    <row r="87" spans="6:8" x14ac:dyDescent="0.35">
      <c r="F87">
        <v>1.68</v>
      </c>
      <c r="G87">
        <f t="shared" si="2"/>
        <v>87.926112944627207</v>
      </c>
      <c r="H87">
        <f t="shared" si="3"/>
        <v>92.65681376523068</v>
      </c>
    </row>
    <row r="88" spans="6:8" x14ac:dyDescent="0.35">
      <c r="F88">
        <v>1.7</v>
      </c>
      <c r="G88">
        <f t="shared" si="2"/>
        <v>88.972852384444195</v>
      </c>
      <c r="H88">
        <f t="shared" si="3"/>
        <v>93.572691253142636</v>
      </c>
    </row>
    <row r="89" spans="6:8" x14ac:dyDescent="0.35">
      <c r="F89">
        <v>1.72</v>
      </c>
      <c r="G89">
        <f t="shared" si="2"/>
        <v>90.019591824261184</v>
      </c>
      <c r="H89">
        <f t="shared" si="3"/>
        <v>94.484644741054581</v>
      </c>
    </row>
    <row r="90" spans="6:8" x14ac:dyDescent="0.35">
      <c r="F90">
        <v>1.74</v>
      </c>
      <c r="G90">
        <f t="shared" si="2"/>
        <v>91.066331264078173</v>
      </c>
      <c r="H90">
        <f t="shared" si="3"/>
        <v>95.392674228966527</v>
      </c>
    </row>
    <row r="91" spans="6:8" x14ac:dyDescent="0.35">
      <c r="F91">
        <v>1.76</v>
      </c>
      <c r="G91">
        <f t="shared" si="2"/>
        <v>92.113070703895161</v>
      </c>
      <c r="H91">
        <f t="shared" si="3"/>
        <v>96.29677971687849</v>
      </c>
    </row>
    <row r="92" spans="6:8" x14ac:dyDescent="0.35">
      <c r="F92">
        <v>1.78</v>
      </c>
      <c r="G92">
        <f t="shared" si="2"/>
        <v>93.159810143712164</v>
      </c>
      <c r="H92">
        <f t="shared" si="3"/>
        <v>97.196961204790426</v>
      </c>
    </row>
    <row r="93" spans="6:8" x14ac:dyDescent="0.35">
      <c r="F93">
        <v>1.8</v>
      </c>
      <c r="G93">
        <f t="shared" si="2"/>
        <v>94.206549583529153</v>
      </c>
      <c r="H93">
        <f t="shared" si="3"/>
        <v>98.093218692702379</v>
      </c>
    </row>
    <row r="94" spans="6:8" x14ac:dyDescent="0.35">
      <c r="F94">
        <v>1.82</v>
      </c>
      <c r="G94">
        <f t="shared" si="2"/>
        <v>95.253289023346142</v>
      </c>
      <c r="H94">
        <f t="shared" si="3"/>
        <v>98.985552180614334</v>
      </c>
    </row>
    <row r="95" spans="6:8" x14ac:dyDescent="0.35">
      <c r="F95">
        <v>1.84</v>
      </c>
      <c r="G95">
        <f t="shared" si="2"/>
        <v>96.30002846316313</v>
      </c>
      <c r="H95">
        <f t="shared" si="3"/>
        <v>99.873961668526277</v>
      </c>
    </row>
    <row r="96" spans="6:8" x14ac:dyDescent="0.35">
      <c r="F96">
        <v>1.86</v>
      </c>
      <c r="G96">
        <f t="shared" si="2"/>
        <v>97.346767902980119</v>
      </c>
      <c r="H96">
        <f t="shared" si="3"/>
        <v>100.75844715643822</v>
      </c>
    </row>
    <row r="97" spans="6:8" x14ac:dyDescent="0.35">
      <c r="F97">
        <v>1.88</v>
      </c>
      <c r="G97">
        <f t="shared" si="2"/>
        <v>98.393507342797108</v>
      </c>
      <c r="H97">
        <f t="shared" si="3"/>
        <v>101.63900864435018</v>
      </c>
    </row>
    <row r="98" spans="6:8" x14ac:dyDescent="0.35">
      <c r="F98">
        <v>1.9</v>
      </c>
      <c r="G98">
        <f t="shared" si="2"/>
        <v>99.440246782614096</v>
      </c>
      <c r="H98">
        <f t="shared" si="3"/>
        <v>102.51564613226213</v>
      </c>
    </row>
    <row r="99" spans="6:8" x14ac:dyDescent="0.35">
      <c r="F99">
        <v>1.92</v>
      </c>
      <c r="G99">
        <f t="shared" si="2"/>
        <v>100.48698622243109</v>
      </c>
      <c r="H99">
        <f t="shared" si="3"/>
        <v>103.38835962017407</v>
      </c>
    </row>
    <row r="100" spans="6:8" x14ac:dyDescent="0.35">
      <c r="F100">
        <v>1.94</v>
      </c>
      <c r="G100">
        <f t="shared" si="2"/>
        <v>101.53372566224807</v>
      </c>
      <c r="H100">
        <f t="shared" si="3"/>
        <v>104.25714910808603</v>
      </c>
    </row>
    <row r="101" spans="6:8" x14ac:dyDescent="0.35">
      <c r="F101">
        <v>1.96</v>
      </c>
      <c r="G101">
        <f t="shared" si="2"/>
        <v>102.58046510206508</v>
      </c>
      <c r="H101">
        <f t="shared" si="3"/>
        <v>105.12201459599798</v>
      </c>
    </row>
    <row r="102" spans="6:8" x14ac:dyDescent="0.35">
      <c r="F102">
        <v>1.98</v>
      </c>
      <c r="G102">
        <f t="shared" si="2"/>
        <v>103.62720454188207</v>
      </c>
      <c r="H102">
        <f t="shared" si="3"/>
        <v>105.98295608390993</v>
      </c>
    </row>
    <row r="103" spans="6:8" x14ac:dyDescent="0.35">
      <c r="F103">
        <v>2</v>
      </c>
      <c r="G103">
        <f t="shared" si="2"/>
        <v>104.67394398169905</v>
      </c>
      <c r="H103">
        <f t="shared" si="3"/>
        <v>106.83997357182187</v>
      </c>
    </row>
    <row r="104" spans="6:8" x14ac:dyDescent="0.35">
      <c r="F104">
        <v>2.02</v>
      </c>
      <c r="G104">
        <f t="shared" si="2"/>
        <v>105.72068342151604</v>
      </c>
      <c r="H104">
        <f t="shared" si="3"/>
        <v>107.69306705973382</v>
      </c>
    </row>
    <row r="105" spans="6:8" x14ac:dyDescent="0.35">
      <c r="F105">
        <v>2.04</v>
      </c>
      <c r="G105">
        <f t="shared" si="2"/>
        <v>106.76742286133303</v>
      </c>
      <c r="H105">
        <f t="shared" si="3"/>
        <v>108.54223654764577</v>
      </c>
    </row>
    <row r="106" spans="6:8" x14ac:dyDescent="0.35">
      <c r="F106">
        <v>2.06</v>
      </c>
      <c r="G106">
        <f t="shared" si="2"/>
        <v>107.81416230115003</v>
      </c>
      <c r="H106">
        <f t="shared" si="3"/>
        <v>109.38748203555774</v>
      </c>
    </row>
    <row r="107" spans="6:8" x14ac:dyDescent="0.35">
      <c r="F107">
        <v>2.08</v>
      </c>
      <c r="G107">
        <f t="shared" si="2"/>
        <v>108.86090174096702</v>
      </c>
      <c r="H107">
        <f t="shared" si="3"/>
        <v>110.22880352346968</v>
      </c>
    </row>
    <row r="108" spans="6:8" x14ac:dyDescent="0.35">
      <c r="F108">
        <v>2.1</v>
      </c>
      <c r="G108">
        <f t="shared" si="2"/>
        <v>109.90764118078401</v>
      </c>
      <c r="H108">
        <f t="shared" si="3"/>
        <v>111.06620101138164</v>
      </c>
    </row>
    <row r="109" spans="6:8" x14ac:dyDescent="0.35">
      <c r="F109">
        <v>2.12</v>
      </c>
      <c r="G109">
        <f t="shared" si="2"/>
        <v>110.954380620601</v>
      </c>
      <c r="H109">
        <f t="shared" si="3"/>
        <v>111.89967449929357</v>
      </c>
    </row>
    <row r="110" spans="6:8" x14ac:dyDescent="0.35">
      <c r="F110">
        <v>2.14</v>
      </c>
      <c r="G110">
        <f t="shared" si="2"/>
        <v>112.00112006041799</v>
      </c>
      <c r="H110">
        <f t="shared" si="3"/>
        <v>112.72922398720553</v>
      </c>
    </row>
    <row r="111" spans="6:8" x14ac:dyDescent="0.35">
      <c r="F111">
        <v>2.16</v>
      </c>
      <c r="G111">
        <f t="shared" si="2"/>
        <v>113.04785950023499</v>
      </c>
      <c r="H111">
        <f t="shared" si="3"/>
        <v>113.55484947511746</v>
      </c>
    </row>
    <row r="112" spans="6:8" x14ac:dyDescent="0.35">
      <c r="F112">
        <v>2.1800000000000002</v>
      </c>
      <c r="G112">
        <f t="shared" si="2"/>
        <v>114.09459894005198</v>
      </c>
      <c r="H112">
        <f t="shared" si="3"/>
        <v>114.37655096302943</v>
      </c>
    </row>
    <row r="113" spans="6:8" x14ac:dyDescent="0.35">
      <c r="F113">
        <v>2.2000000000000002</v>
      </c>
      <c r="G113">
        <f t="shared" si="2"/>
        <v>115.14133837986897</v>
      </c>
      <c r="H113">
        <f t="shared" si="3"/>
        <v>115.19432845094137</v>
      </c>
    </row>
    <row r="114" spans="6:8" x14ac:dyDescent="0.35">
      <c r="F114">
        <v>2.2200000000000002</v>
      </c>
      <c r="G114">
        <f t="shared" si="2"/>
        <v>116.18807781968596</v>
      </c>
      <c r="H114">
        <f t="shared" si="3"/>
        <v>116.00818193885333</v>
      </c>
    </row>
    <row r="115" spans="6:8" x14ac:dyDescent="0.35">
      <c r="F115">
        <v>2.2400000000000002</v>
      </c>
      <c r="G115">
        <f t="shared" si="2"/>
        <v>117.23481725950295</v>
      </c>
      <c r="H115">
        <f t="shared" si="3"/>
        <v>116.81811142676527</v>
      </c>
    </row>
    <row r="116" spans="6:8" x14ac:dyDescent="0.35">
      <c r="F116">
        <v>2.2599999999999998</v>
      </c>
      <c r="G116">
        <f t="shared" si="2"/>
        <v>118.28155669931992</v>
      </c>
      <c r="H116">
        <f t="shared" si="3"/>
        <v>117.62411691467722</v>
      </c>
    </row>
    <row r="117" spans="6:8" x14ac:dyDescent="0.35">
      <c r="F117">
        <v>2.2799999999999998</v>
      </c>
      <c r="G117">
        <f t="shared" si="2"/>
        <v>119.32829613913691</v>
      </c>
      <c r="H117">
        <f t="shared" si="3"/>
        <v>118.42619840258916</v>
      </c>
    </row>
    <row r="118" spans="6:8" x14ac:dyDescent="0.35">
      <c r="F118">
        <v>2.2999999999999998</v>
      </c>
      <c r="G118">
        <f t="shared" si="2"/>
        <v>120.3750355789539</v>
      </c>
      <c r="H118">
        <f t="shared" si="3"/>
        <v>119.2243558905011</v>
      </c>
    </row>
    <row r="119" spans="6:8" x14ac:dyDescent="0.35">
      <c r="F119">
        <v>2.3199999999999998</v>
      </c>
      <c r="G119">
        <f t="shared" si="2"/>
        <v>121.42177501877089</v>
      </c>
      <c r="H119">
        <f t="shared" si="3"/>
        <v>120.01858937841307</v>
      </c>
    </row>
    <row r="120" spans="6:8" x14ac:dyDescent="0.35">
      <c r="F120">
        <v>2.34</v>
      </c>
      <c r="G120">
        <f t="shared" si="2"/>
        <v>122.46851445858789</v>
      </c>
      <c r="H120">
        <f t="shared" si="3"/>
        <v>120.80889886632501</v>
      </c>
    </row>
    <row r="121" spans="6:8" x14ac:dyDescent="0.35">
      <c r="F121">
        <v>2.36</v>
      </c>
      <c r="G121">
        <f t="shared" si="2"/>
        <v>123.51525389840488</v>
      </c>
      <c r="H121">
        <f t="shared" si="3"/>
        <v>121.59528435423697</v>
      </c>
    </row>
    <row r="122" spans="6:8" x14ac:dyDescent="0.35">
      <c r="F122">
        <v>2.38</v>
      </c>
      <c r="G122">
        <f t="shared" si="2"/>
        <v>124.56199333822187</v>
      </c>
      <c r="H122">
        <f t="shared" si="3"/>
        <v>122.3777458421489</v>
      </c>
    </row>
    <row r="123" spans="6:8" x14ac:dyDescent="0.35">
      <c r="F123">
        <v>2.4</v>
      </c>
      <c r="G123">
        <f t="shared" si="2"/>
        <v>125.60873277803886</v>
      </c>
      <c r="H123">
        <f t="shared" si="3"/>
        <v>123.15628333006086</v>
      </c>
    </row>
    <row r="124" spans="6:8" x14ac:dyDescent="0.35">
      <c r="F124">
        <v>2.42</v>
      </c>
      <c r="G124">
        <f t="shared" si="2"/>
        <v>126.65547221785584</v>
      </c>
      <c r="H124">
        <f t="shared" si="3"/>
        <v>123.93089681797281</v>
      </c>
    </row>
    <row r="125" spans="6:8" x14ac:dyDescent="0.35">
      <c r="F125">
        <v>2.44</v>
      </c>
      <c r="G125">
        <f t="shared" si="2"/>
        <v>127.70221165767285</v>
      </c>
      <c r="H125">
        <f t="shared" si="3"/>
        <v>124.70158630588476</v>
      </c>
    </row>
    <row r="126" spans="6:8" x14ac:dyDescent="0.35">
      <c r="F126">
        <v>2.46</v>
      </c>
      <c r="G126">
        <f t="shared" si="2"/>
        <v>128.74895109748982</v>
      </c>
      <c r="H126">
        <f t="shared" si="3"/>
        <v>125.4683517937967</v>
      </c>
    </row>
    <row r="127" spans="6:8" x14ac:dyDescent="0.35">
      <c r="F127">
        <v>2.48</v>
      </c>
      <c r="G127">
        <f t="shared" si="2"/>
        <v>129.79569053730683</v>
      </c>
      <c r="H127">
        <f t="shared" si="3"/>
        <v>126.23119328170867</v>
      </c>
    </row>
    <row r="128" spans="6:8" x14ac:dyDescent="0.35">
      <c r="F128">
        <v>2.5</v>
      </c>
      <c r="G128">
        <f t="shared" si="2"/>
        <v>130.84242997712383</v>
      </c>
      <c r="H128">
        <f t="shared" si="3"/>
        <v>126.99011076962063</v>
      </c>
    </row>
    <row r="129" spans="6:8" x14ac:dyDescent="0.35">
      <c r="F129">
        <v>2.52</v>
      </c>
      <c r="G129">
        <f t="shared" si="2"/>
        <v>131.8891694169408</v>
      </c>
      <c r="H129">
        <f t="shared" si="3"/>
        <v>127.74510425753256</v>
      </c>
    </row>
    <row r="130" spans="6:8" x14ac:dyDescent="0.35">
      <c r="F130">
        <v>2.54</v>
      </c>
      <c r="G130">
        <f t="shared" si="2"/>
        <v>132.93590885675781</v>
      </c>
      <c r="H130">
        <f t="shared" si="3"/>
        <v>128.49617374544451</v>
      </c>
    </row>
    <row r="131" spans="6:8" x14ac:dyDescent="0.35">
      <c r="F131">
        <v>2.56</v>
      </c>
      <c r="G131">
        <f t="shared" ref="G131:G194" si="4">$B$15*F131</f>
        <v>133.98264829657478</v>
      </c>
      <c r="H131">
        <f t="shared" ref="H131:H194" si="5">$B$13*F131-($B$8*F131^2)/2+$B$12</f>
        <v>129.24331923335646</v>
      </c>
    </row>
    <row r="132" spans="6:8" x14ac:dyDescent="0.35">
      <c r="F132">
        <v>2.58</v>
      </c>
      <c r="G132">
        <f t="shared" si="4"/>
        <v>135.02938773639178</v>
      </c>
      <c r="H132">
        <f t="shared" si="5"/>
        <v>129.98654072126843</v>
      </c>
    </row>
    <row r="133" spans="6:8" x14ac:dyDescent="0.35">
      <c r="F133">
        <v>2.6</v>
      </c>
      <c r="G133">
        <f t="shared" si="4"/>
        <v>136.07612717620879</v>
      </c>
      <c r="H133">
        <f t="shared" si="5"/>
        <v>130.72583820918035</v>
      </c>
    </row>
    <row r="134" spans="6:8" x14ac:dyDescent="0.35">
      <c r="F134">
        <v>2.62</v>
      </c>
      <c r="G134">
        <f t="shared" si="4"/>
        <v>137.12286661602576</v>
      </c>
      <c r="H134">
        <f t="shared" si="5"/>
        <v>131.46121169709232</v>
      </c>
    </row>
    <row r="135" spans="6:8" x14ac:dyDescent="0.35">
      <c r="F135">
        <v>2.64</v>
      </c>
      <c r="G135">
        <f t="shared" si="4"/>
        <v>138.16960605584276</v>
      </c>
      <c r="H135">
        <f t="shared" si="5"/>
        <v>132.19266118500425</v>
      </c>
    </row>
    <row r="136" spans="6:8" x14ac:dyDescent="0.35">
      <c r="F136">
        <v>2.66</v>
      </c>
      <c r="G136">
        <f t="shared" si="4"/>
        <v>139.21634549565974</v>
      </c>
      <c r="H136">
        <f t="shared" si="5"/>
        <v>132.9201866729162</v>
      </c>
    </row>
    <row r="137" spans="6:8" x14ac:dyDescent="0.35">
      <c r="F137">
        <v>2.68</v>
      </c>
      <c r="G137">
        <f t="shared" si="4"/>
        <v>140.26308493547674</v>
      </c>
      <c r="H137">
        <f t="shared" si="5"/>
        <v>133.64378816082814</v>
      </c>
    </row>
    <row r="138" spans="6:8" x14ac:dyDescent="0.35">
      <c r="F138">
        <v>2.7</v>
      </c>
      <c r="G138">
        <f t="shared" si="4"/>
        <v>141.30982437529374</v>
      </c>
      <c r="H138">
        <f t="shared" si="5"/>
        <v>134.36346564874012</v>
      </c>
    </row>
    <row r="139" spans="6:8" x14ac:dyDescent="0.35">
      <c r="F139">
        <v>2.72</v>
      </c>
      <c r="G139">
        <f t="shared" si="4"/>
        <v>142.35656381511072</v>
      </c>
      <c r="H139">
        <f t="shared" si="5"/>
        <v>135.07921913665206</v>
      </c>
    </row>
    <row r="140" spans="6:8" x14ac:dyDescent="0.35">
      <c r="F140">
        <v>2.74</v>
      </c>
      <c r="G140">
        <f t="shared" si="4"/>
        <v>143.40330325492772</v>
      </c>
      <c r="H140">
        <f t="shared" si="5"/>
        <v>135.79104862456401</v>
      </c>
    </row>
    <row r="141" spans="6:8" x14ac:dyDescent="0.35">
      <c r="F141">
        <v>2.76</v>
      </c>
      <c r="G141">
        <f t="shared" si="4"/>
        <v>144.4500426947447</v>
      </c>
      <c r="H141">
        <f t="shared" si="5"/>
        <v>136.49895411247596</v>
      </c>
    </row>
    <row r="142" spans="6:8" x14ac:dyDescent="0.35">
      <c r="F142">
        <v>2.78</v>
      </c>
      <c r="G142">
        <f t="shared" si="4"/>
        <v>145.49678213456167</v>
      </c>
      <c r="H142">
        <f t="shared" si="5"/>
        <v>137.20293560038789</v>
      </c>
    </row>
    <row r="143" spans="6:8" x14ac:dyDescent="0.35">
      <c r="F143">
        <v>2.8</v>
      </c>
      <c r="G143">
        <f t="shared" si="4"/>
        <v>146.54352157437867</v>
      </c>
      <c r="H143">
        <f t="shared" si="5"/>
        <v>137.90299308829987</v>
      </c>
    </row>
    <row r="144" spans="6:8" x14ac:dyDescent="0.35">
      <c r="F144">
        <v>2.82</v>
      </c>
      <c r="G144">
        <f t="shared" si="4"/>
        <v>147.59026101419565</v>
      </c>
      <c r="H144">
        <f t="shared" si="5"/>
        <v>138.5991265762118</v>
      </c>
    </row>
    <row r="145" spans="6:8" x14ac:dyDescent="0.35">
      <c r="F145">
        <v>2.84</v>
      </c>
      <c r="G145">
        <f t="shared" si="4"/>
        <v>148.63700045401265</v>
      </c>
      <c r="H145">
        <f t="shared" si="5"/>
        <v>139.29133606412375</v>
      </c>
    </row>
    <row r="146" spans="6:8" x14ac:dyDescent="0.35">
      <c r="F146">
        <v>2.86</v>
      </c>
      <c r="G146">
        <f t="shared" si="4"/>
        <v>149.68373989382965</v>
      </c>
      <c r="H146">
        <f t="shared" si="5"/>
        <v>139.9796215520357</v>
      </c>
    </row>
    <row r="147" spans="6:8" x14ac:dyDescent="0.35">
      <c r="F147">
        <v>2.88</v>
      </c>
      <c r="G147">
        <f t="shared" si="4"/>
        <v>150.73047933364663</v>
      </c>
      <c r="H147">
        <f t="shared" si="5"/>
        <v>140.66398303994765</v>
      </c>
    </row>
    <row r="148" spans="6:8" x14ac:dyDescent="0.35">
      <c r="F148">
        <v>2.9</v>
      </c>
      <c r="G148">
        <f t="shared" si="4"/>
        <v>151.77721877346363</v>
      </c>
      <c r="H148">
        <f t="shared" si="5"/>
        <v>141.3444205278596</v>
      </c>
    </row>
    <row r="149" spans="6:8" x14ac:dyDescent="0.35">
      <c r="F149">
        <v>2.92</v>
      </c>
      <c r="G149">
        <f t="shared" si="4"/>
        <v>152.8239582132806</v>
      </c>
      <c r="H149">
        <f t="shared" si="5"/>
        <v>142.02093401577156</v>
      </c>
    </row>
    <row r="150" spans="6:8" x14ac:dyDescent="0.35">
      <c r="F150">
        <v>2.94</v>
      </c>
      <c r="G150">
        <f t="shared" si="4"/>
        <v>153.87069765309761</v>
      </c>
      <c r="H150">
        <f t="shared" si="5"/>
        <v>142.69352350368348</v>
      </c>
    </row>
    <row r="151" spans="6:8" x14ac:dyDescent="0.35">
      <c r="F151">
        <v>2.96</v>
      </c>
      <c r="G151">
        <f t="shared" si="4"/>
        <v>154.91743709291461</v>
      </c>
      <c r="H151">
        <f t="shared" si="5"/>
        <v>143.36218899159545</v>
      </c>
    </row>
    <row r="152" spans="6:8" x14ac:dyDescent="0.35">
      <c r="F152">
        <v>2.98</v>
      </c>
      <c r="G152">
        <f t="shared" si="4"/>
        <v>155.96417653273159</v>
      </c>
      <c r="H152">
        <f t="shared" si="5"/>
        <v>144.02693047950737</v>
      </c>
    </row>
    <row r="153" spans="6:8" x14ac:dyDescent="0.35">
      <c r="F153">
        <v>3</v>
      </c>
      <c r="G153">
        <f t="shared" si="4"/>
        <v>157.01091597254859</v>
      </c>
      <c r="H153">
        <f t="shared" si="5"/>
        <v>144.68774796741934</v>
      </c>
    </row>
    <row r="154" spans="6:8" x14ac:dyDescent="0.35">
      <c r="F154">
        <v>3.02</v>
      </c>
      <c r="G154">
        <f t="shared" si="4"/>
        <v>158.05765541236556</v>
      </c>
      <c r="H154">
        <f t="shared" si="5"/>
        <v>145.34464145533133</v>
      </c>
    </row>
    <row r="155" spans="6:8" x14ac:dyDescent="0.35">
      <c r="F155">
        <v>3.04</v>
      </c>
      <c r="G155">
        <f t="shared" si="4"/>
        <v>159.10439485218257</v>
      </c>
      <c r="H155">
        <f t="shared" si="5"/>
        <v>145.99761094324325</v>
      </c>
    </row>
    <row r="156" spans="6:8" x14ac:dyDescent="0.35">
      <c r="F156">
        <v>3.06</v>
      </c>
      <c r="G156">
        <f t="shared" si="4"/>
        <v>160.15113429199957</v>
      </c>
      <c r="H156">
        <f t="shared" si="5"/>
        <v>146.64665643115521</v>
      </c>
    </row>
    <row r="157" spans="6:8" x14ac:dyDescent="0.35">
      <c r="F157">
        <v>3.08</v>
      </c>
      <c r="G157">
        <f t="shared" si="4"/>
        <v>161.19787373181654</v>
      </c>
      <c r="H157">
        <f t="shared" si="5"/>
        <v>147.29177791906716</v>
      </c>
    </row>
    <row r="158" spans="6:8" x14ac:dyDescent="0.35">
      <c r="F158">
        <v>3.1</v>
      </c>
      <c r="G158">
        <f t="shared" si="4"/>
        <v>162.24461317163355</v>
      </c>
      <c r="H158">
        <f t="shared" si="5"/>
        <v>147.9329754069791</v>
      </c>
    </row>
    <row r="159" spans="6:8" x14ac:dyDescent="0.35">
      <c r="F159">
        <v>3.12</v>
      </c>
      <c r="G159">
        <f t="shared" si="4"/>
        <v>163.29135261145052</v>
      </c>
      <c r="H159">
        <f t="shared" si="5"/>
        <v>148.57024889489105</v>
      </c>
    </row>
    <row r="160" spans="6:8" x14ac:dyDescent="0.35">
      <c r="F160">
        <v>3.14</v>
      </c>
      <c r="G160">
        <f t="shared" si="4"/>
        <v>164.33809205126752</v>
      </c>
      <c r="H160">
        <f t="shared" si="5"/>
        <v>149.20359838280302</v>
      </c>
    </row>
    <row r="161" spans="6:8" x14ac:dyDescent="0.35">
      <c r="F161">
        <v>3.16</v>
      </c>
      <c r="G161">
        <f t="shared" si="4"/>
        <v>165.38483149108453</v>
      </c>
      <c r="H161">
        <f t="shared" si="5"/>
        <v>149.83302387071495</v>
      </c>
    </row>
    <row r="162" spans="6:8" x14ac:dyDescent="0.35">
      <c r="F162">
        <v>3.18</v>
      </c>
      <c r="G162">
        <f t="shared" si="4"/>
        <v>166.4315709309015</v>
      </c>
      <c r="H162">
        <f t="shared" si="5"/>
        <v>150.4585253586269</v>
      </c>
    </row>
    <row r="163" spans="6:8" x14ac:dyDescent="0.35">
      <c r="F163">
        <v>3.2</v>
      </c>
      <c r="G163">
        <f t="shared" si="4"/>
        <v>167.4783103707185</v>
      </c>
      <c r="H163">
        <f t="shared" si="5"/>
        <v>151.08010284653884</v>
      </c>
    </row>
    <row r="164" spans="6:8" x14ac:dyDescent="0.35">
      <c r="F164">
        <v>3.22</v>
      </c>
      <c r="G164">
        <f t="shared" si="4"/>
        <v>168.52504981053548</v>
      </c>
      <c r="H164">
        <f t="shared" si="5"/>
        <v>151.69775633445079</v>
      </c>
    </row>
    <row r="165" spans="6:8" x14ac:dyDescent="0.35">
      <c r="F165">
        <v>3.24</v>
      </c>
      <c r="G165">
        <f t="shared" si="4"/>
        <v>169.57178925035248</v>
      </c>
      <c r="H165">
        <f t="shared" si="5"/>
        <v>152.31148582236273</v>
      </c>
    </row>
    <row r="166" spans="6:8" x14ac:dyDescent="0.35">
      <c r="F166">
        <v>3.26</v>
      </c>
      <c r="G166">
        <f t="shared" si="4"/>
        <v>170.61852869016946</v>
      </c>
      <c r="H166">
        <f t="shared" si="5"/>
        <v>152.92129131027468</v>
      </c>
    </row>
    <row r="167" spans="6:8" x14ac:dyDescent="0.35">
      <c r="F167">
        <v>3.28</v>
      </c>
      <c r="G167">
        <f t="shared" si="4"/>
        <v>171.66526812998643</v>
      </c>
      <c r="H167">
        <f t="shared" si="5"/>
        <v>153.52717279818665</v>
      </c>
    </row>
    <row r="168" spans="6:8" x14ac:dyDescent="0.35">
      <c r="F168">
        <v>3.3</v>
      </c>
      <c r="G168">
        <f t="shared" si="4"/>
        <v>172.71200756980343</v>
      </c>
      <c r="H168">
        <f t="shared" si="5"/>
        <v>154.12913028609859</v>
      </c>
    </row>
    <row r="169" spans="6:8" x14ac:dyDescent="0.35">
      <c r="F169">
        <v>3.32</v>
      </c>
      <c r="G169">
        <f t="shared" si="4"/>
        <v>173.75874700962041</v>
      </c>
      <c r="H169">
        <f t="shared" si="5"/>
        <v>154.72716377401053</v>
      </c>
    </row>
    <row r="170" spans="6:8" x14ac:dyDescent="0.35">
      <c r="F170">
        <v>3.34</v>
      </c>
      <c r="G170">
        <f t="shared" si="4"/>
        <v>174.80548644943741</v>
      </c>
      <c r="H170">
        <f t="shared" si="5"/>
        <v>155.32127326192247</v>
      </c>
    </row>
    <row r="171" spans="6:8" x14ac:dyDescent="0.35">
      <c r="F171">
        <v>3.36</v>
      </c>
      <c r="G171">
        <f t="shared" si="4"/>
        <v>175.85222588925441</v>
      </c>
      <c r="H171">
        <f t="shared" si="5"/>
        <v>155.91145874983445</v>
      </c>
    </row>
    <row r="172" spans="6:8" x14ac:dyDescent="0.35">
      <c r="F172">
        <v>3.38</v>
      </c>
      <c r="G172">
        <f t="shared" si="4"/>
        <v>176.89896532907139</v>
      </c>
      <c r="H172">
        <f t="shared" si="5"/>
        <v>156.49772023774636</v>
      </c>
    </row>
    <row r="173" spans="6:8" x14ac:dyDescent="0.35">
      <c r="F173">
        <v>3.4</v>
      </c>
      <c r="G173">
        <f t="shared" si="4"/>
        <v>177.94570476888839</v>
      </c>
      <c r="H173">
        <f t="shared" si="5"/>
        <v>157.08005772565835</v>
      </c>
    </row>
    <row r="174" spans="6:8" x14ac:dyDescent="0.35">
      <c r="F174">
        <v>3.42</v>
      </c>
      <c r="G174">
        <f t="shared" si="4"/>
        <v>178.99244420870536</v>
      </c>
      <c r="H174">
        <f t="shared" si="5"/>
        <v>157.65847121357029</v>
      </c>
    </row>
    <row r="175" spans="6:8" x14ac:dyDescent="0.35">
      <c r="F175">
        <v>3.44</v>
      </c>
      <c r="G175">
        <f t="shared" si="4"/>
        <v>180.03918364852237</v>
      </c>
      <c r="H175">
        <f t="shared" si="5"/>
        <v>158.23296070148223</v>
      </c>
    </row>
    <row r="176" spans="6:8" x14ac:dyDescent="0.35">
      <c r="F176">
        <v>3.46</v>
      </c>
      <c r="G176">
        <f t="shared" si="4"/>
        <v>181.08592308833937</v>
      </c>
      <c r="H176">
        <f t="shared" si="5"/>
        <v>158.80352618939418</v>
      </c>
    </row>
    <row r="177" spans="6:8" x14ac:dyDescent="0.35">
      <c r="F177">
        <v>3.48</v>
      </c>
      <c r="G177">
        <f t="shared" si="4"/>
        <v>182.13266252815635</v>
      </c>
      <c r="H177">
        <f t="shared" si="5"/>
        <v>159.37016767730614</v>
      </c>
    </row>
    <row r="178" spans="6:8" x14ac:dyDescent="0.35">
      <c r="F178">
        <v>3.5</v>
      </c>
      <c r="G178">
        <f t="shared" si="4"/>
        <v>183.17940196797335</v>
      </c>
      <c r="H178">
        <f t="shared" si="5"/>
        <v>159.93288516521807</v>
      </c>
    </row>
    <row r="179" spans="6:8" x14ac:dyDescent="0.35">
      <c r="F179">
        <v>3.52</v>
      </c>
      <c r="G179">
        <f t="shared" si="4"/>
        <v>184.22614140779032</v>
      </c>
      <c r="H179">
        <f t="shared" si="5"/>
        <v>160.49167865313004</v>
      </c>
    </row>
    <row r="180" spans="6:8" x14ac:dyDescent="0.35">
      <c r="F180">
        <v>3.54</v>
      </c>
      <c r="G180">
        <f t="shared" si="4"/>
        <v>185.27288084760733</v>
      </c>
      <c r="H180">
        <f t="shared" si="5"/>
        <v>161.046548141042</v>
      </c>
    </row>
    <row r="181" spans="6:8" x14ac:dyDescent="0.35">
      <c r="F181">
        <v>3.56</v>
      </c>
      <c r="G181">
        <f t="shared" si="4"/>
        <v>186.31962028742433</v>
      </c>
      <c r="H181">
        <f t="shared" si="5"/>
        <v>161.59749362895394</v>
      </c>
    </row>
    <row r="182" spans="6:8" x14ac:dyDescent="0.35">
      <c r="F182">
        <v>3.58</v>
      </c>
      <c r="G182">
        <f t="shared" si="4"/>
        <v>187.3663597272413</v>
      </c>
      <c r="H182">
        <f t="shared" si="5"/>
        <v>162.1445151168659</v>
      </c>
    </row>
    <row r="183" spans="6:8" x14ac:dyDescent="0.35">
      <c r="F183">
        <v>3.6</v>
      </c>
      <c r="G183">
        <f t="shared" si="4"/>
        <v>188.41309916705831</v>
      </c>
      <c r="H183">
        <f t="shared" si="5"/>
        <v>162.68761260477783</v>
      </c>
    </row>
    <row r="184" spans="6:8" x14ac:dyDescent="0.35">
      <c r="F184">
        <v>3.62</v>
      </c>
      <c r="G184">
        <f t="shared" si="4"/>
        <v>189.45983860687528</v>
      </c>
      <c r="H184">
        <f t="shared" si="5"/>
        <v>163.22678609268979</v>
      </c>
    </row>
    <row r="185" spans="6:8" x14ac:dyDescent="0.35">
      <c r="F185">
        <v>3.64</v>
      </c>
      <c r="G185">
        <f t="shared" si="4"/>
        <v>190.50657804669228</v>
      </c>
      <c r="H185">
        <f t="shared" si="5"/>
        <v>163.76203558060172</v>
      </c>
    </row>
    <row r="186" spans="6:8" x14ac:dyDescent="0.35">
      <c r="F186">
        <v>3.66</v>
      </c>
      <c r="G186">
        <f t="shared" si="4"/>
        <v>191.55331748650929</v>
      </c>
      <c r="H186">
        <f t="shared" si="5"/>
        <v>164.29336106851369</v>
      </c>
    </row>
    <row r="187" spans="6:8" x14ac:dyDescent="0.35">
      <c r="F187">
        <v>3.68</v>
      </c>
      <c r="G187">
        <f t="shared" si="4"/>
        <v>192.60005692632626</v>
      </c>
      <c r="H187">
        <f t="shared" si="5"/>
        <v>164.82076255642562</v>
      </c>
    </row>
    <row r="188" spans="6:8" x14ac:dyDescent="0.35">
      <c r="F188">
        <v>3.7</v>
      </c>
      <c r="G188">
        <f t="shared" si="4"/>
        <v>193.64679636614326</v>
      </c>
      <c r="H188">
        <f t="shared" si="5"/>
        <v>165.3442400443376</v>
      </c>
    </row>
    <row r="189" spans="6:8" x14ac:dyDescent="0.35">
      <c r="F189">
        <v>3.72</v>
      </c>
      <c r="G189">
        <f t="shared" si="4"/>
        <v>194.69353580596024</v>
      </c>
      <c r="H189">
        <f t="shared" si="5"/>
        <v>165.86379353224953</v>
      </c>
    </row>
    <row r="190" spans="6:8" x14ac:dyDescent="0.35">
      <c r="F190">
        <v>3.74</v>
      </c>
      <c r="G190">
        <f t="shared" si="4"/>
        <v>195.74027524577724</v>
      </c>
      <c r="H190">
        <f t="shared" si="5"/>
        <v>166.37942302016148</v>
      </c>
    </row>
    <row r="191" spans="6:8" x14ac:dyDescent="0.35">
      <c r="F191">
        <v>3.76</v>
      </c>
      <c r="G191">
        <f t="shared" si="4"/>
        <v>196.78701468559422</v>
      </c>
      <c r="H191">
        <f t="shared" si="5"/>
        <v>166.89112850807345</v>
      </c>
    </row>
    <row r="192" spans="6:8" x14ac:dyDescent="0.35">
      <c r="F192">
        <v>3.78</v>
      </c>
      <c r="G192">
        <f t="shared" si="4"/>
        <v>197.83375412541119</v>
      </c>
      <c r="H192">
        <f t="shared" si="5"/>
        <v>167.39890999598538</v>
      </c>
    </row>
    <row r="193" spans="6:8" x14ac:dyDescent="0.35">
      <c r="F193">
        <v>3.8</v>
      </c>
      <c r="G193">
        <f t="shared" si="4"/>
        <v>198.88049356522819</v>
      </c>
      <c r="H193">
        <f t="shared" si="5"/>
        <v>167.90276748389732</v>
      </c>
    </row>
    <row r="194" spans="6:8" x14ac:dyDescent="0.35">
      <c r="F194">
        <v>3.82</v>
      </c>
      <c r="G194">
        <f t="shared" si="4"/>
        <v>199.9272330050452</v>
      </c>
      <c r="H194">
        <f t="shared" si="5"/>
        <v>168.40270097180928</v>
      </c>
    </row>
    <row r="195" spans="6:8" x14ac:dyDescent="0.35">
      <c r="F195">
        <v>3.84</v>
      </c>
      <c r="G195">
        <f t="shared" ref="G195:G258" si="6">$B$15*F195</f>
        <v>200.97397244486217</v>
      </c>
      <c r="H195">
        <f t="shared" ref="H195:H258" si="7">$B$13*F195-($B$8*F195^2)/2+$B$12</f>
        <v>168.89871045972123</v>
      </c>
    </row>
    <row r="196" spans="6:8" x14ac:dyDescent="0.35">
      <c r="F196">
        <v>3.86</v>
      </c>
      <c r="G196">
        <f t="shared" si="6"/>
        <v>202.02071188467917</v>
      </c>
      <c r="H196">
        <f t="shared" si="7"/>
        <v>169.39079594763317</v>
      </c>
    </row>
    <row r="197" spans="6:8" x14ac:dyDescent="0.35">
      <c r="F197">
        <v>3.88</v>
      </c>
      <c r="G197">
        <f t="shared" si="6"/>
        <v>203.06745132449615</v>
      </c>
      <c r="H197">
        <f t="shared" si="7"/>
        <v>169.87895743554515</v>
      </c>
    </row>
    <row r="198" spans="6:8" x14ac:dyDescent="0.35">
      <c r="F198">
        <v>3.9</v>
      </c>
      <c r="G198">
        <f t="shared" si="6"/>
        <v>204.11419076431315</v>
      </c>
      <c r="H198">
        <f t="shared" si="7"/>
        <v>170.36319492345706</v>
      </c>
    </row>
    <row r="199" spans="6:8" x14ac:dyDescent="0.35">
      <c r="F199">
        <v>3.92</v>
      </c>
      <c r="G199">
        <f t="shared" si="6"/>
        <v>205.16093020413015</v>
      </c>
      <c r="H199">
        <f t="shared" si="7"/>
        <v>170.84350841136904</v>
      </c>
    </row>
    <row r="200" spans="6:8" x14ac:dyDescent="0.35">
      <c r="F200">
        <v>3.94</v>
      </c>
      <c r="G200">
        <f t="shared" si="6"/>
        <v>206.20766964394713</v>
      </c>
      <c r="H200">
        <f t="shared" si="7"/>
        <v>171.31989789928096</v>
      </c>
    </row>
    <row r="201" spans="6:8" x14ac:dyDescent="0.35">
      <c r="F201">
        <v>3.96</v>
      </c>
      <c r="G201">
        <f t="shared" si="6"/>
        <v>207.25440908376413</v>
      </c>
      <c r="H201">
        <f t="shared" si="7"/>
        <v>171.79236338719292</v>
      </c>
    </row>
    <row r="202" spans="6:8" x14ac:dyDescent="0.35">
      <c r="F202">
        <v>3.98</v>
      </c>
      <c r="G202">
        <f t="shared" si="6"/>
        <v>208.30114852358111</v>
      </c>
      <c r="H202">
        <f t="shared" si="7"/>
        <v>172.26090487510487</v>
      </c>
    </row>
    <row r="203" spans="6:8" x14ac:dyDescent="0.35">
      <c r="F203">
        <v>4</v>
      </c>
      <c r="G203">
        <f t="shared" si="6"/>
        <v>209.34788796339811</v>
      </c>
      <c r="H203">
        <f t="shared" si="7"/>
        <v>172.72552236301681</v>
      </c>
    </row>
    <row r="204" spans="6:8" x14ac:dyDescent="0.35">
      <c r="F204">
        <v>4.0199999999999996</v>
      </c>
      <c r="G204">
        <f t="shared" si="6"/>
        <v>210.39462740321508</v>
      </c>
      <c r="H204">
        <f t="shared" si="7"/>
        <v>173.18621585092876</v>
      </c>
    </row>
    <row r="205" spans="6:8" x14ac:dyDescent="0.35">
      <c r="F205">
        <v>4.04</v>
      </c>
      <c r="G205">
        <f t="shared" si="6"/>
        <v>211.44136684303209</v>
      </c>
      <c r="H205">
        <f t="shared" si="7"/>
        <v>173.64298533884073</v>
      </c>
    </row>
    <row r="206" spans="6:8" x14ac:dyDescent="0.35">
      <c r="F206">
        <v>4.0599999999999996</v>
      </c>
      <c r="G206">
        <f t="shared" si="6"/>
        <v>212.48810628284906</v>
      </c>
      <c r="H206">
        <f t="shared" si="7"/>
        <v>174.09583082675266</v>
      </c>
    </row>
    <row r="207" spans="6:8" x14ac:dyDescent="0.35">
      <c r="F207">
        <v>4.08</v>
      </c>
      <c r="G207">
        <f t="shared" si="6"/>
        <v>213.53484572266606</v>
      </c>
      <c r="H207">
        <f t="shared" si="7"/>
        <v>174.54475231466461</v>
      </c>
    </row>
    <row r="208" spans="6:8" x14ac:dyDescent="0.35">
      <c r="F208">
        <v>4.0999999999999996</v>
      </c>
      <c r="G208">
        <f t="shared" si="6"/>
        <v>214.58158516248304</v>
      </c>
      <c r="H208">
        <f t="shared" si="7"/>
        <v>174.98974980257657</v>
      </c>
    </row>
    <row r="209" spans="6:8" x14ac:dyDescent="0.35">
      <c r="F209">
        <v>4.12</v>
      </c>
      <c r="G209">
        <f t="shared" si="6"/>
        <v>215.62832460230007</v>
      </c>
      <c r="H209">
        <f t="shared" si="7"/>
        <v>175.43082329048855</v>
      </c>
    </row>
    <row r="210" spans="6:8" x14ac:dyDescent="0.35">
      <c r="F210">
        <v>4.1399999999999997</v>
      </c>
      <c r="G210">
        <f t="shared" si="6"/>
        <v>216.67506404211701</v>
      </c>
      <c r="H210">
        <f t="shared" si="7"/>
        <v>175.86797277840046</v>
      </c>
    </row>
    <row r="211" spans="6:8" x14ac:dyDescent="0.35">
      <c r="F211">
        <v>4.16</v>
      </c>
      <c r="G211">
        <f t="shared" si="6"/>
        <v>217.72180348193405</v>
      </c>
      <c r="H211">
        <f t="shared" si="7"/>
        <v>176.30119826631241</v>
      </c>
    </row>
    <row r="212" spans="6:8" x14ac:dyDescent="0.35">
      <c r="F212">
        <v>4.18</v>
      </c>
      <c r="G212">
        <f t="shared" si="6"/>
        <v>218.76854292175102</v>
      </c>
      <c r="H212">
        <f t="shared" si="7"/>
        <v>176.73049975422435</v>
      </c>
    </row>
    <row r="213" spans="6:8" x14ac:dyDescent="0.35">
      <c r="F213">
        <v>4.2</v>
      </c>
      <c r="G213">
        <f t="shared" si="6"/>
        <v>219.81528236156802</v>
      </c>
      <c r="H213">
        <f t="shared" si="7"/>
        <v>177.15587724213634</v>
      </c>
    </row>
    <row r="214" spans="6:8" x14ac:dyDescent="0.35">
      <c r="F214">
        <v>4.22</v>
      </c>
      <c r="G214">
        <f t="shared" si="6"/>
        <v>220.862021801385</v>
      </c>
      <c r="H214">
        <f t="shared" si="7"/>
        <v>177.57733073004826</v>
      </c>
    </row>
    <row r="215" spans="6:8" x14ac:dyDescent="0.35">
      <c r="F215">
        <v>4.24</v>
      </c>
      <c r="G215">
        <f t="shared" si="6"/>
        <v>221.908761241202</v>
      </c>
      <c r="H215">
        <f t="shared" si="7"/>
        <v>177.99486021796019</v>
      </c>
    </row>
    <row r="216" spans="6:8" x14ac:dyDescent="0.35">
      <c r="F216">
        <v>4.26</v>
      </c>
      <c r="G216">
        <f t="shared" si="6"/>
        <v>222.95550068101898</v>
      </c>
      <c r="H216">
        <f t="shared" si="7"/>
        <v>178.40846570587217</v>
      </c>
    </row>
    <row r="217" spans="6:8" x14ac:dyDescent="0.35">
      <c r="F217">
        <v>4.28</v>
      </c>
      <c r="G217">
        <f t="shared" si="6"/>
        <v>224.00224012083598</v>
      </c>
      <c r="H217">
        <f t="shared" si="7"/>
        <v>178.81814719378414</v>
      </c>
    </row>
    <row r="218" spans="6:8" x14ac:dyDescent="0.35">
      <c r="F218">
        <v>4.3</v>
      </c>
      <c r="G218">
        <f t="shared" si="6"/>
        <v>225.04897956065295</v>
      </c>
      <c r="H218">
        <f t="shared" si="7"/>
        <v>179.22390468169607</v>
      </c>
    </row>
    <row r="219" spans="6:8" x14ac:dyDescent="0.35">
      <c r="F219">
        <v>4.32</v>
      </c>
      <c r="G219">
        <f t="shared" si="6"/>
        <v>226.09571900046998</v>
      </c>
      <c r="H219">
        <f t="shared" si="7"/>
        <v>179.62573816960798</v>
      </c>
    </row>
    <row r="220" spans="6:8" x14ac:dyDescent="0.35">
      <c r="F220">
        <v>4.34</v>
      </c>
      <c r="G220">
        <f t="shared" si="6"/>
        <v>227.14245844028693</v>
      </c>
      <c r="H220">
        <f t="shared" si="7"/>
        <v>180.02364765751997</v>
      </c>
    </row>
    <row r="221" spans="6:8" x14ac:dyDescent="0.35">
      <c r="F221">
        <v>4.3600000000000003</v>
      </c>
      <c r="G221">
        <f t="shared" si="6"/>
        <v>228.18919788010396</v>
      </c>
      <c r="H221">
        <f t="shared" si="7"/>
        <v>180.41763314543192</v>
      </c>
    </row>
    <row r="222" spans="6:8" x14ac:dyDescent="0.35">
      <c r="F222">
        <v>4.38</v>
      </c>
      <c r="G222">
        <f t="shared" si="6"/>
        <v>229.23593731992094</v>
      </c>
      <c r="H222">
        <f t="shared" si="7"/>
        <v>180.80769463334383</v>
      </c>
    </row>
    <row r="223" spans="6:8" x14ac:dyDescent="0.35">
      <c r="F223">
        <v>4.4000000000000004</v>
      </c>
      <c r="G223">
        <f t="shared" si="6"/>
        <v>230.28267675973794</v>
      </c>
      <c r="H223">
        <f t="shared" si="7"/>
        <v>181.19383212125581</v>
      </c>
    </row>
    <row r="224" spans="6:8" x14ac:dyDescent="0.35">
      <c r="F224">
        <v>4.42</v>
      </c>
      <c r="G224">
        <f t="shared" si="6"/>
        <v>231.32941619955491</v>
      </c>
      <c r="H224">
        <f t="shared" si="7"/>
        <v>181.57604560916778</v>
      </c>
    </row>
    <row r="225" spans="6:8" x14ac:dyDescent="0.35">
      <c r="F225">
        <v>4.4400000000000004</v>
      </c>
      <c r="G225">
        <f t="shared" si="6"/>
        <v>232.37615563937192</v>
      </c>
      <c r="H225">
        <f t="shared" si="7"/>
        <v>181.95433509707971</v>
      </c>
    </row>
    <row r="226" spans="6:8" x14ac:dyDescent="0.35">
      <c r="F226">
        <v>4.46</v>
      </c>
      <c r="G226">
        <f t="shared" si="6"/>
        <v>233.42289507918889</v>
      </c>
      <c r="H226">
        <f t="shared" si="7"/>
        <v>182.32870058499162</v>
      </c>
    </row>
    <row r="227" spans="6:8" x14ac:dyDescent="0.35">
      <c r="F227">
        <v>4.4800000000000004</v>
      </c>
      <c r="G227">
        <f t="shared" si="6"/>
        <v>234.46963451900589</v>
      </c>
      <c r="H227">
        <f t="shared" si="7"/>
        <v>182.69914207290361</v>
      </c>
    </row>
    <row r="228" spans="6:8" x14ac:dyDescent="0.35">
      <c r="F228">
        <v>4.5</v>
      </c>
      <c r="G228">
        <f t="shared" si="6"/>
        <v>235.51637395882287</v>
      </c>
      <c r="H228">
        <f t="shared" si="7"/>
        <v>183.06565956081556</v>
      </c>
    </row>
    <row r="229" spans="6:8" x14ac:dyDescent="0.35">
      <c r="F229">
        <v>4.5199999999999996</v>
      </c>
      <c r="G229">
        <f t="shared" si="6"/>
        <v>236.56311339863984</v>
      </c>
      <c r="H229">
        <f t="shared" si="7"/>
        <v>183.4282530487275</v>
      </c>
    </row>
    <row r="230" spans="6:8" x14ac:dyDescent="0.35">
      <c r="F230">
        <v>4.54</v>
      </c>
      <c r="G230">
        <f t="shared" si="6"/>
        <v>237.60985283845685</v>
      </c>
      <c r="H230">
        <f t="shared" si="7"/>
        <v>183.78692253663945</v>
      </c>
    </row>
    <row r="231" spans="6:8" x14ac:dyDescent="0.35">
      <c r="F231">
        <v>4.5599999999999996</v>
      </c>
      <c r="G231">
        <f t="shared" si="6"/>
        <v>238.65659227827382</v>
      </c>
      <c r="H231">
        <f t="shared" si="7"/>
        <v>184.14166802455142</v>
      </c>
    </row>
    <row r="232" spans="6:8" x14ac:dyDescent="0.35">
      <c r="F232">
        <v>4.58</v>
      </c>
      <c r="G232">
        <f t="shared" si="6"/>
        <v>239.70333171809085</v>
      </c>
      <c r="H232">
        <f t="shared" si="7"/>
        <v>184.49248951246335</v>
      </c>
    </row>
    <row r="233" spans="6:8" x14ac:dyDescent="0.35">
      <c r="F233">
        <v>4.5999999999999996</v>
      </c>
      <c r="G233">
        <f t="shared" si="6"/>
        <v>240.7500711579078</v>
      </c>
      <c r="H233">
        <f t="shared" si="7"/>
        <v>184.8393870003753</v>
      </c>
    </row>
    <row r="234" spans="6:8" x14ac:dyDescent="0.35">
      <c r="F234">
        <v>4.62</v>
      </c>
      <c r="G234">
        <f t="shared" si="6"/>
        <v>241.79681059772483</v>
      </c>
      <c r="H234">
        <f t="shared" si="7"/>
        <v>185.18236048828726</v>
      </c>
    </row>
    <row r="235" spans="6:8" x14ac:dyDescent="0.35">
      <c r="F235">
        <v>4.6399999999999997</v>
      </c>
      <c r="G235">
        <f t="shared" si="6"/>
        <v>242.84355003754177</v>
      </c>
      <c r="H235">
        <f t="shared" si="7"/>
        <v>185.52140997619921</v>
      </c>
    </row>
    <row r="236" spans="6:8" x14ac:dyDescent="0.35">
      <c r="F236">
        <v>4.66</v>
      </c>
      <c r="G236">
        <f t="shared" si="6"/>
        <v>243.89028947735881</v>
      </c>
      <c r="H236">
        <f t="shared" si="7"/>
        <v>185.85653546411118</v>
      </c>
    </row>
    <row r="237" spans="6:8" x14ac:dyDescent="0.35">
      <c r="F237">
        <v>4.68</v>
      </c>
      <c r="G237">
        <f t="shared" si="6"/>
        <v>244.93702891717578</v>
      </c>
      <c r="H237">
        <f t="shared" si="7"/>
        <v>186.1877369520231</v>
      </c>
    </row>
    <row r="238" spans="6:8" x14ac:dyDescent="0.35">
      <c r="F238">
        <v>4.7</v>
      </c>
      <c r="G238">
        <f t="shared" si="6"/>
        <v>245.98376835699278</v>
      </c>
      <c r="H238">
        <f t="shared" si="7"/>
        <v>186.51501443993502</v>
      </c>
    </row>
    <row r="239" spans="6:8" x14ac:dyDescent="0.35">
      <c r="F239">
        <v>4.72</v>
      </c>
      <c r="G239">
        <f t="shared" si="6"/>
        <v>247.03050779680976</v>
      </c>
      <c r="H239">
        <f t="shared" si="7"/>
        <v>186.838367927847</v>
      </c>
    </row>
    <row r="240" spans="6:8" x14ac:dyDescent="0.35">
      <c r="F240">
        <v>4.74</v>
      </c>
      <c r="G240">
        <f t="shared" si="6"/>
        <v>248.07724723662676</v>
      </c>
      <c r="H240">
        <f t="shared" si="7"/>
        <v>187.15779741575898</v>
      </c>
    </row>
    <row r="241" spans="6:8" x14ac:dyDescent="0.35">
      <c r="F241">
        <v>4.76</v>
      </c>
      <c r="G241">
        <f t="shared" si="6"/>
        <v>249.12398667644374</v>
      </c>
      <c r="H241">
        <f t="shared" si="7"/>
        <v>187.47330290367088</v>
      </c>
    </row>
    <row r="242" spans="6:8" x14ac:dyDescent="0.35">
      <c r="F242">
        <v>4.78</v>
      </c>
      <c r="G242">
        <f t="shared" si="6"/>
        <v>250.17072611626074</v>
      </c>
      <c r="H242">
        <f t="shared" si="7"/>
        <v>187.78488439158286</v>
      </c>
    </row>
    <row r="243" spans="6:8" x14ac:dyDescent="0.35">
      <c r="F243">
        <v>4.8</v>
      </c>
      <c r="G243">
        <f t="shared" si="6"/>
        <v>251.21746555607771</v>
      </c>
      <c r="H243">
        <f t="shared" si="7"/>
        <v>188.0925418794948</v>
      </c>
    </row>
    <row r="244" spans="6:8" x14ac:dyDescent="0.35">
      <c r="F244">
        <v>4.82</v>
      </c>
      <c r="G244">
        <f t="shared" si="6"/>
        <v>252.26420499589474</v>
      </c>
      <c r="H244">
        <f t="shared" si="7"/>
        <v>188.39627536740676</v>
      </c>
    </row>
    <row r="245" spans="6:8" x14ac:dyDescent="0.35">
      <c r="F245">
        <v>4.84</v>
      </c>
      <c r="G245">
        <f t="shared" si="6"/>
        <v>253.31094443571169</v>
      </c>
      <c r="H245">
        <f t="shared" si="7"/>
        <v>188.69608485531867</v>
      </c>
    </row>
    <row r="246" spans="6:8" x14ac:dyDescent="0.35">
      <c r="F246">
        <v>4.8600000000000003</v>
      </c>
      <c r="G246">
        <f t="shared" si="6"/>
        <v>254.35768387552872</v>
      </c>
      <c r="H246">
        <f t="shared" si="7"/>
        <v>188.99197034323066</v>
      </c>
    </row>
    <row r="247" spans="6:8" x14ac:dyDescent="0.35">
      <c r="F247">
        <v>4.88</v>
      </c>
      <c r="G247">
        <f t="shared" si="6"/>
        <v>255.4044233153457</v>
      </c>
      <c r="H247">
        <f t="shared" si="7"/>
        <v>189.28393183114258</v>
      </c>
    </row>
    <row r="248" spans="6:8" x14ac:dyDescent="0.35">
      <c r="F248">
        <v>4.9000000000000004</v>
      </c>
      <c r="G248">
        <f t="shared" si="6"/>
        <v>256.45116275516273</v>
      </c>
      <c r="H248">
        <f t="shared" si="7"/>
        <v>189.57196931905452</v>
      </c>
    </row>
    <row r="249" spans="6:8" x14ac:dyDescent="0.35">
      <c r="F249">
        <v>4.92</v>
      </c>
      <c r="G249">
        <f t="shared" si="6"/>
        <v>257.49790219497964</v>
      </c>
      <c r="H249">
        <f t="shared" si="7"/>
        <v>189.85608280696647</v>
      </c>
    </row>
    <row r="250" spans="6:8" x14ac:dyDescent="0.35">
      <c r="F250">
        <v>4.9400000000000004</v>
      </c>
      <c r="G250">
        <f t="shared" si="6"/>
        <v>258.54464163479668</v>
      </c>
      <c r="H250">
        <f t="shared" si="7"/>
        <v>190.13627229487847</v>
      </c>
    </row>
    <row r="251" spans="6:8" x14ac:dyDescent="0.35">
      <c r="F251">
        <v>4.96</v>
      </c>
      <c r="G251">
        <f t="shared" si="6"/>
        <v>259.59138107461365</v>
      </c>
      <c r="H251">
        <f t="shared" si="7"/>
        <v>190.41253778279039</v>
      </c>
    </row>
    <row r="252" spans="6:8" x14ac:dyDescent="0.35">
      <c r="F252">
        <v>4.9800000000000004</v>
      </c>
      <c r="G252">
        <f t="shared" si="6"/>
        <v>260.63812051443068</v>
      </c>
      <c r="H252">
        <f t="shared" si="7"/>
        <v>190.68487927070234</v>
      </c>
    </row>
    <row r="253" spans="6:8" x14ac:dyDescent="0.35">
      <c r="F253">
        <v>5</v>
      </c>
      <c r="G253">
        <f t="shared" si="6"/>
        <v>261.68485995424766</v>
      </c>
      <c r="H253">
        <f t="shared" si="7"/>
        <v>190.95329675861433</v>
      </c>
    </row>
    <row r="254" spans="6:8" x14ac:dyDescent="0.35">
      <c r="F254">
        <v>5.0199999999999996</v>
      </c>
      <c r="G254">
        <f t="shared" si="6"/>
        <v>262.73159939406463</v>
      </c>
      <c r="H254">
        <f t="shared" si="7"/>
        <v>191.21779024652625</v>
      </c>
    </row>
    <row r="255" spans="6:8" x14ac:dyDescent="0.35">
      <c r="F255">
        <v>5.04</v>
      </c>
      <c r="G255">
        <f t="shared" si="6"/>
        <v>263.77833883388161</v>
      </c>
      <c r="H255">
        <f t="shared" si="7"/>
        <v>191.47835973443819</v>
      </c>
    </row>
    <row r="256" spans="6:8" x14ac:dyDescent="0.35">
      <c r="F256">
        <v>5.0599999999999996</v>
      </c>
      <c r="G256">
        <f t="shared" si="6"/>
        <v>264.82507827369858</v>
      </c>
      <c r="H256">
        <f t="shared" si="7"/>
        <v>191.73500522235011</v>
      </c>
    </row>
    <row r="257" spans="6:8" x14ac:dyDescent="0.35">
      <c r="F257">
        <v>5.08</v>
      </c>
      <c r="G257">
        <f t="shared" si="6"/>
        <v>265.87181771351561</v>
      </c>
      <c r="H257">
        <f t="shared" si="7"/>
        <v>191.98772671026211</v>
      </c>
    </row>
    <row r="258" spans="6:8" x14ac:dyDescent="0.35">
      <c r="F258">
        <v>5.0999999999999996</v>
      </c>
      <c r="G258">
        <f t="shared" si="6"/>
        <v>266.91855715333259</v>
      </c>
      <c r="H258">
        <f t="shared" si="7"/>
        <v>192.23652419817404</v>
      </c>
    </row>
    <row r="259" spans="6:8" x14ac:dyDescent="0.35">
      <c r="F259">
        <v>5.12</v>
      </c>
      <c r="G259">
        <f t="shared" ref="G259:G322" si="8">$B$15*F259</f>
        <v>267.96529659314956</v>
      </c>
      <c r="H259">
        <f t="shared" ref="H259:H322" si="9">$B$13*F259-($B$8*F259^2)/2+$B$12</f>
        <v>192.48139768608598</v>
      </c>
    </row>
    <row r="260" spans="6:8" x14ac:dyDescent="0.35">
      <c r="F260">
        <v>5.14</v>
      </c>
      <c r="G260">
        <f t="shared" si="8"/>
        <v>269.01203603296653</v>
      </c>
      <c r="H260">
        <f t="shared" si="9"/>
        <v>192.72234717399792</v>
      </c>
    </row>
    <row r="261" spans="6:8" x14ac:dyDescent="0.35">
      <c r="F261">
        <v>5.16</v>
      </c>
      <c r="G261">
        <f t="shared" si="8"/>
        <v>270.05877547278357</v>
      </c>
      <c r="H261">
        <f t="shared" si="9"/>
        <v>192.9593726619099</v>
      </c>
    </row>
    <row r="262" spans="6:8" x14ac:dyDescent="0.35">
      <c r="F262">
        <v>5.18</v>
      </c>
      <c r="G262">
        <f t="shared" si="8"/>
        <v>271.10551491260054</v>
      </c>
      <c r="H262">
        <f t="shared" si="9"/>
        <v>193.19247414982183</v>
      </c>
    </row>
    <row r="263" spans="6:8" x14ac:dyDescent="0.35">
      <c r="F263">
        <v>5.2</v>
      </c>
      <c r="G263">
        <f t="shared" si="8"/>
        <v>272.15225435241757</v>
      </c>
      <c r="H263">
        <f t="shared" si="9"/>
        <v>193.42165163773379</v>
      </c>
    </row>
    <row r="264" spans="6:8" x14ac:dyDescent="0.35">
      <c r="F264">
        <v>5.22</v>
      </c>
      <c r="G264">
        <f t="shared" si="8"/>
        <v>273.19899379223455</v>
      </c>
      <c r="H264">
        <f t="shared" si="9"/>
        <v>193.6469051256457</v>
      </c>
    </row>
    <row r="265" spans="6:8" x14ac:dyDescent="0.35">
      <c r="F265">
        <v>5.24</v>
      </c>
      <c r="G265">
        <f t="shared" si="8"/>
        <v>274.24573323205152</v>
      </c>
      <c r="H265">
        <f t="shared" si="9"/>
        <v>193.86823461355769</v>
      </c>
    </row>
    <row r="266" spans="6:8" x14ac:dyDescent="0.35">
      <c r="F266">
        <v>5.26</v>
      </c>
      <c r="G266">
        <f t="shared" si="8"/>
        <v>275.2924726718685</v>
      </c>
      <c r="H266">
        <f t="shared" si="9"/>
        <v>194.08564010146964</v>
      </c>
    </row>
    <row r="267" spans="6:8" x14ac:dyDescent="0.35">
      <c r="F267">
        <v>5.28</v>
      </c>
      <c r="G267">
        <f t="shared" si="8"/>
        <v>276.33921211168553</v>
      </c>
      <c r="H267">
        <f t="shared" si="9"/>
        <v>194.29912158938157</v>
      </c>
    </row>
    <row r="268" spans="6:8" x14ac:dyDescent="0.35">
      <c r="F268">
        <v>5.3</v>
      </c>
      <c r="G268">
        <f t="shared" si="8"/>
        <v>277.3859515515025</v>
      </c>
      <c r="H268">
        <f t="shared" si="9"/>
        <v>194.50867907729355</v>
      </c>
    </row>
    <row r="269" spans="6:8" x14ac:dyDescent="0.35">
      <c r="F269">
        <v>5.32</v>
      </c>
      <c r="G269">
        <f t="shared" si="8"/>
        <v>278.43269099131948</v>
      </c>
      <c r="H269">
        <f t="shared" si="9"/>
        <v>194.71431256520549</v>
      </c>
    </row>
    <row r="270" spans="6:8" x14ac:dyDescent="0.35">
      <c r="F270">
        <v>5.34</v>
      </c>
      <c r="G270">
        <f t="shared" si="8"/>
        <v>279.47943043113645</v>
      </c>
      <c r="H270">
        <f t="shared" si="9"/>
        <v>194.91602205311742</v>
      </c>
    </row>
    <row r="271" spans="6:8" x14ac:dyDescent="0.35">
      <c r="F271">
        <v>5.36</v>
      </c>
      <c r="G271">
        <f t="shared" si="8"/>
        <v>280.52616987095348</v>
      </c>
      <c r="H271">
        <f t="shared" si="9"/>
        <v>195.11380754102936</v>
      </c>
    </row>
    <row r="272" spans="6:8" x14ac:dyDescent="0.35">
      <c r="F272">
        <v>5.38</v>
      </c>
      <c r="G272">
        <f t="shared" si="8"/>
        <v>281.57290931077046</v>
      </c>
      <c r="H272">
        <f t="shared" si="9"/>
        <v>195.30766902894135</v>
      </c>
    </row>
    <row r="273" spans="6:8" x14ac:dyDescent="0.35">
      <c r="F273">
        <v>5.4</v>
      </c>
      <c r="G273">
        <f t="shared" si="8"/>
        <v>282.61964875058749</v>
      </c>
      <c r="H273">
        <f t="shared" si="9"/>
        <v>195.4976065168533</v>
      </c>
    </row>
    <row r="274" spans="6:8" x14ac:dyDescent="0.35">
      <c r="F274">
        <v>5.42</v>
      </c>
      <c r="G274">
        <f t="shared" si="8"/>
        <v>283.6663881904044</v>
      </c>
      <c r="H274">
        <f t="shared" si="9"/>
        <v>195.6836200047652</v>
      </c>
    </row>
    <row r="275" spans="6:8" x14ac:dyDescent="0.35">
      <c r="F275">
        <v>5.44</v>
      </c>
      <c r="G275">
        <f t="shared" si="8"/>
        <v>284.71312763022144</v>
      </c>
      <c r="H275">
        <f t="shared" si="9"/>
        <v>195.86570949267715</v>
      </c>
    </row>
    <row r="276" spans="6:8" x14ac:dyDescent="0.35">
      <c r="F276">
        <v>5.46</v>
      </c>
      <c r="G276">
        <f t="shared" si="8"/>
        <v>285.75986707003841</v>
      </c>
      <c r="H276">
        <f t="shared" si="9"/>
        <v>196.04387498058915</v>
      </c>
    </row>
    <row r="277" spans="6:8" x14ac:dyDescent="0.35">
      <c r="F277">
        <v>5.48</v>
      </c>
      <c r="G277">
        <f t="shared" si="8"/>
        <v>286.80660650985544</v>
      </c>
      <c r="H277">
        <f t="shared" si="9"/>
        <v>196.21811646850108</v>
      </c>
    </row>
    <row r="278" spans="6:8" x14ac:dyDescent="0.35">
      <c r="F278">
        <v>5.5</v>
      </c>
      <c r="G278">
        <f t="shared" si="8"/>
        <v>287.85334594967242</v>
      </c>
      <c r="H278">
        <f t="shared" si="9"/>
        <v>196.38843395641302</v>
      </c>
    </row>
    <row r="279" spans="6:8" x14ac:dyDescent="0.35">
      <c r="F279">
        <v>5.52</v>
      </c>
      <c r="G279">
        <f t="shared" si="8"/>
        <v>288.90008538948939</v>
      </c>
      <c r="H279">
        <f t="shared" si="9"/>
        <v>196.55482744432501</v>
      </c>
    </row>
    <row r="280" spans="6:8" x14ac:dyDescent="0.35">
      <c r="F280">
        <v>5.54</v>
      </c>
      <c r="G280">
        <f t="shared" si="8"/>
        <v>289.94682482930637</v>
      </c>
      <c r="H280">
        <f t="shared" si="9"/>
        <v>196.71729693223693</v>
      </c>
    </row>
    <row r="281" spans="6:8" x14ac:dyDescent="0.35">
      <c r="F281">
        <v>5.56</v>
      </c>
      <c r="G281">
        <f t="shared" si="8"/>
        <v>290.99356426912334</v>
      </c>
      <c r="H281">
        <f t="shared" si="9"/>
        <v>196.87584242014887</v>
      </c>
    </row>
    <row r="282" spans="6:8" x14ac:dyDescent="0.35">
      <c r="F282">
        <v>5.58</v>
      </c>
      <c r="G282">
        <f t="shared" si="8"/>
        <v>292.04030370894037</v>
      </c>
      <c r="H282">
        <f t="shared" si="9"/>
        <v>197.0304639080608</v>
      </c>
    </row>
    <row r="283" spans="6:8" x14ac:dyDescent="0.35">
      <c r="F283">
        <v>5.6</v>
      </c>
      <c r="G283">
        <f t="shared" si="8"/>
        <v>293.08704314875735</v>
      </c>
      <c r="H283">
        <f t="shared" si="9"/>
        <v>197.18116139597279</v>
      </c>
    </row>
    <row r="284" spans="6:8" x14ac:dyDescent="0.35">
      <c r="F284">
        <v>5.62</v>
      </c>
      <c r="G284">
        <f t="shared" si="8"/>
        <v>294.13378258857432</v>
      </c>
      <c r="H284">
        <f t="shared" si="9"/>
        <v>197.32793488388472</v>
      </c>
    </row>
    <row r="285" spans="6:8" x14ac:dyDescent="0.35">
      <c r="F285">
        <v>5.64</v>
      </c>
      <c r="G285">
        <f t="shared" si="8"/>
        <v>295.18052202839129</v>
      </c>
      <c r="H285">
        <f t="shared" si="9"/>
        <v>197.47078437179667</v>
      </c>
    </row>
    <row r="286" spans="6:8" x14ac:dyDescent="0.35">
      <c r="F286">
        <v>5.66</v>
      </c>
      <c r="G286">
        <f t="shared" si="8"/>
        <v>296.22726146820833</v>
      </c>
      <c r="H286">
        <f t="shared" si="9"/>
        <v>197.6097098597086</v>
      </c>
    </row>
    <row r="287" spans="6:8" x14ac:dyDescent="0.35">
      <c r="F287">
        <v>5.68</v>
      </c>
      <c r="G287">
        <f t="shared" si="8"/>
        <v>297.2740009080253</v>
      </c>
      <c r="H287">
        <f t="shared" si="9"/>
        <v>197.74471134762058</v>
      </c>
    </row>
    <row r="288" spans="6:8" x14ac:dyDescent="0.35">
      <c r="F288">
        <v>5.7</v>
      </c>
      <c r="G288">
        <f t="shared" si="8"/>
        <v>298.32074034784233</v>
      </c>
      <c r="H288">
        <f t="shared" si="9"/>
        <v>197.87578883553252</v>
      </c>
    </row>
    <row r="289" spans="6:8" x14ac:dyDescent="0.35">
      <c r="F289">
        <v>5.72</v>
      </c>
      <c r="G289">
        <f t="shared" si="8"/>
        <v>299.36747978765931</v>
      </c>
      <c r="H289">
        <f t="shared" si="9"/>
        <v>198.00294232344447</v>
      </c>
    </row>
    <row r="290" spans="6:8" x14ac:dyDescent="0.35">
      <c r="F290">
        <v>5.74</v>
      </c>
      <c r="G290">
        <f t="shared" si="8"/>
        <v>300.41421922747628</v>
      </c>
      <c r="H290">
        <f t="shared" si="9"/>
        <v>198.12617181135641</v>
      </c>
    </row>
    <row r="291" spans="6:8" x14ac:dyDescent="0.35">
      <c r="F291">
        <v>5.76</v>
      </c>
      <c r="G291">
        <f t="shared" si="8"/>
        <v>301.46095866729326</v>
      </c>
      <c r="H291">
        <f t="shared" si="9"/>
        <v>198.24547729926837</v>
      </c>
    </row>
    <row r="292" spans="6:8" x14ac:dyDescent="0.35">
      <c r="F292">
        <v>5.78</v>
      </c>
      <c r="G292">
        <f t="shared" si="8"/>
        <v>302.50769810711029</v>
      </c>
      <c r="H292">
        <f t="shared" si="9"/>
        <v>198.36085878718035</v>
      </c>
    </row>
    <row r="293" spans="6:8" x14ac:dyDescent="0.35">
      <c r="F293">
        <v>5.8</v>
      </c>
      <c r="G293">
        <f t="shared" si="8"/>
        <v>303.55443754692726</v>
      </c>
      <c r="H293">
        <f t="shared" si="9"/>
        <v>198.47231627509225</v>
      </c>
    </row>
    <row r="294" spans="6:8" x14ac:dyDescent="0.35">
      <c r="F294">
        <v>5.82</v>
      </c>
      <c r="G294">
        <f t="shared" si="8"/>
        <v>304.60117698674424</v>
      </c>
      <c r="H294">
        <f t="shared" si="9"/>
        <v>198.57984976300423</v>
      </c>
    </row>
    <row r="295" spans="6:8" x14ac:dyDescent="0.35">
      <c r="F295">
        <v>5.84</v>
      </c>
      <c r="G295">
        <f t="shared" si="8"/>
        <v>305.64791642656121</v>
      </c>
      <c r="H295">
        <f t="shared" si="9"/>
        <v>198.6834592509162</v>
      </c>
    </row>
    <row r="296" spans="6:8" x14ac:dyDescent="0.35">
      <c r="F296">
        <v>5.86</v>
      </c>
      <c r="G296">
        <f t="shared" si="8"/>
        <v>306.69465586637824</v>
      </c>
      <c r="H296">
        <f t="shared" si="9"/>
        <v>198.7831447388281</v>
      </c>
    </row>
    <row r="297" spans="6:8" x14ac:dyDescent="0.35">
      <c r="F297">
        <v>5.88</v>
      </c>
      <c r="G297">
        <f t="shared" si="8"/>
        <v>307.74139530619522</v>
      </c>
      <c r="H297">
        <f t="shared" si="9"/>
        <v>198.87890622674004</v>
      </c>
    </row>
    <row r="298" spans="6:8" x14ac:dyDescent="0.35">
      <c r="F298">
        <v>5.9</v>
      </c>
      <c r="G298">
        <f t="shared" si="8"/>
        <v>308.78813474601225</v>
      </c>
      <c r="H298">
        <f t="shared" si="9"/>
        <v>198.97074371465206</v>
      </c>
    </row>
    <row r="299" spans="6:8" x14ac:dyDescent="0.35">
      <c r="F299">
        <v>5.92</v>
      </c>
      <c r="G299">
        <f t="shared" si="8"/>
        <v>309.83487418582922</v>
      </c>
      <c r="H299">
        <f t="shared" si="9"/>
        <v>199.05865720256398</v>
      </c>
    </row>
    <row r="300" spans="6:8" x14ac:dyDescent="0.35">
      <c r="F300">
        <v>5.94</v>
      </c>
      <c r="G300">
        <f t="shared" si="8"/>
        <v>310.8816136256462</v>
      </c>
      <c r="H300">
        <f t="shared" si="9"/>
        <v>199.14264669047589</v>
      </c>
    </row>
    <row r="301" spans="6:8" x14ac:dyDescent="0.35">
      <c r="F301">
        <v>5.96</v>
      </c>
      <c r="G301">
        <f t="shared" si="8"/>
        <v>311.92835306546317</v>
      </c>
      <c r="H301">
        <f t="shared" si="9"/>
        <v>199.22271217838784</v>
      </c>
    </row>
    <row r="302" spans="6:8" x14ac:dyDescent="0.35">
      <c r="F302">
        <v>5.98</v>
      </c>
      <c r="G302">
        <f t="shared" si="8"/>
        <v>312.9750925052802</v>
      </c>
      <c r="H302">
        <f t="shared" si="9"/>
        <v>199.29885366629983</v>
      </c>
    </row>
    <row r="303" spans="6:8" x14ac:dyDescent="0.35">
      <c r="F303">
        <v>6</v>
      </c>
      <c r="G303">
        <f t="shared" si="8"/>
        <v>314.02183194509718</v>
      </c>
      <c r="H303">
        <f t="shared" si="9"/>
        <v>199.37107115421176</v>
      </c>
    </row>
    <row r="304" spans="6:8" x14ac:dyDescent="0.35">
      <c r="F304">
        <v>6.02</v>
      </c>
      <c r="G304">
        <f t="shared" si="8"/>
        <v>315.06857138491415</v>
      </c>
      <c r="H304">
        <f t="shared" si="9"/>
        <v>199.43936464212371</v>
      </c>
    </row>
    <row r="305" spans="6:8" x14ac:dyDescent="0.35">
      <c r="F305">
        <v>6.04</v>
      </c>
      <c r="G305">
        <f t="shared" si="8"/>
        <v>316.11531082473113</v>
      </c>
      <c r="H305">
        <f t="shared" si="9"/>
        <v>199.5037341300357</v>
      </c>
    </row>
    <row r="306" spans="6:8" x14ac:dyDescent="0.35">
      <c r="F306">
        <v>6.06</v>
      </c>
      <c r="G306">
        <f t="shared" si="8"/>
        <v>317.1620502645481</v>
      </c>
      <c r="H306">
        <f t="shared" si="9"/>
        <v>199.56417961794762</v>
      </c>
    </row>
    <row r="307" spans="6:8" x14ac:dyDescent="0.35">
      <c r="F307">
        <v>6.08</v>
      </c>
      <c r="G307">
        <f t="shared" si="8"/>
        <v>318.20878970436513</v>
      </c>
      <c r="H307">
        <f t="shared" si="9"/>
        <v>199.62070110585955</v>
      </c>
    </row>
    <row r="308" spans="6:8" x14ac:dyDescent="0.35">
      <c r="F308">
        <v>6.1</v>
      </c>
      <c r="G308">
        <f t="shared" si="8"/>
        <v>319.25552914418211</v>
      </c>
      <c r="H308">
        <f t="shared" si="9"/>
        <v>199.67329859377151</v>
      </c>
    </row>
    <row r="309" spans="6:8" x14ac:dyDescent="0.35">
      <c r="F309">
        <v>6.12</v>
      </c>
      <c r="G309">
        <f t="shared" si="8"/>
        <v>320.30226858399914</v>
      </c>
      <c r="H309">
        <f t="shared" si="9"/>
        <v>199.7219720816835</v>
      </c>
    </row>
    <row r="310" spans="6:8" x14ac:dyDescent="0.35">
      <c r="F310">
        <v>6.14</v>
      </c>
      <c r="G310">
        <f t="shared" si="8"/>
        <v>321.34900802381605</v>
      </c>
      <c r="H310">
        <f t="shared" si="9"/>
        <v>199.7667215695954</v>
      </c>
    </row>
    <row r="311" spans="6:8" x14ac:dyDescent="0.35">
      <c r="F311">
        <v>6.16</v>
      </c>
      <c r="G311">
        <f t="shared" si="8"/>
        <v>322.39574746363309</v>
      </c>
      <c r="H311">
        <f t="shared" si="9"/>
        <v>199.80754705750738</v>
      </c>
    </row>
    <row r="312" spans="6:8" x14ac:dyDescent="0.35">
      <c r="F312">
        <v>6.18</v>
      </c>
      <c r="G312">
        <f t="shared" si="8"/>
        <v>323.44248690345006</v>
      </c>
      <c r="H312">
        <f t="shared" si="9"/>
        <v>199.84444854541928</v>
      </c>
    </row>
    <row r="313" spans="6:8" x14ac:dyDescent="0.35">
      <c r="F313">
        <v>6.2</v>
      </c>
      <c r="G313">
        <f t="shared" si="8"/>
        <v>324.48922634326709</v>
      </c>
      <c r="H313">
        <f t="shared" si="9"/>
        <v>199.87742603333126</v>
      </c>
    </row>
    <row r="314" spans="6:8" x14ac:dyDescent="0.35">
      <c r="F314">
        <v>6.22</v>
      </c>
      <c r="G314">
        <f t="shared" si="8"/>
        <v>325.53596578308407</v>
      </c>
      <c r="H314">
        <f t="shared" si="9"/>
        <v>199.90647952124323</v>
      </c>
    </row>
    <row r="315" spans="6:8" x14ac:dyDescent="0.35">
      <c r="F315">
        <v>6.24</v>
      </c>
      <c r="G315">
        <f t="shared" si="8"/>
        <v>326.58270522290104</v>
      </c>
      <c r="H315">
        <f t="shared" si="9"/>
        <v>199.93160900915515</v>
      </c>
    </row>
    <row r="316" spans="6:8" x14ac:dyDescent="0.35">
      <c r="F316">
        <v>6.26</v>
      </c>
      <c r="G316">
        <f t="shared" si="8"/>
        <v>327.62944466271802</v>
      </c>
      <c r="H316">
        <f t="shared" si="9"/>
        <v>199.95281449706715</v>
      </c>
    </row>
    <row r="317" spans="6:8" x14ac:dyDescent="0.35">
      <c r="F317">
        <v>6.28</v>
      </c>
      <c r="G317">
        <f t="shared" si="8"/>
        <v>328.67618410253505</v>
      </c>
      <c r="H317">
        <f t="shared" si="9"/>
        <v>199.97009598497908</v>
      </c>
    </row>
    <row r="318" spans="6:8" x14ac:dyDescent="0.35">
      <c r="F318">
        <v>6.3</v>
      </c>
      <c r="G318">
        <f t="shared" si="8"/>
        <v>329.72292354235202</v>
      </c>
      <c r="H318">
        <f t="shared" si="9"/>
        <v>199.983453472891</v>
      </c>
    </row>
    <row r="319" spans="6:8" x14ac:dyDescent="0.35">
      <c r="F319">
        <v>6.32</v>
      </c>
      <c r="G319">
        <f t="shared" si="8"/>
        <v>330.76966298216905</v>
      </c>
      <c r="H319">
        <f t="shared" si="9"/>
        <v>199.99288696080293</v>
      </c>
    </row>
    <row r="320" spans="6:8" x14ac:dyDescent="0.35">
      <c r="F320">
        <v>6.34</v>
      </c>
      <c r="G320">
        <f t="shared" si="8"/>
        <v>331.81640242198597</v>
      </c>
      <c r="H320">
        <f t="shared" si="9"/>
        <v>199.99839644871491</v>
      </c>
    </row>
    <row r="321" spans="6:8" x14ac:dyDescent="0.35">
      <c r="F321">
        <v>6.36</v>
      </c>
      <c r="G321">
        <f t="shared" si="8"/>
        <v>332.863141861803</v>
      </c>
      <c r="H321">
        <f t="shared" si="9"/>
        <v>199.99998193662685</v>
      </c>
    </row>
    <row r="322" spans="6:8" x14ac:dyDescent="0.35">
      <c r="F322">
        <v>6.38</v>
      </c>
      <c r="G322">
        <f t="shared" si="8"/>
        <v>333.90988130161998</v>
      </c>
      <c r="H322">
        <f t="shared" si="9"/>
        <v>199.99764342453878</v>
      </c>
    </row>
    <row r="323" spans="6:8" x14ac:dyDescent="0.35">
      <c r="F323">
        <v>6.4</v>
      </c>
      <c r="G323">
        <f t="shared" ref="G323:G386" si="10">$B$15*F323</f>
        <v>334.95662074143701</v>
      </c>
      <c r="H323">
        <f t="shared" ref="H323:H386" si="11">$B$13*F323-($B$8*F323^2)/2+$B$12</f>
        <v>199.99138091245072</v>
      </c>
    </row>
    <row r="324" spans="6:8" x14ac:dyDescent="0.35">
      <c r="F324">
        <v>6.42</v>
      </c>
      <c r="G324">
        <f t="shared" si="10"/>
        <v>336.00336018125398</v>
      </c>
      <c r="H324">
        <f t="shared" si="11"/>
        <v>199.98119440036271</v>
      </c>
    </row>
    <row r="325" spans="6:8" x14ac:dyDescent="0.35">
      <c r="F325">
        <v>6.44</v>
      </c>
      <c r="G325">
        <f t="shared" si="10"/>
        <v>337.05009962107096</v>
      </c>
      <c r="H325">
        <f t="shared" si="11"/>
        <v>199.96708388827466</v>
      </c>
    </row>
    <row r="326" spans="6:8" x14ac:dyDescent="0.35">
      <c r="F326">
        <v>6.46</v>
      </c>
      <c r="G326">
        <f t="shared" si="10"/>
        <v>338.09683906088793</v>
      </c>
      <c r="H326">
        <f t="shared" si="11"/>
        <v>199.94904937618659</v>
      </c>
    </row>
    <row r="327" spans="6:8" x14ac:dyDescent="0.35">
      <c r="F327">
        <v>6.48</v>
      </c>
      <c r="G327">
        <f t="shared" si="10"/>
        <v>339.14357850070496</v>
      </c>
      <c r="H327">
        <f t="shared" si="11"/>
        <v>199.92709086409852</v>
      </c>
    </row>
    <row r="328" spans="6:8" x14ac:dyDescent="0.35">
      <c r="F328">
        <v>6.5</v>
      </c>
      <c r="G328">
        <f t="shared" si="10"/>
        <v>340.19031794052194</v>
      </c>
      <c r="H328">
        <f t="shared" si="11"/>
        <v>199.90120835201051</v>
      </c>
    </row>
    <row r="329" spans="6:8" x14ac:dyDescent="0.35">
      <c r="F329">
        <v>6.52</v>
      </c>
      <c r="G329">
        <f t="shared" si="10"/>
        <v>341.23705738033891</v>
      </c>
      <c r="H329">
        <f t="shared" si="11"/>
        <v>199.87140183992244</v>
      </c>
    </row>
    <row r="330" spans="6:8" x14ac:dyDescent="0.35">
      <c r="F330">
        <v>6.5400000000000098</v>
      </c>
      <c r="G330">
        <f t="shared" si="10"/>
        <v>342.2837968201564</v>
      </c>
      <c r="H330">
        <f t="shared" si="11"/>
        <v>199.83767132783439</v>
      </c>
    </row>
    <row r="331" spans="6:8" x14ac:dyDescent="0.35">
      <c r="F331">
        <v>6.5600000000000103</v>
      </c>
      <c r="G331">
        <f t="shared" si="10"/>
        <v>343.33053625997343</v>
      </c>
      <c r="H331">
        <f t="shared" si="11"/>
        <v>199.80001681574632</v>
      </c>
    </row>
    <row r="332" spans="6:8" x14ac:dyDescent="0.35">
      <c r="F332">
        <v>6.5800000000000098</v>
      </c>
      <c r="G332">
        <f t="shared" si="10"/>
        <v>344.3772756997904</v>
      </c>
      <c r="H332">
        <f t="shared" si="11"/>
        <v>199.75843830365832</v>
      </c>
    </row>
    <row r="333" spans="6:8" x14ac:dyDescent="0.35">
      <c r="F333">
        <v>6.6000000000000103</v>
      </c>
      <c r="G333">
        <f t="shared" si="10"/>
        <v>345.42401513960743</v>
      </c>
      <c r="H333">
        <f t="shared" si="11"/>
        <v>199.71293579157023</v>
      </c>
    </row>
    <row r="334" spans="6:8" x14ac:dyDescent="0.35">
      <c r="F334">
        <v>6.6200000000000099</v>
      </c>
      <c r="G334">
        <f t="shared" si="10"/>
        <v>346.47075457942441</v>
      </c>
      <c r="H334">
        <f t="shared" si="11"/>
        <v>199.66350927948216</v>
      </c>
    </row>
    <row r="335" spans="6:8" x14ac:dyDescent="0.35">
      <c r="F335">
        <v>6.6400000000000103</v>
      </c>
      <c r="G335">
        <f t="shared" si="10"/>
        <v>347.51749401924138</v>
      </c>
      <c r="H335">
        <f t="shared" si="11"/>
        <v>199.6101587673941</v>
      </c>
    </row>
    <row r="336" spans="6:8" x14ac:dyDescent="0.35">
      <c r="F336">
        <v>6.6600000000000099</v>
      </c>
      <c r="G336">
        <f t="shared" si="10"/>
        <v>348.56423345905836</v>
      </c>
      <c r="H336">
        <f t="shared" si="11"/>
        <v>199.55288425530608</v>
      </c>
    </row>
    <row r="337" spans="6:8" x14ac:dyDescent="0.35">
      <c r="F337">
        <v>6.6800000000000104</v>
      </c>
      <c r="G337">
        <f t="shared" si="10"/>
        <v>349.61097289887539</v>
      </c>
      <c r="H337">
        <f t="shared" si="11"/>
        <v>199.491685743218</v>
      </c>
    </row>
    <row r="338" spans="6:8" x14ac:dyDescent="0.35">
      <c r="F338">
        <v>6.7000000000000099</v>
      </c>
      <c r="G338">
        <f t="shared" si="10"/>
        <v>350.65771233869236</v>
      </c>
      <c r="H338">
        <f t="shared" si="11"/>
        <v>199.42656323112993</v>
      </c>
    </row>
    <row r="339" spans="6:8" x14ac:dyDescent="0.35">
      <c r="F339">
        <v>6.7200000000000104</v>
      </c>
      <c r="G339">
        <f t="shared" si="10"/>
        <v>351.70445177850939</v>
      </c>
      <c r="H339">
        <f t="shared" si="11"/>
        <v>199.35751671904188</v>
      </c>
    </row>
    <row r="340" spans="6:8" x14ac:dyDescent="0.35">
      <c r="F340">
        <v>6.74000000000001</v>
      </c>
      <c r="G340">
        <f t="shared" si="10"/>
        <v>352.75119121832631</v>
      </c>
      <c r="H340">
        <f t="shared" si="11"/>
        <v>199.28454620695388</v>
      </c>
    </row>
    <row r="341" spans="6:8" x14ac:dyDescent="0.35">
      <c r="F341">
        <v>6.7600000000000096</v>
      </c>
      <c r="G341">
        <f t="shared" si="10"/>
        <v>353.79793065814329</v>
      </c>
      <c r="H341">
        <f t="shared" si="11"/>
        <v>199.2076516948658</v>
      </c>
    </row>
    <row r="342" spans="6:8" x14ac:dyDescent="0.35">
      <c r="F342">
        <v>6.78000000000001</v>
      </c>
      <c r="G342">
        <f t="shared" si="10"/>
        <v>354.84467009796032</v>
      </c>
      <c r="H342">
        <f t="shared" si="11"/>
        <v>199.12683318277772</v>
      </c>
    </row>
    <row r="343" spans="6:8" x14ac:dyDescent="0.35">
      <c r="F343">
        <v>6.8000000000000096</v>
      </c>
      <c r="G343">
        <f t="shared" si="10"/>
        <v>355.89140953777729</v>
      </c>
      <c r="H343">
        <f t="shared" si="11"/>
        <v>199.04209067068973</v>
      </c>
    </row>
    <row r="344" spans="6:8" x14ac:dyDescent="0.35">
      <c r="F344">
        <v>6.8200000000000101</v>
      </c>
      <c r="G344">
        <f t="shared" si="10"/>
        <v>356.93814897759432</v>
      </c>
      <c r="H344">
        <f t="shared" si="11"/>
        <v>198.95342415860168</v>
      </c>
    </row>
    <row r="345" spans="6:8" x14ac:dyDescent="0.35">
      <c r="F345">
        <v>6.8400000000000096</v>
      </c>
      <c r="G345">
        <f t="shared" si="10"/>
        <v>357.98488841741124</v>
      </c>
      <c r="H345">
        <f t="shared" si="11"/>
        <v>198.86083364651361</v>
      </c>
    </row>
    <row r="346" spans="6:8" x14ac:dyDescent="0.35">
      <c r="F346">
        <v>6.8600000000000101</v>
      </c>
      <c r="G346">
        <f t="shared" si="10"/>
        <v>359.03162785722827</v>
      </c>
      <c r="H346">
        <f t="shared" si="11"/>
        <v>198.76431913442553</v>
      </c>
    </row>
    <row r="347" spans="6:8" x14ac:dyDescent="0.35">
      <c r="F347">
        <v>6.8800000000000097</v>
      </c>
      <c r="G347">
        <f t="shared" si="10"/>
        <v>360.07836729704525</v>
      </c>
      <c r="H347">
        <f t="shared" si="11"/>
        <v>198.66388062233753</v>
      </c>
    </row>
    <row r="348" spans="6:8" x14ac:dyDescent="0.35">
      <c r="F348">
        <v>6.9000000000000101</v>
      </c>
      <c r="G348">
        <f t="shared" si="10"/>
        <v>361.12510673686228</v>
      </c>
      <c r="H348">
        <f t="shared" si="11"/>
        <v>198.55951811024943</v>
      </c>
    </row>
    <row r="349" spans="6:8" x14ac:dyDescent="0.35">
      <c r="F349">
        <v>6.9200000000000097</v>
      </c>
      <c r="G349">
        <f t="shared" si="10"/>
        <v>362.17184617667925</v>
      </c>
      <c r="H349">
        <f t="shared" si="11"/>
        <v>198.45123159816137</v>
      </c>
    </row>
    <row r="350" spans="6:8" x14ac:dyDescent="0.35">
      <c r="F350">
        <v>6.9400000000000102</v>
      </c>
      <c r="G350">
        <f t="shared" si="10"/>
        <v>363.21858561649623</v>
      </c>
      <c r="H350">
        <f t="shared" si="11"/>
        <v>198.3390210860733</v>
      </c>
    </row>
    <row r="351" spans="6:8" x14ac:dyDescent="0.35">
      <c r="F351">
        <v>6.9600000000000204</v>
      </c>
      <c r="G351">
        <f t="shared" si="10"/>
        <v>364.26532505631377</v>
      </c>
      <c r="H351">
        <f t="shared" si="11"/>
        <v>198.22288657398519</v>
      </c>
    </row>
    <row r="352" spans="6:8" x14ac:dyDescent="0.35">
      <c r="F352">
        <v>6.98000000000002</v>
      </c>
      <c r="G352">
        <f t="shared" si="10"/>
        <v>365.31206449613074</v>
      </c>
      <c r="H352">
        <f t="shared" si="11"/>
        <v>198.10282806189716</v>
      </c>
    </row>
    <row r="353" spans="6:8" x14ac:dyDescent="0.35">
      <c r="F353">
        <v>7.0000000000000204</v>
      </c>
      <c r="G353">
        <f t="shared" si="10"/>
        <v>366.35880393594778</v>
      </c>
      <c r="H353">
        <f t="shared" si="11"/>
        <v>197.97884554980911</v>
      </c>
    </row>
    <row r="354" spans="6:8" x14ac:dyDescent="0.35">
      <c r="F354">
        <v>7.02000000000002</v>
      </c>
      <c r="G354">
        <f t="shared" si="10"/>
        <v>367.40554337576475</v>
      </c>
      <c r="H354">
        <f t="shared" si="11"/>
        <v>197.85093903772108</v>
      </c>
    </row>
    <row r="355" spans="6:8" x14ac:dyDescent="0.35">
      <c r="F355">
        <v>7.0400000000000196</v>
      </c>
      <c r="G355">
        <f t="shared" si="10"/>
        <v>368.45228281558167</v>
      </c>
      <c r="H355">
        <f t="shared" si="11"/>
        <v>197.71910852563298</v>
      </c>
    </row>
    <row r="356" spans="6:8" x14ac:dyDescent="0.35">
      <c r="F356">
        <v>7.06000000000002</v>
      </c>
      <c r="G356">
        <f t="shared" si="10"/>
        <v>369.4990222553987</v>
      </c>
      <c r="H356">
        <f t="shared" si="11"/>
        <v>197.58335401354495</v>
      </c>
    </row>
    <row r="357" spans="6:8" x14ac:dyDescent="0.35">
      <c r="F357">
        <v>7.0800000000000196</v>
      </c>
      <c r="G357">
        <f t="shared" si="10"/>
        <v>370.54576169521567</v>
      </c>
      <c r="H357">
        <f t="shared" si="11"/>
        <v>197.44367550145688</v>
      </c>
    </row>
    <row r="358" spans="6:8" x14ac:dyDescent="0.35">
      <c r="F358">
        <v>7.1000000000000201</v>
      </c>
      <c r="G358">
        <f t="shared" si="10"/>
        <v>371.59250113503271</v>
      </c>
      <c r="H358">
        <f t="shared" si="11"/>
        <v>197.3000729893688</v>
      </c>
    </row>
    <row r="359" spans="6:8" x14ac:dyDescent="0.35">
      <c r="F359">
        <v>7.1200000000000196</v>
      </c>
      <c r="G359">
        <f t="shared" si="10"/>
        <v>372.63924057484968</v>
      </c>
      <c r="H359">
        <f t="shared" si="11"/>
        <v>197.15254647728082</v>
      </c>
    </row>
    <row r="360" spans="6:8" x14ac:dyDescent="0.35">
      <c r="F360">
        <v>7.1400000000000201</v>
      </c>
      <c r="G360">
        <f t="shared" si="10"/>
        <v>373.68598001466665</v>
      </c>
      <c r="H360">
        <f t="shared" si="11"/>
        <v>197.00109596519272</v>
      </c>
    </row>
    <row r="361" spans="6:8" x14ac:dyDescent="0.35">
      <c r="F361">
        <v>7.1600000000000197</v>
      </c>
      <c r="G361">
        <f t="shared" si="10"/>
        <v>374.73271945448363</v>
      </c>
      <c r="H361">
        <f t="shared" si="11"/>
        <v>196.84572145310466</v>
      </c>
    </row>
    <row r="362" spans="6:8" x14ac:dyDescent="0.35">
      <c r="F362">
        <v>7.1800000000000201</v>
      </c>
      <c r="G362">
        <f t="shared" si="10"/>
        <v>375.77945889430066</v>
      </c>
      <c r="H362">
        <f t="shared" si="11"/>
        <v>196.68642294101659</v>
      </c>
    </row>
    <row r="363" spans="6:8" x14ac:dyDescent="0.35">
      <c r="F363">
        <v>7.2000000000000197</v>
      </c>
      <c r="G363">
        <f t="shared" si="10"/>
        <v>376.82619833411763</v>
      </c>
      <c r="H363">
        <f t="shared" si="11"/>
        <v>196.52320042892862</v>
      </c>
    </row>
    <row r="364" spans="6:8" x14ac:dyDescent="0.35">
      <c r="F364">
        <v>7.2200000000000202</v>
      </c>
      <c r="G364">
        <f t="shared" si="10"/>
        <v>377.87293777393467</v>
      </c>
      <c r="H364">
        <f t="shared" si="11"/>
        <v>196.35605391684052</v>
      </c>
    </row>
    <row r="365" spans="6:8" x14ac:dyDescent="0.35">
      <c r="F365">
        <v>7.2400000000000198</v>
      </c>
      <c r="G365">
        <f t="shared" si="10"/>
        <v>378.91967721375158</v>
      </c>
      <c r="H365">
        <f t="shared" si="11"/>
        <v>196.18498340475247</v>
      </c>
    </row>
    <row r="366" spans="6:8" x14ac:dyDescent="0.35">
      <c r="F366">
        <v>7.2600000000000202</v>
      </c>
      <c r="G366">
        <f t="shared" si="10"/>
        <v>379.96641665356861</v>
      </c>
      <c r="H366">
        <f t="shared" si="11"/>
        <v>196.00998889266441</v>
      </c>
    </row>
    <row r="367" spans="6:8" x14ac:dyDescent="0.35">
      <c r="F367">
        <v>7.2800000000000198</v>
      </c>
      <c r="G367">
        <f t="shared" si="10"/>
        <v>381.01315609338559</v>
      </c>
      <c r="H367">
        <f t="shared" si="11"/>
        <v>195.83107038057636</v>
      </c>
    </row>
    <row r="368" spans="6:8" x14ac:dyDescent="0.35">
      <c r="F368">
        <v>7.3000000000000203</v>
      </c>
      <c r="G368">
        <f t="shared" si="10"/>
        <v>382.05989553320262</v>
      </c>
      <c r="H368">
        <f t="shared" si="11"/>
        <v>195.64822786848828</v>
      </c>
    </row>
    <row r="369" spans="6:8" x14ac:dyDescent="0.35">
      <c r="F369">
        <v>7.3200000000000198</v>
      </c>
      <c r="G369">
        <f t="shared" si="10"/>
        <v>383.1066349730196</v>
      </c>
      <c r="H369">
        <f t="shared" si="11"/>
        <v>195.46146135640021</v>
      </c>
    </row>
    <row r="370" spans="6:8" x14ac:dyDescent="0.35">
      <c r="F370">
        <v>7.3400000000000203</v>
      </c>
      <c r="G370">
        <f t="shared" si="10"/>
        <v>384.15337441283657</v>
      </c>
      <c r="H370">
        <f t="shared" si="11"/>
        <v>195.27077084431221</v>
      </c>
    </row>
    <row r="371" spans="6:8" x14ac:dyDescent="0.35">
      <c r="F371">
        <v>7.3600000000000199</v>
      </c>
      <c r="G371">
        <f t="shared" si="10"/>
        <v>385.20011385265354</v>
      </c>
      <c r="H371">
        <f t="shared" si="11"/>
        <v>195.07615633222412</v>
      </c>
    </row>
    <row r="372" spans="6:8" x14ac:dyDescent="0.35">
      <c r="F372">
        <v>7.3800000000000203</v>
      </c>
      <c r="G372">
        <f t="shared" si="10"/>
        <v>386.24685329247058</v>
      </c>
      <c r="H372">
        <f t="shared" si="11"/>
        <v>194.87761782013604</v>
      </c>
    </row>
    <row r="373" spans="6:8" x14ac:dyDescent="0.35">
      <c r="F373">
        <v>7.4000000000000297</v>
      </c>
      <c r="G373">
        <f t="shared" si="10"/>
        <v>387.29359273228806</v>
      </c>
      <c r="H373">
        <f t="shared" si="11"/>
        <v>194.67515530804792</v>
      </c>
    </row>
    <row r="374" spans="6:8" x14ac:dyDescent="0.35">
      <c r="F374">
        <v>7.4200000000000301</v>
      </c>
      <c r="G374">
        <f t="shared" si="10"/>
        <v>388.34033217210509</v>
      </c>
      <c r="H374">
        <f t="shared" si="11"/>
        <v>194.46876879595987</v>
      </c>
    </row>
    <row r="375" spans="6:8" x14ac:dyDescent="0.35">
      <c r="F375">
        <v>7.4400000000000297</v>
      </c>
      <c r="G375">
        <f t="shared" si="10"/>
        <v>389.38707161192201</v>
      </c>
      <c r="H375">
        <f t="shared" si="11"/>
        <v>194.25845828387185</v>
      </c>
    </row>
    <row r="376" spans="6:8" x14ac:dyDescent="0.35">
      <c r="F376">
        <v>7.4600000000000302</v>
      </c>
      <c r="G376">
        <f t="shared" si="10"/>
        <v>390.43381105173904</v>
      </c>
      <c r="H376">
        <f t="shared" si="11"/>
        <v>194.04422377178378</v>
      </c>
    </row>
    <row r="377" spans="6:8" x14ac:dyDescent="0.35">
      <c r="F377">
        <v>7.4800000000000297</v>
      </c>
      <c r="G377">
        <f t="shared" si="10"/>
        <v>391.48055049155602</v>
      </c>
      <c r="H377">
        <f t="shared" si="11"/>
        <v>193.82606525969572</v>
      </c>
    </row>
    <row r="378" spans="6:8" x14ac:dyDescent="0.35">
      <c r="F378">
        <v>7.5000000000000302</v>
      </c>
      <c r="G378">
        <f t="shared" si="10"/>
        <v>392.52728993137305</v>
      </c>
      <c r="H378">
        <f t="shared" si="11"/>
        <v>193.60398274760763</v>
      </c>
    </row>
    <row r="379" spans="6:8" x14ac:dyDescent="0.35">
      <c r="F379">
        <v>7.5200000000000298</v>
      </c>
      <c r="G379">
        <f t="shared" si="10"/>
        <v>393.57402937119002</v>
      </c>
      <c r="H379">
        <f t="shared" si="11"/>
        <v>193.37797623551961</v>
      </c>
    </row>
    <row r="380" spans="6:8" x14ac:dyDescent="0.35">
      <c r="F380">
        <v>7.5400000000000302</v>
      </c>
      <c r="G380">
        <f t="shared" si="10"/>
        <v>394.620768811007</v>
      </c>
      <c r="H380">
        <f t="shared" si="11"/>
        <v>193.14804572343155</v>
      </c>
    </row>
    <row r="381" spans="6:8" x14ac:dyDescent="0.35">
      <c r="F381">
        <v>7.5600000000000298</v>
      </c>
      <c r="G381">
        <f t="shared" si="10"/>
        <v>395.66750825082397</v>
      </c>
      <c r="H381">
        <f t="shared" si="11"/>
        <v>192.91419121134345</v>
      </c>
    </row>
    <row r="382" spans="6:8" x14ac:dyDescent="0.35">
      <c r="F382">
        <v>7.5800000000000303</v>
      </c>
      <c r="G382">
        <f t="shared" si="10"/>
        <v>396.714247690641</v>
      </c>
      <c r="H382">
        <f t="shared" si="11"/>
        <v>192.67641269925537</v>
      </c>
    </row>
    <row r="383" spans="6:8" x14ac:dyDescent="0.35">
      <c r="F383">
        <v>7.6000000000000298</v>
      </c>
      <c r="G383">
        <f t="shared" si="10"/>
        <v>397.76098713045798</v>
      </c>
      <c r="H383">
        <f t="shared" si="11"/>
        <v>192.43471018716735</v>
      </c>
    </row>
    <row r="384" spans="6:8" x14ac:dyDescent="0.35">
      <c r="F384">
        <v>7.6200000000000303</v>
      </c>
      <c r="G384">
        <f t="shared" si="10"/>
        <v>398.80772657027501</v>
      </c>
      <c r="H384">
        <f t="shared" si="11"/>
        <v>192.1890836750793</v>
      </c>
    </row>
    <row r="385" spans="6:8" x14ac:dyDescent="0.35">
      <c r="F385">
        <v>7.6400000000000299</v>
      </c>
      <c r="G385">
        <f t="shared" si="10"/>
        <v>399.85446601009193</v>
      </c>
      <c r="H385">
        <f t="shared" si="11"/>
        <v>191.93953316299127</v>
      </c>
    </row>
    <row r="386" spans="6:8" x14ac:dyDescent="0.35">
      <c r="F386">
        <v>7.6600000000000303</v>
      </c>
      <c r="G386">
        <f t="shared" si="10"/>
        <v>400.90120544990896</v>
      </c>
      <c r="H386">
        <f t="shared" si="11"/>
        <v>191.68605865090319</v>
      </c>
    </row>
    <row r="387" spans="6:8" x14ac:dyDescent="0.35">
      <c r="F387">
        <v>7.6800000000000299</v>
      </c>
      <c r="G387">
        <f t="shared" ref="G387:G450" si="12">$B$15*F387</f>
        <v>401.94794488972593</v>
      </c>
      <c r="H387">
        <f t="shared" ref="H387:H450" si="13">$B$13*F387-($B$8*F387^2)/2+$B$12</f>
        <v>191.42866013881513</v>
      </c>
    </row>
    <row r="388" spans="6:8" x14ac:dyDescent="0.35">
      <c r="F388">
        <v>7.7000000000000304</v>
      </c>
      <c r="G388">
        <f t="shared" si="12"/>
        <v>402.99468432954296</v>
      </c>
      <c r="H388">
        <f t="shared" si="13"/>
        <v>191.16733762672703</v>
      </c>
    </row>
    <row r="389" spans="6:8" x14ac:dyDescent="0.35">
      <c r="F389">
        <v>7.7200000000000299</v>
      </c>
      <c r="G389">
        <f t="shared" si="12"/>
        <v>404.04142376935994</v>
      </c>
      <c r="H389">
        <f t="shared" si="13"/>
        <v>190.90209111463901</v>
      </c>
    </row>
    <row r="390" spans="6:8" x14ac:dyDescent="0.35">
      <c r="F390">
        <v>7.7400000000000304</v>
      </c>
      <c r="G390">
        <f t="shared" si="12"/>
        <v>405.08816320917691</v>
      </c>
      <c r="H390">
        <f t="shared" si="13"/>
        <v>190.632920602551</v>
      </c>
    </row>
    <row r="391" spans="6:8" x14ac:dyDescent="0.35">
      <c r="F391">
        <v>7.76000000000003</v>
      </c>
      <c r="G391">
        <f t="shared" si="12"/>
        <v>406.13490264899389</v>
      </c>
      <c r="H391">
        <f t="shared" si="13"/>
        <v>190.35982609046289</v>
      </c>
    </row>
    <row r="392" spans="6:8" x14ac:dyDescent="0.35">
      <c r="F392">
        <v>7.7800000000000296</v>
      </c>
      <c r="G392">
        <f t="shared" si="12"/>
        <v>407.18164208881086</v>
      </c>
      <c r="H392">
        <f t="shared" si="13"/>
        <v>190.08280757837485</v>
      </c>
    </row>
    <row r="393" spans="6:8" x14ac:dyDescent="0.35">
      <c r="F393">
        <v>7.80000000000003</v>
      </c>
      <c r="G393">
        <f t="shared" si="12"/>
        <v>408.22838152862789</v>
      </c>
      <c r="H393">
        <f t="shared" si="13"/>
        <v>189.80186506628678</v>
      </c>
    </row>
    <row r="394" spans="6:8" x14ac:dyDescent="0.35">
      <c r="F394">
        <v>7.8200000000000403</v>
      </c>
      <c r="G394">
        <f t="shared" si="12"/>
        <v>409.27512096844544</v>
      </c>
      <c r="H394">
        <f t="shared" si="13"/>
        <v>189.51699855419855</v>
      </c>
    </row>
    <row r="395" spans="6:8" x14ac:dyDescent="0.35">
      <c r="F395">
        <v>7.8400000000000398</v>
      </c>
      <c r="G395">
        <f t="shared" si="12"/>
        <v>410.32186040826235</v>
      </c>
      <c r="H395">
        <f t="shared" si="13"/>
        <v>189.22820804211051</v>
      </c>
    </row>
    <row r="396" spans="6:8" x14ac:dyDescent="0.35">
      <c r="F396">
        <v>7.8600000000000403</v>
      </c>
      <c r="G396">
        <f t="shared" si="12"/>
        <v>411.36859984807938</v>
      </c>
      <c r="H396">
        <f t="shared" si="13"/>
        <v>188.93549353002248</v>
      </c>
    </row>
    <row r="397" spans="6:8" x14ac:dyDescent="0.35">
      <c r="F397">
        <v>7.8800000000000399</v>
      </c>
      <c r="G397">
        <f t="shared" si="12"/>
        <v>412.41533928789636</v>
      </c>
      <c r="H397">
        <f t="shared" si="13"/>
        <v>188.63885501793442</v>
      </c>
    </row>
    <row r="398" spans="6:8" x14ac:dyDescent="0.35">
      <c r="F398">
        <v>7.9000000000000403</v>
      </c>
      <c r="G398">
        <f t="shared" si="12"/>
        <v>413.46207872771339</v>
      </c>
      <c r="H398">
        <f t="shared" si="13"/>
        <v>188.33829250584631</v>
      </c>
    </row>
    <row r="399" spans="6:8" x14ac:dyDescent="0.35">
      <c r="F399">
        <v>7.9200000000000399</v>
      </c>
      <c r="G399">
        <f t="shared" si="12"/>
        <v>414.50881816753036</v>
      </c>
      <c r="H399">
        <f t="shared" si="13"/>
        <v>188.03380599375834</v>
      </c>
    </row>
    <row r="400" spans="6:8" x14ac:dyDescent="0.35">
      <c r="F400">
        <v>7.9400000000000404</v>
      </c>
      <c r="G400">
        <f t="shared" si="12"/>
        <v>415.55555760734734</v>
      </c>
      <c r="H400">
        <f t="shared" si="13"/>
        <v>187.72539548167026</v>
      </c>
    </row>
    <row r="401" spans="6:8" x14ac:dyDescent="0.35">
      <c r="F401">
        <v>7.9600000000000399</v>
      </c>
      <c r="G401">
        <f t="shared" si="12"/>
        <v>416.60229704716431</v>
      </c>
      <c r="H401">
        <f t="shared" si="13"/>
        <v>187.41306096958215</v>
      </c>
    </row>
    <row r="402" spans="6:8" x14ac:dyDescent="0.35">
      <c r="F402">
        <v>7.9800000000000404</v>
      </c>
      <c r="G402">
        <f t="shared" si="12"/>
        <v>417.64903648698134</v>
      </c>
      <c r="H402">
        <f t="shared" si="13"/>
        <v>187.09680245749416</v>
      </c>
    </row>
    <row r="403" spans="6:8" x14ac:dyDescent="0.35">
      <c r="F403">
        <v>8.0000000000000409</v>
      </c>
      <c r="G403">
        <f t="shared" si="12"/>
        <v>418.69577592679838</v>
      </c>
      <c r="H403">
        <f t="shared" si="13"/>
        <v>186.77661994540608</v>
      </c>
    </row>
    <row r="404" spans="6:8" x14ac:dyDescent="0.35">
      <c r="F404">
        <v>8.0200000000000404</v>
      </c>
      <c r="G404">
        <f t="shared" si="12"/>
        <v>419.74251536661535</v>
      </c>
      <c r="H404">
        <f t="shared" si="13"/>
        <v>186.45251343331802</v>
      </c>
    </row>
    <row r="405" spans="6:8" x14ac:dyDescent="0.35">
      <c r="F405">
        <v>8.04000000000004</v>
      </c>
      <c r="G405">
        <f t="shared" si="12"/>
        <v>420.78925480643227</v>
      </c>
      <c r="H405">
        <f t="shared" si="13"/>
        <v>186.12448292122997</v>
      </c>
    </row>
    <row r="406" spans="6:8" x14ac:dyDescent="0.35">
      <c r="F406">
        <v>8.0600000000000396</v>
      </c>
      <c r="G406">
        <f t="shared" si="12"/>
        <v>421.83599424624924</v>
      </c>
      <c r="H406">
        <f t="shared" si="13"/>
        <v>185.79252840914188</v>
      </c>
    </row>
    <row r="407" spans="6:8" x14ac:dyDescent="0.35">
      <c r="F407">
        <v>8.0800000000000392</v>
      </c>
      <c r="G407">
        <f t="shared" si="12"/>
        <v>422.88273368606622</v>
      </c>
      <c r="H407">
        <f t="shared" si="13"/>
        <v>185.45664989705386</v>
      </c>
    </row>
    <row r="408" spans="6:8" x14ac:dyDescent="0.35">
      <c r="F408">
        <v>8.1000000000000405</v>
      </c>
      <c r="G408">
        <f t="shared" si="12"/>
        <v>423.92947312588331</v>
      </c>
      <c r="H408">
        <f t="shared" si="13"/>
        <v>185.11684738496575</v>
      </c>
    </row>
    <row r="409" spans="6:8" x14ac:dyDescent="0.35">
      <c r="F409">
        <v>8.1200000000000401</v>
      </c>
      <c r="G409">
        <f t="shared" si="12"/>
        <v>424.97621256570028</v>
      </c>
      <c r="H409">
        <f t="shared" si="13"/>
        <v>184.77312087287771</v>
      </c>
    </row>
    <row r="410" spans="6:8" x14ac:dyDescent="0.35">
      <c r="F410">
        <v>8.1400000000000396</v>
      </c>
      <c r="G410">
        <f t="shared" si="12"/>
        <v>426.0229520055172</v>
      </c>
      <c r="H410">
        <f t="shared" si="13"/>
        <v>184.42547036078969</v>
      </c>
    </row>
    <row r="411" spans="6:8" x14ac:dyDescent="0.35">
      <c r="F411">
        <v>8.1600000000000392</v>
      </c>
      <c r="G411">
        <f t="shared" si="12"/>
        <v>427.06969144533417</v>
      </c>
      <c r="H411">
        <f t="shared" si="13"/>
        <v>184.07389584870162</v>
      </c>
    </row>
    <row r="412" spans="6:8" x14ac:dyDescent="0.35">
      <c r="F412">
        <v>8.1800000000000406</v>
      </c>
      <c r="G412">
        <f t="shared" si="12"/>
        <v>428.11643088515126</v>
      </c>
      <c r="H412">
        <f t="shared" si="13"/>
        <v>183.71839733661352</v>
      </c>
    </row>
    <row r="413" spans="6:8" x14ac:dyDescent="0.35">
      <c r="F413">
        <v>8.2000000000000401</v>
      </c>
      <c r="G413">
        <f t="shared" si="12"/>
        <v>429.16317032496823</v>
      </c>
      <c r="H413">
        <f t="shared" si="13"/>
        <v>183.35897482452549</v>
      </c>
    </row>
    <row r="414" spans="6:8" x14ac:dyDescent="0.35">
      <c r="F414">
        <v>8.2200000000000397</v>
      </c>
      <c r="G414">
        <f t="shared" si="12"/>
        <v>430.20990976478521</v>
      </c>
      <c r="H414">
        <f t="shared" si="13"/>
        <v>182.99562831243747</v>
      </c>
    </row>
    <row r="415" spans="6:8" x14ac:dyDescent="0.35">
      <c r="F415">
        <v>8.2400000000000393</v>
      </c>
      <c r="G415">
        <f t="shared" si="12"/>
        <v>431.25664920460218</v>
      </c>
      <c r="H415">
        <f t="shared" si="13"/>
        <v>182.62835780034936</v>
      </c>
    </row>
    <row r="416" spans="6:8" x14ac:dyDescent="0.35">
      <c r="F416">
        <v>8.2600000000000495</v>
      </c>
      <c r="G416">
        <f t="shared" si="12"/>
        <v>432.30338864441967</v>
      </c>
      <c r="H416">
        <f t="shared" si="13"/>
        <v>182.2571632882611</v>
      </c>
    </row>
    <row r="417" spans="6:8" x14ac:dyDescent="0.35">
      <c r="F417">
        <v>8.2800000000000509</v>
      </c>
      <c r="G417">
        <f t="shared" si="12"/>
        <v>433.35012808423676</v>
      </c>
      <c r="H417">
        <f t="shared" si="13"/>
        <v>181.88204477617302</v>
      </c>
    </row>
    <row r="418" spans="6:8" x14ac:dyDescent="0.35">
      <c r="F418">
        <v>8.3000000000000504</v>
      </c>
      <c r="G418">
        <f t="shared" si="12"/>
        <v>434.39686752405373</v>
      </c>
      <c r="H418">
        <f t="shared" si="13"/>
        <v>181.50300226408496</v>
      </c>
    </row>
    <row r="419" spans="6:8" x14ac:dyDescent="0.35">
      <c r="F419">
        <v>8.32000000000005</v>
      </c>
      <c r="G419">
        <f t="shared" si="12"/>
        <v>435.44360696387071</v>
      </c>
      <c r="H419">
        <f t="shared" si="13"/>
        <v>181.12003575199691</v>
      </c>
    </row>
    <row r="420" spans="6:8" x14ac:dyDescent="0.35">
      <c r="F420">
        <v>8.3400000000000496</v>
      </c>
      <c r="G420">
        <f t="shared" si="12"/>
        <v>436.49034640368762</v>
      </c>
      <c r="H420">
        <f t="shared" si="13"/>
        <v>180.73314523990894</v>
      </c>
    </row>
    <row r="421" spans="6:8" x14ac:dyDescent="0.35">
      <c r="F421">
        <v>8.3600000000000492</v>
      </c>
      <c r="G421">
        <f t="shared" si="12"/>
        <v>437.5370858435046</v>
      </c>
      <c r="H421">
        <f t="shared" si="13"/>
        <v>180.34233072782087</v>
      </c>
    </row>
    <row r="422" spans="6:8" x14ac:dyDescent="0.35">
      <c r="F422">
        <v>8.3800000000000505</v>
      </c>
      <c r="G422">
        <f t="shared" si="12"/>
        <v>438.58382528332169</v>
      </c>
      <c r="H422">
        <f t="shared" si="13"/>
        <v>179.94759221573281</v>
      </c>
    </row>
    <row r="423" spans="6:8" x14ac:dyDescent="0.35">
      <c r="F423">
        <v>8.4000000000000501</v>
      </c>
      <c r="G423">
        <f t="shared" si="12"/>
        <v>439.63056472313866</v>
      </c>
      <c r="H423">
        <f t="shared" si="13"/>
        <v>179.54892970364472</v>
      </c>
    </row>
    <row r="424" spans="6:8" x14ac:dyDescent="0.35">
      <c r="F424">
        <v>8.4200000000000497</v>
      </c>
      <c r="G424">
        <f t="shared" si="12"/>
        <v>440.67730416295564</v>
      </c>
      <c r="H424">
        <f t="shared" si="13"/>
        <v>179.14634319155664</v>
      </c>
    </row>
    <row r="425" spans="6:8" x14ac:dyDescent="0.35">
      <c r="F425">
        <v>8.4400000000000492</v>
      </c>
      <c r="G425">
        <f t="shared" si="12"/>
        <v>441.72404360277261</v>
      </c>
      <c r="H425">
        <f t="shared" si="13"/>
        <v>178.73983267946852</v>
      </c>
    </row>
    <row r="426" spans="6:8" x14ac:dyDescent="0.35">
      <c r="F426">
        <v>8.4600000000000506</v>
      </c>
      <c r="G426">
        <f t="shared" si="12"/>
        <v>442.77078304258964</v>
      </c>
      <c r="H426">
        <f t="shared" si="13"/>
        <v>178.32939816738048</v>
      </c>
    </row>
    <row r="427" spans="6:8" x14ac:dyDescent="0.35">
      <c r="F427">
        <v>8.4800000000000502</v>
      </c>
      <c r="G427">
        <f t="shared" si="12"/>
        <v>443.81752248240662</v>
      </c>
      <c r="H427">
        <f t="shared" si="13"/>
        <v>177.9150396552925</v>
      </c>
    </row>
    <row r="428" spans="6:8" x14ac:dyDescent="0.35">
      <c r="F428">
        <v>8.5000000000000497</v>
      </c>
      <c r="G428">
        <f t="shared" si="12"/>
        <v>444.86426192222359</v>
      </c>
      <c r="H428">
        <f t="shared" si="13"/>
        <v>177.49675714320438</v>
      </c>
    </row>
    <row r="429" spans="6:8" x14ac:dyDescent="0.35">
      <c r="F429">
        <v>8.5200000000000493</v>
      </c>
      <c r="G429">
        <f t="shared" si="12"/>
        <v>445.91100136204057</v>
      </c>
      <c r="H429">
        <f t="shared" si="13"/>
        <v>177.07455063111638</v>
      </c>
    </row>
    <row r="430" spans="6:8" x14ac:dyDescent="0.35">
      <c r="F430">
        <v>8.5400000000000507</v>
      </c>
      <c r="G430">
        <f t="shared" si="12"/>
        <v>446.9577408018576</v>
      </c>
      <c r="H430">
        <f t="shared" si="13"/>
        <v>176.64842011902823</v>
      </c>
    </row>
    <row r="431" spans="6:8" x14ac:dyDescent="0.35">
      <c r="F431">
        <v>8.5600000000000502</v>
      </c>
      <c r="G431">
        <f t="shared" si="12"/>
        <v>448.00448024167457</v>
      </c>
      <c r="H431">
        <f t="shared" si="13"/>
        <v>176.21836560694021</v>
      </c>
    </row>
    <row r="432" spans="6:8" x14ac:dyDescent="0.35">
      <c r="F432">
        <v>8.5800000000000498</v>
      </c>
      <c r="G432">
        <f t="shared" si="12"/>
        <v>449.05121968149155</v>
      </c>
      <c r="H432">
        <f t="shared" si="13"/>
        <v>175.78438709485215</v>
      </c>
    </row>
    <row r="433" spans="6:8" x14ac:dyDescent="0.35">
      <c r="F433">
        <v>8.6000000000000494</v>
      </c>
      <c r="G433">
        <f t="shared" si="12"/>
        <v>450.09795912130852</v>
      </c>
      <c r="H433">
        <f t="shared" si="13"/>
        <v>175.34648458276411</v>
      </c>
    </row>
    <row r="434" spans="6:8" x14ac:dyDescent="0.35">
      <c r="F434">
        <v>8.6200000000000507</v>
      </c>
      <c r="G434">
        <f t="shared" si="12"/>
        <v>451.14469856112555</v>
      </c>
      <c r="H434">
        <f t="shared" si="13"/>
        <v>174.90465807067602</v>
      </c>
    </row>
    <row r="435" spans="6:8" x14ac:dyDescent="0.35">
      <c r="F435">
        <v>8.6400000000000503</v>
      </c>
      <c r="G435">
        <f t="shared" si="12"/>
        <v>452.19143800094253</v>
      </c>
      <c r="H435">
        <f t="shared" si="13"/>
        <v>174.45890755858801</v>
      </c>
    </row>
    <row r="436" spans="6:8" x14ac:dyDescent="0.35">
      <c r="F436">
        <v>8.6600000000000499</v>
      </c>
      <c r="G436">
        <f t="shared" si="12"/>
        <v>453.2381774407595</v>
      </c>
      <c r="H436">
        <f t="shared" si="13"/>
        <v>174.00923304649996</v>
      </c>
    </row>
    <row r="437" spans="6:8" x14ac:dyDescent="0.35">
      <c r="F437">
        <v>8.6800000000000495</v>
      </c>
      <c r="G437">
        <f t="shared" si="12"/>
        <v>454.28491688057647</v>
      </c>
      <c r="H437">
        <f t="shared" si="13"/>
        <v>173.55563453441187</v>
      </c>
    </row>
    <row r="438" spans="6:8" x14ac:dyDescent="0.35">
      <c r="F438">
        <v>8.7000000000000597</v>
      </c>
      <c r="G438">
        <f t="shared" si="12"/>
        <v>455.33165632039402</v>
      </c>
      <c r="H438">
        <f t="shared" si="13"/>
        <v>173.09811202232362</v>
      </c>
    </row>
    <row r="439" spans="6:8" x14ac:dyDescent="0.35">
      <c r="F439">
        <v>8.7200000000000593</v>
      </c>
      <c r="G439">
        <f t="shared" si="12"/>
        <v>456.37839576021099</v>
      </c>
      <c r="H439">
        <f t="shared" si="13"/>
        <v>172.6366655102355</v>
      </c>
    </row>
    <row r="440" spans="6:8" x14ac:dyDescent="0.35">
      <c r="F440">
        <v>8.7400000000000606</v>
      </c>
      <c r="G440">
        <f t="shared" si="12"/>
        <v>457.42513520002802</v>
      </c>
      <c r="H440">
        <f t="shared" si="13"/>
        <v>172.1712949981474</v>
      </c>
    </row>
    <row r="441" spans="6:8" x14ac:dyDescent="0.35">
      <c r="F441">
        <v>8.7600000000000602</v>
      </c>
      <c r="G441">
        <f t="shared" si="12"/>
        <v>458.471874639845</v>
      </c>
      <c r="H441">
        <f t="shared" si="13"/>
        <v>171.70200048605938</v>
      </c>
    </row>
    <row r="442" spans="6:8" x14ac:dyDescent="0.35">
      <c r="F442">
        <v>8.7800000000000598</v>
      </c>
      <c r="G442">
        <f t="shared" si="12"/>
        <v>459.51861407966197</v>
      </c>
      <c r="H442">
        <f t="shared" si="13"/>
        <v>171.22878197397131</v>
      </c>
    </row>
    <row r="443" spans="6:8" x14ac:dyDescent="0.35">
      <c r="F443">
        <v>8.8000000000000593</v>
      </c>
      <c r="G443">
        <f t="shared" si="12"/>
        <v>460.56535351947895</v>
      </c>
      <c r="H443">
        <f t="shared" si="13"/>
        <v>170.75163946188331</v>
      </c>
    </row>
    <row r="444" spans="6:8" x14ac:dyDescent="0.35">
      <c r="F444">
        <v>8.8200000000000607</v>
      </c>
      <c r="G444">
        <f t="shared" si="12"/>
        <v>461.61209295929598</v>
      </c>
      <c r="H444">
        <f t="shared" si="13"/>
        <v>170.27057294979522</v>
      </c>
    </row>
    <row r="445" spans="6:8" x14ac:dyDescent="0.35">
      <c r="F445">
        <v>8.8400000000000603</v>
      </c>
      <c r="G445">
        <f t="shared" si="12"/>
        <v>462.65883239911295</v>
      </c>
      <c r="H445">
        <f t="shared" si="13"/>
        <v>169.78558243770715</v>
      </c>
    </row>
    <row r="446" spans="6:8" x14ac:dyDescent="0.35">
      <c r="F446">
        <v>8.8600000000000598</v>
      </c>
      <c r="G446">
        <f t="shared" si="12"/>
        <v>463.70557183892993</v>
      </c>
      <c r="H446">
        <f t="shared" si="13"/>
        <v>169.29666792561903</v>
      </c>
    </row>
    <row r="447" spans="6:8" x14ac:dyDescent="0.35">
      <c r="F447">
        <v>8.8800000000000594</v>
      </c>
      <c r="G447">
        <f t="shared" si="12"/>
        <v>464.7523112787469</v>
      </c>
      <c r="H447">
        <f t="shared" si="13"/>
        <v>168.80382941353105</v>
      </c>
    </row>
    <row r="448" spans="6:8" x14ac:dyDescent="0.35">
      <c r="F448">
        <v>8.9000000000000608</v>
      </c>
      <c r="G448">
        <f t="shared" si="12"/>
        <v>465.79905071856399</v>
      </c>
      <c r="H448">
        <f t="shared" si="13"/>
        <v>168.30706690144285</v>
      </c>
    </row>
    <row r="449" spans="6:8" x14ac:dyDescent="0.35">
      <c r="F449">
        <v>8.9200000000000603</v>
      </c>
      <c r="G449">
        <f t="shared" si="12"/>
        <v>466.84579015838096</v>
      </c>
      <c r="H449">
        <f t="shared" si="13"/>
        <v>167.80638038935479</v>
      </c>
    </row>
    <row r="450" spans="6:8" x14ac:dyDescent="0.35">
      <c r="F450">
        <v>8.9400000000000599</v>
      </c>
      <c r="G450">
        <f t="shared" si="12"/>
        <v>467.89252959819788</v>
      </c>
      <c r="H450">
        <f t="shared" si="13"/>
        <v>167.30176987726674</v>
      </c>
    </row>
    <row r="451" spans="6:8" x14ac:dyDescent="0.35">
      <c r="F451">
        <v>8.9600000000000595</v>
      </c>
      <c r="G451">
        <f t="shared" ref="G451:G514" si="14">$B$15*F451</f>
        <v>468.93926903801486</v>
      </c>
      <c r="H451">
        <f t="shared" ref="H451:H514" si="15">$B$13*F451-($B$8*F451^2)/2+$B$12</f>
        <v>166.79323536517882</v>
      </c>
    </row>
    <row r="452" spans="6:8" x14ac:dyDescent="0.35">
      <c r="F452">
        <v>8.9800000000000608</v>
      </c>
      <c r="G452">
        <f t="shared" si="14"/>
        <v>469.98600847783194</v>
      </c>
      <c r="H452">
        <f t="shared" si="15"/>
        <v>166.28077685309069</v>
      </c>
    </row>
    <row r="453" spans="6:8" x14ac:dyDescent="0.35">
      <c r="F453">
        <v>9.0000000000000604</v>
      </c>
      <c r="G453">
        <f t="shared" si="14"/>
        <v>471.03274791764892</v>
      </c>
      <c r="H453">
        <f t="shared" si="15"/>
        <v>165.76439434100268</v>
      </c>
    </row>
    <row r="454" spans="6:8" x14ac:dyDescent="0.35">
      <c r="F454">
        <v>9.02000000000006</v>
      </c>
      <c r="G454">
        <f t="shared" si="14"/>
        <v>472.07948735746589</v>
      </c>
      <c r="H454">
        <f t="shared" si="15"/>
        <v>165.24408782891459</v>
      </c>
    </row>
    <row r="455" spans="6:8" x14ac:dyDescent="0.35">
      <c r="F455">
        <v>9.0400000000000595</v>
      </c>
      <c r="G455">
        <f t="shared" si="14"/>
        <v>473.12622679728287</v>
      </c>
      <c r="H455">
        <f t="shared" si="15"/>
        <v>164.71985731682651</v>
      </c>
    </row>
    <row r="456" spans="6:8" x14ac:dyDescent="0.35">
      <c r="F456">
        <v>9.0600000000000591</v>
      </c>
      <c r="G456">
        <f t="shared" si="14"/>
        <v>474.17296623709979</v>
      </c>
      <c r="H456">
        <f t="shared" si="15"/>
        <v>164.19170280473844</v>
      </c>
    </row>
    <row r="457" spans="6:8" x14ac:dyDescent="0.35">
      <c r="F457">
        <v>9.0800000000000605</v>
      </c>
      <c r="G457">
        <f t="shared" si="14"/>
        <v>475.21970567691687</v>
      </c>
      <c r="H457">
        <f t="shared" si="15"/>
        <v>163.65962429265034</v>
      </c>
    </row>
    <row r="458" spans="6:8" x14ac:dyDescent="0.35">
      <c r="F458">
        <v>9.10000000000006</v>
      </c>
      <c r="G458">
        <f t="shared" si="14"/>
        <v>476.26644511673385</v>
      </c>
      <c r="H458">
        <f t="shared" si="15"/>
        <v>163.12362178056236</v>
      </c>
    </row>
    <row r="459" spans="6:8" x14ac:dyDescent="0.35">
      <c r="F459">
        <v>9.1200000000000703</v>
      </c>
      <c r="G459">
        <f t="shared" si="14"/>
        <v>477.31318455655139</v>
      </c>
      <c r="H459">
        <f t="shared" si="15"/>
        <v>162.583695268474</v>
      </c>
    </row>
    <row r="460" spans="6:8" x14ac:dyDescent="0.35">
      <c r="F460">
        <v>9.1400000000000698</v>
      </c>
      <c r="G460">
        <f t="shared" si="14"/>
        <v>478.35992399636831</v>
      </c>
      <c r="H460">
        <f t="shared" si="15"/>
        <v>162.039844756386</v>
      </c>
    </row>
    <row r="461" spans="6:8" x14ac:dyDescent="0.35">
      <c r="F461">
        <v>9.1600000000000694</v>
      </c>
      <c r="G461">
        <f t="shared" si="14"/>
        <v>479.40666343618528</v>
      </c>
      <c r="H461">
        <f t="shared" si="15"/>
        <v>161.49207024429791</v>
      </c>
    </row>
    <row r="462" spans="6:8" x14ac:dyDescent="0.35">
      <c r="F462">
        <v>9.1800000000000708</v>
      </c>
      <c r="G462">
        <f t="shared" si="14"/>
        <v>480.45340287600237</v>
      </c>
      <c r="H462">
        <f t="shared" si="15"/>
        <v>160.94037173220977</v>
      </c>
    </row>
    <row r="463" spans="6:8" x14ac:dyDescent="0.35">
      <c r="F463">
        <v>9.2000000000000703</v>
      </c>
      <c r="G463">
        <f t="shared" si="14"/>
        <v>481.50014231581935</v>
      </c>
      <c r="H463">
        <f t="shared" si="15"/>
        <v>160.38474922012171</v>
      </c>
    </row>
    <row r="464" spans="6:8" x14ac:dyDescent="0.35">
      <c r="F464">
        <v>9.2200000000000699</v>
      </c>
      <c r="G464">
        <f t="shared" si="14"/>
        <v>482.54688175563632</v>
      </c>
      <c r="H464">
        <f t="shared" si="15"/>
        <v>159.82520270803366</v>
      </c>
    </row>
    <row r="465" spans="6:8" x14ac:dyDescent="0.35">
      <c r="F465">
        <v>9.2400000000000695</v>
      </c>
      <c r="G465">
        <f t="shared" si="14"/>
        <v>483.59362119545324</v>
      </c>
      <c r="H465">
        <f t="shared" si="15"/>
        <v>159.26173219594557</v>
      </c>
    </row>
    <row r="466" spans="6:8" x14ac:dyDescent="0.35">
      <c r="F466">
        <v>9.2600000000000708</v>
      </c>
      <c r="G466">
        <f t="shared" si="14"/>
        <v>484.64036063527033</v>
      </c>
      <c r="H466">
        <f t="shared" si="15"/>
        <v>158.69433768385744</v>
      </c>
    </row>
    <row r="467" spans="6:8" x14ac:dyDescent="0.35">
      <c r="F467">
        <v>9.2800000000000704</v>
      </c>
      <c r="G467">
        <f t="shared" si="14"/>
        <v>485.6871000750873</v>
      </c>
      <c r="H467">
        <f t="shared" si="15"/>
        <v>158.1230191717695</v>
      </c>
    </row>
    <row r="468" spans="6:8" x14ac:dyDescent="0.35">
      <c r="F468">
        <v>9.30000000000007</v>
      </c>
      <c r="G468">
        <f t="shared" si="14"/>
        <v>486.73383951490428</v>
      </c>
      <c r="H468">
        <f t="shared" si="15"/>
        <v>157.5477766596814</v>
      </c>
    </row>
    <row r="469" spans="6:8" x14ac:dyDescent="0.35">
      <c r="F469">
        <v>9.3200000000000696</v>
      </c>
      <c r="G469">
        <f t="shared" si="14"/>
        <v>487.78057895472125</v>
      </c>
      <c r="H469">
        <f t="shared" si="15"/>
        <v>156.96861014759332</v>
      </c>
    </row>
    <row r="470" spans="6:8" x14ac:dyDescent="0.35">
      <c r="F470">
        <v>9.3400000000000691</v>
      </c>
      <c r="G470">
        <f t="shared" si="14"/>
        <v>488.82731839453822</v>
      </c>
      <c r="H470">
        <f t="shared" si="15"/>
        <v>156.38551963550526</v>
      </c>
    </row>
    <row r="471" spans="6:8" x14ac:dyDescent="0.35">
      <c r="F471">
        <v>9.3600000000000705</v>
      </c>
      <c r="G471">
        <f t="shared" si="14"/>
        <v>489.87405783435526</v>
      </c>
      <c r="H471">
        <f t="shared" si="15"/>
        <v>155.79850512341716</v>
      </c>
    </row>
    <row r="472" spans="6:8" x14ac:dyDescent="0.35">
      <c r="F472">
        <v>9.3800000000000701</v>
      </c>
      <c r="G472">
        <f t="shared" si="14"/>
        <v>490.92079727417223</v>
      </c>
      <c r="H472">
        <f t="shared" si="15"/>
        <v>155.20756661132907</v>
      </c>
    </row>
    <row r="473" spans="6:8" x14ac:dyDescent="0.35">
      <c r="F473">
        <v>9.4000000000000696</v>
      </c>
      <c r="G473">
        <f t="shared" si="14"/>
        <v>491.9675367139892</v>
      </c>
      <c r="H473">
        <f t="shared" si="15"/>
        <v>154.61270409924106</v>
      </c>
    </row>
    <row r="474" spans="6:8" x14ac:dyDescent="0.35">
      <c r="F474">
        <v>9.4200000000000692</v>
      </c>
      <c r="G474">
        <f t="shared" si="14"/>
        <v>493.01427615380618</v>
      </c>
      <c r="H474">
        <f t="shared" si="15"/>
        <v>154.01391758715306</v>
      </c>
    </row>
    <row r="475" spans="6:8" x14ac:dyDescent="0.35">
      <c r="F475">
        <v>9.4400000000000706</v>
      </c>
      <c r="G475">
        <f t="shared" si="14"/>
        <v>494.06101559362321</v>
      </c>
      <c r="H475">
        <f t="shared" si="15"/>
        <v>153.41120707506497</v>
      </c>
    </row>
    <row r="476" spans="6:8" x14ac:dyDescent="0.35">
      <c r="F476">
        <v>9.4600000000000701</v>
      </c>
      <c r="G476">
        <f t="shared" si="14"/>
        <v>495.10775503344018</v>
      </c>
      <c r="H476">
        <f t="shared" si="15"/>
        <v>152.80457256297689</v>
      </c>
    </row>
    <row r="477" spans="6:8" x14ac:dyDescent="0.35">
      <c r="F477">
        <v>9.4800000000000697</v>
      </c>
      <c r="G477">
        <f t="shared" si="14"/>
        <v>496.15449447325716</v>
      </c>
      <c r="H477">
        <f t="shared" si="15"/>
        <v>152.19401405088882</v>
      </c>
    </row>
    <row r="478" spans="6:8" x14ac:dyDescent="0.35">
      <c r="F478">
        <v>9.5000000000000693</v>
      </c>
      <c r="G478">
        <f t="shared" si="14"/>
        <v>497.20123391307413</v>
      </c>
      <c r="H478">
        <f t="shared" si="15"/>
        <v>151.57953153880072</v>
      </c>
    </row>
    <row r="479" spans="6:8" x14ac:dyDescent="0.35">
      <c r="F479">
        <v>9.5200000000000706</v>
      </c>
      <c r="G479">
        <f t="shared" si="14"/>
        <v>498.24797335289117</v>
      </c>
      <c r="H479">
        <f t="shared" si="15"/>
        <v>150.96112502671264</v>
      </c>
    </row>
    <row r="480" spans="6:8" x14ac:dyDescent="0.35">
      <c r="F480">
        <v>9.5400000000000702</v>
      </c>
      <c r="G480">
        <f t="shared" si="14"/>
        <v>499.29471279270814</v>
      </c>
      <c r="H480">
        <f t="shared" si="15"/>
        <v>150.33879451462457</v>
      </c>
    </row>
    <row r="481" spans="6:8" x14ac:dyDescent="0.35">
      <c r="F481">
        <v>9.5600000000000804</v>
      </c>
      <c r="G481">
        <f t="shared" si="14"/>
        <v>500.34145223252568</v>
      </c>
      <c r="H481">
        <f t="shared" si="15"/>
        <v>149.71254000253617</v>
      </c>
    </row>
    <row r="482" spans="6:8" x14ac:dyDescent="0.35">
      <c r="F482">
        <v>9.58000000000008</v>
      </c>
      <c r="G482">
        <f t="shared" si="14"/>
        <v>501.38819167234266</v>
      </c>
      <c r="H482">
        <f t="shared" si="15"/>
        <v>149.08236149044825</v>
      </c>
    </row>
    <row r="483" spans="6:8" x14ac:dyDescent="0.35">
      <c r="F483">
        <v>9.6000000000000796</v>
      </c>
      <c r="G483">
        <f t="shared" si="14"/>
        <v>502.43493111215963</v>
      </c>
      <c r="H483">
        <f t="shared" si="15"/>
        <v>148.44825897836017</v>
      </c>
    </row>
    <row r="484" spans="6:8" x14ac:dyDescent="0.35">
      <c r="F484">
        <v>9.6200000000000792</v>
      </c>
      <c r="G484">
        <f t="shared" si="14"/>
        <v>503.48167055197661</v>
      </c>
      <c r="H484">
        <f t="shared" si="15"/>
        <v>147.81023246627211</v>
      </c>
    </row>
    <row r="485" spans="6:8" x14ac:dyDescent="0.35">
      <c r="F485">
        <v>9.6400000000000805</v>
      </c>
      <c r="G485">
        <f t="shared" si="14"/>
        <v>504.52840999179364</v>
      </c>
      <c r="H485">
        <f t="shared" si="15"/>
        <v>147.16828195418395</v>
      </c>
    </row>
    <row r="486" spans="6:8" x14ac:dyDescent="0.35">
      <c r="F486">
        <v>9.6600000000000801</v>
      </c>
      <c r="G486">
        <f t="shared" si="14"/>
        <v>505.57514943161061</v>
      </c>
      <c r="H486">
        <f t="shared" si="15"/>
        <v>146.52240744209587</v>
      </c>
    </row>
    <row r="487" spans="6:8" x14ac:dyDescent="0.35">
      <c r="F487">
        <v>9.6800000000000797</v>
      </c>
      <c r="G487">
        <f t="shared" si="14"/>
        <v>506.62188887142759</v>
      </c>
      <c r="H487">
        <f t="shared" si="15"/>
        <v>145.8726089300078</v>
      </c>
    </row>
    <row r="488" spans="6:8" x14ac:dyDescent="0.35">
      <c r="F488">
        <v>9.7000000000000792</v>
      </c>
      <c r="G488">
        <f t="shared" si="14"/>
        <v>507.66862831124456</v>
      </c>
      <c r="H488">
        <f t="shared" si="15"/>
        <v>145.21888641791975</v>
      </c>
    </row>
    <row r="489" spans="6:8" x14ac:dyDescent="0.35">
      <c r="F489">
        <v>9.7200000000000806</v>
      </c>
      <c r="G489">
        <f t="shared" si="14"/>
        <v>508.71536775106159</v>
      </c>
      <c r="H489">
        <f t="shared" si="15"/>
        <v>144.5612399058316</v>
      </c>
    </row>
    <row r="490" spans="6:8" x14ac:dyDescent="0.35">
      <c r="F490">
        <v>9.7400000000000801</v>
      </c>
      <c r="G490">
        <f t="shared" si="14"/>
        <v>509.76210719087857</v>
      </c>
      <c r="H490">
        <f t="shared" si="15"/>
        <v>143.89966939374369</v>
      </c>
    </row>
    <row r="491" spans="6:8" x14ac:dyDescent="0.35">
      <c r="F491">
        <v>9.7600000000000797</v>
      </c>
      <c r="G491">
        <f t="shared" si="14"/>
        <v>510.80884663069554</v>
      </c>
      <c r="H491">
        <f t="shared" si="15"/>
        <v>143.23417488165563</v>
      </c>
    </row>
    <row r="492" spans="6:8" x14ac:dyDescent="0.35">
      <c r="F492">
        <v>9.7800000000000793</v>
      </c>
      <c r="G492">
        <f t="shared" si="14"/>
        <v>511.85558607051252</v>
      </c>
      <c r="H492">
        <f t="shared" si="15"/>
        <v>142.56475636956759</v>
      </c>
    </row>
    <row r="493" spans="6:8" x14ac:dyDescent="0.35">
      <c r="F493">
        <v>9.8000000000000806</v>
      </c>
      <c r="G493">
        <f t="shared" si="14"/>
        <v>512.90232551032955</v>
      </c>
      <c r="H493">
        <f t="shared" si="15"/>
        <v>141.89141385747939</v>
      </c>
    </row>
    <row r="494" spans="6:8" x14ac:dyDescent="0.35">
      <c r="F494">
        <v>9.8200000000000802</v>
      </c>
      <c r="G494">
        <f t="shared" si="14"/>
        <v>513.94906495014652</v>
      </c>
      <c r="H494">
        <f t="shared" si="15"/>
        <v>141.21414734539132</v>
      </c>
    </row>
    <row r="495" spans="6:8" x14ac:dyDescent="0.35">
      <c r="F495">
        <v>9.8400000000000798</v>
      </c>
      <c r="G495">
        <f t="shared" si="14"/>
        <v>514.9958043899635</v>
      </c>
      <c r="H495">
        <f t="shared" si="15"/>
        <v>140.53295683330327</v>
      </c>
    </row>
    <row r="496" spans="6:8" x14ac:dyDescent="0.35">
      <c r="F496">
        <v>9.8600000000000794</v>
      </c>
      <c r="G496">
        <f t="shared" si="14"/>
        <v>516.04254382978047</v>
      </c>
      <c r="H496">
        <f t="shared" si="15"/>
        <v>139.84784232121524</v>
      </c>
    </row>
    <row r="497" spans="6:8" x14ac:dyDescent="0.35">
      <c r="F497">
        <v>9.8800000000000807</v>
      </c>
      <c r="G497">
        <f t="shared" si="14"/>
        <v>517.08928326959756</v>
      </c>
      <c r="H497">
        <f t="shared" si="15"/>
        <v>139.15880380912722</v>
      </c>
    </row>
    <row r="498" spans="6:8" x14ac:dyDescent="0.35">
      <c r="F498">
        <v>9.9000000000000803</v>
      </c>
      <c r="G498">
        <f t="shared" si="14"/>
        <v>518.13602270941453</v>
      </c>
      <c r="H498">
        <f t="shared" si="15"/>
        <v>138.46584129703911</v>
      </c>
    </row>
    <row r="499" spans="6:8" x14ac:dyDescent="0.35">
      <c r="F499">
        <v>9.9200000000000799</v>
      </c>
      <c r="G499">
        <f t="shared" si="14"/>
        <v>519.18276214923151</v>
      </c>
      <c r="H499">
        <f t="shared" si="15"/>
        <v>137.76895478495106</v>
      </c>
    </row>
    <row r="500" spans="6:8" x14ac:dyDescent="0.35">
      <c r="F500">
        <v>9.9400000000000794</v>
      </c>
      <c r="G500">
        <f t="shared" si="14"/>
        <v>520.22950158904848</v>
      </c>
      <c r="H500">
        <f t="shared" si="15"/>
        <v>137.06814427286298</v>
      </c>
    </row>
    <row r="501" spans="6:8" x14ac:dyDescent="0.35">
      <c r="F501">
        <v>9.9600000000000808</v>
      </c>
      <c r="G501">
        <f t="shared" si="14"/>
        <v>521.27624102886557</v>
      </c>
      <c r="H501">
        <f t="shared" si="15"/>
        <v>136.36340976077491</v>
      </c>
    </row>
    <row r="502" spans="6:8" x14ac:dyDescent="0.35">
      <c r="F502">
        <v>9.9800000000000804</v>
      </c>
      <c r="G502">
        <f t="shared" si="14"/>
        <v>522.32298046868243</v>
      </c>
      <c r="H502">
        <f t="shared" si="15"/>
        <v>135.65475124868686</v>
      </c>
    </row>
    <row r="503" spans="6:8" x14ac:dyDescent="0.35">
      <c r="F503">
        <v>10.000000000000099</v>
      </c>
      <c r="G503">
        <f t="shared" si="14"/>
        <v>523.36971990850043</v>
      </c>
      <c r="H503">
        <f t="shared" si="15"/>
        <v>134.94216873659809</v>
      </c>
    </row>
    <row r="504" spans="6:8" x14ac:dyDescent="0.35">
      <c r="F504">
        <v>10.020000000000101</v>
      </c>
      <c r="G504">
        <f t="shared" si="14"/>
        <v>524.41645934831752</v>
      </c>
      <c r="H504">
        <f t="shared" si="15"/>
        <v>134.22566222450996</v>
      </c>
    </row>
    <row r="505" spans="6:8" x14ac:dyDescent="0.35">
      <c r="F505">
        <v>10.0400000000001</v>
      </c>
      <c r="G505">
        <f t="shared" si="14"/>
        <v>525.46319878813449</v>
      </c>
      <c r="H505">
        <f t="shared" si="15"/>
        <v>133.5052317124219</v>
      </c>
    </row>
    <row r="506" spans="6:8" x14ac:dyDescent="0.35">
      <c r="F506">
        <v>10.0600000000001</v>
      </c>
      <c r="G506">
        <f t="shared" si="14"/>
        <v>526.50993822795147</v>
      </c>
      <c r="H506">
        <f t="shared" si="15"/>
        <v>132.7808772003338</v>
      </c>
    </row>
    <row r="507" spans="6:8" x14ac:dyDescent="0.35">
      <c r="F507">
        <v>10.0800000000001</v>
      </c>
      <c r="G507">
        <f t="shared" si="14"/>
        <v>527.55667766776844</v>
      </c>
      <c r="H507">
        <f t="shared" si="15"/>
        <v>132.05259868824584</v>
      </c>
    </row>
    <row r="508" spans="6:8" x14ac:dyDescent="0.35">
      <c r="F508">
        <v>10.100000000000099</v>
      </c>
      <c r="G508">
        <f t="shared" si="14"/>
        <v>528.60341710758541</v>
      </c>
      <c r="H508">
        <f t="shared" si="15"/>
        <v>131.32039617615777</v>
      </c>
    </row>
    <row r="509" spans="6:8" x14ac:dyDescent="0.35">
      <c r="F509">
        <v>10.1200000000001</v>
      </c>
      <c r="G509">
        <f t="shared" si="14"/>
        <v>529.6501565474025</v>
      </c>
      <c r="H509">
        <f t="shared" si="15"/>
        <v>130.58426966406967</v>
      </c>
    </row>
    <row r="510" spans="6:8" x14ac:dyDescent="0.35">
      <c r="F510">
        <v>10.1400000000001</v>
      </c>
      <c r="G510">
        <f t="shared" si="14"/>
        <v>530.69689598721948</v>
      </c>
      <c r="H510">
        <f t="shared" si="15"/>
        <v>129.84421915198158</v>
      </c>
    </row>
    <row r="511" spans="6:8" x14ac:dyDescent="0.35">
      <c r="F511">
        <v>10.1600000000001</v>
      </c>
      <c r="G511">
        <f t="shared" si="14"/>
        <v>531.74363542703645</v>
      </c>
      <c r="H511">
        <f t="shared" si="15"/>
        <v>129.10024463989356</v>
      </c>
    </row>
    <row r="512" spans="6:8" x14ac:dyDescent="0.35">
      <c r="F512">
        <v>10.180000000000099</v>
      </c>
      <c r="G512">
        <f t="shared" si="14"/>
        <v>532.79037486685343</v>
      </c>
      <c r="H512">
        <f t="shared" si="15"/>
        <v>128.35234612780545</v>
      </c>
    </row>
    <row r="513" spans="6:8" x14ac:dyDescent="0.35">
      <c r="F513">
        <v>10.200000000000101</v>
      </c>
      <c r="G513">
        <f t="shared" si="14"/>
        <v>533.8371143066704</v>
      </c>
      <c r="H513">
        <f t="shared" si="15"/>
        <v>127.60052361571729</v>
      </c>
    </row>
    <row r="514" spans="6:8" x14ac:dyDescent="0.35">
      <c r="F514">
        <v>10.2200000000001</v>
      </c>
      <c r="G514">
        <f t="shared" si="14"/>
        <v>534.88385374648738</v>
      </c>
      <c r="H514">
        <f t="shared" si="15"/>
        <v>126.84477710362933</v>
      </c>
    </row>
    <row r="515" spans="6:8" x14ac:dyDescent="0.35">
      <c r="F515">
        <v>10.2400000000001</v>
      </c>
      <c r="G515">
        <f t="shared" ref="G515:G578" si="16">$B$15*F515</f>
        <v>535.93059318630435</v>
      </c>
      <c r="H515">
        <f t="shared" ref="H515:H578" si="17">$B$13*F515-($B$8*F515^2)/2+$B$12</f>
        <v>126.08510659154126</v>
      </c>
    </row>
    <row r="516" spans="6:8" x14ac:dyDescent="0.35">
      <c r="F516">
        <v>10.260000000000099</v>
      </c>
      <c r="G516">
        <f t="shared" si="16"/>
        <v>536.97733262612132</v>
      </c>
      <c r="H516">
        <f t="shared" si="17"/>
        <v>125.32151207945321</v>
      </c>
    </row>
    <row r="517" spans="6:8" x14ac:dyDescent="0.35">
      <c r="F517">
        <v>10.280000000000101</v>
      </c>
      <c r="G517">
        <f t="shared" si="16"/>
        <v>538.02407206593841</v>
      </c>
      <c r="H517">
        <f t="shared" si="17"/>
        <v>124.55399356736507</v>
      </c>
    </row>
    <row r="518" spans="6:8" x14ac:dyDescent="0.35">
      <c r="F518">
        <v>10.3000000000001</v>
      </c>
      <c r="G518">
        <f t="shared" si="16"/>
        <v>539.07081150575539</v>
      </c>
      <c r="H518">
        <f t="shared" si="17"/>
        <v>123.78255105527705</v>
      </c>
    </row>
    <row r="519" spans="6:8" x14ac:dyDescent="0.35">
      <c r="F519">
        <v>10.3200000000001</v>
      </c>
      <c r="G519">
        <f t="shared" si="16"/>
        <v>540.11755094557236</v>
      </c>
      <c r="H519">
        <f t="shared" si="17"/>
        <v>123.00718454318894</v>
      </c>
    </row>
    <row r="520" spans="6:8" x14ac:dyDescent="0.35">
      <c r="F520">
        <v>10.340000000000099</v>
      </c>
      <c r="G520">
        <f t="shared" si="16"/>
        <v>541.16429038538934</v>
      </c>
      <c r="H520">
        <f t="shared" si="17"/>
        <v>122.22789403110085</v>
      </c>
    </row>
    <row r="521" spans="6:8" x14ac:dyDescent="0.35">
      <c r="F521">
        <v>10.360000000000101</v>
      </c>
      <c r="G521">
        <f t="shared" si="16"/>
        <v>542.21102982520642</v>
      </c>
      <c r="H521">
        <f t="shared" si="17"/>
        <v>121.44467951901277</v>
      </c>
    </row>
    <row r="522" spans="6:8" x14ac:dyDescent="0.35">
      <c r="F522">
        <v>10.3800000000001</v>
      </c>
      <c r="G522">
        <f t="shared" si="16"/>
        <v>543.25776926502328</v>
      </c>
      <c r="H522">
        <f t="shared" si="17"/>
        <v>120.6575410069247</v>
      </c>
    </row>
    <row r="523" spans="6:8" x14ac:dyDescent="0.35">
      <c r="F523">
        <v>10.4000000000001</v>
      </c>
      <c r="G523">
        <f t="shared" si="16"/>
        <v>544.30450870484026</v>
      </c>
      <c r="H523">
        <f t="shared" si="17"/>
        <v>119.86647849483677</v>
      </c>
    </row>
    <row r="524" spans="6:8" x14ac:dyDescent="0.35">
      <c r="F524">
        <v>10.420000000000099</v>
      </c>
      <c r="G524">
        <f t="shared" si="16"/>
        <v>545.35124814465723</v>
      </c>
      <c r="H524">
        <f t="shared" si="17"/>
        <v>119.07149198274863</v>
      </c>
    </row>
    <row r="525" spans="6:8" x14ac:dyDescent="0.35">
      <c r="F525">
        <v>10.440000000000101</v>
      </c>
      <c r="G525">
        <f t="shared" si="16"/>
        <v>546.39798758447432</v>
      </c>
      <c r="H525">
        <f t="shared" si="17"/>
        <v>118.2725814706605</v>
      </c>
    </row>
    <row r="526" spans="6:8" x14ac:dyDescent="0.35">
      <c r="F526">
        <v>10.4600000000001</v>
      </c>
      <c r="G526">
        <f t="shared" si="16"/>
        <v>547.4447270242913</v>
      </c>
      <c r="H526">
        <f t="shared" si="17"/>
        <v>117.46974695857239</v>
      </c>
    </row>
    <row r="527" spans="6:8" x14ac:dyDescent="0.35">
      <c r="F527">
        <v>10.4800000000001</v>
      </c>
      <c r="G527">
        <f t="shared" si="16"/>
        <v>548.49146646410827</v>
      </c>
      <c r="H527">
        <f t="shared" si="17"/>
        <v>116.66298844648429</v>
      </c>
    </row>
    <row r="528" spans="6:8" x14ac:dyDescent="0.35">
      <c r="F528">
        <v>10.500000000000099</v>
      </c>
      <c r="G528">
        <f t="shared" si="16"/>
        <v>549.53820590392525</v>
      </c>
      <c r="H528">
        <f t="shared" si="17"/>
        <v>115.85230593439633</v>
      </c>
    </row>
    <row r="529" spans="6:8" x14ac:dyDescent="0.35">
      <c r="F529">
        <v>10.520000000000101</v>
      </c>
      <c r="G529">
        <f t="shared" si="16"/>
        <v>550.58494534374233</v>
      </c>
      <c r="H529">
        <f t="shared" si="17"/>
        <v>115.03769942230826</v>
      </c>
    </row>
    <row r="530" spans="6:8" x14ac:dyDescent="0.35">
      <c r="F530">
        <v>10.5400000000001</v>
      </c>
      <c r="G530">
        <f t="shared" si="16"/>
        <v>551.63168478355931</v>
      </c>
      <c r="H530">
        <f t="shared" si="17"/>
        <v>114.21916891022022</v>
      </c>
    </row>
    <row r="531" spans="6:8" x14ac:dyDescent="0.35">
      <c r="F531">
        <v>10.5600000000001</v>
      </c>
      <c r="G531">
        <f t="shared" si="16"/>
        <v>552.67842422337628</v>
      </c>
      <c r="H531">
        <f t="shared" si="17"/>
        <v>113.39671439813208</v>
      </c>
    </row>
    <row r="532" spans="6:8" x14ac:dyDescent="0.35">
      <c r="F532">
        <v>10.5800000000001</v>
      </c>
      <c r="G532">
        <f t="shared" si="16"/>
        <v>553.72516366319326</v>
      </c>
      <c r="H532">
        <f t="shared" si="17"/>
        <v>112.57033588604406</v>
      </c>
    </row>
    <row r="533" spans="6:8" x14ac:dyDescent="0.35">
      <c r="F533">
        <v>10.600000000000099</v>
      </c>
      <c r="G533">
        <f t="shared" si="16"/>
        <v>554.77190310301012</v>
      </c>
      <c r="H533">
        <f t="shared" si="17"/>
        <v>111.74003337395595</v>
      </c>
    </row>
    <row r="534" spans="6:8" x14ac:dyDescent="0.35">
      <c r="F534">
        <v>10.6200000000001</v>
      </c>
      <c r="G534">
        <f t="shared" si="16"/>
        <v>555.81864254282721</v>
      </c>
      <c r="H534">
        <f t="shared" si="17"/>
        <v>110.90580686186786</v>
      </c>
    </row>
    <row r="535" spans="6:8" x14ac:dyDescent="0.35">
      <c r="F535">
        <v>10.6400000000001</v>
      </c>
      <c r="G535">
        <f t="shared" si="16"/>
        <v>556.86538198264418</v>
      </c>
      <c r="H535">
        <f t="shared" si="17"/>
        <v>110.06765634977978</v>
      </c>
    </row>
    <row r="536" spans="6:8" x14ac:dyDescent="0.35">
      <c r="F536">
        <v>10.6600000000001</v>
      </c>
      <c r="G536">
        <f t="shared" si="16"/>
        <v>557.91212142246115</v>
      </c>
      <c r="H536">
        <f t="shared" si="17"/>
        <v>109.22558183769183</v>
      </c>
    </row>
    <row r="537" spans="6:8" x14ac:dyDescent="0.35">
      <c r="F537">
        <v>10.680000000000099</v>
      </c>
      <c r="G537">
        <f t="shared" si="16"/>
        <v>558.95886086227813</v>
      </c>
      <c r="H537">
        <f t="shared" si="17"/>
        <v>108.37958332560379</v>
      </c>
    </row>
    <row r="538" spans="6:8" x14ac:dyDescent="0.35">
      <c r="F538">
        <v>10.700000000000101</v>
      </c>
      <c r="G538">
        <f t="shared" si="16"/>
        <v>560.00560030209522</v>
      </c>
      <c r="H538">
        <f t="shared" si="17"/>
        <v>107.52966081351565</v>
      </c>
    </row>
    <row r="539" spans="6:8" x14ac:dyDescent="0.35">
      <c r="F539">
        <v>10.7200000000001</v>
      </c>
      <c r="G539">
        <f t="shared" si="16"/>
        <v>561.05233974191219</v>
      </c>
      <c r="H539">
        <f t="shared" si="17"/>
        <v>106.67581430142752</v>
      </c>
    </row>
    <row r="540" spans="6:8" x14ac:dyDescent="0.35">
      <c r="F540">
        <v>10.7400000000001</v>
      </c>
      <c r="G540">
        <f t="shared" si="16"/>
        <v>562.09907918172917</v>
      </c>
      <c r="H540">
        <f t="shared" si="17"/>
        <v>105.81804378933941</v>
      </c>
    </row>
    <row r="541" spans="6:8" x14ac:dyDescent="0.35">
      <c r="F541">
        <v>10.760000000000099</v>
      </c>
      <c r="G541">
        <f t="shared" si="16"/>
        <v>563.14581862154614</v>
      </c>
      <c r="H541">
        <f t="shared" si="17"/>
        <v>104.95634927725143</v>
      </c>
    </row>
    <row r="542" spans="6:8" x14ac:dyDescent="0.35">
      <c r="F542">
        <v>10.780000000000101</v>
      </c>
      <c r="G542">
        <f t="shared" si="16"/>
        <v>564.19255806136312</v>
      </c>
      <c r="H542">
        <f t="shared" si="17"/>
        <v>104.09073076516324</v>
      </c>
    </row>
    <row r="543" spans="6:8" x14ac:dyDescent="0.35">
      <c r="F543">
        <v>10.8000000000001</v>
      </c>
      <c r="G543">
        <f t="shared" si="16"/>
        <v>565.23929750118009</v>
      </c>
      <c r="H543">
        <f t="shared" si="17"/>
        <v>103.22118825307518</v>
      </c>
    </row>
    <row r="544" spans="6:8" x14ac:dyDescent="0.35">
      <c r="F544">
        <v>10.8200000000001</v>
      </c>
      <c r="G544">
        <f t="shared" si="16"/>
        <v>566.28603694099706</v>
      </c>
      <c r="H544">
        <f t="shared" si="17"/>
        <v>102.34772174098725</v>
      </c>
    </row>
    <row r="545" spans="6:8" x14ac:dyDescent="0.35">
      <c r="F545">
        <v>10.840000000000099</v>
      </c>
      <c r="G545">
        <f t="shared" si="16"/>
        <v>567.33277638081404</v>
      </c>
      <c r="H545">
        <f t="shared" si="17"/>
        <v>101.47033122889923</v>
      </c>
    </row>
    <row r="546" spans="6:8" x14ac:dyDescent="0.35">
      <c r="F546">
        <v>10.860000000000101</v>
      </c>
      <c r="G546">
        <f t="shared" si="16"/>
        <v>568.37951582063113</v>
      </c>
      <c r="H546">
        <f t="shared" si="17"/>
        <v>100.58901671681099</v>
      </c>
    </row>
    <row r="547" spans="6:8" x14ac:dyDescent="0.35">
      <c r="F547">
        <v>10.8800000000001</v>
      </c>
      <c r="G547">
        <f t="shared" si="16"/>
        <v>569.4262552604481</v>
      </c>
      <c r="H547">
        <f t="shared" si="17"/>
        <v>99.703778204722994</v>
      </c>
    </row>
    <row r="548" spans="6:8" x14ac:dyDescent="0.35">
      <c r="F548">
        <v>10.9000000000001</v>
      </c>
      <c r="G548">
        <f t="shared" si="16"/>
        <v>570.47299470026508</v>
      </c>
      <c r="H548">
        <f t="shared" si="17"/>
        <v>98.814615692634902</v>
      </c>
    </row>
    <row r="549" spans="6:8" x14ac:dyDescent="0.35">
      <c r="F549">
        <v>10.920000000000099</v>
      </c>
      <c r="G549">
        <f t="shared" si="16"/>
        <v>571.51973414008205</v>
      </c>
      <c r="H549">
        <f t="shared" si="17"/>
        <v>97.921529180546827</v>
      </c>
    </row>
    <row r="550" spans="6:8" x14ac:dyDescent="0.35">
      <c r="F550">
        <v>10.940000000000101</v>
      </c>
      <c r="G550">
        <f t="shared" si="16"/>
        <v>572.56647357989914</v>
      </c>
      <c r="H550">
        <f t="shared" si="17"/>
        <v>97.024518668458654</v>
      </c>
    </row>
    <row r="551" spans="6:8" x14ac:dyDescent="0.35">
      <c r="F551">
        <v>10.9600000000001</v>
      </c>
      <c r="G551">
        <f t="shared" si="16"/>
        <v>573.61321301971611</v>
      </c>
      <c r="H551">
        <f t="shared" si="17"/>
        <v>96.123584156370725</v>
      </c>
    </row>
    <row r="552" spans="6:8" x14ac:dyDescent="0.35">
      <c r="F552">
        <v>10.9800000000001</v>
      </c>
      <c r="G552">
        <f t="shared" si="16"/>
        <v>574.65995245953309</v>
      </c>
      <c r="H552">
        <f t="shared" si="17"/>
        <v>95.218725644282699</v>
      </c>
    </row>
    <row r="553" spans="6:8" x14ac:dyDescent="0.35">
      <c r="F553">
        <v>11.000000000000099</v>
      </c>
      <c r="G553">
        <f t="shared" si="16"/>
        <v>575.70669189934995</v>
      </c>
      <c r="H553">
        <f t="shared" si="17"/>
        <v>94.309943132194576</v>
      </c>
    </row>
    <row r="554" spans="6:8" x14ac:dyDescent="0.35">
      <c r="F554">
        <v>11.020000000000101</v>
      </c>
      <c r="G554">
        <f t="shared" si="16"/>
        <v>576.75343133916704</v>
      </c>
      <c r="H554">
        <f t="shared" si="17"/>
        <v>93.397236620106469</v>
      </c>
    </row>
    <row r="555" spans="6:8" x14ac:dyDescent="0.35">
      <c r="F555">
        <v>11.0400000000001</v>
      </c>
      <c r="G555">
        <f t="shared" si="16"/>
        <v>577.80017077898401</v>
      </c>
      <c r="H555">
        <f t="shared" si="17"/>
        <v>92.480606108018378</v>
      </c>
    </row>
    <row r="556" spans="6:8" x14ac:dyDescent="0.35">
      <c r="F556">
        <v>11.0600000000001</v>
      </c>
      <c r="G556">
        <f t="shared" si="16"/>
        <v>578.84691021880099</v>
      </c>
      <c r="H556">
        <f t="shared" si="17"/>
        <v>91.560051595930304</v>
      </c>
    </row>
    <row r="557" spans="6:8" x14ac:dyDescent="0.35">
      <c r="F557">
        <v>11.0800000000001</v>
      </c>
      <c r="G557">
        <f t="shared" si="16"/>
        <v>579.89364965861796</v>
      </c>
      <c r="H557">
        <f t="shared" si="17"/>
        <v>90.635573083842246</v>
      </c>
    </row>
    <row r="558" spans="6:8" x14ac:dyDescent="0.35">
      <c r="F558">
        <v>11.100000000000099</v>
      </c>
      <c r="G558">
        <f t="shared" si="16"/>
        <v>580.94038909843493</v>
      </c>
      <c r="H558">
        <f t="shared" si="17"/>
        <v>89.707170571754318</v>
      </c>
    </row>
    <row r="559" spans="6:8" x14ac:dyDescent="0.35">
      <c r="F559">
        <v>11.1200000000001</v>
      </c>
      <c r="G559">
        <f t="shared" si="16"/>
        <v>581.98712853825202</v>
      </c>
      <c r="H559">
        <f t="shared" si="17"/>
        <v>88.774844059666179</v>
      </c>
    </row>
    <row r="560" spans="6:8" x14ac:dyDescent="0.35">
      <c r="F560">
        <v>11.1400000000001</v>
      </c>
      <c r="G560">
        <f t="shared" si="16"/>
        <v>583.033867978069</v>
      </c>
      <c r="H560">
        <f t="shared" si="17"/>
        <v>87.838593547578057</v>
      </c>
    </row>
    <row r="561" spans="6:8" x14ac:dyDescent="0.35">
      <c r="F561">
        <v>11.1600000000001</v>
      </c>
      <c r="G561">
        <f t="shared" si="16"/>
        <v>584.08060741788597</v>
      </c>
      <c r="H561">
        <f t="shared" si="17"/>
        <v>86.898419035490065</v>
      </c>
    </row>
    <row r="562" spans="6:8" x14ac:dyDescent="0.35">
      <c r="F562">
        <v>11.180000000000099</v>
      </c>
      <c r="G562">
        <f t="shared" si="16"/>
        <v>585.12734685770295</v>
      </c>
      <c r="H562">
        <f t="shared" si="17"/>
        <v>85.954320523401975</v>
      </c>
    </row>
    <row r="563" spans="6:8" x14ac:dyDescent="0.35">
      <c r="F563">
        <v>11.200000000000101</v>
      </c>
      <c r="G563">
        <f t="shared" si="16"/>
        <v>586.17408629751992</v>
      </c>
      <c r="H563">
        <f t="shared" si="17"/>
        <v>85.006298011313788</v>
      </c>
    </row>
    <row r="564" spans="6:8" x14ac:dyDescent="0.35">
      <c r="F564">
        <v>11.2200000000001</v>
      </c>
      <c r="G564">
        <f t="shared" si="16"/>
        <v>587.2208257373369</v>
      </c>
      <c r="H564">
        <f t="shared" si="17"/>
        <v>84.054351499225731</v>
      </c>
    </row>
    <row r="565" spans="6:8" x14ac:dyDescent="0.35">
      <c r="F565">
        <v>11.2400000000001</v>
      </c>
      <c r="G565">
        <f t="shared" si="16"/>
        <v>588.26756517715387</v>
      </c>
      <c r="H565">
        <f t="shared" si="17"/>
        <v>83.098480987137691</v>
      </c>
    </row>
    <row r="566" spans="6:8" x14ac:dyDescent="0.35">
      <c r="F566">
        <v>11.260000000000099</v>
      </c>
      <c r="G566">
        <f t="shared" si="16"/>
        <v>589.31430461697084</v>
      </c>
      <c r="H566">
        <f t="shared" si="17"/>
        <v>82.138686475049781</v>
      </c>
    </row>
    <row r="567" spans="6:8" x14ac:dyDescent="0.35">
      <c r="F567">
        <v>11.280000000000101</v>
      </c>
      <c r="G567">
        <f t="shared" si="16"/>
        <v>590.36104405678793</v>
      </c>
      <c r="H567">
        <f t="shared" si="17"/>
        <v>81.174967962961546</v>
      </c>
    </row>
    <row r="568" spans="6:8" x14ac:dyDescent="0.35">
      <c r="F568">
        <v>11.3000000000001</v>
      </c>
      <c r="G568">
        <f t="shared" si="16"/>
        <v>591.40778349660491</v>
      </c>
      <c r="H568">
        <f t="shared" si="17"/>
        <v>80.207325450873554</v>
      </c>
    </row>
    <row r="569" spans="6:8" x14ac:dyDescent="0.35">
      <c r="F569">
        <v>11.3200000000001</v>
      </c>
      <c r="G569">
        <f t="shared" si="16"/>
        <v>592.45452293642188</v>
      </c>
      <c r="H569">
        <f t="shared" si="17"/>
        <v>79.235758938785466</v>
      </c>
    </row>
    <row r="570" spans="6:8" x14ac:dyDescent="0.35">
      <c r="F570">
        <v>11.340000000000099</v>
      </c>
      <c r="G570">
        <f t="shared" si="16"/>
        <v>593.50126237623886</v>
      </c>
      <c r="H570">
        <f t="shared" si="17"/>
        <v>78.26026842669728</v>
      </c>
    </row>
    <row r="571" spans="6:8" x14ac:dyDescent="0.35">
      <c r="F571">
        <v>11.360000000000101</v>
      </c>
      <c r="G571">
        <f t="shared" si="16"/>
        <v>594.54800181605594</v>
      </c>
      <c r="H571">
        <f t="shared" si="17"/>
        <v>77.280853914609224</v>
      </c>
    </row>
    <row r="572" spans="6:8" x14ac:dyDescent="0.35">
      <c r="F572">
        <v>11.3800000000001</v>
      </c>
      <c r="G572">
        <f t="shared" si="16"/>
        <v>595.59474125587292</v>
      </c>
      <c r="H572">
        <f t="shared" si="17"/>
        <v>76.297515402521185</v>
      </c>
    </row>
    <row r="573" spans="6:8" x14ac:dyDescent="0.35">
      <c r="F573">
        <v>11.4000000000001</v>
      </c>
      <c r="G573">
        <f t="shared" si="16"/>
        <v>596.64148069568978</v>
      </c>
      <c r="H573">
        <f t="shared" si="17"/>
        <v>75.310252890433162</v>
      </c>
    </row>
    <row r="574" spans="6:8" x14ac:dyDescent="0.35">
      <c r="F574">
        <v>11.420000000000099</v>
      </c>
      <c r="G574">
        <f t="shared" si="16"/>
        <v>597.68822013550675</v>
      </c>
      <c r="H574">
        <f t="shared" si="17"/>
        <v>74.319066378345042</v>
      </c>
    </row>
    <row r="575" spans="6:8" x14ac:dyDescent="0.35">
      <c r="F575">
        <v>11.440000000000101</v>
      </c>
      <c r="G575">
        <f t="shared" si="16"/>
        <v>598.73495957532384</v>
      </c>
      <c r="H575">
        <f t="shared" si="17"/>
        <v>73.323955866256938</v>
      </c>
    </row>
    <row r="576" spans="6:8" x14ac:dyDescent="0.35">
      <c r="F576">
        <v>11.4600000000001</v>
      </c>
      <c r="G576">
        <f t="shared" si="16"/>
        <v>599.78169901514082</v>
      </c>
      <c r="H576">
        <f t="shared" si="17"/>
        <v>72.32492135416885</v>
      </c>
    </row>
    <row r="577" spans="6:8" x14ac:dyDescent="0.35">
      <c r="F577">
        <v>11.4800000000001</v>
      </c>
      <c r="G577">
        <f t="shared" si="16"/>
        <v>600.82843845495779</v>
      </c>
      <c r="H577">
        <f t="shared" si="17"/>
        <v>71.321962842080779</v>
      </c>
    </row>
    <row r="578" spans="6:8" x14ac:dyDescent="0.35">
      <c r="F578">
        <v>11.500000000000099</v>
      </c>
      <c r="G578">
        <f t="shared" si="16"/>
        <v>601.87517789477477</v>
      </c>
      <c r="H578">
        <f t="shared" si="17"/>
        <v>70.315080329992838</v>
      </c>
    </row>
    <row r="579" spans="6:8" x14ac:dyDescent="0.35">
      <c r="F579">
        <v>11.520000000000101</v>
      </c>
      <c r="G579">
        <f t="shared" ref="G579:G642" si="18">$B$15*F579</f>
        <v>602.92191733459185</v>
      </c>
      <c r="H579">
        <f t="shared" ref="H579:H642" si="19">$B$13*F579-($B$8*F579^2)/2+$B$12</f>
        <v>69.304273817904686</v>
      </c>
    </row>
    <row r="580" spans="6:8" x14ac:dyDescent="0.35">
      <c r="F580">
        <v>11.5400000000001</v>
      </c>
      <c r="G580">
        <f t="shared" si="18"/>
        <v>603.96865677440883</v>
      </c>
      <c r="H580">
        <f t="shared" si="19"/>
        <v>68.289543305816665</v>
      </c>
    </row>
    <row r="581" spans="6:8" x14ac:dyDescent="0.35">
      <c r="F581">
        <v>11.5600000000001</v>
      </c>
      <c r="G581">
        <f t="shared" si="18"/>
        <v>605.0153962142258</v>
      </c>
      <c r="H581">
        <f t="shared" si="19"/>
        <v>67.270888793728659</v>
      </c>
    </row>
    <row r="582" spans="6:8" x14ac:dyDescent="0.35">
      <c r="F582">
        <v>11.5800000000001</v>
      </c>
      <c r="G582">
        <f t="shared" si="18"/>
        <v>606.06213565404278</v>
      </c>
      <c r="H582">
        <f t="shared" si="19"/>
        <v>66.248310281640556</v>
      </c>
    </row>
    <row r="583" spans="6:8" x14ac:dyDescent="0.35">
      <c r="F583">
        <v>11.600000000000099</v>
      </c>
      <c r="G583">
        <f t="shared" si="18"/>
        <v>607.10887509385975</v>
      </c>
      <c r="H583">
        <f t="shared" si="19"/>
        <v>65.22180776955247</v>
      </c>
    </row>
    <row r="584" spans="6:8" x14ac:dyDescent="0.35">
      <c r="F584">
        <v>11.6200000000001</v>
      </c>
      <c r="G584">
        <f t="shared" si="18"/>
        <v>608.15561453367673</v>
      </c>
      <c r="H584">
        <f t="shared" si="19"/>
        <v>64.191381257464286</v>
      </c>
    </row>
    <row r="585" spans="6:8" x14ac:dyDescent="0.35">
      <c r="F585">
        <v>11.6400000000001</v>
      </c>
      <c r="G585">
        <f t="shared" si="18"/>
        <v>609.2023539734937</v>
      </c>
      <c r="H585">
        <f t="shared" si="19"/>
        <v>63.157030745376339</v>
      </c>
    </row>
    <row r="586" spans="6:8" x14ac:dyDescent="0.35">
      <c r="F586">
        <v>11.6600000000001</v>
      </c>
      <c r="G586">
        <f t="shared" si="18"/>
        <v>610.24909341331067</v>
      </c>
      <c r="H586">
        <f t="shared" si="19"/>
        <v>62.118756233288188</v>
      </c>
    </row>
    <row r="587" spans="6:8" x14ac:dyDescent="0.35">
      <c r="F587">
        <v>11.680000000000099</v>
      </c>
      <c r="G587">
        <f t="shared" si="18"/>
        <v>611.29583285312765</v>
      </c>
      <c r="H587">
        <f t="shared" si="19"/>
        <v>61.076557721200167</v>
      </c>
    </row>
    <row r="588" spans="6:8" x14ac:dyDescent="0.35">
      <c r="F588">
        <v>11.700000000000101</v>
      </c>
      <c r="G588">
        <f t="shared" si="18"/>
        <v>612.34257229294474</v>
      </c>
      <c r="H588">
        <f t="shared" si="19"/>
        <v>60.030435209112163</v>
      </c>
    </row>
    <row r="589" spans="6:8" x14ac:dyDescent="0.35">
      <c r="F589">
        <v>11.7200000000001</v>
      </c>
      <c r="G589">
        <f t="shared" si="18"/>
        <v>613.38931173276171</v>
      </c>
      <c r="H589">
        <f t="shared" si="19"/>
        <v>58.980388697024061</v>
      </c>
    </row>
    <row r="590" spans="6:8" x14ac:dyDescent="0.35">
      <c r="F590">
        <v>11.7400000000001</v>
      </c>
      <c r="G590">
        <f t="shared" si="18"/>
        <v>614.43605117257869</v>
      </c>
      <c r="H590">
        <f t="shared" si="19"/>
        <v>57.926418184935976</v>
      </c>
    </row>
    <row r="591" spans="6:8" x14ac:dyDescent="0.35">
      <c r="F591">
        <v>11.760000000000099</v>
      </c>
      <c r="G591">
        <f t="shared" si="18"/>
        <v>615.48279061239566</v>
      </c>
      <c r="H591">
        <f t="shared" si="19"/>
        <v>56.868523672847907</v>
      </c>
    </row>
    <row r="592" spans="6:8" x14ac:dyDescent="0.35">
      <c r="F592">
        <v>11.780000000000101</v>
      </c>
      <c r="G592">
        <f t="shared" si="18"/>
        <v>616.52953005221275</v>
      </c>
      <c r="H592">
        <f t="shared" si="19"/>
        <v>55.806705160759741</v>
      </c>
    </row>
    <row r="593" spans="6:8" x14ac:dyDescent="0.35">
      <c r="F593">
        <v>11.8000000000001</v>
      </c>
      <c r="G593">
        <f t="shared" si="18"/>
        <v>617.57626949202961</v>
      </c>
      <c r="H593">
        <f t="shared" si="19"/>
        <v>54.740962648671704</v>
      </c>
    </row>
    <row r="594" spans="6:8" x14ac:dyDescent="0.35">
      <c r="F594">
        <v>11.8200000000001</v>
      </c>
      <c r="G594">
        <f t="shared" si="18"/>
        <v>618.62300893184658</v>
      </c>
      <c r="H594">
        <f t="shared" si="19"/>
        <v>53.671296136583685</v>
      </c>
    </row>
    <row r="595" spans="6:8" x14ac:dyDescent="0.35">
      <c r="F595">
        <v>11.840000000000099</v>
      </c>
      <c r="G595">
        <f t="shared" si="18"/>
        <v>619.66974837166356</v>
      </c>
      <c r="H595">
        <f t="shared" si="19"/>
        <v>52.597705624495568</v>
      </c>
    </row>
    <row r="596" spans="6:8" x14ac:dyDescent="0.35">
      <c r="F596">
        <v>11.860000000000101</v>
      </c>
      <c r="G596">
        <f t="shared" si="18"/>
        <v>620.71648781148065</v>
      </c>
      <c r="H596">
        <f t="shared" si="19"/>
        <v>51.520191112407467</v>
      </c>
    </row>
    <row r="597" spans="6:8" x14ac:dyDescent="0.35">
      <c r="F597">
        <v>11.8800000000001</v>
      </c>
      <c r="G597">
        <f t="shared" si="18"/>
        <v>621.76322725129762</v>
      </c>
      <c r="H597">
        <f t="shared" si="19"/>
        <v>50.438752600319496</v>
      </c>
    </row>
    <row r="598" spans="6:8" x14ac:dyDescent="0.35">
      <c r="F598">
        <v>11.9000000000001</v>
      </c>
      <c r="G598">
        <f t="shared" si="18"/>
        <v>622.8099666911146</v>
      </c>
      <c r="H598">
        <f t="shared" si="19"/>
        <v>49.353390088231428</v>
      </c>
    </row>
    <row r="599" spans="6:8" x14ac:dyDescent="0.35">
      <c r="F599">
        <v>11.920000000000099</v>
      </c>
      <c r="G599">
        <f t="shared" si="18"/>
        <v>623.85670613093157</v>
      </c>
      <c r="H599">
        <f t="shared" si="19"/>
        <v>48.264103576143377</v>
      </c>
    </row>
    <row r="600" spans="6:8" x14ac:dyDescent="0.35">
      <c r="F600">
        <v>11.940000000000101</v>
      </c>
      <c r="G600">
        <f t="shared" si="18"/>
        <v>624.90344557074866</v>
      </c>
      <c r="H600">
        <f t="shared" si="19"/>
        <v>47.170893064055228</v>
      </c>
    </row>
    <row r="601" spans="6:8" x14ac:dyDescent="0.35">
      <c r="F601">
        <v>11.9600000000001</v>
      </c>
      <c r="G601">
        <f t="shared" si="18"/>
        <v>625.95018501056563</v>
      </c>
      <c r="H601">
        <f t="shared" si="19"/>
        <v>46.073758551967096</v>
      </c>
    </row>
    <row r="602" spans="6:8" x14ac:dyDescent="0.35">
      <c r="F602">
        <v>11.9800000000001</v>
      </c>
      <c r="G602">
        <f t="shared" si="18"/>
        <v>626.99692445038261</v>
      </c>
      <c r="H602">
        <f t="shared" si="19"/>
        <v>44.972700039879093</v>
      </c>
    </row>
    <row r="603" spans="6:8" x14ac:dyDescent="0.35">
      <c r="F603">
        <v>12.000000000000099</v>
      </c>
      <c r="G603">
        <f t="shared" si="18"/>
        <v>628.04366389019958</v>
      </c>
      <c r="H603">
        <f t="shared" si="19"/>
        <v>43.867717527791108</v>
      </c>
    </row>
    <row r="604" spans="6:8" x14ac:dyDescent="0.35">
      <c r="F604">
        <v>12.020000000000101</v>
      </c>
      <c r="G604">
        <f t="shared" si="18"/>
        <v>629.09040333001656</v>
      </c>
      <c r="H604">
        <f t="shared" si="19"/>
        <v>42.758811015703024</v>
      </c>
    </row>
    <row r="605" spans="6:8" x14ac:dyDescent="0.35">
      <c r="F605">
        <v>12.0400000000001</v>
      </c>
      <c r="G605">
        <f t="shared" si="18"/>
        <v>630.13714276983353</v>
      </c>
      <c r="H605">
        <f t="shared" si="19"/>
        <v>41.645980503614844</v>
      </c>
    </row>
    <row r="606" spans="6:8" x14ac:dyDescent="0.35">
      <c r="F606">
        <v>12.0600000000001</v>
      </c>
      <c r="G606">
        <f t="shared" si="18"/>
        <v>631.18388220965051</v>
      </c>
      <c r="H606">
        <f t="shared" si="19"/>
        <v>40.529225991526793</v>
      </c>
    </row>
    <row r="607" spans="6:8" x14ac:dyDescent="0.35">
      <c r="F607">
        <v>12.0800000000001</v>
      </c>
      <c r="G607">
        <f t="shared" si="18"/>
        <v>632.23062164946748</v>
      </c>
      <c r="H607">
        <f t="shared" si="19"/>
        <v>39.408547479438759</v>
      </c>
    </row>
    <row r="608" spans="6:8" x14ac:dyDescent="0.35">
      <c r="F608">
        <v>12.100000000000099</v>
      </c>
      <c r="G608">
        <f t="shared" si="18"/>
        <v>633.27736108928445</v>
      </c>
      <c r="H608">
        <f t="shared" si="19"/>
        <v>38.283944967350628</v>
      </c>
    </row>
    <row r="609" spans="6:8" x14ac:dyDescent="0.35">
      <c r="F609">
        <v>12.1200000000001</v>
      </c>
      <c r="G609">
        <f t="shared" si="18"/>
        <v>634.32410052910154</v>
      </c>
      <c r="H609">
        <f t="shared" si="19"/>
        <v>37.155418455262513</v>
      </c>
    </row>
    <row r="610" spans="6:8" x14ac:dyDescent="0.35">
      <c r="F610">
        <v>12.1400000000001</v>
      </c>
      <c r="G610">
        <f t="shared" si="18"/>
        <v>635.37083996891852</v>
      </c>
      <c r="H610">
        <f t="shared" si="19"/>
        <v>36.022967943174642</v>
      </c>
    </row>
    <row r="611" spans="6:8" x14ac:dyDescent="0.35">
      <c r="F611">
        <v>12.1600000000001</v>
      </c>
      <c r="G611">
        <f t="shared" si="18"/>
        <v>636.41757940873549</v>
      </c>
      <c r="H611">
        <f t="shared" si="19"/>
        <v>34.88659343108656</v>
      </c>
    </row>
    <row r="612" spans="6:8" x14ac:dyDescent="0.35">
      <c r="F612">
        <v>12.180000000000099</v>
      </c>
      <c r="G612">
        <f t="shared" si="18"/>
        <v>637.46431884855247</v>
      </c>
      <c r="H612">
        <f t="shared" si="19"/>
        <v>33.746294918998494</v>
      </c>
    </row>
    <row r="613" spans="6:8" x14ac:dyDescent="0.35">
      <c r="F613">
        <v>12.200000000000101</v>
      </c>
      <c r="G613">
        <f t="shared" si="18"/>
        <v>638.51105828836944</v>
      </c>
      <c r="H613">
        <f t="shared" si="19"/>
        <v>32.602072406910331</v>
      </c>
    </row>
    <row r="614" spans="6:8" x14ac:dyDescent="0.35">
      <c r="F614">
        <v>12.2200000000001</v>
      </c>
      <c r="G614">
        <f t="shared" si="18"/>
        <v>639.55779772818642</v>
      </c>
      <c r="H614">
        <f t="shared" si="19"/>
        <v>31.453925894822184</v>
      </c>
    </row>
    <row r="615" spans="6:8" x14ac:dyDescent="0.35">
      <c r="F615">
        <v>12.2400000000001</v>
      </c>
      <c r="G615">
        <f t="shared" si="18"/>
        <v>640.60453716800339</v>
      </c>
      <c r="H615">
        <f t="shared" si="19"/>
        <v>30.301855382734168</v>
      </c>
    </row>
    <row r="616" spans="6:8" x14ac:dyDescent="0.35">
      <c r="F616">
        <v>12.260000000000099</v>
      </c>
      <c r="G616">
        <f t="shared" si="18"/>
        <v>641.65127660782036</v>
      </c>
      <c r="H616">
        <f t="shared" si="19"/>
        <v>29.145860870646167</v>
      </c>
    </row>
    <row r="617" spans="6:8" x14ac:dyDescent="0.35">
      <c r="F617">
        <v>12.280000000000101</v>
      </c>
      <c r="G617">
        <f t="shared" si="18"/>
        <v>642.69801604763745</v>
      </c>
      <c r="H617">
        <f t="shared" si="19"/>
        <v>27.98594235855807</v>
      </c>
    </row>
    <row r="618" spans="6:8" x14ac:dyDescent="0.35">
      <c r="F618">
        <v>12.3000000000001</v>
      </c>
      <c r="G618">
        <f t="shared" si="18"/>
        <v>643.74475548745443</v>
      </c>
      <c r="H618">
        <f t="shared" si="19"/>
        <v>26.822099846469989</v>
      </c>
    </row>
    <row r="619" spans="6:8" x14ac:dyDescent="0.35">
      <c r="F619">
        <v>12.3200000000001</v>
      </c>
      <c r="G619">
        <f t="shared" si="18"/>
        <v>644.7914949272714</v>
      </c>
      <c r="H619">
        <f t="shared" si="19"/>
        <v>25.654333334381924</v>
      </c>
    </row>
    <row r="620" spans="6:8" x14ac:dyDescent="0.35">
      <c r="F620">
        <v>12.340000000000099</v>
      </c>
      <c r="G620">
        <f t="shared" si="18"/>
        <v>645.83823436708838</v>
      </c>
      <c r="H620">
        <f t="shared" si="19"/>
        <v>24.48264282229399</v>
      </c>
    </row>
    <row r="621" spans="6:8" x14ac:dyDescent="0.35">
      <c r="F621">
        <v>12.360000000000101</v>
      </c>
      <c r="G621">
        <f t="shared" si="18"/>
        <v>646.88497380690546</v>
      </c>
      <c r="H621">
        <f t="shared" si="19"/>
        <v>23.30702831020573</v>
      </c>
    </row>
    <row r="622" spans="6:8" x14ac:dyDescent="0.35">
      <c r="F622">
        <v>12.3800000000001</v>
      </c>
      <c r="G622">
        <f t="shared" si="18"/>
        <v>647.93171324672244</v>
      </c>
      <c r="H622">
        <f t="shared" si="19"/>
        <v>22.127489798117601</v>
      </c>
    </row>
    <row r="623" spans="6:8" x14ac:dyDescent="0.35">
      <c r="F623">
        <v>12.4000000000001</v>
      </c>
      <c r="G623">
        <f t="shared" si="18"/>
        <v>648.97845268653941</v>
      </c>
      <c r="H623">
        <f t="shared" si="19"/>
        <v>20.944027286029716</v>
      </c>
    </row>
    <row r="624" spans="6:8" x14ac:dyDescent="0.35">
      <c r="F624">
        <v>12.420000000000099</v>
      </c>
      <c r="G624">
        <f t="shared" si="18"/>
        <v>650.02519212635627</v>
      </c>
      <c r="H624">
        <f t="shared" si="19"/>
        <v>19.756640773941619</v>
      </c>
    </row>
    <row r="625" spans="6:8" x14ac:dyDescent="0.35">
      <c r="F625">
        <v>12.440000000000101</v>
      </c>
      <c r="G625">
        <f t="shared" si="18"/>
        <v>651.07193156617336</v>
      </c>
      <c r="H625">
        <f t="shared" si="19"/>
        <v>18.565330261853539</v>
      </c>
    </row>
    <row r="626" spans="6:8" x14ac:dyDescent="0.35">
      <c r="F626">
        <v>12.4600000000001</v>
      </c>
      <c r="G626">
        <f t="shared" si="18"/>
        <v>652.11867100599034</v>
      </c>
      <c r="H626">
        <f t="shared" si="19"/>
        <v>17.370095749765476</v>
      </c>
    </row>
    <row r="627" spans="6:8" x14ac:dyDescent="0.35">
      <c r="F627">
        <v>12.4800000000001</v>
      </c>
      <c r="G627">
        <f t="shared" si="18"/>
        <v>653.16541044580731</v>
      </c>
      <c r="H627">
        <f t="shared" si="19"/>
        <v>16.170937237677428</v>
      </c>
    </row>
    <row r="628" spans="6:8" x14ac:dyDescent="0.35">
      <c r="F628">
        <v>12.500000000000099</v>
      </c>
      <c r="G628">
        <f t="shared" si="18"/>
        <v>654.21214988562429</v>
      </c>
      <c r="H628">
        <f t="shared" si="19"/>
        <v>14.967854725589284</v>
      </c>
    </row>
    <row r="629" spans="6:8" x14ac:dyDescent="0.35">
      <c r="F629">
        <v>12.520000000000101</v>
      </c>
      <c r="G629">
        <f t="shared" si="18"/>
        <v>655.25888932544137</v>
      </c>
      <c r="H629">
        <f t="shared" si="19"/>
        <v>13.760848213501156</v>
      </c>
    </row>
    <row r="630" spans="6:8" x14ac:dyDescent="0.35">
      <c r="F630">
        <v>12.5400000000001</v>
      </c>
      <c r="G630">
        <f t="shared" si="18"/>
        <v>656.30562876525835</v>
      </c>
      <c r="H630">
        <f t="shared" si="19"/>
        <v>12.549917701413044</v>
      </c>
    </row>
    <row r="631" spans="6:8" x14ac:dyDescent="0.35">
      <c r="F631">
        <v>12.5600000000001</v>
      </c>
      <c r="G631">
        <f t="shared" si="18"/>
        <v>657.35236820507532</v>
      </c>
      <c r="H631">
        <f t="shared" si="19"/>
        <v>11.335063189325062</v>
      </c>
    </row>
    <row r="632" spans="6:8" x14ac:dyDescent="0.35">
      <c r="F632">
        <v>12.580000000000201</v>
      </c>
      <c r="G632">
        <f t="shared" si="18"/>
        <v>658.39910764489753</v>
      </c>
      <c r="H632">
        <f t="shared" si="19"/>
        <v>10.116284677230844</v>
      </c>
    </row>
    <row r="633" spans="6:8" x14ac:dyDescent="0.35">
      <c r="F633">
        <v>12.6000000000002</v>
      </c>
      <c r="G633">
        <f t="shared" si="18"/>
        <v>659.4458470847145</v>
      </c>
      <c r="H633">
        <f t="shared" si="19"/>
        <v>8.8935821651427815</v>
      </c>
    </row>
    <row r="634" spans="6:8" x14ac:dyDescent="0.35">
      <c r="F634">
        <v>12.6200000000002</v>
      </c>
      <c r="G634">
        <f t="shared" si="18"/>
        <v>660.49258652453148</v>
      </c>
      <c r="H634">
        <f t="shared" si="19"/>
        <v>7.6669556530546226</v>
      </c>
    </row>
    <row r="635" spans="6:8" x14ac:dyDescent="0.35">
      <c r="F635">
        <v>12.6400000000001</v>
      </c>
      <c r="G635">
        <f t="shared" si="18"/>
        <v>661.53932596434322</v>
      </c>
      <c r="H635">
        <f t="shared" si="19"/>
        <v>6.4364051409728456</v>
      </c>
    </row>
    <row r="636" spans="6:8" x14ac:dyDescent="0.35">
      <c r="F636">
        <v>12.6600000000001</v>
      </c>
      <c r="G636">
        <f t="shared" si="18"/>
        <v>662.58606540416019</v>
      </c>
      <c r="H636">
        <f t="shared" si="19"/>
        <v>5.2019306288847185</v>
      </c>
    </row>
    <row r="637" spans="6:8" x14ac:dyDescent="0.35">
      <c r="F637">
        <v>12.680000000000099</v>
      </c>
      <c r="G637">
        <f t="shared" si="18"/>
        <v>663.63280484397717</v>
      </c>
      <c r="H637">
        <f t="shared" si="19"/>
        <v>3.9635321167966078</v>
      </c>
    </row>
    <row r="638" spans="6:8" x14ac:dyDescent="0.35">
      <c r="F638">
        <v>12.700000000000101</v>
      </c>
      <c r="G638">
        <f t="shared" si="18"/>
        <v>664.67954428379426</v>
      </c>
      <c r="H638">
        <f t="shared" si="19"/>
        <v>2.7212096047085135</v>
      </c>
    </row>
    <row r="639" spans="6:8" x14ac:dyDescent="0.35">
      <c r="F639">
        <v>12.7200000000001</v>
      </c>
      <c r="G639">
        <f t="shared" si="18"/>
        <v>665.72628372361123</v>
      </c>
      <c r="H639">
        <f t="shared" si="19"/>
        <v>1.4749630926204356</v>
      </c>
    </row>
    <row r="640" spans="6:8" x14ac:dyDescent="0.35">
      <c r="F640">
        <v>12.7400000000001</v>
      </c>
      <c r="G640">
        <f t="shared" si="18"/>
        <v>666.77302316342821</v>
      </c>
      <c r="H640">
        <f t="shared" si="19"/>
        <v>0.22479258053248774</v>
      </c>
    </row>
    <row r="641" spans="6:8" x14ac:dyDescent="0.35">
      <c r="F641">
        <v>12.760000000000201</v>
      </c>
      <c r="G641">
        <f t="shared" si="18"/>
        <v>667.81976260325041</v>
      </c>
      <c r="H641">
        <f t="shared" si="19"/>
        <v>-1.0293019315619238</v>
      </c>
    </row>
    <row r="642" spans="6:8" x14ac:dyDescent="0.35">
      <c r="F642">
        <v>12.7800000000002</v>
      </c>
      <c r="G642">
        <f t="shared" si="18"/>
        <v>668.86650204306738</v>
      </c>
      <c r="H642">
        <f t="shared" si="19"/>
        <v>-2.2873204436499526</v>
      </c>
    </row>
    <row r="643" spans="6:8" x14ac:dyDescent="0.35">
      <c r="F643">
        <v>12.8000000000001</v>
      </c>
      <c r="G643">
        <f t="shared" ref="G643:G706" si="20">$B$15*F643</f>
        <v>669.91324148287924</v>
      </c>
      <c r="H643">
        <f t="shared" ref="H643:H706" si="21">$B$13*F643-($B$8*F643^2)/2+$B$12</f>
        <v>-3.5492629557317121</v>
      </c>
    </row>
    <row r="644" spans="6:8" x14ac:dyDescent="0.35">
      <c r="F644">
        <v>12.8200000000001</v>
      </c>
      <c r="G644">
        <f t="shared" si="20"/>
        <v>670.9599809226961</v>
      </c>
      <c r="H644">
        <f t="shared" si="21"/>
        <v>-4.8151294678198218</v>
      </c>
    </row>
    <row r="645" spans="6:8" x14ac:dyDescent="0.35">
      <c r="F645">
        <v>12.840000000000099</v>
      </c>
      <c r="G645">
        <f t="shared" si="20"/>
        <v>672.00672036251308</v>
      </c>
      <c r="H645">
        <f t="shared" si="21"/>
        <v>-6.084919979907915</v>
      </c>
    </row>
    <row r="646" spans="6:8" x14ac:dyDescent="0.35">
      <c r="F646">
        <v>12.860000000000101</v>
      </c>
      <c r="G646">
        <f t="shared" si="20"/>
        <v>673.05345980233017</v>
      </c>
      <c r="H646">
        <f t="shared" si="21"/>
        <v>-7.3586344919961055</v>
      </c>
    </row>
    <row r="647" spans="6:8" x14ac:dyDescent="0.35">
      <c r="F647">
        <v>12.8800000000001</v>
      </c>
      <c r="G647">
        <f t="shared" si="20"/>
        <v>674.10019924214714</v>
      </c>
      <c r="H647">
        <f t="shared" si="21"/>
        <v>-8.6362730040839395</v>
      </c>
    </row>
    <row r="648" spans="6:8" x14ac:dyDescent="0.35">
      <c r="F648">
        <v>12.9000000000001</v>
      </c>
      <c r="G648">
        <f t="shared" si="20"/>
        <v>675.14693868196412</v>
      </c>
      <c r="H648">
        <f t="shared" si="21"/>
        <v>-9.9178355161720972</v>
      </c>
    </row>
    <row r="649" spans="6:8" x14ac:dyDescent="0.35">
      <c r="F649">
        <v>12.920000000000201</v>
      </c>
      <c r="G649">
        <f t="shared" si="20"/>
        <v>676.19367812178643</v>
      </c>
      <c r="H649">
        <f t="shared" si="21"/>
        <v>-11.203322028266605</v>
      </c>
    </row>
    <row r="650" spans="6:8" x14ac:dyDescent="0.35">
      <c r="F650">
        <v>12.9400000000002</v>
      </c>
      <c r="G650">
        <f t="shared" si="20"/>
        <v>677.24041756160341</v>
      </c>
      <c r="H650">
        <f t="shared" si="21"/>
        <v>-12.49273254035473</v>
      </c>
    </row>
    <row r="651" spans="6:8" x14ac:dyDescent="0.35">
      <c r="F651">
        <v>12.9600000000002</v>
      </c>
      <c r="G651">
        <f t="shared" si="20"/>
        <v>678.28715700142038</v>
      </c>
      <c r="H651">
        <f t="shared" si="21"/>
        <v>-13.786067052442725</v>
      </c>
    </row>
    <row r="652" spans="6:8" x14ac:dyDescent="0.35">
      <c r="F652">
        <v>12.9800000000001</v>
      </c>
      <c r="G652">
        <f t="shared" si="20"/>
        <v>679.33389644123213</v>
      </c>
      <c r="H652">
        <f t="shared" si="21"/>
        <v>-15.083325564524337</v>
      </c>
    </row>
    <row r="653" spans="6:8" x14ac:dyDescent="0.35">
      <c r="F653">
        <v>13.000000000000099</v>
      </c>
      <c r="G653">
        <f t="shared" si="20"/>
        <v>680.3806358810491</v>
      </c>
      <c r="H653">
        <f t="shared" si="21"/>
        <v>-16.384508076612526</v>
      </c>
    </row>
    <row r="654" spans="6:8" x14ac:dyDescent="0.35">
      <c r="F654">
        <v>13.0200000000002</v>
      </c>
      <c r="G654">
        <f t="shared" si="20"/>
        <v>681.42737532087131</v>
      </c>
      <c r="H654">
        <f t="shared" si="21"/>
        <v>-17.68961458870718</v>
      </c>
    </row>
    <row r="655" spans="6:8" x14ac:dyDescent="0.35">
      <c r="F655">
        <v>13.0400000000002</v>
      </c>
      <c r="G655">
        <f t="shared" si="20"/>
        <v>682.47411476068828</v>
      </c>
      <c r="H655">
        <f t="shared" si="21"/>
        <v>-18.998645100795223</v>
      </c>
    </row>
    <row r="656" spans="6:8" x14ac:dyDescent="0.35">
      <c r="F656">
        <v>13.060000000000199</v>
      </c>
      <c r="G656">
        <f t="shared" si="20"/>
        <v>683.52085420050525</v>
      </c>
      <c r="H656">
        <f t="shared" si="21"/>
        <v>-20.311599612883249</v>
      </c>
    </row>
    <row r="657" spans="6:8" x14ac:dyDescent="0.35">
      <c r="F657">
        <v>13.080000000000201</v>
      </c>
      <c r="G657">
        <f t="shared" si="20"/>
        <v>684.56759364032234</v>
      </c>
      <c r="H657">
        <f t="shared" si="21"/>
        <v>-21.628478124971487</v>
      </c>
    </row>
    <row r="658" spans="6:8" x14ac:dyDescent="0.35">
      <c r="F658">
        <v>13.1000000000002</v>
      </c>
      <c r="G658">
        <f t="shared" si="20"/>
        <v>685.61433308013932</v>
      </c>
      <c r="H658">
        <f t="shared" si="21"/>
        <v>-22.949280637059367</v>
      </c>
    </row>
    <row r="659" spans="6:8" x14ac:dyDescent="0.35">
      <c r="F659">
        <v>13.1200000000002</v>
      </c>
      <c r="G659">
        <f t="shared" si="20"/>
        <v>686.66107251995629</v>
      </c>
      <c r="H659">
        <f t="shared" si="21"/>
        <v>-24.274007149147572</v>
      </c>
    </row>
    <row r="660" spans="6:8" x14ac:dyDescent="0.35">
      <c r="F660">
        <v>13.1400000000002</v>
      </c>
      <c r="G660">
        <f t="shared" si="20"/>
        <v>687.70781195977327</v>
      </c>
      <c r="H660">
        <f t="shared" si="21"/>
        <v>-25.602657661235533</v>
      </c>
    </row>
    <row r="661" spans="6:8" x14ac:dyDescent="0.35">
      <c r="F661">
        <v>13.160000000000201</v>
      </c>
      <c r="G661">
        <f t="shared" si="20"/>
        <v>688.75455139959024</v>
      </c>
      <c r="H661">
        <f t="shared" si="21"/>
        <v>-26.935232173323705</v>
      </c>
    </row>
    <row r="662" spans="6:8" x14ac:dyDescent="0.35">
      <c r="F662">
        <v>13.1800000000002</v>
      </c>
      <c r="G662">
        <f t="shared" si="20"/>
        <v>689.80129083940722</v>
      </c>
      <c r="H662">
        <f t="shared" si="21"/>
        <v>-28.27173068541186</v>
      </c>
    </row>
    <row r="663" spans="6:8" x14ac:dyDescent="0.35">
      <c r="F663">
        <v>13.2000000000002</v>
      </c>
      <c r="G663">
        <f t="shared" si="20"/>
        <v>690.84803027922419</v>
      </c>
      <c r="H663">
        <f t="shared" si="21"/>
        <v>-29.612153197499886</v>
      </c>
    </row>
    <row r="664" spans="6:8" x14ac:dyDescent="0.35">
      <c r="F664">
        <v>13.2200000000002</v>
      </c>
      <c r="G664">
        <f t="shared" si="20"/>
        <v>691.89476971904116</v>
      </c>
      <c r="H664">
        <f t="shared" si="21"/>
        <v>-30.956499709588009</v>
      </c>
    </row>
    <row r="665" spans="6:8" x14ac:dyDescent="0.35">
      <c r="F665">
        <v>13.240000000000199</v>
      </c>
      <c r="G665">
        <f t="shared" si="20"/>
        <v>692.94150915885814</v>
      </c>
      <c r="H665">
        <f t="shared" si="21"/>
        <v>-32.304770221676002</v>
      </c>
    </row>
    <row r="666" spans="6:8" x14ac:dyDescent="0.35">
      <c r="F666">
        <v>13.260000000000201</v>
      </c>
      <c r="G666">
        <f t="shared" si="20"/>
        <v>693.98824859867523</v>
      </c>
      <c r="H666">
        <f t="shared" si="21"/>
        <v>-33.656964733764092</v>
      </c>
    </row>
    <row r="667" spans="6:8" x14ac:dyDescent="0.35">
      <c r="F667">
        <v>13.2800000000002</v>
      </c>
      <c r="G667">
        <f t="shared" si="20"/>
        <v>695.0349880384922</v>
      </c>
      <c r="H667">
        <f t="shared" si="21"/>
        <v>-35.013083245852165</v>
      </c>
    </row>
    <row r="668" spans="6:8" x14ac:dyDescent="0.35">
      <c r="F668">
        <v>13.3000000000002</v>
      </c>
      <c r="G668">
        <f t="shared" si="20"/>
        <v>696.08172747830918</v>
      </c>
      <c r="H668">
        <f t="shared" si="21"/>
        <v>-36.373125757940223</v>
      </c>
    </row>
    <row r="669" spans="6:8" x14ac:dyDescent="0.35">
      <c r="F669">
        <v>13.320000000000199</v>
      </c>
      <c r="G669">
        <f t="shared" si="20"/>
        <v>697.12846691812615</v>
      </c>
      <c r="H669">
        <f t="shared" si="21"/>
        <v>-37.737092270028377</v>
      </c>
    </row>
    <row r="670" spans="6:8" x14ac:dyDescent="0.35">
      <c r="F670">
        <v>13.340000000000201</v>
      </c>
      <c r="G670">
        <f t="shared" si="20"/>
        <v>698.17520635794324</v>
      </c>
      <c r="H670">
        <f t="shared" si="21"/>
        <v>-39.104982782116515</v>
      </c>
    </row>
    <row r="671" spans="6:8" x14ac:dyDescent="0.35">
      <c r="F671">
        <v>13.3600000000002</v>
      </c>
      <c r="G671">
        <f t="shared" si="20"/>
        <v>699.22194579776021</v>
      </c>
      <c r="H671">
        <f t="shared" si="21"/>
        <v>-40.476797294204637</v>
      </c>
    </row>
    <row r="672" spans="6:8" x14ac:dyDescent="0.35">
      <c r="F672">
        <v>13.3800000000002</v>
      </c>
      <c r="G672">
        <f t="shared" si="20"/>
        <v>700.26868523757707</v>
      </c>
      <c r="H672">
        <f t="shared" si="21"/>
        <v>-41.852535806292742</v>
      </c>
    </row>
    <row r="673" spans="6:8" x14ac:dyDescent="0.35">
      <c r="F673">
        <v>13.400000000000199</v>
      </c>
      <c r="G673">
        <f t="shared" si="20"/>
        <v>701.31542467739405</v>
      </c>
      <c r="H673">
        <f t="shared" si="21"/>
        <v>-43.232198318380718</v>
      </c>
    </row>
    <row r="674" spans="6:8" x14ac:dyDescent="0.35">
      <c r="F674">
        <v>13.420000000000201</v>
      </c>
      <c r="G674">
        <f t="shared" si="20"/>
        <v>702.36216411721114</v>
      </c>
      <c r="H674">
        <f t="shared" si="21"/>
        <v>-44.615784830468904</v>
      </c>
    </row>
    <row r="675" spans="6:8" x14ac:dyDescent="0.35">
      <c r="F675">
        <v>13.4400000000002</v>
      </c>
      <c r="G675">
        <f t="shared" si="20"/>
        <v>703.40890355702811</v>
      </c>
      <c r="H675">
        <f t="shared" si="21"/>
        <v>-46.00329534255696</v>
      </c>
    </row>
    <row r="676" spans="6:8" x14ac:dyDescent="0.35">
      <c r="F676">
        <v>13.4600000000002</v>
      </c>
      <c r="G676">
        <f t="shared" si="20"/>
        <v>704.45564299684509</v>
      </c>
      <c r="H676">
        <f t="shared" si="21"/>
        <v>-47.394729854645114</v>
      </c>
    </row>
    <row r="677" spans="6:8" x14ac:dyDescent="0.35">
      <c r="F677">
        <v>13.480000000000199</v>
      </c>
      <c r="G677">
        <f t="shared" si="20"/>
        <v>705.50238243666206</v>
      </c>
      <c r="H677">
        <f t="shared" si="21"/>
        <v>-48.790088366733023</v>
      </c>
    </row>
    <row r="678" spans="6:8" x14ac:dyDescent="0.35">
      <c r="F678">
        <v>13.500000000000201</v>
      </c>
      <c r="G678">
        <f t="shared" si="20"/>
        <v>706.54912187647915</v>
      </c>
      <c r="H678">
        <f t="shared" si="21"/>
        <v>-50.189370878821371</v>
      </c>
    </row>
    <row r="679" spans="6:8" x14ac:dyDescent="0.35">
      <c r="F679">
        <v>13.5200000000002</v>
      </c>
      <c r="G679">
        <f t="shared" si="20"/>
        <v>707.59586131629612</v>
      </c>
      <c r="H679">
        <f t="shared" si="21"/>
        <v>-51.592577390909362</v>
      </c>
    </row>
    <row r="680" spans="6:8" x14ac:dyDescent="0.35">
      <c r="F680">
        <v>13.5400000000002</v>
      </c>
      <c r="G680">
        <f t="shared" si="20"/>
        <v>708.6426007561131</v>
      </c>
      <c r="H680">
        <f t="shared" si="21"/>
        <v>-52.999707902997336</v>
      </c>
    </row>
    <row r="681" spans="6:8" x14ac:dyDescent="0.35">
      <c r="F681">
        <v>13.560000000000199</v>
      </c>
      <c r="G681">
        <f t="shared" si="20"/>
        <v>709.68934019593007</v>
      </c>
      <c r="H681">
        <f t="shared" si="21"/>
        <v>-54.410762415085408</v>
      </c>
    </row>
    <row r="682" spans="6:8" x14ac:dyDescent="0.35">
      <c r="F682">
        <v>13.580000000000201</v>
      </c>
      <c r="G682">
        <f t="shared" si="20"/>
        <v>710.73607963574705</v>
      </c>
      <c r="H682">
        <f t="shared" si="21"/>
        <v>-55.82574092717369</v>
      </c>
    </row>
    <row r="683" spans="6:8" x14ac:dyDescent="0.35">
      <c r="F683">
        <v>13.6000000000002</v>
      </c>
      <c r="G683">
        <f t="shared" si="20"/>
        <v>711.78281907556402</v>
      </c>
      <c r="H683">
        <f t="shared" si="21"/>
        <v>-57.244643439261615</v>
      </c>
    </row>
    <row r="684" spans="6:8" x14ac:dyDescent="0.35">
      <c r="F684">
        <v>13.6200000000002</v>
      </c>
      <c r="G684">
        <f t="shared" si="20"/>
        <v>712.829558515381</v>
      </c>
      <c r="H684">
        <f t="shared" si="21"/>
        <v>-58.667469951349752</v>
      </c>
    </row>
    <row r="685" spans="6:8" x14ac:dyDescent="0.35">
      <c r="F685">
        <v>13.6400000000002</v>
      </c>
      <c r="G685">
        <f t="shared" si="20"/>
        <v>713.87629795519797</v>
      </c>
      <c r="H685">
        <f t="shared" si="21"/>
        <v>-60.094220463437871</v>
      </c>
    </row>
    <row r="686" spans="6:8" x14ac:dyDescent="0.35">
      <c r="F686">
        <v>13.660000000000201</v>
      </c>
      <c r="G686">
        <f t="shared" si="20"/>
        <v>714.92303739501506</v>
      </c>
      <c r="H686">
        <f t="shared" si="21"/>
        <v>-61.524894975525974</v>
      </c>
    </row>
    <row r="687" spans="6:8" x14ac:dyDescent="0.35">
      <c r="F687">
        <v>13.6800000000002</v>
      </c>
      <c r="G687">
        <f t="shared" si="20"/>
        <v>715.96977683483203</v>
      </c>
      <c r="H687">
        <f t="shared" si="21"/>
        <v>-62.959493487614175</v>
      </c>
    </row>
    <row r="688" spans="6:8" x14ac:dyDescent="0.35">
      <c r="F688">
        <v>13.7000000000002</v>
      </c>
      <c r="G688">
        <f t="shared" si="20"/>
        <v>717.01651627464901</v>
      </c>
      <c r="H688">
        <f t="shared" si="21"/>
        <v>-64.398015999702125</v>
      </c>
    </row>
    <row r="689" spans="6:8" x14ac:dyDescent="0.35">
      <c r="F689">
        <v>13.7200000000002</v>
      </c>
      <c r="G689">
        <f t="shared" si="20"/>
        <v>718.06325571446598</v>
      </c>
      <c r="H689">
        <f t="shared" si="21"/>
        <v>-65.840462511790065</v>
      </c>
    </row>
    <row r="690" spans="6:8" x14ac:dyDescent="0.35">
      <c r="F690">
        <v>13.740000000000199</v>
      </c>
      <c r="G690">
        <f t="shared" si="20"/>
        <v>719.10999515428296</v>
      </c>
      <c r="H690">
        <f t="shared" si="21"/>
        <v>-67.28683302387833</v>
      </c>
    </row>
    <row r="691" spans="6:8" x14ac:dyDescent="0.35">
      <c r="F691">
        <v>13.760000000000201</v>
      </c>
      <c r="G691">
        <f t="shared" si="20"/>
        <v>720.15673459409993</v>
      </c>
      <c r="H691">
        <f t="shared" si="21"/>
        <v>-68.737127535966465</v>
      </c>
    </row>
    <row r="692" spans="6:8" x14ac:dyDescent="0.35">
      <c r="F692">
        <v>13.7800000000002</v>
      </c>
      <c r="G692">
        <f t="shared" si="20"/>
        <v>721.2034740339169</v>
      </c>
      <c r="H692">
        <f t="shared" si="21"/>
        <v>-70.19134604805447</v>
      </c>
    </row>
    <row r="693" spans="6:8" x14ac:dyDescent="0.35">
      <c r="F693">
        <v>13.8000000000002</v>
      </c>
      <c r="G693">
        <f t="shared" si="20"/>
        <v>722.25021347373388</v>
      </c>
      <c r="H693">
        <f t="shared" si="21"/>
        <v>-71.649488560142572</v>
      </c>
    </row>
    <row r="694" spans="6:8" x14ac:dyDescent="0.35">
      <c r="F694">
        <v>13.820000000000199</v>
      </c>
      <c r="G694">
        <f t="shared" si="20"/>
        <v>723.29695291355085</v>
      </c>
      <c r="H694">
        <f t="shared" si="21"/>
        <v>-73.111555072230658</v>
      </c>
    </row>
    <row r="695" spans="6:8" x14ac:dyDescent="0.35">
      <c r="F695">
        <v>13.840000000000201</v>
      </c>
      <c r="G695">
        <f t="shared" si="20"/>
        <v>724.34369235336794</v>
      </c>
      <c r="H695">
        <f t="shared" si="21"/>
        <v>-74.577545584318727</v>
      </c>
    </row>
    <row r="696" spans="6:8" x14ac:dyDescent="0.35">
      <c r="F696">
        <v>13.8600000000002</v>
      </c>
      <c r="G696">
        <f t="shared" si="20"/>
        <v>725.39043179318492</v>
      </c>
      <c r="H696">
        <f t="shared" si="21"/>
        <v>-76.04746009640678</v>
      </c>
    </row>
    <row r="697" spans="6:8" x14ac:dyDescent="0.35">
      <c r="F697">
        <v>13.8800000000002</v>
      </c>
      <c r="G697">
        <f t="shared" si="20"/>
        <v>726.43717123300189</v>
      </c>
      <c r="H697">
        <f t="shared" si="21"/>
        <v>-77.521298608494931</v>
      </c>
    </row>
    <row r="698" spans="6:8" x14ac:dyDescent="0.35">
      <c r="F698">
        <v>13.900000000000199</v>
      </c>
      <c r="G698">
        <f t="shared" si="20"/>
        <v>727.48391067281887</v>
      </c>
      <c r="H698">
        <f t="shared" si="21"/>
        <v>-78.999061120583065</v>
      </c>
    </row>
    <row r="699" spans="6:8" x14ac:dyDescent="0.35">
      <c r="F699">
        <v>13.920000000000201</v>
      </c>
      <c r="G699">
        <f t="shared" si="20"/>
        <v>728.53065011263595</v>
      </c>
      <c r="H699">
        <f t="shared" si="21"/>
        <v>-80.480747632671068</v>
      </c>
    </row>
    <row r="700" spans="6:8" x14ac:dyDescent="0.35">
      <c r="F700">
        <v>13.9400000000002</v>
      </c>
      <c r="G700">
        <f t="shared" si="20"/>
        <v>729.57738955245293</v>
      </c>
      <c r="H700">
        <f t="shared" si="21"/>
        <v>-81.96635814475917</v>
      </c>
    </row>
    <row r="701" spans="6:8" x14ac:dyDescent="0.35">
      <c r="F701">
        <v>13.9600000000002</v>
      </c>
      <c r="G701">
        <f t="shared" si="20"/>
        <v>730.6241289922699</v>
      </c>
      <c r="H701">
        <f t="shared" si="21"/>
        <v>-83.455892656847368</v>
      </c>
    </row>
    <row r="702" spans="6:8" x14ac:dyDescent="0.35">
      <c r="F702">
        <v>13.980000000000199</v>
      </c>
      <c r="G702">
        <f t="shared" si="20"/>
        <v>731.67086843208688</v>
      </c>
      <c r="H702">
        <f t="shared" si="21"/>
        <v>-84.949351168935323</v>
      </c>
    </row>
    <row r="703" spans="6:8" x14ac:dyDescent="0.35">
      <c r="F703">
        <v>14.000000000000201</v>
      </c>
      <c r="G703">
        <f t="shared" si="20"/>
        <v>732.71760787190385</v>
      </c>
      <c r="H703">
        <f t="shared" si="21"/>
        <v>-86.446733681023488</v>
      </c>
    </row>
    <row r="704" spans="6:8" x14ac:dyDescent="0.35">
      <c r="F704">
        <v>14.0200000000002</v>
      </c>
      <c r="G704">
        <f t="shared" si="20"/>
        <v>733.76434731172083</v>
      </c>
      <c r="H704">
        <f t="shared" si="21"/>
        <v>-87.948040193111524</v>
      </c>
    </row>
    <row r="705" spans="6:8" x14ac:dyDescent="0.35">
      <c r="F705">
        <v>14.0400000000002</v>
      </c>
      <c r="G705">
        <f t="shared" si="20"/>
        <v>734.8110867515378</v>
      </c>
      <c r="H705">
        <f t="shared" si="21"/>
        <v>-89.453270705199543</v>
      </c>
    </row>
    <row r="706" spans="6:8" x14ac:dyDescent="0.35">
      <c r="F706">
        <v>14.060000000000199</v>
      </c>
      <c r="G706">
        <f t="shared" si="20"/>
        <v>735.85782619135477</v>
      </c>
      <c r="H706">
        <f t="shared" si="21"/>
        <v>-90.962425217287773</v>
      </c>
    </row>
    <row r="707" spans="6:8" x14ac:dyDescent="0.35">
      <c r="F707">
        <v>14.080000000000201</v>
      </c>
      <c r="G707">
        <f t="shared" ref="G707:G770" si="22">$B$15*F707</f>
        <v>736.90456563117186</v>
      </c>
      <c r="H707">
        <f t="shared" ref="H707:H770" si="23">$B$13*F707-($B$8*F707^2)/2+$B$12</f>
        <v>-92.475503729375873</v>
      </c>
    </row>
    <row r="708" spans="6:8" x14ac:dyDescent="0.35">
      <c r="F708">
        <v>14.1000000000002</v>
      </c>
      <c r="G708">
        <f t="shared" si="22"/>
        <v>737.95130507098884</v>
      </c>
      <c r="H708">
        <f t="shared" si="23"/>
        <v>-93.992506241464071</v>
      </c>
    </row>
    <row r="709" spans="6:8" x14ac:dyDescent="0.35">
      <c r="F709">
        <v>14.1200000000002</v>
      </c>
      <c r="G709">
        <f t="shared" si="22"/>
        <v>738.99804451080581</v>
      </c>
      <c r="H709">
        <f t="shared" si="23"/>
        <v>-95.513432753552024</v>
      </c>
    </row>
    <row r="710" spans="6:8" x14ac:dyDescent="0.35">
      <c r="F710">
        <v>14.1400000000002</v>
      </c>
      <c r="G710">
        <f t="shared" si="22"/>
        <v>740.04478395062279</v>
      </c>
      <c r="H710">
        <f t="shared" si="23"/>
        <v>-97.038283265639961</v>
      </c>
    </row>
    <row r="711" spans="6:8" x14ac:dyDescent="0.35">
      <c r="F711">
        <v>14.160000000000201</v>
      </c>
      <c r="G711">
        <f t="shared" si="22"/>
        <v>741.09152339043976</v>
      </c>
      <c r="H711">
        <f t="shared" si="23"/>
        <v>-98.567057777728223</v>
      </c>
    </row>
    <row r="712" spans="6:8" x14ac:dyDescent="0.35">
      <c r="F712">
        <v>14.1800000000002</v>
      </c>
      <c r="G712">
        <f t="shared" si="22"/>
        <v>742.13826283025674</v>
      </c>
      <c r="H712">
        <f t="shared" si="23"/>
        <v>-100.09975628981624</v>
      </c>
    </row>
    <row r="713" spans="6:8" x14ac:dyDescent="0.35">
      <c r="F713">
        <v>14.2000000000002</v>
      </c>
      <c r="G713">
        <f t="shared" si="22"/>
        <v>743.18500227007371</v>
      </c>
      <c r="H713">
        <f t="shared" si="23"/>
        <v>-101.63637880190436</v>
      </c>
    </row>
    <row r="714" spans="6:8" x14ac:dyDescent="0.35">
      <c r="F714">
        <v>14.2200000000002</v>
      </c>
      <c r="G714">
        <f t="shared" si="22"/>
        <v>744.23174170989068</v>
      </c>
      <c r="H714">
        <f t="shared" si="23"/>
        <v>-103.17692531399246</v>
      </c>
    </row>
    <row r="715" spans="6:8" x14ac:dyDescent="0.35">
      <c r="F715">
        <v>14.240000000000199</v>
      </c>
      <c r="G715">
        <f t="shared" si="22"/>
        <v>745.27848114970766</v>
      </c>
      <c r="H715">
        <f t="shared" si="23"/>
        <v>-104.72139582608042</v>
      </c>
    </row>
    <row r="716" spans="6:8" x14ac:dyDescent="0.35">
      <c r="F716">
        <v>14.260000000000201</v>
      </c>
      <c r="G716">
        <f t="shared" si="22"/>
        <v>746.32522058952475</v>
      </c>
      <c r="H716">
        <f t="shared" si="23"/>
        <v>-106.26979033816872</v>
      </c>
    </row>
    <row r="717" spans="6:8" x14ac:dyDescent="0.35">
      <c r="F717">
        <v>14.2800000000002</v>
      </c>
      <c r="G717">
        <f t="shared" si="22"/>
        <v>747.37196002934172</v>
      </c>
      <c r="H717">
        <f t="shared" si="23"/>
        <v>-107.82210885025665</v>
      </c>
    </row>
    <row r="718" spans="6:8" x14ac:dyDescent="0.35">
      <c r="F718">
        <v>14.3000000000002</v>
      </c>
      <c r="G718">
        <f t="shared" si="22"/>
        <v>748.4186994691587</v>
      </c>
      <c r="H718">
        <f t="shared" si="23"/>
        <v>-109.3783513623448</v>
      </c>
    </row>
    <row r="719" spans="6:8" x14ac:dyDescent="0.35">
      <c r="F719">
        <v>14.320000000000199</v>
      </c>
      <c r="G719">
        <f t="shared" si="22"/>
        <v>749.46543890897567</v>
      </c>
      <c r="H719">
        <f t="shared" si="23"/>
        <v>-110.93851787443282</v>
      </c>
    </row>
    <row r="720" spans="6:8" x14ac:dyDescent="0.35">
      <c r="F720">
        <v>14.340000000000201</v>
      </c>
      <c r="G720">
        <f t="shared" si="22"/>
        <v>750.51217834879276</v>
      </c>
      <c r="H720">
        <f t="shared" si="23"/>
        <v>-112.50260838652105</v>
      </c>
    </row>
    <row r="721" spans="6:8" x14ac:dyDescent="0.35">
      <c r="F721">
        <v>14.3600000000002</v>
      </c>
      <c r="G721">
        <f t="shared" si="22"/>
        <v>751.55891778860973</v>
      </c>
      <c r="H721">
        <f t="shared" si="23"/>
        <v>-114.07062289860903</v>
      </c>
    </row>
    <row r="722" spans="6:8" x14ac:dyDescent="0.35">
      <c r="F722">
        <v>14.3800000000002</v>
      </c>
      <c r="G722">
        <f t="shared" si="22"/>
        <v>752.60565722842671</v>
      </c>
      <c r="H722">
        <f t="shared" si="23"/>
        <v>-115.64256141069723</v>
      </c>
    </row>
    <row r="723" spans="6:8" x14ac:dyDescent="0.35">
      <c r="F723">
        <v>14.400000000000199</v>
      </c>
      <c r="G723">
        <f t="shared" si="22"/>
        <v>753.65239666824357</v>
      </c>
      <c r="H723">
        <f t="shared" si="23"/>
        <v>-117.21842392278518</v>
      </c>
    </row>
    <row r="724" spans="6:8" x14ac:dyDescent="0.35">
      <c r="F724">
        <v>14.420000000000201</v>
      </c>
      <c r="G724">
        <f t="shared" si="22"/>
        <v>754.69913610806066</v>
      </c>
      <c r="H724">
        <f t="shared" si="23"/>
        <v>-118.79821043487345</v>
      </c>
    </row>
    <row r="725" spans="6:8" x14ac:dyDescent="0.35">
      <c r="F725">
        <v>14.4400000000002</v>
      </c>
      <c r="G725">
        <f t="shared" si="22"/>
        <v>755.74587554787763</v>
      </c>
      <c r="H725">
        <f t="shared" si="23"/>
        <v>-120.38192094696149</v>
      </c>
    </row>
    <row r="726" spans="6:8" x14ac:dyDescent="0.35">
      <c r="F726">
        <v>14.4600000000002</v>
      </c>
      <c r="G726">
        <f t="shared" si="22"/>
        <v>756.79261498769461</v>
      </c>
      <c r="H726">
        <f t="shared" si="23"/>
        <v>-121.9695554590495</v>
      </c>
    </row>
    <row r="727" spans="6:8" x14ac:dyDescent="0.35">
      <c r="F727">
        <v>14.480000000000199</v>
      </c>
      <c r="G727">
        <f t="shared" si="22"/>
        <v>757.83935442751158</v>
      </c>
      <c r="H727">
        <f t="shared" si="23"/>
        <v>-123.5611139711375</v>
      </c>
    </row>
    <row r="728" spans="6:8" x14ac:dyDescent="0.35">
      <c r="F728">
        <v>14.500000000000201</v>
      </c>
      <c r="G728">
        <f t="shared" si="22"/>
        <v>758.88609386732867</v>
      </c>
      <c r="H728">
        <f t="shared" si="23"/>
        <v>-125.15659648322571</v>
      </c>
    </row>
    <row r="729" spans="6:8" x14ac:dyDescent="0.35">
      <c r="F729">
        <v>14.5200000000002</v>
      </c>
      <c r="G729">
        <f t="shared" si="22"/>
        <v>759.93283330714564</v>
      </c>
      <c r="H729">
        <f t="shared" si="23"/>
        <v>-126.75600299531391</v>
      </c>
    </row>
    <row r="730" spans="6:8" x14ac:dyDescent="0.35">
      <c r="F730">
        <v>14.5400000000002</v>
      </c>
      <c r="G730">
        <f t="shared" si="22"/>
        <v>760.97957274696262</v>
      </c>
      <c r="H730">
        <f t="shared" si="23"/>
        <v>-128.35933350740197</v>
      </c>
    </row>
    <row r="731" spans="6:8" x14ac:dyDescent="0.35">
      <c r="F731">
        <v>14.560000000000199</v>
      </c>
      <c r="G731">
        <f t="shared" si="22"/>
        <v>762.02631218677959</v>
      </c>
      <c r="H731">
        <f t="shared" si="23"/>
        <v>-129.9665880194899</v>
      </c>
    </row>
    <row r="732" spans="6:8" x14ac:dyDescent="0.35">
      <c r="F732">
        <v>14.580000000000201</v>
      </c>
      <c r="G732">
        <f t="shared" si="22"/>
        <v>763.07305162659657</v>
      </c>
      <c r="H732">
        <f t="shared" si="23"/>
        <v>-131.57776653157816</v>
      </c>
    </row>
    <row r="733" spans="6:8" x14ac:dyDescent="0.35">
      <c r="F733">
        <v>14.6000000000002</v>
      </c>
      <c r="G733">
        <f t="shared" si="22"/>
        <v>764.11979106641354</v>
      </c>
      <c r="H733">
        <f t="shared" si="23"/>
        <v>-133.19286904366606</v>
      </c>
    </row>
    <row r="734" spans="6:8" x14ac:dyDescent="0.35">
      <c r="F734">
        <v>14.6200000000002</v>
      </c>
      <c r="G734">
        <f t="shared" si="22"/>
        <v>765.16653050623052</v>
      </c>
      <c r="H734">
        <f t="shared" si="23"/>
        <v>-134.81189555575429</v>
      </c>
    </row>
    <row r="735" spans="6:8" x14ac:dyDescent="0.35">
      <c r="F735">
        <v>14.6400000000002</v>
      </c>
      <c r="G735">
        <f t="shared" si="22"/>
        <v>766.21326994604749</v>
      </c>
      <c r="H735">
        <f t="shared" si="23"/>
        <v>-136.43484606784239</v>
      </c>
    </row>
    <row r="736" spans="6:8" x14ac:dyDescent="0.35">
      <c r="F736">
        <v>14.660000000000201</v>
      </c>
      <c r="G736">
        <f t="shared" si="22"/>
        <v>767.26000938586458</v>
      </c>
      <c r="H736">
        <f t="shared" si="23"/>
        <v>-138.06172057993047</v>
      </c>
    </row>
    <row r="737" spans="6:8" x14ac:dyDescent="0.35">
      <c r="F737">
        <v>14.6800000000002</v>
      </c>
      <c r="G737">
        <f t="shared" si="22"/>
        <v>768.30674882568155</v>
      </c>
      <c r="H737">
        <f t="shared" si="23"/>
        <v>-139.69251909201853</v>
      </c>
    </row>
    <row r="738" spans="6:8" x14ac:dyDescent="0.35">
      <c r="F738">
        <v>14.7000000000002</v>
      </c>
      <c r="G738">
        <f t="shared" si="22"/>
        <v>769.35348826549853</v>
      </c>
      <c r="H738">
        <f t="shared" si="23"/>
        <v>-141.32724160410669</v>
      </c>
    </row>
    <row r="739" spans="6:8" x14ac:dyDescent="0.35">
      <c r="F739">
        <v>14.7200000000002</v>
      </c>
      <c r="G739">
        <f t="shared" si="22"/>
        <v>770.4002277053155</v>
      </c>
      <c r="H739">
        <f t="shared" si="23"/>
        <v>-142.96588811619461</v>
      </c>
    </row>
    <row r="740" spans="6:8" x14ac:dyDescent="0.35">
      <c r="F740">
        <v>14.740000000000199</v>
      </c>
      <c r="G740">
        <f t="shared" si="22"/>
        <v>771.44696714513248</v>
      </c>
      <c r="H740">
        <f t="shared" si="23"/>
        <v>-144.60845862828273</v>
      </c>
    </row>
    <row r="741" spans="6:8" x14ac:dyDescent="0.35">
      <c r="F741">
        <v>14.760000000000201</v>
      </c>
      <c r="G741">
        <f t="shared" si="22"/>
        <v>772.49370658494956</v>
      </c>
      <c r="H741">
        <f t="shared" si="23"/>
        <v>-146.25495314037107</v>
      </c>
    </row>
    <row r="742" spans="6:8" x14ac:dyDescent="0.35">
      <c r="F742">
        <v>14.7800000000002</v>
      </c>
      <c r="G742">
        <f t="shared" si="22"/>
        <v>773.54044602476642</v>
      </c>
      <c r="H742">
        <f t="shared" si="23"/>
        <v>-147.90537165245894</v>
      </c>
    </row>
    <row r="743" spans="6:8" x14ac:dyDescent="0.35">
      <c r="F743">
        <v>14.8000000000002</v>
      </c>
      <c r="G743">
        <f t="shared" si="22"/>
        <v>774.5871854645834</v>
      </c>
      <c r="H743">
        <f t="shared" si="23"/>
        <v>-149.5597141645469</v>
      </c>
    </row>
    <row r="744" spans="6:8" x14ac:dyDescent="0.35">
      <c r="F744">
        <v>14.820000000000199</v>
      </c>
      <c r="G744">
        <f t="shared" si="22"/>
        <v>775.63392490440037</v>
      </c>
      <c r="H744">
        <f t="shared" si="23"/>
        <v>-151.21798067663519</v>
      </c>
    </row>
    <row r="745" spans="6:8" x14ac:dyDescent="0.35">
      <c r="F745">
        <v>14.840000000000201</v>
      </c>
      <c r="G745">
        <f t="shared" si="22"/>
        <v>776.68066434421746</v>
      </c>
      <c r="H745">
        <f t="shared" si="23"/>
        <v>-152.88017118872324</v>
      </c>
    </row>
    <row r="746" spans="6:8" x14ac:dyDescent="0.35">
      <c r="F746">
        <v>14.8600000000002</v>
      </c>
      <c r="G746">
        <f t="shared" si="22"/>
        <v>777.72740378403444</v>
      </c>
      <c r="H746">
        <f t="shared" si="23"/>
        <v>-154.5462857008115</v>
      </c>
    </row>
    <row r="747" spans="6:8" x14ac:dyDescent="0.35">
      <c r="F747">
        <v>14.8800000000002</v>
      </c>
      <c r="G747">
        <f t="shared" si="22"/>
        <v>778.77414322385141</v>
      </c>
      <c r="H747">
        <f t="shared" si="23"/>
        <v>-156.21632421289928</v>
      </c>
    </row>
    <row r="748" spans="6:8" x14ac:dyDescent="0.35">
      <c r="F748">
        <v>14.900000000000199</v>
      </c>
      <c r="G748">
        <f t="shared" si="22"/>
        <v>779.82088266366839</v>
      </c>
      <c r="H748">
        <f t="shared" si="23"/>
        <v>-157.89028672498728</v>
      </c>
    </row>
    <row r="749" spans="6:8" x14ac:dyDescent="0.35">
      <c r="F749">
        <v>14.920000000000201</v>
      </c>
      <c r="G749">
        <f t="shared" si="22"/>
        <v>780.86762210348547</v>
      </c>
      <c r="H749">
        <f t="shared" si="23"/>
        <v>-159.56817323707548</v>
      </c>
    </row>
    <row r="750" spans="6:8" x14ac:dyDescent="0.35">
      <c r="F750">
        <v>14.9400000000002</v>
      </c>
      <c r="G750">
        <f t="shared" si="22"/>
        <v>781.91436154330245</v>
      </c>
      <c r="H750">
        <f t="shared" si="23"/>
        <v>-161.24998374916368</v>
      </c>
    </row>
    <row r="751" spans="6:8" x14ac:dyDescent="0.35">
      <c r="F751">
        <v>14.9600000000002</v>
      </c>
      <c r="G751">
        <f t="shared" si="22"/>
        <v>782.96110098311942</v>
      </c>
      <c r="H751">
        <f t="shared" si="23"/>
        <v>-162.93571826125174</v>
      </c>
    </row>
    <row r="752" spans="6:8" x14ac:dyDescent="0.35">
      <c r="F752">
        <v>14.980000000000199</v>
      </c>
      <c r="G752">
        <f t="shared" si="22"/>
        <v>784.0078404229364</v>
      </c>
      <c r="H752">
        <f t="shared" si="23"/>
        <v>-164.62537677333989</v>
      </c>
    </row>
    <row r="753" spans="6:8" x14ac:dyDescent="0.35">
      <c r="F753">
        <v>15.000000000000201</v>
      </c>
      <c r="G753">
        <f t="shared" si="22"/>
        <v>785.05457986275337</v>
      </c>
      <c r="H753">
        <f t="shared" si="23"/>
        <v>-166.31895928542804</v>
      </c>
    </row>
    <row r="754" spans="6:8" x14ac:dyDescent="0.35">
      <c r="F754">
        <v>15.0200000000002</v>
      </c>
      <c r="G754">
        <f t="shared" si="22"/>
        <v>786.10131930257035</v>
      </c>
      <c r="H754">
        <f t="shared" si="23"/>
        <v>-168.01646579751605</v>
      </c>
    </row>
    <row r="755" spans="6:8" x14ac:dyDescent="0.35">
      <c r="F755">
        <v>15.0400000000002</v>
      </c>
      <c r="G755">
        <f t="shared" si="22"/>
        <v>787.14805874238732</v>
      </c>
      <c r="H755">
        <f t="shared" si="23"/>
        <v>-169.71789630960404</v>
      </c>
    </row>
    <row r="756" spans="6:8" x14ac:dyDescent="0.35">
      <c r="F756">
        <v>15.060000000000199</v>
      </c>
      <c r="G756">
        <f t="shared" si="22"/>
        <v>788.19479818220429</v>
      </c>
      <c r="H756">
        <f t="shared" si="23"/>
        <v>-171.42325082169214</v>
      </c>
    </row>
    <row r="757" spans="6:8" x14ac:dyDescent="0.35">
      <c r="F757">
        <v>15.080000000000201</v>
      </c>
      <c r="G757">
        <f t="shared" si="22"/>
        <v>789.24153762202138</v>
      </c>
      <c r="H757">
        <f t="shared" si="23"/>
        <v>-173.13252933378044</v>
      </c>
    </row>
    <row r="758" spans="6:8" x14ac:dyDescent="0.35">
      <c r="F758">
        <v>15.1000000000002</v>
      </c>
      <c r="G758">
        <f t="shared" si="22"/>
        <v>790.28827706183836</v>
      </c>
      <c r="H758">
        <f t="shared" si="23"/>
        <v>-174.8457318458685</v>
      </c>
    </row>
    <row r="759" spans="6:8" x14ac:dyDescent="0.35">
      <c r="F759">
        <v>15.1200000000002</v>
      </c>
      <c r="G759">
        <f t="shared" si="22"/>
        <v>791.33501650165533</v>
      </c>
      <c r="H759">
        <f t="shared" si="23"/>
        <v>-176.56285835795643</v>
      </c>
    </row>
    <row r="760" spans="6:8" x14ac:dyDescent="0.35">
      <c r="F760">
        <v>15.1400000000002</v>
      </c>
      <c r="G760">
        <f t="shared" si="22"/>
        <v>792.38175594147231</v>
      </c>
      <c r="H760">
        <f t="shared" si="23"/>
        <v>-178.28390887004468</v>
      </c>
    </row>
    <row r="761" spans="6:8" x14ac:dyDescent="0.35">
      <c r="F761">
        <v>15.160000000000201</v>
      </c>
      <c r="G761">
        <f t="shared" si="22"/>
        <v>793.42849538128939</v>
      </c>
      <c r="H761">
        <f t="shared" si="23"/>
        <v>-180.00888338213292</v>
      </c>
    </row>
    <row r="762" spans="6:8" x14ac:dyDescent="0.35">
      <c r="F762">
        <v>15.1800000000002</v>
      </c>
      <c r="G762">
        <f t="shared" si="22"/>
        <v>794.47523482110626</v>
      </c>
      <c r="H762">
        <f t="shared" si="23"/>
        <v>-181.7377818942208</v>
      </c>
    </row>
    <row r="763" spans="6:8" x14ac:dyDescent="0.35">
      <c r="F763">
        <v>15.2000000000002</v>
      </c>
      <c r="G763">
        <f t="shared" si="22"/>
        <v>795.52197426092323</v>
      </c>
      <c r="H763">
        <f t="shared" si="23"/>
        <v>-183.47060440630889</v>
      </c>
    </row>
    <row r="764" spans="6:8" x14ac:dyDescent="0.35">
      <c r="F764">
        <v>15.2200000000002</v>
      </c>
      <c r="G764">
        <f t="shared" si="22"/>
        <v>796.5687137007402</v>
      </c>
      <c r="H764">
        <f t="shared" si="23"/>
        <v>-185.20735091839686</v>
      </c>
    </row>
    <row r="765" spans="6:8" x14ac:dyDescent="0.35">
      <c r="F765">
        <v>15.240000000000199</v>
      </c>
      <c r="G765">
        <f t="shared" si="22"/>
        <v>797.61545314055718</v>
      </c>
      <c r="H765">
        <f t="shared" si="23"/>
        <v>-186.94802143048491</v>
      </c>
    </row>
    <row r="766" spans="6:8" x14ac:dyDescent="0.35">
      <c r="F766">
        <v>15.260000000000201</v>
      </c>
      <c r="G766">
        <f t="shared" si="22"/>
        <v>798.66219258037427</v>
      </c>
      <c r="H766">
        <f t="shared" si="23"/>
        <v>-188.69261594257318</v>
      </c>
    </row>
    <row r="767" spans="6:8" x14ac:dyDescent="0.35">
      <c r="F767">
        <v>15.2800000000002</v>
      </c>
      <c r="G767">
        <f t="shared" si="22"/>
        <v>799.70893202019124</v>
      </c>
      <c r="H767">
        <f t="shared" si="23"/>
        <v>-190.44113445466121</v>
      </c>
    </row>
    <row r="768" spans="6:8" x14ac:dyDescent="0.35">
      <c r="F768">
        <v>15.3000000000002</v>
      </c>
      <c r="G768">
        <f t="shared" si="22"/>
        <v>800.75567146000822</v>
      </c>
      <c r="H768">
        <f t="shared" si="23"/>
        <v>-192.19357696674933</v>
      </c>
    </row>
    <row r="769" spans="6:8" x14ac:dyDescent="0.35">
      <c r="F769">
        <v>15.320000000000199</v>
      </c>
      <c r="G769">
        <f t="shared" si="22"/>
        <v>801.80241089982519</v>
      </c>
      <c r="H769">
        <f t="shared" si="23"/>
        <v>-193.94994347883721</v>
      </c>
    </row>
    <row r="770" spans="6:8" x14ac:dyDescent="0.35">
      <c r="F770">
        <v>15.340000000000201</v>
      </c>
      <c r="G770">
        <f t="shared" si="22"/>
        <v>802.84915033964228</v>
      </c>
      <c r="H770">
        <f t="shared" si="23"/>
        <v>-195.71023399092542</v>
      </c>
    </row>
    <row r="771" spans="6:8" x14ac:dyDescent="0.35">
      <c r="F771">
        <v>15.3600000000002</v>
      </c>
      <c r="G771">
        <f t="shared" ref="G771:G834" si="24">$B$15*F771</f>
        <v>803.89588977945925</v>
      </c>
      <c r="H771">
        <f t="shared" ref="H771:H834" si="25">$B$13*F771-($B$8*F771^2)/2+$B$12</f>
        <v>-197.4744485030136</v>
      </c>
    </row>
    <row r="772" spans="6:8" x14ac:dyDescent="0.35">
      <c r="F772">
        <v>15.3800000000002</v>
      </c>
      <c r="G772">
        <f t="shared" si="24"/>
        <v>804.94262921927623</v>
      </c>
      <c r="H772">
        <f t="shared" si="25"/>
        <v>-199.24258701510166</v>
      </c>
    </row>
    <row r="773" spans="6:8" x14ac:dyDescent="0.35">
      <c r="F773">
        <v>15.400000000000199</v>
      </c>
      <c r="G773">
        <f t="shared" si="24"/>
        <v>805.9893686590932</v>
      </c>
      <c r="H773">
        <f t="shared" si="25"/>
        <v>-201.01464952718959</v>
      </c>
    </row>
    <row r="774" spans="6:8" x14ac:dyDescent="0.35">
      <c r="F774">
        <v>15.420000000000201</v>
      </c>
      <c r="G774">
        <f t="shared" si="24"/>
        <v>807.03610809891018</v>
      </c>
      <c r="H774">
        <f t="shared" si="25"/>
        <v>-202.79063603927796</v>
      </c>
    </row>
    <row r="775" spans="6:8" x14ac:dyDescent="0.35">
      <c r="F775">
        <v>15.4400000000002</v>
      </c>
      <c r="G775">
        <f t="shared" si="24"/>
        <v>808.08284753872715</v>
      </c>
      <c r="H775">
        <f t="shared" si="25"/>
        <v>-204.57054655136608</v>
      </c>
    </row>
    <row r="776" spans="6:8" x14ac:dyDescent="0.35">
      <c r="F776">
        <v>15.4600000000002</v>
      </c>
      <c r="G776">
        <f t="shared" si="24"/>
        <v>809.12958697854413</v>
      </c>
      <c r="H776">
        <f t="shared" si="25"/>
        <v>-206.35438106345407</v>
      </c>
    </row>
    <row r="777" spans="6:8" x14ac:dyDescent="0.35">
      <c r="F777">
        <v>15.480000000000199</v>
      </c>
      <c r="G777">
        <f t="shared" si="24"/>
        <v>810.1763264183611</v>
      </c>
      <c r="H777">
        <f t="shared" si="25"/>
        <v>-208.14213957554205</v>
      </c>
    </row>
    <row r="778" spans="6:8" x14ac:dyDescent="0.35">
      <c r="F778">
        <v>15.500000000000201</v>
      </c>
      <c r="G778">
        <f t="shared" si="24"/>
        <v>811.22306585817819</v>
      </c>
      <c r="H778">
        <f t="shared" si="25"/>
        <v>-209.93382208763035</v>
      </c>
    </row>
    <row r="779" spans="6:8" x14ac:dyDescent="0.35">
      <c r="F779">
        <v>15.5200000000002</v>
      </c>
      <c r="G779">
        <f t="shared" si="24"/>
        <v>812.26980529799516</v>
      </c>
      <c r="H779">
        <f t="shared" si="25"/>
        <v>-211.7294285997184</v>
      </c>
    </row>
    <row r="780" spans="6:8" x14ac:dyDescent="0.35">
      <c r="F780">
        <v>15.5400000000002</v>
      </c>
      <c r="G780">
        <f t="shared" si="24"/>
        <v>813.31654473781214</v>
      </c>
      <c r="H780">
        <f t="shared" si="25"/>
        <v>-213.52895911180633</v>
      </c>
    </row>
    <row r="781" spans="6:8" x14ac:dyDescent="0.35">
      <c r="F781">
        <v>15.560000000000199</v>
      </c>
      <c r="G781">
        <f t="shared" si="24"/>
        <v>814.36328417762911</v>
      </c>
      <c r="H781">
        <f t="shared" si="25"/>
        <v>-215.33241362389458</v>
      </c>
    </row>
    <row r="782" spans="6:8" x14ac:dyDescent="0.35">
      <c r="F782">
        <v>15.580000000000201</v>
      </c>
      <c r="G782">
        <f t="shared" si="24"/>
        <v>815.41002361744609</v>
      </c>
      <c r="H782">
        <f t="shared" si="25"/>
        <v>-217.13979213598259</v>
      </c>
    </row>
    <row r="783" spans="6:8" x14ac:dyDescent="0.35">
      <c r="F783">
        <v>15.6000000000002</v>
      </c>
      <c r="G783">
        <f t="shared" si="24"/>
        <v>816.45676305726306</v>
      </c>
      <c r="H783">
        <f t="shared" si="25"/>
        <v>-218.95109464807058</v>
      </c>
    </row>
    <row r="784" spans="6:8" x14ac:dyDescent="0.35">
      <c r="F784">
        <v>15.6200000000002</v>
      </c>
      <c r="G784">
        <f t="shared" si="24"/>
        <v>817.50350249708004</v>
      </c>
      <c r="H784">
        <f t="shared" si="25"/>
        <v>-220.76632116015878</v>
      </c>
    </row>
    <row r="785" spans="6:8" x14ac:dyDescent="0.35">
      <c r="F785">
        <v>15.6400000000002</v>
      </c>
      <c r="G785">
        <f t="shared" si="24"/>
        <v>818.55024193689701</v>
      </c>
      <c r="H785">
        <f t="shared" si="25"/>
        <v>-222.58547167224674</v>
      </c>
    </row>
    <row r="786" spans="6:8" x14ac:dyDescent="0.35">
      <c r="F786">
        <v>15.660000000000201</v>
      </c>
      <c r="G786">
        <f t="shared" si="24"/>
        <v>819.5969813767141</v>
      </c>
      <c r="H786">
        <f t="shared" si="25"/>
        <v>-224.40854618433491</v>
      </c>
    </row>
    <row r="787" spans="6:8" x14ac:dyDescent="0.35">
      <c r="F787">
        <v>15.6800000000002</v>
      </c>
      <c r="G787">
        <f t="shared" si="24"/>
        <v>820.64372081653107</v>
      </c>
      <c r="H787">
        <f t="shared" si="25"/>
        <v>-226.23554469642306</v>
      </c>
    </row>
    <row r="788" spans="6:8" x14ac:dyDescent="0.35">
      <c r="F788">
        <v>15.7000000000002</v>
      </c>
      <c r="G788">
        <f t="shared" si="24"/>
        <v>821.69046025634805</v>
      </c>
      <c r="H788">
        <f t="shared" si="25"/>
        <v>-228.06646720851109</v>
      </c>
    </row>
    <row r="789" spans="6:8" x14ac:dyDescent="0.35">
      <c r="F789">
        <v>15.7200000000002</v>
      </c>
      <c r="G789">
        <f t="shared" si="24"/>
        <v>822.73719969616502</v>
      </c>
      <c r="H789">
        <f t="shared" si="25"/>
        <v>-229.90131372059921</v>
      </c>
    </row>
    <row r="790" spans="6:8" x14ac:dyDescent="0.35">
      <c r="F790">
        <v>15.740000000000199</v>
      </c>
      <c r="G790">
        <f t="shared" si="24"/>
        <v>823.783939135982</v>
      </c>
      <c r="H790">
        <f t="shared" si="25"/>
        <v>-231.7400842326872</v>
      </c>
    </row>
    <row r="791" spans="6:8" x14ac:dyDescent="0.35">
      <c r="F791">
        <v>15.760000000000201</v>
      </c>
      <c r="G791">
        <f t="shared" si="24"/>
        <v>824.83067857579908</v>
      </c>
      <c r="H791">
        <f t="shared" si="25"/>
        <v>-233.58277874477528</v>
      </c>
    </row>
    <row r="792" spans="6:8" x14ac:dyDescent="0.35">
      <c r="F792">
        <v>15.7800000000002</v>
      </c>
      <c r="G792">
        <f t="shared" si="24"/>
        <v>825.87741801561606</v>
      </c>
      <c r="H792">
        <f t="shared" si="25"/>
        <v>-235.42939725686347</v>
      </c>
    </row>
    <row r="793" spans="6:8" x14ac:dyDescent="0.35">
      <c r="F793">
        <v>15.8000000000002</v>
      </c>
      <c r="G793">
        <f t="shared" si="24"/>
        <v>826.92415745543303</v>
      </c>
      <c r="H793">
        <f t="shared" si="25"/>
        <v>-237.27993976895152</v>
      </c>
    </row>
    <row r="794" spans="6:8" x14ac:dyDescent="0.35">
      <c r="F794">
        <v>15.820000000000199</v>
      </c>
      <c r="G794">
        <f t="shared" si="24"/>
        <v>827.97089689524989</v>
      </c>
      <c r="H794">
        <f t="shared" si="25"/>
        <v>-239.13440628103967</v>
      </c>
    </row>
    <row r="795" spans="6:8" x14ac:dyDescent="0.35">
      <c r="F795">
        <v>15.840000000000201</v>
      </c>
      <c r="G795">
        <f t="shared" si="24"/>
        <v>829.01763633506698</v>
      </c>
      <c r="H795">
        <f t="shared" si="25"/>
        <v>-240.99279679312781</v>
      </c>
    </row>
    <row r="796" spans="6:8" x14ac:dyDescent="0.35">
      <c r="F796">
        <v>15.8600000000002</v>
      </c>
      <c r="G796">
        <f t="shared" si="24"/>
        <v>830.06437577488396</v>
      </c>
      <c r="H796">
        <f t="shared" si="25"/>
        <v>-242.85511130521593</v>
      </c>
    </row>
    <row r="797" spans="6:8" x14ac:dyDescent="0.35">
      <c r="F797">
        <v>15.8800000000002</v>
      </c>
      <c r="G797">
        <f t="shared" si="24"/>
        <v>831.11111521470093</v>
      </c>
      <c r="H797">
        <f t="shared" si="25"/>
        <v>-244.72134981730392</v>
      </c>
    </row>
    <row r="798" spans="6:8" x14ac:dyDescent="0.35">
      <c r="F798">
        <v>15.900000000000199</v>
      </c>
      <c r="G798">
        <f t="shared" si="24"/>
        <v>832.15785465451791</v>
      </c>
      <c r="H798">
        <f t="shared" si="25"/>
        <v>-246.591512329392</v>
      </c>
    </row>
    <row r="799" spans="6:8" x14ac:dyDescent="0.35">
      <c r="F799">
        <v>15.920000000000201</v>
      </c>
      <c r="G799">
        <f t="shared" si="24"/>
        <v>833.20459409433499</v>
      </c>
      <c r="H799">
        <f t="shared" si="25"/>
        <v>-248.46559884147996</v>
      </c>
    </row>
    <row r="800" spans="6:8" x14ac:dyDescent="0.35">
      <c r="F800">
        <v>15.9400000000002</v>
      </c>
      <c r="G800">
        <f t="shared" si="24"/>
        <v>834.25133353415197</v>
      </c>
      <c r="H800">
        <f t="shared" si="25"/>
        <v>-250.34360935356824</v>
      </c>
    </row>
    <row r="801" spans="6:8" x14ac:dyDescent="0.35">
      <c r="F801">
        <v>15.9600000000002</v>
      </c>
      <c r="G801">
        <f t="shared" si="24"/>
        <v>835.29807297396894</v>
      </c>
      <c r="H801">
        <f t="shared" si="25"/>
        <v>-252.22554386565639</v>
      </c>
    </row>
    <row r="802" spans="6:8" x14ac:dyDescent="0.35">
      <c r="F802">
        <v>15.980000000000199</v>
      </c>
      <c r="G802">
        <f t="shared" si="24"/>
        <v>836.34481241378592</v>
      </c>
      <c r="H802">
        <f t="shared" si="25"/>
        <v>-254.11140237774418</v>
      </c>
    </row>
    <row r="803" spans="6:8" x14ac:dyDescent="0.35">
      <c r="F803">
        <v>16.000000000000199</v>
      </c>
      <c r="G803">
        <f t="shared" si="24"/>
        <v>837.39155185360289</v>
      </c>
      <c r="H803">
        <f t="shared" si="25"/>
        <v>-256.0011848898323</v>
      </c>
    </row>
    <row r="804" spans="6:8" x14ac:dyDescent="0.35">
      <c r="F804">
        <v>16.020000000000199</v>
      </c>
      <c r="G804">
        <f t="shared" si="24"/>
        <v>838.43829129341987</v>
      </c>
      <c r="H804">
        <f t="shared" si="25"/>
        <v>-257.89489140192052</v>
      </c>
    </row>
    <row r="805" spans="6:8" x14ac:dyDescent="0.35">
      <c r="F805">
        <v>16.040000000000202</v>
      </c>
      <c r="G805">
        <f t="shared" si="24"/>
        <v>839.48503073323695</v>
      </c>
      <c r="H805">
        <f t="shared" si="25"/>
        <v>-259.79252191400883</v>
      </c>
    </row>
    <row r="806" spans="6:8" x14ac:dyDescent="0.35">
      <c r="F806">
        <v>16.060000000000201</v>
      </c>
      <c r="G806">
        <f t="shared" si="24"/>
        <v>840.53177017305393</v>
      </c>
      <c r="H806">
        <f t="shared" si="25"/>
        <v>-261.69407642609667</v>
      </c>
    </row>
    <row r="807" spans="6:8" x14ac:dyDescent="0.35">
      <c r="F807">
        <v>16.080000000000201</v>
      </c>
      <c r="G807">
        <f t="shared" si="24"/>
        <v>841.5785096128709</v>
      </c>
      <c r="H807">
        <f t="shared" si="25"/>
        <v>-263.59955493818495</v>
      </c>
    </row>
    <row r="808" spans="6:8" x14ac:dyDescent="0.35">
      <c r="F808">
        <v>16.1000000000002</v>
      </c>
      <c r="G808">
        <f t="shared" si="24"/>
        <v>842.62524905268788</v>
      </c>
      <c r="H808">
        <f t="shared" si="25"/>
        <v>-265.50895745027287</v>
      </c>
    </row>
    <row r="809" spans="6:8" x14ac:dyDescent="0.35">
      <c r="F809">
        <v>16.1200000000002</v>
      </c>
      <c r="G809">
        <f t="shared" si="24"/>
        <v>843.67198849250485</v>
      </c>
      <c r="H809">
        <f t="shared" si="25"/>
        <v>-267.42228396236089</v>
      </c>
    </row>
    <row r="810" spans="6:8" x14ac:dyDescent="0.35">
      <c r="F810">
        <v>16.1400000000002</v>
      </c>
      <c r="G810">
        <f t="shared" si="24"/>
        <v>844.71872793232183</v>
      </c>
      <c r="H810">
        <f t="shared" si="25"/>
        <v>-269.33953447444924</v>
      </c>
    </row>
    <row r="811" spans="6:8" x14ac:dyDescent="0.35">
      <c r="F811">
        <v>16.160000000000199</v>
      </c>
      <c r="G811">
        <f t="shared" si="24"/>
        <v>845.7654673721388</v>
      </c>
      <c r="H811">
        <f t="shared" si="25"/>
        <v>-271.260708986537</v>
      </c>
    </row>
    <row r="812" spans="6:8" x14ac:dyDescent="0.35">
      <c r="F812">
        <v>16.180000000000199</v>
      </c>
      <c r="G812">
        <f t="shared" si="24"/>
        <v>846.81220681195578</v>
      </c>
      <c r="H812">
        <f t="shared" si="25"/>
        <v>-273.18580749862508</v>
      </c>
    </row>
    <row r="813" spans="6:8" x14ac:dyDescent="0.35">
      <c r="F813">
        <v>16.200000000000198</v>
      </c>
      <c r="G813">
        <f t="shared" si="24"/>
        <v>847.85894625177275</v>
      </c>
      <c r="H813">
        <f t="shared" si="25"/>
        <v>-275.11483001071315</v>
      </c>
    </row>
    <row r="814" spans="6:8" x14ac:dyDescent="0.35">
      <c r="F814">
        <v>16.220000000000201</v>
      </c>
      <c r="G814">
        <f t="shared" si="24"/>
        <v>848.90568569158984</v>
      </c>
      <c r="H814">
        <f t="shared" si="25"/>
        <v>-277.04777652280143</v>
      </c>
    </row>
    <row r="815" spans="6:8" x14ac:dyDescent="0.35">
      <c r="F815">
        <v>16.240000000000201</v>
      </c>
      <c r="G815">
        <f t="shared" si="24"/>
        <v>849.95242513140681</v>
      </c>
      <c r="H815">
        <f t="shared" si="25"/>
        <v>-278.98464703488958</v>
      </c>
    </row>
    <row r="816" spans="6:8" x14ac:dyDescent="0.35">
      <c r="F816">
        <v>16.260000000000201</v>
      </c>
      <c r="G816">
        <f t="shared" si="24"/>
        <v>850.99916457122379</v>
      </c>
      <c r="H816">
        <f t="shared" si="25"/>
        <v>-280.92544154697759</v>
      </c>
    </row>
    <row r="817" spans="6:8" x14ac:dyDescent="0.35">
      <c r="F817">
        <v>16.2800000000002</v>
      </c>
      <c r="G817">
        <f t="shared" si="24"/>
        <v>852.04590401104076</v>
      </c>
      <c r="H817">
        <f t="shared" si="25"/>
        <v>-282.87016005906571</v>
      </c>
    </row>
    <row r="818" spans="6:8" x14ac:dyDescent="0.35">
      <c r="F818">
        <v>16.3000000000002</v>
      </c>
      <c r="G818">
        <f t="shared" si="24"/>
        <v>853.09264345085774</v>
      </c>
      <c r="H818">
        <f t="shared" si="25"/>
        <v>-284.81880257115392</v>
      </c>
    </row>
    <row r="819" spans="6:8" x14ac:dyDescent="0.35">
      <c r="F819">
        <v>16.320000000000199</v>
      </c>
      <c r="G819">
        <f t="shared" si="24"/>
        <v>854.13938289067471</v>
      </c>
      <c r="H819">
        <f t="shared" si="25"/>
        <v>-286.77136908324178</v>
      </c>
    </row>
    <row r="820" spans="6:8" x14ac:dyDescent="0.35">
      <c r="F820">
        <v>16.340000000000199</v>
      </c>
      <c r="G820">
        <f t="shared" si="24"/>
        <v>855.18612233049168</v>
      </c>
      <c r="H820">
        <f t="shared" si="25"/>
        <v>-288.72785959532996</v>
      </c>
    </row>
    <row r="821" spans="6:8" x14ac:dyDescent="0.35">
      <c r="F821">
        <v>16.360000000000198</v>
      </c>
      <c r="G821">
        <f t="shared" si="24"/>
        <v>856.23286177030866</v>
      </c>
      <c r="H821">
        <f t="shared" si="25"/>
        <v>-290.6882741074179</v>
      </c>
    </row>
    <row r="822" spans="6:8" x14ac:dyDescent="0.35">
      <c r="F822">
        <v>16.380000000000202</v>
      </c>
      <c r="G822">
        <f t="shared" si="24"/>
        <v>857.27960121012575</v>
      </c>
      <c r="H822">
        <f t="shared" si="25"/>
        <v>-292.65261261950627</v>
      </c>
    </row>
    <row r="823" spans="6:8" x14ac:dyDescent="0.35">
      <c r="F823">
        <v>16.400000000000201</v>
      </c>
      <c r="G823">
        <f t="shared" si="24"/>
        <v>858.32634064994272</v>
      </c>
      <c r="H823">
        <f t="shared" si="25"/>
        <v>-294.62087513159429</v>
      </c>
    </row>
    <row r="824" spans="6:8" x14ac:dyDescent="0.35">
      <c r="F824">
        <v>16.420000000000201</v>
      </c>
      <c r="G824">
        <f t="shared" si="24"/>
        <v>859.3730800897597</v>
      </c>
      <c r="H824">
        <f t="shared" si="25"/>
        <v>-296.59306164368252</v>
      </c>
    </row>
    <row r="825" spans="6:8" x14ac:dyDescent="0.35">
      <c r="F825">
        <v>16.4400000000002</v>
      </c>
      <c r="G825">
        <f t="shared" si="24"/>
        <v>860.41981952957667</v>
      </c>
      <c r="H825">
        <f t="shared" si="25"/>
        <v>-298.56917215577039</v>
      </c>
    </row>
    <row r="826" spans="6:8" x14ac:dyDescent="0.35">
      <c r="F826">
        <v>16.4600000000002</v>
      </c>
      <c r="G826">
        <f t="shared" si="24"/>
        <v>861.46655896939365</v>
      </c>
      <c r="H826">
        <f t="shared" si="25"/>
        <v>-300.54920666785858</v>
      </c>
    </row>
    <row r="827" spans="6:8" x14ac:dyDescent="0.35">
      <c r="F827">
        <v>16.480000000000199</v>
      </c>
      <c r="G827">
        <f t="shared" si="24"/>
        <v>862.51329840921062</v>
      </c>
      <c r="H827">
        <f t="shared" si="25"/>
        <v>-302.53316517994665</v>
      </c>
    </row>
    <row r="828" spans="6:8" x14ac:dyDescent="0.35">
      <c r="F828">
        <v>16.500000000000199</v>
      </c>
      <c r="G828">
        <f t="shared" si="24"/>
        <v>863.56003784902759</v>
      </c>
      <c r="H828">
        <f t="shared" si="25"/>
        <v>-304.52104769203459</v>
      </c>
    </row>
    <row r="829" spans="6:8" x14ac:dyDescent="0.35">
      <c r="F829">
        <v>16.520000000000199</v>
      </c>
      <c r="G829">
        <f t="shared" si="24"/>
        <v>864.60677728884457</v>
      </c>
      <c r="H829">
        <f t="shared" si="25"/>
        <v>-306.51285420412285</v>
      </c>
    </row>
    <row r="830" spans="6:8" x14ac:dyDescent="0.35">
      <c r="F830">
        <v>16.540000000000202</v>
      </c>
      <c r="G830">
        <f t="shared" si="24"/>
        <v>865.65351672866177</v>
      </c>
      <c r="H830">
        <f t="shared" si="25"/>
        <v>-308.5085847162112</v>
      </c>
    </row>
    <row r="831" spans="6:8" x14ac:dyDescent="0.35">
      <c r="F831">
        <v>16.560000000000201</v>
      </c>
      <c r="G831">
        <f t="shared" si="24"/>
        <v>866.70025616847875</v>
      </c>
      <c r="H831">
        <f t="shared" si="25"/>
        <v>-310.5082392282992</v>
      </c>
    </row>
    <row r="832" spans="6:8" x14ac:dyDescent="0.35">
      <c r="F832">
        <v>16.580000000000201</v>
      </c>
      <c r="G832">
        <f t="shared" si="24"/>
        <v>867.74699560829572</v>
      </c>
      <c r="H832">
        <f t="shared" si="25"/>
        <v>-312.5118177403873</v>
      </c>
    </row>
    <row r="833" spans="6:8" x14ac:dyDescent="0.35">
      <c r="F833">
        <v>16.6000000000002</v>
      </c>
      <c r="G833">
        <f t="shared" si="24"/>
        <v>868.79373504811258</v>
      </c>
      <c r="H833">
        <f t="shared" si="25"/>
        <v>-314.51932025247504</v>
      </c>
    </row>
    <row r="834" spans="6:8" x14ac:dyDescent="0.35">
      <c r="F834">
        <v>16.6200000000002</v>
      </c>
      <c r="G834">
        <f t="shared" si="24"/>
        <v>869.84047448792955</v>
      </c>
      <c r="H834">
        <f t="shared" si="25"/>
        <v>-316.53074676456333</v>
      </c>
    </row>
    <row r="835" spans="6:8" x14ac:dyDescent="0.35">
      <c r="F835">
        <v>16.6400000000002</v>
      </c>
      <c r="G835">
        <f t="shared" ref="G835:G898" si="26">$B$15*F835</f>
        <v>870.88721392774653</v>
      </c>
      <c r="H835">
        <f t="shared" ref="H835:H898" si="27">$B$13*F835-($B$8*F835^2)/2+$B$12</f>
        <v>-318.54609727665104</v>
      </c>
    </row>
    <row r="836" spans="6:8" x14ac:dyDescent="0.35">
      <c r="F836">
        <v>16.660000000000199</v>
      </c>
      <c r="G836">
        <f t="shared" si="26"/>
        <v>871.9339533675635</v>
      </c>
      <c r="H836">
        <f t="shared" si="27"/>
        <v>-320.5653717887393</v>
      </c>
    </row>
    <row r="837" spans="6:8" x14ac:dyDescent="0.35">
      <c r="F837">
        <v>16.680000000000199</v>
      </c>
      <c r="G837">
        <f t="shared" si="26"/>
        <v>872.98069280738048</v>
      </c>
      <c r="H837">
        <f t="shared" si="27"/>
        <v>-322.58857030082743</v>
      </c>
    </row>
    <row r="838" spans="6:8" x14ac:dyDescent="0.35">
      <c r="F838">
        <v>16.700000000000198</v>
      </c>
      <c r="G838">
        <f t="shared" si="26"/>
        <v>874.02743224719745</v>
      </c>
      <c r="H838">
        <f t="shared" si="27"/>
        <v>-324.61569281291565</v>
      </c>
    </row>
    <row r="839" spans="6:8" x14ac:dyDescent="0.35">
      <c r="F839">
        <v>16.720000000000201</v>
      </c>
      <c r="G839">
        <f t="shared" si="26"/>
        <v>875.07417168701465</v>
      </c>
      <c r="H839">
        <f t="shared" si="27"/>
        <v>-326.64673932500375</v>
      </c>
    </row>
    <row r="840" spans="6:8" x14ac:dyDescent="0.35">
      <c r="F840">
        <v>16.740000000000201</v>
      </c>
      <c r="G840">
        <f t="shared" si="26"/>
        <v>876.12091112683163</v>
      </c>
      <c r="H840">
        <f t="shared" si="27"/>
        <v>-328.68170983709172</v>
      </c>
    </row>
    <row r="841" spans="6:8" x14ac:dyDescent="0.35">
      <c r="F841">
        <v>16.760000000000201</v>
      </c>
      <c r="G841">
        <f t="shared" si="26"/>
        <v>877.1676505666486</v>
      </c>
      <c r="H841">
        <f t="shared" si="27"/>
        <v>-330.72060434918001</v>
      </c>
    </row>
    <row r="842" spans="6:8" x14ac:dyDescent="0.35">
      <c r="F842">
        <v>16.7800000000002</v>
      </c>
      <c r="G842">
        <f t="shared" si="26"/>
        <v>878.21439000646558</v>
      </c>
      <c r="H842">
        <f t="shared" si="27"/>
        <v>-332.76342286126794</v>
      </c>
    </row>
    <row r="843" spans="6:8" x14ac:dyDescent="0.35">
      <c r="F843">
        <v>16.8000000000002</v>
      </c>
      <c r="G843">
        <f t="shared" si="26"/>
        <v>879.26112944628255</v>
      </c>
      <c r="H843">
        <f t="shared" si="27"/>
        <v>-334.8101653733562</v>
      </c>
    </row>
    <row r="844" spans="6:8" x14ac:dyDescent="0.35">
      <c r="F844">
        <v>16.820000000000199</v>
      </c>
      <c r="G844">
        <f t="shared" si="26"/>
        <v>880.30786888609953</v>
      </c>
      <c r="H844">
        <f t="shared" si="27"/>
        <v>-336.8608318854441</v>
      </c>
    </row>
    <row r="845" spans="6:8" x14ac:dyDescent="0.35">
      <c r="F845">
        <v>16.840000000000199</v>
      </c>
      <c r="G845">
        <f t="shared" si="26"/>
        <v>881.35460832591639</v>
      </c>
      <c r="H845">
        <f t="shared" si="27"/>
        <v>-338.91542239753232</v>
      </c>
    </row>
    <row r="846" spans="6:8" x14ac:dyDescent="0.35">
      <c r="F846">
        <v>16.860000000000198</v>
      </c>
      <c r="G846">
        <f t="shared" si="26"/>
        <v>882.40134776573336</v>
      </c>
      <c r="H846">
        <f t="shared" si="27"/>
        <v>-340.97393690962019</v>
      </c>
    </row>
    <row r="847" spans="6:8" x14ac:dyDescent="0.35">
      <c r="F847">
        <v>16.880000000000202</v>
      </c>
      <c r="G847">
        <f t="shared" si="26"/>
        <v>883.44808720555056</v>
      </c>
      <c r="H847">
        <f t="shared" si="27"/>
        <v>-343.03637542170839</v>
      </c>
    </row>
    <row r="848" spans="6:8" x14ac:dyDescent="0.35">
      <c r="F848">
        <v>16.900000000000201</v>
      </c>
      <c r="G848">
        <f t="shared" si="26"/>
        <v>884.49482664536754</v>
      </c>
      <c r="H848">
        <f t="shared" si="27"/>
        <v>-345.10273793379645</v>
      </c>
    </row>
    <row r="849" spans="6:8" x14ac:dyDescent="0.35">
      <c r="F849">
        <v>16.920000000000201</v>
      </c>
      <c r="G849">
        <f t="shared" si="26"/>
        <v>885.54156608518451</v>
      </c>
      <c r="H849">
        <f t="shared" si="27"/>
        <v>-347.17302444588461</v>
      </c>
    </row>
    <row r="850" spans="6:8" x14ac:dyDescent="0.35">
      <c r="F850">
        <v>16.9400000000002</v>
      </c>
      <c r="G850">
        <f t="shared" si="26"/>
        <v>886.58830552500149</v>
      </c>
      <c r="H850">
        <f t="shared" si="27"/>
        <v>-349.24723495797286</v>
      </c>
    </row>
    <row r="851" spans="6:8" x14ac:dyDescent="0.35">
      <c r="F851">
        <v>16.9600000000002</v>
      </c>
      <c r="G851">
        <f t="shared" si="26"/>
        <v>887.63504496481846</v>
      </c>
      <c r="H851">
        <f t="shared" si="27"/>
        <v>-351.32536947006076</v>
      </c>
    </row>
    <row r="852" spans="6:8" x14ac:dyDescent="0.35">
      <c r="F852">
        <v>16.980000000000199</v>
      </c>
      <c r="G852">
        <f t="shared" si="26"/>
        <v>888.68178440463544</v>
      </c>
      <c r="H852">
        <f t="shared" si="27"/>
        <v>-353.40742798214899</v>
      </c>
    </row>
    <row r="853" spans="6:8" x14ac:dyDescent="0.35">
      <c r="F853">
        <v>17.000000000000199</v>
      </c>
      <c r="G853">
        <f t="shared" si="26"/>
        <v>889.72852384445241</v>
      </c>
      <c r="H853">
        <f t="shared" si="27"/>
        <v>-355.49341049423685</v>
      </c>
    </row>
    <row r="854" spans="6:8" x14ac:dyDescent="0.35">
      <c r="F854">
        <v>17.020000000000199</v>
      </c>
      <c r="G854">
        <f t="shared" si="26"/>
        <v>890.77526328426939</v>
      </c>
      <c r="H854">
        <f t="shared" si="27"/>
        <v>-357.58331700632482</v>
      </c>
    </row>
    <row r="855" spans="6:8" x14ac:dyDescent="0.35">
      <c r="F855">
        <v>17.040000000000202</v>
      </c>
      <c r="G855">
        <f t="shared" si="26"/>
        <v>891.82200272408647</v>
      </c>
      <c r="H855">
        <f t="shared" si="27"/>
        <v>-359.67714751841334</v>
      </c>
    </row>
    <row r="856" spans="6:8" x14ac:dyDescent="0.35">
      <c r="F856">
        <v>17.060000000000201</v>
      </c>
      <c r="G856">
        <f t="shared" si="26"/>
        <v>892.86874216390345</v>
      </c>
      <c r="H856">
        <f t="shared" si="27"/>
        <v>-361.77490203050127</v>
      </c>
    </row>
    <row r="857" spans="6:8" x14ac:dyDescent="0.35">
      <c r="F857">
        <v>17.080000000000201</v>
      </c>
      <c r="G857">
        <f t="shared" si="26"/>
        <v>893.91548160372042</v>
      </c>
      <c r="H857">
        <f t="shared" si="27"/>
        <v>-363.87658054258929</v>
      </c>
    </row>
    <row r="858" spans="6:8" x14ac:dyDescent="0.35">
      <c r="F858">
        <v>17.1000000000002</v>
      </c>
      <c r="G858">
        <f t="shared" si="26"/>
        <v>894.9622210435374</v>
      </c>
      <c r="H858">
        <f t="shared" si="27"/>
        <v>-365.98218305467742</v>
      </c>
    </row>
    <row r="859" spans="6:8" x14ac:dyDescent="0.35">
      <c r="F859">
        <v>17.1200000000002</v>
      </c>
      <c r="G859">
        <f t="shared" si="26"/>
        <v>896.00896048335437</v>
      </c>
      <c r="H859">
        <f t="shared" si="27"/>
        <v>-368.09170956676542</v>
      </c>
    </row>
    <row r="860" spans="6:8" x14ac:dyDescent="0.35">
      <c r="F860">
        <v>17.140000000000299</v>
      </c>
      <c r="G860">
        <f t="shared" si="26"/>
        <v>897.05569992317658</v>
      </c>
      <c r="H860">
        <f t="shared" si="27"/>
        <v>-370.2051600788642</v>
      </c>
    </row>
    <row r="861" spans="6:8" x14ac:dyDescent="0.35">
      <c r="F861">
        <v>17.160000000000299</v>
      </c>
      <c r="G861">
        <f t="shared" si="26"/>
        <v>898.10243936299355</v>
      </c>
      <c r="H861">
        <f t="shared" si="27"/>
        <v>-372.32253459095193</v>
      </c>
    </row>
    <row r="862" spans="6:8" x14ac:dyDescent="0.35">
      <c r="F862">
        <v>17.180000000000302</v>
      </c>
      <c r="G862">
        <f t="shared" si="26"/>
        <v>899.14917880281064</v>
      </c>
      <c r="H862">
        <f t="shared" si="27"/>
        <v>-374.44383310304045</v>
      </c>
    </row>
    <row r="863" spans="6:8" x14ac:dyDescent="0.35">
      <c r="F863">
        <v>17.200000000000301</v>
      </c>
      <c r="G863">
        <f t="shared" si="26"/>
        <v>900.19591824262761</v>
      </c>
      <c r="H863">
        <f t="shared" si="27"/>
        <v>-376.5690556151286</v>
      </c>
    </row>
    <row r="864" spans="6:8" x14ac:dyDescent="0.35">
      <c r="F864">
        <v>17.220000000000301</v>
      </c>
      <c r="G864">
        <f t="shared" si="26"/>
        <v>901.24265768244459</v>
      </c>
      <c r="H864">
        <f t="shared" si="27"/>
        <v>-378.69820212721686</v>
      </c>
    </row>
    <row r="865" spans="6:8" x14ac:dyDescent="0.35">
      <c r="F865">
        <v>17.2400000000003</v>
      </c>
      <c r="G865">
        <f t="shared" si="26"/>
        <v>902.28939712226156</v>
      </c>
      <c r="H865">
        <f t="shared" si="27"/>
        <v>-380.83127263930476</v>
      </c>
    </row>
    <row r="866" spans="6:8" x14ac:dyDescent="0.35">
      <c r="F866">
        <v>17.2600000000003</v>
      </c>
      <c r="G866">
        <f t="shared" si="26"/>
        <v>903.33613656207854</v>
      </c>
      <c r="H866">
        <f t="shared" si="27"/>
        <v>-382.96826715139275</v>
      </c>
    </row>
    <row r="867" spans="6:8" x14ac:dyDescent="0.35">
      <c r="F867">
        <v>17.2800000000003</v>
      </c>
      <c r="G867">
        <f t="shared" si="26"/>
        <v>904.38287600189551</v>
      </c>
      <c r="H867">
        <f t="shared" si="27"/>
        <v>-385.10918566348107</v>
      </c>
    </row>
    <row r="868" spans="6:8" x14ac:dyDescent="0.35">
      <c r="F868">
        <v>17.300000000000299</v>
      </c>
      <c r="G868">
        <f t="shared" si="26"/>
        <v>905.42961544171249</v>
      </c>
      <c r="H868">
        <f t="shared" si="27"/>
        <v>-387.25402817556903</v>
      </c>
    </row>
    <row r="869" spans="6:8" x14ac:dyDescent="0.35">
      <c r="F869">
        <v>17.320000000000299</v>
      </c>
      <c r="G869">
        <f t="shared" si="26"/>
        <v>906.47635488152946</v>
      </c>
      <c r="H869">
        <f t="shared" si="27"/>
        <v>-389.40279468765709</v>
      </c>
    </row>
    <row r="870" spans="6:8" x14ac:dyDescent="0.35">
      <c r="F870">
        <v>17.340000000000298</v>
      </c>
      <c r="G870">
        <f t="shared" si="26"/>
        <v>907.52309432134643</v>
      </c>
      <c r="H870">
        <f t="shared" si="27"/>
        <v>-391.55548519974502</v>
      </c>
    </row>
    <row r="871" spans="6:8" x14ac:dyDescent="0.35">
      <c r="F871">
        <v>17.360000000000301</v>
      </c>
      <c r="G871">
        <f t="shared" si="26"/>
        <v>908.56983376116352</v>
      </c>
      <c r="H871">
        <f t="shared" si="27"/>
        <v>-393.7120997118335</v>
      </c>
    </row>
    <row r="872" spans="6:8" x14ac:dyDescent="0.35">
      <c r="F872">
        <v>17.380000000000301</v>
      </c>
      <c r="G872">
        <f t="shared" si="26"/>
        <v>909.6165732009805</v>
      </c>
      <c r="H872">
        <f t="shared" si="27"/>
        <v>-395.8726382239214</v>
      </c>
    </row>
    <row r="873" spans="6:8" x14ac:dyDescent="0.35">
      <c r="F873">
        <v>17.400000000000301</v>
      </c>
      <c r="G873">
        <f t="shared" si="26"/>
        <v>910.66331264079747</v>
      </c>
      <c r="H873">
        <f t="shared" si="27"/>
        <v>-398.03710073600939</v>
      </c>
    </row>
    <row r="874" spans="6:8" x14ac:dyDescent="0.35">
      <c r="F874">
        <v>17.4200000000003</v>
      </c>
      <c r="G874">
        <f t="shared" si="26"/>
        <v>911.71005208061445</v>
      </c>
      <c r="H874">
        <f t="shared" si="27"/>
        <v>-400.20548724809771</v>
      </c>
    </row>
    <row r="875" spans="6:8" x14ac:dyDescent="0.35">
      <c r="F875">
        <v>17.4400000000003</v>
      </c>
      <c r="G875">
        <f t="shared" si="26"/>
        <v>912.75679152043142</v>
      </c>
      <c r="H875">
        <f t="shared" si="27"/>
        <v>-402.37779776018567</v>
      </c>
    </row>
    <row r="876" spans="6:8" x14ac:dyDescent="0.35">
      <c r="F876">
        <v>17.460000000000299</v>
      </c>
      <c r="G876">
        <f t="shared" si="26"/>
        <v>913.80353096024839</v>
      </c>
      <c r="H876">
        <f t="shared" si="27"/>
        <v>-404.55403227227396</v>
      </c>
    </row>
    <row r="877" spans="6:8" x14ac:dyDescent="0.35">
      <c r="F877">
        <v>17.480000000000299</v>
      </c>
      <c r="G877">
        <f t="shared" si="26"/>
        <v>914.85027040006537</v>
      </c>
      <c r="H877">
        <f t="shared" si="27"/>
        <v>-406.73419078436166</v>
      </c>
    </row>
    <row r="878" spans="6:8" x14ac:dyDescent="0.35">
      <c r="F878">
        <v>17.500000000000298</v>
      </c>
      <c r="G878">
        <f t="shared" si="26"/>
        <v>915.89700983988234</v>
      </c>
      <c r="H878">
        <f t="shared" si="27"/>
        <v>-408.91827329645014</v>
      </c>
    </row>
    <row r="879" spans="6:8" x14ac:dyDescent="0.35">
      <c r="F879">
        <v>17.520000000000302</v>
      </c>
      <c r="G879">
        <f t="shared" si="26"/>
        <v>916.94374927969955</v>
      </c>
      <c r="H879">
        <f t="shared" si="27"/>
        <v>-411.10627980853849</v>
      </c>
    </row>
    <row r="880" spans="6:8" x14ac:dyDescent="0.35">
      <c r="F880">
        <v>17.540000000000301</v>
      </c>
      <c r="G880">
        <f t="shared" si="26"/>
        <v>917.99048871951652</v>
      </c>
      <c r="H880">
        <f t="shared" si="27"/>
        <v>-413.29821032062625</v>
      </c>
    </row>
    <row r="881" spans="6:8" x14ac:dyDescent="0.35">
      <c r="F881">
        <v>17.560000000000301</v>
      </c>
      <c r="G881">
        <f t="shared" si="26"/>
        <v>919.03722815933338</v>
      </c>
      <c r="H881">
        <f t="shared" si="27"/>
        <v>-415.49406483271457</v>
      </c>
    </row>
    <row r="882" spans="6:8" x14ac:dyDescent="0.35">
      <c r="F882">
        <v>17.5800000000003</v>
      </c>
      <c r="G882">
        <f t="shared" si="26"/>
        <v>920.08396759915036</v>
      </c>
      <c r="H882">
        <f t="shared" si="27"/>
        <v>-417.69384334480253</v>
      </c>
    </row>
    <row r="883" spans="6:8" x14ac:dyDescent="0.35">
      <c r="F883">
        <v>17.6000000000003</v>
      </c>
      <c r="G883">
        <f t="shared" si="26"/>
        <v>921.13070703896733</v>
      </c>
      <c r="H883">
        <f t="shared" si="27"/>
        <v>-419.89754585689082</v>
      </c>
    </row>
    <row r="884" spans="6:8" x14ac:dyDescent="0.35">
      <c r="F884">
        <v>17.620000000000299</v>
      </c>
      <c r="G884">
        <f t="shared" si="26"/>
        <v>922.1774464787843</v>
      </c>
      <c r="H884">
        <f t="shared" si="27"/>
        <v>-422.10517236897851</v>
      </c>
    </row>
    <row r="885" spans="6:8" x14ac:dyDescent="0.35">
      <c r="F885">
        <v>17.640000000000299</v>
      </c>
      <c r="G885">
        <f t="shared" si="26"/>
        <v>923.22418591860128</v>
      </c>
      <c r="H885">
        <f t="shared" si="27"/>
        <v>-424.31672288106699</v>
      </c>
    </row>
    <row r="886" spans="6:8" x14ac:dyDescent="0.35">
      <c r="F886">
        <v>17.660000000000299</v>
      </c>
      <c r="G886">
        <f t="shared" si="26"/>
        <v>924.27092535841825</v>
      </c>
      <c r="H886">
        <f t="shared" si="27"/>
        <v>-426.53219739315489</v>
      </c>
    </row>
    <row r="887" spans="6:8" x14ac:dyDescent="0.35">
      <c r="F887">
        <v>17.680000000000302</v>
      </c>
      <c r="G887">
        <f t="shared" si="26"/>
        <v>925.31766479823546</v>
      </c>
      <c r="H887">
        <f t="shared" si="27"/>
        <v>-428.75159590524333</v>
      </c>
    </row>
    <row r="888" spans="6:8" x14ac:dyDescent="0.35">
      <c r="F888">
        <v>17.700000000000301</v>
      </c>
      <c r="G888">
        <f t="shared" si="26"/>
        <v>926.36440423805243</v>
      </c>
      <c r="H888">
        <f t="shared" si="27"/>
        <v>-430.97491841733142</v>
      </c>
    </row>
    <row r="889" spans="6:8" x14ac:dyDescent="0.35">
      <c r="F889">
        <v>17.720000000000301</v>
      </c>
      <c r="G889">
        <f t="shared" si="26"/>
        <v>927.4111436778694</v>
      </c>
      <c r="H889">
        <f t="shared" si="27"/>
        <v>-433.20216492941938</v>
      </c>
    </row>
    <row r="890" spans="6:8" x14ac:dyDescent="0.35">
      <c r="F890">
        <v>17.7400000000003</v>
      </c>
      <c r="G890">
        <f t="shared" si="26"/>
        <v>928.45788311768638</v>
      </c>
      <c r="H890">
        <f t="shared" si="27"/>
        <v>-435.43333544150744</v>
      </c>
    </row>
    <row r="891" spans="6:8" x14ac:dyDescent="0.35">
      <c r="F891">
        <v>17.7600000000003</v>
      </c>
      <c r="G891">
        <f t="shared" si="26"/>
        <v>929.50462255750335</v>
      </c>
      <c r="H891">
        <f t="shared" si="27"/>
        <v>-437.66842995359559</v>
      </c>
    </row>
    <row r="892" spans="6:8" x14ac:dyDescent="0.35">
      <c r="F892">
        <v>17.7800000000003</v>
      </c>
      <c r="G892">
        <f t="shared" si="26"/>
        <v>930.55136199732021</v>
      </c>
      <c r="H892">
        <f t="shared" si="27"/>
        <v>-439.90744846568361</v>
      </c>
    </row>
    <row r="893" spans="6:8" x14ac:dyDescent="0.35">
      <c r="F893">
        <v>17.800000000000299</v>
      </c>
      <c r="G893">
        <f t="shared" si="26"/>
        <v>931.59810143713719</v>
      </c>
      <c r="H893">
        <f t="shared" si="27"/>
        <v>-442.15039097777174</v>
      </c>
    </row>
    <row r="894" spans="6:8" x14ac:dyDescent="0.35">
      <c r="F894">
        <v>17.820000000000299</v>
      </c>
      <c r="G894">
        <f t="shared" si="26"/>
        <v>932.64484087695416</v>
      </c>
      <c r="H894">
        <f t="shared" si="27"/>
        <v>-444.39725748985973</v>
      </c>
    </row>
    <row r="895" spans="6:8" x14ac:dyDescent="0.35">
      <c r="F895">
        <v>17.840000000000298</v>
      </c>
      <c r="G895">
        <f t="shared" si="26"/>
        <v>933.69158031677114</v>
      </c>
      <c r="H895">
        <f t="shared" si="27"/>
        <v>-446.64804800194781</v>
      </c>
    </row>
    <row r="896" spans="6:8" x14ac:dyDescent="0.35">
      <c r="F896">
        <v>17.860000000000301</v>
      </c>
      <c r="G896">
        <f t="shared" si="26"/>
        <v>934.73831975658834</v>
      </c>
      <c r="H896">
        <f t="shared" si="27"/>
        <v>-448.902762514036</v>
      </c>
    </row>
    <row r="897" spans="6:8" x14ac:dyDescent="0.35">
      <c r="F897">
        <v>17.880000000000301</v>
      </c>
      <c r="G897">
        <f t="shared" si="26"/>
        <v>935.78505919640531</v>
      </c>
      <c r="H897">
        <f t="shared" si="27"/>
        <v>-451.16140102612451</v>
      </c>
    </row>
    <row r="898" spans="6:8" x14ac:dyDescent="0.35">
      <c r="F898">
        <v>17.900000000000301</v>
      </c>
      <c r="G898">
        <f t="shared" si="26"/>
        <v>936.83179863622229</v>
      </c>
      <c r="H898">
        <f t="shared" si="27"/>
        <v>-453.42396353821243</v>
      </c>
    </row>
    <row r="899" spans="6:8" x14ac:dyDescent="0.35">
      <c r="F899">
        <v>17.9200000000003</v>
      </c>
      <c r="G899">
        <f t="shared" ref="G899:G962" si="28">$B$15*F899</f>
        <v>937.87853807603926</v>
      </c>
      <c r="H899">
        <f t="shared" ref="H899:H962" si="29">$B$13*F899-($B$8*F899^2)/2+$B$12</f>
        <v>-455.69045005030046</v>
      </c>
    </row>
    <row r="900" spans="6:8" x14ac:dyDescent="0.35">
      <c r="F900">
        <v>17.9400000000003</v>
      </c>
      <c r="G900">
        <f t="shared" si="28"/>
        <v>938.92527751585624</v>
      </c>
      <c r="H900">
        <f t="shared" si="29"/>
        <v>-457.96086056238858</v>
      </c>
    </row>
    <row r="901" spans="6:8" x14ac:dyDescent="0.35">
      <c r="F901">
        <v>17.960000000000299</v>
      </c>
      <c r="G901">
        <f t="shared" si="28"/>
        <v>939.97201695567321</v>
      </c>
      <c r="H901">
        <f t="shared" si="29"/>
        <v>-460.23519507447656</v>
      </c>
    </row>
    <row r="902" spans="6:8" x14ac:dyDescent="0.35">
      <c r="F902">
        <v>17.980000000000299</v>
      </c>
      <c r="G902">
        <f t="shared" si="28"/>
        <v>941.01875639549019</v>
      </c>
      <c r="H902">
        <f t="shared" si="29"/>
        <v>-462.51345358656465</v>
      </c>
    </row>
    <row r="903" spans="6:8" x14ac:dyDescent="0.35">
      <c r="F903">
        <v>18.000000000000298</v>
      </c>
      <c r="G903">
        <f t="shared" si="28"/>
        <v>942.06549583530716</v>
      </c>
      <c r="H903">
        <f t="shared" si="29"/>
        <v>-464.79563609865261</v>
      </c>
    </row>
    <row r="904" spans="6:8" x14ac:dyDescent="0.35">
      <c r="F904">
        <v>18.020000000000302</v>
      </c>
      <c r="G904">
        <f t="shared" si="28"/>
        <v>943.11223527512425</v>
      </c>
      <c r="H904">
        <f t="shared" si="29"/>
        <v>-467.08174261074112</v>
      </c>
    </row>
    <row r="905" spans="6:8" x14ac:dyDescent="0.35">
      <c r="F905">
        <v>18.040000000000301</v>
      </c>
      <c r="G905">
        <f t="shared" si="28"/>
        <v>944.15897471494122</v>
      </c>
      <c r="H905">
        <f t="shared" si="29"/>
        <v>-469.37177312282904</v>
      </c>
    </row>
    <row r="906" spans="6:8" x14ac:dyDescent="0.35">
      <c r="F906">
        <v>18.060000000000301</v>
      </c>
      <c r="G906">
        <f t="shared" si="28"/>
        <v>945.2057141547582</v>
      </c>
      <c r="H906">
        <f t="shared" si="29"/>
        <v>-471.66572763491752</v>
      </c>
    </row>
    <row r="907" spans="6:8" x14ac:dyDescent="0.35">
      <c r="F907">
        <v>18.0800000000003</v>
      </c>
      <c r="G907">
        <f t="shared" si="28"/>
        <v>946.25245359457517</v>
      </c>
      <c r="H907">
        <f t="shared" si="29"/>
        <v>-473.96360614700518</v>
      </c>
    </row>
    <row r="908" spans="6:8" x14ac:dyDescent="0.35">
      <c r="F908">
        <v>18.1000000000003</v>
      </c>
      <c r="G908">
        <f t="shared" si="28"/>
        <v>947.29919303439215</v>
      </c>
      <c r="H908">
        <f t="shared" si="29"/>
        <v>-476.26540865909362</v>
      </c>
    </row>
    <row r="909" spans="6:8" x14ac:dyDescent="0.35">
      <c r="F909">
        <v>18.120000000000299</v>
      </c>
      <c r="G909">
        <f t="shared" si="28"/>
        <v>948.34593247420912</v>
      </c>
      <c r="H909">
        <f t="shared" si="29"/>
        <v>-478.57113517118148</v>
      </c>
    </row>
    <row r="910" spans="6:8" x14ac:dyDescent="0.35">
      <c r="F910">
        <v>18.140000000000299</v>
      </c>
      <c r="G910">
        <f t="shared" si="28"/>
        <v>949.3926719140261</v>
      </c>
      <c r="H910">
        <f t="shared" si="29"/>
        <v>-480.88078568326944</v>
      </c>
    </row>
    <row r="911" spans="6:8" x14ac:dyDescent="0.35">
      <c r="F911">
        <v>18.160000000000299</v>
      </c>
      <c r="G911">
        <f t="shared" si="28"/>
        <v>950.43941135384307</v>
      </c>
      <c r="H911">
        <f t="shared" si="29"/>
        <v>-483.19436019535772</v>
      </c>
    </row>
    <row r="912" spans="6:8" x14ac:dyDescent="0.35">
      <c r="F912">
        <v>18.180000000000302</v>
      </c>
      <c r="G912">
        <f t="shared" si="28"/>
        <v>951.48615079366016</v>
      </c>
      <c r="H912">
        <f t="shared" si="29"/>
        <v>-485.51185870744609</v>
      </c>
    </row>
    <row r="913" spans="6:8" x14ac:dyDescent="0.35">
      <c r="F913">
        <v>18.200000000000301</v>
      </c>
      <c r="G913">
        <f t="shared" si="28"/>
        <v>952.53289023347713</v>
      </c>
      <c r="H913">
        <f t="shared" si="29"/>
        <v>-487.83328121953434</v>
      </c>
    </row>
    <row r="914" spans="6:8" x14ac:dyDescent="0.35">
      <c r="F914">
        <v>18.220000000000301</v>
      </c>
      <c r="G914">
        <f t="shared" si="28"/>
        <v>953.57962967329411</v>
      </c>
      <c r="H914">
        <f t="shared" si="29"/>
        <v>-490.158627731622</v>
      </c>
    </row>
    <row r="915" spans="6:8" x14ac:dyDescent="0.35">
      <c r="F915">
        <v>18.2400000000003</v>
      </c>
      <c r="G915">
        <f t="shared" si="28"/>
        <v>954.62636911311108</v>
      </c>
      <c r="H915">
        <f t="shared" si="29"/>
        <v>-492.48789824371022</v>
      </c>
    </row>
    <row r="916" spans="6:8" x14ac:dyDescent="0.35">
      <c r="F916">
        <v>18.2600000000003</v>
      </c>
      <c r="G916">
        <f t="shared" si="28"/>
        <v>955.67310855292806</v>
      </c>
      <c r="H916">
        <f t="shared" si="29"/>
        <v>-494.8210927557983</v>
      </c>
    </row>
    <row r="917" spans="6:8" x14ac:dyDescent="0.35">
      <c r="F917">
        <v>18.2800000000003</v>
      </c>
      <c r="G917">
        <f t="shared" si="28"/>
        <v>956.71984799274503</v>
      </c>
      <c r="H917">
        <f t="shared" si="29"/>
        <v>-497.15821126788626</v>
      </c>
    </row>
    <row r="918" spans="6:8" x14ac:dyDescent="0.35">
      <c r="F918">
        <v>18.300000000000299</v>
      </c>
      <c r="G918">
        <f t="shared" si="28"/>
        <v>957.76658743256201</v>
      </c>
      <c r="H918">
        <f t="shared" si="29"/>
        <v>-499.49925377997454</v>
      </c>
    </row>
    <row r="919" spans="6:8" x14ac:dyDescent="0.35">
      <c r="F919">
        <v>18.320000000000299</v>
      </c>
      <c r="G919">
        <f t="shared" si="28"/>
        <v>958.81332687237898</v>
      </c>
      <c r="H919">
        <f t="shared" si="29"/>
        <v>-501.84422029206246</v>
      </c>
    </row>
    <row r="920" spans="6:8" x14ac:dyDescent="0.35">
      <c r="F920">
        <v>18.340000000000298</v>
      </c>
      <c r="G920">
        <f t="shared" si="28"/>
        <v>959.86006631219595</v>
      </c>
      <c r="H920">
        <f t="shared" si="29"/>
        <v>-504.19311080415071</v>
      </c>
    </row>
    <row r="921" spans="6:8" x14ac:dyDescent="0.35">
      <c r="F921">
        <v>18.360000000000301</v>
      </c>
      <c r="G921">
        <f t="shared" si="28"/>
        <v>960.90680575201304</v>
      </c>
      <c r="H921">
        <f t="shared" si="29"/>
        <v>-506.54592531623882</v>
      </c>
    </row>
    <row r="922" spans="6:8" x14ac:dyDescent="0.35">
      <c r="F922">
        <v>18.380000000000301</v>
      </c>
      <c r="G922">
        <f t="shared" si="28"/>
        <v>961.95354519183002</v>
      </c>
      <c r="H922">
        <f t="shared" si="29"/>
        <v>-508.90266382832704</v>
      </c>
    </row>
    <row r="923" spans="6:8" x14ac:dyDescent="0.35">
      <c r="F923">
        <v>18.400000000000301</v>
      </c>
      <c r="G923">
        <f t="shared" si="28"/>
        <v>963.00028463164699</v>
      </c>
      <c r="H923">
        <f t="shared" si="29"/>
        <v>-511.26332634041535</v>
      </c>
    </row>
    <row r="924" spans="6:8" x14ac:dyDescent="0.35">
      <c r="F924">
        <v>18.4200000000003</v>
      </c>
      <c r="G924">
        <f t="shared" si="28"/>
        <v>964.04702407146397</v>
      </c>
      <c r="H924">
        <f t="shared" si="29"/>
        <v>-513.62791285250307</v>
      </c>
    </row>
    <row r="925" spans="6:8" x14ac:dyDescent="0.35">
      <c r="F925">
        <v>18.4400000000003</v>
      </c>
      <c r="G925">
        <f t="shared" si="28"/>
        <v>965.09376351128094</v>
      </c>
      <c r="H925">
        <f t="shared" si="29"/>
        <v>-515.99642336459135</v>
      </c>
    </row>
    <row r="926" spans="6:8" x14ac:dyDescent="0.35">
      <c r="F926">
        <v>18.460000000000299</v>
      </c>
      <c r="G926">
        <f t="shared" si="28"/>
        <v>966.14050295109791</v>
      </c>
      <c r="H926">
        <f t="shared" si="29"/>
        <v>-518.36885787667927</v>
      </c>
    </row>
    <row r="927" spans="6:8" x14ac:dyDescent="0.35">
      <c r="F927">
        <v>18.480000000000299</v>
      </c>
      <c r="G927">
        <f t="shared" si="28"/>
        <v>967.18724239091489</v>
      </c>
      <c r="H927">
        <f t="shared" si="29"/>
        <v>-520.74521638876729</v>
      </c>
    </row>
    <row r="928" spans="6:8" x14ac:dyDescent="0.35">
      <c r="F928">
        <v>18.500000000000298</v>
      </c>
      <c r="G928">
        <f t="shared" si="28"/>
        <v>968.23398183073186</v>
      </c>
      <c r="H928">
        <f t="shared" si="29"/>
        <v>-523.1254989008554</v>
      </c>
    </row>
    <row r="929" spans="6:8" x14ac:dyDescent="0.35">
      <c r="F929">
        <v>18.520000000000302</v>
      </c>
      <c r="G929">
        <f t="shared" si="28"/>
        <v>969.28072127054907</v>
      </c>
      <c r="H929">
        <f t="shared" si="29"/>
        <v>-525.50970541294384</v>
      </c>
    </row>
    <row r="930" spans="6:8" x14ac:dyDescent="0.35">
      <c r="F930">
        <v>18.540000000000301</v>
      </c>
      <c r="G930">
        <f t="shared" si="28"/>
        <v>970.32746071036604</v>
      </c>
      <c r="H930">
        <f t="shared" si="29"/>
        <v>-527.89783592503193</v>
      </c>
    </row>
    <row r="931" spans="6:8" x14ac:dyDescent="0.35">
      <c r="F931">
        <v>18.560000000000301</v>
      </c>
      <c r="G931">
        <f t="shared" si="28"/>
        <v>971.37420015018301</v>
      </c>
      <c r="H931">
        <f t="shared" si="29"/>
        <v>-530.28989043712011</v>
      </c>
    </row>
    <row r="932" spans="6:8" x14ac:dyDescent="0.35">
      <c r="F932">
        <v>18.5800000000003</v>
      </c>
      <c r="G932">
        <f t="shared" si="28"/>
        <v>972.42093958999988</v>
      </c>
      <c r="H932">
        <f t="shared" si="29"/>
        <v>-532.68586894920816</v>
      </c>
    </row>
    <row r="933" spans="6:8" x14ac:dyDescent="0.35">
      <c r="F933">
        <v>18.6000000000003</v>
      </c>
      <c r="G933">
        <f t="shared" si="28"/>
        <v>973.46767902981685</v>
      </c>
      <c r="H933">
        <f t="shared" si="29"/>
        <v>-535.08577146129608</v>
      </c>
    </row>
    <row r="934" spans="6:8" x14ac:dyDescent="0.35">
      <c r="F934">
        <v>18.620000000000299</v>
      </c>
      <c r="G934">
        <f t="shared" si="28"/>
        <v>974.51441846963382</v>
      </c>
      <c r="H934">
        <f t="shared" si="29"/>
        <v>-537.48959797338432</v>
      </c>
    </row>
    <row r="935" spans="6:8" x14ac:dyDescent="0.35">
      <c r="F935">
        <v>18.640000000000299</v>
      </c>
      <c r="G935">
        <f t="shared" si="28"/>
        <v>975.5611579094508</v>
      </c>
      <c r="H935">
        <f t="shared" si="29"/>
        <v>-539.89734848547243</v>
      </c>
    </row>
    <row r="936" spans="6:8" x14ac:dyDescent="0.35">
      <c r="F936">
        <v>18.660000000000299</v>
      </c>
      <c r="G936">
        <f t="shared" si="28"/>
        <v>976.60789734926777</v>
      </c>
      <c r="H936">
        <f t="shared" si="29"/>
        <v>-542.30902299756042</v>
      </c>
    </row>
    <row r="937" spans="6:8" x14ac:dyDescent="0.35">
      <c r="F937">
        <v>18.680000000000302</v>
      </c>
      <c r="G937">
        <f t="shared" si="28"/>
        <v>977.65463678908498</v>
      </c>
      <c r="H937">
        <f t="shared" si="29"/>
        <v>-544.72462150964873</v>
      </c>
    </row>
    <row r="938" spans="6:8" x14ac:dyDescent="0.35">
      <c r="F938">
        <v>18.700000000000301</v>
      </c>
      <c r="G938">
        <f t="shared" si="28"/>
        <v>978.70137622890195</v>
      </c>
      <c r="H938">
        <f t="shared" si="29"/>
        <v>-547.14414402173691</v>
      </c>
    </row>
    <row r="939" spans="6:8" x14ac:dyDescent="0.35">
      <c r="F939">
        <v>18.720000000000301</v>
      </c>
      <c r="G939">
        <f t="shared" si="28"/>
        <v>979.74811566871892</v>
      </c>
      <c r="H939">
        <f t="shared" si="29"/>
        <v>-549.56759053382495</v>
      </c>
    </row>
    <row r="940" spans="6:8" x14ac:dyDescent="0.35">
      <c r="F940">
        <v>18.7400000000003</v>
      </c>
      <c r="G940">
        <f t="shared" si="28"/>
        <v>980.7948551085359</v>
      </c>
      <c r="H940">
        <f t="shared" si="29"/>
        <v>-551.9949610459131</v>
      </c>
    </row>
    <row r="941" spans="6:8" x14ac:dyDescent="0.35">
      <c r="F941">
        <v>18.7600000000003</v>
      </c>
      <c r="G941">
        <f t="shared" si="28"/>
        <v>981.84159454835287</v>
      </c>
      <c r="H941">
        <f t="shared" si="29"/>
        <v>-554.42625555800089</v>
      </c>
    </row>
    <row r="942" spans="6:8" x14ac:dyDescent="0.35">
      <c r="F942">
        <v>18.7800000000003</v>
      </c>
      <c r="G942">
        <f t="shared" si="28"/>
        <v>982.88833398816985</v>
      </c>
      <c r="H942">
        <f t="shared" si="29"/>
        <v>-556.861474070089</v>
      </c>
    </row>
    <row r="943" spans="6:8" x14ac:dyDescent="0.35">
      <c r="F943">
        <v>18.800000000000299</v>
      </c>
      <c r="G943">
        <f t="shared" si="28"/>
        <v>983.93507342798671</v>
      </c>
      <c r="H943">
        <f t="shared" si="29"/>
        <v>-559.30061658217721</v>
      </c>
    </row>
    <row r="944" spans="6:8" x14ac:dyDescent="0.35">
      <c r="F944">
        <v>18.820000000000299</v>
      </c>
      <c r="G944">
        <f t="shared" si="28"/>
        <v>984.98181286780368</v>
      </c>
      <c r="H944">
        <f t="shared" si="29"/>
        <v>-561.74368309426507</v>
      </c>
    </row>
    <row r="945" spans="6:8" x14ac:dyDescent="0.35">
      <c r="F945">
        <v>18.840000000000298</v>
      </c>
      <c r="G945">
        <f t="shared" si="28"/>
        <v>986.02855230762066</v>
      </c>
      <c r="H945">
        <f t="shared" si="29"/>
        <v>-564.19067360635324</v>
      </c>
    </row>
    <row r="946" spans="6:8" x14ac:dyDescent="0.35">
      <c r="F946">
        <v>18.860000000000301</v>
      </c>
      <c r="G946">
        <f t="shared" si="28"/>
        <v>987.07529174743786</v>
      </c>
      <c r="H946">
        <f t="shared" si="29"/>
        <v>-566.64158811844175</v>
      </c>
    </row>
    <row r="947" spans="6:8" x14ac:dyDescent="0.35">
      <c r="F947">
        <v>18.880000000000301</v>
      </c>
      <c r="G947">
        <f t="shared" si="28"/>
        <v>988.12203118725483</v>
      </c>
      <c r="H947">
        <f t="shared" si="29"/>
        <v>-569.09642663052989</v>
      </c>
    </row>
    <row r="948" spans="6:8" x14ac:dyDescent="0.35">
      <c r="F948">
        <v>18.900000000000301</v>
      </c>
      <c r="G948">
        <f t="shared" si="28"/>
        <v>989.16877062707181</v>
      </c>
      <c r="H948">
        <f t="shared" si="29"/>
        <v>-571.55518914261791</v>
      </c>
    </row>
    <row r="949" spans="6:8" x14ac:dyDescent="0.35">
      <c r="F949">
        <v>18.9200000000003</v>
      </c>
      <c r="G949">
        <f t="shared" si="28"/>
        <v>990.21551006688878</v>
      </c>
      <c r="H949">
        <f t="shared" si="29"/>
        <v>-574.01787565470579</v>
      </c>
    </row>
    <row r="950" spans="6:8" x14ac:dyDescent="0.35">
      <c r="F950">
        <v>18.9400000000003</v>
      </c>
      <c r="G950">
        <f t="shared" si="28"/>
        <v>991.26224950670576</v>
      </c>
      <c r="H950">
        <f t="shared" si="29"/>
        <v>-576.484486166794</v>
      </c>
    </row>
    <row r="951" spans="6:8" x14ac:dyDescent="0.35">
      <c r="F951">
        <v>18.960000000000299</v>
      </c>
      <c r="G951">
        <f t="shared" si="28"/>
        <v>992.30898894652273</v>
      </c>
      <c r="H951">
        <f t="shared" si="29"/>
        <v>-578.95502067888185</v>
      </c>
    </row>
    <row r="952" spans="6:8" x14ac:dyDescent="0.35">
      <c r="F952">
        <v>18.980000000000299</v>
      </c>
      <c r="G952">
        <f t="shared" si="28"/>
        <v>993.35572838633971</v>
      </c>
      <c r="H952">
        <f t="shared" si="29"/>
        <v>-581.42947919097026</v>
      </c>
    </row>
    <row r="953" spans="6:8" x14ac:dyDescent="0.35">
      <c r="F953">
        <v>19.000000000000298</v>
      </c>
      <c r="G953">
        <f t="shared" si="28"/>
        <v>994.40246782615668</v>
      </c>
      <c r="H953">
        <f t="shared" si="29"/>
        <v>-583.9078617030583</v>
      </c>
    </row>
    <row r="954" spans="6:8" x14ac:dyDescent="0.35">
      <c r="F954">
        <v>19.020000000000302</v>
      </c>
      <c r="G954">
        <f t="shared" si="28"/>
        <v>995.44920726597377</v>
      </c>
      <c r="H954">
        <f t="shared" si="29"/>
        <v>-586.39016821514667</v>
      </c>
    </row>
    <row r="955" spans="6:8" x14ac:dyDescent="0.35">
      <c r="F955">
        <v>19.040000000000301</v>
      </c>
      <c r="G955">
        <f t="shared" si="28"/>
        <v>996.49594670579074</v>
      </c>
      <c r="H955">
        <f t="shared" si="29"/>
        <v>-588.87639872723469</v>
      </c>
    </row>
    <row r="956" spans="6:8" x14ac:dyDescent="0.35">
      <c r="F956">
        <v>19.060000000000301</v>
      </c>
      <c r="G956">
        <f t="shared" si="28"/>
        <v>997.54268614560772</v>
      </c>
      <c r="H956">
        <f t="shared" si="29"/>
        <v>-591.3665532393228</v>
      </c>
    </row>
    <row r="957" spans="6:8" x14ac:dyDescent="0.35">
      <c r="F957">
        <v>19.0800000000003</v>
      </c>
      <c r="G957">
        <f t="shared" si="28"/>
        <v>998.58942558542469</v>
      </c>
      <c r="H957">
        <f t="shared" si="29"/>
        <v>-593.86063175141078</v>
      </c>
    </row>
    <row r="958" spans="6:8" x14ac:dyDescent="0.35">
      <c r="F958">
        <v>19.1000000000003</v>
      </c>
      <c r="G958">
        <f t="shared" si="28"/>
        <v>999.63616502524167</v>
      </c>
      <c r="H958">
        <f t="shared" si="29"/>
        <v>-596.35863426349863</v>
      </c>
    </row>
    <row r="959" spans="6:8" x14ac:dyDescent="0.35">
      <c r="F959">
        <v>19.120000000000299</v>
      </c>
      <c r="G959">
        <f t="shared" si="28"/>
        <v>1000.6829044650586</v>
      </c>
      <c r="H959">
        <f t="shared" si="29"/>
        <v>-598.86056077558703</v>
      </c>
    </row>
    <row r="960" spans="6:8" x14ac:dyDescent="0.35">
      <c r="F960">
        <v>19.140000000000299</v>
      </c>
      <c r="G960">
        <f t="shared" si="28"/>
        <v>1001.7296439048756</v>
      </c>
      <c r="H960">
        <f t="shared" si="29"/>
        <v>-601.36641128767508</v>
      </c>
    </row>
    <row r="961" spans="6:8" x14ac:dyDescent="0.35">
      <c r="F961">
        <v>19.160000000000299</v>
      </c>
      <c r="G961">
        <f t="shared" si="28"/>
        <v>1002.7763833446926</v>
      </c>
      <c r="H961">
        <f t="shared" si="29"/>
        <v>-603.87618579976299</v>
      </c>
    </row>
    <row r="962" spans="6:8" x14ac:dyDescent="0.35">
      <c r="F962">
        <v>19.180000000000302</v>
      </c>
      <c r="G962">
        <f t="shared" si="28"/>
        <v>1003.8231227845097</v>
      </c>
      <c r="H962">
        <f t="shared" si="29"/>
        <v>-606.38988431185146</v>
      </c>
    </row>
    <row r="963" spans="6:8" x14ac:dyDescent="0.35">
      <c r="F963">
        <v>19.200000000000301</v>
      </c>
      <c r="G963">
        <f t="shared" ref="G963:G1026" si="30">$B$15*F963</f>
        <v>1004.8698622243267</v>
      </c>
      <c r="H963">
        <f t="shared" ref="H963:H1026" si="31">$B$13*F963-($B$8*F963^2)/2+$B$12</f>
        <v>-608.90750682393957</v>
      </c>
    </row>
    <row r="964" spans="6:8" x14ac:dyDescent="0.35">
      <c r="F964">
        <v>19.220000000000301</v>
      </c>
      <c r="G964">
        <f t="shared" si="30"/>
        <v>1005.9166016641436</v>
      </c>
      <c r="H964">
        <f t="shared" si="31"/>
        <v>-611.42905333602778</v>
      </c>
    </row>
    <row r="965" spans="6:8" x14ac:dyDescent="0.35">
      <c r="F965">
        <v>19.2400000000003</v>
      </c>
      <c r="G965">
        <f t="shared" si="30"/>
        <v>1006.9633411039606</v>
      </c>
      <c r="H965">
        <f t="shared" si="31"/>
        <v>-613.95452384811585</v>
      </c>
    </row>
    <row r="966" spans="6:8" x14ac:dyDescent="0.35">
      <c r="F966">
        <v>19.2600000000003</v>
      </c>
      <c r="G966">
        <f t="shared" si="30"/>
        <v>1008.0100805437776</v>
      </c>
      <c r="H966">
        <f t="shared" si="31"/>
        <v>-616.4839183602038</v>
      </c>
    </row>
    <row r="967" spans="6:8" x14ac:dyDescent="0.35">
      <c r="F967">
        <v>19.2800000000003</v>
      </c>
      <c r="G967">
        <f t="shared" si="30"/>
        <v>1009.0568199835946</v>
      </c>
      <c r="H967">
        <f t="shared" si="31"/>
        <v>-619.01723687229185</v>
      </c>
    </row>
    <row r="968" spans="6:8" x14ac:dyDescent="0.35">
      <c r="F968">
        <v>19.300000000000299</v>
      </c>
      <c r="G968">
        <f t="shared" si="30"/>
        <v>1010.1035594234115</v>
      </c>
      <c r="H968">
        <f t="shared" si="31"/>
        <v>-621.55447938437999</v>
      </c>
    </row>
    <row r="969" spans="6:8" x14ac:dyDescent="0.35">
      <c r="F969">
        <v>19.320000000000299</v>
      </c>
      <c r="G969">
        <f t="shared" si="30"/>
        <v>1011.1502988632285</v>
      </c>
      <c r="H969">
        <f t="shared" si="31"/>
        <v>-624.095645896468</v>
      </c>
    </row>
    <row r="970" spans="6:8" x14ac:dyDescent="0.35">
      <c r="F970">
        <v>19.340000000000298</v>
      </c>
      <c r="G970">
        <f t="shared" si="30"/>
        <v>1012.1970383030455</v>
      </c>
      <c r="H970">
        <f t="shared" si="31"/>
        <v>-626.64073640855588</v>
      </c>
    </row>
    <row r="971" spans="6:8" x14ac:dyDescent="0.35">
      <c r="F971">
        <v>19.360000000000301</v>
      </c>
      <c r="G971">
        <f t="shared" si="30"/>
        <v>1013.2437777428626</v>
      </c>
      <c r="H971">
        <f t="shared" si="31"/>
        <v>-629.18975092064477</v>
      </c>
    </row>
    <row r="972" spans="6:8" x14ac:dyDescent="0.35">
      <c r="F972">
        <v>19.380000000000301</v>
      </c>
      <c r="G972">
        <f t="shared" si="30"/>
        <v>1014.2905171826795</v>
      </c>
      <c r="H972">
        <f t="shared" si="31"/>
        <v>-631.74268943273262</v>
      </c>
    </row>
    <row r="973" spans="6:8" x14ac:dyDescent="0.35">
      <c r="F973">
        <v>19.400000000000301</v>
      </c>
      <c r="G973">
        <f t="shared" si="30"/>
        <v>1015.3372566224965</v>
      </c>
      <c r="H973">
        <f t="shared" si="31"/>
        <v>-634.29955194482079</v>
      </c>
    </row>
    <row r="974" spans="6:8" x14ac:dyDescent="0.35">
      <c r="F974">
        <v>19.4200000000003</v>
      </c>
      <c r="G974">
        <f t="shared" si="30"/>
        <v>1016.3839960623135</v>
      </c>
      <c r="H974">
        <f t="shared" si="31"/>
        <v>-636.86033845690861</v>
      </c>
    </row>
    <row r="975" spans="6:8" x14ac:dyDescent="0.35">
      <c r="F975">
        <v>19.4400000000003</v>
      </c>
      <c r="G975">
        <f t="shared" si="30"/>
        <v>1017.4307355021305</v>
      </c>
      <c r="H975">
        <f t="shared" si="31"/>
        <v>-639.42504896899675</v>
      </c>
    </row>
    <row r="976" spans="6:8" x14ac:dyDescent="0.35">
      <c r="F976">
        <v>19.460000000000299</v>
      </c>
      <c r="G976">
        <f t="shared" si="30"/>
        <v>1018.4774749419474</v>
      </c>
      <c r="H976">
        <f t="shared" si="31"/>
        <v>-641.99368348108476</v>
      </c>
    </row>
    <row r="977" spans="6:8" x14ac:dyDescent="0.35">
      <c r="F977">
        <v>19.480000000000299</v>
      </c>
      <c r="G977">
        <f t="shared" si="30"/>
        <v>1019.5242143817644</v>
      </c>
      <c r="H977">
        <f t="shared" si="31"/>
        <v>-644.56624199317264</v>
      </c>
    </row>
    <row r="978" spans="6:8" x14ac:dyDescent="0.35">
      <c r="F978">
        <v>19.500000000000298</v>
      </c>
      <c r="G978">
        <f t="shared" si="30"/>
        <v>1020.5709538215814</v>
      </c>
      <c r="H978">
        <f t="shared" si="31"/>
        <v>-647.14272450526107</v>
      </c>
    </row>
    <row r="979" spans="6:8" x14ac:dyDescent="0.35">
      <c r="F979">
        <v>19.520000000000302</v>
      </c>
      <c r="G979">
        <f t="shared" si="30"/>
        <v>1021.6176932613986</v>
      </c>
      <c r="H979">
        <f t="shared" si="31"/>
        <v>-649.72313101734915</v>
      </c>
    </row>
    <row r="980" spans="6:8" x14ac:dyDescent="0.35">
      <c r="F980">
        <v>19.540000000000301</v>
      </c>
      <c r="G980">
        <f t="shared" si="30"/>
        <v>1022.6644327012156</v>
      </c>
      <c r="H980">
        <f t="shared" si="31"/>
        <v>-652.30746152943755</v>
      </c>
    </row>
    <row r="981" spans="6:8" x14ac:dyDescent="0.35">
      <c r="F981">
        <v>19.560000000000301</v>
      </c>
      <c r="G981">
        <f t="shared" si="30"/>
        <v>1023.7111721410325</v>
      </c>
      <c r="H981">
        <f t="shared" si="31"/>
        <v>-654.89571604152536</v>
      </c>
    </row>
    <row r="982" spans="6:8" x14ac:dyDescent="0.35">
      <c r="F982">
        <v>19.5800000000003</v>
      </c>
      <c r="G982">
        <f t="shared" si="30"/>
        <v>1024.7579115808494</v>
      </c>
      <c r="H982">
        <f t="shared" si="31"/>
        <v>-657.48789455361373</v>
      </c>
    </row>
    <row r="983" spans="6:8" x14ac:dyDescent="0.35">
      <c r="F983">
        <v>19.6000000000003</v>
      </c>
      <c r="G983">
        <f t="shared" si="30"/>
        <v>1025.8046510206664</v>
      </c>
      <c r="H983">
        <f t="shared" si="31"/>
        <v>-660.08399706570151</v>
      </c>
    </row>
    <row r="984" spans="6:8" x14ac:dyDescent="0.35">
      <c r="F984">
        <v>19.620000000000299</v>
      </c>
      <c r="G984">
        <f t="shared" si="30"/>
        <v>1026.8513904604833</v>
      </c>
      <c r="H984">
        <f t="shared" si="31"/>
        <v>-662.68402357778962</v>
      </c>
    </row>
    <row r="985" spans="6:8" x14ac:dyDescent="0.35">
      <c r="F985">
        <v>19.640000000000299</v>
      </c>
      <c r="G985">
        <f t="shared" si="30"/>
        <v>1027.8981299003003</v>
      </c>
      <c r="H985">
        <f t="shared" si="31"/>
        <v>-665.28797408987782</v>
      </c>
    </row>
    <row r="986" spans="6:8" x14ac:dyDescent="0.35">
      <c r="F986">
        <v>19.660000000000299</v>
      </c>
      <c r="G986">
        <f t="shared" si="30"/>
        <v>1028.9448693401173</v>
      </c>
      <c r="H986">
        <f t="shared" si="31"/>
        <v>-667.89584860196567</v>
      </c>
    </row>
    <row r="987" spans="6:8" x14ac:dyDescent="0.35">
      <c r="F987">
        <v>19.680000000000302</v>
      </c>
      <c r="G987">
        <f t="shared" si="30"/>
        <v>1029.9916087799345</v>
      </c>
      <c r="H987">
        <f t="shared" si="31"/>
        <v>-670.50764711405429</v>
      </c>
    </row>
    <row r="988" spans="6:8" x14ac:dyDescent="0.35">
      <c r="F988">
        <v>19.700000000000301</v>
      </c>
      <c r="G988">
        <f t="shared" si="30"/>
        <v>1031.0383482197515</v>
      </c>
      <c r="H988">
        <f t="shared" si="31"/>
        <v>-673.12336962614233</v>
      </c>
    </row>
    <row r="989" spans="6:8" x14ac:dyDescent="0.35">
      <c r="F989">
        <v>19.720000000000301</v>
      </c>
      <c r="G989">
        <f t="shared" si="30"/>
        <v>1032.0850876595684</v>
      </c>
      <c r="H989">
        <f t="shared" si="31"/>
        <v>-675.74301613823047</v>
      </c>
    </row>
    <row r="990" spans="6:8" x14ac:dyDescent="0.35">
      <c r="F990">
        <v>19.7400000000003</v>
      </c>
      <c r="G990">
        <f t="shared" si="30"/>
        <v>1033.1318270993854</v>
      </c>
      <c r="H990">
        <f t="shared" si="31"/>
        <v>-678.36658665031848</v>
      </c>
    </row>
    <row r="991" spans="6:8" x14ac:dyDescent="0.35">
      <c r="F991">
        <v>19.7600000000003</v>
      </c>
      <c r="G991">
        <f t="shared" si="30"/>
        <v>1034.1785665392024</v>
      </c>
      <c r="H991">
        <f t="shared" si="31"/>
        <v>-680.99408116240636</v>
      </c>
    </row>
    <row r="992" spans="6:8" x14ac:dyDescent="0.35">
      <c r="F992">
        <v>19.7800000000003</v>
      </c>
      <c r="G992">
        <f t="shared" si="30"/>
        <v>1035.2253059790194</v>
      </c>
      <c r="H992">
        <f t="shared" si="31"/>
        <v>-683.62549967449456</v>
      </c>
    </row>
    <row r="993" spans="6:8" x14ac:dyDescent="0.35">
      <c r="F993">
        <v>19.800000000000299</v>
      </c>
      <c r="G993">
        <f t="shared" si="30"/>
        <v>1036.2720454188363</v>
      </c>
      <c r="H993">
        <f t="shared" si="31"/>
        <v>-686.26084218658264</v>
      </c>
    </row>
    <row r="994" spans="6:8" x14ac:dyDescent="0.35">
      <c r="F994">
        <v>19.820000000000299</v>
      </c>
      <c r="G994">
        <f t="shared" si="30"/>
        <v>1037.3187848586533</v>
      </c>
      <c r="H994">
        <f t="shared" si="31"/>
        <v>-688.90010869867058</v>
      </c>
    </row>
    <row r="995" spans="6:8" x14ac:dyDescent="0.35">
      <c r="F995">
        <v>19.840000000000298</v>
      </c>
      <c r="G995">
        <f t="shared" si="30"/>
        <v>1038.3655242984703</v>
      </c>
      <c r="H995">
        <f t="shared" si="31"/>
        <v>-691.54329921075862</v>
      </c>
    </row>
    <row r="996" spans="6:8" x14ac:dyDescent="0.35">
      <c r="F996">
        <v>19.860000000000301</v>
      </c>
      <c r="G996">
        <f t="shared" si="30"/>
        <v>1039.4122637382875</v>
      </c>
      <c r="H996">
        <f t="shared" si="31"/>
        <v>-694.19041372284744</v>
      </c>
    </row>
    <row r="997" spans="6:8" x14ac:dyDescent="0.35">
      <c r="F997">
        <v>19.880000000000301</v>
      </c>
      <c r="G997">
        <f t="shared" si="30"/>
        <v>1040.4590031781042</v>
      </c>
      <c r="H997">
        <f t="shared" si="31"/>
        <v>-696.84145223493522</v>
      </c>
    </row>
    <row r="998" spans="6:8" x14ac:dyDescent="0.35">
      <c r="F998">
        <v>19.900000000000301</v>
      </c>
      <c r="G998">
        <f t="shared" si="30"/>
        <v>1041.5057426179212</v>
      </c>
      <c r="H998">
        <f t="shared" si="31"/>
        <v>-699.49641474702332</v>
      </c>
    </row>
    <row r="999" spans="6:8" x14ac:dyDescent="0.35">
      <c r="F999">
        <v>19.9200000000003</v>
      </c>
      <c r="G999">
        <f t="shared" si="30"/>
        <v>1042.5524820577382</v>
      </c>
      <c r="H999">
        <f t="shared" si="31"/>
        <v>-702.1553012591113</v>
      </c>
    </row>
    <row r="1000" spans="6:8" x14ac:dyDescent="0.35">
      <c r="F1000">
        <v>19.9400000000003</v>
      </c>
      <c r="G1000">
        <f t="shared" si="30"/>
        <v>1043.5992214975552</v>
      </c>
      <c r="H1000">
        <f t="shared" si="31"/>
        <v>-704.81811177119937</v>
      </c>
    </row>
    <row r="1001" spans="6:8" x14ac:dyDescent="0.35">
      <c r="F1001">
        <v>19.960000000000299</v>
      </c>
      <c r="G1001">
        <f t="shared" si="30"/>
        <v>1044.6459609373721</v>
      </c>
      <c r="H1001">
        <f t="shared" si="31"/>
        <v>-707.48484628328777</v>
      </c>
    </row>
    <row r="1002" spans="6:8" x14ac:dyDescent="0.35">
      <c r="F1002">
        <v>19.980000000000299</v>
      </c>
      <c r="G1002">
        <f t="shared" si="30"/>
        <v>1045.6927003771891</v>
      </c>
      <c r="H1002">
        <f t="shared" si="31"/>
        <v>-710.15550479537558</v>
      </c>
    </row>
    <row r="1003" spans="6:8" x14ac:dyDescent="0.35">
      <c r="F1003">
        <v>20.000000000000298</v>
      </c>
      <c r="G1003">
        <f t="shared" si="30"/>
        <v>1046.7394398170061</v>
      </c>
      <c r="H1003">
        <f t="shared" si="31"/>
        <v>-712.83008730746371</v>
      </c>
    </row>
    <row r="1004" spans="6:8" x14ac:dyDescent="0.35">
      <c r="F1004">
        <v>20.020000000000302</v>
      </c>
      <c r="G1004">
        <f t="shared" si="30"/>
        <v>1047.7861792568233</v>
      </c>
      <c r="H1004">
        <f t="shared" si="31"/>
        <v>-715.50859381955217</v>
      </c>
    </row>
    <row r="1005" spans="6:8" x14ac:dyDescent="0.35">
      <c r="F1005">
        <v>20.040000000000301</v>
      </c>
      <c r="G1005">
        <f t="shared" si="30"/>
        <v>1048.8329186966403</v>
      </c>
      <c r="H1005">
        <f t="shared" si="31"/>
        <v>-718.19102433164028</v>
      </c>
    </row>
    <row r="1006" spans="6:8" x14ac:dyDescent="0.35">
      <c r="F1006">
        <v>20.060000000000301</v>
      </c>
      <c r="G1006">
        <f t="shared" si="30"/>
        <v>1049.8796581364572</v>
      </c>
      <c r="H1006">
        <f t="shared" si="31"/>
        <v>-720.87737884372848</v>
      </c>
    </row>
    <row r="1007" spans="6:8" x14ac:dyDescent="0.35">
      <c r="F1007">
        <v>20.0800000000003</v>
      </c>
      <c r="G1007">
        <f t="shared" si="30"/>
        <v>1050.9263975762742</v>
      </c>
      <c r="H1007">
        <f t="shared" si="31"/>
        <v>-723.56765735581632</v>
      </c>
    </row>
    <row r="1008" spans="6:8" x14ac:dyDescent="0.35">
      <c r="F1008">
        <v>20.1000000000003</v>
      </c>
      <c r="G1008">
        <f t="shared" si="30"/>
        <v>1051.9731370160912</v>
      </c>
      <c r="H1008">
        <f t="shared" si="31"/>
        <v>-726.26185986790426</v>
      </c>
    </row>
    <row r="1009" spans="6:8" x14ac:dyDescent="0.35">
      <c r="F1009">
        <v>20.120000000000299</v>
      </c>
      <c r="G1009">
        <f t="shared" si="30"/>
        <v>1053.0198764559082</v>
      </c>
      <c r="H1009">
        <f t="shared" si="31"/>
        <v>-728.9599863799923</v>
      </c>
    </row>
    <row r="1010" spans="6:8" x14ac:dyDescent="0.35">
      <c r="F1010">
        <v>20.140000000000299</v>
      </c>
      <c r="G1010">
        <f t="shared" si="30"/>
        <v>1054.0666158957251</v>
      </c>
      <c r="H1010">
        <f t="shared" si="31"/>
        <v>-731.66203689208044</v>
      </c>
    </row>
    <row r="1011" spans="6:8" x14ac:dyDescent="0.35">
      <c r="F1011">
        <v>20.160000000000299</v>
      </c>
      <c r="G1011">
        <f t="shared" si="30"/>
        <v>1055.1133553355421</v>
      </c>
      <c r="H1011">
        <f t="shared" si="31"/>
        <v>-734.36801140416844</v>
      </c>
    </row>
    <row r="1012" spans="6:8" x14ac:dyDescent="0.35">
      <c r="F1012">
        <v>20.180000000000302</v>
      </c>
      <c r="G1012">
        <f t="shared" si="30"/>
        <v>1056.1600947753593</v>
      </c>
      <c r="H1012">
        <f t="shared" si="31"/>
        <v>-737.077909916257</v>
      </c>
    </row>
    <row r="1013" spans="6:8" x14ac:dyDescent="0.35">
      <c r="F1013">
        <v>20.200000000000301</v>
      </c>
      <c r="G1013">
        <f t="shared" si="30"/>
        <v>1057.2068342151763</v>
      </c>
      <c r="H1013">
        <f t="shared" si="31"/>
        <v>-739.7917324283452</v>
      </c>
    </row>
    <row r="1014" spans="6:8" x14ac:dyDescent="0.35">
      <c r="F1014">
        <v>20.220000000000301</v>
      </c>
      <c r="G1014">
        <f t="shared" si="30"/>
        <v>1058.2535736549933</v>
      </c>
      <c r="H1014">
        <f t="shared" si="31"/>
        <v>-742.50947894043327</v>
      </c>
    </row>
    <row r="1015" spans="6:8" x14ac:dyDescent="0.35">
      <c r="F1015">
        <v>20.2400000000003</v>
      </c>
      <c r="G1015">
        <f t="shared" si="30"/>
        <v>1059.3003130948102</v>
      </c>
      <c r="H1015">
        <f t="shared" si="31"/>
        <v>-745.23114945252121</v>
      </c>
    </row>
    <row r="1016" spans="6:8" x14ac:dyDescent="0.35">
      <c r="F1016">
        <v>20.2600000000003</v>
      </c>
      <c r="G1016">
        <f t="shared" si="30"/>
        <v>1060.3470525346272</v>
      </c>
      <c r="H1016">
        <f t="shared" si="31"/>
        <v>-747.95674396460925</v>
      </c>
    </row>
    <row r="1017" spans="6:8" x14ac:dyDescent="0.35">
      <c r="F1017">
        <v>20.2800000000003</v>
      </c>
      <c r="G1017">
        <f t="shared" si="30"/>
        <v>1061.3937919744442</v>
      </c>
      <c r="H1017">
        <f t="shared" si="31"/>
        <v>-750.68626247669738</v>
      </c>
    </row>
    <row r="1018" spans="6:8" x14ac:dyDescent="0.35">
      <c r="F1018">
        <v>20.300000000000299</v>
      </c>
      <c r="G1018">
        <f t="shared" si="30"/>
        <v>1062.4405314142612</v>
      </c>
      <c r="H1018">
        <f t="shared" si="31"/>
        <v>-753.41970498878538</v>
      </c>
    </row>
    <row r="1019" spans="6:8" x14ac:dyDescent="0.35">
      <c r="F1019">
        <v>20.320000000000299</v>
      </c>
      <c r="G1019">
        <f t="shared" si="30"/>
        <v>1063.4872708540781</v>
      </c>
      <c r="H1019">
        <f t="shared" si="31"/>
        <v>-756.15707150087371</v>
      </c>
    </row>
    <row r="1020" spans="6:8" x14ac:dyDescent="0.35">
      <c r="F1020">
        <v>20.340000000000298</v>
      </c>
      <c r="G1020">
        <f t="shared" si="30"/>
        <v>1064.5340102938949</v>
      </c>
      <c r="H1020">
        <f t="shared" si="31"/>
        <v>-758.89836201296168</v>
      </c>
    </row>
    <row r="1021" spans="6:8" x14ac:dyDescent="0.35">
      <c r="F1021">
        <v>20.360000000000301</v>
      </c>
      <c r="G1021">
        <f t="shared" si="30"/>
        <v>1065.5807497337121</v>
      </c>
      <c r="H1021">
        <f t="shared" si="31"/>
        <v>-761.64357652504998</v>
      </c>
    </row>
    <row r="1022" spans="6:8" x14ac:dyDescent="0.35">
      <c r="F1022">
        <v>20.380000000000301</v>
      </c>
      <c r="G1022">
        <f t="shared" si="30"/>
        <v>1066.6274891735291</v>
      </c>
      <c r="H1022">
        <f t="shared" si="31"/>
        <v>-764.39271503713815</v>
      </c>
    </row>
    <row r="1023" spans="6:8" x14ac:dyDescent="0.35">
      <c r="F1023">
        <v>20.400000000000301</v>
      </c>
      <c r="G1023">
        <f t="shared" si="30"/>
        <v>1067.674228613346</v>
      </c>
      <c r="H1023">
        <f t="shared" si="31"/>
        <v>-767.14577754922595</v>
      </c>
    </row>
    <row r="1024" spans="6:8" x14ac:dyDescent="0.35">
      <c r="F1024">
        <v>20.4200000000003</v>
      </c>
      <c r="G1024">
        <f t="shared" si="30"/>
        <v>1068.720968053163</v>
      </c>
      <c r="H1024">
        <f t="shared" si="31"/>
        <v>-769.90276406131409</v>
      </c>
    </row>
    <row r="1025" spans="6:8" x14ac:dyDescent="0.35">
      <c r="F1025">
        <v>20.4400000000003</v>
      </c>
      <c r="G1025">
        <f t="shared" si="30"/>
        <v>1069.76770749298</v>
      </c>
      <c r="H1025">
        <f t="shared" si="31"/>
        <v>-772.66367457340232</v>
      </c>
    </row>
    <row r="1026" spans="6:8" x14ac:dyDescent="0.35">
      <c r="F1026">
        <v>20.460000000000299</v>
      </c>
      <c r="G1026">
        <f t="shared" si="30"/>
        <v>1070.814446932797</v>
      </c>
      <c r="H1026">
        <f t="shared" si="31"/>
        <v>-775.42850908549019</v>
      </c>
    </row>
    <row r="1027" spans="6:8" x14ac:dyDescent="0.35">
      <c r="F1027">
        <v>20.480000000000299</v>
      </c>
      <c r="G1027">
        <f t="shared" ref="G1027:G1090" si="32">$B$15*F1027</f>
        <v>1071.8611863726139</v>
      </c>
      <c r="H1027">
        <f t="shared" ref="H1027:H1053" si="33">$B$13*F1027-($B$8*F1027^2)/2+$B$12</f>
        <v>-778.19726759757839</v>
      </c>
    </row>
    <row r="1028" spans="6:8" x14ac:dyDescent="0.35">
      <c r="F1028">
        <v>20.500000000000298</v>
      </c>
      <c r="G1028">
        <f t="shared" si="32"/>
        <v>1072.9079258124309</v>
      </c>
      <c r="H1028">
        <f t="shared" si="33"/>
        <v>-780.96995010966623</v>
      </c>
    </row>
    <row r="1029" spans="6:8" x14ac:dyDescent="0.35">
      <c r="F1029">
        <v>20.520000000000302</v>
      </c>
      <c r="G1029">
        <f t="shared" si="32"/>
        <v>1073.9546652522481</v>
      </c>
      <c r="H1029">
        <f t="shared" si="33"/>
        <v>-783.74655662175508</v>
      </c>
    </row>
    <row r="1030" spans="6:8" x14ac:dyDescent="0.35">
      <c r="F1030">
        <v>20.540000000000301</v>
      </c>
      <c r="G1030">
        <f t="shared" si="32"/>
        <v>1075.0014046920651</v>
      </c>
      <c r="H1030">
        <f t="shared" si="33"/>
        <v>-786.52708713384311</v>
      </c>
    </row>
    <row r="1031" spans="6:8" x14ac:dyDescent="0.35">
      <c r="F1031">
        <v>20.560000000000301</v>
      </c>
      <c r="G1031">
        <f t="shared" si="32"/>
        <v>1076.0481441318821</v>
      </c>
      <c r="H1031">
        <f t="shared" si="33"/>
        <v>-789.31154164593102</v>
      </c>
    </row>
    <row r="1032" spans="6:8" x14ac:dyDescent="0.35">
      <c r="F1032">
        <v>20.5800000000003</v>
      </c>
      <c r="G1032">
        <f t="shared" si="32"/>
        <v>1077.094883571699</v>
      </c>
      <c r="H1032">
        <f t="shared" si="33"/>
        <v>-792.09992015801879</v>
      </c>
    </row>
    <row r="1033" spans="6:8" x14ac:dyDescent="0.35">
      <c r="F1033">
        <v>20.6000000000003</v>
      </c>
      <c r="G1033">
        <f t="shared" si="32"/>
        <v>1078.141623011516</v>
      </c>
      <c r="H1033">
        <f t="shared" si="33"/>
        <v>-794.89222267010734</v>
      </c>
    </row>
    <row r="1034" spans="6:8" x14ac:dyDescent="0.35">
      <c r="F1034">
        <v>20.620000000000299</v>
      </c>
      <c r="G1034">
        <f t="shared" si="32"/>
        <v>1079.188362451333</v>
      </c>
      <c r="H1034">
        <f t="shared" si="33"/>
        <v>-797.68844918219531</v>
      </c>
    </row>
    <row r="1035" spans="6:8" x14ac:dyDescent="0.35">
      <c r="F1035">
        <v>20.640000000000299</v>
      </c>
      <c r="G1035">
        <f t="shared" si="32"/>
        <v>1080.23510189115</v>
      </c>
      <c r="H1035">
        <f t="shared" si="33"/>
        <v>-800.48859969428338</v>
      </c>
    </row>
    <row r="1036" spans="6:8" x14ac:dyDescent="0.35">
      <c r="F1036">
        <v>20.660000000000299</v>
      </c>
      <c r="G1036">
        <f t="shared" si="32"/>
        <v>1081.2818413309669</v>
      </c>
      <c r="H1036">
        <f t="shared" si="33"/>
        <v>-803.29267420637132</v>
      </c>
    </row>
    <row r="1037" spans="6:8" x14ac:dyDescent="0.35">
      <c r="F1037">
        <v>20.680000000000302</v>
      </c>
      <c r="G1037">
        <f t="shared" si="32"/>
        <v>1082.3285807707839</v>
      </c>
      <c r="H1037">
        <f t="shared" si="33"/>
        <v>-806.1006727184598</v>
      </c>
    </row>
    <row r="1038" spans="6:8" x14ac:dyDescent="0.35">
      <c r="F1038">
        <v>20.700000000000301</v>
      </c>
      <c r="G1038">
        <f t="shared" si="32"/>
        <v>1083.3753202106009</v>
      </c>
      <c r="H1038">
        <f t="shared" si="33"/>
        <v>-808.91259523054794</v>
      </c>
    </row>
    <row r="1039" spans="6:8" x14ac:dyDescent="0.35">
      <c r="F1039">
        <v>20.720000000000301</v>
      </c>
      <c r="G1039">
        <f t="shared" si="32"/>
        <v>1084.4220596504179</v>
      </c>
      <c r="H1039">
        <f t="shared" si="33"/>
        <v>-811.72844174263594</v>
      </c>
    </row>
    <row r="1040" spans="6:8" x14ac:dyDescent="0.35">
      <c r="F1040">
        <v>20.7400000000003</v>
      </c>
      <c r="G1040">
        <f t="shared" si="32"/>
        <v>1085.4687990902348</v>
      </c>
      <c r="H1040">
        <f t="shared" si="33"/>
        <v>-814.54821225472381</v>
      </c>
    </row>
    <row r="1041" spans="6:8" x14ac:dyDescent="0.35">
      <c r="F1041">
        <v>20.7600000000003</v>
      </c>
      <c r="G1041">
        <f t="shared" si="32"/>
        <v>1086.5155385300518</v>
      </c>
      <c r="H1041">
        <f t="shared" si="33"/>
        <v>-817.371906766812</v>
      </c>
    </row>
    <row r="1042" spans="6:8" x14ac:dyDescent="0.35">
      <c r="F1042">
        <v>20.7800000000003</v>
      </c>
      <c r="G1042">
        <f t="shared" si="32"/>
        <v>1087.5622779698688</v>
      </c>
      <c r="H1042">
        <f t="shared" si="33"/>
        <v>-820.19952527890007</v>
      </c>
    </row>
    <row r="1043" spans="6:8" x14ac:dyDescent="0.35">
      <c r="F1043">
        <v>20.800000000000299</v>
      </c>
      <c r="G1043">
        <f t="shared" si="32"/>
        <v>1088.6090174096857</v>
      </c>
      <c r="H1043">
        <f t="shared" si="33"/>
        <v>-823.031067790988</v>
      </c>
    </row>
    <row r="1044" spans="6:8" x14ac:dyDescent="0.35">
      <c r="F1044">
        <v>20.820000000000299</v>
      </c>
      <c r="G1044">
        <f t="shared" si="32"/>
        <v>1089.6557568495027</v>
      </c>
      <c r="H1044">
        <f t="shared" si="33"/>
        <v>-825.86653430307604</v>
      </c>
    </row>
    <row r="1045" spans="6:8" x14ac:dyDescent="0.35">
      <c r="F1045">
        <v>20.840000000000298</v>
      </c>
      <c r="G1045">
        <f t="shared" si="32"/>
        <v>1090.7024962893197</v>
      </c>
      <c r="H1045">
        <f t="shared" si="33"/>
        <v>-828.70592481516394</v>
      </c>
    </row>
    <row r="1046" spans="6:8" x14ac:dyDescent="0.35">
      <c r="F1046">
        <v>20.860000000000301</v>
      </c>
      <c r="G1046">
        <f t="shared" si="32"/>
        <v>1091.7492357291369</v>
      </c>
      <c r="H1046">
        <f t="shared" si="33"/>
        <v>-831.54923932725285</v>
      </c>
    </row>
    <row r="1047" spans="6:8" x14ac:dyDescent="0.35">
      <c r="F1047">
        <v>20.880000000000301</v>
      </c>
      <c r="G1047">
        <f t="shared" si="32"/>
        <v>1092.7959751689539</v>
      </c>
      <c r="H1047">
        <f t="shared" si="33"/>
        <v>-834.39647783934095</v>
      </c>
    </row>
    <row r="1048" spans="6:8" x14ac:dyDescent="0.35">
      <c r="F1048">
        <v>20.900000000000301</v>
      </c>
      <c r="G1048">
        <f t="shared" si="32"/>
        <v>1093.8427146087708</v>
      </c>
      <c r="H1048">
        <f t="shared" si="33"/>
        <v>-837.24764035142891</v>
      </c>
    </row>
    <row r="1049" spans="6:8" x14ac:dyDescent="0.35">
      <c r="F1049">
        <v>20.9200000000003</v>
      </c>
      <c r="G1049">
        <f t="shared" si="32"/>
        <v>1094.8894540485878</v>
      </c>
      <c r="H1049">
        <f t="shared" si="33"/>
        <v>-840.10272686351675</v>
      </c>
    </row>
    <row r="1050" spans="6:8" x14ac:dyDescent="0.35">
      <c r="F1050">
        <v>20.9400000000003</v>
      </c>
      <c r="G1050">
        <f t="shared" si="32"/>
        <v>1095.9361934884048</v>
      </c>
      <c r="H1050">
        <f t="shared" si="33"/>
        <v>-842.96173737560491</v>
      </c>
    </row>
    <row r="1051" spans="6:8" x14ac:dyDescent="0.35">
      <c r="F1051">
        <v>20.960000000000299</v>
      </c>
      <c r="G1051">
        <f t="shared" si="32"/>
        <v>1096.9829329282218</v>
      </c>
      <c r="H1051">
        <f t="shared" si="33"/>
        <v>-845.82467188769272</v>
      </c>
    </row>
    <row r="1052" spans="6:8" x14ac:dyDescent="0.35">
      <c r="F1052">
        <v>20.980000000000299</v>
      </c>
      <c r="G1052">
        <f t="shared" si="32"/>
        <v>1098.0296723680387</v>
      </c>
      <c r="H1052">
        <f t="shared" si="33"/>
        <v>-848.6915303997813</v>
      </c>
    </row>
    <row r="1053" spans="6:8" x14ac:dyDescent="0.35">
      <c r="F1053">
        <v>21.000000000000298</v>
      </c>
      <c r="G1053">
        <f t="shared" si="32"/>
        <v>1099.0764118078557</v>
      </c>
      <c r="H1053">
        <f t="shared" si="33"/>
        <v>-851.56231291186884</v>
      </c>
    </row>
    <row r="1054" spans="6:8" x14ac:dyDescent="0.35">
      <c r="F1054">
        <v>21.020000000000302</v>
      </c>
      <c r="G1054">
        <f t="shared" si="32"/>
        <v>1100.1231512476729</v>
      </c>
      <c r="H1054">
        <f t="shared" ref="H1054:H1062" si="34">$B$13*F1054-($B$8*F1054^2)/2+$B$12</f>
        <v>-854.43701942395785</v>
      </c>
    </row>
    <row r="1055" spans="6:8" x14ac:dyDescent="0.35">
      <c r="F1055">
        <v>21.040000000000301</v>
      </c>
      <c r="G1055">
        <f t="shared" si="32"/>
        <v>1101.1698906874899</v>
      </c>
      <c r="H1055">
        <f t="shared" si="34"/>
        <v>-857.31564993604559</v>
      </c>
    </row>
    <row r="1056" spans="6:8" x14ac:dyDescent="0.35">
      <c r="F1056">
        <v>21.060000000000301</v>
      </c>
      <c r="G1056">
        <f t="shared" si="32"/>
        <v>1102.2166301273069</v>
      </c>
      <c r="H1056">
        <f t="shared" si="34"/>
        <v>-860.19820444813365</v>
      </c>
    </row>
    <row r="1057" spans="6:8" x14ac:dyDescent="0.35">
      <c r="F1057">
        <v>21.0800000000003</v>
      </c>
      <c r="G1057">
        <f t="shared" si="32"/>
        <v>1103.2633695671238</v>
      </c>
      <c r="H1057">
        <f t="shared" si="34"/>
        <v>-863.08468296022204</v>
      </c>
    </row>
    <row r="1058" spans="6:8" x14ac:dyDescent="0.35">
      <c r="F1058">
        <v>21.1000000000003</v>
      </c>
      <c r="G1058">
        <f t="shared" si="32"/>
        <v>1104.3101090069408</v>
      </c>
      <c r="H1058">
        <f t="shared" si="34"/>
        <v>-865.97508547230962</v>
      </c>
    </row>
    <row r="1059" spans="6:8" x14ac:dyDescent="0.35">
      <c r="F1059">
        <v>21.120000000000299</v>
      </c>
      <c r="G1059">
        <f t="shared" si="32"/>
        <v>1105.3568484467578</v>
      </c>
      <c r="H1059">
        <f t="shared" si="34"/>
        <v>-868.86941198439797</v>
      </c>
    </row>
    <row r="1060" spans="6:8" x14ac:dyDescent="0.35">
      <c r="F1060">
        <v>21.140000000000299</v>
      </c>
      <c r="G1060">
        <f t="shared" si="32"/>
        <v>1106.4035878865745</v>
      </c>
      <c r="H1060">
        <f t="shared" si="34"/>
        <v>-871.76766249648574</v>
      </c>
    </row>
    <row r="1061" spans="6:8" x14ac:dyDescent="0.35">
      <c r="F1061">
        <v>21.160000000000299</v>
      </c>
      <c r="G1061">
        <f t="shared" si="32"/>
        <v>1107.4503273263915</v>
      </c>
      <c r="H1061">
        <f t="shared" si="34"/>
        <v>-874.66983700857429</v>
      </c>
    </row>
    <row r="1062" spans="6:8" x14ac:dyDescent="0.35">
      <c r="F1062">
        <v>21.180000000000302</v>
      </c>
      <c r="G1062">
        <f t="shared" si="32"/>
        <v>1108.4970667662087</v>
      </c>
      <c r="H1062">
        <f t="shared" si="34"/>
        <v>-877.57593552066248</v>
      </c>
    </row>
    <row r="1063" spans="6:8" x14ac:dyDescent="0.35">
      <c r="F1063">
        <v>21.200000000000301</v>
      </c>
      <c r="G1063">
        <f t="shared" si="32"/>
        <v>1109.5438062060257</v>
      </c>
      <c r="H1063">
        <f t="shared" ref="H1063:H1090" si="35">$B$13*F1063-($B$8*F1063^2)/2+$B$12</f>
        <v>-880.48595803275077</v>
      </c>
    </row>
    <row r="1064" spans="6:8" x14ac:dyDescent="0.35">
      <c r="F1064">
        <v>21.220000000000301</v>
      </c>
      <c r="G1064">
        <f t="shared" si="32"/>
        <v>1110.5905456458427</v>
      </c>
      <c r="H1064">
        <f t="shared" si="35"/>
        <v>-883.39990454483848</v>
      </c>
    </row>
    <row r="1065" spans="6:8" x14ac:dyDescent="0.35">
      <c r="F1065">
        <v>21.2400000000003</v>
      </c>
      <c r="G1065">
        <f t="shared" si="32"/>
        <v>1111.6372850856596</v>
      </c>
      <c r="H1065">
        <f t="shared" si="35"/>
        <v>-886.31777505692673</v>
      </c>
    </row>
    <row r="1066" spans="6:8" x14ac:dyDescent="0.35">
      <c r="F1066">
        <v>21.2600000000003</v>
      </c>
      <c r="G1066">
        <f t="shared" si="32"/>
        <v>1112.6840245254766</v>
      </c>
      <c r="H1066">
        <f t="shared" si="35"/>
        <v>-889.23956956901486</v>
      </c>
    </row>
    <row r="1067" spans="6:8" x14ac:dyDescent="0.35">
      <c r="F1067">
        <v>21.2800000000003</v>
      </c>
      <c r="G1067">
        <f t="shared" si="32"/>
        <v>1113.7307639652936</v>
      </c>
      <c r="H1067">
        <f t="shared" si="35"/>
        <v>-892.16528808110286</v>
      </c>
    </row>
    <row r="1068" spans="6:8" x14ac:dyDescent="0.35">
      <c r="F1068">
        <v>21.300000000000299</v>
      </c>
      <c r="G1068">
        <f t="shared" si="32"/>
        <v>1114.7775034051106</v>
      </c>
      <c r="H1068">
        <f t="shared" si="35"/>
        <v>-895.09493059319072</v>
      </c>
    </row>
    <row r="1069" spans="6:8" x14ac:dyDescent="0.35">
      <c r="F1069">
        <v>21.320000000000299</v>
      </c>
      <c r="G1069">
        <f t="shared" si="32"/>
        <v>1115.8242428449275</v>
      </c>
      <c r="H1069">
        <f t="shared" si="35"/>
        <v>-898.02849710527892</v>
      </c>
    </row>
    <row r="1070" spans="6:8" x14ac:dyDescent="0.35">
      <c r="F1070">
        <v>21.340000000000298</v>
      </c>
      <c r="G1070">
        <f t="shared" si="32"/>
        <v>1116.8709822847445</v>
      </c>
      <c r="H1070">
        <f t="shared" si="35"/>
        <v>-900.96598761736698</v>
      </c>
    </row>
    <row r="1071" spans="6:8" x14ac:dyDescent="0.35">
      <c r="F1071">
        <v>21.360000000000301</v>
      </c>
      <c r="G1071">
        <f t="shared" si="32"/>
        <v>1117.9177217245617</v>
      </c>
      <c r="H1071">
        <f t="shared" si="35"/>
        <v>-903.90740212945559</v>
      </c>
    </row>
    <row r="1072" spans="6:8" x14ac:dyDescent="0.35">
      <c r="F1072">
        <v>21.380000000000301</v>
      </c>
      <c r="G1072">
        <f t="shared" si="32"/>
        <v>1118.9644611643787</v>
      </c>
      <c r="H1072">
        <f t="shared" si="35"/>
        <v>-906.85274064154316</v>
      </c>
    </row>
    <row r="1073" spans="6:8" x14ac:dyDescent="0.35">
      <c r="F1073">
        <v>21.400000000000301</v>
      </c>
      <c r="G1073">
        <f t="shared" si="32"/>
        <v>1120.0112006041957</v>
      </c>
      <c r="H1073">
        <f t="shared" si="35"/>
        <v>-909.80200315363152</v>
      </c>
    </row>
    <row r="1074" spans="6:8" x14ac:dyDescent="0.35">
      <c r="F1074">
        <v>21.4200000000003</v>
      </c>
      <c r="G1074">
        <f t="shared" si="32"/>
        <v>1121.0579400440126</v>
      </c>
      <c r="H1074">
        <f t="shared" si="35"/>
        <v>-912.75518966571929</v>
      </c>
    </row>
    <row r="1075" spans="6:8" x14ac:dyDescent="0.35">
      <c r="F1075">
        <v>21.4400000000003</v>
      </c>
      <c r="G1075">
        <f t="shared" si="32"/>
        <v>1122.1046794838296</v>
      </c>
      <c r="H1075">
        <f t="shared" si="35"/>
        <v>-915.71230017780783</v>
      </c>
    </row>
    <row r="1076" spans="6:8" x14ac:dyDescent="0.35">
      <c r="F1076">
        <v>21.460000000000299</v>
      </c>
      <c r="G1076">
        <f t="shared" si="32"/>
        <v>1123.1514189236466</v>
      </c>
      <c r="H1076">
        <f t="shared" si="35"/>
        <v>-918.6733346898958</v>
      </c>
    </row>
    <row r="1077" spans="6:8" x14ac:dyDescent="0.35">
      <c r="F1077">
        <v>21.480000000000299</v>
      </c>
      <c r="G1077">
        <f t="shared" si="32"/>
        <v>1124.1981583634636</v>
      </c>
      <c r="H1077">
        <f t="shared" si="35"/>
        <v>-921.63829320198408</v>
      </c>
    </row>
    <row r="1078" spans="6:8" x14ac:dyDescent="0.35">
      <c r="F1078">
        <v>21.500000000000298</v>
      </c>
      <c r="G1078">
        <f t="shared" si="32"/>
        <v>1125.2448978032805</v>
      </c>
      <c r="H1078">
        <f t="shared" si="35"/>
        <v>-924.60717571407179</v>
      </c>
    </row>
    <row r="1079" spans="6:8" x14ac:dyDescent="0.35">
      <c r="F1079">
        <v>21.520000000000302</v>
      </c>
      <c r="G1079">
        <f t="shared" si="32"/>
        <v>1126.2916372430975</v>
      </c>
      <c r="H1079">
        <f t="shared" si="35"/>
        <v>-927.5799822261605</v>
      </c>
    </row>
    <row r="1080" spans="6:8" x14ac:dyDescent="0.35">
      <c r="F1080">
        <v>21.540000000000301</v>
      </c>
      <c r="G1080">
        <f t="shared" si="32"/>
        <v>1127.3383766829145</v>
      </c>
      <c r="H1080">
        <f t="shared" si="35"/>
        <v>-930.55671273824839</v>
      </c>
    </row>
    <row r="1081" spans="6:8" x14ac:dyDescent="0.35">
      <c r="F1081">
        <v>21.560000000000301</v>
      </c>
      <c r="G1081">
        <f t="shared" si="32"/>
        <v>1128.3851161227315</v>
      </c>
      <c r="H1081">
        <f t="shared" si="35"/>
        <v>-933.53736725033639</v>
      </c>
    </row>
    <row r="1082" spans="6:8" x14ac:dyDescent="0.35">
      <c r="F1082">
        <v>21.5800000000003</v>
      </c>
      <c r="G1082">
        <f t="shared" si="32"/>
        <v>1129.4318555625484</v>
      </c>
      <c r="H1082">
        <f t="shared" si="35"/>
        <v>-936.52194576242471</v>
      </c>
    </row>
    <row r="1083" spans="6:8" x14ac:dyDescent="0.35">
      <c r="F1083">
        <v>21.6000000000003</v>
      </c>
      <c r="G1083">
        <f t="shared" si="32"/>
        <v>1130.4785950023654</v>
      </c>
      <c r="H1083">
        <f t="shared" si="35"/>
        <v>-939.51044827451244</v>
      </c>
    </row>
    <row r="1084" spans="6:8" x14ac:dyDescent="0.35">
      <c r="F1084">
        <v>21.620000000000299</v>
      </c>
      <c r="G1084">
        <f t="shared" si="32"/>
        <v>1131.5253344421824</v>
      </c>
      <c r="H1084">
        <f t="shared" si="35"/>
        <v>-942.5028747866005</v>
      </c>
    </row>
    <row r="1085" spans="6:8" x14ac:dyDescent="0.35">
      <c r="F1085">
        <v>21.640000000000299</v>
      </c>
      <c r="G1085">
        <f t="shared" si="32"/>
        <v>1132.5720738819994</v>
      </c>
      <c r="H1085">
        <f t="shared" si="35"/>
        <v>-945.49922529868888</v>
      </c>
    </row>
    <row r="1086" spans="6:8" x14ac:dyDescent="0.35">
      <c r="F1086">
        <v>21.660000000000299</v>
      </c>
      <c r="G1086">
        <f t="shared" si="32"/>
        <v>1133.6188133218163</v>
      </c>
      <c r="H1086">
        <f t="shared" si="35"/>
        <v>-948.49949981077668</v>
      </c>
    </row>
    <row r="1087" spans="6:8" x14ac:dyDescent="0.35">
      <c r="F1087">
        <v>21.680000000000302</v>
      </c>
      <c r="G1087">
        <f t="shared" si="32"/>
        <v>1134.6655527616335</v>
      </c>
      <c r="H1087">
        <f t="shared" si="35"/>
        <v>-951.50369832286549</v>
      </c>
    </row>
    <row r="1088" spans="6:8" x14ac:dyDescent="0.35">
      <c r="F1088">
        <v>21.700000000000301</v>
      </c>
      <c r="G1088">
        <f t="shared" si="32"/>
        <v>1135.7122922014505</v>
      </c>
      <c r="H1088">
        <f t="shared" si="35"/>
        <v>-954.51182083495326</v>
      </c>
    </row>
    <row r="1089" spans="6:8" x14ac:dyDescent="0.35">
      <c r="F1089">
        <v>21.720000000000301</v>
      </c>
      <c r="G1089">
        <f t="shared" si="32"/>
        <v>1136.7590316412675</v>
      </c>
      <c r="H1089">
        <f t="shared" si="35"/>
        <v>-957.52386734704135</v>
      </c>
    </row>
    <row r="1090" spans="6:8" x14ac:dyDescent="0.35">
      <c r="F1090">
        <v>21.7400000000003</v>
      </c>
      <c r="G1090">
        <f t="shared" si="32"/>
        <v>1137.8057710810845</v>
      </c>
      <c r="H1090">
        <f t="shared" si="35"/>
        <v>-960.53983785912931</v>
      </c>
    </row>
    <row r="1091" spans="6:8" x14ac:dyDescent="0.35">
      <c r="F1091">
        <v>21.7600000000003</v>
      </c>
      <c r="G1091">
        <f t="shared" ref="G1091:G1154" si="36">$B$15*F1091</f>
        <v>1138.8525105209014</v>
      </c>
      <c r="H1091">
        <f t="shared" ref="H1091:H1154" si="37">$B$13*F1091-($B$8*F1091^2)/2+$B$12</f>
        <v>-963.55973237121759</v>
      </c>
    </row>
    <row r="1092" spans="6:8" x14ac:dyDescent="0.35">
      <c r="F1092">
        <v>21.7800000000003</v>
      </c>
      <c r="G1092">
        <f t="shared" si="36"/>
        <v>1139.8992499607184</v>
      </c>
      <c r="H1092">
        <f t="shared" si="37"/>
        <v>-966.58355088330529</v>
      </c>
    </row>
    <row r="1093" spans="6:8" x14ac:dyDescent="0.35">
      <c r="F1093">
        <v>21.800000000000299</v>
      </c>
      <c r="G1093">
        <f t="shared" si="36"/>
        <v>1140.9459894005354</v>
      </c>
      <c r="H1093">
        <f t="shared" si="37"/>
        <v>-969.61129339539377</v>
      </c>
    </row>
    <row r="1094" spans="6:8" x14ac:dyDescent="0.35">
      <c r="F1094">
        <v>21.820000000000299</v>
      </c>
      <c r="G1094">
        <f t="shared" si="36"/>
        <v>1141.9927288403524</v>
      </c>
      <c r="H1094">
        <f t="shared" si="37"/>
        <v>-972.64295990748167</v>
      </c>
    </row>
    <row r="1095" spans="6:8" x14ac:dyDescent="0.35">
      <c r="F1095">
        <v>21.840000000000298</v>
      </c>
      <c r="G1095">
        <f t="shared" si="36"/>
        <v>1143.0394682801693</v>
      </c>
      <c r="H1095">
        <f t="shared" si="37"/>
        <v>-975.67855041956966</v>
      </c>
    </row>
    <row r="1096" spans="6:8" x14ac:dyDescent="0.35">
      <c r="F1096">
        <v>21.860000000000301</v>
      </c>
      <c r="G1096">
        <f t="shared" si="36"/>
        <v>1144.0862077199865</v>
      </c>
      <c r="H1096">
        <f t="shared" si="37"/>
        <v>-978.7180649316582</v>
      </c>
    </row>
    <row r="1097" spans="6:8" x14ac:dyDescent="0.35">
      <c r="F1097">
        <v>21.880000000000301</v>
      </c>
      <c r="G1097">
        <f t="shared" si="36"/>
        <v>1145.1329471598035</v>
      </c>
      <c r="H1097">
        <f t="shared" si="37"/>
        <v>-981.76150344374639</v>
      </c>
    </row>
    <row r="1098" spans="6:8" x14ac:dyDescent="0.35">
      <c r="F1098">
        <v>21.900000000000301</v>
      </c>
      <c r="G1098">
        <f t="shared" si="36"/>
        <v>1146.1796865996205</v>
      </c>
      <c r="H1098">
        <f t="shared" si="37"/>
        <v>-984.80886595583445</v>
      </c>
    </row>
    <row r="1099" spans="6:8" x14ac:dyDescent="0.35">
      <c r="F1099">
        <v>21.9200000000003</v>
      </c>
      <c r="G1099">
        <f t="shared" si="36"/>
        <v>1147.2264260394372</v>
      </c>
      <c r="H1099">
        <f t="shared" si="37"/>
        <v>-987.86015246792238</v>
      </c>
    </row>
    <row r="1100" spans="6:8" x14ac:dyDescent="0.35">
      <c r="F1100">
        <v>21.9400000000003</v>
      </c>
      <c r="G1100">
        <f t="shared" si="36"/>
        <v>1148.2731654792542</v>
      </c>
      <c r="H1100">
        <f t="shared" si="37"/>
        <v>-990.91536298001063</v>
      </c>
    </row>
    <row r="1101" spans="6:8" x14ac:dyDescent="0.35">
      <c r="F1101">
        <v>21.960000000000299</v>
      </c>
      <c r="G1101">
        <f t="shared" si="36"/>
        <v>1149.3199049190712</v>
      </c>
      <c r="H1101">
        <f t="shared" si="37"/>
        <v>-993.97449749209829</v>
      </c>
    </row>
    <row r="1102" spans="6:8" x14ac:dyDescent="0.35">
      <c r="F1102">
        <v>21.980000000000299</v>
      </c>
      <c r="G1102">
        <f t="shared" si="36"/>
        <v>1150.3666443588882</v>
      </c>
      <c r="H1102">
        <f t="shared" si="37"/>
        <v>-997.03755600418651</v>
      </c>
    </row>
    <row r="1103" spans="6:8" x14ac:dyDescent="0.35">
      <c r="F1103">
        <v>22.000000000000298</v>
      </c>
      <c r="G1103">
        <f t="shared" si="36"/>
        <v>1151.4133837987051</v>
      </c>
      <c r="H1103">
        <f t="shared" si="37"/>
        <v>-1000.1045385162746</v>
      </c>
    </row>
    <row r="1104" spans="6:8" x14ac:dyDescent="0.35">
      <c r="F1104">
        <v>22.020000000000302</v>
      </c>
      <c r="G1104">
        <f t="shared" si="36"/>
        <v>1152.4601232385223</v>
      </c>
      <c r="H1104">
        <f t="shared" si="37"/>
        <v>-1003.1754450283628</v>
      </c>
    </row>
    <row r="1105" spans="6:8" x14ac:dyDescent="0.35">
      <c r="F1105">
        <v>22.040000000000301</v>
      </c>
      <c r="G1105">
        <f t="shared" si="36"/>
        <v>1153.5068626783393</v>
      </c>
      <c r="H1105">
        <f t="shared" si="37"/>
        <v>-1006.2502755404515</v>
      </c>
    </row>
    <row r="1106" spans="6:8" x14ac:dyDescent="0.35">
      <c r="F1106">
        <v>22.060000000000301</v>
      </c>
      <c r="G1106">
        <f t="shared" si="36"/>
        <v>1154.5536021181563</v>
      </c>
      <c r="H1106">
        <f t="shared" si="37"/>
        <v>-1009.3290300525392</v>
      </c>
    </row>
    <row r="1107" spans="6:8" x14ac:dyDescent="0.35">
      <c r="F1107">
        <v>22.0800000000003</v>
      </c>
      <c r="G1107">
        <f t="shared" si="36"/>
        <v>1155.6003415579733</v>
      </c>
      <c r="H1107">
        <f t="shared" si="37"/>
        <v>-1012.4117085646272</v>
      </c>
    </row>
    <row r="1108" spans="6:8" x14ac:dyDescent="0.35">
      <c r="F1108">
        <v>22.1000000000003</v>
      </c>
      <c r="G1108">
        <f t="shared" si="36"/>
        <v>1156.6470809977902</v>
      </c>
      <c r="H1108">
        <f t="shared" si="37"/>
        <v>-1015.4983110767156</v>
      </c>
    </row>
    <row r="1109" spans="6:8" x14ac:dyDescent="0.35">
      <c r="F1109">
        <v>22.120000000000299</v>
      </c>
      <c r="G1109">
        <f t="shared" si="36"/>
        <v>1157.6938204376072</v>
      </c>
      <c r="H1109">
        <f t="shared" si="37"/>
        <v>-1018.5888375888031</v>
      </c>
    </row>
    <row r="1110" spans="6:8" x14ac:dyDescent="0.35">
      <c r="F1110">
        <v>22.140000000000299</v>
      </c>
      <c r="G1110">
        <f t="shared" si="36"/>
        <v>1158.7405598774242</v>
      </c>
      <c r="H1110">
        <f t="shared" si="37"/>
        <v>-1021.6832881008914</v>
      </c>
    </row>
    <row r="1111" spans="6:8" x14ac:dyDescent="0.35">
      <c r="F1111">
        <v>22.160000000000299</v>
      </c>
      <c r="G1111">
        <f t="shared" si="36"/>
        <v>1159.7872993172411</v>
      </c>
      <c r="H1111">
        <f t="shared" si="37"/>
        <v>-1024.7816626129793</v>
      </c>
    </row>
    <row r="1112" spans="6:8" x14ac:dyDescent="0.35">
      <c r="F1112">
        <v>22.180000000000302</v>
      </c>
      <c r="G1112">
        <f t="shared" si="36"/>
        <v>1160.8340387570584</v>
      </c>
      <c r="H1112">
        <f t="shared" si="37"/>
        <v>-1027.883961125068</v>
      </c>
    </row>
    <row r="1113" spans="6:8" x14ac:dyDescent="0.35">
      <c r="F1113">
        <v>22.200000000000301</v>
      </c>
      <c r="G1113">
        <f t="shared" si="36"/>
        <v>1161.8807781968753</v>
      </c>
      <c r="H1113">
        <f t="shared" si="37"/>
        <v>-1030.9901836371564</v>
      </c>
    </row>
    <row r="1114" spans="6:8" x14ac:dyDescent="0.35">
      <c r="F1114">
        <v>22.220000000000301</v>
      </c>
      <c r="G1114">
        <f t="shared" si="36"/>
        <v>1162.9275176366923</v>
      </c>
      <c r="H1114">
        <f t="shared" si="37"/>
        <v>-1034.1003301492442</v>
      </c>
    </row>
    <row r="1115" spans="6:8" x14ac:dyDescent="0.35">
      <c r="F1115">
        <v>22.2400000000003</v>
      </c>
      <c r="G1115">
        <f t="shared" si="36"/>
        <v>1163.9742570765093</v>
      </c>
      <c r="H1115">
        <f t="shared" si="37"/>
        <v>-1037.2144006613323</v>
      </c>
    </row>
    <row r="1116" spans="6:8" x14ac:dyDescent="0.35">
      <c r="F1116">
        <v>22.2600000000003</v>
      </c>
      <c r="G1116">
        <f t="shared" si="36"/>
        <v>1165.0209965163262</v>
      </c>
      <c r="H1116">
        <f t="shared" si="37"/>
        <v>-1040.3323951734208</v>
      </c>
    </row>
    <row r="1117" spans="6:8" x14ac:dyDescent="0.35">
      <c r="F1117">
        <v>22.2800000000003</v>
      </c>
      <c r="G1117">
        <f t="shared" si="36"/>
        <v>1166.0677359561432</v>
      </c>
      <c r="H1117">
        <f t="shared" si="37"/>
        <v>-1043.4543136855082</v>
      </c>
    </row>
    <row r="1118" spans="6:8" x14ac:dyDescent="0.35">
      <c r="F1118">
        <v>22.300000000000299</v>
      </c>
      <c r="G1118">
        <f t="shared" si="36"/>
        <v>1167.1144753959602</v>
      </c>
      <c r="H1118">
        <f t="shared" si="37"/>
        <v>-1046.5801561975961</v>
      </c>
    </row>
    <row r="1119" spans="6:8" x14ac:dyDescent="0.35">
      <c r="F1119">
        <v>22.320000000000299</v>
      </c>
      <c r="G1119">
        <f t="shared" si="36"/>
        <v>1168.1612148357772</v>
      </c>
      <c r="H1119">
        <f t="shared" si="37"/>
        <v>-1049.7099227096844</v>
      </c>
    </row>
    <row r="1120" spans="6:8" x14ac:dyDescent="0.35">
      <c r="F1120">
        <v>22.340000000000298</v>
      </c>
      <c r="G1120">
        <f t="shared" si="36"/>
        <v>1169.2079542755941</v>
      </c>
      <c r="H1120">
        <f t="shared" si="37"/>
        <v>-1052.8436132217726</v>
      </c>
    </row>
    <row r="1121" spans="6:8" x14ac:dyDescent="0.35">
      <c r="F1121">
        <v>22.360000000000301</v>
      </c>
      <c r="G1121">
        <f t="shared" si="36"/>
        <v>1170.2546937154111</v>
      </c>
      <c r="H1121">
        <f t="shared" si="37"/>
        <v>-1055.9812277338613</v>
      </c>
    </row>
    <row r="1122" spans="6:8" x14ac:dyDescent="0.35">
      <c r="F1122">
        <v>22.380000000000301</v>
      </c>
      <c r="G1122">
        <f t="shared" si="36"/>
        <v>1171.3014331552281</v>
      </c>
      <c r="H1122">
        <f t="shared" si="37"/>
        <v>-1059.1227662459492</v>
      </c>
    </row>
    <row r="1123" spans="6:8" x14ac:dyDescent="0.35">
      <c r="F1123">
        <v>22.400000000000301</v>
      </c>
      <c r="G1123">
        <f t="shared" si="36"/>
        <v>1172.3481725950451</v>
      </c>
      <c r="H1123">
        <f t="shared" si="37"/>
        <v>-1062.2682287580374</v>
      </c>
    </row>
    <row r="1124" spans="6:8" x14ac:dyDescent="0.35">
      <c r="F1124">
        <v>22.4200000000003</v>
      </c>
      <c r="G1124">
        <f t="shared" si="36"/>
        <v>1173.394912034862</v>
      </c>
      <c r="H1124">
        <f t="shared" si="37"/>
        <v>-1065.417615270125</v>
      </c>
    </row>
    <row r="1125" spans="6:8" x14ac:dyDescent="0.35">
      <c r="F1125">
        <v>22.4400000000003</v>
      </c>
      <c r="G1125">
        <f t="shared" si="36"/>
        <v>1174.441651474679</v>
      </c>
      <c r="H1125">
        <f t="shared" si="37"/>
        <v>-1068.5709257822132</v>
      </c>
    </row>
    <row r="1126" spans="6:8" x14ac:dyDescent="0.35">
      <c r="F1126">
        <v>22.460000000000299</v>
      </c>
      <c r="G1126">
        <f t="shared" si="36"/>
        <v>1175.488390914496</v>
      </c>
      <c r="H1126">
        <f t="shared" si="37"/>
        <v>-1071.7281602943012</v>
      </c>
    </row>
    <row r="1127" spans="6:8" x14ac:dyDescent="0.35">
      <c r="F1127">
        <v>22.480000000000299</v>
      </c>
      <c r="G1127">
        <f t="shared" si="36"/>
        <v>1176.535130354313</v>
      </c>
      <c r="H1127">
        <f t="shared" si="37"/>
        <v>-1074.8893188063892</v>
      </c>
    </row>
    <row r="1128" spans="6:8" x14ac:dyDescent="0.35">
      <c r="F1128">
        <v>22.500000000000298</v>
      </c>
      <c r="G1128">
        <f t="shared" si="36"/>
        <v>1177.5818697941299</v>
      </c>
      <c r="H1128">
        <f t="shared" si="37"/>
        <v>-1078.0544013184774</v>
      </c>
    </row>
    <row r="1129" spans="6:8" x14ac:dyDescent="0.35">
      <c r="F1129">
        <v>22.520000000000302</v>
      </c>
      <c r="G1129">
        <f t="shared" si="36"/>
        <v>1178.6286092339471</v>
      </c>
      <c r="H1129">
        <f t="shared" si="37"/>
        <v>-1081.2234078305657</v>
      </c>
    </row>
    <row r="1130" spans="6:8" x14ac:dyDescent="0.35">
      <c r="F1130">
        <v>22.540000000000301</v>
      </c>
      <c r="G1130">
        <f t="shared" si="36"/>
        <v>1179.6753486737641</v>
      </c>
      <c r="H1130">
        <f t="shared" si="37"/>
        <v>-1084.3963383426542</v>
      </c>
    </row>
    <row r="1131" spans="6:8" x14ac:dyDescent="0.35">
      <c r="F1131">
        <v>22.560000000000301</v>
      </c>
      <c r="G1131">
        <f t="shared" si="36"/>
        <v>1180.7220881135811</v>
      </c>
      <c r="H1131">
        <f t="shared" si="37"/>
        <v>-1087.573192854742</v>
      </c>
    </row>
    <row r="1132" spans="6:8" x14ac:dyDescent="0.35">
      <c r="F1132">
        <v>22.5800000000003</v>
      </c>
      <c r="G1132">
        <f t="shared" si="36"/>
        <v>1181.7688275533981</v>
      </c>
      <c r="H1132">
        <f t="shared" si="37"/>
        <v>-1090.75397136683</v>
      </c>
    </row>
    <row r="1133" spans="6:8" x14ac:dyDescent="0.35">
      <c r="F1133">
        <v>22.6000000000003</v>
      </c>
      <c r="G1133">
        <f t="shared" si="36"/>
        <v>1182.815566993215</v>
      </c>
      <c r="H1133">
        <f t="shared" si="37"/>
        <v>-1093.9386738789183</v>
      </c>
    </row>
    <row r="1134" spans="6:8" x14ac:dyDescent="0.35">
      <c r="F1134">
        <v>22.620000000000299</v>
      </c>
      <c r="G1134">
        <f t="shared" si="36"/>
        <v>1183.862306433032</v>
      </c>
      <c r="H1134">
        <f t="shared" si="37"/>
        <v>-1097.127300391006</v>
      </c>
    </row>
    <row r="1135" spans="6:8" x14ac:dyDescent="0.35">
      <c r="F1135">
        <v>22.640000000000299</v>
      </c>
      <c r="G1135">
        <f t="shared" si="36"/>
        <v>1184.909045872849</v>
      </c>
      <c r="H1135">
        <f t="shared" si="37"/>
        <v>-1100.3198509030944</v>
      </c>
    </row>
    <row r="1136" spans="6:8" x14ac:dyDescent="0.35">
      <c r="F1136">
        <v>22.660000000000299</v>
      </c>
      <c r="G1136">
        <f t="shared" si="36"/>
        <v>1185.955785312666</v>
      </c>
      <c r="H1136">
        <f t="shared" si="37"/>
        <v>-1103.5163254151823</v>
      </c>
    </row>
    <row r="1137" spans="6:8" x14ac:dyDescent="0.35">
      <c r="F1137">
        <v>22.680000000000302</v>
      </c>
      <c r="G1137">
        <f t="shared" si="36"/>
        <v>1187.0025247524832</v>
      </c>
      <c r="H1137">
        <f t="shared" si="37"/>
        <v>-1106.7167239272712</v>
      </c>
    </row>
    <row r="1138" spans="6:8" x14ac:dyDescent="0.35">
      <c r="F1138">
        <v>22.700000000000301</v>
      </c>
      <c r="G1138">
        <f t="shared" si="36"/>
        <v>1188.0492641923001</v>
      </c>
      <c r="H1138">
        <f t="shared" si="37"/>
        <v>-1109.9210464393593</v>
      </c>
    </row>
    <row r="1139" spans="6:8" x14ac:dyDescent="0.35">
      <c r="F1139">
        <v>22.720000000000301</v>
      </c>
      <c r="G1139">
        <f t="shared" si="36"/>
        <v>1189.0960036321169</v>
      </c>
      <c r="H1139">
        <f t="shared" si="37"/>
        <v>-1113.1292929514466</v>
      </c>
    </row>
    <row r="1140" spans="6:8" x14ac:dyDescent="0.35">
      <c r="F1140">
        <v>22.7400000000003</v>
      </c>
      <c r="G1140">
        <f t="shared" si="36"/>
        <v>1190.1427430719339</v>
      </c>
      <c r="H1140">
        <f t="shared" si="37"/>
        <v>-1116.3414634635351</v>
      </c>
    </row>
    <row r="1141" spans="6:8" x14ac:dyDescent="0.35">
      <c r="F1141">
        <v>22.7600000000003</v>
      </c>
      <c r="G1141">
        <f t="shared" si="36"/>
        <v>1191.1894825117508</v>
      </c>
      <c r="H1141">
        <f t="shared" si="37"/>
        <v>-1119.557557975623</v>
      </c>
    </row>
    <row r="1142" spans="6:8" x14ac:dyDescent="0.35">
      <c r="F1142">
        <v>22.7800000000003</v>
      </c>
      <c r="G1142">
        <f t="shared" si="36"/>
        <v>1192.2362219515678</v>
      </c>
      <c r="H1142">
        <f t="shared" si="37"/>
        <v>-1122.7775764877113</v>
      </c>
    </row>
    <row r="1143" spans="6:8" x14ac:dyDescent="0.35">
      <c r="F1143">
        <v>22.800000000000299</v>
      </c>
      <c r="G1143">
        <f t="shared" si="36"/>
        <v>1193.2829613913848</v>
      </c>
      <c r="H1143">
        <f t="shared" si="37"/>
        <v>-1126.0015189997994</v>
      </c>
    </row>
    <row r="1144" spans="6:8" x14ac:dyDescent="0.35">
      <c r="F1144">
        <v>22.820000000000299</v>
      </c>
      <c r="G1144">
        <f t="shared" si="36"/>
        <v>1194.3297008312018</v>
      </c>
      <c r="H1144">
        <f t="shared" si="37"/>
        <v>-1129.2293855118874</v>
      </c>
    </row>
    <row r="1145" spans="6:8" x14ac:dyDescent="0.35">
      <c r="F1145">
        <v>22.840000000000298</v>
      </c>
      <c r="G1145">
        <f t="shared" si="36"/>
        <v>1195.3764402710187</v>
      </c>
      <c r="H1145">
        <f t="shared" si="37"/>
        <v>-1132.4611760239748</v>
      </c>
    </row>
    <row r="1146" spans="6:8" x14ac:dyDescent="0.35">
      <c r="F1146">
        <v>22.860000000000301</v>
      </c>
      <c r="G1146">
        <f t="shared" si="36"/>
        <v>1196.4231797108359</v>
      </c>
      <c r="H1146">
        <f t="shared" si="37"/>
        <v>-1135.6968905360641</v>
      </c>
    </row>
    <row r="1147" spans="6:8" x14ac:dyDescent="0.35">
      <c r="F1147">
        <v>22.880000000000301</v>
      </c>
      <c r="G1147">
        <f t="shared" si="36"/>
        <v>1197.4699191506529</v>
      </c>
      <c r="H1147">
        <f t="shared" si="37"/>
        <v>-1138.9365290481521</v>
      </c>
    </row>
    <row r="1148" spans="6:8" x14ac:dyDescent="0.35">
      <c r="F1148">
        <v>22.900000000000301</v>
      </c>
      <c r="G1148">
        <f t="shared" si="36"/>
        <v>1198.5166585904699</v>
      </c>
      <c r="H1148">
        <f t="shared" si="37"/>
        <v>-1142.1800915602398</v>
      </c>
    </row>
    <row r="1149" spans="6:8" x14ac:dyDescent="0.35">
      <c r="F1149">
        <v>22.9200000000003</v>
      </c>
      <c r="G1149">
        <f t="shared" si="36"/>
        <v>1199.5633980302869</v>
      </c>
      <c r="H1149">
        <f t="shared" si="37"/>
        <v>-1145.4275780723283</v>
      </c>
    </row>
    <row r="1150" spans="6:8" x14ac:dyDescent="0.35">
      <c r="F1150">
        <v>22.9400000000003</v>
      </c>
      <c r="G1150">
        <f t="shared" si="36"/>
        <v>1200.6101374701038</v>
      </c>
      <c r="H1150">
        <f t="shared" si="37"/>
        <v>-1148.6789885844162</v>
      </c>
    </row>
    <row r="1151" spans="6:8" x14ac:dyDescent="0.35">
      <c r="F1151">
        <v>22.960000000000299</v>
      </c>
      <c r="G1151">
        <f t="shared" si="36"/>
        <v>1201.6568769099208</v>
      </c>
      <c r="H1151">
        <f t="shared" si="37"/>
        <v>-1151.9343230965044</v>
      </c>
    </row>
    <row r="1152" spans="6:8" x14ac:dyDescent="0.35">
      <c r="F1152">
        <v>22.980000000000299</v>
      </c>
      <c r="G1152">
        <f t="shared" si="36"/>
        <v>1202.7036163497378</v>
      </c>
      <c r="H1152">
        <f t="shared" si="37"/>
        <v>-1155.193581608592</v>
      </c>
    </row>
    <row r="1153" spans="6:8" x14ac:dyDescent="0.35">
      <c r="F1153">
        <v>23.000000000000298</v>
      </c>
      <c r="G1153">
        <f t="shared" si="36"/>
        <v>1203.7503557895548</v>
      </c>
      <c r="H1153">
        <f t="shared" si="37"/>
        <v>-1158.4567641206804</v>
      </c>
    </row>
    <row r="1154" spans="6:8" x14ac:dyDescent="0.35">
      <c r="F1154">
        <v>23.020000000000302</v>
      </c>
      <c r="G1154">
        <f t="shared" si="36"/>
        <v>1204.797095229372</v>
      </c>
      <c r="H1154">
        <f t="shared" si="37"/>
        <v>-1161.7238706327685</v>
      </c>
    </row>
    <row r="1155" spans="6:8" x14ac:dyDescent="0.35">
      <c r="F1155">
        <v>23.040000000000301</v>
      </c>
      <c r="G1155">
        <f t="shared" ref="G1155:G1218" si="38">$B$15*F1155</f>
        <v>1205.8438346691889</v>
      </c>
      <c r="H1155">
        <f t="shared" ref="H1155:H1218" si="39">$B$13*F1155-($B$8*F1155^2)/2+$B$12</f>
        <v>-1164.9949011448564</v>
      </c>
    </row>
    <row r="1156" spans="6:8" x14ac:dyDescent="0.35">
      <c r="F1156">
        <v>23.060000000000301</v>
      </c>
      <c r="G1156">
        <f t="shared" si="38"/>
        <v>1206.8905741090059</v>
      </c>
      <c r="H1156">
        <f t="shared" si="39"/>
        <v>-1168.2698556569451</v>
      </c>
    </row>
    <row r="1157" spans="6:8" x14ac:dyDescent="0.35">
      <c r="F1157">
        <v>23.0800000000003</v>
      </c>
      <c r="G1157">
        <f t="shared" si="38"/>
        <v>1207.9373135488229</v>
      </c>
      <c r="H1157">
        <f t="shared" si="39"/>
        <v>-1171.5487341690327</v>
      </c>
    </row>
    <row r="1158" spans="6:8" x14ac:dyDescent="0.35">
      <c r="F1158">
        <v>23.1000000000003</v>
      </c>
      <c r="G1158">
        <f t="shared" si="38"/>
        <v>1208.9840529886399</v>
      </c>
      <c r="H1158">
        <f t="shared" si="39"/>
        <v>-1174.8315366811212</v>
      </c>
    </row>
    <row r="1159" spans="6:8" x14ac:dyDescent="0.35">
      <c r="F1159">
        <v>23.1200000000002</v>
      </c>
      <c r="G1159">
        <f t="shared" si="38"/>
        <v>1210.0307924284516</v>
      </c>
      <c r="H1159">
        <f t="shared" si="39"/>
        <v>-1178.1182631931924</v>
      </c>
    </row>
    <row r="1160" spans="6:8" x14ac:dyDescent="0.35">
      <c r="F1160">
        <v>23.1400000000002</v>
      </c>
      <c r="G1160">
        <f t="shared" si="38"/>
        <v>1211.0775318682686</v>
      </c>
      <c r="H1160">
        <f t="shared" si="39"/>
        <v>-1181.4089137052806</v>
      </c>
    </row>
    <row r="1161" spans="6:8" x14ac:dyDescent="0.35">
      <c r="F1161">
        <v>23.160000000000199</v>
      </c>
      <c r="G1161">
        <f t="shared" si="38"/>
        <v>1212.1242713080856</v>
      </c>
      <c r="H1161">
        <f t="shared" si="39"/>
        <v>-1184.7034882173687</v>
      </c>
    </row>
    <row r="1162" spans="6:8" x14ac:dyDescent="0.35">
      <c r="F1162">
        <v>23.180000000000199</v>
      </c>
      <c r="G1162">
        <f t="shared" si="38"/>
        <v>1213.1710107479025</v>
      </c>
      <c r="H1162">
        <f t="shared" si="39"/>
        <v>-1188.001986729457</v>
      </c>
    </row>
    <row r="1163" spans="6:8" x14ac:dyDescent="0.35">
      <c r="F1163">
        <v>23.200000000000198</v>
      </c>
      <c r="G1163">
        <f t="shared" si="38"/>
        <v>1214.2177501877195</v>
      </c>
      <c r="H1163">
        <f t="shared" si="39"/>
        <v>-1191.3044092415448</v>
      </c>
    </row>
    <row r="1164" spans="6:8" x14ac:dyDescent="0.35">
      <c r="F1164">
        <v>23.220000000000201</v>
      </c>
      <c r="G1164">
        <f t="shared" si="38"/>
        <v>1215.2644896275365</v>
      </c>
      <c r="H1164">
        <f t="shared" si="39"/>
        <v>-1194.6107557536332</v>
      </c>
    </row>
    <row r="1165" spans="6:8" x14ac:dyDescent="0.35">
      <c r="F1165">
        <v>23.2400000000003</v>
      </c>
      <c r="G1165">
        <f t="shared" si="38"/>
        <v>1216.3112290673587</v>
      </c>
      <c r="H1165">
        <f t="shared" si="39"/>
        <v>-1197.9210262657377</v>
      </c>
    </row>
    <row r="1166" spans="6:8" x14ac:dyDescent="0.35">
      <c r="F1166">
        <v>23.2600000000003</v>
      </c>
      <c r="G1166">
        <f t="shared" si="38"/>
        <v>1217.3579685071757</v>
      </c>
      <c r="H1166">
        <f t="shared" si="39"/>
        <v>-1201.2352207778258</v>
      </c>
    </row>
    <row r="1167" spans="6:8" x14ac:dyDescent="0.35">
      <c r="F1167">
        <v>23.2800000000002</v>
      </c>
      <c r="G1167">
        <f t="shared" si="38"/>
        <v>1218.4047079469874</v>
      </c>
      <c r="H1167">
        <f t="shared" si="39"/>
        <v>-1204.5533392898972</v>
      </c>
    </row>
    <row r="1168" spans="6:8" x14ac:dyDescent="0.35">
      <c r="F1168">
        <v>23.3000000000002</v>
      </c>
      <c r="G1168">
        <f t="shared" si="38"/>
        <v>1219.4514473868044</v>
      </c>
      <c r="H1168">
        <f t="shared" si="39"/>
        <v>-1207.8753818019854</v>
      </c>
    </row>
    <row r="1169" spans="6:8" x14ac:dyDescent="0.35">
      <c r="F1169">
        <v>23.320000000000199</v>
      </c>
      <c r="G1169">
        <f t="shared" si="38"/>
        <v>1220.4981868266213</v>
      </c>
      <c r="H1169">
        <f t="shared" si="39"/>
        <v>-1211.2013483140736</v>
      </c>
    </row>
    <row r="1170" spans="6:8" x14ac:dyDescent="0.35">
      <c r="F1170">
        <v>23.340000000000199</v>
      </c>
      <c r="G1170">
        <f t="shared" si="38"/>
        <v>1221.5449262664383</v>
      </c>
      <c r="H1170">
        <f t="shared" si="39"/>
        <v>-1214.5312388261611</v>
      </c>
    </row>
    <row r="1171" spans="6:8" x14ac:dyDescent="0.35">
      <c r="F1171">
        <v>23.360000000000198</v>
      </c>
      <c r="G1171">
        <f t="shared" si="38"/>
        <v>1222.5916657062553</v>
      </c>
      <c r="H1171">
        <f t="shared" si="39"/>
        <v>-1217.8650533382495</v>
      </c>
    </row>
    <row r="1172" spans="6:8" x14ac:dyDescent="0.35">
      <c r="F1172">
        <v>23.380000000000202</v>
      </c>
      <c r="G1172">
        <f t="shared" si="38"/>
        <v>1223.6384051460725</v>
      </c>
      <c r="H1172">
        <f t="shared" si="39"/>
        <v>-1221.2027918503384</v>
      </c>
    </row>
    <row r="1173" spans="6:8" x14ac:dyDescent="0.35">
      <c r="F1173">
        <v>23.400000000000201</v>
      </c>
      <c r="G1173">
        <f t="shared" si="38"/>
        <v>1224.6851445858895</v>
      </c>
      <c r="H1173">
        <f t="shared" si="39"/>
        <v>-1224.5444543624258</v>
      </c>
    </row>
    <row r="1174" spans="6:8" x14ac:dyDescent="0.35">
      <c r="F1174">
        <v>23.4200000000003</v>
      </c>
      <c r="G1174">
        <f t="shared" si="38"/>
        <v>1225.7318840257117</v>
      </c>
      <c r="H1174">
        <f t="shared" si="39"/>
        <v>-1227.890040874531</v>
      </c>
    </row>
    <row r="1175" spans="6:8" x14ac:dyDescent="0.35">
      <c r="F1175">
        <v>23.4400000000002</v>
      </c>
      <c r="G1175">
        <f t="shared" si="38"/>
        <v>1226.7786234655234</v>
      </c>
      <c r="H1175">
        <f t="shared" si="39"/>
        <v>-1231.239551386602</v>
      </c>
    </row>
    <row r="1176" spans="6:8" x14ac:dyDescent="0.35">
      <c r="F1176">
        <v>23.4600000000002</v>
      </c>
      <c r="G1176">
        <f t="shared" si="38"/>
        <v>1227.8253629053404</v>
      </c>
      <c r="H1176">
        <f t="shared" si="39"/>
        <v>-1234.5929858986904</v>
      </c>
    </row>
    <row r="1177" spans="6:8" x14ac:dyDescent="0.35">
      <c r="F1177">
        <v>23.480000000000199</v>
      </c>
      <c r="G1177">
        <f t="shared" si="38"/>
        <v>1228.8721023451574</v>
      </c>
      <c r="H1177">
        <f t="shared" si="39"/>
        <v>-1237.9503444107781</v>
      </c>
    </row>
    <row r="1178" spans="6:8" x14ac:dyDescent="0.35">
      <c r="F1178">
        <v>23.500000000000199</v>
      </c>
      <c r="G1178">
        <f t="shared" si="38"/>
        <v>1229.9188417849743</v>
      </c>
      <c r="H1178">
        <f t="shared" si="39"/>
        <v>-1241.3116269228663</v>
      </c>
    </row>
    <row r="1179" spans="6:8" x14ac:dyDescent="0.35">
      <c r="F1179">
        <v>23.520000000000199</v>
      </c>
      <c r="G1179">
        <f t="shared" si="38"/>
        <v>1230.9655812247913</v>
      </c>
      <c r="H1179">
        <f t="shared" si="39"/>
        <v>-1244.6768334349542</v>
      </c>
    </row>
    <row r="1180" spans="6:8" x14ac:dyDescent="0.35">
      <c r="F1180">
        <v>23.540000000000202</v>
      </c>
      <c r="G1180">
        <f t="shared" si="38"/>
        <v>1232.0123206646085</v>
      </c>
      <c r="H1180">
        <f t="shared" si="39"/>
        <v>-1248.0459639470425</v>
      </c>
    </row>
    <row r="1181" spans="6:8" x14ac:dyDescent="0.35">
      <c r="F1181">
        <v>23.560000000000201</v>
      </c>
      <c r="G1181">
        <f t="shared" si="38"/>
        <v>1233.0590601044255</v>
      </c>
      <c r="H1181">
        <f t="shared" si="39"/>
        <v>-1251.4190184591309</v>
      </c>
    </row>
    <row r="1182" spans="6:8" x14ac:dyDescent="0.35">
      <c r="F1182">
        <v>23.580000000000201</v>
      </c>
      <c r="G1182">
        <f t="shared" si="38"/>
        <v>1234.1057995442422</v>
      </c>
      <c r="H1182">
        <f t="shared" si="39"/>
        <v>-1254.7959969712192</v>
      </c>
    </row>
    <row r="1183" spans="6:8" x14ac:dyDescent="0.35">
      <c r="F1183">
        <v>23.6000000000002</v>
      </c>
      <c r="G1183">
        <f t="shared" si="38"/>
        <v>1235.1525389840592</v>
      </c>
      <c r="H1183">
        <f t="shared" si="39"/>
        <v>-1258.1768994833069</v>
      </c>
    </row>
    <row r="1184" spans="6:8" x14ac:dyDescent="0.35">
      <c r="F1184">
        <v>23.6200000000002</v>
      </c>
      <c r="G1184">
        <f t="shared" si="38"/>
        <v>1236.1992784238762</v>
      </c>
      <c r="H1184">
        <f t="shared" si="39"/>
        <v>-1261.5617259953949</v>
      </c>
    </row>
    <row r="1185" spans="6:8" x14ac:dyDescent="0.35">
      <c r="F1185">
        <v>23.6400000000002</v>
      </c>
      <c r="G1185">
        <f t="shared" si="38"/>
        <v>1237.2460178636932</v>
      </c>
      <c r="H1185">
        <f t="shared" si="39"/>
        <v>-1264.9504765074828</v>
      </c>
    </row>
    <row r="1186" spans="6:8" x14ac:dyDescent="0.35">
      <c r="F1186">
        <v>23.660000000000199</v>
      </c>
      <c r="G1186">
        <f t="shared" si="38"/>
        <v>1238.2927573035101</v>
      </c>
      <c r="H1186">
        <f t="shared" si="39"/>
        <v>-1268.343151019571</v>
      </c>
    </row>
    <row r="1187" spans="6:8" x14ac:dyDescent="0.35">
      <c r="F1187">
        <v>23.680000000000199</v>
      </c>
      <c r="G1187">
        <f t="shared" si="38"/>
        <v>1239.3394967433271</v>
      </c>
      <c r="H1187">
        <f t="shared" si="39"/>
        <v>-1271.7397495316591</v>
      </c>
    </row>
    <row r="1188" spans="6:8" x14ac:dyDescent="0.35">
      <c r="F1188">
        <v>23.700000000000198</v>
      </c>
      <c r="G1188">
        <f t="shared" si="38"/>
        <v>1240.3862361831441</v>
      </c>
      <c r="H1188">
        <f t="shared" si="39"/>
        <v>-1275.140272043747</v>
      </c>
    </row>
    <row r="1189" spans="6:8" x14ac:dyDescent="0.35">
      <c r="F1189">
        <v>23.720000000000201</v>
      </c>
      <c r="G1189">
        <f t="shared" si="38"/>
        <v>1241.4329756229613</v>
      </c>
      <c r="H1189">
        <f t="shared" si="39"/>
        <v>-1278.5447185558357</v>
      </c>
    </row>
    <row r="1190" spans="6:8" x14ac:dyDescent="0.35">
      <c r="F1190">
        <v>23.740000000000201</v>
      </c>
      <c r="G1190">
        <f t="shared" si="38"/>
        <v>1242.4797150627783</v>
      </c>
      <c r="H1190">
        <f t="shared" si="39"/>
        <v>-1281.9530890679232</v>
      </c>
    </row>
    <row r="1191" spans="6:8" x14ac:dyDescent="0.35">
      <c r="F1191">
        <v>23.760000000000201</v>
      </c>
      <c r="G1191">
        <f t="shared" si="38"/>
        <v>1243.5264545025952</v>
      </c>
      <c r="H1191">
        <f t="shared" si="39"/>
        <v>-1285.3653835800114</v>
      </c>
    </row>
    <row r="1192" spans="6:8" x14ac:dyDescent="0.35">
      <c r="F1192">
        <v>23.7800000000002</v>
      </c>
      <c r="G1192">
        <f t="shared" si="38"/>
        <v>1244.5731939424122</v>
      </c>
      <c r="H1192">
        <f t="shared" si="39"/>
        <v>-1288.7816020920995</v>
      </c>
    </row>
    <row r="1193" spans="6:8" x14ac:dyDescent="0.35">
      <c r="F1193">
        <v>23.8000000000002</v>
      </c>
      <c r="G1193">
        <f t="shared" si="38"/>
        <v>1245.6199333822292</v>
      </c>
      <c r="H1193">
        <f t="shared" si="39"/>
        <v>-1292.2017446041875</v>
      </c>
    </row>
    <row r="1194" spans="6:8" x14ac:dyDescent="0.35">
      <c r="F1194">
        <v>23.820000000000199</v>
      </c>
      <c r="G1194">
        <f t="shared" si="38"/>
        <v>1246.6666728220462</v>
      </c>
      <c r="H1194">
        <f t="shared" si="39"/>
        <v>-1295.6258111162758</v>
      </c>
    </row>
    <row r="1195" spans="6:8" x14ac:dyDescent="0.35">
      <c r="F1195">
        <v>23.840000000000199</v>
      </c>
      <c r="G1195">
        <f t="shared" si="38"/>
        <v>1247.7134122618631</v>
      </c>
      <c r="H1195">
        <f t="shared" si="39"/>
        <v>-1299.0538016283635</v>
      </c>
    </row>
    <row r="1196" spans="6:8" x14ac:dyDescent="0.35">
      <c r="F1196">
        <v>23.860000000000198</v>
      </c>
      <c r="G1196">
        <f t="shared" si="38"/>
        <v>1248.7601517016801</v>
      </c>
      <c r="H1196">
        <f t="shared" si="39"/>
        <v>-1302.4857161404518</v>
      </c>
    </row>
    <row r="1197" spans="6:8" x14ac:dyDescent="0.35">
      <c r="F1197">
        <v>23.880000000000202</v>
      </c>
      <c r="G1197">
        <f t="shared" si="38"/>
        <v>1249.8068911414973</v>
      </c>
      <c r="H1197">
        <f t="shared" si="39"/>
        <v>-1305.9215546525402</v>
      </c>
    </row>
    <row r="1198" spans="6:8" x14ac:dyDescent="0.35">
      <c r="F1198">
        <v>23.900000000000201</v>
      </c>
      <c r="G1198">
        <f t="shared" si="38"/>
        <v>1250.8536305813143</v>
      </c>
      <c r="H1198">
        <f t="shared" si="39"/>
        <v>-1309.3613171646282</v>
      </c>
    </row>
    <row r="1199" spans="6:8" x14ac:dyDescent="0.35">
      <c r="F1199">
        <v>23.920000000000201</v>
      </c>
      <c r="G1199">
        <f t="shared" si="38"/>
        <v>1251.9003700211313</v>
      </c>
      <c r="H1199">
        <f t="shared" si="39"/>
        <v>-1312.8050036767165</v>
      </c>
    </row>
    <row r="1200" spans="6:8" x14ac:dyDescent="0.35">
      <c r="F1200">
        <v>23.9400000000002</v>
      </c>
      <c r="G1200">
        <f t="shared" si="38"/>
        <v>1252.9471094609482</v>
      </c>
      <c r="H1200">
        <f t="shared" si="39"/>
        <v>-1316.2526141888043</v>
      </c>
    </row>
    <row r="1201" spans="6:8" x14ac:dyDescent="0.35">
      <c r="F1201">
        <v>23.9600000000002</v>
      </c>
      <c r="G1201">
        <f t="shared" si="38"/>
        <v>1253.9938489007652</v>
      </c>
      <c r="H1201">
        <f t="shared" si="39"/>
        <v>-1319.7041487008923</v>
      </c>
    </row>
    <row r="1202" spans="6:8" x14ac:dyDescent="0.35">
      <c r="F1202">
        <v>23.980000000000199</v>
      </c>
      <c r="G1202">
        <f t="shared" si="38"/>
        <v>1255.0405883405822</v>
      </c>
      <c r="H1202">
        <f t="shared" si="39"/>
        <v>-1323.1596072129803</v>
      </c>
    </row>
    <row r="1203" spans="6:8" x14ac:dyDescent="0.35">
      <c r="F1203">
        <v>24.000000000000199</v>
      </c>
      <c r="G1203">
        <f t="shared" si="38"/>
        <v>1256.0873277803992</v>
      </c>
      <c r="H1203">
        <f t="shared" si="39"/>
        <v>-1326.6189897250683</v>
      </c>
    </row>
    <row r="1204" spans="6:8" x14ac:dyDescent="0.35">
      <c r="F1204">
        <v>24.020000000000199</v>
      </c>
      <c r="G1204">
        <f t="shared" si="38"/>
        <v>1257.1340672202161</v>
      </c>
      <c r="H1204">
        <f t="shared" si="39"/>
        <v>-1330.0822962371562</v>
      </c>
    </row>
    <row r="1205" spans="6:8" x14ac:dyDescent="0.35">
      <c r="F1205">
        <v>24.040000000000202</v>
      </c>
      <c r="G1205">
        <f t="shared" si="38"/>
        <v>1258.1808066600331</v>
      </c>
      <c r="H1205">
        <f t="shared" si="39"/>
        <v>-1333.5495267492447</v>
      </c>
    </row>
    <row r="1206" spans="6:8" x14ac:dyDescent="0.35">
      <c r="F1206">
        <v>24.060000000000201</v>
      </c>
      <c r="G1206">
        <f t="shared" si="38"/>
        <v>1259.2275460998501</v>
      </c>
      <c r="H1206">
        <f t="shared" si="39"/>
        <v>-1337.0206812613328</v>
      </c>
    </row>
    <row r="1207" spans="6:8" x14ac:dyDescent="0.35">
      <c r="F1207">
        <v>24.080000000000201</v>
      </c>
      <c r="G1207">
        <f t="shared" si="38"/>
        <v>1260.2742855396671</v>
      </c>
      <c r="H1207">
        <f t="shared" si="39"/>
        <v>-1340.4957597734212</v>
      </c>
    </row>
    <row r="1208" spans="6:8" x14ac:dyDescent="0.35">
      <c r="F1208">
        <v>24.1000000000002</v>
      </c>
      <c r="G1208">
        <f t="shared" si="38"/>
        <v>1261.321024979484</v>
      </c>
      <c r="H1208">
        <f t="shared" si="39"/>
        <v>-1343.9747622855091</v>
      </c>
    </row>
    <row r="1209" spans="6:8" x14ac:dyDescent="0.35">
      <c r="F1209">
        <v>24.1200000000002</v>
      </c>
      <c r="G1209">
        <f t="shared" si="38"/>
        <v>1262.367764419301</v>
      </c>
      <c r="H1209">
        <f t="shared" si="39"/>
        <v>-1347.4576887975973</v>
      </c>
    </row>
    <row r="1210" spans="6:8" x14ac:dyDescent="0.35">
      <c r="F1210">
        <v>24.1400000000002</v>
      </c>
      <c r="G1210">
        <f t="shared" si="38"/>
        <v>1263.414503859118</v>
      </c>
      <c r="H1210">
        <f t="shared" si="39"/>
        <v>-1350.9445393096851</v>
      </c>
    </row>
    <row r="1211" spans="6:8" x14ac:dyDescent="0.35">
      <c r="F1211">
        <v>24.160000000000199</v>
      </c>
      <c r="G1211">
        <f t="shared" si="38"/>
        <v>1264.461243298935</v>
      </c>
      <c r="H1211">
        <f t="shared" si="39"/>
        <v>-1354.4353138217732</v>
      </c>
    </row>
    <row r="1212" spans="6:8" x14ac:dyDescent="0.35">
      <c r="F1212">
        <v>24.180000000000199</v>
      </c>
      <c r="G1212">
        <f t="shared" si="38"/>
        <v>1265.5079827387519</v>
      </c>
      <c r="H1212">
        <f t="shared" si="39"/>
        <v>-1357.9300123338608</v>
      </c>
    </row>
    <row r="1213" spans="6:8" x14ac:dyDescent="0.35">
      <c r="F1213">
        <v>24.200000000000198</v>
      </c>
      <c r="G1213">
        <f t="shared" si="38"/>
        <v>1266.5547221785689</v>
      </c>
      <c r="H1213">
        <f t="shared" si="39"/>
        <v>-1361.4286348459495</v>
      </c>
    </row>
    <row r="1214" spans="6:8" x14ac:dyDescent="0.35">
      <c r="F1214">
        <v>24.220000000000201</v>
      </c>
      <c r="G1214">
        <f t="shared" si="38"/>
        <v>1267.6014616183861</v>
      </c>
      <c r="H1214">
        <f t="shared" si="39"/>
        <v>-1364.9311813580375</v>
      </c>
    </row>
    <row r="1215" spans="6:8" x14ac:dyDescent="0.35">
      <c r="F1215">
        <v>24.240000000000201</v>
      </c>
      <c r="G1215">
        <f t="shared" si="38"/>
        <v>1268.6482010582031</v>
      </c>
      <c r="H1215">
        <f t="shared" si="39"/>
        <v>-1368.437651870126</v>
      </c>
    </row>
    <row r="1216" spans="6:8" x14ac:dyDescent="0.35">
      <c r="F1216">
        <v>24.260000000000201</v>
      </c>
      <c r="G1216">
        <f t="shared" si="38"/>
        <v>1269.6949404980201</v>
      </c>
      <c r="H1216">
        <f t="shared" si="39"/>
        <v>-1371.948046382214</v>
      </c>
    </row>
    <row r="1217" spans="6:8" x14ac:dyDescent="0.35">
      <c r="F1217">
        <v>24.2800000000002</v>
      </c>
      <c r="G1217">
        <f t="shared" si="38"/>
        <v>1270.741679937837</v>
      </c>
      <c r="H1217">
        <f t="shared" si="39"/>
        <v>-1375.4623648943016</v>
      </c>
    </row>
    <row r="1218" spans="6:8" x14ac:dyDescent="0.35">
      <c r="F1218">
        <v>24.3000000000002</v>
      </c>
      <c r="G1218">
        <f t="shared" si="38"/>
        <v>1271.788419377654</v>
      </c>
      <c r="H1218">
        <f t="shared" si="39"/>
        <v>-1378.9806074063899</v>
      </c>
    </row>
    <row r="1219" spans="6:8" x14ac:dyDescent="0.35">
      <c r="F1219">
        <v>24.320000000000199</v>
      </c>
      <c r="G1219">
        <f t="shared" ref="G1219:G1282" si="40">$B$15*F1219</f>
        <v>1272.835158817471</v>
      </c>
      <c r="H1219">
        <f t="shared" ref="H1219:H1282" si="41">$B$13*F1219-($B$8*F1219^2)/2+$B$12</f>
        <v>-1382.5027739184777</v>
      </c>
    </row>
    <row r="1220" spans="6:8" x14ac:dyDescent="0.35">
      <c r="F1220">
        <v>24.340000000000199</v>
      </c>
      <c r="G1220">
        <f t="shared" si="40"/>
        <v>1273.881898257288</v>
      </c>
      <c r="H1220">
        <f t="shared" si="41"/>
        <v>-1386.0288644305658</v>
      </c>
    </row>
    <row r="1221" spans="6:8" x14ac:dyDescent="0.35">
      <c r="F1221">
        <v>24.360000000000198</v>
      </c>
      <c r="G1221">
        <f t="shared" si="40"/>
        <v>1274.9286376971049</v>
      </c>
      <c r="H1221">
        <f t="shared" si="41"/>
        <v>-1389.5588789426538</v>
      </c>
    </row>
    <row r="1222" spans="6:8" x14ac:dyDescent="0.35">
      <c r="F1222">
        <v>24.380000000000202</v>
      </c>
      <c r="G1222">
        <f t="shared" si="40"/>
        <v>1275.9753771369219</v>
      </c>
      <c r="H1222">
        <f t="shared" si="41"/>
        <v>-1393.0928174547423</v>
      </c>
    </row>
    <row r="1223" spans="6:8" x14ac:dyDescent="0.35">
      <c r="F1223">
        <v>24.400000000000201</v>
      </c>
      <c r="G1223">
        <f t="shared" si="40"/>
        <v>1277.0221165767389</v>
      </c>
      <c r="H1223">
        <f t="shared" si="41"/>
        <v>-1396.6306799668305</v>
      </c>
    </row>
    <row r="1224" spans="6:8" x14ac:dyDescent="0.35">
      <c r="F1224">
        <v>24.420000000000201</v>
      </c>
      <c r="G1224">
        <f t="shared" si="40"/>
        <v>1278.0688560165559</v>
      </c>
      <c r="H1224">
        <f t="shared" si="41"/>
        <v>-1400.1724664789185</v>
      </c>
    </row>
    <row r="1225" spans="6:8" x14ac:dyDescent="0.35">
      <c r="F1225">
        <v>24.4400000000002</v>
      </c>
      <c r="G1225">
        <f t="shared" si="40"/>
        <v>1279.1155954563728</v>
      </c>
      <c r="H1225">
        <f t="shared" si="41"/>
        <v>-1403.7181769910069</v>
      </c>
    </row>
    <row r="1226" spans="6:8" x14ac:dyDescent="0.35">
      <c r="F1226">
        <v>24.4600000000002</v>
      </c>
      <c r="G1226">
        <f t="shared" si="40"/>
        <v>1280.1623348961898</v>
      </c>
      <c r="H1226">
        <f t="shared" si="41"/>
        <v>-1407.2678115030944</v>
      </c>
    </row>
    <row r="1227" spans="6:8" x14ac:dyDescent="0.35">
      <c r="F1227">
        <v>24.480000000000199</v>
      </c>
      <c r="G1227">
        <f t="shared" si="40"/>
        <v>1281.2090743360068</v>
      </c>
      <c r="H1227">
        <f t="shared" si="41"/>
        <v>-1410.8213700151828</v>
      </c>
    </row>
    <row r="1228" spans="6:8" x14ac:dyDescent="0.35">
      <c r="F1228">
        <v>24.500000000000199</v>
      </c>
      <c r="G1228">
        <f t="shared" si="40"/>
        <v>1282.2558137758238</v>
      </c>
      <c r="H1228">
        <f t="shared" si="41"/>
        <v>-1414.3788525272705</v>
      </c>
    </row>
    <row r="1229" spans="6:8" x14ac:dyDescent="0.35">
      <c r="F1229">
        <v>24.520000000000199</v>
      </c>
      <c r="G1229">
        <f t="shared" si="40"/>
        <v>1283.3025532156407</v>
      </c>
      <c r="H1229">
        <f t="shared" si="41"/>
        <v>-1417.9402590393586</v>
      </c>
    </row>
    <row r="1230" spans="6:8" x14ac:dyDescent="0.35">
      <c r="F1230">
        <v>24.540000000000202</v>
      </c>
      <c r="G1230">
        <f t="shared" si="40"/>
        <v>1284.3492926554579</v>
      </c>
      <c r="H1230">
        <f t="shared" si="41"/>
        <v>-1421.5055895514472</v>
      </c>
    </row>
    <row r="1231" spans="6:8" x14ac:dyDescent="0.35">
      <c r="F1231">
        <v>24.560000000000201</v>
      </c>
      <c r="G1231">
        <f t="shared" si="40"/>
        <v>1285.3960320952749</v>
      </c>
      <c r="H1231">
        <f t="shared" si="41"/>
        <v>-1425.074844063535</v>
      </c>
    </row>
    <row r="1232" spans="6:8" x14ac:dyDescent="0.35">
      <c r="F1232">
        <v>24.580000000000201</v>
      </c>
      <c r="G1232">
        <f t="shared" si="40"/>
        <v>1286.4427715350919</v>
      </c>
      <c r="H1232">
        <f t="shared" si="41"/>
        <v>-1428.6480225756231</v>
      </c>
    </row>
    <row r="1233" spans="6:8" x14ac:dyDescent="0.35">
      <c r="F1233">
        <v>24.6000000000002</v>
      </c>
      <c r="G1233">
        <f t="shared" si="40"/>
        <v>1287.4895109749089</v>
      </c>
      <c r="H1233">
        <f t="shared" si="41"/>
        <v>-1432.2251250877114</v>
      </c>
    </row>
    <row r="1234" spans="6:8" x14ac:dyDescent="0.35">
      <c r="F1234">
        <v>24.6200000000002</v>
      </c>
      <c r="G1234">
        <f t="shared" si="40"/>
        <v>1288.5362504147258</v>
      </c>
      <c r="H1234">
        <f t="shared" si="41"/>
        <v>-1435.806151599799</v>
      </c>
    </row>
    <row r="1235" spans="6:8" x14ac:dyDescent="0.35">
      <c r="F1235">
        <v>24.6400000000002</v>
      </c>
      <c r="G1235">
        <f t="shared" si="40"/>
        <v>1289.5829898545428</v>
      </c>
      <c r="H1235">
        <f t="shared" si="41"/>
        <v>-1439.3911021118874</v>
      </c>
    </row>
    <row r="1236" spans="6:8" x14ac:dyDescent="0.35">
      <c r="F1236">
        <v>24.660000000000199</v>
      </c>
      <c r="G1236">
        <f t="shared" si="40"/>
        <v>1290.6297292943598</v>
      </c>
      <c r="H1236">
        <f t="shared" si="41"/>
        <v>-1442.9799766239757</v>
      </c>
    </row>
    <row r="1237" spans="6:8" x14ac:dyDescent="0.35">
      <c r="F1237">
        <v>24.680000000000199</v>
      </c>
      <c r="G1237">
        <f t="shared" si="40"/>
        <v>1291.6764687341768</v>
      </c>
      <c r="H1237">
        <f t="shared" si="41"/>
        <v>-1446.572775136063</v>
      </c>
    </row>
    <row r="1238" spans="6:8" x14ac:dyDescent="0.35">
      <c r="F1238">
        <v>24.700000000000198</v>
      </c>
      <c r="G1238">
        <f t="shared" si="40"/>
        <v>1292.7232081739937</v>
      </c>
      <c r="H1238">
        <f t="shared" si="41"/>
        <v>-1450.1694976481515</v>
      </c>
    </row>
    <row r="1239" spans="6:8" x14ac:dyDescent="0.35">
      <c r="F1239">
        <v>24.720000000000201</v>
      </c>
      <c r="G1239">
        <f t="shared" si="40"/>
        <v>1293.7699476138109</v>
      </c>
      <c r="H1239">
        <f t="shared" si="41"/>
        <v>-1453.7701441602401</v>
      </c>
    </row>
    <row r="1240" spans="6:8" x14ac:dyDescent="0.35">
      <c r="F1240">
        <v>24.740000000000201</v>
      </c>
      <c r="G1240">
        <f t="shared" si="40"/>
        <v>1294.8166870536279</v>
      </c>
      <c r="H1240">
        <f t="shared" si="41"/>
        <v>-1457.3747146723281</v>
      </c>
    </row>
    <row r="1241" spans="6:8" x14ac:dyDescent="0.35">
      <c r="F1241">
        <v>24.760000000000201</v>
      </c>
      <c r="G1241">
        <f t="shared" si="40"/>
        <v>1295.8634264934449</v>
      </c>
      <c r="H1241">
        <f t="shared" si="41"/>
        <v>-1460.9832091844164</v>
      </c>
    </row>
    <row r="1242" spans="6:8" x14ac:dyDescent="0.35">
      <c r="F1242">
        <v>24.7800000000002</v>
      </c>
      <c r="G1242">
        <f t="shared" si="40"/>
        <v>1296.9101659332619</v>
      </c>
      <c r="H1242">
        <f t="shared" si="41"/>
        <v>-1464.5956276965042</v>
      </c>
    </row>
    <row r="1243" spans="6:8" x14ac:dyDescent="0.35">
      <c r="F1243">
        <v>24.8000000000002</v>
      </c>
      <c r="G1243">
        <f t="shared" si="40"/>
        <v>1297.9569053730788</v>
      </c>
      <c r="H1243">
        <f t="shared" si="41"/>
        <v>-1468.2119702085918</v>
      </c>
    </row>
    <row r="1244" spans="6:8" x14ac:dyDescent="0.35">
      <c r="F1244">
        <v>24.820000000000199</v>
      </c>
      <c r="G1244">
        <f t="shared" si="40"/>
        <v>1299.0036448128958</v>
      </c>
      <c r="H1244">
        <f t="shared" si="41"/>
        <v>-1471.8322367206802</v>
      </c>
    </row>
    <row r="1245" spans="6:8" x14ac:dyDescent="0.35">
      <c r="F1245">
        <v>24.840000000000199</v>
      </c>
      <c r="G1245">
        <f t="shared" si="40"/>
        <v>1300.0503842527125</v>
      </c>
      <c r="H1245">
        <f t="shared" si="41"/>
        <v>-1475.456427232768</v>
      </c>
    </row>
    <row r="1246" spans="6:8" x14ac:dyDescent="0.35">
      <c r="F1246">
        <v>24.860000000000198</v>
      </c>
      <c r="G1246">
        <f t="shared" si="40"/>
        <v>1301.0971236925295</v>
      </c>
      <c r="H1246">
        <f t="shared" si="41"/>
        <v>-1479.0845417448561</v>
      </c>
    </row>
    <row r="1247" spans="6:8" x14ac:dyDescent="0.35">
      <c r="F1247">
        <v>24.880000000000202</v>
      </c>
      <c r="G1247">
        <f t="shared" si="40"/>
        <v>1302.1438631323467</v>
      </c>
      <c r="H1247">
        <f t="shared" si="41"/>
        <v>-1482.7165802569446</v>
      </c>
    </row>
    <row r="1248" spans="6:8" x14ac:dyDescent="0.35">
      <c r="F1248">
        <v>24.900000000000201</v>
      </c>
      <c r="G1248">
        <f t="shared" si="40"/>
        <v>1303.1906025721637</v>
      </c>
      <c r="H1248">
        <f t="shared" si="41"/>
        <v>-1486.3525427690327</v>
      </c>
    </row>
    <row r="1249" spans="6:8" x14ac:dyDescent="0.35">
      <c r="F1249">
        <v>24.920000000000201</v>
      </c>
      <c r="G1249">
        <f t="shared" si="40"/>
        <v>1304.2373420119807</v>
      </c>
      <c r="H1249">
        <f t="shared" si="41"/>
        <v>-1489.9924292811206</v>
      </c>
    </row>
    <row r="1250" spans="6:8" x14ac:dyDescent="0.35">
      <c r="F1250">
        <v>24.9400000000002</v>
      </c>
      <c r="G1250">
        <f t="shared" si="40"/>
        <v>1305.2840814517976</v>
      </c>
      <c r="H1250">
        <f t="shared" si="41"/>
        <v>-1493.6362397932089</v>
      </c>
    </row>
    <row r="1251" spans="6:8" x14ac:dyDescent="0.35">
      <c r="F1251">
        <v>24.9600000000002</v>
      </c>
      <c r="G1251">
        <f t="shared" si="40"/>
        <v>1306.3308208916146</v>
      </c>
      <c r="H1251">
        <f t="shared" si="41"/>
        <v>-1497.2839743052966</v>
      </c>
    </row>
    <row r="1252" spans="6:8" x14ac:dyDescent="0.35">
      <c r="F1252">
        <v>24.980000000000199</v>
      </c>
      <c r="G1252">
        <f t="shared" si="40"/>
        <v>1307.3775603314316</v>
      </c>
      <c r="H1252">
        <f t="shared" si="41"/>
        <v>-1500.9356328173851</v>
      </c>
    </row>
    <row r="1253" spans="6:8" x14ac:dyDescent="0.35">
      <c r="F1253">
        <v>25.000000000000199</v>
      </c>
      <c r="G1253">
        <f t="shared" si="40"/>
        <v>1308.4242997712486</v>
      </c>
      <c r="H1253">
        <f t="shared" si="41"/>
        <v>-1504.591215329473</v>
      </c>
    </row>
    <row r="1254" spans="6:8" x14ac:dyDescent="0.35">
      <c r="F1254">
        <v>25.020000000000199</v>
      </c>
      <c r="G1254">
        <f t="shared" si="40"/>
        <v>1309.4710392110655</v>
      </c>
      <c r="H1254">
        <f t="shared" si="41"/>
        <v>-1508.2507218415606</v>
      </c>
    </row>
    <row r="1255" spans="6:8" x14ac:dyDescent="0.35">
      <c r="F1255">
        <v>25.040000000000202</v>
      </c>
      <c r="G1255">
        <f t="shared" si="40"/>
        <v>1310.5177786508827</v>
      </c>
      <c r="H1255">
        <f t="shared" si="41"/>
        <v>-1511.9141523536496</v>
      </c>
    </row>
    <row r="1256" spans="6:8" x14ac:dyDescent="0.35">
      <c r="F1256">
        <v>25.060000000000201</v>
      </c>
      <c r="G1256">
        <f t="shared" si="40"/>
        <v>1311.5645180906997</v>
      </c>
      <c r="H1256">
        <f t="shared" si="41"/>
        <v>-1515.5815068657378</v>
      </c>
    </row>
    <row r="1257" spans="6:8" x14ac:dyDescent="0.35">
      <c r="F1257">
        <v>25.080000000000201</v>
      </c>
      <c r="G1257">
        <f t="shared" si="40"/>
        <v>1312.6112575305167</v>
      </c>
      <c r="H1257">
        <f t="shared" si="41"/>
        <v>-1519.2527853778258</v>
      </c>
    </row>
    <row r="1258" spans="6:8" x14ac:dyDescent="0.35">
      <c r="F1258">
        <v>25.1000000000002</v>
      </c>
      <c r="G1258">
        <f t="shared" si="40"/>
        <v>1313.6579969703337</v>
      </c>
      <c r="H1258">
        <f t="shared" si="41"/>
        <v>-1522.9279878899138</v>
      </c>
    </row>
    <row r="1259" spans="6:8" x14ac:dyDescent="0.35">
      <c r="F1259">
        <v>25.1200000000002</v>
      </c>
      <c r="G1259">
        <f t="shared" si="40"/>
        <v>1314.7047364101506</v>
      </c>
      <c r="H1259">
        <f t="shared" si="41"/>
        <v>-1526.6071144020016</v>
      </c>
    </row>
    <row r="1260" spans="6:8" x14ac:dyDescent="0.35">
      <c r="F1260">
        <v>25.1400000000002</v>
      </c>
      <c r="G1260">
        <f t="shared" si="40"/>
        <v>1315.7514758499676</v>
      </c>
      <c r="H1260">
        <f t="shared" si="41"/>
        <v>-1530.2901649140897</v>
      </c>
    </row>
    <row r="1261" spans="6:8" x14ac:dyDescent="0.35">
      <c r="F1261">
        <v>25.160000000000199</v>
      </c>
      <c r="G1261">
        <f t="shared" si="40"/>
        <v>1316.7982152897846</v>
      </c>
      <c r="H1261">
        <f t="shared" si="41"/>
        <v>-1533.9771394261777</v>
      </c>
    </row>
    <row r="1262" spans="6:8" x14ac:dyDescent="0.35">
      <c r="F1262">
        <v>25.180000000000199</v>
      </c>
      <c r="G1262">
        <f t="shared" si="40"/>
        <v>1317.8449547296016</v>
      </c>
      <c r="H1262">
        <f t="shared" si="41"/>
        <v>-1537.668037938266</v>
      </c>
    </row>
    <row r="1263" spans="6:8" x14ac:dyDescent="0.35">
      <c r="F1263">
        <v>25.200000000000198</v>
      </c>
      <c r="G1263">
        <f t="shared" si="40"/>
        <v>1318.8916941694185</v>
      </c>
      <c r="H1263">
        <f t="shared" si="41"/>
        <v>-1541.3628604503535</v>
      </c>
    </row>
    <row r="1264" spans="6:8" x14ac:dyDescent="0.35">
      <c r="F1264">
        <v>25.220000000000201</v>
      </c>
      <c r="G1264">
        <f t="shared" si="40"/>
        <v>1319.9384336092355</v>
      </c>
      <c r="H1264">
        <f t="shared" si="41"/>
        <v>-1545.0616069624421</v>
      </c>
    </row>
    <row r="1265" spans="6:8" x14ac:dyDescent="0.35">
      <c r="F1265">
        <v>25.240000000000201</v>
      </c>
      <c r="G1265">
        <f t="shared" si="40"/>
        <v>1320.9851730490525</v>
      </c>
      <c r="H1265">
        <f t="shared" si="41"/>
        <v>-1548.7642774745302</v>
      </c>
    </row>
    <row r="1266" spans="6:8" x14ac:dyDescent="0.35">
      <c r="F1266">
        <v>25.260000000000201</v>
      </c>
      <c r="G1266">
        <f t="shared" si="40"/>
        <v>1322.0319124888695</v>
      </c>
      <c r="H1266">
        <f t="shared" si="41"/>
        <v>-1552.4708719866182</v>
      </c>
    </row>
    <row r="1267" spans="6:8" x14ac:dyDescent="0.35">
      <c r="F1267">
        <v>25.2800000000002</v>
      </c>
      <c r="G1267">
        <f t="shared" si="40"/>
        <v>1323.0786519286864</v>
      </c>
      <c r="H1267">
        <f t="shared" si="41"/>
        <v>-1556.1813904987062</v>
      </c>
    </row>
    <row r="1268" spans="6:8" x14ac:dyDescent="0.35">
      <c r="F1268">
        <v>25.3000000000002</v>
      </c>
      <c r="G1268">
        <f t="shared" si="40"/>
        <v>1324.1253913685034</v>
      </c>
      <c r="H1268">
        <f t="shared" si="41"/>
        <v>-1559.8958330107948</v>
      </c>
    </row>
    <row r="1269" spans="6:8" x14ac:dyDescent="0.35">
      <c r="F1269">
        <v>25.320000000000199</v>
      </c>
      <c r="G1269">
        <f t="shared" si="40"/>
        <v>1325.1721308083204</v>
      </c>
      <c r="H1269">
        <f t="shared" si="41"/>
        <v>-1563.6141995228825</v>
      </c>
    </row>
    <row r="1270" spans="6:8" x14ac:dyDescent="0.35">
      <c r="F1270">
        <v>25.340000000000199</v>
      </c>
      <c r="G1270">
        <f t="shared" si="40"/>
        <v>1326.2188702481374</v>
      </c>
      <c r="H1270">
        <f t="shared" si="41"/>
        <v>-1567.3364900349702</v>
      </c>
    </row>
    <row r="1271" spans="6:8" x14ac:dyDescent="0.35">
      <c r="F1271">
        <v>25.360000000000198</v>
      </c>
      <c r="G1271">
        <f t="shared" si="40"/>
        <v>1327.2656096879543</v>
      </c>
      <c r="H1271">
        <f t="shared" si="41"/>
        <v>-1571.0627045470587</v>
      </c>
    </row>
    <row r="1272" spans="6:8" x14ac:dyDescent="0.35">
      <c r="F1272">
        <v>25.380000000000202</v>
      </c>
      <c r="G1272">
        <f t="shared" si="40"/>
        <v>1328.3123491277715</v>
      </c>
      <c r="H1272">
        <f t="shared" si="41"/>
        <v>-1574.7928430591469</v>
      </c>
    </row>
    <row r="1273" spans="6:8" x14ac:dyDescent="0.35">
      <c r="F1273">
        <v>25.400000000000201</v>
      </c>
      <c r="G1273">
        <f t="shared" si="40"/>
        <v>1329.3590885675885</v>
      </c>
      <c r="H1273">
        <f t="shared" si="41"/>
        <v>-1578.5269055712351</v>
      </c>
    </row>
    <row r="1274" spans="6:8" x14ac:dyDescent="0.35">
      <c r="F1274">
        <v>25.420000000000201</v>
      </c>
      <c r="G1274">
        <f t="shared" si="40"/>
        <v>1330.4058280074055</v>
      </c>
      <c r="H1274">
        <f t="shared" si="41"/>
        <v>-1582.2648920833228</v>
      </c>
    </row>
    <row r="1275" spans="6:8" x14ac:dyDescent="0.35">
      <c r="F1275">
        <v>25.4400000000002</v>
      </c>
      <c r="G1275">
        <f t="shared" si="40"/>
        <v>1331.4525674472225</v>
      </c>
      <c r="H1275">
        <f t="shared" si="41"/>
        <v>-1586.0068025954113</v>
      </c>
    </row>
    <row r="1276" spans="6:8" x14ac:dyDescent="0.35">
      <c r="F1276">
        <v>25.4600000000002</v>
      </c>
      <c r="G1276">
        <f t="shared" si="40"/>
        <v>1332.4993068870394</v>
      </c>
      <c r="H1276">
        <f t="shared" si="41"/>
        <v>-1589.7526371074991</v>
      </c>
    </row>
    <row r="1277" spans="6:8" x14ac:dyDescent="0.35">
      <c r="F1277">
        <v>25.480000000000199</v>
      </c>
      <c r="G1277">
        <f t="shared" si="40"/>
        <v>1333.5460463268564</v>
      </c>
      <c r="H1277">
        <f t="shared" si="41"/>
        <v>-1593.5023956195871</v>
      </c>
    </row>
    <row r="1278" spans="6:8" x14ac:dyDescent="0.35">
      <c r="F1278">
        <v>25.500000000000199</v>
      </c>
      <c r="G1278">
        <f t="shared" si="40"/>
        <v>1334.5927857666734</v>
      </c>
      <c r="H1278">
        <f t="shared" si="41"/>
        <v>-1597.2560781316749</v>
      </c>
    </row>
    <row r="1279" spans="6:8" x14ac:dyDescent="0.35">
      <c r="F1279">
        <v>25.520000000000199</v>
      </c>
      <c r="G1279">
        <f t="shared" si="40"/>
        <v>1335.6395252064904</v>
      </c>
      <c r="H1279">
        <f t="shared" si="41"/>
        <v>-1601.0136846437631</v>
      </c>
    </row>
    <row r="1280" spans="6:8" x14ac:dyDescent="0.35">
      <c r="F1280">
        <v>25.540000000000202</v>
      </c>
      <c r="G1280">
        <f t="shared" si="40"/>
        <v>1336.6862646463076</v>
      </c>
      <c r="H1280">
        <f t="shared" si="41"/>
        <v>-1604.7752151558518</v>
      </c>
    </row>
    <row r="1281" spans="6:8" x14ac:dyDescent="0.35">
      <c r="F1281">
        <v>25.560000000000201</v>
      </c>
      <c r="G1281">
        <f t="shared" si="40"/>
        <v>1337.7330040861245</v>
      </c>
      <c r="H1281">
        <f t="shared" si="41"/>
        <v>-1608.5406696679397</v>
      </c>
    </row>
    <row r="1282" spans="6:8" x14ac:dyDescent="0.35">
      <c r="F1282">
        <v>25.580000000000201</v>
      </c>
      <c r="G1282">
        <f t="shared" si="40"/>
        <v>1338.7797435259415</v>
      </c>
      <c r="H1282">
        <f t="shared" si="41"/>
        <v>-1612.3100481800279</v>
      </c>
    </row>
    <row r="1283" spans="6:8" x14ac:dyDescent="0.35">
      <c r="F1283">
        <v>25.6000000000002</v>
      </c>
      <c r="G1283">
        <f t="shared" ref="G1283:G1346" si="42">$B$15*F1283</f>
        <v>1339.8264829657585</v>
      </c>
      <c r="H1283">
        <f t="shared" ref="H1283:H1346" si="43">$B$13*F1283-($B$8*F1283^2)/2+$B$12</f>
        <v>-1616.0833506921156</v>
      </c>
    </row>
    <row r="1284" spans="6:8" x14ac:dyDescent="0.35">
      <c r="F1284">
        <v>25.6200000000002</v>
      </c>
      <c r="G1284">
        <f t="shared" si="42"/>
        <v>1340.8732224055752</v>
      </c>
      <c r="H1284">
        <f t="shared" si="43"/>
        <v>-1619.8605772042038</v>
      </c>
    </row>
    <row r="1285" spans="6:8" x14ac:dyDescent="0.35">
      <c r="F1285">
        <v>25.6400000000002</v>
      </c>
      <c r="G1285">
        <f t="shared" si="42"/>
        <v>1341.9199618453922</v>
      </c>
      <c r="H1285">
        <f t="shared" si="43"/>
        <v>-1623.6417277162918</v>
      </c>
    </row>
    <row r="1286" spans="6:8" x14ac:dyDescent="0.35">
      <c r="F1286">
        <v>25.660000000000199</v>
      </c>
      <c r="G1286">
        <f t="shared" si="42"/>
        <v>1342.9667012852092</v>
      </c>
      <c r="H1286">
        <f t="shared" si="43"/>
        <v>-1627.4268022283798</v>
      </c>
    </row>
    <row r="1287" spans="6:8" x14ac:dyDescent="0.35">
      <c r="F1287">
        <v>25.680000000000199</v>
      </c>
      <c r="G1287">
        <f t="shared" si="42"/>
        <v>1344.0134407250262</v>
      </c>
      <c r="H1287">
        <f t="shared" si="43"/>
        <v>-1631.215800740468</v>
      </c>
    </row>
    <row r="1288" spans="6:8" x14ac:dyDescent="0.35">
      <c r="F1288">
        <v>25.700000000000198</v>
      </c>
      <c r="G1288">
        <f t="shared" si="42"/>
        <v>1345.0601801648431</v>
      </c>
      <c r="H1288">
        <f t="shared" si="43"/>
        <v>-1635.0087232525561</v>
      </c>
    </row>
    <row r="1289" spans="6:8" x14ac:dyDescent="0.35">
      <c r="F1289">
        <v>25.720000000000201</v>
      </c>
      <c r="G1289">
        <f t="shared" si="42"/>
        <v>1346.1069196046603</v>
      </c>
      <c r="H1289">
        <f t="shared" si="43"/>
        <v>-1638.8055697646448</v>
      </c>
    </row>
    <row r="1290" spans="6:8" x14ac:dyDescent="0.35">
      <c r="F1290">
        <v>25.740000000000201</v>
      </c>
      <c r="G1290">
        <f t="shared" si="42"/>
        <v>1347.1536590444773</v>
      </c>
      <c r="H1290">
        <f t="shared" si="43"/>
        <v>-1642.6063402767327</v>
      </c>
    </row>
    <row r="1291" spans="6:8" x14ac:dyDescent="0.35">
      <c r="F1291">
        <v>25.760000000000201</v>
      </c>
      <c r="G1291">
        <f t="shared" si="42"/>
        <v>1348.2003984842943</v>
      </c>
      <c r="H1291">
        <f t="shared" si="43"/>
        <v>-1646.4110347888202</v>
      </c>
    </row>
    <row r="1292" spans="6:8" x14ac:dyDescent="0.35">
      <c r="F1292">
        <v>25.7800000000002</v>
      </c>
      <c r="G1292">
        <f t="shared" si="42"/>
        <v>1349.2471379241113</v>
      </c>
      <c r="H1292">
        <f t="shared" si="43"/>
        <v>-1650.2196533009085</v>
      </c>
    </row>
    <row r="1293" spans="6:8" x14ac:dyDescent="0.35">
      <c r="F1293">
        <v>25.8000000000002</v>
      </c>
      <c r="G1293">
        <f t="shared" si="42"/>
        <v>1350.2938773639282</v>
      </c>
      <c r="H1293">
        <f t="shared" si="43"/>
        <v>-1654.0321958129966</v>
      </c>
    </row>
    <row r="1294" spans="6:8" x14ac:dyDescent="0.35">
      <c r="F1294">
        <v>25.820000000000199</v>
      </c>
      <c r="G1294">
        <f t="shared" si="42"/>
        <v>1351.3406168037452</v>
      </c>
      <c r="H1294">
        <f t="shared" si="43"/>
        <v>-1657.8486623250847</v>
      </c>
    </row>
    <row r="1295" spans="6:8" x14ac:dyDescent="0.35">
      <c r="F1295">
        <v>25.840000000000199</v>
      </c>
      <c r="G1295">
        <f t="shared" si="42"/>
        <v>1352.3873562435622</v>
      </c>
      <c r="H1295">
        <f t="shared" si="43"/>
        <v>-1661.6690528371726</v>
      </c>
    </row>
    <row r="1296" spans="6:8" x14ac:dyDescent="0.35">
      <c r="F1296">
        <v>25.860000000000198</v>
      </c>
      <c r="G1296">
        <f t="shared" si="42"/>
        <v>1353.4340956833792</v>
      </c>
      <c r="H1296">
        <f t="shared" si="43"/>
        <v>-1665.4933673492603</v>
      </c>
    </row>
    <row r="1297" spans="6:8" x14ac:dyDescent="0.35">
      <c r="F1297">
        <v>25.880000000000202</v>
      </c>
      <c r="G1297">
        <f t="shared" si="42"/>
        <v>1354.4808351231964</v>
      </c>
      <c r="H1297">
        <f t="shared" si="43"/>
        <v>-1669.3216058613496</v>
      </c>
    </row>
    <row r="1298" spans="6:8" x14ac:dyDescent="0.35">
      <c r="F1298">
        <v>25.900000000000201</v>
      </c>
      <c r="G1298">
        <f t="shared" si="42"/>
        <v>1355.5275745630133</v>
      </c>
      <c r="H1298">
        <f t="shared" si="43"/>
        <v>-1673.1537683734375</v>
      </c>
    </row>
    <row r="1299" spans="6:8" x14ac:dyDescent="0.35">
      <c r="F1299">
        <v>25.920000000000201</v>
      </c>
      <c r="G1299">
        <f t="shared" si="42"/>
        <v>1356.5743140028303</v>
      </c>
      <c r="H1299">
        <f t="shared" si="43"/>
        <v>-1676.9898548855253</v>
      </c>
    </row>
    <row r="1300" spans="6:8" x14ac:dyDescent="0.35">
      <c r="F1300">
        <v>25.9400000000002</v>
      </c>
      <c r="G1300">
        <f t="shared" si="42"/>
        <v>1357.6210534426473</v>
      </c>
      <c r="H1300">
        <f t="shared" si="43"/>
        <v>-1680.8298653976128</v>
      </c>
    </row>
    <row r="1301" spans="6:8" x14ac:dyDescent="0.35">
      <c r="F1301">
        <v>25.9600000000002</v>
      </c>
      <c r="G1301">
        <f t="shared" si="42"/>
        <v>1358.6677928824643</v>
      </c>
      <c r="H1301">
        <f t="shared" si="43"/>
        <v>-1684.6737999097011</v>
      </c>
    </row>
    <row r="1302" spans="6:8" x14ac:dyDescent="0.35">
      <c r="F1302">
        <v>25.980000000000199</v>
      </c>
      <c r="G1302">
        <f t="shared" si="42"/>
        <v>1359.7145323222812</v>
      </c>
      <c r="H1302">
        <f t="shared" si="43"/>
        <v>-1688.5216584217897</v>
      </c>
    </row>
    <row r="1303" spans="6:8" x14ac:dyDescent="0.35">
      <c r="F1303">
        <v>26.000000000000199</v>
      </c>
      <c r="G1303">
        <f t="shared" si="42"/>
        <v>1360.7612717620982</v>
      </c>
      <c r="H1303">
        <f t="shared" si="43"/>
        <v>-1692.3734409338776</v>
      </c>
    </row>
    <row r="1304" spans="6:8" x14ac:dyDescent="0.35">
      <c r="F1304">
        <v>26.020000000000199</v>
      </c>
      <c r="G1304">
        <f t="shared" si="42"/>
        <v>1361.8080112019152</v>
      </c>
      <c r="H1304">
        <f t="shared" si="43"/>
        <v>-1696.2291474459655</v>
      </c>
    </row>
    <row r="1305" spans="6:8" x14ac:dyDescent="0.35">
      <c r="F1305">
        <v>26.040000000000202</v>
      </c>
      <c r="G1305">
        <f t="shared" si="42"/>
        <v>1362.8547506417322</v>
      </c>
      <c r="H1305">
        <f t="shared" si="43"/>
        <v>-1700.0887779580544</v>
      </c>
    </row>
    <row r="1306" spans="6:8" x14ac:dyDescent="0.35">
      <c r="F1306">
        <v>26.060000000000201</v>
      </c>
      <c r="G1306">
        <f t="shared" si="42"/>
        <v>1363.9014900815491</v>
      </c>
      <c r="H1306">
        <f t="shared" si="43"/>
        <v>-1703.952332470142</v>
      </c>
    </row>
    <row r="1307" spans="6:8" x14ac:dyDescent="0.35">
      <c r="F1307">
        <v>26.080000000000201</v>
      </c>
      <c r="G1307">
        <f t="shared" si="42"/>
        <v>1364.9482295213661</v>
      </c>
      <c r="H1307">
        <f t="shared" si="43"/>
        <v>-1707.8198109822301</v>
      </c>
    </row>
    <row r="1308" spans="6:8" x14ac:dyDescent="0.35">
      <c r="F1308">
        <v>26.1000000000002</v>
      </c>
      <c r="G1308">
        <f t="shared" si="42"/>
        <v>1365.9949689611831</v>
      </c>
      <c r="H1308">
        <f t="shared" si="43"/>
        <v>-1711.6912134943182</v>
      </c>
    </row>
    <row r="1309" spans="6:8" x14ac:dyDescent="0.35">
      <c r="F1309">
        <v>26.1200000000002</v>
      </c>
      <c r="G1309">
        <f t="shared" si="42"/>
        <v>1367.0417084010001</v>
      </c>
      <c r="H1309">
        <f t="shared" si="43"/>
        <v>-1715.5665400064061</v>
      </c>
    </row>
    <row r="1310" spans="6:8" x14ac:dyDescent="0.35">
      <c r="F1310">
        <v>26.1400000000002</v>
      </c>
      <c r="G1310">
        <f t="shared" si="42"/>
        <v>1368.088447840817</v>
      </c>
      <c r="H1310">
        <f t="shared" si="43"/>
        <v>-1719.4457905184938</v>
      </c>
    </row>
    <row r="1311" spans="6:8" x14ac:dyDescent="0.35">
      <c r="F1311">
        <v>26.160000000000199</v>
      </c>
      <c r="G1311">
        <f t="shared" si="42"/>
        <v>1369.135187280634</v>
      </c>
      <c r="H1311">
        <f t="shared" si="43"/>
        <v>-1723.3289650305824</v>
      </c>
    </row>
    <row r="1312" spans="6:8" x14ac:dyDescent="0.35">
      <c r="F1312">
        <v>26.180000000000199</v>
      </c>
      <c r="G1312">
        <f t="shared" si="42"/>
        <v>1370.181926720451</v>
      </c>
      <c r="H1312">
        <f t="shared" si="43"/>
        <v>-1727.2160635426703</v>
      </c>
    </row>
    <row r="1313" spans="6:8" x14ac:dyDescent="0.35">
      <c r="F1313">
        <v>26.200000000000198</v>
      </c>
      <c r="G1313">
        <f t="shared" si="42"/>
        <v>1371.2286661602679</v>
      </c>
      <c r="H1313">
        <f t="shared" si="43"/>
        <v>-1731.1070860547582</v>
      </c>
    </row>
    <row r="1314" spans="6:8" x14ac:dyDescent="0.35">
      <c r="F1314">
        <v>26.220000000000201</v>
      </c>
      <c r="G1314">
        <f t="shared" si="42"/>
        <v>1372.2754056000852</v>
      </c>
      <c r="H1314">
        <f t="shared" si="43"/>
        <v>-1735.0020325668468</v>
      </c>
    </row>
    <row r="1315" spans="6:8" x14ac:dyDescent="0.35">
      <c r="F1315">
        <v>26.240000000000201</v>
      </c>
      <c r="G1315">
        <f t="shared" si="42"/>
        <v>1373.3221450399021</v>
      </c>
      <c r="H1315">
        <f t="shared" si="43"/>
        <v>-1738.900903078935</v>
      </c>
    </row>
    <row r="1316" spans="6:8" x14ac:dyDescent="0.35">
      <c r="F1316">
        <v>26.260000000000201</v>
      </c>
      <c r="G1316">
        <f t="shared" si="42"/>
        <v>1374.3688844797191</v>
      </c>
      <c r="H1316">
        <f t="shared" si="43"/>
        <v>-1742.8036975910227</v>
      </c>
    </row>
    <row r="1317" spans="6:8" x14ac:dyDescent="0.35">
      <c r="F1317">
        <v>26.2800000000002</v>
      </c>
      <c r="G1317">
        <f t="shared" si="42"/>
        <v>1375.4156239195361</v>
      </c>
      <c r="H1317">
        <f t="shared" si="43"/>
        <v>-1746.7104161031107</v>
      </c>
    </row>
    <row r="1318" spans="6:8" x14ac:dyDescent="0.35">
      <c r="F1318">
        <v>26.3000000000002</v>
      </c>
      <c r="G1318">
        <f t="shared" si="42"/>
        <v>1376.462363359353</v>
      </c>
      <c r="H1318">
        <f t="shared" si="43"/>
        <v>-1750.621058615199</v>
      </c>
    </row>
    <row r="1319" spans="6:8" x14ac:dyDescent="0.35">
      <c r="F1319">
        <v>26.320000000000199</v>
      </c>
      <c r="G1319">
        <f t="shared" si="42"/>
        <v>1377.50910279917</v>
      </c>
      <c r="H1319">
        <f t="shared" si="43"/>
        <v>-1754.5356251272867</v>
      </c>
    </row>
    <row r="1320" spans="6:8" x14ac:dyDescent="0.35">
      <c r="F1320">
        <v>26.340000000000199</v>
      </c>
      <c r="G1320">
        <f t="shared" si="42"/>
        <v>1378.555842238987</v>
      </c>
      <c r="H1320">
        <f t="shared" si="43"/>
        <v>-1758.4541156393748</v>
      </c>
    </row>
    <row r="1321" spans="6:8" x14ac:dyDescent="0.35">
      <c r="F1321">
        <v>26.360000000000198</v>
      </c>
      <c r="G1321">
        <f t="shared" si="42"/>
        <v>1379.602581678804</v>
      </c>
      <c r="H1321">
        <f t="shared" si="43"/>
        <v>-1762.3765301514629</v>
      </c>
    </row>
    <row r="1322" spans="6:8" x14ac:dyDescent="0.35">
      <c r="F1322">
        <v>26.380000000000202</v>
      </c>
      <c r="G1322">
        <f t="shared" si="42"/>
        <v>1380.6493211186212</v>
      </c>
      <c r="H1322">
        <f t="shared" si="43"/>
        <v>-1766.3028686635512</v>
      </c>
    </row>
    <row r="1323" spans="6:8" x14ac:dyDescent="0.35">
      <c r="F1323">
        <v>26.400000000000201</v>
      </c>
      <c r="G1323">
        <f t="shared" si="42"/>
        <v>1381.6960605584381</v>
      </c>
      <c r="H1323">
        <f t="shared" si="43"/>
        <v>-1770.2331311756395</v>
      </c>
    </row>
    <row r="1324" spans="6:8" x14ac:dyDescent="0.35">
      <c r="F1324">
        <v>26.420000000000201</v>
      </c>
      <c r="G1324">
        <f t="shared" si="42"/>
        <v>1382.7427999982549</v>
      </c>
      <c r="H1324">
        <f t="shared" si="43"/>
        <v>-1774.1673176877273</v>
      </c>
    </row>
    <row r="1325" spans="6:8" x14ac:dyDescent="0.35">
      <c r="F1325">
        <v>26.4400000000002</v>
      </c>
      <c r="G1325">
        <f t="shared" si="42"/>
        <v>1383.7895394380719</v>
      </c>
      <c r="H1325">
        <f t="shared" si="43"/>
        <v>-1778.1054281998158</v>
      </c>
    </row>
    <row r="1326" spans="6:8" x14ac:dyDescent="0.35">
      <c r="F1326">
        <v>26.4600000000002</v>
      </c>
      <c r="G1326">
        <f t="shared" si="42"/>
        <v>1384.8362788778888</v>
      </c>
      <c r="H1326">
        <f t="shared" si="43"/>
        <v>-1782.0474627119038</v>
      </c>
    </row>
    <row r="1327" spans="6:8" x14ac:dyDescent="0.35">
      <c r="F1327">
        <v>26.480000000000199</v>
      </c>
      <c r="G1327">
        <f t="shared" si="42"/>
        <v>1385.8830183177058</v>
      </c>
      <c r="H1327">
        <f t="shared" si="43"/>
        <v>-1785.9934212239916</v>
      </c>
    </row>
    <row r="1328" spans="6:8" x14ac:dyDescent="0.35">
      <c r="F1328">
        <v>26.500000000000199</v>
      </c>
      <c r="G1328">
        <f t="shared" si="42"/>
        <v>1386.9297577575228</v>
      </c>
      <c r="H1328">
        <f t="shared" si="43"/>
        <v>-1789.9433037360795</v>
      </c>
    </row>
    <row r="1329" spans="6:8" x14ac:dyDescent="0.35">
      <c r="F1329">
        <v>26.520000000000199</v>
      </c>
      <c r="G1329">
        <f t="shared" si="42"/>
        <v>1387.9764971973398</v>
      </c>
      <c r="H1329">
        <f t="shared" si="43"/>
        <v>-1793.8971102481678</v>
      </c>
    </row>
    <row r="1330" spans="6:8" x14ac:dyDescent="0.35">
      <c r="F1330">
        <v>26.540000000000202</v>
      </c>
      <c r="G1330">
        <f t="shared" si="42"/>
        <v>1389.023236637157</v>
      </c>
      <c r="H1330">
        <f t="shared" si="43"/>
        <v>-1797.8548407602566</v>
      </c>
    </row>
    <row r="1331" spans="6:8" x14ac:dyDescent="0.35">
      <c r="F1331">
        <v>26.560000000000201</v>
      </c>
      <c r="G1331">
        <f t="shared" si="42"/>
        <v>1390.0699760769739</v>
      </c>
      <c r="H1331">
        <f t="shared" si="43"/>
        <v>-1801.8164952723441</v>
      </c>
    </row>
    <row r="1332" spans="6:8" x14ac:dyDescent="0.35">
      <c r="F1332">
        <v>26.580000000000201</v>
      </c>
      <c r="G1332">
        <f t="shared" si="42"/>
        <v>1391.1167155167909</v>
      </c>
      <c r="H1332">
        <f t="shared" si="43"/>
        <v>-1805.7820737844324</v>
      </c>
    </row>
    <row r="1333" spans="6:8" x14ac:dyDescent="0.35">
      <c r="F1333">
        <v>26.6000000000002</v>
      </c>
      <c r="G1333">
        <f t="shared" si="42"/>
        <v>1392.1634549566079</v>
      </c>
      <c r="H1333">
        <f t="shared" si="43"/>
        <v>-1809.7515762965202</v>
      </c>
    </row>
    <row r="1334" spans="6:8" x14ac:dyDescent="0.35">
      <c r="F1334">
        <v>26.6200000000002</v>
      </c>
      <c r="G1334">
        <f t="shared" si="42"/>
        <v>1393.2101943964249</v>
      </c>
      <c r="H1334">
        <f t="shared" si="43"/>
        <v>-1813.7250028086082</v>
      </c>
    </row>
    <row r="1335" spans="6:8" x14ac:dyDescent="0.35">
      <c r="F1335">
        <v>26.6400000000002</v>
      </c>
      <c r="G1335">
        <f t="shared" si="42"/>
        <v>1394.2569338362418</v>
      </c>
      <c r="H1335">
        <f t="shared" si="43"/>
        <v>-1817.7023533206961</v>
      </c>
    </row>
    <row r="1336" spans="6:8" x14ac:dyDescent="0.35">
      <c r="F1336">
        <v>26.660000000000199</v>
      </c>
      <c r="G1336">
        <f t="shared" si="42"/>
        <v>1395.3036732760588</v>
      </c>
      <c r="H1336">
        <f t="shared" si="43"/>
        <v>-1821.6836278327844</v>
      </c>
    </row>
    <row r="1337" spans="6:8" x14ac:dyDescent="0.35">
      <c r="F1337">
        <v>26.680000000000199</v>
      </c>
      <c r="G1337">
        <f t="shared" si="42"/>
        <v>1396.3504127158758</v>
      </c>
      <c r="H1337">
        <f t="shared" si="43"/>
        <v>-1825.6688263448723</v>
      </c>
    </row>
    <row r="1338" spans="6:8" x14ac:dyDescent="0.35">
      <c r="F1338">
        <v>26.700000000000198</v>
      </c>
      <c r="G1338">
        <f t="shared" si="42"/>
        <v>1397.3971521556928</v>
      </c>
      <c r="H1338">
        <f t="shared" si="43"/>
        <v>-1829.65794885696</v>
      </c>
    </row>
    <row r="1339" spans="6:8" x14ac:dyDescent="0.35">
      <c r="F1339">
        <v>26.720000000000201</v>
      </c>
      <c r="G1339">
        <f t="shared" si="42"/>
        <v>1398.44389159551</v>
      </c>
      <c r="H1339">
        <f t="shared" si="43"/>
        <v>-1833.6509953690493</v>
      </c>
    </row>
    <row r="1340" spans="6:8" x14ac:dyDescent="0.35">
      <c r="F1340">
        <v>26.740000000000201</v>
      </c>
      <c r="G1340">
        <f t="shared" si="42"/>
        <v>1399.4906310353269</v>
      </c>
      <c r="H1340">
        <f t="shared" si="43"/>
        <v>-1837.6479658811368</v>
      </c>
    </row>
    <row r="1341" spans="6:8" x14ac:dyDescent="0.35">
      <c r="F1341">
        <v>26.760000000000201</v>
      </c>
      <c r="G1341">
        <f t="shared" si="42"/>
        <v>1400.5373704751439</v>
      </c>
      <c r="H1341">
        <f t="shared" si="43"/>
        <v>-1841.648860393225</v>
      </c>
    </row>
    <row r="1342" spans="6:8" x14ac:dyDescent="0.35">
      <c r="F1342">
        <v>26.7800000000002</v>
      </c>
      <c r="G1342">
        <f t="shared" si="42"/>
        <v>1401.5841099149609</v>
      </c>
      <c r="H1342">
        <f t="shared" si="43"/>
        <v>-1845.6536789053132</v>
      </c>
    </row>
    <row r="1343" spans="6:8" x14ac:dyDescent="0.35">
      <c r="F1343">
        <v>26.8000000000002</v>
      </c>
      <c r="G1343">
        <f t="shared" si="42"/>
        <v>1402.6308493547779</v>
      </c>
      <c r="H1343">
        <f t="shared" si="43"/>
        <v>-1849.6624214174012</v>
      </c>
    </row>
    <row r="1344" spans="6:8" x14ac:dyDescent="0.35">
      <c r="F1344">
        <v>26.820000000000199</v>
      </c>
      <c r="G1344">
        <f t="shared" si="42"/>
        <v>1403.6775887945948</v>
      </c>
      <c r="H1344">
        <f t="shared" si="43"/>
        <v>-1853.6750879294893</v>
      </c>
    </row>
    <row r="1345" spans="6:8" x14ac:dyDescent="0.35">
      <c r="F1345">
        <v>26.840000000000199</v>
      </c>
      <c r="G1345">
        <f t="shared" si="42"/>
        <v>1404.7243282344118</v>
      </c>
      <c r="H1345">
        <f t="shared" si="43"/>
        <v>-1857.6916784415769</v>
      </c>
    </row>
    <row r="1346" spans="6:8" x14ac:dyDescent="0.35">
      <c r="F1346">
        <v>26.860000000000198</v>
      </c>
      <c r="G1346">
        <f t="shared" si="42"/>
        <v>1405.7710676742288</v>
      </c>
      <c r="H1346">
        <f t="shared" si="43"/>
        <v>-1861.7121929536652</v>
      </c>
    </row>
    <row r="1347" spans="6:8" x14ac:dyDescent="0.35">
      <c r="F1347">
        <v>26.880000000000202</v>
      </c>
      <c r="G1347">
        <f t="shared" ref="G1347:G1410" si="44">$B$15*F1347</f>
        <v>1406.8178071140458</v>
      </c>
      <c r="H1347">
        <f t="shared" ref="H1347:H1410" si="45">$B$13*F1347-($B$8*F1347^2)/2+$B$12</f>
        <v>-1865.7366314657536</v>
      </c>
    </row>
    <row r="1348" spans="6:8" x14ac:dyDescent="0.35">
      <c r="F1348">
        <v>26.900000000000201</v>
      </c>
      <c r="G1348">
        <f t="shared" si="44"/>
        <v>1407.8645465538627</v>
      </c>
      <c r="H1348">
        <f t="shared" si="45"/>
        <v>-1869.7649939778416</v>
      </c>
    </row>
    <row r="1349" spans="6:8" x14ac:dyDescent="0.35">
      <c r="F1349">
        <v>26.920000000000201</v>
      </c>
      <c r="G1349">
        <f t="shared" si="44"/>
        <v>1408.9112859936797</v>
      </c>
      <c r="H1349">
        <f t="shared" si="45"/>
        <v>-1873.79728048993</v>
      </c>
    </row>
    <row r="1350" spans="6:8" x14ac:dyDescent="0.35">
      <c r="F1350">
        <v>26.9400000000002</v>
      </c>
      <c r="G1350">
        <f t="shared" si="44"/>
        <v>1409.9580254334967</v>
      </c>
      <c r="H1350">
        <f t="shared" si="45"/>
        <v>-1877.8334910020178</v>
      </c>
    </row>
    <row r="1351" spans="6:8" x14ac:dyDescent="0.35">
      <c r="F1351">
        <v>26.9600000000002</v>
      </c>
      <c r="G1351">
        <f t="shared" si="44"/>
        <v>1411.0047648733137</v>
      </c>
      <c r="H1351">
        <f t="shared" si="45"/>
        <v>-1881.8736255141057</v>
      </c>
    </row>
    <row r="1352" spans="6:8" x14ac:dyDescent="0.35">
      <c r="F1352">
        <v>26.980000000000199</v>
      </c>
      <c r="G1352">
        <f t="shared" si="44"/>
        <v>1412.0515043131306</v>
      </c>
      <c r="H1352">
        <f t="shared" si="45"/>
        <v>-1885.9176840261939</v>
      </c>
    </row>
    <row r="1353" spans="6:8" x14ac:dyDescent="0.35">
      <c r="F1353">
        <v>27.000000000000199</v>
      </c>
      <c r="G1353">
        <f t="shared" si="44"/>
        <v>1413.0982437529476</v>
      </c>
      <c r="H1353">
        <f t="shared" si="45"/>
        <v>-1889.9656665382815</v>
      </c>
    </row>
    <row r="1354" spans="6:8" x14ac:dyDescent="0.35">
      <c r="F1354">
        <v>27.020000000000199</v>
      </c>
      <c r="G1354">
        <f t="shared" si="44"/>
        <v>1414.1449831927646</v>
      </c>
      <c r="H1354">
        <f t="shared" si="45"/>
        <v>-1894.0175730503699</v>
      </c>
    </row>
    <row r="1355" spans="6:8" x14ac:dyDescent="0.35">
      <c r="F1355">
        <v>27.040000000000202</v>
      </c>
      <c r="G1355">
        <f t="shared" si="44"/>
        <v>1415.1917226325818</v>
      </c>
      <c r="H1355">
        <f t="shared" si="45"/>
        <v>-1898.0734035624585</v>
      </c>
    </row>
    <row r="1356" spans="6:8" x14ac:dyDescent="0.35">
      <c r="F1356">
        <v>27.060000000000201</v>
      </c>
      <c r="G1356">
        <f t="shared" si="44"/>
        <v>1416.2384620723988</v>
      </c>
      <c r="H1356">
        <f t="shared" si="45"/>
        <v>-1902.1331580745471</v>
      </c>
    </row>
    <row r="1357" spans="6:8" x14ac:dyDescent="0.35">
      <c r="F1357">
        <v>27.080000000000201</v>
      </c>
      <c r="G1357">
        <f t="shared" si="44"/>
        <v>1417.2852015122157</v>
      </c>
      <c r="H1357">
        <f t="shared" si="45"/>
        <v>-1906.1968365866342</v>
      </c>
    </row>
    <row r="1358" spans="6:8" x14ac:dyDescent="0.35">
      <c r="F1358">
        <v>27.1000000000002</v>
      </c>
      <c r="G1358">
        <f t="shared" si="44"/>
        <v>1418.3319409520327</v>
      </c>
      <c r="H1358">
        <f t="shared" si="45"/>
        <v>-1910.2644390987227</v>
      </c>
    </row>
    <row r="1359" spans="6:8" x14ac:dyDescent="0.35">
      <c r="F1359">
        <v>27.1200000000002</v>
      </c>
      <c r="G1359">
        <f t="shared" si="44"/>
        <v>1419.3786803918497</v>
      </c>
      <c r="H1359">
        <f t="shared" si="45"/>
        <v>-1914.3359656108107</v>
      </c>
    </row>
    <row r="1360" spans="6:8" x14ac:dyDescent="0.35">
      <c r="F1360">
        <v>27.1400000000002</v>
      </c>
      <c r="G1360">
        <f t="shared" si="44"/>
        <v>1420.4254198316667</v>
      </c>
      <c r="H1360">
        <f t="shared" si="45"/>
        <v>-1918.4114161228986</v>
      </c>
    </row>
    <row r="1361" spans="6:8" x14ac:dyDescent="0.35">
      <c r="F1361">
        <v>27.160000000000199</v>
      </c>
      <c r="G1361">
        <f t="shared" si="44"/>
        <v>1421.4721592714836</v>
      </c>
      <c r="H1361">
        <f t="shared" si="45"/>
        <v>-1922.4907906349868</v>
      </c>
    </row>
    <row r="1362" spans="6:8" x14ac:dyDescent="0.35">
      <c r="F1362">
        <v>27.180000000000199</v>
      </c>
      <c r="G1362">
        <f t="shared" si="44"/>
        <v>1422.5188987113006</v>
      </c>
      <c r="H1362">
        <f t="shared" si="45"/>
        <v>-1926.5740891470743</v>
      </c>
    </row>
    <row r="1363" spans="6:8" x14ac:dyDescent="0.35">
      <c r="F1363">
        <v>27.200000000000198</v>
      </c>
      <c r="G1363">
        <f t="shared" si="44"/>
        <v>1423.5656381511176</v>
      </c>
      <c r="H1363">
        <f t="shared" si="45"/>
        <v>-1930.6613116591627</v>
      </c>
    </row>
    <row r="1364" spans="6:8" x14ac:dyDescent="0.35">
      <c r="F1364">
        <v>27.220000000000201</v>
      </c>
      <c r="G1364">
        <f t="shared" si="44"/>
        <v>1424.6123775909346</v>
      </c>
      <c r="H1364">
        <f t="shared" si="45"/>
        <v>-1934.7524581712512</v>
      </c>
    </row>
    <row r="1365" spans="6:8" x14ac:dyDescent="0.35">
      <c r="F1365">
        <v>27.240000000000201</v>
      </c>
      <c r="G1365">
        <f t="shared" si="44"/>
        <v>1425.6591170307515</v>
      </c>
      <c r="H1365">
        <f t="shared" si="45"/>
        <v>-1938.8475286833393</v>
      </c>
    </row>
    <row r="1366" spans="6:8" x14ac:dyDescent="0.35">
      <c r="F1366">
        <v>27.260000000000201</v>
      </c>
      <c r="G1366">
        <f t="shared" si="44"/>
        <v>1426.7058564705685</v>
      </c>
      <c r="H1366">
        <f t="shared" si="45"/>
        <v>-1942.9465231954273</v>
      </c>
    </row>
    <row r="1367" spans="6:8" x14ac:dyDescent="0.35">
      <c r="F1367">
        <v>27.2800000000002</v>
      </c>
      <c r="G1367">
        <f t="shared" si="44"/>
        <v>1427.7525959103855</v>
      </c>
      <c r="H1367">
        <f t="shared" si="45"/>
        <v>-1947.0494417075154</v>
      </c>
    </row>
    <row r="1368" spans="6:8" x14ac:dyDescent="0.35">
      <c r="F1368">
        <v>27.3000000000002</v>
      </c>
      <c r="G1368">
        <f t="shared" si="44"/>
        <v>1428.7993353502025</v>
      </c>
      <c r="H1368">
        <f t="shared" si="45"/>
        <v>-1951.1562842196033</v>
      </c>
    </row>
    <row r="1369" spans="6:8" x14ac:dyDescent="0.35">
      <c r="F1369">
        <v>27.320000000000199</v>
      </c>
      <c r="G1369">
        <f t="shared" si="44"/>
        <v>1429.8460747900194</v>
      </c>
      <c r="H1369">
        <f t="shared" si="45"/>
        <v>-1955.2670507316911</v>
      </c>
    </row>
    <row r="1370" spans="6:8" x14ac:dyDescent="0.35">
      <c r="F1370">
        <v>27.340000000000199</v>
      </c>
      <c r="G1370">
        <f t="shared" si="44"/>
        <v>1430.8928142298364</v>
      </c>
      <c r="H1370">
        <f t="shared" si="45"/>
        <v>-1959.3817412437797</v>
      </c>
    </row>
    <row r="1371" spans="6:8" x14ac:dyDescent="0.35">
      <c r="F1371">
        <v>27.360000000000198</v>
      </c>
      <c r="G1371">
        <f t="shared" si="44"/>
        <v>1431.9395536696534</v>
      </c>
      <c r="H1371">
        <f t="shared" si="45"/>
        <v>-1963.5003557558673</v>
      </c>
    </row>
    <row r="1372" spans="6:8" x14ac:dyDescent="0.35">
      <c r="F1372">
        <v>27.380000000000202</v>
      </c>
      <c r="G1372">
        <f t="shared" si="44"/>
        <v>1432.9862931094706</v>
      </c>
      <c r="H1372">
        <f t="shared" si="45"/>
        <v>-1967.6228942679563</v>
      </c>
    </row>
    <row r="1373" spans="6:8" x14ac:dyDescent="0.35">
      <c r="F1373">
        <v>27.400000000000201</v>
      </c>
      <c r="G1373">
        <f t="shared" si="44"/>
        <v>1434.0330325492876</v>
      </c>
      <c r="H1373">
        <f t="shared" si="45"/>
        <v>-1971.7493567800441</v>
      </c>
    </row>
    <row r="1374" spans="6:8" x14ac:dyDescent="0.35">
      <c r="F1374">
        <v>27.420000000000201</v>
      </c>
      <c r="G1374">
        <f t="shared" si="44"/>
        <v>1435.0797719891045</v>
      </c>
      <c r="H1374">
        <f t="shared" si="45"/>
        <v>-1975.8797432921319</v>
      </c>
    </row>
    <row r="1375" spans="6:8" x14ac:dyDescent="0.35">
      <c r="F1375">
        <v>27.4400000000002</v>
      </c>
      <c r="G1375">
        <f t="shared" si="44"/>
        <v>1436.1265114289215</v>
      </c>
      <c r="H1375">
        <f t="shared" si="45"/>
        <v>-1980.0140538042201</v>
      </c>
    </row>
    <row r="1376" spans="6:8" x14ac:dyDescent="0.35">
      <c r="F1376">
        <v>27.4600000000002</v>
      </c>
      <c r="G1376">
        <f t="shared" si="44"/>
        <v>1437.1732508687385</v>
      </c>
      <c r="H1376">
        <f t="shared" si="45"/>
        <v>-1984.1522883163077</v>
      </c>
    </row>
    <row r="1377" spans="6:8" x14ac:dyDescent="0.35">
      <c r="F1377">
        <v>27.480000000000199</v>
      </c>
      <c r="G1377">
        <f t="shared" si="44"/>
        <v>1438.2199903085555</v>
      </c>
      <c r="H1377">
        <f t="shared" si="45"/>
        <v>-1988.2944468283961</v>
      </c>
    </row>
    <row r="1378" spans="6:8" x14ac:dyDescent="0.35">
      <c r="F1378">
        <v>27.500000000000199</v>
      </c>
      <c r="G1378">
        <f t="shared" si="44"/>
        <v>1439.2667297483724</v>
      </c>
      <c r="H1378">
        <f t="shared" si="45"/>
        <v>-1992.4405293404839</v>
      </c>
    </row>
    <row r="1379" spans="6:8" x14ac:dyDescent="0.35">
      <c r="F1379">
        <v>27.520000000000199</v>
      </c>
      <c r="G1379">
        <f t="shared" si="44"/>
        <v>1440.3134691881894</v>
      </c>
      <c r="H1379">
        <f t="shared" si="45"/>
        <v>-1996.5905358525724</v>
      </c>
    </row>
    <row r="1380" spans="6:8" x14ac:dyDescent="0.35">
      <c r="F1380">
        <v>27.540000000000202</v>
      </c>
      <c r="G1380">
        <f t="shared" si="44"/>
        <v>1441.3602086280066</v>
      </c>
      <c r="H1380">
        <f t="shared" si="45"/>
        <v>-2000.7444663646611</v>
      </c>
    </row>
    <row r="1381" spans="6:8" x14ac:dyDescent="0.35">
      <c r="F1381">
        <v>27.560000000000201</v>
      </c>
      <c r="G1381">
        <f t="shared" si="44"/>
        <v>1442.4069480678236</v>
      </c>
      <c r="H1381">
        <f t="shared" si="45"/>
        <v>-2004.9023208767487</v>
      </c>
    </row>
    <row r="1382" spans="6:8" x14ac:dyDescent="0.35">
      <c r="F1382">
        <v>27.580000000000201</v>
      </c>
      <c r="G1382">
        <f t="shared" si="44"/>
        <v>1443.4536875076406</v>
      </c>
      <c r="H1382">
        <f t="shared" si="45"/>
        <v>-2009.0640993888371</v>
      </c>
    </row>
    <row r="1383" spans="6:8" x14ac:dyDescent="0.35">
      <c r="F1383">
        <v>27.6000000000002</v>
      </c>
      <c r="G1383">
        <f t="shared" si="44"/>
        <v>1444.5004269474575</v>
      </c>
      <c r="H1383">
        <f t="shared" si="45"/>
        <v>-2013.2298019009245</v>
      </c>
    </row>
    <row r="1384" spans="6:8" x14ac:dyDescent="0.35">
      <c r="F1384">
        <v>27.6200000000002</v>
      </c>
      <c r="G1384">
        <f t="shared" si="44"/>
        <v>1445.5471663872745</v>
      </c>
      <c r="H1384">
        <f t="shared" si="45"/>
        <v>-2017.3994284130131</v>
      </c>
    </row>
    <row r="1385" spans="6:8" x14ac:dyDescent="0.35">
      <c r="F1385">
        <v>27.6400000000002</v>
      </c>
      <c r="G1385">
        <f t="shared" si="44"/>
        <v>1446.5939058270915</v>
      </c>
      <c r="H1385">
        <f t="shared" si="45"/>
        <v>-2021.5729789251006</v>
      </c>
    </row>
    <row r="1386" spans="6:8" x14ac:dyDescent="0.35">
      <c r="F1386">
        <v>27.660000000000199</v>
      </c>
      <c r="G1386">
        <f t="shared" si="44"/>
        <v>1447.6406452669085</v>
      </c>
      <c r="H1386">
        <f t="shared" si="45"/>
        <v>-2025.750453437189</v>
      </c>
    </row>
    <row r="1387" spans="6:8" x14ac:dyDescent="0.35">
      <c r="F1387">
        <v>27.680000000000199</v>
      </c>
      <c r="G1387">
        <f t="shared" si="44"/>
        <v>1448.6873847067252</v>
      </c>
      <c r="H1387">
        <f t="shared" si="45"/>
        <v>-2029.9318519492767</v>
      </c>
    </row>
    <row r="1388" spans="6:8" x14ac:dyDescent="0.35">
      <c r="F1388">
        <v>27.700000000000198</v>
      </c>
      <c r="G1388">
        <f t="shared" si="44"/>
        <v>1449.7341241465422</v>
      </c>
      <c r="H1388">
        <f t="shared" si="45"/>
        <v>-2034.1171744613646</v>
      </c>
    </row>
    <row r="1389" spans="6:8" x14ac:dyDescent="0.35">
      <c r="F1389">
        <v>27.720000000000201</v>
      </c>
      <c r="G1389">
        <f t="shared" si="44"/>
        <v>1450.7808635863594</v>
      </c>
      <c r="H1389">
        <f t="shared" si="45"/>
        <v>-2038.3064209734539</v>
      </c>
    </row>
    <row r="1390" spans="6:8" x14ac:dyDescent="0.35">
      <c r="F1390">
        <v>27.740000000000201</v>
      </c>
      <c r="G1390">
        <f t="shared" si="44"/>
        <v>1451.8276030261763</v>
      </c>
      <c r="H1390">
        <f t="shared" si="45"/>
        <v>-2042.4995914855415</v>
      </c>
    </row>
    <row r="1391" spans="6:8" x14ac:dyDescent="0.35">
      <c r="F1391">
        <v>27.760000000000201</v>
      </c>
      <c r="G1391">
        <f t="shared" si="44"/>
        <v>1452.8743424659933</v>
      </c>
      <c r="H1391">
        <f t="shared" si="45"/>
        <v>-2046.6966859976296</v>
      </c>
    </row>
    <row r="1392" spans="6:8" x14ac:dyDescent="0.35">
      <c r="F1392">
        <v>27.7800000000002</v>
      </c>
      <c r="G1392">
        <f t="shared" si="44"/>
        <v>1453.9210819058103</v>
      </c>
      <c r="H1392">
        <f t="shared" si="45"/>
        <v>-2050.8977045097176</v>
      </c>
    </row>
    <row r="1393" spans="6:8" x14ac:dyDescent="0.35">
      <c r="F1393">
        <v>27.8000000000001</v>
      </c>
      <c r="G1393">
        <f t="shared" si="44"/>
        <v>1454.967821345622</v>
      </c>
      <c r="H1393">
        <f t="shared" si="45"/>
        <v>-2055.1026470217853</v>
      </c>
    </row>
    <row r="1394" spans="6:8" x14ac:dyDescent="0.35">
      <c r="F1394">
        <v>27.8200000000001</v>
      </c>
      <c r="G1394">
        <f t="shared" si="44"/>
        <v>1456.014560785439</v>
      </c>
      <c r="H1394">
        <f t="shared" si="45"/>
        <v>-2059.3115135338726</v>
      </c>
    </row>
    <row r="1395" spans="6:8" x14ac:dyDescent="0.35">
      <c r="F1395">
        <v>27.840000000000099</v>
      </c>
      <c r="G1395">
        <f t="shared" si="44"/>
        <v>1457.061300225256</v>
      </c>
      <c r="H1395">
        <f t="shared" si="45"/>
        <v>-2063.5243040459604</v>
      </c>
    </row>
    <row r="1396" spans="6:8" x14ac:dyDescent="0.35">
      <c r="F1396">
        <v>27.860000000000099</v>
      </c>
      <c r="G1396">
        <f t="shared" si="44"/>
        <v>1458.108039665073</v>
      </c>
      <c r="H1396">
        <f t="shared" si="45"/>
        <v>-2067.7410185580488</v>
      </c>
    </row>
    <row r="1397" spans="6:8" x14ac:dyDescent="0.35">
      <c r="F1397">
        <v>27.880000000000098</v>
      </c>
      <c r="G1397">
        <f t="shared" si="44"/>
        <v>1459.1547791048899</v>
      </c>
      <c r="H1397">
        <f t="shared" si="45"/>
        <v>-2071.9616570701369</v>
      </c>
    </row>
    <row r="1398" spans="6:8" x14ac:dyDescent="0.35">
      <c r="F1398">
        <v>27.900000000000102</v>
      </c>
      <c r="G1398">
        <f t="shared" si="44"/>
        <v>1460.2015185447071</v>
      </c>
      <c r="H1398">
        <f t="shared" si="45"/>
        <v>-2076.1862195822255</v>
      </c>
    </row>
    <row r="1399" spans="6:8" x14ac:dyDescent="0.35">
      <c r="F1399">
        <v>27.920000000000201</v>
      </c>
      <c r="G1399">
        <f t="shared" si="44"/>
        <v>1461.2482579845293</v>
      </c>
      <c r="H1399">
        <f t="shared" si="45"/>
        <v>-2080.4147060943346</v>
      </c>
    </row>
    <row r="1400" spans="6:8" x14ac:dyDescent="0.35">
      <c r="F1400">
        <v>27.940000000000101</v>
      </c>
      <c r="G1400">
        <f t="shared" si="44"/>
        <v>1462.2949974243411</v>
      </c>
      <c r="H1400">
        <f t="shared" si="45"/>
        <v>-2084.6471166064016</v>
      </c>
    </row>
    <row r="1401" spans="6:8" x14ac:dyDescent="0.35">
      <c r="F1401">
        <v>27.9600000000002</v>
      </c>
      <c r="G1401">
        <f t="shared" si="44"/>
        <v>1463.3417368641633</v>
      </c>
      <c r="H1401">
        <f t="shared" si="45"/>
        <v>-2088.8834511185105</v>
      </c>
    </row>
    <row r="1402" spans="6:8" x14ac:dyDescent="0.35">
      <c r="F1402">
        <v>27.9800000000001</v>
      </c>
      <c r="G1402">
        <f t="shared" si="44"/>
        <v>1464.388476303975</v>
      </c>
      <c r="H1402">
        <f t="shared" si="45"/>
        <v>-2093.1237096305772</v>
      </c>
    </row>
    <row r="1403" spans="6:8" x14ac:dyDescent="0.35">
      <c r="F1403">
        <v>28.000000000000099</v>
      </c>
      <c r="G1403">
        <f t="shared" si="44"/>
        <v>1465.435215743792</v>
      </c>
      <c r="H1403">
        <f t="shared" si="45"/>
        <v>-2097.3678921426654</v>
      </c>
    </row>
    <row r="1404" spans="6:8" x14ac:dyDescent="0.35">
      <c r="F1404">
        <v>28.020000000000099</v>
      </c>
      <c r="G1404">
        <f t="shared" si="44"/>
        <v>1466.481955183609</v>
      </c>
      <c r="H1404">
        <f t="shared" si="45"/>
        <v>-2101.6159986547536</v>
      </c>
    </row>
    <row r="1405" spans="6:8" x14ac:dyDescent="0.35">
      <c r="F1405">
        <v>28.040000000000099</v>
      </c>
      <c r="G1405">
        <f t="shared" si="44"/>
        <v>1467.528694623426</v>
      </c>
      <c r="H1405">
        <f t="shared" si="45"/>
        <v>-2105.8680291668411</v>
      </c>
    </row>
    <row r="1406" spans="6:8" x14ac:dyDescent="0.35">
      <c r="F1406">
        <v>28.060000000000102</v>
      </c>
      <c r="G1406">
        <f t="shared" si="44"/>
        <v>1468.5754340632432</v>
      </c>
      <c r="H1406">
        <f t="shared" si="45"/>
        <v>-2110.12398367893</v>
      </c>
    </row>
    <row r="1407" spans="6:8" x14ac:dyDescent="0.35">
      <c r="F1407">
        <v>28.080000000000101</v>
      </c>
      <c r="G1407">
        <f t="shared" si="44"/>
        <v>1469.6221735030599</v>
      </c>
      <c r="H1407">
        <f t="shared" si="45"/>
        <v>-2114.3838621910177</v>
      </c>
    </row>
    <row r="1408" spans="6:8" x14ac:dyDescent="0.35">
      <c r="F1408">
        <v>28.1000000000002</v>
      </c>
      <c r="G1408">
        <f t="shared" si="44"/>
        <v>1470.6689129428821</v>
      </c>
      <c r="H1408">
        <f t="shared" si="45"/>
        <v>-2118.6476647031272</v>
      </c>
    </row>
    <row r="1409" spans="6:8" x14ac:dyDescent="0.35">
      <c r="F1409">
        <v>28.1200000000001</v>
      </c>
      <c r="G1409">
        <f t="shared" si="44"/>
        <v>1471.7156523826939</v>
      </c>
      <c r="H1409">
        <f t="shared" si="45"/>
        <v>-2122.9153912151937</v>
      </c>
    </row>
    <row r="1410" spans="6:8" x14ac:dyDescent="0.35">
      <c r="F1410">
        <v>28.1400000000001</v>
      </c>
      <c r="G1410">
        <f t="shared" si="44"/>
        <v>1472.7623918225108</v>
      </c>
      <c r="H1410">
        <f t="shared" si="45"/>
        <v>-2127.1870417272817</v>
      </c>
    </row>
    <row r="1411" spans="6:8" x14ac:dyDescent="0.35">
      <c r="F1411">
        <v>28.1600000000001</v>
      </c>
      <c r="G1411">
        <f t="shared" ref="G1411:G1474" si="46">$B$15*F1411</f>
        <v>1473.8091312623278</v>
      </c>
      <c r="H1411">
        <f t="shared" ref="H1411:H1474" si="47">$B$13*F1411-($B$8*F1411^2)/2+$B$12</f>
        <v>-2131.4626162393702</v>
      </c>
    </row>
    <row r="1412" spans="6:8" x14ac:dyDescent="0.35">
      <c r="F1412">
        <v>28.180000000000099</v>
      </c>
      <c r="G1412">
        <f t="shared" si="46"/>
        <v>1474.8558707021448</v>
      </c>
      <c r="H1412">
        <f t="shared" si="47"/>
        <v>-2135.7421147514574</v>
      </c>
    </row>
    <row r="1413" spans="6:8" x14ac:dyDescent="0.35">
      <c r="F1413">
        <v>28.200000000000099</v>
      </c>
      <c r="G1413">
        <f t="shared" si="46"/>
        <v>1475.9026101419618</v>
      </c>
      <c r="H1413">
        <f t="shared" si="47"/>
        <v>-2140.0255372635461</v>
      </c>
    </row>
    <row r="1414" spans="6:8" x14ac:dyDescent="0.35">
      <c r="F1414">
        <v>28.220000000000098</v>
      </c>
      <c r="G1414">
        <f t="shared" si="46"/>
        <v>1476.9493495817787</v>
      </c>
      <c r="H1414">
        <f t="shared" si="47"/>
        <v>-2144.3128837756335</v>
      </c>
    </row>
    <row r="1415" spans="6:8" x14ac:dyDescent="0.35">
      <c r="F1415">
        <v>28.240000000000101</v>
      </c>
      <c r="G1415">
        <f t="shared" si="46"/>
        <v>1477.9960890215959</v>
      </c>
      <c r="H1415">
        <f t="shared" si="47"/>
        <v>-2148.6041542877224</v>
      </c>
    </row>
    <row r="1416" spans="6:8" x14ac:dyDescent="0.35">
      <c r="F1416">
        <v>28.260000000000101</v>
      </c>
      <c r="G1416">
        <f t="shared" si="46"/>
        <v>1479.0428284614129</v>
      </c>
      <c r="H1416">
        <f t="shared" si="47"/>
        <v>-2152.8993487998109</v>
      </c>
    </row>
    <row r="1417" spans="6:8" x14ac:dyDescent="0.35">
      <c r="F1417">
        <v>28.280000000000101</v>
      </c>
      <c r="G1417">
        <f t="shared" si="46"/>
        <v>1480.0895679012299</v>
      </c>
      <c r="H1417">
        <f t="shared" si="47"/>
        <v>-2157.1984673118986</v>
      </c>
    </row>
    <row r="1418" spans="6:8" x14ac:dyDescent="0.35">
      <c r="F1418">
        <v>28.3000000000001</v>
      </c>
      <c r="G1418">
        <f t="shared" si="46"/>
        <v>1481.1363073410469</v>
      </c>
      <c r="H1418">
        <f t="shared" si="47"/>
        <v>-2161.5015098239865</v>
      </c>
    </row>
    <row r="1419" spans="6:8" x14ac:dyDescent="0.35">
      <c r="F1419">
        <v>28.3200000000001</v>
      </c>
      <c r="G1419">
        <f t="shared" si="46"/>
        <v>1482.1830467808638</v>
      </c>
      <c r="H1419">
        <f t="shared" si="47"/>
        <v>-2165.8084763360744</v>
      </c>
    </row>
    <row r="1420" spans="6:8" x14ac:dyDescent="0.35">
      <c r="F1420">
        <v>28.340000000000099</v>
      </c>
      <c r="G1420">
        <f t="shared" si="46"/>
        <v>1483.2297862206808</v>
      </c>
      <c r="H1420">
        <f t="shared" si="47"/>
        <v>-2170.1193668481624</v>
      </c>
    </row>
    <row r="1421" spans="6:8" x14ac:dyDescent="0.35">
      <c r="F1421">
        <v>28.360000000000099</v>
      </c>
      <c r="G1421">
        <f t="shared" si="46"/>
        <v>1484.2765256604978</v>
      </c>
      <c r="H1421">
        <f t="shared" si="47"/>
        <v>-2174.4341813602505</v>
      </c>
    </row>
    <row r="1422" spans="6:8" x14ac:dyDescent="0.35">
      <c r="F1422">
        <v>28.380000000000098</v>
      </c>
      <c r="G1422">
        <f t="shared" si="46"/>
        <v>1485.3232651003148</v>
      </c>
      <c r="H1422">
        <f t="shared" si="47"/>
        <v>-2178.7529198723382</v>
      </c>
    </row>
    <row r="1423" spans="6:8" x14ac:dyDescent="0.35">
      <c r="F1423">
        <v>28.400000000000102</v>
      </c>
      <c r="G1423">
        <f t="shared" si="46"/>
        <v>1486.370004540132</v>
      </c>
      <c r="H1423">
        <f t="shared" si="47"/>
        <v>-2183.075582384427</v>
      </c>
    </row>
    <row r="1424" spans="6:8" x14ac:dyDescent="0.35">
      <c r="F1424">
        <v>28.420000000000101</v>
      </c>
      <c r="G1424">
        <f t="shared" si="46"/>
        <v>1487.4167439799489</v>
      </c>
      <c r="H1424">
        <f t="shared" si="47"/>
        <v>-2187.4021688965145</v>
      </c>
    </row>
    <row r="1425" spans="6:8" x14ac:dyDescent="0.35">
      <c r="F1425">
        <v>28.440000000000101</v>
      </c>
      <c r="G1425">
        <f t="shared" si="46"/>
        <v>1488.4634834197659</v>
      </c>
      <c r="H1425">
        <f t="shared" si="47"/>
        <v>-2191.7326794086034</v>
      </c>
    </row>
    <row r="1426" spans="6:8" x14ac:dyDescent="0.35">
      <c r="F1426">
        <v>28.4600000000001</v>
      </c>
      <c r="G1426">
        <f t="shared" si="46"/>
        <v>1489.5102228595829</v>
      </c>
      <c r="H1426">
        <f t="shared" si="47"/>
        <v>-2196.0671139206911</v>
      </c>
    </row>
    <row r="1427" spans="6:8" x14ac:dyDescent="0.35">
      <c r="F1427">
        <v>28.4800000000001</v>
      </c>
      <c r="G1427">
        <f t="shared" si="46"/>
        <v>1490.5569622993999</v>
      </c>
      <c r="H1427">
        <f t="shared" si="47"/>
        <v>-2200.4054724327793</v>
      </c>
    </row>
    <row r="1428" spans="6:8" x14ac:dyDescent="0.35">
      <c r="F1428">
        <v>28.500000000000099</v>
      </c>
      <c r="G1428">
        <f t="shared" si="46"/>
        <v>1491.6037017392168</v>
      </c>
      <c r="H1428">
        <f t="shared" si="47"/>
        <v>-2204.7477549448672</v>
      </c>
    </row>
    <row r="1429" spans="6:8" x14ac:dyDescent="0.35">
      <c r="F1429">
        <v>28.520000000000099</v>
      </c>
      <c r="G1429">
        <f t="shared" si="46"/>
        <v>1492.6504411790338</v>
      </c>
      <c r="H1429">
        <f t="shared" si="47"/>
        <v>-2209.0939614569552</v>
      </c>
    </row>
    <row r="1430" spans="6:8" x14ac:dyDescent="0.35">
      <c r="F1430">
        <v>28.540000000000099</v>
      </c>
      <c r="G1430">
        <f t="shared" si="46"/>
        <v>1493.6971806188506</v>
      </c>
      <c r="H1430">
        <f t="shared" si="47"/>
        <v>-2213.4440919690428</v>
      </c>
    </row>
    <row r="1431" spans="6:8" x14ac:dyDescent="0.35">
      <c r="F1431">
        <v>28.560000000000102</v>
      </c>
      <c r="G1431">
        <f t="shared" si="46"/>
        <v>1494.7439200586678</v>
      </c>
      <c r="H1431">
        <f t="shared" si="47"/>
        <v>-2217.7981464811314</v>
      </c>
    </row>
    <row r="1432" spans="6:8" x14ac:dyDescent="0.35">
      <c r="F1432">
        <v>28.580000000000101</v>
      </c>
      <c r="G1432">
        <f t="shared" si="46"/>
        <v>1495.7906594984847</v>
      </c>
      <c r="H1432">
        <f t="shared" si="47"/>
        <v>-2222.1561249932201</v>
      </c>
    </row>
    <row r="1433" spans="6:8" x14ac:dyDescent="0.35">
      <c r="F1433">
        <v>28.600000000000101</v>
      </c>
      <c r="G1433">
        <f t="shared" si="46"/>
        <v>1496.8373989383017</v>
      </c>
      <c r="H1433">
        <f t="shared" si="47"/>
        <v>-2226.5180275053076</v>
      </c>
    </row>
    <row r="1434" spans="6:8" x14ac:dyDescent="0.35">
      <c r="F1434">
        <v>28.6200000000001</v>
      </c>
      <c r="G1434">
        <f t="shared" si="46"/>
        <v>1497.8841383781187</v>
      </c>
      <c r="H1434">
        <f t="shared" si="47"/>
        <v>-2230.8838540173961</v>
      </c>
    </row>
    <row r="1435" spans="6:8" x14ac:dyDescent="0.35">
      <c r="F1435">
        <v>28.6400000000001</v>
      </c>
      <c r="G1435">
        <f t="shared" si="46"/>
        <v>1498.9308778179357</v>
      </c>
      <c r="H1435">
        <f t="shared" si="47"/>
        <v>-2235.2536045294837</v>
      </c>
    </row>
    <row r="1436" spans="6:8" x14ac:dyDescent="0.35">
      <c r="F1436">
        <v>28.6600000000001</v>
      </c>
      <c r="G1436">
        <f t="shared" si="46"/>
        <v>1499.9776172577526</v>
      </c>
      <c r="H1436">
        <f t="shared" si="47"/>
        <v>-2239.6272790415719</v>
      </c>
    </row>
    <row r="1437" spans="6:8" x14ac:dyDescent="0.35">
      <c r="F1437">
        <v>28.680000000000099</v>
      </c>
      <c r="G1437">
        <f t="shared" si="46"/>
        <v>1501.0243566975696</v>
      </c>
      <c r="H1437">
        <f t="shared" si="47"/>
        <v>-2244.0048775536593</v>
      </c>
    </row>
    <row r="1438" spans="6:8" x14ac:dyDescent="0.35">
      <c r="F1438">
        <v>28.700000000000099</v>
      </c>
      <c r="G1438">
        <f t="shared" si="46"/>
        <v>1502.0710961373866</v>
      </c>
      <c r="H1438">
        <f t="shared" si="47"/>
        <v>-2248.3864000657472</v>
      </c>
    </row>
    <row r="1439" spans="6:8" x14ac:dyDescent="0.35">
      <c r="F1439">
        <v>28.720000000000098</v>
      </c>
      <c r="G1439">
        <f t="shared" si="46"/>
        <v>1503.1178355772036</v>
      </c>
      <c r="H1439">
        <f t="shared" si="47"/>
        <v>-2252.7718465778357</v>
      </c>
    </row>
    <row r="1440" spans="6:8" x14ac:dyDescent="0.35">
      <c r="F1440">
        <v>28.740000000000101</v>
      </c>
      <c r="G1440">
        <f t="shared" si="46"/>
        <v>1504.1645750170208</v>
      </c>
      <c r="H1440">
        <f t="shared" si="47"/>
        <v>-2257.1612170899243</v>
      </c>
    </row>
    <row r="1441" spans="6:8" x14ac:dyDescent="0.35">
      <c r="F1441">
        <v>28.760000000000101</v>
      </c>
      <c r="G1441">
        <f t="shared" si="46"/>
        <v>1505.2113144568377</v>
      </c>
      <c r="H1441">
        <f t="shared" si="47"/>
        <v>-2261.5545116020126</v>
      </c>
    </row>
    <row r="1442" spans="6:8" x14ac:dyDescent="0.35">
      <c r="F1442">
        <v>28.780000000000101</v>
      </c>
      <c r="G1442">
        <f t="shared" si="46"/>
        <v>1506.2580538966547</v>
      </c>
      <c r="H1442">
        <f t="shared" si="47"/>
        <v>-2265.9517301141</v>
      </c>
    </row>
    <row r="1443" spans="6:8" x14ac:dyDescent="0.35">
      <c r="F1443">
        <v>28.8000000000001</v>
      </c>
      <c r="G1443">
        <f t="shared" si="46"/>
        <v>1507.3047933364717</v>
      </c>
      <c r="H1443">
        <f t="shared" si="47"/>
        <v>-2270.3528726261879</v>
      </c>
    </row>
    <row r="1444" spans="6:8" x14ac:dyDescent="0.35">
      <c r="F1444">
        <v>28.8200000000001</v>
      </c>
      <c r="G1444">
        <f t="shared" si="46"/>
        <v>1508.3515327762886</v>
      </c>
      <c r="H1444">
        <f t="shared" si="47"/>
        <v>-2274.7579391382765</v>
      </c>
    </row>
    <row r="1445" spans="6:8" x14ac:dyDescent="0.35">
      <c r="F1445">
        <v>28.840000000000099</v>
      </c>
      <c r="G1445">
        <f t="shared" si="46"/>
        <v>1509.3982722161056</v>
      </c>
      <c r="H1445">
        <f t="shared" si="47"/>
        <v>-2279.1669296503646</v>
      </c>
    </row>
    <row r="1446" spans="6:8" x14ac:dyDescent="0.35">
      <c r="F1446">
        <v>28.860000000000099</v>
      </c>
      <c r="G1446">
        <f t="shared" si="46"/>
        <v>1510.4450116559226</v>
      </c>
      <c r="H1446">
        <f t="shared" si="47"/>
        <v>-2283.5798441624524</v>
      </c>
    </row>
    <row r="1447" spans="6:8" x14ac:dyDescent="0.35">
      <c r="F1447">
        <v>28.880000000000098</v>
      </c>
      <c r="G1447">
        <f t="shared" si="46"/>
        <v>1511.4917510957396</v>
      </c>
      <c r="H1447">
        <f t="shared" si="47"/>
        <v>-2287.9966826745399</v>
      </c>
    </row>
    <row r="1448" spans="6:8" x14ac:dyDescent="0.35">
      <c r="F1448">
        <v>28.900000000000102</v>
      </c>
      <c r="G1448">
        <f t="shared" si="46"/>
        <v>1512.5384905355565</v>
      </c>
      <c r="H1448">
        <f t="shared" si="47"/>
        <v>-2292.4174451866288</v>
      </c>
    </row>
    <row r="1449" spans="6:8" x14ac:dyDescent="0.35">
      <c r="F1449">
        <v>28.920000000000101</v>
      </c>
      <c r="G1449">
        <f t="shared" si="46"/>
        <v>1513.5852299753735</v>
      </c>
      <c r="H1449">
        <f t="shared" si="47"/>
        <v>-2296.8421316987169</v>
      </c>
    </row>
    <row r="1450" spans="6:8" x14ac:dyDescent="0.35">
      <c r="F1450">
        <v>28.940000000000101</v>
      </c>
      <c r="G1450">
        <f t="shared" si="46"/>
        <v>1514.6319694151905</v>
      </c>
      <c r="H1450">
        <f t="shared" si="47"/>
        <v>-2301.2707422108051</v>
      </c>
    </row>
    <row r="1451" spans="6:8" x14ac:dyDescent="0.35">
      <c r="F1451">
        <v>28.9600000000001</v>
      </c>
      <c r="G1451">
        <f t="shared" si="46"/>
        <v>1515.6787088550075</v>
      </c>
      <c r="H1451">
        <f t="shared" si="47"/>
        <v>-2305.7032767228925</v>
      </c>
    </row>
    <row r="1452" spans="6:8" x14ac:dyDescent="0.35">
      <c r="F1452">
        <v>28.9800000000001</v>
      </c>
      <c r="G1452">
        <f t="shared" si="46"/>
        <v>1516.7254482948244</v>
      </c>
      <c r="H1452">
        <f t="shared" si="47"/>
        <v>-2310.1397352349809</v>
      </c>
    </row>
    <row r="1453" spans="6:8" x14ac:dyDescent="0.35">
      <c r="F1453">
        <v>29.000000000000099</v>
      </c>
      <c r="G1453">
        <f t="shared" si="46"/>
        <v>1517.7721877346414</v>
      </c>
      <c r="H1453">
        <f t="shared" si="47"/>
        <v>-2314.5801177470689</v>
      </c>
    </row>
    <row r="1454" spans="6:8" x14ac:dyDescent="0.35">
      <c r="F1454">
        <v>29.020000000000099</v>
      </c>
      <c r="G1454">
        <f t="shared" si="46"/>
        <v>1518.8189271744584</v>
      </c>
      <c r="H1454">
        <f t="shared" si="47"/>
        <v>-2319.0244242591566</v>
      </c>
    </row>
    <row r="1455" spans="6:8" x14ac:dyDescent="0.35">
      <c r="F1455">
        <v>29.040000000000099</v>
      </c>
      <c r="G1455">
        <f t="shared" si="46"/>
        <v>1519.8656666142754</v>
      </c>
      <c r="H1455">
        <f t="shared" si="47"/>
        <v>-2323.4726547712448</v>
      </c>
    </row>
    <row r="1456" spans="6:8" x14ac:dyDescent="0.35">
      <c r="F1456">
        <v>29.060000000000102</v>
      </c>
      <c r="G1456">
        <f t="shared" si="46"/>
        <v>1520.9124060540926</v>
      </c>
      <c r="H1456">
        <f t="shared" si="47"/>
        <v>-2327.9248092833336</v>
      </c>
    </row>
    <row r="1457" spans="6:8" x14ac:dyDescent="0.35">
      <c r="F1457">
        <v>29.080000000000101</v>
      </c>
      <c r="G1457">
        <f t="shared" si="46"/>
        <v>1521.9591454939095</v>
      </c>
      <c r="H1457">
        <f t="shared" si="47"/>
        <v>-2332.3808877954211</v>
      </c>
    </row>
    <row r="1458" spans="6:8" x14ac:dyDescent="0.35">
      <c r="F1458">
        <v>29.100000000000101</v>
      </c>
      <c r="G1458">
        <f t="shared" si="46"/>
        <v>1523.0058849337265</v>
      </c>
      <c r="H1458">
        <f t="shared" si="47"/>
        <v>-2336.8408903075092</v>
      </c>
    </row>
    <row r="1459" spans="6:8" x14ac:dyDescent="0.35">
      <c r="F1459">
        <v>29.1200000000001</v>
      </c>
      <c r="G1459">
        <f t="shared" si="46"/>
        <v>1524.0526243735435</v>
      </c>
      <c r="H1459">
        <f t="shared" si="47"/>
        <v>-2341.3048168195978</v>
      </c>
    </row>
    <row r="1460" spans="6:8" x14ac:dyDescent="0.35">
      <c r="F1460">
        <v>29.1400000000001</v>
      </c>
      <c r="G1460">
        <f t="shared" si="46"/>
        <v>1525.0993638133605</v>
      </c>
      <c r="H1460">
        <f t="shared" si="47"/>
        <v>-2345.7726673316861</v>
      </c>
    </row>
    <row r="1461" spans="6:8" x14ac:dyDescent="0.35">
      <c r="F1461">
        <v>29.1600000000001</v>
      </c>
      <c r="G1461">
        <f t="shared" si="46"/>
        <v>1526.1461032531774</v>
      </c>
      <c r="H1461">
        <f t="shared" si="47"/>
        <v>-2350.2444418437735</v>
      </c>
    </row>
    <row r="1462" spans="6:8" x14ac:dyDescent="0.35">
      <c r="F1462">
        <v>29.180000000000099</v>
      </c>
      <c r="G1462">
        <f t="shared" si="46"/>
        <v>1527.1928426929944</v>
      </c>
      <c r="H1462">
        <f t="shared" si="47"/>
        <v>-2354.7201403558611</v>
      </c>
    </row>
    <row r="1463" spans="6:8" x14ac:dyDescent="0.35">
      <c r="F1463">
        <v>29.200000000000099</v>
      </c>
      <c r="G1463">
        <f t="shared" si="46"/>
        <v>1528.2395821328114</v>
      </c>
      <c r="H1463">
        <f t="shared" si="47"/>
        <v>-2359.1997628679487</v>
      </c>
    </row>
    <row r="1464" spans="6:8" x14ac:dyDescent="0.35">
      <c r="F1464">
        <v>29.220000000000098</v>
      </c>
      <c r="G1464">
        <f t="shared" si="46"/>
        <v>1529.2863215726284</v>
      </c>
      <c r="H1464">
        <f t="shared" si="47"/>
        <v>-2363.6833093800365</v>
      </c>
    </row>
    <row r="1465" spans="6:8" x14ac:dyDescent="0.35">
      <c r="F1465">
        <v>29.240000000000101</v>
      </c>
      <c r="G1465">
        <f t="shared" si="46"/>
        <v>1530.3330610124456</v>
      </c>
      <c r="H1465">
        <f t="shared" si="47"/>
        <v>-2368.1707798921266</v>
      </c>
    </row>
    <row r="1466" spans="6:8" x14ac:dyDescent="0.35">
      <c r="F1466">
        <v>29.260000000000101</v>
      </c>
      <c r="G1466">
        <f t="shared" si="46"/>
        <v>1531.3798004522625</v>
      </c>
      <c r="H1466">
        <f t="shared" si="47"/>
        <v>-2372.6621744042141</v>
      </c>
    </row>
    <row r="1467" spans="6:8" x14ac:dyDescent="0.35">
      <c r="F1467">
        <v>29.280000000000101</v>
      </c>
      <c r="G1467">
        <f t="shared" si="46"/>
        <v>1532.4265398920795</v>
      </c>
      <c r="H1467">
        <f t="shared" si="47"/>
        <v>-2377.1574929163016</v>
      </c>
    </row>
    <row r="1468" spans="6:8" x14ac:dyDescent="0.35">
      <c r="F1468">
        <v>29.3000000000001</v>
      </c>
      <c r="G1468">
        <f t="shared" si="46"/>
        <v>1533.4732793318965</v>
      </c>
      <c r="H1468">
        <f t="shared" si="47"/>
        <v>-2381.6567354283902</v>
      </c>
    </row>
    <row r="1469" spans="6:8" x14ac:dyDescent="0.35">
      <c r="F1469">
        <v>29.3200000000001</v>
      </c>
      <c r="G1469">
        <f t="shared" si="46"/>
        <v>1534.5200187717132</v>
      </c>
      <c r="H1469">
        <f t="shared" si="47"/>
        <v>-2386.159901940478</v>
      </c>
    </row>
    <row r="1470" spans="6:8" x14ac:dyDescent="0.35">
      <c r="F1470">
        <v>29.340000000000099</v>
      </c>
      <c r="G1470">
        <f t="shared" si="46"/>
        <v>1535.5667582115302</v>
      </c>
      <c r="H1470">
        <f t="shared" si="47"/>
        <v>-2390.6669924525654</v>
      </c>
    </row>
    <row r="1471" spans="6:8" x14ac:dyDescent="0.35">
      <c r="F1471">
        <v>29.360000000000099</v>
      </c>
      <c r="G1471">
        <f t="shared" si="46"/>
        <v>1536.6134976513472</v>
      </c>
      <c r="H1471">
        <f t="shared" si="47"/>
        <v>-2395.1780069646534</v>
      </c>
    </row>
    <row r="1472" spans="6:8" x14ac:dyDescent="0.35">
      <c r="F1472">
        <v>29.380000000000098</v>
      </c>
      <c r="G1472">
        <f t="shared" si="46"/>
        <v>1537.6602370911642</v>
      </c>
      <c r="H1472">
        <f t="shared" si="47"/>
        <v>-2399.6929454767419</v>
      </c>
    </row>
    <row r="1473" spans="6:8" x14ac:dyDescent="0.35">
      <c r="F1473">
        <v>29.400000000000102</v>
      </c>
      <c r="G1473">
        <f t="shared" si="46"/>
        <v>1538.7069765309814</v>
      </c>
      <c r="H1473">
        <f t="shared" si="47"/>
        <v>-2404.2118079888305</v>
      </c>
    </row>
    <row r="1474" spans="6:8" x14ac:dyDescent="0.35">
      <c r="F1474">
        <v>29.420000000000101</v>
      </c>
      <c r="G1474">
        <f t="shared" si="46"/>
        <v>1539.7537159707983</v>
      </c>
      <c r="H1474">
        <f t="shared" si="47"/>
        <v>-2408.7345945009188</v>
      </c>
    </row>
    <row r="1475" spans="6:8" x14ac:dyDescent="0.35">
      <c r="F1475">
        <v>29.440000000000101</v>
      </c>
      <c r="G1475">
        <f t="shared" ref="G1475:G1538" si="48">$B$15*F1475</f>
        <v>1540.8004554106153</v>
      </c>
      <c r="H1475">
        <f t="shared" ref="H1475:H1538" si="49">$B$13*F1475-($B$8*F1475^2)/2+$B$12</f>
        <v>-2413.2613050130062</v>
      </c>
    </row>
    <row r="1476" spans="6:8" x14ac:dyDescent="0.35">
      <c r="F1476">
        <v>29.4600000000001</v>
      </c>
      <c r="G1476">
        <f t="shared" si="48"/>
        <v>1541.8471948504323</v>
      </c>
      <c r="H1476">
        <f t="shared" si="49"/>
        <v>-2417.7919395250951</v>
      </c>
    </row>
    <row r="1477" spans="6:8" x14ac:dyDescent="0.35">
      <c r="F1477">
        <v>29.4800000000001</v>
      </c>
      <c r="G1477">
        <f t="shared" si="48"/>
        <v>1542.8939342902493</v>
      </c>
      <c r="H1477">
        <f t="shared" si="49"/>
        <v>-2422.3264980371828</v>
      </c>
    </row>
    <row r="1478" spans="6:8" x14ac:dyDescent="0.35">
      <c r="F1478">
        <v>29.500000000000099</v>
      </c>
      <c r="G1478">
        <f t="shared" si="48"/>
        <v>1543.9406737300662</v>
      </c>
      <c r="H1478">
        <f t="shared" si="49"/>
        <v>-2426.864980549271</v>
      </c>
    </row>
    <row r="1479" spans="6:8" x14ac:dyDescent="0.35">
      <c r="F1479">
        <v>29.520000000000099</v>
      </c>
      <c r="G1479">
        <f t="shared" si="48"/>
        <v>1544.9874131698832</v>
      </c>
      <c r="H1479">
        <f t="shared" si="49"/>
        <v>-2431.4073870613583</v>
      </c>
    </row>
    <row r="1480" spans="6:8" x14ac:dyDescent="0.35">
      <c r="F1480">
        <v>29.540000000000099</v>
      </c>
      <c r="G1480">
        <f t="shared" si="48"/>
        <v>1546.0341526097002</v>
      </c>
      <c r="H1480">
        <f t="shared" si="49"/>
        <v>-2435.9537175734467</v>
      </c>
    </row>
    <row r="1481" spans="6:8" x14ac:dyDescent="0.35">
      <c r="F1481">
        <v>29.560000000000102</v>
      </c>
      <c r="G1481">
        <f t="shared" si="48"/>
        <v>1547.0808920495174</v>
      </c>
      <c r="H1481">
        <f t="shared" si="49"/>
        <v>-2440.5039720855352</v>
      </c>
    </row>
    <row r="1482" spans="6:8" x14ac:dyDescent="0.35">
      <c r="F1482">
        <v>29.580000000000101</v>
      </c>
      <c r="G1482">
        <f t="shared" si="48"/>
        <v>1548.1276314893344</v>
      </c>
      <c r="H1482">
        <f t="shared" si="49"/>
        <v>-2445.0581505976238</v>
      </c>
    </row>
    <row r="1483" spans="6:8" x14ac:dyDescent="0.35">
      <c r="F1483">
        <v>29.600000000000101</v>
      </c>
      <c r="G1483">
        <f t="shared" si="48"/>
        <v>1549.1743709291513</v>
      </c>
      <c r="H1483">
        <f t="shared" si="49"/>
        <v>-2449.6162531097111</v>
      </c>
    </row>
    <row r="1484" spans="6:8" x14ac:dyDescent="0.35">
      <c r="F1484">
        <v>29.6200000000001</v>
      </c>
      <c r="G1484">
        <f t="shared" si="48"/>
        <v>1550.2211103689683</v>
      </c>
      <c r="H1484">
        <f t="shared" si="49"/>
        <v>-2454.1782796217994</v>
      </c>
    </row>
    <row r="1485" spans="6:8" x14ac:dyDescent="0.35">
      <c r="F1485">
        <v>29.6400000000001</v>
      </c>
      <c r="G1485">
        <f t="shared" si="48"/>
        <v>1551.2678498087853</v>
      </c>
      <c r="H1485">
        <f t="shared" si="49"/>
        <v>-2458.7442301338879</v>
      </c>
    </row>
    <row r="1486" spans="6:8" x14ac:dyDescent="0.35">
      <c r="F1486">
        <v>29.6600000000001</v>
      </c>
      <c r="G1486">
        <f t="shared" si="48"/>
        <v>1552.3145892486023</v>
      </c>
      <c r="H1486">
        <f t="shared" si="49"/>
        <v>-2463.3141046459746</v>
      </c>
    </row>
    <row r="1487" spans="6:8" x14ac:dyDescent="0.35">
      <c r="F1487">
        <v>29.680000000000099</v>
      </c>
      <c r="G1487">
        <f t="shared" si="48"/>
        <v>1553.3613286884192</v>
      </c>
      <c r="H1487">
        <f t="shared" si="49"/>
        <v>-2467.8879031580632</v>
      </c>
    </row>
    <row r="1488" spans="6:8" x14ac:dyDescent="0.35">
      <c r="F1488">
        <v>29.700000000000099</v>
      </c>
      <c r="G1488">
        <f t="shared" si="48"/>
        <v>1554.4080681282362</v>
      </c>
      <c r="H1488">
        <f t="shared" si="49"/>
        <v>-2472.4656256701505</v>
      </c>
    </row>
    <row r="1489" spans="6:8" x14ac:dyDescent="0.35">
      <c r="F1489">
        <v>29.720000000000098</v>
      </c>
      <c r="G1489">
        <f t="shared" si="48"/>
        <v>1555.4548075680532</v>
      </c>
      <c r="H1489">
        <f t="shared" si="49"/>
        <v>-2477.0472721822393</v>
      </c>
    </row>
    <row r="1490" spans="6:8" x14ac:dyDescent="0.35">
      <c r="F1490">
        <v>29.740000000000101</v>
      </c>
      <c r="G1490">
        <f t="shared" si="48"/>
        <v>1556.5015470078702</v>
      </c>
      <c r="H1490">
        <f t="shared" si="49"/>
        <v>-2481.6328426943282</v>
      </c>
    </row>
    <row r="1491" spans="6:8" x14ac:dyDescent="0.35">
      <c r="F1491">
        <v>29.760000000000101</v>
      </c>
      <c r="G1491">
        <f t="shared" si="48"/>
        <v>1557.5482864476871</v>
      </c>
      <c r="H1491">
        <f t="shared" si="49"/>
        <v>-2486.2223372064159</v>
      </c>
    </row>
    <row r="1492" spans="6:8" x14ac:dyDescent="0.35">
      <c r="F1492">
        <v>29.780000000000101</v>
      </c>
      <c r="G1492">
        <f t="shared" si="48"/>
        <v>1558.5950258875041</v>
      </c>
      <c r="H1492">
        <f t="shared" si="49"/>
        <v>-2490.8157557185036</v>
      </c>
    </row>
    <row r="1493" spans="6:8" x14ac:dyDescent="0.35">
      <c r="F1493">
        <v>29.8000000000001</v>
      </c>
      <c r="G1493">
        <f t="shared" si="48"/>
        <v>1559.6417653273211</v>
      </c>
      <c r="H1493">
        <f t="shared" si="49"/>
        <v>-2495.4130982305919</v>
      </c>
    </row>
    <row r="1494" spans="6:8" x14ac:dyDescent="0.35">
      <c r="F1494">
        <v>29.8200000000001</v>
      </c>
      <c r="G1494">
        <f t="shared" si="48"/>
        <v>1560.6885047671381</v>
      </c>
      <c r="H1494">
        <f t="shared" si="49"/>
        <v>-2500.0143647426798</v>
      </c>
    </row>
    <row r="1495" spans="6:8" x14ac:dyDescent="0.35">
      <c r="F1495">
        <v>29.840000000000099</v>
      </c>
      <c r="G1495">
        <f t="shared" si="48"/>
        <v>1561.735244206955</v>
      </c>
      <c r="H1495">
        <f t="shared" si="49"/>
        <v>-2504.6195552547683</v>
      </c>
    </row>
    <row r="1496" spans="6:8" x14ac:dyDescent="0.35">
      <c r="F1496">
        <v>29.860000000000099</v>
      </c>
      <c r="G1496">
        <f t="shared" si="48"/>
        <v>1562.781983646772</v>
      </c>
      <c r="H1496">
        <f t="shared" si="49"/>
        <v>-2509.2286697668551</v>
      </c>
    </row>
    <row r="1497" spans="6:8" x14ac:dyDescent="0.35">
      <c r="F1497">
        <v>29.880000000000098</v>
      </c>
      <c r="G1497">
        <f t="shared" si="48"/>
        <v>1563.828723086589</v>
      </c>
      <c r="H1497">
        <f t="shared" si="49"/>
        <v>-2513.8417082789438</v>
      </c>
    </row>
    <row r="1498" spans="6:8" x14ac:dyDescent="0.35">
      <c r="F1498">
        <v>29.900000000000102</v>
      </c>
      <c r="G1498">
        <f t="shared" si="48"/>
        <v>1564.8754625264062</v>
      </c>
      <c r="H1498">
        <f t="shared" si="49"/>
        <v>-2518.4586707910325</v>
      </c>
    </row>
    <row r="1499" spans="6:8" x14ac:dyDescent="0.35">
      <c r="F1499">
        <v>29.920000000000101</v>
      </c>
      <c r="G1499">
        <f t="shared" si="48"/>
        <v>1565.9222019662232</v>
      </c>
      <c r="H1499">
        <f t="shared" si="49"/>
        <v>-2523.0795573031205</v>
      </c>
    </row>
    <row r="1500" spans="6:8" x14ac:dyDescent="0.35">
      <c r="F1500">
        <v>29.940000000000101</v>
      </c>
      <c r="G1500">
        <f t="shared" si="48"/>
        <v>1566.9689414060401</v>
      </c>
      <c r="H1500">
        <f t="shared" si="49"/>
        <v>-2527.7043678152081</v>
      </c>
    </row>
    <row r="1501" spans="6:8" x14ac:dyDescent="0.35">
      <c r="F1501">
        <v>29.9600000000001</v>
      </c>
      <c r="G1501">
        <f t="shared" si="48"/>
        <v>1568.0156808458571</v>
      </c>
      <c r="H1501">
        <f t="shared" si="49"/>
        <v>-2532.3331023272963</v>
      </c>
    </row>
    <row r="1502" spans="6:8" x14ac:dyDescent="0.35">
      <c r="F1502">
        <v>29.9800000000001</v>
      </c>
      <c r="G1502">
        <f t="shared" si="48"/>
        <v>1569.0624202856741</v>
      </c>
      <c r="H1502">
        <f t="shared" si="49"/>
        <v>-2536.9657608393845</v>
      </c>
    </row>
    <row r="1503" spans="6:8" x14ac:dyDescent="0.35">
      <c r="F1503">
        <v>30.000000000000099</v>
      </c>
      <c r="G1503">
        <f t="shared" si="48"/>
        <v>1570.1091597254911</v>
      </c>
      <c r="H1503">
        <f t="shared" si="49"/>
        <v>-2541.6023433514715</v>
      </c>
    </row>
    <row r="1504" spans="6:8" x14ac:dyDescent="0.35">
      <c r="F1504">
        <v>30.020000000000099</v>
      </c>
      <c r="G1504">
        <f t="shared" si="48"/>
        <v>1571.155899165308</v>
      </c>
      <c r="H1504">
        <f t="shared" si="49"/>
        <v>-2546.2428498635604</v>
      </c>
    </row>
    <row r="1505" spans="6:8" x14ac:dyDescent="0.35">
      <c r="F1505">
        <v>30.040000000000099</v>
      </c>
      <c r="G1505">
        <f t="shared" si="48"/>
        <v>1572.202638605125</v>
      </c>
      <c r="H1505">
        <f t="shared" si="49"/>
        <v>-2550.8872803756481</v>
      </c>
    </row>
    <row r="1506" spans="6:8" x14ac:dyDescent="0.35">
      <c r="F1506">
        <v>30.060000000000102</v>
      </c>
      <c r="G1506">
        <f t="shared" si="48"/>
        <v>1573.2493780449422</v>
      </c>
      <c r="H1506">
        <f t="shared" si="49"/>
        <v>-2555.5356348877372</v>
      </c>
    </row>
    <row r="1507" spans="6:8" x14ac:dyDescent="0.35">
      <c r="F1507">
        <v>30.080000000000101</v>
      </c>
      <c r="G1507">
        <f t="shared" si="48"/>
        <v>1574.2961174847592</v>
      </c>
      <c r="H1507">
        <f t="shared" si="49"/>
        <v>-2560.1879133998245</v>
      </c>
    </row>
    <row r="1508" spans="6:8" x14ac:dyDescent="0.35">
      <c r="F1508">
        <v>30.100000000000101</v>
      </c>
      <c r="G1508">
        <f t="shared" si="48"/>
        <v>1575.3428569245762</v>
      </c>
      <c r="H1508">
        <f t="shared" si="49"/>
        <v>-2564.8441159119129</v>
      </c>
    </row>
    <row r="1509" spans="6:8" x14ac:dyDescent="0.35">
      <c r="F1509">
        <v>30.1200000000001</v>
      </c>
      <c r="G1509">
        <f t="shared" si="48"/>
        <v>1576.3895963643929</v>
      </c>
      <c r="H1509">
        <f t="shared" si="49"/>
        <v>-2569.5042424240005</v>
      </c>
    </row>
    <row r="1510" spans="6:8" x14ac:dyDescent="0.35">
      <c r="F1510">
        <v>30.1400000000001</v>
      </c>
      <c r="G1510">
        <f t="shared" si="48"/>
        <v>1577.4363358042099</v>
      </c>
      <c r="H1510">
        <f t="shared" si="49"/>
        <v>-2574.1682929360891</v>
      </c>
    </row>
    <row r="1511" spans="6:8" x14ac:dyDescent="0.35">
      <c r="F1511">
        <v>30.1600000000001</v>
      </c>
      <c r="G1511">
        <f t="shared" si="48"/>
        <v>1578.4830752440268</v>
      </c>
      <c r="H1511">
        <f t="shared" si="49"/>
        <v>-2578.8362674481764</v>
      </c>
    </row>
    <row r="1512" spans="6:8" x14ac:dyDescent="0.35">
      <c r="F1512">
        <v>30.180000000000099</v>
      </c>
      <c r="G1512">
        <f t="shared" si="48"/>
        <v>1579.5298146838438</v>
      </c>
      <c r="H1512">
        <f t="shared" si="49"/>
        <v>-2583.5081659602652</v>
      </c>
    </row>
    <row r="1513" spans="6:8" x14ac:dyDescent="0.35">
      <c r="F1513">
        <v>30.200000000000099</v>
      </c>
      <c r="G1513">
        <f t="shared" si="48"/>
        <v>1580.5765541236608</v>
      </c>
      <c r="H1513">
        <f t="shared" si="49"/>
        <v>-2588.1839884723536</v>
      </c>
    </row>
    <row r="1514" spans="6:8" x14ac:dyDescent="0.35">
      <c r="F1514">
        <v>30.220000000000098</v>
      </c>
      <c r="G1514">
        <f t="shared" si="48"/>
        <v>1581.6232935634778</v>
      </c>
      <c r="H1514">
        <f t="shared" si="49"/>
        <v>-2592.8637349844412</v>
      </c>
    </row>
    <row r="1515" spans="6:8" x14ac:dyDescent="0.35">
      <c r="F1515">
        <v>30.240000000000101</v>
      </c>
      <c r="G1515">
        <f t="shared" si="48"/>
        <v>1582.670033003295</v>
      </c>
      <c r="H1515">
        <f t="shared" si="49"/>
        <v>-2597.5474054965293</v>
      </c>
    </row>
    <row r="1516" spans="6:8" x14ac:dyDescent="0.35">
      <c r="F1516">
        <v>30.260000000000101</v>
      </c>
      <c r="G1516">
        <f t="shared" si="48"/>
        <v>1583.7167724431119</v>
      </c>
      <c r="H1516">
        <f t="shared" si="49"/>
        <v>-2602.2350000086176</v>
      </c>
    </row>
    <row r="1517" spans="6:8" x14ac:dyDescent="0.35">
      <c r="F1517">
        <v>30.280000000000101</v>
      </c>
      <c r="G1517">
        <f t="shared" si="48"/>
        <v>1584.7635118829289</v>
      </c>
      <c r="H1517">
        <f t="shared" si="49"/>
        <v>-2606.9265185207055</v>
      </c>
    </row>
    <row r="1518" spans="6:8" x14ac:dyDescent="0.35">
      <c r="F1518">
        <v>30.3000000000001</v>
      </c>
      <c r="G1518">
        <f t="shared" si="48"/>
        <v>1585.8102513227459</v>
      </c>
      <c r="H1518">
        <f t="shared" si="49"/>
        <v>-2611.6219610327939</v>
      </c>
    </row>
    <row r="1519" spans="6:8" x14ac:dyDescent="0.35">
      <c r="F1519">
        <v>30.3200000000001</v>
      </c>
      <c r="G1519">
        <f t="shared" si="48"/>
        <v>1586.8569907625629</v>
      </c>
      <c r="H1519">
        <f t="shared" si="49"/>
        <v>-2616.3213275448816</v>
      </c>
    </row>
    <row r="1520" spans="6:8" x14ac:dyDescent="0.35">
      <c r="F1520">
        <v>30.340000000000099</v>
      </c>
      <c r="G1520">
        <f t="shared" si="48"/>
        <v>1587.9037302023798</v>
      </c>
      <c r="H1520">
        <f t="shared" si="49"/>
        <v>-2621.0246180569693</v>
      </c>
    </row>
    <row r="1521" spans="6:8" x14ac:dyDescent="0.35">
      <c r="F1521">
        <v>30.360000000000099</v>
      </c>
      <c r="G1521">
        <f t="shared" si="48"/>
        <v>1588.9504696421968</v>
      </c>
      <c r="H1521">
        <f t="shared" si="49"/>
        <v>-2625.7318325690571</v>
      </c>
    </row>
    <row r="1522" spans="6:8" x14ac:dyDescent="0.35">
      <c r="F1522">
        <v>30.380000000000098</v>
      </c>
      <c r="G1522">
        <f t="shared" si="48"/>
        <v>1589.9972090820138</v>
      </c>
      <c r="H1522">
        <f t="shared" si="49"/>
        <v>-2630.4429710811451</v>
      </c>
    </row>
    <row r="1523" spans="6:8" x14ac:dyDescent="0.35">
      <c r="F1523">
        <v>30.400000000000102</v>
      </c>
      <c r="G1523">
        <f t="shared" si="48"/>
        <v>1591.043948521831</v>
      </c>
      <c r="H1523">
        <f t="shared" si="49"/>
        <v>-2635.1580335932344</v>
      </c>
    </row>
    <row r="1524" spans="6:8" x14ac:dyDescent="0.35">
      <c r="F1524">
        <v>30.420000000000101</v>
      </c>
      <c r="G1524">
        <f t="shared" si="48"/>
        <v>1592.090687961648</v>
      </c>
      <c r="H1524">
        <f t="shared" si="49"/>
        <v>-2639.8770201053226</v>
      </c>
    </row>
    <row r="1525" spans="6:8" x14ac:dyDescent="0.35">
      <c r="F1525">
        <v>30.440000000000101</v>
      </c>
      <c r="G1525">
        <f t="shared" si="48"/>
        <v>1593.1374274014649</v>
      </c>
      <c r="H1525">
        <f t="shared" si="49"/>
        <v>-2644.5999306174099</v>
      </c>
    </row>
    <row r="1526" spans="6:8" x14ac:dyDescent="0.35">
      <c r="F1526">
        <v>30.4600000000001</v>
      </c>
      <c r="G1526">
        <f t="shared" si="48"/>
        <v>1594.1841668412819</v>
      </c>
      <c r="H1526">
        <f t="shared" si="49"/>
        <v>-2649.3267651294977</v>
      </c>
    </row>
    <row r="1527" spans="6:8" x14ac:dyDescent="0.35">
      <c r="F1527">
        <v>30.4800000000001</v>
      </c>
      <c r="G1527">
        <f t="shared" si="48"/>
        <v>1595.2309062810989</v>
      </c>
      <c r="H1527">
        <f t="shared" si="49"/>
        <v>-2654.0575236415857</v>
      </c>
    </row>
    <row r="1528" spans="6:8" x14ac:dyDescent="0.35">
      <c r="F1528">
        <v>30.500000000000099</v>
      </c>
      <c r="G1528">
        <f t="shared" si="48"/>
        <v>1596.2776457209159</v>
      </c>
      <c r="H1528">
        <f t="shared" si="49"/>
        <v>-2658.7922061536733</v>
      </c>
    </row>
    <row r="1529" spans="6:8" x14ac:dyDescent="0.35">
      <c r="F1529">
        <v>30.520000000000099</v>
      </c>
      <c r="G1529">
        <f t="shared" si="48"/>
        <v>1597.3243851607328</v>
      </c>
      <c r="H1529">
        <f t="shared" si="49"/>
        <v>-2663.5308126657624</v>
      </c>
    </row>
    <row r="1530" spans="6:8" x14ac:dyDescent="0.35">
      <c r="F1530">
        <v>30.540000000000099</v>
      </c>
      <c r="G1530">
        <f t="shared" si="48"/>
        <v>1598.3711246005498</v>
      </c>
      <c r="H1530">
        <f t="shared" si="49"/>
        <v>-2668.2733431778502</v>
      </c>
    </row>
    <row r="1531" spans="6:8" x14ac:dyDescent="0.35">
      <c r="F1531">
        <v>30.560000000000102</v>
      </c>
      <c r="G1531">
        <f t="shared" si="48"/>
        <v>1599.4178640403668</v>
      </c>
      <c r="H1531">
        <f t="shared" si="49"/>
        <v>-2673.019797689939</v>
      </c>
    </row>
    <row r="1532" spans="6:8" x14ac:dyDescent="0.35">
      <c r="F1532">
        <v>30.580000000000101</v>
      </c>
      <c r="G1532">
        <f t="shared" si="48"/>
        <v>1600.4646034801838</v>
      </c>
      <c r="H1532">
        <f t="shared" si="49"/>
        <v>-2677.7701762020265</v>
      </c>
    </row>
    <row r="1533" spans="6:8" x14ac:dyDescent="0.35">
      <c r="F1533">
        <v>30.600000000000101</v>
      </c>
      <c r="G1533">
        <f t="shared" si="48"/>
        <v>1601.5113429200007</v>
      </c>
      <c r="H1533">
        <f t="shared" si="49"/>
        <v>-2682.5244787141141</v>
      </c>
    </row>
    <row r="1534" spans="6:8" x14ac:dyDescent="0.35">
      <c r="F1534">
        <v>30.6200000000001</v>
      </c>
      <c r="G1534">
        <f t="shared" si="48"/>
        <v>1602.5580823598177</v>
      </c>
      <c r="H1534">
        <f t="shared" si="49"/>
        <v>-2687.2827052262023</v>
      </c>
    </row>
    <row r="1535" spans="6:8" x14ac:dyDescent="0.35">
      <c r="F1535">
        <v>30.6400000000001</v>
      </c>
      <c r="G1535">
        <f t="shared" si="48"/>
        <v>1603.6048217996347</v>
      </c>
      <c r="H1535">
        <f t="shared" si="49"/>
        <v>-2692.0448557382911</v>
      </c>
    </row>
    <row r="1536" spans="6:8" x14ac:dyDescent="0.35">
      <c r="F1536">
        <v>30.6600000000001</v>
      </c>
      <c r="G1536">
        <f t="shared" si="48"/>
        <v>1604.6515612394517</v>
      </c>
      <c r="H1536">
        <f t="shared" si="49"/>
        <v>-2696.8109302503785</v>
      </c>
    </row>
    <row r="1537" spans="6:8" x14ac:dyDescent="0.35">
      <c r="F1537">
        <v>30.680000000000099</v>
      </c>
      <c r="G1537">
        <f t="shared" si="48"/>
        <v>1605.6983006792686</v>
      </c>
      <c r="H1537">
        <f t="shared" si="49"/>
        <v>-2701.580928762467</v>
      </c>
    </row>
    <row r="1538" spans="6:8" x14ac:dyDescent="0.35">
      <c r="F1538">
        <v>30.700000000000099</v>
      </c>
      <c r="G1538">
        <f t="shared" si="48"/>
        <v>1606.7450401190856</v>
      </c>
      <c r="H1538">
        <f t="shared" si="49"/>
        <v>-2706.3548512745547</v>
      </c>
    </row>
    <row r="1539" spans="6:8" x14ac:dyDescent="0.35">
      <c r="F1539">
        <v>30.720000000000098</v>
      </c>
      <c r="G1539">
        <f t="shared" ref="G1539:G1581" si="50">$B$15*F1539</f>
        <v>1607.7917795589026</v>
      </c>
      <c r="H1539">
        <f t="shared" ref="H1539:H1581" si="51">$B$13*F1539-($B$8*F1539^2)/2+$B$12</f>
        <v>-2711.1326977866424</v>
      </c>
    </row>
    <row r="1540" spans="6:8" x14ac:dyDescent="0.35">
      <c r="F1540">
        <v>30.740000000000101</v>
      </c>
      <c r="G1540">
        <f t="shared" si="50"/>
        <v>1608.8385189987198</v>
      </c>
      <c r="H1540">
        <f t="shared" si="51"/>
        <v>-2715.9144682987312</v>
      </c>
    </row>
    <row r="1541" spans="6:8" x14ac:dyDescent="0.35">
      <c r="F1541">
        <v>30.760000000000101</v>
      </c>
      <c r="G1541">
        <f t="shared" si="50"/>
        <v>1609.8852584385368</v>
      </c>
      <c r="H1541">
        <f t="shared" si="51"/>
        <v>-2720.7001628108196</v>
      </c>
    </row>
    <row r="1542" spans="6:8" x14ac:dyDescent="0.35">
      <c r="F1542">
        <v>30.780000000000101</v>
      </c>
      <c r="G1542">
        <f t="shared" si="50"/>
        <v>1610.9319978783537</v>
      </c>
      <c r="H1542">
        <f t="shared" si="51"/>
        <v>-2725.4897813229072</v>
      </c>
    </row>
    <row r="1543" spans="6:8" x14ac:dyDescent="0.35">
      <c r="F1543">
        <v>30.8000000000001</v>
      </c>
      <c r="G1543">
        <f t="shared" si="50"/>
        <v>1611.9787373181707</v>
      </c>
      <c r="H1543">
        <f t="shared" si="51"/>
        <v>-2730.2833238349949</v>
      </c>
    </row>
    <row r="1544" spans="6:8" x14ac:dyDescent="0.35">
      <c r="F1544">
        <v>30.8200000000001</v>
      </c>
      <c r="G1544">
        <f t="shared" si="50"/>
        <v>1613.0254767579877</v>
      </c>
      <c r="H1544">
        <f t="shared" si="51"/>
        <v>-2735.0807903470827</v>
      </c>
    </row>
    <row r="1545" spans="6:8" x14ac:dyDescent="0.35">
      <c r="F1545">
        <v>30.840000000000099</v>
      </c>
      <c r="G1545">
        <f t="shared" si="50"/>
        <v>1614.0722161978047</v>
      </c>
      <c r="H1545">
        <f t="shared" si="51"/>
        <v>-2739.8821808591706</v>
      </c>
    </row>
    <row r="1546" spans="6:8" x14ac:dyDescent="0.35">
      <c r="F1546">
        <v>30.860000000000099</v>
      </c>
      <c r="G1546">
        <f t="shared" si="50"/>
        <v>1615.1189556376216</v>
      </c>
      <c r="H1546">
        <f t="shared" si="51"/>
        <v>-2744.687495371259</v>
      </c>
    </row>
    <row r="1547" spans="6:8" x14ac:dyDescent="0.35">
      <c r="F1547">
        <v>30.880000000000098</v>
      </c>
      <c r="G1547">
        <f t="shared" si="50"/>
        <v>1616.1656950774386</v>
      </c>
      <c r="H1547">
        <f t="shared" si="51"/>
        <v>-2749.4967338833471</v>
      </c>
    </row>
    <row r="1548" spans="6:8" x14ac:dyDescent="0.35">
      <c r="F1548">
        <v>30.900000000000102</v>
      </c>
      <c r="G1548">
        <f t="shared" si="50"/>
        <v>1617.2124345172558</v>
      </c>
      <c r="H1548">
        <f t="shared" si="51"/>
        <v>-2754.3098963954362</v>
      </c>
    </row>
    <row r="1549" spans="6:8" x14ac:dyDescent="0.35">
      <c r="F1549">
        <v>30.920000000000101</v>
      </c>
      <c r="G1549">
        <f t="shared" si="50"/>
        <v>1618.2591739570726</v>
      </c>
      <c r="H1549">
        <f t="shared" si="51"/>
        <v>-2759.1269829075231</v>
      </c>
    </row>
    <row r="1550" spans="6:8" x14ac:dyDescent="0.35">
      <c r="F1550">
        <v>30.940000000000101</v>
      </c>
      <c r="G1550">
        <f t="shared" si="50"/>
        <v>1619.3059133968895</v>
      </c>
      <c r="H1550">
        <f t="shared" si="51"/>
        <v>-2763.947993419612</v>
      </c>
    </row>
    <row r="1551" spans="6:8" x14ac:dyDescent="0.35">
      <c r="F1551">
        <v>30.9600000000001</v>
      </c>
      <c r="G1551">
        <f t="shared" si="50"/>
        <v>1620.3526528367065</v>
      </c>
      <c r="H1551">
        <f t="shared" si="51"/>
        <v>-2768.7729279316995</v>
      </c>
    </row>
    <row r="1552" spans="6:8" x14ac:dyDescent="0.35">
      <c r="F1552">
        <v>30.9800000000001</v>
      </c>
      <c r="G1552">
        <f t="shared" si="50"/>
        <v>1621.3993922765235</v>
      </c>
      <c r="H1552">
        <f t="shared" si="51"/>
        <v>-2773.6017864437877</v>
      </c>
    </row>
    <row r="1553" spans="6:8" x14ac:dyDescent="0.35">
      <c r="F1553">
        <v>31.000000000000099</v>
      </c>
      <c r="G1553">
        <f t="shared" si="50"/>
        <v>1622.4461317163405</v>
      </c>
      <c r="H1553">
        <f t="shared" si="51"/>
        <v>-2778.4345689558754</v>
      </c>
    </row>
    <row r="1554" spans="6:8" x14ac:dyDescent="0.35">
      <c r="F1554">
        <v>31.020000000000099</v>
      </c>
      <c r="G1554">
        <f t="shared" si="50"/>
        <v>1623.4928711561574</v>
      </c>
      <c r="H1554">
        <f t="shared" si="51"/>
        <v>-2783.2712754679637</v>
      </c>
    </row>
    <row r="1555" spans="6:8" x14ac:dyDescent="0.35">
      <c r="F1555">
        <v>31.040000000000099</v>
      </c>
      <c r="G1555">
        <f t="shared" si="50"/>
        <v>1624.5396105959744</v>
      </c>
      <c r="H1555">
        <f t="shared" si="51"/>
        <v>-2788.1119059800512</v>
      </c>
    </row>
    <row r="1556" spans="6:8" x14ac:dyDescent="0.35">
      <c r="F1556">
        <v>31.060000000000102</v>
      </c>
      <c r="G1556">
        <f t="shared" si="50"/>
        <v>1625.5863500357916</v>
      </c>
      <c r="H1556">
        <f t="shared" si="51"/>
        <v>-2792.9564604921402</v>
      </c>
    </row>
    <row r="1557" spans="6:8" x14ac:dyDescent="0.35">
      <c r="F1557">
        <v>31.080000000000101</v>
      </c>
      <c r="G1557">
        <f t="shared" si="50"/>
        <v>1626.6330894756086</v>
      </c>
      <c r="H1557">
        <f t="shared" si="51"/>
        <v>-2797.8049390042283</v>
      </c>
    </row>
    <row r="1558" spans="6:8" x14ac:dyDescent="0.35">
      <c r="F1558">
        <v>31.100000000000101</v>
      </c>
      <c r="G1558">
        <f t="shared" si="50"/>
        <v>1627.6798289154256</v>
      </c>
      <c r="H1558">
        <f t="shared" si="51"/>
        <v>-2802.657341516317</v>
      </c>
    </row>
    <row r="1559" spans="6:8" x14ac:dyDescent="0.35">
      <c r="F1559">
        <v>31.1200000000001</v>
      </c>
      <c r="G1559">
        <f t="shared" si="50"/>
        <v>1628.7265683552425</v>
      </c>
      <c r="H1559">
        <f t="shared" si="51"/>
        <v>-2807.5136680284045</v>
      </c>
    </row>
    <row r="1560" spans="6:8" x14ac:dyDescent="0.35">
      <c r="F1560">
        <v>31.1400000000001</v>
      </c>
      <c r="G1560">
        <f t="shared" si="50"/>
        <v>1629.7733077950595</v>
      </c>
      <c r="H1560">
        <f t="shared" si="51"/>
        <v>-2812.3739185404929</v>
      </c>
    </row>
    <row r="1561" spans="6:8" x14ac:dyDescent="0.35">
      <c r="F1561">
        <v>31.1600000000001</v>
      </c>
      <c r="G1561">
        <f t="shared" si="50"/>
        <v>1630.8200472348765</v>
      </c>
      <c r="H1561">
        <f t="shared" si="51"/>
        <v>-2817.2380930525806</v>
      </c>
    </row>
    <row r="1562" spans="6:8" x14ac:dyDescent="0.35">
      <c r="F1562">
        <v>31.180000000000099</v>
      </c>
      <c r="G1562">
        <f t="shared" si="50"/>
        <v>1631.8667866746935</v>
      </c>
      <c r="H1562">
        <f t="shared" si="51"/>
        <v>-2822.1061915646683</v>
      </c>
    </row>
    <row r="1563" spans="6:8" x14ac:dyDescent="0.35">
      <c r="F1563">
        <v>31.200000000000099</v>
      </c>
      <c r="G1563">
        <f t="shared" si="50"/>
        <v>1632.9135261145104</v>
      </c>
      <c r="H1563">
        <f t="shared" si="51"/>
        <v>-2826.9782140767561</v>
      </c>
    </row>
    <row r="1564" spans="6:8" x14ac:dyDescent="0.35">
      <c r="F1564">
        <v>31.220000000000098</v>
      </c>
      <c r="G1564">
        <f t="shared" si="50"/>
        <v>1633.9602655543274</v>
      </c>
      <c r="H1564">
        <f t="shared" si="51"/>
        <v>-2831.8541605888445</v>
      </c>
    </row>
    <row r="1565" spans="6:8" x14ac:dyDescent="0.35">
      <c r="F1565">
        <v>31.240000000000101</v>
      </c>
      <c r="G1565">
        <f t="shared" si="50"/>
        <v>1635.0070049941446</v>
      </c>
      <c r="H1565">
        <f t="shared" si="51"/>
        <v>-2836.734031100933</v>
      </c>
    </row>
    <row r="1566" spans="6:8" x14ac:dyDescent="0.35">
      <c r="F1566">
        <v>31.260000000000101</v>
      </c>
      <c r="G1566">
        <f t="shared" si="50"/>
        <v>1636.0537444339616</v>
      </c>
      <c r="H1566">
        <f t="shared" si="51"/>
        <v>-2841.6178256130215</v>
      </c>
    </row>
    <row r="1567" spans="6:8" x14ac:dyDescent="0.35">
      <c r="F1567">
        <v>31.280000000000101</v>
      </c>
      <c r="G1567">
        <f t="shared" si="50"/>
        <v>1637.1004838737786</v>
      </c>
      <c r="H1567">
        <f t="shared" si="51"/>
        <v>-2846.5055441251084</v>
      </c>
    </row>
    <row r="1568" spans="6:8" x14ac:dyDescent="0.35">
      <c r="F1568">
        <v>31.3000000000001</v>
      </c>
      <c r="G1568">
        <f t="shared" si="50"/>
        <v>1638.1472233135955</v>
      </c>
      <c r="H1568">
        <f t="shared" si="51"/>
        <v>-2851.3971866371971</v>
      </c>
    </row>
    <row r="1569" spans="6:8" x14ac:dyDescent="0.35">
      <c r="F1569">
        <v>31.3200000000001</v>
      </c>
      <c r="G1569">
        <f t="shared" si="50"/>
        <v>1639.1939627534125</v>
      </c>
      <c r="H1569">
        <f t="shared" si="51"/>
        <v>-2856.2927531492846</v>
      </c>
    </row>
    <row r="1570" spans="6:8" x14ac:dyDescent="0.35">
      <c r="F1570">
        <v>31.340000000000099</v>
      </c>
      <c r="G1570">
        <f t="shared" si="50"/>
        <v>1640.2407021932295</v>
      </c>
      <c r="H1570">
        <f t="shared" si="51"/>
        <v>-2861.1922436613736</v>
      </c>
    </row>
    <row r="1571" spans="6:8" x14ac:dyDescent="0.35">
      <c r="F1571">
        <v>31.360000000000099</v>
      </c>
      <c r="G1571">
        <f t="shared" si="50"/>
        <v>1641.2874416330465</v>
      </c>
      <c r="H1571">
        <f t="shared" si="51"/>
        <v>-2866.0956581734613</v>
      </c>
    </row>
    <row r="1572" spans="6:8" x14ac:dyDescent="0.35">
      <c r="F1572">
        <v>31.380000000000098</v>
      </c>
      <c r="G1572">
        <f t="shared" si="50"/>
        <v>1642.3341810728632</v>
      </c>
      <c r="H1572">
        <f t="shared" si="51"/>
        <v>-2871.0029966855491</v>
      </c>
    </row>
    <row r="1573" spans="6:8" x14ac:dyDescent="0.35">
      <c r="F1573">
        <v>31.400000000000102</v>
      </c>
      <c r="G1573">
        <f t="shared" si="50"/>
        <v>1643.3809205126804</v>
      </c>
      <c r="H1573">
        <f t="shared" si="51"/>
        <v>-2875.9142591976374</v>
      </c>
    </row>
    <row r="1574" spans="6:8" x14ac:dyDescent="0.35">
      <c r="F1574">
        <v>31.420000000000101</v>
      </c>
      <c r="G1574">
        <f t="shared" si="50"/>
        <v>1644.4276599524974</v>
      </c>
      <c r="H1574">
        <f t="shared" si="51"/>
        <v>-2880.8294457097259</v>
      </c>
    </row>
    <row r="1575" spans="6:8" x14ac:dyDescent="0.35">
      <c r="F1575">
        <v>31.440000000000101</v>
      </c>
      <c r="G1575">
        <f t="shared" si="50"/>
        <v>1645.4743993923144</v>
      </c>
      <c r="H1575">
        <f t="shared" si="51"/>
        <v>-2885.748556221813</v>
      </c>
    </row>
    <row r="1576" spans="6:8" x14ac:dyDescent="0.35">
      <c r="F1576">
        <v>31.4600000000001</v>
      </c>
      <c r="G1576">
        <f t="shared" si="50"/>
        <v>1646.5211388321313</v>
      </c>
      <c r="H1576">
        <f t="shared" si="51"/>
        <v>-2890.6715907339017</v>
      </c>
    </row>
    <row r="1577" spans="6:8" x14ac:dyDescent="0.35">
      <c r="F1577">
        <v>31.4800000000001</v>
      </c>
      <c r="G1577">
        <f t="shared" si="50"/>
        <v>1647.5678782719483</v>
      </c>
      <c r="H1577">
        <f t="shared" si="51"/>
        <v>-2895.5985492459895</v>
      </c>
    </row>
    <row r="1578" spans="6:8" x14ac:dyDescent="0.35">
      <c r="F1578">
        <v>31.500000000000099</v>
      </c>
      <c r="G1578">
        <f t="shared" si="50"/>
        <v>1648.6146177117653</v>
      </c>
      <c r="H1578">
        <f t="shared" si="51"/>
        <v>-2900.5294317580774</v>
      </c>
    </row>
    <row r="1579" spans="6:8" x14ac:dyDescent="0.35">
      <c r="F1579">
        <v>31.520000000000099</v>
      </c>
      <c r="G1579">
        <f t="shared" si="50"/>
        <v>1649.6613571515823</v>
      </c>
      <c r="H1579">
        <f t="shared" si="51"/>
        <v>-2905.4642382701654</v>
      </c>
    </row>
    <row r="1580" spans="6:8" x14ac:dyDescent="0.35">
      <c r="F1580">
        <v>31.540000000000099</v>
      </c>
      <c r="G1580">
        <f t="shared" si="50"/>
        <v>1650.7080965913992</v>
      </c>
      <c r="H1580">
        <f t="shared" si="51"/>
        <v>-2910.4029687822526</v>
      </c>
    </row>
    <row r="1581" spans="6:8" x14ac:dyDescent="0.35">
      <c r="F1581">
        <v>31.560000000000102</v>
      </c>
      <c r="G1581">
        <f t="shared" si="50"/>
        <v>1651.7548360312164</v>
      </c>
      <c r="H1581">
        <f t="shared" si="51"/>
        <v>-2915.3456232943422</v>
      </c>
    </row>
  </sheetData>
  <mergeCells count="2">
    <mergeCell ref="A11:B11"/>
    <mergeCell ref="A20:B2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E0135A-1AAE-4AA4-A7A7-4A8F34BE0B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Main</vt:lpstr>
      <vt:lpstr>Kinematics2</vt:lpstr>
      <vt:lpstr>Kinetics</vt:lpstr>
      <vt:lpstr>Materials</vt:lpstr>
      <vt:lpstr>Cost Estimation</vt:lpstr>
      <vt:lpstr>Kinematics_deprecated</vt:lpstr>
      <vt:lpstr>Material</vt:lpstr>
      <vt:lpstr>Material_Density</vt:lpstr>
      <vt:lpstr>Shear_Modulus_Gpa</vt:lpstr>
      <vt:lpstr>Yield_Strenght__Mpa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Moser</dc:creator>
  <cp:lastModifiedBy>Johannes Moser</cp:lastModifiedBy>
  <dcterms:created xsi:type="dcterms:W3CDTF">2025-02-26T08:42:42Z</dcterms:created>
  <dcterms:modified xsi:type="dcterms:W3CDTF">2025-05-12T10:26:02Z</dcterms:modified>
</cp:coreProperties>
</file>