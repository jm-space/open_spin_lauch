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ome\Projects\open_spin_lauch\documents\calculations\"/>
    </mc:Choice>
  </mc:AlternateContent>
  <xr:revisionPtr revIDLastSave="0" documentId="13_ncr:1_{A2144950-090E-4E85-98A5-F082B3030ADE}" xr6:coauthVersionLast="47" xr6:coauthVersionMax="47" xr10:uidLastSave="{00000000-0000-0000-0000-000000000000}"/>
  <bookViews>
    <workbookView xWindow="-110" yWindow="-110" windowWidth="25820" windowHeight="15500" xr2:uid="{702068C3-7A62-4CAD-8ED5-C8846BDEF959}"/>
  </bookViews>
  <sheets>
    <sheet name="Main" sheetId="4" r:id="rId1"/>
    <sheet name="Kinematics2" sheetId="7" r:id="rId2"/>
    <sheet name="Kinetics" sheetId="3" r:id="rId3"/>
    <sheet name="Materials" sheetId="5" r:id="rId4"/>
    <sheet name="Cost Estimation" sheetId="6" r:id="rId5"/>
    <sheet name="Kinematics_deprecated" sheetId="1" r:id="rId6"/>
  </sheets>
  <definedNames>
    <definedName name="Material">Table1[Material]</definedName>
    <definedName name="Material_Density">Table1[Material Density '[kg/m^3']]</definedName>
    <definedName name="Shear_Modulus_Gpa">Table1[Shear Modulus '[Gpa']]</definedName>
    <definedName name="solver_adj" localSheetId="1" hidden="1">Kinematics2!$B$18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Kinematics2!$B$18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Kinematics2!$W$3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hs1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200</definedName>
    <definedName name="solver_ver" localSheetId="1" hidden="1">3</definedName>
    <definedName name="tIt">OFFSET(Tabelle2[[#Headers],[t '[s']]],1,0,Kinematics2!$W$2,1)</definedName>
    <definedName name="VxIt">OFFSET(Tabelle2[[#Headers],[vx]],1,0,Kinematics2!$W$2,1)</definedName>
    <definedName name="VyIt">OFFSET(Tabelle2[[#Headers],[vy]],1,0,Kinematics2!$W$2,1)</definedName>
    <definedName name="X">OFFSET(Kinematics_deprecated!$G$2,1,0,Kinematics_deprecated!$K$2-1,1)</definedName>
    <definedName name="XIt">OFFSET(Tabelle2[[#Headers],[x]],1,0,Kinematics2!$W$2,1)</definedName>
    <definedName name="Y">OFFSET(Kinematics_deprecated!$H$2,1,0,Kinematics_deprecated!$K$2-1,1)</definedName>
    <definedName name="Yield_Strenght__Mpa">Table1[Yield Strenght '[Mpa']]</definedName>
    <definedName name="YIt">OFFSET(Tabelle2[[#Headers],[y]],1,0,Kinematics2!$W$2,1)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7" l="1"/>
  <c r="B28" i="7"/>
  <c r="B26" i="7"/>
  <c r="B27" i="7" s="1"/>
  <c r="T3" i="7"/>
  <c r="B17" i="7"/>
  <c r="B3" i="7"/>
  <c r="B2" i="7"/>
  <c r="B6" i="3"/>
  <c r="B9" i="7"/>
  <c r="B2" i="1"/>
  <c r="F4" i="7"/>
  <c r="F5" i="7" s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178" i="7" s="1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F253" i="7" s="1"/>
  <c r="F254" i="7" s="1"/>
  <c r="F255" i="7" s="1"/>
  <c r="F256" i="7" s="1"/>
  <c r="F257" i="7" s="1"/>
  <c r="F258" i="7" s="1"/>
  <c r="F259" i="7" s="1"/>
  <c r="F260" i="7" s="1"/>
  <c r="F261" i="7" s="1"/>
  <c r="F262" i="7" s="1"/>
  <c r="F263" i="7" s="1"/>
  <c r="F264" i="7" s="1"/>
  <c r="F265" i="7" s="1"/>
  <c r="F266" i="7" s="1"/>
  <c r="F267" i="7" s="1"/>
  <c r="F268" i="7" s="1"/>
  <c r="F269" i="7" s="1"/>
  <c r="F270" i="7" s="1"/>
  <c r="F271" i="7" s="1"/>
  <c r="F272" i="7" s="1"/>
  <c r="F273" i="7" s="1"/>
  <c r="F274" i="7" s="1"/>
  <c r="F275" i="7" s="1"/>
  <c r="F276" i="7" s="1"/>
  <c r="F277" i="7" s="1"/>
  <c r="F278" i="7" s="1"/>
  <c r="F279" i="7" s="1"/>
  <c r="F280" i="7" s="1"/>
  <c r="F281" i="7" s="1"/>
  <c r="F282" i="7" s="1"/>
  <c r="F283" i="7" s="1"/>
  <c r="F284" i="7" s="1"/>
  <c r="F285" i="7" s="1"/>
  <c r="F286" i="7" s="1"/>
  <c r="F287" i="7" s="1"/>
  <c r="F288" i="7" s="1"/>
  <c r="F289" i="7" s="1"/>
  <c r="F290" i="7" s="1"/>
  <c r="F291" i="7" s="1"/>
  <c r="F292" i="7" s="1"/>
  <c r="F293" i="7" s="1"/>
  <c r="F294" i="7" s="1"/>
  <c r="F295" i="7" s="1"/>
  <c r="F296" i="7" s="1"/>
  <c r="F297" i="7" s="1"/>
  <c r="F298" i="7" s="1"/>
  <c r="F299" i="7" s="1"/>
  <c r="F300" i="7" s="1"/>
  <c r="F301" i="7" s="1"/>
  <c r="F302" i="7" s="1"/>
  <c r="F303" i="7" s="1"/>
  <c r="F304" i="7" s="1"/>
  <c r="F305" i="7" s="1"/>
  <c r="F306" i="7" s="1"/>
  <c r="F307" i="7" s="1"/>
  <c r="F308" i="7" s="1"/>
  <c r="F309" i="7" s="1"/>
  <c r="F310" i="7" s="1"/>
  <c r="F311" i="7" s="1"/>
  <c r="F312" i="7" s="1"/>
  <c r="F313" i="7" s="1"/>
  <c r="F314" i="7" s="1"/>
  <c r="F315" i="7" s="1"/>
  <c r="F316" i="7" s="1"/>
  <c r="F317" i="7" s="1"/>
  <c r="F318" i="7" s="1"/>
  <c r="F319" i="7" s="1"/>
  <c r="F320" i="7" s="1"/>
  <c r="F321" i="7" s="1"/>
  <c r="F322" i="7" s="1"/>
  <c r="F323" i="7" s="1"/>
  <c r="F324" i="7" s="1"/>
  <c r="F325" i="7" s="1"/>
  <c r="F326" i="7" s="1"/>
  <c r="F327" i="7" s="1"/>
  <c r="F328" i="7" s="1"/>
  <c r="F329" i="7" s="1"/>
  <c r="F330" i="7" s="1"/>
  <c r="F331" i="7" s="1"/>
  <c r="F332" i="7" s="1"/>
  <c r="F333" i="7" s="1"/>
  <c r="F334" i="7" s="1"/>
  <c r="F335" i="7" s="1"/>
  <c r="F336" i="7" s="1"/>
  <c r="F337" i="7" s="1"/>
  <c r="F338" i="7" s="1"/>
  <c r="F339" i="7" s="1"/>
  <c r="F340" i="7" s="1"/>
  <c r="F341" i="7" s="1"/>
  <c r="F342" i="7" s="1"/>
  <c r="F343" i="7" s="1"/>
  <c r="F344" i="7" s="1"/>
  <c r="F345" i="7" s="1"/>
  <c r="F346" i="7" s="1"/>
  <c r="F347" i="7" s="1"/>
  <c r="F348" i="7" s="1"/>
  <c r="F349" i="7" s="1"/>
  <c r="F350" i="7" s="1"/>
  <c r="F351" i="7" s="1"/>
  <c r="F352" i="7" s="1"/>
  <c r="F353" i="7" s="1"/>
  <c r="F354" i="7" s="1"/>
  <c r="F355" i="7" s="1"/>
  <c r="F356" i="7" s="1"/>
  <c r="F357" i="7" s="1"/>
  <c r="F358" i="7" s="1"/>
  <c r="F359" i="7" s="1"/>
  <c r="F360" i="7" s="1"/>
  <c r="F361" i="7" s="1"/>
  <c r="F362" i="7" s="1"/>
  <c r="F363" i="7" s="1"/>
  <c r="F364" i="7" s="1"/>
  <c r="F365" i="7" s="1"/>
  <c r="F366" i="7" s="1"/>
  <c r="F367" i="7" s="1"/>
  <c r="F368" i="7" s="1"/>
  <c r="F369" i="7" s="1"/>
  <c r="F370" i="7" s="1"/>
  <c r="F371" i="7" s="1"/>
  <c r="F372" i="7" s="1"/>
  <c r="F373" i="7" s="1"/>
  <c r="F374" i="7" s="1"/>
  <c r="F375" i="7" s="1"/>
  <c r="F376" i="7" s="1"/>
  <c r="F377" i="7" s="1"/>
  <c r="F378" i="7" s="1"/>
  <c r="F379" i="7" s="1"/>
  <c r="F380" i="7" s="1"/>
  <c r="F381" i="7" s="1"/>
  <c r="F382" i="7" s="1"/>
  <c r="F383" i="7" s="1"/>
  <c r="F384" i="7" s="1"/>
  <c r="F385" i="7" s="1"/>
  <c r="F386" i="7" s="1"/>
  <c r="F387" i="7" s="1"/>
  <c r="F388" i="7" s="1"/>
  <c r="F389" i="7" s="1"/>
  <c r="F390" i="7" s="1"/>
  <c r="F391" i="7" s="1"/>
  <c r="F392" i="7" s="1"/>
  <c r="F393" i="7" s="1"/>
  <c r="F394" i="7" s="1"/>
  <c r="F395" i="7" s="1"/>
  <c r="F396" i="7" s="1"/>
  <c r="F397" i="7" s="1"/>
  <c r="F398" i="7" s="1"/>
  <c r="F399" i="7" s="1"/>
  <c r="F400" i="7" s="1"/>
  <c r="F401" i="7" s="1"/>
  <c r="F402" i="7" s="1"/>
  <c r="F403" i="7" s="1"/>
  <c r="F404" i="7" s="1"/>
  <c r="F405" i="7" s="1"/>
  <c r="F406" i="7" s="1"/>
  <c r="F407" i="7" s="1"/>
  <c r="F408" i="7" s="1"/>
  <c r="F409" i="7" s="1"/>
  <c r="F410" i="7" s="1"/>
  <c r="F411" i="7" s="1"/>
  <c r="F412" i="7" s="1"/>
  <c r="F413" i="7" s="1"/>
  <c r="F414" i="7" s="1"/>
  <c r="F415" i="7" s="1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F501" i="7" s="1"/>
  <c r="F502" i="7" s="1"/>
  <c r="F503" i="7" s="1"/>
  <c r="F504" i="7" s="1"/>
  <c r="F505" i="7" s="1"/>
  <c r="F506" i="7" s="1"/>
  <c r="F507" i="7" s="1"/>
  <c r="F508" i="7" s="1"/>
  <c r="F509" i="7" s="1"/>
  <c r="F510" i="7" s="1"/>
  <c r="F511" i="7" s="1"/>
  <c r="F512" i="7" s="1"/>
  <c r="F513" i="7" s="1"/>
  <c r="F514" i="7" s="1"/>
  <c r="F515" i="7" s="1"/>
  <c r="F516" i="7" s="1"/>
  <c r="F517" i="7" s="1"/>
  <c r="F518" i="7" s="1"/>
  <c r="F519" i="7" s="1"/>
  <c r="F520" i="7" s="1"/>
  <c r="F521" i="7" s="1"/>
  <c r="F522" i="7" s="1"/>
  <c r="F523" i="7" s="1"/>
  <c r="F524" i="7" s="1"/>
  <c r="F525" i="7" s="1"/>
  <c r="F526" i="7" s="1"/>
  <c r="F527" i="7" s="1"/>
  <c r="F528" i="7" s="1"/>
  <c r="F529" i="7" s="1"/>
  <c r="F530" i="7" s="1"/>
  <c r="F531" i="7" s="1"/>
  <c r="F532" i="7" s="1"/>
  <c r="F533" i="7" s="1"/>
  <c r="F534" i="7" s="1"/>
  <c r="F535" i="7" s="1"/>
  <c r="F536" i="7" s="1"/>
  <c r="F537" i="7" s="1"/>
  <c r="F538" i="7" s="1"/>
  <c r="F539" i="7" s="1"/>
  <c r="F540" i="7" s="1"/>
  <c r="F541" i="7" s="1"/>
  <c r="F542" i="7" s="1"/>
  <c r="F543" i="7" s="1"/>
  <c r="F544" i="7" s="1"/>
  <c r="F545" i="7" s="1"/>
  <c r="F546" i="7" s="1"/>
  <c r="F547" i="7" s="1"/>
  <c r="F548" i="7" s="1"/>
  <c r="F549" i="7" s="1"/>
  <c r="F550" i="7" s="1"/>
  <c r="F551" i="7" s="1"/>
  <c r="F552" i="7" s="1"/>
  <c r="F553" i="7" s="1"/>
  <c r="F554" i="7" s="1"/>
  <c r="F555" i="7" s="1"/>
  <c r="F556" i="7" s="1"/>
  <c r="F557" i="7" s="1"/>
  <c r="F558" i="7" s="1"/>
  <c r="F559" i="7" s="1"/>
  <c r="F560" i="7" s="1"/>
  <c r="F561" i="7" s="1"/>
  <c r="F562" i="7" s="1"/>
  <c r="F563" i="7" s="1"/>
  <c r="F564" i="7" s="1"/>
  <c r="F565" i="7" s="1"/>
  <c r="F566" i="7" s="1"/>
  <c r="F567" i="7" s="1"/>
  <c r="F568" i="7" s="1"/>
  <c r="F569" i="7" s="1"/>
  <c r="F570" i="7" s="1"/>
  <c r="F571" i="7" s="1"/>
  <c r="F572" i="7" s="1"/>
  <c r="F573" i="7" s="1"/>
  <c r="F574" i="7" s="1"/>
  <c r="F575" i="7" s="1"/>
  <c r="F576" i="7" s="1"/>
  <c r="F577" i="7" s="1"/>
  <c r="F578" i="7" s="1"/>
  <c r="F579" i="7" s="1"/>
  <c r="F580" i="7" s="1"/>
  <c r="F581" i="7" s="1"/>
  <c r="F582" i="7" s="1"/>
  <c r="F583" i="7" s="1"/>
  <c r="F584" i="7" s="1"/>
  <c r="F585" i="7" s="1"/>
  <c r="F586" i="7" s="1"/>
  <c r="F587" i="7" s="1"/>
  <c r="F588" i="7" s="1"/>
  <c r="F589" i="7" s="1"/>
  <c r="F590" i="7" s="1"/>
  <c r="F591" i="7" s="1"/>
  <c r="F592" i="7" s="1"/>
  <c r="F593" i="7" s="1"/>
  <c r="F594" i="7" s="1"/>
  <c r="F595" i="7" s="1"/>
  <c r="F596" i="7" s="1"/>
  <c r="F597" i="7" s="1"/>
  <c r="F598" i="7" s="1"/>
  <c r="F599" i="7" s="1"/>
  <c r="F600" i="7" s="1"/>
  <c r="F601" i="7" s="1"/>
  <c r="F602" i="7" s="1"/>
  <c r="F603" i="7" s="1"/>
  <c r="F604" i="7" s="1"/>
  <c r="F605" i="7" s="1"/>
  <c r="F606" i="7" s="1"/>
  <c r="F607" i="7" s="1"/>
  <c r="F608" i="7" s="1"/>
  <c r="F609" i="7" s="1"/>
  <c r="F610" i="7" s="1"/>
  <c r="F611" i="7" s="1"/>
  <c r="F612" i="7" s="1"/>
  <c r="F613" i="7" s="1"/>
  <c r="F614" i="7" s="1"/>
  <c r="F615" i="7" s="1"/>
  <c r="F616" i="7" s="1"/>
  <c r="F617" i="7" s="1"/>
  <c r="F618" i="7" s="1"/>
  <c r="F619" i="7" s="1"/>
  <c r="F620" i="7" s="1"/>
  <c r="F621" i="7" s="1"/>
  <c r="F622" i="7" s="1"/>
  <c r="F623" i="7" s="1"/>
  <c r="F624" i="7" s="1"/>
  <c r="F625" i="7" s="1"/>
  <c r="F626" i="7" s="1"/>
  <c r="F627" i="7" s="1"/>
  <c r="F628" i="7" s="1"/>
  <c r="F629" i="7" s="1"/>
  <c r="F630" i="7" s="1"/>
  <c r="F631" i="7" s="1"/>
  <c r="F632" i="7" s="1"/>
  <c r="F633" i="7" s="1"/>
  <c r="F634" i="7" s="1"/>
  <c r="F635" i="7" s="1"/>
  <c r="F636" i="7" s="1"/>
  <c r="F637" i="7" s="1"/>
  <c r="F638" i="7" s="1"/>
  <c r="F639" i="7" s="1"/>
  <c r="F640" i="7" s="1"/>
  <c r="F641" i="7" s="1"/>
  <c r="F642" i="7" s="1"/>
  <c r="F643" i="7" s="1"/>
  <c r="F644" i="7" s="1"/>
  <c r="F645" i="7" s="1"/>
  <c r="F646" i="7" s="1"/>
  <c r="F647" i="7" s="1"/>
  <c r="F648" i="7" s="1"/>
  <c r="F649" i="7" s="1"/>
  <c r="F650" i="7" s="1"/>
  <c r="F651" i="7" s="1"/>
  <c r="F652" i="7" s="1"/>
  <c r="F653" i="7" s="1"/>
  <c r="F654" i="7" s="1"/>
  <c r="F655" i="7" s="1"/>
  <c r="F656" i="7" s="1"/>
  <c r="F657" i="7" s="1"/>
  <c r="F658" i="7" s="1"/>
  <c r="F659" i="7" s="1"/>
  <c r="F660" i="7" s="1"/>
  <c r="F661" i="7" s="1"/>
  <c r="F662" i="7" s="1"/>
  <c r="F663" i="7" s="1"/>
  <c r="F664" i="7" s="1"/>
  <c r="F665" i="7" s="1"/>
  <c r="F666" i="7" s="1"/>
  <c r="F667" i="7" s="1"/>
  <c r="F668" i="7" s="1"/>
  <c r="F669" i="7" s="1"/>
  <c r="F670" i="7" s="1"/>
  <c r="F671" i="7" s="1"/>
  <c r="F672" i="7" s="1"/>
  <c r="F673" i="7" s="1"/>
  <c r="F674" i="7" s="1"/>
  <c r="F675" i="7" s="1"/>
  <c r="F676" i="7" s="1"/>
  <c r="F677" i="7" s="1"/>
  <c r="F678" i="7" s="1"/>
  <c r="F679" i="7" s="1"/>
  <c r="F680" i="7" s="1"/>
  <c r="F681" i="7" s="1"/>
  <c r="F682" i="7" s="1"/>
  <c r="F683" i="7" s="1"/>
  <c r="F684" i="7" s="1"/>
  <c r="F685" i="7" s="1"/>
  <c r="F686" i="7" s="1"/>
  <c r="F687" i="7" s="1"/>
  <c r="F688" i="7" s="1"/>
  <c r="F689" i="7" s="1"/>
  <c r="F690" i="7" s="1"/>
  <c r="F691" i="7" s="1"/>
  <c r="F692" i="7" s="1"/>
  <c r="F693" i="7" s="1"/>
  <c r="F694" i="7" s="1"/>
  <c r="F695" i="7" s="1"/>
  <c r="F696" i="7" s="1"/>
  <c r="F697" i="7" s="1"/>
  <c r="F698" i="7" s="1"/>
  <c r="F699" i="7" s="1"/>
  <c r="F700" i="7" s="1"/>
  <c r="F701" i="7" s="1"/>
  <c r="F702" i="7" s="1"/>
  <c r="F703" i="7" s="1"/>
  <c r="F704" i="7" s="1"/>
  <c r="F705" i="7" s="1"/>
  <c r="F706" i="7" s="1"/>
  <c r="F707" i="7" s="1"/>
  <c r="F708" i="7" s="1"/>
  <c r="F709" i="7" s="1"/>
  <c r="F710" i="7" s="1"/>
  <c r="F711" i="7" s="1"/>
  <c r="F712" i="7" s="1"/>
  <c r="F713" i="7" s="1"/>
  <c r="F714" i="7" s="1"/>
  <c r="F715" i="7" s="1"/>
  <c r="F716" i="7" s="1"/>
  <c r="F717" i="7" s="1"/>
  <c r="F718" i="7" s="1"/>
  <c r="F719" i="7" s="1"/>
  <c r="F720" i="7" s="1"/>
  <c r="F721" i="7" s="1"/>
  <c r="F722" i="7" s="1"/>
  <c r="F723" i="7" s="1"/>
  <c r="F724" i="7" s="1"/>
  <c r="F725" i="7" s="1"/>
  <c r="F726" i="7" s="1"/>
  <c r="F727" i="7" s="1"/>
  <c r="F728" i="7" s="1"/>
  <c r="F729" i="7" s="1"/>
  <c r="F730" i="7" s="1"/>
  <c r="F731" i="7" s="1"/>
  <c r="F732" i="7" s="1"/>
  <c r="F733" i="7" s="1"/>
  <c r="F734" i="7" s="1"/>
  <c r="F735" i="7" s="1"/>
  <c r="F736" i="7" s="1"/>
  <c r="F737" i="7" s="1"/>
  <c r="F738" i="7" s="1"/>
  <c r="F739" i="7" s="1"/>
  <c r="F740" i="7" s="1"/>
  <c r="F741" i="7" s="1"/>
  <c r="F742" i="7" s="1"/>
  <c r="F743" i="7" s="1"/>
  <c r="F744" i="7" s="1"/>
  <c r="F745" i="7" s="1"/>
  <c r="F746" i="7" s="1"/>
  <c r="F747" i="7" s="1"/>
  <c r="F748" i="7" s="1"/>
  <c r="F749" i="7" s="1"/>
  <c r="F750" i="7" s="1"/>
  <c r="F751" i="7" s="1"/>
  <c r="F752" i="7" s="1"/>
  <c r="F753" i="7" s="1"/>
  <c r="F754" i="7" s="1"/>
  <c r="F755" i="7" s="1"/>
  <c r="F756" i="7" s="1"/>
  <c r="F757" i="7" s="1"/>
  <c r="F758" i="7" s="1"/>
  <c r="F759" i="7" s="1"/>
  <c r="F760" i="7" s="1"/>
  <c r="F761" i="7" s="1"/>
  <c r="F762" i="7" s="1"/>
  <c r="F763" i="7" s="1"/>
  <c r="F764" i="7" s="1"/>
  <c r="F765" i="7" s="1"/>
  <c r="F766" i="7" s="1"/>
  <c r="F767" i="7" s="1"/>
  <c r="F768" i="7" s="1"/>
  <c r="F769" i="7" s="1"/>
  <c r="F770" i="7" s="1"/>
  <c r="F771" i="7" s="1"/>
  <c r="F772" i="7" s="1"/>
  <c r="F773" i="7" s="1"/>
  <c r="F774" i="7" s="1"/>
  <c r="F775" i="7" s="1"/>
  <c r="F776" i="7" s="1"/>
  <c r="F777" i="7" s="1"/>
  <c r="F778" i="7" s="1"/>
  <c r="F779" i="7" s="1"/>
  <c r="F780" i="7" s="1"/>
  <c r="F781" i="7" s="1"/>
  <c r="F782" i="7" s="1"/>
  <c r="F783" i="7" s="1"/>
  <c r="F784" i="7" s="1"/>
  <c r="F785" i="7" s="1"/>
  <c r="F786" i="7" s="1"/>
  <c r="F787" i="7" s="1"/>
  <c r="F788" i="7" s="1"/>
  <c r="F789" i="7" s="1"/>
  <c r="F790" i="7" s="1"/>
  <c r="F791" i="7" s="1"/>
  <c r="F792" i="7" s="1"/>
  <c r="F793" i="7" s="1"/>
  <c r="F794" i="7" s="1"/>
  <c r="F795" i="7" s="1"/>
  <c r="F796" i="7" s="1"/>
  <c r="F797" i="7" s="1"/>
  <c r="F798" i="7" s="1"/>
  <c r="F799" i="7" s="1"/>
  <c r="F800" i="7" s="1"/>
  <c r="F801" i="7" s="1"/>
  <c r="F802" i="7" s="1"/>
  <c r="F803" i="7" s="1"/>
  <c r="F804" i="7" s="1"/>
  <c r="F805" i="7" s="1"/>
  <c r="F806" i="7" s="1"/>
  <c r="F807" i="7" s="1"/>
  <c r="F808" i="7" s="1"/>
  <c r="F809" i="7" s="1"/>
  <c r="F810" i="7" s="1"/>
  <c r="F811" i="7" s="1"/>
  <c r="F812" i="7" s="1"/>
  <c r="F813" i="7" s="1"/>
  <c r="F814" i="7" s="1"/>
  <c r="F815" i="7" s="1"/>
  <c r="F816" i="7" s="1"/>
  <c r="F817" i="7" s="1"/>
  <c r="F818" i="7" s="1"/>
  <c r="F819" i="7" s="1"/>
  <c r="F820" i="7" s="1"/>
  <c r="F821" i="7" s="1"/>
  <c r="F822" i="7" s="1"/>
  <c r="F823" i="7" s="1"/>
  <c r="F824" i="7" s="1"/>
  <c r="F825" i="7" s="1"/>
  <c r="F826" i="7" s="1"/>
  <c r="F827" i="7" s="1"/>
  <c r="F828" i="7" s="1"/>
  <c r="F829" i="7" s="1"/>
  <c r="F830" i="7" s="1"/>
  <c r="F831" i="7" s="1"/>
  <c r="F832" i="7" s="1"/>
  <c r="F833" i="7" s="1"/>
  <c r="F834" i="7" s="1"/>
  <c r="F835" i="7" s="1"/>
  <c r="F836" i="7" s="1"/>
  <c r="F837" i="7" s="1"/>
  <c r="F838" i="7" s="1"/>
  <c r="F839" i="7" s="1"/>
  <c r="F840" i="7" s="1"/>
  <c r="F841" i="7" s="1"/>
  <c r="F842" i="7" s="1"/>
  <c r="F843" i="7" s="1"/>
  <c r="F844" i="7" s="1"/>
  <c r="F845" i="7" s="1"/>
  <c r="F846" i="7" s="1"/>
  <c r="F847" i="7" s="1"/>
  <c r="F848" i="7" s="1"/>
  <c r="F849" i="7" s="1"/>
  <c r="F850" i="7" s="1"/>
  <c r="F851" i="7" s="1"/>
  <c r="F852" i="7" s="1"/>
  <c r="F853" i="7" s="1"/>
  <c r="F854" i="7" s="1"/>
  <c r="F855" i="7" s="1"/>
  <c r="F856" i="7" s="1"/>
  <c r="F857" i="7" s="1"/>
  <c r="F858" i="7" s="1"/>
  <c r="F859" i="7" s="1"/>
  <c r="F860" i="7" s="1"/>
  <c r="F861" i="7" s="1"/>
  <c r="F862" i="7" s="1"/>
  <c r="F863" i="7" s="1"/>
  <c r="F864" i="7" s="1"/>
  <c r="F865" i="7" s="1"/>
  <c r="F866" i="7" s="1"/>
  <c r="F867" i="7" s="1"/>
  <c r="F868" i="7" s="1"/>
  <c r="F869" i="7" s="1"/>
  <c r="F870" i="7" s="1"/>
  <c r="F871" i="7" s="1"/>
  <c r="F872" i="7" s="1"/>
  <c r="F873" i="7" s="1"/>
  <c r="F874" i="7" s="1"/>
  <c r="F875" i="7" s="1"/>
  <c r="F876" i="7" s="1"/>
  <c r="F877" i="7" s="1"/>
  <c r="F878" i="7" s="1"/>
  <c r="F879" i="7" s="1"/>
  <c r="F880" i="7" s="1"/>
  <c r="F881" i="7" s="1"/>
  <c r="F882" i="7" s="1"/>
  <c r="F883" i="7" s="1"/>
  <c r="F884" i="7" s="1"/>
  <c r="F885" i="7" s="1"/>
  <c r="F886" i="7" s="1"/>
  <c r="F887" i="7" s="1"/>
  <c r="F888" i="7" s="1"/>
  <c r="F889" i="7" s="1"/>
  <c r="F890" i="7" s="1"/>
  <c r="F891" i="7" s="1"/>
  <c r="F892" i="7" s="1"/>
  <c r="F893" i="7" s="1"/>
  <c r="F894" i="7" s="1"/>
  <c r="F895" i="7" s="1"/>
  <c r="F896" i="7" s="1"/>
  <c r="F897" i="7" s="1"/>
  <c r="F898" i="7" s="1"/>
  <c r="F899" i="7" s="1"/>
  <c r="F900" i="7" s="1"/>
  <c r="F901" i="7" s="1"/>
  <c r="F902" i="7" s="1"/>
  <c r="F903" i="7" s="1"/>
  <c r="F904" i="7" s="1"/>
  <c r="F905" i="7" s="1"/>
  <c r="F906" i="7" s="1"/>
  <c r="F907" i="7" s="1"/>
  <c r="F908" i="7" s="1"/>
  <c r="F909" i="7" s="1"/>
  <c r="F910" i="7" s="1"/>
  <c r="F911" i="7" s="1"/>
  <c r="F912" i="7" s="1"/>
  <c r="F913" i="7" s="1"/>
  <c r="F914" i="7" s="1"/>
  <c r="F915" i="7" s="1"/>
  <c r="F916" i="7" s="1"/>
  <c r="F917" i="7" s="1"/>
  <c r="F918" i="7" s="1"/>
  <c r="F919" i="7" s="1"/>
  <c r="F920" i="7" s="1"/>
  <c r="F921" i="7" s="1"/>
  <c r="F922" i="7" s="1"/>
  <c r="F923" i="7" s="1"/>
  <c r="F924" i="7" s="1"/>
  <c r="F925" i="7" s="1"/>
  <c r="F926" i="7" s="1"/>
  <c r="F927" i="7" s="1"/>
  <c r="F928" i="7" s="1"/>
  <c r="F929" i="7" s="1"/>
  <c r="F930" i="7" s="1"/>
  <c r="F931" i="7" s="1"/>
  <c r="F932" i="7" s="1"/>
  <c r="F933" i="7" s="1"/>
  <c r="F934" i="7" s="1"/>
  <c r="F935" i="7" s="1"/>
  <c r="F936" i="7" s="1"/>
  <c r="F937" i="7" s="1"/>
  <c r="F938" i="7" s="1"/>
  <c r="F939" i="7" s="1"/>
  <c r="F940" i="7" s="1"/>
  <c r="F941" i="7" s="1"/>
  <c r="F942" i="7" s="1"/>
  <c r="F943" i="7" s="1"/>
  <c r="F944" i="7" s="1"/>
  <c r="F945" i="7" s="1"/>
  <c r="F946" i="7" s="1"/>
  <c r="F947" i="7" s="1"/>
  <c r="F948" i="7" s="1"/>
  <c r="F949" i="7" s="1"/>
  <c r="F950" i="7" s="1"/>
  <c r="F951" i="7" s="1"/>
  <c r="F952" i="7" s="1"/>
  <c r="F953" i="7" s="1"/>
  <c r="F954" i="7" s="1"/>
  <c r="F955" i="7" s="1"/>
  <c r="F956" i="7" s="1"/>
  <c r="F957" i="7" s="1"/>
  <c r="F958" i="7" s="1"/>
  <c r="F959" i="7" s="1"/>
  <c r="F960" i="7" s="1"/>
  <c r="F961" i="7" s="1"/>
  <c r="F962" i="7" s="1"/>
  <c r="F963" i="7" s="1"/>
  <c r="F964" i="7" s="1"/>
  <c r="F965" i="7" s="1"/>
  <c r="F966" i="7" s="1"/>
  <c r="F967" i="7" s="1"/>
  <c r="F968" i="7" s="1"/>
  <c r="F969" i="7" s="1"/>
  <c r="F970" i="7" s="1"/>
  <c r="F971" i="7" s="1"/>
  <c r="F972" i="7" s="1"/>
  <c r="F973" i="7" s="1"/>
  <c r="F974" i="7" s="1"/>
  <c r="F975" i="7" s="1"/>
  <c r="F976" i="7" s="1"/>
  <c r="F977" i="7" s="1"/>
  <c r="F978" i="7" s="1"/>
  <c r="F979" i="7" s="1"/>
  <c r="F980" i="7" s="1"/>
  <c r="F981" i="7" s="1"/>
  <c r="F982" i="7" s="1"/>
  <c r="F983" i="7" s="1"/>
  <c r="F984" i="7" s="1"/>
  <c r="F985" i="7" s="1"/>
  <c r="F986" i="7" s="1"/>
  <c r="F987" i="7" s="1"/>
  <c r="F988" i="7" s="1"/>
  <c r="F989" i="7" s="1"/>
  <c r="F990" i="7" s="1"/>
  <c r="F991" i="7" s="1"/>
  <c r="F992" i="7" s="1"/>
  <c r="F993" i="7" s="1"/>
  <c r="F994" i="7" s="1"/>
  <c r="F995" i="7" s="1"/>
  <c r="F996" i="7" s="1"/>
  <c r="F997" i="7" s="1"/>
  <c r="F998" i="7" s="1"/>
  <c r="F999" i="7" s="1"/>
  <c r="F1000" i="7" s="1"/>
  <c r="F1001" i="7" s="1"/>
  <c r="F1002" i="7" s="1"/>
  <c r="F1003" i="7" s="1"/>
  <c r="F1004" i="7" s="1"/>
  <c r="F1005" i="7" s="1"/>
  <c r="F1006" i="7" s="1"/>
  <c r="F1007" i="7" s="1"/>
  <c r="F1008" i="7" s="1"/>
  <c r="F1009" i="7" s="1"/>
  <c r="F1010" i="7" s="1"/>
  <c r="F1011" i="7" s="1"/>
  <c r="F1012" i="7" s="1"/>
  <c r="F1013" i="7" s="1"/>
  <c r="F1014" i="7" s="1"/>
  <c r="F1015" i="7" s="1"/>
  <c r="F1016" i="7" s="1"/>
  <c r="F1017" i="7" s="1"/>
  <c r="F1018" i="7" s="1"/>
  <c r="F1019" i="7" s="1"/>
  <c r="F1020" i="7" s="1"/>
  <c r="F1021" i="7" s="1"/>
  <c r="F1022" i="7" s="1"/>
  <c r="F1023" i="7" s="1"/>
  <c r="F1024" i="7" s="1"/>
  <c r="F1025" i="7" s="1"/>
  <c r="F1026" i="7" s="1"/>
  <c r="F1027" i="7" s="1"/>
  <c r="F1028" i="7" s="1"/>
  <c r="F1029" i="7" s="1"/>
  <c r="F1030" i="7" s="1"/>
  <c r="F1031" i="7" s="1"/>
  <c r="F1032" i="7" s="1"/>
  <c r="F1033" i="7" s="1"/>
  <c r="F1034" i="7" s="1"/>
  <c r="F1035" i="7" s="1"/>
  <c r="F1036" i="7" s="1"/>
  <c r="F1037" i="7" s="1"/>
  <c r="F1038" i="7" s="1"/>
  <c r="F1039" i="7" s="1"/>
  <c r="F1040" i="7" s="1"/>
  <c r="F1041" i="7" s="1"/>
  <c r="F1042" i="7" s="1"/>
  <c r="F1043" i="7" s="1"/>
  <c r="F1044" i="7" s="1"/>
  <c r="F1045" i="7" s="1"/>
  <c r="F1046" i="7" s="1"/>
  <c r="F1047" i="7" s="1"/>
  <c r="F1048" i="7" s="1"/>
  <c r="F1049" i="7" s="1"/>
  <c r="F1050" i="7" s="1"/>
  <c r="F1051" i="7" s="1"/>
  <c r="F1052" i="7" s="1"/>
  <c r="F1053" i="7" s="1"/>
  <c r="F1054" i="7" s="1"/>
  <c r="F1055" i="7" s="1"/>
  <c r="F1056" i="7" s="1"/>
  <c r="F1057" i="7" s="1"/>
  <c r="F1058" i="7" s="1"/>
  <c r="F1059" i="7" s="1"/>
  <c r="F1060" i="7" s="1"/>
  <c r="F1061" i="7" s="1"/>
  <c r="F1062" i="7" s="1"/>
  <c r="F1063" i="7" s="1"/>
  <c r="F1064" i="7" s="1"/>
  <c r="F1065" i="7" s="1"/>
  <c r="F1066" i="7" s="1"/>
  <c r="F1067" i="7" s="1"/>
  <c r="F1068" i="7" s="1"/>
  <c r="F1069" i="7" s="1"/>
  <c r="F1070" i="7" s="1"/>
  <c r="F1071" i="7" s="1"/>
  <c r="F1072" i="7" s="1"/>
  <c r="F1073" i="7" s="1"/>
  <c r="F1074" i="7" s="1"/>
  <c r="F1075" i="7" s="1"/>
  <c r="F1076" i="7" s="1"/>
  <c r="F1077" i="7" s="1"/>
  <c r="F1078" i="7" s="1"/>
  <c r="F1079" i="7" s="1"/>
  <c r="F1080" i="7" s="1"/>
  <c r="F1081" i="7" s="1"/>
  <c r="F1082" i="7" s="1"/>
  <c r="F1083" i="7" s="1"/>
  <c r="F1084" i="7" s="1"/>
  <c r="F1085" i="7" s="1"/>
  <c r="F1086" i="7" s="1"/>
  <c r="F1087" i="7" s="1"/>
  <c r="F1088" i="7" s="1"/>
  <c r="F1089" i="7" s="1"/>
  <c r="F1090" i="7" s="1"/>
  <c r="F1091" i="7" s="1"/>
  <c r="F1092" i="7" s="1"/>
  <c r="F1093" i="7" s="1"/>
  <c r="F1094" i="7" s="1"/>
  <c r="F1095" i="7" s="1"/>
  <c r="F1096" i="7" s="1"/>
  <c r="F1097" i="7" s="1"/>
  <c r="F1098" i="7" s="1"/>
  <c r="F1099" i="7" s="1"/>
  <c r="F1100" i="7" s="1"/>
  <c r="F1101" i="7" s="1"/>
  <c r="F1102" i="7" s="1"/>
  <c r="F1103" i="7" s="1"/>
  <c r="F1104" i="7" s="1"/>
  <c r="F1105" i="7" s="1"/>
  <c r="F1106" i="7" s="1"/>
  <c r="F1107" i="7" s="1"/>
  <c r="F1108" i="7" s="1"/>
  <c r="F1109" i="7" s="1"/>
  <c r="F1110" i="7" s="1"/>
  <c r="F1111" i="7" s="1"/>
  <c r="F1112" i="7" s="1"/>
  <c r="F1113" i="7" s="1"/>
  <c r="F1114" i="7" s="1"/>
  <c r="F1115" i="7" s="1"/>
  <c r="F1116" i="7" s="1"/>
  <c r="F1117" i="7" s="1"/>
  <c r="F1118" i="7" s="1"/>
  <c r="F1119" i="7" s="1"/>
  <c r="F1120" i="7" s="1"/>
  <c r="F1121" i="7" s="1"/>
  <c r="F1122" i="7" s="1"/>
  <c r="F1123" i="7" s="1"/>
  <c r="F1124" i="7" s="1"/>
  <c r="F1125" i="7" s="1"/>
  <c r="F1126" i="7" s="1"/>
  <c r="F1127" i="7" s="1"/>
  <c r="F1128" i="7" s="1"/>
  <c r="F1129" i="7" s="1"/>
  <c r="F1130" i="7" s="1"/>
  <c r="F1131" i="7" s="1"/>
  <c r="F1132" i="7" s="1"/>
  <c r="F1133" i="7" s="1"/>
  <c r="F1134" i="7" s="1"/>
  <c r="F1135" i="7" s="1"/>
  <c r="F1136" i="7" s="1"/>
  <c r="F1137" i="7" s="1"/>
  <c r="F1138" i="7" s="1"/>
  <c r="F1139" i="7" s="1"/>
  <c r="F1140" i="7" s="1"/>
  <c r="F1141" i="7" s="1"/>
  <c r="F1142" i="7" s="1"/>
  <c r="F1143" i="7" s="1"/>
  <c r="F1144" i="7" s="1"/>
  <c r="F1145" i="7" s="1"/>
  <c r="F1146" i="7" s="1"/>
  <c r="F1147" i="7" s="1"/>
  <c r="F1148" i="7" s="1"/>
  <c r="F1149" i="7" s="1"/>
  <c r="F1150" i="7" s="1"/>
  <c r="F1151" i="7" s="1"/>
  <c r="F1152" i="7" s="1"/>
  <c r="F1153" i="7" s="1"/>
  <c r="F1154" i="7" s="1"/>
  <c r="F1155" i="7" s="1"/>
  <c r="F1156" i="7" s="1"/>
  <c r="F1157" i="7" s="1"/>
  <c r="F1158" i="7" s="1"/>
  <c r="F1159" i="7" s="1"/>
  <c r="F1160" i="7" s="1"/>
  <c r="F1161" i="7" s="1"/>
  <c r="F1162" i="7" s="1"/>
  <c r="F1163" i="7" s="1"/>
  <c r="F1164" i="7" s="1"/>
  <c r="F1165" i="7" s="1"/>
  <c r="F1166" i="7" s="1"/>
  <c r="F1167" i="7" s="1"/>
  <c r="F1168" i="7" s="1"/>
  <c r="F1169" i="7" s="1"/>
  <c r="F1170" i="7" s="1"/>
  <c r="F1171" i="7" s="1"/>
  <c r="F1172" i="7" s="1"/>
  <c r="F1173" i="7" s="1"/>
  <c r="F1174" i="7" s="1"/>
  <c r="F1175" i="7" s="1"/>
  <c r="F1176" i="7" s="1"/>
  <c r="F1177" i="7" s="1"/>
  <c r="F1178" i="7" s="1"/>
  <c r="F1179" i="7" s="1"/>
  <c r="F1180" i="7" s="1"/>
  <c r="F1181" i="7" s="1"/>
  <c r="F1182" i="7" s="1"/>
  <c r="F1183" i="7" s="1"/>
  <c r="F1184" i="7" s="1"/>
  <c r="F1185" i="7" s="1"/>
  <c r="F1186" i="7" s="1"/>
  <c r="F1187" i="7" s="1"/>
  <c r="F1188" i="7" s="1"/>
  <c r="F1189" i="7" s="1"/>
  <c r="F1190" i="7" s="1"/>
  <c r="F1191" i="7" s="1"/>
  <c r="F1192" i="7" s="1"/>
  <c r="F1193" i="7" s="1"/>
  <c r="F1194" i="7" s="1"/>
  <c r="F1195" i="7" s="1"/>
  <c r="F1196" i="7" s="1"/>
  <c r="F1197" i="7" s="1"/>
  <c r="F1198" i="7" s="1"/>
  <c r="F1199" i="7" s="1"/>
  <c r="F1200" i="7" s="1"/>
  <c r="F1201" i="7" s="1"/>
  <c r="F1202" i="7" s="1"/>
  <c r="F1203" i="7" s="1"/>
  <c r="F1204" i="7" s="1"/>
  <c r="F1205" i="7" s="1"/>
  <c r="F1206" i="7" s="1"/>
  <c r="F1207" i="7" s="1"/>
  <c r="F1208" i="7" s="1"/>
  <c r="F1209" i="7" s="1"/>
  <c r="F1210" i="7" s="1"/>
  <c r="F1211" i="7" s="1"/>
  <c r="F1212" i="7" s="1"/>
  <c r="F1213" i="7" s="1"/>
  <c r="F1214" i="7" s="1"/>
  <c r="F1215" i="7" s="1"/>
  <c r="F1216" i="7" s="1"/>
  <c r="F1217" i="7" s="1"/>
  <c r="F1218" i="7" s="1"/>
  <c r="F1219" i="7" s="1"/>
  <c r="F1220" i="7" s="1"/>
  <c r="F1221" i="7" s="1"/>
  <c r="F1222" i="7" s="1"/>
  <c r="F1223" i="7" s="1"/>
  <c r="F1224" i="7" s="1"/>
  <c r="F1225" i="7" s="1"/>
  <c r="F1226" i="7" s="1"/>
  <c r="F1227" i="7" s="1"/>
  <c r="F1228" i="7" s="1"/>
  <c r="F1229" i="7" s="1"/>
  <c r="F1230" i="7" s="1"/>
  <c r="F1231" i="7" s="1"/>
  <c r="F1232" i="7" s="1"/>
  <c r="F1233" i="7" s="1"/>
  <c r="F1234" i="7" s="1"/>
  <c r="F1235" i="7" s="1"/>
  <c r="F1236" i="7" s="1"/>
  <c r="F1237" i="7" s="1"/>
  <c r="F1238" i="7" s="1"/>
  <c r="F1239" i="7" s="1"/>
  <c r="F1240" i="7" s="1"/>
  <c r="F1241" i="7" s="1"/>
  <c r="F1242" i="7" s="1"/>
  <c r="F1243" i="7" s="1"/>
  <c r="F1244" i="7" s="1"/>
  <c r="F1245" i="7" s="1"/>
  <c r="F1246" i="7" s="1"/>
  <c r="F1247" i="7" s="1"/>
  <c r="F1248" i="7" s="1"/>
  <c r="F1249" i="7" s="1"/>
  <c r="F1250" i="7" s="1"/>
  <c r="F1251" i="7" s="1"/>
  <c r="F1252" i="7" s="1"/>
  <c r="F1253" i="7" s="1"/>
  <c r="F1254" i="7" s="1"/>
  <c r="F1255" i="7" s="1"/>
  <c r="F1256" i="7" s="1"/>
  <c r="F1257" i="7" s="1"/>
  <c r="F1258" i="7" s="1"/>
  <c r="F1259" i="7" s="1"/>
  <c r="F1260" i="7" s="1"/>
  <c r="F1261" i="7" s="1"/>
  <c r="F1262" i="7" s="1"/>
  <c r="F1263" i="7" s="1"/>
  <c r="F1264" i="7" s="1"/>
  <c r="F1265" i="7" s="1"/>
  <c r="F1266" i="7" s="1"/>
  <c r="F1267" i="7" s="1"/>
  <c r="F1268" i="7" s="1"/>
  <c r="F1269" i="7" s="1"/>
  <c r="F1270" i="7" s="1"/>
  <c r="F1271" i="7" s="1"/>
  <c r="F1272" i="7" s="1"/>
  <c r="F1273" i="7" s="1"/>
  <c r="F1274" i="7" s="1"/>
  <c r="F1275" i="7" s="1"/>
  <c r="F1276" i="7" s="1"/>
  <c r="F1277" i="7" s="1"/>
  <c r="F1278" i="7" s="1"/>
  <c r="F1279" i="7" s="1"/>
  <c r="F1280" i="7" s="1"/>
  <c r="F1281" i="7" s="1"/>
  <c r="F1282" i="7" s="1"/>
  <c r="F1283" i="7" s="1"/>
  <c r="F1284" i="7" s="1"/>
  <c r="F1285" i="7" s="1"/>
  <c r="F1286" i="7" s="1"/>
  <c r="F1287" i="7" s="1"/>
  <c r="F1288" i="7" s="1"/>
  <c r="F1289" i="7" s="1"/>
  <c r="F1290" i="7" s="1"/>
  <c r="F1291" i="7" s="1"/>
  <c r="F1292" i="7" s="1"/>
  <c r="F1293" i="7" s="1"/>
  <c r="F1294" i="7" s="1"/>
  <c r="F1295" i="7" s="1"/>
  <c r="F1296" i="7" s="1"/>
  <c r="F1297" i="7" s="1"/>
  <c r="F1298" i="7" s="1"/>
  <c r="F1299" i="7" s="1"/>
  <c r="F1300" i="7" s="1"/>
  <c r="F1301" i="7" s="1"/>
  <c r="F1302" i="7" s="1"/>
  <c r="F1303" i="7" s="1"/>
  <c r="F1304" i="7" s="1"/>
  <c r="F1305" i="7" s="1"/>
  <c r="F1306" i="7" s="1"/>
  <c r="F1307" i="7" s="1"/>
  <c r="F1308" i="7" s="1"/>
  <c r="F1309" i="7" s="1"/>
  <c r="F1310" i="7" s="1"/>
  <c r="F1311" i="7" s="1"/>
  <c r="F1312" i="7" s="1"/>
  <c r="F1313" i="7" s="1"/>
  <c r="F1314" i="7" s="1"/>
  <c r="F1315" i="7" s="1"/>
  <c r="F1316" i="7" s="1"/>
  <c r="F1317" i="7" s="1"/>
  <c r="F1318" i="7" s="1"/>
  <c r="F1319" i="7" s="1"/>
  <c r="F1320" i="7" s="1"/>
  <c r="F1321" i="7" s="1"/>
  <c r="F1322" i="7" s="1"/>
  <c r="F1323" i="7" s="1"/>
  <c r="F1324" i="7" s="1"/>
  <c r="F1325" i="7" s="1"/>
  <c r="F1326" i="7" s="1"/>
  <c r="F1327" i="7" s="1"/>
  <c r="F1328" i="7" s="1"/>
  <c r="F1329" i="7" s="1"/>
  <c r="F1330" i="7" s="1"/>
  <c r="F1331" i="7" s="1"/>
  <c r="F1332" i="7" s="1"/>
  <c r="F1333" i="7" s="1"/>
  <c r="F1334" i="7" s="1"/>
  <c r="F1335" i="7" s="1"/>
  <c r="F1336" i="7" s="1"/>
  <c r="F1337" i="7" s="1"/>
  <c r="F1338" i="7" s="1"/>
  <c r="F1339" i="7" s="1"/>
  <c r="F1340" i="7" s="1"/>
  <c r="F1341" i="7" s="1"/>
  <c r="F1342" i="7" s="1"/>
  <c r="F1343" i="7" s="1"/>
  <c r="F1344" i="7" s="1"/>
  <c r="F1345" i="7" s="1"/>
  <c r="F1346" i="7" s="1"/>
  <c r="F1347" i="7" s="1"/>
  <c r="F1348" i="7" s="1"/>
  <c r="F1349" i="7" s="1"/>
  <c r="F1350" i="7" s="1"/>
  <c r="F1351" i="7" s="1"/>
  <c r="F1352" i="7" s="1"/>
  <c r="F1353" i="7" s="1"/>
  <c r="F1354" i="7" s="1"/>
  <c r="F1355" i="7" s="1"/>
  <c r="F1356" i="7" s="1"/>
  <c r="F1357" i="7" s="1"/>
  <c r="F1358" i="7" s="1"/>
  <c r="F1359" i="7" s="1"/>
  <c r="F1360" i="7" s="1"/>
  <c r="F1361" i="7" s="1"/>
  <c r="F1362" i="7" s="1"/>
  <c r="F1363" i="7" s="1"/>
  <c r="F1364" i="7" s="1"/>
  <c r="F1365" i="7" s="1"/>
  <c r="F1366" i="7" s="1"/>
  <c r="F1367" i="7" s="1"/>
  <c r="F1368" i="7" s="1"/>
  <c r="F1369" i="7" s="1"/>
  <c r="F1370" i="7" s="1"/>
  <c r="F1371" i="7" s="1"/>
  <c r="F1372" i="7" s="1"/>
  <c r="F1373" i="7" s="1"/>
  <c r="F1374" i="7" s="1"/>
  <c r="F1375" i="7" s="1"/>
  <c r="F1376" i="7" s="1"/>
  <c r="F1377" i="7" s="1"/>
  <c r="F1378" i="7" s="1"/>
  <c r="F1379" i="7" s="1"/>
  <c r="F1380" i="7" s="1"/>
  <c r="F1381" i="7" s="1"/>
  <c r="F1382" i="7" s="1"/>
  <c r="F1383" i="7" s="1"/>
  <c r="F1384" i="7" s="1"/>
  <c r="F1385" i="7" s="1"/>
  <c r="F1386" i="7" s="1"/>
  <c r="F1387" i="7" s="1"/>
  <c r="F1388" i="7" s="1"/>
  <c r="F1389" i="7" s="1"/>
  <c r="F1390" i="7" s="1"/>
  <c r="F1391" i="7" s="1"/>
  <c r="F1392" i="7" s="1"/>
  <c r="F1393" i="7" s="1"/>
  <c r="F1394" i="7" s="1"/>
  <c r="F1395" i="7" s="1"/>
  <c r="F1396" i="7" s="1"/>
  <c r="F1397" i="7" s="1"/>
  <c r="F1398" i="7" s="1"/>
  <c r="F1399" i="7" s="1"/>
  <c r="F1400" i="7" s="1"/>
  <c r="F1401" i="7" s="1"/>
  <c r="F1402" i="7" s="1"/>
  <c r="F1403" i="7" s="1"/>
  <c r="F1404" i="7" s="1"/>
  <c r="F1405" i="7" s="1"/>
  <c r="F1406" i="7" s="1"/>
  <c r="F1407" i="7" s="1"/>
  <c r="F1408" i="7" s="1"/>
  <c r="F1409" i="7" s="1"/>
  <c r="F1410" i="7" s="1"/>
  <c r="F1411" i="7" s="1"/>
  <c r="F1412" i="7" s="1"/>
  <c r="F1413" i="7" s="1"/>
  <c r="F1414" i="7" s="1"/>
  <c r="F1415" i="7" s="1"/>
  <c r="F1416" i="7" s="1"/>
  <c r="F1417" i="7" s="1"/>
  <c r="F1418" i="7" s="1"/>
  <c r="F1419" i="7" s="1"/>
  <c r="F1420" i="7" s="1"/>
  <c r="F1421" i="7" s="1"/>
  <c r="F1422" i="7" s="1"/>
  <c r="F1423" i="7" s="1"/>
  <c r="F1424" i="7" s="1"/>
  <c r="F1425" i="7" s="1"/>
  <c r="F1426" i="7" s="1"/>
  <c r="F1427" i="7" s="1"/>
  <c r="F1428" i="7" s="1"/>
  <c r="F1429" i="7" s="1"/>
  <c r="F1430" i="7" s="1"/>
  <c r="F1431" i="7" s="1"/>
  <c r="F1432" i="7" s="1"/>
  <c r="F1433" i="7" s="1"/>
  <c r="F1434" i="7" s="1"/>
  <c r="F1435" i="7" s="1"/>
  <c r="F1436" i="7" s="1"/>
  <c r="F1437" i="7" s="1"/>
  <c r="F1438" i="7" s="1"/>
  <c r="F1439" i="7" s="1"/>
  <c r="F1440" i="7" s="1"/>
  <c r="F1441" i="7" s="1"/>
  <c r="F1442" i="7" s="1"/>
  <c r="F1443" i="7" s="1"/>
  <c r="F1444" i="7" s="1"/>
  <c r="F1445" i="7" s="1"/>
  <c r="F1446" i="7" s="1"/>
  <c r="F1447" i="7" s="1"/>
  <c r="F1448" i="7" s="1"/>
  <c r="F1449" i="7" s="1"/>
  <c r="F1450" i="7" s="1"/>
  <c r="F1451" i="7" s="1"/>
  <c r="F1452" i="7" s="1"/>
  <c r="F1453" i="7" s="1"/>
  <c r="F1454" i="7" s="1"/>
  <c r="F1455" i="7" s="1"/>
  <c r="F1456" i="7" s="1"/>
  <c r="F1457" i="7" s="1"/>
  <c r="F1458" i="7" s="1"/>
  <c r="F1459" i="7" s="1"/>
  <c r="F1460" i="7" s="1"/>
  <c r="F1461" i="7" s="1"/>
  <c r="F1462" i="7" s="1"/>
  <c r="F1463" i="7" s="1"/>
  <c r="F1464" i="7" s="1"/>
  <c r="F1465" i="7" s="1"/>
  <c r="F1466" i="7" s="1"/>
  <c r="F1467" i="7" s="1"/>
  <c r="F1468" i="7" s="1"/>
  <c r="F1469" i="7" s="1"/>
  <c r="F1470" i="7" s="1"/>
  <c r="F1471" i="7" s="1"/>
  <c r="F1472" i="7" s="1"/>
  <c r="F1473" i="7" s="1"/>
  <c r="F1474" i="7" s="1"/>
  <c r="F1475" i="7" s="1"/>
  <c r="F1476" i="7" s="1"/>
  <c r="F1477" i="7" s="1"/>
  <c r="F1478" i="7" s="1"/>
  <c r="F1479" i="7" s="1"/>
  <c r="F1480" i="7" s="1"/>
  <c r="F1481" i="7" s="1"/>
  <c r="F1482" i="7" s="1"/>
  <c r="F1483" i="7" s="1"/>
  <c r="F1484" i="7" s="1"/>
  <c r="F1485" i="7" s="1"/>
  <c r="F1486" i="7" s="1"/>
  <c r="F1487" i="7" s="1"/>
  <c r="F1488" i="7" s="1"/>
  <c r="F1489" i="7" s="1"/>
  <c r="F1490" i="7" s="1"/>
  <c r="F1491" i="7" s="1"/>
  <c r="F1492" i="7" s="1"/>
  <c r="F1493" i="7" s="1"/>
  <c r="F1494" i="7" s="1"/>
  <c r="F1495" i="7" s="1"/>
  <c r="F1496" i="7" s="1"/>
  <c r="F1497" i="7" s="1"/>
  <c r="F1498" i="7" s="1"/>
  <c r="F1499" i="7" s="1"/>
  <c r="F1500" i="7" s="1"/>
  <c r="F1501" i="7" s="1"/>
  <c r="F1502" i="7" s="1"/>
  <c r="F1503" i="7" s="1"/>
  <c r="F1504" i="7" s="1"/>
  <c r="F1505" i="7" s="1"/>
  <c r="F1506" i="7" s="1"/>
  <c r="F1507" i="7" s="1"/>
  <c r="F1508" i="7" s="1"/>
  <c r="F1509" i="7" s="1"/>
  <c r="F1510" i="7" s="1"/>
  <c r="F1511" i="7" s="1"/>
  <c r="F1512" i="7" s="1"/>
  <c r="F1513" i="7" s="1"/>
  <c r="F1514" i="7" s="1"/>
  <c r="F1515" i="7" s="1"/>
  <c r="F1516" i="7" s="1"/>
  <c r="F1517" i="7" s="1"/>
  <c r="F1518" i="7" s="1"/>
  <c r="F1519" i="7" s="1"/>
  <c r="F1520" i="7" s="1"/>
  <c r="F1521" i="7" s="1"/>
  <c r="F1522" i="7" s="1"/>
  <c r="F1523" i="7" s="1"/>
  <c r="F1524" i="7" s="1"/>
  <c r="F1525" i="7" s="1"/>
  <c r="F1526" i="7" s="1"/>
  <c r="F1527" i="7" s="1"/>
  <c r="F1528" i="7" s="1"/>
  <c r="F1529" i="7" s="1"/>
  <c r="F1530" i="7" s="1"/>
  <c r="F1531" i="7" s="1"/>
  <c r="F1532" i="7" s="1"/>
  <c r="F1533" i="7" s="1"/>
  <c r="F1534" i="7" s="1"/>
  <c r="F1535" i="7" s="1"/>
  <c r="F1536" i="7" s="1"/>
  <c r="F1537" i="7" s="1"/>
  <c r="F1538" i="7" s="1"/>
  <c r="F1539" i="7" s="1"/>
  <c r="F1540" i="7" s="1"/>
  <c r="F1541" i="7" s="1"/>
  <c r="F1542" i="7" s="1"/>
  <c r="F1543" i="7" s="1"/>
  <c r="F1544" i="7" s="1"/>
  <c r="F1545" i="7" s="1"/>
  <c r="F1546" i="7" s="1"/>
  <c r="F1547" i="7" s="1"/>
  <c r="F1548" i="7" s="1"/>
  <c r="F1549" i="7" s="1"/>
  <c r="F1550" i="7" s="1"/>
  <c r="F1551" i="7" s="1"/>
  <c r="F1552" i="7" s="1"/>
  <c r="F1553" i="7" s="1"/>
  <c r="F1554" i="7" s="1"/>
  <c r="F1555" i="7" s="1"/>
  <c r="F1556" i="7" s="1"/>
  <c r="F1557" i="7" s="1"/>
  <c r="F1558" i="7" s="1"/>
  <c r="F1559" i="7" s="1"/>
  <c r="F1560" i="7" s="1"/>
  <c r="F1561" i="7" s="1"/>
  <c r="F1562" i="7" s="1"/>
  <c r="F1563" i="7" s="1"/>
  <c r="F1564" i="7" s="1"/>
  <c r="F1565" i="7" s="1"/>
  <c r="F1566" i="7" s="1"/>
  <c r="F1567" i="7" s="1"/>
  <c r="F1568" i="7" s="1"/>
  <c r="F1569" i="7" s="1"/>
  <c r="F1570" i="7" s="1"/>
  <c r="F1571" i="7" s="1"/>
  <c r="F1572" i="7" s="1"/>
  <c r="F1573" i="7" s="1"/>
  <c r="F1574" i="7" s="1"/>
  <c r="F1575" i="7" s="1"/>
  <c r="F1576" i="7" s="1"/>
  <c r="F1577" i="7" s="1"/>
  <c r="F1578" i="7" s="1"/>
  <c r="F1579" i="7" s="1"/>
  <c r="F1580" i="7" s="1"/>
  <c r="F1581" i="7" s="1"/>
  <c r="B6" i="7"/>
  <c r="B7" i="7"/>
  <c r="B8" i="7"/>
  <c r="B5" i="7"/>
  <c r="B4" i="7"/>
  <c r="B129" i="4"/>
  <c r="B128" i="4"/>
  <c r="B5" i="3"/>
  <c r="B117" i="4" a="1"/>
  <c r="B117" i="4" s="1"/>
  <c r="B113" i="4" a="1"/>
  <c r="B113" i="4" s="1"/>
  <c r="B56" i="4"/>
  <c r="B3" i="3"/>
  <c r="B4" i="3"/>
  <c r="B2" i="3"/>
  <c r="B3" i="1"/>
  <c r="B12" i="1" s="1"/>
  <c r="B87" i="4" a="1"/>
  <c r="B87" i="4" s="1"/>
  <c r="B49" i="4"/>
  <c r="B53" i="4"/>
  <c r="B54" i="4" s="1"/>
  <c r="B52" i="4" a="1"/>
  <c r="B52" i="4" s="1"/>
  <c r="B46" i="4"/>
  <c r="B47" i="4" s="1"/>
  <c r="B45" i="4" a="1"/>
  <c r="B45" i="4" s="1"/>
  <c r="B91" i="4" a="1"/>
  <c r="B91" i="4" s="1"/>
  <c r="B62" i="4"/>
  <c r="B59" i="4"/>
  <c r="B63" i="4" s="1"/>
  <c r="B13" i="1" l="1"/>
  <c r="B19" i="3"/>
  <c r="B22" i="3" s="1"/>
  <c r="B55" i="4"/>
  <c r="B65" i="4" s="1"/>
  <c r="B48" i="4"/>
  <c r="B64" i="4" s="1"/>
  <c r="B15" i="3" l="1"/>
  <c r="B16" i="3" s="1"/>
  <c r="D4" i="4"/>
  <c r="B17" i="1"/>
  <c r="B14" i="1"/>
  <c r="B125" i="4"/>
  <c r="H1009" i="1"/>
  <c r="H1275" i="1"/>
  <c r="H1285" i="1"/>
  <c r="H1295" i="1"/>
  <c r="H1305" i="1"/>
  <c r="H1315" i="1"/>
  <c r="H1325" i="1"/>
  <c r="H1335" i="1"/>
  <c r="H1345" i="1"/>
  <c r="H1355" i="1"/>
  <c r="H1365" i="1"/>
  <c r="H1375" i="1"/>
  <c r="H1385" i="1"/>
  <c r="H1395" i="1"/>
  <c r="H1405" i="1"/>
  <c r="H1415" i="1"/>
  <c r="H1425" i="1"/>
  <c r="H1435" i="1"/>
  <c r="H1445" i="1"/>
  <c r="H1455" i="1"/>
  <c r="H1465" i="1"/>
  <c r="H1475" i="1"/>
  <c r="H1485" i="1"/>
  <c r="H1495" i="1"/>
  <c r="H1505" i="1"/>
  <c r="H1515" i="1"/>
  <c r="H1525" i="1"/>
  <c r="H1535" i="1"/>
  <c r="H1545" i="1"/>
  <c r="H1555" i="1"/>
  <c r="H1565" i="1"/>
  <c r="H1575" i="1"/>
  <c r="H1083" i="1"/>
  <c r="H1093" i="1"/>
  <c r="H1103" i="1"/>
  <c r="H1113" i="1"/>
  <c r="H1123" i="1"/>
  <c r="H1133" i="1"/>
  <c r="H1143" i="1"/>
  <c r="H1153" i="1"/>
  <c r="H1163" i="1"/>
  <c r="H1173" i="1"/>
  <c r="H1183" i="1"/>
  <c r="H1193" i="1"/>
  <c r="H1203" i="1"/>
  <c r="H1213" i="1"/>
  <c r="H1223" i="1"/>
  <c r="H1233" i="1"/>
  <c r="H1243" i="1"/>
  <c r="H1253" i="1"/>
  <c r="H1263" i="1"/>
  <c r="H1273" i="1"/>
  <c r="H1061" i="1"/>
  <c r="H1071" i="1"/>
  <c r="H1278" i="1"/>
  <c r="H1288" i="1"/>
  <c r="H1298" i="1"/>
  <c r="H1308" i="1"/>
  <c r="H1318" i="1"/>
  <c r="H1328" i="1"/>
  <c r="H1338" i="1"/>
  <c r="H1348" i="1"/>
  <c r="H1358" i="1"/>
  <c r="H1368" i="1"/>
  <c r="H1378" i="1"/>
  <c r="H1388" i="1"/>
  <c r="H1398" i="1"/>
  <c r="H1408" i="1"/>
  <c r="H1418" i="1"/>
  <c r="H1428" i="1"/>
  <c r="H1438" i="1"/>
  <c r="H1448" i="1"/>
  <c r="H1458" i="1"/>
  <c r="H1468" i="1"/>
  <c r="H1478" i="1"/>
  <c r="H1488" i="1"/>
  <c r="H1498" i="1"/>
  <c r="H1508" i="1"/>
  <c r="H1518" i="1"/>
  <c r="H1528" i="1"/>
  <c r="H1538" i="1"/>
  <c r="H1548" i="1"/>
  <c r="H1558" i="1"/>
  <c r="H1568" i="1"/>
  <c r="H1578" i="1"/>
  <c r="H1086" i="1"/>
  <c r="H1096" i="1"/>
  <c r="H1106" i="1"/>
  <c r="H1116" i="1"/>
  <c r="H1126" i="1"/>
  <c r="H1136" i="1"/>
  <c r="H1146" i="1"/>
  <c r="H1156" i="1"/>
  <c r="H1166" i="1"/>
  <c r="H1176" i="1"/>
  <c r="H1186" i="1"/>
  <c r="H1196" i="1"/>
  <c r="H1206" i="1"/>
  <c r="H1216" i="1"/>
  <c r="H1226" i="1"/>
  <c r="H1236" i="1"/>
  <c r="H1246" i="1"/>
  <c r="H1256" i="1"/>
  <c r="H1266" i="1"/>
  <c r="H1073" i="1"/>
  <c r="H1064" i="1"/>
  <c r="H1056" i="1"/>
  <c r="H1279" i="1"/>
  <c r="H1289" i="1"/>
  <c r="H1299" i="1"/>
  <c r="H1309" i="1"/>
  <c r="H1319" i="1"/>
  <c r="H1329" i="1"/>
  <c r="H1339" i="1"/>
  <c r="H1349" i="1"/>
  <c r="H1359" i="1"/>
  <c r="H1369" i="1"/>
  <c r="H1379" i="1"/>
  <c r="H1389" i="1"/>
  <c r="H1399" i="1"/>
  <c r="H1409" i="1"/>
  <c r="H1419" i="1"/>
  <c r="H1429" i="1"/>
  <c r="H1439" i="1"/>
  <c r="H1449" i="1"/>
  <c r="H1459" i="1"/>
  <c r="H1469" i="1"/>
  <c r="H1479" i="1"/>
  <c r="H1489" i="1"/>
  <c r="H1499" i="1"/>
  <c r="H1509" i="1"/>
  <c r="H1519" i="1"/>
  <c r="H1529" i="1"/>
  <c r="H1539" i="1"/>
  <c r="H1549" i="1"/>
  <c r="H1559" i="1"/>
  <c r="H1569" i="1"/>
  <c r="H1579" i="1"/>
  <c r="H1087" i="1"/>
  <c r="H1097" i="1"/>
  <c r="H1276" i="1"/>
  <c r="H1347" i="1"/>
  <c r="H1376" i="1"/>
  <c r="H1447" i="1"/>
  <c r="H1476" i="1"/>
  <c r="H1503" i="1"/>
  <c r="H1543" i="1"/>
  <c r="H1081" i="1"/>
  <c r="H1108" i="1"/>
  <c r="H1120" i="1"/>
  <c r="H1132" i="1"/>
  <c r="H1145" i="1"/>
  <c r="H1158" i="1"/>
  <c r="H1170" i="1"/>
  <c r="H1182" i="1"/>
  <c r="H1195" i="1"/>
  <c r="H1208" i="1"/>
  <c r="H1220" i="1"/>
  <c r="H1232" i="1"/>
  <c r="H1245" i="1"/>
  <c r="H1258" i="1"/>
  <c r="H1270" i="1"/>
  <c r="H1079" i="1"/>
  <c r="H1055" i="1"/>
  <c r="H1306" i="1"/>
  <c r="H1377" i="1"/>
  <c r="H1406" i="1"/>
  <c r="H1477" i="1"/>
  <c r="H1504" i="1"/>
  <c r="H1221" i="1"/>
  <c r="H1259" i="1"/>
  <c r="H1271" i="1"/>
  <c r="H1057" i="1"/>
  <c r="H1291" i="1"/>
  <c r="H1304" i="1"/>
  <c r="H1320" i="1"/>
  <c r="H1333" i="1"/>
  <c r="H1362" i="1"/>
  <c r="H1391" i="1"/>
  <c r="H1404" i="1"/>
  <c r="H1420" i="1"/>
  <c r="H1433" i="1"/>
  <c r="H1462" i="1"/>
  <c r="H1491" i="1"/>
  <c r="H1517" i="1"/>
  <c r="H1531" i="1"/>
  <c r="H1557" i="1"/>
  <c r="H1571" i="1"/>
  <c r="H1095" i="1"/>
  <c r="H1277" i="1"/>
  <c r="H1544" i="1"/>
  <c r="H1082" i="1"/>
  <c r="H1109" i="1"/>
  <c r="H1121" i="1"/>
  <c r="H1134" i="1"/>
  <c r="H1147" i="1"/>
  <c r="H1159" i="1"/>
  <c r="H1171" i="1"/>
  <c r="H1184" i="1"/>
  <c r="H1197" i="1"/>
  <c r="H1209" i="1"/>
  <c r="H1234" i="1"/>
  <c r="H1247" i="1"/>
  <c r="H1281" i="1"/>
  <c r="H1294" i="1"/>
  <c r="H1310" i="1"/>
  <c r="H1323" i="1"/>
  <c r="H1352" i="1"/>
  <c r="H1381" i="1"/>
  <c r="H1394" i="1"/>
  <c r="H1410" i="1"/>
  <c r="H1423" i="1"/>
  <c r="H1452" i="1"/>
  <c r="H1481" i="1"/>
  <c r="H1494" i="1"/>
  <c r="H1534" i="1"/>
  <c r="H1574" i="1"/>
  <c r="H1296" i="1"/>
  <c r="H1367" i="1"/>
  <c r="H1396" i="1"/>
  <c r="H1467" i="1"/>
  <c r="H1522" i="1"/>
  <c r="H1562" i="1"/>
  <c r="H1100" i="1"/>
  <c r="H1112" i="1"/>
  <c r="H1125" i="1"/>
  <c r="H1138" i="1"/>
  <c r="H1150" i="1"/>
  <c r="H1162" i="1"/>
  <c r="H1175" i="1"/>
  <c r="H1188" i="1"/>
  <c r="H1200" i="1"/>
  <c r="H1212" i="1"/>
  <c r="H1225" i="1"/>
  <c r="H1238" i="1"/>
  <c r="H1250" i="1"/>
  <c r="H1262" i="1"/>
  <c r="H1072" i="1"/>
  <c r="H1066" i="1"/>
  <c r="H1060" i="1"/>
  <c r="H1282" i="1"/>
  <c r="H1311" i="1"/>
  <c r="H1324" i="1"/>
  <c r="H1340" i="1"/>
  <c r="H1317" i="1"/>
  <c r="H1397" i="1"/>
  <c r="H1414" i="1"/>
  <c r="H1434" i="1"/>
  <c r="H1472" i="1"/>
  <c r="H1492" i="1"/>
  <c r="H1563" i="1"/>
  <c r="H1114" i="1"/>
  <c r="H1164" i="1"/>
  <c r="H1214" i="1"/>
  <c r="H1264" i="1"/>
  <c r="H1564" i="1"/>
  <c r="H1115" i="1"/>
  <c r="H1215" i="1"/>
  <c r="H1265" i="1"/>
  <c r="H1058" i="1"/>
  <c r="H1342" i="1"/>
  <c r="H1400" i="1"/>
  <c r="H1417" i="1"/>
  <c r="H1437" i="1"/>
  <c r="H1512" i="1"/>
  <c r="H1547" i="1"/>
  <c r="H1080" i="1"/>
  <c r="H1099" i="1"/>
  <c r="H1131" i="1"/>
  <c r="H1149" i="1"/>
  <c r="H1181" i="1"/>
  <c r="H1199" i="1"/>
  <c r="H1231" i="1"/>
  <c r="H1249" i="1"/>
  <c r="H1474" i="1"/>
  <c r="H1167" i="1"/>
  <c r="H1300" i="1"/>
  <c r="H1341" i="1"/>
  <c r="H1416" i="1"/>
  <c r="H1436" i="1"/>
  <c r="H1454" i="1"/>
  <c r="H1511" i="1"/>
  <c r="H1527" i="1"/>
  <c r="H1546" i="1"/>
  <c r="H1581" i="1"/>
  <c r="H1098" i="1"/>
  <c r="H1130" i="1"/>
  <c r="H1148" i="1"/>
  <c r="H1180" i="1"/>
  <c r="H1198" i="1"/>
  <c r="H1230" i="1"/>
  <c r="H1248" i="1"/>
  <c r="H1077" i="1"/>
  <c r="H1280" i="1"/>
  <c r="H1321" i="1"/>
  <c r="H1360" i="1"/>
  <c r="H1380" i="1"/>
  <c r="H1456" i="1"/>
  <c r="H1473" i="1"/>
  <c r="H1493" i="1"/>
  <c r="H1165" i="1"/>
  <c r="H1301" i="1"/>
  <c r="H1078" i="1"/>
  <c r="H1322" i="1"/>
  <c r="H1361" i="1"/>
  <c r="H1382" i="1"/>
  <c r="H1440" i="1"/>
  <c r="H1457" i="1"/>
  <c r="H1496" i="1"/>
  <c r="H1530" i="1"/>
  <c r="H1550" i="1"/>
  <c r="H1566" i="1"/>
  <c r="H1117" i="1"/>
  <c r="H1217" i="1"/>
  <c r="H1267" i="1"/>
  <c r="H1059" i="1"/>
  <c r="H1307" i="1"/>
  <c r="H1386" i="1"/>
  <c r="H1403" i="1"/>
  <c r="H1424" i="1"/>
  <c r="H1461" i="1"/>
  <c r="H1482" i="1"/>
  <c r="H1500" i="1"/>
  <c r="H1516" i="1"/>
  <c r="H1536" i="1"/>
  <c r="H1570" i="1"/>
  <c r="H1088" i="1"/>
  <c r="H1104" i="1"/>
  <c r="H1154" i="1"/>
  <c r="H1204" i="1"/>
  <c r="H1254" i="1"/>
  <c r="H1065" i="1"/>
  <c r="H1287" i="1"/>
  <c r="H1350" i="1"/>
  <c r="H1426" i="1"/>
  <c r="H1443" i="1"/>
  <c r="H1463" i="1"/>
  <c r="H1553" i="1"/>
  <c r="H1572" i="1"/>
  <c r="H1139" i="1"/>
  <c r="H1189" i="1"/>
  <c r="H1239" i="1"/>
  <c r="H1330" i="1"/>
  <c r="H1370" i="1"/>
  <c r="H1387" i="1"/>
  <c r="H1407" i="1"/>
  <c r="H1483" i="1"/>
  <c r="H1501" i="1"/>
  <c r="H1520" i="1"/>
  <c r="H1537" i="1"/>
  <c r="H1089" i="1"/>
  <c r="H1105" i="1"/>
  <c r="H1122" i="1"/>
  <c r="H1155" i="1"/>
  <c r="H1172" i="1"/>
  <c r="H1205" i="1"/>
  <c r="H1222" i="1"/>
  <c r="H1255" i="1"/>
  <c r="H1283" i="1"/>
  <c r="H1351" i="1"/>
  <c r="H1412" i="1"/>
  <c r="H1444" i="1"/>
  <c r="H1506" i="1"/>
  <c r="H1151" i="1"/>
  <c r="H1260" i="1"/>
  <c r="H1353" i="1"/>
  <c r="H1068" i="1"/>
  <c r="H1421" i="1"/>
  <c r="H1451" i="1"/>
  <c r="H1268" i="1"/>
  <c r="H1292" i="1"/>
  <c r="H1314" i="1"/>
  <c r="H1383" i="1"/>
  <c r="H1446" i="1"/>
  <c r="H1567" i="1"/>
  <c r="H1092" i="1"/>
  <c r="H1124" i="1"/>
  <c r="H1178" i="1"/>
  <c r="H1207" i="1"/>
  <c r="H1235" i="1"/>
  <c r="H1067" i="1"/>
  <c r="H1316" i="1"/>
  <c r="H1573" i="1"/>
  <c r="H1211" i="1"/>
  <c r="H1284" i="1"/>
  <c r="H1356" i="1"/>
  <c r="H1128" i="1"/>
  <c r="H1514" i="1"/>
  <c r="H1241" i="1"/>
  <c r="H1286" i="1"/>
  <c r="H1484" i="1"/>
  <c r="H1069" i="1"/>
  <c r="H1327" i="1"/>
  <c r="H1357" i="1"/>
  <c r="H1392" i="1"/>
  <c r="H1453" i="1"/>
  <c r="H1129" i="1"/>
  <c r="H1187" i="1"/>
  <c r="H1269" i="1"/>
  <c r="H1070" i="1"/>
  <c r="H1293" i="1"/>
  <c r="H1363" i="1"/>
  <c r="H1427" i="1"/>
  <c r="H1487" i="1"/>
  <c r="H1577" i="1"/>
  <c r="H1160" i="1"/>
  <c r="H1190" i="1"/>
  <c r="H1242" i="1"/>
  <c r="H1272" i="1"/>
  <c r="H1331" i="1"/>
  <c r="H1393" i="1"/>
  <c r="H1521" i="1"/>
  <c r="H1551" i="1"/>
  <c r="H1107" i="1"/>
  <c r="H1135" i="1"/>
  <c r="H1218" i="1"/>
  <c r="H1054" i="1"/>
  <c r="H1297" i="1"/>
  <c r="H1364" i="1"/>
  <c r="H1460" i="1"/>
  <c r="H1161" i="1"/>
  <c r="H1191" i="1"/>
  <c r="H1244" i="1"/>
  <c r="H1366" i="1"/>
  <c r="H1490" i="1"/>
  <c r="H1523" i="1"/>
  <c r="H1552" i="1"/>
  <c r="H1580" i="1"/>
  <c r="H1219" i="1"/>
  <c r="H1302" i="1"/>
  <c r="H1251" i="1"/>
  <c r="H1466" i="1"/>
  <c r="H1402" i="1"/>
  <c r="H1111" i="1"/>
  <c r="H1141" i="1"/>
  <c r="H1252" i="1"/>
  <c r="H1075" i="1"/>
  <c r="H1085" i="1"/>
  <c r="H1169" i="1"/>
  <c r="H1470" i="1"/>
  <c r="H1532" i="1"/>
  <c r="H1312" i="1"/>
  <c r="H1502" i="1"/>
  <c r="H1174" i="1"/>
  <c r="H1062" i="1"/>
  <c r="H1411" i="1"/>
  <c r="H1346" i="1"/>
  <c r="H1119" i="1"/>
  <c r="H1063" i="1"/>
  <c r="H1480" i="1"/>
  <c r="H1261" i="1"/>
  <c r="H1510" i="1"/>
  <c r="H1127" i="1"/>
  <c r="H1354" i="1"/>
  <c r="H1541" i="1"/>
  <c r="H1290" i="1"/>
  <c r="H1185" i="1"/>
  <c r="H1422" i="1"/>
  <c r="H1542" i="1"/>
  <c r="H1274" i="1"/>
  <c r="H1332" i="1"/>
  <c r="H1137" i="1"/>
  <c r="H1334" i="1"/>
  <c r="H1401" i="1"/>
  <c r="H1110" i="1"/>
  <c r="H1192" i="1"/>
  <c r="H1074" i="1"/>
  <c r="H1371" i="1"/>
  <c r="H1431" i="1"/>
  <c r="H1524" i="1"/>
  <c r="H1224" i="1"/>
  <c r="H1303" i="1"/>
  <c r="H1556" i="1"/>
  <c r="H1194" i="1"/>
  <c r="H1337" i="1"/>
  <c r="H1227" i="1"/>
  <c r="H1343" i="1"/>
  <c r="H1560" i="1"/>
  <c r="H1201" i="1"/>
  <c r="H1076" i="1"/>
  <c r="H1090" i="1"/>
  <c r="H1257" i="1"/>
  <c r="H1344" i="1"/>
  <c r="H1471" i="1"/>
  <c r="H1561" i="1"/>
  <c r="H1144" i="1"/>
  <c r="H1313" i="1"/>
  <c r="H1091" i="1"/>
  <c r="H1177" i="1"/>
  <c r="H1413" i="1"/>
  <c r="H1540" i="1"/>
  <c r="H1179" i="1"/>
  <c r="H1101" i="1"/>
  <c r="H1430" i="1"/>
  <c r="H1464" i="1"/>
  <c r="H1554" i="1"/>
  <c r="H1140" i="1"/>
  <c r="H1336" i="1"/>
  <c r="H1497" i="1"/>
  <c r="H1084" i="1"/>
  <c r="H1168" i="1"/>
  <c r="H1372" i="1"/>
  <c r="H1432" i="1"/>
  <c r="H1526" i="1"/>
  <c r="H1142" i="1"/>
  <c r="H1373" i="1"/>
  <c r="H1441" i="1"/>
  <c r="H1118" i="1"/>
  <c r="H1228" i="1"/>
  <c r="H1533" i="1"/>
  <c r="H1374" i="1"/>
  <c r="H1442" i="1"/>
  <c r="H1229" i="1"/>
  <c r="H1507" i="1"/>
  <c r="H1152" i="1"/>
  <c r="H1384" i="1"/>
  <c r="H1450" i="1"/>
  <c r="H1094" i="1"/>
  <c r="H1237" i="1"/>
  <c r="H1513" i="1"/>
  <c r="H1240" i="1"/>
  <c r="H1326" i="1"/>
  <c r="H1486" i="1"/>
  <c r="H1576" i="1"/>
  <c r="H1202" i="1"/>
  <c r="H1210" i="1"/>
  <c r="H1157" i="1"/>
  <c r="H1390" i="1"/>
  <c r="H1102" i="1"/>
  <c r="B66" i="4"/>
  <c r="B12" i="3" s="1"/>
  <c r="H269" i="1"/>
  <c r="H152" i="1"/>
  <c r="H1026" i="1"/>
  <c r="H614" i="1"/>
  <c r="H232" i="1"/>
  <c r="H668" i="1"/>
  <c r="H104" i="1"/>
  <c r="H404" i="1"/>
  <c r="H126" i="1"/>
  <c r="H755" i="1"/>
  <c r="H191" i="1"/>
  <c r="H365" i="1"/>
  <c r="H163" i="1"/>
  <c r="H665" i="1"/>
  <c r="H119" i="1"/>
  <c r="H281" i="1"/>
  <c r="H748" i="1"/>
  <c r="H498" i="1"/>
  <c r="H678" i="1"/>
  <c r="H515" i="1"/>
  <c r="H702" i="1"/>
  <c r="H1006" i="1"/>
  <c r="H331" i="1"/>
  <c r="H357" i="1"/>
  <c r="H323" i="1"/>
  <c r="H418" i="1"/>
  <c r="H746" i="1"/>
  <c r="H183" i="1"/>
  <c r="H298" i="1"/>
  <c r="H173" i="1"/>
  <c r="H291" i="1"/>
  <c r="H50" i="1"/>
  <c r="H225" i="1"/>
  <c r="H317" i="1"/>
  <c r="H619" i="1"/>
  <c r="H475" i="1"/>
  <c r="H658" i="1"/>
  <c r="H734" i="1"/>
  <c r="H922" i="1"/>
  <c r="H351" i="1"/>
  <c r="H380" i="1"/>
  <c r="H376" i="1"/>
  <c r="H506" i="1"/>
  <c r="H733" i="1"/>
  <c r="H182" i="1"/>
  <c r="H308" i="1"/>
  <c r="H289" i="1"/>
  <c r="H314" i="1"/>
  <c r="H88" i="1"/>
  <c r="H246" i="1"/>
  <c r="H166" i="1"/>
  <c r="H597" i="1"/>
  <c r="H373" i="1"/>
  <c r="H698" i="1"/>
  <c r="H769" i="1"/>
  <c r="H844" i="1"/>
  <c r="H361" i="1"/>
  <c r="H393" i="1"/>
  <c r="H415" i="1"/>
  <c r="H555" i="1"/>
  <c r="H704" i="1"/>
  <c r="H35" i="1"/>
  <c r="H318" i="1"/>
  <c r="H312" i="1"/>
  <c r="H109" i="1"/>
  <c r="H117" i="1"/>
  <c r="H263" i="1"/>
  <c r="H284" i="1"/>
  <c r="H816" i="1"/>
  <c r="H364" i="1"/>
  <c r="H728" i="1"/>
  <c r="H805" i="1"/>
  <c r="H794" i="1"/>
  <c r="H421" i="1"/>
  <c r="H416" i="1"/>
  <c r="H516" i="1"/>
  <c r="H578" i="1"/>
  <c r="H690" i="1"/>
  <c r="H176" i="1"/>
  <c r="H19" i="1"/>
  <c r="H10" i="1"/>
  <c r="H180" i="1"/>
  <c r="H244" i="1"/>
  <c r="H282" i="1"/>
  <c r="H319" i="1"/>
  <c r="H586" i="1"/>
  <c r="H363" i="1"/>
  <c r="H764" i="1"/>
  <c r="H843" i="1"/>
  <c r="H750" i="1"/>
  <c r="H461" i="1"/>
  <c r="H439" i="1"/>
  <c r="H576" i="1"/>
  <c r="H602" i="1"/>
  <c r="H677" i="1"/>
  <c r="H292" i="1"/>
  <c r="H39" i="1"/>
  <c r="H215" i="1"/>
  <c r="H243" i="1"/>
  <c r="H261" i="1"/>
  <c r="H26" i="1"/>
  <c r="H30" i="1"/>
  <c r="H988" i="1"/>
  <c r="H870" i="1"/>
  <c r="H572" i="1"/>
  <c r="H971" i="1"/>
  <c r="H696" i="1"/>
  <c r="H430" i="1"/>
  <c r="H348" i="1"/>
  <c r="H75" i="1"/>
  <c r="H202" i="1"/>
  <c r="H131" i="1"/>
  <c r="H51" i="1"/>
  <c r="H283" i="1"/>
  <c r="H894" i="1"/>
  <c r="H903" i="1"/>
  <c r="H512" i="1"/>
  <c r="H1021" i="1"/>
  <c r="H707" i="1"/>
  <c r="H444" i="1"/>
  <c r="H332" i="1"/>
  <c r="H4" i="1"/>
  <c r="H214" i="1"/>
  <c r="H154" i="1"/>
  <c r="H89" i="1"/>
  <c r="H95" i="1"/>
  <c r="H760" i="1"/>
  <c r="H783" i="1"/>
  <c r="H969" i="1"/>
  <c r="H460" i="1"/>
  <c r="H321" i="1"/>
  <c r="H718" i="1"/>
  <c r="H543" i="1"/>
  <c r="H787" i="1"/>
  <c r="H273" i="1"/>
  <c r="H226" i="1"/>
  <c r="H177" i="1"/>
  <c r="H295" i="1"/>
  <c r="H130" i="1"/>
  <c r="H635" i="1"/>
  <c r="H579" i="1"/>
  <c r="H934" i="1"/>
  <c r="H1053" i="1"/>
  <c r="H471" i="1"/>
  <c r="H785" i="1"/>
  <c r="H905" i="1"/>
  <c r="H965" i="1"/>
  <c r="H234" i="1"/>
  <c r="H300" i="1"/>
  <c r="H303" i="1"/>
  <c r="H52" i="1"/>
  <c r="H165" i="1"/>
  <c r="H525" i="1"/>
  <c r="H898" i="1"/>
  <c r="H443" i="1"/>
  <c r="H967" i="1"/>
  <c r="H481" i="1"/>
  <c r="H818" i="1"/>
  <c r="H339" i="1"/>
  <c r="H827" i="1"/>
  <c r="H74" i="1"/>
  <c r="H55" i="1"/>
  <c r="H15" i="1"/>
  <c r="H224" i="1"/>
  <c r="H193" i="1"/>
  <c r="H945" i="1"/>
  <c r="H820" i="1"/>
  <c r="H593" i="1"/>
  <c r="H714" i="1"/>
  <c r="H491" i="1"/>
  <c r="H829" i="1"/>
  <c r="H353" i="1"/>
  <c r="H799" i="1"/>
  <c r="B16" i="1"/>
  <c r="H81" i="1"/>
  <c r="H41" i="1"/>
  <c r="H245" i="1"/>
  <c r="H211" i="1"/>
  <c r="H942" i="1"/>
  <c r="H736" i="1"/>
  <c r="H628" i="1"/>
  <c r="H510" i="1"/>
  <c r="H531" i="1"/>
  <c r="H840" i="1"/>
  <c r="H378" i="1"/>
  <c r="H772" i="1"/>
  <c r="H809" i="1"/>
  <c r="H897" i="1"/>
  <c r="H700" i="1"/>
  <c r="H712" i="1"/>
  <c r="H721" i="1"/>
  <c r="H863" i="1"/>
  <c r="H328" i="1"/>
  <c r="H745" i="1"/>
  <c r="H118" i="1"/>
  <c r="H227" i="1"/>
  <c r="H16" i="1"/>
  <c r="H53" i="1"/>
  <c r="H145" i="1"/>
  <c r="H692" i="1"/>
  <c r="H757" i="1"/>
  <c r="H768" i="1"/>
  <c r="H656" i="1"/>
  <c r="H741" i="1"/>
  <c r="H874" i="1"/>
  <c r="H446" i="1"/>
  <c r="H703" i="1"/>
  <c r="H138" i="1"/>
  <c r="H241" i="1"/>
  <c r="H48" i="1"/>
  <c r="H91" i="1"/>
  <c r="H320" i="1"/>
  <c r="H583" i="1"/>
  <c r="H719" i="1"/>
  <c r="H804" i="1"/>
  <c r="H836" i="1"/>
  <c r="H751" i="1"/>
  <c r="H918" i="1"/>
  <c r="H545" i="1"/>
  <c r="H606" i="1"/>
  <c r="H158" i="1"/>
  <c r="H301" i="1"/>
  <c r="H77" i="1"/>
  <c r="H123" i="1"/>
  <c r="H73" i="1"/>
  <c r="H632" i="1"/>
  <c r="H675" i="1"/>
  <c r="H935" i="1"/>
  <c r="H793" i="1"/>
  <c r="H761" i="1"/>
  <c r="H929" i="1"/>
  <c r="H860" i="1"/>
  <c r="H502" i="1"/>
  <c r="H278" i="1"/>
  <c r="H34" i="1"/>
  <c r="H115" i="1"/>
  <c r="H92" i="1"/>
  <c r="H221" i="1"/>
  <c r="H1025" i="1"/>
  <c r="H617" i="1"/>
  <c r="H410" i="1"/>
  <c r="H550" i="1"/>
  <c r="H821" i="1"/>
  <c r="H369" i="1"/>
  <c r="H884" i="1"/>
  <c r="H487" i="1"/>
  <c r="H288" i="1"/>
  <c r="H57" i="1"/>
  <c r="H147" i="1"/>
  <c r="H190" i="1"/>
  <c r="H142" i="1"/>
  <c r="H489" i="1"/>
  <c r="H356" i="1"/>
  <c r="H567" i="1"/>
  <c r="H505" i="1"/>
  <c r="H861" i="1"/>
  <c r="H669" i="1"/>
  <c r="H1013" i="1"/>
  <c r="H389" i="1"/>
  <c r="H59" i="1"/>
  <c r="H83" i="1"/>
  <c r="H184" i="1"/>
  <c r="H61" i="1"/>
  <c r="H137" i="1"/>
  <c r="H932" i="1"/>
  <c r="H756" i="1"/>
  <c r="H385" i="1"/>
  <c r="H449" i="1"/>
  <c r="H901" i="1"/>
  <c r="H693" i="1"/>
  <c r="H1039" i="1"/>
  <c r="H358" i="1"/>
  <c r="H79" i="1"/>
  <c r="H129" i="1"/>
  <c r="H222" i="1"/>
  <c r="H93" i="1"/>
  <c r="H305" i="1"/>
  <c r="H127" i="1"/>
  <c r="H392" i="1"/>
  <c r="H247" i="1"/>
  <c r="H715" i="1"/>
  <c r="H197" i="1"/>
  <c r="H390" i="1"/>
  <c r="H160" i="1"/>
  <c r="H419" i="1"/>
  <c r="H139" i="1"/>
  <c r="H997" i="1"/>
  <c r="H125" i="1"/>
  <c r="H845" i="1"/>
  <c r="H838" i="1"/>
  <c r="H99" i="1"/>
  <c r="H852" i="1"/>
  <c r="H802" i="1"/>
  <c r="H262" i="1"/>
  <c r="H122" i="1"/>
  <c r="H674" i="1"/>
  <c r="H22" i="1"/>
  <c r="H69" i="1"/>
  <c r="H607" i="1"/>
  <c r="H465" i="1"/>
  <c r="H277" i="1"/>
  <c r="H157" i="1"/>
  <c r="H1041" i="1"/>
  <c r="H355" i="1"/>
  <c r="H49" i="1"/>
  <c r="H212" i="1"/>
  <c r="H961" i="1"/>
  <c r="H978" i="1"/>
  <c r="H17" i="1"/>
  <c r="H285" i="1"/>
  <c r="H911" i="1"/>
  <c r="H426" i="1"/>
  <c r="H260" i="1"/>
  <c r="H44" i="1"/>
  <c r="H541" i="1"/>
  <c r="H582" i="1"/>
  <c r="H309" i="1"/>
  <c r="H167" i="1"/>
  <c r="H653" i="1"/>
  <c r="H990" i="1"/>
  <c r="H256" i="1"/>
  <c r="H293" i="1"/>
  <c r="H758" i="1"/>
  <c r="H340" i="1"/>
  <c r="H486" i="1"/>
  <c r="H304" i="1"/>
  <c r="H108" i="1"/>
  <c r="H383" i="1"/>
  <c r="H605" i="1"/>
  <c r="H724" i="1"/>
  <c r="H45" i="1"/>
  <c r="H13" i="1"/>
  <c r="H682" i="1"/>
  <c r="H879" i="1"/>
  <c r="H727" i="1"/>
  <c r="H114" i="1"/>
  <c r="H302" i="1"/>
  <c r="H778" i="1"/>
  <c r="H397" i="1"/>
  <c r="H188" i="1"/>
  <c r="H279" i="1"/>
  <c r="H998" i="1"/>
  <c r="H1050" i="1"/>
  <c r="H857" i="1"/>
  <c r="H587" i="1"/>
  <c r="H42" i="1"/>
  <c r="H950" i="1"/>
  <c r="H1036" i="1"/>
  <c r="H326" i="1"/>
  <c r="H337" i="1"/>
  <c r="H618" i="1"/>
  <c r="H731" i="1"/>
  <c r="H916" i="1"/>
  <c r="H959" i="1"/>
  <c r="H600" i="1"/>
  <c r="H972" i="1"/>
  <c r="H1014" i="1"/>
  <c r="H580" i="1"/>
  <c r="H786" i="1"/>
  <c r="H1030" i="1"/>
  <c r="H909" i="1"/>
  <c r="H533" i="1"/>
  <c r="H255" i="1"/>
  <c r="H11" i="1"/>
  <c r="H259" i="1"/>
  <c r="H38" i="1"/>
  <c r="H43" i="1"/>
  <c r="H456" i="1"/>
  <c r="H989" i="1"/>
  <c r="H835" i="1"/>
  <c r="H327" i="1"/>
  <c r="H485" i="1"/>
  <c r="H711" i="1"/>
  <c r="H396" i="1"/>
  <c r="H1049" i="1"/>
  <c r="H527" i="1"/>
  <c r="H904" i="1"/>
  <c r="H413" i="1"/>
  <c r="H738" i="1"/>
  <c r="H992" i="1"/>
  <c r="H394" i="1"/>
  <c r="H249" i="1"/>
  <c r="H18" i="1"/>
  <c r="H235" i="1"/>
  <c r="H488" i="1"/>
  <c r="H966" i="1"/>
  <c r="H613" i="1"/>
  <c r="H428" i="1"/>
  <c r="H474" i="1"/>
  <c r="H691" i="1"/>
  <c r="H448" i="1"/>
  <c r="H509" i="1"/>
  <c r="H344" i="1"/>
  <c r="H872" i="1"/>
  <c r="H464" i="1"/>
  <c r="H777" i="1"/>
  <c r="H429" i="1"/>
  <c r="H537" i="1"/>
  <c r="H231" i="1"/>
  <c r="H265" i="1"/>
  <c r="H209" i="1"/>
  <c r="H236" i="1"/>
  <c r="H649" i="1"/>
  <c r="H943" i="1"/>
  <c r="H589" i="1"/>
  <c r="H405" i="1"/>
  <c r="H463" i="1"/>
  <c r="H681" i="1"/>
  <c r="H500" i="1"/>
  <c r="H795" i="1"/>
  <c r="H908" i="1"/>
  <c r="H699" i="1"/>
  <c r="H514" i="1"/>
  <c r="H782" i="1"/>
  <c r="H584" i="1"/>
  <c r="H982" i="1"/>
  <c r="H205" i="1"/>
  <c r="H253" i="1"/>
  <c r="H199" i="1"/>
  <c r="H46" i="1"/>
  <c r="H251" i="1"/>
  <c r="H664" i="1"/>
  <c r="H919" i="1"/>
  <c r="H566" i="1"/>
  <c r="H382" i="1"/>
  <c r="H452" i="1"/>
  <c r="H671" i="1"/>
  <c r="H549" i="1"/>
  <c r="H1008" i="1"/>
  <c r="H876" i="1"/>
  <c r="H660" i="1"/>
  <c r="H575" i="1"/>
  <c r="H687" i="1"/>
  <c r="H694" i="1"/>
  <c r="H1019" i="1"/>
  <c r="H837" i="1"/>
  <c r="H822" i="1"/>
  <c r="H663" i="1"/>
  <c r="H213" i="1"/>
  <c r="H846" i="1"/>
  <c r="H666" i="1"/>
  <c r="H354" i="1"/>
  <c r="H824" i="1"/>
  <c r="H830" i="1"/>
  <c r="H536" i="1"/>
  <c r="H66" i="1"/>
  <c r="H223" i="1"/>
  <c r="H85" i="1"/>
  <c r="H239" i="1"/>
  <c r="H146" i="1"/>
  <c r="H1047" i="1"/>
  <c r="H767" i="1"/>
  <c r="H775" i="1"/>
  <c r="H652" i="1"/>
  <c r="H941" i="1"/>
  <c r="H338" i="1"/>
  <c r="H655" i="1"/>
  <c r="H1012" i="1"/>
  <c r="H803" i="1"/>
  <c r="H813" i="1"/>
  <c r="H143" i="1"/>
  <c r="H62" i="1"/>
  <c r="H198" i="1"/>
  <c r="H112" i="1"/>
  <c r="H325" i="1"/>
  <c r="H554" i="1"/>
  <c r="H615" i="1"/>
  <c r="H739" i="1"/>
  <c r="H1007" i="1"/>
  <c r="H640" i="1"/>
  <c r="H931" i="1"/>
  <c r="H561" i="1"/>
  <c r="H395" i="1"/>
  <c r="H710" i="1"/>
  <c r="H923" i="1"/>
  <c r="H495" i="1"/>
  <c r="H594" i="1"/>
  <c r="H766" i="1"/>
  <c r="H977" i="1"/>
  <c r="H735" i="1"/>
  <c r="H377" i="1"/>
  <c r="H624" i="1"/>
  <c r="H913" i="1"/>
  <c r="H776" i="1"/>
  <c r="H107" i="1"/>
  <c r="H447" i="1"/>
  <c r="H1034" i="1"/>
  <c r="H1052" i="1"/>
  <c r="H951" i="1"/>
  <c r="H661" i="1"/>
  <c r="H608" i="1"/>
  <c r="H800" i="1"/>
  <c r="H839" i="1"/>
  <c r="H808" i="1"/>
  <c r="H705" i="1"/>
  <c r="H307" i="1"/>
  <c r="H207" i="1"/>
  <c r="H200" i="1"/>
  <c r="H174" i="1"/>
  <c r="H248" i="1"/>
  <c r="H111" i="1"/>
  <c r="H493" i="1"/>
  <c r="H1010" i="1"/>
  <c r="H1040" i="1"/>
  <c r="H621" i="1"/>
  <c r="H886" i="1"/>
  <c r="H630" i="1"/>
  <c r="H925" i="1"/>
  <c r="H1015" i="1"/>
  <c r="H900" i="1"/>
  <c r="H937" i="1"/>
  <c r="H644" i="1"/>
  <c r="H28" i="1"/>
  <c r="H189" i="1"/>
  <c r="H186" i="1"/>
  <c r="H87" i="1"/>
  <c r="H56" i="1"/>
  <c r="H229" i="1"/>
  <c r="H5" i="1"/>
  <c r="H964" i="1"/>
  <c r="H272" i="1"/>
  <c r="H299" i="1"/>
  <c r="H161" i="1"/>
  <c r="H149" i="1"/>
  <c r="H64" i="1"/>
  <c r="H36" i="1"/>
  <c r="H33" i="1"/>
  <c r="H219" i="1"/>
  <c r="H178" i="1"/>
  <c r="H76" i="1"/>
  <c r="H113" i="1"/>
  <c r="H343" i="1"/>
  <c r="H569" i="1"/>
  <c r="H568" i="1"/>
  <c r="H928" i="1"/>
  <c r="H716" i="1"/>
  <c r="H940" i="1"/>
  <c r="H629" i="1"/>
  <c r="H921" i="1"/>
  <c r="H551" i="1"/>
  <c r="H436" i="1"/>
  <c r="H749" i="1"/>
  <c r="H960" i="1"/>
  <c r="H454" i="1"/>
  <c r="H559" i="1"/>
  <c r="H730" i="1"/>
  <c r="H360" i="1"/>
  <c r="H817" i="1"/>
  <c r="H476" i="1"/>
  <c r="H854" i="1"/>
  <c r="H435" i="1"/>
  <c r="H865" i="1"/>
  <c r="H503" i="1"/>
  <c r="H819" i="1"/>
  <c r="H407" i="1"/>
  <c r="H683" i="1"/>
  <c r="H646" i="1"/>
  <c r="H907" i="1"/>
  <c r="H596" i="1"/>
  <c r="H891" i="1"/>
  <c r="H521" i="1"/>
  <c r="H955" i="1"/>
  <c r="H880" i="1"/>
  <c r="H352" i="1"/>
  <c r="H345" i="1"/>
  <c r="H906" i="1"/>
  <c r="H626" i="1"/>
  <c r="H412" i="1"/>
  <c r="H1032" i="1"/>
  <c r="H877" i="1"/>
  <c r="H1028" i="1"/>
  <c r="H723" i="1"/>
  <c r="H679" i="1"/>
  <c r="H135" i="1"/>
  <c r="H297" i="1"/>
  <c r="H24" i="1"/>
  <c r="H21" i="1"/>
  <c r="H280" i="1"/>
  <c r="H266" i="1"/>
  <c r="H276" i="1"/>
  <c r="H140" i="1"/>
  <c r="H98" i="1"/>
  <c r="H172" i="1"/>
  <c r="H438" i="1"/>
  <c r="H535" i="1"/>
  <c r="H833" i="1"/>
  <c r="H367" i="1"/>
  <c r="H659" i="1"/>
  <c r="H623" i="1"/>
  <c r="H896" i="1"/>
  <c r="H563" i="1"/>
  <c r="H881" i="1"/>
  <c r="H511" i="1"/>
  <c r="H995" i="1"/>
  <c r="H1048" i="1"/>
  <c r="H400" i="1"/>
  <c r="H672" i="1"/>
  <c r="H873" i="1"/>
  <c r="H478" i="1"/>
  <c r="H462" i="1"/>
  <c r="H468" i="1"/>
  <c r="H425" i="1"/>
  <c r="H859" i="1"/>
  <c r="H825" i="1"/>
  <c r="H779" i="1"/>
  <c r="H68" i="1"/>
  <c r="H210" i="1"/>
  <c r="H313" i="1"/>
  <c r="H275" i="1"/>
  <c r="H267" i="1"/>
  <c r="H230" i="1"/>
  <c r="H195" i="1"/>
  <c r="H80" i="1"/>
  <c r="H58" i="1"/>
  <c r="H31" i="1"/>
  <c r="H472" i="1"/>
  <c r="H622" i="1"/>
  <c r="H888" i="1"/>
  <c r="H342" i="1"/>
  <c r="H636" i="1"/>
  <c r="H599" i="1"/>
  <c r="H885" i="1"/>
  <c r="H496" i="1"/>
  <c r="H871" i="1"/>
  <c r="H501" i="1"/>
  <c r="H1045" i="1"/>
  <c r="H609" i="1"/>
  <c r="H459" i="1"/>
  <c r="H637" i="1"/>
  <c r="H842" i="1"/>
  <c r="H1002" i="1"/>
  <c r="H513" i="1"/>
  <c r="H647" i="1"/>
  <c r="H544" i="1"/>
  <c r="H427" i="1"/>
  <c r="H1022" i="1"/>
  <c r="H866" i="1"/>
  <c r="H201" i="1"/>
  <c r="H217" i="1"/>
  <c r="H106" i="1"/>
  <c r="H150" i="1"/>
  <c r="H159" i="1"/>
  <c r="H78" i="1"/>
  <c r="H169" i="1"/>
  <c r="H374" i="1"/>
  <c r="H473" i="1"/>
  <c r="H627" i="1"/>
  <c r="H592" i="1"/>
  <c r="H987" i="1"/>
  <c r="H798" i="1"/>
  <c r="H346" i="1"/>
  <c r="H685" i="1"/>
  <c r="H322" i="1"/>
  <c r="H701" i="1"/>
  <c r="H341" i="1"/>
  <c r="H654" i="1"/>
  <c r="H883" i="1"/>
  <c r="H402" i="1"/>
  <c r="H490" i="1"/>
  <c r="H732" i="1"/>
  <c r="H933" i="1"/>
  <c r="H573" i="1"/>
  <c r="H577" i="1"/>
  <c r="H986" i="1"/>
  <c r="H855" i="1"/>
  <c r="H1017" i="1"/>
  <c r="H954" i="1"/>
  <c r="H743" i="1"/>
  <c r="H524" i="1"/>
  <c r="H867" i="1"/>
  <c r="H334" i="1"/>
  <c r="H651" i="1"/>
  <c r="H499" i="1"/>
  <c r="H920" i="1"/>
  <c r="H565" i="1"/>
  <c r="H453" i="1"/>
  <c r="H558" i="1"/>
  <c r="H625" i="1"/>
  <c r="H979" i="1"/>
  <c r="H688" i="1"/>
  <c r="H910" i="1"/>
  <c r="H1016" i="1"/>
  <c r="H250" i="1"/>
  <c r="H192" i="1"/>
  <c r="H23" i="1"/>
  <c r="H274" i="1"/>
  <c r="H254" i="1"/>
  <c r="H32" i="1"/>
  <c r="H268" i="1"/>
  <c r="H286" i="1"/>
  <c r="H408" i="1"/>
  <c r="H847" i="1"/>
  <c r="H814" i="1"/>
  <c r="H882" i="1"/>
  <c r="H1044" i="1"/>
  <c r="H553" i="1"/>
  <c r="H1029" i="1"/>
  <c r="H807" i="1"/>
  <c r="H585" i="1"/>
  <c r="H324" i="1"/>
  <c r="H841" i="1"/>
  <c r="H641" i="1"/>
  <c r="H441" i="1"/>
  <c r="H547" i="1"/>
  <c r="H792" i="1"/>
  <c r="H958" i="1"/>
  <c r="H399" i="1"/>
  <c r="H612" i="1"/>
  <c r="H889" i="1"/>
  <c r="H417" i="1"/>
  <c r="H522" i="1"/>
  <c r="H557" i="1"/>
  <c r="H588" i="1"/>
  <c r="H670" i="1"/>
  <c r="H893" i="1"/>
  <c r="H1043" i="1"/>
  <c r="H539" i="1"/>
  <c r="H784" i="1"/>
  <c r="H633" i="1"/>
  <c r="H993" i="1"/>
  <c r="H826" i="1"/>
  <c r="H947" i="1"/>
  <c r="H420" i="1"/>
  <c r="H851" i="1"/>
  <c r="H451" i="1"/>
  <c r="H709" i="1"/>
  <c r="H350" i="1"/>
  <c r="H849" i="1"/>
  <c r="H523" i="1"/>
  <c r="H590" i="1"/>
  <c r="H616" i="1"/>
  <c r="H853" i="1"/>
  <c r="H423" i="1"/>
  <c r="H1027" i="1"/>
  <c r="H598" i="1"/>
  <c r="H386" i="1"/>
  <c r="H47" i="1"/>
  <c r="H162" i="1"/>
  <c r="H310" i="1"/>
  <c r="H155" i="1"/>
  <c r="H203" i="1"/>
  <c r="H120" i="1"/>
  <c r="H257" i="1"/>
  <c r="H168" i="1"/>
  <c r="H534" i="1"/>
  <c r="H759" i="1"/>
  <c r="H532" i="1"/>
  <c r="H483" i="1"/>
  <c r="H136" i="1"/>
  <c r="H194" i="1"/>
  <c r="H164" i="1"/>
  <c r="H124" i="1"/>
  <c r="H311" i="1"/>
  <c r="H294" i="1"/>
  <c r="H237" i="1"/>
  <c r="H132" i="1"/>
  <c r="H242" i="1"/>
  <c r="H196" i="1"/>
  <c r="H9" i="1"/>
  <c r="H100" i="1"/>
  <c r="H258" i="1"/>
  <c r="H270" i="1"/>
  <c r="H6" i="1"/>
  <c r="H290" i="1"/>
  <c r="H562" i="1"/>
  <c r="H424" i="1"/>
  <c r="H773" i="1"/>
  <c r="H875" i="1"/>
  <c r="H790" i="1"/>
  <c r="H519" i="1"/>
  <c r="H858" i="1"/>
  <c r="H1020" i="1"/>
  <c r="H528" i="1"/>
  <c r="H1018" i="1"/>
  <c r="H796" i="1"/>
  <c r="H574" i="1"/>
  <c r="H1051" i="1"/>
  <c r="H831" i="1"/>
  <c r="H631" i="1"/>
  <c r="H431" i="1"/>
  <c r="H604" i="1"/>
  <c r="H834" i="1"/>
  <c r="H1000" i="1"/>
  <c r="H458" i="1"/>
  <c r="H667" i="1"/>
  <c r="H968" i="1"/>
  <c r="H384" i="1"/>
  <c r="H445" i="1"/>
  <c r="H480" i="1"/>
  <c r="H520" i="1"/>
  <c r="H556" i="1"/>
  <c r="H717" i="1"/>
  <c r="H927" i="1"/>
  <c r="H470" i="1"/>
  <c r="H680" i="1"/>
  <c r="H895" i="1"/>
  <c r="H856" i="1"/>
  <c r="H433" i="1"/>
  <c r="H1023" i="1"/>
  <c r="H387" i="1"/>
  <c r="H780" i="1"/>
  <c r="H220" i="1"/>
  <c r="H134" i="1"/>
  <c r="H94" i="1"/>
  <c r="H54" i="1"/>
  <c r="H206" i="1"/>
  <c r="H185" i="1"/>
  <c r="H181" i="1"/>
  <c r="H86" i="1"/>
  <c r="H216" i="1"/>
  <c r="H151" i="1"/>
  <c r="H287" i="1"/>
  <c r="H60" i="1"/>
  <c r="H238" i="1"/>
  <c r="H306" i="1"/>
  <c r="H7" i="1"/>
  <c r="H90" i="1"/>
  <c r="H620" i="1"/>
  <c r="H517" i="1"/>
  <c r="H815" i="1"/>
  <c r="H902" i="1"/>
  <c r="H744" i="1"/>
  <c r="H494" i="1"/>
  <c r="H812" i="1"/>
  <c r="H962" i="1"/>
  <c r="H504" i="1"/>
  <c r="H996" i="1"/>
  <c r="H774" i="1"/>
  <c r="H552" i="1"/>
  <c r="H1031" i="1"/>
  <c r="H811" i="1"/>
  <c r="H611" i="1"/>
  <c r="H411" i="1"/>
  <c r="H708" i="1"/>
  <c r="H917" i="1"/>
  <c r="H349" i="1"/>
  <c r="H564" i="1"/>
  <c r="H754" i="1"/>
  <c r="H673" i="1"/>
  <c r="H336" i="1"/>
  <c r="H372" i="1"/>
  <c r="H409" i="1"/>
  <c r="H442" i="1"/>
  <c r="H477" i="1"/>
  <c r="H806" i="1"/>
  <c r="H414" i="1"/>
  <c r="H650" i="1"/>
  <c r="H864" i="1"/>
  <c r="H595" i="1"/>
  <c r="H379" i="1"/>
  <c r="H695" i="1"/>
  <c r="H725" i="1"/>
  <c r="H643" i="1"/>
  <c r="H983" i="1"/>
  <c r="H70" i="1"/>
  <c r="H96" i="1"/>
  <c r="H65" i="1"/>
  <c r="H25" i="1"/>
  <c r="H187" i="1"/>
  <c r="H148" i="1"/>
  <c r="H156" i="1"/>
  <c r="H63" i="1"/>
  <c r="H204" i="1"/>
  <c r="H128" i="1"/>
  <c r="H264" i="1"/>
  <c r="H40" i="1"/>
  <c r="H228" i="1"/>
  <c r="H141" i="1"/>
  <c r="H170" i="1"/>
  <c r="H97" i="1"/>
  <c r="H634" i="1"/>
  <c r="H548" i="1"/>
  <c r="H828" i="1"/>
  <c r="H944" i="1"/>
  <c r="H720" i="1"/>
  <c r="H482" i="1"/>
  <c r="H788" i="1"/>
  <c r="H938" i="1"/>
  <c r="H492" i="1"/>
  <c r="H985" i="1"/>
  <c r="H763" i="1"/>
  <c r="H540" i="1"/>
  <c r="H1011" i="1"/>
  <c r="H801" i="1"/>
  <c r="H601" i="1"/>
  <c r="H401" i="1"/>
  <c r="H747" i="1"/>
  <c r="H956" i="1"/>
  <c r="H398" i="1"/>
  <c r="H610" i="1"/>
  <c r="H797" i="1"/>
  <c r="H639" i="1"/>
  <c r="H1042" i="1"/>
  <c r="H335" i="1"/>
  <c r="H370" i="1"/>
  <c r="H406" i="1"/>
  <c r="H437" i="1"/>
  <c r="H850" i="1"/>
  <c r="H362" i="1"/>
  <c r="H737" i="1"/>
  <c r="H948" i="1"/>
  <c r="H722" i="1"/>
  <c r="H946" i="1"/>
  <c r="H810" i="1"/>
  <c r="H1024" i="1"/>
  <c r="H770" i="1"/>
  <c r="H538" i="1"/>
  <c r="H271" i="1"/>
  <c r="H67" i="1"/>
  <c r="H27" i="1"/>
  <c r="H315" i="1"/>
  <c r="H153" i="1"/>
  <c r="H116" i="1"/>
  <c r="H133" i="1"/>
  <c r="H37" i="1"/>
  <c r="H3" i="1"/>
  <c r="H105" i="1"/>
  <c r="H252" i="1"/>
  <c r="H20" i="1"/>
  <c r="H218" i="1"/>
  <c r="H72" i="1"/>
  <c r="H8" i="1"/>
  <c r="H101" i="1"/>
  <c r="H648" i="1"/>
  <c r="H359" i="1"/>
  <c r="H869" i="1"/>
  <c r="H957" i="1"/>
  <c r="H697" i="1"/>
  <c r="H469" i="1"/>
  <c r="H765" i="1"/>
  <c r="H915" i="1"/>
  <c r="H479" i="1"/>
  <c r="H974" i="1"/>
  <c r="H752" i="1"/>
  <c r="H529" i="1"/>
  <c r="H1001" i="1"/>
  <c r="H791" i="1"/>
  <c r="H591" i="1"/>
  <c r="H391" i="1"/>
  <c r="H789" i="1"/>
  <c r="H999" i="1"/>
  <c r="H450" i="1"/>
  <c r="H657" i="1"/>
  <c r="H848" i="1"/>
  <c r="H603" i="1"/>
  <c r="H1005" i="1"/>
  <c r="H1038" i="1"/>
  <c r="H333" i="1"/>
  <c r="H368" i="1"/>
  <c r="H403" i="1"/>
  <c r="H890" i="1"/>
  <c r="H466" i="1"/>
  <c r="H823" i="1"/>
  <c r="H422" i="1"/>
  <c r="H914" i="1"/>
  <c r="H526" i="1"/>
  <c r="H912" i="1"/>
  <c r="H497" i="1"/>
  <c r="H862" i="1"/>
  <c r="H684" i="1"/>
  <c r="H71" i="1"/>
  <c r="H29" i="1"/>
  <c r="H316" i="1"/>
  <c r="H296" i="1"/>
  <c r="H121" i="1"/>
  <c r="H84" i="1"/>
  <c r="H110" i="1"/>
  <c r="H14" i="1"/>
  <c r="H175" i="1"/>
  <c r="H82" i="1"/>
  <c r="H240" i="1"/>
  <c r="H179" i="1"/>
  <c r="H208" i="1"/>
  <c r="H233" i="1"/>
  <c r="H171" i="1"/>
  <c r="H102" i="1"/>
  <c r="H676" i="1"/>
  <c r="H375" i="1"/>
  <c r="H953" i="1"/>
  <c r="H970" i="1"/>
  <c r="H662" i="1"/>
  <c r="H457" i="1"/>
  <c r="H742" i="1"/>
  <c r="H892" i="1"/>
  <c r="H467" i="1"/>
  <c r="H963" i="1"/>
  <c r="H740" i="1"/>
  <c r="H518" i="1"/>
  <c r="H991" i="1"/>
  <c r="H781" i="1"/>
  <c r="H581" i="1"/>
  <c r="H381" i="1"/>
  <c r="H832" i="1"/>
  <c r="H1046" i="1"/>
  <c r="H508" i="1"/>
  <c r="H713" i="1"/>
  <c r="H887" i="1"/>
  <c r="H570" i="1"/>
  <c r="H975" i="1"/>
  <c r="H1004" i="1"/>
  <c r="H1037" i="1"/>
  <c r="H330" i="1"/>
  <c r="H366" i="1"/>
  <c r="H926" i="1"/>
  <c r="H546" i="1"/>
  <c r="H899" i="1"/>
  <c r="H542" i="1"/>
  <c r="H484" i="1"/>
  <c r="H642" i="1"/>
  <c r="H994" i="1"/>
  <c r="H726" i="1"/>
  <c r="H949" i="1"/>
  <c r="H144" i="1"/>
  <c r="H12" i="1"/>
  <c r="H103" i="1"/>
  <c r="H689" i="1"/>
  <c r="H440" i="1"/>
  <c r="H1035" i="1"/>
  <c r="H984" i="1"/>
  <c r="H638" i="1"/>
  <c r="H432" i="1"/>
  <c r="H706" i="1"/>
  <c r="H868" i="1"/>
  <c r="H455" i="1"/>
  <c r="H952" i="1"/>
  <c r="H729" i="1"/>
  <c r="H507" i="1"/>
  <c r="H981" i="1"/>
  <c r="H771" i="1"/>
  <c r="H571" i="1"/>
  <c r="H371" i="1"/>
  <c r="H878" i="1"/>
  <c r="H347" i="1"/>
  <c r="H560" i="1"/>
  <c r="H753" i="1"/>
  <c r="H924" i="1"/>
  <c r="H530" i="1"/>
  <c r="H936" i="1"/>
  <c r="H973" i="1"/>
  <c r="H1003" i="1"/>
  <c r="H1033" i="1"/>
  <c r="H329" i="1"/>
  <c r="H976" i="1"/>
  <c r="H645" i="1"/>
  <c r="H980" i="1"/>
  <c r="H686" i="1"/>
  <c r="H930" i="1"/>
  <c r="H762" i="1"/>
  <c r="H434" i="1"/>
  <c r="H939" i="1"/>
  <c r="H388" i="1"/>
  <c r="B19" i="7" l="1"/>
  <c r="B22" i="7" s="1"/>
  <c r="K2" i="1"/>
  <c r="B20" i="7"/>
  <c r="P3" i="7" s="1"/>
  <c r="B70" i="4"/>
  <c r="B72" i="4" s="1"/>
  <c r="B97" i="4"/>
  <c r="B99" i="4" s="1"/>
  <c r="B123" i="4" s="1"/>
  <c r="B98" i="4"/>
  <c r="B100" i="4" s="1"/>
  <c r="B71" i="4"/>
  <c r="B73" i="4" s="1"/>
  <c r="D13" i="4"/>
  <c r="B15" i="1"/>
  <c r="B21" i="1"/>
  <c r="B13" i="3" l="1"/>
  <c r="D5" i="4"/>
  <c r="D7" i="4"/>
  <c r="D6" i="4"/>
  <c r="B21" i="7"/>
  <c r="Q3" i="7"/>
  <c r="G3" i="7" s="1"/>
  <c r="G771" i="1"/>
  <c r="B18" i="1"/>
  <c r="B101" i="4"/>
  <c r="B102" i="4" s="1"/>
  <c r="D29" i="4" s="1"/>
  <c r="G959" i="1"/>
  <c r="G866" i="1"/>
  <c r="G24" i="1"/>
  <c r="G620" i="1"/>
  <c r="G194" i="1"/>
  <c r="G1000" i="1"/>
  <c r="G737" i="1"/>
  <c r="G216" i="1"/>
  <c r="G1038" i="1"/>
  <c r="G477" i="1"/>
  <c r="G287" i="1"/>
  <c r="G698" i="1"/>
  <c r="G963" i="1"/>
  <c r="G1275" i="1"/>
  <c r="G1285" i="1"/>
  <c r="G1295" i="1"/>
  <c r="G1305" i="1"/>
  <c r="G1315" i="1"/>
  <c r="G1325" i="1"/>
  <c r="G1335" i="1"/>
  <c r="G1345" i="1"/>
  <c r="G1355" i="1"/>
  <c r="G1365" i="1"/>
  <c r="G1375" i="1"/>
  <c r="G1385" i="1"/>
  <c r="G1395" i="1"/>
  <c r="G1405" i="1"/>
  <c r="G1415" i="1"/>
  <c r="G1425" i="1"/>
  <c r="G1435" i="1"/>
  <c r="G1445" i="1"/>
  <c r="G1455" i="1"/>
  <c r="G1465" i="1"/>
  <c r="G1475" i="1"/>
  <c r="G1485" i="1"/>
  <c r="G1495" i="1"/>
  <c r="G1505" i="1"/>
  <c r="G1515" i="1"/>
  <c r="G1525" i="1"/>
  <c r="G1535" i="1"/>
  <c r="G1545" i="1"/>
  <c r="G1555" i="1"/>
  <c r="G1565" i="1"/>
  <c r="G1575" i="1"/>
  <c r="G1083" i="1"/>
  <c r="G1093" i="1"/>
  <c r="G1103" i="1"/>
  <c r="G1113" i="1"/>
  <c r="G1123" i="1"/>
  <c r="G1133" i="1"/>
  <c r="G1143" i="1"/>
  <c r="G1153" i="1"/>
  <c r="G1163" i="1"/>
  <c r="G1173" i="1"/>
  <c r="G1183" i="1"/>
  <c r="G1193" i="1"/>
  <c r="G1203" i="1"/>
  <c r="G1213" i="1"/>
  <c r="G1223" i="1"/>
  <c r="G1233" i="1"/>
  <c r="G1243" i="1"/>
  <c r="G1253" i="1"/>
  <c r="G1263" i="1"/>
  <c r="G1273" i="1"/>
  <c r="G1061" i="1"/>
  <c r="G1071" i="1"/>
  <c r="G1276" i="1"/>
  <c r="G1286" i="1"/>
  <c r="G1296" i="1"/>
  <c r="G1306" i="1"/>
  <c r="G1316" i="1"/>
  <c r="G1326" i="1"/>
  <c r="G1336" i="1"/>
  <c r="G1346" i="1"/>
  <c r="G1356" i="1"/>
  <c r="G1366" i="1"/>
  <c r="G1376" i="1"/>
  <c r="G1386" i="1"/>
  <c r="G1396" i="1"/>
  <c r="G1406" i="1"/>
  <c r="G1416" i="1"/>
  <c r="G1426" i="1"/>
  <c r="G1436" i="1"/>
  <c r="G1446" i="1"/>
  <c r="G1456" i="1"/>
  <c r="G1466" i="1"/>
  <c r="G1476" i="1"/>
  <c r="G1486" i="1"/>
  <c r="G1359" i="1"/>
  <c r="G1279" i="1"/>
  <c r="G1289" i="1"/>
  <c r="G1299" i="1"/>
  <c r="G1309" i="1"/>
  <c r="G1319" i="1"/>
  <c r="G1329" i="1"/>
  <c r="G1339" i="1"/>
  <c r="G1349" i="1"/>
  <c r="G1369" i="1"/>
  <c r="G1379" i="1"/>
  <c r="G1389" i="1"/>
  <c r="G1399" i="1"/>
  <c r="G1409" i="1"/>
  <c r="G1419" i="1"/>
  <c r="G1429" i="1"/>
  <c r="G1439" i="1"/>
  <c r="G1449" i="1"/>
  <c r="G1459" i="1"/>
  <c r="G1469" i="1"/>
  <c r="G1479" i="1"/>
  <c r="G1489" i="1"/>
  <c r="G1499" i="1"/>
  <c r="G1509" i="1"/>
  <c r="G1519" i="1"/>
  <c r="G1529" i="1"/>
  <c r="G1539" i="1"/>
  <c r="G1549" i="1"/>
  <c r="G1559" i="1"/>
  <c r="G1569" i="1"/>
  <c r="G1579" i="1"/>
  <c r="G1087" i="1"/>
  <c r="G1097" i="1"/>
  <c r="G1107" i="1"/>
  <c r="G1117" i="1"/>
  <c r="G1127" i="1"/>
  <c r="G1137" i="1"/>
  <c r="G1147" i="1"/>
  <c r="G1157" i="1"/>
  <c r="G1167" i="1"/>
  <c r="G1177" i="1"/>
  <c r="G1187" i="1"/>
  <c r="G1197" i="1"/>
  <c r="G1207" i="1"/>
  <c r="G1217" i="1"/>
  <c r="G1227" i="1"/>
  <c r="G1237" i="1"/>
  <c r="G1247" i="1"/>
  <c r="G1257" i="1"/>
  <c r="G1267" i="1"/>
  <c r="G1074" i="1"/>
  <c r="G1065" i="1"/>
  <c r="G1057" i="1"/>
  <c r="G1291" i="1"/>
  <c r="G1304" i="1"/>
  <c r="G1320" i="1"/>
  <c r="G1333" i="1"/>
  <c r="G1362" i="1"/>
  <c r="G1391" i="1"/>
  <c r="G1404" i="1"/>
  <c r="G1420" i="1"/>
  <c r="G1433" i="1"/>
  <c r="G1462" i="1"/>
  <c r="G1491" i="1"/>
  <c r="G1517" i="1"/>
  <c r="G1531" i="1"/>
  <c r="G1557" i="1"/>
  <c r="G1571" i="1"/>
  <c r="G1095" i="1"/>
  <c r="G1292" i="1"/>
  <c r="G1334" i="1"/>
  <c r="G1350" i="1"/>
  <c r="G1434" i="1"/>
  <c r="G1450" i="1"/>
  <c r="G1532" i="1"/>
  <c r="G1558" i="1"/>
  <c r="G1277" i="1"/>
  <c r="G1348" i="1"/>
  <c r="G1377" i="1"/>
  <c r="G1448" i="1"/>
  <c r="G1477" i="1"/>
  <c r="G1504" i="1"/>
  <c r="G1544" i="1"/>
  <c r="G1082" i="1"/>
  <c r="G1109" i="1"/>
  <c r="G1121" i="1"/>
  <c r="G1134" i="1"/>
  <c r="G1146" i="1"/>
  <c r="G1159" i="1"/>
  <c r="G1171" i="1"/>
  <c r="G1184" i="1"/>
  <c r="G1196" i="1"/>
  <c r="G1209" i="1"/>
  <c r="G1221" i="1"/>
  <c r="G1234" i="1"/>
  <c r="G1246" i="1"/>
  <c r="G1259" i="1"/>
  <c r="G1271" i="1"/>
  <c r="G1062" i="1"/>
  <c r="G1056" i="1"/>
  <c r="G1321" i="1"/>
  <c r="G1363" i="1"/>
  <c r="G1392" i="1"/>
  <c r="G1421" i="1"/>
  <c r="G1463" i="1"/>
  <c r="G1492" i="1"/>
  <c r="G1518" i="1"/>
  <c r="G1572" i="1"/>
  <c r="G1096" i="1"/>
  <c r="G1338" i="1"/>
  <c r="G1367" i="1"/>
  <c r="G1438" i="1"/>
  <c r="G1467" i="1"/>
  <c r="G1508" i="1"/>
  <c r="G1522" i="1"/>
  <c r="G1548" i="1"/>
  <c r="G1562" i="1"/>
  <c r="G1086" i="1"/>
  <c r="G1100" i="1"/>
  <c r="G1112" i="1"/>
  <c r="G1125" i="1"/>
  <c r="G1138" i="1"/>
  <c r="G1150" i="1"/>
  <c r="G1162" i="1"/>
  <c r="G1175" i="1"/>
  <c r="G1188" i="1"/>
  <c r="G1200" i="1"/>
  <c r="G1212" i="1"/>
  <c r="G1225" i="1"/>
  <c r="G1238" i="1"/>
  <c r="G1250" i="1"/>
  <c r="G1262" i="1"/>
  <c r="G1072" i="1"/>
  <c r="G1066" i="1"/>
  <c r="G1060" i="1"/>
  <c r="G1282" i="1"/>
  <c r="G1311" i="1"/>
  <c r="G1324" i="1"/>
  <c r="G1340" i="1"/>
  <c r="G1353" i="1"/>
  <c r="G1382" i="1"/>
  <c r="G1411" i="1"/>
  <c r="G1424" i="1"/>
  <c r="G1440" i="1"/>
  <c r="G1453" i="1"/>
  <c r="G1482" i="1"/>
  <c r="G1496" i="1"/>
  <c r="G1510" i="1"/>
  <c r="G1536" i="1"/>
  <c r="G1550" i="1"/>
  <c r="G1576" i="1"/>
  <c r="G1088" i="1"/>
  <c r="G1297" i="1"/>
  <c r="G1278" i="1"/>
  <c r="G1300" i="1"/>
  <c r="G1341" i="1"/>
  <c r="G1358" i="1"/>
  <c r="G1378" i="1"/>
  <c r="G1454" i="1"/>
  <c r="G1511" i="1"/>
  <c r="G1527" i="1"/>
  <c r="G1546" i="1"/>
  <c r="G1581" i="1"/>
  <c r="G1098" i="1"/>
  <c r="G1130" i="1"/>
  <c r="G1148" i="1"/>
  <c r="G1180" i="1"/>
  <c r="G1198" i="1"/>
  <c r="G1230" i="1"/>
  <c r="G1248" i="1"/>
  <c r="G1077" i="1"/>
  <c r="G1055" i="1"/>
  <c r="G1512" i="1"/>
  <c r="G1547" i="1"/>
  <c r="G1080" i="1"/>
  <c r="G1099" i="1"/>
  <c r="G1131" i="1"/>
  <c r="G1149" i="1"/>
  <c r="G1181" i="1"/>
  <c r="G1199" i="1"/>
  <c r="G1231" i="1"/>
  <c r="G1249" i="1"/>
  <c r="G1078" i="1"/>
  <c r="G1281" i="1"/>
  <c r="G1322" i="1"/>
  <c r="G1361" i="1"/>
  <c r="G1381" i="1"/>
  <c r="G1457" i="1"/>
  <c r="G1474" i="1"/>
  <c r="G1494" i="1"/>
  <c r="G1530" i="1"/>
  <c r="G1566" i="1"/>
  <c r="G1116" i="1"/>
  <c r="G1166" i="1"/>
  <c r="G1216" i="1"/>
  <c r="G1266" i="1"/>
  <c r="G1059" i="1"/>
  <c r="G1283" i="1"/>
  <c r="G1101" i="1"/>
  <c r="G1232" i="1"/>
  <c r="G1079" i="1"/>
  <c r="G1280" i="1"/>
  <c r="G1318" i="1"/>
  <c r="G1360" i="1"/>
  <c r="G1380" i="1"/>
  <c r="G1398" i="1"/>
  <c r="G1473" i="1"/>
  <c r="G1493" i="1"/>
  <c r="G1564" i="1"/>
  <c r="G1115" i="1"/>
  <c r="G1165" i="1"/>
  <c r="G1215" i="1"/>
  <c r="G1265" i="1"/>
  <c r="G1058" i="1"/>
  <c r="G1301" i="1"/>
  <c r="G1342" i="1"/>
  <c r="G1400" i="1"/>
  <c r="G1417" i="1"/>
  <c r="G1437" i="1"/>
  <c r="G1528" i="1"/>
  <c r="G1302" i="1"/>
  <c r="G1343" i="1"/>
  <c r="G1401" i="1"/>
  <c r="G1418" i="1"/>
  <c r="G1513" i="1"/>
  <c r="G1081" i="1"/>
  <c r="G1132" i="1"/>
  <c r="G1151" i="1"/>
  <c r="G1182" i="1"/>
  <c r="G1201" i="1"/>
  <c r="G1251" i="1"/>
  <c r="G1287" i="1"/>
  <c r="G1328" i="1"/>
  <c r="G1347" i="1"/>
  <c r="G1368" i="1"/>
  <c r="G1443" i="1"/>
  <c r="G1553" i="1"/>
  <c r="G1120" i="1"/>
  <c r="G1139" i="1"/>
  <c r="G1170" i="1"/>
  <c r="G1189" i="1"/>
  <c r="G1220" i="1"/>
  <c r="G1239" i="1"/>
  <c r="G1270" i="1"/>
  <c r="G1308" i="1"/>
  <c r="G1330" i="1"/>
  <c r="G1370" i="1"/>
  <c r="G1387" i="1"/>
  <c r="G1407" i="1"/>
  <c r="G1483" i="1"/>
  <c r="G1501" i="1"/>
  <c r="G1520" i="1"/>
  <c r="G1537" i="1"/>
  <c r="G1089" i="1"/>
  <c r="G1105" i="1"/>
  <c r="G1122" i="1"/>
  <c r="G1155" i="1"/>
  <c r="G1172" i="1"/>
  <c r="G1205" i="1"/>
  <c r="G1222" i="1"/>
  <c r="G1255" i="1"/>
  <c r="G1272" i="1"/>
  <c r="G1067" i="1"/>
  <c r="G1288" i="1"/>
  <c r="G1310" i="1"/>
  <c r="G1351" i="1"/>
  <c r="G1427" i="1"/>
  <c r="G1444" i="1"/>
  <c r="G1464" i="1"/>
  <c r="G1554" i="1"/>
  <c r="G1573" i="1"/>
  <c r="G1140" i="1"/>
  <c r="G1190" i="1"/>
  <c r="G1240" i="1"/>
  <c r="G1314" i="1"/>
  <c r="G1383" i="1"/>
  <c r="G1478" i="1"/>
  <c r="G1538" i="1"/>
  <c r="G1567" i="1"/>
  <c r="G1092" i="1"/>
  <c r="G1124" i="1"/>
  <c r="G1178" i="1"/>
  <c r="G1206" i="1"/>
  <c r="G1235" i="1"/>
  <c r="G1064" i="1"/>
  <c r="G1094" i="1"/>
  <c r="G1068" i="1"/>
  <c r="G1541" i="1"/>
  <c r="G1128" i="1"/>
  <c r="G1158" i="1"/>
  <c r="G1284" i="1"/>
  <c r="G1352" i="1"/>
  <c r="G1413" i="1"/>
  <c r="G1480" i="1"/>
  <c r="G1507" i="1"/>
  <c r="G1540" i="1"/>
  <c r="G1152" i="1"/>
  <c r="G1261" i="1"/>
  <c r="G1126" i="1"/>
  <c r="G1481" i="1"/>
  <c r="G1388" i="1"/>
  <c r="G1069" i="1"/>
  <c r="G1514" i="1"/>
  <c r="G1241" i="1"/>
  <c r="G1452" i="1"/>
  <c r="G1210" i="1"/>
  <c r="G1327" i="1"/>
  <c r="G1293" i="1"/>
  <c r="G1423" i="1"/>
  <c r="G1487" i="1"/>
  <c r="G1516" i="1"/>
  <c r="G1543" i="1"/>
  <c r="G1577" i="1"/>
  <c r="G1104" i="1"/>
  <c r="G1160" i="1"/>
  <c r="G1214" i="1"/>
  <c r="G1242" i="1"/>
  <c r="G1331" i="1"/>
  <c r="G1393" i="1"/>
  <c r="G1458" i="1"/>
  <c r="G1521" i="1"/>
  <c r="G1551" i="1"/>
  <c r="G1106" i="1"/>
  <c r="G1135" i="1"/>
  <c r="G1218" i="1"/>
  <c r="G1054" i="1"/>
  <c r="G1294" i="1"/>
  <c r="G1364" i="1"/>
  <c r="G1428" i="1"/>
  <c r="G1460" i="1"/>
  <c r="G1488" i="1"/>
  <c r="G1578" i="1"/>
  <c r="G1161" i="1"/>
  <c r="G1191" i="1"/>
  <c r="G1244" i="1"/>
  <c r="G1274" i="1"/>
  <c r="G1332" i="1"/>
  <c r="G1394" i="1"/>
  <c r="G1430" i="1"/>
  <c r="G1490" i="1"/>
  <c r="G1523" i="1"/>
  <c r="G1552" i="1"/>
  <c r="G1580" i="1"/>
  <c r="G1108" i="1"/>
  <c r="G1136" i="1"/>
  <c r="G1219" i="1"/>
  <c r="G1298" i="1"/>
  <c r="G1397" i="1"/>
  <c r="G1461" i="1"/>
  <c r="G1110" i="1"/>
  <c r="G1164" i="1"/>
  <c r="G1245" i="1"/>
  <c r="G1073" i="1"/>
  <c r="G1431" i="1"/>
  <c r="G1524" i="1"/>
  <c r="G1084" i="1"/>
  <c r="G1168" i="1"/>
  <c r="G1303" i="1"/>
  <c r="G1402" i="1"/>
  <c r="G1556" i="1"/>
  <c r="G1111" i="1"/>
  <c r="G1194" i="1"/>
  <c r="G1075" i="1"/>
  <c r="G1372" i="1"/>
  <c r="G1468" i="1"/>
  <c r="G1526" i="1"/>
  <c r="G1085" i="1"/>
  <c r="G1226" i="1"/>
  <c r="G1307" i="1"/>
  <c r="G1500" i="1"/>
  <c r="G1254" i="1"/>
  <c r="G1312" i="1"/>
  <c r="G1408" i="1"/>
  <c r="G1090" i="1"/>
  <c r="G1118" i="1"/>
  <c r="G1174" i="1"/>
  <c r="G1228" i="1"/>
  <c r="G1256" i="1"/>
  <c r="G1374" i="1"/>
  <c r="G1442" i="1"/>
  <c r="G1503" i="1"/>
  <c r="G1091" i="1"/>
  <c r="G1229" i="1"/>
  <c r="G1506" i="1"/>
  <c r="G1204" i="1"/>
  <c r="G1384" i="1"/>
  <c r="G1568" i="1"/>
  <c r="G1208" i="1"/>
  <c r="G1317" i="1"/>
  <c r="G1264" i="1"/>
  <c r="G1484" i="1"/>
  <c r="G1185" i="1"/>
  <c r="G1268" i="1"/>
  <c r="G1186" i="1"/>
  <c r="G1070" i="1"/>
  <c r="G1497" i="1"/>
  <c r="G1141" i="1"/>
  <c r="G1432" i="1"/>
  <c r="G1470" i="1"/>
  <c r="G1560" i="1"/>
  <c r="G1142" i="1"/>
  <c r="G1441" i="1"/>
  <c r="G1344" i="1"/>
  <c r="G1471" i="1"/>
  <c r="G1561" i="1"/>
  <c r="G1144" i="1"/>
  <c r="G1202" i="1"/>
  <c r="G1119" i="1"/>
  <c r="G1258" i="1"/>
  <c r="G1063" i="1"/>
  <c r="G1412" i="1"/>
  <c r="G1472" i="1"/>
  <c r="G1563" i="1"/>
  <c r="G1260" i="1"/>
  <c r="G1179" i="1"/>
  <c r="G1414" i="1"/>
  <c r="G1570" i="1"/>
  <c r="G1290" i="1"/>
  <c r="G1390" i="1"/>
  <c r="G1574" i="1"/>
  <c r="G1211" i="1"/>
  <c r="G1357" i="1"/>
  <c r="G1129" i="1"/>
  <c r="G1192" i="1"/>
  <c r="G1371" i="1"/>
  <c r="G1224" i="1"/>
  <c r="G1252" i="1"/>
  <c r="G1337" i="1"/>
  <c r="G1498" i="1"/>
  <c r="G1169" i="1"/>
  <c r="G1403" i="1"/>
  <c r="G1114" i="1"/>
  <c r="G1195" i="1"/>
  <c r="G1076" i="1"/>
  <c r="G1373" i="1"/>
  <c r="G1502" i="1"/>
  <c r="G1410" i="1"/>
  <c r="G1533" i="1"/>
  <c r="G1313" i="1"/>
  <c r="G1176" i="1"/>
  <c r="G1534" i="1"/>
  <c r="G1145" i="1"/>
  <c r="G1447" i="1"/>
  <c r="G1236" i="1"/>
  <c r="G1154" i="1"/>
  <c r="G1323" i="1"/>
  <c r="G1156" i="1"/>
  <c r="G1102" i="1"/>
  <c r="G1269" i="1"/>
  <c r="G1354" i="1"/>
  <c r="G1451" i="1"/>
  <c r="G1422" i="1"/>
  <c r="G1542" i="1"/>
  <c r="B74" i="4"/>
  <c r="G643" i="1"/>
  <c r="G367" i="1"/>
  <c r="G865" i="1"/>
  <c r="G347" i="1"/>
  <c r="G859" i="1"/>
  <c r="G731" i="1"/>
  <c r="G439" i="1"/>
  <c r="G944" i="1"/>
  <c r="G65" i="1"/>
  <c r="G8" i="1"/>
  <c r="G405" i="1"/>
  <c r="G607" i="1"/>
  <c r="G458" i="1"/>
  <c r="G483" i="1"/>
  <c r="G732" i="1"/>
  <c r="G804" i="1"/>
  <c r="G904" i="1"/>
  <c r="G442" i="1"/>
  <c r="G999" i="1"/>
  <c r="G398" i="1"/>
  <c r="G235" i="1"/>
  <c r="G603" i="1"/>
  <c r="G530" i="1"/>
  <c r="G917" i="1"/>
  <c r="G629" i="1"/>
  <c r="G892" i="1"/>
  <c r="G83" i="1"/>
  <c r="D11" i="4"/>
  <c r="D10" i="4"/>
  <c r="G319" i="1"/>
  <c r="G205" i="1"/>
  <c r="G69" i="1"/>
  <c r="G118" i="1"/>
  <c r="G939" i="1"/>
  <c r="G155" i="1"/>
  <c r="G850" i="1"/>
  <c r="G800" i="1"/>
  <c r="G127" i="1"/>
  <c r="G817" i="1"/>
  <c r="G237" i="1"/>
  <c r="G413" i="1"/>
  <c r="G590" i="1"/>
  <c r="G352" i="1"/>
  <c r="G1034" i="1"/>
  <c r="G625" i="1"/>
  <c r="G910" i="1"/>
  <c r="G889" i="1"/>
  <c r="G380" i="1"/>
  <c r="G857" i="1"/>
  <c r="G678" i="1"/>
  <c r="G604" i="1"/>
  <c r="G149" i="1"/>
  <c r="G460" i="1"/>
  <c r="G262" i="1"/>
  <c r="G63" i="1"/>
  <c r="G557" i="1"/>
  <c r="G437" i="1"/>
  <c r="G709" i="1"/>
  <c r="G331" i="1"/>
  <c r="G256" i="1"/>
  <c r="G1007" i="1"/>
  <c r="G605" i="1"/>
  <c r="G722" i="1"/>
  <c r="G103" i="1"/>
  <c r="G924" i="1"/>
  <c r="G791" i="1"/>
  <c r="G355" i="1"/>
  <c r="G581" i="1"/>
  <c r="G360" i="1"/>
  <c r="G624" i="1"/>
  <c r="G943" i="1"/>
  <c r="G611" i="1"/>
  <c r="G254" i="1"/>
  <c r="G121" i="1"/>
  <c r="G23" i="1"/>
  <c r="G911" i="1"/>
  <c r="G451" i="1"/>
  <c r="G1039" i="1"/>
  <c r="B79" i="4"/>
  <c r="G480" i="1"/>
  <c r="G56" i="1"/>
  <c r="G500" i="1"/>
  <c r="G966" i="1"/>
  <c r="G527" i="1"/>
  <c r="G468" i="1"/>
  <c r="G184" i="1"/>
  <c r="G748" i="1"/>
  <c r="G564" i="1"/>
  <c r="G93" i="1"/>
  <c r="G632" i="1"/>
  <c r="G985" i="1"/>
  <c r="B22" i="1"/>
  <c r="B23" i="1"/>
  <c r="G847" i="1"/>
  <c r="G781" i="1"/>
  <c r="G661" i="1"/>
  <c r="G234" i="1"/>
  <c r="G187" i="1"/>
  <c r="G877" i="1"/>
  <c r="G92" i="1"/>
  <c r="G981" i="1"/>
  <c r="G472" i="1"/>
  <c r="G164" i="1"/>
  <c r="G358" i="1"/>
  <c r="G494" i="1"/>
  <c r="G212" i="1"/>
  <c r="G390" i="1"/>
  <c r="G343" i="1"/>
  <c r="G64" i="1"/>
  <c r="G873" i="1"/>
  <c r="G162" i="1"/>
  <c r="G244" i="1"/>
  <c r="G952" i="1"/>
  <c r="G719" i="1"/>
  <c r="G26" i="1"/>
  <c r="G36" i="1"/>
  <c r="G411" i="1"/>
  <c r="G824" i="1"/>
  <c r="G496" i="1"/>
  <c r="G692" i="1"/>
  <c r="G307" i="1"/>
  <c r="G91" i="1"/>
  <c r="G570" i="1"/>
  <c r="G1046" i="1"/>
  <c r="G211" i="1"/>
  <c r="G735" i="1"/>
  <c r="G613" i="1"/>
  <c r="G156" i="1"/>
  <c r="G312" i="1"/>
  <c r="G492" i="1"/>
  <c r="G95" i="1"/>
  <c r="G846" i="1"/>
  <c r="G467" i="1"/>
  <c r="G582" i="1"/>
  <c r="G934" i="1"/>
  <c r="G278" i="1"/>
  <c r="G77" i="1"/>
  <c r="G82" i="1"/>
  <c r="G169" i="1"/>
  <c r="G796" i="1"/>
  <c r="G986" i="1"/>
  <c r="G761" i="1"/>
  <c r="G1009" i="1"/>
  <c r="G697" i="1"/>
  <c r="G936" i="1"/>
  <c r="G232" i="1"/>
  <c r="G803" i="1"/>
  <c r="G762" i="1"/>
  <c r="G584" i="1"/>
  <c r="G41" i="1"/>
  <c r="G137" i="1"/>
  <c r="G705" i="1"/>
  <c r="G834" i="1"/>
  <c r="G798" i="1"/>
  <c r="G887" i="1"/>
  <c r="G837" i="1"/>
  <c r="G98" i="1"/>
  <c r="G418" i="1"/>
  <c r="G518" i="1"/>
  <c r="G622" i="1"/>
  <c r="G811" i="1"/>
  <c r="G594" i="1"/>
  <c r="G882" i="1"/>
  <c r="G245" i="1"/>
  <c r="G1049" i="1"/>
  <c r="G734" i="1"/>
  <c r="G1023" i="1"/>
  <c r="G551" i="1"/>
  <c r="G395" i="1"/>
  <c r="G640" i="1"/>
  <c r="G1052" i="1"/>
  <c r="G843" i="1"/>
  <c r="G618" i="1"/>
  <c r="G383" i="1"/>
  <c r="G691" i="1"/>
  <c r="G779" i="1"/>
  <c r="G863" i="1"/>
  <c r="G441" i="1"/>
  <c r="G635" i="1"/>
  <c r="G577" i="1"/>
  <c r="G858" i="1"/>
  <c r="G350" i="1"/>
  <c r="G238" i="1"/>
  <c r="G996" i="1"/>
  <c r="G578" i="1"/>
  <c r="G226" i="1"/>
  <c r="G571" i="1"/>
  <c r="G339" i="1"/>
  <c r="G869" i="1"/>
  <c r="G838" i="1"/>
  <c r="G983" i="1"/>
  <c r="G976" i="1"/>
  <c r="G382" i="1"/>
  <c r="G672" i="1"/>
  <c r="G239" i="1"/>
  <c r="G538" i="1"/>
  <c r="G550" i="1"/>
  <c r="G560" i="1"/>
  <c r="G561" i="1"/>
  <c r="G754" i="1"/>
  <c r="G699" i="1"/>
  <c r="G826" i="1"/>
  <c r="G308" i="1"/>
  <c r="G949" i="1"/>
  <c r="G588" i="1"/>
  <c r="G630" i="1"/>
  <c r="G310" i="1"/>
  <c r="G276" i="1"/>
  <c r="G424" i="1"/>
  <c r="G85" i="1"/>
  <c r="G110" i="1"/>
  <c r="G614" i="1"/>
  <c r="G715" i="1"/>
  <c r="G663" i="1"/>
  <c r="G183" i="1"/>
  <c r="G338" i="1"/>
  <c r="G695" i="1"/>
  <c r="G49" i="1"/>
  <c r="G851" i="1"/>
  <c r="G558" i="1"/>
  <c r="G789" i="1"/>
  <c r="G348" i="1"/>
  <c r="G681" i="1"/>
  <c r="G476" i="1"/>
  <c r="G660" i="1"/>
  <c r="G248" i="1"/>
  <c r="G328" i="1"/>
  <c r="G631" i="1"/>
  <c r="G655" i="1"/>
  <c r="G197" i="1"/>
  <c r="G951" i="1"/>
  <c r="G897" i="1"/>
  <c r="G140" i="1"/>
  <c r="G736" i="1"/>
  <c r="G199" i="1"/>
  <c r="G27" i="1"/>
  <c r="G609" i="1"/>
  <c r="G674" i="1"/>
  <c r="G606" i="1"/>
  <c r="G569" i="1"/>
  <c r="G884" i="1"/>
  <c r="G544" i="1"/>
  <c r="G686" i="1"/>
  <c r="G333" i="1"/>
  <c r="G408" i="1"/>
  <c r="G657" i="1"/>
  <c r="G797" i="1"/>
  <c r="G1010" i="1"/>
  <c r="G879" i="1"/>
  <c r="G914" i="1"/>
  <c r="G182" i="1"/>
  <c r="G583" i="1"/>
  <c r="G198" i="1"/>
  <c r="G488" i="1"/>
  <c r="G1019" i="1"/>
  <c r="G86" i="1"/>
  <c r="G456" i="1"/>
  <c r="G218" i="1"/>
  <c r="G397" i="1"/>
  <c r="G520" i="1"/>
  <c r="G136" i="1"/>
  <c r="G935" i="1"/>
  <c r="G510" i="1"/>
  <c r="G814" i="1"/>
  <c r="G165" i="1"/>
  <c r="G912" i="1"/>
  <c r="G855" i="1"/>
  <c r="G400" i="1"/>
  <c r="G553" i="1"/>
  <c r="G410" i="1"/>
  <c r="G1035" i="1"/>
  <c r="G359" i="1"/>
  <c r="G537" i="1"/>
  <c r="G505" i="1"/>
  <c r="G818" i="1"/>
  <c r="G964" i="1"/>
  <c r="G589" i="1"/>
  <c r="G862" i="1"/>
  <c r="G109" i="1"/>
  <c r="G46" i="1"/>
  <c r="G596" i="1"/>
  <c r="G676" i="1"/>
  <c r="G385" i="1"/>
  <c r="G159" i="1"/>
  <c r="G932" i="1"/>
  <c r="G773" i="1"/>
  <c r="G9" i="1"/>
  <c r="G501" i="1"/>
  <c r="G984" i="1"/>
  <c r="G1022" i="1"/>
  <c r="G222" i="1"/>
  <c r="G790" i="1"/>
  <c r="G1013" i="1"/>
  <c r="G489" i="1"/>
  <c r="G167" i="1"/>
  <c r="G1008" i="1"/>
  <c r="G802" i="1"/>
  <c r="G725" i="1"/>
  <c r="G888" i="1"/>
  <c r="G765" i="1"/>
  <c r="G567" i="1"/>
  <c r="G393" i="1"/>
  <c r="G436" i="1"/>
  <c r="G760" i="1"/>
  <c r="G229" i="1"/>
  <c r="G80" i="1"/>
  <c r="G399" i="1"/>
  <c r="G376" i="1"/>
  <c r="G444" i="1"/>
  <c r="G150" i="1"/>
  <c r="G241" i="1"/>
  <c r="G612" i="1"/>
  <c r="G799" i="1"/>
  <c r="G120" i="1"/>
  <c r="G175" i="1"/>
  <c r="G409" i="1"/>
  <c r="G253" i="1"/>
  <c r="G901" i="1"/>
  <c r="G559" i="1"/>
  <c r="G829" i="1"/>
  <c r="G297" i="1"/>
  <c r="G446" i="1"/>
  <c r="G753" i="1"/>
  <c r="G345" i="1"/>
  <c r="G141" i="1"/>
  <c r="G903" i="1"/>
  <c r="G747" i="1"/>
  <c r="G673" i="1"/>
  <c r="G742" i="1"/>
  <c r="G948" i="1"/>
  <c r="G717" i="1"/>
  <c r="G1036" i="1"/>
  <c r="G357" i="1"/>
  <c r="G349" i="1"/>
  <c r="G37" i="1"/>
  <c r="G195" i="1"/>
  <c r="G495" i="1"/>
  <c r="G563" i="1"/>
  <c r="G680" i="1"/>
  <c r="G236" i="1"/>
  <c r="G294" i="1"/>
  <c r="G852" i="1"/>
  <c r="G71" i="1"/>
  <c r="G421" i="1"/>
  <c r="G147" i="1"/>
  <c r="G980" i="1"/>
  <c r="G314" i="1"/>
  <c r="G353" i="1"/>
  <c r="G823" i="1"/>
  <c r="G463" i="1"/>
  <c r="G152" i="1"/>
  <c r="G795" i="1"/>
  <c r="G825" i="1"/>
  <c r="G598" i="1"/>
  <c r="G172" i="1"/>
  <c r="G905" i="1"/>
  <c r="G642" i="1"/>
  <c r="G1028" i="1"/>
  <c r="G543" i="1"/>
  <c r="G592" i="1"/>
  <c r="G329" i="1"/>
  <c r="G384" i="1"/>
  <c r="G782" i="1"/>
  <c r="G523" i="1"/>
  <c r="G50" i="1"/>
  <c r="G72" i="1"/>
  <c r="G961" i="1"/>
  <c r="G580" i="1"/>
  <c r="G387" i="1"/>
  <c r="G830" i="1"/>
  <c r="G117" i="1"/>
  <c r="G373" i="1"/>
  <c r="G104" i="1"/>
  <c r="G125" i="1"/>
  <c r="G1011" i="1"/>
  <c r="G774" i="1"/>
  <c r="G70" i="1"/>
  <c r="G777" i="1"/>
  <c r="G228" i="1"/>
  <c r="G945" i="1"/>
  <c r="G55" i="1"/>
  <c r="G778" i="1"/>
  <c r="G466" i="1"/>
  <c r="G433" i="1"/>
  <c r="G174" i="1"/>
  <c r="G574" i="1"/>
  <c r="G820" i="1"/>
  <c r="G599" i="1"/>
  <c r="G1032" i="1"/>
  <c r="G714" i="1"/>
  <c r="G504" i="1"/>
  <c r="G755" i="1"/>
  <c r="G832" i="1"/>
  <c r="G783" i="1"/>
  <c r="G16" i="1"/>
  <c r="G113" i="1"/>
  <c r="G124" i="1"/>
  <c r="G810" i="1"/>
  <c r="G653" i="1"/>
  <c r="G700" i="1"/>
  <c r="G40" i="1"/>
  <c r="G132" i="1"/>
  <c r="G128" i="1"/>
  <c r="G404" i="1"/>
  <c r="G306" i="1"/>
  <c r="G361" i="1"/>
  <c r="G88" i="1"/>
  <c r="G608" i="1"/>
  <c r="G876" i="1"/>
  <c r="G193" i="1"/>
  <c r="G517" i="1"/>
  <c r="G25" i="1"/>
  <c r="G808" i="1"/>
  <c r="G531" i="1"/>
  <c r="G853" i="1"/>
  <c r="G923" i="1"/>
  <c r="G988" i="1"/>
  <c r="G431" i="1"/>
  <c r="G965" i="1"/>
  <c r="G794" i="1"/>
  <c r="G73" i="1"/>
  <c r="G388" i="1"/>
  <c r="G767" i="1"/>
  <c r="G626" i="1"/>
  <c r="G893" i="1"/>
  <c r="G4" i="1"/>
  <c r="G872" i="1"/>
  <c r="G252" i="1"/>
  <c r="G288" i="1"/>
  <c r="G258" i="1"/>
  <c r="G491" i="1"/>
  <c r="G209" i="1"/>
  <c r="G868" i="1"/>
  <c r="G925" i="1"/>
  <c r="G585" i="1"/>
  <c r="G898" i="1"/>
  <c r="G246" i="1"/>
  <c r="G652" i="1"/>
  <c r="G586" i="1"/>
  <c r="G815" i="1"/>
  <c r="G835" i="1"/>
  <c r="G744" i="1"/>
  <c r="G933" i="1"/>
  <c r="G621" i="1"/>
  <c r="G112" i="1"/>
  <c r="G5" i="1"/>
  <c r="G166" i="1"/>
  <c r="G1003" i="1"/>
  <c r="G743" i="1"/>
  <c r="G539" i="1"/>
  <c r="G1029" i="1"/>
  <c r="G173" i="1"/>
  <c r="G62" i="1"/>
  <c r="G79" i="1"/>
  <c r="G809" i="1"/>
  <c r="G425" i="1"/>
  <c r="G785" i="1"/>
  <c r="G541" i="1"/>
  <c r="G1042" i="1"/>
  <c r="G689" i="1"/>
  <c r="G836" i="1"/>
  <c r="G633" i="1"/>
  <c r="G282" i="1"/>
  <c r="G52" i="1"/>
  <c r="G190" i="1"/>
  <c r="G31" i="1"/>
  <c r="G202" i="1"/>
  <c r="G931" i="1"/>
  <c r="G840" i="1"/>
  <c r="G1031" i="1"/>
  <c r="G740" i="1"/>
  <c r="G259" i="1"/>
  <c r="G554" i="1"/>
  <c r="G295" i="1"/>
  <c r="G967" i="1"/>
  <c r="G435" i="1"/>
  <c r="G148" i="1"/>
  <c r="G154" i="1"/>
  <c r="G639" i="1"/>
  <c r="G151" i="1"/>
  <c r="G233" i="1"/>
  <c r="G402" i="1"/>
  <c r="G990" i="1"/>
  <c r="G601" i="1"/>
  <c r="G417" i="1"/>
  <c r="G284" i="1"/>
  <c r="G115" i="1"/>
  <c r="G255" i="1"/>
  <c r="G107" i="1"/>
  <c r="G210" i="1"/>
  <c r="G337" i="1"/>
  <c r="G269" i="1"/>
  <c r="G977" i="1"/>
  <c r="G87" i="1"/>
  <c r="G161" i="1"/>
  <c r="G805" i="1"/>
  <c r="G230" i="1"/>
  <c r="G296" i="1"/>
  <c r="G566" i="1"/>
  <c r="G106" i="1"/>
  <c r="G994" i="1"/>
  <c r="G271" i="1"/>
  <c r="G670" i="1"/>
  <c r="G486" i="1"/>
  <c r="G741" i="1"/>
  <c r="G878" i="1"/>
  <c r="G975" i="1"/>
  <c r="G369" i="1"/>
  <c r="G974" i="1"/>
  <c r="G694" i="1"/>
  <c r="G19" i="1"/>
  <c r="G101" i="1"/>
  <c r="G461" i="1"/>
  <c r="G727" i="1"/>
  <c r="G99" i="1"/>
  <c r="G407" i="1"/>
  <c r="G134" i="1"/>
  <c r="G340" i="1"/>
  <c r="G899" i="1"/>
  <c r="G114" i="1"/>
  <c r="G954" i="1"/>
  <c r="G163" i="1"/>
  <c r="G58" i="1"/>
  <c r="G679" i="1"/>
  <c r="G261" i="1"/>
  <c r="G610" i="1"/>
  <c r="G647" i="1"/>
  <c r="G788" i="1"/>
  <c r="G188" i="1"/>
  <c r="G729" i="1"/>
  <c r="G728" i="1"/>
  <c r="G941" i="1"/>
  <c r="G726" i="1"/>
  <c r="G396" i="1"/>
  <c r="G682" i="1"/>
  <c r="G940" i="1"/>
  <c r="G506" i="1"/>
  <c r="G30" i="1"/>
  <c r="G145" i="1"/>
  <c r="G841" i="1"/>
  <c r="G942" i="1"/>
  <c r="G213" i="1"/>
  <c r="G807" i="1"/>
  <c r="G839" i="1"/>
  <c r="G270" i="1"/>
  <c r="G556" i="1"/>
  <c r="G448" i="1"/>
  <c r="G204" i="1"/>
  <c r="G219" i="1"/>
  <c r="G48" i="1"/>
  <c r="G894" i="1"/>
  <c r="G708" i="1"/>
  <c r="G371" i="1"/>
  <c r="G90" i="1"/>
  <c r="G758" i="1"/>
  <c r="G265" i="1"/>
  <c r="G414" i="1"/>
  <c r="G521" i="1"/>
  <c r="G693" i="1"/>
  <c r="G457" i="1"/>
  <c r="G497" i="1"/>
  <c r="G268" i="1"/>
  <c r="G822" i="1"/>
  <c r="G602" i="1"/>
  <c r="G650" i="1"/>
  <c r="G459" i="1"/>
  <c r="G57" i="1"/>
  <c r="G221" i="1"/>
  <c r="G323" i="1"/>
  <c r="G298" i="1"/>
  <c r="G286" i="1"/>
  <c r="G203" i="1"/>
  <c r="G479" i="1"/>
  <c r="G272" i="1"/>
  <c r="G677" i="1"/>
  <c r="G649" i="1"/>
  <c r="G53" i="1"/>
  <c r="G292" i="1"/>
  <c r="G225" i="1"/>
  <c r="G365" i="1"/>
  <c r="G122" i="1"/>
  <c r="G430" i="1"/>
  <c r="G416" i="1"/>
  <c r="G1047" i="1"/>
  <c r="G546" i="1"/>
  <c r="G111" i="1"/>
  <c r="G432" i="1"/>
  <c r="G671" i="1"/>
  <c r="G638" i="1"/>
  <c r="G401" i="1"/>
  <c r="G318" i="1"/>
  <c r="G929" i="1"/>
  <c r="G445" i="1"/>
  <c r="G100" i="1"/>
  <c r="G706" i="1"/>
  <c r="G18" i="1"/>
  <c r="G481" i="1"/>
  <c r="G816" i="1"/>
  <c r="G1030" i="1"/>
  <c r="G713" i="1"/>
  <c r="G47" i="1"/>
  <c r="G168" i="1"/>
  <c r="G189" i="1"/>
  <c r="G928" i="1"/>
  <c r="G772" i="1"/>
  <c r="G993" i="1"/>
  <c r="G51" i="1"/>
  <c r="G386" i="1"/>
  <c r="G131" i="1"/>
  <c r="G250" i="1"/>
  <c r="G334" i="1"/>
  <c r="G142" i="1"/>
  <c r="G391" i="1"/>
  <c r="G645" i="1"/>
  <c r="G301" i="1"/>
  <c r="G364" i="1"/>
  <c r="G464" i="1"/>
  <c r="G449" i="1"/>
  <c r="G950" i="1"/>
  <c r="G1016" i="1"/>
  <c r="G636" i="1"/>
  <c r="G499" i="1"/>
  <c r="G434" i="1"/>
  <c r="G930" i="1"/>
  <c r="G96" i="1"/>
  <c r="G739" i="1"/>
  <c r="G475" i="1"/>
  <c r="G688" i="1"/>
  <c r="G658" i="1"/>
  <c r="G14" i="1"/>
  <c r="G685" i="1"/>
  <c r="G440" i="1"/>
  <c r="G429" i="1"/>
  <c r="G819" i="1"/>
  <c r="G478" i="1"/>
  <c r="G757" i="1"/>
  <c r="G921" i="1"/>
  <c r="G453" i="1"/>
  <c r="G171" i="1"/>
  <c r="G362" i="1"/>
  <c r="G75" i="1"/>
  <c r="G956" i="1"/>
  <c r="G372" i="1"/>
  <c r="G667" i="1"/>
  <c r="G968" i="1"/>
  <c r="G415" i="1"/>
  <c r="G144" i="1"/>
  <c r="G186" i="1"/>
  <c r="G275" i="1"/>
  <c r="G1015" i="1"/>
  <c r="G35" i="1"/>
  <c r="G344" i="1"/>
  <c r="G12" i="1"/>
  <c r="G29" i="1"/>
  <c r="G707" i="1"/>
  <c r="G322" i="1"/>
  <c r="G146" i="1"/>
  <c r="G511" i="1"/>
  <c r="G3" i="1"/>
  <c r="G856" i="1"/>
  <c r="G507" i="1"/>
  <c r="G419" i="1"/>
  <c r="G10" i="1"/>
  <c r="G327" i="1"/>
  <c r="G6" i="1"/>
  <c r="G745" i="1"/>
  <c r="G955" i="1"/>
  <c r="G763" i="1"/>
  <c r="G208" i="1"/>
  <c r="G220" i="1"/>
  <c r="G283" i="1"/>
  <c r="G76" i="1"/>
  <c r="G1053" i="1"/>
  <c r="G938" i="1"/>
  <c r="G534" i="1"/>
  <c r="G311" i="1"/>
  <c r="G512" i="1"/>
  <c r="G907" i="1"/>
  <c r="G316" i="1"/>
  <c r="G751" i="1"/>
  <c r="G712" i="1"/>
  <c r="G304" i="1"/>
  <c r="G547" i="1"/>
  <c r="G249" i="1"/>
  <c r="G1021" i="1"/>
  <c r="G991" i="1"/>
  <c r="G776" i="1"/>
  <c r="G370" i="1"/>
  <c r="G426" i="1"/>
  <c r="G870" i="1"/>
  <c r="G302" i="1"/>
  <c r="G780" i="1"/>
  <c r="G552" i="1"/>
  <c r="G13" i="1"/>
  <c r="G74" i="1"/>
  <c r="G89" i="1"/>
  <c r="G305" i="1"/>
  <c r="G273" i="1"/>
  <c r="G406" i="1"/>
  <c r="G617" i="1"/>
  <c r="G274" i="1"/>
  <c r="G143" i="1"/>
  <c r="G508" i="1"/>
  <c r="G394" i="1"/>
  <c r="G529" i="1"/>
  <c r="G133" i="1"/>
  <c r="G139" i="1"/>
  <c r="G214" i="1"/>
  <c r="G223" i="1"/>
  <c r="G634" i="1"/>
  <c r="G883" i="1"/>
  <c r="G927" i="1"/>
  <c r="G217" i="1"/>
  <c r="G572" i="1"/>
  <c r="G784" i="1"/>
  <c r="G474" i="1"/>
  <c r="G524" i="1"/>
  <c r="G185" i="1"/>
  <c r="G668" i="1"/>
  <c r="G22" i="1"/>
  <c r="G651" i="1"/>
  <c r="G641" i="1"/>
  <c r="G987" i="1"/>
  <c r="G428" i="1"/>
  <c r="G576" i="1"/>
  <c r="G535" i="1"/>
  <c r="G752" i="1"/>
  <c r="G885" i="1"/>
  <c r="G266" i="1"/>
  <c r="G738" i="1"/>
  <c r="G721" i="1"/>
  <c r="G703" i="1"/>
  <c r="G224" i="1"/>
  <c r="G1024" i="1"/>
  <c r="G891" i="1"/>
  <c r="G45" i="1"/>
  <c r="G493" i="1"/>
  <c r="G60" i="1"/>
  <c r="G264" i="1"/>
  <c r="G267" i="1"/>
  <c r="G648" i="1"/>
  <c r="G129" i="1"/>
  <c r="G153" i="1"/>
  <c r="G240" i="1"/>
  <c r="G724" i="1"/>
  <c r="G514" i="1"/>
  <c r="G313" i="1"/>
  <c r="G116" i="1"/>
  <c r="G374" i="1"/>
  <c r="G227" i="1"/>
  <c r="G962" i="1"/>
  <c r="G177" i="1"/>
  <c r="G257" i="1"/>
  <c r="G522" i="1"/>
  <c r="G105" i="1"/>
  <c r="G196" i="1"/>
  <c r="G59" i="1"/>
  <c r="G309" i="1"/>
  <c r="G827" i="1"/>
  <c r="G1051" i="1"/>
  <c r="G471" i="1"/>
  <c r="G123" i="1"/>
  <c r="G775" i="1"/>
  <c r="G998" i="1"/>
  <c r="G277" i="1"/>
  <c r="G548" i="1"/>
  <c r="G600" i="1"/>
  <c r="G94" i="1"/>
  <c r="G579" i="1"/>
  <c r="G997" i="1"/>
  <c r="G654" i="1"/>
  <c r="G766" i="1"/>
  <c r="G696" i="1"/>
  <c r="G831" i="1"/>
  <c r="G462" i="1"/>
  <c r="G908" i="1"/>
  <c r="G812" i="1"/>
  <c r="G412" i="1"/>
  <c r="G549" i="1"/>
  <c r="G281" i="1"/>
  <c r="G919" i="1"/>
  <c r="G321" i="1"/>
  <c r="G356" i="1"/>
  <c r="G701" i="1"/>
  <c r="G20" i="1"/>
  <c r="G1050" i="1"/>
  <c r="G470" i="1"/>
  <c r="G332" i="1"/>
  <c r="G828" i="1"/>
  <c r="G684" i="1"/>
  <c r="G315" i="1"/>
  <c r="G555" i="1"/>
  <c r="G540" i="1"/>
  <c r="G1026" i="1"/>
  <c r="G170" i="1"/>
  <c r="G39" i="1"/>
  <c r="G335" i="1"/>
  <c r="G247" i="1"/>
  <c r="G17" i="1"/>
  <c r="G326" i="1"/>
  <c r="G1017" i="1"/>
  <c r="G683" i="1"/>
  <c r="G861" i="1"/>
  <c r="G260" i="1"/>
  <c r="G947" i="1"/>
  <c r="G1048" i="1"/>
  <c r="G913" i="1"/>
  <c r="G279" i="1"/>
  <c r="G989" i="1"/>
  <c r="G1012" i="1"/>
  <c r="G191" i="1"/>
  <c r="G21" i="1"/>
  <c r="G1043" i="1"/>
  <c r="G896" i="1"/>
  <c r="G447" i="1"/>
  <c r="G454" i="1"/>
  <c r="G1020" i="1"/>
  <c r="G786" i="1"/>
  <c r="G702" i="1"/>
  <c r="G982" i="1"/>
  <c r="G484" i="1"/>
  <c r="G178" i="1"/>
  <c r="G880" i="1"/>
  <c r="G716" i="1"/>
  <c r="G666" i="1"/>
  <c r="G730" i="1"/>
  <c r="G158" i="1"/>
  <c r="G575" i="1"/>
  <c r="G160" i="1"/>
  <c r="G801" i="1"/>
  <c r="G1005" i="1"/>
  <c r="G875" i="1"/>
  <c r="G711" i="1"/>
  <c r="G487" i="1"/>
  <c r="G179" i="1"/>
  <c r="G532" i="1"/>
  <c r="G867" i="1"/>
  <c r="G513" i="1"/>
  <c r="G704" i="1"/>
  <c r="G979" i="1"/>
  <c r="G320" i="1"/>
  <c r="G906" i="1"/>
  <c r="G324" i="1"/>
  <c r="G973" i="1"/>
  <c r="G341" i="1"/>
  <c r="G420" i="1"/>
  <c r="G44" i="1"/>
  <c r="G916" i="1"/>
  <c r="G7" i="1"/>
  <c r="G659" i="1"/>
  <c r="G289" i="1"/>
  <c r="G793" i="1"/>
  <c r="G720" i="1"/>
  <c r="G102" i="1"/>
  <c r="G918" i="1"/>
  <c r="G67" i="1"/>
  <c r="G503" i="1"/>
  <c r="G97" i="1"/>
  <c r="G366" i="1"/>
  <c r="G1044" i="1"/>
  <c r="G787" i="1"/>
  <c r="G519" i="1"/>
  <c r="G587" i="1"/>
  <c r="G992" i="1"/>
  <c r="G346" i="1"/>
  <c r="G821" i="1"/>
  <c r="G664" i="1"/>
  <c r="G1004" i="1"/>
  <c r="G902" i="1"/>
  <c r="G342" i="1"/>
  <c r="G290" i="1"/>
  <c r="G528" i="1"/>
  <c r="G84" i="1"/>
  <c r="G403" i="1"/>
  <c r="G770" i="1"/>
  <c r="G1037" i="1"/>
  <c r="G844" i="1"/>
  <c r="G970" i="1"/>
  <c r="G66" i="1"/>
  <c r="G1041" i="1"/>
  <c r="G533" i="1"/>
  <c r="G1018" i="1"/>
  <c r="G842" i="1"/>
  <c r="G978" i="1"/>
  <c r="G119" i="1"/>
  <c r="G957" i="1"/>
  <c r="G452" i="1"/>
  <c r="G864" i="1"/>
  <c r="G1006" i="1"/>
  <c r="G874" i="1"/>
  <c r="G126" i="1"/>
  <c r="G733" i="1"/>
  <c r="G498" i="1"/>
  <c r="G392" i="1"/>
  <c r="G423" i="1"/>
  <c r="G242" i="1"/>
  <c r="G593" i="1"/>
  <c r="G438" i="1"/>
  <c r="G972" i="1"/>
  <c r="G381" i="1"/>
  <c r="G845" i="1"/>
  <c r="G176" i="1"/>
  <c r="G881" i="1"/>
  <c r="G969" i="1"/>
  <c r="G662" i="1"/>
  <c r="G926" i="1"/>
  <c r="G920" i="1"/>
  <c r="G389" i="1"/>
  <c r="G42" i="1"/>
  <c r="G759" i="1"/>
  <c r="G206" i="1"/>
  <c r="G1033" i="1"/>
  <c r="G130" i="1"/>
  <c r="G687" i="1"/>
  <c r="G718" i="1"/>
  <c r="G201" i="1"/>
  <c r="G443" i="1"/>
  <c r="G848" i="1"/>
  <c r="G628" i="1"/>
  <c r="G490" i="1"/>
  <c r="G909" i="1"/>
  <c r="G646" i="1"/>
  <c r="G675" i="1"/>
  <c r="G368" i="1"/>
  <c r="G200" i="1"/>
  <c r="G644" i="1"/>
  <c r="G354" i="1"/>
  <c r="G11" i="1"/>
  <c r="G422" i="1"/>
  <c r="G303" i="1"/>
  <c r="G616" i="1"/>
  <c r="G336" i="1"/>
  <c r="G525" i="1"/>
  <c r="G860" i="1"/>
  <c r="G1025" i="1"/>
  <c r="G690" i="1"/>
  <c r="G768" i="1"/>
  <c r="G946" i="1"/>
  <c r="G615" i="1"/>
  <c r="G591" i="1"/>
  <c r="G900" i="1"/>
  <c r="G637" i="1"/>
  <c r="G568" i="1"/>
  <c r="G573" i="1"/>
  <c r="G619" i="1"/>
  <c r="G750" i="1"/>
  <c r="G597" i="1"/>
  <c r="G1002" i="1"/>
  <c r="G833" i="1"/>
  <c r="G542" i="1"/>
  <c r="G317" i="1"/>
  <c r="G181" i="1"/>
  <c r="G135" i="1"/>
  <c r="G263" i="1"/>
  <c r="G138" i="1"/>
  <c r="G38" i="1"/>
  <c r="G1014" i="1"/>
  <c r="G960" i="1"/>
  <c r="G562" i="1"/>
  <c r="G15" i="1"/>
  <c r="G68" i="1"/>
  <c r="G207" i="1"/>
  <c r="G526" i="1"/>
  <c r="G849" i="1"/>
  <c r="G769" i="1"/>
  <c r="G251" i="1"/>
  <c r="G43" i="1"/>
  <c r="G665" i="1"/>
  <c r="G293" i="1"/>
  <c r="G330" i="1"/>
  <c r="G502" i="1"/>
  <c r="G656" i="1"/>
  <c r="G243" i="1"/>
  <c r="G108" i="1"/>
  <c r="G756" i="1"/>
  <c r="G623" i="1"/>
  <c r="G485" i="1"/>
  <c r="G427" i="1"/>
  <c r="G922" i="1"/>
  <c r="G180" i="1"/>
  <c r="G465" i="1"/>
  <c r="G749" i="1"/>
  <c r="G886" i="1"/>
  <c r="G482" i="1"/>
  <c r="G285" i="1"/>
  <c r="G34" i="1"/>
  <c r="G509" i="1"/>
  <c r="G473" i="1"/>
  <c r="G351" i="1"/>
  <c r="G33" i="1"/>
  <c r="G1040" i="1"/>
  <c r="G669" i="1"/>
  <c r="G54" i="1"/>
  <c r="G806" i="1"/>
  <c r="G299" i="1"/>
  <c r="G375" i="1"/>
  <c r="G516" i="1"/>
  <c r="G61" i="1"/>
  <c r="G958" i="1"/>
  <c r="G469" i="1"/>
  <c r="G813" i="1"/>
  <c r="G953" i="1"/>
  <c r="G1045" i="1"/>
  <c r="G28" i="1"/>
  <c r="G764" i="1"/>
  <c r="G971" i="1"/>
  <c r="G746" i="1"/>
  <c r="G325" i="1"/>
  <c r="G157" i="1"/>
  <c r="G545" i="1"/>
  <c r="G300" i="1"/>
  <c r="G723" i="1"/>
  <c r="G377" i="1"/>
  <c r="G915" i="1"/>
  <c r="G871" i="1"/>
  <c r="G291" i="1"/>
  <c r="G792" i="1"/>
  <c r="G854" i="1"/>
  <c r="G450" i="1"/>
  <c r="G455" i="1"/>
  <c r="G231" i="1"/>
  <c r="G78" i="1"/>
  <c r="G32" i="1"/>
  <c r="G1001" i="1"/>
  <c r="G627" i="1"/>
  <c r="G536" i="1"/>
  <c r="G379" i="1"/>
  <c r="G995" i="1"/>
  <c r="G81" i="1"/>
  <c r="G515" i="1"/>
  <c r="G280" i="1"/>
  <c r="G363" i="1"/>
  <c r="G378" i="1"/>
  <c r="G595" i="1"/>
  <c r="G710" i="1"/>
  <c r="G1027" i="1"/>
  <c r="G937" i="1"/>
  <c r="G890" i="1"/>
  <c r="G192" i="1"/>
  <c r="G215" i="1"/>
  <c r="G895" i="1"/>
  <c r="G565" i="1"/>
  <c r="B23" i="7" l="1"/>
  <c r="R3" i="7"/>
  <c r="L3" i="7" s="1"/>
  <c r="M3" i="7" s="1"/>
  <c r="N3" i="7" s="1"/>
  <c r="B14" i="3"/>
  <c r="B105" i="4" s="1"/>
  <c r="B23" i="3"/>
  <c r="B24" i="3" s="1"/>
  <c r="B25" i="3" s="1"/>
  <c r="B75" i="4"/>
  <c r="D22" i="4" s="1"/>
  <c r="D8" i="4"/>
  <c r="H3" i="7" l="1"/>
  <c r="I3" i="7" s="1"/>
  <c r="J3" i="7" s="1"/>
  <c r="K3" i="7" s="1"/>
  <c r="S4" i="7" s="1"/>
  <c r="Q4" i="7"/>
  <c r="O3" i="7"/>
  <c r="T4" i="7" s="1"/>
  <c r="B106" i="4"/>
  <c r="B107" i="4"/>
  <c r="D15" i="4"/>
  <c r="D14" i="4"/>
  <c r="B124" i="4" s="1"/>
  <c r="B78" i="4"/>
  <c r="D9" i="4"/>
  <c r="P4" i="7" l="1"/>
  <c r="R4" i="7" s="1"/>
  <c r="B109" i="4"/>
  <c r="B110" i="4" s="1"/>
  <c r="D30" i="4" s="1"/>
  <c r="B108" i="4"/>
  <c r="B114" i="4" s="1"/>
  <c r="D31" i="4" s="1"/>
  <c r="B80" i="4"/>
  <c r="B81" i="4"/>
  <c r="G4" i="7" l="1"/>
  <c r="L4" i="7" s="1"/>
  <c r="M4" i="7" s="1"/>
  <c r="N4" i="7" s="1"/>
  <c r="B82" i="4"/>
  <c r="B88" i="4" s="1"/>
  <c r="D24" i="4" s="1"/>
  <c r="B118" i="4"/>
  <c r="B119" i="4" s="1"/>
  <c r="D33" i="4" s="1"/>
  <c r="B83" i="4"/>
  <c r="B84" i="4" s="1"/>
  <c r="B92" i="4" s="1"/>
  <c r="B93" i="4" s="1"/>
  <c r="D26" i="4" s="1"/>
  <c r="H4" i="7" l="1"/>
  <c r="I4" i="7" s="1"/>
  <c r="J4" i="7" s="1"/>
  <c r="K4" i="7" s="1"/>
  <c r="S5" i="7" s="1"/>
  <c r="Q5" i="7"/>
  <c r="O4" i="7"/>
  <c r="T5" i="7" s="1"/>
  <c r="D32" i="4"/>
  <c r="D25" i="4"/>
  <c r="D23" i="4"/>
  <c r="P5" i="7" l="1"/>
  <c r="R5" i="7" s="1"/>
  <c r="G5" i="7" l="1"/>
  <c r="L5" i="7" s="1"/>
  <c r="M5" i="7" s="1"/>
  <c r="N5" i="7" s="1"/>
  <c r="H5" i="7" l="1"/>
  <c r="I5" i="7" s="1"/>
  <c r="J5" i="7" s="1"/>
  <c r="P6" i="7" s="1"/>
  <c r="O5" i="7"/>
  <c r="T6" i="7" s="1"/>
  <c r="Q6" i="7"/>
  <c r="K5" i="7" l="1"/>
  <c r="S6" i="7" s="1"/>
  <c r="R6" i="7"/>
  <c r="G6" i="7"/>
  <c r="L6" i="7" l="1"/>
  <c r="M6" i="7" s="1"/>
  <c r="N6" i="7" s="1"/>
  <c r="H6" i="7"/>
  <c r="I6" i="7" s="1"/>
  <c r="J6" i="7" s="1"/>
  <c r="K6" i="7" l="1"/>
  <c r="S7" i="7" s="1"/>
  <c r="P7" i="7"/>
  <c r="Q7" i="7"/>
  <c r="O6" i="7"/>
  <c r="T7" i="7" s="1"/>
  <c r="G7" i="7" l="1"/>
  <c r="R7" i="7"/>
  <c r="L7" i="7" l="1"/>
  <c r="M7" i="7" s="1"/>
  <c r="N7" i="7" s="1"/>
  <c r="H7" i="7"/>
  <c r="I7" i="7" s="1"/>
  <c r="J7" i="7" s="1"/>
  <c r="K7" i="7" l="1"/>
  <c r="S8" i="7" s="1"/>
  <c r="P8" i="7"/>
  <c r="O7" i="7"/>
  <c r="T8" i="7" s="1"/>
  <c r="Q8" i="7"/>
  <c r="G8" i="7" l="1"/>
  <c r="R8" i="7"/>
  <c r="H8" i="7" l="1"/>
  <c r="I8" i="7" s="1"/>
  <c r="J8" i="7" s="1"/>
  <c r="L8" i="7"/>
  <c r="M8" i="7" s="1"/>
  <c r="N8" i="7" s="1"/>
  <c r="Q9" i="7" l="1"/>
  <c r="O8" i="7"/>
  <c r="T9" i="7" s="1"/>
  <c r="K8" i="7"/>
  <c r="S9" i="7" s="1"/>
  <c r="P9" i="7"/>
  <c r="R9" i="7" l="1"/>
  <c r="G9" i="7"/>
  <c r="L9" i="7" l="1"/>
  <c r="M9" i="7" s="1"/>
  <c r="N9" i="7" s="1"/>
  <c r="H9" i="7"/>
  <c r="I9" i="7" s="1"/>
  <c r="J9" i="7" s="1"/>
  <c r="P10" i="7" l="1"/>
  <c r="K9" i="7"/>
  <c r="S10" i="7" s="1"/>
  <c r="Q10" i="7"/>
  <c r="O9" i="7"/>
  <c r="T10" i="7" s="1"/>
  <c r="G10" i="7" l="1"/>
  <c r="R10" i="7"/>
  <c r="L10" i="7" l="1"/>
  <c r="M10" i="7" s="1"/>
  <c r="N10" i="7" s="1"/>
  <c r="H10" i="7"/>
  <c r="I10" i="7" s="1"/>
  <c r="J10" i="7" s="1"/>
  <c r="K10" i="7" l="1"/>
  <c r="S11" i="7" s="1"/>
  <c r="P11" i="7"/>
  <c r="O10" i="7"/>
  <c r="T11" i="7" s="1"/>
  <c r="Q11" i="7"/>
  <c r="R11" i="7" l="1"/>
  <c r="G11" i="7"/>
  <c r="H11" i="7" l="1"/>
  <c r="I11" i="7" s="1"/>
  <c r="J11" i="7" s="1"/>
  <c r="L11" i="7"/>
  <c r="M11" i="7" s="1"/>
  <c r="N11" i="7" s="1"/>
  <c r="Q12" i="7" l="1"/>
  <c r="O11" i="7"/>
  <c r="T12" i="7" s="1"/>
  <c r="K11" i="7"/>
  <c r="S12" i="7" s="1"/>
  <c r="P12" i="7"/>
  <c r="R12" i="7" l="1"/>
  <c r="G12" i="7"/>
  <c r="L12" i="7" l="1"/>
  <c r="M12" i="7" s="1"/>
  <c r="N12" i="7" s="1"/>
  <c r="H12" i="7"/>
  <c r="I12" i="7" s="1"/>
  <c r="J12" i="7" s="1"/>
  <c r="P13" i="7" l="1"/>
  <c r="K12" i="7"/>
  <c r="S13" i="7" s="1"/>
  <c r="Q13" i="7"/>
  <c r="O12" i="7"/>
  <c r="T13" i="7" s="1"/>
  <c r="R13" i="7" l="1"/>
  <c r="G13" i="7"/>
  <c r="L13" i="7" l="1"/>
  <c r="M13" i="7" s="1"/>
  <c r="N13" i="7" s="1"/>
  <c r="H13" i="7"/>
  <c r="I13" i="7" s="1"/>
  <c r="J13" i="7" s="1"/>
  <c r="K13" i="7" l="1"/>
  <c r="S14" i="7" s="1"/>
  <c r="P14" i="7"/>
  <c r="Q14" i="7"/>
  <c r="O13" i="7"/>
  <c r="T14" i="7" s="1"/>
  <c r="G14" i="7" l="1"/>
  <c r="R14" i="7"/>
  <c r="L14" i="7" l="1"/>
  <c r="M14" i="7" s="1"/>
  <c r="N14" i="7" s="1"/>
  <c r="H14" i="7"/>
  <c r="I14" i="7" s="1"/>
  <c r="J14" i="7" s="1"/>
  <c r="P15" i="7" l="1"/>
  <c r="K14" i="7"/>
  <c r="S15" i="7" s="1"/>
  <c r="Q15" i="7"/>
  <c r="O14" i="7"/>
  <c r="T15" i="7" s="1"/>
  <c r="G15" i="7" l="1"/>
  <c r="R15" i="7"/>
  <c r="L15" i="7" l="1"/>
  <c r="M15" i="7" s="1"/>
  <c r="N15" i="7" s="1"/>
  <c r="H15" i="7"/>
  <c r="I15" i="7" s="1"/>
  <c r="J15" i="7" s="1"/>
  <c r="K15" i="7" l="1"/>
  <c r="S16" i="7" s="1"/>
  <c r="P16" i="7"/>
  <c r="Q16" i="7"/>
  <c r="O15" i="7"/>
  <c r="T16" i="7" s="1"/>
  <c r="G16" i="7" l="1"/>
  <c r="R16" i="7"/>
  <c r="L16" i="7" l="1"/>
  <c r="M16" i="7" s="1"/>
  <c r="N16" i="7" s="1"/>
  <c r="H16" i="7"/>
  <c r="I16" i="7" s="1"/>
  <c r="J16" i="7" s="1"/>
  <c r="K16" i="7" l="1"/>
  <c r="S17" i="7" s="1"/>
  <c r="P17" i="7"/>
  <c r="O16" i="7"/>
  <c r="T17" i="7" s="1"/>
  <c r="Q17" i="7"/>
  <c r="G17" i="7" l="1"/>
  <c r="R17" i="7"/>
  <c r="L17" i="7" l="1"/>
  <c r="M17" i="7" s="1"/>
  <c r="N17" i="7" s="1"/>
  <c r="H17" i="7"/>
  <c r="I17" i="7" s="1"/>
  <c r="J17" i="7" s="1"/>
  <c r="K17" i="7" l="1"/>
  <c r="S18" i="7" s="1"/>
  <c r="P18" i="7"/>
  <c r="Q18" i="7"/>
  <c r="O17" i="7"/>
  <c r="T18" i="7" s="1"/>
  <c r="R18" i="7" l="1"/>
  <c r="G18" i="7"/>
  <c r="H18" i="7" l="1"/>
  <c r="I18" i="7" s="1"/>
  <c r="J18" i="7" s="1"/>
  <c r="L18" i="7"/>
  <c r="M18" i="7" s="1"/>
  <c r="N18" i="7" s="1"/>
  <c r="Q19" i="7" l="1"/>
  <c r="O18" i="7"/>
  <c r="T19" i="7" s="1"/>
  <c r="K18" i="7"/>
  <c r="S19" i="7" s="1"/>
  <c r="P19" i="7"/>
  <c r="R19" i="7" l="1"/>
  <c r="G19" i="7"/>
  <c r="H19" i="7" l="1"/>
  <c r="I19" i="7" s="1"/>
  <c r="J19" i="7" s="1"/>
  <c r="L19" i="7"/>
  <c r="M19" i="7" s="1"/>
  <c r="N19" i="7" s="1"/>
  <c r="O19" i="7" l="1"/>
  <c r="T20" i="7" s="1"/>
  <c r="Q20" i="7"/>
  <c r="P20" i="7"/>
  <c r="K19" i="7"/>
  <c r="S20" i="7" s="1"/>
  <c r="R20" i="7" l="1"/>
  <c r="G20" i="7"/>
  <c r="H20" i="7" l="1"/>
  <c r="I20" i="7" s="1"/>
  <c r="J20" i="7" s="1"/>
  <c r="L20" i="7"/>
  <c r="M20" i="7" s="1"/>
  <c r="N20" i="7" s="1"/>
  <c r="Q21" i="7" l="1"/>
  <c r="O20" i="7"/>
  <c r="T21" i="7" s="1"/>
  <c r="K20" i="7"/>
  <c r="S21" i="7" s="1"/>
  <c r="P21" i="7"/>
  <c r="G21" i="7" l="1"/>
  <c r="R21" i="7"/>
  <c r="H21" i="7" l="1"/>
  <c r="I21" i="7" s="1"/>
  <c r="J21" i="7" s="1"/>
  <c r="L21" i="7"/>
  <c r="M21" i="7" s="1"/>
  <c r="N21" i="7" s="1"/>
  <c r="Q22" i="7" l="1"/>
  <c r="O21" i="7"/>
  <c r="T22" i="7" s="1"/>
  <c r="P22" i="7"/>
  <c r="K21" i="7"/>
  <c r="S22" i="7" s="1"/>
  <c r="R22" i="7" l="1"/>
  <c r="G22" i="7"/>
  <c r="L22" i="7" l="1"/>
  <c r="M22" i="7" s="1"/>
  <c r="N22" i="7" s="1"/>
  <c r="H22" i="7"/>
  <c r="I22" i="7" s="1"/>
  <c r="J22" i="7" s="1"/>
  <c r="K22" i="7" l="1"/>
  <c r="S23" i="7" s="1"/>
  <c r="P23" i="7"/>
  <c r="O22" i="7"/>
  <c r="T23" i="7" s="1"/>
  <c r="Q23" i="7"/>
  <c r="R23" i="7" l="1"/>
  <c r="G23" i="7"/>
  <c r="H23" i="7" l="1"/>
  <c r="I23" i="7" s="1"/>
  <c r="J23" i="7" s="1"/>
  <c r="L23" i="7"/>
  <c r="M23" i="7" s="1"/>
  <c r="N23" i="7" s="1"/>
  <c r="O23" i="7" l="1"/>
  <c r="T24" i="7" s="1"/>
  <c r="Q24" i="7"/>
  <c r="K23" i="7"/>
  <c r="S24" i="7" s="1"/>
  <c r="P24" i="7"/>
  <c r="R24" i="7" l="1"/>
  <c r="G24" i="7"/>
  <c r="L24" i="7" l="1"/>
  <c r="M24" i="7" s="1"/>
  <c r="N24" i="7" s="1"/>
  <c r="H24" i="7"/>
  <c r="I24" i="7" s="1"/>
  <c r="J24" i="7" s="1"/>
  <c r="P25" i="7" l="1"/>
  <c r="K24" i="7"/>
  <c r="S25" i="7" s="1"/>
  <c r="Q25" i="7"/>
  <c r="O24" i="7"/>
  <c r="T25" i="7" s="1"/>
  <c r="G25" i="7" l="1"/>
  <c r="R25" i="7"/>
  <c r="H25" i="7" l="1"/>
  <c r="I25" i="7" s="1"/>
  <c r="J25" i="7" s="1"/>
  <c r="L25" i="7"/>
  <c r="M25" i="7" s="1"/>
  <c r="N25" i="7" s="1"/>
  <c r="O25" i="7" l="1"/>
  <c r="T26" i="7" s="1"/>
  <c r="Q26" i="7"/>
  <c r="K25" i="7"/>
  <c r="S26" i="7" s="1"/>
  <c r="P26" i="7"/>
  <c r="G26" i="7" l="1"/>
  <c r="R26" i="7"/>
  <c r="L26" i="7" l="1"/>
  <c r="M26" i="7" s="1"/>
  <c r="N26" i="7" s="1"/>
  <c r="H26" i="7"/>
  <c r="I26" i="7" s="1"/>
  <c r="J26" i="7" s="1"/>
  <c r="P27" i="7" l="1"/>
  <c r="K26" i="7"/>
  <c r="S27" i="7" s="1"/>
  <c r="Q27" i="7"/>
  <c r="O26" i="7"/>
  <c r="T27" i="7" s="1"/>
  <c r="R27" i="7" l="1"/>
  <c r="G27" i="7"/>
  <c r="L27" i="7" l="1"/>
  <c r="M27" i="7" s="1"/>
  <c r="N27" i="7" s="1"/>
  <c r="H27" i="7"/>
  <c r="I27" i="7" s="1"/>
  <c r="J27" i="7" s="1"/>
  <c r="K27" i="7" l="1"/>
  <c r="S28" i="7" s="1"/>
  <c r="P28" i="7"/>
  <c r="Q28" i="7"/>
  <c r="O27" i="7"/>
  <c r="T28" i="7" s="1"/>
  <c r="R28" i="7" l="1"/>
  <c r="G28" i="7"/>
  <c r="L28" i="7" l="1"/>
  <c r="M28" i="7" s="1"/>
  <c r="N28" i="7" s="1"/>
  <c r="H28" i="7"/>
  <c r="I28" i="7" s="1"/>
  <c r="J28" i="7" s="1"/>
  <c r="K28" i="7" l="1"/>
  <c r="S29" i="7" s="1"/>
  <c r="P29" i="7"/>
  <c r="Q29" i="7"/>
  <c r="O28" i="7"/>
  <c r="T29" i="7" s="1"/>
  <c r="G29" i="7" l="1"/>
  <c r="R29" i="7"/>
  <c r="L29" i="7" l="1"/>
  <c r="M29" i="7" s="1"/>
  <c r="N29" i="7" s="1"/>
  <c r="H29" i="7"/>
  <c r="I29" i="7" s="1"/>
  <c r="J29" i="7" s="1"/>
  <c r="K29" i="7" l="1"/>
  <c r="S30" i="7" s="1"/>
  <c r="P30" i="7"/>
  <c r="O29" i="7"/>
  <c r="T30" i="7" s="1"/>
  <c r="Q30" i="7"/>
  <c r="G30" i="7" l="1"/>
  <c r="R30" i="7"/>
  <c r="H30" i="7" l="1"/>
  <c r="I30" i="7" s="1"/>
  <c r="J30" i="7" s="1"/>
  <c r="L30" i="7"/>
  <c r="M30" i="7" s="1"/>
  <c r="N30" i="7" s="1"/>
  <c r="O30" i="7" l="1"/>
  <c r="T31" i="7" s="1"/>
  <c r="Q31" i="7"/>
  <c r="K30" i="7"/>
  <c r="S31" i="7" s="1"/>
  <c r="P31" i="7"/>
  <c r="G31" i="7" l="1"/>
  <c r="R31" i="7"/>
  <c r="H31" i="7" l="1"/>
  <c r="I31" i="7" s="1"/>
  <c r="J31" i="7" s="1"/>
  <c r="L31" i="7"/>
  <c r="M31" i="7" s="1"/>
  <c r="N31" i="7" s="1"/>
  <c r="O31" i="7" l="1"/>
  <c r="T32" i="7" s="1"/>
  <c r="Q32" i="7"/>
  <c r="K31" i="7"/>
  <c r="S32" i="7" s="1"/>
  <c r="P32" i="7"/>
  <c r="G32" i="7" l="1"/>
  <c r="R32" i="7"/>
  <c r="H32" i="7" l="1"/>
  <c r="I32" i="7" s="1"/>
  <c r="J32" i="7" s="1"/>
  <c r="L32" i="7"/>
  <c r="M32" i="7" s="1"/>
  <c r="N32" i="7" s="1"/>
  <c r="O32" i="7" l="1"/>
  <c r="T33" i="7" s="1"/>
  <c r="Q33" i="7"/>
  <c r="K32" i="7"/>
  <c r="S33" i="7" s="1"/>
  <c r="P33" i="7"/>
  <c r="R33" i="7" l="1"/>
  <c r="G33" i="7"/>
  <c r="H33" i="7" l="1"/>
  <c r="I33" i="7" s="1"/>
  <c r="J33" i="7" s="1"/>
  <c r="L33" i="7"/>
  <c r="M33" i="7" s="1"/>
  <c r="N33" i="7" s="1"/>
  <c r="Q34" i="7" l="1"/>
  <c r="O33" i="7"/>
  <c r="T34" i="7" s="1"/>
  <c r="P34" i="7"/>
  <c r="K33" i="7"/>
  <c r="S34" i="7" s="1"/>
  <c r="R34" i="7" l="1"/>
  <c r="G34" i="7"/>
  <c r="L34" i="7" l="1"/>
  <c r="M34" i="7" s="1"/>
  <c r="N34" i="7" s="1"/>
  <c r="H34" i="7"/>
  <c r="I34" i="7" s="1"/>
  <c r="J34" i="7" s="1"/>
  <c r="K34" i="7" l="1"/>
  <c r="S35" i="7" s="1"/>
  <c r="P35" i="7"/>
  <c r="O34" i="7"/>
  <c r="T35" i="7" s="1"/>
  <c r="Q35" i="7"/>
  <c r="G35" i="7" l="1"/>
  <c r="R35" i="7"/>
  <c r="L35" i="7" l="1"/>
  <c r="M35" i="7" s="1"/>
  <c r="N35" i="7" s="1"/>
  <c r="H35" i="7"/>
  <c r="I35" i="7" s="1"/>
  <c r="J35" i="7" s="1"/>
  <c r="P36" i="7" l="1"/>
  <c r="K35" i="7"/>
  <c r="S36" i="7" s="1"/>
  <c r="Q36" i="7"/>
  <c r="O35" i="7"/>
  <c r="T36" i="7" s="1"/>
  <c r="R36" i="7" l="1"/>
  <c r="G36" i="7"/>
  <c r="L36" i="7" l="1"/>
  <c r="M36" i="7" s="1"/>
  <c r="N36" i="7" s="1"/>
  <c r="H36" i="7"/>
  <c r="I36" i="7" s="1"/>
  <c r="J36" i="7" s="1"/>
  <c r="K36" i="7" l="1"/>
  <c r="S37" i="7" s="1"/>
  <c r="P37" i="7"/>
  <c r="O36" i="7"/>
  <c r="T37" i="7" s="1"/>
  <c r="Q37" i="7"/>
  <c r="G37" i="7" l="1"/>
  <c r="R37" i="7"/>
  <c r="L37" i="7" l="1"/>
  <c r="M37" i="7" s="1"/>
  <c r="N37" i="7" s="1"/>
  <c r="H37" i="7"/>
  <c r="I37" i="7" s="1"/>
  <c r="J37" i="7" s="1"/>
  <c r="P38" i="7" l="1"/>
  <c r="K37" i="7"/>
  <c r="S38" i="7" s="1"/>
  <c r="O37" i="7"/>
  <c r="T38" i="7" s="1"/>
  <c r="Q38" i="7"/>
  <c r="G38" i="7" l="1"/>
  <c r="R38" i="7"/>
  <c r="L38" i="7" l="1"/>
  <c r="M38" i="7" s="1"/>
  <c r="N38" i="7" s="1"/>
  <c r="H38" i="7"/>
  <c r="I38" i="7" s="1"/>
  <c r="J38" i="7" s="1"/>
  <c r="P39" i="7" l="1"/>
  <c r="K38" i="7"/>
  <c r="S39" i="7" s="1"/>
  <c r="Q39" i="7"/>
  <c r="O38" i="7"/>
  <c r="T39" i="7" s="1"/>
  <c r="G39" i="7" l="1"/>
  <c r="R39" i="7"/>
  <c r="L39" i="7" l="1"/>
  <c r="M39" i="7" s="1"/>
  <c r="N39" i="7" s="1"/>
  <c r="H39" i="7"/>
  <c r="I39" i="7" s="1"/>
  <c r="J39" i="7" s="1"/>
  <c r="K39" i="7" l="1"/>
  <c r="S40" i="7" s="1"/>
  <c r="P40" i="7"/>
  <c r="Q40" i="7"/>
  <c r="O39" i="7"/>
  <c r="T40" i="7" s="1"/>
  <c r="G40" i="7" l="1"/>
  <c r="R40" i="7"/>
  <c r="H40" i="7" l="1"/>
  <c r="I40" i="7" s="1"/>
  <c r="J40" i="7" s="1"/>
  <c r="L40" i="7"/>
  <c r="M40" i="7" s="1"/>
  <c r="N40" i="7" s="1"/>
  <c r="Q41" i="7" l="1"/>
  <c r="O40" i="7"/>
  <c r="T41" i="7" s="1"/>
  <c r="K40" i="7"/>
  <c r="S41" i="7" s="1"/>
  <c r="P41" i="7"/>
  <c r="R41" i="7" l="1"/>
  <c r="G41" i="7"/>
  <c r="H41" i="7" l="1"/>
  <c r="I41" i="7" s="1"/>
  <c r="J41" i="7" s="1"/>
  <c r="L41" i="7"/>
  <c r="M41" i="7" s="1"/>
  <c r="N41" i="7" s="1"/>
  <c r="Q42" i="7" l="1"/>
  <c r="O41" i="7"/>
  <c r="T42" i="7" s="1"/>
  <c r="P42" i="7"/>
  <c r="K41" i="7"/>
  <c r="S42" i="7" s="1"/>
  <c r="G42" i="7" l="1"/>
  <c r="R42" i="7"/>
  <c r="H42" i="7" l="1"/>
  <c r="I42" i="7" s="1"/>
  <c r="J42" i="7" s="1"/>
  <c r="L42" i="7"/>
  <c r="M42" i="7" s="1"/>
  <c r="N42" i="7" s="1"/>
  <c r="O42" i="7" l="1"/>
  <c r="T43" i="7" s="1"/>
  <c r="Q43" i="7"/>
  <c r="K42" i="7"/>
  <c r="S43" i="7" s="1"/>
  <c r="P43" i="7"/>
  <c r="R43" i="7" l="1"/>
  <c r="G43" i="7"/>
  <c r="L43" i="7" l="1"/>
  <c r="M43" i="7" s="1"/>
  <c r="N43" i="7" s="1"/>
  <c r="H43" i="7"/>
  <c r="I43" i="7" s="1"/>
  <c r="J43" i="7" s="1"/>
  <c r="P44" i="7" l="1"/>
  <c r="K43" i="7"/>
  <c r="S44" i="7" s="1"/>
  <c r="O43" i="7"/>
  <c r="T44" i="7" s="1"/>
  <c r="Q44" i="7"/>
  <c r="R44" i="7" l="1"/>
  <c r="G44" i="7"/>
  <c r="L44" i="7" l="1"/>
  <c r="M44" i="7" s="1"/>
  <c r="N44" i="7" s="1"/>
  <c r="H44" i="7"/>
  <c r="I44" i="7" s="1"/>
  <c r="J44" i="7" s="1"/>
  <c r="P45" i="7" l="1"/>
  <c r="K44" i="7"/>
  <c r="S45" i="7" s="1"/>
  <c r="Q45" i="7"/>
  <c r="O44" i="7"/>
  <c r="T45" i="7" s="1"/>
  <c r="G45" i="7" l="1"/>
  <c r="R45" i="7"/>
  <c r="H45" i="7" l="1"/>
  <c r="I45" i="7" s="1"/>
  <c r="J45" i="7" s="1"/>
  <c r="L45" i="7"/>
  <c r="M45" i="7" s="1"/>
  <c r="N45" i="7" s="1"/>
  <c r="O45" i="7" l="1"/>
  <c r="T46" i="7" s="1"/>
  <c r="Q46" i="7"/>
  <c r="K45" i="7"/>
  <c r="S46" i="7" s="1"/>
  <c r="P46" i="7"/>
  <c r="R46" i="7" l="1"/>
  <c r="G46" i="7"/>
  <c r="L46" i="7" l="1"/>
  <c r="M46" i="7" s="1"/>
  <c r="N46" i="7" s="1"/>
  <c r="H46" i="7"/>
  <c r="I46" i="7" s="1"/>
  <c r="J46" i="7" s="1"/>
  <c r="P47" i="7" l="1"/>
  <c r="K46" i="7"/>
  <c r="S47" i="7" s="1"/>
  <c r="O46" i="7"/>
  <c r="T47" i="7" s="1"/>
  <c r="Q47" i="7"/>
  <c r="R47" i="7" l="1"/>
  <c r="G47" i="7"/>
  <c r="H47" i="7" l="1"/>
  <c r="I47" i="7" s="1"/>
  <c r="J47" i="7" s="1"/>
  <c r="L47" i="7"/>
  <c r="M47" i="7" s="1"/>
  <c r="N47" i="7" s="1"/>
  <c r="O47" i="7" l="1"/>
  <c r="T48" i="7" s="1"/>
  <c r="Q48" i="7"/>
  <c r="P48" i="7"/>
  <c r="K47" i="7"/>
  <c r="S48" i="7" s="1"/>
  <c r="R48" i="7" l="1"/>
  <c r="G48" i="7"/>
  <c r="L48" i="7" l="1"/>
  <c r="M48" i="7" s="1"/>
  <c r="N48" i="7" s="1"/>
  <c r="H48" i="7"/>
  <c r="I48" i="7" s="1"/>
  <c r="J48" i="7" s="1"/>
  <c r="P49" i="7" l="1"/>
  <c r="K48" i="7"/>
  <c r="S49" i="7" s="1"/>
  <c r="O48" i="7"/>
  <c r="T49" i="7" s="1"/>
  <c r="Q49" i="7"/>
  <c r="G49" i="7" l="1"/>
  <c r="R49" i="7"/>
  <c r="L49" i="7" l="1"/>
  <c r="M49" i="7" s="1"/>
  <c r="N49" i="7" s="1"/>
  <c r="H49" i="7"/>
  <c r="I49" i="7" s="1"/>
  <c r="J49" i="7" s="1"/>
  <c r="P50" i="7" l="1"/>
  <c r="K49" i="7"/>
  <c r="S50" i="7" s="1"/>
  <c r="O49" i="7"/>
  <c r="T50" i="7" s="1"/>
  <c r="Q50" i="7"/>
  <c r="R50" i="7" l="1"/>
  <c r="G50" i="7"/>
  <c r="L50" i="7" l="1"/>
  <c r="M50" i="7" s="1"/>
  <c r="N50" i="7" s="1"/>
  <c r="H50" i="7"/>
  <c r="I50" i="7" s="1"/>
  <c r="J50" i="7" s="1"/>
  <c r="P51" i="7" l="1"/>
  <c r="K50" i="7"/>
  <c r="S51" i="7" s="1"/>
  <c r="Q51" i="7"/>
  <c r="O50" i="7"/>
  <c r="T51" i="7" s="1"/>
  <c r="G51" i="7" l="1"/>
  <c r="R51" i="7"/>
  <c r="H51" i="7" l="1"/>
  <c r="I51" i="7" s="1"/>
  <c r="J51" i="7" s="1"/>
  <c r="L51" i="7"/>
  <c r="M51" i="7" s="1"/>
  <c r="N51" i="7" s="1"/>
  <c r="Q52" i="7" l="1"/>
  <c r="O51" i="7"/>
  <c r="T52" i="7" s="1"/>
  <c r="P52" i="7"/>
  <c r="K51" i="7"/>
  <c r="S52" i="7" s="1"/>
  <c r="R52" i="7" l="1"/>
  <c r="G52" i="7"/>
  <c r="L52" i="7" l="1"/>
  <c r="M52" i="7" s="1"/>
  <c r="N52" i="7" s="1"/>
  <c r="H52" i="7"/>
  <c r="I52" i="7" s="1"/>
  <c r="J52" i="7" s="1"/>
  <c r="P53" i="7" l="1"/>
  <c r="K52" i="7"/>
  <c r="S53" i="7" s="1"/>
  <c r="O52" i="7"/>
  <c r="T53" i="7" s="1"/>
  <c r="Q53" i="7"/>
  <c r="G53" i="7" l="1"/>
  <c r="R53" i="7"/>
  <c r="L53" i="7" l="1"/>
  <c r="M53" i="7" s="1"/>
  <c r="N53" i="7" s="1"/>
  <c r="H53" i="7"/>
  <c r="I53" i="7" s="1"/>
  <c r="J53" i="7" s="1"/>
  <c r="K53" i="7" l="1"/>
  <c r="S54" i="7" s="1"/>
  <c r="P54" i="7"/>
  <c r="O53" i="7"/>
  <c r="T54" i="7" s="1"/>
  <c r="Q54" i="7"/>
  <c r="R54" i="7" l="1"/>
  <c r="G54" i="7"/>
  <c r="H54" i="7" l="1"/>
  <c r="I54" i="7" s="1"/>
  <c r="J54" i="7" s="1"/>
  <c r="L54" i="7"/>
  <c r="M54" i="7" s="1"/>
  <c r="N54" i="7" s="1"/>
  <c r="Q55" i="7" l="1"/>
  <c r="O54" i="7"/>
  <c r="T55" i="7" s="1"/>
  <c r="K54" i="7"/>
  <c r="S55" i="7" s="1"/>
  <c r="P55" i="7"/>
  <c r="G55" i="7" l="1"/>
  <c r="R55" i="7"/>
  <c r="L55" i="7" l="1"/>
  <c r="M55" i="7" s="1"/>
  <c r="N55" i="7" s="1"/>
  <c r="H55" i="7"/>
  <c r="I55" i="7" s="1"/>
  <c r="J55" i="7" s="1"/>
  <c r="K55" i="7" l="1"/>
  <c r="S56" i="7" s="1"/>
  <c r="P56" i="7"/>
  <c r="O55" i="7"/>
  <c r="T56" i="7" s="1"/>
  <c r="Q56" i="7"/>
  <c r="R56" i="7" l="1"/>
  <c r="G56" i="7"/>
  <c r="L56" i="7" l="1"/>
  <c r="M56" i="7" s="1"/>
  <c r="N56" i="7" s="1"/>
  <c r="H56" i="7"/>
  <c r="I56" i="7" s="1"/>
  <c r="J56" i="7" s="1"/>
  <c r="K56" i="7" l="1"/>
  <c r="S57" i="7" s="1"/>
  <c r="P57" i="7"/>
  <c r="Q57" i="7"/>
  <c r="O56" i="7"/>
  <c r="T57" i="7" s="1"/>
  <c r="R57" i="7" l="1"/>
  <c r="G57" i="7"/>
  <c r="L57" i="7" l="1"/>
  <c r="M57" i="7" s="1"/>
  <c r="N57" i="7" s="1"/>
  <c r="H57" i="7"/>
  <c r="I57" i="7" s="1"/>
  <c r="J57" i="7" s="1"/>
  <c r="P58" i="7" l="1"/>
  <c r="K57" i="7"/>
  <c r="S58" i="7" s="1"/>
  <c r="Q58" i="7"/>
  <c r="O57" i="7"/>
  <c r="T58" i="7" s="1"/>
  <c r="G58" i="7" l="1"/>
  <c r="R58" i="7"/>
  <c r="L58" i="7" l="1"/>
  <c r="M58" i="7" s="1"/>
  <c r="N58" i="7" s="1"/>
  <c r="H58" i="7"/>
  <c r="I58" i="7" s="1"/>
  <c r="J58" i="7" s="1"/>
  <c r="K58" i="7" l="1"/>
  <c r="S59" i="7" s="1"/>
  <c r="P59" i="7"/>
  <c r="O58" i="7"/>
  <c r="T59" i="7" s="1"/>
  <c r="Q59" i="7"/>
  <c r="G59" i="7" l="1"/>
  <c r="R59" i="7"/>
  <c r="L59" i="7" l="1"/>
  <c r="M59" i="7" s="1"/>
  <c r="N59" i="7" s="1"/>
  <c r="H59" i="7"/>
  <c r="I59" i="7" s="1"/>
  <c r="J59" i="7" s="1"/>
  <c r="P60" i="7" l="1"/>
  <c r="K59" i="7"/>
  <c r="S60" i="7" s="1"/>
  <c r="Q60" i="7"/>
  <c r="O59" i="7"/>
  <c r="T60" i="7" s="1"/>
  <c r="G60" i="7" l="1"/>
  <c r="R60" i="7"/>
  <c r="L60" i="7" l="1"/>
  <c r="M60" i="7" s="1"/>
  <c r="N60" i="7" s="1"/>
  <c r="H60" i="7"/>
  <c r="I60" i="7" s="1"/>
  <c r="J60" i="7" s="1"/>
  <c r="P61" i="7" l="1"/>
  <c r="K60" i="7"/>
  <c r="S61" i="7" s="1"/>
  <c r="Q61" i="7"/>
  <c r="O60" i="7"/>
  <c r="T61" i="7" s="1"/>
  <c r="G61" i="7" l="1"/>
  <c r="R61" i="7"/>
  <c r="L61" i="7" l="1"/>
  <c r="M61" i="7" s="1"/>
  <c r="N61" i="7" s="1"/>
  <c r="H61" i="7"/>
  <c r="I61" i="7" s="1"/>
  <c r="J61" i="7" s="1"/>
  <c r="P62" i="7" l="1"/>
  <c r="K61" i="7"/>
  <c r="S62" i="7" s="1"/>
  <c r="Q62" i="7"/>
  <c r="O61" i="7"/>
  <c r="T62" i="7" s="1"/>
  <c r="R62" i="7" l="1"/>
  <c r="G62" i="7"/>
  <c r="H62" i="7" l="1"/>
  <c r="I62" i="7" s="1"/>
  <c r="J62" i="7" s="1"/>
  <c r="L62" i="7"/>
  <c r="M62" i="7" s="1"/>
  <c r="N62" i="7" s="1"/>
  <c r="O62" i="7" l="1"/>
  <c r="T63" i="7" s="1"/>
  <c r="Q63" i="7"/>
  <c r="P63" i="7"/>
  <c r="K62" i="7"/>
  <c r="S63" i="7" s="1"/>
  <c r="R63" i="7" l="1"/>
  <c r="G63" i="7"/>
  <c r="L63" i="7" l="1"/>
  <c r="M63" i="7" s="1"/>
  <c r="N63" i="7" s="1"/>
  <c r="H63" i="7"/>
  <c r="I63" i="7" s="1"/>
  <c r="J63" i="7" s="1"/>
  <c r="K63" i="7" l="1"/>
  <c r="S64" i="7" s="1"/>
  <c r="P64" i="7"/>
  <c r="Q64" i="7"/>
  <c r="O63" i="7"/>
  <c r="T64" i="7" s="1"/>
  <c r="G64" i="7" l="1"/>
  <c r="R64" i="7"/>
  <c r="H64" i="7" l="1"/>
  <c r="I64" i="7" s="1"/>
  <c r="J64" i="7" s="1"/>
  <c r="L64" i="7"/>
  <c r="M64" i="7" s="1"/>
  <c r="N64" i="7" s="1"/>
  <c r="O64" i="7" l="1"/>
  <c r="T65" i="7" s="1"/>
  <c r="Q65" i="7"/>
  <c r="K64" i="7"/>
  <c r="S65" i="7" s="1"/>
  <c r="P65" i="7"/>
  <c r="G65" i="7" l="1"/>
  <c r="R65" i="7"/>
  <c r="L65" i="7" l="1"/>
  <c r="M65" i="7" s="1"/>
  <c r="N65" i="7" s="1"/>
  <c r="H65" i="7"/>
  <c r="I65" i="7" s="1"/>
  <c r="J65" i="7" s="1"/>
  <c r="K65" i="7" l="1"/>
  <c r="S66" i="7" s="1"/>
  <c r="P66" i="7"/>
  <c r="O65" i="7"/>
  <c r="T66" i="7" s="1"/>
  <c r="Q66" i="7"/>
  <c r="R66" i="7" l="1"/>
  <c r="G66" i="7"/>
  <c r="L66" i="7" l="1"/>
  <c r="M66" i="7" s="1"/>
  <c r="N66" i="7" s="1"/>
  <c r="H66" i="7"/>
  <c r="I66" i="7" s="1"/>
  <c r="J66" i="7" s="1"/>
  <c r="P67" i="7" l="1"/>
  <c r="K66" i="7"/>
  <c r="S67" i="7" s="1"/>
  <c r="O66" i="7"/>
  <c r="T67" i="7" s="1"/>
  <c r="Q67" i="7"/>
  <c r="G67" i="7" l="1"/>
  <c r="R67" i="7"/>
  <c r="H67" i="7" l="1"/>
  <c r="I67" i="7" s="1"/>
  <c r="J67" i="7" s="1"/>
  <c r="L67" i="7"/>
  <c r="M67" i="7" s="1"/>
  <c r="N67" i="7" s="1"/>
  <c r="Q68" i="7" l="1"/>
  <c r="O67" i="7"/>
  <c r="T68" i="7" s="1"/>
  <c r="P68" i="7"/>
  <c r="K67" i="7"/>
  <c r="S68" i="7" s="1"/>
  <c r="R68" i="7" l="1"/>
  <c r="G68" i="7"/>
  <c r="L68" i="7" l="1"/>
  <c r="M68" i="7" s="1"/>
  <c r="N68" i="7" s="1"/>
  <c r="H68" i="7"/>
  <c r="I68" i="7" s="1"/>
  <c r="J68" i="7" s="1"/>
  <c r="P69" i="7" l="1"/>
  <c r="K68" i="7"/>
  <c r="S69" i="7" s="1"/>
  <c r="Q69" i="7"/>
  <c r="O68" i="7"/>
  <c r="T69" i="7" s="1"/>
  <c r="R69" i="7" l="1"/>
  <c r="G69" i="7"/>
  <c r="L69" i="7" l="1"/>
  <c r="M69" i="7" s="1"/>
  <c r="N69" i="7" s="1"/>
  <c r="H69" i="7"/>
  <c r="I69" i="7" s="1"/>
  <c r="J69" i="7" s="1"/>
  <c r="K69" i="7" l="1"/>
  <c r="S70" i="7" s="1"/>
  <c r="P70" i="7"/>
  <c r="O69" i="7"/>
  <c r="T70" i="7" s="1"/>
  <c r="Q70" i="7"/>
  <c r="G70" i="7" l="1"/>
  <c r="R70" i="7"/>
  <c r="L70" i="7" l="1"/>
  <c r="M70" i="7" s="1"/>
  <c r="N70" i="7" s="1"/>
  <c r="H70" i="7"/>
  <c r="I70" i="7" s="1"/>
  <c r="J70" i="7" s="1"/>
  <c r="P71" i="7" l="1"/>
  <c r="K70" i="7"/>
  <c r="S71" i="7" s="1"/>
  <c r="Q71" i="7"/>
  <c r="O70" i="7"/>
  <c r="T71" i="7" s="1"/>
  <c r="G71" i="7" l="1"/>
  <c r="R71" i="7"/>
  <c r="H71" i="7" l="1"/>
  <c r="I71" i="7" s="1"/>
  <c r="J71" i="7" s="1"/>
  <c r="L71" i="7"/>
  <c r="M71" i="7" s="1"/>
  <c r="N71" i="7" s="1"/>
  <c r="O71" i="7" l="1"/>
  <c r="T72" i="7" s="1"/>
  <c r="Q72" i="7"/>
  <c r="P72" i="7"/>
  <c r="K71" i="7"/>
  <c r="S72" i="7" s="1"/>
  <c r="G72" i="7" l="1"/>
  <c r="R72" i="7"/>
  <c r="H72" i="7" l="1"/>
  <c r="I72" i="7" s="1"/>
  <c r="J72" i="7" s="1"/>
  <c r="L72" i="7"/>
  <c r="M72" i="7" s="1"/>
  <c r="N72" i="7" s="1"/>
  <c r="O72" i="7" l="1"/>
  <c r="T73" i="7" s="1"/>
  <c r="Q73" i="7"/>
  <c r="K72" i="7"/>
  <c r="S73" i="7" s="1"/>
  <c r="P73" i="7"/>
  <c r="R73" i="7" l="1"/>
  <c r="G73" i="7"/>
  <c r="L73" i="7" l="1"/>
  <c r="M73" i="7" s="1"/>
  <c r="N73" i="7" s="1"/>
  <c r="H73" i="7"/>
  <c r="I73" i="7" s="1"/>
  <c r="J73" i="7" s="1"/>
  <c r="P74" i="7" l="1"/>
  <c r="K73" i="7"/>
  <c r="S74" i="7" s="1"/>
  <c r="O73" i="7"/>
  <c r="T74" i="7" s="1"/>
  <c r="Q74" i="7"/>
  <c r="R74" i="7" l="1"/>
  <c r="G74" i="7"/>
  <c r="H74" i="7" l="1"/>
  <c r="I74" i="7" s="1"/>
  <c r="J74" i="7" s="1"/>
  <c r="L74" i="7"/>
  <c r="M74" i="7" s="1"/>
  <c r="N74" i="7" s="1"/>
  <c r="O74" i="7" l="1"/>
  <c r="T75" i="7" s="1"/>
  <c r="Q75" i="7"/>
  <c r="K74" i="7"/>
  <c r="S75" i="7" s="1"/>
  <c r="P75" i="7"/>
  <c r="G75" i="7" l="1"/>
  <c r="R75" i="7"/>
  <c r="L75" i="7" l="1"/>
  <c r="M75" i="7" s="1"/>
  <c r="N75" i="7" s="1"/>
  <c r="H75" i="7"/>
  <c r="I75" i="7" s="1"/>
  <c r="J75" i="7" s="1"/>
  <c r="P76" i="7" l="1"/>
  <c r="K75" i="7"/>
  <c r="S76" i="7" s="1"/>
  <c r="O75" i="7"/>
  <c r="T76" i="7" s="1"/>
  <c r="Q76" i="7"/>
  <c r="G76" i="7" l="1"/>
  <c r="R76" i="7"/>
  <c r="H76" i="7" l="1"/>
  <c r="I76" i="7" s="1"/>
  <c r="J76" i="7" s="1"/>
  <c r="L76" i="7"/>
  <c r="M76" i="7" s="1"/>
  <c r="N76" i="7" s="1"/>
  <c r="Q77" i="7" l="1"/>
  <c r="O76" i="7"/>
  <c r="T77" i="7" s="1"/>
  <c r="K76" i="7"/>
  <c r="S77" i="7" s="1"/>
  <c r="P77" i="7"/>
  <c r="G77" i="7" l="1"/>
  <c r="R77" i="7"/>
  <c r="H77" i="7" l="1"/>
  <c r="I77" i="7" s="1"/>
  <c r="J77" i="7" s="1"/>
  <c r="L77" i="7"/>
  <c r="M77" i="7" s="1"/>
  <c r="N77" i="7" s="1"/>
  <c r="O77" i="7" l="1"/>
  <c r="T78" i="7" s="1"/>
  <c r="Q78" i="7"/>
  <c r="K77" i="7"/>
  <c r="S78" i="7" s="1"/>
  <c r="P78" i="7"/>
  <c r="G78" i="7" l="1"/>
  <c r="R78" i="7"/>
  <c r="H78" i="7" l="1"/>
  <c r="I78" i="7" s="1"/>
  <c r="J78" i="7" s="1"/>
  <c r="L78" i="7"/>
  <c r="M78" i="7" s="1"/>
  <c r="N78" i="7" s="1"/>
  <c r="Q79" i="7" l="1"/>
  <c r="O78" i="7"/>
  <c r="T79" i="7" s="1"/>
  <c r="K78" i="7"/>
  <c r="S79" i="7" s="1"/>
  <c r="P79" i="7"/>
  <c r="R79" i="7" l="1"/>
  <c r="G79" i="7"/>
  <c r="H79" i="7" l="1"/>
  <c r="I79" i="7" s="1"/>
  <c r="J79" i="7" s="1"/>
  <c r="L79" i="7"/>
  <c r="M79" i="7" s="1"/>
  <c r="N79" i="7" s="1"/>
  <c r="O79" i="7" l="1"/>
  <c r="T80" i="7" s="1"/>
  <c r="Q80" i="7"/>
  <c r="P80" i="7"/>
  <c r="K79" i="7"/>
  <c r="S80" i="7" s="1"/>
  <c r="G80" i="7" l="1"/>
  <c r="R80" i="7"/>
  <c r="L80" i="7" l="1"/>
  <c r="M80" i="7" s="1"/>
  <c r="N80" i="7" s="1"/>
  <c r="H80" i="7"/>
  <c r="I80" i="7" s="1"/>
  <c r="J80" i="7" s="1"/>
  <c r="K80" i="7" l="1"/>
  <c r="S81" i="7" s="1"/>
  <c r="P81" i="7"/>
  <c r="O80" i="7"/>
  <c r="T81" i="7" s="1"/>
  <c r="Q81" i="7"/>
  <c r="R81" i="7" l="1"/>
  <c r="G81" i="7"/>
  <c r="L81" i="7" l="1"/>
  <c r="M81" i="7" s="1"/>
  <c r="N81" i="7" s="1"/>
  <c r="H81" i="7"/>
  <c r="I81" i="7" s="1"/>
  <c r="J81" i="7" s="1"/>
  <c r="P82" i="7" l="1"/>
  <c r="K81" i="7"/>
  <c r="S82" i="7" s="1"/>
  <c r="Q82" i="7"/>
  <c r="O81" i="7"/>
  <c r="T82" i="7" s="1"/>
  <c r="G82" i="7" l="1"/>
  <c r="R82" i="7"/>
  <c r="H82" i="7" l="1"/>
  <c r="I82" i="7" s="1"/>
  <c r="J82" i="7" s="1"/>
  <c r="L82" i="7"/>
  <c r="M82" i="7" s="1"/>
  <c r="N82" i="7" s="1"/>
  <c r="O82" i="7" l="1"/>
  <c r="T83" i="7" s="1"/>
  <c r="Q83" i="7"/>
  <c r="P83" i="7"/>
  <c r="K82" i="7"/>
  <c r="S83" i="7" s="1"/>
  <c r="G83" i="7" l="1"/>
  <c r="R83" i="7"/>
  <c r="L83" i="7" l="1"/>
  <c r="M83" i="7" s="1"/>
  <c r="N83" i="7" s="1"/>
  <c r="H83" i="7"/>
  <c r="I83" i="7" s="1"/>
  <c r="J83" i="7" s="1"/>
  <c r="K83" i="7" l="1"/>
  <c r="S84" i="7" s="1"/>
  <c r="P84" i="7"/>
  <c r="Q84" i="7"/>
  <c r="O83" i="7"/>
  <c r="T84" i="7" s="1"/>
  <c r="G84" i="7" l="1"/>
  <c r="R84" i="7"/>
  <c r="H84" i="7" l="1"/>
  <c r="I84" i="7" s="1"/>
  <c r="J84" i="7" s="1"/>
  <c r="L84" i="7"/>
  <c r="M84" i="7" s="1"/>
  <c r="N84" i="7" s="1"/>
  <c r="Q85" i="7" l="1"/>
  <c r="O84" i="7"/>
  <c r="T85" i="7" s="1"/>
  <c r="P85" i="7"/>
  <c r="K84" i="7"/>
  <c r="S85" i="7" s="1"/>
  <c r="G85" i="7" l="1"/>
  <c r="R85" i="7"/>
  <c r="L85" i="7" l="1"/>
  <c r="M85" i="7" s="1"/>
  <c r="N85" i="7" s="1"/>
  <c r="H85" i="7"/>
  <c r="I85" i="7" s="1"/>
  <c r="J85" i="7" s="1"/>
  <c r="K85" i="7" l="1"/>
  <c r="S86" i="7" s="1"/>
  <c r="P86" i="7"/>
  <c r="O85" i="7"/>
  <c r="T86" i="7" s="1"/>
  <c r="Q86" i="7"/>
  <c r="R86" i="7" l="1"/>
  <c r="G86" i="7"/>
  <c r="L86" i="7" l="1"/>
  <c r="M86" i="7" s="1"/>
  <c r="N86" i="7" s="1"/>
  <c r="H86" i="7"/>
  <c r="I86" i="7" s="1"/>
  <c r="J86" i="7" s="1"/>
  <c r="P87" i="7" l="1"/>
  <c r="K86" i="7"/>
  <c r="S87" i="7" s="1"/>
  <c r="Q87" i="7"/>
  <c r="O86" i="7"/>
  <c r="T87" i="7" s="1"/>
  <c r="R87" i="7" l="1"/>
  <c r="G87" i="7"/>
  <c r="L87" i="7" l="1"/>
  <c r="M87" i="7" s="1"/>
  <c r="N87" i="7" s="1"/>
  <c r="H87" i="7"/>
  <c r="I87" i="7" s="1"/>
  <c r="J87" i="7" s="1"/>
  <c r="P88" i="7" l="1"/>
  <c r="K87" i="7"/>
  <c r="S88" i="7" s="1"/>
  <c r="Q88" i="7"/>
  <c r="O87" i="7"/>
  <c r="T88" i="7" s="1"/>
  <c r="R88" i="7" l="1"/>
  <c r="G88" i="7"/>
  <c r="H88" i="7" l="1"/>
  <c r="I88" i="7" s="1"/>
  <c r="J88" i="7" s="1"/>
  <c r="L88" i="7"/>
  <c r="M88" i="7" s="1"/>
  <c r="N88" i="7" s="1"/>
  <c r="Q89" i="7" l="1"/>
  <c r="O88" i="7"/>
  <c r="T89" i="7" s="1"/>
  <c r="K88" i="7"/>
  <c r="S89" i="7" s="1"/>
  <c r="P89" i="7"/>
  <c r="G89" i="7" l="1"/>
  <c r="R89" i="7"/>
  <c r="H89" i="7" l="1"/>
  <c r="I89" i="7" s="1"/>
  <c r="J89" i="7" s="1"/>
  <c r="L89" i="7"/>
  <c r="M89" i="7" s="1"/>
  <c r="N89" i="7" s="1"/>
  <c r="O89" i="7" l="1"/>
  <c r="T90" i="7" s="1"/>
  <c r="Q90" i="7"/>
  <c r="P90" i="7"/>
  <c r="K89" i="7"/>
  <c r="S90" i="7" s="1"/>
  <c r="G90" i="7" l="1"/>
  <c r="R90" i="7"/>
  <c r="L90" i="7" l="1"/>
  <c r="M90" i="7" s="1"/>
  <c r="N90" i="7" s="1"/>
  <c r="H90" i="7"/>
  <c r="I90" i="7" s="1"/>
  <c r="J90" i="7" s="1"/>
  <c r="K90" i="7" l="1"/>
  <c r="S91" i="7" s="1"/>
  <c r="P91" i="7"/>
  <c r="O90" i="7"/>
  <c r="T91" i="7" s="1"/>
  <c r="Q91" i="7"/>
  <c r="R91" i="7" l="1"/>
  <c r="G91" i="7"/>
  <c r="L91" i="7" l="1"/>
  <c r="M91" i="7" s="1"/>
  <c r="N91" i="7" s="1"/>
  <c r="H91" i="7"/>
  <c r="I91" i="7" s="1"/>
  <c r="J91" i="7" s="1"/>
  <c r="K91" i="7" l="1"/>
  <c r="S92" i="7" s="1"/>
  <c r="P92" i="7"/>
  <c r="Q92" i="7"/>
  <c r="O91" i="7"/>
  <c r="T92" i="7" s="1"/>
  <c r="R92" i="7" l="1"/>
  <c r="G92" i="7"/>
  <c r="L92" i="7" l="1"/>
  <c r="M92" i="7" s="1"/>
  <c r="N92" i="7" s="1"/>
  <c r="H92" i="7"/>
  <c r="I92" i="7" s="1"/>
  <c r="J92" i="7" s="1"/>
  <c r="K92" i="7" l="1"/>
  <c r="S93" i="7" s="1"/>
  <c r="P93" i="7"/>
  <c r="Q93" i="7"/>
  <c r="O92" i="7"/>
  <c r="T93" i="7" s="1"/>
  <c r="G93" i="7" l="1"/>
  <c r="R93" i="7"/>
  <c r="L93" i="7" l="1"/>
  <c r="M93" i="7" s="1"/>
  <c r="N93" i="7" s="1"/>
  <c r="H93" i="7"/>
  <c r="I93" i="7" s="1"/>
  <c r="J93" i="7" s="1"/>
  <c r="K93" i="7" l="1"/>
  <c r="S94" i="7" s="1"/>
  <c r="P94" i="7"/>
  <c r="O93" i="7"/>
  <c r="T94" i="7" s="1"/>
  <c r="Q94" i="7"/>
  <c r="R94" i="7" l="1"/>
  <c r="G94" i="7"/>
  <c r="L94" i="7" l="1"/>
  <c r="M94" i="7" s="1"/>
  <c r="N94" i="7" s="1"/>
  <c r="H94" i="7"/>
  <c r="I94" i="7" s="1"/>
  <c r="J94" i="7" s="1"/>
  <c r="P95" i="7" l="1"/>
  <c r="K94" i="7"/>
  <c r="S95" i="7" s="1"/>
  <c r="O94" i="7"/>
  <c r="T95" i="7" s="1"/>
  <c r="Q95" i="7"/>
  <c r="G95" i="7" l="1"/>
  <c r="R95" i="7"/>
  <c r="L95" i="7" l="1"/>
  <c r="M95" i="7" s="1"/>
  <c r="N95" i="7" s="1"/>
  <c r="H95" i="7"/>
  <c r="I95" i="7" s="1"/>
  <c r="J95" i="7" s="1"/>
  <c r="P96" i="7" l="1"/>
  <c r="K95" i="7"/>
  <c r="S96" i="7" s="1"/>
  <c r="Q96" i="7"/>
  <c r="O95" i="7"/>
  <c r="T96" i="7" s="1"/>
  <c r="R96" i="7" l="1"/>
  <c r="G96" i="7"/>
  <c r="H96" i="7" l="1"/>
  <c r="I96" i="7" s="1"/>
  <c r="J96" i="7" s="1"/>
  <c r="L96" i="7"/>
  <c r="M96" i="7" s="1"/>
  <c r="N96" i="7" s="1"/>
  <c r="O96" i="7" l="1"/>
  <c r="T97" i="7" s="1"/>
  <c r="Q97" i="7"/>
  <c r="P97" i="7"/>
  <c r="K96" i="7"/>
  <c r="S97" i="7" s="1"/>
  <c r="R97" i="7" l="1"/>
  <c r="G97" i="7"/>
  <c r="H97" i="7" l="1"/>
  <c r="I97" i="7" s="1"/>
  <c r="J97" i="7" s="1"/>
  <c r="L97" i="7"/>
  <c r="M97" i="7" s="1"/>
  <c r="N97" i="7" s="1"/>
  <c r="Q98" i="7" l="1"/>
  <c r="O97" i="7"/>
  <c r="T98" i="7" s="1"/>
  <c r="K97" i="7"/>
  <c r="S98" i="7" s="1"/>
  <c r="P98" i="7"/>
  <c r="R98" i="7" l="1"/>
  <c r="G98" i="7"/>
  <c r="L98" i="7" l="1"/>
  <c r="M98" i="7" s="1"/>
  <c r="N98" i="7" s="1"/>
  <c r="H98" i="7"/>
  <c r="I98" i="7" s="1"/>
  <c r="J98" i="7" s="1"/>
  <c r="P99" i="7" l="1"/>
  <c r="K98" i="7"/>
  <c r="S99" i="7" s="1"/>
  <c r="O98" i="7"/>
  <c r="T99" i="7" s="1"/>
  <c r="Q99" i="7"/>
  <c r="G99" i="7" l="1"/>
  <c r="R99" i="7"/>
  <c r="L99" i="7" l="1"/>
  <c r="M99" i="7" s="1"/>
  <c r="N99" i="7" s="1"/>
  <c r="H99" i="7"/>
  <c r="I99" i="7" s="1"/>
  <c r="J99" i="7" s="1"/>
  <c r="P100" i="7" l="1"/>
  <c r="K99" i="7"/>
  <c r="S100" i="7" s="1"/>
  <c r="O99" i="7"/>
  <c r="T100" i="7" s="1"/>
  <c r="Q100" i="7"/>
  <c r="G100" i="7" l="1"/>
  <c r="R100" i="7"/>
  <c r="L100" i="7" l="1"/>
  <c r="M100" i="7" s="1"/>
  <c r="N100" i="7" s="1"/>
  <c r="H100" i="7"/>
  <c r="I100" i="7" s="1"/>
  <c r="J100" i="7" s="1"/>
  <c r="P101" i="7" l="1"/>
  <c r="K100" i="7"/>
  <c r="S101" i="7" s="1"/>
  <c r="O100" i="7"/>
  <c r="T101" i="7" s="1"/>
  <c r="Q101" i="7"/>
  <c r="G101" i="7" l="1"/>
  <c r="R101" i="7"/>
  <c r="L101" i="7" l="1"/>
  <c r="M101" i="7" s="1"/>
  <c r="N101" i="7" s="1"/>
  <c r="H101" i="7"/>
  <c r="I101" i="7" s="1"/>
  <c r="J101" i="7" s="1"/>
  <c r="P102" i="7" l="1"/>
  <c r="K101" i="7"/>
  <c r="S102" i="7" s="1"/>
  <c r="Q102" i="7"/>
  <c r="O101" i="7"/>
  <c r="T102" i="7" s="1"/>
  <c r="R102" i="7" l="1"/>
  <c r="G102" i="7"/>
  <c r="H102" i="7" l="1"/>
  <c r="I102" i="7" s="1"/>
  <c r="J102" i="7" s="1"/>
  <c r="L102" i="7"/>
  <c r="M102" i="7" s="1"/>
  <c r="N102" i="7" s="1"/>
  <c r="O102" i="7" l="1"/>
  <c r="T103" i="7" s="1"/>
  <c r="Q103" i="7"/>
  <c r="K102" i="7"/>
  <c r="S103" i="7" s="1"/>
  <c r="P103" i="7"/>
  <c r="G103" i="7" l="1"/>
  <c r="R103" i="7"/>
  <c r="H103" i="7" l="1"/>
  <c r="I103" i="7" s="1"/>
  <c r="J103" i="7" s="1"/>
  <c r="L103" i="7"/>
  <c r="M103" i="7" s="1"/>
  <c r="N103" i="7" s="1"/>
  <c r="O103" i="7" l="1"/>
  <c r="T104" i="7" s="1"/>
  <c r="Q104" i="7"/>
  <c r="P104" i="7"/>
  <c r="K103" i="7"/>
  <c r="S104" i="7" s="1"/>
  <c r="R104" i="7" l="1"/>
  <c r="G104" i="7"/>
  <c r="H104" i="7" l="1"/>
  <c r="I104" i="7" s="1"/>
  <c r="J104" i="7" s="1"/>
  <c r="L104" i="7"/>
  <c r="M104" i="7" s="1"/>
  <c r="N104" i="7" s="1"/>
  <c r="O104" i="7" l="1"/>
  <c r="T105" i="7" s="1"/>
  <c r="Q105" i="7"/>
  <c r="K104" i="7"/>
  <c r="S105" i="7" s="1"/>
  <c r="P105" i="7"/>
  <c r="G105" i="7" l="1"/>
  <c r="R105" i="7"/>
  <c r="L105" i="7" l="1"/>
  <c r="M105" i="7" s="1"/>
  <c r="N105" i="7" s="1"/>
  <c r="H105" i="7"/>
  <c r="I105" i="7" s="1"/>
  <c r="J105" i="7" s="1"/>
  <c r="P106" i="7" l="1"/>
  <c r="K105" i="7"/>
  <c r="S106" i="7" s="1"/>
  <c r="O105" i="7"/>
  <c r="T106" i="7" s="1"/>
  <c r="Q106" i="7"/>
  <c r="G106" i="7" l="1"/>
  <c r="R106" i="7"/>
  <c r="L106" i="7" l="1"/>
  <c r="M106" i="7" s="1"/>
  <c r="N106" i="7" s="1"/>
  <c r="H106" i="7"/>
  <c r="I106" i="7" s="1"/>
  <c r="J106" i="7" s="1"/>
  <c r="P107" i="7" l="1"/>
  <c r="K106" i="7"/>
  <c r="S107" i="7" s="1"/>
  <c r="Q107" i="7"/>
  <c r="O106" i="7"/>
  <c r="T107" i="7" s="1"/>
  <c r="R107" i="7" l="1"/>
  <c r="G107" i="7"/>
  <c r="L107" i="7" l="1"/>
  <c r="M107" i="7" s="1"/>
  <c r="N107" i="7" s="1"/>
  <c r="H107" i="7"/>
  <c r="I107" i="7" s="1"/>
  <c r="J107" i="7" s="1"/>
  <c r="P108" i="7" l="1"/>
  <c r="K107" i="7"/>
  <c r="S108" i="7" s="1"/>
  <c r="O107" i="7"/>
  <c r="T108" i="7" s="1"/>
  <c r="Q108" i="7"/>
  <c r="G108" i="7" l="1"/>
  <c r="R108" i="7"/>
  <c r="H108" i="7" l="1"/>
  <c r="I108" i="7" s="1"/>
  <c r="J108" i="7" s="1"/>
  <c r="L108" i="7"/>
  <c r="M108" i="7" s="1"/>
  <c r="N108" i="7" s="1"/>
  <c r="O108" i="7" l="1"/>
  <c r="T109" i="7" s="1"/>
  <c r="Q109" i="7"/>
  <c r="P109" i="7"/>
  <c r="K108" i="7"/>
  <c r="S109" i="7" s="1"/>
  <c r="G109" i="7" l="1"/>
  <c r="R109" i="7"/>
  <c r="L109" i="7" l="1"/>
  <c r="M109" i="7" s="1"/>
  <c r="N109" i="7" s="1"/>
  <c r="H109" i="7"/>
  <c r="I109" i="7" s="1"/>
  <c r="J109" i="7" s="1"/>
  <c r="K109" i="7" l="1"/>
  <c r="S110" i="7" s="1"/>
  <c r="P110" i="7"/>
  <c r="O109" i="7"/>
  <c r="T110" i="7" s="1"/>
  <c r="Q110" i="7"/>
  <c r="R110" i="7" l="1"/>
  <c r="G110" i="7"/>
  <c r="H110" i="7" l="1"/>
  <c r="I110" i="7" s="1"/>
  <c r="J110" i="7" s="1"/>
  <c r="L110" i="7"/>
  <c r="M110" i="7" s="1"/>
  <c r="N110" i="7" s="1"/>
  <c r="O110" i="7" l="1"/>
  <c r="T111" i="7" s="1"/>
  <c r="Q111" i="7"/>
  <c r="K110" i="7"/>
  <c r="S111" i="7" s="1"/>
  <c r="P111" i="7"/>
  <c r="G111" i="7" l="1"/>
  <c r="R111" i="7"/>
  <c r="H111" i="7" l="1"/>
  <c r="I111" i="7" s="1"/>
  <c r="J111" i="7" s="1"/>
  <c r="L111" i="7"/>
  <c r="M111" i="7" s="1"/>
  <c r="N111" i="7" s="1"/>
  <c r="Q112" i="7" l="1"/>
  <c r="O111" i="7"/>
  <c r="T112" i="7" s="1"/>
  <c r="P112" i="7"/>
  <c r="K111" i="7"/>
  <c r="S112" i="7" s="1"/>
  <c r="R112" i="7" l="1"/>
  <c r="G112" i="7"/>
  <c r="H112" i="7" l="1"/>
  <c r="I112" i="7" s="1"/>
  <c r="J112" i="7" s="1"/>
  <c r="L112" i="7"/>
  <c r="M112" i="7" s="1"/>
  <c r="N112" i="7" s="1"/>
  <c r="Q113" i="7" l="1"/>
  <c r="O112" i="7"/>
  <c r="T113" i="7" s="1"/>
  <c r="K112" i="7"/>
  <c r="S113" i="7" s="1"/>
  <c r="P113" i="7"/>
  <c r="G113" i="7" l="1"/>
  <c r="R113" i="7"/>
  <c r="L113" i="7" l="1"/>
  <c r="M113" i="7" s="1"/>
  <c r="N113" i="7" s="1"/>
  <c r="H113" i="7"/>
  <c r="I113" i="7" s="1"/>
  <c r="J113" i="7" s="1"/>
  <c r="K113" i="7" l="1"/>
  <c r="S114" i="7" s="1"/>
  <c r="P114" i="7"/>
  <c r="Q114" i="7"/>
  <c r="O113" i="7"/>
  <c r="T114" i="7" s="1"/>
  <c r="G114" i="7" l="1"/>
  <c r="R114" i="7"/>
  <c r="L114" i="7" l="1"/>
  <c r="M114" i="7" s="1"/>
  <c r="N114" i="7" s="1"/>
  <c r="H114" i="7"/>
  <c r="I114" i="7" s="1"/>
  <c r="J114" i="7" s="1"/>
  <c r="K114" i="7" l="1"/>
  <c r="S115" i="7" s="1"/>
  <c r="P115" i="7"/>
  <c r="Q115" i="7"/>
  <c r="O114" i="7"/>
  <c r="T115" i="7" s="1"/>
  <c r="R115" i="7" l="1"/>
  <c r="G115" i="7"/>
  <c r="L115" i="7" l="1"/>
  <c r="M115" i="7" s="1"/>
  <c r="N115" i="7" s="1"/>
  <c r="H115" i="7"/>
  <c r="I115" i="7" s="1"/>
  <c r="J115" i="7" s="1"/>
  <c r="K115" i="7" l="1"/>
  <c r="S116" i="7" s="1"/>
  <c r="P116" i="7"/>
  <c r="Q116" i="7"/>
  <c r="O115" i="7"/>
  <c r="T116" i="7" s="1"/>
  <c r="G116" i="7" l="1"/>
  <c r="R116" i="7"/>
  <c r="H116" i="7" l="1"/>
  <c r="I116" i="7" s="1"/>
  <c r="J116" i="7" s="1"/>
  <c r="L116" i="7"/>
  <c r="M116" i="7" s="1"/>
  <c r="N116" i="7" s="1"/>
  <c r="Q117" i="7" l="1"/>
  <c r="O116" i="7"/>
  <c r="T117" i="7" s="1"/>
  <c r="K116" i="7"/>
  <c r="S117" i="7" s="1"/>
  <c r="P117" i="7"/>
  <c r="G117" i="7" l="1"/>
  <c r="R117" i="7"/>
  <c r="L117" i="7" l="1"/>
  <c r="M117" i="7" s="1"/>
  <c r="N117" i="7" s="1"/>
  <c r="H117" i="7"/>
  <c r="I117" i="7" s="1"/>
  <c r="J117" i="7" s="1"/>
  <c r="P118" i="7" l="1"/>
  <c r="K117" i="7"/>
  <c r="S118" i="7" s="1"/>
  <c r="Q118" i="7"/>
  <c r="O117" i="7"/>
  <c r="T118" i="7" s="1"/>
  <c r="R118" i="7" l="1"/>
  <c r="G118" i="7"/>
  <c r="H118" i="7" l="1"/>
  <c r="I118" i="7" s="1"/>
  <c r="J118" i="7" s="1"/>
  <c r="L118" i="7"/>
  <c r="M118" i="7" s="1"/>
  <c r="N118" i="7" s="1"/>
  <c r="O118" i="7" l="1"/>
  <c r="T119" i="7" s="1"/>
  <c r="Q119" i="7"/>
  <c r="P119" i="7"/>
  <c r="K118" i="7"/>
  <c r="S119" i="7" s="1"/>
  <c r="R119" i="7" l="1"/>
  <c r="G119" i="7"/>
  <c r="L119" i="7" l="1"/>
  <c r="M119" i="7" s="1"/>
  <c r="N119" i="7" s="1"/>
  <c r="H119" i="7"/>
  <c r="I119" i="7" s="1"/>
  <c r="J119" i="7" s="1"/>
  <c r="K119" i="7" l="1"/>
  <c r="S120" i="7" s="1"/>
  <c r="P120" i="7"/>
  <c r="Q120" i="7"/>
  <c r="O119" i="7"/>
  <c r="T120" i="7" s="1"/>
  <c r="R120" i="7" l="1"/>
  <c r="G120" i="7"/>
  <c r="L120" i="7" l="1"/>
  <c r="M120" i="7" s="1"/>
  <c r="N120" i="7" s="1"/>
  <c r="H120" i="7"/>
  <c r="I120" i="7" s="1"/>
  <c r="J120" i="7" s="1"/>
  <c r="K120" i="7" l="1"/>
  <c r="S121" i="7" s="1"/>
  <c r="P121" i="7"/>
  <c r="Q121" i="7"/>
  <c r="O120" i="7"/>
  <c r="T121" i="7" s="1"/>
  <c r="G121" i="7" l="1"/>
  <c r="R121" i="7"/>
  <c r="L121" i="7" l="1"/>
  <c r="M121" i="7" s="1"/>
  <c r="N121" i="7" s="1"/>
  <c r="H121" i="7"/>
  <c r="I121" i="7" s="1"/>
  <c r="J121" i="7" s="1"/>
  <c r="K121" i="7" l="1"/>
  <c r="S122" i="7" s="1"/>
  <c r="P122" i="7"/>
  <c r="Q122" i="7"/>
  <c r="O121" i="7"/>
  <c r="T122" i="7" s="1"/>
  <c r="G122" i="7" l="1"/>
  <c r="R122" i="7"/>
  <c r="H122" i="7" l="1"/>
  <c r="I122" i="7" s="1"/>
  <c r="J122" i="7" s="1"/>
  <c r="L122" i="7"/>
  <c r="M122" i="7" s="1"/>
  <c r="N122" i="7" s="1"/>
  <c r="Q123" i="7" l="1"/>
  <c r="O122" i="7"/>
  <c r="T123" i="7" s="1"/>
  <c r="P123" i="7"/>
  <c r="K122" i="7"/>
  <c r="S123" i="7" s="1"/>
  <c r="G123" i="7" l="1"/>
  <c r="R123" i="7"/>
  <c r="H123" i="7" l="1"/>
  <c r="I123" i="7" s="1"/>
  <c r="J123" i="7" s="1"/>
  <c r="L123" i="7"/>
  <c r="M123" i="7" s="1"/>
  <c r="N123" i="7" s="1"/>
  <c r="Q124" i="7" l="1"/>
  <c r="O123" i="7"/>
  <c r="T124" i="7" s="1"/>
  <c r="P124" i="7"/>
  <c r="K123" i="7"/>
  <c r="S124" i="7" s="1"/>
  <c r="G124" i="7" l="1"/>
  <c r="R124" i="7"/>
  <c r="H124" i="7" l="1"/>
  <c r="I124" i="7" s="1"/>
  <c r="J124" i="7" s="1"/>
  <c r="L124" i="7"/>
  <c r="M124" i="7" s="1"/>
  <c r="N124" i="7" s="1"/>
  <c r="O124" i="7" l="1"/>
  <c r="T125" i="7" s="1"/>
  <c r="Q125" i="7"/>
  <c r="K124" i="7"/>
  <c r="S125" i="7" s="1"/>
  <c r="P125" i="7"/>
  <c r="G125" i="7" l="1"/>
  <c r="R125" i="7"/>
  <c r="L125" i="7" l="1"/>
  <c r="M125" i="7" s="1"/>
  <c r="N125" i="7" s="1"/>
  <c r="H125" i="7"/>
  <c r="I125" i="7" s="1"/>
  <c r="J125" i="7" s="1"/>
  <c r="P126" i="7" l="1"/>
  <c r="K125" i="7"/>
  <c r="S126" i="7" s="1"/>
  <c r="O125" i="7"/>
  <c r="T126" i="7" s="1"/>
  <c r="Q126" i="7"/>
  <c r="R126" i="7" l="1"/>
  <c r="G126" i="7"/>
  <c r="H126" i="7" l="1"/>
  <c r="I126" i="7" s="1"/>
  <c r="J126" i="7" s="1"/>
  <c r="L126" i="7"/>
  <c r="M126" i="7" s="1"/>
  <c r="N126" i="7" s="1"/>
  <c r="Q127" i="7" l="1"/>
  <c r="O126" i="7"/>
  <c r="T127" i="7" s="1"/>
  <c r="K126" i="7"/>
  <c r="S127" i="7" s="1"/>
  <c r="P127" i="7"/>
  <c r="G127" i="7" l="1"/>
  <c r="R127" i="7"/>
  <c r="L127" i="7" l="1"/>
  <c r="M127" i="7" s="1"/>
  <c r="N127" i="7" s="1"/>
  <c r="H127" i="7"/>
  <c r="I127" i="7" s="1"/>
  <c r="J127" i="7" s="1"/>
  <c r="P128" i="7" l="1"/>
  <c r="K127" i="7"/>
  <c r="S128" i="7" s="1"/>
  <c r="O127" i="7"/>
  <c r="T128" i="7" s="1"/>
  <c r="Q128" i="7"/>
  <c r="G128" i="7" l="1"/>
  <c r="R128" i="7"/>
  <c r="L128" i="7" l="1"/>
  <c r="M128" i="7" s="1"/>
  <c r="N128" i="7" s="1"/>
  <c r="H128" i="7"/>
  <c r="I128" i="7" s="1"/>
  <c r="J128" i="7" s="1"/>
  <c r="K128" i="7" l="1"/>
  <c r="S129" i="7" s="1"/>
  <c r="P129" i="7"/>
  <c r="Q129" i="7"/>
  <c r="O128" i="7"/>
  <c r="T129" i="7" s="1"/>
  <c r="G129" i="7" l="1"/>
  <c r="R129" i="7"/>
  <c r="H129" i="7" l="1"/>
  <c r="I129" i="7" s="1"/>
  <c r="J129" i="7" s="1"/>
  <c r="L129" i="7"/>
  <c r="M129" i="7" s="1"/>
  <c r="N129" i="7" s="1"/>
  <c r="Q130" i="7" l="1"/>
  <c r="O129" i="7"/>
  <c r="T130" i="7" s="1"/>
  <c r="K129" i="7"/>
  <c r="S130" i="7" s="1"/>
  <c r="P130" i="7"/>
  <c r="R130" i="7" l="1"/>
  <c r="G130" i="7"/>
  <c r="H130" i="7" l="1"/>
  <c r="I130" i="7" s="1"/>
  <c r="J130" i="7" s="1"/>
  <c r="L130" i="7"/>
  <c r="M130" i="7" s="1"/>
  <c r="N130" i="7" s="1"/>
  <c r="O130" i="7" l="1"/>
  <c r="T131" i="7" s="1"/>
  <c r="Q131" i="7"/>
  <c r="P131" i="7"/>
  <c r="K130" i="7"/>
  <c r="S131" i="7" s="1"/>
  <c r="R131" i="7" l="1"/>
  <c r="G131" i="7"/>
  <c r="H131" i="7" l="1"/>
  <c r="I131" i="7" s="1"/>
  <c r="J131" i="7" s="1"/>
  <c r="L131" i="7"/>
  <c r="M131" i="7" s="1"/>
  <c r="N131" i="7" s="1"/>
  <c r="O131" i="7" l="1"/>
  <c r="T132" i="7" s="1"/>
  <c r="Q132" i="7"/>
  <c r="P132" i="7"/>
  <c r="K131" i="7"/>
  <c r="S132" i="7" s="1"/>
  <c r="G132" i="7" l="1"/>
  <c r="R132" i="7"/>
  <c r="L132" i="7" l="1"/>
  <c r="M132" i="7" s="1"/>
  <c r="N132" i="7" s="1"/>
  <c r="H132" i="7"/>
  <c r="I132" i="7" s="1"/>
  <c r="J132" i="7" s="1"/>
  <c r="P133" i="7" l="1"/>
  <c r="K132" i="7"/>
  <c r="S133" i="7" s="1"/>
  <c r="O132" i="7"/>
  <c r="T133" i="7" s="1"/>
  <c r="Q133" i="7"/>
  <c r="R133" i="7" l="1"/>
  <c r="G133" i="7"/>
  <c r="H133" i="7" l="1"/>
  <c r="I133" i="7" s="1"/>
  <c r="J133" i="7" s="1"/>
  <c r="L133" i="7"/>
  <c r="M133" i="7" s="1"/>
  <c r="N133" i="7" s="1"/>
  <c r="O133" i="7" l="1"/>
  <c r="T134" i="7" s="1"/>
  <c r="Q134" i="7"/>
  <c r="K133" i="7"/>
  <c r="S134" i="7" s="1"/>
  <c r="P134" i="7"/>
  <c r="R134" i="7" l="1"/>
  <c r="G134" i="7"/>
  <c r="L134" i="7" l="1"/>
  <c r="M134" i="7" s="1"/>
  <c r="N134" i="7" s="1"/>
  <c r="H134" i="7"/>
  <c r="I134" i="7" s="1"/>
  <c r="J134" i="7" s="1"/>
  <c r="K134" i="7" l="1"/>
  <c r="S135" i="7" s="1"/>
  <c r="P135" i="7"/>
  <c r="O134" i="7"/>
  <c r="T135" i="7" s="1"/>
  <c r="Q135" i="7"/>
  <c r="G135" i="7" l="1"/>
  <c r="R135" i="7"/>
  <c r="L135" i="7" l="1"/>
  <c r="M135" i="7" s="1"/>
  <c r="N135" i="7" s="1"/>
  <c r="H135" i="7"/>
  <c r="I135" i="7" s="1"/>
  <c r="J135" i="7" s="1"/>
  <c r="P136" i="7" l="1"/>
  <c r="K135" i="7"/>
  <c r="S136" i="7" s="1"/>
  <c r="O135" i="7"/>
  <c r="T136" i="7" s="1"/>
  <c r="Q136" i="7"/>
  <c r="R136" i="7" l="1"/>
  <c r="G136" i="7"/>
  <c r="H136" i="7" l="1"/>
  <c r="I136" i="7" s="1"/>
  <c r="J136" i="7" s="1"/>
  <c r="L136" i="7"/>
  <c r="M136" i="7" s="1"/>
  <c r="N136" i="7" s="1"/>
  <c r="O136" i="7" l="1"/>
  <c r="T137" i="7" s="1"/>
  <c r="Q137" i="7"/>
  <c r="K136" i="7"/>
  <c r="S137" i="7" s="1"/>
  <c r="P137" i="7"/>
  <c r="R137" i="7" l="1"/>
  <c r="G137" i="7"/>
  <c r="H137" i="7" l="1"/>
  <c r="I137" i="7" s="1"/>
  <c r="J137" i="7" s="1"/>
  <c r="L137" i="7"/>
  <c r="M137" i="7" s="1"/>
  <c r="N137" i="7" s="1"/>
  <c r="O137" i="7" l="1"/>
  <c r="T138" i="7" s="1"/>
  <c r="Q138" i="7"/>
  <c r="K137" i="7"/>
  <c r="S138" i="7" s="1"/>
  <c r="P138" i="7"/>
  <c r="G138" i="7" l="1"/>
  <c r="R138" i="7"/>
  <c r="H138" i="7" l="1"/>
  <c r="I138" i="7" s="1"/>
  <c r="J138" i="7" s="1"/>
  <c r="L138" i="7"/>
  <c r="M138" i="7" s="1"/>
  <c r="N138" i="7" s="1"/>
  <c r="Q139" i="7" l="1"/>
  <c r="O138" i="7"/>
  <c r="T139" i="7" s="1"/>
  <c r="P139" i="7"/>
  <c r="K138" i="7"/>
  <c r="S139" i="7" s="1"/>
  <c r="R139" i="7" l="1"/>
  <c r="G139" i="7"/>
  <c r="H139" i="7" l="1"/>
  <c r="I139" i="7" s="1"/>
  <c r="J139" i="7" s="1"/>
  <c r="L139" i="7"/>
  <c r="M139" i="7" s="1"/>
  <c r="N139" i="7" s="1"/>
  <c r="Q140" i="7" l="1"/>
  <c r="O139" i="7"/>
  <c r="T140" i="7" s="1"/>
  <c r="K139" i="7"/>
  <c r="S140" i="7" s="1"/>
  <c r="P140" i="7"/>
  <c r="G140" i="7" l="1"/>
  <c r="R140" i="7"/>
  <c r="L140" i="7" l="1"/>
  <c r="M140" i="7" s="1"/>
  <c r="N140" i="7" s="1"/>
  <c r="H140" i="7"/>
  <c r="I140" i="7" s="1"/>
  <c r="J140" i="7" s="1"/>
  <c r="K140" i="7" l="1"/>
  <c r="S141" i="7" s="1"/>
  <c r="P141" i="7"/>
  <c r="Q141" i="7"/>
  <c r="O140" i="7"/>
  <c r="T141" i="7" s="1"/>
  <c r="R141" i="7" l="1"/>
  <c r="G141" i="7"/>
  <c r="H141" i="7" l="1"/>
  <c r="I141" i="7" s="1"/>
  <c r="J141" i="7" s="1"/>
  <c r="L141" i="7"/>
  <c r="M141" i="7" s="1"/>
  <c r="N141" i="7" s="1"/>
  <c r="O141" i="7" l="1"/>
  <c r="T142" i="7" s="1"/>
  <c r="Q142" i="7"/>
  <c r="K141" i="7"/>
  <c r="S142" i="7" s="1"/>
  <c r="P142" i="7"/>
  <c r="R142" i="7" l="1"/>
  <c r="G142" i="7"/>
  <c r="H142" i="7" l="1"/>
  <c r="I142" i="7" s="1"/>
  <c r="J142" i="7" s="1"/>
  <c r="L142" i="7"/>
  <c r="M142" i="7" s="1"/>
  <c r="N142" i="7" s="1"/>
  <c r="Q143" i="7" l="1"/>
  <c r="O142" i="7"/>
  <c r="T143" i="7" s="1"/>
  <c r="P143" i="7"/>
  <c r="K142" i="7"/>
  <c r="S143" i="7" s="1"/>
  <c r="R143" i="7" l="1"/>
  <c r="G143" i="7"/>
  <c r="L143" i="7" l="1"/>
  <c r="M143" i="7" s="1"/>
  <c r="N143" i="7" s="1"/>
  <c r="H143" i="7"/>
  <c r="I143" i="7" s="1"/>
  <c r="J143" i="7" s="1"/>
  <c r="P144" i="7" l="1"/>
  <c r="K143" i="7"/>
  <c r="S144" i="7" s="1"/>
  <c r="Q144" i="7"/>
  <c r="O143" i="7"/>
  <c r="T144" i="7" s="1"/>
  <c r="G144" i="7" l="1"/>
  <c r="R144" i="7"/>
  <c r="H144" i="7" l="1"/>
  <c r="I144" i="7" s="1"/>
  <c r="J144" i="7" s="1"/>
  <c r="L144" i="7"/>
  <c r="M144" i="7" s="1"/>
  <c r="N144" i="7" s="1"/>
  <c r="O144" i="7" l="1"/>
  <c r="T145" i="7" s="1"/>
  <c r="Q145" i="7"/>
  <c r="P145" i="7"/>
  <c r="K144" i="7"/>
  <c r="S145" i="7" s="1"/>
  <c r="R145" i="7" l="1"/>
  <c r="G145" i="7"/>
  <c r="L145" i="7" l="1"/>
  <c r="M145" i="7" s="1"/>
  <c r="N145" i="7" s="1"/>
  <c r="H145" i="7"/>
  <c r="I145" i="7" s="1"/>
  <c r="J145" i="7" s="1"/>
  <c r="P146" i="7" l="1"/>
  <c r="K145" i="7"/>
  <c r="S146" i="7" s="1"/>
  <c r="O145" i="7"/>
  <c r="T146" i="7" s="1"/>
  <c r="Q146" i="7"/>
  <c r="R146" i="7" l="1"/>
  <c r="G146" i="7"/>
  <c r="H146" i="7" l="1"/>
  <c r="I146" i="7" s="1"/>
  <c r="J146" i="7" s="1"/>
  <c r="L146" i="7"/>
  <c r="M146" i="7" s="1"/>
  <c r="N146" i="7" s="1"/>
  <c r="Q147" i="7" l="1"/>
  <c r="O146" i="7"/>
  <c r="T147" i="7" s="1"/>
  <c r="P147" i="7"/>
  <c r="K146" i="7"/>
  <c r="S147" i="7" s="1"/>
  <c r="G147" i="7" l="1"/>
  <c r="R147" i="7"/>
  <c r="L147" i="7" l="1"/>
  <c r="M147" i="7" s="1"/>
  <c r="N147" i="7" s="1"/>
  <c r="H147" i="7"/>
  <c r="I147" i="7" s="1"/>
  <c r="J147" i="7" s="1"/>
  <c r="P148" i="7" l="1"/>
  <c r="K147" i="7"/>
  <c r="S148" i="7" s="1"/>
  <c r="Q148" i="7"/>
  <c r="O147" i="7"/>
  <c r="T148" i="7" s="1"/>
  <c r="G148" i="7" l="1"/>
  <c r="R148" i="7"/>
  <c r="L148" i="7" l="1"/>
  <c r="M148" i="7" s="1"/>
  <c r="N148" i="7" s="1"/>
  <c r="H148" i="7"/>
  <c r="I148" i="7" s="1"/>
  <c r="J148" i="7" s="1"/>
  <c r="K148" i="7" l="1"/>
  <c r="S149" i="7" s="1"/>
  <c r="P149" i="7"/>
  <c r="Q149" i="7"/>
  <c r="O148" i="7"/>
  <c r="T149" i="7" s="1"/>
  <c r="G149" i="7" l="1"/>
  <c r="R149" i="7"/>
  <c r="L149" i="7" l="1"/>
  <c r="M149" i="7" s="1"/>
  <c r="N149" i="7" s="1"/>
  <c r="H149" i="7"/>
  <c r="I149" i="7" s="1"/>
  <c r="J149" i="7" s="1"/>
  <c r="P150" i="7" l="1"/>
  <c r="K149" i="7"/>
  <c r="S150" i="7" s="1"/>
  <c r="O149" i="7"/>
  <c r="T150" i="7" s="1"/>
  <c r="Q150" i="7"/>
  <c r="G150" i="7" l="1"/>
  <c r="R150" i="7"/>
  <c r="L150" i="7" l="1"/>
  <c r="M150" i="7" s="1"/>
  <c r="N150" i="7" s="1"/>
  <c r="H150" i="7"/>
  <c r="I150" i="7" s="1"/>
  <c r="J150" i="7" s="1"/>
  <c r="P151" i="7" l="1"/>
  <c r="K150" i="7"/>
  <c r="S151" i="7" s="1"/>
  <c r="O150" i="7"/>
  <c r="T151" i="7" s="1"/>
  <c r="Q151" i="7"/>
  <c r="G151" i="7" l="1"/>
  <c r="R151" i="7"/>
  <c r="H151" i="7" l="1"/>
  <c r="I151" i="7" s="1"/>
  <c r="J151" i="7" s="1"/>
  <c r="L151" i="7"/>
  <c r="M151" i="7" s="1"/>
  <c r="N151" i="7" s="1"/>
  <c r="O151" i="7" l="1"/>
  <c r="T152" i="7" s="1"/>
  <c r="Q152" i="7"/>
  <c r="K151" i="7"/>
  <c r="S152" i="7" s="1"/>
  <c r="P152" i="7"/>
  <c r="R152" i="7" l="1"/>
  <c r="G152" i="7"/>
  <c r="L152" i="7" l="1"/>
  <c r="M152" i="7" s="1"/>
  <c r="N152" i="7" s="1"/>
  <c r="H152" i="7"/>
  <c r="I152" i="7" s="1"/>
  <c r="J152" i="7" s="1"/>
  <c r="K152" i="7" l="1"/>
  <c r="S153" i="7" s="1"/>
  <c r="P153" i="7"/>
  <c r="Q153" i="7"/>
  <c r="O152" i="7"/>
  <c r="T153" i="7" s="1"/>
  <c r="G153" i="7" l="1"/>
  <c r="R153" i="7"/>
  <c r="L153" i="7" l="1"/>
  <c r="M153" i="7" s="1"/>
  <c r="N153" i="7" s="1"/>
  <c r="H153" i="7"/>
  <c r="I153" i="7" s="1"/>
  <c r="J153" i="7" s="1"/>
  <c r="K153" i="7" l="1"/>
  <c r="S154" i="7" s="1"/>
  <c r="P154" i="7"/>
  <c r="Q154" i="7"/>
  <c r="O153" i="7"/>
  <c r="T154" i="7" s="1"/>
  <c r="G154" i="7" l="1"/>
  <c r="R154" i="7"/>
  <c r="L154" i="7" l="1"/>
  <c r="M154" i="7" s="1"/>
  <c r="N154" i="7" s="1"/>
  <c r="H154" i="7"/>
  <c r="I154" i="7" s="1"/>
  <c r="J154" i="7" s="1"/>
  <c r="P155" i="7" l="1"/>
  <c r="K154" i="7"/>
  <c r="S155" i="7" s="1"/>
  <c r="Q155" i="7"/>
  <c r="O154" i="7"/>
  <c r="T155" i="7" s="1"/>
  <c r="G155" i="7" l="1"/>
  <c r="R155" i="7"/>
  <c r="H155" i="7" l="1"/>
  <c r="I155" i="7" s="1"/>
  <c r="J155" i="7" s="1"/>
  <c r="L155" i="7"/>
  <c r="M155" i="7" s="1"/>
  <c r="N155" i="7" s="1"/>
  <c r="Q156" i="7" l="1"/>
  <c r="O155" i="7"/>
  <c r="T156" i="7" s="1"/>
  <c r="P156" i="7"/>
  <c r="K155" i="7"/>
  <c r="S156" i="7" s="1"/>
  <c r="G156" i="7" l="1"/>
  <c r="R156" i="7"/>
  <c r="L156" i="7" l="1"/>
  <c r="M156" i="7" s="1"/>
  <c r="N156" i="7" s="1"/>
  <c r="H156" i="7"/>
  <c r="I156" i="7" s="1"/>
  <c r="J156" i="7" s="1"/>
  <c r="P157" i="7" l="1"/>
  <c r="K156" i="7"/>
  <c r="S157" i="7" s="1"/>
  <c r="O156" i="7"/>
  <c r="T157" i="7" s="1"/>
  <c r="Q157" i="7"/>
  <c r="G157" i="7" l="1"/>
  <c r="R157" i="7"/>
  <c r="H157" i="7" l="1"/>
  <c r="I157" i="7" s="1"/>
  <c r="J157" i="7" s="1"/>
  <c r="L157" i="7"/>
  <c r="M157" i="7" s="1"/>
  <c r="N157" i="7" s="1"/>
  <c r="Q158" i="7" l="1"/>
  <c r="O157" i="7"/>
  <c r="T158" i="7" s="1"/>
  <c r="P158" i="7"/>
  <c r="K157" i="7"/>
  <c r="S158" i="7" s="1"/>
  <c r="G158" i="7" l="1"/>
  <c r="R158" i="7"/>
  <c r="H158" i="7" l="1"/>
  <c r="I158" i="7" s="1"/>
  <c r="J158" i="7" s="1"/>
  <c r="L158" i="7"/>
  <c r="M158" i="7" s="1"/>
  <c r="N158" i="7" s="1"/>
  <c r="O158" i="7" l="1"/>
  <c r="T159" i="7" s="1"/>
  <c r="Q159" i="7"/>
  <c r="K158" i="7"/>
  <c r="S159" i="7" s="1"/>
  <c r="P159" i="7"/>
  <c r="G159" i="7" l="1"/>
  <c r="R159" i="7"/>
  <c r="L159" i="7" l="1"/>
  <c r="M159" i="7" s="1"/>
  <c r="N159" i="7" s="1"/>
  <c r="H159" i="7"/>
  <c r="I159" i="7" s="1"/>
  <c r="J159" i="7" s="1"/>
  <c r="P160" i="7" l="1"/>
  <c r="K159" i="7"/>
  <c r="S160" i="7" s="1"/>
  <c r="Q160" i="7"/>
  <c r="O159" i="7"/>
  <c r="T160" i="7" s="1"/>
  <c r="G160" i="7" l="1"/>
  <c r="R160" i="7"/>
  <c r="H160" i="7" l="1"/>
  <c r="I160" i="7" s="1"/>
  <c r="J160" i="7" s="1"/>
  <c r="L160" i="7"/>
  <c r="M160" i="7" s="1"/>
  <c r="N160" i="7" s="1"/>
  <c r="O160" i="7" l="1"/>
  <c r="T161" i="7" s="1"/>
  <c r="Q161" i="7"/>
  <c r="K160" i="7"/>
  <c r="S161" i="7" s="1"/>
  <c r="P161" i="7"/>
  <c r="G161" i="7" l="1"/>
  <c r="R161" i="7"/>
  <c r="L161" i="7" l="1"/>
  <c r="M161" i="7" s="1"/>
  <c r="N161" i="7" s="1"/>
  <c r="H161" i="7"/>
  <c r="I161" i="7" s="1"/>
  <c r="J161" i="7" s="1"/>
  <c r="P162" i="7" l="1"/>
  <c r="K161" i="7"/>
  <c r="S162" i="7" s="1"/>
  <c r="O161" i="7"/>
  <c r="T162" i="7" s="1"/>
  <c r="Q162" i="7"/>
  <c r="G162" i="7" l="1"/>
  <c r="R162" i="7"/>
  <c r="H162" i="7" l="1"/>
  <c r="I162" i="7" s="1"/>
  <c r="J162" i="7" s="1"/>
  <c r="L162" i="7"/>
  <c r="M162" i="7" s="1"/>
  <c r="N162" i="7" s="1"/>
  <c r="O162" i="7" l="1"/>
  <c r="T163" i="7" s="1"/>
  <c r="Q163" i="7"/>
  <c r="K162" i="7"/>
  <c r="S163" i="7" s="1"/>
  <c r="P163" i="7"/>
  <c r="G163" i="7" l="1"/>
  <c r="R163" i="7"/>
  <c r="H163" i="7" l="1"/>
  <c r="I163" i="7" s="1"/>
  <c r="J163" i="7" s="1"/>
  <c r="L163" i="7"/>
  <c r="M163" i="7" s="1"/>
  <c r="N163" i="7" s="1"/>
  <c r="Q164" i="7" l="1"/>
  <c r="O163" i="7"/>
  <c r="T164" i="7" s="1"/>
  <c r="P164" i="7"/>
  <c r="K163" i="7"/>
  <c r="S164" i="7" s="1"/>
  <c r="R164" i="7" l="1"/>
  <c r="G164" i="7"/>
  <c r="H164" i="7" l="1"/>
  <c r="I164" i="7" s="1"/>
  <c r="J164" i="7" s="1"/>
  <c r="L164" i="7"/>
  <c r="M164" i="7" s="1"/>
  <c r="N164" i="7" s="1"/>
  <c r="O164" i="7" l="1"/>
  <c r="T165" i="7" s="1"/>
  <c r="Q165" i="7"/>
  <c r="P165" i="7"/>
  <c r="K164" i="7"/>
  <c r="S165" i="7" s="1"/>
  <c r="R165" i="7" l="1"/>
  <c r="G165" i="7"/>
  <c r="H165" i="7" l="1"/>
  <c r="I165" i="7" s="1"/>
  <c r="J165" i="7" s="1"/>
  <c r="L165" i="7"/>
  <c r="M165" i="7" s="1"/>
  <c r="N165" i="7" s="1"/>
  <c r="Q166" i="7" l="1"/>
  <c r="O165" i="7"/>
  <c r="T166" i="7" s="1"/>
  <c r="P166" i="7"/>
  <c r="K165" i="7"/>
  <c r="S166" i="7" s="1"/>
  <c r="R166" i="7" l="1"/>
  <c r="G166" i="7"/>
  <c r="H166" i="7" l="1"/>
  <c r="I166" i="7" s="1"/>
  <c r="J166" i="7" s="1"/>
  <c r="L166" i="7"/>
  <c r="M166" i="7" s="1"/>
  <c r="N166" i="7" s="1"/>
  <c r="O166" i="7" l="1"/>
  <c r="T167" i="7" s="1"/>
  <c r="Q167" i="7"/>
  <c r="P167" i="7"/>
  <c r="K166" i="7"/>
  <c r="S167" i="7" s="1"/>
  <c r="R167" i="7" l="1"/>
  <c r="G167" i="7"/>
  <c r="L167" i="7" l="1"/>
  <c r="M167" i="7" s="1"/>
  <c r="N167" i="7" s="1"/>
  <c r="H167" i="7"/>
  <c r="I167" i="7" s="1"/>
  <c r="J167" i="7" s="1"/>
  <c r="P168" i="7" l="1"/>
  <c r="K167" i="7"/>
  <c r="S168" i="7" s="1"/>
  <c r="Q168" i="7"/>
  <c r="O167" i="7"/>
  <c r="T168" i="7" s="1"/>
  <c r="R168" i="7" l="1"/>
  <c r="G168" i="7"/>
  <c r="H168" i="7" l="1"/>
  <c r="I168" i="7" s="1"/>
  <c r="J168" i="7" s="1"/>
  <c r="L168" i="7"/>
  <c r="M168" i="7" s="1"/>
  <c r="N168" i="7" s="1"/>
  <c r="O168" i="7" l="1"/>
  <c r="T169" i="7" s="1"/>
  <c r="Q169" i="7"/>
  <c r="K168" i="7"/>
  <c r="S169" i="7" s="1"/>
  <c r="P169" i="7"/>
  <c r="G169" i="7" l="1"/>
  <c r="R169" i="7"/>
  <c r="L169" i="7" l="1"/>
  <c r="M169" i="7" s="1"/>
  <c r="N169" i="7" s="1"/>
  <c r="H169" i="7"/>
  <c r="I169" i="7" s="1"/>
  <c r="J169" i="7" s="1"/>
  <c r="P170" i="7" l="1"/>
  <c r="K169" i="7"/>
  <c r="S170" i="7" s="1"/>
  <c r="Q170" i="7"/>
  <c r="O169" i="7"/>
  <c r="T170" i="7" s="1"/>
  <c r="R170" i="7" l="1"/>
  <c r="G170" i="7"/>
  <c r="L170" i="7" l="1"/>
  <c r="M170" i="7" s="1"/>
  <c r="N170" i="7" s="1"/>
  <c r="H170" i="7"/>
  <c r="I170" i="7" s="1"/>
  <c r="J170" i="7" s="1"/>
  <c r="K170" i="7" l="1"/>
  <c r="S171" i="7" s="1"/>
  <c r="P171" i="7"/>
  <c r="O170" i="7"/>
  <c r="T171" i="7" s="1"/>
  <c r="Q171" i="7"/>
  <c r="R171" i="7" l="1"/>
  <c r="G171" i="7"/>
  <c r="H171" i="7" l="1"/>
  <c r="I171" i="7" s="1"/>
  <c r="J171" i="7" s="1"/>
  <c r="L171" i="7"/>
  <c r="M171" i="7" s="1"/>
  <c r="N171" i="7" s="1"/>
  <c r="O171" i="7" l="1"/>
  <c r="T172" i="7" s="1"/>
  <c r="Q172" i="7"/>
  <c r="P172" i="7"/>
  <c r="K171" i="7"/>
  <c r="S172" i="7" s="1"/>
  <c r="R172" i="7" l="1"/>
  <c r="G172" i="7"/>
  <c r="L172" i="7" l="1"/>
  <c r="M172" i="7" s="1"/>
  <c r="N172" i="7" s="1"/>
  <c r="H172" i="7"/>
  <c r="I172" i="7" s="1"/>
  <c r="J172" i="7" s="1"/>
  <c r="K172" i="7" l="1"/>
  <c r="S173" i="7" s="1"/>
  <c r="P173" i="7"/>
  <c r="Q173" i="7"/>
  <c r="O172" i="7"/>
  <c r="T173" i="7" s="1"/>
  <c r="R173" i="7" l="1"/>
  <c r="G173" i="7"/>
  <c r="L173" i="7" l="1"/>
  <c r="M173" i="7" s="1"/>
  <c r="N173" i="7" s="1"/>
  <c r="H173" i="7"/>
  <c r="I173" i="7" s="1"/>
  <c r="J173" i="7" s="1"/>
  <c r="P174" i="7" l="1"/>
  <c r="K173" i="7"/>
  <c r="S174" i="7" s="1"/>
  <c r="O173" i="7"/>
  <c r="T174" i="7" s="1"/>
  <c r="Q174" i="7"/>
  <c r="G174" i="7" l="1"/>
  <c r="R174" i="7"/>
  <c r="H174" i="7" l="1"/>
  <c r="I174" i="7" s="1"/>
  <c r="J174" i="7" s="1"/>
  <c r="L174" i="7"/>
  <c r="M174" i="7" s="1"/>
  <c r="N174" i="7" s="1"/>
  <c r="O174" i="7" l="1"/>
  <c r="T175" i="7" s="1"/>
  <c r="Q175" i="7"/>
  <c r="P175" i="7"/>
  <c r="K174" i="7"/>
  <c r="S175" i="7" s="1"/>
  <c r="R175" i="7" l="1"/>
  <c r="G175" i="7"/>
  <c r="L175" i="7" l="1"/>
  <c r="M175" i="7" s="1"/>
  <c r="N175" i="7" s="1"/>
  <c r="H175" i="7"/>
  <c r="I175" i="7" s="1"/>
  <c r="J175" i="7" s="1"/>
  <c r="P176" i="7" l="1"/>
  <c r="K175" i="7"/>
  <c r="S176" i="7" s="1"/>
  <c r="Q176" i="7"/>
  <c r="O175" i="7"/>
  <c r="T176" i="7" s="1"/>
  <c r="R176" i="7" l="1"/>
  <c r="G176" i="7"/>
  <c r="H176" i="7" l="1"/>
  <c r="I176" i="7" s="1"/>
  <c r="J176" i="7" s="1"/>
  <c r="L176" i="7"/>
  <c r="M176" i="7" s="1"/>
  <c r="N176" i="7" s="1"/>
  <c r="Q177" i="7" l="1"/>
  <c r="O176" i="7"/>
  <c r="T177" i="7" s="1"/>
  <c r="P177" i="7"/>
  <c r="K176" i="7"/>
  <c r="S177" i="7" s="1"/>
  <c r="R177" i="7" l="1"/>
  <c r="G177" i="7"/>
  <c r="L177" i="7" l="1"/>
  <c r="M177" i="7" s="1"/>
  <c r="N177" i="7" s="1"/>
  <c r="H177" i="7"/>
  <c r="I177" i="7" s="1"/>
  <c r="J177" i="7" s="1"/>
  <c r="P178" i="7" l="1"/>
  <c r="K177" i="7"/>
  <c r="S178" i="7" s="1"/>
  <c r="O177" i="7"/>
  <c r="T178" i="7" s="1"/>
  <c r="Q178" i="7"/>
  <c r="G178" i="7" l="1"/>
  <c r="R178" i="7"/>
  <c r="L178" i="7" l="1"/>
  <c r="M178" i="7" s="1"/>
  <c r="N178" i="7" s="1"/>
  <c r="H178" i="7"/>
  <c r="I178" i="7" s="1"/>
  <c r="J178" i="7" s="1"/>
  <c r="P179" i="7" l="1"/>
  <c r="K178" i="7"/>
  <c r="S179" i="7" s="1"/>
  <c r="O178" i="7"/>
  <c r="T179" i="7" s="1"/>
  <c r="Q179" i="7"/>
  <c r="G179" i="7" l="1"/>
  <c r="R179" i="7"/>
  <c r="L179" i="7" l="1"/>
  <c r="M179" i="7" s="1"/>
  <c r="N179" i="7" s="1"/>
  <c r="H179" i="7"/>
  <c r="I179" i="7" s="1"/>
  <c r="J179" i="7" s="1"/>
  <c r="P180" i="7" l="1"/>
  <c r="K179" i="7"/>
  <c r="S180" i="7" s="1"/>
  <c r="Q180" i="7"/>
  <c r="O179" i="7"/>
  <c r="T180" i="7" s="1"/>
  <c r="G180" i="7" l="1"/>
  <c r="R180" i="7"/>
  <c r="H180" i="7" l="1"/>
  <c r="I180" i="7" s="1"/>
  <c r="J180" i="7" s="1"/>
  <c r="L180" i="7"/>
  <c r="M180" i="7" s="1"/>
  <c r="N180" i="7" s="1"/>
  <c r="Q181" i="7" l="1"/>
  <c r="O180" i="7"/>
  <c r="T181" i="7" s="1"/>
  <c r="K180" i="7"/>
  <c r="S181" i="7" s="1"/>
  <c r="P181" i="7"/>
  <c r="G181" i="7" l="1"/>
  <c r="R181" i="7"/>
  <c r="L181" i="7" l="1"/>
  <c r="M181" i="7" s="1"/>
  <c r="N181" i="7" s="1"/>
  <c r="H181" i="7"/>
  <c r="I181" i="7" s="1"/>
  <c r="J181" i="7" s="1"/>
  <c r="P182" i="7" l="1"/>
  <c r="K181" i="7"/>
  <c r="S182" i="7" s="1"/>
  <c r="Q182" i="7"/>
  <c r="O181" i="7"/>
  <c r="T182" i="7" s="1"/>
  <c r="R182" i="7" l="1"/>
  <c r="G182" i="7"/>
  <c r="L182" i="7" l="1"/>
  <c r="M182" i="7" s="1"/>
  <c r="N182" i="7" s="1"/>
  <c r="H182" i="7"/>
  <c r="I182" i="7" s="1"/>
  <c r="J182" i="7" s="1"/>
  <c r="K182" i="7" l="1"/>
  <c r="S183" i="7" s="1"/>
  <c r="P183" i="7"/>
  <c r="Q183" i="7"/>
  <c r="O182" i="7"/>
  <c r="T183" i="7" s="1"/>
  <c r="R183" i="7" l="1"/>
  <c r="G183" i="7"/>
  <c r="H183" i="7" l="1"/>
  <c r="I183" i="7" s="1"/>
  <c r="J183" i="7" s="1"/>
  <c r="L183" i="7"/>
  <c r="M183" i="7" s="1"/>
  <c r="N183" i="7" s="1"/>
  <c r="O183" i="7" l="1"/>
  <c r="T184" i="7" s="1"/>
  <c r="Q184" i="7"/>
  <c r="P184" i="7"/>
  <c r="K183" i="7"/>
  <c r="S184" i="7" s="1"/>
  <c r="R184" i="7" l="1"/>
  <c r="G184" i="7"/>
  <c r="H184" i="7" l="1"/>
  <c r="I184" i="7" s="1"/>
  <c r="J184" i="7" s="1"/>
  <c r="L184" i="7"/>
  <c r="M184" i="7" s="1"/>
  <c r="N184" i="7" s="1"/>
  <c r="O184" i="7" l="1"/>
  <c r="T185" i="7" s="1"/>
  <c r="Q185" i="7"/>
  <c r="P185" i="7"/>
  <c r="K184" i="7"/>
  <c r="S185" i="7" s="1"/>
  <c r="R185" i="7" l="1"/>
  <c r="G185" i="7"/>
  <c r="L185" i="7" l="1"/>
  <c r="M185" i="7" s="1"/>
  <c r="N185" i="7" s="1"/>
  <c r="H185" i="7"/>
  <c r="I185" i="7" s="1"/>
  <c r="J185" i="7" s="1"/>
  <c r="K185" i="7" l="1"/>
  <c r="S186" i="7" s="1"/>
  <c r="P186" i="7"/>
  <c r="Q186" i="7"/>
  <c r="O185" i="7"/>
  <c r="T186" i="7" s="1"/>
  <c r="G186" i="7" l="1"/>
  <c r="R186" i="7"/>
  <c r="L186" i="7" l="1"/>
  <c r="M186" i="7" s="1"/>
  <c r="N186" i="7" s="1"/>
  <c r="H186" i="7"/>
  <c r="I186" i="7" s="1"/>
  <c r="J186" i="7" s="1"/>
  <c r="K186" i="7" l="1"/>
  <c r="S187" i="7" s="1"/>
  <c r="P187" i="7"/>
  <c r="Q187" i="7"/>
  <c r="O186" i="7"/>
  <c r="T187" i="7" s="1"/>
  <c r="G187" i="7" l="1"/>
  <c r="R187" i="7"/>
  <c r="H187" i="7" l="1"/>
  <c r="I187" i="7" s="1"/>
  <c r="J187" i="7" s="1"/>
  <c r="L187" i="7"/>
  <c r="M187" i="7" s="1"/>
  <c r="N187" i="7" s="1"/>
  <c r="O187" i="7" l="1"/>
  <c r="T188" i="7" s="1"/>
  <c r="Q188" i="7"/>
  <c r="K187" i="7"/>
  <c r="S188" i="7" s="1"/>
  <c r="P188" i="7"/>
  <c r="R188" i="7" l="1"/>
  <c r="G188" i="7"/>
  <c r="L188" i="7" l="1"/>
  <c r="M188" i="7" s="1"/>
  <c r="N188" i="7" s="1"/>
  <c r="H188" i="7"/>
  <c r="I188" i="7" s="1"/>
  <c r="J188" i="7" s="1"/>
  <c r="K188" i="7" l="1"/>
  <c r="S189" i="7" s="1"/>
  <c r="P189" i="7"/>
  <c r="Q189" i="7"/>
  <c r="O188" i="7"/>
  <c r="T189" i="7" s="1"/>
  <c r="G189" i="7" l="1"/>
  <c r="R189" i="7"/>
  <c r="H189" i="7" l="1"/>
  <c r="I189" i="7" s="1"/>
  <c r="J189" i="7" s="1"/>
  <c r="L189" i="7"/>
  <c r="M189" i="7" s="1"/>
  <c r="N189" i="7" s="1"/>
  <c r="Q190" i="7" l="1"/>
  <c r="O189" i="7"/>
  <c r="T190" i="7" s="1"/>
  <c r="P190" i="7"/>
  <c r="K189" i="7"/>
  <c r="S190" i="7" s="1"/>
  <c r="R190" i="7" l="1"/>
  <c r="G190" i="7"/>
  <c r="L190" i="7" l="1"/>
  <c r="M190" i="7" s="1"/>
  <c r="N190" i="7" s="1"/>
  <c r="H190" i="7"/>
  <c r="I190" i="7" s="1"/>
  <c r="J190" i="7" s="1"/>
  <c r="K190" i="7" l="1"/>
  <c r="S191" i="7" s="1"/>
  <c r="P191" i="7"/>
  <c r="Q191" i="7"/>
  <c r="O190" i="7"/>
  <c r="T191" i="7" s="1"/>
  <c r="R191" i="7" l="1"/>
  <c r="G191" i="7"/>
  <c r="L191" i="7" l="1"/>
  <c r="M191" i="7" s="1"/>
  <c r="N191" i="7" s="1"/>
  <c r="H191" i="7"/>
  <c r="I191" i="7" s="1"/>
  <c r="J191" i="7" s="1"/>
  <c r="K191" i="7" l="1"/>
  <c r="S192" i="7" s="1"/>
  <c r="P192" i="7"/>
  <c r="O191" i="7"/>
  <c r="T192" i="7" s="1"/>
  <c r="Q192" i="7"/>
  <c r="G192" i="7" l="1"/>
  <c r="R192" i="7"/>
  <c r="L192" i="7" l="1"/>
  <c r="M192" i="7" s="1"/>
  <c r="N192" i="7" s="1"/>
  <c r="H192" i="7"/>
  <c r="I192" i="7" s="1"/>
  <c r="J192" i="7" s="1"/>
  <c r="K192" i="7" l="1"/>
  <c r="S193" i="7" s="1"/>
  <c r="P193" i="7"/>
  <c r="O192" i="7"/>
  <c r="T193" i="7" s="1"/>
  <c r="Q193" i="7"/>
  <c r="G193" i="7" l="1"/>
  <c r="R193" i="7"/>
  <c r="H193" i="7" l="1"/>
  <c r="I193" i="7" s="1"/>
  <c r="J193" i="7" s="1"/>
  <c r="L193" i="7"/>
  <c r="M193" i="7" s="1"/>
  <c r="N193" i="7" s="1"/>
  <c r="O193" i="7" l="1"/>
  <c r="T194" i="7" s="1"/>
  <c r="Q194" i="7"/>
  <c r="P194" i="7"/>
  <c r="K193" i="7"/>
  <c r="S194" i="7" s="1"/>
  <c r="R194" i="7" l="1"/>
  <c r="G194" i="7"/>
  <c r="L194" i="7" l="1"/>
  <c r="M194" i="7" s="1"/>
  <c r="N194" i="7" s="1"/>
  <c r="H194" i="7"/>
  <c r="I194" i="7" s="1"/>
  <c r="J194" i="7" s="1"/>
  <c r="P195" i="7" l="1"/>
  <c r="K194" i="7"/>
  <c r="S195" i="7" s="1"/>
  <c r="Q195" i="7"/>
  <c r="O194" i="7"/>
  <c r="T195" i="7" s="1"/>
  <c r="R195" i="7" l="1"/>
  <c r="G195" i="7"/>
  <c r="L195" i="7" l="1"/>
  <c r="M195" i="7" s="1"/>
  <c r="N195" i="7" s="1"/>
  <c r="H195" i="7"/>
  <c r="I195" i="7" s="1"/>
  <c r="J195" i="7" s="1"/>
  <c r="P196" i="7" l="1"/>
  <c r="K195" i="7"/>
  <c r="S196" i="7" s="1"/>
  <c r="O195" i="7"/>
  <c r="T196" i="7" s="1"/>
  <c r="Q196" i="7"/>
  <c r="G196" i="7" l="1"/>
  <c r="R196" i="7"/>
  <c r="L196" i="7" l="1"/>
  <c r="M196" i="7" s="1"/>
  <c r="N196" i="7" s="1"/>
  <c r="H196" i="7"/>
  <c r="I196" i="7" s="1"/>
  <c r="J196" i="7" s="1"/>
  <c r="P197" i="7" l="1"/>
  <c r="K196" i="7"/>
  <c r="S197" i="7" s="1"/>
  <c r="O196" i="7"/>
  <c r="T197" i="7" s="1"/>
  <c r="Q197" i="7"/>
  <c r="R197" i="7" l="1"/>
  <c r="G197" i="7"/>
  <c r="H197" i="7" l="1"/>
  <c r="I197" i="7" s="1"/>
  <c r="J197" i="7" s="1"/>
  <c r="L197" i="7"/>
  <c r="M197" i="7" s="1"/>
  <c r="N197" i="7" s="1"/>
  <c r="O197" i="7" l="1"/>
  <c r="T198" i="7" s="1"/>
  <c r="Q198" i="7"/>
  <c r="K197" i="7"/>
  <c r="S198" i="7" s="1"/>
  <c r="P198" i="7"/>
  <c r="R198" i="7" l="1"/>
  <c r="G198" i="7"/>
  <c r="L198" i="7" l="1"/>
  <c r="M198" i="7" s="1"/>
  <c r="N198" i="7" s="1"/>
  <c r="H198" i="7"/>
  <c r="I198" i="7" s="1"/>
  <c r="J198" i="7" s="1"/>
  <c r="K198" i="7" l="1"/>
  <c r="S199" i="7" s="1"/>
  <c r="P199" i="7"/>
  <c r="O198" i="7"/>
  <c r="T199" i="7" s="1"/>
  <c r="Q199" i="7"/>
  <c r="R199" i="7" l="1"/>
  <c r="G199" i="7"/>
  <c r="L199" i="7" l="1"/>
  <c r="M199" i="7" s="1"/>
  <c r="N199" i="7" s="1"/>
  <c r="H199" i="7"/>
  <c r="I199" i="7" s="1"/>
  <c r="J199" i="7" s="1"/>
  <c r="P200" i="7" l="1"/>
  <c r="K199" i="7"/>
  <c r="S200" i="7" s="1"/>
  <c r="O199" i="7"/>
  <c r="T200" i="7" s="1"/>
  <c r="Q200" i="7"/>
  <c r="G200" i="7" l="1"/>
  <c r="R200" i="7"/>
  <c r="L200" i="7" l="1"/>
  <c r="M200" i="7" s="1"/>
  <c r="N200" i="7" s="1"/>
  <c r="H200" i="7"/>
  <c r="I200" i="7" s="1"/>
  <c r="J200" i="7" s="1"/>
  <c r="P201" i="7" l="1"/>
  <c r="K200" i="7"/>
  <c r="S201" i="7" s="1"/>
  <c r="Q201" i="7"/>
  <c r="O200" i="7"/>
  <c r="T201" i="7" s="1"/>
  <c r="R201" i="7" l="1"/>
  <c r="G201" i="7"/>
  <c r="L201" i="7" l="1"/>
  <c r="M201" i="7" s="1"/>
  <c r="N201" i="7" s="1"/>
  <c r="H201" i="7"/>
  <c r="I201" i="7" s="1"/>
  <c r="J201" i="7" s="1"/>
  <c r="P202" i="7" l="1"/>
  <c r="K201" i="7"/>
  <c r="S202" i="7" s="1"/>
  <c r="O201" i="7"/>
  <c r="T202" i="7" s="1"/>
  <c r="Q202" i="7"/>
  <c r="R202" i="7" l="1"/>
  <c r="G202" i="7"/>
  <c r="L202" i="7" l="1"/>
  <c r="M202" i="7" s="1"/>
  <c r="N202" i="7" s="1"/>
  <c r="H202" i="7"/>
  <c r="I202" i="7" s="1"/>
  <c r="J202" i="7" s="1"/>
  <c r="P203" i="7" l="1"/>
  <c r="K202" i="7"/>
  <c r="S203" i="7" s="1"/>
  <c r="Q203" i="7"/>
  <c r="O202" i="7"/>
  <c r="T203" i="7" s="1"/>
  <c r="R203" i="7" l="1"/>
  <c r="G203" i="7"/>
  <c r="L203" i="7" l="1"/>
  <c r="M203" i="7" s="1"/>
  <c r="N203" i="7" s="1"/>
  <c r="H203" i="7"/>
  <c r="I203" i="7" s="1"/>
  <c r="J203" i="7" s="1"/>
  <c r="K203" i="7" l="1"/>
  <c r="S204" i="7" s="1"/>
  <c r="P204" i="7"/>
  <c r="O203" i="7"/>
  <c r="T204" i="7" s="1"/>
  <c r="Q204" i="7"/>
  <c r="R204" i="7" l="1"/>
  <c r="G204" i="7"/>
  <c r="H204" i="7" l="1"/>
  <c r="I204" i="7" s="1"/>
  <c r="J204" i="7" s="1"/>
  <c r="L204" i="7"/>
  <c r="M204" i="7" s="1"/>
  <c r="N204" i="7" s="1"/>
  <c r="Q205" i="7" l="1"/>
  <c r="O204" i="7"/>
  <c r="T205" i="7" s="1"/>
  <c r="P205" i="7"/>
  <c r="K204" i="7"/>
  <c r="S205" i="7" s="1"/>
  <c r="G205" i="7" l="1"/>
  <c r="R205" i="7"/>
  <c r="H205" i="7" l="1"/>
  <c r="I205" i="7" s="1"/>
  <c r="J205" i="7" s="1"/>
  <c r="L205" i="7"/>
  <c r="M205" i="7" s="1"/>
  <c r="N205" i="7" s="1"/>
  <c r="Q206" i="7" l="1"/>
  <c r="O205" i="7"/>
  <c r="T206" i="7" s="1"/>
  <c r="K205" i="7"/>
  <c r="S206" i="7" s="1"/>
  <c r="P206" i="7"/>
  <c r="R206" i="7" l="1"/>
  <c r="G206" i="7"/>
  <c r="H206" i="7" l="1"/>
  <c r="I206" i="7" s="1"/>
  <c r="J206" i="7" s="1"/>
  <c r="L206" i="7"/>
  <c r="M206" i="7" s="1"/>
  <c r="N206" i="7" s="1"/>
  <c r="Q207" i="7" l="1"/>
  <c r="O206" i="7"/>
  <c r="T207" i="7" s="1"/>
  <c r="K206" i="7"/>
  <c r="S207" i="7" s="1"/>
  <c r="P207" i="7"/>
  <c r="R207" i="7" l="1"/>
  <c r="G207" i="7"/>
  <c r="L207" i="7" l="1"/>
  <c r="M207" i="7" s="1"/>
  <c r="N207" i="7" s="1"/>
  <c r="H207" i="7"/>
  <c r="I207" i="7" s="1"/>
  <c r="J207" i="7" s="1"/>
  <c r="P208" i="7" l="1"/>
  <c r="K207" i="7"/>
  <c r="S208" i="7" s="1"/>
  <c r="Q208" i="7"/>
  <c r="O207" i="7"/>
  <c r="T208" i="7" s="1"/>
  <c r="R208" i="7" l="1"/>
  <c r="G208" i="7"/>
  <c r="L208" i="7" l="1"/>
  <c r="M208" i="7" s="1"/>
  <c r="N208" i="7" s="1"/>
  <c r="H208" i="7"/>
  <c r="I208" i="7" s="1"/>
  <c r="J208" i="7" s="1"/>
  <c r="K208" i="7" l="1"/>
  <c r="S209" i="7" s="1"/>
  <c r="P209" i="7"/>
  <c r="O208" i="7"/>
  <c r="T209" i="7" s="1"/>
  <c r="Q209" i="7"/>
  <c r="R209" i="7" l="1"/>
  <c r="G209" i="7"/>
  <c r="H209" i="7" l="1"/>
  <c r="I209" i="7" s="1"/>
  <c r="J209" i="7" s="1"/>
  <c r="L209" i="7"/>
  <c r="M209" i="7" s="1"/>
  <c r="N209" i="7" s="1"/>
  <c r="O209" i="7" l="1"/>
  <c r="T210" i="7" s="1"/>
  <c r="Q210" i="7"/>
  <c r="P210" i="7"/>
  <c r="K209" i="7"/>
  <c r="S210" i="7" s="1"/>
  <c r="R210" i="7" l="1"/>
  <c r="G210" i="7"/>
  <c r="L210" i="7" l="1"/>
  <c r="M210" i="7" s="1"/>
  <c r="N210" i="7" s="1"/>
  <c r="H210" i="7"/>
  <c r="I210" i="7" s="1"/>
  <c r="J210" i="7" s="1"/>
  <c r="P211" i="7" l="1"/>
  <c r="K210" i="7"/>
  <c r="S211" i="7" s="1"/>
  <c r="Q211" i="7"/>
  <c r="O210" i="7"/>
  <c r="T211" i="7" s="1"/>
  <c r="G211" i="7" l="1"/>
  <c r="R211" i="7"/>
  <c r="H211" i="7" l="1"/>
  <c r="I211" i="7" s="1"/>
  <c r="J211" i="7" s="1"/>
  <c r="L211" i="7"/>
  <c r="M211" i="7" s="1"/>
  <c r="N211" i="7" s="1"/>
  <c r="O211" i="7" l="1"/>
  <c r="T212" i="7" s="1"/>
  <c r="Q212" i="7"/>
  <c r="P212" i="7"/>
  <c r="K211" i="7"/>
  <c r="S212" i="7" s="1"/>
  <c r="R212" i="7" l="1"/>
  <c r="G212" i="7"/>
  <c r="L212" i="7" l="1"/>
  <c r="M212" i="7" s="1"/>
  <c r="N212" i="7" s="1"/>
  <c r="H212" i="7"/>
  <c r="I212" i="7" s="1"/>
  <c r="J212" i="7" s="1"/>
  <c r="P213" i="7" l="1"/>
  <c r="K212" i="7"/>
  <c r="S213" i="7" s="1"/>
  <c r="O212" i="7"/>
  <c r="T213" i="7" s="1"/>
  <c r="Q213" i="7"/>
  <c r="G213" i="7" l="1"/>
  <c r="R213" i="7"/>
  <c r="H213" i="7" l="1"/>
  <c r="I213" i="7" s="1"/>
  <c r="J213" i="7" s="1"/>
  <c r="L213" i="7"/>
  <c r="M213" i="7" s="1"/>
  <c r="N213" i="7" s="1"/>
  <c r="O213" i="7" l="1"/>
  <c r="T214" i="7" s="1"/>
  <c r="Q214" i="7"/>
  <c r="P214" i="7"/>
  <c r="K213" i="7"/>
  <c r="S214" i="7" s="1"/>
  <c r="R214" i="7" l="1"/>
  <c r="G214" i="7"/>
  <c r="L214" i="7" l="1"/>
  <c r="M214" i="7" s="1"/>
  <c r="N214" i="7" s="1"/>
  <c r="H214" i="7"/>
  <c r="I214" i="7" s="1"/>
  <c r="J214" i="7" s="1"/>
  <c r="P215" i="7" l="1"/>
  <c r="K214" i="7"/>
  <c r="S215" i="7" s="1"/>
  <c r="O214" i="7"/>
  <c r="T215" i="7" s="1"/>
  <c r="Q215" i="7"/>
  <c r="R215" i="7" l="1"/>
  <c r="G215" i="7"/>
  <c r="H215" i="7" l="1"/>
  <c r="I215" i="7" s="1"/>
  <c r="J215" i="7" s="1"/>
  <c r="L215" i="7"/>
  <c r="M215" i="7" s="1"/>
  <c r="N215" i="7" s="1"/>
  <c r="Q216" i="7" l="1"/>
  <c r="O215" i="7"/>
  <c r="T216" i="7" s="1"/>
  <c r="K215" i="7"/>
  <c r="S216" i="7" s="1"/>
  <c r="P216" i="7"/>
  <c r="R216" i="7" l="1"/>
  <c r="G216" i="7"/>
  <c r="L216" i="7" l="1"/>
  <c r="M216" i="7" s="1"/>
  <c r="N216" i="7" s="1"/>
  <c r="H216" i="7"/>
  <c r="I216" i="7" s="1"/>
  <c r="J216" i="7" s="1"/>
  <c r="K216" i="7" l="1"/>
  <c r="S217" i="7" s="1"/>
  <c r="P217" i="7"/>
  <c r="Q217" i="7"/>
  <c r="O216" i="7"/>
  <c r="T217" i="7" s="1"/>
  <c r="G217" i="7" l="1"/>
  <c r="R217" i="7"/>
  <c r="L217" i="7" l="1"/>
  <c r="M217" i="7" s="1"/>
  <c r="N217" i="7" s="1"/>
  <c r="H217" i="7"/>
  <c r="I217" i="7" s="1"/>
  <c r="J217" i="7" s="1"/>
  <c r="P218" i="7" l="1"/>
  <c r="K217" i="7"/>
  <c r="S218" i="7" s="1"/>
  <c r="Q218" i="7"/>
  <c r="O217" i="7"/>
  <c r="T218" i="7" s="1"/>
  <c r="G218" i="7" l="1"/>
  <c r="R218" i="7"/>
  <c r="L218" i="7" l="1"/>
  <c r="M218" i="7" s="1"/>
  <c r="N218" i="7" s="1"/>
  <c r="H218" i="7"/>
  <c r="I218" i="7" s="1"/>
  <c r="J218" i="7" s="1"/>
  <c r="P219" i="7" l="1"/>
  <c r="K218" i="7"/>
  <c r="S219" i="7" s="1"/>
  <c r="O218" i="7"/>
  <c r="T219" i="7" s="1"/>
  <c r="Q219" i="7"/>
  <c r="R219" i="7" l="1"/>
  <c r="G219" i="7"/>
  <c r="H219" i="7" l="1"/>
  <c r="I219" i="7" s="1"/>
  <c r="J219" i="7" s="1"/>
  <c r="L219" i="7"/>
  <c r="M219" i="7" s="1"/>
  <c r="N219" i="7" s="1"/>
  <c r="O219" i="7" l="1"/>
  <c r="T220" i="7" s="1"/>
  <c r="Q220" i="7"/>
  <c r="P220" i="7"/>
  <c r="K219" i="7"/>
  <c r="S220" i="7" s="1"/>
  <c r="G220" i="7" l="1"/>
  <c r="R220" i="7"/>
  <c r="L220" i="7" l="1"/>
  <c r="M220" i="7" s="1"/>
  <c r="N220" i="7" s="1"/>
  <c r="H220" i="7"/>
  <c r="I220" i="7" s="1"/>
  <c r="J220" i="7" s="1"/>
  <c r="P221" i="7" l="1"/>
  <c r="K220" i="7"/>
  <c r="S221" i="7" s="1"/>
  <c r="O220" i="7"/>
  <c r="T221" i="7" s="1"/>
  <c r="Q221" i="7"/>
  <c r="R221" i="7" l="1"/>
  <c r="G221" i="7"/>
  <c r="H221" i="7" l="1"/>
  <c r="I221" i="7" s="1"/>
  <c r="J221" i="7" s="1"/>
  <c r="L221" i="7"/>
  <c r="M221" i="7" s="1"/>
  <c r="N221" i="7" s="1"/>
  <c r="Q222" i="7" l="1"/>
  <c r="O221" i="7"/>
  <c r="T222" i="7" s="1"/>
  <c r="P222" i="7"/>
  <c r="K221" i="7"/>
  <c r="S222" i="7" s="1"/>
  <c r="R222" i="7" l="1"/>
  <c r="G222" i="7"/>
  <c r="H222" i="7" l="1"/>
  <c r="I222" i="7" s="1"/>
  <c r="J222" i="7" s="1"/>
  <c r="L222" i="7"/>
  <c r="M222" i="7" s="1"/>
  <c r="N222" i="7" s="1"/>
  <c r="O222" i="7" l="1"/>
  <c r="T223" i="7" s="1"/>
  <c r="Q223" i="7"/>
  <c r="K222" i="7"/>
  <c r="S223" i="7" s="1"/>
  <c r="P223" i="7"/>
  <c r="R223" i="7" l="1"/>
  <c r="G223" i="7"/>
  <c r="H223" i="7" l="1"/>
  <c r="I223" i="7" s="1"/>
  <c r="J223" i="7" s="1"/>
  <c r="L223" i="7"/>
  <c r="M223" i="7" s="1"/>
  <c r="N223" i="7" s="1"/>
  <c r="Q224" i="7" l="1"/>
  <c r="O223" i="7"/>
  <c r="T224" i="7" s="1"/>
  <c r="P224" i="7"/>
  <c r="K223" i="7"/>
  <c r="S224" i="7" s="1"/>
  <c r="G224" i="7" l="1"/>
  <c r="R224" i="7"/>
  <c r="L224" i="7" l="1"/>
  <c r="M224" i="7" s="1"/>
  <c r="N224" i="7" s="1"/>
  <c r="H224" i="7"/>
  <c r="I224" i="7" s="1"/>
  <c r="J224" i="7" s="1"/>
  <c r="P225" i="7" l="1"/>
  <c r="K224" i="7"/>
  <c r="S225" i="7" s="1"/>
  <c r="Q225" i="7"/>
  <c r="O224" i="7"/>
  <c r="T225" i="7" s="1"/>
  <c r="G225" i="7" l="1"/>
  <c r="R225" i="7"/>
  <c r="L225" i="7" l="1"/>
  <c r="M225" i="7" s="1"/>
  <c r="N225" i="7" s="1"/>
  <c r="H225" i="7"/>
  <c r="I225" i="7" s="1"/>
  <c r="J225" i="7" s="1"/>
  <c r="K225" i="7" l="1"/>
  <c r="S226" i="7" s="1"/>
  <c r="P226" i="7"/>
  <c r="Q226" i="7"/>
  <c r="O225" i="7"/>
  <c r="T226" i="7" s="1"/>
  <c r="G226" i="7" l="1"/>
  <c r="R226" i="7"/>
  <c r="L226" i="7" l="1"/>
  <c r="M226" i="7" s="1"/>
  <c r="N226" i="7" s="1"/>
  <c r="H226" i="7"/>
  <c r="I226" i="7" s="1"/>
  <c r="J226" i="7" s="1"/>
  <c r="P227" i="7" l="1"/>
  <c r="K226" i="7"/>
  <c r="S227" i="7" s="1"/>
  <c r="O226" i="7"/>
  <c r="T227" i="7" s="1"/>
  <c r="Q227" i="7"/>
  <c r="G227" i="7" l="1"/>
  <c r="R227" i="7"/>
  <c r="L227" i="7" l="1"/>
  <c r="M227" i="7" s="1"/>
  <c r="N227" i="7" s="1"/>
  <c r="H227" i="7"/>
  <c r="I227" i="7" s="1"/>
  <c r="J227" i="7" s="1"/>
  <c r="K227" i="7" l="1"/>
  <c r="S228" i="7" s="1"/>
  <c r="P228" i="7"/>
  <c r="Q228" i="7"/>
  <c r="O227" i="7"/>
  <c r="T228" i="7" s="1"/>
  <c r="G228" i="7" l="1"/>
  <c r="R228" i="7"/>
  <c r="L228" i="7" l="1"/>
  <c r="M228" i="7" s="1"/>
  <c r="N228" i="7" s="1"/>
  <c r="H228" i="7"/>
  <c r="I228" i="7" s="1"/>
  <c r="J228" i="7" s="1"/>
  <c r="K228" i="7" l="1"/>
  <c r="S229" i="7" s="1"/>
  <c r="P229" i="7"/>
  <c r="Q229" i="7"/>
  <c r="O228" i="7"/>
  <c r="T229" i="7" s="1"/>
  <c r="G229" i="7" l="1"/>
  <c r="R229" i="7"/>
  <c r="L229" i="7" l="1"/>
  <c r="M229" i="7" s="1"/>
  <c r="N229" i="7" s="1"/>
  <c r="H229" i="7"/>
  <c r="I229" i="7" s="1"/>
  <c r="J229" i="7" s="1"/>
  <c r="K229" i="7" l="1"/>
  <c r="S230" i="7" s="1"/>
  <c r="P230" i="7"/>
  <c r="O229" i="7"/>
  <c r="T230" i="7" s="1"/>
  <c r="Q230" i="7"/>
  <c r="R230" i="7" l="1"/>
  <c r="G230" i="7"/>
  <c r="L230" i="7" l="1"/>
  <c r="M230" i="7" s="1"/>
  <c r="N230" i="7" s="1"/>
  <c r="H230" i="7"/>
  <c r="I230" i="7" s="1"/>
  <c r="J230" i="7" s="1"/>
  <c r="P231" i="7" l="1"/>
  <c r="K230" i="7"/>
  <c r="S231" i="7" s="1"/>
  <c r="Q231" i="7"/>
  <c r="O230" i="7"/>
  <c r="T231" i="7" s="1"/>
  <c r="G231" i="7" l="1"/>
  <c r="R231" i="7"/>
  <c r="H231" i="7" l="1"/>
  <c r="I231" i="7" s="1"/>
  <c r="J231" i="7" s="1"/>
  <c r="L231" i="7"/>
  <c r="M231" i="7" s="1"/>
  <c r="N231" i="7" s="1"/>
  <c r="O231" i="7" l="1"/>
  <c r="T232" i="7" s="1"/>
  <c r="Q232" i="7"/>
  <c r="K231" i="7"/>
  <c r="S232" i="7" s="1"/>
  <c r="P232" i="7"/>
  <c r="G232" i="7" l="1"/>
  <c r="R232" i="7"/>
  <c r="H232" i="7" l="1"/>
  <c r="I232" i="7" s="1"/>
  <c r="J232" i="7" s="1"/>
  <c r="L232" i="7"/>
  <c r="M232" i="7" s="1"/>
  <c r="N232" i="7" s="1"/>
  <c r="O232" i="7" l="1"/>
  <c r="T233" i="7" s="1"/>
  <c r="Q233" i="7"/>
  <c r="K232" i="7"/>
  <c r="S233" i="7" s="1"/>
  <c r="P233" i="7"/>
  <c r="G233" i="7" l="1"/>
  <c r="R233" i="7"/>
  <c r="L233" i="7" l="1"/>
  <c r="M233" i="7" s="1"/>
  <c r="N233" i="7" s="1"/>
  <c r="H233" i="7"/>
  <c r="I233" i="7" s="1"/>
  <c r="J233" i="7" s="1"/>
  <c r="P234" i="7" l="1"/>
  <c r="K233" i="7"/>
  <c r="S234" i="7" s="1"/>
  <c r="Q234" i="7"/>
  <c r="O233" i="7"/>
  <c r="T234" i="7" s="1"/>
  <c r="R234" i="7" l="1"/>
  <c r="G234" i="7"/>
  <c r="L234" i="7" l="1"/>
  <c r="M234" i="7" s="1"/>
  <c r="N234" i="7" s="1"/>
  <c r="H234" i="7"/>
  <c r="I234" i="7" s="1"/>
  <c r="J234" i="7" s="1"/>
  <c r="P235" i="7" l="1"/>
  <c r="K234" i="7"/>
  <c r="S235" i="7" s="1"/>
  <c r="Q235" i="7"/>
  <c r="O234" i="7"/>
  <c r="T235" i="7" s="1"/>
  <c r="R235" i="7" l="1"/>
  <c r="G235" i="7"/>
  <c r="H235" i="7" l="1"/>
  <c r="I235" i="7" s="1"/>
  <c r="J235" i="7" s="1"/>
  <c r="L235" i="7"/>
  <c r="M235" i="7" s="1"/>
  <c r="N235" i="7" s="1"/>
  <c r="Q236" i="7" l="1"/>
  <c r="O235" i="7"/>
  <c r="T236" i="7" s="1"/>
  <c r="K235" i="7"/>
  <c r="S236" i="7" s="1"/>
  <c r="P236" i="7"/>
  <c r="R236" i="7" l="1"/>
  <c r="G236" i="7"/>
  <c r="H236" i="7" l="1"/>
  <c r="I236" i="7" s="1"/>
  <c r="J236" i="7" s="1"/>
  <c r="L236" i="7"/>
  <c r="M236" i="7" s="1"/>
  <c r="N236" i="7" s="1"/>
  <c r="O236" i="7" l="1"/>
  <c r="T237" i="7" s="1"/>
  <c r="Q237" i="7"/>
  <c r="K236" i="7"/>
  <c r="S237" i="7" s="1"/>
  <c r="P237" i="7"/>
  <c r="G237" i="7" l="1"/>
  <c r="R237" i="7"/>
  <c r="H237" i="7" l="1"/>
  <c r="I237" i="7" s="1"/>
  <c r="J237" i="7" s="1"/>
  <c r="L237" i="7"/>
  <c r="M237" i="7" s="1"/>
  <c r="N237" i="7" s="1"/>
  <c r="O237" i="7" l="1"/>
  <c r="T238" i="7" s="1"/>
  <c r="Q238" i="7"/>
  <c r="P238" i="7"/>
  <c r="K237" i="7"/>
  <c r="S238" i="7" s="1"/>
  <c r="G238" i="7" l="1"/>
  <c r="R238" i="7"/>
  <c r="L238" i="7" l="1"/>
  <c r="M238" i="7" s="1"/>
  <c r="N238" i="7" s="1"/>
  <c r="H238" i="7"/>
  <c r="I238" i="7" s="1"/>
  <c r="J238" i="7" s="1"/>
  <c r="P239" i="7" l="1"/>
  <c r="K238" i="7"/>
  <c r="S239" i="7" s="1"/>
  <c r="Q239" i="7"/>
  <c r="O238" i="7"/>
  <c r="T239" i="7" s="1"/>
  <c r="G239" i="7" l="1"/>
  <c r="R239" i="7"/>
  <c r="L239" i="7" l="1"/>
  <c r="M239" i="7" s="1"/>
  <c r="N239" i="7" s="1"/>
  <c r="H239" i="7"/>
  <c r="I239" i="7" s="1"/>
  <c r="J239" i="7" s="1"/>
  <c r="P240" i="7" l="1"/>
  <c r="K239" i="7"/>
  <c r="S240" i="7" s="1"/>
  <c r="O239" i="7"/>
  <c r="T240" i="7" s="1"/>
  <c r="Q240" i="7"/>
  <c r="R240" i="7" l="1"/>
  <c r="G240" i="7"/>
  <c r="L240" i="7" l="1"/>
  <c r="M240" i="7" s="1"/>
  <c r="N240" i="7" s="1"/>
  <c r="H240" i="7"/>
  <c r="I240" i="7" s="1"/>
  <c r="J240" i="7" s="1"/>
  <c r="K240" i="7" l="1"/>
  <c r="S241" i="7" s="1"/>
  <c r="P241" i="7"/>
  <c r="O240" i="7"/>
  <c r="T241" i="7" s="1"/>
  <c r="Q241" i="7"/>
  <c r="R241" i="7" l="1"/>
  <c r="G241" i="7"/>
  <c r="H241" i="7" l="1"/>
  <c r="I241" i="7" s="1"/>
  <c r="J241" i="7" s="1"/>
  <c r="L241" i="7"/>
  <c r="M241" i="7" s="1"/>
  <c r="N241" i="7" s="1"/>
  <c r="Q242" i="7" l="1"/>
  <c r="O241" i="7"/>
  <c r="T242" i="7" s="1"/>
  <c r="K241" i="7"/>
  <c r="S242" i="7" s="1"/>
  <c r="P242" i="7"/>
  <c r="R242" i="7" l="1"/>
  <c r="G242" i="7"/>
  <c r="H242" i="7" l="1"/>
  <c r="I242" i="7" s="1"/>
  <c r="J242" i="7" s="1"/>
  <c r="L242" i="7"/>
  <c r="M242" i="7" s="1"/>
  <c r="N242" i="7" s="1"/>
  <c r="Q243" i="7" l="1"/>
  <c r="O242" i="7"/>
  <c r="T243" i="7" s="1"/>
  <c r="K242" i="7"/>
  <c r="S243" i="7" s="1"/>
  <c r="P243" i="7"/>
  <c r="G243" i="7" l="1"/>
  <c r="R243" i="7"/>
  <c r="H243" i="7" l="1"/>
  <c r="I243" i="7" s="1"/>
  <c r="J243" i="7" s="1"/>
  <c r="L243" i="7"/>
  <c r="M243" i="7" s="1"/>
  <c r="N243" i="7" s="1"/>
  <c r="O243" i="7" l="1"/>
  <c r="T244" i="7" s="1"/>
  <c r="Q244" i="7"/>
  <c r="P244" i="7"/>
  <c r="K243" i="7"/>
  <c r="S244" i="7" s="1"/>
  <c r="G244" i="7" l="1"/>
  <c r="R244" i="7"/>
  <c r="H244" i="7" l="1"/>
  <c r="I244" i="7" s="1"/>
  <c r="J244" i="7" s="1"/>
  <c r="L244" i="7"/>
  <c r="M244" i="7" s="1"/>
  <c r="N244" i="7" s="1"/>
  <c r="O244" i="7" l="1"/>
  <c r="T245" i="7" s="1"/>
  <c r="Q245" i="7"/>
  <c r="K244" i="7"/>
  <c r="S245" i="7" s="1"/>
  <c r="P245" i="7"/>
  <c r="R245" i="7" l="1"/>
  <c r="G245" i="7"/>
  <c r="H245" i="7" l="1"/>
  <c r="I245" i="7" s="1"/>
  <c r="J245" i="7" s="1"/>
  <c r="L245" i="7"/>
  <c r="M245" i="7" s="1"/>
  <c r="N245" i="7" s="1"/>
  <c r="O245" i="7" l="1"/>
  <c r="T246" i="7" s="1"/>
  <c r="Q246" i="7"/>
  <c r="K245" i="7"/>
  <c r="S246" i="7" s="1"/>
  <c r="P246" i="7"/>
  <c r="G246" i="7" l="1"/>
  <c r="R246" i="7"/>
  <c r="L246" i="7" l="1"/>
  <c r="M246" i="7" s="1"/>
  <c r="N246" i="7" s="1"/>
  <c r="H246" i="7"/>
  <c r="I246" i="7" s="1"/>
  <c r="J246" i="7" s="1"/>
  <c r="K246" i="7" l="1"/>
  <c r="S247" i="7" s="1"/>
  <c r="P247" i="7"/>
  <c r="O246" i="7"/>
  <c r="T247" i="7" s="1"/>
  <c r="Q247" i="7"/>
  <c r="G247" i="7" l="1"/>
  <c r="R247" i="7"/>
  <c r="H247" i="7" l="1"/>
  <c r="I247" i="7" s="1"/>
  <c r="J247" i="7" s="1"/>
  <c r="L247" i="7"/>
  <c r="M247" i="7" s="1"/>
  <c r="N247" i="7" s="1"/>
  <c r="Q248" i="7" l="1"/>
  <c r="O247" i="7"/>
  <c r="T248" i="7" s="1"/>
  <c r="K247" i="7"/>
  <c r="S248" i="7" s="1"/>
  <c r="P248" i="7"/>
  <c r="G248" i="7" l="1"/>
  <c r="R248" i="7"/>
  <c r="L248" i="7" l="1"/>
  <c r="M248" i="7" s="1"/>
  <c r="N248" i="7" s="1"/>
  <c r="H248" i="7"/>
  <c r="I248" i="7" s="1"/>
  <c r="J248" i="7" s="1"/>
  <c r="P249" i="7" l="1"/>
  <c r="K248" i="7"/>
  <c r="S249" i="7" s="1"/>
  <c r="O248" i="7"/>
  <c r="T249" i="7" s="1"/>
  <c r="Q249" i="7"/>
  <c r="R249" i="7" l="1"/>
  <c r="G249" i="7"/>
  <c r="L249" i="7" l="1"/>
  <c r="M249" i="7" s="1"/>
  <c r="N249" i="7" s="1"/>
  <c r="H249" i="7"/>
  <c r="I249" i="7" s="1"/>
  <c r="J249" i="7" s="1"/>
  <c r="P250" i="7" l="1"/>
  <c r="K249" i="7"/>
  <c r="S250" i="7" s="1"/>
  <c r="Q250" i="7"/>
  <c r="O249" i="7"/>
  <c r="T250" i="7" s="1"/>
  <c r="G250" i="7" l="1"/>
  <c r="R250" i="7"/>
  <c r="H250" i="7" l="1"/>
  <c r="I250" i="7" s="1"/>
  <c r="J250" i="7" s="1"/>
  <c r="L250" i="7"/>
  <c r="M250" i="7" s="1"/>
  <c r="N250" i="7" s="1"/>
  <c r="O250" i="7" l="1"/>
  <c r="T251" i="7" s="1"/>
  <c r="Q251" i="7"/>
  <c r="P251" i="7"/>
  <c r="K250" i="7"/>
  <c r="S251" i="7" s="1"/>
  <c r="R251" i="7" l="1"/>
  <c r="G251" i="7"/>
  <c r="H251" i="7" l="1"/>
  <c r="I251" i="7" s="1"/>
  <c r="J251" i="7" s="1"/>
  <c r="L251" i="7"/>
  <c r="M251" i="7" s="1"/>
  <c r="N251" i="7" s="1"/>
  <c r="Q252" i="7" l="1"/>
  <c r="O251" i="7"/>
  <c r="T252" i="7" s="1"/>
  <c r="P252" i="7"/>
  <c r="K251" i="7"/>
  <c r="S252" i="7" s="1"/>
  <c r="G252" i="7" l="1"/>
  <c r="R252" i="7"/>
  <c r="L252" i="7" l="1"/>
  <c r="M252" i="7" s="1"/>
  <c r="N252" i="7" s="1"/>
  <c r="H252" i="7"/>
  <c r="I252" i="7" s="1"/>
  <c r="J252" i="7" s="1"/>
  <c r="P253" i="7" l="1"/>
  <c r="K252" i="7"/>
  <c r="S253" i="7" s="1"/>
  <c r="Q253" i="7"/>
  <c r="O252" i="7"/>
  <c r="T253" i="7" s="1"/>
  <c r="R253" i="7" l="1"/>
  <c r="G253" i="7"/>
  <c r="L253" i="7" l="1"/>
  <c r="M253" i="7" s="1"/>
  <c r="N253" i="7" s="1"/>
  <c r="H253" i="7"/>
  <c r="I253" i="7" s="1"/>
  <c r="J253" i="7" s="1"/>
  <c r="K253" i="7" l="1"/>
  <c r="S254" i="7" s="1"/>
  <c r="P254" i="7"/>
  <c r="Q254" i="7"/>
  <c r="O253" i="7"/>
  <c r="T254" i="7" s="1"/>
  <c r="R254" i="7" l="1"/>
  <c r="G254" i="7"/>
  <c r="L254" i="7" l="1"/>
  <c r="M254" i="7" s="1"/>
  <c r="N254" i="7" s="1"/>
  <c r="H254" i="7"/>
  <c r="I254" i="7" s="1"/>
  <c r="J254" i="7" s="1"/>
  <c r="K254" i="7" l="1"/>
  <c r="S255" i="7" s="1"/>
  <c r="P255" i="7"/>
  <c r="Q255" i="7"/>
  <c r="O254" i="7"/>
  <c r="T255" i="7" s="1"/>
  <c r="G255" i="7" l="1"/>
  <c r="R255" i="7"/>
  <c r="H255" i="7" l="1"/>
  <c r="I255" i="7" s="1"/>
  <c r="J255" i="7" s="1"/>
  <c r="L255" i="7"/>
  <c r="M255" i="7" s="1"/>
  <c r="N255" i="7" s="1"/>
  <c r="O255" i="7" l="1"/>
  <c r="T256" i="7" s="1"/>
  <c r="Q256" i="7"/>
  <c r="P256" i="7"/>
  <c r="K255" i="7"/>
  <c r="S256" i="7" s="1"/>
  <c r="G256" i="7" l="1"/>
  <c r="R256" i="7"/>
  <c r="L256" i="7" l="1"/>
  <c r="M256" i="7" s="1"/>
  <c r="N256" i="7" s="1"/>
  <c r="H256" i="7"/>
  <c r="I256" i="7" s="1"/>
  <c r="J256" i="7" s="1"/>
  <c r="K256" i="7" l="1"/>
  <c r="S257" i="7" s="1"/>
  <c r="P257" i="7"/>
  <c r="O256" i="7"/>
  <c r="T257" i="7" s="1"/>
  <c r="Q257" i="7"/>
  <c r="R257" i="7" l="1"/>
  <c r="G257" i="7"/>
  <c r="H257" i="7" l="1"/>
  <c r="I257" i="7" s="1"/>
  <c r="J257" i="7" s="1"/>
  <c r="L257" i="7"/>
  <c r="M257" i="7" s="1"/>
  <c r="N257" i="7" s="1"/>
  <c r="O257" i="7" l="1"/>
  <c r="T258" i="7" s="1"/>
  <c r="Q258" i="7"/>
  <c r="K257" i="7"/>
  <c r="S258" i="7" s="1"/>
  <c r="P258" i="7"/>
  <c r="R258" i="7" l="1"/>
  <c r="G258" i="7"/>
  <c r="H258" i="7" l="1"/>
  <c r="I258" i="7" s="1"/>
  <c r="J258" i="7" s="1"/>
  <c r="L258" i="7"/>
  <c r="M258" i="7" s="1"/>
  <c r="N258" i="7" s="1"/>
  <c r="O258" i="7" l="1"/>
  <c r="T259" i="7" s="1"/>
  <c r="Q259" i="7"/>
  <c r="K258" i="7"/>
  <c r="S259" i="7" s="1"/>
  <c r="P259" i="7"/>
  <c r="G259" i="7" l="1"/>
  <c r="R259" i="7"/>
  <c r="H259" i="7" l="1"/>
  <c r="I259" i="7" s="1"/>
  <c r="J259" i="7" s="1"/>
  <c r="L259" i="7"/>
  <c r="M259" i="7" s="1"/>
  <c r="N259" i="7" s="1"/>
  <c r="O259" i="7" l="1"/>
  <c r="T260" i="7" s="1"/>
  <c r="Q260" i="7"/>
  <c r="P260" i="7"/>
  <c r="K259" i="7"/>
  <c r="S260" i="7" s="1"/>
  <c r="G260" i="7" l="1"/>
  <c r="R260" i="7"/>
  <c r="L260" i="7" l="1"/>
  <c r="M260" i="7" s="1"/>
  <c r="N260" i="7" s="1"/>
  <c r="H260" i="7"/>
  <c r="I260" i="7" s="1"/>
  <c r="J260" i="7" s="1"/>
  <c r="P261" i="7" l="1"/>
  <c r="K260" i="7"/>
  <c r="S261" i="7" s="1"/>
  <c r="O260" i="7"/>
  <c r="T261" i="7" s="1"/>
  <c r="Q261" i="7"/>
  <c r="R261" i="7" l="1"/>
  <c r="G261" i="7"/>
  <c r="H261" i="7" l="1"/>
  <c r="I261" i="7" s="1"/>
  <c r="J261" i="7" s="1"/>
  <c r="L261" i="7"/>
  <c r="M261" i="7" s="1"/>
  <c r="N261" i="7" s="1"/>
  <c r="O261" i="7" l="1"/>
  <c r="T262" i="7" s="1"/>
  <c r="Q262" i="7"/>
  <c r="P262" i="7"/>
  <c r="K261" i="7"/>
  <c r="S262" i="7" s="1"/>
  <c r="R262" i="7" l="1"/>
  <c r="G262" i="7"/>
  <c r="L262" i="7" l="1"/>
  <c r="M262" i="7" s="1"/>
  <c r="N262" i="7" s="1"/>
  <c r="H262" i="7"/>
  <c r="I262" i="7" s="1"/>
  <c r="J262" i="7" s="1"/>
  <c r="P263" i="7" l="1"/>
  <c r="K262" i="7"/>
  <c r="S263" i="7" s="1"/>
  <c r="Q263" i="7"/>
  <c r="O262" i="7"/>
  <c r="T263" i="7" s="1"/>
  <c r="R263" i="7" l="1"/>
  <c r="G263" i="7"/>
  <c r="H263" i="7" l="1"/>
  <c r="I263" i="7" s="1"/>
  <c r="J263" i="7" s="1"/>
  <c r="L263" i="7"/>
  <c r="M263" i="7" s="1"/>
  <c r="N263" i="7" s="1"/>
  <c r="O263" i="7" l="1"/>
  <c r="T264" i="7" s="1"/>
  <c r="Q264" i="7"/>
  <c r="P264" i="7"/>
  <c r="K263" i="7"/>
  <c r="S264" i="7" s="1"/>
  <c r="G264" i="7" l="1"/>
  <c r="R264" i="7"/>
  <c r="L264" i="7" l="1"/>
  <c r="M264" i="7" s="1"/>
  <c r="N264" i="7" s="1"/>
  <c r="H264" i="7"/>
  <c r="I264" i="7" s="1"/>
  <c r="J264" i="7" s="1"/>
  <c r="P265" i="7" l="1"/>
  <c r="K264" i="7"/>
  <c r="S265" i="7" s="1"/>
  <c r="Q265" i="7"/>
  <c r="O264" i="7"/>
  <c r="T265" i="7" s="1"/>
  <c r="G265" i="7" l="1"/>
  <c r="R265" i="7"/>
  <c r="H265" i="7" l="1"/>
  <c r="I265" i="7" s="1"/>
  <c r="J265" i="7" s="1"/>
  <c r="L265" i="7"/>
  <c r="M265" i="7" s="1"/>
  <c r="N265" i="7" s="1"/>
  <c r="Q266" i="7" l="1"/>
  <c r="O265" i="7"/>
  <c r="T266" i="7" s="1"/>
  <c r="K265" i="7"/>
  <c r="S266" i="7" s="1"/>
  <c r="P266" i="7"/>
  <c r="G266" i="7" l="1"/>
  <c r="R266" i="7"/>
  <c r="H266" i="7" l="1"/>
  <c r="I266" i="7" s="1"/>
  <c r="J266" i="7" s="1"/>
  <c r="L266" i="7"/>
  <c r="M266" i="7" s="1"/>
  <c r="N266" i="7" s="1"/>
  <c r="Q267" i="7" l="1"/>
  <c r="O266" i="7"/>
  <c r="T267" i="7" s="1"/>
  <c r="K266" i="7"/>
  <c r="S267" i="7" s="1"/>
  <c r="P267" i="7"/>
  <c r="G267" i="7" l="1"/>
  <c r="R267" i="7"/>
  <c r="L267" i="7" l="1"/>
  <c r="M267" i="7" s="1"/>
  <c r="N267" i="7" s="1"/>
  <c r="H267" i="7"/>
  <c r="I267" i="7" s="1"/>
  <c r="J267" i="7" s="1"/>
  <c r="K267" i="7" l="1"/>
  <c r="S268" i="7" s="1"/>
  <c r="P268" i="7"/>
  <c r="Q268" i="7"/>
  <c r="O267" i="7"/>
  <c r="T268" i="7" s="1"/>
  <c r="G268" i="7" l="1"/>
  <c r="R268" i="7"/>
  <c r="L268" i="7" l="1"/>
  <c r="M268" i="7" s="1"/>
  <c r="N268" i="7" s="1"/>
  <c r="H268" i="7"/>
  <c r="I268" i="7" s="1"/>
  <c r="J268" i="7" s="1"/>
  <c r="Q269" i="7" l="1"/>
  <c r="O268" i="7"/>
  <c r="T269" i="7" s="1"/>
  <c r="P269" i="7"/>
  <c r="K268" i="7"/>
  <c r="S269" i="7" s="1"/>
  <c r="R269" i="7" l="1"/>
  <c r="G269" i="7"/>
  <c r="L269" i="7" l="1"/>
  <c r="M269" i="7" s="1"/>
  <c r="N269" i="7" s="1"/>
  <c r="H269" i="7"/>
  <c r="I269" i="7" s="1"/>
  <c r="J269" i="7" s="1"/>
  <c r="K269" i="7" l="1"/>
  <c r="S270" i="7" s="1"/>
  <c r="P270" i="7"/>
  <c r="Q270" i="7"/>
  <c r="O269" i="7"/>
  <c r="T270" i="7" s="1"/>
  <c r="R270" i="7" l="1"/>
  <c r="G270" i="7"/>
  <c r="L270" i="7" l="1"/>
  <c r="M270" i="7" s="1"/>
  <c r="N270" i="7" s="1"/>
  <c r="H270" i="7"/>
  <c r="I270" i="7" s="1"/>
  <c r="J270" i="7" s="1"/>
  <c r="P271" i="7" l="1"/>
  <c r="K270" i="7"/>
  <c r="S271" i="7" s="1"/>
  <c r="Q271" i="7"/>
  <c r="O270" i="7"/>
  <c r="T271" i="7" s="1"/>
  <c r="G271" i="7" l="1"/>
  <c r="R271" i="7"/>
  <c r="L271" i="7" l="1"/>
  <c r="M271" i="7" s="1"/>
  <c r="N271" i="7" s="1"/>
  <c r="H271" i="7"/>
  <c r="I271" i="7" s="1"/>
  <c r="J271" i="7" s="1"/>
  <c r="K271" i="7" l="1"/>
  <c r="S272" i="7" s="1"/>
  <c r="P272" i="7"/>
  <c r="O271" i="7"/>
  <c r="T272" i="7" s="1"/>
  <c r="Q272" i="7"/>
  <c r="G272" i="7" l="1"/>
  <c r="R272" i="7"/>
  <c r="L272" i="7" l="1"/>
  <c r="M272" i="7" s="1"/>
  <c r="N272" i="7" s="1"/>
  <c r="H272" i="7"/>
  <c r="I272" i="7" s="1"/>
  <c r="J272" i="7" s="1"/>
  <c r="P273" i="7" l="1"/>
  <c r="K272" i="7"/>
  <c r="S273" i="7" s="1"/>
  <c r="O272" i="7"/>
  <c r="T273" i="7" s="1"/>
  <c r="Q273" i="7"/>
  <c r="R273" i="7" l="1"/>
  <c r="G273" i="7"/>
  <c r="H273" i="7" l="1"/>
  <c r="I273" i="7" s="1"/>
  <c r="J273" i="7" s="1"/>
  <c r="L273" i="7"/>
  <c r="M273" i="7" s="1"/>
  <c r="N273" i="7" s="1"/>
  <c r="O273" i="7" l="1"/>
  <c r="T274" i="7" s="1"/>
  <c r="Q274" i="7"/>
  <c r="K273" i="7"/>
  <c r="S274" i="7" s="1"/>
  <c r="P274" i="7"/>
  <c r="R274" i="7" l="1"/>
  <c r="G274" i="7"/>
  <c r="H274" i="7" l="1"/>
  <c r="I274" i="7" s="1"/>
  <c r="J274" i="7" s="1"/>
  <c r="L274" i="7"/>
  <c r="M274" i="7" s="1"/>
  <c r="N274" i="7" s="1"/>
  <c r="Q275" i="7" l="1"/>
  <c r="O274" i="7"/>
  <c r="T275" i="7" s="1"/>
  <c r="P275" i="7"/>
  <c r="K274" i="7"/>
  <c r="S275" i="7" s="1"/>
  <c r="R275" i="7" l="1"/>
  <c r="G275" i="7"/>
  <c r="L275" i="7" l="1"/>
  <c r="M275" i="7" s="1"/>
  <c r="N275" i="7" s="1"/>
  <c r="H275" i="7"/>
  <c r="I275" i="7" s="1"/>
  <c r="J275" i="7" s="1"/>
  <c r="K275" i="7" l="1"/>
  <c r="S276" i="7" s="1"/>
  <c r="P276" i="7"/>
  <c r="O275" i="7"/>
  <c r="T276" i="7" s="1"/>
  <c r="Q276" i="7"/>
  <c r="G276" i="7" l="1"/>
  <c r="R276" i="7"/>
  <c r="H276" i="7" l="1"/>
  <c r="I276" i="7" s="1"/>
  <c r="J276" i="7" s="1"/>
  <c r="L276" i="7"/>
  <c r="M276" i="7" s="1"/>
  <c r="N276" i="7" s="1"/>
  <c r="O276" i="7" l="1"/>
  <c r="T277" i="7" s="1"/>
  <c r="Q277" i="7"/>
  <c r="K276" i="7"/>
  <c r="S277" i="7" s="1"/>
  <c r="P277" i="7"/>
  <c r="G277" i="7" l="1"/>
  <c r="R277" i="7"/>
  <c r="L277" i="7" l="1"/>
  <c r="M277" i="7" s="1"/>
  <c r="N277" i="7" s="1"/>
  <c r="H277" i="7"/>
  <c r="I277" i="7" s="1"/>
  <c r="J277" i="7" s="1"/>
  <c r="K277" i="7" l="1"/>
  <c r="S278" i="7" s="1"/>
  <c r="P278" i="7"/>
  <c r="O277" i="7"/>
  <c r="T278" i="7" s="1"/>
  <c r="Q278" i="7"/>
  <c r="R278" i="7" l="1"/>
  <c r="G278" i="7"/>
  <c r="H278" i="7" l="1"/>
  <c r="I278" i="7" s="1"/>
  <c r="J278" i="7" s="1"/>
  <c r="L278" i="7"/>
  <c r="M278" i="7" s="1"/>
  <c r="N278" i="7" s="1"/>
  <c r="Q279" i="7" l="1"/>
  <c r="O278" i="7"/>
  <c r="T279" i="7" s="1"/>
  <c r="P279" i="7"/>
  <c r="K278" i="7"/>
  <c r="S279" i="7" s="1"/>
  <c r="G279" i="7" l="1"/>
  <c r="R279" i="7"/>
  <c r="L279" i="7" l="1"/>
  <c r="M279" i="7" s="1"/>
  <c r="N279" i="7" s="1"/>
  <c r="H279" i="7"/>
  <c r="I279" i="7" s="1"/>
  <c r="J279" i="7" s="1"/>
  <c r="P280" i="7" l="1"/>
  <c r="K279" i="7"/>
  <c r="S280" i="7" s="1"/>
  <c r="Q280" i="7"/>
  <c r="O279" i="7"/>
  <c r="T280" i="7" s="1"/>
  <c r="R280" i="7" l="1"/>
  <c r="G280" i="7"/>
  <c r="L280" i="7" l="1"/>
  <c r="M280" i="7" s="1"/>
  <c r="N280" i="7" s="1"/>
  <c r="H280" i="7"/>
  <c r="I280" i="7" s="1"/>
  <c r="J280" i="7" s="1"/>
  <c r="P281" i="7" l="1"/>
  <c r="K280" i="7"/>
  <c r="S281" i="7" s="1"/>
  <c r="O280" i="7"/>
  <c r="T281" i="7" s="1"/>
  <c r="Q281" i="7"/>
  <c r="R281" i="7" l="1"/>
  <c r="G281" i="7"/>
  <c r="L281" i="7" l="1"/>
  <c r="M281" i="7" s="1"/>
  <c r="N281" i="7" s="1"/>
  <c r="H281" i="7"/>
  <c r="I281" i="7" s="1"/>
  <c r="J281" i="7" s="1"/>
  <c r="K281" i="7" l="1"/>
  <c r="S282" i="7" s="1"/>
  <c r="P282" i="7"/>
  <c r="O281" i="7"/>
  <c r="T282" i="7" s="1"/>
  <c r="Q282" i="7"/>
  <c r="G282" i="7" l="1"/>
  <c r="R282" i="7"/>
  <c r="L282" i="7" l="1"/>
  <c r="M282" i="7" s="1"/>
  <c r="N282" i="7" s="1"/>
  <c r="H282" i="7"/>
  <c r="I282" i="7" s="1"/>
  <c r="J282" i="7" s="1"/>
  <c r="P283" i="7" l="1"/>
  <c r="K282" i="7"/>
  <c r="S283" i="7" s="1"/>
  <c r="Q283" i="7"/>
  <c r="O282" i="7"/>
  <c r="T283" i="7" s="1"/>
  <c r="R283" i="7" l="1"/>
  <c r="G283" i="7"/>
  <c r="L283" i="7" l="1"/>
  <c r="M283" i="7" s="1"/>
  <c r="N283" i="7" s="1"/>
  <c r="H283" i="7"/>
  <c r="I283" i="7" s="1"/>
  <c r="J283" i="7" s="1"/>
  <c r="P284" i="7" l="1"/>
  <c r="K283" i="7"/>
  <c r="S284" i="7" s="1"/>
  <c r="O283" i="7"/>
  <c r="T284" i="7" s="1"/>
  <c r="Q284" i="7"/>
  <c r="R284" i="7" l="1"/>
  <c r="G284" i="7"/>
  <c r="L284" i="7" l="1"/>
  <c r="M284" i="7" s="1"/>
  <c r="N284" i="7" s="1"/>
  <c r="H284" i="7"/>
  <c r="I284" i="7" s="1"/>
  <c r="J284" i="7" s="1"/>
  <c r="P285" i="7" l="1"/>
  <c r="K284" i="7"/>
  <c r="S285" i="7" s="1"/>
  <c r="O284" i="7"/>
  <c r="T285" i="7" s="1"/>
  <c r="Q285" i="7"/>
  <c r="R285" i="7" l="1"/>
  <c r="G285" i="7"/>
  <c r="H285" i="7" l="1"/>
  <c r="I285" i="7" s="1"/>
  <c r="J285" i="7" s="1"/>
  <c r="L285" i="7"/>
  <c r="M285" i="7" s="1"/>
  <c r="N285" i="7" s="1"/>
  <c r="Q286" i="7" l="1"/>
  <c r="O285" i="7"/>
  <c r="T286" i="7" s="1"/>
  <c r="P286" i="7"/>
  <c r="K285" i="7"/>
  <c r="S286" i="7" s="1"/>
  <c r="R286" i="7" l="1"/>
  <c r="G286" i="7"/>
  <c r="L286" i="7" l="1"/>
  <c r="M286" i="7" s="1"/>
  <c r="N286" i="7" s="1"/>
  <c r="H286" i="7"/>
  <c r="I286" i="7" s="1"/>
  <c r="J286" i="7" s="1"/>
  <c r="K286" i="7" l="1"/>
  <c r="S287" i="7" s="1"/>
  <c r="P287" i="7"/>
  <c r="Q287" i="7"/>
  <c r="O286" i="7"/>
  <c r="T287" i="7" s="1"/>
  <c r="R287" i="7" l="1"/>
  <c r="G287" i="7"/>
  <c r="L287" i="7" l="1"/>
  <c r="M287" i="7" s="1"/>
  <c r="N287" i="7" s="1"/>
  <c r="H287" i="7"/>
  <c r="I287" i="7" s="1"/>
  <c r="J287" i="7" s="1"/>
  <c r="P288" i="7" l="1"/>
  <c r="K287" i="7"/>
  <c r="S288" i="7" s="1"/>
  <c r="O287" i="7"/>
  <c r="T288" i="7" s="1"/>
  <c r="Q288" i="7"/>
  <c r="R288" i="7" l="1"/>
  <c r="G288" i="7"/>
  <c r="L288" i="7" l="1"/>
  <c r="M288" i="7" s="1"/>
  <c r="N288" i="7" s="1"/>
  <c r="H288" i="7"/>
  <c r="I288" i="7" s="1"/>
  <c r="J288" i="7" s="1"/>
  <c r="P289" i="7" l="1"/>
  <c r="K288" i="7"/>
  <c r="S289" i="7" s="1"/>
  <c r="O288" i="7"/>
  <c r="T289" i="7" s="1"/>
  <c r="Q289" i="7"/>
  <c r="R289" i="7" l="1"/>
  <c r="G289" i="7"/>
  <c r="H289" i="7" l="1"/>
  <c r="I289" i="7" s="1"/>
  <c r="J289" i="7" s="1"/>
  <c r="L289" i="7"/>
  <c r="M289" i="7" s="1"/>
  <c r="N289" i="7" s="1"/>
  <c r="Q290" i="7" l="1"/>
  <c r="O289" i="7"/>
  <c r="T290" i="7" s="1"/>
  <c r="P290" i="7"/>
  <c r="K289" i="7"/>
  <c r="S290" i="7" s="1"/>
  <c r="R290" i="7" l="1"/>
  <c r="G290" i="7"/>
  <c r="L290" i="7" l="1"/>
  <c r="M290" i="7" s="1"/>
  <c r="N290" i="7" s="1"/>
  <c r="H290" i="7"/>
  <c r="I290" i="7" s="1"/>
  <c r="J290" i="7" s="1"/>
  <c r="P291" i="7" l="1"/>
  <c r="K290" i="7"/>
  <c r="S291" i="7" s="1"/>
  <c r="Q291" i="7"/>
  <c r="O290" i="7"/>
  <c r="T291" i="7" s="1"/>
  <c r="G291" i="7" l="1"/>
  <c r="R291" i="7"/>
  <c r="L291" i="7" l="1"/>
  <c r="M291" i="7" s="1"/>
  <c r="N291" i="7" s="1"/>
  <c r="H291" i="7"/>
  <c r="I291" i="7" s="1"/>
  <c r="J291" i="7" s="1"/>
  <c r="K291" i="7" l="1"/>
  <c r="S292" i="7" s="1"/>
  <c r="P292" i="7"/>
  <c r="Q292" i="7"/>
  <c r="O291" i="7"/>
  <c r="T292" i="7" s="1"/>
  <c r="R292" i="7" l="1"/>
  <c r="G292" i="7"/>
  <c r="L292" i="7" l="1"/>
  <c r="M292" i="7" s="1"/>
  <c r="N292" i="7" s="1"/>
  <c r="H292" i="7"/>
  <c r="I292" i="7" s="1"/>
  <c r="J292" i="7" s="1"/>
  <c r="P293" i="7" l="1"/>
  <c r="K292" i="7"/>
  <c r="S293" i="7" s="1"/>
  <c r="Q293" i="7"/>
  <c r="O292" i="7"/>
  <c r="T293" i="7" s="1"/>
  <c r="R293" i="7" l="1"/>
  <c r="G293" i="7"/>
  <c r="L293" i="7" l="1"/>
  <c r="M293" i="7" s="1"/>
  <c r="N293" i="7" s="1"/>
  <c r="H293" i="7"/>
  <c r="I293" i="7" s="1"/>
  <c r="J293" i="7" s="1"/>
  <c r="P294" i="7" l="1"/>
  <c r="K293" i="7"/>
  <c r="S294" i="7" s="1"/>
  <c r="O293" i="7"/>
  <c r="T294" i="7" s="1"/>
  <c r="Q294" i="7"/>
  <c r="R294" i="7" l="1"/>
  <c r="G294" i="7"/>
  <c r="L294" i="7" l="1"/>
  <c r="M294" i="7" s="1"/>
  <c r="N294" i="7" s="1"/>
  <c r="H294" i="7"/>
  <c r="I294" i="7" s="1"/>
  <c r="J294" i="7" s="1"/>
  <c r="P295" i="7" l="1"/>
  <c r="K294" i="7"/>
  <c r="S295" i="7" s="1"/>
  <c r="Q295" i="7"/>
  <c r="O294" i="7"/>
  <c r="T295" i="7" s="1"/>
  <c r="R295" i="7" l="1"/>
  <c r="G295" i="7"/>
  <c r="L295" i="7" l="1"/>
  <c r="M295" i="7" s="1"/>
  <c r="N295" i="7" s="1"/>
  <c r="H295" i="7"/>
  <c r="I295" i="7" s="1"/>
  <c r="J295" i="7" s="1"/>
  <c r="K295" i="7" l="1"/>
  <c r="S296" i="7" s="1"/>
  <c r="P296" i="7"/>
  <c r="Q296" i="7"/>
  <c r="O295" i="7"/>
  <c r="T296" i="7" s="1"/>
  <c r="R296" i="7" l="1"/>
  <c r="G296" i="7"/>
  <c r="L296" i="7" l="1"/>
  <c r="M296" i="7" s="1"/>
  <c r="N296" i="7" s="1"/>
  <c r="H296" i="7"/>
  <c r="I296" i="7" s="1"/>
  <c r="J296" i="7" s="1"/>
  <c r="K296" i="7" l="1"/>
  <c r="S297" i="7" s="1"/>
  <c r="P297" i="7"/>
  <c r="Q297" i="7"/>
  <c r="O296" i="7"/>
  <c r="T297" i="7" s="1"/>
  <c r="R297" i="7" l="1"/>
  <c r="G297" i="7"/>
  <c r="L297" i="7" l="1"/>
  <c r="M297" i="7" s="1"/>
  <c r="N297" i="7" s="1"/>
  <c r="H297" i="7"/>
  <c r="I297" i="7" s="1"/>
  <c r="J297" i="7" s="1"/>
  <c r="P298" i="7" l="1"/>
  <c r="K297" i="7"/>
  <c r="S298" i="7" s="1"/>
  <c r="Q298" i="7"/>
  <c r="O297" i="7"/>
  <c r="T298" i="7" s="1"/>
  <c r="G298" i="7" l="1"/>
  <c r="R298" i="7"/>
  <c r="L298" i="7" l="1"/>
  <c r="M298" i="7" s="1"/>
  <c r="N298" i="7" s="1"/>
  <c r="H298" i="7"/>
  <c r="I298" i="7" s="1"/>
  <c r="J298" i="7" s="1"/>
  <c r="P299" i="7" l="1"/>
  <c r="K298" i="7"/>
  <c r="S299" i="7" s="1"/>
  <c r="Q299" i="7"/>
  <c r="O298" i="7"/>
  <c r="T299" i="7" s="1"/>
  <c r="R299" i="7" l="1"/>
  <c r="G299" i="7"/>
  <c r="H299" i="7" l="1"/>
  <c r="I299" i="7" s="1"/>
  <c r="J299" i="7" s="1"/>
  <c r="L299" i="7"/>
  <c r="M299" i="7" s="1"/>
  <c r="N299" i="7" s="1"/>
  <c r="O299" i="7" l="1"/>
  <c r="T300" i="7" s="1"/>
  <c r="Q300" i="7"/>
  <c r="K299" i="7"/>
  <c r="S300" i="7" s="1"/>
  <c r="P300" i="7"/>
  <c r="R300" i="7" l="1"/>
  <c r="G300" i="7"/>
  <c r="L300" i="7" l="1"/>
  <c r="M300" i="7" s="1"/>
  <c r="N300" i="7" s="1"/>
  <c r="H300" i="7"/>
  <c r="I300" i="7" s="1"/>
  <c r="J300" i="7" s="1"/>
  <c r="K300" i="7" l="1"/>
  <c r="S301" i="7" s="1"/>
  <c r="P301" i="7"/>
  <c r="O300" i="7"/>
  <c r="T301" i="7" s="1"/>
  <c r="Q301" i="7"/>
  <c r="G301" i="7" l="1"/>
  <c r="R301" i="7"/>
  <c r="L301" i="7" l="1"/>
  <c r="M301" i="7" s="1"/>
  <c r="N301" i="7" s="1"/>
  <c r="H301" i="7"/>
  <c r="I301" i="7" s="1"/>
  <c r="J301" i="7" s="1"/>
  <c r="P302" i="7" l="1"/>
  <c r="K301" i="7"/>
  <c r="S302" i="7" s="1"/>
  <c r="Q302" i="7"/>
  <c r="O301" i="7"/>
  <c r="T302" i="7" s="1"/>
  <c r="G302" i="7" l="1"/>
  <c r="R302" i="7"/>
  <c r="H302" i="7" l="1"/>
  <c r="I302" i="7" s="1"/>
  <c r="J302" i="7" s="1"/>
  <c r="L302" i="7"/>
  <c r="M302" i="7" s="1"/>
  <c r="N302" i="7" s="1"/>
  <c r="Q303" i="7" l="1"/>
  <c r="O302" i="7"/>
  <c r="T303" i="7" s="1"/>
  <c r="K302" i="7"/>
  <c r="S303" i="7" s="1"/>
  <c r="P303" i="7"/>
  <c r="G303" i="7" l="1"/>
  <c r="R303" i="7"/>
  <c r="L303" i="7" l="1"/>
  <c r="M303" i="7" s="1"/>
  <c r="N303" i="7" s="1"/>
  <c r="H303" i="7"/>
  <c r="I303" i="7" s="1"/>
  <c r="J303" i="7" s="1"/>
  <c r="K303" i="7" l="1"/>
  <c r="S304" i="7" s="1"/>
  <c r="P304" i="7"/>
  <c r="O303" i="7"/>
  <c r="T304" i="7" s="1"/>
  <c r="Q304" i="7"/>
  <c r="G304" i="7" l="1"/>
  <c r="R304" i="7"/>
  <c r="L304" i="7" l="1"/>
  <c r="M304" i="7" s="1"/>
  <c r="N304" i="7" s="1"/>
  <c r="H304" i="7"/>
  <c r="I304" i="7" s="1"/>
  <c r="J304" i="7" s="1"/>
  <c r="K304" i="7" l="1"/>
  <c r="S305" i="7" s="1"/>
  <c r="P305" i="7"/>
  <c r="Q305" i="7"/>
  <c r="O304" i="7"/>
  <c r="T305" i="7" s="1"/>
  <c r="G305" i="7" l="1"/>
  <c r="R305" i="7"/>
  <c r="H305" i="7" l="1"/>
  <c r="I305" i="7" s="1"/>
  <c r="J305" i="7" s="1"/>
  <c r="L305" i="7"/>
  <c r="M305" i="7" s="1"/>
  <c r="N305" i="7" s="1"/>
  <c r="Q306" i="7" l="1"/>
  <c r="O305" i="7"/>
  <c r="T306" i="7" s="1"/>
  <c r="P306" i="7"/>
  <c r="K305" i="7"/>
  <c r="S306" i="7" s="1"/>
  <c r="R306" i="7" l="1"/>
  <c r="G306" i="7"/>
  <c r="L306" i="7" l="1"/>
  <c r="M306" i="7" s="1"/>
  <c r="N306" i="7" s="1"/>
  <c r="H306" i="7"/>
  <c r="I306" i="7" s="1"/>
  <c r="J306" i="7" s="1"/>
  <c r="P307" i="7" l="1"/>
  <c r="K306" i="7"/>
  <c r="S307" i="7" s="1"/>
  <c r="Q307" i="7"/>
  <c r="O306" i="7"/>
  <c r="T307" i="7" s="1"/>
  <c r="G307" i="7" l="1"/>
  <c r="R307" i="7"/>
  <c r="L307" i="7" l="1"/>
  <c r="M307" i="7" s="1"/>
  <c r="N307" i="7" s="1"/>
  <c r="H307" i="7"/>
  <c r="I307" i="7" s="1"/>
  <c r="J307" i="7" s="1"/>
  <c r="K307" i="7" l="1"/>
  <c r="S308" i="7" s="1"/>
  <c r="P308" i="7"/>
  <c r="O307" i="7"/>
  <c r="T308" i="7" s="1"/>
  <c r="Q308" i="7"/>
  <c r="G308" i="7" l="1"/>
  <c r="R308" i="7"/>
  <c r="L308" i="7" l="1"/>
  <c r="M308" i="7" s="1"/>
  <c r="N308" i="7" s="1"/>
  <c r="H308" i="7"/>
  <c r="I308" i="7" s="1"/>
  <c r="J308" i="7" s="1"/>
  <c r="P309" i="7" l="1"/>
  <c r="K308" i="7"/>
  <c r="S309" i="7" s="1"/>
  <c r="O308" i="7"/>
  <c r="T309" i="7" s="1"/>
  <c r="Q309" i="7"/>
  <c r="G309" i="7" l="1"/>
  <c r="R309" i="7"/>
  <c r="L309" i="7" l="1"/>
  <c r="M309" i="7" s="1"/>
  <c r="N309" i="7" s="1"/>
  <c r="H309" i="7"/>
  <c r="I309" i="7" s="1"/>
  <c r="J309" i="7" s="1"/>
  <c r="K309" i="7" l="1"/>
  <c r="S310" i="7" s="1"/>
  <c r="P310" i="7"/>
  <c r="Q310" i="7"/>
  <c r="O309" i="7"/>
  <c r="T310" i="7" s="1"/>
  <c r="R310" i="7" l="1"/>
  <c r="G310" i="7"/>
  <c r="H310" i="7" l="1"/>
  <c r="I310" i="7" s="1"/>
  <c r="J310" i="7" s="1"/>
  <c r="L310" i="7"/>
  <c r="M310" i="7" s="1"/>
  <c r="N310" i="7" s="1"/>
  <c r="O310" i="7" l="1"/>
  <c r="T311" i="7" s="1"/>
  <c r="Q311" i="7"/>
  <c r="K310" i="7"/>
  <c r="S311" i="7" s="1"/>
  <c r="P311" i="7"/>
  <c r="G311" i="7" l="1"/>
  <c r="R311" i="7"/>
  <c r="H311" i="7" l="1"/>
  <c r="I311" i="7" s="1"/>
  <c r="J311" i="7" s="1"/>
  <c r="L311" i="7"/>
  <c r="M311" i="7" s="1"/>
  <c r="N311" i="7" s="1"/>
  <c r="Q312" i="7" l="1"/>
  <c r="O311" i="7"/>
  <c r="T312" i="7" s="1"/>
  <c r="P312" i="7"/>
  <c r="K311" i="7"/>
  <c r="S312" i="7" s="1"/>
  <c r="G312" i="7" l="1"/>
  <c r="R312" i="7"/>
  <c r="L312" i="7" l="1"/>
  <c r="M312" i="7" s="1"/>
  <c r="N312" i="7" s="1"/>
  <c r="H312" i="7"/>
  <c r="I312" i="7" s="1"/>
  <c r="J312" i="7" s="1"/>
  <c r="K312" i="7" l="1"/>
  <c r="S313" i="7" s="1"/>
  <c r="P313" i="7"/>
  <c r="Q313" i="7"/>
  <c r="O312" i="7"/>
  <c r="T313" i="7" s="1"/>
  <c r="G313" i="7" l="1"/>
  <c r="R313" i="7"/>
  <c r="L313" i="7" l="1"/>
  <c r="M313" i="7" s="1"/>
  <c r="N313" i="7" s="1"/>
  <c r="H313" i="7"/>
  <c r="I313" i="7" s="1"/>
  <c r="J313" i="7" s="1"/>
  <c r="P314" i="7" l="1"/>
  <c r="K313" i="7"/>
  <c r="S314" i="7" s="1"/>
  <c r="Q314" i="7"/>
  <c r="O313" i="7"/>
  <c r="T314" i="7" s="1"/>
  <c r="G314" i="7" l="1"/>
  <c r="R314" i="7"/>
  <c r="L314" i="7" l="1"/>
  <c r="M314" i="7" s="1"/>
  <c r="N314" i="7" s="1"/>
  <c r="H314" i="7"/>
  <c r="I314" i="7" s="1"/>
  <c r="J314" i="7" s="1"/>
  <c r="P315" i="7" l="1"/>
  <c r="K314" i="7"/>
  <c r="S315" i="7" s="1"/>
  <c r="Q315" i="7"/>
  <c r="O314" i="7"/>
  <c r="T315" i="7" s="1"/>
  <c r="G315" i="7" l="1"/>
  <c r="R315" i="7"/>
  <c r="L315" i="7" l="1"/>
  <c r="M315" i="7" s="1"/>
  <c r="N315" i="7" s="1"/>
  <c r="H315" i="7"/>
  <c r="I315" i="7" s="1"/>
  <c r="J315" i="7" s="1"/>
  <c r="P316" i="7" l="1"/>
  <c r="K315" i="7"/>
  <c r="S316" i="7" s="1"/>
  <c r="O315" i="7"/>
  <c r="T316" i="7" s="1"/>
  <c r="Q316" i="7"/>
  <c r="G316" i="7" l="1"/>
  <c r="R316" i="7"/>
  <c r="H316" i="7" l="1"/>
  <c r="I316" i="7" s="1"/>
  <c r="J316" i="7" s="1"/>
  <c r="L316" i="7"/>
  <c r="M316" i="7" s="1"/>
  <c r="N316" i="7" s="1"/>
  <c r="Q317" i="7" l="1"/>
  <c r="O316" i="7"/>
  <c r="T317" i="7" s="1"/>
  <c r="K316" i="7"/>
  <c r="S317" i="7" s="1"/>
  <c r="P317" i="7"/>
  <c r="R317" i="7" l="1"/>
  <c r="G317" i="7"/>
  <c r="H317" i="7" l="1"/>
  <c r="I317" i="7" s="1"/>
  <c r="J317" i="7" s="1"/>
  <c r="L317" i="7"/>
  <c r="M317" i="7" s="1"/>
  <c r="N317" i="7" s="1"/>
  <c r="Q318" i="7" l="1"/>
  <c r="O317" i="7"/>
  <c r="T318" i="7" s="1"/>
  <c r="P318" i="7"/>
  <c r="K317" i="7"/>
  <c r="S318" i="7" s="1"/>
  <c r="R318" i="7" l="1"/>
  <c r="G318" i="7"/>
  <c r="H318" i="7" l="1"/>
  <c r="I318" i="7" s="1"/>
  <c r="J318" i="7" s="1"/>
  <c r="L318" i="7"/>
  <c r="M318" i="7" s="1"/>
  <c r="N318" i="7" s="1"/>
  <c r="Q319" i="7" l="1"/>
  <c r="O318" i="7"/>
  <c r="T319" i="7" s="1"/>
  <c r="K318" i="7"/>
  <c r="S319" i="7" s="1"/>
  <c r="P319" i="7"/>
  <c r="R319" i="7" l="1"/>
  <c r="G319" i="7"/>
  <c r="L319" i="7" l="1"/>
  <c r="M319" i="7" s="1"/>
  <c r="N319" i="7" s="1"/>
  <c r="H319" i="7"/>
  <c r="I319" i="7" s="1"/>
  <c r="J319" i="7" s="1"/>
  <c r="P320" i="7" l="1"/>
  <c r="K319" i="7"/>
  <c r="S320" i="7" s="1"/>
  <c r="Q320" i="7"/>
  <c r="O319" i="7"/>
  <c r="T320" i="7" s="1"/>
  <c r="R320" i="7" l="1"/>
  <c r="G320" i="7"/>
  <c r="L320" i="7" l="1"/>
  <c r="M320" i="7" s="1"/>
  <c r="N320" i="7" s="1"/>
  <c r="H320" i="7"/>
  <c r="I320" i="7" s="1"/>
  <c r="J320" i="7" s="1"/>
  <c r="K320" i="7" l="1"/>
  <c r="S321" i="7" s="1"/>
  <c r="P321" i="7"/>
  <c r="Q321" i="7"/>
  <c r="O320" i="7"/>
  <c r="T321" i="7" s="1"/>
  <c r="G321" i="7" l="1"/>
  <c r="R321" i="7"/>
  <c r="H321" i="7" l="1"/>
  <c r="I321" i="7" s="1"/>
  <c r="J321" i="7" s="1"/>
  <c r="L321" i="7"/>
  <c r="M321" i="7" s="1"/>
  <c r="N321" i="7" s="1"/>
  <c r="Q322" i="7" l="1"/>
  <c r="O321" i="7"/>
  <c r="T322" i="7" s="1"/>
  <c r="P322" i="7"/>
  <c r="K321" i="7"/>
  <c r="S322" i="7" s="1"/>
  <c r="G322" i="7" l="1"/>
  <c r="R322" i="7"/>
  <c r="L322" i="7" l="1"/>
  <c r="M322" i="7" s="1"/>
  <c r="N322" i="7" s="1"/>
  <c r="H322" i="7"/>
  <c r="I322" i="7" s="1"/>
  <c r="J322" i="7" s="1"/>
  <c r="K322" i="7" l="1"/>
  <c r="S323" i="7" s="1"/>
  <c r="P323" i="7"/>
  <c r="O322" i="7"/>
  <c r="T323" i="7" s="1"/>
  <c r="Q323" i="7"/>
  <c r="R323" i="7" l="1"/>
  <c r="G323" i="7"/>
  <c r="L323" i="7" l="1"/>
  <c r="M323" i="7" s="1"/>
  <c r="N323" i="7" s="1"/>
  <c r="H323" i="7"/>
  <c r="I323" i="7" s="1"/>
  <c r="J323" i="7" s="1"/>
  <c r="K323" i="7" l="1"/>
  <c r="S324" i="7" s="1"/>
  <c r="P324" i="7"/>
  <c r="O323" i="7"/>
  <c r="T324" i="7" s="1"/>
  <c r="Q324" i="7"/>
  <c r="G324" i="7" l="1"/>
  <c r="R324" i="7"/>
  <c r="L324" i="7" l="1"/>
  <c r="M324" i="7" s="1"/>
  <c r="N324" i="7" s="1"/>
  <c r="H324" i="7"/>
  <c r="I324" i="7" s="1"/>
  <c r="J324" i="7" s="1"/>
  <c r="P325" i="7" l="1"/>
  <c r="K324" i="7"/>
  <c r="S325" i="7" s="1"/>
  <c r="O324" i="7"/>
  <c r="T325" i="7" s="1"/>
  <c r="Q325" i="7"/>
  <c r="R325" i="7" l="1"/>
  <c r="G325" i="7"/>
  <c r="L325" i="7" l="1"/>
  <c r="M325" i="7" s="1"/>
  <c r="N325" i="7" s="1"/>
  <c r="H325" i="7"/>
  <c r="I325" i="7" s="1"/>
  <c r="J325" i="7" s="1"/>
  <c r="P326" i="7" l="1"/>
  <c r="K325" i="7"/>
  <c r="S326" i="7" s="1"/>
  <c r="Q326" i="7"/>
  <c r="O325" i="7"/>
  <c r="T326" i="7" s="1"/>
  <c r="G326" i="7" l="1"/>
  <c r="R326" i="7"/>
  <c r="L326" i="7" l="1"/>
  <c r="M326" i="7" s="1"/>
  <c r="N326" i="7" s="1"/>
  <c r="H326" i="7"/>
  <c r="I326" i="7" s="1"/>
  <c r="J326" i="7" s="1"/>
  <c r="P327" i="7" l="1"/>
  <c r="K326" i="7"/>
  <c r="S327" i="7" s="1"/>
  <c r="O326" i="7"/>
  <c r="T327" i="7" s="1"/>
  <c r="Q327" i="7"/>
  <c r="G327" i="7" l="1"/>
  <c r="R327" i="7"/>
  <c r="L327" i="7" l="1"/>
  <c r="M327" i="7" s="1"/>
  <c r="N327" i="7" s="1"/>
  <c r="H327" i="7"/>
  <c r="I327" i="7" s="1"/>
  <c r="J327" i="7" s="1"/>
  <c r="P328" i="7" l="1"/>
  <c r="K327" i="7"/>
  <c r="S328" i="7" s="1"/>
  <c r="Q328" i="7"/>
  <c r="O327" i="7"/>
  <c r="T328" i="7" s="1"/>
  <c r="R328" i="7" l="1"/>
  <c r="G328" i="7"/>
  <c r="L328" i="7" l="1"/>
  <c r="M328" i="7" s="1"/>
  <c r="N328" i="7" s="1"/>
  <c r="H328" i="7"/>
  <c r="I328" i="7" s="1"/>
  <c r="J328" i="7" s="1"/>
  <c r="P329" i="7" l="1"/>
  <c r="K328" i="7"/>
  <c r="S329" i="7" s="1"/>
  <c r="O328" i="7"/>
  <c r="T329" i="7" s="1"/>
  <c r="Q329" i="7"/>
  <c r="G329" i="7" l="1"/>
  <c r="R329" i="7"/>
  <c r="L329" i="7" l="1"/>
  <c r="M329" i="7" s="1"/>
  <c r="N329" i="7" s="1"/>
  <c r="H329" i="7"/>
  <c r="I329" i="7" s="1"/>
  <c r="J329" i="7" s="1"/>
  <c r="K329" i="7" l="1"/>
  <c r="S330" i="7" s="1"/>
  <c r="P330" i="7"/>
  <c r="O329" i="7"/>
  <c r="T330" i="7" s="1"/>
  <c r="Q330" i="7"/>
  <c r="G330" i="7" l="1"/>
  <c r="R330" i="7"/>
  <c r="L330" i="7" l="1"/>
  <c r="M330" i="7" s="1"/>
  <c r="N330" i="7" s="1"/>
  <c r="H330" i="7"/>
  <c r="I330" i="7" s="1"/>
  <c r="J330" i="7" s="1"/>
  <c r="K330" i="7" l="1"/>
  <c r="S331" i="7" s="1"/>
  <c r="P331" i="7"/>
  <c r="Q331" i="7"/>
  <c r="O330" i="7"/>
  <c r="T331" i="7" s="1"/>
  <c r="R331" i="7" l="1"/>
  <c r="G331" i="7"/>
  <c r="H331" i="7" l="1"/>
  <c r="I331" i="7" s="1"/>
  <c r="J331" i="7" s="1"/>
  <c r="L331" i="7"/>
  <c r="M331" i="7" s="1"/>
  <c r="N331" i="7" s="1"/>
  <c r="O331" i="7" l="1"/>
  <c r="T332" i="7" s="1"/>
  <c r="Q332" i="7"/>
  <c r="P332" i="7"/>
  <c r="K331" i="7"/>
  <c r="S332" i="7" s="1"/>
  <c r="G332" i="7" l="1"/>
  <c r="R332" i="7"/>
  <c r="H332" i="7" l="1"/>
  <c r="I332" i="7" s="1"/>
  <c r="J332" i="7" s="1"/>
  <c r="L332" i="7"/>
  <c r="M332" i="7" s="1"/>
  <c r="N332" i="7" s="1"/>
  <c r="Q333" i="7" l="1"/>
  <c r="O332" i="7"/>
  <c r="T333" i="7" s="1"/>
  <c r="K332" i="7"/>
  <c r="S333" i="7" s="1"/>
  <c r="P333" i="7"/>
  <c r="R333" i="7" l="1"/>
  <c r="G333" i="7"/>
  <c r="H333" i="7" l="1"/>
  <c r="I333" i="7" s="1"/>
  <c r="J333" i="7" s="1"/>
  <c r="L333" i="7"/>
  <c r="M333" i="7" s="1"/>
  <c r="N333" i="7" s="1"/>
  <c r="Q334" i="7" l="1"/>
  <c r="O333" i="7"/>
  <c r="T334" i="7" s="1"/>
  <c r="K333" i="7"/>
  <c r="S334" i="7" s="1"/>
  <c r="P334" i="7"/>
  <c r="R334" i="7" l="1"/>
  <c r="G334" i="7"/>
  <c r="H334" i="7" l="1"/>
  <c r="I334" i="7" s="1"/>
  <c r="J334" i="7" s="1"/>
  <c r="L334" i="7"/>
  <c r="M334" i="7" s="1"/>
  <c r="N334" i="7" s="1"/>
  <c r="O334" i="7" l="1"/>
  <c r="T335" i="7" s="1"/>
  <c r="Q335" i="7"/>
  <c r="K334" i="7"/>
  <c r="S335" i="7" s="1"/>
  <c r="P335" i="7"/>
  <c r="G335" i="7" l="1"/>
  <c r="R335" i="7"/>
  <c r="L335" i="7" l="1"/>
  <c r="M335" i="7" s="1"/>
  <c r="N335" i="7" s="1"/>
  <c r="H335" i="7"/>
  <c r="I335" i="7" s="1"/>
  <c r="J335" i="7" s="1"/>
  <c r="K335" i="7" l="1"/>
  <c r="S336" i="7" s="1"/>
  <c r="P336" i="7"/>
  <c r="O335" i="7"/>
  <c r="T336" i="7" s="1"/>
  <c r="Q336" i="7"/>
  <c r="R336" i="7" l="1"/>
  <c r="G336" i="7"/>
  <c r="H336" i="7" l="1"/>
  <c r="I336" i="7" s="1"/>
  <c r="J336" i="7" s="1"/>
  <c r="L336" i="7"/>
  <c r="M336" i="7" s="1"/>
  <c r="N336" i="7" s="1"/>
  <c r="O336" i="7" l="1"/>
  <c r="T337" i="7" s="1"/>
  <c r="Q337" i="7"/>
  <c r="P337" i="7"/>
  <c r="K336" i="7"/>
  <c r="S337" i="7" s="1"/>
  <c r="R337" i="7" l="1"/>
  <c r="G337" i="7"/>
  <c r="H337" i="7" l="1"/>
  <c r="I337" i="7" s="1"/>
  <c r="J337" i="7" s="1"/>
  <c r="L337" i="7"/>
  <c r="M337" i="7" s="1"/>
  <c r="N337" i="7" s="1"/>
  <c r="O337" i="7" l="1"/>
  <c r="T338" i="7" s="1"/>
  <c r="Q338" i="7"/>
  <c r="K337" i="7"/>
  <c r="S338" i="7" s="1"/>
  <c r="P338" i="7"/>
  <c r="R338" i="7" l="1"/>
  <c r="G338" i="7"/>
  <c r="L338" i="7" l="1"/>
  <c r="M338" i="7" s="1"/>
  <c r="N338" i="7" s="1"/>
  <c r="H338" i="7"/>
  <c r="I338" i="7" s="1"/>
  <c r="J338" i="7" s="1"/>
  <c r="P339" i="7" l="1"/>
  <c r="K338" i="7"/>
  <c r="S339" i="7" s="1"/>
  <c r="Q339" i="7"/>
  <c r="O338" i="7"/>
  <c r="T339" i="7" s="1"/>
  <c r="R339" i="7" l="1"/>
  <c r="G339" i="7"/>
  <c r="H339" i="7" l="1"/>
  <c r="I339" i="7" s="1"/>
  <c r="J339" i="7" s="1"/>
  <c r="L339" i="7"/>
  <c r="M339" i="7" s="1"/>
  <c r="N339" i="7" s="1"/>
  <c r="Q340" i="7" l="1"/>
  <c r="O339" i="7"/>
  <c r="T340" i="7" s="1"/>
  <c r="K339" i="7"/>
  <c r="S340" i="7" s="1"/>
  <c r="P340" i="7"/>
  <c r="G340" i="7" l="1"/>
  <c r="R340" i="7"/>
  <c r="L340" i="7" l="1"/>
  <c r="M340" i="7" s="1"/>
  <c r="N340" i="7" s="1"/>
  <c r="H340" i="7"/>
  <c r="I340" i="7" s="1"/>
  <c r="J340" i="7" s="1"/>
  <c r="P341" i="7" l="1"/>
  <c r="K340" i="7"/>
  <c r="S341" i="7" s="1"/>
  <c r="O340" i="7"/>
  <c r="T341" i="7" s="1"/>
  <c r="Q341" i="7"/>
  <c r="R341" i="7" l="1"/>
  <c r="G341" i="7"/>
  <c r="L341" i="7" l="1"/>
  <c r="M341" i="7" s="1"/>
  <c r="N341" i="7" s="1"/>
  <c r="H341" i="7"/>
  <c r="I341" i="7" s="1"/>
  <c r="J341" i="7" s="1"/>
  <c r="P342" i="7" l="1"/>
  <c r="K341" i="7"/>
  <c r="S342" i="7" s="1"/>
  <c r="Q342" i="7"/>
  <c r="O341" i="7"/>
  <c r="T342" i="7" s="1"/>
  <c r="R342" i="7" l="1"/>
  <c r="G342" i="7"/>
  <c r="L342" i="7" l="1"/>
  <c r="M342" i="7" s="1"/>
  <c r="N342" i="7" s="1"/>
  <c r="H342" i="7"/>
  <c r="I342" i="7" s="1"/>
  <c r="J342" i="7" s="1"/>
  <c r="K342" i="7" l="1"/>
  <c r="S343" i="7" s="1"/>
  <c r="P343" i="7"/>
  <c r="Q343" i="7"/>
  <c r="O342" i="7"/>
  <c r="T343" i="7" s="1"/>
  <c r="R343" i="7" l="1"/>
  <c r="G343" i="7"/>
  <c r="L343" i="7" l="1"/>
  <c r="M343" i="7" s="1"/>
  <c r="N343" i="7" s="1"/>
  <c r="H343" i="7"/>
  <c r="I343" i="7" s="1"/>
  <c r="J343" i="7" s="1"/>
  <c r="P344" i="7" l="1"/>
  <c r="K343" i="7"/>
  <c r="S344" i="7" s="1"/>
  <c r="O343" i="7"/>
  <c r="T344" i="7" s="1"/>
  <c r="Q344" i="7"/>
  <c r="R344" i="7" l="1"/>
  <c r="G344" i="7"/>
  <c r="L344" i="7" l="1"/>
  <c r="M344" i="7" s="1"/>
  <c r="N344" i="7" s="1"/>
  <c r="H344" i="7"/>
  <c r="I344" i="7" s="1"/>
  <c r="J344" i="7" s="1"/>
  <c r="P345" i="7" l="1"/>
  <c r="K344" i="7"/>
  <c r="S345" i="7" s="1"/>
  <c r="Q345" i="7"/>
  <c r="O344" i="7"/>
  <c r="T345" i="7" s="1"/>
  <c r="G345" i="7" l="1"/>
  <c r="R345" i="7"/>
  <c r="H345" i="7" l="1"/>
  <c r="I345" i="7" s="1"/>
  <c r="J345" i="7" s="1"/>
  <c r="L345" i="7"/>
  <c r="M345" i="7" s="1"/>
  <c r="N345" i="7" s="1"/>
  <c r="O345" i="7" l="1"/>
  <c r="T346" i="7" s="1"/>
  <c r="Q346" i="7"/>
  <c r="K345" i="7"/>
  <c r="S346" i="7" s="1"/>
  <c r="P346" i="7"/>
  <c r="R346" i="7" l="1"/>
  <c r="G346" i="7"/>
  <c r="H346" i="7" l="1"/>
  <c r="I346" i="7" s="1"/>
  <c r="J346" i="7" s="1"/>
  <c r="L346" i="7"/>
  <c r="M346" i="7" s="1"/>
  <c r="N346" i="7" s="1"/>
  <c r="O346" i="7" l="1"/>
  <c r="T347" i="7" s="1"/>
  <c r="Q347" i="7"/>
  <c r="K346" i="7"/>
  <c r="S347" i="7" s="1"/>
  <c r="P347" i="7"/>
  <c r="G347" i="7" l="1"/>
  <c r="R347" i="7"/>
  <c r="H347" i="7" l="1"/>
  <c r="I347" i="7" s="1"/>
  <c r="J347" i="7" s="1"/>
  <c r="L347" i="7"/>
  <c r="M347" i="7" s="1"/>
  <c r="N347" i="7" s="1"/>
  <c r="O347" i="7" l="1"/>
  <c r="T348" i="7" s="1"/>
  <c r="Q348" i="7"/>
  <c r="K347" i="7"/>
  <c r="S348" i="7" s="1"/>
  <c r="P348" i="7"/>
  <c r="R348" i="7" l="1"/>
  <c r="G348" i="7"/>
  <c r="H348" i="7" l="1"/>
  <c r="I348" i="7" s="1"/>
  <c r="J348" i="7" s="1"/>
  <c r="L348" i="7"/>
  <c r="M348" i="7" s="1"/>
  <c r="N348" i="7" s="1"/>
  <c r="Q349" i="7" l="1"/>
  <c r="O348" i="7"/>
  <c r="T349" i="7" s="1"/>
  <c r="P349" i="7"/>
  <c r="K348" i="7"/>
  <c r="S349" i="7" s="1"/>
  <c r="G349" i="7" l="1"/>
  <c r="R349" i="7"/>
  <c r="H349" i="7" l="1"/>
  <c r="I349" i="7" s="1"/>
  <c r="J349" i="7" s="1"/>
  <c r="L349" i="7"/>
  <c r="M349" i="7" s="1"/>
  <c r="N349" i="7" s="1"/>
  <c r="O349" i="7" l="1"/>
  <c r="T350" i="7" s="1"/>
  <c r="Q350" i="7"/>
  <c r="K349" i="7"/>
  <c r="S350" i="7" s="1"/>
  <c r="P350" i="7"/>
  <c r="R350" i="7" l="1"/>
  <c r="G350" i="7"/>
  <c r="L350" i="7" l="1"/>
  <c r="M350" i="7" s="1"/>
  <c r="N350" i="7" s="1"/>
  <c r="H350" i="7"/>
  <c r="I350" i="7" s="1"/>
  <c r="J350" i="7" s="1"/>
  <c r="K350" i="7" l="1"/>
  <c r="S351" i="7" s="1"/>
  <c r="P351" i="7"/>
  <c r="Q351" i="7"/>
  <c r="O350" i="7"/>
  <c r="T351" i="7" s="1"/>
  <c r="G351" i="7" l="1"/>
  <c r="R351" i="7"/>
  <c r="H351" i="7" l="1"/>
  <c r="I351" i="7" s="1"/>
  <c r="J351" i="7" s="1"/>
  <c r="L351" i="7"/>
  <c r="M351" i="7" s="1"/>
  <c r="N351" i="7" s="1"/>
  <c r="O351" i="7" l="1"/>
  <c r="T352" i="7" s="1"/>
  <c r="Q352" i="7"/>
  <c r="K351" i="7"/>
  <c r="S352" i="7" s="1"/>
  <c r="P352" i="7"/>
  <c r="G352" i="7" l="1"/>
  <c r="R352" i="7"/>
  <c r="H352" i="7" l="1"/>
  <c r="I352" i="7" s="1"/>
  <c r="J352" i="7" s="1"/>
  <c r="L352" i="7"/>
  <c r="M352" i="7" s="1"/>
  <c r="N352" i="7" s="1"/>
  <c r="O352" i="7" l="1"/>
  <c r="T353" i="7" s="1"/>
  <c r="Q353" i="7"/>
  <c r="P353" i="7"/>
  <c r="K352" i="7"/>
  <c r="S353" i="7" s="1"/>
  <c r="G353" i="7" l="1"/>
  <c r="R353" i="7"/>
  <c r="L353" i="7" l="1"/>
  <c r="M353" i="7" s="1"/>
  <c r="N353" i="7" s="1"/>
  <c r="H353" i="7"/>
  <c r="I353" i="7" s="1"/>
  <c r="J353" i="7" s="1"/>
  <c r="P354" i="7" l="1"/>
  <c r="K353" i="7"/>
  <c r="S354" i="7" s="1"/>
  <c r="O353" i="7"/>
  <c r="T354" i="7" s="1"/>
  <c r="Q354" i="7"/>
  <c r="R354" i="7" l="1"/>
  <c r="G354" i="7"/>
  <c r="L354" i="7" l="1"/>
  <c r="M354" i="7" s="1"/>
  <c r="N354" i="7" s="1"/>
  <c r="H354" i="7"/>
  <c r="I354" i="7" s="1"/>
  <c r="J354" i="7" s="1"/>
  <c r="K354" i="7" l="1"/>
  <c r="S355" i="7" s="1"/>
  <c r="P355" i="7"/>
  <c r="Q355" i="7"/>
  <c r="O354" i="7"/>
  <c r="T355" i="7" s="1"/>
  <c r="R355" i="7" l="1"/>
  <c r="G355" i="7"/>
  <c r="H355" i="7" l="1"/>
  <c r="I355" i="7" s="1"/>
  <c r="J355" i="7" s="1"/>
  <c r="L355" i="7"/>
  <c r="M355" i="7" s="1"/>
  <c r="N355" i="7" s="1"/>
  <c r="Q356" i="7" l="1"/>
  <c r="O355" i="7"/>
  <c r="T356" i="7" s="1"/>
  <c r="K355" i="7"/>
  <c r="S356" i="7" s="1"/>
  <c r="P356" i="7"/>
  <c r="R356" i="7" l="1"/>
  <c r="G356" i="7"/>
  <c r="L356" i="7" l="1"/>
  <c r="M356" i="7" s="1"/>
  <c r="N356" i="7" s="1"/>
  <c r="H356" i="7"/>
  <c r="I356" i="7" s="1"/>
  <c r="J356" i="7" s="1"/>
  <c r="P357" i="7" l="1"/>
  <c r="K356" i="7"/>
  <c r="S357" i="7" s="1"/>
  <c r="Q357" i="7"/>
  <c r="O356" i="7"/>
  <c r="T357" i="7" s="1"/>
  <c r="R357" i="7" l="1"/>
  <c r="G357" i="7"/>
  <c r="L357" i="7" l="1"/>
  <c r="M357" i="7" s="1"/>
  <c r="N357" i="7" s="1"/>
  <c r="H357" i="7"/>
  <c r="I357" i="7" s="1"/>
  <c r="J357" i="7" s="1"/>
  <c r="K357" i="7" l="1"/>
  <c r="S358" i="7" s="1"/>
  <c r="P358" i="7"/>
  <c r="O357" i="7"/>
  <c r="T358" i="7" s="1"/>
  <c r="Q358" i="7"/>
  <c r="G358" i="7" l="1"/>
  <c r="R358" i="7"/>
  <c r="L358" i="7" l="1"/>
  <c r="M358" i="7" s="1"/>
  <c r="N358" i="7" s="1"/>
  <c r="H358" i="7"/>
  <c r="I358" i="7" s="1"/>
  <c r="J358" i="7" s="1"/>
  <c r="P359" i="7" l="1"/>
  <c r="K358" i="7"/>
  <c r="S359" i="7" s="1"/>
  <c r="O358" i="7"/>
  <c r="T359" i="7" s="1"/>
  <c r="Q359" i="7"/>
  <c r="R359" i="7" l="1"/>
  <c r="G359" i="7"/>
  <c r="H359" i="7" l="1"/>
  <c r="I359" i="7" s="1"/>
  <c r="J359" i="7" s="1"/>
  <c r="L359" i="7"/>
  <c r="M359" i="7" s="1"/>
  <c r="N359" i="7" s="1"/>
  <c r="Q360" i="7" l="1"/>
  <c r="O359" i="7"/>
  <c r="T360" i="7" s="1"/>
  <c r="K359" i="7"/>
  <c r="S360" i="7" s="1"/>
  <c r="P360" i="7"/>
  <c r="R360" i="7" l="1"/>
  <c r="G360" i="7"/>
  <c r="H360" i="7" l="1"/>
  <c r="I360" i="7" s="1"/>
  <c r="J360" i="7" s="1"/>
  <c r="L360" i="7"/>
  <c r="M360" i="7" s="1"/>
  <c r="N360" i="7" s="1"/>
  <c r="Q361" i="7" l="1"/>
  <c r="O360" i="7"/>
  <c r="T361" i="7" s="1"/>
  <c r="K360" i="7"/>
  <c r="S361" i="7" s="1"/>
  <c r="P361" i="7"/>
  <c r="R361" i="7" l="1"/>
  <c r="G361" i="7"/>
  <c r="L361" i="7" l="1"/>
  <c r="M361" i="7" s="1"/>
  <c r="N361" i="7" s="1"/>
  <c r="H361" i="7"/>
  <c r="I361" i="7" s="1"/>
  <c r="J361" i="7" s="1"/>
  <c r="P362" i="7" l="1"/>
  <c r="K361" i="7"/>
  <c r="S362" i="7" s="1"/>
  <c r="Q362" i="7"/>
  <c r="O361" i="7"/>
  <c r="T362" i="7" s="1"/>
  <c r="R362" i="7" l="1"/>
  <c r="G362" i="7"/>
  <c r="H362" i="7" l="1"/>
  <c r="I362" i="7" s="1"/>
  <c r="J362" i="7" s="1"/>
  <c r="L362" i="7"/>
  <c r="M362" i="7" s="1"/>
  <c r="N362" i="7" s="1"/>
  <c r="O362" i="7" l="1"/>
  <c r="T363" i="7" s="1"/>
  <c r="Q363" i="7"/>
  <c r="K362" i="7"/>
  <c r="S363" i="7" s="1"/>
  <c r="P363" i="7"/>
  <c r="R363" i="7" l="1"/>
  <c r="G363" i="7"/>
  <c r="H363" i="7" l="1"/>
  <c r="I363" i="7" s="1"/>
  <c r="J363" i="7" s="1"/>
  <c r="L363" i="7"/>
  <c r="M363" i="7" s="1"/>
  <c r="N363" i="7" s="1"/>
  <c r="O363" i="7" l="1"/>
  <c r="T364" i="7" s="1"/>
  <c r="Q364" i="7"/>
  <c r="K363" i="7"/>
  <c r="S364" i="7" s="1"/>
  <c r="P364" i="7"/>
  <c r="R364" i="7" l="1"/>
  <c r="G364" i="7"/>
  <c r="H364" i="7" l="1"/>
  <c r="I364" i="7" s="1"/>
  <c r="J364" i="7" s="1"/>
  <c r="L364" i="7"/>
  <c r="M364" i="7" s="1"/>
  <c r="N364" i="7" s="1"/>
  <c r="Q365" i="7" l="1"/>
  <c r="O364" i="7"/>
  <c r="T365" i="7" s="1"/>
  <c r="K364" i="7"/>
  <c r="S365" i="7" s="1"/>
  <c r="P365" i="7"/>
  <c r="G365" i="7" l="1"/>
  <c r="R365" i="7"/>
  <c r="L365" i="7" l="1"/>
  <c r="M365" i="7" s="1"/>
  <c r="N365" i="7" s="1"/>
  <c r="H365" i="7"/>
  <c r="I365" i="7" s="1"/>
  <c r="J365" i="7" s="1"/>
  <c r="P366" i="7" l="1"/>
  <c r="K365" i="7"/>
  <c r="S366" i="7" s="1"/>
  <c r="O365" i="7"/>
  <c r="T366" i="7" s="1"/>
  <c r="Q366" i="7"/>
  <c r="R366" i="7" l="1"/>
  <c r="G366" i="7"/>
  <c r="H366" i="7" l="1"/>
  <c r="I366" i="7" s="1"/>
  <c r="J366" i="7" s="1"/>
  <c r="L366" i="7"/>
  <c r="M366" i="7" s="1"/>
  <c r="N366" i="7" s="1"/>
  <c r="O366" i="7" l="1"/>
  <c r="T367" i="7" s="1"/>
  <c r="Q367" i="7"/>
  <c r="K366" i="7"/>
  <c r="S367" i="7" s="1"/>
  <c r="P367" i="7"/>
  <c r="G367" i="7" l="1"/>
  <c r="R367" i="7"/>
  <c r="L367" i="7" l="1"/>
  <c r="M367" i="7" s="1"/>
  <c r="N367" i="7" s="1"/>
  <c r="H367" i="7"/>
  <c r="I367" i="7" s="1"/>
  <c r="J367" i="7" s="1"/>
  <c r="Q368" i="7" l="1"/>
  <c r="O367" i="7"/>
  <c r="T368" i="7" s="1"/>
  <c r="K367" i="7"/>
  <c r="S368" i="7" s="1"/>
  <c r="P368" i="7"/>
  <c r="R368" i="7" l="1"/>
  <c r="G368" i="7"/>
  <c r="H368" i="7" l="1"/>
  <c r="I368" i="7" s="1"/>
  <c r="J368" i="7" s="1"/>
  <c r="L368" i="7"/>
  <c r="M368" i="7" s="1"/>
  <c r="N368" i="7" s="1"/>
  <c r="Q369" i="7" l="1"/>
  <c r="O368" i="7"/>
  <c r="T369" i="7" s="1"/>
  <c r="P369" i="7"/>
  <c r="K368" i="7"/>
  <c r="S369" i="7" s="1"/>
  <c r="R369" i="7" l="1"/>
  <c r="G369" i="7"/>
  <c r="H369" i="7" l="1"/>
  <c r="I369" i="7" s="1"/>
  <c r="J369" i="7" s="1"/>
  <c r="L369" i="7"/>
  <c r="M369" i="7" s="1"/>
  <c r="N369" i="7" s="1"/>
  <c r="O369" i="7" l="1"/>
  <c r="T370" i="7" s="1"/>
  <c r="Q370" i="7"/>
  <c r="P370" i="7"/>
  <c r="K369" i="7"/>
  <c r="S370" i="7" s="1"/>
  <c r="R370" i="7" l="1"/>
  <c r="G370" i="7"/>
  <c r="H370" i="7" l="1"/>
  <c r="I370" i="7" s="1"/>
  <c r="J370" i="7" s="1"/>
  <c r="L370" i="7"/>
  <c r="M370" i="7" s="1"/>
  <c r="N370" i="7" s="1"/>
  <c r="O370" i="7" l="1"/>
  <c r="T371" i="7" s="1"/>
  <c r="Q371" i="7"/>
  <c r="P371" i="7"/>
  <c r="K370" i="7"/>
  <c r="S371" i="7" s="1"/>
  <c r="G371" i="7" l="1"/>
  <c r="R371" i="7"/>
  <c r="L371" i="7" l="1"/>
  <c r="M371" i="7" s="1"/>
  <c r="N371" i="7" s="1"/>
  <c r="H371" i="7"/>
  <c r="I371" i="7" s="1"/>
  <c r="J371" i="7" s="1"/>
  <c r="K371" i="7" l="1"/>
  <c r="S372" i="7" s="1"/>
  <c r="P372" i="7"/>
  <c r="O371" i="7"/>
  <c r="T372" i="7" s="1"/>
  <c r="Q372" i="7"/>
  <c r="R372" i="7" l="1"/>
  <c r="G372" i="7"/>
  <c r="L372" i="7" l="1"/>
  <c r="M372" i="7" s="1"/>
  <c r="N372" i="7" s="1"/>
  <c r="H372" i="7"/>
  <c r="I372" i="7" s="1"/>
  <c r="J372" i="7" s="1"/>
  <c r="K372" i="7" l="1"/>
  <c r="S373" i="7" s="1"/>
  <c r="P373" i="7"/>
  <c r="O372" i="7"/>
  <c r="T373" i="7" s="1"/>
  <c r="Q373" i="7"/>
  <c r="R373" i="7" l="1"/>
  <c r="G373" i="7"/>
  <c r="H373" i="7" l="1"/>
  <c r="I373" i="7" s="1"/>
  <c r="J373" i="7" s="1"/>
  <c r="L373" i="7"/>
  <c r="M373" i="7" s="1"/>
  <c r="N373" i="7" s="1"/>
  <c r="O373" i="7" l="1"/>
  <c r="T374" i="7" s="1"/>
  <c r="Q374" i="7"/>
  <c r="P374" i="7"/>
  <c r="K373" i="7"/>
  <c r="S374" i="7" s="1"/>
  <c r="R374" i="7" l="1"/>
  <c r="G374" i="7"/>
  <c r="L374" i="7" l="1"/>
  <c r="M374" i="7" s="1"/>
  <c r="N374" i="7" s="1"/>
  <c r="H374" i="7"/>
  <c r="I374" i="7" s="1"/>
  <c r="J374" i="7" s="1"/>
  <c r="P375" i="7" l="1"/>
  <c r="K374" i="7"/>
  <c r="S375" i="7" s="1"/>
  <c r="Q375" i="7"/>
  <c r="O374" i="7"/>
  <c r="T375" i="7" s="1"/>
  <c r="G375" i="7" l="1"/>
  <c r="R375" i="7"/>
  <c r="L375" i="7" l="1"/>
  <c r="M375" i="7" s="1"/>
  <c r="N375" i="7" s="1"/>
  <c r="H375" i="7"/>
  <c r="I375" i="7" s="1"/>
  <c r="J375" i="7" s="1"/>
  <c r="P376" i="7" l="1"/>
  <c r="K375" i="7"/>
  <c r="S376" i="7" s="1"/>
  <c r="Q376" i="7"/>
  <c r="O375" i="7"/>
  <c r="T376" i="7" s="1"/>
  <c r="G376" i="7" l="1"/>
  <c r="R376" i="7"/>
  <c r="L376" i="7" l="1"/>
  <c r="M376" i="7" s="1"/>
  <c r="N376" i="7" s="1"/>
  <c r="H376" i="7"/>
  <c r="I376" i="7" s="1"/>
  <c r="J376" i="7" s="1"/>
  <c r="P377" i="7" l="1"/>
  <c r="K376" i="7"/>
  <c r="S377" i="7" s="1"/>
  <c r="O376" i="7"/>
  <c r="T377" i="7" s="1"/>
  <c r="Q377" i="7"/>
  <c r="R377" i="7" l="1"/>
  <c r="G377" i="7"/>
  <c r="H377" i="7" l="1"/>
  <c r="I377" i="7" s="1"/>
  <c r="J377" i="7" s="1"/>
  <c r="L377" i="7"/>
  <c r="M377" i="7" s="1"/>
  <c r="N377" i="7" s="1"/>
  <c r="O377" i="7" l="1"/>
  <c r="T378" i="7" s="1"/>
  <c r="Q378" i="7"/>
  <c r="K377" i="7"/>
  <c r="S378" i="7" s="1"/>
  <c r="P378" i="7"/>
  <c r="R378" i="7" l="1"/>
  <c r="G378" i="7"/>
  <c r="H378" i="7" l="1"/>
  <c r="I378" i="7" s="1"/>
  <c r="J378" i="7" s="1"/>
  <c r="L378" i="7"/>
  <c r="M378" i="7" s="1"/>
  <c r="N378" i="7" s="1"/>
  <c r="Q379" i="7" l="1"/>
  <c r="O378" i="7"/>
  <c r="T379" i="7" s="1"/>
  <c r="K378" i="7"/>
  <c r="S379" i="7" s="1"/>
  <c r="P379" i="7"/>
  <c r="R379" i="7" l="1"/>
  <c r="G379" i="7"/>
  <c r="H379" i="7" l="1"/>
  <c r="I379" i="7" s="1"/>
  <c r="J379" i="7" s="1"/>
  <c r="L379" i="7"/>
  <c r="M379" i="7" s="1"/>
  <c r="N379" i="7" s="1"/>
  <c r="Q380" i="7" l="1"/>
  <c r="O379" i="7"/>
  <c r="T380" i="7" s="1"/>
  <c r="P380" i="7"/>
  <c r="K379" i="7"/>
  <c r="S380" i="7" s="1"/>
  <c r="R380" i="7" l="1"/>
  <c r="G380" i="7"/>
  <c r="L380" i="7" l="1"/>
  <c r="M380" i="7" s="1"/>
  <c r="N380" i="7" s="1"/>
  <c r="H380" i="7"/>
  <c r="I380" i="7" s="1"/>
  <c r="J380" i="7" s="1"/>
  <c r="P381" i="7" l="1"/>
  <c r="K380" i="7"/>
  <c r="S381" i="7" s="1"/>
  <c r="O380" i="7"/>
  <c r="T381" i="7" s="1"/>
  <c r="Q381" i="7"/>
  <c r="R381" i="7" l="1"/>
  <c r="G381" i="7"/>
  <c r="H381" i="7" l="1"/>
  <c r="I381" i="7" s="1"/>
  <c r="J381" i="7" s="1"/>
  <c r="L381" i="7"/>
  <c r="M381" i="7" s="1"/>
  <c r="N381" i="7" s="1"/>
  <c r="Q382" i="7" l="1"/>
  <c r="O381" i="7"/>
  <c r="T382" i="7" s="1"/>
  <c r="K381" i="7"/>
  <c r="S382" i="7" s="1"/>
  <c r="P382" i="7"/>
  <c r="G382" i="7" l="1"/>
  <c r="R382" i="7"/>
  <c r="L382" i="7" l="1"/>
  <c r="M382" i="7" s="1"/>
  <c r="N382" i="7" s="1"/>
  <c r="H382" i="7"/>
  <c r="I382" i="7" s="1"/>
  <c r="J382" i="7" s="1"/>
  <c r="P383" i="7" l="1"/>
  <c r="K382" i="7"/>
  <c r="S383" i="7" s="1"/>
  <c r="Q383" i="7"/>
  <c r="O382" i="7"/>
  <c r="T383" i="7" s="1"/>
  <c r="R383" i="7" l="1"/>
  <c r="G383" i="7"/>
  <c r="H383" i="7" l="1"/>
  <c r="I383" i="7" s="1"/>
  <c r="J383" i="7" s="1"/>
  <c r="L383" i="7"/>
  <c r="M383" i="7" s="1"/>
  <c r="N383" i="7" s="1"/>
  <c r="O383" i="7" l="1"/>
  <c r="T384" i="7" s="1"/>
  <c r="Q384" i="7"/>
  <c r="P384" i="7"/>
  <c r="K383" i="7"/>
  <c r="S384" i="7" s="1"/>
  <c r="G384" i="7" l="1"/>
  <c r="R384" i="7"/>
  <c r="L384" i="7" l="1"/>
  <c r="M384" i="7" s="1"/>
  <c r="N384" i="7" s="1"/>
  <c r="H384" i="7"/>
  <c r="I384" i="7" s="1"/>
  <c r="J384" i="7" s="1"/>
  <c r="K384" i="7" l="1"/>
  <c r="S385" i="7" s="1"/>
  <c r="P385" i="7"/>
  <c r="O384" i="7"/>
  <c r="T385" i="7" s="1"/>
  <c r="Q385" i="7"/>
  <c r="R385" i="7" l="1"/>
  <c r="G385" i="7"/>
  <c r="H385" i="7" l="1"/>
  <c r="I385" i="7" s="1"/>
  <c r="J385" i="7" s="1"/>
  <c r="L385" i="7"/>
  <c r="M385" i="7" s="1"/>
  <c r="N385" i="7" s="1"/>
  <c r="Q386" i="7" l="1"/>
  <c r="O385" i="7"/>
  <c r="T386" i="7" s="1"/>
  <c r="P386" i="7"/>
  <c r="K385" i="7"/>
  <c r="S386" i="7" s="1"/>
  <c r="R386" i="7" l="1"/>
  <c r="G386" i="7"/>
  <c r="L386" i="7" l="1"/>
  <c r="M386" i="7" s="1"/>
  <c r="N386" i="7" s="1"/>
  <c r="H386" i="7"/>
  <c r="I386" i="7" s="1"/>
  <c r="J386" i="7" s="1"/>
  <c r="K386" i="7" l="1"/>
  <c r="S387" i="7" s="1"/>
  <c r="P387" i="7"/>
  <c r="O386" i="7"/>
  <c r="T387" i="7" s="1"/>
  <c r="Q387" i="7"/>
  <c r="R387" i="7" l="1"/>
  <c r="G387" i="7"/>
  <c r="L387" i="7" l="1"/>
  <c r="M387" i="7" s="1"/>
  <c r="N387" i="7" s="1"/>
  <c r="H387" i="7"/>
  <c r="I387" i="7" s="1"/>
  <c r="J387" i="7" s="1"/>
  <c r="K387" i="7" l="1"/>
  <c r="S388" i="7" s="1"/>
  <c r="P388" i="7"/>
  <c r="O387" i="7"/>
  <c r="T388" i="7" s="1"/>
  <c r="Q388" i="7"/>
  <c r="G388" i="7" l="1"/>
  <c r="R388" i="7"/>
  <c r="L388" i="7" l="1"/>
  <c r="M388" i="7" s="1"/>
  <c r="N388" i="7" s="1"/>
  <c r="H388" i="7"/>
  <c r="I388" i="7" s="1"/>
  <c r="J388" i="7" s="1"/>
  <c r="P389" i="7" l="1"/>
  <c r="K388" i="7"/>
  <c r="S389" i="7" s="1"/>
  <c r="O388" i="7"/>
  <c r="T389" i="7" s="1"/>
  <c r="Q389" i="7"/>
  <c r="R389" i="7" l="1"/>
  <c r="G389" i="7"/>
  <c r="H389" i="7" l="1"/>
  <c r="I389" i="7" s="1"/>
  <c r="J389" i="7" s="1"/>
  <c r="L389" i="7"/>
  <c r="M389" i="7" s="1"/>
  <c r="N389" i="7" s="1"/>
  <c r="Q390" i="7" l="1"/>
  <c r="O389" i="7"/>
  <c r="T390" i="7" s="1"/>
  <c r="P390" i="7"/>
  <c r="K389" i="7"/>
  <c r="S390" i="7" s="1"/>
  <c r="G390" i="7" l="1"/>
  <c r="R390" i="7"/>
  <c r="H390" i="7" l="1"/>
  <c r="I390" i="7" s="1"/>
  <c r="J390" i="7" s="1"/>
  <c r="L390" i="7"/>
  <c r="M390" i="7" s="1"/>
  <c r="N390" i="7" s="1"/>
  <c r="O390" i="7" l="1"/>
  <c r="T391" i="7" s="1"/>
  <c r="Q391" i="7"/>
  <c r="P391" i="7"/>
  <c r="K390" i="7"/>
  <c r="S391" i="7" s="1"/>
  <c r="G391" i="7" l="1"/>
  <c r="R391" i="7"/>
  <c r="H391" i="7" l="1"/>
  <c r="I391" i="7" s="1"/>
  <c r="J391" i="7" s="1"/>
  <c r="L391" i="7"/>
  <c r="M391" i="7" s="1"/>
  <c r="N391" i="7" s="1"/>
  <c r="O391" i="7" l="1"/>
  <c r="T392" i="7" s="1"/>
  <c r="Q392" i="7"/>
  <c r="K391" i="7"/>
  <c r="S392" i="7" s="1"/>
  <c r="P392" i="7"/>
  <c r="G392" i="7" l="1"/>
  <c r="R392" i="7"/>
  <c r="H392" i="7" l="1"/>
  <c r="I392" i="7" s="1"/>
  <c r="J392" i="7" s="1"/>
  <c r="L392" i="7"/>
  <c r="M392" i="7" s="1"/>
  <c r="N392" i="7" s="1"/>
  <c r="Q393" i="7" l="1"/>
  <c r="O392" i="7"/>
  <c r="T393" i="7" s="1"/>
  <c r="K392" i="7"/>
  <c r="S393" i="7" s="1"/>
  <c r="P393" i="7"/>
  <c r="G393" i="7" l="1"/>
  <c r="R393" i="7"/>
  <c r="L393" i="7" l="1"/>
  <c r="M393" i="7" s="1"/>
  <c r="N393" i="7" s="1"/>
  <c r="H393" i="7"/>
  <c r="I393" i="7" s="1"/>
  <c r="J393" i="7" s="1"/>
  <c r="K393" i="7" l="1"/>
  <c r="S394" i="7" s="1"/>
  <c r="P394" i="7"/>
  <c r="Q394" i="7"/>
  <c r="O393" i="7"/>
  <c r="T394" i="7" s="1"/>
  <c r="R394" i="7" l="1"/>
  <c r="G394" i="7"/>
  <c r="L394" i="7" l="1"/>
  <c r="M394" i="7" s="1"/>
  <c r="N394" i="7" s="1"/>
  <c r="H394" i="7"/>
  <c r="I394" i="7" s="1"/>
  <c r="J394" i="7" s="1"/>
  <c r="K394" i="7" l="1"/>
  <c r="S395" i="7" s="1"/>
  <c r="P395" i="7"/>
  <c r="O394" i="7"/>
  <c r="T395" i="7" s="1"/>
  <c r="Q395" i="7"/>
  <c r="R395" i="7" l="1"/>
  <c r="G395" i="7"/>
  <c r="L395" i="7" l="1"/>
  <c r="M395" i="7" s="1"/>
  <c r="N395" i="7" s="1"/>
  <c r="H395" i="7"/>
  <c r="I395" i="7" s="1"/>
  <c r="J395" i="7" s="1"/>
  <c r="K395" i="7" l="1"/>
  <c r="S396" i="7" s="1"/>
  <c r="P396" i="7"/>
  <c r="O395" i="7"/>
  <c r="T396" i="7" s="1"/>
  <c r="Q396" i="7"/>
  <c r="R396" i="7" l="1"/>
  <c r="G396" i="7"/>
  <c r="L396" i="7" l="1"/>
  <c r="M396" i="7" s="1"/>
  <c r="N396" i="7" s="1"/>
  <c r="H396" i="7"/>
  <c r="I396" i="7" s="1"/>
  <c r="J396" i="7" s="1"/>
  <c r="P397" i="7" l="1"/>
  <c r="K396" i="7"/>
  <c r="S397" i="7" s="1"/>
  <c r="O396" i="7"/>
  <c r="T397" i="7" s="1"/>
  <c r="Q397" i="7"/>
  <c r="R397" i="7" l="1"/>
  <c r="G397" i="7"/>
  <c r="L397" i="7" l="1"/>
  <c r="M397" i="7" s="1"/>
  <c r="N397" i="7" s="1"/>
  <c r="H397" i="7"/>
  <c r="I397" i="7" s="1"/>
  <c r="J397" i="7" s="1"/>
  <c r="K397" i="7" l="1"/>
  <c r="S398" i="7" s="1"/>
  <c r="P398" i="7"/>
  <c r="Q398" i="7"/>
  <c r="O397" i="7"/>
  <c r="T398" i="7" s="1"/>
  <c r="G398" i="7" l="1"/>
  <c r="R398" i="7"/>
  <c r="H398" i="7" l="1"/>
  <c r="I398" i="7" s="1"/>
  <c r="J398" i="7" s="1"/>
  <c r="L398" i="7"/>
  <c r="M398" i="7" s="1"/>
  <c r="N398" i="7" s="1"/>
  <c r="O398" i="7" l="1"/>
  <c r="T399" i="7" s="1"/>
  <c r="Q399" i="7"/>
  <c r="P399" i="7"/>
  <c r="K398" i="7"/>
  <c r="S399" i="7" s="1"/>
  <c r="R399" i="7" l="1"/>
  <c r="G399" i="7"/>
  <c r="H399" i="7" l="1"/>
  <c r="I399" i="7" s="1"/>
  <c r="J399" i="7" s="1"/>
  <c r="L399" i="7"/>
  <c r="M399" i="7" s="1"/>
  <c r="N399" i="7" s="1"/>
  <c r="Q400" i="7" l="1"/>
  <c r="O399" i="7"/>
  <c r="T400" i="7" s="1"/>
  <c r="P400" i="7"/>
  <c r="K399" i="7"/>
  <c r="S400" i="7" s="1"/>
  <c r="R400" i="7" l="1"/>
  <c r="G400" i="7"/>
  <c r="L400" i="7" l="1"/>
  <c r="M400" i="7" s="1"/>
  <c r="N400" i="7" s="1"/>
  <c r="H400" i="7"/>
  <c r="I400" i="7" s="1"/>
  <c r="J400" i="7" s="1"/>
  <c r="P401" i="7" l="1"/>
  <c r="K400" i="7"/>
  <c r="S401" i="7" s="1"/>
  <c r="Q401" i="7"/>
  <c r="O400" i="7"/>
  <c r="T401" i="7" s="1"/>
  <c r="R401" i="7" l="1"/>
  <c r="G401" i="7"/>
  <c r="H401" i="7" l="1"/>
  <c r="I401" i="7" s="1"/>
  <c r="J401" i="7" s="1"/>
  <c r="L401" i="7"/>
  <c r="M401" i="7" s="1"/>
  <c r="N401" i="7" s="1"/>
  <c r="Q402" i="7" l="1"/>
  <c r="O401" i="7"/>
  <c r="T402" i="7" s="1"/>
  <c r="K401" i="7"/>
  <c r="S402" i="7" s="1"/>
  <c r="P402" i="7"/>
  <c r="R402" i="7" l="1"/>
  <c r="G402" i="7"/>
  <c r="L402" i="7" l="1"/>
  <c r="M402" i="7" s="1"/>
  <c r="N402" i="7" s="1"/>
  <c r="H402" i="7"/>
  <c r="I402" i="7" s="1"/>
  <c r="J402" i="7" s="1"/>
  <c r="P403" i="7" l="1"/>
  <c r="K402" i="7"/>
  <c r="S403" i="7" s="1"/>
  <c r="Q403" i="7"/>
  <c r="O402" i="7"/>
  <c r="T403" i="7" s="1"/>
  <c r="G403" i="7" l="1"/>
  <c r="R403" i="7"/>
  <c r="H403" i="7" l="1"/>
  <c r="I403" i="7" s="1"/>
  <c r="J403" i="7" s="1"/>
  <c r="L403" i="7"/>
  <c r="M403" i="7" s="1"/>
  <c r="N403" i="7" s="1"/>
  <c r="O403" i="7" l="1"/>
  <c r="T404" i="7" s="1"/>
  <c r="Q404" i="7"/>
  <c r="P404" i="7"/>
  <c r="K403" i="7"/>
  <c r="S404" i="7" s="1"/>
  <c r="G404" i="7" l="1"/>
  <c r="R404" i="7"/>
  <c r="L404" i="7" l="1"/>
  <c r="M404" i="7" s="1"/>
  <c r="N404" i="7" s="1"/>
  <c r="H404" i="7"/>
  <c r="I404" i="7" s="1"/>
  <c r="J404" i="7" s="1"/>
  <c r="P405" i="7" l="1"/>
  <c r="K404" i="7"/>
  <c r="S405" i="7" s="1"/>
  <c r="Q405" i="7"/>
  <c r="O404" i="7"/>
  <c r="T405" i="7" s="1"/>
  <c r="R405" i="7" l="1"/>
  <c r="G405" i="7"/>
  <c r="L405" i="7" l="1"/>
  <c r="M405" i="7" s="1"/>
  <c r="N405" i="7" s="1"/>
  <c r="H405" i="7"/>
  <c r="I405" i="7" s="1"/>
  <c r="J405" i="7" s="1"/>
  <c r="P406" i="7" l="1"/>
  <c r="K405" i="7"/>
  <c r="S406" i="7" s="1"/>
  <c r="O405" i="7"/>
  <c r="T406" i="7" s="1"/>
  <c r="Q406" i="7"/>
  <c r="G406" i="7" l="1"/>
  <c r="R406" i="7"/>
  <c r="L406" i="7" l="1"/>
  <c r="M406" i="7" s="1"/>
  <c r="N406" i="7" s="1"/>
  <c r="H406" i="7"/>
  <c r="I406" i="7" s="1"/>
  <c r="J406" i="7" s="1"/>
  <c r="P407" i="7" l="1"/>
  <c r="K406" i="7"/>
  <c r="S407" i="7" s="1"/>
  <c r="Q407" i="7"/>
  <c r="O406" i="7"/>
  <c r="T407" i="7" s="1"/>
  <c r="G407" i="7" l="1"/>
  <c r="R407" i="7"/>
  <c r="L407" i="7" l="1"/>
  <c r="M407" i="7" s="1"/>
  <c r="N407" i="7" s="1"/>
  <c r="H407" i="7"/>
  <c r="I407" i="7" s="1"/>
  <c r="J407" i="7" s="1"/>
  <c r="K407" i="7" l="1"/>
  <c r="S408" i="7" s="1"/>
  <c r="P408" i="7"/>
  <c r="Q408" i="7"/>
  <c r="O407" i="7"/>
  <c r="T408" i="7" s="1"/>
  <c r="G408" i="7" l="1"/>
  <c r="R408" i="7"/>
  <c r="H408" i="7" l="1"/>
  <c r="I408" i="7" s="1"/>
  <c r="J408" i="7" s="1"/>
  <c r="L408" i="7"/>
  <c r="M408" i="7" s="1"/>
  <c r="N408" i="7" s="1"/>
  <c r="Q409" i="7" l="1"/>
  <c r="O408" i="7"/>
  <c r="T409" i="7" s="1"/>
  <c r="P409" i="7"/>
  <c r="K408" i="7"/>
  <c r="S409" i="7" s="1"/>
  <c r="G409" i="7" l="1"/>
  <c r="R409" i="7"/>
  <c r="H409" i="7" l="1"/>
  <c r="I409" i="7" s="1"/>
  <c r="J409" i="7" s="1"/>
  <c r="L409" i="7"/>
  <c r="M409" i="7" s="1"/>
  <c r="N409" i="7" s="1"/>
  <c r="O409" i="7" l="1"/>
  <c r="T410" i="7" s="1"/>
  <c r="Q410" i="7"/>
  <c r="P410" i="7"/>
  <c r="K409" i="7"/>
  <c r="S410" i="7" s="1"/>
  <c r="R410" i="7" l="1"/>
  <c r="G410" i="7"/>
  <c r="H410" i="7" l="1"/>
  <c r="I410" i="7" s="1"/>
  <c r="J410" i="7" s="1"/>
  <c r="L410" i="7"/>
  <c r="M410" i="7" s="1"/>
  <c r="N410" i="7" s="1"/>
  <c r="Q411" i="7" l="1"/>
  <c r="O410" i="7"/>
  <c r="T411" i="7" s="1"/>
  <c r="P411" i="7"/>
  <c r="K410" i="7"/>
  <c r="S411" i="7" s="1"/>
  <c r="G411" i="7" l="1"/>
  <c r="R411" i="7"/>
  <c r="H411" i="7" l="1"/>
  <c r="I411" i="7" s="1"/>
  <c r="J411" i="7" s="1"/>
  <c r="L411" i="7"/>
  <c r="M411" i="7" s="1"/>
  <c r="N411" i="7" s="1"/>
  <c r="O411" i="7" l="1"/>
  <c r="T412" i="7" s="1"/>
  <c r="Q412" i="7"/>
  <c r="K411" i="7"/>
  <c r="S412" i="7" s="1"/>
  <c r="P412" i="7"/>
  <c r="R412" i="7" l="1"/>
  <c r="G412" i="7"/>
  <c r="H412" i="7" l="1"/>
  <c r="I412" i="7" s="1"/>
  <c r="J412" i="7" s="1"/>
  <c r="L412" i="7"/>
  <c r="M412" i="7" s="1"/>
  <c r="N412" i="7" s="1"/>
  <c r="Q413" i="7" l="1"/>
  <c r="O412" i="7"/>
  <c r="T413" i="7" s="1"/>
  <c r="K412" i="7"/>
  <c r="S413" i="7" s="1"/>
  <c r="P413" i="7"/>
  <c r="G413" i="7" l="1"/>
  <c r="R413" i="7"/>
  <c r="H413" i="7" l="1"/>
  <c r="I413" i="7" s="1"/>
  <c r="J413" i="7" s="1"/>
  <c r="L413" i="7"/>
  <c r="M413" i="7" s="1"/>
  <c r="N413" i="7" s="1"/>
  <c r="O413" i="7" l="1"/>
  <c r="T414" i="7" s="1"/>
  <c r="Q414" i="7"/>
  <c r="K413" i="7"/>
  <c r="S414" i="7" s="1"/>
  <c r="P414" i="7"/>
  <c r="G414" i="7" l="1"/>
  <c r="R414" i="7"/>
  <c r="L414" i="7" l="1"/>
  <c r="M414" i="7" s="1"/>
  <c r="N414" i="7" s="1"/>
  <c r="H414" i="7"/>
  <c r="I414" i="7" s="1"/>
  <c r="J414" i="7" s="1"/>
  <c r="P415" i="7" l="1"/>
  <c r="K414" i="7"/>
  <c r="S415" i="7" s="1"/>
  <c r="O414" i="7"/>
  <c r="T415" i="7" s="1"/>
  <c r="Q415" i="7"/>
  <c r="R415" i="7" l="1"/>
  <c r="G415" i="7"/>
  <c r="L415" i="7" l="1"/>
  <c r="M415" i="7" s="1"/>
  <c r="N415" i="7" s="1"/>
  <c r="H415" i="7"/>
  <c r="I415" i="7" s="1"/>
  <c r="J415" i="7" s="1"/>
  <c r="K415" i="7" l="1"/>
  <c r="S416" i="7" s="1"/>
  <c r="P416" i="7"/>
  <c r="O415" i="7"/>
  <c r="T416" i="7" s="1"/>
  <c r="Q416" i="7"/>
  <c r="R416" i="7" l="1"/>
  <c r="G416" i="7"/>
  <c r="H416" i="7" l="1"/>
  <c r="I416" i="7" s="1"/>
  <c r="J416" i="7" s="1"/>
  <c r="L416" i="7"/>
  <c r="M416" i="7" s="1"/>
  <c r="N416" i="7" s="1"/>
  <c r="O416" i="7" l="1"/>
  <c r="T417" i="7" s="1"/>
  <c r="Q417" i="7"/>
  <c r="P417" i="7"/>
  <c r="K416" i="7"/>
  <c r="S417" i="7" s="1"/>
  <c r="G417" i="7" l="1"/>
  <c r="R417" i="7"/>
  <c r="L417" i="7" l="1"/>
  <c r="M417" i="7" s="1"/>
  <c r="N417" i="7" s="1"/>
  <c r="H417" i="7"/>
  <c r="I417" i="7" s="1"/>
  <c r="J417" i="7" s="1"/>
  <c r="P418" i="7" l="1"/>
  <c r="K417" i="7"/>
  <c r="S418" i="7" s="1"/>
  <c r="O417" i="7"/>
  <c r="T418" i="7" s="1"/>
  <c r="Q418" i="7"/>
  <c r="R418" i="7" l="1"/>
  <c r="G418" i="7"/>
  <c r="L418" i="7" l="1"/>
  <c r="M418" i="7" s="1"/>
  <c r="N418" i="7" s="1"/>
  <c r="H418" i="7"/>
  <c r="I418" i="7" s="1"/>
  <c r="J418" i="7" s="1"/>
  <c r="P419" i="7" l="1"/>
  <c r="K418" i="7"/>
  <c r="S419" i="7" s="1"/>
  <c r="O418" i="7"/>
  <c r="T419" i="7" s="1"/>
  <c r="Q419" i="7"/>
  <c r="G419" i="7" l="1"/>
  <c r="R419" i="7"/>
  <c r="L419" i="7" l="1"/>
  <c r="M419" i="7" s="1"/>
  <c r="N419" i="7" s="1"/>
  <c r="H419" i="7"/>
  <c r="I419" i="7" s="1"/>
  <c r="J419" i="7" s="1"/>
  <c r="P420" i="7" l="1"/>
  <c r="K419" i="7"/>
  <c r="S420" i="7" s="1"/>
  <c r="O419" i="7"/>
  <c r="T420" i="7" s="1"/>
  <c r="Q420" i="7"/>
  <c r="R420" i="7" l="1"/>
  <c r="G420" i="7"/>
  <c r="L420" i="7" l="1"/>
  <c r="M420" i="7" s="1"/>
  <c r="N420" i="7" s="1"/>
  <c r="H420" i="7"/>
  <c r="I420" i="7" s="1"/>
  <c r="J420" i="7" s="1"/>
  <c r="K420" i="7" l="1"/>
  <c r="S421" i="7" s="1"/>
  <c r="P421" i="7"/>
  <c r="O420" i="7"/>
  <c r="T421" i="7" s="1"/>
  <c r="Q421" i="7"/>
  <c r="R421" i="7" l="1"/>
  <c r="G421" i="7"/>
  <c r="H421" i="7" l="1"/>
  <c r="I421" i="7" s="1"/>
  <c r="J421" i="7" s="1"/>
  <c r="L421" i="7"/>
  <c r="M421" i="7" s="1"/>
  <c r="N421" i="7" s="1"/>
  <c r="Q422" i="7" l="1"/>
  <c r="O421" i="7"/>
  <c r="T422" i="7" s="1"/>
  <c r="P422" i="7"/>
  <c r="K421" i="7"/>
  <c r="S422" i="7" s="1"/>
  <c r="R422" i="7" l="1"/>
  <c r="G422" i="7"/>
  <c r="L422" i="7" l="1"/>
  <c r="M422" i="7" s="1"/>
  <c r="N422" i="7" s="1"/>
  <c r="H422" i="7"/>
  <c r="I422" i="7" s="1"/>
  <c r="J422" i="7" s="1"/>
  <c r="K422" i="7" l="1"/>
  <c r="S423" i="7" s="1"/>
  <c r="P423" i="7"/>
  <c r="Q423" i="7"/>
  <c r="O422" i="7"/>
  <c r="T423" i="7" s="1"/>
  <c r="R423" i="7" l="1"/>
  <c r="G423" i="7"/>
  <c r="H423" i="7" l="1"/>
  <c r="I423" i="7" s="1"/>
  <c r="J423" i="7" s="1"/>
  <c r="L423" i="7"/>
  <c r="M423" i="7" s="1"/>
  <c r="N423" i="7" s="1"/>
  <c r="O423" i="7" l="1"/>
  <c r="T424" i="7" s="1"/>
  <c r="Q424" i="7"/>
  <c r="K423" i="7"/>
  <c r="S424" i="7" s="1"/>
  <c r="P424" i="7"/>
  <c r="G424" i="7" l="1"/>
  <c r="R424" i="7"/>
  <c r="L424" i="7" l="1"/>
  <c r="M424" i="7" s="1"/>
  <c r="N424" i="7" s="1"/>
  <c r="H424" i="7"/>
  <c r="I424" i="7" s="1"/>
  <c r="J424" i="7" s="1"/>
  <c r="P425" i="7" l="1"/>
  <c r="K424" i="7"/>
  <c r="S425" i="7" s="1"/>
  <c r="Q425" i="7"/>
  <c r="O424" i="7"/>
  <c r="T425" i="7" s="1"/>
  <c r="G425" i="7" l="1"/>
  <c r="R425" i="7"/>
  <c r="H425" i="7" l="1"/>
  <c r="I425" i="7" s="1"/>
  <c r="J425" i="7" s="1"/>
  <c r="L425" i="7"/>
  <c r="M425" i="7" s="1"/>
  <c r="N425" i="7" s="1"/>
  <c r="O425" i="7" l="1"/>
  <c r="T426" i="7" s="1"/>
  <c r="Q426" i="7"/>
  <c r="K425" i="7"/>
  <c r="S426" i="7" s="1"/>
  <c r="P426" i="7"/>
  <c r="R426" i="7" l="1"/>
  <c r="G426" i="7"/>
  <c r="H426" i="7" l="1"/>
  <c r="I426" i="7" s="1"/>
  <c r="J426" i="7" s="1"/>
  <c r="L426" i="7"/>
  <c r="M426" i="7" s="1"/>
  <c r="N426" i="7" s="1"/>
  <c r="O426" i="7" l="1"/>
  <c r="T427" i="7" s="1"/>
  <c r="Q427" i="7"/>
  <c r="K426" i="7"/>
  <c r="S427" i="7" s="1"/>
  <c r="P427" i="7"/>
  <c r="R427" i="7" l="1"/>
  <c r="G427" i="7"/>
  <c r="L427" i="7" l="1"/>
  <c r="M427" i="7" s="1"/>
  <c r="N427" i="7" s="1"/>
  <c r="H427" i="7"/>
  <c r="I427" i="7" s="1"/>
  <c r="J427" i="7" s="1"/>
  <c r="K427" i="7" l="1"/>
  <c r="S428" i="7" s="1"/>
  <c r="P428" i="7"/>
  <c r="Q428" i="7"/>
  <c r="O427" i="7"/>
  <c r="T428" i="7" s="1"/>
  <c r="G428" i="7" l="1"/>
  <c r="R428" i="7"/>
  <c r="H428" i="7" l="1"/>
  <c r="I428" i="7" s="1"/>
  <c r="J428" i="7" s="1"/>
  <c r="L428" i="7"/>
  <c r="M428" i="7" s="1"/>
  <c r="N428" i="7" s="1"/>
  <c r="Q429" i="7" l="1"/>
  <c r="O428" i="7"/>
  <c r="T429" i="7" s="1"/>
  <c r="P429" i="7"/>
  <c r="K428" i="7"/>
  <c r="S429" i="7" s="1"/>
  <c r="R429" i="7" l="1"/>
  <c r="G429" i="7"/>
  <c r="L429" i="7" l="1"/>
  <c r="M429" i="7" s="1"/>
  <c r="N429" i="7" s="1"/>
  <c r="H429" i="7"/>
  <c r="I429" i="7" s="1"/>
  <c r="J429" i="7" s="1"/>
  <c r="P430" i="7" l="1"/>
  <c r="K429" i="7"/>
  <c r="S430" i="7" s="1"/>
  <c r="O429" i="7"/>
  <c r="T430" i="7" s="1"/>
  <c r="Q430" i="7"/>
  <c r="G430" i="7" l="1"/>
  <c r="R430" i="7"/>
  <c r="L430" i="7" l="1"/>
  <c r="M430" i="7" s="1"/>
  <c r="N430" i="7" s="1"/>
  <c r="H430" i="7"/>
  <c r="I430" i="7" s="1"/>
  <c r="J430" i="7" s="1"/>
  <c r="P431" i="7" l="1"/>
  <c r="K430" i="7"/>
  <c r="S431" i="7" s="1"/>
  <c r="Q431" i="7"/>
  <c r="O430" i="7"/>
  <c r="T431" i="7" s="1"/>
  <c r="G431" i="7" l="1"/>
  <c r="R431" i="7"/>
  <c r="H431" i="7" l="1"/>
  <c r="I431" i="7" s="1"/>
  <c r="J431" i="7" s="1"/>
  <c r="L431" i="7"/>
  <c r="M431" i="7" s="1"/>
  <c r="N431" i="7" s="1"/>
  <c r="Q432" i="7" l="1"/>
  <c r="O431" i="7"/>
  <c r="T432" i="7" s="1"/>
  <c r="P432" i="7"/>
  <c r="K431" i="7"/>
  <c r="S432" i="7" s="1"/>
  <c r="R432" i="7" l="1"/>
  <c r="G432" i="7"/>
  <c r="L432" i="7" l="1"/>
  <c r="M432" i="7" s="1"/>
  <c r="N432" i="7" s="1"/>
  <c r="H432" i="7"/>
  <c r="I432" i="7" s="1"/>
  <c r="J432" i="7" s="1"/>
  <c r="K432" i="7" l="1"/>
  <c r="S433" i="7" s="1"/>
  <c r="P433" i="7"/>
  <c r="O432" i="7"/>
  <c r="T433" i="7" s="1"/>
  <c r="Q433" i="7"/>
  <c r="R433" i="7" l="1"/>
  <c r="G433" i="7"/>
  <c r="L433" i="7" l="1"/>
  <c r="M433" i="7" s="1"/>
  <c r="N433" i="7" s="1"/>
  <c r="H433" i="7"/>
  <c r="I433" i="7" s="1"/>
  <c r="J433" i="7" s="1"/>
  <c r="P434" i="7" l="1"/>
  <c r="K433" i="7"/>
  <c r="S434" i="7" s="1"/>
  <c r="Q434" i="7"/>
  <c r="O433" i="7"/>
  <c r="T434" i="7" s="1"/>
  <c r="R434" i="7" l="1"/>
  <c r="G434" i="7"/>
  <c r="L434" i="7" l="1"/>
  <c r="M434" i="7" s="1"/>
  <c r="N434" i="7" s="1"/>
  <c r="H434" i="7"/>
  <c r="I434" i="7" s="1"/>
  <c r="J434" i="7" s="1"/>
  <c r="K434" i="7" l="1"/>
  <c r="S435" i="7" s="1"/>
  <c r="P435" i="7"/>
  <c r="O434" i="7"/>
  <c r="T435" i="7" s="1"/>
  <c r="Q435" i="7"/>
  <c r="G435" i="7" l="1"/>
  <c r="R435" i="7"/>
  <c r="L435" i="7" l="1"/>
  <c r="M435" i="7" s="1"/>
  <c r="N435" i="7" s="1"/>
  <c r="H435" i="7"/>
  <c r="I435" i="7" s="1"/>
  <c r="J435" i="7" s="1"/>
  <c r="K435" i="7" l="1"/>
  <c r="S436" i="7" s="1"/>
  <c r="P436" i="7"/>
  <c r="O435" i="7"/>
  <c r="T436" i="7" s="1"/>
  <c r="Q436" i="7"/>
  <c r="R436" i="7" l="1"/>
  <c r="G436" i="7"/>
  <c r="L436" i="7" l="1"/>
  <c r="M436" i="7" s="1"/>
  <c r="N436" i="7" s="1"/>
  <c r="H436" i="7"/>
  <c r="I436" i="7" s="1"/>
  <c r="J436" i="7" s="1"/>
  <c r="P437" i="7" l="1"/>
  <c r="K436" i="7"/>
  <c r="S437" i="7" s="1"/>
  <c r="O436" i="7"/>
  <c r="T437" i="7" s="1"/>
  <c r="Q437" i="7"/>
  <c r="G437" i="7" l="1"/>
  <c r="R437" i="7"/>
  <c r="L437" i="7" l="1"/>
  <c r="M437" i="7" s="1"/>
  <c r="N437" i="7" s="1"/>
  <c r="H437" i="7"/>
  <c r="I437" i="7" s="1"/>
  <c r="J437" i="7" s="1"/>
  <c r="P438" i="7" l="1"/>
  <c r="K437" i="7"/>
  <c r="S438" i="7" s="1"/>
  <c r="O437" i="7"/>
  <c r="T438" i="7" s="1"/>
  <c r="Q438" i="7"/>
  <c r="G438" i="7" l="1"/>
  <c r="R438" i="7"/>
  <c r="H438" i="7" l="1"/>
  <c r="I438" i="7" s="1"/>
  <c r="J438" i="7" s="1"/>
  <c r="L438" i="7"/>
  <c r="M438" i="7" s="1"/>
  <c r="N438" i="7" s="1"/>
  <c r="O438" i="7" l="1"/>
  <c r="T439" i="7" s="1"/>
  <c r="Q439" i="7"/>
  <c r="P439" i="7"/>
  <c r="K438" i="7"/>
  <c r="S439" i="7" s="1"/>
  <c r="R439" i="7" l="1"/>
  <c r="G439" i="7"/>
  <c r="H439" i="7" l="1"/>
  <c r="I439" i="7" s="1"/>
  <c r="J439" i="7" s="1"/>
  <c r="L439" i="7"/>
  <c r="M439" i="7" s="1"/>
  <c r="N439" i="7" s="1"/>
  <c r="Q440" i="7" l="1"/>
  <c r="O439" i="7"/>
  <c r="T440" i="7" s="1"/>
  <c r="P440" i="7"/>
  <c r="K439" i="7"/>
  <c r="S440" i="7" s="1"/>
  <c r="G440" i="7" l="1"/>
  <c r="R440" i="7"/>
  <c r="L440" i="7" l="1"/>
  <c r="M440" i="7" s="1"/>
  <c r="N440" i="7" s="1"/>
  <c r="H440" i="7"/>
  <c r="I440" i="7" s="1"/>
  <c r="J440" i="7" s="1"/>
  <c r="K440" i="7" l="1"/>
  <c r="S441" i="7" s="1"/>
  <c r="P441" i="7"/>
  <c r="O440" i="7"/>
  <c r="T441" i="7" s="1"/>
  <c r="Q441" i="7"/>
  <c r="G441" i="7" l="1"/>
  <c r="R441" i="7"/>
  <c r="L441" i="7" l="1"/>
  <c r="M441" i="7" s="1"/>
  <c r="N441" i="7" s="1"/>
  <c r="H441" i="7"/>
  <c r="I441" i="7" s="1"/>
  <c r="J441" i="7" s="1"/>
  <c r="K441" i="7" l="1"/>
  <c r="S442" i="7" s="1"/>
  <c r="P442" i="7"/>
  <c r="Q442" i="7"/>
  <c r="O441" i="7"/>
  <c r="T442" i="7" s="1"/>
  <c r="G442" i="7" l="1"/>
  <c r="R442" i="7"/>
  <c r="L442" i="7" l="1"/>
  <c r="M442" i="7" s="1"/>
  <c r="N442" i="7" s="1"/>
  <c r="H442" i="7"/>
  <c r="I442" i="7" s="1"/>
  <c r="J442" i="7" s="1"/>
  <c r="K442" i="7" l="1"/>
  <c r="S443" i="7" s="1"/>
  <c r="P443" i="7"/>
  <c r="Q443" i="7"/>
  <c r="O442" i="7"/>
  <c r="T443" i="7" s="1"/>
  <c r="R443" i="7" l="1"/>
  <c r="G443" i="7"/>
  <c r="H443" i="7" l="1"/>
  <c r="I443" i="7" s="1"/>
  <c r="J443" i="7" s="1"/>
  <c r="L443" i="7"/>
  <c r="M443" i="7" s="1"/>
  <c r="N443" i="7" s="1"/>
  <c r="O443" i="7" l="1"/>
  <c r="T444" i="7" s="1"/>
  <c r="Q444" i="7"/>
  <c r="P444" i="7"/>
  <c r="K443" i="7"/>
  <c r="S444" i="7" s="1"/>
  <c r="G444" i="7" l="1"/>
  <c r="R444" i="7"/>
  <c r="H444" i="7" l="1"/>
  <c r="I444" i="7" s="1"/>
  <c r="J444" i="7" s="1"/>
  <c r="L444" i="7"/>
  <c r="M444" i="7" s="1"/>
  <c r="N444" i="7" s="1"/>
  <c r="O444" i="7" l="1"/>
  <c r="T445" i="7" s="1"/>
  <c r="Q445" i="7"/>
  <c r="K444" i="7"/>
  <c r="S445" i="7" s="1"/>
  <c r="P445" i="7"/>
  <c r="G445" i="7" l="1"/>
  <c r="R445" i="7"/>
  <c r="H445" i="7" l="1"/>
  <c r="I445" i="7" s="1"/>
  <c r="J445" i="7" s="1"/>
  <c r="L445" i="7"/>
  <c r="M445" i="7" s="1"/>
  <c r="N445" i="7" s="1"/>
  <c r="Q446" i="7" l="1"/>
  <c r="O445" i="7"/>
  <c r="T446" i="7" s="1"/>
  <c r="P446" i="7"/>
  <c r="K445" i="7"/>
  <c r="S446" i="7" s="1"/>
  <c r="G446" i="7" l="1"/>
  <c r="R446" i="7"/>
  <c r="H446" i="7" l="1"/>
  <c r="I446" i="7" s="1"/>
  <c r="J446" i="7" s="1"/>
  <c r="L446" i="7"/>
  <c r="M446" i="7" s="1"/>
  <c r="N446" i="7" s="1"/>
  <c r="Q447" i="7" l="1"/>
  <c r="O446" i="7"/>
  <c r="T447" i="7" s="1"/>
  <c r="P447" i="7"/>
  <c r="K446" i="7"/>
  <c r="S447" i="7" s="1"/>
  <c r="G447" i="7" l="1"/>
  <c r="R447" i="7"/>
  <c r="H447" i="7" l="1"/>
  <c r="I447" i="7" s="1"/>
  <c r="J447" i="7" s="1"/>
  <c r="L447" i="7"/>
  <c r="M447" i="7" s="1"/>
  <c r="N447" i="7" s="1"/>
  <c r="Q448" i="7" l="1"/>
  <c r="O447" i="7"/>
  <c r="T448" i="7" s="1"/>
  <c r="K447" i="7"/>
  <c r="S448" i="7" s="1"/>
  <c r="P448" i="7"/>
  <c r="R448" i="7" l="1"/>
  <c r="G448" i="7"/>
  <c r="H448" i="7" l="1"/>
  <c r="I448" i="7" s="1"/>
  <c r="J448" i="7" s="1"/>
  <c r="L448" i="7"/>
  <c r="M448" i="7" s="1"/>
  <c r="N448" i="7" s="1"/>
  <c r="O448" i="7" l="1"/>
  <c r="T449" i="7" s="1"/>
  <c r="Q449" i="7"/>
  <c r="K448" i="7"/>
  <c r="S449" i="7" s="1"/>
  <c r="P449" i="7"/>
  <c r="G449" i="7" l="1"/>
  <c r="R449" i="7"/>
  <c r="H449" i="7" l="1"/>
  <c r="I449" i="7" s="1"/>
  <c r="J449" i="7" s="1"/>
  <c r="L449" i="7"/>
  <c r="M449" i="7" s="1"/>
  <c r="N449" i="7" s="1"/>
  <c r="Q450" i="7" l="1"/>
  <c r="O449" i="7"/>
  <c r="T450" i="7" s="1"/>
  <c r="K449" i="7"/>
  <c r="S450" i="7" s="1"/>
  <c r="P450" i="7"/>
  <c r="G450" i="7" l="1"/>
  <c r="R450" i="7"/>
  <c r="H450" i="7" l="1"/>
  <c r="I450" i="7" s="1"/>
  <c r="J450" i="7" s="1"/>
  <c r="L450" i="7"/>
  <c r="M450" i="7" s="1"/>
  <c r="N450" i="7" s="1"/>
  <c r="O450" i="7" l="1"/>
  <c r="T451" i="7" s="1"/>
  <c r="Q451" i="7"/>
  <c r="P451" i="7"/>
  <c r="K450" i="7"/>
  <c r="S451" i="7" s="1"/>
  <c r="R451" i="7" l="1"/>
  <c r="G451" i="7"/>
  <c r="H451" i="7" l="1"/>
  <c r="I451" i="7" s="1"/>
  <c r="J451" i="7" s="1"/>
  <c r="L451" i="7"/>
  <c r="M451" i="7" s="1"/>
  <c r="N451" i="7" s="1"/>
  <c r="O451" i="7" l="1"/>
  <c r="T452" i="7" s="1"/>
  <c r="Q452" i="7"/>
  <c r="K451" i="7"/>
  <c r="S452" i="7" s="1"/>
  <c r="P452" i="7"/>
  <c r="R452" i="7" l="1"/>
  <c r="G452" i="7"/>
  <c r="H452" i="7" l="1"/>
  <c r="I452" i="7" s="1"/>
  <c r="J452" i="7" s="1"/>
  <c r="L452" i="7"/>
  <c r="M452" i="7" s="1"/>
  <c r="N452" i="7" s="1"/>
  <c r="O452" i="7" l="1"/>
  <c r="T453" i="7" s="1"/>
  <c r="Q453" i="7"/>
  <c r="K452" i="7"/>
  <c r="S453" i="7" s="1"/>
  <c r="P453" i="7"/>
  <c r="G453" i="7" l="1"/>
  <c r="R453" i="7"/>
  <c r="L453" i="7" l="1"/>
  <c r="M453" i="7" s="1"/>
  <c r="N453" i="7" s="1"/>
  <c r="H453" i="7"/>
  <c r="I453" i="7" s="1"/>
  <c r="J453" i="7" s="1"/>
  <c r="K453" i="7" l="1"/>
  <c r="S454" i="7" s="1"/>
  <c r="P454" i="7"/>
  <c r="O453" i="7"/>
  <c r="T454" i="7" s="1"/>
  <c r="Q454" i="7"/>
  <c r="R454" i="7" l="1"/>
  <c r="G454" i="7"/>
  <c r="L454" i="7" l="1"/>
  <c r="M454" i="7" s="1"/>
  <c r="N454" i="7" s="1"/>
  <c r="H454" i="7"/>
  <c r="I454" i="7" s="1"/>
  <c r="J454" i="7" s="1"/>
  <c r="K454" i="7" l="1"/>
  <c r="S455" i="7" s="1"/>
  <c r="P455" i="7"/>
  <c r="Q455" i="7"/>
  <c r="O454" i="7"/>
  <c r="T455" i="7" s="1"/>
  <c r="R455" i="7" l="1"/>
  <c r="G455" i="7"/>
  <c r="L455" i="7" l="1"/>
  <c r="M455" i="7" s="1"/>
  <c r="N455" i="7" s="1"/>
  <c r="H455" i="7"/>
  <c r="I455" i="7" s="1"/>
  <c r="J455" i="7" s="1"/>
  <c r="K455" i="7" l="1"/>
  <c r="S456" i="7" s="1"/>
  <c r="P456" i="7"/>
  <c r="Q456" i="7"/>
  <c r="O455" i="7"/>
  <c r="T456" i="7" s="1"/>
  <c r="G456" i="7" l="1"/>
  <c r="R456" i="7"/>
  <c r="L456" i="7" l="1"/>
  <c r="M456" i="7" s="1"/>
  <c r="N456" i="7" s="1"/>
  <c r="H456" i="7"/>
  <c r="I456" i="7" s="1"/>
  <c r="J456" i="7" s="1"/>
  <c r="K456" i="7" l="1"/>
  <c r="S457" i="7" s="1"/>
  <c r="P457" i="7"/>
  <c r="Q457" i="7"/>
  <c r="O456" i="7"/>
  <c r="T457" i="7" s="1"/>
  <c r="G457" i="7" l="1"/>
  <c r="R457" i="7"/>
  <c r="H457" i="7" l="1"/>
  <c r="I457" i="7" s="1"/>
  <c r="J457" i="7" s="1"/>
  <c r="L457" i="7"/>
  <c r="M457" i="7" s="1"/>
  <c r="N457" i="7" s="1"/>
  <c r="O457" i="7" l="1"/>
  <c r="T458" i="7" s="1"/>
  <c r="Q458" i="7"/>
  <c r="K457" i="7"/>
  <c r="S458" i="7" s="1"/>
  <c r="P458" i="7"/>
  <c r="G458" i="7" l="1"/>
  <c r="R458" i="7"/>
  <c r="L458" i="7" l="1"/>
  <c r="M458" i="7" s="1"/>
  <c r="N458" i="7" s="1"/>
  <c r="H458" i="7"/>
  <c r="I458" i="7" s="1"/>
  <c r="J458" i="7" s="1"/>
  <c r="P459" i="7" l="1"/>
  <c r="K458" i="7"/>
  <c r="S459" i="7" s="1"/>
  <c r="Q459" i="7"/>
  <c r="O458" i="7"/>
  <c r="T459" i="7" s="1"/>
  <c r="G459" i="7" l="1"/>
  <c r="R459" i="7"/>
  <c r="H459" i="7" l="1"/>
  <c r="I459" i="7" s="1"/>
  <c r="J459" i="7" s="1"/>
  <c r="L459" i="7"/>
  <c r="M459" i="7" s="1"/>
  <c r="N459" i="7" s="1"/>
  <c r="Q460" i="7" l="1"/>
  <c r="O459" i="7"/>
  <c r="T460" i="7" s="1"/>
  <c r="K459" i="7"/>
  <c r="S460" i="7" s="1"/>
  <c r="P460" i="7"/>
  <c r="G460" i="7" l="1"/>
  <c r="R460" i="7"/>
  <c r="H460" i="7" l="1"/>
  <c r="I460" i="7" s="1"/>
  <c r="J460" i="7" s="1"/>
  <c r="L460" i="7"/>
  <c r="M460" i="7" s="1"/>
  <c r="N460" i="7" s="1"/>
  <c r="Q461" i="7" l="1"/>
  <c r="O460" i="7"/>
  <c r="T461" i="7" s="1"/>
  <c r="P461" i="7"/>
  <c r="K460" i="7"/>
  <c r="S461" i="7" s="1"/>
  <c r="R461" i="7" l="1"/>
  <c r="G461" i="7"/>
  <c r="L461" i="7" l="1"/>
  <c r="M461" i="7" s="1"/>
  <c r="N461" i="7" s="1"/>
  <c r="H461" i="7"/>
  <c r="I461" i="7" s="1"/>
  <c r="J461" i="7" s="1"/>
  <c r="K461" i="7" l="1"/>
  <c r="S462" i="7" s="1"/>
  <c r="P462" i="7"/>
  <c r="Q462" i="7"/>
  <c r="O461" i="7"/>
  <c r="T462" i="7" s="1"/>
  <c r="G462" i="7" l="1"/>
  <c r="R462" i="7"/>
  <c r="L462" i="7" l="1"/>
  <c r="M462" i="7" s="1"/>
  <c r="N462" i="7" s="1"/>
  <c r="H462" i="7"/>
  <c r="I462" i="7" s="1"/>
  <c r="J462" i="7" s="1"/>
  <c r="P463" i="7" l="1"/>
  <c r="K462" i="7"/>
  <c r="S463" i="7" s="1"/>
  <c r="O462" i="7"/>
  <c r="T463" i="7" s="1"/>
  <c r="Q463" i="7"/>
  <c r="R463" i="7" l="1"/>
  <c r="G463" i="7"/>
  <c r="L463" i="7" l="1"/>
  <c r="M463" i="7" s="1"/>
  <c r="N463" i="7" s="1"/>
  <c r="H463" i="7"/>
  <c r="I463" i="7" s="1"/>
  <c r="J463" i="7" s="1"/>
  <c r="P464" i="7" l="1"/>
  <c r="K463" i="7"/>
  <c r="S464" i="7" s="1"/>
  <c r="O463" i="7"/>
  <c r="T464" i="7" s="1"/>
  <c r="Q464" i="7"/>
  <c r="G464" i="7" l="1"/>
  <c r="R464" i="7"/>
  <c r="H464" i="7" l="1"/>
  <c r="I464" i="7" s="1"/>
  <c r="J464" i="7" s="1"/>
  <c r="L464" i="7"/>
  <c r="M464" i="7" s="1"/>
  <c r="N464" i="7" s="1"/>
  <c r="O464" i="7" l="1"/>
  <c r="T465" i="7" s="1"/>
  <c r="Q465" i="7"/>
  <c r="P465" i="7"/>
  <c r="K464" i="7"/>
  <c r="S465" i="7" s="1"/>
  <c r="R465" i="7" l="1"/>
  <c r="G465" i="7"/>
  <c r="L465" i="7" l="1"/>
  <c r="M465" i="7" s="1"/>
  <c r="N465" i="7" s="1"/>
  <c r="H465" i="7"/>
  <c r="I465" i="7" s="1"/>
  <c r="J465" i="7" s="1"/>
  <c r="K465" i="7" l="1"/>
  <c r="S466" i="7" s="1"/>
  <c r="P466" i="7"/>
  <c r="Q466" i="7"/>
  <c r="O465" i="7"/>
  <c r="T466" i="7" s="1"/>
  <c r="G466" i="7" l="1"/>
  <c r="R466" i="7"/>
  <c r="L466" i="7" l="1"/>
  <c r="M466" i="7" s="1"/>
  <c r="N466" i="7" s="1"/>
  <c r="H466" i="7"/>
  <c r="I466" i="7" s="1"/>
  <c r="J466" i="7" s="1"/>
  <c r="P467" i="7" l="1"/>
  <c r="K466" i="7"/>
  <c r="S467" i="7" s="1"/>
  <c r="O466" i="7"/>
  <c r="T467" i="7" s="1"/>
  <c r="Q467" i="7"/>
  <c r="R467" i="7" l="1"/>
  <c r="G467" i="7"/>
  <c r="H467" i="7" l="1"/>
  <c r="I467" i="7" s="1"/>
  <c r="J467" i="7" s="1"/>
  <c r="L467" i="7"/>
  <c r="M467" i="7" s="1"/>
  <c r="N467" i="7" s="1"/>
  <c r="Q468" i="7" l="1"/>
  <c r="O467" i="7"/>
  <c r="T468" i="7" s="1"/>
  <c r="P468" i="7"/>
  <c r="K467" i="7"/>
  <c r="S468" i="7" s="1"/>
  <c r="R468" i="7" l="1"/>
  <c r="G468" i="7"/>
  <c r="L468" i="7" l="1"/>
  <c r="M468" i="7" s="1"/>
  <c r="N468" i="7" s="1"/>
  <c r="H468" i="7"/>
  <c r="I468" i="7" s="1"/>
  <c r="J468" i="7" s="1"/>
  <c r="P469" i="7" l="1"/>
  <c r="K468" i="7"/>
  <c r="S469" i="7" s="1"/>
  <c r="O468" i="7"/>
  <c r="T469" i="7" s="1"/>
  <c r="Q469" i="7"/>
  <c r="R469" i="7" l="1"/>
  <c r="G469" i="7"/>
  <c r="L469" i="7" l="1"/>
  <c r="M469" i="7" s="1"/>
  <c r="N469" i="7" s="1"/>
  <c r="H469" i="7"/>
  <c r="I469" i="7" s="1"/>
  <c r="J469" i="7" s="1"/>
  <c r="P470" i="7" l="1"/>
  <c r="K469" i="7"/>
  <c r="S470" i="7" s="1"/>
  <c r="O469" i="7"/>
  <c r="T470" i="7" s="1"/>
  <c r="Q470" i="7"/>
  <c r="R470" i="7" l="1"/>
  <c r="G470" i="7"/>
  <c r="H470" i="7" l="1"/>
  <c r="I470" i="7" s="1"/>
  <c r="J470" i="7" s="1"/>
  <c r="L470" i="7"/>
  <c r="M470" i="7" s="1"/>
  <c r="N470" i="7" s="1"/>
  <c r="Q471" i="7" l="1"/>
  <c r="O470" i="7"/>
  <c r="T471" i="7" s="1"/>
  <c r="K470" i="7"/>
  <c r="S471" i="7" s="1"/>
  <c r="P471" i="7"/>
  <c r="R471" i="7" l="1"/>
  <c r="G471" i="7"/>
  <c r="L471" i="7" l="1"/>
  <c r="M471" i="7" s="1"/>
  <c r="N471" i="7" s="1"/>
  <c r="H471" i="7"/>
  <c r="I471" i="7" s="1"/>
  <c r="J471" i="7" s="1"/>
  <c r="P472" i="7" l="1"/>
  <c r="K471" i="7"/>
  <c r="S472" i="7" s="1"/>
  <c r="Q472" i="7"/>
  <c r="O471" i="7"/>
  <c r="T472" i="7" s="1"/>
  <c r="R472" i="7" l="1"/>
  <c r="G472" i="7"/>
  <c r="L472" i="7" l="1"/>
  <c r="M472" i="7" s="1"/>
  <c r="N472" i="7" s="1"/>
  <c r="H472" i="7"/>
  <c r="I472" i="7" s="1"/>
  <c r="J472" i="7" s="1"/>
  <c r="K472" i="7" l="1"/>
  <c r="S473" i="7" s="1"/>
  <c r="P473" i="7"/>
  <c r="O472" i="7"/>
  <c r="T473" i="7" s="1"/>
  <c r="Q473" i="7"/>
  <c r="R473" i="7" l="1"/>
  <c r="G473" i="7"/>
  <c r="L473" i="7" l="1"/>
  <c r="M473" i="7" s="1"/>
  <c r="N473" i="7" s="1"/>
  <c r="H473" i="7"/>
  <c r="I473" i="7" s="1"/>
  <c r="J473" i="7" s="1"/>
  <c r="P474" i="7" l="1"/>
  <c r="K473" i="7"/>
  <c r="S474" i="7" s="1"/>
  <c r="Q474" i="7"/>
  <c r="O473" i="7"/>
  <c r="T474" i="7" s="1"/>
  <c r="G474" i="7" l="1"/>
  <c r="R474" i="7"/>
  <c r="H474" i="7" l="1"/>
  <c r="I474" i="7" s="1"/>
  <c r="J474" i="7" s="1"/>
  <c r="L474" i="7"/>
  <c r="M474" i="7" s="1"/>
  <c r="N474" i="7" s="1"/>
  <c r="Q475" i="7" l="1"/>
  <c r="O474" i="7"/>
  <c r="T475" i="7" s="1"/>
  <c r="P475" i="7"/>
  <c r="K474" i="7"/>
  <c r="S475" i="7" s="1"/>
  <c r="G475" i="7" l="1"/>
  <c r="R475" i="7"/>
  <c r="H475" i="7" l="1"/>
  <c r="I475" i="7" s="1"/>
  <c r="J475" i="7" s="1"/>
  <c r="L475" i="7"/>
  <c r="M475" i="7" s="1"/>
  <c r="N475" i="7" s="1"/>
  <c r="O475" i="7" l="1"/>
  <c r="T476" i="7" s="1"/>
  <c r="Q476" i="7"/>
  <c r="K475" i="7"/>
  <c r="S476" i="7" s="1"/>
  <c r="P476" i="7"/>
  <c r="R476" i="7" l="1"/>
  <c r="G476" i="7"/>
  <c r="L476" i="7" l="1"/>
  <c r="M476" i="7" s="1"/>
  <c r="N476" i="7" s="1"/>
  <c r="H476" i="7"/>
  <c r="I476" i="7" s="1"/>
  <c r="J476" i="7" s="1"/>
  <c r="K476" i="7" l="1"/>
  <c r="S477" i="7" s="1"/>
  <c r="P477" i="7"/>
  <c r="O476" i="7"/>
  <c r="T477" i="7" s="1"/>
  <c r="Q477" i="7"/>
  <c r="R477" i="7" l="1"/>
  <c r="G477" i="7"/>
  <c r="H477" i="7" l="1"/>
  <c r="I477" i="7" s="1"/>
  <c r="J477" i="7" s="1"/>
  <c r="L477" i="7"/>
  <c r="M477" i="7" s="1"/>
  <c r="N477" i="7" s="1"/>
  <c r="Q478" i="7" l="1"/>
  <c r="O477" i="7"/>
  <c r="T478" i="7" s="1"/>
  <c r="P478" i="7"/>
  <c r="K477" i="7"/>
  <c r="S478" i="7" s="1"/>
  <c r="R478" i="7" l="1"/>
  <c r="G478" i="7"/>
  <c r="L478" i="7" l="1"/>
  <c r="M478" i="7" s="1"/>
  <c r="N478" i="7" s="1"/>
  <c r="H478" i="7"/>
  <c r="I478" i="7" s="1"/>
  <c r="J478" i="7" s="1"/>
  <c r="P479" i="7" l="1"/>
  <c r="K478" i="7"/>
  <c r="S479" i="7" s="1"/>
  <c r="Q479" i="7"/>
  <c r="O478" i="7"/>
  <c r="T479" i="7" s="1"/>
  <c r="G479" i="7" l="1"/>
  <c r="R479" i="7"/>
  <c r="L479" i="7" l="1"/>
  <c r="M479" i="7" s="1"/>
  <c r="N479" i="7" s="1"/>
  <c r="H479" i="7"/>
  <c r="I479" i="7" s="1"/>
  <c r="J479" i="7" s="1"/>
  <c r="P480" i="7" l="1"/>
  <c r="K479" i="7"/>
  <c r="S480" i="7" s="1"/>
  <c r="Q480" i="7"/>
  <c r="O479" i="7"/>
  <c r="T480" i="7" s="1"/>
  <c r="G480" i="7" l="1"/>
  <c r="R480" i="7"/>
  <c r="H480" i="7" l="1"/>
  <c r="I480" i="7" s="1"/>
  <c r="J480" i="7" s="1"/>
  <c r="L480" i="7"/>
  <c r="M480" i="7" s="1"/>
  <c r="N480" i="7" s="1"/>
  <c r="O480" i="7" l="1"/>
  <c r="T481" i="7" s="1"/>
  <c r="Q481" i="7"/>
  <c r="K480" i="7"/>
  <c r="S481" i="7" s="1"/>
  <c r="P481" i="7"/>
  <c r="R481" i="7" l="1"/>
  <c r="G481" i="7"/>
  <c r="L481" i="7" l="1"/>
  <c r="M481" i="7" s="1"/>
  <c r="N481" i="7" s="1"/>
  <c r="H481" i="7"/>
  <c r="I481" i="7" s="1"/>
  <c r="J481" i="7" s="1"/>
  <c r="K481" i="7" l="1"/>
  <c r="S482" i="7" s="1"/>
  <c r="P482" i="7"/>
  <c r="Q482" i="7"/>
  <c r="O481" i="7"/>
  <c r="T482" i="7" s="1"/>
  <c r="G482" i="7" l="1"/>
  <c r="R482" i="7"/>
  <c r="H482" i="7" l="1"/>
  <c r="I482" i="7" s="1"/>
  <c r="J482" i="7" s="1"/>
  <c r="L482" i="7"/>
  <c r="M482" i="7" s="1"/>
  <c r="N482" i="7" s="1"/>
  <c r="Q483" i="7" l="1"/>
  <c r="O482" i="7"/>
  <c r="T483" i="7" s="1"/>
  <c r="P483" i="7"/>
  <c r="K482" i="7"/>
  <c r="S483" i="7" s="1"/>
  <c r="G483" i="7" l="1"/>
  <c r="R483" i="7"/>
  <c r="H483" i="7" l="1"/>
  <c r="I483" i="7" s="1"/>
  <c r="J483" i="7" s="1"/>
  <c r="L483" i="7"/>
  <c r="M483" i="7" s="1"/>
  <c r="N483" i="7" s="1"/>
  <c r="Q484" i="7" l="1"/>
  <c r="O483" i="7"/>
  <c r="T484" i="7" s="1"/>
  <c r="P484" i="7"/>
  <c r="K483" i="7"/>
  <c r="S484" i="7" s="1"/>
  <c r="G484" i="7" l="1"/>
  <c r="R484" i="7"/>
  <c r="L484" i="7" l="1"/>
  <c r="M484" i="7" s="1"/>
  <c r="N484" i="7" s="1"/>
  <c r="H484" i="7"/>
  <c r="I484" i="7" s="1"/>
  <c r="J484" i="7" s="1"/>
  <c r="K484" i="7" l="1"/>
  <c r="S485" i="7" s="1"/>
  <c r="P485" i="7"/>
  <c r="O484" i="7"/>
  <c r="T485" i="7" s="1"/>
  <c r="Q485" i="7"/>
  <c r="R485" i="7" l="1"/>
  <c r="G485" i="7"/>
  <c r="L485" i="7" l="1"/>
  <c r="M485" i="7" s="1"/>
  <c r="N485" i="7" s="1"/>
  <c r="H485" i="7"/>
  <c r="I485" i="7" s="1"/>
  <c r="J485" i="7" s="1"/>
  <c r="K485" i="7" l="1"/>
  <c r="S486" i="7" s="1"/>
  <c r="P486" i="7"/>
  <c r="Q486" i="7"/>
  <c r="O485" i="7"/>
  <c r="T486" i="7" s="1"/>
  <c r="R486" i="7" l="1"/>
  <c r="G486" i="7"/>
  <c r="H486" i="7" l="1"/>
  <c r="I486" i="7" s="1"/>
  <c r="J486" i="7" s="1"/>
  <c r="L486" i="7"/>
  <c r="M486" i="7" s="1"/>
  <c r="N486" i="7" s="1"/>
  <c r="Q487" i="7" l="1"/>
  <c r="O486" i="7"/>
  <c r="T487" i="7" s="1"/>
  <c r="K486" i="7"/>
  <c r="S487" i="7" s="1"/>
  <c r="P487" i="7"/>
  <c r="G487" i="7" l="1"/>
  <c r="R487" i="7"/>
  <c r="L487" i="7" l="1"/>
  <c r="M487" i="7" s="1"/>
  <c r="N487" i="7" s="1"/>
  <c r="H487" i="7"/>
  <c r="I487" i="7" s="1"/>
  <c r="J487" i="7" s="1"/>
  <c r="P488" i="7" l="1"/>
  <c r="K487" i="7"/>
  <c r="S488" i="7" s="1"/>
  <c r="Q488" i="7"/>
  <c r="O487" i="7"/>
  <c r="T488" i="7" s="1"/>
  <c r="R488" i="7" l="1"/>
  <c r="G488" i="7"/>
  <c r="L488" i="7" l="1"/>
  <c r="M488" i="7" s="1"/>
  <c r="N488" i="7" s="1"/>
  <c r="H488" i="7"/>
  <c r="I488" i="7" s="1"/>
  <c r="J488" i="7" s="1"/>
  <c r="P489" i="7" l="1"/>
  <c r="K488" i="7"/>
  <c r="S489" i="7" s="1"/>
  <c r="O488" i="7"/>
  <c r="T489" i="7" s="1"/>
  <c r="Q489" i="7"/>
  <c r="G489" i="7" l="1"/>
  <c r="R489" i="7"/>
  <c r="H489" i="7" l="1"/>
  <c r="I489" i="7" s="1"/>
  <c r="J489" i="7" s="1"/>
  <c r="L489" i="7"/>
  <c r="M489" i="7" s="1"/>
  <c r="N489" i="7" s="1"/>
  <c r="Q490" i="7" l="1"/>
  <c r="O489" i="7"/>
  <c r="T490" i="7" s="1"/>
  <c r="P490" i="7"/>
  <c r="K489" i="7"/>
  <c r="S490" i="7" s="1"/>
  <c r="R490" i="7" l="1"/>
  <c r="G490" i="7"/>
  <c r="L490" i="7" l="1"/>
  <c r="M490" i="7" s="1"/>
  <c r="N490" i="7" s="1"/>
  <c r="H490" i="7"/>
  <c r="I490" i="7" s="1"/>
  <c r="J490" i="7" s="1"/>
  <c r="K490" i="7" l="1"/>
  <c r="S491" i="7" s="1"/>
  <c r="P491" i="7"/>
  <c r="O490" i="7"/>
  <c r="T491" i="7" s="1"/>
  <c r="Q491" i="7"/>
  <c r="R491" i="7" l="1"/>
  <c r="G491" i="7"/>
  <c r="H491" i="7" l="1"/>
  <c r="I491" i="7" s="1"/>
  <c r="J491" i="7" s="1"/>
  <c r="L491" i="7"/>
  <c r="M491" i="7" s="1"/>
  <c r="N491" i="7" s="1"/>
  <c r="Q492" i="7" l="1"/>
  <c r="O491" i="7"/>
  <c r="T492" i="7" s="1"/>
  <c r="K491" i="7"/>
  <c r="S492" i="7" s="1"/>
  <c r="P492" i="7"/>
  <c r="R492" i="7" l="1"/>
  <c r="G492" i="7"/>
  <c r="H492" i="7" l="1"/>
  <c r="I492" i="7" s="1"/>
  <c r="J492" i="7" s="1"/>
  <c r="L492" i="7"/>
  <c r="M492" i="7" s="1"/>
  <c r="N492" i="7" s="1"/>
  <c r="O492" i="7" l="1"/>
  <c r="T493" i="7" s="1"/>
  <c r="Q493" i="7"/>
  <c r="P493" i="7"/>
  <c r="K492" i="7"/>
  <c r="S493" i="7" s="1"/>
  <c r="G493" i="7" l="1"/>
  <c r="R493" i="7"/>
  <c r="L493" i="7" l="1"/>
  <c r="M493" i="7" s="1"/>
  <c r="N493" i="7" s="1"/>
  <c r="H493" i="7"/>
  <c r="I493" i="7" s="1"/>
  <c r="J493" i="7" s="1"/>
  <c r="P494" i="7" l="1"/>
  <c r="K493" i="7"/>
  <c r="S494" i="7" s="1"/>
  <c r="Q494" i="7"/>
  <c r="O493" i="7"/>
  <c r="T494" i="7" s="1"/>
  <c r="R494" i="7" l="1"/>
  <c r="G494" i="7"/>
  <c r="H494" i="7" l="1"/>
  <c r="I494" i="7" s="1"/>
  <c r="J494" i="7" s="1"/>
  <c r="L494" i="7"/>
  <c r="M494" i="7" s="1"/>
  <c r="N494" i="7" s="1"/>
  <c r="Q495" i="7" l="1"/>
  <c r="O494" i="7"/>
  <c r="T495" i="7" s="1"/>
  <c r="P495" i="7"/>
  <c r="K494" i="7"/>
  <c r="S495" i="7" s="1"/>
  <c r="G495" i="7" l="1"/>
  <c r="R495" i="7"/>
  <c r="H495" i="7" l="1"/>
  <c r="I495" i="7" s="1"/>
  <c r="J495" i="7" s="1"/>
  <c r="L495" i="7"/>
  <c r="M495" i="7" s="1"/>
  <c r="N495" i="7" s="1"/>
  <c r="O495" i="7" l="1"/>
  <c r="T496" i="7" s="1"/>
  <c r="Q496" i="7"/>
  <c r="P496" i="7"/>
  <c r="K495" i="7"/>
  <c r="S496" i="7" s="1"/>
  <c r="R496" i="7" l="1"/>
  <c r="G496" i="7"/>
  <c r="L496" i="7" l="1"/>
  <c r="M496" i="7" s="1"/>
  <c r="N496" i="7" s="1"/>
  <c r="H496" i="7"/>
  <c r="I496" i="7" s="1"/>
  <c r="J496" i="7" s="1"/>
  <c r="P497" i="7" l="1"/>
  <c r="K496" i="7"/>
  <c r="S497" i="7" s="1"/>
  <c r="Q497" i="7"/>
  <c r="O496" i="7"/>
  <c r="T497" i="7" s="1"/>
  <c r="R497" i="7" l="1"/>
  <c r="G497" i="7"/>
  <c r="L497" i="7" l="1"/>
  <c r="M497" i="7" s="1"/>
  <c r="N497" i="7" s="1"/>
  <c r="H497" i="7"/>
  <c r="I497" i="7" s="1"/>
  <c r="J497" i="7" s="1"/>
  <c r="K497" i="7" l="1"/>
  <c r="S498" i="7" s="1"/>
  <c r="P498" i="7"/>
  <c r="Q498" i="7"/>
  <c r="O497" i="7"/>
  <c r="T498" i="7" s="1"/>
  <c r="G498" i="7" l="1"/>
  <c r="R498" i="7"/>
  <c r="H498" i="7" l="1"/>
  <c r="I498" i="7" s="1"/>
  <c r="J498" i="7" s="1"/>
  <c r="L498" i="7"/>
  <c r="M498" i="7" s="1"/>
  <c r="N498" i="7" s="1"/>
  <c r="O498" i="7" l="1"/>
  <c r="T499" i="7" s="1"/>
  <c r="Q499" i="7"/>
  <c r="P499" i="7"/>
  <c r="K498" i="7"/>
  <c r="S499" i="7" s="1"/>
  <c r="R499" i="7" l="1"/>
  <c r="G499" i="7"/>
  <c r="L499" i="7" l="1"/>
  <c r="M499" i="7" s="1"/>
  <c r="N499" i="7" s="1"/>
  <c r="H499" i="7"/>
  <c r="I499" i="7" s="1"/>
  <c r="J499" i="7" s="1"/>
  <c r="K499" i="7" l="1"/>
  <c r="S500" i="7" s="1"/>
  <c r="P500" i="7"/>
  <c r="O499" i="7"/>
  <c r="T500" i="7" s="1"/>
  <c r="Q500" i="7"/>
  <c r="G500" i="7" l="1"/>
  <c r="R500" i="7"/>
  <c r="L500" i="7" l="1"/>
  <c r="M500" i="7" s="1"/>
  <c r="N500" i="7" s="1"/>
  <c r="H500" i="7"/>
  <c r="I500" i="7" s="1"/>
  <c r="J500" i="7" s="1"/>
  <c r="K500" i="7" l="1"/>
  <c r="S501" i="7" s="1"/>
  <c r="P501" i="7"/>
  <c r="O500" i="7"/>
  <c r="T501" i="7" s="1"/>
  <c r="Q501" i="7"/>
  <c r="G501" i="7" l="1"/>
  <c r="R501" i="7"/>
  <c r="L501" i="7" l="1"/>
  <c r="M501" i="7" s="1"/>
  <c r="N501" i="7" s="1"/>
  <c r="H501" i="7"/>
  <c r="I501" i="7" s="1"/>
  <c r="J501" i="7" s="1"/>
  <c r="P502" i="7" l="1"/>
  <c r="K501" i="7"/>
  <c r="S502" i="7" s="1"/>
  <c r="Q502" i="7"/>
  <c r="O501" i="7"/>
  <c r="T502" i="7" s="1"/>
  <c r="R502" i="7" l="1"/>
  <c r="G502" i="7"/>
  <c r="L502" i="7" l="1"/>
  <c r="M502" i="7" s="1"/>
  <c r="N502" i="7" s="1"/>
  <c r="H502" i="7"/>
  <c r="I502" i="7" s="1"/>
  <c r="J502" i="7" s="1"/>
  <c r="P503" i="7" l="1"/>
  <c r="K502" i="7"/>
  <c r="S503" i="7" s="1"/>
  <c r="Q503" i="7"/>
  <c r="O502" i="7"/>
  <c r="T503" i="7" s="1"/>
  <c r="G503" i="7" l="1"/>
  <c r="R503" i="7"/>
  <c r="L503" i="7" l="1"/>
  <c r="M503" i="7" s="1"/>
  <c r="N503" i="7" s="1"/>
  <c r="H503" i="7"/>
  <c r="I503" i="7" s="1"/>
  <c r="J503" i="7" s="1"/>
  <c r="K503" i="7" l="1"/>
  <c r="S504" i="7" s="1"/>
  <c r="P504" i="7"/>
  <c r="O503" i="7"/>
  <c r="T504" i="7" s="1"/>
  <c r="Q504" i="7"/>
  <c r="G504" i="7" l="1"/>
  <c r="R504" i="7"/>
  <c r="L504" i="7" l="1"/>
  <c r="M504" i="7" s="1"/>
  <c r="N504" i="7" s="1"/>
  <c r="H504" i="7"/>
  <c r="I504" i="7" s="1"/>
  <c r="J504" i="7" s="1"/>
  <c r="K504" i="7" l="1"/>
  <c r="S505" i="7" s="1"/>
  <c r="P505" i="7"/>
  <c r="Q505" i="7"/>
  <c r="O504" i="7"/>
  <c r="T505" i="7" s="1"/>
  <c r="R505" i="7" l="1"/>
  <c r="G505" i="7"/>
  <c r="H505" i="7" l="1"/>
  <c r="I505" i="7" s="1"/>
  <c r="J505" i="7" s="1"/>
  <c r="L505" i="7"/>
  <c r="M505" i="7" s="1"/>
  <c r="N505" i="7" s="1"/>
  <c r="O505" i="7" l="1"/>
  <c r="T506" i="7" s="1"/>
  <c r="Q506" i="7"/>
  <c r="P506" i="7"/>
  <c r="K505" i="7"/>
  <c r="S506" i="7" s="1"/>
  <c r="R506" i="7" l="1"/>
  <c r="G506" i="7"/>
  <c r="L506" i="7" l="1"/>
  <c r="M506" i="7" s="1"/>
  <c r="N506" i="7" s="1"/>
  <c r="H506" i="7"/>
  <c r="I506" i="7" s="1"/>
  <c r="J506" i="7" s="1"/>
  <c r="P507" i="7" l="1"/>
  <c r="K506" i="7"/>
  <c r="S507" i="7" s="1"/>
  <c r="Q507" i="7"/>
  <c r="O506" i="7"/>
  <c r="T507" i="7" s="1"/>
  <c r="G507" i="7" l="1"/>
  <c r="R507" i="7"/>
  <c r="H507" i="7" l="1"/>
  <c r="I507" i="7" s="1"/>
  <c r="J507" i="7" s="1"/>
  <c r="L507" i="7"/>
  <c r="M507" i="7" s="1"/>
  <c r="N507" i="7" s="1"/>
  <c r="O507" i="7" l="1"/>
  <c r="T508" i="7" s="1"/>
  <c r="Q508" i="7"/>
  <c r="K507" i="7"/>
  <c r="S508" i="7" s="1"/>
  <c r="P508" i="7"/>
  <c r="R508" i="7" l="1"/>
  <c r="G508" i="7"/>
  <c r="L508" i="7" l="1"/>
  <c r="M508" i="7" s="1"/>
  <c r="N508" i="7" s="1"/>
  <c r="H508" i="7"/>
  <c r="I508" i="7" s="1"/>
  <c r="J508" i="7" s="1"/>
  <c r="K508" i="7" l="1"/>
  <c r="S509" i="7" s="1"/>
  <c r="P509" i="7"/>
  <c r="Q509" i="7"/>
  <c r="O508" i="7"/>
  <c r="T509" i="7" s="1"/>
  <c r="R509" i="7" l="1"/>
  <c r="G509" i="7"/>
  <c r="H509" i="7" l="1"/>
  <c r="I509" i="7" s="1"/>
  <c r="J509" i="7" s="1"/>
  <c r="L509" i="7"/>
  <c r="M509" i="7" s="1"/>
  <c r="N509" i="7" s="1"/>
  <c r="O509" i="7" l="1"/>
  <c r="T510" i="7" s="1"/>
  <c r="Q510" i="7"/>
  <c r="P510" i="7"/>
  <c r="K509" i="7"/>
  <c r="S510" i="7" s="1"/>
  <c r="R510" i="7" l="1"/>
  <c r="G510" i="7"/>
  <c r="L510" i="7" l="1"/>
  <c r="M510" i="7" s="1"/>
  <c r="N510" i="7" s="1"/>
  <c r="H510" i="7"/>
  <c r="I510" i="7" s="1"/>
  <c r="J510" i="7" s="1"/>
  <c r="K510" i="7" l="1"/>
  <c r="S511" i="7" s="1"/>
  <c r="P511" i="7"/>
  <c r="Q511" i="7"/>
  <c r="O510" i="7"/>
  <c r="T511" i="7" s="1"/>
  <c r="R511" i="7" l="1"/>
  <c r="G511" i="7"/>
  <c r="L511" i="7" l="1"/>
  <c r="M511" i="7" s="1"/>
  <c r="N511" i="7" s="1"/>
  <c r="H511" i="7"/>
  <c r="I511" i="7" s="1"/>
  <c r="J511" i="7" s="1"/>
  <c r="K511" i="7" l="1"/>
  <c r="S512" i="7" s="1"/>
  <c r="P512" i="7"/>
  <c r="O511" i="7"/>
  <c r="T512" i="7" s="1"/>
  <c r="Q512" i="7"/>
  <c r="G512" i="7" l="1"/>
  <c r="R512" i="7"/>
  <c r="H512" i="7" l="1"/>
  <c r="I512" i="7" s="1"/>
  <c r="J512" i="7" s="1"/>
  <c r="L512" i="7"/>
  <c r="M512" i="7" s="1"/>
  <c r="N512" i="7" s="1"/>
  <c r="Q513" i="7" l="1"/>
  <c r="O512" i="7"/>
  <c r="T513" i="7" s="1"/>
  <c r="K512" i="7"/>
  <c r="S513" i="7" s="1"/>
  <c r="P513" i="7"/>
  <c r="G513" i="7" l="1"/>
  <c r="R513" i="7"/>
  <c r="L513" i="7" l="1"/>
  <c r="M513" i="7" s="1"/>
  <c r="N513" i="7" s="1"/>
  <c r="H513" i="7"/>
  <c r="I513" i="7" s="1"/>
  <c r="J513" i="7" s="1"/>
  <c r="K513" i="7" l="1"/>
  <c r="S514" i="7" s="1"/>
  <c r="P514" i="7"/>
  <c r="O513" i="7"/>
  <c r="T514" i="7" s="1"/>
  <c r="Q514" i="7"/>
  <c r="G514" i="7" l="1"/>
  <c r="R514" i="7"/>
  <c r="L514" i="7" l="1"/>
  <c r="M514" i="7" s="1"/>
  <c r="N514" i="7" s="1"/>
  <c r="H514" i="7"/>
  <c r="I514" i="7" s="1"/>
  <c r="J514" i="7" s="1"/>
  <c r="P515" i="7" l="1"/>
  <c r="K514" i="7"/>
  <c r="S515" i="7" s="1"/>
  <c r="O514" i="7"/>
  <c r="T515" i="7" s="1"/>
  <c r="Q515" i="7"/>
  <c r="G515" i="7" l="1"/>
  <c r="R515" i="7"/>
  <c r="H515" i="7" l="1"/>
  <c r="I515" i="7" s="1"/>
  <c r="J515" i="7" s="1"/>
  <c r="L515" i="7"/>
  <c r="M515" i="7" s="1"/>
  <c r="N515" i="7" s="1"/>
  <c r="Q516" i="7" l="1"/>
  <c r="O515" i="7"/>
  <c r="T516" i="7" s="1"/>
  <c r="K515" i="7"/>
  <c r="S516" i="7" s="1"/>
  <c r="P516" i="7"/>
  <c r="R516" i="7" l="1"/>
  <c r="G516" i="7"/>
  <c r="H516" i="7" l="1"/>
  <c r="I516" i="7" s="1"/>
  <c r="J516" i="7" s="1"/>
  <c r="L516" i="7"/>
  <c r="M516" i="7" s="1"/>
  <c r="N516" i="7" s="1"/>
  <c r="O516" i="7" l="1"/>
  <c r="T517" i="7" s="1"/>
  <c r="Q517" i="7"/>
  <c r="P517" i="7"/>
  <c r="K516" i="7"/>
  <c r="S517" i="7" s="1"/>
  <c r="R517" i="7" l="1"/>
  <c r="G517" i="7"/>
  <c r="H517" i="7" l="1"/>
  <c r="I517" i="7" s="1"/>
  <c r="J517" i="7" s="1"/>
  <c r="L517" i="7"/>
  <c r="M517" i="7" s="1"/>
  <c r="N517" i="7" s="1"/>
  <c r="O517" i="7" l="1"/>
  <c r="T518" i="7" s="1"/>
  <c r="Q518" i="7"/>
  <c r="P518" i="7"/>
  <c r="K517" i="7"/>
  <c r="S518" i="7" s="1"/>
  <c r="R518" i="7" l="1"/>
  <c r="G518" i="7"/>
  <c r="H518" i="7" l="1"/>
  <c r="I518" i="7" s="1"/>
  <c r="J518" i="7" s="1"/>
  <c r="L518" i="7"/>
  <c r="M518" i="7" s="1"/>
  <c r="N518" i="7" s="1"/>
  <c r="O518" i="7" l="1"/>
  <c r="T519" i="7" s="1"/>
  <c r="Q519" i="7"/>
  <c r="P519" i="7"/>
  <c r="K518" i="7"/>
  <c r="S519" i="7" s="1"/>
  <c r="R519" i="7" l="1"/>
  <c r="G519" i="7"/>
  <c r="L519" i="7" l="1"/>
  <c r="M519" i="7" s="1"/>
  <c r="N519" i="7" s="1"/>
  <c r="H519" i="7"/>
  <c r="I519" i="7" s="1"/>
  <c r="J519" i="7" s="1"/>
  <c r="P520" i="7" l="1"/>
  <c r="K519" i="7"/>
  <c r="S520" i="7" s="1"/>
  <c r="O519" i="7"/>
  <c r="T520" i="7" s="1"/>
  <c r="Q520" i="7"/>
  <c r="R520" i="7" l="1"/>
  <c r="G520" i="7"/>
  <c r="L520" i="7" l="1"/>
  <c r="M520" i="7" s="1"/>
  <c r="N520" i="7" s="1"/>
  <c r="H520" i="7"/>
  <c r="I520" i="7" s="1"/>
  <c r="J520" i="7" s="1"/>
  <c r="P521" i="7" l="1"/>
  <c r="K520" i="7"/>
  <c r="S521" i="7" s="1"/>
  <c r="O520" i="7"/>
  <c r="T521" i="7" s="1"/>
  <c r="Q521" i="7"/>
  <c r="R521" i="7" l="1"/>
  <c r="G521" i="7"/>
  <c r="L521" i="7" l="1"/>
  <c r="M521" i="7" s="1"/>
  <c r="N521" i="7" s="1"/>
  <c r="H521" i="7"/>
  <c r="I521" i="7" s="1"/>
  <c r="J521" i="7" s="1"/>
  <c r="K521" i="7" l="1"/>
  <c r="S522" i="7" s="1"/>
  <c r="P522" i="7"/>
  <c r="Q522" i="7"/>
  <c r="O521" i="7"/>
  <c r="T522" i="7" s="1"/>
  <c r="R522" i="7" l="1"/>
  <c r="G522" i="7"/>
  <c r="H522" i="7" l="1"/>
  <c r="I522" i="7" s="1"/>
  <c r="J522" i="7" s="1"/>
  <c r="L522" i="7"/>
  <c r="M522" i="7" s="1"/>
  <c r="N522" i="7" s="1"/>
  <c r="Q523" i="7" l="1"/>
  <c r="O522" i="7"/>
  <c r="T523" i="7" s="1"/>
  <c r="P523" i="7"/>
  <c r="K522" i="7"/>
  <c r="S523" i="7" s="1"/>
  <c r="R523" i="7" l="1"/>
  <c r="G523" i="7"/>
  <c r="L523" i="7" l="1"/>
  <c r="M523" i="7" s="1"/>
  <c r="N523" i="7" s="1"/>
  <c r="H523" i="7"/>
  <c r="I523" i="7" s="1"/>
  <c r="J523" i="7" s="1"/>
  <c r="P524" i="7" l="1"/>
  <c r="K523" i="7"/>
  <c r="S524" i="7" s="1"/>
  <c r="Q524" i="7"/>
  <c r="O523" i="7"/>
  <c r="T524" i="7" s="1"/>
  <c r="G524" i="7" l="1"/>
  <c r="R524" i="7"/>
  <c r="H524" i="7" l="1"/>
  <c r="I524" i="7" s="1"/>
  <c r="J524" i="7" s="1"/>
  <c r="L524" i="7"/>
  <c r="M524" i="7" s="1"/>
  <c r="N524" i="7" s="1"/>
  <c r="O524" i="7" l="1"/>
  <c r="T525" i="7" s="1"/>
  <c r="Q525" i="7"/>
  <c r="P525" i="7"/>
  <c r="K524" i="7"/>
  <c r="S525" i="7" s="1"/>
  <c r="R525" i="7" l="1"/>
  <c r="G525" i="7"/>
  <c r="H525" i="7" l="1"/>
  <c r="I525" i="7" s="1"/>
  <c r="J525" i="7" s="1"/>
  <c r="L525" i="7"/>
  <c r="M525" i="7" s="1"/>
  <c r="N525" i="7" s="1"/>
  <c r="O525" i="7" l="1"/>
  <c r="T526" i="7" s="1"/>
  <c r="Q526" i="7"/>
  <c r="P526" i="7"/>
  <c r="K525" i="7"/>
  <c r="S526" i="7" s="1"/>
  <c r="R526" i="7" l="1"/>
  <c r="G526" i="7"/>
  <c r="H526" i="7" l="1"/>
  <c r="I526" i="7" s="1"/>
  <c r="J526" i="7" s="1"/>
  <c r="L526" i="7"/>
  <c r="M526" i="7" s="1"/>
  <c r="N526" i="7" s="1"/>
  <c r="O526" i="7" l="1"/>
  <c r="T527" i="7" s="1"/>
  <c r="Q527" i="7"/>
  <c r="P527" i="7"/>
  <c r="K526" i="7"/>
  <c r="S527" i="7" s="1"/>
  <c r="G527" i="7" l="1"/>
  <c r="R527" i="7"/>
  <c r="L527" i="7" l="1"/>
  <c r="M527" i="7" s="1"/>
  <c r="N527" i="7" s="1"/>
  <c r="H527" i="7"/>
  <c r="I527" i="7" s="1"/>
  <c r="J527" i="7" s="1"/>
  <c r="K527" i="7" l="1"/>
  <c r="S528" i="7" s="1"/>
  <c r="P528" i="7"/>
  <c r="Q528" i="7"/>
  <c r="O527" i="7"/>
  <c r="T528" i="7" s="1"/>
  <c r="G528" i="7" l="1"/>
  <c r="R528" i="7"/>
  <c r="L528" i="7" l="1"/>
  <c r="M528" i="7" s="1"/>
  <c r="N528" i="7" s="1"/>
  <c r="H528" i="7"/>
  <c r="I528" i="7" s="1"/>
  <c r="J528" i="7" s="1"/>
  <c r="P529" i="7" l="1"/>
  <c r="K528" i="7"/>
  <c r="S529" i="7" s="1"/>
  <c r="O528" i="7"/>
  <c r="T529" i="7" s="1"/>
  <c r="Q529" i="7"/>
  <c r="R529" i="7" l="1"/>
  <c r="G529" i="7"/>
  <c r="L529" i="7" l="1"/>
  <c r="M529" i="7" s="1"/>
  <c r="N529" i="7" s="1"/>
  <c r="H529" i="7"/>
  <c r="I529" i="7" s="1"/>
  <c r="J529" i="7" s="1"/>
  <c r="K529" i="7" l="1"/>
  <c r="S530" i="7" s="1"/>
  <c r="P530" i="7"/>
  <c r="O529" i="7"/>
  <c r="T530" i="7" s="1"/>
  <c r="Q530" i="7"/>
  <c r="G530" i="7" l="1"/>
  <c r="R530" i="7"/>
  <c r="H530" i="7" l="1"/>
  <c r="I530" i="7" s="1"/>
  <c r="J530" i="7" s="1"/>
  <c r="L530" i="7"/>
  <c r="M530" i="7" s="1"/>
  <c r="N530" i="7" s="1"/>
  <c r="O530" i="7" l="1"/>
  <c r="T531" i="7" s="1"/>
  <c r="Q531" i="7"/>
  <c r="P531" i="7"/>
  <c r="K530" i="7"/>
  <c r="S531" i="7" s="1"/>
  <c r="G531" i="7" l="1"/>
  <c r="R531" i="7"/>
  <c r="H531" i="7" l="1"/>
  <c r="I531" i="7" s="1"/>
  <c r="J531" i="7" s="1"/>
  <c r="L531" i="7"/>
  <c r="M531" i="7" s="1"/>
  <c r="N531" i="7" s="1"/>
  <c r="Q532" i="7" l="1"/>
  <c r="O531" i="7"/>
  <c r="T532" i="7" s="1"/>
  <c r="K531" i="7"/>
  <c r="S532" i="7" s="1"/>
  <c r="P532" i="7"/>
  <c r="R532" i="7" l="1"/>
  <c r="G532" i="7"/>
  <c r="H532" i="7" l="1"/>
  <c r="I532" i="7" s="1"/>
  <c r="J532" i="7" s="1"/>
  <c r="L532" i="7"/>
  <c r="M532" i="7" s="1"/>
  <c r="N532" i="7" s="1"/>
  <c r="O532" i="7" l="1"/>
  <c r="T533" i="7" s="1"/>
  <c r="Q533" i="7"/>
  <c r="K532" i="7"/>
  <c r="S533" i="7" s="1"/>
  <c r="P533" i="7"/>
  <c r="R533" i="7" l="1"/>
  <c r="G533" i="7"/>
  <c r="H533" i="7" l="1"/>
  <c r="I533" i="7" s="1"/>
  <c r="J533" i="7" s="1"/>
  <c r="L533" i="7"/>
  <c r="M533" i="7" s="1"/>
  <c r="N533" i="7" s="1"/>
  <c r="Q534" i="7" l="1"/>
  <c r="O533" i="7"/>
  <c r="T534" i="7" s="1"/>
  <c r="K533" i="7"/>
  <c r="S534" i="7" s="1"/>
  <c r="P534" i="7"/>
  <c r="R534" i="7" l="1"/>
  <c r="G534" i="7"/>
  <c r="H534" i="7" l="1"/>
  <c r="I534" i="7" s="1"/>
  <c r="J534" i="7" s="1"/>
  <c r="L534" i="7"/>
  <c r="M534" i="7" s="1"/>
  <c r="N534" i="7" s="1"/>
  <c r="Q535" i="7" l="1"/>
  <c r="O534" i="7"/>
  <c r="T535" i="7" s="1"/>
  <c r="K534" i="7"/>
  <c r="S535" i="7" s="1"/>
  <c r="P535" i="7"/>
  <c r="R535" i="7" l="1"/>
  <c r="G535" i="7"/>
  <c r="L535" i="7" l="1"/>
  <c r="M535" i="7" s="1"/>
  <c r="N535" i="7" s="1"/>
  <c r="H535" i="7"/>
  <c r="I535" i="7" s="1"/>
  <c r="J535" i="7" s="1"/>
  <c r="P536" i="7" l="1"/>
  <c r="K535" i="7"/>
  <c r="S536" i="7" s="1"/>
  <c r="O535" i="7"/>
  <c r="T536" i="7" s="1"/>
  <c r="Q536" i="7"/>
  <c r="G536" i="7" l="1"/>
  <c r="R536" i="7"/>
  <c r="H536" i="7" l="1"/>
  <c r="I536" i="7" s="1"/>
  <c r="J536" i="7" s="1"/>
  <c r="L536" i="7"/>
  <c r="M536" i="7" s="1"/>
  <c r="N536" i="7" s="1"/>
  <c r="Q537" i="7" l="1"/>
  <c r="O536" i="7"/>
  <c r="T537" i="7" s="1"/>
  <c r="P537" i="7"/>
  <c r="K536" i="7"/>
  <c r="S537" i="7" s="1"/>
  <c r="G537" i="7" l="1"/>
  <c r="R537" i="7"/>
  <c r="L537" i="7" l="1"/>
  <c r="M537" i="7" s="1"/>
  <c r="N537" i="7" s="1"/>
  <c r="H537" i="7"/>
  <c r="I537" i="7" s="1"/>
  <c r="J537" i="7" s="1"/>
  <c r="K537" i="7" l="1"/>
  <c r="S538" i="7" s="1"/>
  <c r="P538" i="7"/>
  <c r="O537" i="7"/>
  <c r="T538" i="7" s="1"/>
  <c r="Q538" i="7"/>
  <c r="G538" i="7" l="1"/>
  <c r="R538" i="7"/>
  <c r="L538" i="7" l="1"/>
  <c r="M538" i="7" s="1"/>
  <c r="N538" i="7" s="1"/>
  <c r="H538" i="7"/>
  <c r="I538" i="7" s="1"/>
  <c r="J538" i="7" s="1"/>
  <c r="K538" i="7" l="1"/>
  <c r="S539" i="7" s="1"/>
  <c r="P539" i="7"/>
  <c r="O538" i="7"/>
  <c r="T539" i="7" s="1"/>
  <c r="Q539" i="7"/>
  <c r="R539" i="7" l="1"/>
  <c r="G539" i="7"/>
  <c r="L539" i="7" l="1"/>
  <c r="M539" i="7" s="1"/>
  <c r="N539" i="7" s="1"/>
  <c r="H539" i="7"/>
  <c r="I539" i="7" s="1"/>
  <c r="J539" i="7" s="1"/>
  <c r="P540" i="7" l="1"/>
  <c r="K539" i="7"/>
  <c r="S540" i="7" s="1"/>
  <c r="Q540" i="7"/>
  <c r="O539" i="7"/>
  <c r="T540" i="7" s="1"/>
  <c r="R540" i="7" l="1"/>
  <c r="G540" i="7"/>
  <c r="H540" i="7" l="1"/>
  <c r="I540" i="7" s="1"/>
  <c r="J540" i="7" s="1"/>
  <c r="L540" i="7"/>
  <c r="M540" i="7" s="1"/>
  <c r="N540" i="7" s="1"/>
  <c r="O540" i="7" l="1"/>
  <c r="T541" i="7" s="1"/>
  <c r="Q541" i="7"/>
  <c r="P541" i="7"/>
  <c r="K540" i="7"/>
  <c r="S541" i="7" s="1"/>
  <c r="R541" i="7" l="1"/>
  <c r="G541" i="7"/>
  <c r="H541" i="7" l="1"/>
  <c r="I541" i="7" s="1"/>
  <c r="J541" i="7" s="1"/>
  <c r="L541" i="7"/>
  <c r="M541" i="7" s="1"/>
  <c r="N541" i="7" s="1"/>
  <c r="Q542" i="7" l="1"/>
  <c r="O541" i="7"/>
  <c r="T542" i="7" s="1"/>
  <c r="K541" i="7"/>
  <c r="S542" i="7" s="1"/>
  <c r="P542" i="7"/>
  <c r="R542" i="7" l="1"/>
  <c r="G542" i="7"/>
  <c r="L542" i="7" l="1"/>
  <c r="M542" i="7" s="1"/>
  <c r="N542" i="7" s="1"/>
  <c r="H542" i="7"/>
  <c r="I542" i="7" s="1"/>
  <c r="J542" i="7" s="1"/>
  <c r="P543" i="7" l="1"/>
  <c r="K542" i="7"/>
  <c r="S543" i="7" s="1"/>
  <c r="Q543" i="7"/>
  <c r="O542" i="7"/>
  <c r="T543" i="7" s="1"/>
  <c r="G543" i="7" l="1"/>
  <c r="R543" i="7"/>
  <c r="H543" i="7" l="1"/>
  <c r="I543" i="7" s="1"/>
  <c r="J543" i="7" s="1"/>
  <c r="L543" i="7"/>
  <c r="M543" i="7" s="1"/>
  <c r="N543" i="7" s="1"/>
  <c r="Q544" i="7" l="1"/>
  <c r="O543" i="7"/>
  <c r="T544" i="7" s="1"/>
  <c r="P544" i="7"/>
  <c r="K543" i="7"/>
  <c r="S544" i="7" s="1"/>
  <c r="G544" i="7" l="1"/>
  <c r="R544" i="7"/>
  <c r="H544" i="7" l="1"/>
  <c r="I544" i="7" s="1"/>
  <c r="J544" i="7" s="1"/>
  <c r="L544" i="7"/>
  <c r="M544" i="7" s="1"/>
  <c r="N544" i="7" s="1"/>
  <c r="Q545" i="7" l="1"/>
  <c r="O544" i="7"/>
  <c r="T545" i="7" s="1"/>
  <c r="P545" i="7"/>
  <c r="K544" i="7"/>
  <c r="S545" i="7" s="1"/>
  <c r="G545" i="7" l="1"/>
  <c r="R545" i="7"/>
  <c r="H545" i="7" l="1"/>
  <c r="I545" i="7" s="1"/>
  <c r="J545" i="7" s="1"/>
  <c r="L545" i="7"/>
  <c r="M545" i="7" s="1"/>
  <c r="N545" i="7" s="1"/>
  <c r="O545" i="7" l="1"/>
  <c r="T546" i="7" s="1"/>
  <c r="Q546" i="7"/>
  <c r="P546" i="7"/>
  <c r="K545" i="7"/>
  <c r="S546" i="7" s="1"/>
  <c r="G546" i="7" l="1"/>
  <c r="R546" i="7"/>
  <c r="L546" i="7" l="1"/>
  <c r="M546" i="7" s="1"/>
  <c r="N546" i="7" s="1"/>
  <c r="H546" i="7"/>
  <c r="I546" i="7" s="1"/>
  <c r="J546" i="7" s="1"/>
  <c r="P547" i="7" l="1"/>
  <c r="K546" i="7"/>
  <c r="S547" i="7" s="1"/>
  <c r="Q547" i="7"/>
  <c r="O546" i="7"/>
  <c r="T547" i="7" s="1"/>
  <c r="R547" i="7" l="1"/>
  <c r="G547" i="7"/>
  <c r="L547" i="7" l="1"/>
  <c r="M547" i="7" s="1"/>
  <c r="N547" i="7" s="1"/>
  <c r="H547" i="7"/>
  <c r="I547" i="7" s="1"/>
  <c r="J547" i="7" s="1"/>
  <c r="K547" i="7" l="1"/>
  <c r="S548" i="7" s="1"/>
  <c r="P548" i="7"/>
  <c r="Q548" i="7"/>
  <c r="O547" i="7"/>
  <c r="T548" i="7" s="1"/>
  <c r="G548" i="7" l="1"/>
  <c r="R548" i="7"/>
  <c r="H548" i="7" l="1"/>
  <c r="I548" i="7" s="1"/>
  <c r="J548" i="7" s="1"/>
  <c r="L548" i="7"/>
  <c r="M548" i="7" s="1"/>
  <c r="N548" i="7" s="1"/>
  <c r="Q549" i="7" l="1"/>
  <c r="O548" i="7"/>
  <c r="T549" i="7" s="1"/>
  <c r="P549" i="7"/>
  <c r="K548" i="7"/>
  <c r="S549" i="7" s="1"/>
  <c r="R549" i="7" l="1"/>
  <c r="G549" i="7"/>
  <c r="L549" i="7" l="1"/>
  <c r="M549" i="7" s="1"/>
  <c r="N549" i="7" s="1"/>
  <c r="H549" i="7"/>
  <c r="I549" i="7" s="1"/>
  <c r="J549" i="7" s="1"/>
  <c r="K549" i="7" l="1"/>
  <c r="S550" i="7" s="1"/>
  <c r="P550" i="7"/>
  <c r="Q550" i="7"/>
  <c r="O549" i="7"/>
  <c r="T550" i="7" s="1"/>
  <c r="G550" i="7" l="1"/>
  <c r="R550" i="7"/>
  <c r="L550" i="7" l="1"/>
  <c r="M550" i="7" s="1"/>
  <c r="N550" i="7" s="1"/>
  <c r="H550" i="7"/>
  <c r="I550" i="7" s="1"/>
  <c r="J550" i="7" s="1"/>
  <c r="K550" i="7" l="1"/>
  <c r="S551" i="7" s="1"/>
  <c r="P551" i="7"/>
  <c r="Q551" i="7"/>
  <c r="O550" i="7"/>
  <c r="T551" i="7" s="1"/>
  <c r="G551" i="7" l="1"/>
  <c r="R551" i="7"/>
  <c r="L551" i="7" l="1"/>
  <c r="M551" i="7" s="1"/>
  <c r="N551" i="7" s="1"/>
  <c r="H551" i="7"/>
  <c r="I551" i="7" s="1"/>
  <c r="J551" i="7" s="1"/>
  <c r="K551" i="7" l="1"/>
  <c r="S552" i="7" s="1"/>
  <c r="P552" i="7"/>
  <c r="O551" i="7"/>
  <c r="T552" i="7" s="1"/>
  <c r="Q552" i="7"/>
  <c r="R552" i="7" l="1"/>
  <c r="G552" i="7"/>
  <c r="L552" i="7" l="1"/>
  <c r="M552" i="7" s="1"/>
  <c r="N552" i="7" s="1"/>
  <c r="H552" i="7"/>
  <c r="I552" i="7" s="1"/>
  <c r="J552" i="7" s="1"/>
  <c r="K552" i="7" l="1"/>
  <c r="S553" i="7" s="1"/>
  <c r="P553" i="7"/>
  <c r="O552" i="7"/>
  <c r="T553" i="7" s="1"/>
  <c r="Q553" i="7"/>
  <c r="G553" i="7" l="1"/>
  <c r="R553" i="7"/>
  <c r="L553" i="7" l="1"/>
  <c r="M553" i="7" s="1"/>
  <c r="N553" i="7" s="1"/>
  <c r="H553" i="7"/>
  <c r="I553" i="7" s="1"/>
  <c r="J553" i="7" s="1"/>
  <c r="P554" i="7" l="1"/>
  <c r="K553" i="7"/>
  <c r="S554" i="7" s="1"/>
  <c r="O553" i="7"/>
  <c r="T554" i="7" s="1"/>
  <c r="Q554" i="7"/>
  <c r="R554" i="7" l="1"/>
  <c r="G554" i="7"/>
  <c r="H554" i="7" l="1"/>
  <c r="I554" i="7" s="1"/>
  <c r="J554" i="7" s="1"/>
  <c r="L554" i="7"/>
  <c r="M554" i="7" s="1"/>
  <c r="N554" i="7" s="1"/>
  <c r="Q555" i="7" l="1"/>
  <c r="O554" i="7"/>
  <c r="T555" i="7" s="1"/>
  <c r="P555" i="7"/>
  <c r="K554" i="7"/>
  <c r="S555" i="7" s="1"/>
  <c r="R555" i="7" l="1"/>
  <c r="G555" i="7"/>
  <c r="H555" i="7" l="1"/>
  <c r="I555" i="7" s="1"/>
  <c r="J555" i="7" s="1"/>
  <c r="L555" i="7"/>
  <c r="M555" i="7" s="1"/>
  <c r="N555" i="7" s="1"/>
  <c r="Q556" i="7" l="1"/>
  <c r="O555" i="7"/>
  <c r="T556" i="7" s="1"/>
  <c r="P556" i="7"/>
  <c r="K555" i="7"/>
  <c r="S556" i="7" s="1"/>
  <c r="R556" i="7" l="1"/>
  <c r="G556" i="7"/>
  <c r="L556" i="7" l="1"/>
  <c r="M556" i="7" s="1"/>
  <c r="N556" i="7" s="1"/>
  <c r="H556" i="7"/>
  <c r="I556" i="7" s="1"/>
  <c r="J556" i="7" s="1"/>
  <c r="K556" i="7" l="1"/>
  <c r="S557" i="7" s="1"/>
  <c r="P557" i="7"/>
  <c r="O556" i="7"/>
  <c r="T557" i="7" s="1"/>
  <c r="Q557" i="7"/>
  <c r="G557" i="7" l="1"/>
  <c r="R557" i="7"/>
  <c r="H557" i="7" l="1"/>
  <c r="I557" i="7" s="1"/>
  <c r="J557" i="7" s="1"/>
  <c r="L557" i="7"/>
  <c r="M557" i="7" s="1"/>
  <c r="N557" i="7" s="1"/>
  <c r="O557" i="7" l="1"/>
  <c r="T558" i="7" s="1"/>
  <c r="Q558" i="7"/>
  <c r="K557" i="7"/>
  <c r="S558" i="7" s="1"/>
  <c r="P558" i="7"/>
  <c r="G558" i="7" l="1"/>
  <c r="R558" i="7"/>
  <c r="L558" i="7" l="1"/>
  <c r="M558" i="7" s="1"/>
  <c r="N558" i="7" s="1"/>
  <c r="H558" i="7"/>
  <c r="I558" i="7" s="1"/>
  <c r="J558" i="7" s="1"/>
  <c r="P559" i="7" l="1"/>
  <c r="K558" i="7"/>
  <c r="S559" i="7" s="1"/>
  <c r="O558" i="7"/>
  <c r="T559" i="7" s="1"/>
  <c r="Q559" i="7"/>
  <c r="G559" i="7" l="1"/>
  <c r="R559" i="7"/>
  <c r="H559" i="7" l="1"/>
  <c r="I559" i="7" s="1"/>
  <c r="J559" i="7" s="1"/>
  <c r="L559" i="7"/>
  <c r="M559" i="7" s="1"/>
  <c r="N559" i="7" s="1"/>
  <c r="Q560" i="7" l="1"/>
  <c r="O559" i="7"/>
  <c r="T560" i="7" s="1"/>
  <c r="P560" i="7"/>
  <c r="K559" i="7"/>
  <c r="S560" i="7" s="1"/>
  <c r="R560" i="7" l="1"/>
  <c r="G560" i="7"/>
  <c r="H560" i="7" l="1"/>
  <c r="I560" i="7" s="1"/>
  <c r="J560" i="7" s="1"/>
  <c r="L560" i="7"/>
  <c r="M560" i="7" s="1"/>
  <c r="N560" i="7" s="1"/>
  <c r="Q561" i="7" l="1"/>
  <c r="O560" i="7"/>
  <c r="T561" i="7" s="1"/>
  <c r="P561" i="7"/>
  <c r="K560" i="7"/>
  <c r="S561" i="7" s="1"/>
  <c r="G561" i="7" l="1"/>
  <c r="R561" i="7"/>
  <c r="H561" i="7" l="1"/>
  <c r="I561" i="7" s="1"/>
  <c r="J561" i="7" s="1"/>
  <c r="L561" i="7"/>
  <c r="M561" i="7" s="1"/>
  <c r="N561" i="7" s="1"/>
  <c r="O561" i="7" l="1"/>
  <c r="T562" i="7" s="1"/>
  <c r="Q562" i="7"/>
  <c r="P562" i="7"/>
  <c r="K561" i="7"/>
  <c r="S562" i="7" s="1"/>
  <c r="R562" i="7" l="1"/>
  <c r="G562" i="7"/>
  <c r="L562" i="7" l="1"/>
  <c r="M562" i="7" s="1"/>
  <c r="N562" i="7" s="1"/>
  <c r="H562" i="7"/>
  <c r="I562" i="7" s="1"/>
  <c r="J562" i="7" s="1"/>
  <c r="K562" i="7" l="1"/>
  <c r="S563" i="7" s="1"/>
  <c r="P563" i="7"/>
  <c r="Q563" i="7"/>
  <c r="O562" i="7"/>
  <c r="T563" i="7" s="1"/>
  <c r="G563" i="7" l="1"/>
  <c r="R563" i="7"/>
  <c r="L563" i="7" l="1"/>
  <c r="M563" i="7" s="1"/>
  <c r="N563" i="7" s="1"/>
  <c r="H563" i="7"/>
  <c r="I563" i="7" s="1"/>
  <c r="J563" i="7" s="1"/>
  <c r="K563" i="7" l="1"/>
  <c r="S564" i="7" s="1"/>
  <c r="P564" i="7"/>
  <c r="Q564" i="7"/>
  <c r="O563" i="7"/>
  <c r="T564" i="7" s="1"/>
  <c r="G564" i="7" l="1"/>
  <c r="R564" i="7"/>
  <c r="L564" i="7" l="1"/>
  <c r="M564" i="7" s="1"/>
  <c r="N564" i="7" s="1"/>
  <c r="H564" i="7"/>
  <c r="I564" i="7" s="1"/>
  <c r="J564" i="7" s="1"/>
  <c r="K564" i="7" l="1"/>
  <c r="S565" i="7" s="1"/>
  <c r="P565" i="7"/>
  <c r="O564" i="7"/>
  <c r="T565" i="7" s="1"/>
  <c r="Q565" i="7"/>
  <c r="R565" i="7" l="1"/>
  <c r="G565" i="7"/>
  <c r="H565" i="7" l="1"/>
  <c r="I565" i="7" s="1"/>
  <c r="J565" i="7" s="1"/>
  <c r="L565" i="7"/>
  <c r="M565" i="7" s="1"/>
  <c r="N565" i="7" s="1"/>
  <c r="O565" i="7" l="1"/>
  <c r="T566" i="7" s="1"/>
  <c r="Q566" i="7"/>
  <c r="P566" i="7"/>
  <c r="K565" i="7"/>
  <c r="S566" i="7" s="1"/>
  <c r="R566" i="7" l="1"/>
  <c r="G566" i="7"/>
  <c r="H566" i="7" l="1"/>
  <c r="I566" i="7" s="1"/>
  <c r="J566" i="7" s="1"/>
  <c r="L566" i="7"/>
  <c r="M566" i="7" s="1"/>
  <c r="N566" i="7" s="1"/>
  <c r="Q567" i="7" l="1"/>
  <c r="O566" i="7"/>
  <c r="T567" i="7" s="1"/>
  <c r="K566" i="7"/>
  <c r="S567" i="7" s="1"/>
  <c r="P567" i="7"/>
  <c r="G567" i="7" l="1"/>
  <c r="R567" i="7"/>
  <c r="L567" i="7" l="1"/>
  <c r="M567" i="7" s="1"/>
  <c r="N567" i="7" s="1"/>
  <c r="H567" i="7"/>
  <c r="I567" i="7" s="1"/>
  <c r="J567" i="7" s="1"/>
  <c r="P568" i="7" l="1"/>
  <c r="K567" i="7"/>
  <c r="S568" i="7" s="1"/>
  <c r="O567" i="7"/>
  <c r="T568" i="7" s="1"/>
  <c r="Q568" i="7"/>
  <c r="G568" i="7" l="1"/>
  <c r="R568" i="7"/>
  <c r="H568" i="7" l="1"/>
  <c r="I568" i="7" s="1"/>
  <c r="J568" i="7" s="1"/>
  <c r="L568" i="7"/>
  <c r="M568" i="7" s="1"/>
  <c r="N568" i="7" s="1"/>
  <c r="Q569" i="7" l="1"/>
  <c r="O568" i="7"/>
  <c r="T569" i="7" s="1"/>
  <c r="K568" i="7"/>
  <c r="S569" i="7" s="1"/>
  <c r="P569" i="7"/>
  <c r="G569" i="7" l="1"/>
  <c r="R569" i="7"/>
  <c r="L569" i="7" l="1"/>
  <c r="M569" i="7" s="1"/>
  <c r="N569" i="7" s="1"/>
  <c r="H569" i="7"/>
  <c r="I569" i="7" s="1"/>
  <c r="J569" i="7" s="1"/>
  <c r="P570" i="7" l="1"/>
  <c r="K569" i="7"/>
  <c r="S570" i="7" s="1"/>
  <c r="Q570" i="7"/>
  <c r="O569" i="7"/>
  <c r="T570" i="7" s="1"/>
  <c r="R570" i="7" l="1"/>
  <c r="G570" i="7"/>
  <c r="L570" i="7" l="1"/>
  <c r="M570" i="7" s="1"/>
  <c r="N570" i="7" s="1"/>
  <c r="H570" i="7"/>
  <c r="I570" i="7" s="1"/>
  <c r="J570" i="7" s="1"/>
  <c r="P571" i="7" l="1"/>
  <c r="K570" i="7"/>
  <c r="S571" i="7" s="1"/>
  <c r="Q571" i="7"/>
  <c r="O570" i="7"/>
  <c r="T571" i="7" s="1"/>
  <c r="G571" i="7" l="1"/>
  <c r="R571" i="7"/>
  <c r="L571" i="7" l="1"/>
  <c r="M571" i="7" s="1"/>
  <c r="N571" i="7" s="1"/>
  <c r="H571" i="7"/>
  <c r="I571" i="7" s="1"/>
  <c r="J571" i="7" s="1"/>
  <c r="K571" i="7" l="1"/>
  <c r="S572" i="7" s="1"/>
  <c r="P572" i="7"/>
  <c r="O571" i="7"/>
  <c r="T572" i="7" s="1"/>
  <c r="Q572" i="7"/>
  <c r="R572" i="7" l="1"/>
  <c r="G572" i="7"/>
  <c r="L572" i="7" l="1"/>
  <c r="M572" i="7" s="1"/>
  <c r="N572" i="7" s="1"/>
  <c r="H572" i="7"/>
  <c r="I572" i="7" s="1"/>
  <c r="J572" i="7" s="1"/>
  <c r="K572" i="7" l="1"/>
  <c r="S573" i="7" s="1"/>
  <c r="P573" i="7"/>
  <c r="O572" i="7"/>
  <c r="T573" i="7" s="1"/>
  <c r="Q573" i="7"/>
  <c r="G573" i="7" l="1"/>
  <c r="R573" i="7"/>
  <c r="L573" i="7" l="1"/>
  <c r="M573" i="7" s="1"/>
  <c r="N573" i="7" s="1"/>
  <c r="H573" i="7"/>
  <c r="I573" i="7" s="1"/>
  <c r="J573" i="7" s="1"/>
  <c r="P574" i="7" l="1"/>
  <c r="K573" i="7"/>
  <c r="S574" i="7" s="1"/>
  <c r="O573" i="7"/>
  <c r="T574" i="7" s="1"/>
  <c r="Q574" i="7"/>
  <c r="G574" i="7" l="1"/>
  <c r="R574" i="7"/>
  <c r="H574" i="7" l="1"/>
  <c r="I574" i="7" s="1"/>
  <c r="J574" i="7" s="1"/>
  <c r="L574" i="7"/>
  <c r="M574" i="7" s="1"/>
  <c r="N574" i="7" s="1"/>
  <c r="O574" i="7" l="1"/>
  <c r="T575" i="7" s="1"/>
  <c r="Q575" i="7"/>
  <c r="P575" i="7"/>
  <c r="K574" i="7"/>
  <c r="S575" i="7" s="1"/>
  <c r="R575" i="7" l="1"/>
  <c r="G575" i="7"/>
  <c r="L575" i="7" l="1"/>
  <c r="M575" i="7" s="1"/>
  <c r="N575" i="7" s="1"/>
  <c r="H575" i="7"/>
  <c r="I575" i="7" s="1"/>
  <c r="J575" i="7" s="1"/>
  <c r="K575" i="7" l="1"/>
  <c r="S576" i="7" s="1"/>
  <c r="P576" i="7"/>
  <c r="Q576" i="7"/>
  <c r="O575" i="7"/>
  <c r="T576" i="7" s="1"/>
  <c r="G576" i="7" l="1"/>
  <c r="R576" i="7"/>
  <c r="L576" i="7" l="1"/>
  <c r="M576" i="7" s="1"/>
  <c r="N576" i="7" s="1"/>
  <c r="H576" i="7"/>
  <c r="I576" i="7" s="1"/>
  <c r="J576" i="7" s="1"/>
  <c r="P577" i="7" l="1"/>
  <c r="K576" i="7"/>
  <c r="S577" i="7" s="1"/>
  <c r="O576" i="7"/>
  <c r="T577" i="7" s="1"/>
  <c r="Q577" i="7"/>
  <c r="G577" i="7" l="1"/>
  <c r="R577" i="7"/>
  <c r="L577" i="7" l="1"/>
  <c r="M577" i="7" s="1"/>
  <c r="N577" i="7" s="1"/>
  <c r="H577" i="7"/>
  <c r="I577" i="7" s="1"/>
  <c r="J577" i="7" s="1"/>
  <c r="P578" i="7" l="1"/>
  <c r="K577" i="7"/>
  <c r="S578" i="7" s="1"/>
  <c r="O577" i="7"/>
  <c r="T578" i="7" s="1"/>
  <c r="Q578" i="7"/>
  <c r="R578" i="7" l="1"/>
  <c r="G578" i="7"/>
  <c r="L578" i="7" l="1"/>
  <c r="M578" i="7" s="1"/>
  <c r="N578" i="7" s="1"/>
  <c r="H578" i="7"/>
  <c r="I578" i="7" s="1"/>
  <c r="J578" i="7" s="1"/>
  <c r="K578" i="7" l="1"/>
  <c r="S579" i="7" s="1"/>
  <c r="P579" i="7"/>
  <c r="Q579" i="7"/>
  <c r="O578" i="7"/>
  <c r="T579" i="7" s="1"/>
  <c r="G579" i="7" l="1"/>
  <c r="R579" i="7"/>
  <c r="L579" i="7" l="1"/>
  <c r="M579" i="7" s="1"/>
  <c r="N579" i="7" s="1"/>
  <c r="H579" i="7"/>
  <c r="I579" i="7" s="1"/>
  <c r="J579" i="7" s="1"/>
  <c r="P580" i="7" l="1"/>
  <c r="K579" i="7"/>
  <c r="S580" i="7" s="1"/>
  <c r="O579" i="7"/>
  <c r="T580" i="7" s="1"/>
  <c r="Q580" i="7"/>
  <c r="R580" i="7" l="1"/>
  <c r="G580" i="7"/>
  <c r="L580" i="7" l="1"/>
  <c r="M580" i="7" s="1"/>
  <c r="N580" i="7" s="1"/>
  <c r="H580" i="7"/>
  <c r="I580" i="7" s="1"/>
  <c r="J580" i="7" s="1"/>
  <c r="P581" i="7" l="1"/>
  <c r="K580" i="7"/>
  <c r="S581" i="7" s="1"/>
  <c r="O580" i="7"/>
  <c r="T581" i="7" s="1"/>
  <c r="Q581" i="7"/>
  <c r="G581" i="7" l="1"/>
  <c r="R581" i="7"/>
  <c r="L581" i="7" l="1"/>
  <c r="M581" i="7" s="1"/>
  <c r="N581" i="7" s="1"/>
  <c r="H581" i="7"/>
  <c r="I581" i="7" s="1"/>
  <c r="J581" i="7" s="1"/>
  <c r="P582" i="7" l="1"/>
  <c r="K581" i="7"/>
  <c r="S582" i="7" s="1"/>
  <c r="Q582" i="7"/>
  <c r="O581" i="7"/>
  <c r="T582" i="7" s="1"/>
  <c r="G582" i="7" l="1"/>
  <c r="R582" i="7"/>
  <c r="H582" i="7" l="1"/>
  <c r="I582" i="7" s="1"/>
  <c r="J582" i="7" s="1"/>
  <c r="L582" i="7"/>
  <c r="M582" i="7" s="1"/>
  <c r="N582" i="7" s="1"/>
  <c r="Q583" i="7" l="1"/>
  <c r="O582" i="7"/>
  <c r="T583" i="7" s="1"/>
  <c r="P583" i="7"/>
  <c r="K582" i="7"/>
  <c r="S583" i="7" s="1"/>
  <c r="G583" i="7" l="1"/>
  <c r="R583" i="7"/>
  <c r="H583" i="7" l="1"/>
  <c r="I583" i="7" s="1"/>
  <c r="J583" i="7" s="1"/>
  <c r="L583" i="7"/>
  <c r="M583" i="7" s="1"/>
  <c r="N583" i="7" s="1"/>
  <c r="Q584" i="7" l="1"/>
  <c r="O583" i="7"/>
  <c r="T584" i="7" s="1"/>
  <c r="K583" i="7"/>
  <c r="S584" i="7" s="1"/>
  <c r="P584" i="7"/>
  <c r="G584" i="7" l="1"/>
  <c r="R584" i="7"/>
  <c r="H584" i="7" l="1"/>
  <c r="I584" i="7" s="1"/>
  <c r="J584" i="7" s="1"/>
  <c r="L584" i="7"/>
  <c r="M584" i="7" s="1"/>
  <c r="N584" i="7" s="1"/>
  <c r="Q585" i="7" l="1"/>
  <c r="O584" i="7"/>
  <c r="T585" i="7" s="1"/>
  <c r="P585" i="7"/>
  <c r="K584" i="7"/>
  <c r="S585" i="7" s="1"/>
  <c r="G585" i="7" l="1"/>
  <c r="R585" i="7"/>
  <c r="H585" i="7" l="1"/>
  <c r="I585" i="7" s="1"/>
  <c r="J585" i="7" s="1"/>
  <c r="L585" i="7"/>
  <c r="M585" i="7" s="1"/>
  <c r="N585" i="7" s="1"/>
  <c r="O585" i="7" l="1"/>
  <c r="T586" i="7" s="1"/>
  <c r="Q586" i="7"/>
  <c r="K585" i="7"/>
  <c r="S586" i="7" s="1"/>
  <c r="P586" i="7"/>
  <c r="G586" i="7" l="1"/>
  <c r="R586" i="7"/>
  <c r="H586" i="7" l="1"/>
  <c r="I586" i="7" s="1"/>
  <c r="J586" i="7" s="1"/>
  <c r="L586" i="7"/>
  <c r="M586" i="7" s="1"/>
  <c r="N586" i="7" s="1"/>
  <c r="Q587" i="7" l="1"/>
  <c r="O586" i="7"/>
  <c r="T587" i="7" s="1"/>
  <c r="K586" i="7"/>
  <c r="S587" i="7" s="1"/>
  <c r="P587" i="7"/>
  <c r="R587" i="7" l="1"/>
  <c r="G587" i="7"/>
  <c r="L587" i="7" l="1"/>
  <c r="M587" i="7" s="1"/>
  <c r="N587" i="7" s="1"/>
  <c r="H587" i="7"/>
  <c r="I587" i="7" s="1"/>
  <c r="J587" i="7" s="1"/>
  <c r="P588" i="7" l="1"/>
  <c r="K587" i="7"/>
  <c r="S588" i="7" s="1"/>
  <c r="O587" i="7"/>
  <c r="T588" i="7" s="1"/>
  <c r="Q588" i="7"/>
  <c r="G588" i="7" l="1"/>
  <c r="R588" i="7"/>
  <c r="H588" i="7" l="1"/>
  <c r="I588" i="7" s="1"/>
  <c r="J588" i="7" s="1"/>
  <c r="L588" i="7"/>
  <c r="M588" i="7" s="1"/>
  <c r="N588" i="7" s="1"/>
  <c r="Q589" i="7" l="1"/>
  <c r="O588" i="7"/>
  <c r="T589" i="7" s="1"/>
  <c r="K588" i="7"/>
  <c r="S589" i="7" s="1"/>
  <c r="P589" i="7"/>
  <c r="R589" i="7" l="1"/>
  <c r="G589" i="7"/>
  <c r="L589" i="7" l="1"/>
  <c r="M589" i="7" s="1"/>
  <c r="N589" i="7" s="1"/>
  <c r="H589" i="7"/>
  <c r="I589" i="7" s="1"/>
  <c r="J589" i="7" s="1"/>
  <c r="P590" i="7" l="1"/>
  <c r="K589" i="7"/>
  <c r="S590" i="7" s="1"/>
  <c r="O589" i="7"/>
  <c r="T590" i="7" s="1"/>
  <c r="Q590" i="7"/>
  <c r="R590" i="7" l="1"/>
  <c r="G590" i="7"/>
  <c r="L590" i="7" l="1"/>
  <c r="M590" i="7" s="1"/>
  <c r="N590" i="7" s="1"/>
  <c r="H590" i="7"/>
  <c r="I590" i="7" s="1"/>
  <c r="J590" i="7" s="1"/>
  <c r="K590" i="7" l="1"/>
  <c r="S591" i="7" s="1"/>
  <c r="P591" i="7"/>
  <c r="O590" i="7"/>
  <c r="T591" i="7" s="1"/>
  <c r="Q591" i="7"/>
  <c r="R591" i="7" l="1"/>
  <c r="G591" i="7"/>
  <c r="L591" i="7" l="1"/>
  <c r="M591" i="7" s="1"/>
  <c r="N591" i="7" s="1"/>
  <c r="H591" i="7"/>
  <c r="I591" i="7" s="1"/>
  <c r="J591" i="7" s="1"/>
  <c r="K591" i="7" l="1"/>
  <c r="S592" i="7" s="1"/>
  <c r="P592" i="7"/>
  <c r="O591" i="7"/>
  <c r="T592" i="7" s="1"/>
  <c r="Q592" i="7"/>
  <c r="R592" i="7" l="1"/>
  <c r="G592" i="7"/>
  <c r="L592" i="7" l="1"/>
  <c r="M592" i="7" s="1"/>
  <c r="N592" i="7" s="1"/>
  <c r="H592" i="7"/>
  <c r="I592" i="7" s="1"/>
  <c r="J592" i="7" s="1"/>
  <c r="P593" i="7" l="1"/>
  <c r="K592" i="7"/>
  <c r="S593" i="7" s="1"/>
  <c r="Q593" i="7"/>
  <c r="O592" i="7"/>
  <c r="T593" i="7" s="1"/>
  <c r="G593" i="7" l="1"/>
  <c r="R593" i="7"/>
  <c r="L593" i="7" l="1"/>
  <c r="M593" i="7" s="1"/>
  <c r="N593" i="7" s="1"/>
  <c r="H593" i="7"/>
  <c r="I593" i="7" s="1"/>
  <c r="J593" i="7" s="1"/>
  <c r="P594" i="7" l="1"/>
  <c r="K593" i="7"/>
  <c r="S594" i="7" s="1"/>
  <c r="O593" i="7"/>
  <c r="T594" i="7" s="1"/>
  <c r="Q594" i="7"/>
  <c r="R594" i="7" l="1"/>
  <c r="G594" i="7"/>
  <c r="H594" i="7" l="1"/>
  <c r="I594" i="7" s="1"/>
  <c r="J594" i="7" s="1"/>
  <c r="L594" i="7"/>
  <c r="M594" i="7" s="1"/>
  <c r="N594" i="7" s="1"/>
  <c r="O594" i="7" l="1"/>
  <c r="T595" i="7" s="1"/>
  <c r="Q595" i="7"/>
  <c r="P595" i="7"/>
  <c r="K594" i="7"/>
  <c r="S595" i="7" s="1"/>
  <c r="G595" i="7" l="1"/>
  <c r="R595" i="7"/>
  <c r="L595" i="7" l="1"/>
  <c r="M595" i="7" s="1"/>
  <c r="N595" i="7" s="1"/>
  <c r="H595" i="7"/>
  <c r="I595" i="7" s="1"/>
  <c r="J595" i="7" s="1"/>
  <c r="K595" i="7" l="1"/>
  <c r="S596" i="7" s="1"/>
  <c r="P596" i="7"/>
  <c r="Q596" i="7"/>
  <c r="O595" i="7"/>
  <c r="T596" i="7" s="1"/>
  <c r="R596" i="7" l="1"/>
  <c r="G596" i="7"/>
  <c r="L596" i="7" l="1"/>
  <c r="M596" i="7" s="1"/>
  <c r="N596" i="7" s="1"/>
  <c r="H596" i="7"/>
  <c r="I596" i="7" s="1"/>
  <c r="J596" i="7" s="1"/>
  <c r="P597" i="7" l="1"/>
  <c r="K596" i="7"/>
  <c r="S597" i="7" s="1"/>
  <c r="Q597" i="7"/>
  <c r="O596" i="7"/>
  <c r="T597" i="7" s="1"/>
  <c r="G597" i="7" l="1"/>
  <c r="R597" i="7"/>
  <c r="L597" i="7" l="1"/>
  <c r="M597" i="7" s="1"/>
  <c r="N597" i="7" s="1"/>
  <c r="H597" i="7"/>
  <c r="I597" i="7" s="1"/>
  <c r="J597" i="7" s="1"/>
  <c r="K597" i="7" l="1"/>
  <c r="S598" i="7" s="1"/>
  <c r="P598" i="7"/>
  <c r="Q598" i="7"/>
  <c r="O597" i="7"/>
  <c r="T598" i="7" s="1"/>
  <c r="G598" i="7" l="1"/>
  <c r="R598" i="7"/>
  <c r="L598" i="7" l="1"/>
  <c r="M598" i="7" s="1"/>
  <c r="N598" i="7" s="1"/>
  <c r="H598" i="7"/>
  <c r="I598" i="7" s="1"/>
  <c r="J598" i="7" s="1"/>
  <c r="K598" i="7" l="1"/>
  <c r="S599" i="7" s="1"/>
  <c r="P599" i="7"/>
  <c r="Q599" i="7"/>
  <c r="O598" i="7"/>
  <c r="T599" i="7" s="1"/>
  <c r="G599" i="7" l="1"/>
  <c r="R599" i="7"/>
  <c r="H599" i="7" l="1"/>
  <c r="I599" i="7" s="1"/>
  <c r="J599" i="7" s="1"/>
  <c r="L599" i="7"/>
  <c r="M599" i="7" s="1"/>
  <c r="N599" i="7" s="1"/>
  <c r="O599" i="7" l="1"/>
  <c r="T600" i="7" s="1"/>
  <c r="Q600" i="7"/>
  <c r="K599" i="7"/>
  <c r="S600" i="7" s="1"/>
  <c r="P600" i="7"/>
  <c r="R600" i="7" l="1"/>
  <c r="G600" i="7"/>
  <c r="H600" i="7" l="1"/>
  <c r="I600" i="7" s="1"/>
  <c r="J600" i="7" s="1"/>
  <c r="L600" i="7"/>
  <c r="M600" i="7" s="1"/>
  <c r="N600" i="7" s="1"/>
  <c r="O600" i="7" l="1"/>
  <c r="T601" i="7" s="1"/>
  <c r="Q601" i="7"/>
  <c r="K600" i="7"/>
  <c r="S601" i="7" s="1"/>
  <c r="P601" i="7"/>
  <c r="R601" i="7" l="1"/>
  <c r="G601" i="7"/>
  <c r="L601" i="7" l="1"/>
  <c r="M601" i="7" s="1"/>
  <c r="N601" i="7" s="1"/>
  <c r="H601" i="7"/>
  <c r="I601" i="7" s="1"/>
  <c r="J601" i="7" s="1"/>
  <c r="K601" i="7" l="1"/>
  <c r="S602" i="7" s="1"/>
  <c r="P602" i="7"/>
  <c r="Q602" i="7"/>
  <c r="O601" i="7"/>
  <c r="T602" i="7" s="1"/>
  <c r="G602" i="7" l="1"/>
  <c r="R602" i="7"/>
  <c r="H602" i="7" l="1"/>
  <c r="I602" i="7" s="1"/>
  <c r="J602" i="7" s="1"/>
  <c r="L602" i="7"/>
  <c r="M602" i="7" s="1"/>
  <c r="N602" i="7" s="1"/>
  <c r="Q603" i="7" l="1"/>
  <c r="O602" i="7"/>
  <c r="T603" i="7" s="1"/>
  <c r="P603" i="7"/>
  <c r="K602" i="7"/>
  <c r="S603" i="7" s="1"/>
  <c r="G603" i="7" l="1"/>
  <c r="R603" i="7"/>
  <c r="H603" i="7" l="1"/>
  <c r="I603" i="7" s="1"/>
  <c r="J603" i="7" s="1"/>
  <c r="L603" i="7"/>
  <c r="M603" i="7" s="1"/>
  <c r="N603" i="7" s="1"/>
  <c r="Q604" i="7" l="1"/>
  <c r="O603" i="7"/>
  <c r="T604" i="7" s="1"/>
  <c r="K603" i="7"/>
  <c r="S604" i="7" s="1"/>
  <c r="P604" i="7"/>
  <c r="G604" i="7" l="1"/>
  <c r="R604" i="7"/>
  <c r="H604" i="7" l="1"/>
  <c r="I604" i="7" s="1"/>
  <c r="J604" i="7" s="1"/>
  <c r="L604" i="7"/>
  <c r="M604" i="7" s="1"/>
  <c r="N604" i="7" s="1"/>
  <c r="Q605" i="7" l="1"/>
  <c r="O604" i="7"/>
  <c r="T605" i="7" s="1"/>
  <c r="K604" i="7"/>
  <c r="S605" i="7" s="1"/>
  <c r="P605" i="7"/>
  <c r="R605" i="7" l="1"/>
  <c r="G605" i="7"/>
  <c r="H605" i="7" l="1"/>
  <c r="I605" i="7" s="1"/>
  <c r="J605" i="7" s="1"/>
  <c r="L605" i="7"/>
  <c r="M605" i="7" s="1"/>
  <c r="N605" i="7" s="1"/>
  <c r="Q606" i="7" l="1"/>
  <c r="O605" i="7"/>
  <c r="T606" i="7" s="1"/>
  <c r="P606" i="7"/>
  <c r="K605" i="7"/>
  <c r="S606" i="7" s="1"/>
  <c r="R606" i="7" l="1"/>
  <c r="G606" i="7"/>
  <c r="H606" i="7" l="1"/>
  <c r="I606" i="7" s="1"/>
  <c r="J606" i="7" s="1"/>
  <c r="L606" i="7"/>
  <c r="M606" i="7" s="1"/>
  <c r="N606" i="7" s="1"/>
  <c r="O606" i="7" l="1"/>
  <c r="T607" i="7" s="1"/>
  <c r="Q607" i="7"/>
  <c r="P607" i="7"/>
  <c r="K606" i="7"/>
  <c r="S607" i="7" s="1"/>
  <c r="R607" i="7" l="1"/>
  <c r="G607" i="7"/>
  <c r="H607" i="7" l="1"/>
  <c r="I607" i="7" s="1"/>
  <c r="J607" i="7" s="1"/>
  <c r="L607" i="7"/>
  <c r="M607" i="7" s="1"/>
  <c r="N607" i="7" s="1"/>
  <c r="O607" i="7" l="1"/>
  <c r="T608" i="7" s="1"/>
  <c r="Q608" i="7"/>
  <c r="K607" i="7"/>
  <c r="S608" i="7" s="1"/>
  <c r="P608" i="7"/>
  <c r="R608" i="7" l="1"/>
  <c r="G608" i="7"/>
  <c r="L608" i="7" l="1"/>
  <c r="M608" i="7" s="1"/>
  <c r="N608" i="7" s="1"/>
  <c r="H608" i="7"/>
  <c r="I608" i="7" s="1"/>
  <c r="J608" i="7" s="1"/>
  <c r="P609" i="7" l="1"/>
  <c r="K608" i="7"/>
  <c r="S609" i="7" s="1"/>
  <c r="O608" i="7"/>
  <c r="T609" i="7" s="1"/>
  <c r="Q609" i="7"/>
  <c r="R609" i="7" l="1"/>
  <c r="G609" i="7"/>
  <c r="L609" i="7" l="1"/>
  <c r="M609" i="7" s="1"/>
  <c r="N609" i="7" s="1"/>
  <c r="H609" i="7"/>
  <c r="I609" i="7" s="1"/>
  <c r="J609" i="7" s="1"/>
  <c r="K609" i="7" l="1"/>
  <c r="S610" i="7" s="1"/>
  <c r="P610" i="7"/>
  <c r="O609" i="7"/>
  <c r="T610" i="7" s="1"/>
  <c r="Q610" i="7"/>
  <c r="R610" i="7" l="1"/>
  <c r="G610" i="7"/>
  <c r="L610" i="7" l="1"/>
  <c r="M610" i="7" s="1"/>
  <c r="N610" i="7" s="1"/>
  <c r="H610" i="7"/>
  <c r="I610" i="7" s="1"/>
  <c r="J610" i="7" s="1"/>
  <c r="K610" i="7" l="1"/>
  <c r="S611" i="7" s="1"/>
  <c r="P611" i="7"/>
  <c r="Q611" i="7"/>
  <c r="O610" i="7"/>
  <c r="T611" i="7" s="1"/>
  <c r="R611" i="7" l="1"/>
  <c r="G611" i="7"/>
  <c r="H611" i="7" l="1"/>
  <c r="I611" i="7" s="1"/>
  <c r="J611" i="7" s="1"/>
  <c r="L611" i="7"/>
  <c r="M611" i="7" s="1"/>
  <c r="N611" i="7" s="1"/>
  <c r="Q612" i="7" l="1"/>
  <c r="O611" i="7"/>
  <c r="T612" i="7" s="1"/>
  <c r="P612" i="7"/>
  <c r="K611" i="7"/>
  <c r="S612" i="7" s="1"/>
  <c r="R612" i="7" l="1"/>
  <c r="G612" i="7"/>
  <c r="L612" i="7" l="1"/>
  <c r="M612" i="7" s="1"/>
  <c r="N612" i="7" s="1"/>
  <c r="H612" i="7"/>
  <c r="I612" i="7" s="1"/>
  <c r="J612" i="7" s="1"/>
  <c r="P613" i="7" l="1"/>
  <c r="K612" i="7"/>
  <c r="S613" i="7" s="1"/>
  <c r="Q613" i="7"/>
  <c r="O612" i="7"/>
  <c r="T613" i="7" s="1"/>
  <c r="G613" i="7" l="1"/>
  <c r="R613" i="7"/>
  <c r="H613" i="7" l="1"/>
  <c r="I613" i="7" s="1"/>
  <c r="J613" i="7" s="1"/>
  <c r="L613" i="7"/>
  <c r="M613" i="7" s="1"/>
  <c r="N613" i="7" s="1"/>
  <c r="Q614" i="7" l="1"/>
  <c r="O613" i="7"/>
  <c r="T614" i="7" s="1"/>
  <c r="P614" i="7"/>
  <c r="K613" i="7"/>
  <c r="S614" i="7" s="1"/>
  <c r="G614" i="7" l="1"/>
  <c r="R614" i="7"/>
  <c r="H614" i="7" l="1"/>
  <c r="I614" i="7" s="1"/>
  <c r="J614" i="7" s="1"/>
  <c r="L614" i="7"/>
  <c r="M614" i="7" s="1"/>
  <c r="N614" i="7" s="1"/>
  <c r="Q615" i="7" l="1"/>
  <c r="O614" i="7"/>
  <c r="T615" i="7" s="1"/>
  <c r="K614" i="7"/>
  <c r="S615" i="7" s="1"/>
  <c r="P615" i="7"/>
  <c r="G615" i="7" l="1"/>
  <c r="R615" i="7"/>
  <c r="H615" i="7" l="1"/>
  <c r="I615" i="7" s="1"/>
  <c r="J615" i="7" s="1"/>
  <c r="L615" i="7"/>
  <c r="M615" i="7" s="1"/>
  <c r="N615" i="7" s="1"/>
  <c r="O615" i="7" l="1"/>
  <c r="T616" i="7" s="1"/>
  <c r="Q616" i="7"/>
  <c r="P616" i="7"/>
  <c r="K615" i="7"/>
  <c r="S616" i="7" s="1"/>
  <c r="G616" i="7" l="1"/>
  <c r="R616" i="7"/>
  <c r="H616" i="7" l="1"/>
  <c r="I616" i="7" s="1"/>
  <c r="J616" i="7" s="1"/>
  <c r="L616" i="7"/>
  <c r="M616" i="7" s="1"/>
  <c r="N616" i="7" s="1"/>
  <c r="O616" i="7" l="1"/>
  <c r="T617" i="7" s="1"/>
  <c r="Q617" i="7"/>
  <c r="P617" i="7"/>
  <c r="K616" i="7"/>
  <c r="S617" i="7" s="1"/>
  <c r="R617" i="7" l="1"/>
  <c r="G617" i="7"/>
  <c r="H617" i="7" l="1"/>
  <c r="I617" i="7" s="1"/>
  <c r="J617" i="7" s="1"/>
  <c r="L617" i="7"/>
  <c r="M617" i="7" s="1"/>
  <c r="N617" i="7" s="1"/>
  <c r="Q618" i="7" l="1"/>
  <c r="O617" i="7"/>
  <c r="T618" i="7" s="1"/>
  <c r="K617" i="7"/>
  <c r="S618" i="7" s="1"/>
  <c r="P618" i="7"/>
  <c r="G618" i="7" l="1"/>
  <c r="R618" i="7"/>
  <c r="H618" i="7" l="1"/>
  <c r="I618" i="7" s="1"/>
  <c r="J618" i="7" s="1"/>
  <c r="L618" i="7"/>
  <c r="M618" i="7" s="1"/>
  <c r="N618" i="7" s="1"/>
  <c r="O618" i="7" l="1"/>
  <c r="T619" i="7" s="1"/>
  <c r="Q619" i="7"/>
  <c r="P619" i="7"/>
  <c r="K618" i="7"/>
  <c r="S619" i="7" s="1"/>
  <c r="G619" i="7" l="1"/>
  <c r="R619" i="7"/>
  <c r="H619" i="7" l="1"/>
  <c r="I619" i="7" s="1"/>
  <c r="J619" i="7" s="1"/>
  <c r="L619" i="7"/>
  <c r="M619" i="7" s="1"/>
  <c r="N619" i="7" s="1"/>
  <c r="O619" i="7" l="1"/>
  <c r="T620" i="7" s="1"/>
  <c r="Q620" i="7"/>
  <c r="P620" i="7"/>
  <c r="K619" i="7"/>
  <c r="S620" i="7" s="1"/>
  <c r="G620" i="7" l="1"/>
  <c r="R620" i="7"/>
  <c r="L620" i="7" l="1"/>
  <c r="M620" i="7" s="1"/>
  <c r="N620" i="7" s="1"/>
  <c r="H620" i="7"/>
  <c r="I620" i="7" s="1"/>
  <c r="J620" i="7" s="1"/>
  <c r="P621" i="7" l="1"/>
  <c r="K620" i="7"/>
  <c r="S621" i="7" s="1"/>
  <c r="Q621" i="7"/>
  <c r="O620" i="7"/>
  <c r="T621" i="7" s="1"/>
  <c r="G621" i="7" l="1"/>
  <c r="R621" i="7"/>
  <c r="L621" i="7" l="1"/>
  <c r="M621" i="7" s="1"/>
  <c r="N621" i="7" s="1"/>
  <c r="H621" i="7"/>
  <c r="I621" i="7" s="1"/>
  <c r="J621" i="7" s="1"/>
  <c r="P622" i="7" l="1"/>
  <c r="K621" i="7"/>
  <c r="S622" i="7" s="1"/>
  <c r="O621" i="7"/>
  <c r="T622" i="7" s="1"/>
  <c r="Q622" i="7"/>
  <c r="R622" i="7" l="1"/>
  <c r="G622" i="7"/>
  <c r="L622" i="7" l="1"/>
  <c r="M622" i="7" s="1"/>
  <c r="N622" i="7" s="1"/>
  <c r="H622" i="7"/>
  <c r="I622" i="7" s="1"/>
  <c r="J622" i="7" s="1"/>
  <c r="P623" i="7" l="1"/>
  <c r="K622" i="7"/>
  <c r="S623" i="7" s="1"/>
  <c r="Q623" i="7"/>
  <c r="O622" i="7"/>
  <c r="T623" i="7" s="1"/>
  <c r="G623" i="7" l="1"/>
  <c r="R623" i="7"/>
  <c r="H623" i="7" l="1"/>
  <c r="I623" i="7" s="1"/>
  <c r="J623" i="7" s="1"/>
  <c r="L623" i="7"/>
  <c r="M623" i="7" s="1"/>
  <c r="N623" i="7" s="1"/>
  <c r="O623" i="7" l="1"/>
  <c r="T624" i="7" s="1"/>
  <c r="Q624" i="7"/>
  <c r="K623" i="7"/>
  <c r="S624" i="7" s="1"/>
  <c r="P624" i="7"/>
  <c r="G624" i="7" l="1"/>
  <c r="R624" i="7"/>
  <c r="H624" i="7" l="1"/>
  <c r="I624" i="7" s="1"/>
  <c r="J624" i="7" s="1"/>
  <c r="L624" i="7"/>
  <c r="M624" i="7" s="1"/>
  <c r="N624" i="7" s="1"/>
  <c r="O624" i="7" l="1"/>
  <c r="T625" i="7" s="1"/>
  <c r="Q625" i="7"/>
  <c r="P625" i="7"/>
  <c r="K624" i="7"/>
  <c r="S625" i="7" s="1"/>
  <c r="R625" i="7" l="1"/>
  <c r="G625" i="7"/>
  <c r="H625" i="7" l="1"/>
  <c r="I625" i="7" s="1"/>
  <c r="J625" i="7" s="1"/>
  <c r="L625" i="7"/>
  <c r="M625" i="7" s="1"/>
  <c r="N625" i="7" s="1"/>
  <c r="Q626" i="7" l="1"/>
  <c r="O625" i="7"/>
  <c r="T626" i="7" s="1"/>
  <c r="K625" i="7"/>
  <c r="S626" i="7" s="1"/>
  <c r="P626" i="7"/>
  <c r="G626" i="7" l="1"/>
  <c r="R626" i="7"/>
  <c r="L626" i="7" l="1"/>
  <c r="M626" i="7" s="1"/>
  <c r="N626" i="7" s="1"/>
  <c r="H626" i="7"/>
  <c r="I626" i="7" s="1"/>
  <c r="J626" i="7" s="1"/>
  <c r="K626" i="7" l="1"/>
  <c r="S627" i="7" s="1"/>
  <c r="P627" i="7"/>
  <c r="O626" i="7"/>
  <c r="T627" i="7" s="1"/>
  <c r="Q627" i="7"/>
  <c r="G627" i="7" l="1"/>
  <c r="R627" i="7"/>
  <c r="L627" i="7" l="1"/>
  <c r="M627" i="7" s="1"/>
  <c r="N627" i="7" s="1"/>
  <c r="H627" i="7"/>
  <c r="I627" i="7" s="1"/>
  <c r="J627" i="7" s="1"/>
  <c r="P628" i="7" l="1"/>
  <c r="K627" i="7"/>
  <c r="S628" i="7" s="1"/>
  <c r="Q628" i="7"/>
  <c r="O627" i="7"/>
  <c r="T628" i="7" s="1"/>
  <c r="R628" i="7" l="1"/>
  <c r="G628" i="7"/>
  <c r="L628" i="7" l="1"/>
  <c r="M628" i="7" s="1"/>
  <c r="N628" i="7" s="1"/>
  <c r="H628" i="7"/>
  <c r="I628" i="7" s="1"/>
  <c r="J628" i="7" s="1"/>
  <c r="P629" i="7" l="1"/>
  <c r="K628" i="7"/>
  <c r="S629" i="7" s="1"/>
  <c r="O628" i="7"/>
  <c r="T629" i="7" s="1"/>
  <c r="Q629" i="7"/>
  <c r="R629" i="7" l="1"/>
  <c r="G629" i="7"/>
  <c r="L629" i="7" l="1"/>
  <c r="M629" i="7" s="1"/>
  <c r="N629" i="7" s="1"/>
  <c r="H629" i="7"/>
  <c r="I629" i="7" s="1"/>
  <c r="J629" i="7" s="1"/>
  <c r="P630" i="7" l="1"/>
  <c r="K629" i="7"/>
  <c r="S630" i="7" s="1"/>
  <c r="O629" i="7"/>
  <c r="T630" i="7" s="1"/>
  <c r="Q630" i="7"/>
  <c r="R630" i="7" l="1"/>
  <c r="G630" i="7"/>
  <c r="H630" i="7" l="1"/>
  <c r="I630" i="7" s="1"/>
  <c r="J630" i="7" s="1"/>
  <c r="L630" i="7"/>
  <c r="M630" i="7" s="1"/>
  <c r="N630" i="7" s="1"/>
  <c r="Q631" i="7" l="1"/>
  <c r="O630" i="7"/>
  <c r="T631" i="7" s="1"/>
  <c r="P631" i="7"/>
  <c r="K630" i="7"/>
  <c r="S631" i="7" s="1"/>
  <c r="R631" i="7" l="1"/>
  <c r="G631" i="7"/>
  <c r="H631" i="7" l="1"/>
  <c r="I631" i="7" s="1"/>
  <c r="J631" i="7" s="1"/>
  <c r="L631" i="7"/>
  <c r="M631" i="7" s="1"/>
  <c r="N631" i="7" s="1"/>
  <c r="O631" i="7" l="1"/>
  <c r="T632" i="7" s="1"/>
  <c r="Q632" i="7"/>
  <c r="P632" i="7"/>
  <c r="K631" i="7"/>
  <c r="S632" i="7" s="1"/>
  <c r="R632" i="7" l="1"/>
  <c r="G632" i="7"/>
  <c r="H632" i="7" l="1"/>
  <c r="I632" i="7" s="1"/>
  <c r="J632" i="7" s="1"/>
  <c r="L632" i="7"/>
  <c r="M632" i="7" s="1"/>
  <c r="N632" i="7" s="1"/>
  <c r="Q633" i="7" l="1"/>
  <c r="O632" i="7"/>
  <c r="T633" i="7" s="1"/>
  <c r="P633" i="7"/>
  <c r="K632" i="7"/>
  <c r="S633" i="7" s="1"/>
  <c r="G633" i="7" l="1"/>
  <c r="R633" i="7"/>
  <c r="L633" i="7" l="1"/>
  <c r="M633" i="7" s="1"/>
  <c r="N633" i="7" s="1"/>
  <c r="H633" i="7"/>
  <c r="I633" i="7" s="1"/>
  <c r="J633" i="7" s="1"/>
  <c r="P634" i="7" l="1"/>
  <c r="K633" i="7"/>
  <c r="S634" i="7" s="1"/>
  <c r="Q634" i="7"/>
  <c r="O633" i="7"/>
  <c r="T634" i="7" s="1"/>
  <c r="G634" i="7" l="1"/>
  <c r="R634" i="7"/>
  <c r="L634" i="7" l="1"/>
  <c r="M634" i="7" s="1"/>
  <c r="N634" i="7" s="1"/>
  <c r="H634" i="7"/>
  <c r="I634" i="7" s="1"/>
  <c r="J634" i="7" s="1"/>
  <c r="K634" i="7" l="1"/>
  <c r="S635" i="7" s="1"/>
  <c r="P635" i="7"/>
  <c r="O634" i="7"/>
  <c r="T635" i="7" s="1"/>
  <c r="Q635" i="7"/>
  <c r="R635" i="7" l="1"/>
  <c r="G635" i="7"/>
  <c r="L635" i="7" l="1"/>
  <c r="M635" i="7" s="1"/>
  <c r="N635" i="7" s="1"/>
  <c r="H635" i="7"/>
  <c r="I635" i="7" s="1"/>
  <c r="J635" i="7" s="1"/>
  <c r="P636" i="7" l="1"/>
  <c r="K635" i="7"/>
  <c r="S636" i="7" s="1"/>
  <c r="O635" i="7"/>
  <c r="T636" i="7" s="1"/>
  <c r="Q636" i="7"/>
  <c r="R636" i="7" l="1"/>
  <c r="G636" i="7"/>
  <c r="L636" i="7" l="1"/>
  <c r="M636" i="7" s="1"/>
  <c r="N636" i="7" s="1"/>
  <c r="H636" i="7"/>
  <c r="I636" i="7" s="1"/>
  <c r="J636" i="7" s="1"/>
  <c r="K636" i="7" l="1"/>
  <c r="S637" i="7" s="1"/>
  <c r="P637" i="7"/>
  <c r="O636" i="7"/>
  <c r="T637" i="7" s="1"/>
  <c r="Q637" i="7"/>
  <c r="R637" i="7" l="1"/>
  <c r="G637" i="7"/>
  <c r="L637" i="7" l="1"/>
  <c r="M637" i="7" s="1"/>
  <c r="N637" i="7" s="1"/>
  <c r="H637" i="7"/>
  <c r="I637" i="7" s="1"/>
  <c r="J637" i="7" s="1"/>
  <c r="P638" i="7" l="1"/>
  <c r="K637" i="7"/>
  <c r="S638" i="7" s="1"/>
  <c r="Q638" i="7"/>
  <c r="O637" i="7"/>
  <c r="T638" i="7" s="1"/>
  <c r="G638" i="7" l="1"/>
  <c r="R638" i="7"/>
  <c r="H638" i="7" l="1"/>
  <c r="I638" i="7" s="1"/>
  <c r="J638" i="7" s="1"/>
  <c r="L638" i="7"/>
  <c r="M638" i="7" s="1"/>
  <c r="N638" i="7" s="1"/>
  <c r="Q639" i="7" l="1"/>
  <c r="O638" i="7"/>
  <c r="T639" i="7" s="1"/>
  <c r="P639" i="7"/>
  <c r="K638" i="7"/>
  <c r="S639" i="7" s="1"/>
  <c r="R639" i="7" l="1"/>
  <c r="G639" i="7"/>
  <c r="H639" i="7" l="1"/>
  <c r="I639" i="7" s="1"/>
  <c r="J639" i="7" s="1"/>
  <c r="L639" i="7"/>
  <c r="M639" i="7" s="1"/>
  <c r="N639" i="7" s="1"/>
  <c r="O639" i="7" l="1"/>
  <c r="T640" i="7" s="1"/>
  <c r="Q640" i="7"/>
  <c r="P640" i="7"/>
  <c r="K639" i="7"/>
  <c r="S640" i="7" s="1"/>
  <c r="R640" i="7" l="1"/>
  <c r="G640" i="7"/>
  <c r="H640" i="7" l="1"/>
  <c r="I640" i="7" s="1"/>
  <c r="J640" i="7" s="1"/>
  <c r="L640" i="7"/>
  <c r="M640" i="7" s="1"/>
  <c r="N640" i="7" s="1"/>
  <c r="Q641" i="7" l="1"/>
  <c r="O640" i="7"/>
  <c r="T641" i="7" s="1"/>
  <c r="P641" i="7"/>
  <c r="K640" i="7"/>
  <c r="S641" i="7" s="1"/>
  <c r="R641" i="7" l="1"/>
  <c r="G641" i="7"/>
  <c r="L641" i="7" l="1"/>
  <c r="M641" i="7" s="1"/>
  <c r="N641" i="7" s="1"/>
  <c r="H641" i="7"/>
  <c r="I641" i="7" s="1"/>
  <c r="J641" i="7" s="1"/>
  <c r="K641" i="7" l="1"/>
  <c r="S642" i="7" s="1"/>
  <c r="P642" i="7"/>
  <c r="Q642" i="7"/>
  <c r="O641" i="7"/>
  <c r="T642" i="7" s="1"/>
  <c r="G642" i="7" l="1"/>
  <c r="R642" i="7"/>
  <c r="H642" i="7" l="1"/>
  <c r="I642" i="7" s="1"/>
  <c r="J642" i="7" s="1"/>
  <c r="L642" i="7"/>
  <c r="M642" i="7" s="1"/>
  <c r="N642" i="7" s="1"/>
  <c r="Q643" i="7" l="1"/>
  <c r="O642" i="7"/>
  <c r="T643" i="7" s="1"/>
  <c r="K642" i="7"/>
  <c r="S643" i="7" s="1"/>
  <c r="P643" i="7"/>
  <c r="R643" i="7" l="1"/>
  <c r="G643" i="7"/>
  <c r="L643" i="7" l="1"/>
  <c r="M643" i="7" s="1"/>
  <c r="N643" i="7" s="1"/>
  <c r="H643" i="7"/>
  <c r="I643" i="7" s="1"/>
  <c r="J643" i="7" s="1"/>
  <c r="P644" i="7" l="1"/>
  <c r="K643" i="7"/>
  <c r="S644" i="7" s="1"/>
  <c r="O643" i="7"/>
  <c r="T644" i="7" s="1"/>
  <c r="Q644" i="7"/>
  <c r="G644" i="7" l="1"/>
  <c r="R644" i="7"/>
  <c r="L644" i="7" l="1"/>
  <c r="M644" i="7" s="1"/>
  <c r="N644" i="7" s="1"/>
  <c r="H644" i="7"/>
  <c r="I644" i="7" s="1"/>
  <c r="J644" i="7" s="1"/>
  <c r="K644" i="7" l="1"/>
  <c r="S645" i="7" s="1"/>
  <c r="P645" i="7"/>
  <c r="O644" i="7"/>
  <c r="T645" i="7" s="1"/>
  <c r="Q645" i="7"/>
  <c r="G645" i="7" l="1"/>
  <c r="R645" i="7"/>
  <c r="H645" i="7" l="1"/>
  <c r="I645" i="7" s="1"/>
  <c r="J645" i="7" s="1"/>
  <c r="L645" i="7"/>
  <c r="M645" i="7" s="1"/>
  <c r="N645" i="7" s="1"/>
  <c r="O645" i="7" l="1"/>
  <c r="T646" i="7" s="1"/>
  <c r="Q646" i="7"/>
  <c r="P646" i="7"/>
  <c r="K645" i="7"/>
  <c r="S646" i="7" s="1"/>
  <c r="G646" i="7" l="1"/>
  <c r="R646" i="7"/>
  <c r="L646" i="7" l="1"/>
  <c r="M646" i="7" s="1"/>
  <c r="N646" i="7" s="1"/>
  <c r="H646" i="7"/>
  <c r="I646" i="7" s="1"/>
  <c r="J646" i="7" s="1"/>
  <c r="P647" i="7" l="1"/>
  <c r="K646" i="7"/>
  <c r="S647" i="7" s="1"/>
  <c r="Q647" i="7"/>
  <c r="O646" i="7"/>
  <c r="T647" i="7" s="1"/>
  <c r="G647" i="7" l="1"/>
  <c r="R647" i="7"/>
  <c r="H647" i="7" l="1"/>
  <c r="I647" i="7" s="1"/>
  <c r="J647" i="7" s="1"/>
  <c r="L647" i="7"/>
  <c r="M647" i="7" s="1"/>
  <c r="N647" i="7" s="1"/>
  <c r="Q648" i="7" l="1"/>
  <c r="O647" i="7"/>
  <c r="T648" i="7" s="1"/>
  <c r="P648" i="7"/>
  <c r="K647" i="7"/>
  <c r="S648" i="7" s="1"/>
  <c r="R648" i="7" l="1"/>
  <c r="G648" i="7"/>
  <c r="H648" i="7" l="1"/>
  <c r="I648" i="7" s="1"/>
  <c r="J648" i="7" s="1"/>
  <c r="L648" i="7"/>
  <c r="M648" i="7" s="1"/>
  <c r="N648" i="7" s="1"/>
  <c r="O648" i="7" l="1"/>
  <c r="T649" i="7" s="1"/>
  <c r="Q649" i="7"/>
  <c r="P649" i="7"/>
  <c r="K648" i="7"/>
  <c r="S649" i="7" s="1"/>
  <c r="G649" i="7" l="1"/>
  <c r="R649" i="7"/>
  <c r="L649" i="7" l="1"/>
  <c r="M649" i="7" s="1"/>
  <c r="N649" i="7" s="1"/>
  <c r="H649" i="7"/>
  <c r="I649" i="7" s="1"/>
  <c r="J649" i="7" s="1"/>
  <c r="P650" i="7" l="1"/>
  <c r="K649" i="7"/>
  <c r="S650" i="7" s="1"/>
  <c r="O649" i="7"/>
  <c r="T650" i="7" s="1"/>
  <c r="Q650" i="7"/>
  <c r="G650" i="7" l="1"/>
  <c r="R650" i="7"/>
  <c r="L650" i="7" l="1"/>
  <c r="M650" i="7" s="1"/>
  <c r="N650" i="7" s="1"/>
  <c r="H650" i="7"/>
  <c r="I650" i="7" s="1"/>
  <c r="J650" i="7" s="1"/>
  <c r="K650" i="7" l="1"/>
  <c r="S651" i="7" s="1"/>
  <c r="P651" i="7"/>
  <c r="Q651" i="7"/>
  <c r="O650" i="7"/>
  <c r="T651" i="7" s="1"/>
  <c r="R651" i="7" l="1"/>
  <c r="G651" i="7"/>
  <c r="H651" i="7" l="1"/>
  <c r="I651" i="7" s="1"/>
  <c r="J651" i="7" s="1"/>
  <c r="L651" i="7"/>
  <c r="M651" i="7" s="1"/>
  <c r="N651" i="7" s="1"/>
  <c r="O651" i="7" l="1"/>
  <c r="T652" i="7" s="1"/>
  <c r="Q652" i="7"/>
  <c r="K651" i="7"/>
  <c r="S652" i="7" s="1"/>
  <c r="P652" i="7"/>
  <c r="R652" i="7" l="1"/>
  <c r="G652" i="7"/>
  <c r="L652" i="7" l="1"/>
  <c r="M652" i="7" s="1"/>
  <c r="N652" i="7" s="1"/>
  <c r="H652" i="7"/>
  <c r="I652" i="7" s="1"/>
  <c r="J652" i="7" s="1"/>
  <c r="K652" i="7" l="1"/>
  <c r="S653" i="7" s="1"/>
  <c r="P653" i="7"/>
  <c r="O652" i="7"/>
  <c r="T653" i="7" s="1"/>
  <c r="Q653" i="7"/>
  <c r="G653" i="7" l="1"/>
  <c r="R653" i="7"/>
  <c r="L653" i="7" l="1"/>
  <c r="M653" i="7" s="1"/>
  <c r="N653" i="7" s="1"/>
  <c r="H653" i="7"/>
  <c r="I653" i="7" s="1"/>
  <c r="J653" i="7" s="1"/>
  <c r="K653" i="7" l="1"/>
  <c r="S654" i="7" s="1"/>
  <c r="P654" i="7"/>
  <c r="O653" i="7"/>
  <c r="T654" i="7" s="1"/>
  <c r="Q654" i="7"/>
  <c r="R654" i="7" l="1"/>
  <c r="G654" i="7"/>
  <c r="H654" i="7" l="1"/>
  <c r="I654" i="7" s="1"/>
  <c r="J654" i="7" s="1"/>
  <c r="L654" i="7"/>
  <c r="M654" i="7" s="1"/>
  <c r="N654" i="7" s="1"/>
  <c r="Q655" i="7" l="1"/>
  <c r="O654" i="7"/>
  <c r="T655" i="7" s="1"/>
  <c r="P655" i="7"/>
  <c r="K654" i="7"/>
  <c r="S655" i="7" s="1"/>
  <c r="R655" i="7" l="1"/>
  <c r="G655" i="7"/>
  <c r="H655" i="7" l="1"/>
  <c r="I655" i="7" s="1"/>
  <c r="J655" i="7" s="1"/>
  <c r="L655" i="7"/>
  <c r="M655" i="7" s="1"/>
  <c r="N655" i="7" s="1"/>
  <c r="Q656" i="7" l="1"/>
  <c r="O655" i="7"/>
  <c r="T656" i="7" s="1"/>
  <c r="P656" i="7"/>
  <c r="K655" i="7"/>
  <c r="S656" i="7" s="1"/>
  <c r="R656" i="7" l="1"/>
  <c r="G656" i="7"/>
  <c r="L656" i="7" l="1"/>
  <c r="M656" i="7" s="1"/>
  <c r="N656" i="7" s="1"/>
  <c r="H656" i="7"/>
  <c r="I656" i="7" s="1"/>
  <c r="J656" i="7" s="1"/>
  <c r="P657" i="7" l="1"/>
  <c r="K656" i="7"/>
  <c r="S657" i="7" s="1"/>
  <c r="Q657" i="7"/>
  <c r="O656" i="7"/>
  <c r="T657" i="7" s="1"/>
  <c r="G657" i="7" l="1"/>
  <c r="R657" i="7"/>
  <c r="L657" i="7" l="1"/>
  <c r="M657" i="7" s="1"/>
  <c r="N657" i="7" s="1"/>
  <c r="H657" i="7"/>
  <c r="I657" i="7" s="1"/>
  <c r="J657" i="7" s="1"/>
  <c r="K657" i="7" l="1"/>
  <c r="S658" i="7" s="1"/>
  <c r="P658" i="7"/>
  <c r="Q658" i="7"/>
  <c r="O657" i="7"/>
  <c r="T658" i="7" s="1"/>
  <c r="G658" i="7" l="1"/>
  <c r="R658" i="7"/>
  <c r="L658" i="7" l="1"/>
  <c r="M658" i="7" s="1"/>
  <c r="N658" i="7" s="1"/>
  <c r="H658" i="7"/>
  <c r="I658" i="7" s="1"/>
  <c r="J658" i="7" s="1"/>
  <c r="P659" i="7" l="1"/>
  <c r="K658" i="7"/>
  <c r="S659" i="7" s="1"/>
  <c r="Q659" i="7"/>
  <c r="O658" i="7"/>
  <c r="T659" i="7" s="1"/>
  <c r="R659" i="7" l="1"/>
  <c r="G659" i="7"/>
  <c r="L659" i="7" l="1"/>
  <c r="M659" i="7" s="1"/>
  <c r="N659" i="7" s="1"/>
  <c r="H659" i="7"/>
  <c r="I659" i="7" s="1"/>
  <c r="J659" i="7" s="1"/>
  <c r="P660" i="7" l="1"/>
  <c r="K659" i="7"/>
  <c r="S660" i="7" s="1"/>
  <c r="Q660" i="7"/>
  <c r="O659" i="7"/>
  <c r="T660" i="7" s="1"/>
  <c r="G660" i="7" l="1"/>
  <c r="R660" i="7"/>
  <c r="H660" i="7" l="1"/>
  <c r="I660" i="7" s="1"/>
  <c r="J660" i="7" s="1"/>
  <c r="L660" i="7"/>
  <c r="M660" i="7" s="1"/>
  <c r="N660" i="7" s="1"/>
  <c r="O660" i="7" l="1"/>
  <c r="T661" i="7" s="1"/>
  <c r="Q661" i="7"/>
  <c r="P661" i="7"/>
  <c r="K660" i="7"/>
  <c r="S661" i="7" s="1"/>
  <c r="R661" i="7" l="1"/>
  <c r="G661" i="7"/>
  <c r="H661" i="7" l="1"/>
  <c r="I661" i="7" s="1"/>
  <c r="J661" i="7" s="1"/>
  <c r="L661" i="7"/>
  <c r="M661" i="7" s="1"/>
  <c r="N661" i="7" s="1"/>
  <c r="O661" i="7" l="1"/>
  <c r="T662" i="7" s="1"/>
  <c r="Q662" i="7"/>
  <c r="P662" i="7"/>
  <c r="K661" i="7"/>
  <c r="S662" i="7" s="1"/>
  <c r="R662" i="7" l="1"/>
  <c r="G662" i="7"/>
  <c r="H662" i="7" l="1"/>
  <c r="I662" i="7" s="1"/>
  <c r="J662" i="7" s="1"/>
  <c r="L662" i="7"/>
  <c r="M662" i="7" s="1"/>
  <c r="N662" i="7" s="1"/>
  <c r="O662" i="7" l="1"/>
  <c r="T663" i="7" s="1"/>
  <c r="Q663" i="7"/>
  <c r="K662" i="7"/>
  <c r="S663" i="7" s="1"/>
  <c r="P663" i="7"/>
  <c r="R663" i="7" l="1"/>
  <c r="G663" i="7"/>
  <c r="H663" i="7" l="1"/>
  <c r="I663" i="7" s="1"/>
  <c r="J663" i="7" s="1"/>
  <c r="L663" i="7"/>
  <c r="M663" i="7" s="1"/>
  <c r="N663" i="7" s="1"/>
  <c r="Q664" i="7" l="1"/>
  <c r="O663" i="7"/>
  <c r="T664" i="7" s="1"/>
  <c r="P664" i="7"/>
  <c r="K663" i="7"/>
  <c r="S664" i="7" s="1"/>
  <c r="G664" i="7" l="1"/>
  <c r="R664" i="7"/>
  <c r="H664" i="7" l="1"/>
  <c r="I664" i="7" s="1"/>
  <c r="J664" i="7" s="1"/>
  <c r="L664" i="7"/>
  <c r="M664" i="7" s="1"/>
  <c r="N664" i="7" s="1"/>
  <c r="Q665" i="7" l="1"/>
  <c r="O664" i="7"/>
  <c r="T665" i="7" s="1"/>
  <c r="K664" i="7"/>
  <c r="S665" i="7" s="1"/>
  <c r="P665" i="7"/>
  <c r="R665" i="7" l="1"/>
  <c r="G665" i="7"/>
  <c r="L665" i="7" l="1"/>
  <c r="M665" i="7" s="1"/>
  <c r="N665" i="7" s="1"/>
  <c r="H665" i="7"/>
  <c r="I665" i="7" s="1"/>
  <c r="J665" i="7" s="1"/>
  <c r="P666" i="7" l="1"/>
  <c r="K665" i="7"/>
  <c r="S666" i="7" s="1"/>
  <c r="Q666" i="7"/>
  <c r="O665" i="7"/>
  <c r="T666" i="7" s="1"/>
  <c r="R666" i="7" l="1"/>
  <c r="G666" i="7"/>
  <c r="L666" i="7" l="1"/>
  <c r="M666" i="7" s="1"/>
  <c r="N666" i="7" s="1"/>
  <c r="H666" i="7"/>
  <c r="I666" i="7" s="1"/>
  <c r="J666" i="7" s="1"/>
  <c r="K666" i="7" l="1"/>
  <c r="S667" i="7" s="1"/>
  <c r="P667" i="7"/>
  <c r="O666" i="7"/>
  <c r="T667" i="7" s="1"/>
  <c r="Q667" i="7"/>
  <c r="R667" i="7" l="1"/>
  <c r="G667" i="7"/>
  <c r="H667" i="7" l="1"/>
  <c r="I667" i="7" s="1"/>
  <c r="J667" i="7" s="1"/>
  <c r="L667" i="7"/>
  <c r="M667" i="7" s="1"/>
  <c r="N667" i="7" s="1"/>
  <c r="O667" i="7" l="1"/>
  <c r="T668" i="7" s="1"/>
  <c r="Q668" i="7"/>
  <c r="K667" i="7"/>
  <c r="S668" i="7" s="1"/>
  <c r="P668" i="7"/>
  <c r="G668" i="7" l="1"/>
  <c r="R668" i="7"/>
  <c r="L668" i="7" l="1"/>
  <c r="M668" i="7" s="1"/>
  <c r="N668" i="7" s="1"/>
  <c r="H668" i="7"/>
  <c r="I668" i="7" s="1"/>
  <c r="J668" i="7" s="1"/>
  <c r="P669" i="7" l="1"/>
  <c r="K668" i="7"/>
  <c r="S669" i="7" s="1"/>
  <c r="O668" i="7"/>
  <c r="T669" i="7" s="1"/>
  <c r="Q669" i="7"/>
  <c r="R669" i="7" l="1"/>
  <c r="G669" i="7"/>
  <c r="L669" i="7" l="1"/>
  <c r="M669" i="7" s="1"/>
  <c r="N669" i="7" s="1"/>
  <c r="H669" i="7"/>
  <c r="I669" i="7" s="1"/>
  <c r="J669" i="7" s="1"/>
  <c r="P670" i="7" l="1"/>
  <c r="K669" i="7"/>
  <c r="S670" i="7" s="1"/>
  <c r="O669" i="7"/>
  <c r="T670" i="7" s="1"/>
  <c r="Q670" i="7"/>
  <c r="G670" i="7" l="1"/>
  <c r="R670" i="7"/>
  <c r="H670" i="7" l="1"/>
  <c r="I670" i="7" s="1"/>
  <c r="J670" i="7" s="1"/>
  <c r="L670" i="7"/>
  <c r="M670" i="7" s="1"/>
  <c r="N670" i="7" s="1"/>
  <c r="Q671" i="7" l="1"/>
  <c r="O670" i="7"/>
  <c r="T671" i="7" s="1"/>
  <c r="P671" i="7"/>
  <c r="K670" i="7"/>
  <c r="S671" i="7" s="1"/>
  <c r="R671" i="7" l="1"/>
  <c r="G671" i="7"/>
  <c r="H671" i="7" l="1"/>
  <c r="I671" i="7" s="1"/>
  <c r="J671" i="7" s="1"/>
  <c r="L671" i="7"/>
  <c r="M671" i="7" s="1"/>
  <c r="N671" i="7" s="1"/>
  <c r="O671" i="7" l="1"/>
  <c r="T672" i="7" s="1"/>
  <c r="Q672" i="7"/>
  <c r="P672" i="7"/>
  <c r="K671" i="7"/>
  <c r="S672" i="7" s="1"/>
  <c r="G672" i="7" l="1"/>
  <c r="R672" i="7"/>
  <c r="L672" i="7" l="1"/>
  <c r="M672" i="7" s="1"/>
  <c r="N672" i="7" s="1"/>
  <c r="H672" i="7"/>
  <c r="I672" i="7" s="1"/>
  <c r="J672" i="7" s="1"/>
  <c r="K672" i="7" l="1"/>
  <c r="S673" i="7" s="1"/>
  <c r="P673" i="7"/>
  <c r="Q673" i="7"/>
  <c r="O672" i="7"/>
  <c r="T673" i="7" s="1"/>
  <c r="G673" i="7" l="1"/>
  <c r="R673" i="7"/>
  <c r="H673" i="7" l="1"/>
  <c r="I673" i="7" s="1"/>
  <c r="J673" i="7" s="1"/>
  <c r="L673" i="7"/>
  <c r="M673" i="7" s="1"/>
  <c r="N673" i="7" s="1"/>
  <c r="O673" i="7" l="1"/>
  <c r="T674" i="7" s="1"/>
  <c r="Q674" i="7"/>
  <c r="P674" i="7"/>
  <c r="K673" i="7"/>
  <c r="S674" i="7" s="1"/>
  <c r="G674" i="7" l="1"/>
  <c r="R674" i="7"/>
  <c r="L674" i="7" l="1"/>
  <c r="M674" i="7" s="1"/>
  <c r="N674" i="7" s="1"/>
  <c r="H674" i="7"/>
  <c r="I674" i="7" s="1"/>
  <c r="J674" i="7" s="1"/>
  <c r="K674" i="7" l="1"/>
  <c r="S675" i="7" s="1"/>
  <c r="P675" i="7"/>
  <c r="O674" i="7"/>
  <c r="T675" i="7" s="1"/>
  <c r="Q675" i="7"/>
  <c r="G675" i="7" l="1"/>
  <c r="R675" i="7"/>
  <c r="H675" i="7" l="1"/>
  <c r="I675" i="7" s="1"/>
  <c r="J675" i="7" s="1"/>
  <c r="L675" i="7"/>
  <c r="M675" i="7" s="1"/>
  <c r="N675" i="7" s="1"/>
  <c r="O675" i="7" l="1"/>
  <c r="T676" i="7" s="1"/>
  <c r="Q676" i="7"/>
  <c r="K675" i="7"/>
  <c r="S676" i="7" s="1"/>
  <c r="P676" i="7"/>
  <c r="R676" i="7" l="1"/>
  <c r="G676" i="7"/>
  <c r="L676" i="7" l="1"/>
  <c r="M676" i="7" s="1"/>
  <c r="N676" i="7" s="1"/>
  <c r="H676" i="7"/>
  <c r="I676" i="7" s="1"/>
  <c r="J676" i="7" s="1"/>
  <c r="P677" i="7" l="1"/>
  <c r="K676" i="7"/>
  <c r="S677" i="7" s="1"/>
  <c r="O676" i="7"/>
  <c r="T677" i="7" s="1"/>
  <c r="Q677" i="7"/>
  <c r="G677" i="7" l="1"/>
  <c r="R677" i="7"/>
  <c r="L677" i="7" l="1"/>
  <c r="M677" i="7" s="1"/>
  <c r="N677" i="7" s="1"/>
  <c r="H677" i="7"/>
  <c r="I677" i="7" s="1"/>
  <c r="J677" i="7" s="1"/>
  <c r="K677" i="7" l="1"/>
  <c r="S678" i="7" s="1"/>
  <c r="P678" i="7"/>
  <c r="Q678" i="7"/>
  <c r="O677" i="7"/>
  <c r="T678" i="7" s="1"/>
  <c r="G678" i="7" l="1"/>
  <c r="R678" i="7"/>
  <c r="H678" i="7" l="1"/>
  <c r="I678" i="7" s="1"/>
  <c r="J678" i="7" s="1"/>
  <c r="L678" i="7"/>
  <c r="M678" i="7" s="1"/>
  <c r="N678" i="7" s="1"/>
  <c r="Q679" i="7" l="1"/>
  <c r="O678" i="7"/>
  <c r="T679" i="7" s="1"/>
  <c r="P679" i="7"/>
  <c r="K678" i="7"/>
  <c r="S679" i="7" s="1"/>
  <c r="G679" i="7" l="1"/>
  <c r="R679" i="7"/>
  <c r="L679" i="7" l="1"/>
  <c r="M679" i="7" s="1"/>
  <c r="N679" i="7" s="1"/>
  <c r="H679" i="7"/>
  <c r="I679" i="7" s="1"/>
  <c r="J679" i="7" s="1"/>
  <c r="K679" i="7" l="1"/>
  <c r="S680" i="7" s="1"/>
  <c r="P680" i="7"/>
  <c r="Q680" i="7"/>
  <c r="O679" i="7"/>
  <c r="T680" i="7" s="1"/>
  <c r="G680" i="7" l="1"/>
  <c r="R680" i="7"/>
  <c r="L680" i="7" l="1"/>
  <c r="M680" i="7" s="1"/>
  <c r="N680" i="7" s="1"/>
  <c r="H680" i="7"/>
  <c r="I680" i="7" s="1"/>
  <c r="J680" i="7" s="1"/>
  <c r="K680" i="7" l="1"/>
  <c r="S681" i="7" s="1"/>
  <c r="P681" i="7"/>
  <c r="Q681" i="7"/>
  <c r="O680" i="7"/>
  <c r="T681" i="7" s="1"/>
  <c r="R681" i="7" l="1"/>
  <c r="G681" i="7"/>
  <c r="H681" i="7" l="1"/>
  <c r="I681" i="7" s="1"/>
  <c r="J681" i="7" s="1"/>
  <c r="L681" i="7"/>
  <c r="M681" i="7" s="1"/>
  <c r="N681" i="7" s="1"/>
  <c r="O681" i="7" l="1"/>
  <c r="T682" i="7" s="1"/>
  <c r="Q682" i="7"/>
  <c r="K681" i="7"/>
  <c r="S682" i="7" s="1"/>
  <c r="P682" i="7"/>
  <c r="G682" i="7" l="1"/>
  <c r="R682" i="7"/>
  <c r="H682" i="7" l="1"/>
  <c r="I682" i="7" s="1"/>
  <c r="J682" i="7" s="1"/>
  <c r="L682" i="7"/>
  <c r="M682" i="7" s="1"/>
  <c r="N682" i="7" s="1"/>
  <c r="Q683" i="7" l="1"/>
  <c r="O682" i="7"/>
  <c r="T683" i="7" s="1"/>
  <c r="K682" i="7"/>
  <c r="S683" i="7" s="1"/>
  <c r="P683" i="7"/>
  <c r="R683" i="7" l="1"/>
  <c r="G683" i="7"/>
  <c r="H683" i="7" l="1"/>
  <c r="I683" i="7" s="1"/>
  <c r="J683" i="7" s="1"/>
  <c r="L683" i="7"/>
  <c r="M683" i="7" s="1"/>
  <c r="N683" i="7" s="1"/>
  <c r="O683" i="7" l="1"/>
  <c r="T684" i="7" s="1"/>
  <c r="Q684" i="7"/>
  <c r="P684" i="7"/>
  <c r="K683" i="7"/>
  <c r="S684" i="7" s="1"/>
  <c r="R684" i="7" l="1"/>
  <c r="G684" i="7"/>
  <c r="H684" i="7" l="1"/>
  <c r="I684" i="7" s="1"/>
  <c r="J684" i="7" s="1"/>
  <c r="L684" i="7"/>
  <c r="M684" i="7" s="1"/>
  <c r="N684" i="7" s="1"/>
  <c r="O684" i="7" l="1"/>
  <c r="T685" i="7" s="1"/>
  <c r="Q685" i="7"/>
  <c r="K684" i="7"/>
  <c r="S685" i="7" s="1"/>
  <c r="P685" i="7"/>
  <c r="R685" i="7" l="1"/>
  <c r="G685" i="7"/>
  <c r="L685" i="7" l="1"/>
  <c r="M685" i="7" s="1"/>
  <c r="N685" i="7" s="1"/>
  <c r="H685" i="7"/>
  <c r="I685" i="7" s="1"/>
  <c r="J685" i="7" s="1"/>
  <c r="P686" i="7" l="1"/>
  <c r="K685" i="7"/>
  <c r="S686" i="7" s="1"/>
  <c r="O685" i="7"/>
  <c r="T686" i="7" s="1"/>
  <c r="Q686" i="7"/>
  <c r="G686" i="7" l="1"/>
  <c r="R686" i="7"/>
  <c r="H686" i="7" l="1"/>
  <c r="I686" i="7" s="1"/>
  <c r="J686" i="7" s="1"/>
  <c r="L686" i="7"/>
  <c r="M686" i="7" s="1"/>
  <c r="N686" i="7" s="1"/>
  <c r="O686" i="7" l="1"/>
  <c r="T687" i="7" s="1"/>
  <c r="Q687" i="7"/>
  <c r="P687" i="7"/>
  <c r="K686" i="7"/>
  <c r="S687" i="7" s="1"/>
  <c r="R687" i="7" l="1"/>
  <c r="G687" i="7"/>
  <c r="L687" i="7" l="1"/>
  <c r="M687" i="7" s="1"/>
  <c r="N687" i="7" s="1"/>
  <c r="H687" i="7"/>
  <c r="I687" i="7" s="1"/>
  <c r="J687" i="7" s="1"/>
  <c r="P688" i="7" l="1"/>
  <c r="K687" i="7"/>
  <c r="S688" i="7" s="1"/>
  <c r="Q688" i="7"/>
  <c r="O687" i="7"/>
  <c r="T688" i="7" s="1"/>
  <c r="R688" i="7" l="1"/>
  <c r="G688" i="7"/>
  <c r="L688" i="7" l="1"/>
  <c r="M688" i="7" s="1"/>
  <c r="N688" i="7" s="1"/>
  <c r="H688" i="7"/>
  <c r="I688" i="7" s="1"/>
  <c r="J688" i="7" s="1"/>
  <c r="K688" i="7" l="1"/>
  <c r="S689" i="7" s="1"/>
  <c r="P689" i="7"/>
  <c r="Q689" i="7"/>
  <c r="O688" i="7"/>
  <c r="T689" i="7" s="1"/>
  <c r="G689" i="7" l="1"/>
  <c r="R689" i="7"/>
  <c r="L689" i="7" l="1"/>
  <c r="M689" i="7" s="1"/>
  <c r="N689" i="7" s="1"/>
  <c r="H689" i="7"/>
  <c r="I689" i="7" s="1"/>
  <c r="J689" i="7" s="1"/>
  <c r="P690" i="7" l="1"/>
  <c r="K689" i="7"/>
  <c r="S690" i="7" s="1"/>
  <c r="O689" i="7"/>
  <c r="T690" i="7" s="1"/>
  <c r="Q690" i="7"/>
  <c r="R690" i="7" l="1"/>
  <c r="G690" i="7"/>
  <c r="L690" i="7" l="1"/>
  <c r="M690" i="7" s="1"/>
  <c r="N690" i="7" s="1"/>
  <c r="H690" i="7"/>
  <c r="I690" i="7" s="1"/>
  <c r="J690" i="7" s="1"/>
  <c r="K690" i="7" l="1"/>
  <c r="S691" i="7" s="1"/>
  <c r="P691" i="7"/>
  <c r="O690" i="7"/>
  <c r="T691" i="7" s="1"/>
  <c r="Q691" i="7"/>
  <c r="G691" i="7" l="1"/>
  <c r="R691" i="7"/>
  <c r="H691" i="7" l="1"/>
  <c r="I691" i="7" s="1"/>
  <c r="J691" i="7" s="1"/>
  <c r="L691" i="7"/>
  <c r="M691" i="7" s="1"/>
  <c r="N691" i="7" s="1"/>
  <c r="Q692" i="7" l="1"/>
  <c r="O691" i="7"/>
  <c r="T692" i="7" s="1"/>
  <c r="P692" i="7"/>
  <c r="K691" i="7"/>
  <c r="S692" i="7" s="1"/>
  <c r="R692" i="7" l="1"/>
  <c r="G692" i="7"/>
  <c r="H692" i="7" l="1"/>
  <c r="I692" i="7" s="1"/>
  <c r="J692" i="7" s="1"/>
  <c r="L692" i="7"/>
  <c r="M692" i="7" s="1"/>
  <c r="N692" i="7" s="1"/>
  <c r="O692" i="7" l="1"/>
  <c r="T693" i="7" s="1"/>
  <c r="Q693" i="7"/>
  <c r="P693" i="7"/>
  <c r="K692" i="7"/>
  <c r="S693" i="7" s="1"/>
  <c r="R693" i="7" l="1"/>
  <c r="G693" i="7"/>
  <c r="H693" i="7" l="1"/>
  <c r="I693" i="7" s="1"/>
  <c r="J693" i="7" s="1"/>
  <c r="L693" i="7"/>
  <c r="M693" i="7" s="1"/>
  <c r="N693" i="7" s="1"/>
  <c r="Q694" i="7" l="1"/>
  <c r="O693" i="7"/>
  <c r="T694" i="7" s="1"/>
  <c r="K693" i="7"/>
  <c r="S694" i="7" s="1"/>
  <c r="P694" i="7"/>
  <c r="R694" i="7" l="1"/>
  <c r="G694" i="7"/>
  <c r="L694" i="7" l="1"/>
  <c r="M694" i="7" s="1"/>
  <c r="N694" i="7" s="1"/>
  <c r="H694" i="7"/>
  <c r="I694" i="7" s="1"/>
  <c r="J694" i="7" s="1"/>
  <c r="P695" i="7" l="1"/>
  <c r="K694" i="7"/>
  <c r="S695" i="7" s="1"/>
  <c r="Q695" i="7"/>
  <c r="O694" i="7"/>
  <c r="T695" i="7" s="1"/>
  <c r="G695" i="7" l="1"/>
  <c r="R695" i="7"/>
  <c r="H695" i="7" l="1"/>
  <c r="I695" i="7" s="1"/>
  <c r="J695" i="7" s="1"/>
  <c r="L695" i="7"/>
  <c r="M695" i="7" s="1"/>
  <c r="N695" i="7" s="1"/>
  <c r="O695" i="7" l="1"/>
  <c r="T696" i="7" s="1"/>
  <c r="Q696" i="7"/>
  <c r="P696" i="7"/>
  <c r="K695" i="7"/>
  <c r="S696" i="7" s="1"/>
  <c r="G696" i="7" l="1"/>
  <c r="R696" i="7"/>
  <c r="L696" i="7" l="1"/>
  <c r="M696" i="7" s="1"/>
  <c r="N696" i="7" s="1"/>
  <c r="H696" i="7"/>
  <c r="I696" i="7" s="1"/>
  <c r="J696" i="7" s="1"/>
  <c r="K696" i="7" l="1"/>
  <c r="S697" i="7" s="1"/>
  <c r="P697" i="7"/>
  <c r="Q697" i="7"/>
  <c r="O696" i="7"/>
  <c r="T697" i="7" s="1"/>
  <c r="R697" i="7" l="1"/>
  <c r="G697" i="7"/>
  <c r="L697" i="7" l="1"/>
  <c r="M697" i="7" s="1"/>
  <c r="N697" i="7" s="1"/>
  <c r="H697" i="7"/>
  <c r="I697" i="7" s="1"/>
  <c r="J697" i="7" s="1"/>
  <c r="P698" i="7" l="1"/>
  <c r="K697" i="7"/>
  <c r="S698" i="7" s="1"/>
  <c r="O697" i="7"/>
  <c r="T698" i="7" s="1"/>
  <c r="Q698" i="7"/>
  <c r="G698" i="7" l="1"/>
  <c r="R698" i="7"/>
  <c r="L698" i="7" l="1"/>
  <c r="M698" i="7" s="1"/>
  <c r="N698" i="7" s="1"/>
  <c r="H698" i="7"/>
  <c r="I698" i="7" s="1"/>
  <c r="J698" i="7" s="1"/>
  <c r="P699" i="7" l="1"/>
  <c r="K698" i="7"/>
  <c r="S699" i="7" s="1"/>
  <c r="O698" i="7"/>
  <c r="T699" i="7" s="1"/>
  <c r="Q699" i="7"/>
  <c r="G699" i="7" l="1"/>
  <c r="R699" i="7"/>
  <c r="L699" i="7" l="1"/>
  <c r="M699" i="7" s="1"/>
  <c r="N699" i="7" s="1"/>
  <c r="H699" i="7"/>
  <c r="I699" i="7" s="1"/>
  <c r="J699" i="7" s="1"/>
  <c r="P700" i="7" l="1"/>
  <c r="K699" i="7"/>
  <c r="S700" i="7" s="1"/>
  <c r="Q700" i="7"/>
  <c r="O699" i="7"/>
  <c r="T700" i="7" s="1"/>
  <c r="G700" i="7" l="1"/>
  <c r="R700" i="7"/>
  <c r="H700" i="7" l="1"/>
  <c r="I700" i="7" s="1"/>
  <c r="J700" i="7" s="1"/>
  <c r="L700" i="7"/>
  <c r="M700" i="7" s="1"/>
  <c r="N700" i="7" s="1"/>
  <c r="O700" i="7" l="1"/>
  <c r="T701" i="7" s="1"/>
  <c r="Q701" i="7"/>
  <c r="P701" i="7"/>
  <c r="K700" i="7"/>
  <c r="S701" i="7" s="1"/>
  <c r="G701" i="7" l="1"/>
  <c r="R701" i="7"/>
  <c r="L701" i="7" l="1"/>
  <c r="M701" i="7" s="1"/>
  <c r="N701" i="7" s="1"/>
  <c r="H701" i="7"/>
  <c r="I701" i="7" s="1"/>
  <c r="J701" i="7" s="1"/>
  <c r="K701" i="7" l="1"/>
  <c r="S702" i="7" s="1"/>
  <c r="P702" i="7"/>
  <c r="Q702" i="7"/>
  <c r="O701" i="7"/>
  <c r="T702" i="7" s="1"/>
  <c r="R702" i="7" l="1"/>
  <c r="G702" i="7"/>
  <c r="H702" i="7" l="1"/>
  <c r="I702" i="7" s="1"/>
  <c r="J702" i="7" s="1"/>
  <c r="L702" i="7"/>
  <c r="M702" i="7" s="1"/>
  <c r="N702" i="7" s="1"/>
  <c r="Q703" i="7" l="1"/>
  <c r="O702" i="7"/>
  <c r="T703" i="7" s="1"/>
  <c r="P703" i="7"/>
  <c r="K702" i="7"/>
  <c r="S703" i="7" s="1"/>
  <c r="R703" i="7" l="1"/>
  <c r="G703" i="7"/>
  <c r="L703" i="7" l="1"/>
  <c r="M703" i="7" s="1"/>
  <c r="N703" i="7" s="1"/>
  <c r="H703" i="7"/>
  <c r="I703" i="7" s="1"/>
  <c r="J703" i="7" s="1"/>
  <c r="K703" i="7" l="1"/>
  <c r="S704" i="7" s="1"/>
  <c r="P704" i="7"/>
  <c r="Q704" i="7"/>
  <c r="O703" i="7"/>
  <c r="T704" i="7" s="1"/>
  <c r="G704" i="7" l="1"/>
  <c r="R704" i="7"/>
  <c r="H704" i="7" l="1"/>
  <c r="I704" i="7" s="1"/>
  <c r="J704" i="7" s="1"/>
  <c r="L704" i="7"/>
  <c r="M704" i="7" s="1"/>
  <c r="N704" i="7" s="1"/>
  <c r="Q705" i="7" l="1"/>
  <c r="O704" i="7"/>
  <c r="T705" i="7" s="1"/>
  <c r="K704" i="7"/>
  <c r="S705" i="7" s="1"/>
  <c r="P705" i="7"/>
  <c r="R705" i="7" l="1"/>
  <c r="G705" i="7"/>
  <c r="L705" i="7" l="1"/>
  <c r="M705" i="7" s="1"/>
  <c r="N705" i="7" s="1"/>
  <c r="H705" i="7"/>
  <c r="I705" i="7" s="1"/>
  <c r="J705" i="7" s="1"/>
  <c r="P706" i="7" l="1"/>
  <c r="K705" i="7"/>
  <c r="S706" i="7" s="1"/>
  <c r="Q706" i="7"/>
  <c r="O705" i="7"/>
  <c r="T706" i="7" s="1"/>
  <c r="R706" i="7" l="1"/>
  <c r="G706" i="7"/>
  <c r="L706" i="7" l="1"/>
  <c r="M706" i="7" s="1"/>
  <c r="N706" i="7" s="1"/>
  <c r="H706" i="7"/>
  <c r="I706" i="7" s="1"/>
  <c r="J706" i="7" s="1"/>
  <c r="P707" i="7" l="1"/>
  <c r="K706" i="7"/>
  <c r="S707" i="7" s="1"/>
  <c r="O706" i="7"/>
  <c r="T707" i="7" s="1"/>
  <c r="Q707" i="7"/>
  <c r="R707" i="7" l="1"/>
  <c r="G707" i="7"/>
  <c r="H707" i="7" l="1"/>
  <c r="I707" i="7" s="1"/>
  <c r="J707" i="7" s="1"/>
  <c r="L707" i="7"/>
  <c r="M707" i="7" s="1"/>
  <c r="N707" i="7" s="1"/>
  <c r="Q708" i="7" l="1"/>
  <c r="O707" i="7"/>
  <c r="T708" i="7" s="1"/>
  <c r="P708" i="7"/>
  <c r="K707" i="7"/>
  <c r="S708" i="7" s="1"/>
  <c r="G708" i="7" l="1"/>
  <c r="R708" i="7"/>
  <c r="H708" i="7" l="1"/>
  <c r="I708" i="7" s="1"/>
  <c r="J708" i="7" s="1"/>
  <c r="L708" i="7"/>
  <c r="M708" i="7" s="1"/>
  <c r="N708" i="7" s="1"/>
  <c r="Q709" i="7" l="1"/>
  <c r="O708" i="7"/>
  <c r="T709" i="7" s="1"/>
  <c r="P709" i="7"/>
  <c r="K708" i="7"/>
  <c r="S709" i="7" s="1"/>
  <c r="G709" i="7" l="1"/>
  <c r="R709" i="7"/>
  <c r="H709" i="7" l="1"/>
  <c r="I709" i="7" s="1"/>
  <c r="J709" i="7" s="1"/>
  <c r="L709" i="7"/>
  <c r="M709" i="7" s="1"/>
  <c r="N709" i="7" s="1"/>
  <c r="O709" i="7" l="1"/>
  <c r="T710" i="7" s="1"/>
  <c r="Q710" i="7"/>
  <c r="K709" i="7"/>
  <c r="S710" i="7" s="1"/>
  <c r="P710" i="7"/>
  <c r="G710" i="7" l="1"/>
  <c r="R710" i="7"/>
  <c r="L710" i="7" l="1"/>
  <c r="M710" i="7" s="1"/>
  <c r="N710" i="7" s="1"/>
  <c r="H710" i="7"/>
  <c r="I710" i="7" s="1"/>
  <c r="J710" i="7" s="1"/>
  <c r="K710" i="7" l="1"/>
  <c r="S711" i="7" s="1"/>
  <c r="P711" i="7"/>
  <c r="O710" i="7"/>
  <c r="T711" i="7" s="1"/>
  <c r="Q711" i="7"/>
  <c r="G711" i="7" l="1"/>
  <c r="R711" i="7"/>
  <c r="L711" i="7" l="1"/>
  <c r="M711" i="7" s="1"/>
  <c r="N711" i="7" s="1"/>
  <c r="H711" i="7"/>
  <c r="I711" i="7" s="1"/>
  <c r="J711" i="7" s="1"/>
  <c r="K711" i="7" l="1"/>
  <c r="S712" i="7" s="1"/>
  <c r="P712" i="7"/>
  <c r="O711" i="7"/>
  <c r="T712" i="7" s="1"/>
  <c r="Q712" i="7"/>
  <c r="R712" i="7" l="1"/>
  <c r="G712" i="7"/>
  <c r="L712" i="7" l="1"/>
  <c r="M712" i="7" s="1"/>
  <c r="N712" i="7" s="1"/>
  <c r="H712" i="7"/>
  <c r="I712" i="7" s="1"/>
  <c r="J712" i="7" s="1"/>
  <c r="P713" i="7" l="1"/>
  <c r="K712" i="7"/>
  <c r="S713" i="7" s="1"/>
  <c r="O712" i="7"/>
  <c r="T713" i="7" s="1"/>
  <c r="Q713" i="7"/>
  <c r="R713" i="7" l="1"/>
  <c r="G713" i="7"/>
  <c r="L713" i="7" l="1"/>
  <c r="M713" i="7" s="1"/>
  <c r="N713" i="7" s="1"/>
  <c r="H713" i="7"/>
  <c r="I713" i="7" s="1"/>
  <c r="J713" i="7" s="1"/>
  <c r="P714" i="7" l="1"/>
  <c r="K713" i="7"/>
  <c r="S714" i="7" s="1"/>
  <c r="Q714" i="7"/>
  <c r="O713" i="7"/>
  <c r="T714" i="7" s="1"/>
  <c r="G714" i="7" l="1"/>
  <c r="R714" i="7"/>
  <c r="H714" i="7" l="1"/>
  <c r="I714" i="7" s="1"/>
  <c r="J714" i="7" s="1"/>
  <c r="L714" i="7"/>
  <c r="M714" i="7" s="1"/>
  <c r="N714" i="7" s="1"/>
  <c r="Q715" i="7" l="1"/>
  <c r="O714" i="7"/>
  <c r="T715" i="7" s="1"/>
  <c r="P715" i="7"/>
  <c r="K714" i="7"/>
  <c r="S715" i="7" s="1"/>
  <c r="G715" i="7" l="1"/>
  <c r="R715" i="7"/>
  <c r="H715" i="7" l="1"/>
  <c r="I715" i="7" s="1"/>
  <c r="J715" i="7" s="1"/>
  <c r="L715" i="7"/>
  <c r="M715" i="7" s="1"/>
  <c r="N715" i="7" s="1"/>
  <c r="Q716" i="7" l="1"/>
  <c r="O715" i="7"/>
  <c r="T716" i="7" s="1"/>
  <c r="P716" i="7"/>
  <c r="K715" i="7"/>
  <c r="S716" i="7" s="1"/>
  <c r="G716" i="7" l="1"/>
  <c r="R716" i="7"/>
  <c r="H716" i="7" l="1"/>
  <c r="I716" i="7" s="1"/>
  <c r="J716" i="7" s="1"/>
  <c r="L716" i="7"/>
  <c r="M716" i="7" s="1"/>
  <c r="N716" i="7" s="1"/>
  <c r="O716" i="7" l="1"/>
  <c r="T717" i="7" s="1"/>
  <c r="Q717" i="7"/>
  <c r="P717" i="7"/>
  <c r="K716" i="7"/>
  <c r="S717" i="7" s="1"/>
  <c r="G717" i="7" l="1"/>
  <c r="R717" i="7"/>
  <c r="L717" i="7" l="1"/>
  <c r="M717" i="7" s="1"/>
  <c r="N717" i="7" s="1"/>
  <c r="H717" i="7"/>
  <c r="I717" i="7" s="1"/>
  <c r="J717" i="7" s="1"/>
  <c r="K717" i="7" l="1"/>
  <c r="S718" i="7" s="1"/>
  <c r="P718" i="7"/>
  <c r="Q718" i="7"/>
  <c r="O717" i="7"/>
  <c r="T718" i="7" s="1"/>
  <c r="R718" i="7" l="1"/>
  <c r="G718" i="7"/>
  <c r="H718" i="7" l="1"/>
  <c r="I718" i="7" s="1"/>
  <c r="J718" i="7" s="1"/>
  <c r="L718" i="7"/>
  <c r="M718" i="7" s="1"/>
  <c r="N718" i="7" s="1"/>
  <c r="O718" i="7" l="1"/>
  <c r="T719" i="7" s="1"/>
  <c r="Q719" i="7"/>
  <c r="P719" i="7"/>
  <c r="K718" i="7"/>
  <c r="S719" i="7" s="1"/>
  <c r="G719" i="7" l="1"/>
  <c r="R719" i="7"/>
  <c r="L719" i="7" l="1"/>
  <c r="M719" i="7" s="1"/>
  <c r="N719" i="7" s="1"/>
  <c r="H719" i="7"/>
  <c r="I719" i="7" s="1"/>
  <c r="J719" i="7" s="1"/>
  <c r="K719" i="7" l="1"/>
  <c r="S720" i="7" s="1"/>
  <c r="P720" i="7"/>
  <c r="O719" i="7"/>
  <c r="T720" i="7" s="1"/>
  <c r="Q720" i="7"/>
  <c r="R720" i="7" l="1"/>
  <c r="G720" i="7"/>
  <c r="H720" i="7" l="1"/>
  <c r="I720" i="7" s="1"/>
  <c r="J720" i="7" s="1"/>
  <c r="L720" i="7"/>
  <c r="M720" i="7" s="1"/>
  <c r="N720" i="7" s="1"/>
  <c r="Q721" i="7" l="1"/>
  <c r="O720" i="7"/>
  <c r="T721" i="7" s="1"/>
  <c r="K720" i="7"/>
  <c r="S721" i="7" s="1"/>
  <c r="P721" i="7"/>
  <c r="G721" i="7" l="1"/>
  <c r="R721" i="7"/>
  <c r="L721" i="7" l="1"/>
  <c r="M721" i="7" s="1"/>
  <c r="N721" i="7" s="1"/>
  <c r="H721" i="7"/>
  <c r="I721" i="7" s="1"/>
  <c r="J721" i="7" s="1"/>
  <c r="P722" i="7" l="1"/>
  <c r="K721" i="7"/>
  <c r="S722" i="7" s="1"/>
  <c r="O721" i="7"/>
  <c r="T722" i="7" s="1"/>
  <c r="Q722" i="7"/>
  <c r="R722" i="7" l="1"/>
  <c r="G722" i="7"/>
  <c r="L722" i="7" l="1"/>
  <c r="M722" i="7" s="1"/>
  <c r="N722" i="7" s="1"/>
  <c r="H722" i="7"/>
  <c r="I722" i="7" s="1"/>
  <c r="J722" i="7" s="1"/>
  <c r="P723" i="7" l="1"/>
  <c r="K722" i="7"/>
  <c r="S723" i="7" s="1"/>
  <c r="O722" i="7"/>
  <c r="T723" i="7" s="1"/>
  <c r="Q723" i="7"/>
  <c r="R723" i="7" l="1"/>
  <c r="G723" i="7"/>
  <c r="L723" i="7" l="1"/>
  <c r="M723" i="7" s="1"/>
  <c r="N723" i="7" s="1"/>
  <c r="H723" i="7"/>
  <c r="I723" i="7" s="1"/>
  <c r="J723" i="7" s="1"/>
  <c r="P724" i="7" l="1"/>
  <c r="K723" i="7"/>
  <c r="S724" i="7" s="1"/>
  <c r="Q724" i="7"/>
  <c r="O723" i="7"/>
  <c r="T724" i="7" s="1"/>
  <c r="G724" i="7" l="1"/>
  <c r="R724" i="7"/>
  <c r="H724" i="7" l="1"/>
  <c r="I724" i="7" s="1"/>
  <c r="J724" i="7" s="1"/>
  <c r="L724" i="7"/>
  <c r="M724" i="7" s="1"/>
  <c r="N724" i="7" s="1"/>
  <c r="Q725" i="7" l="1"/>
  <c r="O724" i="7"/>
  <c r="T725" i="7" s="1"/>
  <c r="K724" i="7"/>
  <c r="S725" i="7" s="1"/>
  <c r="P725" i="7"/>
  <c r="G725" i="7" l="1"/>
  <c r="R725" i="7"/>
  <c r="L725" i="7" l="1"/>
  <c r="M725" i="7" s="1"/>
  <c r="N725" i="7" s="1"/>
  <c r="H725" i="7"/>
  <c r="I725" i="7" s="1"/>
  <c r="J725" i="7" s="1"/>
  <c r="P726" i="7" l="1"/>
  <c r="K725" i="7"/>
  <c r="S726" i="7" s="1"/>
  <c r="Q726" i="7"/>
  <c r="O725" i="7"/>
  <c r="T726" i="7" s="1"/>
  <c r="G726" i="7" l="1"/>
  <c r="R726" i="7"/>
  <c r="H726" i="7" l="1"/>
  <c r="I726" i="7" s="1"/>
  <c r="J726" i="7" s="1"/>
  <c r="L726" i="7"/>
  <c r="M726" i="7" s="1"/>
  <c r="N726" i="7" s="1"/>
  <c r="Q727" i="7" l="1"/>
  <c r="O726" i="7"/>
  <c r="T727" i="7" s="1"/>
  <c r="P727" i="7"/>
  <c r="K726" i="7"/>
  <c r="S727" i="7" s="1"/>
  <c r="R727" i="7" l="1"/>
  <c r="G727" i="7"/>
  <c r="H727" i="7" l="1"/>
  <c r="I727" i="7" s="1"/>
  <c r="J727" i="7" s="1"/>
  <c r="L727" i="7"/>
  <c r="M727" i="7" s="1"/>
  <c r="N727" i="7" s="1"/>
  <c r="Q728" i="7" l="1"/>
  <c r="O727" i="7"/>
  <c r="T728" i="7" s="1"/>
  <c r="K727" i="7"/>
  <c r="S728" i="7" s="1"/>
  <c r="P728" i="7"/>
  <c r="G728" i="7" l="1"/>
  <c r="R728" i="7"/>
  <c r="H728" i="7" l="1"/>
  <c r="I728" i="7" s="1"/>
  <c r="J728" i="7" s="1"/>
  <c r="L728" i="7"/>
  <c r="M728" i="7" s="1"/>
  <c r="N728" i="7" s="1"/>
  <c r="O728" i="7" l="1"/>
  <c r="T729" i="7" s="1"/>
  <c r="Q729" i="7"/>
  <c r="P729" i="7"/>
  <c r="K728" i="7"/>
  <c r="S729" i="7" s="1"/>
  <c r="G729" i="7" l="1"/>
  <c r="R729" i="7"/>
  <c r="H729" i="7" l="1"/>
  <c r="I729" i="7" s="1"/>
  <c r="J729" i="7" s="1"/>
  <c r="L729" i="7"/>
  <c r="M729" i="7" s="1"/>
  <c r="N729" i="7" s="1"/>
  <c r="Q730" i="7" l="1"/>
  <c r="O729" i="7"/>
  <c r="T730" i="7" s="1"/>
  <c r="P730" i="7"/>
  <c r="K729" i="7"/>
  <c r="S730" i="7" s="1"/>
  <c r="R730" i="7" l="1"/>
  <c r="G730" i="7"/>
  <c r="L730" i="7" l="1"/>
  <c r="M730" i="7" s="1"/>
  <c r="N730" i="7" s="1"/>
  <c r="H730" i="7"/>
  <c r="I730" i="7" s="1"/>
  <c r="J730" i="7" s="1"/>
  <c r="K730" i="7" l="1"/>
  <c r="S731" i="7" s="1"/>
  <c r="P731" i="7"/>
  <c r="O730" i="7"/>
  <c r="T731" i="7" s="1"/>
  <c r="Q731" i="7"/>
  <c r="R731" i="7" l="1"/>
  <c r="G731" i="7"/>
  <c r="H731" i="7" l="1"/>
  <c r="I731" i="7" s="1"/>
  <c r="J731" i="7" s="1"/>
  <c r="L731" i="7"/>
  <c r="M731" i="7" s="1"/>
  <c r="N731" i="7" s="1"/>
  <c r="Q732" i="7" l="1"/>
  <c r="O731" i="7"/>
  <c r="T732" i="7" s="1"/>
  <c r="K731" i="7"/>
  <c r="S732" i="7" s="1"/>
  <c r="P732" i="7"/>
  <c r="R732" i="7" l="1"/>
  <c r="G732" i="7"/>
  <c r="H732" i="7" l="1"/>
  <c r="I732" i="7" s="1"/>
  <c r="J732" i="7" s="1"/>
  <c r="L732" i="7"/>
  <c r="M732" i="7" s="1"/>
  <c r="N732" i="7" s="1"/>
  <c r="Q733" i="7" l="1"/>
  <c r="O732" i="7"/>
  <c r="T733" i="7" s="1"/>
  <c r="K732" i="7"/>
  <c r="S733" i="7" s="1"/>
  <c r="P733" i="7"/>
  <c r="R733" i="7" l="1"/>
  <c r="G733" i="7"/>
  <c r="H733" i="7" l="1"/>
  <c r="I733" i="7" s="1"/>
  <c r="J733" i="7" s="1"/>
  <c r="L733" i="7"/>
  <c r="M733" i="7" s="1"/>
  <c r="N733" i="7" s="1"/>
  <c r="O733" i="7" l="1"/>
  <c r="T734" i="7" s="1"/>
  <c r="Q734" i="7"/>
  <c r="K733" i="7"/>
  <c r="S734" i="7" s="1"/>
  <c r="P734" i="7"/>
  <c r="R734" i="7" l="1"/>
  <c r="G734" i="7"/>
  <c r="L734" i="7" l="1"/>
  <c r="M734" i="7" s="1"/>
  <c r="N734" i="7" s="1"/>
  <c r="H734" i="7"/>
  <c r="I734" i="7" s="1"/>
  <c r="J734" i="7" s="1"/>
  <c r="P735" i="7" l="1"/>
  <c r="K734" i="7"/>
  <c r="S735" i="7" s="1"/>
  <c r="O734" i="7"/>
  <c r="T735" i="7" s="1"/>
  <c r="Q735" i="7"/>
  <c r="R735" i="7" l="1"/>
  <c r="G735" i="7"/>
  <c r="L735" i="7" l="1"/>
  <c r="M735" i="7" s="1"/>
  <c r="N735" i="7" s="1"/>
  <c r="H735" i="7"/>
  <c r="I735" i="7" s="1"/>
  <c r="J735" i="7" s="1"/>
  <c r="P736" i="7" l="1"/>
  <c r="K735" i="7"/>
  <c r="S736" i="7" s="1"/>
  <c r="Q736" i="7"/>
  <c r="O735" i="7"/>
  <c r="T736" i="7" s="1"/>
  <c r="G736" i="7" l="1"/>
  <c r="R736" i="7"/>
  <c r="H736" i="7" l="1"/>
  <c r="I736" i="7" s="1"/>
  <c r="J736" i="7" s="1"/>
  <c r="L736" i="7"/>
  <c r="M736" i="7" s="1"/>
  <c r="N736" i="7" s="1"/>
  <c r="Q737" i="7" l="1"/>
  <c r="O736" i="7"/>
  <c r="T737" i="7" s="1"/>
  <c r="P737" i="7"/>
  <c r="K736" i="7"/>
  <c r="S737" i="7" s="1"/>
  <c r="R737" i="7" l="1"/>
  <c r="G737" i="7"/>
  <c r="L737" i="7" l="1"/>
  <c r="M737" i="7" s="1"/>
  <c r="N737" i="7" s="1"/>
  <c r="H737" i="7"/>
  <c r="I737" i="7" s="1"/>
  <c r="J737" i="7" s="1"/>
  <c r="K737" i="7" l="1"/>
  <c r="S738" i="7" s="1"/>
  <c r="P738" i="7"/>
  <c r="Q738" i="7"/>
  <c r="O737" i="7"/>
  <c r="T738" i="7" s="1"/>
  <c r="G738" i="7" l="1"/>
  <c r="R738" i="7"/>
  <c r="L738" i="7" l="1"/>
  <c r="M738" i="7" s="1"/>
  <c r="N738" i="7" s="1"/>
  <c r="H738" i="7"/>
  <c r="I738" i="7" s="1"/>
  <c r="J738" i="7" s="1"/>
  <c r="P739" i="7" l="1"/>
  <c r="K738" i="7"/>
  <c r="S739" i="7" s="1"/>
  <c r="Q739" i="7"/>
  <c r="O738" i="7"/>
  <c r="T739" i="7" s="1"/>
  <c r="R739" i="7" l="1"/>
  <c r="G739" i="7"/>
  <c r="L739" i="7" l="1"/>
  <c r="M739" i="7" s="1"/>
  <c r="N739" i="7" s="1"/>
  <c r="H739" i="7"/>
  <c r="I739" i="7" s="1"/>
  <c r="J739" i="7" s="1"/>
  <c r="K739" i="7" l="1"/>
  <c r="S740" i="7" s="1"/>
  <c r="P740" i="7"/>
  <c r="O739" i="7"/>
  <c r="T740" i="7" s="1"/>
  <c r="Q740" i="7"/>
  <c r="G740" i="7" l="1"/>
  <c r="R740" i="7"/>
  <c r="L740" i="7" l="1"/>
  <c r="M740" i="7" s="1"/>
  <c r="N740" i="7" s="1"/>
  <c r="H740" i="7"/>
  <c r="I740" i="7" s="1"/>
  <c r="J740" i="7" s="1"/>
  <c r="P741" i="7" l="1"/>
  <c r="K740" i="7"/>
  <c r="S741" i="7" s="1"/>
  <c r="O740" i="7"/>
  <c r="T741" i="7" s="1"/>
  <c r="Q741" i="7"/>
  <c r="R741" i="7" l="1"/>
  <c r="G741" i="7"/>
  <c r="L741" i="7" l="1"/>
  <c r="M741" i="7" s="1"/>
  <c r="N741" i="7" s="1"/>
  <c r="H741" i="7"/>
  <c r="I741" i="7" s="1"/>
  <c r="J741" i="7" s="1"/>
  <c r="K741" i="7" l="1"/>
  <c r="S742" i="7" s="1"/>
  <c r="P742" i="7"/>
  <c r="Q742" i="7"/>
  <c r="O741" i="7"/>
  <c r="T742" i="7" s="1"/>
  <c r="R742" i="7" l="1"/>
  <c r="G742" i="7"/>
  <c r="H742" i="7" l="1"/>
  <c r="I742" i="7" s="1"/>
  <c r="J742" i="7" s="1"/>
  <c r="L742" i="7"/>
  <c r="M742" i="7" s="1"/>
  <c r="N742" i="7" s="1"/>
  <c r="Q743" i="7" l="1"/>
  <c r="O742" i="7"/>
  <c r="T743" i="7" s="1"/>
  <c r="P743" i="7"/>
  <c r="K742" i="7"/>
  <c r="S743" i="7" s="1"/>
  <c r="G743" i="7" l="1"/>
  <c r="R743" i="7"/>
  <c r="L743" i="7" l="1"/>
  <c r="M743" i="7" s="1"/>
  <c r="N743" i="7" s="1"/>
  <c r="H743" i="7"/>
  <c r="I743" i="7" s="1"/>
  <c r="J743" i="7" s="1"/>
  <c r="P744" i="7" l="1"/>
  <c r="K743" i="7"/>
  <c r="S744" i="7" s="1"/>
  <c r="Q744" i="7"/>
  <c r="O743" i="7"/>
  <c r="T744" i="7" s="1"/>
  <c r="G744" i="7" l="1"/>
  <c r="R744" i="7"/>
  <c r="L744" i="7" l="1"/>
  <c r="M744" i="7" s="1"/>
  <c r="N744" i="7" s="1"/>
  <c r="H744" i="7"/>
  <c r="I744" i="7" s="1"/>
  <c r="J744" i="7" s="1"/>
  <c r="K744" i="7" l="1"/>
  <c r="S745" i="7" s="1"/>
  <c r="P745" i="7"/>
  <c r="O744" i="7"/>
  <c r="T745" i="7" s="1"/>
  <c r="Q745" i="7"/>
  <c r="R745" i="7" l="1"/>
  <c r="G745" i="7"/>
  <c r="H745" i="7" l="1"/>
  <c r="I745" i="7" s="1"/>
  <c r="J745" i="7" s="1"/>
  <c r="L745" i="7"/>
  <c r="M745" i="7" s="1"/>
  <c r="N745" i="7" s="1"/>
  <c r="O745" i="7" l="1"/>
  <c r="T746" i="7" s="1"/>
  <c r="Q746" i="7"/>
  <c r="K745" i="7"/>
  <c r="S746" i="7" s="1"/>
  <c r="P746" i="7"/>
  <c r="G746" i="7" l="1"/>
  <c r="R746" i="7"/>
  <c r="H746" i="7" l="1"/>
  <c r="I746" i="7" s="1"/>
  <c r="J746" i="7" s="1"/>
  <c r="L746" i="7"/>
  <c r="M746" i="7" s="1"/>
  <c r="N746" i="7" s="1"/>
  <c r="Q747" i="7" l="1"/>
  <c r="O746" i="7"/>
  <c r="T747" i="7" s="1"/>
  <c r="K746" i="7"/>
  <c r="S747" i="7" s="1"/>
  <c r="P747" i="7"/>
  <c r="G747" i="7" l="1"/>
  <c r="R747" i="7"/>
  <c r="H747" i="7" l="1"/>
  <c r="I747" i="7" s="1"/>
  <c r="J747" i="7" s="1"/>
  <c r="L747" i="7"/>
  <c r="M747" i="7" s="1"/>
  <c r="N747" i="7" s="1"/>
  <c r="O747" i="7" l="1"/>
  <c r="T748" i="7" s="1"/>
  <c r="Q748" i="7"/>
  <c r="K747" i="7"/>
  <c r="S748" i="7" s="1"/>
  <c r="P748" i="7"/>
  <c r="G748" i="7" l="1"/>
  <c r="R748" i="7"/>
  <c r="L748" i="7" l="1"/>
  <c r="M748" i="7" s="1"/>
  <c r="N748" i="7" s="1"/>
  <c r="H748" i="7"/>
  <c r="I748" i="7" s="1"/>
  <c r="J748" i="7" s="1"/>
  <c r="P749" i="7" l="1"/>
  <c r="K748" i="7"/>
  <c r="S749" i="7" s="1"/>
  <c r="O748" i="7"/>
  <c r="T749" i="7" s="1"/>
  <c r="Q749" i="7"/>
  <c r="R749" i="7" l="1"/>
  <c r="G749" i="7"/>
  <c r="L749" i="7" l="1"/>
  <c r="M749" i="7" s="1"/>
  <c r="N749" i="7" s="1"/>
  <c r="H749" i="7"/>
  <c r="I749" i="7" s="1"/>
  <c r="J749" i="7" s="1"/>
  <c r="P750" i="7" l="1"/>
  <c r="K749" i="7"/>
  <c r="S750" i="7" s="1"/>
  <c r="O749" i="7"/>
  <c r="T750" i="7" s="1"/>
  <c r="Q750" i="7"/>
  <c r="R750" i="7" l="1"/>
  <c r="G750" i="7"/>
  <c r="L750" i="7" l="1"/>
  <c r="M750" i="7" s="1"/>
  <c r="N750" i="7" s="1"/>
  <c r="H750" i="7"/>
  <c r="I750" i="7" s="1"/>
  <c r="J750" i="7" s="1"/>
  <c r="P751" i="7" l="1"/>
  <c r="K750" i="7"/>
  <c r="S751" i="7" s="1"/>
  <c r="Q751" i="7"/>
  <c r="O750" i="7"/>
  <c r="T751" i="7" s="1"/>
  <c r="G751" i="7" l="1"/>
  <c r="R751" i="7"/>
  <c r="H751" i="7" l="1"/>
  <c r="I751" i="7" s="1"/>
  <c r="J751" i="7" s="1"/>
  <c r="L751" i="7"/>
  <c r="M751" i="7" s="1"/>
  <c r="N751" i="7" s="1"/>
  <c r="Q752" i="7" l="1"/>
  <c r="O751" i="7"/>
  <c r="T752" i="7" s="1"/>
  <c r="K751" i="7"/>
  <c r="S752" i="7" s="1"/>
  <c r="P752" i="7"/>
  <c r="G752" i="7" l="1"/>
  <c r="R752" i="7"/>
  <c r="L752" i="7" l="1"/>
  <c r="M752" i="7" s="1"/>
  <c r="N752" i="7" s="1"/>
  <c r="H752" i="7"/>
  <c r="I752" i="7" s="1"/>
  <c r="J752" i="7" s="1"/>
  <c r="K752" i="7" l="1"/>
  <c r="S753" i="7" s="1"/>
  <c r="P753" i="7"/>
  <c r="Q753" i="7"/>
  <c r="O752" i="7"/>
  <c r="T753" i="7" s="1"/>
  <c r="R753" i="7" l="1"/>
  <c r="G753" i="7"/>
  <c r="H753" i="7" l="1"/>
  <c r="I753" i="7" s="1"/>
  <c r="J753" i="7" s="1"/>
  <c r="L753" i="7"/>
  <c r="M753" i="7" s="1"/>
  <c r="N753" i="7" s="1"/>
  <c r="Q754" i="7" l="1"/>
  <c r="O753" i="7"/>
  <c r="T754" i="7" s="1"/>
  <c r="P754" i="7"/>
  <c r="K753" i="7"/>
  <c r="S754" i="7" s="1"/>
  <c r="G754" i="7" l="1"/>
  <c r="R754" i="7"/>
  <c r="H754" i="7" l="1"/>
  <c r="I754" i="7" s="1"/>
  <c r="J754" i="7" s="1"/>
  <c r="L754" i="7"/>
  <c r="M754" i="7" s="1"/>
  <c r="N754" i="7" s="1"/>
  <c r="Q755" i="7" l="1"/>
  <c r="O754" i="7"/>
  <c r="T755" i="7" s="1"/>
  <c r="P755" i="7"/>
  <c r="K754" i="7"/>
  <c r="S755" i="7" s="1"/>
  <c r="R755" i="7" l="1"/>
  <c r="G755" i="7"/>
  <c r="H755" i="7" l="1"/>
  <c r="I755" i="7" s="1"/>
  <c r="J755" i="7" s="1"/>
  <c r="L755" i="7"/>
  <c r="M755" i="7" s="1"/>
  <c r="N755" i="7" s="1"/>
  <c r="Q756" i="7" l="1"/>
  <c r="O755" i="7"/>
  <c r="T756" i="7" s="1"/>
  <c r="P756" i="7"/>
  <c r="K755" i="7"/>
  <c r="S756" i="7" s="1"/>
  <c r="G756" i="7" l="1"/>
  <c r="R756" i="7"/>
  <c r="H756" i="7" l="1"/>
  <c r="I756" i="7" s="1"/>
  <c r="J756" i="7" s="1"/>
  <c r="L756" i="7"/>
  <c r="M756" i="7" s="1"/>
  <c r="N756" i="7" s="1"/>
  <c r="O756" i="7" l="1"/>
  <c r="T757" i="7" s="1"/>
  <c r="Q757" i="7"/>
  <c r="K756" i="7"/>
  <c r="S757" i="7" s="1"/>
  <c r="P757" i="7"/>
  <c r="G757" i="7" l="1"/>
  <c r="R757" i="7"/>
  <c r="H757" i="7" l="1"/>
  <c r="I757" i="7" s="1"/>
  <c r="J757" i="7" s="1"/>
  <c r="L757" i="7"/>
  <c r="M757" i="7" s="1"/>
  <c r="N757" i="7" s="1"/>
  <c r="O757" i="7" l="1"/>
  <c r="T758" i="7" s="1"/>
  <c r="Q758" i="7"/>
  <c r="P758" i="7"/>
  <c r="K757" i="7"/>
  <c r="S758" i="7" s="1"/>
  <c r="R758" i="7" l="1"/>
  <c r="G758" i="7"/>
  <c r="H758" i="7" l="1"/>
  <c r="I758" i="7" s="1"/>
  <c r="J758" i="7" s="1"/>
  <c r="L758" i="7"/>
  <c r="M758" i="7" s="1"/>
  <c r="N758" i="7" s="1"/>
  <c r="Q759" i="7" l="1"/>
  <c r="O758" i="7"/>
  <c r="T759" i="7" s="1"/>
  <c r="K758" i="7"/>
  <c r="S759" i="7" s="1"/>
  <c r="P759" i="7"/>
  <c r="G759" i="7" l="1"/>
  <c r="R759" i="7"/>
  <c r="H759" i="7" l="1"/>
  <c r="I759" i="7" s="1"/>
  <c r="J759" i="7" s="1"/>
  <c r="L759" i="7"/>
  <c r="M759" i="7" s="1"/>
  <c r="N759" i="7" s="1"/>
  <c r="Q760" i="7" l="1"/>
  <c r="O759" i="7"/>
  <c r="T760" i="7" s="1"/>
  <c r="P760" i="7"/>
  <c r="K759" i="7"/>
  <c r="S760" i="7" s="1"/>
  <c r="G760" i="7" l="1"/>
  <c r="R760" i="7"/>
  <c r="H760" i="7" l="1"/>
  <c r="I760" i="7" s="1"/>
  <c r="J760" i="7" s="1"/>
  <c r="L760" i="7"/>
  <c r="M760" i="7" s="1"/>
  <c r="N760" i="7" s="1"/>
  <c r="O760" i="7" l="1"/>
  <c r="T761" i="7" s="1"/>
  <c r="Q761" i="7"/>
  <c r="P761" i="7"/>
  <c r="K760" i="7"/>
  <c r="S761" i="7" s="1"/>
  <c r="G761" i="7" l="1"/>
  <c r="R761" i="7"/>
  <c r="H761" i="7" l="1"/>
  <c r="I761" i="7" s="1"/>
  <c r="J761" i="7" s="1"/>
  <c r="L761" i="7"/>
  <c r="M761" i="7" s="1"/>
  <c r="N761" i="7" s="1"/>
  <c r="Q762" i="7" l="1"/>
  <c r="O761" i="7"/>
  <c r="T762" i="7" s="1"/>
  <c r="P762" i="7"/>
  <c r="K761" i="7"/>
  <c r="S762" i="7" s="1"/>
  <c r="R762" i="7" l="1"/>
  <c r="G762" i="7"/>
  <c r="H762" i="7" l="1"/>
  <c r="I762" i="7" s="1"/>
  <c r="J762" i="7" s="1"/>
  <c r="L762" i="7"/>
  <c r="M762" i="7" s="1"/>
  <c r="N762" i="7" s="1"/>
  <c r="O762" i="7" l="1"/>
  <c r="T763" i="7" s="1"/>
  <c r="Q763" i="7"/>
  <c r="P763" i="7"/>
  <c r="K762" i="7"/>
  <c r="S763" i="7" s="1"/>
  <c r="G763" i="7" l="1"/>
  <c r="R763" i="7"/>
  <c r="H763" i="7" l="1"/>
  <c r="I763" i="7" s="1"/>
  <c r="J763" i="7" s="1"/>
  <c r="L763" i="7"/>
  <c r="M763" i="7" s="1"/>
  <c r="N763" i="7" s="1"/>
  <c r="Q764" i="7" l="1"/>
  <c r="O763" i="7"/>
  <c r="T764" i="7" s="1"/>
  <c r="P764" i="7"/>
  <c r="K763" i="7"/>
  <c r="S764" i="7" s="1"/>
  <c r="R764" i="7" l="1"/>
  <c r="G764" i="7"/>
  <c r="L764" i="7" l="1"/>
  <c r="M764" i="7" s="1"/>
  <c r="N764" i="7" s="1"/>
  <c r="H764" i="7"/>
  <c r="I764" i="7" s="1"/>
  <c r="J764" i="7" s="1"/>
  <c r="K764" i="7" l="1"/>
  <c r="S765" i="7" s="1"/>
  <c r="P765" i="7"/>
  <c r="O764" i="7"/>
  <c r="T765" i="7" s="1"/>
  <c r="Q765" i="7"/>
  <c r="R765" i="7" l="1"/>
  <c r="G765" i="7"/>
  <c r="L765" i="7" l="1"/>
  <c r="M765" i="7" s="1"/>
  <c r="N765" i="7" s="1"/>
  <c r="H765" i="7"/>
  <c r="I765" i="7" s="1"/>
  <c r="J765" i="7" s="1"/>
  <c r="K765" i="7" l="1"/>
  <c r="S766" i="7" s="1"/>
  <c r="P766" i="7"/>
  <c r="Q766" i="7"/>
  <c r="O765" i="7"/>
  <c r="T766" i="7" s="1"/>
  <c r="G766" i="7" l="1"/>
  <c r="R766" i="7"/>
  <c r="H766" i="7" l="1"/>
  <c r="I766" i="7" s="1"/>
  <c r="J766" i="7" s="1"/>
  <c r="L766" i="7"/>
  <c r="M766" i="7" s="1"/>
  <c r="N766" i="7" s="1"/>
  <c r="Q767" i="7" l="1"/>
  <c r="O766" i="7"/>
  <c r="T767" i="7" s="1"/>
  <c r="K766" i="7"/>
  <c r="S767" i="7" s="1"/>
  <c r="P767" i="7"/>
  <c r="G767" i="7" l="1"/>
  <c r="R767" i="7"/>
  <c r="H767" i="7" l="1"/>
  <c r="I767" i="7" s="1"/>
  <c r="J767" i="7" s="1"/>
  <c r="L767" i="7"/>
  <c r="M767" i="7" s="1"/>
  <c r="N767" i="7" s="1"/>
  <c r="O767" i="7" l="1"/>
  <c r="T768" i="7" s="1"/>
  <c r="Q768" i="7"/>
  <c r="P768" i="7"/>
  <c r="K767" i="7"/>
  <c r="S768" i="7" s="1"/>
  <c r="G768" i="7" l="1"/>
  <c r="R768" i="7"/>
  <c r="H768" i="7" l="1"/>
  <c r="I768" i="7" s="1"/>
  <c r="J768" i="7" s="1"/>
  <c r="L768" i="7"/>
  <c r="M768" i="7" s="1"/>
  <c r="N768" i="7" s="1"/>
  <c r="O768" i="7" l="1"/>
  <c r="T769" i="7" s="1"/>
  <c r="Q769" i="7"/>
  <c r="K768" i="7"/>
  <c r="S769" i="7" s="1"/>
  <c r="P769" i="7"/>
  <c r="R769" i="7" l="1"/>
  <c r="G769" i="7"/>
  <c r="L769" i="7" l="1"/>
  <c r="M769" i="7" s="1"/>
  <c r="N769" i="7" s="1"/>
  <c r="H769" i="7"/>
  <c r="I769" i="7" s="1"/>
  <c r="J769" i="7" s="1"/>
  <c r="P770" i="7" l="1"/>
  <c r="K769" i="7"/>
  <c r="S770" i="7" s="1"/>
  <c r="Q770" i="7"/>
  <c r="O769" i="7"/>
  <c r="T770" i="7" s="1"/>
  <c r="R770" i="7" l="1"/>
  <c r="G770" i="7"/>
  <c r="L770" i="7" l="1"/>
  <c r="M770" i="7" s="1"/>
  <c r="N770" i="7" s="1"/>
  <c r="H770" i="7"/>
  <c r="I770" i="7" s="1"/>
  <c r="J770" i="7" s="1"/>
  <c r="K770" i="7" l="1"/>
  <c r="S771" i="7" s="1"/>
  <c r="P771" i="7"/>
  <c r="Q771" i="7"/>
  <c r="O770" i="7"/>
  <c r="T771" i="7" s="1"/>
  <c r="R771" i="7" l="1"/>
  <c r="G771" i="7"/>
  <c r="L771" i="7" l="1"/>
  <c r="M771" i="7" s="1"/>
  <c r="N771" i="7" s="1"/>
  <c r="H771" i="7"/>
  <c r="I771" i="7" s="1"/>
  <c r="J771" i="7" s="1"/>
  <c r="K771" i="7" l="1"/>
  <c r="S772" i="7" s="1"/>
  <c r="P772" i="7"/>
  <c r="Q772" i="7"/>
  <c r="O771" i="7"/>
  <c r="T772" i="7" s="1"/>
  <c r="G772" i="7" l="1"/>
  <c r="R772" i="7"/>
  <c r="L772" i="7" l="1"/>
  <c r="M772" i="7" s="1"/>
  <c r="N772" i="7" s="1"/>
  <c r="H772" i="7"/>
  <c r="I772" i="7" s="1"/>
  <c r="J772" i="7" s="1"/>
  <c r="K772" i="7" l="1"/>
  <c r="S773" i="7" s="1"/>
  <c r="P773" i="7"/>
  <c r="O772" i="7"/>
  <c r="T773" i="7" s="1"/>
  <c r="Q773" i="7"/>
  <c r="R773" i="7" l="1"/>
  <c r="G773" i="7"/>
  <c r="H773" i="7" l="1"/>
  <c r="I773" i="7" s="1"/>
  <c r="J773" i="7" s="1"/>
  <c r="L773" i="7"/>
  <c r="M773" i="7" s="1"/>
  <c r="N773" i="7" s="1"/>
  <c r="O773" i="7" l="1"/>
  <c r="T774" i="7" s="1"/>
  <c r="Q774" i="7"/>
  <c r="P774" i="7"/>
  <c r="K773" i="7"/>
  <c r="S774" i="7" s="1"/>
  <c r="G774" i="7" l="1"/>
  <c r="R774" i="7"/>
  <c r="L774" i="7" l="1"/>
  <c r="M774" i="7" s="1"/>
  <c r="N774" i="7" s="1"/>
  <c r="H774" i="7"/>
  <c r="I774" i="7" s="1"/>
  <c r="J774" i="7" s="1"/>
  <c r="K774" i="7" l="1"/>
  <c r="S775" i="7" s="1"/>
  <c r="P775" i="7"/>
  <c r="O774" i="7"/>
  <c r="T775" i="7" s="1"/>
  <c r="Q775" i="7"/>
  <c r="G775" i="7" l="1"/>
  <c r="R775" i="7"/>
  <c r="H775" i="7" l="1"/>
  <c r="I775" i="7" s="1"/>
  <c r="J775" i="7" s="1"/>
  <c r="L775" i="7"/>
  <c r="M775" i="7" s="1"/>
  <c r="N775" i="7" s="1"/>
  <c r="Q776" i="7" l="1"/>
  <c r="O775" i="7"/>
  <c r="T776" i="7" s="1"/>
  <c r="K775" i="7"/>
  <c r="S776" i="7" s="1"/>
  <c r="P776" i="7"/>
  <c r="R776" i="7" l="1"/>
  <c r="G776" i="7"/>
  <c r="H776" i="7" l="1"/>
  <c r="I776" i="7" s="1"/>
  <c r="J776" i="7" s="1"/>
  <c r="L776" i="7"/>
  <c r="M776" i="7" s="1"/>
  <c r="N776" i="7" s="1"/>
  <c r="Q777" i="7" l="1"/>
  <c r="O776" i="7"/>
  <c r="T777" i="7" s="1"/>
  <c r="K776" i="7"/>
  <c r="S777" i="7" s="1"/>
  <c r="P777" i="7"/>
  <c r="G777" i="7" l="1"/>
  <c r="R777" i="7"/>
  <c r="H777" i="7" l="1"/>
  <c r="I777" i="7" s="1"/>
  <c r="J777" i="7" s="1"/>
  <c r="L777" i="7"/>
  <c r="M777" i="7" s="1"/>
  <c r="N777" i="7" s="1"/>
  <c r="O777" i="7" l="1"/>
  <c r="T778" i="7" s="1"/>
  <c r="Q778" i="7"/>
  <c r="P778" i="7"/>
  <c r="K777" i="7"/>
  <c r="S778" i="7" s="1"/>
  <c r="R778" i="7" l="1"/>
  <c r="G778" i="7"/>
  <c r="H778" i="7" l="1"/>
  <c r="I778" i="7" s="1"/>
  <c r="J778" i="7" s="1"/>
  <c r="L778" i="7"/>
  <c r="M778" i="7" s="1"/>
  <c r="N778" i="7" s="1"/>
  <c r="Q779" i="7" l="1"/>
  <c r="O778" i="7"/>
  <c r="T779" i="7" s="1"/>
  <c r="P779" i="7"/>
  <c r="K778" i="7"/>
  <c r="S779" i="7" s="1"/>
  <c r="R779" i="7" l="1"/>
  <c r="G779" i="7"/>
  <c r="H779" i="7" l="1"/>
  <c r="I779" i="7" s="1"/>
  <c r="J779" i="7" s="1"/>
  <c r="L779" i="7"/>
  <c r="M779" i="7" s="1"/>
  <c r="N779" i="7" s="1"/>
  <c r="O779" i="7" l="1"/>
  <c r="T780" i="7" s="1"/>
  <c r="Q780" i="7"/>
  <c r="K779" i="7"/>
  <c r="S780" i="7" s="1"/>
  <c r="P780" i="7"/>
  <c r="R780" i="7" l="1"/>
  <c r="G780" i="7"/>
  <c r="L780" i="7" l="1"/>
  <c r="M780" i="7" s="1"/>
  <c r="N780" i="7" s="1"/>
  <c r="H780" i="7"/>
  <c r="I780" i="7" s="1"/>
  <c r="J780" i="7" s="1"/>
  <c r="P781" i="7" l="1"/>
  <c r="K780" i="7"/>
  <c r="S781" i="7" s="1"/>
  <c r="Q781" i="7"/>
  <c r="O780" i="7"/>
  <c r="T781" i="7" s="1"/>
  <c r="G781" i="7" l="1"/>
  <c r="R781" i="7"/>
  <c r="H781" i="7" l="1"/>
  <c r="I781" i="7" s="1"/>
  <c r="J781" i="7" s="1"/>
  <c r="L781" i="7"/>
  <c r="M781" i="7" s="1"/>
  <c r="N781" i="7" s="1"/>
  <c r="O781" i="7" l="1"/>
  <c r="T782" i="7" s="1"/>
  <c r="Q782" i="7"/>
  <c r="K781" i="7"/>
  <c r="S782" i="7" s="1"/>
  <c r="P782" i="7"/>
  <c r="R782" i="7" l="1"/>
  <c r="G782" i="7"/>
  <c r="H782" i="7" l="1"/>
  <c r="I782" i="7" s="1"/>
  <c r="J782" i="7" s="1"/>
  <c r="L782" i="7"/>
  <c r="M782" i="7" s="1"/>
  <c r="N782" i="7" s="1"/>
  <c r="Q783" i="7" l="1"/>
  <c r="O782" i="7"/>
  <c r="T783" i="7" s="1"/>
  <c r="P783" i="7"/>
  <c r="K782" i="7"/>
  <c r="S783" i="7" s="1"/>
  <c r="R783" i="7" l="1"/>
  <c r="G783" i="7"/>
  <c r="L783" i="7" l="1"/>
  <c r="M783" i="7" s="1"/>
  <c r="N783" i="7" s="1"/>
  <c r="H783" i="7"/>
  <c r="I783" i="7" s="1"/>
  <c r="J783" i="7" s="1"/>
  <c r="P784" i="7" l="1"/>
  <c r="K783" i="7"/>
  <c r="S784" i="7" s="1"/>
  <c r="Q784" i="7"/>
  <c r="O783" i="7"/>
  <c r="T784" i="7" s="1"/>
  <c r="R784" i="7" l="1"/>
  <c r="G784" i="7"/>
  <c r="L784" i="7" l="1"/>
  <c r="M784" i="7" s="1"/>
  <c r="N784" i="7" s="1"/>
  <c r="H784" i="7"/>
  <c r="I784" i="7" s="1"/>
  <c r="J784" i="7" s="1"/>
  <c r="P785" i="7" l="1"/>
  <c r="K784" i="7"/>
  <c r="S785" i="7" s="1"/>
  <c r="O784" i="7"/>
  <c r="T785" i="7" s="1"/>
  <c r="Q785" i="7"/>
  <c r="R785" i="7" l="1"/>
  <c r="G785" i="7"/>
  <c r="L785" i="7" l="1"/>
  <c r="M785" i="7" s="1"/>
  <c r="N785" i="7" s="1"/>
  <c r="H785" i="7"/>
  <c r="I785" i="7" s="1"/>
  <c r="J785" i="7" s="1"/>
  <c r="P786" i="7" l="1"/>
  <c r="K785" i="7"/>
  <c r="S786" i="7" s="1"/>
  <c r="O785" i="7"/>
  <c r="T786" i="7" s="1"/>
  <c r="Q786" i="7"/>
  <c r="G786" i="7" l="1"/>
  <c r="R786" i="7"/>
  <c r="H786" i="7" l="1"/>
  <c r="I786" i="7" s="1"/>
  <c r="J786" i="7" s="1"/>
  <c r="L786" i="7"/>
  <c r="M786" i="7" s="1"/>
  <c r="N786" i="7" s="1"/>
  <c r="O786" i="7" l="1"/>
  <c r="T787" i="7" s="1"/>
  <c r="Q787" i="7"/>
  <c r="P787" i="7"/>
  <c r="K786" i="7"/>
  <c r="S787" i="7" s="1"/>
  <c r="G787" i="7" l="1"/>
  <c r="R787" i="7"/>
  <c r="L787" i="7" l="1"/>
  <c r="M787" i="7" s="1"/>
  <c r="N787" i="7" s="1"/>
  <c r="H787" i="7"/>
  <c r="I787" i="7" s="1"/>
  <c r="J787" i="7" s="1"/>
  <c r="P788" i="7" l="1"/>
  <c r="K787" i="7"/>
  <c r="S788" i="7" s="1"/>
  <c r="Q788" i="7"/>
  <c r="O787" i="7"/>
  <c r="T788" i="7" s="1"/>
  <c r="R788" i="7" l="1"/>
  <c r="G788" i="7"/>
  <c r="L788" i="7" l="1"/>
  <c r="M788" i="7" s="1"/>
  <c r="N788" i="7" s="1"/>
  <c r="H788" i="7"/>
  <c r="I788" i="7" s="1"/>
  <c r="J788" i="7" s="1"/>
  <c r="K788" i="7" l="1"/>
  <c r="S789" i="7" s="1"/>
  <c r="P789" i="7"/>
  <c r="O788" i="7"/>
  <c r="T789" i="7" s="1"/>
  <c r="Q789" i="7"/>
  <c r="R789" i="7" l="1"/>
  <c r="G789" i="7"/>
  <c r="H789" i="7" l="1"/>
  <c r="I789" i="7" s="1"/>
  <c r="J789" i="7" s="1"/>
  <c r="L789" i="7"/>
  <c r="M789" i="7" s="1"/>
  <c r="N789" i="7" s="1"/>
  <c r="Q790" i="7" l="1"/>
  <c r="O789" i="7"/>
  <c r="T790" i="7" s="1"/>
  <c r="P790" i="7"/>
  <c r="K789" i="7"/>
  <c r="S790" i="7" s="1"/>
  <c r="R790" i="7" l="1"/>
  <c r="G790" i="7"/>
  <c r="L790" i="7" l="1"/>
  <c r="M790" i="7" s="1"/>
  <c r="N790" i="7" s="1"/>
  <c r="H790" i="7"/>
  <c r="I790" i="7" s="1"/>
  <c r="J790" i="7" s="1"/>
  <c r="K790" i="7" l="1"/>
  <c r="S791" i="7" s="1"/>
  <c r="P791" i="7"/>
  <c r="Q791" i="7"/>
  <c r="O790" i="7"/>
  <c r="T791" i="7" s="1"/>
  <c r="R791" i="7" l="1"/>
  <c r="G791" i="7"/>
  <c r="L791" i="7" l="1"/>
  <c r="M791" i="7" s="1"/>
  <c r="N791" i="7" s="1"/>
  <c r="H791" i="7"/>
  <c r="I791" i="7" s="1"/>
  <c r="J791" i="7" s="1"/>
  <c r="K791" i="7" l="1"/>
  <c r="S792" i="7" s="1"/>
  <c r="P792" i="7"/>
  <c r="Q792" i="7"/>
  <c r="O791" i="7"/>
  <c r="T792" i="7" s="1"/>
  <c r="R792" i="7" l="1"/>
  <c r="G792" i="7"/>
  <c r="H792" i="7" l="1"/>
  <c r="I792" i="7" s="1"/>
  <c r="J792" i="7" s="1"/>
  <c r="L792" i="7"/>
  <c r="M792" i="7" s="1"/>
  <c r="N792" i="7" s="1"/>
  <c r="Q793" i="7" l="1"/>
  <c r="O792" i="7"/>
  <c r="T793" i="7" s="1"/>
  <c r="K792" i="7"/>
  <c r="S793" i="7" s="1"/>
  <c r="P793" i="7"/>
  <c r="R793" i="7" l="1"/>
  <c r="G793" i="7"/>
  <c r="H793" i="7" l="1"/>
  <c r="I793" i="7" s="1"/>
  <c r="J793" i="7" s="1"/>
  <c r="L793" i="7"/>
  <c r="M793" i="7" s="1"/>
  <c r="N793" i="7" s="1"/>
  <c r="Q794" i="7" l="1"/>
  <c r="O793" i="7"/>
  <c r="T794" i="7" s="1"/>
  <c r="P794" i="7"/>
  <c r="K793" i="7"/>
  <c r="S794" i="7" s="1"/>
  <c r="G794" i="7" l="1"/>
  <c r="R794" i="7"/>
  <c r="H794" i="7" l="1"/>
  <c r="I794" i="7" s="1"/>
  <c r="J794" i="7" s="1"/>
  <c r="L794" i="7"/>
  <c r="M794" i="7" s="1"/>
  <c r="N794" i="7" s="1"/>
  <c r="O794" i="7" l="1"/>
  <c r="T795" i="7" s="1"/>
  <c r="Q795" i="7"/>
  <c r="K794" i="7"/>
  <c r="S795" i="7" s="1"/>
  <c r="P795" i="7"/>
  <c r="R795" i="7" l="1"/>
  <c r="G795" i="7"/>
  <c r="H795" i="7" l="1"/>
  <c r="I795" i="7" s="1"/>
  <c r="J795" i="7" s="1"/>
  <c r="L795" i="7"/>
  <c r="M795" i="7" s="1"/>
  <c r="N795" i="7" s="1"/>
  <c r="Q796" i="7" l="1"/>
  <c r="O795" i="7"/>
  <c r="T796" i="7" s="1"/>
  <c r="K795" i="7"/>
  <c r="S796" i="7" s="1"/>
  <c r="P796" i="7"/>
  <c r="R796" i="7" l="1"/>
  <c r="G796" i="7"/>
  <c r="L796" i="7" l="1"/>
  <c r="M796" i="7" s="1"/>
  <c r="N796" i="7" s="1"/>
  <c r="H796" i="7"/>
  <c r="I796" i="7" s="1"/>
  <c r="J796" i="7" s="1"/>
  <c r="P797" i="7" l="1"/>
  <c r="K796" i="7"/>
  <c r="S797" i="7" s="1"/>
  <c r="O796" i="7"/>
  <c r="T797" i="7" s="1"/>
  <c r="Q797" i="7"/>
  <c r="R797" i="7" l="1"/>
  <c r="G797" i="7"/>
  <c r="H797" i="7" l="1"/>
  <c r="I797" i="7" s="1"/>
  <c r="J797" i="7" s="1"/>
  <c r="L797" i="7"/>
  <c r="M797" i="7" s="1"/>
  <c r="N797" i="7" s="1"/>
  <c r="Q798" i="7" l="1"/>
  <c r="O797" i="7"/>
  <c r="T798" i="7" s="1"/>
  <c r="K797" i="7"/>
  <c r="S798" i="7" s="1"/>
  <c r="P798" i="7"/>
  <c r="R798" i="7" l="1"/>
  <c r="G798" i="7"/>
  <c r="L798" i="7" l="1"/>
  <c r="M798" i="7" s="1"/>
  <c r="N798" i="7" s="1"/>
  <c r="H798" i="7"/>
  <c r="I798" i="7" s="1"/>
  <c r="J798" i="7" s="1"/>
  <c r="K798" i="7" l="1"/>
  <c r="S799" i="7" s="1"/>
  <c r="P799" i="7"/>
  <c r="Q799" i="7"/>
  <c r="O798" i="7"/>
  <c r="T799" i="7" s="1"/>
  <c r="R799" i="7" l="1"/>
  <c r="G799" i="7"/>
  <c r="H799" i="7" l="1"/>
  <c r="I799" i="7" s="1"/>
  <c r="J799" i="7" s="1"/>
  <c r="L799" i="7"/>
  <c r="M799" i="7" s="1"/>
  <c r="N799" i="7" s="1"/>
  <c r="O799" i="7" l="1"/>
  <c r="T800" i="7" s="1"/>
  <c r="Q800" i="7"/>
  <c r="K799" i="7"/>
  <c r="S800" i="7" s="1"/>
  <c r="P800" i="7"/>
  <c r="G800" i="7" l="1"/>
  <c r="R800" i="7"/>
  <c r="H800" i="7" l="1"/>
  <c r="I800" i="7" s="1"/>
  <c r="J800" i="7" s="1"/>
  <c r="L800" i="7"/>
  <c r="M800" i="7" s="1"/>
  <c r="N800" i="7" s="1"/>
  <c r="Q801" i="7" l="1"/>
  <c r="O800" i="7"/>
  <c r="T801" i="7" s="1"/>
  <c r="P801" i="7"/>
  <c r="K800" i="7"/>
  <c r="S801" i="7" s="1"/>
  <c r="G801" i="7" l="1"/>
  <c r="R801" i="7"/>
  <c r="H801" i="7" l="1"/>
  <c r="I801" i="7" s="1"/>
  <c r="J801" i="7" s="1"/>
  <c r="L801" i="7"/>
  <c r="M801" i="7" s="1"/>
  <c r="N801" i="7" s="1"/>
  <c r="Q802" i="7" l="1"/>
  <c r="O801" i="7"/>
  <c r="T802" i="7" s="1"/>
  <c r="P802" i="7"/>
  <c r="K801" i="7"/>
  <c r="S802" i="7" s="1"/>
  <c r="G802" i="7" l="1"/>
  <c r="R802" i="7"/>
  <c r="L802" i="7" l="1"/>
  <c r="M802" i="7" s="1"/>
  <c r="N802" i="7" s="1"/>
  <c r="H802" i="7"/>
  <c r="I802" i="7" s="1"/>
  <c r="J802" i="7" s="1"/>
  <c r="P803" i="7" l="1"/>
  <c r="K802" i="7"/>
  <c r="S803" i="7" s="1"/>
  <c r="O802" i="7"/>
  <c r="T803" i="7" s="1"/>
  <c r="Q803" i="7"/>
  <c r="G803" i="7" l="1"/>
  <c r="R803" i="7"/>
  <c r="L803" i="7" l="1"/>
  <c r="M803" i="7" s="1"/>
  <c r="N803" i="7" s="1"/>
  <c r="H803" i="7"/>
  <c r="I803" i="7" s="1"/>
  <c r="J803" i="7" s="1"/>
  <c r="P804" i="7" l="1"/>
  <c r="K803" i="7"/>
  <c r="S804" i="7" s="1"/>
  <c r="Q804" i="7"/>
  <c r="O803" i="7"/>
  <c r="T804" i="7" s="1"/>
  <c r="R804" i="7" l="1"/>
  <c r="G804" i="7"/>
  <c r="L804" i="7" l="1"/>
  <c r="M804" i="7" s="1"/>
  <c r="N804" i="7" s="1"/>
  <c r="H804" i="7"/>
  <c r="I804" i="7" s="1"/>
  <c r="J804" i="7" s="1"/>
  <c r="K804" i="7" l="1"/>
  <c r="S805" i="7" s="1"/>
  <c r="P805" i="7"/>
  <c r="Q805" i="7"/>
  <c r="O804" i="7"/>
  <c r="T805" i="7" s="1"/>
  <c r="G805" i="7" l="1"/>
  <c r="R805" i="7"/>
  <c r="L805" i="7" l="1"/>
  <c r="M805" i="7" s="1"/>
  <c r="N805" i="7" s="1"/>
  <c r="H805" i="7"/>
  <c r="I805" i="7" s="1"/>
  <c r="J805" i="7" s="1"/>
  <c r="P806" i="7" l="1"/>
  <c r="K805" i="7"/>
  <c r="S806" i="7" s="1"/>
  <c r="Q806" i="7"/>
  <c r="O805" i="7"/>
  <c r="T806" i="7" s="1"/>
  <c r="G806" i="7" l="1"/>
  <c r="R806" i="7"/>
  <c r="L806" i="7" l="1"/>
  <c r="M806" i="7" s="1"/>
  <c r="N806" i="7" s="1"/>
  <c r="H806" i="7"/>
  <c r="I806" i="7" s="1"/>
  <c r="J806" i="7" s="1"/>
  <c r="K806" i="7" l="1"/>
  <c r="S807" i="7" s="1"/>
  <c r="P807" i="7"/>
  <c r="Q807" i="7"/>
  <c r="O806" i="7"/>
  <c r="T807" i="7" s="1"/>
  <c r="R807" i="7" l="1"/>
  <c r="G807" i="7"/>
  <c r="H807" i="7" l="1"/>
  <c r="I807" i="7" s="1"/>
  <c r="J807" i="7" s="1"/>
  <c r="L807" i="7"/>
  <c r="M807" i="7" s="1"/>
  <c r="N807" i="7" s="1"/>
  <c r="O807" i="7" l="1"/>
  <c r="T808" i="7" s="1"/>
  <c r="Q808" i="7"/>
  <c r="K807" i="7"/>
  <c r="S808" i="7" s="1"/>
  <c r="P808" i="7"/>
  <c r="R808" i="7" l="1"/>
  <c r="G808" i="7"/>
  <c r="L808" i="7" l="1"/>
  <c r="M808" i="7" s="1"/>
  <c r="N808" i="7" s="1"/>
  <c r="H808" i="7"/>
  <c r="I808" i="7" s="1"/>
  <c r="J808" i="7" s="1"/>
  <c r="P809" i="7" l="1"/>
  <c r="K808" i="7"/>
  <c r="S809" i="7" s="1"/>
  <c r="O808" i="7"/>
  <c r="T809" i="7" s="1"/>
  <c r="Q809" i="7"/>
  <c r="R809" i="7" l="1"/>
  <c r="G809" i="7"/>
  <c r="L809" i="7" l="1"/>
  <c r="M809" i="7" s="1"/>
  <c r="N809" i="7" s="1"/>
  <c r="H809" i="7"/>
  <c r="I809" i="7" s="1"/>
  <c r="J809" i="7" s="1"/>
  <c r="P810" i="7" l="1"/>
  <c r="K809" i="7"/>
  <c r="S810" i="7" s="1"/>
  <c r="Q810" i="7"/>
  <c r="O809" i="7"/>
  <c r="T810" i="7" s="1"/>
  <c r="R810" i="7" l="1"/>
  <c r="G810" i="7"/>
  <c r="L810" i="7" l="1"/>
  <c r="M810" i="7" s="1"/>
  <c r="N810" i="7" s="1"/>
  <c r="H810" i="7"/>
  <c r="I810" i="7" s="1"/>
  <c r="J810" i="7" s="1"/>
  <c r="P811" i="7" l="1"/>
  <c r="K810" i="7"/>
  <c r="S811" i="7" s="1"/>
  <c r="O810" i="7"/>
  <c r="T811" i="7" s="1"/>
  <c r="Q811" i="7"/>
  <c r="G811" i="7" l="1"/>
  <c r="R811" i="7"/>
  <c r="H811" i="7" l="1"/>
  <c r="I811" i="7" s="1"/>
  <c r="J811" i="7" s="1"/>
  <c r="L811" i="7"/>
  <c r="M811" i="7" s="1"/>
  <c r="N811" i="7" s="1"/>
  <c r="O811" i="7" l="1"/>
  <c r="T812" i="7" s="1"/>
  <c r="Q812" i="7"/>
  <c r="K811" i="7"/>
  <c r="S812" i="7" s="1"/>
  <c r="P812" i="7"/>
  <c r="R812" i="7" l="1"/>
  <c r="G812" i="7"/>
  <c r="L812" i="7" l="1"/>
  <c r="M812" i="7" s="1"/>
  <c r="N812" i="7" s="1"/>
  <c r="H812" i="7"/>
  <c r="I812" i="7" s="1"/>
  <c r="J812" i="7" s="1"/>
  <c r="K812" i="7" l="1"/>
  <c r="S813" i="7" s="1"/>
  <c r="P813" i="7"/>
  <c r="Q813" i="7"/>
  <c r="O812" i="7"/>
  <c r="T813" i="7" s="1"/>
  <c r="R813" i="7" l="1"/>
  <c r="G813" i="7"/>
  <c r="H813" i="7" l="1"/>
  <c r="I813" i="7" s="1"/>
  <c r="J813" i="7" s="1"/>
  <c r="L813" i="7"/>
  <c r="M813" i="7" s="1"/>
  <c r="N813" i="7" s="1"/>
  <c r="Q814" i="7" l="1"/>
  <c r="O813" i="7"/>
  <c r="T814" i="7" s="1"/>
  <c r="P814" i="7"/>
  <c r="K813" i="7"/>
  <c r="S814" i="7" s="1"/>
  <c r="R814" i="7" l="1"/>
  <c r="G814" i="7"/>
  <c r="H814" i="7" l="1"/>
  <c r="I814" i="7" s="1"/>
  <c r="J814" i="7" s="1"/>
  <c r="L814" i="7"/>
  <c r="M814" i="7" s="1"/>
  <c r="N814" i="7" s="1"/>
  <c r="Q815" i="7" l="1"/>
  <c r="O814" i="7"/>
  <c r="T815" i="7" s="1"/>
  <c r="K814" i="7"/>
  <c r="S815" i="7" s="1"/>
  <c r="P815" i="7"/>
  <c r="G815" i="7" l="1"/>
  <c r="R815" i="7"/>
  <c r="L815" i="7" l="1"/>
  <c r="M815" i="7" s="1"/>
  <c r="N815" i="7" s="1"/>
  <c r="H815" i="7"/>
  <c r="I815" i="7" s="1"/>
  <c r="J815" i="7" s="1"/>
  <c r="K815" i="7" l="1"/>
  <c r="S816" i="7" s="1"/>
  <c r="P816" i="7"/>
  <c r="Q816" i="7"/>
  <c r="O815" i="7"/>
  <c r="T816" i="7" s="1"/>
  <c r="G816" i="7" l="1"/>
  <c r="R816" i="7"/>
  <c r="H816" i="7" l="1"/>
  <c r="I816" i="7" s="1"/>
  <c r="J816" i="7" s="1"/>
  <c r="L816" i="7"/>
  <c r="M816" i="7" s="1"/>
  <c r="N816" i="7" s="1"/>
  <c r="Q817" i="7" l="1"/>
  <c r="O816" i="7"/>
  <c r="T817" i="7" s="1"/>
  <c r="P817" i="7"/>
  <c r="K816" i="7"/>
  <c r="S817" i="7" s="1"/>
  <c r="G817" i="7" l="1"/>
  <c r="R817" i="7"/>
  <c r="H817" i="7" l="1"/>
  <c r="I817" i="7" s="1"/>
  <c r="J817" i="7" s="1"/>
  <c r="L817" i="7"/>
  <c r="M817" i="7" s="1"/>
  <c r="N817" i="7" s="1"/>
  <c r="O817" i="7" l="1"/>
  <c r="T818" i="7" s="1"/>
  <c r="Q818" i="7"/>
  <c r="P818" i="7"/>
  <c r="K817" i="7"/>
  <c r="S818" i="7" s="1"/>
  <c r="G818" i="7" l="1"/>
  <c r="R818" i="7"/>
  <c r="L818" i="7" l="1"/>
  <c r="M818" i="7" s="1"/>
  <c r="N818" i="7" s="1"/>
  <c r="H818" i="7"/>
  <c r="I818" i="7" s="1"/>
  <c r="J818" i="7" s="1"/>
  <c r="P819" i="7" l="1"/>
  <c r="K818" i="7"/>
  <c r="S819" i="7" s="1"/>
  <c r="Q819" i="7"/>
  <c r="O818" i="7"/>
  <c r="T819" i="7" s="1"/>
  <c r="R819" i="7" l="1"/>
  <c r="G819" i="7"/>
  <c r="L819" i="7" l="1"/>
  <c r="M819" i="7" s="1"/>
  <c r="N819" i="7" s="1"/>
  <c r="H819" i="7"/>
  <c r="I819" i="7" s="1"/>
  <c r="J819" i="7" s="1"/>
  <c r="P820" i="7" l="1"/>
  <c r="K819" i="7"/>
  <c r="S820" i="7" s="1"/>
  <c r="O819" i="7"/>
  <c r="T820" i="7" s="1"/>
  <c r="Q820" i="7"/>
  <c r="G820" i="7" l="1"/>
  <c r="R820" i="7"/>
  <c r="L820" i="7" l="1"/>
  <c r="M820" i="7" s="1"/>
  <c r="N820" i="7" s="1"/>
  <c r="H820" i="7"/>
  <c r="I820" i="7" s="1"/>
  <c r="J820" i="7" s="1"/>
  <c r="K820" i="7" l="1"/>
  <c r="S821" i="7" s="1"/>
  <c r="P821" i="7"/>
  <c r="Q821" i="7"/>
  <c r="O820" i="7"/>
  <c r="T821" i="7" s="1"/>
  <c r="G821" i="7" l="1"/>
  <c r="R821" i="7"/>
  <c r="L821" i="7" l="1"/>
  <c r="M821" i="7" s="1"/>
  <c r="N821" i="7" s="1"/>
  <c r="H821" i="7"/>
  <c r="I821" i="7" s="1"/>
  <c r="J821" i="7" s="1"/>
  <c r="P822" i="7" l="1"/>
  <c r="K821" i="7"/>
  <c r="S822" i="7" s="1"/>
  <c r="Q822" i="7"/>
  <c r="O821" i="7"/>
  <c r="T822" i="7" s="1"/>
  <c r="R822" i="7" l="1"/>
  <c r="G822" i="7"/>
  <c r="H822" i="7" l="1"/>
  <c r="I822" i="7" s="1"/>
  <c r="J822" i="7" s="1"/>
  <c r="L822" i="7"/>
  <c r="M822" i="7" s="1"/>
  <c r="N822" i="7" s="1"/>
  <c r="O822" i="7" l="1"/>
  <c r="T823" i="7" s="1"/>
  <c r="Q823" i="7"/>
  <c r="K822" i="7"/>
  <c r="S823" i="7" s="1"/>
  <c r="P823" i="7"/>
  <c r="R823" i="7" l="1"/>
  <c r="G823" i="7"/>
  <c r="L823" i="7" l="1"/>
  <c r="M823" i="7" s="1"/>
  <c r="N823" i="7" s="1"/>
  <c r="H823" i="7"/>
  <c r="I823" i="7" s="1"/>
  <c r="J823" i="7" s="1"/>
  <c r="K823" i="7" l="1"/>
  <c r="S824" i="7" s="1"/>
  <c r="P824" i="7"/>
  <c r="O823" i="7"/>
  <c r="T824" i="7" s="1"/>
  <c r="Q824" i="7"/>
  <c r="G824" i="7" l="1"/>
  <c r="R824" i="7"/>
  <c r="L824" i="7" l="1"/>
  <c r="M824" i="7" s="1"/>
  <c r="N824" i="7" s="1"/>
  <c r="H824" i="7"/>
  <c r="I824" i="7" s="1"/>
  <c r="J824" i="7" s="1"/>
  <c r="K824" i="7" l="1"/>
  <c r="S825" i="7" s="1"/>
  <c r="P825" i="7"/>
  <c r="Q825" i="7"/>
  <c r="O824" i="7"/>
  <c r="T825" i="7" s="1"/>
  <c r="G825" i="7" l="1"/>
  <c r="R825" i="7"/>
  <c r="L825" i="7" l="1"/>
  <c r="M825" i="7" s="1"/>
  <c r="N825" i="7" s="1"/>
  <c r="H825" i="7"/>
  <c r="I825" i="7" s="1"/>
  <c r="J825" i="7" s="1"/>
  <c r="K825" i="7" l="1"/>
  <c r="S826" i="7" s="1"/>
  <c r="P826" i="7"/>
  <c r="O825" i="7"/>
  <c r="T826" i="7" s="1"/>
  <c r="Q826" i="7"/>
  <c r="R826" i="7" l="1"/>
  <c r="G826" i="7"/>
  <c r="L826" i="7" l="1"/>
  <c r="M826" i="7" s="1"/>
  <c r="N826" i="7" s="1"/>
  <c r="H826" i="7"/>
  <c r="I826" i="7" s="1"/>
  <c r="J826" i="7" s="1"/>
  <c r="P827" i="7" l="1"/>
  <c r="K826" i="7"/>
  <c r="S827" i="7" s="1"/>
  <c r="Q827" i="7"/>
  <c r="O826" i="7"/>
  <c r="T827" i="7" s="1"/>
  <c r="R827" i="7" l="1"/>
  <c r="G827" i="7"/>
  <c r="L827" i="7" l="1"/>
  <c r="M827" i="7" s="1"/>
  <c r="N827" i="7" s="1"/>
  <c r="H827" i="7"/>
  <c r="I827" i="7" s="1"/>
  <c r="J827" i="7" s="1"/>
  <c r="P828" i="7" l="1"/>
  <c r="K827" i="7"/>
  <c r="S828" i="7" s="1"/>
  <c r="Q828" i="7"/>
  <c r="O827" i="7"/>
  <c r="T828" i="7" s="1"/>
  <c r="R828" i="7" l="1"/>
  <c r="G828" i="7"/>
  <c r="H828" i="7" l="1"/>
  <c r="I828" i="7" s="1"/>
  <c r="J828" i="7" s="1"/>
  <c r="L828" i="7"/>
  <c r="M828" i="7" s="1"/>
  <c r="N828" i="7" s="1"/>
  <c r="O828" i="7" l="1"/>
  <c r="T829" i="7" s="1"/>
  <c r="Q829" i="7"/>
  <c r="K828" i="7"/>
  <c r="S829" i="7" s="1"/>
  <c r="P829" i="7"/>
  <c r="G829" i="7" l="1"/>
  <c r="R829" i="7"/>
  <c r="H829" i="7" l="1"/>
  <c r="I829" i="7" s="1"/>
  <c r="J829" i="7" s="1"/>
  <c r="L829" i="7"/>
  <c r="M829" i="7" s="1"/>
  <c r="N829" i="7" s="1"/>
  <c r="O829" i="7" l="1"/>
  <c r="T830" i="7" s="1"/>
  <c r="Q830" i="7"/>
  <c r="K829" i="7"/>
  <c r="S830" i="7" s="1"/>
  <c r="P830" i="7"/>
  <c r="R830" i="7" l="1"/>
  <c r="G830" i="7"/>
  <c r="L830" i="7" l="1"/>
  <c r="M830" i="7" s="1"/>
  <c r="N830" i="7" s="1"/>
  <c r="H830" i="7"/>
  <c r="I830" i="7" s="1"/>
  <c r="J830" i="7" s="1"/>
  <c r="P831" i="7" l="1"/>
  <c r="K830" i="7"/>
  <c r="S831" i="7" s="1"/>
  <c r="O830" i="7"/>
  <c r="T831" i="7" s="1"/>
  <c r="Q831" i="7"/>
  <c r="G831" i="7" l="1"/>
  <c r="R831" i="7"/>
  <c r="H831" i="7" l="1"/>
  <c r="I831" i="7" s="1"/>
  <c r="J831" i="7" s="1"/>
  <c r="L831" i="7"/>
  <c r="M831" i="7" s="1"/>
  <c r="N831" i="7" s="1"/>
  <c r="O831" i="7" l="1"/>
  <c r="T832" i="7" s="1"/>
  <c r="Q832" i="7"/>
  <c r="K831" i="7"/>
  <c r="S832" i="7" s="1"/>
  <c r="P832" i="7"/>
  <c r="G832" i="7" l="1"/>
  <c r="R832" i="7"/>
  <c r="H832" i="7" l="1"/>
  <c r="I832" i="7" s="1"/>
  <c r="J832" i="7" s="1"/>
  <c r="L832" i="7"/>
  <c r="M832" i="7" s="1"/>
  <c r="N832" i="7" s="1"/>
  <c r="Q833" i="7" l="1"/>
  <c r="O832" i="7"/>
  <c r="T833" i="7" s="1"/>
  <c r="P833" i="7"/>
  <c r="K832" i="7"/>
  <c r="S833" i="7" s="1"/>
  <c r="G833" i="7" l="1"/>
  <c r="R833" i="7"/>
  <c r="H833" i="7" l="1"/>
  <c r="I833" i="7" s="1"/>
  <c r="J833" i="7" s="1"/>
  <c r="L833" i="7"/>
  <c r="M833" i="7" s="1"/>
  <c r="N833" i="7" s="1"/>
  <c r="Q834" i="7" l="1"/>
  <c r="O833" i="7"/>
  <c r="T834" i="7" s="1"/>
  <c r="P834" i="7"/>
  <c r="K833" i="7"/>
  <c r="S834" i="7" s="1"/>
  <c r="G834" i="7" l="1"/>
  <c r="R834" i="7"/>
  <c r="L834" i="7" l="1"/>
  <c r="M834" i="7" s="1"/>
  <c r="N834" i="7" s="1"/>
  <c r="H834" i="7"/>
  <c r="I834" i="7" s="1"/>
  <c r="J834" i="7" s="1"/>
  <c r="P835" i="7" l="1"/>
  <c r="K834" i="7"/>
  <c r="S835" i="7" s="1"/>
  <c r="Q835" i="7"/>
  <c r="O834" i="7"/>
  <c r="T835" i="7" s="1"/>
  <c r="G835" i="7" l="1"/>
  <c r="R835" i="7"/>
  <c r="H835" i="7" l="1"/>
  <c r="I835" i="7" s="1"/>
  <c r="J835" i="7" s="1"/>
  <c r="L835" i="7"/>
  <c r="M835" i="7" s="1"/>
  <c r="N835" i="7" s="1"/>
  <c r="O835" i="7" l="1"/>
  <c r="T836" i="7" s="1"/>
  <c r="Q836" i="7"/>
  <c r="P836" i="7"/>
  <c r="K835" i="7"/>
  <c r="S836" i="7" s="1"/>
  <c r="G836" i="7" l="1"/>
  <c r="R836" i="7"/>
  <c r="L836" i="7" l="1"/>
  <c r="M836" i="7" s="1"/>
  <c r="N836" i="7" s="1"/>
  <c r="H836" i="7"/>
  <c r="I836" i="7" s="1"/>
  <c r="J836" i="7" s="1"/>
  <c r="K836" i="7" l="1"/>
  <c r="S837" i="7" s="1"/>
  <c r="P837" i="7"/>
  <c r="Q837" i="7"/>
  <c r="O836" i="7"/>
  <c r="T837" i="7" s="1"/>
  <c r="R837" i="7" l="1"/>
  <c r="G837" i="7"/>
  <c r="H837" i="7" l="1"/>
  <c r="I837" i="7" s="1"/>
  <c r="J837" i="7" s="1"/>
  <c r="L837" i="7"/>
  <c r="M837" i="7" s="1"/>
  <c r="N837" i="7" s="1"/>
  <c r="O837" i="7" l="1"/>
  <c r="T838" i="7" s="1"/>
  <c r="Q838" i="7"/>
  <c r="K837" i="7"/>
  <c r="S838" i="7" s="1"/>
  <c r="P838" i="7"/>
  <c r="R838" i="7" l="1"/>
  <c r="G838" i="7"/>
  <c r="L838" i="7" l="1"/>
  <c r="M838" i="7" s="1"/>
  <c r="N838" i="7" s="1"/>
  <c r="H838" i="7"/>
  <c r="I838" i="7" s="1"/>
  <c r="J838" i="7" s="1"/>
  <c r="P839" i="7" l="1"/>
  <c r="K838" i="7"/>
  <c r="S839" i="7" s="1"/>
  <c r="O838" i="7"/>
  <c r="T839" i="7" s="1"/>
  <c r="Q839" i="7"/>
  <c r="R839" i="7" l="1"/>
  <c r="G839" i="7"/>
  <c r="L839" i="7" l="1"/>
  <c r="M839" i="7" s="1"/>
  <c r="N839" i="7" s="1"/>
  <c r="H839" i="7"/>
  <c r="I839" i="7" s="1"/>
  <c r="J839" i="7" s="1"/>
  <c r="K839" i="7" l="1"/>
  <c r="S840" i="7" s="1"/>
  <c r="P840" i="7"/>
  <c r="O839" i="7"/>
  <c r="T840" i="7" s="1"/>
  <c r="Q840" i="7"/>
  <c r="G840" i="7" l="1"/>
  <c r="R840" i="7"/>
  <c r="H840" i="7" l="1"/>
  <c r="I840" i="7" s="1"/>
  <c r="J840" i="7" s="1"/>
  <c r="L840" i="7"/>
  <c r="M840" i="7" s="1"/>
  <c r="N840" i="7" s="1"/>
  <c r="O840" i="7" l="1"/>
  <c r="T841" i="7" s="1"/>
  <c r="Q841" i="7"/>
  <c r="K840" i="7"/>
  <c r="S841" i="7" s="1"/>
  <c r="P841" i="7"/>
  <c r="G841" i="7" l="1"/>
  <c r="R841" i="7"/>
  <c r="L841" i="7" l="1"/>
  <c r="M841" i="7" s="1"/>
  <c r="N841" i="7" s="1"/>
  <c r="H841" i="7"/>
  <c r="I841" i="7" s="1"/>
  <c r="J841" i="7" s="1"/>
  <c r="K841" i="7" l="1"/>
  <c r="S842" i="7" s="1"/>
  <c r="P842" i="7"/>
  <c r="Q842" i="7"/>
  <c r="O841" i="7"/>
  <c r="T842" i="7" s="1"/>
  <c r="R842" i="7" l="1"/>
  <c r="G842" i="7"/>
  <c r="H842" i="7" l="1"/>
  <c r="I842" i="7" s="1"/>
  <c r="J842" i="7" s="1"/>
  <c r="L842" i="7"/>
  <c r="M842" i="7" s="1"/>
  <c r="N842" i="7" s="1"/>
  <c r="Q843" i="7" l="1"/>
  <c r="O842" i="7"/>
  <c r="T843" i="7" s="1"/>
  <c r="K842" i="7"/>
  <c r="S843" i="7" s="1"/>
  <c r="P843" i="7"/>
  <c r="G843" i="7" l="1"/>
  <c r="R843" i="7"/>
  <c r="L843" i="7" l="1"/>
  <c r="M843" i="7" s="1"/>
  <c r="N843" i="7" s="1"/>
  <c r="H843" i="7"/>
  <c r="I843" i="7" s="1"/>
  <c r="J843" i="7" s="1"/>
  <c r="K843" i="7" l="1"/>
  <c r="S844" i="7" s="1"/>
  <c r="P844" i="7"/>
  <c r="O843" i="7"/>
  <c r="T844" i="7" s="1"/>
  <c r="Q844" i="7"/>
  <c r="R844" i="7" l="1"/>
  <c r="G844" i="7"/>
  <c r="H844" i="7" l="1"/>
  <c r="I844" i="7" s="1"/>
  <c r="J844" i="7" s="1"/>
  <c r="L844" i="7"/>
  <c r="M844" i="7" s="1"/>
  <c r="N844" i="7" s="1"/>
  <c r="O844" i="7" l="1"/>
  <c r="T845" i="7" s="1"/>
  <c r="Q845" i="7"/>
  <c r="K844" i="7"/>
  <c r="S845" i="7" s="1"/>
  <c r="P845" i="7"/>
  <c r="G845" i="7" l="1"/>
  <c r="R845" i="7"/>
  <c r="H845" i="7" l="1"/>
  <c r="I845" i="7" s="1"/>
  <c r="J845" i="7" s="1"/>
  <c r="L845" i="7"/>
  <c r="M845" i="7" s="1"/>
  <c r="N845" i="7" s="1"/>
  <c r="Q846" i="7" l="1"/>
  <c r="O845" i="7"/>
  <c r="T846" i="7" s="1"/>
  <c r="P846" i="7"/>
  <c r="K845" i="7"/>
  <c r="S846" i="7" s="1"/>
  <c r="G846" i="7" l="1"/>
  <c r="R846" i="7"/>
  <c r="H846" i="7" l="1"/>
  <c r="I846" i="7" s="1"/>
  <c r="J846" i="7" s="1"/>
  <c r="L846" i="7"/>
  <c r="M846" i="7" s="1"/>
  <c r="N846" i="7" s="1"/>
  <c r="O846" i="7" l="1"/>
  <c r="T847" i="7" s="1"/>
  <c r="Q847" i="7"/>
  <c r="K846" i="7"/>
  <c r="S847" i="7" s="1"/>
  <c r="P847" i="7"/>
  <c r="G847" i="7" l="1"/>
  <c r="R847" i="7"/>
  <c r="H847" i="7" l="1"/>
  <c r="I847" i="7" s="1"/>
  <c r="J847" i="7" s="1"/>
  <c r="L847" i="7"/>
  <c r="M847" i="7" s="1"/>
  <c r="N847" i="7" s="1"/>
  <c r="O847" i="7" l="1"/>
  <c r="T848" i="7" s="1"/>
  <c r="Q848" i="7"/>
  <c r="P848" i="7"/>
  <c r="K847" i="7"/>
  <c r="S848" i="7" s="1"/>
  <c r="R848" i="7" l="1"/>
  <c r="G848" i="7"/>
  <c r="H848" i="7" l="1"/>
  <c r="I848" i="7" s="1"/>
  <c r="J848" i="7" s="1"/>
  <c r="L848" i="7"/>
  <c r="M848" i="7" s="1"/>
  <c r="N848" i="7" s="1"/>
  <c r="O848" i="7" l="1"/>
  <c r="T849" i="7" s="1"/>
  <c r="Q849" i="7"/>
  <c r="K848" i="7"/>
  <c r="S849" i="7" s="1"/>
  <c r="P849" i="7"/>
  <c r="R849" i="7" l="1"/>
  <c r="G849" i="7"/>
  <c r="H849" i="7" l="1"/>
  <c r="I849" i="7" s="1"/>
  <c r="J849" i="7" s="1"/>
  <c r="L849" i="7"/>
  <c r="M849" i="7" s="1"/>
  <c r="N849" i="7" s="1"/>
  <c r="Q850" i="7" l="1"/>
  <c r="O849" i="7"/>
  <c r="T850" i="7" s="1"/>
  <c r="P850" i="7"/>
  <c r="K849" i="7"/>
  <c r="S850" i="7" s="1"/>
  <c r="R850" i="7" l="1"/>
  <c r="G850" i="7"/>
  <c r="L850" i="7" l="1"/>
  <c r="M850" i="7" s="1"/>
  <c r="N850" i="7" s="1"/>
  <c r="H850" i="7"/>
  <c r="I850" i="7" s="1"/>
  <c r="J850" i="7" s="1"/>
  <c r="K850" i="7" l="1"/>
  <c r="S851" i="7" s="1"/>
  <c r="P851" i="7"/>
  <c r="Q851" i="7"/>
  <c r="O850" i="7"/>
  <c r="T851" i="7" s="1"/>
  <c r="G851" i="7" l="1"/>
  <c r="R851" i="7"/>
  <c r="H851" i="7" l="1"/>
  <c r="I851" i="7" s="1"/>
  <c r="J851" i="7" s="1"/>
  <c r="L851" i="7"/>
  <c r="M851" i="7" s="1"/>
  <c r="N851" i="7" s="1"/>
  <c r="Q852" i="7" l="1"/>
  <c r="O851" i="7"/>
  <c r="T852" i="7" s="1"/>
  <c r="K851" i="7"/>
  <c r="S852" i="7" s="1"/>
  <c r="P852" i="7"/>
  <c r="R852" i="7" l="1"/>
  <c r="G852" i="7"/>
  <c r="H852" i="7" l="1"/>
  <c r="I852" i="7" s="1"/>
  <c r="J852" i="7" s="1"/>
  <c r="L852" i="7"/>
  <c r="M852" i="7" s="1"/>
  <c r="N852" i="7" s="1"/>
  <c r="O852" i="7" l="1"/>
  <c r="T853" i="7" s="1"/>
  <c r="Q853" i="7"/>
  <c r="P853" i="7"/>
  <c r="K852" i="7"/>
  <c r="S853" i="7" s="1"/>
  <c r="G853" i="7" l="1"/>
  <c r="R853" i="7"/>
  <c r="L853" i="7" l="1"/>
  <c r="M853" i="7" s="1"/>
  <c r="N853" i="7" s="1"/>
  <c r="H853" i="7"/>
  <c r="I853" i="7" s="1"/>
  <c r="J853" i="7" s="1"/>
  <c r="P854" i="7" l="1"/>
  <c r="K853" i="7"/>
  <c r="S854" i="7" s="1"/>
  <c r="O853" i="7"/>
  <c r="T854" i="7" s="1"/>
  <c r="Q854" i="7"/>
  <c r="G854" i="7" l="1"/>
  <c r="R854" i="7"/>
  <c r="L854" i="7" l="1"/>
  <c r="M854" i="7" s="1"/>
  <c r="N854" i="7" s="1"/>
  <c r="H854" i="7"/>
  <c r="I854" i="7" s="1"/>
  <c r="J854" i="7" s="1"/>
  <c r="K854" i="7" l="1"/>
  <c r="S855" i="7" s="1"/>
  <c r="P855" i="7"/>
  <c r="O854" i="7"/>
  <c r="T855" i="7" s="1"/>
  <c r="Q855" i="7"/>
  <c r="R855" i="7" l="1"/>
  <c r="G855" i="7"/>
  <c r="H855" i="7" l="1"/>
  <c r="I855" i="7" s="1"/>
  <c r="J855" i="7" s="1"/>
  <c r="L855" i="7"/>
  <c r="M855" i="7" s="1"/>
  <c r="N855" i="7" s="1"/>
  <c r="Q856" i="7" l="1"/>
  <c r="O855" i="7"/>
  <c r="T856" i="7" s="1"/>
  <c r="K855" i="7"/>
  <c r="S856" i="7" s="1"/>
  <c r="P856" i="7"/>
  <c r="G856" i="7" l="1"/>
  <c r="R856" i="7"/>
  <c r="L856" i="7" l="1"/>
  <c r="M856" i="7" s="1"/>
  <c r="N856" i="7" s="1"/>
  <c r="H856" i="7"/>
  <c r="I856" i="7" s="1"/>
  <c r="J856" i="7" s="1"/>
  <c r="P857" i="7" l="1"/>
  <c r="K856" i="7"/>
  <c r="S857" i="7" s="1"/>
  <c r="Q857" i="7"/>
  <c r="O856" i="7"/>
  <c r="T857" i="7" s="1"/>
  <c r="G857" i="7" l="1"/>
  <c r="R857" i="7"/>
  <c r="H857" i="7" l="1"/>
  <c r="I857" i="7" s="1"/>
  <c r="J857" i="7" s="1"/>
  <c r="L857" i="7"/>
  <c r="M857" i="7" s="1"/>
  <c r="N857" i="7" s="1"/>
  <c r="Q858" i="7" l="1"/>
  <c r="O857" i="7"/>
  <c r="T858" i="7" s="1"/>
  <c r="P858" i="7"/>
  <c r="K857" i="7"/>
  <c r="S858" i="7" s="1"/>
  <c r="R858" i="7" l="1"/>
  <c r="G858" i="7"/>
  <c r="L858" i="7" l="1"/>
  <c r="M858" i="7" s="1"/>
  <c r="N858" i="7" s="1"/>
  <c r="H858" i="7"/>
  <c r="I858" i="7" s="1"/>
  <c r="J858" i="7" s="1"/>
  <c r="K858" i="7" l="1"/>
  <c r="S859" i="7" s="1"/>
  <c r="P859" i="7"/>
  <c r="Q859" i="7"/>
  <c r="O858" i="7"/>
  <c r="T859" i="7" s="1"/>
  <c r="G859" i="7" l="1"/>
  <c r="R859" i="7"/>
  <c r="L859" i="7" l="1"/>
  <c r="M859" i="7" s="1"/>
  <c r="N859" i="7" s="1"/>
  <c r="H859" i="7"/>
  <c r="I859" i="7" s="1"/>
  <c r="J859" i="7" s="1"/>
  <c r="K859" i="7" l="1"/>
  <c r="S860" i="7" s="1"/>
  <c r="P860" i="7"/>
  <c r="O859" i="7"/>
  <c r="T860" i="7" s="1"/>
  <c r="Q860" i="7"/>
  <c r="R860" i="7" l="1"/>
  <c r="G860" i="7"/>
  <c r="H860" i="7" l="1"/>
  <c r="I860" i="7" s="1"/>
  <c r="J860" i="7" s="1"/>
  <c r="L860" i="7"/>
  <c r="M860" i="7" s="1"/>
  <c r="N860" i="7" s="1"/>
  <c r="Q861" i="7" l="1"/>
  <c r="O860" i="7"/>
  <c r="T861" i="7" s="1"/>
  <c r="P861" i="7"/>
  <c r="K860" i="7"/>
  <c r="S861" i="7" s="1"/>
  <c r="G861" i="7" l="1"/>
  <c r="R861" i="7"/>
  <c r="H861" i="7" l="1"/>
  <c r="I861" i="7" s="1"/>
  <c r="J861" i="7" s="1"/>
  <c r="L861" i="7"/>
  <c r="M861" i="7" s="1"/>
  <c r="N861" i="7" s="1"/>
  <c r="Q862" i="7" l="1"/>
  <c r="O861" i="7"/>
  <c r="T862" i="7" s="1"/>
  <c r="P862" i="7"/>
  <c r="K861" i="7"/>
  <c r="S862" i="7" s="1"/>
  <c r="G862" i="7" l="1"/>
  <c r="R862" i="7"/>
  <c r="L862" i="7" l="1"/>
  <c r="M862" i="7" s="1"/>
  <c r="N862" i="7" s="1"/>
  <c r="H862" i="7"/>
  <c r="I862" i="7" s="1"/>
  <c r="J862" i="7" s="1"/>
  <c r="P863" i="7" l="1"/>
  <c r="K862" i="7"/>
  <c r="S863" i="7" s="1"/>
  <c r="Q863" i="7"/>
  <c r="O862" i="7"/>
  <c r="T863" i="7" s="1"/>
  <c r="G863" i="7" l="1"/>
  <c r="R863" i="7"/>
  <c r="H863" i="7" l="1"/>
  <c r="I863" i="7" s="1"/>
  <c r="J863" i="7" s="1"/>
  <c r="L863" i="7"/>
  <c r="M863" i="7" s="1"/>
  <c r="N863" i="7" s="1"/>
  <c r="O863" i="7" l="1"/>
  <c r="T864" i="7" s="1"/>
  <c r="Q864" i="7"/>
  <c r="K863" i="7"/>
  <c r="S864" i="7" s="1"/>
  <c r="P864" i="7"/>
  <c r="R864" i="7" l="1"/>
  <c r="G864" i="7"/>
  <c r="L864" i="7" l="1"/>
  <c r="M864" i="7" s="1"/>
  <c r="N864" i="7" s="1"/>
  <c r="H864" i="7"/>
  <c r="I864" i="7" s="1"/>
  <c r="J864" i="7" s="1"/>
  <c r="P865" i="7" l="1"/>
  <c r="K864" i="7"/>
  <c r="S865" i="7" s="1"/>
  <c r="O864" i="7"/>
  <c r="T865" i="7" s="1"/>
  <c r="Q865" i="7"/>
  <c r="G865" i="7" l="1"/>
  <c r="R865" i="7"/>
  <c r="H865" i="7" l="1"/>
  <c r="I865" i="7" s="1"/>
  <c r="J865" i="7" s="1"/>
  <c r="L865" i="7"/>
  <c r="M865" i="7" s="1"/>
  <c r="N865" i="7" s="1"/>
  <c r="Q866" i="7" l="1"/>
  <c r="O865" i="7"/>
  <c r="T866" i="7" s="1"/>
  <c r="P866" i="7"/>
  <c r="K865" i="7"/>
  <c r="S866" i="7" s="1"/>
  <c r="R866" i="7" l="1"/>
  <c r="G866" i="7"/>
  <c r="L866" i="7" l="1"/>
  <c r="M866" i="7" s="1"/>
  <c r="N866" i="7" s="1"/>
  <c r="H866" i="7"/>
  <c r="I866" i="7" s="1"/>
  <c r="J866" i="7" s="1"/>
  <c r="K866" i="7" l="1"/>
  <c r="S867" i="7" s="1"/>
  <c r="P867" i="7"/>
  <c r="Q867" i="7"/>
  <c r="O866" i="7"/>
  <c r="T867" i="7" s="1"/>
  <c r="G867" i="7" l="1"/>
  <c r="R867" i="7"/>
  <c r="H867" i="7" l="1"/>
  <c r="I867" i="7" s="1"/>
  <c r="J867" i="7" s="1"/>
  <c r="L867" i="7"/>
  <c r="M867" i="7" s="1"/>
  <c r="N867" i="7" s="1"/>
  <c r="O867" i="7" l="1"/>
  <c r="T868" i="7" s="1"/>
  <c r="Q868" i="7"/>
  <c r="K867" i="7"/>
  <c r="S868" i="7" s="1"/>
  <c r="P868" i="7"/>
  <c r="G868" i="7" l="1"/>
  <c r="R868" i="7"/>
  <c r="L868" i="7" l="1"/>
  <c r="M868" i="7" s="1"/>
  <c r="N868" i="7" s="1"/>
  <c r="H868" i="7"/>
  <c r="I868" i="7" s="1"/>
  <c r="J868" i="7" s="1"/>
  <c r="P869" i="7" l="1"/>
  <c r="K868" i="7"/>
  <c r="S869" i="7" s="1"/>
  <c r="O868" i="7"/>
  <c r="T869" i="7" s="1"/>
  <c r="Q869" i="7"/>
  <c r="G869" i="7" l="1"/>
  <c r="R869" i="7"/>
  <c r="L869" i="7" l="1"/>
  <c r="M869" i="7" s="1"/>
  <c r="N869" i="7" s="1"/>
  <c r="H869" i="7"/>
  <c r="I869" i="7" s="1"/>
  <c r="J869" i="7" s="1"/>
  <c r="K869" i="7" l="1"/>
  <c r="S870" i="7" s="1"/>
  <c r="P870" i="7"/>
  <c r="Q870" i="7"/>
  <c r="O869" i="7"/>
  <c r="T870" i="7" s="1"/>
  <c r="G870" i="7" l="1"/>
  <c r="R870" i="7"/>
  <c r="H870" i="7" l="1"/>
  <c r="I870" i="7" s="1"/>
  <c r="J870" i="7" s="1"/>
  <c r="L870" i="7"/>
  <c r="M870" i="7" s="1"/>
  <c r="N870" i="7" s="1"/>
  <c r="Q871" i="7" l="1"/>
  <c r="O870" i="7"/>
  <c r="T871" i="7" s="1"/>
  <c r="K870" i="7"/>
  <c r="S871" i="7" s="1"/>
  <c r="P871" i="7"/>
  <c r="G871" i="7" l="1"/>
  <c r="R871" i="7"/>
  <c r="H871" i="7" l="1"/>
  <c r="I871" i="7" s="1"/>
  <c r="J871" i="7" s="1"/>
  <c r="L871" i="7"/>
  <c r="M871" i="7" s="1"/>
  <c r="N871" i="7" s="1"/>
  <c r="Q872" i="7" l="1"/>
  <c r="O871" i="7"/>
  <c r="T872" i="7" s="1"/>
  <c r="P872" i="7"/>
  <c r="K871" i="7"/>
  <c r="S872" i="7" s="1"/>
  <c r="R872" i="7" l="1"/>
  <c r="G872" i="7"/>
  <c r="L872" i="7" l="1"/>
  <c r="M872" i="7" s="1"/>
  <c r="N872" i="7" s="1"/>
  <c r="H872" i="7"/>
  <c r="I872" i="7" s="1"/>
  <c r="J872" i="7" s="1"/>
  <c r="P873" i="7" l="1"/>
  <c r="K872" i="7"/>
  <c r="S873" i="7" s="1"/>
  <c r="Q873" i="7"/>
  <c r="O872" i="7"/>
  <c r="T873" i="7" s="1"/>
  <c r="G873" i="7" l="1"/>
  <c r="R873" i="7"/>
  <c r="L873" i="7" l="1"/>
  <c r="M873" i="7" s="1"/>
  <c r="N873" i="7" s="1"/>
  <c r="H873" i="7"/>
  <c r="I873" i="7" s="1"/>
  <c r="J873" i="7" s="1"/>
  <c r="P874" i="7" l="1"/>
  <c r="K873" i="7"/>
  <c r="S874" i="7" s="1"/>
  <c r="Q874" i="7"/>
  <c r="O873" i="7"/>
  <c r="T874" i="7" s="1"/>
  <c r="G874" i="7" l="1"/>
  <c r="R874" i="7"/>
  <c r="H874" i="7" l="1"/>
  <c r="I874" i="7" s="1"/>
  <c r="J874" i="7" s="1"/>
  <c r="L874" i="7"/>
  <c r="M874" i="7" s="1"/>
  <c r="N874" i="7" s="1"/>
  <c r="Q875" i="7" l="1"/>
  <c r="O874" i="7"/>
  <c r="T875" i="7" s="1"/>
  <c r="P875" i="7"/>
  <c r="K874" i="7"/>
  <c r="S875" i="7" s="1"/>
  <c r="G875" i="7" l="1"/>
  <c r="R875" i="7"/>
  <c r="H875" i="7" l="1"/>
  <c r="I875" i="7" s="1"/>
  <c r="J875" i="7" s="1"/>
  <c r="L875" i="7"/>
  <c r="M875" i="7" s="1"/>
  <c r="N875" i="7" s="1"/>
  <c r="Q876" i="7" l="1"/>
  <c r="O875" i="7"/>
  <c r="T876" i="7" s="1"/>
  <c r="P876" i="7"/>
  <c r="K875" i="7"/>
  <c r="S876" i="7" s="1"/>
  <c r="R876" i="7" l="1"/>
  <c r="G876" i="7"/>
  <c r="L876" i="7" l="1"/>
  <c r="M876" i="7" s="1"/>
  <c r="N876" i="7" s="1"/>
  <c r="H876" i="7"/>
  <c r="I876" i="7" s="1"/>
  <c r="J876" i="7" s="1"/>
  <c r="K876" i="7" l="1"/>
  <c r="S877" i="7" s="1"/>
  <c r="P877" i="7"/>
  <c r="O876" i="7"/>
  <c r="T877" i="7" s="1"/>
  <c r="Q877" i="7"/>
  <c r="G877" i="7" l="1"/>
  <c r="R877" i="7"/>
  <c r="H877" i="7" l="1"/>
  <c r="I877" i="7" s="1"/>
  <c r="J877" i="7" s="1"/>
  <c r="L877" i="7"/>
  <c r="M877" i="7" s="1"/>
  <c r="N877" i="7" s="1"/>
  <c r="O877" i="7" l="1"/>
  <c r="T878" i="7" s="1"/>
  <c r="Q878" i="7"/>
  <c r="K877" i="7"/>
  <c r="S878" i="7" s="1"/>
  <c r="P878" i="7"/>
  <c r="R878" i="7" l="1"/>
  <c r="G878" i="7"/>
  <c r="H878" i="7" l="1"/>
  <c r="I878" i="7" s="1"/>
  <c r="J878" i="7" s="1"/>
  <c r="L878" i="7"/>
  <c r="M878" i="7" s="1"/>
  <c r="N878" i="7" s="1"/>
  <c r="Q879" i="7" l="1"/>
  <c r="O878" i="7"/>
  <c r="T879" i="7" s="1"/>
  <c r="P879" i="7"/>
  <c r="K878" i="7"/>
  <c r="S879" i="7" s="1"/>
  <c r="R879" i="7" l="1"/>
  <c r="G879" i="7"/>
  <c r="L879" i="7" l="1"/>
  <c r="M879" i="7" s="1"/>
  <c r="N879" i="7" s="1"/>
  <c r="H879" i="7"/>
  <c r="I879" i="7" s="1"/>
  <c r="J879" i="7" s="1"/>
  <c r="K879" i="7" l="1"/>
  <c r="S880" i="7" s="1"/>
  <c r="P880" i="7"/>
  <c r="Q880" i="7"/>
  <c r="O879" i="7"/>
  <c r="T880" i="7" s="1"/>
  <c r="G880" i="7" l="1"/>
  <c r="R880" i="7"/>
  <c r="H880" i="7" l="1"/>
  <c r="I880" i="7" s="1"/>
  <c r="J880" i="7" s="1"/>
  <c r="L880" i="7"/>
  <c r="M880" i="7" s="1"/>
  <c r="N880" i="7" s="1"/>
  <c r="Q881" i="7" l="1"/>
  <c r="O880" i="7"/>
  <c r="T881" i="7" s="1"/>
  <c r="K880" i="7"/>
  <c r="S881" i="7" s="1"/>
  <c r="P881" i="7"/>
  <c r="R881" i="7" l="1"/>
  <c r="G881" i="7"/>
  <c r="H881" i="7" l="1"/>
  <c r="I881" i="7" s="1"/>
  <c r="J881" i="7" s="1"/>
  <c r="L881" i="7"/>
  <c r="M881" i="7" s="1"/>
  <c r="N881" i="7" s="1"/>
  <c r="O881" i="7" l="1"/>
  <c r="T882" i="7" s="1"/>
  <c r="Q882" i="7"/>
  <c r="K881" i="7"/>
  <c r="S882" i="7" s="1"/>
  <c r="P882" i="7"/>
  <c r="R882" i="7" l="1"/>
  <c r="G882" i="7"/>
  <c r="L882" i="7" l="1"/>
  <c r="M882" i="7" s="1"/>
  <c r="N882" i="7" s="1"/>
  <c r="H882" i="7"/>
  <c r="I882" i="7" s="1"/>
  <c r="J882" i="7" s="1"/>
  <c r="K882" i="7" l="1"/>
  <c r="S883" i="7" s="1"/>
  <c r="P883" i="7"/>
  <c r="Q883" i="7"/>
  <c r="O882" i="7"/>
  <c r="T883" i="7" s="1"/>
  <c r="R883" i="7" l="1"/>
  <c r="G883" i="7"/>
  <c r="H883" i="7" l="1"/>
  <c r="I883" i="7" s="1"/>
  <c r="J883" i="7" s="1"/>
  <c r="L883" i="7"/>
  <c r="M883" i="7" s="1"/>
  <c r="N883" i="7" s="1"/>
  <c r="Q884" i="7" l="1"/>
  <c r="O883" i="7"/>
  <c r="T884" i="7" s="1"/>
  <c r="K883" i="7"/>
  <c r="S884" i="7" s="1"/>
  <c r="P884" i="7"/>
  <c r="G884" i="7" l="1"/>
  <c r="R884" i="7"/>
  <c r="H884" i="7" l="1"/>
  <c r="I884" i="7" s="1"/>
  <c r="J884" i="7" s="1"/>
  <c r="L884" i="7"/>
  <c r="M884" i="7" s="1"/>
  <c r="N884" i="7" s="1"/>
  <c r="O884" i="7" l="1"/>
  <c r="T885" i="7" s="1"/>
  <c r="Q885" i="7"/>
  <c r="K884" i="7"/>
  <c r="S885" i="7" s="1"/>
  <c r="P885" i="7"/>
  <c r="G885" i="7" l="1"/>
  <c r="R885" i="7"/>
  <c r="H885" i="7" l="1"/>
  <c r="I885" i="7" s="1"/>
  <c r="J885" i="7" s="1"/>
  <c r="L885" i="7"/>
  <c r="M885" i="7" s="1"/>
  <c r="N885" i="7" s="1"/>
  <c r="O885" i="7" l="1"/>
  <c r="T886" i="7" s="1"/>
  <c r="Q886" i="7"/>
  <c r="K885" i="7"/>
  <c r="S886" i="7" s="1"/>
  <c r="P886" i="7"/>
  <c r="R886" i="7" l="1"/>
  <c r="G886" i="7"/>
  <c r="H886" i="7" l="1"/>
  <c r="I886" i="7" s="1"/>
  <c r="J886" i="7" s="1"/>
  <c r="L886" i="7"/>
  <c r="M886" i="7" s="1"/>
  <c r="N886" i="7" s="1"/>
  <c r="Q887" i="7" l="1"/>
  <c r="O886" i="7"/>
  <c r="T887" i="7" s="1"/>
  <c r="P887" i="7"/>
  <c r="K886" i="7"/>
  <c r="S887" i="7" s="1"/>
  <c r="G887" i="7" l="1"/>
  <c r="R887" i="7"/>
  <c r="H887" i="7" l="1"/>
  <c r="I887" i="7" s="1"/>
  <c r="J887" i="7" s="1"/>
  <c r="L887" i="7"/>
  <c r="M887" i="7" s="1"/>
  <c r="N887" i="7" s="1"/>
  <c r="Q888" i="7" l="1"/>
  <c r="O887" i="7"/>
  <c r="T888" i="7" s="1"/>
  <c r="K887" i="7"/>
  <c r="S888" i="7" s="1"/>
  <c r="P888" i="7"/>
  <c r="G888" i="7" l="1"/>
  <c r="R888" i="7"/>
  <c r="L888" i="7" l="1"/>
  <c r="M888" i="7" s="1"/>
  <c r="N888" i="7" s="1"/>
  <c r="H888" i="7"/>
  <c r="I888" i="7" s="1"/>
  <c r="J888" i="7" s="1"/>
  <c r="P889" i="7" l="1"/>
  <c r="K888" i="7"/>
  <c r="S889" i="7" s="1"/>
  <c r="Q889" i="7"/>
  <c r="O888" i="7"/>
  <c r="T889" i="7" s="1"/>
  <c r="R889" i="7" l="1"/>
  <c r="G889" i="7"/>
  <c r="H889" i="7" l="1"/>
  <c r="I889" i="7" s="1"/>
  <c r="J889" i="7" s="1"/>
  <c r="L889" i="7"/>
  <c r="M889" i="7" s="1"/>
  <c r="N889" i="7" s="1"/>
  <c r="Q890" i="7" l="1"/>
  <c r="O889" i="7"/>
  <c r="T890" i="7" s="1"/>
  <c r="P890" i="7"/>
  <c r="K889" i="7"/>
  <c r="S890" i="7" s="1"/>
  <c r="G890" i="7" l="1"/>
  <c r="R890" i="7"/>
  <c r="L890" i="7" l="1"/>
  <c r="M890" i="7" s="1"/>
  <c r="N890" i="7" s="1"/>
  <c r="H890" i="7"/>
  <c r="I890" i="7" s="1"/>
  <c r="J890" i="7" s="1"/>
  <c r="P891" i="7" l="1"/>
  <c r="K890" i="7"/>
  <c r="S891" i="7" s="1"/>
  <c r="Q891" i="7"/>
  <c r="O890" i="7"/>
  <c r="T891" i="7" s="1"/>
  <c r="R891" i="7" l="1"/>
  <c r="G891" i="7"/>
  <c r="L891" i="7" l="1"/>
  <c r="M891" i="7" s="1"/>
  <c r="N891" i="7" s="1"/>
  <c r="H891" i="7"/>
  <c r="I891" i="7" s="1"/>
  <c r="J891" i="7" s="1"/>
  <c r="K891" i="7" l="1"/>
  <c r="S892" i="7" s="1"/>
  <c r="P892" i="7"/>
  <c r="Q892" i="7"/>
  <c r="O891" i="7"/>
  <c r="T892" i="7" s="1"/>
  <c r="R892" i="7" l="1"/>
  <c r="G892" i="7"/>
  <c r="L892" i="7" l="1"/>
  <c r="M892" i="7" s="1"/>
  <c r="N892" i="7" s="1"/>
  <c r="H892" i="7"/>
  <c r="I892" i="7" s="1"/>
  <c r="J892" i="7" s="1"/>
  <c r="K892" i="7" l="1"/>
  <c r="S893" i="7" s="1"/>
  <c r="P893" i="7"/>
  <c r="Q893" i="7"/>
  <c r="O892" i="7"/>
  <c r="T893" i="7" s="1"/>
  <c r="G893" i="7" l="1"/>
  <c r="R893" i="7"/>
  <c r="L893" i="7" l="1"/>
  <c r="M893" i="7" s="1"/>
  <c r="N893" i="7" s="1"/>
  <c r="H893" i="7"/>
  <c r="I893" i="7" s="1"/>
  <c r="J893" i="7" s="1"/>
  <c r="P894" i="7" l="1"/>
  <c r="K893" i="7"/>
  <c r="S894" i="7" s="1"/>
  <c r="Q894" i="7"/>
  <c r="O893" i="7"/>
  <c r="T894" i="7" s="1"/>
  <c r="R894" i="7" l="1"/>
  <c r="G894" i="7"/>
  <c r="L894" i="7" l="1"/>
  <c r="M894" i="7" s="1"/>
  <c r="N894" i="7" s="1"/>
  <c r="H894" i="7"/>
  <c r="I894" i="7" s="1"/>
  <c r="J894" i="7" s="1"/>
  <c r="P895" i="7" l="1"/>
  <c r="K894" i="7"/>
  <c r="S895" i="7" s="1"/>
  <c r="Q895" i="7"/>
  <c r="O894" i="7"/>
  <c r="T895" i="7" s="1"/>
  <c r="R895" i="7" l="1"/>
  <c r="G895" i="7"/>
  <c r="L895" i="7" l="1"/>
  <c r="M895" i="7" s="1"/>
  <c r="N895" i="7" s="1"/>
  <c r="H895" i="7"/>
  <c r="I895" i="7" s="1"/>
  <c r="J895" i="7" s="1"/>
  <c r="K895" i="7" l="1"/>
  <c r="S896" i="7" s="1"/>
  <c r="P896" i="7"/>
  <c r="Q896" i="7"/>
  <c r="O895" i="7"/>
  <c r="T896" i="7" s="1"/>
  <c r="R896" i="7" l="1"/>
  <c r="G896" i="7"/>
  <c r="H896" i="7" l="1"/>
  <c r="I896" i="7" s="1"/>
  <c r="J896" i="7" s="1"/>
  <c r="L896" i="7"/>
  <c r="M896" i="7" s="1"/>
  <c r="N896" i="7" s="1"/>
  <c r="Q897" i="7" l="1"/>
  <c r="O896" i="7"/>
  <c r="T897" i="7" s="1"/>
  <c r="P897" i="7"/>
  <c r="K896" i="7"/>
  <c r="S897" i="7" s="1"/>
  <c r="G897" i="7" l="1"/>
  <c r="R897" i="7"/>
  <c r="H897" i="7" l="1"/>
  <c r="I897" i="7" s="1"/>
  <c r="J897" i="7" s="1"/>
  <c r="L897" i="7"/>
  <c r="M897" i="7" s="1"/>
  <c r="N897" i="7" s="1"/>
  <c r="Q898" i="7" l="1"/>
  <c r="O897" i="7"/>
  <c r="T898" i="7" s="1"/>
  <c r="P898" i="7"/>
  <c r="K897" i="7"/>
  <c r="S898" i="7" s="1"/>
  <c r="R898" i="7" l="1"/>
  <c r="G898" i="7"/>
  <c r="H898" i="7" l="1"/>
  <c r="I898" i="7" s="1"/>
  <c r="J898" i="7" s="1"/>
  <c r="L898" i="7"/>
  <c r="M898" i="7" s="1"/>
  <c r="N898" i="7" s="1"/>
  <c r="Q899" i="7" l="1"/>
  <c r="O898" i="7"/>
  <c r="T899" i="7" s="1"/>
  <c r="P899" i="7"/>
  <c r="K898" i="7"/>
  <c r="S899" i="7" s="1"/>
  <c r="G899" i="7" l="1"/>
  <c r="R899" i="7"/>
  <c r="H899" i="7" l="1"/>
  <c r="I899" i="7" s="1"/>
  <c r="J899" i="7" s="1"/>
  <c r="L899" i="7"/>
  <c r="M899" i="7" s="1"/>
  <c r="N899" i="7" s="1"/>
  <c r="O899" i="7" l="1"/>
  <c r="T900" i="7" s="1"/>
  <c r="Q900" i="7"/>
  <c r="P900" i="7"/>
  <c r="K899" i="7"/>
  <c r="S900" i="7" s="1"/>
  <c r="G900" i="7" l="1"/>
  <c r="R900" i="7"/>
  <c r="L900" i="7" l="1"/>
  <c r="M900" i="7" s="1"/>
  <c r="N900" i="7" s="1"/>
  <c r="H900" i="7"/>
  <c r="I900" i="7" s="1"/>
  <c r="J900" i="7" s="1"/>
  <c r="K900" i="7" l="1"/>
  <c r="S901" i="7" s="1"/>
  <c r="P901" i="7"/>
  <c r="Q901" i="7"/>
  <c r="O900" i="7"/>
  <c r="T901" i="7" s="1"/>
  <c r="G901" i="7" l="1"/>
  <c r="R901" i="7"/>
  <c r="H901" i="7" l="1"/>
  <c r="I901" i="7" s="1"/>
  <c r="J901" i="7" s="1"/>
  <c r="L901" i="7"/>
  <c r="M901" i="7" s="1"/>
  <c r="N901" i="7" s="1"/>
  <c r="Q902" i="7" l="1"/>
  <c r="O901" i="7"/>
  <c r="T902" i="7" s="1"/>
  <c r="K901" i="7"/>
  <c r="S902" i="7" s="1"/>
  <c r="P902" i="7"/>
  <c r="G902" i="7" l="1"/>
  <c r="R902" i="7"/>
  <c r="L902" i="7" l="1"/>
  <c r="M902" i="7" s="1"/>
  <c r="N902" i="7" s="1"/>
  <c r="H902" i="7"/>
  <c r="I902" i="7" s="1"/>
  <c r="J902" i="7" s="1"/>
  <c r="P903" i="7" l="1"/>
  <c r="K902" i="7"/>
  <c r="S903" i="7" s="1"/>
  <c r="O902" i="7"/>
  <c r="T903" i="7" s="1"/>
  <c r="Q903" i="7"/>
  <c r="G903" i="7" l="1"/>
  <c r="R903" i="7"/>
  <c r="H903" i="7" l="1"/>
  <c r="I903" i="7" s="1"/>
  <c r="J903" i="7" s="1"/>
  <c r="L903" i="7"/>
  <c r="M903" i="7" s="1"/>
  <c r="N903" i="7" s="1"/>
  <c r="O903" i="7" l="1"/>
  <c r="T904" i="7" s="1"/>
  <c r="Q904" i="7"/>
  <c r="P904" i="7"/>
  <c r="K903" i="7"/>
  <c r="S904" i="7" s="1"/>
  <c r="G904" i="7" l="1"/>
  <c r="R904" i="7"/>
  <c r="L904" i="7" l="1"/>
  <c r="M904" i="7" s="1"/>
  <c r="N904" i="7" s="1"/>
  <c r="H904" i="7"/>
  <c r="I904" i="7" s="1"/>
  <c r="J904" i="7" s="1"/>
  <c r="P905" i="7" l="1"/>
  <c r="K904" i="7"/>
  <c r="S905" i="7" s="1"/>
  <c r="Q905" i="7"/>
  <c r="O904" i="7"/>
  <c r="T905" i="7" s="1"/>
  <c r="R905" i="7" l="1"/>
  <c r="G905" i="7"/>
  <c r="L905" i="7" l="1"/>
  <c r="M905" i="7" s="1"/>
  <c r="N905" i="7" s="1"/>
  <c r="H905" i="7"/>
  <c r="I905" i="7" s="1"/>
  <c r="J905" i="7" s="1"/>
  <c r="P906" i="7" l="1"/>
  <c r="K905" i="7"/>
  <c r="S906" i="7" s="1"/>
  <c r="Q906" i="7"/>
  <c r="O905" i="7"/>
  <c r="T906" i="7" s="1"/>
  <c r="R906" i="7" l="1"/>
  <c r="G906" i="7"/>
  <c r="L906" i="7" l="1"/>
  <c r="M906" i="7" s="1"/>
  <c r="N906" i="7" s="1"/>
  <c r="H906" i="7"/>
  <c r="I906" i="7" s="1"/>
  <c r="J906" i="7" s="1"/>
  <c r="P907" i="7" l="1"/>
  <c r="K906" i="7"/>
  <c r="S907" i="7" s="1"/>
  <c r="O906" i="7"/>
  <c r="T907" i="7" s="1"/>
  <c r="Q907" i="7"/>
  <c r="G907" i="7" l="1"/>
  <c r="R907" i="7"/>
  <c r="L907" i="7" l="1"/>
  <c r="M907" i="7" s="1"/>
  <c r="N907" i="7" s="1"/>
  <c r="H907" i="7"/>
  <c r="I907" i="7" s="1"/>
  <c r="J907" i="7" s="1"/>
  <c r="K907" i="7" l="1"/>
  <c r="S908" i="7" s="1"/>
  <c r="P908" i="7"/>
  <c r="Q908" i="7"/>
  <c r="O907" i="7"/>
  <c r="T908" i="7" s="1"/>
  <c r="R908" i="7" l="1"/>
  <c r="G908" i="7"/>
  <c r="L908" i="7" l="1"/>
  <c r="M908" i="7" s="1"/>
  <c r="N908" i="7" s="1"/>
  <c r="H908" i="7"/>
  <c r="I908" i="7" s="1"/>
  <c r="J908" i="7" s="1"/>
  <c r="K908" i="7" l="1"/>
  <c r="S909" i="7" s="1"/>
  <c r="P909" i="7"/>
  <c r="O908" i="7"/>
  <c r="T909" i="7" s="1"/>
  <c r="Q909" i="7"/>
  <c r="R909" i="7" l="1"/>
  <c r="G909" i="7"/>
  <c r="H909" i="7" l="1"/>
  <c r="I909" i="7" s="1"/>
  <c r="J909" i="7" s="1"/>
  <c r="L909" i="7"/>
  <c r="M909" i="7" s="1"/>
  <c r="N909" i="7" s="1"/>
  <c r="O909" i="7" l="1"/>
  <c r="T910" i="7" s="1"/>
  <c r="Q910" i="7"/>
  <c r="K909" i="7"/>
  <c r="S910" i="7" s="1"/>
  <c r="P910" i="7"/>
  <c r="R910" i="7" l="1"/>
  <c r="G910" i="7"/>
  <c r="H910" i="7" l="1"/>
  <c r="I910" i="7" s="1"/>
  <c r="J910" i="7" s="1"/>
  <c r="L910" i="7"/>
  <c r="M910" i="7" s="1"/>
  <c r="N910" i="7" s="1"/>
  <c r="Q911" i="7" l="1"/>
  <c r="O910" i="7"/>
  <c r="T911" i="7" s="1"/>
  <c r="K910" i="7"/>
  <c r="S911" i="7" s="1"/>
  <c r="P911" i="7"/>
  <c r="R911" i="7" l="1"/>
  <c r="G911" i="7"/>
  <c r="H911" i="7" l="1"/>
  <c r="I911" i="7" s="1"/>
  <c r="J911" i="7" s="1"/>
  <c r="L911" i="7"/>
  <c r="M911" i="7" s="1"/>
  <c r="N911" i="7" s="1"/>
  <c r="Q912" i="7" l="1"/>
  <c r="O911" i="7"/>
  <c r="T912" i="7" s="1"/>
  <c r="P912" i="7"/>
  <c r="K911" i="7"/>
  <c r="S912" i="7" s="1"/>
  <c r="R912" i="7" l="1"/>
  <c r="G912" i="7"/>
  <c r="H912" i="7" l="1"/>
  <c r="I912" i="7" s="1"/>
  <c r="J912" i="7" s="1"/>
  <c r="L912" i="7"/>
  <c r="M912" i="7" s="1"/>
  <c r="N912" i="7" s="1"/>
  <c r="O912" i="7" l="1"/>
  <c r="T913" i="7" s="1"/>
  <c r="Q913" i="7"/>
  <c r="P913" i="7"/>
  <c r="K912" i="7"/>
  <c r="S913" i="7" s="1"/>
  <c r="R913" i="7" l="1"/>
  <c r="G913" i="7"/>
  <c r="L913" i="7" l="1"/>
  <c r="M913" i="7" s="1"/>
  <c r="N913" i="7" s="1"/>
  <c r="H913" i="7"/>
  <c r="I913" i="7" s="1"/>
  <c r="J913" i="7" s="1"/>
  <c r="K913" i="7" l="1"/>
  <c r="S914" i="7" s="1"/>
  <c r="P914" i="7"/>
  <c r="O913" i="7"/>
  <c r="T914" i="7" s="1"/>
  <c r="Q914" i="7"/>
  <c r="G914" i="7" l="1"/>
  <c r="R914" i="7"/>
  <c r="L914" i="7" l="1"/>
  <c r="M914" i="7" s="1"/>
  <c r="N914" i="7" s="1"/>
  <c r="H914" i="7"/>
  <c r="I914" i="7" s="1"/>
  <c r="J914" i="7" s="1"/>
  <c r="K914" i="7" l="1"/>
  <c r="S915" i="7" s="1"/>
  <c r="P915" i="7"/>
  <c r="O914" i="7"/>
  <c r="T915" i="7" s="1"/>
  <c r="Q915" i="7"/>
  <c r="R915" i="7" l="1"/>
  <c r="G915" i="7"/>
  <c r="H915" i="7" l="1"/>
  <c r="I915" i="7" s="1"/>
  <c r="J915" i="7" s="1"/>
  <c r="L915" i="7"/>
  <c r="M915" i="7" s="1"/>
  <c r="N915" i="7" s="1"/>
  <c r="Q916" i="7" l="1"/>
  <c r="O915" i="7"/>
  <c r="T916" i="7" s="1"/>
  <c r="P916" i="7"/>
  <c r="K915" i="7"/>
  <c r="S916" i="7" s="1"/>
  <c r="R916" i="7" l="1"/>
  <c r="G916" i="7"/>
  <c r="L916" i="7" l="1"/>
  <c r="M916" i="7" s="1"/>
  <c r="N916" i="7" s="1"/>
  <c r="H916" i="7"/>
  <c r="I916" i="7" s="1"/>
  <c r="J916" i="7" s="1"/>
  <c r="P917" i="7" l="1"/>
  <c r="K916" i="7"/>
  <c r="S917" i="7" s="1"/>
  <c r="Q917" i="7"/>
  <c r="O916" i="7"/>
  <c r="T917" i="7" s="1"/>
  <c r="R917" i="7" l="1"/>
  <c r="G917" i="7"/>
  <c r="L917" i="7" l="1"/>
  <c r="M917" i="7" s="1"/>
  <c r="N917" i="7" s="1"/>
  <c r="H917" i="7"/>
  <c r="I917" i="7" s="1"/>
  <c r="J917" i="7" s="1"/>
  <c r="K917" i="7" l="1"/>
  <c r="S918" i="7" s="1"/>
  <c r="P918" i="7"/>
  <c r="O917" i="7"/>
  <c r="T918" i="7" s="1"/>
  <c r="Q918" i="7"/>
  <c r="G918" i="7" l="1"/>
  <c r="R918" i="7"/>
  <c r="H918" i="7" l="1"/>
  <c r="I918" i="7" s="1"/>
  <c r="J918" i="7" s="1"/>
  <c r="L918" i="7"/>
  <c r="M918" i="7" s="1"/>
  <c r="N918" i="7" s="1"/>
  <c r="O918" i="7" l="1"/>
  <c r="T919" i="7" s="1"/>
  <c r="Q919" i="7"/>
  <c r="K918" i="7"/>
  <c r="S919" i="7" s="1"/>
  <c r="P919" i="7"/>
  <c r="R919" i="7" l="1"/>
  <c r="G919" i="7"/>
  <c r="H919" i="7" l="1"/>
  <c r="I919" i="7" s="1"/>
  <c r="J919" i="7" s="1"/>
  <c r="L919" i="7"/>
  <c r="M919" i="7" s="1"/>
  <c r="N919" i="7" s="1"/>
  <c r="Q920" i="7" l="1"/>
  <c r="O919" i="7"/>
  <c r="T920" i="7" s="1"/>
  <c r="K919" i="7"/>
  <c r="S920" i="7" s="1"/>
  <c r="P920" i="7"/>
  <c r="G920" i="7" l="1"/>
  <c r="R920" i="7"/>
  <c r="H920" i="7" l="1"/>
  <c r="I920" i="7" s="1"/>
  <c r="J920" i="7" s="1"/>
  <c r="L920" i="7"/>
  <c r="M920" i="7" s="1"/>
  <c r="N920" i="7" s="1"/>
  <c r="Q921" i="7" l="1"/>
  <c r="O920" i="7"/>
  <c r="T921" i="7" s="1"/>
  <c r="P921" i="7"/>
  <c r="K920" i="7"/>
  <c r="S921" i="7" s="1"/>
  <c r="R921" i="7" l="1"/>
  <c r="G921" i="7"/>
  <c r="L921" i="7" l="1"/>
  <c r="M921" i="7" s="1"/>
  <c r="N921" i="7" s="1"/>
  <c r="H921" i="7"/>
  <c r="I921" i="7" s="1"/>
  <c r="J921" i="7" s="1"/>
  <c r="K921" i="7" l="1"/>
  <c r="S922" i="7" s="1"/>
  <c r="P922" i="7"/>
  <c r="Q922" i="7"/>
  <c r="O921" i="7"/>
  <c r="T922" i="7" s="1"/>
  <c r="R922" i="7" l="1"/>
  <c r="G922" i="7"/>
  <c r="L922" i="7" l="1"/>
  <c r="M922" i="7" s="1"/>
  <c r="N922" i="7" s="1"/>
  <c r="H922" i="7"/>
  <c r="I922" i="7" s="1"/>
  <c r="J922" i="7" s="1"/>
  <c r="K922" i="7" l="1"/>
  <c r="S923" i="7" s="1"/>
  <c r="P923" i="7"/>
  <c r="O922" i="7"/>
  <c r="T923" i="7" s="1"/>
  <c r="Q923" i="7"/>
  <c r="G923" i="7" l="1"/>
  <c r="R923" i="7"/>
  <c r="H923" i="7" l="1"/>
  <c r="I923" i="7" s="1"/>
  <c r="J923" i="7" s="1"/>
  <c r="L923" i="7"/>
  <c r="M923" i="7" s="1"/>
  <c r="N923" i="7" s="1"/>
  <c r="O923" i="7" l="1"/>
  <c r="T924" i="7" s="1"/>
  <c r="Q924" i="7"/>
  <c r="K923" i="7"/>
  <c r="S924" i="7" s="1"/>
  <c r="P924" i="7"/>
  <c r="G924" i="7" l="1"/>
  <c r="R924" i="7"/>
  <c r="L924" i="7" l="1"/>
  <c r="M924" i="7" s="1"/>
  <c r="N924" i="7" s="1"/>
  <c r="H924" i="7"/>
  <c r="I924" i="7" s="1"/>
  <c r="J924" i="7" s="1"/>
  <c r="K924" i="7" l="1"/>
  <c r="S925" i="7" s="1"/>
  <c r="P925" i="7"/>
  <c r="Q925" i="7"/>
  <c r="O924" i="7"/>
  <c r="T925" i="7" s="1"/>
  <c r="G925" i="7" l="1"/>
  <c r="R925" i="7"/>
  <c r="H925" i="7" l="1"/>
  <c r="I925" i="7" s="1"/>
  <c r="J925" i="7" s="1"/>
  <c r="L925" i="7"/>
  <c r="M925" i="7" s="1"/>
  <c r="N925" i="7" s="1"/>
  <c r="O925" i="7" l="1"/>
  <c r="T926" i="7" s="1"/>
  <c r="Q926" i="7"/>
  <c r="K925" i="7"/>
  <c r="S926" i="7" s="1"/>
  <c r="P926" i="7"/>
  <c r="R926" i="7" l="1"/>
  <c r="G926" i="7"/>
  <c r="L926" i="7" l="1"/>
  <c r="M926" i="7" s="1"/>
  <c r="N926" i="7" s="1"/>
  <c r="H926" i="7"/>
  <c r="I926" i="7" s="1"/>
  <c r="J926" i="7" s="1"/>
  <c r="K926" i="7" l="1"/>
  <c r="S927" i="7" s="1"/>
  <c r="P927" i="7"/>
  <c r="Q927" i="7"/>
  <c r="O926" i="7"/>
  <c r="T927" i="7" s="1"/>
  <c r="G927" i="7" l="1"/>
  <c r="R927" i="7"/>
  <c r="L927" i="7" l="1"/>
  <c r="M927" i="7" s="1"/>
  <c r="N927" i="7" s="1"/>
  <c r="H927" i="7"/>
  <c r="I927" i="7" s="1"/>
  <c r="J927" i="7" s="1"/>
  <c r="P928" i="7" l="1"/>
  <c r="K927" i="7"/>
  <c r="S928" i="7" s="1"/>
  <c r="O927" i="7"/>
  <c r="T928" i="7" s="1"/>
  <c r="Q928" i="7"/>
  <c r="G928" i="7" l="1"/>
  <c r="R928" i="7"/>
  <c r="H928" i="7" l="1"/>
  <c r="I928" i="7" s="1"/>
  <c r="J928" i="7" s="1"/>
  <c r="L928" i="7"/>
  <c r="M928" i="7" s="1"/>
  <c r="N928" i="7" s="1"/>
  <c r="Q929" i="7" l="1"/>
  <c r="O928" i="7"/>
  <c r="T929" i="7" s="1"/>
  <c r="P929" i="7"/>
  <c r="K928" i="7"/>
  <c r="S929" i="7" s="1"/>
  <c r="R929" i="7" l="1"/>
  <c r="G929" i="7"/>
  <c r="H929" i="7" l="1"/>
  <c r="I929" i="7" s="1"/>
  <c r="J929" i="7" s="1"/>
  <c r="L929" i="7"/>
  <c r="M929" i="7" s="1"/>
  <c r="N929" i="7" s="1"/>
  <c r="Q930" i="7" l="1"/>
  <c r="O929" i="7"/>
  <c r="T930" i="7" s="1"/>
  <c r="K929" i="7"/>
  <c r="S930" i="7" s="1"/>
  <c r="P930" i="7"/>
  <c r="R930" i="7" l="1"/>
  <c r="G930" i="7"/>
  <c r="H930" i="7" l="1"/>
  <c r="I930" i="7" s="1"/>
  <c r="J930" i="7" s="1"/>
  <c r="L930" i="7"/>
  <c r="M930" i="7" s="1"/>
  <c r="N930" i="7" s="1"/>
  <c r="Q931" i="7" l="1"/>
  <c r="O930" i="7"/>
  <c r="T931" i="7" s="1"/>
  <c r="P931" i="7"/>
  <c r="K930" i="7"/>
  <c r="S931" i="7" s="1"/>
  <c r="G931" i="7" l="1"/>
  <c r="R931" i="7"/>
  <c r="H931" i="7" l="1"/>
  <c r="I931" i="7" s="1"/>
  <c r="J931" i="7" s="1"/>
  <c r="L931" i="7"/>
  <c r="M931" i="7" s="1"/>
  <c r="N931" i="7" s="1"/>
  <c r="O931" i="7" l="1"/>
  <c r="T932" i="7" s="1"/>
  <c r="Q932" i="7"/>
  <c r="K931" i="7"/>
  <c r="S932" i="7" s="1"/>
  <c r="P932" i="7"/>
  <c r="R932" i="7" l="1"/>
  <c r="G932" i="7"/>
  <c r="L932" i="7" l="1"/>
  <c r="M932" i="7" s="1"/>
  <c r="N932" i="7" s="1"/>
  <c r="H932" i="7"/>
  <c r="I932" i="7" s="1"/>
  <c r="J932" i="7" s="1"/>
  <c r="K932" i="7" l="1"/>
  <c r="S933" i="7" s="1"/>
  <c r="P933" i="7"/>
  <c r="Q933" i="7"/>
  <c r="O932" i="7"/>
  <c r="T933" i="7" s="1"/>
  <c r="G933" i="7" l="1"/>
  <c r="R933" i="7"/>
  <c r="H933" i="7" l="1"/>
  <c r="I933" i="7" s="1"/>
  <c r="J933" i="7" s="1"/>
  <c r="L933" i="7"/>
  <c r="M933" i="7" s="1"/>
  <c r="N933" i="7" s="1"/>
  <c r="Q934" i="7" l="1"/>
  <c r="O933" i="7"/>
  <c r="T934" i="7" s="1"/>
  <c r="P934" i="7"/>
  <c r="K933" i="7"/>
  <c r="S934" i="7" s="1"/>
  <c r="G934" i="7" l="1"/>
  <c r="R934" i="7"/>
  <c r="H934" i="7" l="1"/>
  <c r="I934" i="7" s="1"/>
  <c r="J934" i="7" s="1"/>
  <c r="L934" i="7"/>
  <c r="M934" i="7" s="1"/>
  <c r="N934" i="7" s="1"/>
  <c r="Q935" i="7" l="1"/>
  <c r="O934" i="7"/>
  <c r="T935" i="7" s="1"/>
  <c r="P935" i="7"/>
  <c r="K934" i="7"/>
  <c r="S935" i="7" s="1"/>
  <c r="G935" i="7" l="1"/>
  <c r="R935" i="7"/>
  <c r="L935" i="7" l="1"/>
  <c r="M935" i="7" s="1"/>
  <c r="N935" i="7" s="1"/>
  <c r="H935" i="7"/>
  <c r="I935" i="7" s="1"/>
  <c r="J935" i="7" s="1"/>
  <c r="K935" i="7" l="1"/>
  <c r="S936" i="7" s="1"/>
  <c r="P936" i="7"/>
  <c r="Q936" i="7"/>
  <c r="O935" i="7"/>
  <c r="T936" i="7" s="1"/>
  <c r="G936" i="7" l="1"/>
  <c r="R936" i="7"/>
  <c r="H936" i="7" l="1"/>
  <c r="I936" i="7" s="1"/>
  <c r="J936" i="7" s="1"/>
  <c r="L936" i="7"/>
  <c r="M936" i="7" s="1"/>
  <c r="N936" i="7" s="1"/>
  <c r="O936" i="7" l="1"/>
  <c r="T937" i="7" s="1"/>
  <c r="Q937" i="7"/>
  <c r="K936" i="7"/>
  <c r="S937" i="7" s="1"/>
  <c r="P937" i="7"/>
  <c r="G937" i="7" l="1"/>
  <c r="R937" i="7"/>
  <c r="L937" i="7" l="1"/>
  <c r="M937" i="7" s="1"/>
  <c r="N937" i="7" s="1"/>
  <c r="H937" i="7"/>
  <c r="I937" i="7" s="1"/>
  <c r="J937" i="7" s="1"/>
  <c r="K937" i="7" l="1"/>
  <c r="S938" i="7" s="1"/>
  <c r="P938" i="7"/>
  <c r="Q938" i="7"/>
  <c r="O937" i="7"/>
  <c r="T938" i="7" s="1"/>
  <c r="G938" i="7" l="1"/>
  <c r="R938" i="7"/>
  <c r="L938" i="7" l="1"/>
  <c r="M938" i="7" s="1"/>
  <c r="N938" i="7" s="1"/>
  <c r="H938" i="7"/>
  <c r="I938" i="7" s="1"/>
  <c r="J938" i="7" s="1"/>
  <c r="K938" i="7" l="1"/>
  <c r="S939" i="7" s="1"/>
  <c r="P939" i="7"/>
  <c r="O938" i="7"/>
  <c r="T939" i="7" s="1"/>
  <c r="Q939" i="7"/>
  <c r="R939" i="7" l="1"/>
  <c r="G939" i="7"/>
  <c r="H939" i="7" l="1"/>
  <c r="I939" i="7" s="1"/>
  <c r="J939" i="7" s="1"/>
  <c r="L939" i="7"/>
  <c r="M939" i="7" s="1"/>
  <c r="N939" i="7" s="1"/>
  <c r="Q940" i="7" l="1"/>
  <c r="O939" i="7"/>
  <c r="T940" i="7" s="1"/>
  <c r="K939" i="7"/>
  <c r="S940" i="7" s="1"/>
  <c r="P940" i="7"/>
  <c r="R940" i="7" l="1"/>
  <c r="G940" i="7"/>
  <c r="L940" i="7" l="1"/>
  <c r="M940" i="7" s="1"/>
  <c r="N940" i="7" s="1"/>
  <c r="H940" i="7"/>
  <c r="I940" i="7" s="1"/>
  <c r="J940" i="7" s="1"/>
  <c r="P941" i="7" l="1"/>
  <c r="K940" i="7"/>
  <c r="S941" i="7" s="1"/>
  <c r="O940" i="7"/>
  <c r="T941" i="7" s="1"/>
  <c r="Q941" i="7"/>
  <c r="R941" i="7" l="1"/>
  <c r="G941" i="7"/>
  <c r="H941" i="7" l="1"/>
  <c r="I941" i="7" s="1"/>
  <c r="J941" i="7" s="1"/>
  <c r="L941" i="7"/>
  <c r="M941" i="7" s="1"/>
  <c r="N941" i="7" s="1"/>
  <c r="O941" i="7" l="1"/>
  <c r="T942" i="7" s="1"/>
  <c r="Q942" i="7"/>
  <c r="K941" i="7"/>
  <c r="S942" i="7" s="1"/>
  <c r="P942" i="7"/>
  <c r="G942" i="7" l="1"/>
  <c r="R942" i="7"/>
  <c r="H942" i="7" l="1"/>
  <c r="I942" i="7" s="1"/>
  <c r="J942" i="7" s="1"/>
  <c r="L942" i="7"/>
  <c r="M942" i="7" s="1"/>
  <c r="N942" i="7" s="1"/>
  <c r="Q943" i="7" l="1"/>
  <c r="O942" i="7"/>
  <c r="T943" i="7" s="1"/>
  <c r="K942" i="7"/>
  <c r="S943" i="7" s="1"/>
  <c r="P943" i="7"/>
  <c r="R943" i="7" l="1"/>
  <c r="G943" i="7"/>
  <c r="H943" i="7" l="1"/>
  <c r="I943" i="7" s="1"/>
  <c r="J943" i="7" s="1"/>
  <c r="L943" i="7"/>
  <c r="M943" i="7" s="1"/>
  <c r="N943" i="7" s="1"/>
  <c r="O943" i="7" l="1"/>
  <c r="T944" i="7" s="1"/>
  <c r="Q944" i="7"/>
  <c r="K943" i="7"/>
  <c r="S944" i="7" s="1"/>
  <c r="P944" i="7"/>
  <c r="G944" i="7" l="1"/>
  <c r="R944" i="7"/>
  <c r="L944" i="7" l="1"/>
  <c r="M944" i="7" s="1"/>
  <c r="N944" i="7" s="1"/>
  <c r="H944" i="7"/>
  <c r="I944" i="7" s="1"/>
  <c r="J944" i="7" s="1"/>
  <c r="K944" i="7" l="1"/>
  <c r="S945" i="7" s="1"/>
  <c r="P945" i="7"/>
  <c r="Q945" i="7"/>
  <c r="O944" i="7"/>
  <c r="T945" i="7" s="1"/>
  <c r="R945" i="7" l="1"/>
  <c r="G945" i="7"/>
  <c r="L945" i="7" l="1"/>
  <c r="M945" i="7" s="1"/>
  <c r="N945" i="7" s="1"/>
  <c r="H945" i="7"/>
  <c r="I945" i="7" s="1"/>
  <c r="J945" i="7" s="1"/>
  <c r="K945" i="7" l="1"/>
  <c r="S946" i="7" s="1"/>
  <c r="P946" i="7"/>
  <c r="O945" i="7"/>
  <c r="T946" i="7" s="1"/>
  <c r="Q946" i="7"/>
  <c r="R946" i="7" l="1"/>
  <c r="G946" i="7"/>
  <c r="L946" i="7" l="1"/>
  <c r="M946" i="7" s="1"/>
  <c r="N946" i="7" s="1"/>
  <c r="H946" i="7"/>
  <c r="I946" i="7" s="1"/>
  <c r="J946" i="7" s="1"/>
  <c r="K946" i="7" l="1"/>
  <c r="S947" i="7" s="1"/>
  <c r="P947" i="7"/>
  <c r="O946" i="7"/>
  <c r="T947" i="7" s="1"/>
  <c r="Q947" i="7"/>
  <c r="G947" i="7" l="1"/>
  <c r="R947" i="7"/>
  <c r="L947" i="7" l="1"/>
  <c r="M947" i="7" s="1"/>
  <c r="N947" i="7" s="1"/>
  <c r="H947" i="7"/>
  <c r="I947" i="7" s="1"/>
  <c r="J947" i="7" s="1"/>
  <c r="P948" i="7" l="1"/>
  <c r="K947" i="7"/>
  <c r="S948" i="7" s="1"/>
  <c r="O947" i="7"/>
  <c r="T948" i="7" s="1"/>
  <c r="Q948" i="7"/>
  <c r="G948" i="7" l="1"/>
  <c r="R948" i="7"/>
  <c r="H948" i="7" l="1"/>
  <c r="I948" i="7" s="1"/>
  <c r="J948" i="7" s="1"/>
  <c r="L948" i="7"/>
  <c r="M948" i="7" s="1"/>
  <c r="N948" i="7" s="1"/>
  <c r="O948" i="7" l="1"/>
  <c r="T949" i="7" s="1"/>
  <c r="Q949" i="7"/>
  <c r="P949" i="7"/>
  <c r="K948" i="7"/>
  <c r="S949" i="7" s="1"/>
  <c r="G949" i="7" l="1"/>
  <c r="R949" i="7"/>
  <c r="L949" i="7" l="1"/>
  <c r="M949" i="7" s="1"/>
  <c r="N949" i="7" s="1"/>
  <c r="H949" i="7"/>
  <c r="I949" i="7" s="1"/>
  <c r="J949" i="7" s="1"/>
  <c r="P950" i="7" l="1"/>
  <c r="K949" i="7"/>
  <c r="S950" i="7" s="1"/>
  <c r="Q950" i="7"/>
  <c r="O949" i="7"/>
  <c r="T950" i="7" s="1"/>
  <c r="G950" i="7" l="1"/>
  <c r="R950" i="7"/>
  <c r="H950" i="7" l="1"/>
  <c r="I950" i="7" s="1"/>
  <c r="J950" i="7" s="1"/>
  <c r="L950" i="7"/>
  <c r="M950" i="7" s="1"/>
  <c r="N950" i="7" s="1"/>
  <c r="O950" i="7" l="1"/>
  <c r="T951" i="7" s="1"/>
  <c r="Q951" i="7"/>
  <c r="P951" i="7"/>
  <c r="K950" i="7"/>
  <c r="S951" i="7" s="1"/>
  <c r="R951" i="7" l="1"/>
  <c r="G951" i="7"/>
  <c r="L951" i="7" l="1"/>
  <c r="M951" i="7" s="1"/>
  <c r="N951" i="7" s="1"/>
  <c r="H951" i="7"/>
  <c r="I951" i="7" s="1"/>
  <c r="J951" i="7" s="1"/>
  <c r="P952" i="7" l="1"/>
  <c r="K951" i="7"/>
  <c r="S952" i="7" s="1"/>
  <c r="O951" i="7"/>
  <c r="T952" i="7" s="1"/>
  <c r="Q952" i="7"/>
  <c r="R952" i="7" l="1"/>
  <c r="G952" i="7"/>
  <c r="H952" i="7" l="1"/>
  <c r="I952" i="7" s="1"/>
  <c r="J952" i="7" s="1"/>
  <c r="L952" i="7"/>
  <c r="M952" i="7" s="1"/>
  <c r="N952" i="7" s="1"/>
  <c r="Q953" i="7" l="1"/>
  <c r="O952" i="7"/>
  <c r="T953" i="7" s="1"/>
  <c r="K952" i="7"/>
  <c r="S953" i="7" s="1"/>
  <c r="P953" i="7"/>
  <c r="R953" i="7" l="1"/>
  <c r="G953" i="7"/>
  <c r="L953" i="7" l="1"/>
  <c r="M953" i="7" s="1"/>
  <c r="N953" i="7" s="1"/>
  <c r="H953" i="7"/>
  <c r="I953" i="7" s="1"/>
  <c r="J953" i="7" s="1"/>
  <c r="K953" i="7" l="1"/>
  <c r="S954" i="7" s="1"/>
  <c r="P954" i="7"/>
  <c r="Q954" i="7"/>
  <c r="O953" i="7"/>
  <c r="T954" i="7" s="1"/>
  <c r="R954" i="7" l="1"/>
  <c r="G954" i="7"/>
  <c r="L954" i="7" l="1"/>
  <c r="M954" i="7" s="1"/>
  <c r="N954" i="7" s="1"/>
  <c r="H954" i="7"/>
  <c r="I954" i="7" s="1"/>
  <c r="J954" i="7" s="1"/>
  <c r="P955" i="7" l="1"/>
  <c r="K954" i="7"/>
  <c r="S955" i="7" s="1"/>
  <c r="O954" i="7"/>
  <c r="T955" i="7" s="1"/>
  <c r="Q955" i="7"/>
  <c r="G955" i="7" l="1"/>
  <c r="R955" i="7"/>
  <c r="H955" i="7" l="1"/>
  <c r="I955" i="7" s="1"/>
  <c r="J955" i="7" s="1"/>
  <c r="L955" i="7"/>
  <c r="M955" i="7" s="1"/>
  <c r="N955" i="7" s="1"/>
  <c r="O955" i="7" l="1"/>
  <c r="T956" i="7" s="1"/>
  <c r="Q956" i="7"/>
  <c r="K955" i="7"/>
  <c r="S956" i="7" s="1"/>
  <c r="P956" i="7"/>
  <c r="R956" i="7" l="1"/>
  <c r="G956" i="7"/>
  <c r="L956" i="7" l="1"/>
  <c r="M956" i="7" s="1"/>
  <c r="N956" i="7" s="1"/>
  <c r="H956" i="7"/>
  <c r="I956" i="7" s="1"/>
  <c r="J956" i="7" s="1"/>
  <c r="P957" i="7" l="1"/>
  <c r="K956" i="7"/>
  <c r="S957" i="7" s="1"/>
  <c r="Q957" i="7"/>
  <c r="O956" i="7"/>
  <c r="T957" i="7" s="1"/>
  <c r="G957" i="7" l="1"/>
  <c r="R957" i="7"/>
  <c r="H957" i="7" l="1"/>
  <c r="I957" i="7" s="1"/>
  <c r="J957" i="7" s="1"/>
  <c r="L957" i="7"/>
  <c r="M957" i="7" s="1"/>
  <c r="N957" i="7" s="1"/>
  <c r="O957" i="7" l="1"/>
  <c r="T958" i="7" s="1"/>
  <c r="Q958" i="7"/>
  <c r="K957" i="7"/>
  <c r="S958" i="7" s="1"/>
  <c r="P958" i="7"/>
  <c r="R958" i="7" l="1"/>
  <c r="G958" i="7"/>
  <c r="H958" i="7" l="1"/>
  <c r="I958" i="7" s="1"/>
  <c r="J958" i="7" s="1"/>
  <c r="L958" i="7"/>
  <c r="M958" i="7" s="1"/>
  <c r="N958" i="7" s="1"/>
  <c r="O958" i="7" l="1"/>
  <c r="T959" i="7" s="1"/>
  <c r="Q959" i="7"/>
  <c r="P959" i="7"/>
  <c r="K958" i="7"/>
  <c r="S959" i="7" s="1"/>
  <c r="R959" i="7" l="1"/>
  <c r="G959" i="7"/>
  <c r="L959" i="7" l="1"/>
  <c r="M959" i="7" s="1"/>
  <c r="N959" i="7" s="1"/>
  <c r="H959" i="7"/>
  <c r="I959" i="7" s="1"/>
  <c r="J959" i="7" s="1"/>
  <c r="P960" i="7" l="1"/>
  <c r="K959" i="7"/>
  <c r="S960" i="7" s="1"/>
  <c r="O959" i="7"/>
  <c r="T960" i="7" s="1"/>
  <c r="Q960" i="7"/>
  <c r="G960" i="7" l="1"/>
  <c r="R960" i="7"/>
  <c r="H960" i="7" l="1"/>
  <c r="I960" i="7" s="1"/>
  <c r="J960" i="7" s="1"/>
  <c r="L960" i="7"/>
  <c r="M960" i="7" s="1"/>
  <c r="N960" i="7" s="1"/>
  <c r="O960" i="7" l="1"/>
  <c r="T961" i="7" s="1"/>
  <c r="Q961" i="7"/>
  <c r="K960" i="7"/>
  <c r="S961" i="7" s="1"/>
  <c r="P961" i="7"/>
  <c r="R961" i="7" l="1"/>
  <c r="G961" i="7"/>
  <c r="H961" i="7" l="1"/>
  <c r="I961" i="7" s="1"/>
  <c r="J961" i="7" s="1"/>
  <c r="L961" i="7"/>
  <c r="M961" i="7" s="1"/>
  <c r="N961" i="7" s="1"/>
  <c r="O961" i="7" l="1"/>
  <c r="T962" i="7" s="1"/>
  <c r="Q962" i="7"/>
  <c r="P962" i="7"/>
  <c r="K961" i="7"/>
  <c r="S962" i="7" s="1"/>
  <c r="G962" i="7" l="1"/>
  <c r="R962" i="7"/>
  <c r="L962" i="7" l="1"/>
  <c r="M962" i="7" s="1"/>
  <c r="N962" i="7" s="1"/>
  <c r="H962" i="7"/>
  <c r="I962" i="7" s="1"/>
  <c r="J962" i="7" s="1"/>
  <c r="P963" i="7" l="1"/>
  <c r="K962" i="7"/>
  <c r="S963" i="7" s="1"/>
  <c r="O962" i="7"/>
  <c r="T963" i="7" s="1"/>
  <c r="Q963" i="7"/>
  <c r="R963" i="7" l="1"/>
  <c r="G963" i="7"/>
  <c r="L963" i="7" l="1"/>
  <c r="M963" i="7" s="1"/>
  <c r="N963" i="7" s="1"/>
  <c r="H963" i="7"/>
  <c r="I963" i="7" s="1"/>
  <c r="J963" i="7" s="1"/>
  <c r="P964" i="7" l="1"/>
  <c r="K963" i="7"/>
  <c r="S964" i="7" s="1"/>
  <c r="O963" i="7"/>
  <c r="T964" i="7" s="1"/>
  <c r="Q964" i="7"/>
  <c r="G964" i="7" l="1"/>
  <c r="R964" i="7"/>
  <c r="H964" i="7" l="1"/>
  <c r="I964" i="7" s="1"/>
  <c r="J964" i="7" s="1"/>
  <c r="L964" i="7"/>
  <c r="M964" i="7" s="1"/>
  <c r="N964" i="7" s="1"/>
  <c r="Q965" i="7" l="1"/>
  <c r="O964" i="7"/>
  <c r="T965" i="7" s="1"/>
  <c r="K964" i="7"/>
  <c r="S965" i="7" s="1"/>
  <c r="P965" i="7"/>
  <c r="G965" i="7" l="1"/>
  <c r="R965" i="7"/>
  <c r="L965" i="7" l="1"/>
  <c r="M965" i="7" s="1"/>
  <c r="N965" i="7" s="1"/>
  <c r="H965" i="7"/>
  <c r="I965" i="7" s="1"/>
  <c r="J965" i="7" s="1"/>
  <c r="K965" i="7" l="1"/>
  <c r="S966" i="7" s="1"/>
  <c r="P966" i="7"/>
  <c r="Q966" i="7"/>
  <c r="O965" i="7"/>
  <c r="T966" i="7" s="1"/>
  <c r="R966" i="7" l="1"/>
  <c r="G966" i="7"/>
  <c r="L966" i="7" l="1"/>
  <c r="M966" i="7" s="1"/>
  <c r="N966" i="7" s="1"/>
  <c r="H966" i="7"/>
  <c r="I966" i="7" s="1"/>
  <c r="J966" i="7" s="1"/>
  <c r="P967" i="7" l="1"/>
  <c r="K966" i="7"/>
  <c r="S967" i="7" s="1"/>
  <c r="Q967" i="7"/>
  <c r="O966" i="7"/>
  <c r="T967" i="7" s="1"/>
  <c r="R967" i="7" l="1"/>
  <c r="G967" i="7"/>
  <c r="H967" i="7" l="1"/>
  <c r="I967" i="7" s="1"/>
  <c r="J967" i="7" s="1"/>
  <c r="L967" i="7"/>
  <c r="M967" i="7" s="1"/>
  <c r="N967" i="7" s="1"/>
  <c r="Q968" i="7" l="1"/>
  <c r="O967" i="7"/>
  <c r="T968" i="7" s="1"/>
  <c r="P968" i="7"/>
  <c r="K967" i="7"/>
  <c r="S968" i="7" s="1"/>
  <c r="G968" i="7" l="1"/>
  <c r="R968" i="7"/>
  <c r="H968" i="7" l="1"/>
  <c r="I968" i="7" s="1"/>
  <c r="J968" i="7" s="1"/>
  <c r="L968" i="7"/>
  <c r="M968" i="7" s="1"/>
  <c r="N968" i="7" s="1"/>
  <c r="Q969" i="7" l="1"/>
  <c r="O968" i="7"/>
  <c r="T969" i="7" s="1"/>
  <c r="K968" i="7"/>
  <c r="S969" i="7" s="1"/>
  <c r="P969" i="7"/>
  <c r="R969" i="7" l="1"/>
  <c r="G969" i="7"/>
  <c r="L969" i="7" l="1"/>
  <c r="M969" i="7" s="1"/>
  <c r="N969" i="7" s="1"/>
  <c r="H969" i="7"/>
  <c r="I969" i="7" s="1"/>
  <c r="J969" i="7" s="1"/>
  <c r="P970" i="7" l="1"/>
  <c r="K969" i="7"/>
  <c r="S970" i="7" s="1"/>
  <c r="O969" i="7"/>
  <c r="T970" i="7" s="1"/>
  <c r="Q970" i="7"/>
  <c r="R970" i="7" l="1"/>
  <c r="G970" i="7"/>
  <c r="L970" i="7" l="1"/>
  <c r="M970" i="7" s="1"/>
  <c r="N970" i="7" s="1"/>
  <c r="H970" i="7"/>
  <c r="I970" i="7" s="1"/>
  <c r="J970" i="7" s="1"/>
  <c r="K970" i="7" l="1"/>
  <c r="S971" i="7" s="1"/>
  <c r="P971" i="7"/>
  <c r="Q971" i="7"/>
  <c r="O970" i="7"/>
  <c r="T971" i="7" s="1"/>
  <c r="G971" i="7" l="1"/>
  <c r="R971" i="7"/>
  <c r="L971" i="7" l="1"/>
  <c r="M971" i="7" s="1"/>
  <c r="N971" i="7" s="1"/>
  <c r="H971" i="7"/>
  <c r="I971" i="7" s="1"/>
  <c r="J971" i="7" s="1"/>
  <c r="K971" i="7" l="1"/>
  <c r="S972" i="7" s="1"/>
  <c r="P972" i="7"/>
  <c r="Q972" i="7"/>
  <c r="O971" i="7"/>
  <c r="T972" i="7" s="1"/>
  <c r="R972" i="7" l="1"/>
  <c r="G972" i="7"/>
  <c r="L972" i="7" l="1"/>
  <c r="M972" i="7" s="1"/>
  <c r="N972" i="7" s="1"/>
  <c r="H972" i="7"/>
  <c r="I972" i="7" s="1"/>
  <c r="J972" i="7" s="1"/>
  <c r="P973" i="7" l="1"/>
  <c r="K972" i="7"/>
  <c r="S973" i="7" s="1"/>
  <c r="Q973" i="7"/>
  <c r="O972" i="7"/>
  <c r="T973" i="7" s="1"/>
  <c r="R973" i="7" l="1"/>
  <c r="G973" i="7"/>
  <c r="H973" i="7" l="1"/>
  <c r="I973" i="7" s="1"/>
  <c r="J973" i="7" s="1"/>
  <c r="L973" i="7"/>
  <c r="M973" i="7" s="1"/>
  <c r="N973" i="7" s="1"/>
  <c r="Q974" i="7" l="1"/>
  <c r="O973" i="7"/>
  <c r="T974" i="7" s="1"/>
  <c r="P974" i="7"/>
  <c r="K973" i="7"/>
  <c r="S974" i="7" s="1"/>
  <c r="G974" i="7" l="1"/>
  <c r="R974" i="7"/>
  <c r="H974" i="7" l="1"/>
  <c r="I974" i="7" s="1"/>
  <c r="J974" i="7" s="1"/>
  <c r="L974" i="7"/>
  <c r="M974" i="7" s="1"/>
  <c r="N974" i="7" s="1"/>
  <c r="O974" i="7" l="1"/>
  <c r="T975" i="7" s="1"/>
  <c r="Q975" i="7"/>
  <c r="P975" i="7"/>
  <c r="K974" i="7"/>
  <c r="S975" i="7" s="1"/>
  <c r="R975" i="7" l="1"/>
  <c r="G975" i="7"/>
  <c r="L975" i="7" l="1"/>
  <c r="M975" i="7" s="1"/>
  <c r="N975" i="7" s="1"/>
  <c r="H975" i="7"/>
  <c r="I975" i="7" s="1"/>
  <c r="J975" i="7" s="1"/>
  <c r="P976" i="7" l="1"/>
  <c r="K975" i="7"/>
  <c r="S976" i="7" s="1"/>
  <c r="Q976" i="7"/>
  <c r="O975" i="7"/>
  <c r="T976" i="7" s="1"/>
  <c r="G976" i="7" l="1"/>
  <c r="R976" i="7"/>
  <c r="H976" i="7" l="1"/>
  <c r="I976" i="7" s="1"/>
  <c r="J976" i="7" s="1"/>
  <c r="L976" i="7"/>
  <c r="M976" i="7" s="1"/>
  <c r="N976" i="7" s="1"/>
  <c r="O976" i="7" l="1"/>
  <c r="T977" i="7" s="1"/>
  <c r="Q977" i="7"/>
  <c r="K976" i="7"/>
  <c r="S977" i="7" s="1"/>
  <c r="P977" i="7"/>
  <c r="G977" i="7" l="1"/>
  <c r="R977" i="7"/>
  <c r="H977" i="7" l="1"/>
  <c r="I977" i="7" s="1"/>
  <c r="J977" i="7" s="1"/>
  <c r="L977" i="7"/>
  <c r="M977" i="7" s="1"/>
  <c r="N977" i="7" s="1"/>
  <c r="Q978" i="7" l="1"/>
  <c r="O977" i="7"/>
  <c r="T978" i="7" s="1"/>
  <c r="K977" i="7"/>
  <c r="S978" i="7" s="1"/>
  <c r="P978" i="7"/>
  <c r="R978" i="7" l="1"/>
  <c r="G978" i="7"/>
  <c r="L978" i="7" l="1"/>
  <c r="M978" i="7" s="1"/>
  <c r="N978" i="7" s="1"/>
  <c r="H978" i="7"/>
  <c r="I978" i="7" s="1"/>
  <c r="J978" i="7" s="1"/>
  <c r="P979" i="7" l="1"/>
  <c r="K978" i="7"/>
  <c r="S979" i="7" s="1"/>
  <c r="Q979" i="7"/>
  <c r="O978" i="7"/>
  <c r="T979" i="7" s="1"/>
  <c r="R979" i="7" l="1"/>
  <c r="G979" i="7"/>
  <c r="L979" i="7" l="1"/>
  <c r="M979" i="7" s="1"/>
  <c r="N979" i="7" s="1"/>
  <c r="H979" i="7"/>
  <c r="I979" i="7" s="1"/>
  <c r="J979" i="7" s="1"/>
  <c r="K979" i="7" l="1"/>
  <c r="S980" i="7" s="1"/>
  <c r="P980" i="7"/>
  <c r="O979" i="7"/>
  <c r="T980" i="7" s="1"/>
  <c r="Q980" i="7"/>
  <c r="G980" i="7" l="1"/>
  <c r="R980" i="7"/>
  <c r="H980" i="7" l="1"/>
  <c r="I980" i="7" s="1"/>
  <c r="J980" i="7" s="1"/>
  <c r="L980" i="7"/>
  <c r="M980" i="7" s="1"/>
  <c r="N980" i="7" s="1"/>
  <c r="Q981" i="7" l="1"/>
  <c r="O980" i="7"/>
  <c r="T981" i="7" s="1"/>
  <c r="K980" i="7"/>
  <c r="S981" i="7" s="1"/>
  <c r="P981" i="7"/>
  <c r="G981" i="7" l="1"/>
  <c r="R981" i="7"/>
  <c r="H981" i="7" l="1"/>
  <c r="I981" i="7" s="1"/>
  <c r="J981" i="7" s="1"/>
  <c r="L981" i="7"/>
  <c r="M981" i="7" s="1"/>
  <c r="N981" i="7" s="1"/>
  <c r="O981" i="7" l="1"/>
  <c r="T982" i="7" s="1"/>
  <c r="Q982" i="7"/>
  <c r="K981" i="7"/>
  <c r="S982" i="7" s="1"/>
  <c r="P982" i="7"/>
  <c r="G982" i="7" l="1"/>
  <c r="R982" i="7"/>
  <c r="L982" i="7" l="1"/>
  <c r="M982" i="7" s="1"/>
  <c r="N982" i="7" s="1"/>
  <c r="H982" i="7"/>
  <c r="I982" i="7" s="1"/>
  <c r="J982" i="7" s="1"/>
  <c r="K982" i="7" l="1"/>
  <c r="S983" i="7" s="1"/>
  <c r="P983" i="7"/>
  <c r="O982" i="7"/>
  <c r="T983" i="7" s="1"/>
  <c r="Q983" i="7"/>
  <c r="R983" i="7" l="1"/>
  <c r="G983" i="7"/>
  <c r="H983" i="7" l="1"/>
  <c r="I983" i="7" s="1"/>
  <c r="J983" i="7" s="1"/>
  <c r="L983" i="7"/>
  <c r="M983" i="7" s="1"/>
  <c r="N983" i="7" s="1"/>
  <c r="O983" i="7" l="1"/>
  <c r="T984" i="7" s="1"/>
  <c r="Q984" i="7"/>
  <c r="K983" i="7"/>
  <c r="S984" i="7" s="1"/>
  <c r="P984" i="7"/>
  <c r="R984" i="7" l="1"/>
  <c r="G984" i="7"/>
  <c r="H984" i="7" l="1"/>
  <c r="I984" i="7" s="1"/>
  <c r="J984" i="7" s="1"/>
  <c r="L984" i="7"/>
  <c r="M984" i="7" s="1"/>
  <c r="N984" i="7" s="1"/>
  <c r="Q985" i="7" l="1"/>
  <c r="O984" i="7"/>
  <c r="T985" i="7" s="1"/>
  <c r="K984" i="7"/>
  <c r="S985" i="7" s="1"/>
  <c r="P985" i="7"/>
  <c r="R985" i="7" l="1"/>
  <c r="G985" i="7"/>
  <c r="H985" i="7" l="1"/>
  <c r="I985" i="7" s="1"/>
  <c r="J985" i="7" s="1"/>
  <c r="L985" i="7"/>
  <c r="M985" i="7" s="1"/>
  <c r="N985" i="7" s="1"/>
  <c r="Q986" i="7" l="1"/>
  <c r="O985" i="7"/>
  <c r="T986" i="7" s="1"/>
  <c r="P986" i="7"/>
  <c r="K985" i="7"/>
  <c r="S986" i="7" s="1"/>
  <c r="G986" i="7" l="1"/>
  <c r="R986" i="7"/>
  <c r="H986" i="7" l="1"/>
  <c r="I986" i="7" s="1"/>
  <c r="J986" i="7" s="1"/>
  <c r="L986" i="7"/>
  <c r="M986" i="7" s="1"/>
  <c r="N986" i="7" s="1"/>
  <c r="Q987" i="7" l="1"/>
  <c r="O986" i="7"/>
  <c r="T987" i="7" s="1"/>
  <c r="P987" i="7"/>
  <c r="K986" i="7"/>
  <c r="S987" i="7" s="1"/>
  <c r="G987" i="7" l="1"/>
  <c r="R987" i="7"/>
  <c r="L987" i="7" l="1"/>
  <c r="M987" i="7" s="1"/>
  <c r="N987" i="7" s="1"/>
  <c r="H987" i="7"/>
  <c r="I987" i="7" s="1"/>
  <c r="J987" i="7" s="1"/>
  <c r="P988" i="7" l="1"/>
  <c r="K987" i="7"/>
  <c r="S988" i="7" s="1"/>
  <c r="Q988" i="7"/>
  <c r="O987" i="7"/>
  <c r="T988" i="7" s="1"/>
  <c r="R988" i="7" l="1"/>
  <c r="G988" i="7"/>
  <c r="L988" i="7" l="1"/>
  <c r="M988" i="7" s="1"/>
  <c r="N988" i="7" s="1"/>
  <c r="H988" i="7"/>
  <c r="I988" i="7" s="1"/>
  <c r="J988" i="7" s="1"/>
  <c r="P989" i="7" l="1"/>
  <c r="K988" i="7"/>
  <c r="S989" i="7" s="1"/>
  <c r="O988" i="7"/>
  <c r="T989" i="7" s="1"/>
  <c r="Q989" i="7"/>
  <c r="G989" i="7" l="1"/>
  <c r="R989" i="7"/>
  <c r="H989" i="7" l="1"/>
  <c r="I989" i="7" s="1"/>
  <c r="J989" i="7" s="1"/>
  <c r="L989" i="7"/>
  <c r="M989" i="7" s="1"/>
  <c r="N989" i="7" s="1"/>
  <c r="O989" i="7" l="1"/>
  <c r="T990" i="7" s="1"/>
  <c r="Q990" i="7"/>
  <c r="K989" i="7"/>
  <c r="S990" i="7" s="1"/>
  <c r="P990" i="7"/>
  <c r="R990" i="7" l="1"/>
  <c r="G990" i="7"/>
  <c r="H990" i="7" l="1"/>
  <c r="I990" i="7" s="1"/>
  <c r="J990" i="7" s="1"/>
  <c r="L990" i="7"/>
  <c r="M990" i="7" s="1"/>
  <c r="N990" i="7" s="1"/>
  <c r="O990" i="7" l="1"/>
  <c r="T991" i="7" s="1"/>
  <c r="Q991" i="7"/>
  <c r="P991" i="7"/>
  <c r="K990" i="7"/>
  <c r="S991" i="7" s="1"/>
  <c r="R991" i="7" l="1"/>
  <c r="G991" i="7"/>
  <c r="H991" i="7" l="1"/>
  <c r="I991" i="7" s="1"/>
  <c r="J991" i="7" s="1"/>
  <c r="L991" i="7"/>
  <c r="M991" i="7" s="1"/>
  <c r="N991" i="7" s="1"/>
  <c r="Q992" i="7" l="1"/>
  <c r="O991" i="7"/>
  <c r="T992" i="7" s="1"/>
  <c r="P992" i="7"/>
  <c r="K991" i="7"/>
  <c r="S992" i="7" s="1"/>
  <c r="R992" i="7" l="1"/>
  <c r="G992" i="7"/>
  <c r="L992" i="7" l="1"/>
  <c r="M992" i="7" s="1"/>
  <c r="N992" i="7" s="1"/>
  <c r="H992" i="7"/>
  <c r="I992" i="7" s="1"/>
  <c r="J992" i="7" s="1"/>
  <c r="P993" i="7" l="1"/>
  <c r="K992" i="7"/>
  <c r="S993" i="7" s="1"/>
  <c r="O992" i="7"/>
  <c r="T993" i="7" s="1"/>
  <c r="Q993" i="7"/>
  <c r="G993" i="7" l="1"/>
  <c r="R993" i="7"/>
  <c r="H993" i="7" l="1"/>
  <c r="I993" i="7" s="1"/>
  <c r="J993" i="7" s="1"/>
  <c r="L993" i="7"/>
  <c r="M993" i="7" s="1"/>
  <c r="N993" i="7" s="1"/>
  <c r="Q994" i="7" l="1"/>
  <c r="O993" i="7"/>
  <c r="T994" i="7" s="1"/>
  <c r="P994" i="7"/>
  <c r="K993" i="7"/>
  <c r="S994" i="7" s="1"/>
  <c r="G994" i="7" l="1"/>
  <c r="R994" i="7"/>
  <c r="L994" i="7" l="1"/>
  <c r="M994" i="7" s="1"/>
  <c r="N994" i="7" s="1"/>
  <c r="H994" i="7"/>
  <c r="I994" i="7" s="1"/>
  <c r="J994" i="7" s="1"/>
  <c r="K994" i="7" l="1"/>
  <c r="S995" i="7" s="1"/>
  <c r="P995" i="7"/>
  <c r="O994" i="7"/>
  <c r="T995" i="7" s="1"/>
  <c r="Q995" i="7"/>
  <c r="R995" i="7" l="1"/>
  <c r="G995" i="7"/>
  <c r="H995" i="7" l="1"/>
  <c r="I995" i="7" s="1"/>
  <c r="J995" i="7" s="1"/>
  <c r="L995" i="7"/>
  <c r="M995" i="7" s="1"/>
  <c r="N995" i="7" s="1"/>
  <c r="Q996" i="7" l="1"/>
  <c r="O995" i="7"/>
  <c r="T996" i="7" s="1"/>
  <c r="K995" i="7"/>
  <c r="S996" i="7" s="1"/>
  <c r="P996" i="7"/>
  <c r="R996" i="7" l="1"/>
  <c r="G996" i="7"/>
  <c r="H996" i="7" l="1"/>
  <c r="I996" i="7" s="1"/>
  <c r="J996" i="7" s="1"/>
  <c r="L996" i="7"/>
  <c r="M996" i="7" s="1"/>
  <c r="N996" i="7" s="1"/>
  <c r="O996" i="7" l="1"/>
  <c r="T997" i="7" s="1"/>
  <c r="Q997" i="7"/>
  <c r="K996" i="7"/>
  <c r="S997" i="7" s="1"/>
  <c r="P997" i="7"/>
  <c r="G997" i="7" l="1"/>
  <c r="R997" i="7"/>
  <c r="H997" i="7" l="1"/>
  <c r="I997" i="7" s="1"/>
  <c r="J997" i="7" s="1"/>
  <c r="L997" i="7"/>
  <c r="M997" i="7" s="1"/>
  <c r="N997" i="7" s="1"/>
  <c r="O997" i="7" l="1"/>
  <c r="T998" i="7" s="1"/>
  <c r="Q998" i="7"/>
  <c r="P998" i="7"/>
  <c r="K997" i="7"/>
  <c r="S998" i="7" s="1"/>
  <c r="G998" i="7" l="1"/>
  <c r="R998" i="7"/>
  <c r="L998" i="7" l="1"/>
  <c r="M998" i="7" s="1"/>
  <c r="N998" i="7" s="1"/>
  <c r="H998" i="7"/>
  <c r="I998" i="7" s="1"/>
  <c r="J998" i="7" s="1"/>
  <c r="K998" i="7" l="1"/>
  <c r="S999" i="7" s="1"/>
  <c r="P999" i="7"/>
  <c r="Q999" i="7"/>
  <c r="O998" i="7"/>
  <c r="T999" i="7" s="1"/>
  <c r="R999" i="7" l="1"/>
  <c r="G999" i="7"/>
  <c r="L999" i="7" l="1"/>
  <c r="M999" i="7" s="1"/>
  <c r="N999" i="7" s="1"/>
  <c r="H999" i="7"/>
  <c r="I999" i="7" s="1"/>
  <c r="J999" i="7" s="1"/>
  <c r="P1000" i="7" l="1"/>
  <c r="K999" i="7"/>
  <c r="S1000" i="7" s="1"/>
  <c r="Q1000" i="7"/>
  <c r="O999" i="7"/>
  <c r="T1000" i="7" s="1"/>
  <c r="R1000" i="7" l="1"/>
  <c r="G1000" i="7"/>
  <c r="L1000" i="7" l="1"/>
  <c r="M1000" i="7" s="1"/>
  <c r="N1000" i="7" s="1"/>
  <c r="H1000" i="7"/>
  <c r="I1000" i="7" s="1"/>
  <c r="J1000" i="7" s="1"/>
  <c r="P1001" i="7" l="1"/>
  <c r="K1000" i="7"/>
  <c r="S1001" i="7" s="1"/>
  <c r="O1000" i="7"/>
  <c r="T1001" i="7" s="1"/>
  <c r="Q1001" i="7"/>
  <c r="G1001" i="7" l="1"/>
  <c r="R1001" i="7"/>
  <c r="H1001" i="7" l="1"/>
  <c r="I1001" i="7" s="1"/>
  <c r="J1001" i="7" s="1"/>
  <c r="L1001" i="7"/>
  <c r="M1001" i="7" s="1"/>
  <c r="N1001" i="7" s="1"/>
  <c r="O1001" i="7" l="1"/>
  <c r="T1002" i="7" s="1"/>
  <c r="Q1002" i="7"/>
  <c r="P1002" i="7"/>
  <c r="K1001" i="7"/>
  <c r="S1002" i="7" s="1"/>
  <c r="G1002" i="7" l="1"/>
  <c r="R1002" i="7"/>
  <c r="L1002" i="7" l="1"/>
  <c r="M1002" i="7" s="1"/>
  <c r="N1002" i="7" s="1"/>
  <c r="H1002" i="7"/>
  <c r="I1002" i="7" s="1"/>
  <c r="J1002" i="7" s="1"/>
  <c r="K1002" i="7" l="1"/>
  <c r="S1003" i="7" s="1"/>
  <c r="P1003" i="7"/>
  <c r="Q1003" i="7"/>
  <c r="O1002" i="7"/>
  <c r="T1003" i="7" s="1"/>
  <c r="R1003" i="7" l="1"/>
  <c r="G1003" i="7"/>
  <c r="H1003" i="7" l="1"/>
  <c r="I1003" i="7" s="1"/>
  <c r="J1003" i="7" s="1"/>
  <c r="L1003" i="7"/>
  <c r="M1003" i="7" s="1"/>
  <c r="N1003" i="7" s="1"/>
  <c r="Q1004" i="7" l="1"/>
  <c r="O1003" i="7"/>
  <c r="T1004" i="7" s="1"/>
  <c r="P1004" i="7"/>
  <c r="K1003" i="7"/>
  <c r="S1004" i="7" s="1"/>
  <c r="G1004" i="7" l="1"/>
  <c r="R1004" i="7"/>
  <c r="H1004" i="7" l="1"/>
  <c r="I1004" i="7" s="1"/>
  <c r="J1004" i="7" s="1"/>
  <c r="L1004" i="7"/>
  <c r="M1004" i="7" s="1"/>
  <c r="N1004" i="7" s="1"/>
  <c r="Q1005" i="7" l="1"/>
  <c r="O1004" i="7"/>
  <c r="T1005" i="7" s="1"/>
  <c r="P1005" i="7"/>
  <c r="K1004" i="7"/>
  <c r="S1005" i="7" s="1"/>
  <c r="G1005" i="7" l="1"/>
  <c r="R1005" i="7"/>
  <c r="H1005" i="7" l="1"/>
  <c r="I1005" i="7" s="1"/>
  <c r="J1005" i="7" s="1"/>
  <c r="L1005" i="7"/>
  <c r="M1005" i="7" s="1"/>
  <c r="N1005" i="7" s="1"/>
  <c r="Q1006" i="7" l="1"/>
  <c r="O1005" i="7"/>
  <c r="T1006" i="7" s="1"/>
  <c r="K1005" i="7"/>
  <c r="S1006" i="7" s="1"/>
  <c r="P1006" i="7"/>
  <c r="G1006" i="7" l="1"/>
  <c r="R1006" i="7"/>
  <c r="H1006" i="7" l="1"/>
  <c r="I1006" i="7" s="1"/>
  <c r="J1006" i="7" s="1"/>
  <c r="L1006" i="7"/>
  <c r="M1006" i="7" s="1"/>
  <c r="N1006" i="7" s="1"/>
  <c r="O1006" i="7" l="1"/>
  <c r="T1007" i="7" s="1"/>
  <c r="Q1007" i="7"/>
  <c r="P1007" i="7"/>
  <c r="K1006" i="7"/>
  <c r="S1007" i="7" s="1"/>
  <c r="R1007" i="7" l="1"/>
  <c r="G1007" i="7"/>
  <c r="L1007" i="7" l="1"/>
  <c r="M1007" i="7" s="1"/>
  <c r="N1007" i="7" s="1"/>
  <c r="H1007" i="7"/>
  <c r="I1007" i="7" s="1"/>
  <c r="J1007" i="7" s="1"/>
  <c r="P1008" i="7" l="1"/>
  <c r="K1007" i="7"/>
  <c r="S1008" i="7" s="1"/>
  <c r="O1007" i="7"/>
  <c r="T1008" i="7" s="1"/>
  <c r="Q1008" i="7"/>
  <c r="G1008" i="7" l="1"/>
  <c r="R1008" i="7"/>
  <c r="L1008" i="7" l="1"/>
  <c r="M1008" i="7" s="1"/>
  <c r="N1008" i="7" s="1"/>
  <c r="H1008" i="7"/>
  <c r="I1008" i="7" s="1"/>
  <c r="J1008" i="7" s="1"/>
  <c r="P1009" i="7" l="1"/>
  <c r="K1008" i="7"/>
  <c r="S1009" i="7" s="1"/>
  <c r="O1008" i="7"/>
  <c r="T1009" i="7" s="1"/>
  <c r="Q1009" i="7"/>
  <c r="R1009" i="7" l="1"/>
  <c r="G1009" i="7"/>
  <c r="H1009" i="7" l="1"/>
  <c r="I1009" i="7" s="1"/>
  <c r="J1009" i="7" s="1"/>
  <c r="L1009" i="7"/>
  <c r="M1009" i="7" s="1"/>
  <c r="N1009" i="7" s="1"/>
  <c r="Q1010" i="7" l="1"/>
  <c r="O1009" i="7"/>
  <c r="T1010" i="7" s="1"/>
  <c r="P1010" i="7"/>
  <c r="K1009" i="7"/>
  <c r="S1010" i="7" s="1"/>
  <c r="G1010" i="7" l="1"/>
  <c r="R1010" i="7"/>
  <c r="L1010" i="7" l="1"/>
  <c r="M1010" i="7" s="1"/>
  <c r="N1010" i="7" s="1"/>
  <c r="H1010" i="7"/>
  <c r="I1010" i="7" s="1"/>
  <c r="J1010" i="7" s="1"/>
  <c r="P1011" i="7" l="1"/>
  <c r="K1010" i="7"/>
  <c r="S1011" i="7" s="1"/>
  <c r="Q1011" i="7"/>
  <c r="O1010" i="7"/>
  <c r="T1011" i="7" s="1"/>
  <c r="G1011" i="7" l="1"/>
  <c r="R1011" i="7"/>
  <c r="H1011" i="7" l="1"/>
  <c r="I1011" i="7" s="1"/>
  <c r="J1011" i="7" s="1"/>
  <c r="L1011" i="7"/>
  <c r="M1011" i="7" s="1"/>
  <c r="N1011" i="7" s="1"/>
  <c r="Q1012" i="7" l="1"/>
  <c r="O1011" i="7"/>
  <c r="T1012" i="7" s="1"/>
  <c r="P1012" i="7"/>
  <c r="K1011" i="7"/>
  <c r="S1012" i="7" s="1"/>
  <c r="R1012" i="7" l="1"/>
  <c r="G1012" i="7"/>
  <c r="L1012" i="7" l="1"/>
  <c r="M1012" i="7" s="1"/>
  <c r="N1012" i="7" s="1"/>
  <c r="H1012" i="7"/>
  <c r="I1012" i="7" s="1"/>
  <c r="J1012" i="7" s="1"/>
  <c r="P1013" i="7" l="1"/>
  <c r="K1012" i="7"/>
  <c r="S1013" i="7" s="1"/>
  <c r="O1012" i="7"/>
  <c r="T1013" i="7" s="1"/>
  <c r="Q1013" i="7"/>
  <c r="R1013" i="7" l="1"/>
  <c r="G1013" i="7"/>
  <c r="L1013" i="7" l="1"/>
  <c r="M1013" i="7" s="1"/>
  <c r="N1013" i="7" s="1"/>
  <c r="H1013" i="7"/>
  <c r="I1013" i="7" s="1"/>
  <c r="J1013" i="7" s="1"/>
  <c r="P1014" i="7" l="1"/>
  <c r="K1013" i="7"/>
  <c r="S1014" i="7" s="1"/>
  <c r="O1013" i="7"/>
  <c r="T1014" i="7" s="1"/>
  <c r="Q1014" i="7"/>
  <c r="G1014" i="7" l="1"/>
  <c r="R1014" i="7"/>
  <c r="L1014" i="7" l="1"/>
  <c r="M1014" i="7" s="1"/>
  <c r="N1014" i="7" s="1"/>
  <c r="H1014" i="7"/>
  <c r="I1014" i="7" s="1"/>
  <c r="J1014" i="7" s="1"/>
  <c r="P1015" i="7" l="1"/>
  <c r="K1014" i="7"/>
  <c r="S1015" i="7" s="1"/>
  <c r="O1014" i="7"/>
  <c r="T1015" i="7" s="1"/>
  <c r="Q1015" i="7"/>
  <c r="G1015" i="7" l="1"/>
  <c r="R1015" i="7"/>
  <c r="L1015" i="7" l="1"/>
  <c r="M1015" i="7" s="1"/>
  <c r="N1015" i="7" s="1"/>
  <c r="H1015" i="7"/>
  <c r="I1015" i="7" s="1"/>
  <c r="J1015" i="7" s="1"/>
  <c r="K1015" i="7" l="1"/>
  <c r="S1016" i="7" s="1"/>
  <c r="P1016" i="7"/>
  <c r="Q1016" i="7"/>
  <c r="O1015" i="7"/>
  <c r="T1016" i="7" s="1"/>
  <c r="G1016" i="7" l="1"/>
  <c r="R1016" i="7"/>
  <c r="H1016" i="7" l="1"/>
  <c r="I1016" i="7" s="1"/>
  <c r="J1016" i="7" s="1"/>
  <c r="L1016" i="7"/>
  <c r="M1016" i="7" s="1"/>
  <c r="N1016" i="7" s="1"/>
  <c r="O1016" i="7" l="1"/>
  <c r="T1017" i="7" s="1"/>
  <c r="Q1017" i="7"/>
  <c r="K1016" i="7"/>
  <c r="S1017" i="7" s="1"/>
  <c r="P1017" i="7"/>
  <c r="G1017" i="7" l="1"/>
  <c r="R1017" i="7"/>
  <c r="H1017" i="7" l="1"/>
  <c r="I1017" i="7" s="1"/>
  <c r="J1017" i="7" s="1"/>
  <c r="L1017" i="7"/>
  <c r="M1017" i="7" s="1"/>
  <c r="N1017" i="7" s="1"/>
  <c r="Q1018" i="7" l="1"/>
  <c r="O1017" i="7"/>
  <c r="T1018" i="7" s="1"/>
  <c r="P1018" i="7"/>
  <c r="K1017" i="7"/>
  <c r="S1018" i="7" s="1"/>
  <c r="R1018" i="7" l="1"/>
  <c r="G1018" i="7"/>
  <c r="L1018" i="7" l="1"/>
  <c r="M1018" i="7" s="1"/>
  <c r="N1018" i="7" s="1"/>
  <c r="H1018" i="7"/>
  <c r="I1018" i="7" s="1"/>
  <c r="J1018" i="7" s="1"/>
  <c r="K1018" i="7" l="1"/>
  <c r="S1019" i="7" s="1"/>
  <c r="P1019" i="7"/>
  <c r="O1018" i="7"/>
  <c r="T1019" i="7" s="1"/>
  <c r="Q1019" i="7"/>
  <c r="G1019" i="7" l="1"/>
  <c r="R1019" i="7"/>
  <c r="L1019" i="7" l="1"/>
  <c r="M1019" i="7" s="1"/>
  <c r="N1019" i="7" s="1"/>
  <c r="H1019" i="7"/>
  <c r="I1019" i="7" s="1"/>
  <c r="J1019" i="7" s="1"/>
  <c r="P1020" i="7" l="1"/>
  <c r="K1019" i="7"/>
  <c r="S1020" i="7" s="1"/>
  <c r="O1019" i="7"/>
  <c r="T1020" i="7" s="1"/>
  <c r="Q1020" i="7"/>
  <c r="R1020" i="7" l="1"/>
  <c r="G1020" i="7"/>
  <c r="L1020" i="7" l="1"/>
  <c r="M1020" i="7" s="1"/>
  <c r="N1020" i="7" s="1"/>
  <c r="H1020" i="7"/>
  <c r="I1020" i="7" s="1"/>
  <c r="J1020" i="7" s="1"/>
  <c r="K1020" i="7" l="1"/>
  <c r="S1021" i="7" s="1"/>
  <c r="P1021" i="7"/>
  <c r="O1020" i="7"/>
  <c r="T1021" i="7" s="1"/>
  <c r="Q1021" i="7"/>
  <c r="G1021" i="7" l="1"/>
  <c r="R1021" i="7"/>
  <c r="L1021" i="7" l="1"/>
  <c r="M1021" i="7" s="1"/>
  <c r="N1021" i="7" s="1"/>
  <c r="H1021" i="7"/>
  <c r="I1021" i="7" s="1"/>
  <c r="J1021" i="7" s="1"/>
  <c r="K1021" i="7" l="1"/>
  <c r="S1022" i="7" s="1"/>
  <c r="P1022" i="7"/>
  <c r="Q1022" i="7"/>
  <c r="O1021" i="7"/>
  <c r="T1022" i="7" s="1"/>
  <c r="G1022" i="7" l="1"/>
  <c r="R1022" i="7"/>
  <c r="L1022" i="7" l="1"/>
  <c r="M1022" i="7" s="1"/>
  <c r="N1022" i="7" s="1"/>
  <c r="H1022" i="7"/>
  <c r="I1022" i="7" s="1"/>
  <c r="J1022" i="7" s="1"/>
  <c r="K1022" i="7" l="1"/>
  <c r="S1023" i="7" s="1"/>
  <c r="P1023" i="7"/>
  <c r="Q1023" i="7"/>
  <c r="O1022" i="7"/>
  <c r="T1023" i="7" s="1"/>
  <c r="G1023" i="7" l="1"/>
  <c r="R1023" i="7"/>
  <c r="H1023" i="7" l="1"/>
  <c r="I1023" i="7" s="1"/>
  <c r="J1023" i="7" s="1"/>
  <c r="L1023" i="7"/>
  <c r="M1023" i="7" s="1"/>
  <c r="N1023" i="7" s="1"/>
  <c r="O1023" i="7" l="1"/>
  <c r="T1024" i="7" s="1"/>
  <c r="Q1024" i="7"/>
  <c r="K1023" i="7"/>
  <c r="S1024" i="7" s="1"/>
  <c r="P1024" i="7"/>
  <c r="G1024" i="7" l="1"/>
  <c r="R1024" i="7"/>
  <c r="L1024" i="7" l="1"/>
  <c r="M1024" i="7" s="1"/>
  <c r="N1024" i="7" s="1"/>
  <c r="H1024" i="7"/>
  <c r="I1024" i="7" s="1"/>
  <c r="J1024" i="7" s="1"/>
  <c r="K1024" i="7" l="1"/>
  <c r="S1025" i="7" s="1"/>
  <c r="P1025" i="7"/>
  <c r="Q1025" i="7"/>
  <c r="O1024" i="7"/>
  <c r="T1025" i="7" s="1"/>
  <c r="R1025" i="7" l="1"/>
  <c r="G1025" i="7"/>
  <c r="H1025" i="7" l="1"/>
  <c r="I1025" i="7" s="1"/>
  <c r="J1025" i="7" s="1"/>
  <c r="L1025" i="7"/>
  <c r="M1025" i="7" s="1"/>
  <c r="N1025" i="7" s="1"/>
  <c r="O1025" i="7" l="1"/>
  <c r="T1026" i="7" s="1"/>
  <c r="Q1026" i="7"/>
  <c r="P1026" i="7"/>
  <c r="K1025" i="7"/>
  <c r="S1026" i="7" s="1"/>
  <c r="R1026" i="7" l="1"/>
  <c r="G1026" i="7"/>
  <c r="H1026" i="7" l="1"/>
  <c r="I1026" i="7" s="1"/>
  <c r="J1026" i="7" s="1"/>
  <c r="L1026" i="7"/>
  <c r="M1026" i="7" s="1"/>
  <c r="N1026" i="7" s="1"/>
  <c r="Q1027" i="7" l="1"/>
  <c r="O1026" i="7"/>
  <c r="T1027" i="7" s="1"/>
  <c r="P1027" i="7"/>
  <c r="K1026" i="7"/>
  <c r="S1027" i="7" s="1"/>
  <c r="R1027" i="7" l="1"/>
  <c r="G1027" i="7"/>
  <c r="H1027" i="7" l="1"/>
  <c r="I1027" i="7" s="1"/>
  <c r="J1027" i="7" s="1"/>
  <c r="L1027" i="7"/>
  <c r="M1027" i="7" s="1"/>
  <c r="N1027" i="7" s="1"/>
  <c r="Q1028" i="7" l="1"/>
  <c r="O1027" i="7"/>
  <c r="T1028" i="7" s="1"/>
  <c r="K1027" i="7"/>
  <c r="S1028" i="7" s="1"/>
  <c r="P1028" i="7"/>
  <c r="G1028" i="7" l="1"/>
  <c r="R1028" i="7"/>
  <c r="H1028" i="7" l="1"/>
  <c r="I1028" i="7" s="1"/>
  <c r="J1028" i="7" s="1"/>
  <c r="L1028" i="7"/>
  <c r="M1028" i="7" s="1"/>
  <c r="N1028" i="7" s="1"/>
  <c r="O1028" i="7" l="1"/>
  <c r="T1029" i="7" s="1"/>
  <c r="Q1029" i="7"/>
  <c r="K1028" i="7"/>
  <c r="S1029" i="7" s="1"/>
  <c r="P1029" i="7"/>
  <c r="G1029" i="7" l="1"/>
  <c r="R1029" i="7"/>
  <c r="H1029" i="7" l="1"/>
  <c r="I1029" i="7" s="1"/>
  <c r="J1029" i="7" s="1"/>
  <c r="L1029" i="7"/>
  <c r="M1029" i="7" s="1"/>
  <c r="N1029" i="7" s="1"/>
  <c r="Q1030" i="7" l="1"/>
  <c r="O1029" i="7"/>
  <c r="T1030" i="7" s="1"/>
  <c r="K1029" i="7"/>
  <c r="S1030" i="7" s="1"/>
  <c r="P1030" i="7"/>
  <c r="G1030" i="7" l="1"/>
  <c r="R1030" i="7"/>
  <c r="L1030" i="7" l="1"/>
  <c r="M1030" i="7" s="1"/>
  <c r="N1030" i="7" s="1"/>
  <c r="H1030" i="7"/>
  <c r="I1030" i="7" s="1"/>
  <c r="J1030" i="7" s="1"/>
  <c r="P1031" i="7" l="1"/>
  <c r="K1030" i="7"/>
  <c r="S1031" i="7" s="1"/>
  <c r="Q1031" i="7"/>
  <c r="O1030" i="7"/>
  <c r="T1031" i="7" s="1"/>
  <c r="G1031" i="7" l="1"/>
  <c r="R1031" i="7"/>
  <c r="H1031" i="7" l="1"/>
  <c r="I1031" i="7" s="1"/>
  <c r="J1031" i="7" s="1"/>
  <c r="L1031" i="7"/>
  <c r="M1031" i="7" s="1"/>
  <c r="N1031" i="7" s="1"/>
  <c r="Q1032" i="7" l="1"/>
  <c r="O1031" i="7"/>
  <c r="T1032" i="7" s="1"/>
  <c r="K1031" i="7"/>
  <c r="S1032" i="7" s="1"/>
  <c r="P1032" i="7"/>
  <c r="G1032" i="7" l="1"/>
  <c r="R1032" i="7"/>
  <c r="H1032" i="7" l="1"/>
  <c r="I1032" i="7" s="1"/>
  <c r="J1032" i="7" s="1"/>
  <c r="L1032" i="7"/>
  <c r="M1032" i="7" s="1"/>
  <c r="N1032" i="7" s="1"/>
  <c r="Q1033" i="7" l="1"/>
  <c r="O1032" i="7"/>
  <c r="T1033" i="7" s="1"/>
  <c r="P1033" i="7"/>
  <c r="K1032" i="7"/>
  <c r="S1033" i="7" s="1"/>
  <c r="R1033" i="7" l="1"/>
  <c r="G1033" i="7"/>
  <c r="L1033" i="7" l="1"/>
  <c r="M1033" i="7" s="1"/>
  <c r="N1033" i="7" s="1"/>
  <c r="H1033" i="7"/>
  <c r="I1033" i="7" s="1"/>
  <c r="J1033" i="7" s="1"/>
  <c r="P1034" i="7" l="1"/>
  <c r="K1033" i="7"/>
  <c r="S1034" i="7" s="1"/>
  <c r="O1033" i="7"/>
  <c r="T1034" i="7" s="1"/>
  <c r="Q1034" i="7"/>
  <c r="R1034" i="7" l="1"/>
  <c r="G1034" i="7"/>
  <c r="L1034" i="7" l="1"/>
  <c r="M1034" i="7" s="1"/>
  <c r="N1034" i="7" s="1"/>
  <c r="H1034" i="7"/>
  <c r="I1034" i="7" s="1"/>
  <c r="J1034" i="7" s="1"/>
  <c r="K1034" i="7" l="1"/>
  <c r="S1035" i="7" s="1"/>
  <c r="P1035" i="7"/>
  <c r="Q1035" i="7"/>
  <c r="O1034" i="7"/>
  <c r="T1035" i="7" s="1"/>
  <c r="G1035" i="7" l="1"/>
  <c r="R1035" i="7"/>
  <c r="L1035" i="7" l="1"/>
  <c r="M1035" i="7" s="1"/>
  <c r="N1035" i="7" s="1"/>
  <c r="H1035" i="7"/>
  <c r="I1035" i="7" s="1"/>
  <c r="J1035" i="7" s="1"/>
  <c r="K1035" i="7" l="1"/>
  <c r="S1036" i="7" s="1"/>
  <c r="P1036" i="7"/>
  <c r="Q1036" i="7"/>
  <c r="O1035" i="7"/>
  <c r="T1036" i="7" s="1"/>
  <c r="G1036" i="7" l="1"/>
  <c r="R1036" i="7"/>
  <c r="H1036" i="7" l="1"/>
  <c r="I1036" i="7" s="1"/>
  <c r="J1036" i="7" s="1"/>
  <c r="L1036" i="7"/>
  <c r="M1036" i="7" s="1"/>
  <c r="N1036" i="7" s="1"/>
  <c r="O1036" i="7" l="1"/>
  <c r="T1037" i="7" s="1"/>
  <c r="Q1037" i="7"/>
  <c r="K1036" i="7"/>
  <c r="S1037" i="7" s="1"/>
  <c r="P1037" i="7"/>
  <c r="G1037" i="7" l="1"/>
  <c r="R1037" i="7"/>
  <c r="L1037" i="7" l="1"/>
  <c r="M1037" i="7" s="1"/>
  <c r="N1037" i="7" s="1"/>
  <c r="H1037" i="7"/>
  <c r="I1037" i="7" s="1"/>
  <c r="J1037" i="7" s="1"/>
  <c r="P1038" i="7" l="1"/>
  <c r="K1037" i="7"/>
  <c r="S1038" i="7" s="1"/>
  <c r="Q1038" i="7"/>
  <c r="O1037" i="7"/>
  <c r="T1038" i="7" s="1"/>
  <c r="R1038" i="7" l="1"/>
  <c r="G1038" i="7"/>
  <c r="H1038" i="7" l="1"/>
  <c r="I1038" i="7" s="1"/>
  <c r="J1038" i="7" s="1"/>
  <c r="L1038" i="7"/>
  <c r="M1038" i="7" s="1"/>
  <c r="N1038" i="7" s="1"/>
  <c r="O1038" i="7" l="1"/>
  <c r="T1039" i="7" s="1"/>
  <c r="Q1039" i="7"/>
  <c r="K1038" i="7"/>
  <c r="S1039" i="7" s="1"/>
  <c r="P1039" i="7"/>
  <c r="G1039" i="7" l="1"/>
  <c r="R1039" i="7"/>
  <c r="L1039" i="7" l="1"/>
  <c r="M1039" i="7" s="1"/>
  <c r="N1039" i="7" s="1"/>
  <c r="H1039" i="7"/>
  <c r="I1039" i="7" s="1"/>
  <c r="J1039" i="7" s="1"/>
  <c r="K1039" i="7" l="1"/>
  <c r="S1040" i="7" s="1"/>
  <c r="P1040" i="7"/>
  <c r="Q1040" i="7"/>
  <c r="O1039" i="7"/>
  <c r="T1040" i="7" s="1"/>
  <c r="R1040" i="7" l="1"/>
  <c r="G1040" i="7"/>
  <c r="L1040" i="7" l="1"/>
  <c r="M1040" i="7" s="1"/>
  <c r="N1040" i="7" s="1"/>
  <c r="H1040" i="7"/>
  <c r="I1040" i="7" s="1"/>
  <c r="J1040" i="7" s="1"/>
  <c r="K1040" i="7" l="1"/>
  <c r="S1041" i="7" s="1"/>
  <c r="P1041" i="7"/>
  <c r="O1040" i="7"/>
  <c r="T1041" i="7" s="1"/>
  <c r="Q1041" i="7"/>
  <c r="R1041" i="7" l="1"/>
  <c r="G1041" i="7"/>
  <c r="L1041" i="7" l="1"/>
  <c r="M1041" i="7" s="1"/>
  <c r="N1041" i="7" s="1"/>
  <c r="H1041" i="7"/>
  <c r="I1041" i="7" s="1"/>
  <c r="J1041" i="7" s="1"/>
  <c r="P1042" i="7" l="1"/>
  <c r="K1041" i="7"/>
  <c r="S1042" i="7" s="1"/>
  <c r="Q1042" i="7"/>
  <c r="O1041" i="7"/>
  <c r="T1042" i="7" s="1"/>
  <c r="R1042" i="7" l="1"/>
  <c r="G1042" i="7"/>
  <c r="L1042" i="7" l="1"/>
  <c r="M1042" i="7" s="1"/>
  <c r="N1042" i="7" s="1"/>
  <c r="H1042" i="7"/>
  <c r="I1042" i="7" s="1"/>
  <c r="J1042" i="7" s="1"/>
  <c r="P1043" i="7" l="1"/>
  <c r="K1042" i="7"/>
  <c r="S1043" i="7" s="1"/>
  <c r="Q1043" i="7"/>
  <c r="O1042" i="7"/>
  <c r="T1043" i="7" s="1"/>
  <c r="G1043" i="7" l="1"/>
  <c r="R1043" i="7"/>
  <c r="H1043" i="7" l="1"/>
  <c r="I1043" i="7" s="1"/>
  <c r="J1043" i="7" s="1"/>
  <c r="L1043" i="7"/>
  <c r="M1043" i="7" s="1"/>
  <c r="N1043" i="7" s="1"/>
  <c r="Q1044" i="7" l="1"/>
  <c r="O1043" i="7"/>
  <c r="T1044" i="7" s="1"/>
  <c r="K1043" i="7"/>
  <c r="S1044" i="7" s="1"/>
  <c r="P1044" i="7"/>
  <c r="R1044" i="7" l="1"/>
  <c r="G1044" i="7"/>
  <c r="H1044" i="7" l="1"/>
  <c r="I1044" i="7" s="1"/>
  <c r="J1044" i="7" s="1"/>
  <c r="L1044" i="7"/>
  <c r="M1044" i="7" s="1"/>
  <c r="N1044" i="7" s="1"/>
  <c r="Q1045" i="7" l="1"/>
  <c r="O1044" i="7"/>
  <c r="T1045" i="7" s="1"/>
  <c r="P1045" i="7"/>
  <c r="K1044" i="7"/>
  <c r="S1045" i="7" s="1"/>
  <c r="G1045" i="7" l="1"/>
  <c r="R1045" i="7"/>
  <c r="L1045" i="7" l="1"/>
  <c r="M1045" i="7" s="1"/>
  <c r="N1045" i="7" s="1"/>
  <c r="H1045" i="7"/>
  <c r="I1045" i="7" s="1"/>
  <c r="J1045" i="7" s="1"/>
  <c r="P1046" i="7" l="1"/>
  <c r="K1045" i="7"/>
  <c r="S1046" i="7" s="1"/>
  <c r="O1045" i="7"/>
  <c r="T1046" i="7" s="1"/>
  <c r="Q1046" i="7"/>
  <c r="R1046" i="7" l="1"/>
  <c r="G1046" i="7"/>
  <c r="H1046" i="7" l="1"/>
  <c r="I1046" i="7" s="1"/>
  <c r="J1046" i="7" s="1"/>
  <c r="L1046" i="7"/>
  <c r="M1046" i="7" s="1"/>
  <c r="N1046" i="7" s="1"/>
  <c r="Q1047" i="7" l="1"/>
  <c r="O1046" i="7"/>
  <c r="T1047" i="7" s="1"/>
  <c r="P1047" i="7"/>
  <c r="K1046" i="7"/>
  <c r="S1047" i="7" s="1"/>
  <c r="R1047" i="7" l="1"/>
  <c r="G1047" i="7"/>
  <c r="L1047" i="7" l="1"/>
  <c r="M1047" i="7" s="1"/>
  <c r="N1047" i="7" s="1"/>
  <c r="H1047" i="7"/>
  <c r="I1047" i="7" s="1"/>
  <c r="J1047" i="7" s="1"/>
  <c r="K1047" i="7" l="1"/>
  <c r="S1048" i="7" s="1"/>
  <c r="P1048" i="7"/>
  <c r="Q1048" i="7"/>
  <c r="O1047" i="7"/>
  <c r="T1048" i="7" s="1"/>
  <c r="G1048" i="7" l="1"/>
  <c r="R1048" i="7"/>
  <c r="L1048" i="7" l="1"/>
  <c r="M1048" i="7" s="1"/>
  <c r="N1048" i="7" s="1"/>
  <c r="H1048" i="7"/>
  <c r="I1048" i="7" s="1"/>
  <c r="J1048" i="7" s="1"/>
  <c r="P1049" i="7" l="1"/>
  <c r="K1048" i="7"/>
  <c r="S1049" i="7" s="1"/>
  <c r="O1048" i="7"/>
  <c r="T1049" i="7" s="1"/>
  <c r="Q1049" i="7"/>
  <c r="R1049" i="7" l="1"/>
  <c r="G1049" i="7"/>
  <c r="L1049" i="7" l="1"/>
  <c r="M1049" i="7" s="1"/>
  <c r="N1049" i="7" s="1"/>
  <c r="H1049" i="7"/>
  <c r="I1049" i="7" s="1"/>
  <c r="J1049" i="7" s="1"/>
  <c r="K1049" i="7" l="1"/>
  <c r="S1050" i="7" s="1"/>
  <c r="P1050" i="7"/>
  <c r="O1049" i="7"/>
  <c r="T1050" i="7" s="1"/>
  <c r="Q1050" i="7"/>
  <c r="G1050" i="7" l="1"/>
  <c r="R1050" i="7"/>
  <c r="L1050" i="7" l="1"/>
  <c r="M1050" i="7" s="1"/>
  <c r="N1050" i="7" s="1"/>
  <c r="H1050" i="7"/>
  <c r="I1050" i="7" s="1"/>
  <c r="J1050" i="7" s="1"/>
  <c r="P1051" i="7" l="1"/>
  <c r="K1050" i="7"/>
  <c r="S1051" i="7" s="1"/>
  <c r="Q1051" i="7"/>
  <c r="O1050" i="7"/>
  <c r="T1051" i="7" s="1"/>
  <c r="G1051" i="7" l="1"/>
  <c r="R1051" i="7"/>
  <c r="H1051" i="7" l="1"/>
  <c r="I1051" i="7" s="1"/>
  <c r="J1051" i="7" s="1"/>
  <c r="L1051" i="7"/>
  <c r="M1051" i="7" s="1"/>
  <c r="N1051" i="7" s="1"/>
  <c r="O1051" i="7" l="1"/>
  <c r="T1052" i="7" s="1"/>
  <c r="Q1052" i="7"/>
  <c r="P1052" i="7"/>
  <c r="K1051" i="7"/>
  <c r="S1052" i="7" s="1"/>
  <c r="G1052" i="7" l="1"/>
  <c r="R1052" i="7"/>
  <c r="H1052" i="7" l="1"/>
  <c r="I1052" i="7" s="1"/>
  <c r="J1052" i="7" s="1"/>
  <c r="L1052" i="7"/>
  <c r="M1052" i="7" s="1"/>
  <c r="N1052" i="7" s="1"/>
  <c r="Q1053" i="7" l="1"/>
  <c r="O1052" i="7"/>
  <c r="T1053" i="7" s="1"/>
  <c r="K1052" i="7"/>
  <c r="S1053" i="7" s="1"/>
  <c r="P1053" i="7"/>
  <c r="R1053" i="7" l="1"/>
  <c r="G1053" i="7"/>
  <c r="L1053" i="7" l="1"/>
  <c r="M1053" i="7" s="1"/>
  <c r="N1053" i="7" s="1"/>
  <c r="H1053" i="7"/>
  <c r="I1053" i="7" s="1"/>
  <c r="J1053" i="7" s="1"/>
  <c r="K1053" i="7" l="1"/>
  <c r="S1054" i="7" s="1"/>
  <c r="P1054" i="7"/>
  <c r="O1053" i="7"/>
  <c r="T1054" i="7" s="1"/>
  <c r="Q1054" i="7"/>
  <c r="R1054" i="7" l="1"/>
  <c r="G1054" i="7"/>
  <c r="H1054" i="7" l="1"/>
  <c r="I1054" i="7" s="1"/>
  <c r="J1054" i="7" s="1"/>
  <c r="L1054" i="7"/>
  <c r="M1054" i="7" s="1"/>
  <c r="N1054" i="7" s="1"/>
  <c r="Q1055" i="7" l="1"/>
  <c r="O1054" i="7"/>
  <c r="T1055" i="7" s="1"/>
  <c r="P1055" i="7"/>
  <c r="K1054" i="7"/>
  <c r="S1055" i="7" s="1"/>
  <c r="R1055" i="7" l="1"/>
  <c r="G1055" i="7"/>
  <c r="L1055" i="7" l="1"/>
  <c r="M1055" i="7" s="1"/>
  <c r="N1055" i="7" s="1"/>
  <c r="H1055" i="7"/>
  <c r="I1055" i="7" s="1"/>
  <c r="J1055" i="7" s="1"/>
  <c r="P1056" i="7" l="1"/>
  <c r="K1055" i="7"/>
  <c r="S1056" i="7" s="1"/>
  <c r="O1055" i="7"/>
  <c r="T1056" i="7" s="1"/>
  <c r="Q1056" i="7"/>
  <c r="G1056" i="7" l="1"/>
  <c r="R1056" i="7"/>
  <c r="L1056" i="7" l="1"/>
  <c r="M1056" i="7" s="1"/>
  <c r="N1056" i="7" s="1"/>
  <c r="H1056" i="7"/>
  <c r="I1056" i="7" s="1"/>
  <c r="J1056" i="7" s="1"/>
  <c r="K1056" i="7" l="1"/>
  <c r="S1057" i="7" s="1"/>
  <c r="P1057" i="7"/>
  <c r="O1056" i="7"/>
  <c r="T1057" i="7" s="1"/>
  <c r="Q1057" i="7"/>
  <c r="G1057" i="7" l="1"/>
  <c r="R1057" i="7"/>
  <c r="L1057" i="7" l="1"/>
  <c r="M1057" i="7" s="1"/>
  <c r="N1057" i="7" s="1"/>
  <c r="H1057" i="7"/>
  <c r="I1057" i="7" s="1"/>
  <c r="J1057" i="7" s="1"/>
  <c r="P1058" i="7" l="1"/>
  <c r="K1057" i="7"/>
  <c r="S1058" i="7" s="1"/>
  <c r="O1057" i="7"/>
  <c r="T1058" i="7" s="1"/>
  <c r="Q1058" i="7"/>
  <c r="R1058" i="7" l="1"/>
  <c r="G1058" i="7"/>
  <c r="L1058" i="7" l="1"/>
  <c r="M1058" i="7" s="1"/>
  <c r="N1058" i="7" s="1"/>
  <c r="H1058" i="7"/>
  <c r="I1058" i="7" s="1"/>
  <c r="J1058" i="7" s="1"/>
  <c r="P1059" i="7" l="1"/>
  <c r="K1058" i="7"/>
  <c r="S1059" i="7" s="1"/>
  <c r="O1058" i="7"/>
  <c r="T1059" i="7" s="1"/>
  <c r="Q1059" i="7"/>
  <c r="G1059" i="7" l="1"/>
  <c r="R1059" i="7"/>
  <c r="H1059" i="7" l="1"/>
  <c r="I1059" i="7" s="1"/>
  <c r="J1059" i="7" s="1"/>
  <c r="L1059" i="7"/>
  <c r="M1059" i="7" s="1"/>
  <c r="N1059" i="7" s="1"/>
  <c r="Q1060" i="7" l="1"/>
  <c r="O1059" i="7"/>
  <c r="T1060" i="7" s="1"/>
  <c r="P1060" i="7"/>
  <c r="K1059" i="7"/>
  <c r="S1060" i="7" s="1"/>
  <c r="R1060" i="7" l="1"/>
  <c r="G1060" i="7"/>
  <c r="L1060" i="7" l="1"/>
  <c r="M1060" i="7" s="1"/>
  <c r="N1060" i="7" s="1"/>
  <c r="H1060" i="7"/>
  <c r="I1060" i="7" s="1"/>
  <c r="J1060" i="7" s="1"/>
  <c r="P1061" i="7" l="1"/>
  <c r="K1060" i="7"/>
  <c r="S1061" i="7" s="1"/>
  <c r="O1060" i="7"/>
  <c r="T1061" i="7" s="1"/>
  <c r="Q1061" i="7"/>
  <c r="G1061" i="7" l="1"/>
  <c r="R1061" i="7"/>
  <c r="H1061" i="7" l="1"/>
  <c r="I1061" i="7" s="1"/>
  <c r="J1061" i="7" s="1"/>
  <c r="L1061" i="7"/>
  <c r="M1061" i="7" s="1"/>
  <c r="N1061" i="7" s="1"/>
  <c r="O1061" i="7" l="1"/>
  <c r="T1062" i="7" s="1"/>
  <c r="Q1062" i="7"/>
  <c r="K1061" i="7"/>
  <c r="S1062" i="7" s="1"/>
  <c r="P1062" i="7"/>
  <c r="R1062" i="7" l="1"/>
  <c r="G1062" i="7"/>
  <c r="L1062" i="7" l="1"/>
  <c r="M1062" i="7" s="1"/>
  <c r="N1062" i="7" s="1"/>
  <c r="H1062" i="7"/>
  <c r="I1062" i="7" s="1"/>
  <c r="J1062" i="7" s="1"/>
  <c r="K1062" i="7" l="1"/>
  <c r="S1063" i="7" s="1"/>
  <c r="P1063" i="7"/>
  <c r="Q1063" i="7"/>
  <c r="O1062" i="7"/>
  <c r="T1063" i="7" s="1"/>
  <c r="R1063" i="7" l="1"/>
  <c r="G1063" i="7"/>
  <c r="H1063" i="7" l="1"/>
  <c r="I1063" i="7" s="1"/>
  <c r="J1063" i="7" s="1"/>
  <c r="L1063" i="7"/>
  <c r="M1063" i="7" s="1"/>
  <c r="N1063" i="7" s="1"/>
  <c r="Q1064" i="7" l="1"/>
  <c r="O1063" i="7"/>
  <c r="T1064" i="7" s="1"/>
  <c r="K1063" i="7"/>
  <c r="S1064" i="7" s="1"/>
  <c r="P1064" i="7"/>
  <c r="R1064" i="7" l="1"/>
  <c r="G1064" i="7"/>
  <c r="L1064" i="7" l="1"/>
  <c r="M1064" i="7" s="1"/>
  <c r="N1064" i="7" s="1"/>
  <c r="H1064" i="7"/>
  <c r="I1064" i="7" s="1"/>
  <c r="J1064" i="7" s="1"/>
  <c r="K1064" i="7" l="1"/>
  <c r="S1065" i="7" s="1"/>
  <c r="P1065" i="7"/>
  <c r="Q1065" i="7"/>
  <c r="O1064" i="7"/>
  <c r="T1065" i="7" s="1"/>
  <c r="G1065" i="7" l="1"/>
  <c r="R1065" i="7"/>
  <c r="H1065" i="7" l="1"/>
  <c r="I1065" i="7" s="1"/>
  <c r="J1065" i="7" s="1"/>
  <c r="L1065" i="7"/>
  <c r="M1065" i="7" s="1"/>
  <c r="N1065" i="7" s="1"/>
  <c r="Q1066" i="7" l="1"/>
  <c r="O1065" i="7"/>
  <c r="T1066" i="7" s="1"/>
  <c r="P1066" i="7"/>
  <c r="K1065" i="7"/>
  <c r="S1066" i="7" s="1"/>
  <c r="G1066" i="7" l="1"/>
  <c r="R1066" i="7"/>
  <c r="H1066" i="7" l="1"/>
  <c r="I1066" i="7" s="1"/>
  <c r="J1066" i="7" s="1"/>
  <c r="L1066" i="7"/>
  <c r="M1066" i="7" s="1"/>
  <c r="N1066" i="7" s="1"/>
  <c r="O1066" i="7" l="1"/>
  <c r="T1067" i="7" s="1"/>
  <c r="Q1067" i="7"/>
  <c r="K1066" i="7"/>
  <c r="S1067" i="7" s="1"/>
  <c r="P1067" i="7"/>
  <c r="R1067" i="7" l="1"/>
  <c r="G1067" i="7"/>
  <c r="L1067" i="7" l="1"/>
  <c r="M1067" i="7" s="1"/>
  <c r="N1067" i="7" s="1"/>
  <c r="H1067" i="7"/>
  <c r="I1067" i="7" s="1"/>
  <c r="J1067" i="7" s="1"/>
  <c r="K1067" i="7" l="1"/>
  <c r="S1068" i="7" s="1"/>
  <c r="P1068" i="7"/>
  <c r="O1067" i="7"/>
  <c r="T1068" i="7" s="1"/>
  <c r="Q1068" i="7"/>
  <c r="G1068" i="7" l="1"/>
  <c r="R1068" i="7"/>
  <c r="L1068" i="7" l="1"/>
  <c r="M1068" i="7" s="1"/>
  <c r="N1068" i="7" s="1"/>
  <c r="H1068" i="7"/>
  <c r="I1068" i="7" s="1"/>
  <c r="J1068" i="7" s="1"/>
  <c r="P1069" i="7" l="1"/>
  <c r="K1068" i="7"/>
  <c r="S1069" i="7" s="1"/>
  <c r="Q1069" i="7"/>
  <c r="O1068" i="7"/>
  <c r="T1069" i="7" s="1"/>
  <c r="R1069" i="7" l="1"/>
  <c r="G1069" i="7"/>
  <c r="L1069" i="7" l="1"/>
  <c r="M1069" i="7" s="1"/>
  <c r="N1069" i="7" s="1"/>
  <c r="H1069" i="7"/>
  <c r="I1069" i="7" s="1"/>
  <c r="J1069" i="7" s="1"/>
  <c r="K1069" i="7" l="1"/>
  <c r="S1070" i="7" s="1"/>
  <c r="P1070" i="7"/>
  <c r="Q1070" i="7"/>
  <c r="O1069" i="7"/>
  <c r="T1070" i="7" s="1"/>
  <c r="G1070" i="7" l="1"/>
  <c r="R1070" i="7"/>
  <c r="H1070" i="7" l="1"/>
  <c r="I1070" i="7" s="1"/>
  <c r="J1070" i="7" s="1"/>
  <c r="L1070" i="7"/>
  <c r="M1070" i="7" s="1"/>
  <c r="N1070" i="7" s="1"/>
  <c r="O1070" i="7" l="1"/>
  <c r="T1071" i="7" s="1"/>
  <c r="Q1071" i="7"/>
  <c r="K1070" i="7"/>
  <c r="S1071" i="7" s="1"/>
  <c r="P1071" i="7"/>
  <c r="R1071" i="7" l="1"/>
  <c r="G1071" i="7"/>
  <c r="H1071" i="7" l="1"/>
  <c r="I1071" i="7" s="1"/>
  <c r="J1071" i="7" s="1"/>
  <c r="L1071" i="7"/>
  <c r="M1071" i="7" s="1"/>
  <c r="N1071" i="7" s="1"/>
  <c r="Q1072" i="7" l="1"/>
  <c r="O1071" i="7"/>
  <c r="T1072" i="7" s="1"/>
  <c r="P1072" i="7"/>
  <c r="K1071" i="7"/>
  <c r="S1072" i="7" s="1"/>
  <c r="G1072" i="7" l="1"/>
  <c r="R1072" i="7"/>
  <c r="L1072" i="7" l="1"/>
  <c r="M1072" i="7" s="1"/>
  <c r="N1072" i="7" s="1"/>
  <c r="H1072" i="7"/>
  <c r="I1072" i="7" s="1"/>
  <c r="J1072" i="7" s="1"/>
  <c r="P1073" i="7" l="1"/>
  <c r="K1072" i="7"/>
  <c r="S1073" i="7" s="1"/>
  <c r="O1072" i="7"/>
  <c r="T1073" i="7" s="1"/>
  <c r="Q1073" i="7"/>
  <c r="G1073" i="7" l="1"/>
  <c r="R1073" i="7"/>
  <c r="L1073" i="7" l="1"/>
  <c r="M1073" i="7" s="1"/>
  <c r="N1073" i="7" s="1"/>
  <c r="H1073" i="7"/>
  <c r="I1073" i="7" s="1"/>
  <c r="J1073" i="7" s="1"/>
  <c r="K1073" i="7" l="1"/>
  <c r="S1074" i="7" s="1"/>
  <c r="P1074" i="7"/>
  <c r="Q1074" i="7"/>
  <c r="O1073" i="7"/>
  <c r="T1074" i="7" s="1"/>
  <c r="R1074" i="7" l="1"/>
  <c r="G1074" i="7"/>
  <c r="H1074" i="7" l="1"/>
  <c r="I1074" i="7" s="1"/>
  <c r="J1074" i="7" s="1"/>
  <c r="L1074" i="7"/>
  <c r="M1074" i="7" s="1"/>
  <c r="N1074" i="7" s="1"/>
  <c r="Q1075" i="7" l="1"/>
  <c r="O1074" i="7"/>
  <c r="T1075" i="7" s="1"/>
  <c r="K1074" i="7"/>
  <c r="S1075" i="7" s="1"/>
  <c r="P1075" i="7"/>
  <c r="R1075" i="7" l="1"/>
  <c r="G1075" i="7"/>
  <c r="H1075" i="7" l="1"/>
  <c r="I1075" i="7" s="1"/>
  <c r="J1075" i="7" s="1"/>
  <c r="L1075" i="7"/>
  <c r="M1075" i="7" s="1"/>
  <c r="N1075" i="7" s="1"/>
  <c r="Q1076" i="7" l="1"/>
  <c r="O1075" i="7"/>
  <c r="T1076" i="7" s="1"/>
  <c r="K1075" i="7"/>
  <c r="S1076" i="7" s="1"/>
  <c r="P1076" i="7"/>
  <c r="G1076" i="7" l="1"/>
  <c r="R1076" i="7"/>
  <c r="L1076" i="7" l="1"/>
  <c r="M1076" i="7" s="1"/>
  <c r="N1076" i="7" s="1"/>
  <c r="H1076" i="7"/>
  <c r="I1076" i="7" s="1"/>
  <c r="J1076" i="7" s="1"/>
  <c r="K1076" i="7" l="1"/>
  <c r="S1077" i="7" s="1"/>
  <c r="P1077" i="7"/>
  <c r="Q1077" i="7"/>
  <c r="O1076" i="7"/>
  <c r="T1077" i="7" s="1"/>
  <c r="G1077" i="7" l="1"/>
  <c r="R1077" i="7"/>
  <c r="H1077" i="7" l="1"/>
  <c r="I1077" i="7" s="1"/>
  <c r="J1077" i="7" s="1"/>
  <c r="L1077" i="7"/>
  <c r="M1077" i="7" s="1"/>
  <c r="N1077" i="7" s="1"/>
  <c r="O1077" i="7" l="1"/>
  <c r="T1078" i="7" s="1"/>
  <c r="Q1078" i="7"/>
  <c r="P1078" i="7"/>
  <c r="K1077" i="7"/>
  <c r="S1078" i="7" s="1"/>
  <c r="R1078" i="7" l="1"/>
  <c r="G1078" i="7"/>
  <c r="L1078" i="7" l="1"/>
  <c r="M1078" i="7" s="1"/>
  <c r="N1078" i="7" s="1"/>
  <c r="H1078" i="7"/>
  <c r="I1078" i="7" s="1"/>
  <c r="J1078" i="7" s="1"/>
  <c r="P1079" i="7" l="1"/>
  <c r="K1078" i="7"/>
  <c r="S1079" i="7" s="1"/>
  <c r="O1078" i="7"/>
  <c r="T1079" i="7" s="1"/>
  <c r="Q1079" i="7"/>
  <c r="G1079" i="7" l="1"/>
  <c r="R1079" i="7"/>
  <c r="H1079" i="7" l="1"/>
  <c r="I1079" i="7" s="1"/>
  <c r="J1079" i="7" s="1"/>
  <c r="L1079" i="7"/>
  <c r="M1079" i="7" s="1"/>
  <c r="N1079" i="7" s="1"/>
  <c r="O1079" i="7" l="1"/>
  <c r="T1080" i="7" s="1"/>
  <c r="Q1080" i="7"/>
  <c r="P1080" i="7"/>
  <c r="K1079" i="7"/>
  <c r="S1080" i="7" s="1"/>
  <c r="R1080" i="7" l="1"/>
  <c r="G1080" i="7"/>
  <c r="L1080" i="7" l="1"/>
  <c r="M1080" i="7" s="1"/>
  <c r="N1080" i="7" s="1"/>
  <c r="H1080" i="7"/>
  <c r="I1080" i="7" s="1"/>
  <c r="J1080" i="7" s="1"/>
  <c r="P1081" i="7" l="1"/>
  <c r="K1080" i="7"/>
  <c r="S1081" i="7" s="1"/>
  <c r="O1080" i="7"/>
  <c r="T1081" i="7" s="1"/>
  <c r="Q1081" i="7"/>
  <c r="G1081" i="7" l="1"/>
  <c r="R1081" i="7"/>
  <c r="L1081" i="7" l="1"/>
  <c r="M1081" i="7" s="1"/>
  <c r="N1081" i="7" s="1"/>
  <c r="H1081" i="7"/>
  <c r="I1081" i="7" s="1"/>
  <c r="J1081" i="7" s="1"/>
  <c r="K1081" i="7" l="1"/>
  <c r="S1082" i="7" s="1"/>
  <c r="P1082" i="7"/>
  <c r="Q1082" i="7"/>
  <c r="O1081" i="7"/>
  <c r="T1082" i="7" s="1"/>
  <c r="R1082" i="7" l="1"/>
  <c r="G1082" i="7"/>
  <c r="L1082" i="7" l="1"/>
  <c r="M1082" i="7" s="1"/>
  <c r="N1082" i="7" s="1"/>
  <c r="H1082" i="7"/>
  <c r="I1082" i="7" s="1"/>
  <c r="J1082" i="7" s="1"/>
  <c r="P1083" i="7" l="1"/>
  <c r="K1082" i="7"/>
  <c r="S1083" i="7" s="1"/>
  <c r="Q1083" i="7"/>
  <c r="O1082" i="7"/>
  <c r="T1083" i="7" s="1"/>
  <c r="G1083" i="7" l="1"/>
  <c r="R1083" i="7"/>
  <c r="H1083" i="7" l="1"/>
  <c r="I1083" i="7" s="1"/>
  <c r="J1083" i="7" s="1"/>
  <c r="L1083" i="7"/>
  <c r="M1083" i="7" s="1"/>
  <c r="N1083" i="7" s="1"/>
  <c r="Q1084" i="7" l="1"/>
  <c r="O1083" i="7"/>
  <c r="T1084" i="7" s="1"/>
  <c r="P1084" i="7"/>
  <c r="K1083" i="7"/>
  <c r="S1084" i="7" s="1"/>
  <c r="R1084" i="7" l="1"/>
  <c r="G1084" i="7"/>
  <c r="H1084" i="7" l="1"/>
  <c r="I1084" i="7" s="1"/>
  <c r="J1084" i="7" s="1"/>
  <c r="L1084" i="7"/>
  <c r="M1084" i="7" s="1"/>
  <c r="N1084" i="7" s="1"/>
  <c r="O1084" i="7" l="1"/>
  <c r="T1085" i="7" s="1"/>
  <c r="Q1085" i="7"/>
  <c r="K1084" i="7"/>
  <c r="S1085" i="7" s="1"/>
  <c r="P1085" i="7"/>
  <c r="R1085" i="7" l="1"/>
  <c r="G1085" i="7"/>
  <c r="H1085" i="7" l="1"/>
  <c r="I1085" i="7" s="1"/>
  <c r="J1085" i="7" s="1"/>
  <c r="L1085" i="7"/>
  <c r="M1085" i="7" s="1"/>
  <c r="N1085" i="7" s="1"/>
  <c r="O1085" i="7" l="1"/>
  <c r="T1086" i="7" s="1"/>
  <c r="Q1086" i="7"/>
  <c r="P1086" i="7"/>
  <c r="K1085" i="7"/>
  <c r="S1086" i="7" s="1"/>
  <c r="G1086" i="7" l="1"/>
  <c r="R1086" i="7"/>
  <c r="L1086" i="7" l="1"/>
  <c r="M1086" i="7" s="1"/>
  <c r="N1086" i="7" s="1"/>
  <c r="H1086" i="7"/>
  <c r="I1086" i="7" s="1"/>
  <c r="J1086" i="7" s="1"/>
  <c r="P1087" i="7" l="1"/>
  <c r="K1086" i="7"/>
  <c r="S1087" i="7" s="1"/>
  <c r="O1086" i="7"/>
  <c r="T1087" i="7" s="1"/>
  <c r="Q1087" i="7"/>
  <c r="G1087" i="7" l="1"/>
  <c r="R1087" i="7"/>
  <c r="L1087" i="7" l="1"/>
  <c r="M1087" i="7" s="1"/>
  <c r="N1087" i="7" s="1"/>
  <c r="H1087" i="7"/>
  <c r="I1087" i="7" s="1"/>
  <c r="J1087" i="7" s="1"/>
  <c r="P1088" i="7" l="1"/>
  <c r="K1087" i="7"/>
  <c r="S1088" i="7" s="1"/>
  <c r="Q1088" i="7"/>
  <c r="O1087" i="7"/>
  <c r="T1088" i="7" s="1"/>
  <c r="R1088" i="7" l="1"/>
  <c r="G1088" i="7"/>
  <c r="L1088" i="7" l="1"/>
  <c r="M1088" i="7" s="1"/>
  <c r="N1088" i="7" s="1"/>
  <c r="H1088" i="7"/>
  <c r="I1088" i="7" s="1"/>
  <c r="J1088" i="7" s="1"/>
  <c r="K1088" i="7" l="1"/>
  <c r="S1089" i="7" s="1"/>
  <c r="P1089" i="7"/>
  <c r="O1088" i="7"/>
  <c r="T1089" i="7" s="1"/>
  <c r="Q1089" i="7"/>
  <c r="G1089" i="7" l="1"/>
  <c r="R1089" i="7"/>
  <c r="H1089" i="7" l="1"/>
  <c r="I1089" i="7" s="1"/>
  <c r="J1089" i="7" s="1"/>
  <c r="L1089" i="7"/>
  <c r="M1089" i="7" s="1"/>
  <c r="N1089" i="7" s="1"/>
  <c r="Q1090" i="7" l="1"/>
  <c r="O1089" i="7"/>
  <c r="T1090" i="7" s="1"/>
  <c r="K1089" i="7"/>
  <c r="S1090" i="7" s="1"/>
  <c r="P1090" i="7"/>
  <c r="G1090" i="7" l="1"/>
  <c r="R1090" i="7"/>
  <c r="L1090" i="7" l="1"/>
  <c r="M1090" i="7" s="1"/>
  <c r="N1090" i="7" s="1"/>
  <c r="H1090" i="7"/>
  <c r="I1090" i="7" s="1"/>
  <c r="J1090" i="7" s="1"/>
  <c r="K1090" i="7" l="1"/>
  <c r="S1091" i="7" s="1"/>
  <c r="P1091" i="7"/>
  <c r="Q1091" i="7"/>
  <c r="O1090" i="7"/>
  <c r="T1091" i="7" s="1"/>
  <c r="R1091" i="7" l="1"/>
  <c r="G1091" i="7"/>
  <c r="L1091" i="7" l="1"/>
  <c r="M1091" i="7" s="1"/>
  <c r="N1091" i="7" s="1"/>
  <c r="H1091" i="7"/>
  <c r="I1091" i="7" s="1"/>
  <c r="J1091" i="7" s="1"/>
  <c r="P1092" i="7" l="1"/>
  <c r="K1091" i="7"/>
  <c r="S1092" i="7" s="1"/>
  <c r="Q1092" i="7"/>
  <c r="O1091" i="7"/>
  <c r="T1092" i="7" s="1"/>
  <c r="G1092" i="7" l="1"/>
  <c r="R1092" i="7"/>
  <c r="H1092" i="7" l="1"/>
  <c r="I1092" i="7" s="1"/>
  <c r="J1092" i="7" s="1"/>
  <c r="L1092" i="7"/>
  <c r="M1092" i="7" s="1"/>
  <c r="N1092" i="7" s="1"/>
  <c r="Q1093" i="7" l="1"/>
  <c r="O1092" i="7"/>
  <c r="T1093" i="7" s="1"/>
  <c r="K1092" i="7"/>
  <c r="S1093" i="7" s="1"/>
  <c r="P1093" i="7"/>
  <c r="G1093" i="7" l="1"/>
  <c r="R1093" i="7"/>
  <c r="L1093" i="7" l="1"/>
  <c r="M1093" i="7" s="1"/>
  <c r="N1093" i="7" s="1"/>
  <c r="H1093" i="7"/>
  <c r="I1093" i="7" s="1"/>
  <c r="J1093" i="7" s="1"/>
  <c r="K1093" i="7" l="1"/>
  <c r="S1094" i="7" s="1"/>
  <c r="P1094" i="7"/>
  <c r="Q1094" i="7"/>
  <c r="O1093" i="7"/>
  <c r="T1094" i="7" s="1"/>
  <c r="G1094" i="7" l="1"/>
  <c r="R1094" i="7"/>
  <c r="L1094" i="7" l="1"/>
  <c r="M1094" i="7" s="1"/>
  <c r="N1094" i="7" s="1"/>
  <c r="H1094" i="7"/>
  <c r="I1094" i="7" s="1"/>
  <c r="J1094" i="7" s="1"/>
  <c r="K1094" i="7" l="1"/>
  <c r="S1095" i="7" s="1"/>
  <c r="P1095" i="7"/>
  <c r="O1094" i="7"/>
  <c r="T1095" i="7" s="1"/>
  <c r="Q1095" i="7"/>
  <c r="R1095" i="7" l="1"/>
  <c r="G1095" i="7"/>
  <c r="L1095" i="7" l="1"/>
  <c r="M1095" i="7" s="1"/>
  <c r="N1095" i="7" s="1"/>
  <c r="H1095" i="7"/>
  <c r="I1095" i="7" s="1"/>
  <c r="J1095" i="7" s="1"/>
  <c r="P1096" i="7" l="1"/>
  <c r="K1095" i="7"/>
  <c r="S1096" i="7" s="1"/>
  <c r="Q1096" i="7"/>
  <c r="O1095" i="7"/>
  <c r="T1096" i="7" s="1"/>
  <c r="G1096" i="7" l="1"/>
  <c r="R1096" i="7"/>
  <c r="H1096" i="7" l="1"/>
  <c r="I1096" i="7" s="1"/>
  <c r="J1096" i="7" s="1"/>
  <c r="L1096" i="7"/>
  <c r="M1096" i="7" s="1"/>
  <c r="N1096" i="7" s="1"/>
  <c r="O1096" i="7" l="1"/>
  <c r="T1097" i="7" s="1"/>
  <c r="Q1097" i="7"/>
  <c r="K1096" i="7"/>
  <c r="S1097" i="7" s="1"/>
  <c r="P1097" i="7"/>
  <c r="G1097" i="7" l="1"/>
  <c r="R1097" i="7"/>
  <c r="H1097" i="7" l="1"/>
  <c r="I1097" i="7" s="1"/>
  <c r="J1097" i="7" s="1"/>
  <c r="L1097" i="7"/>
  <c r="M1097" i="7" s="1"/>
  <c r="N1097" i="7" s="1"/>
  <c r="O1097" i="7" l="1"/>
  <c r="T1098" i="7" s="1"/>
  <c r="Q1098" i="7"/>
  <c r="P1098" i="7"/>
  <c r="K1097" i="7"/>
  <c r="S1098" i="7" s="1"/>
  <c r="R1098" i="7" l="1"/>
  <c r="G1098" i="7"/>
  <c r="H1098" i="7" l="1"/>
  <c r="I1098" i="7" s="1"/>
  <c r="J1098" i="7" s="1"/>
  <c r="L1098" i="7"/>
  <c r="M1098" i="7" s="1"/>
  <c r="N1098" i="7" s="1"/>
  <c r="O1098" i="7" l="1"/>
  <c r="T1099" i="7" s="1"/>
  <c r="Q1099" i="7"/>
  <c r="P1099" i="7"/>
  <c r="K1098" i="7"/>
  <c r="S1099" i="7" s="1"/>
  <c r="R1099" i="7" l="1"/>
  <c r="G1099" i="7"/>
  <c r="H1099" i="7" l="1"/>
  <c r="I1099" i="7" s="1"/>
  <c r="J1099" i="7" s="1"/>
  <c r="L1099" i="7"/>
  <c r="M1099" i="7" s="1"/>
  <c r="N1099" i="7" s="1"/>
  <c r="O1099" i="7" l="1"/>
  <c r="T1100" i="7" s="1"/>
  <c r="Q1100" i="7"/>
  <c r="P1100" i="7"/>
  <c r="K1099" i="7"/>
  <c r="S1100" i="7" s="1"/>
  <c r="G1100" i="7" l="1"/>
  <c r="R1100" i="7"/>
  <c r="L1100" i="7" l="1"/>
  <c r="M1100" i="7" s="1"/>
  <c r="N1100" i="7" s="1"/>
  <c r="H1100" i="7"/>
  <c r="I1100" i="7" s="1"/>
  <c r="J1100" i="7" s="1"/>
  <c r="K1100" i="7" l="1"/>
  <c r="S1101" i="7" s="1"/>
  <c r="P1101" i="7"/>
  <c r="O1100" i="7"/>
  <c r="T1101" i="7" s="1"/>
  <c r="Q1101" i="7"/>
  <c r="R1101" i="7" l="1"/>
  <c r="G1101" i="7"/>
  <c r="L1101" i="7" l="1"/>
  <c r="M1101" i="7" s="1"/>
  <c r="N1101" i="7" s="1"/>
  <c r="H1101" i="7"/>
  <c r="I1101" i="7" s="1"/>
  <c r="J1101" i="7" s="1"/>
  <c r="K1101" i="7" l="1"/>
  <c r="S1102" i="7" s="1"/>
  <c r="P1102" i="7"/>
  <c r="O1101" i="7"/>
  <c r="T1102" i="7" s="1"/>
  <c r="Q1102" i="7"/>
  <c r="G1102" i="7" l="1"/>
  <c r="R1102" i="7"/>
  <c r="H1102" i="7" l="1"/>
  <c r="I1102" i="7" s="1"/>
  <c r="J1102" i="7" s="1"/>
  <c r="L1102" i="7"/>
  <c r="M1102" i="7" s="1"/>
  <c r="N1102" i="7" s="1"/>
  <c r="O1102" i="7" l="1"/>
  <c r="T1103" i="7" s="1"/>
  <c r="Q1103" i="7"/>
  <c r="P1103" i="7"/>
  <c r="K1102" i="7"/>
  <c r="S1103" i="7" s="1"/>
  <c r="R1103" i="7" l="1"/>
  <c r="G1103" i="7"/>
  <c r="L1103" i="7" l="1"/>
  <c r="M1103" i="7" s="1"/>
  <c r="N1103" i="7" s="1"/>
  <c r="H1103" i="7"/>
  <c r="I1103" i="7" s="1"/>
  <c r="J1103" i="7" s="1"/>
  <c r="P1104" i="7" l="1"/>
  <c r="K1103" i="7"/>
  <c r="S1104" i="7" s="1"/>
  <c r="O1103" i="7"/>
  <c r="T1104" i="7" s="1"/>
  <c r="Q1104" i="7"/>
  <c r="R1104" i="7" l="1"/>
  <c r="G1104" i="7"/>
  <c r="L1104" i="7" l="1"/>
  <c r="M1104" i="7" s="1"/>
  <c r="N1104" i="7" s="1"/>
  <c r="H1104" i="7"/>
  <c r="I1104" i="7" s="1"/>
  <c r="J1104" i="7" s="1"/>
  <c r="K1104" i="7" l="1"/>
  <c r="S1105" i="7" s="1"/>
  <c r="P1105" i="7"/>
  <c r="O1104" i="7"/>
  <c r="T1105" i="7" s="1"/>
  <c r="Q1105" i="7"/>
  <c r="R1105" i="7" l="1"/>
  <c r="G1105" i="7"/>
  <c r="L1105" i="7" l="1"/>
  <c r="M1105" i="7" s="1"/>
  <c r="N1105" i="7" s="1"/>
  <c r="H1105" i="7"/>
  <c r="I1105" i="7" s="1"/>
  <c r="J1105" i="7" s="1"/>
  <c r="P1106" i="7" l="1"/>
  <c r="K1105" i="7"/>
  <c r="S1106" i="7" s="1"/>
  <c r="O1105" i="7"/>
  <c r="T1106" i="7" s="1"/>
  <c r="Q1106" i="7"/>
  <c r="G1106" i="7" l="1"/>
  <c r="R1106" i="7"/>
  <c r="L1106" i="7" l="1"/>
  <c r="M1106" i="7" s="1"/>
  <c r="N1106" i="7" s="1"/>
  <c r="H1106" i="7"/>
  <c r="I1106" i="7" s="1"/>
  <c r="J1106" i="7" s="1"/>
  <c r="P1107" i="7" l="1"/>
  <c r="K1106" i="7"/>
  <c r="S1107" i="7" s="1"/>
  <c r="O1106" i="7"/>
  <c r="T1107" i="7" s="1"/>
  <c r="Q1107" i="7"/>
  <c r="R1107" i="7" l="1"/>
  <c r="G1107" i="7"/>
  <c r="H1107" i="7" l="1"/>
  <c r="I1107" i="7" s="1"/>
  <c r="J1107" i="7" s="1"/>
  <c r="L1107" i="7"/>
  <c r="M1107" i="7" s="1"/>
  <c r="N1107" i="7" s="1"/>
  <c r="O1107" i="7" l="1"/>
  <c r="T1108" i="7" s="1"/>
  <c r="Q1108" i="7"/>
  <c r="K1107" i="7"/>
  <c r="S1108" i="7" s="1"/>
  <c r="P1108" i="7"/>
  <c r="R1108" i="7" l="1"/>
  <c r="G1108" i="7"/>
  <c r="L1108" i="7" l="1"/>
  <c r="M1108" i="7" s="1"/>
  <c r="N1108" i="7" s="1"/>
  <c r="H1108" i="7"/>
  <c r="I1108" i="7" s="1"/>
  <c r="J1108" i="7" s="1"/>
  <c r="P1109" i="7" l="1"/>
  <c r="K1108" i="7"/>
  <c r="S1109" i="7" s="1"/>
  <c r="O1108" i="7"/>
  <c r="T1109" i="7" s="1"/>
  <c r="Q1109" i="7"/>
  <c r="R1109" i="7" l="1"/>
  <c r="G1109" i="7"/>
  <c r="L1109" i="7" l="1"/>
  <c r="M1109" i="7" s="1"/>
  <c r="N1109" i="7" s="1"/>
  <c r="H1109" i="7"/>
  <c r="I1109" i="7" s="1"/>
  <c r="J1109" i="7" s="1"/>
  <c r="K1109" i="7" l="1"/>
  <c r="S1110" i="7" s="1"/>
  <c r="P1110" i="7"/>
  <c r="Q1110" i="7"/>
  <c r="O1109" i="7"/>
  <c r="T1110" i="7" s="1"/>
  <c r="R1110" i="7" l="1"/>
  <c r="G1110" i="7"/>
  <c r="H1110" i="7" l="1"/>
  <c r="I1110" i="7" s="1"/>
  <c r="J1110" i="7" s="1"/>
  <c r="L1110" i="7"/>
  <c r="M1110" i="7" s="1"/>
  <c r="N1110" i="7" s="1"/>
  <c r="Q1111" i="7" l="1"/>
  <c r="O1110" i="7"/>
  <c r="T1111" i="7" s="1"/>
  <c r="P1111" i="7"/>
  <c r="K1110" i="7"/>
  <c r="S1111" i="7" s="1"/>
  <c r="G1111" i="7" l="1"/>
  <c r="R1111" i="7"/>
  <c r="H1111" i="7" l="1"/>
  <c r="I1111" i="7" s="1"/>
  <c r="J1111" i="7" s="1"/>
  <c r="L1111" i="7"/>
  <c r="M1111" i="7" s="1"/>
  <c r="N1111" i="7" s="1"/>
  <c r="Q1112" i="7" l="1"/>
  <c r="O1111" i="7"/>
  <c r="T1112" i="7" s="1"/>
  <c r="P1112" i="7"/>
  <c r="K1111" i="7"/>
  <c r="S1112" i="7" s="1"/>
  <c r="G1112" i="7" l="1"/>
  <c r="R1112" i="7"/>
  <c r="H1112" i="7" l="1"/>
  <c r="I1112" i="7" s="1"/>
  <c r="J1112" i="7" s="1"/>
  <c r="L1112" i="7"/>
  <c r="M1112" i="7" s="1"/>
  <c r="N1112" i="7" s="1"/>
  <c r="O1112" i="7" l="1"/>
  <c r="T1113" i="7" s="1"/>
  <c r="Q1113" i="7"/>
  <c r="P1113" i="7"/>
  <c r="K1112" i="7"/>
  <c r="S1113" i="7" s="1"/>
  <c r="G1113" i="7" l="1"/>
  <c r="R1113" i="7"/>
  <c r="H1113" i="7" l="1"/>
  <c r="I1113" i="7" s="1"/>
  <c r="J1113" i="7" s="1"/>
  <c r="L1113" i="7"/>
  <c r="M1113" i="7" s="1"/>
  <c r="N1113" i="7" s="1"/>
  <c r="O1113" i="7" l="1"/>
  <c r="T1114" i="7" s="1"/>
  <c r="Q1114" i="7"/>
  <c r="P1114" i="7"/>
  <c r="K1113" i="7"/>
  <c r="S1114" i="7" s="1"/>
  <c r="G1114" i="7" l="1"/>
  <c r="R1114" i="7"/>
  <c r="H1114" i="7" l="1"/>
  <c r="I1114" i="7" s="1"/>
  <c r="J1114" i="7" s="1"/>
  <c r="L1114" i="7"/>
  <c r="M1114" i="7" s="1"/>
  <c r="N1114" i="7" s="1"/>
  <c r="O1114" i="7" l="1"/>
  <c r="T1115" i="7" s="1"/>
  <c r="Q1115" i="7"/>
  <c r="K1114" i="7"/>
  <c r="S1115" i="7" s="1"/>
  <c r="P1115" i="7"/>
  <c r="R1115" i="7" l="1"/>
  <c r="G1115" i="7"/>
  <c r="H1115" i="7" l="1"/>
  <c r="I1115" i="7" s="1"/>
  <c r="J1115" i="7" s="1"/>
  <c r="L1115" i="7"/>
  <c r="M1115" i="7" s="1"/>
  <c r="N1115" i="7" s="1"/>
  <c r="O1115" i="7" l="1"/>
  <c r="T1116" i="7" s="1"/>
  <c r="Q1116" i="7"/>
  <c r="P1116" i="7"/>
  <c r="K1115" i="7"/>
  <c r="S1116" i="7" s="1"/>
  <c r="R1116" i="7" l="1"/>
  <c r="G1116" i="7"/>
  <c r="H1116" i="7" l="1"/>
  <c r="I1116" i="7" s="1"/>
  <c r="J1116" i="7" s="1"/>
  <c r="L1116" i="7"/>
  <c r="M1116" i="7" s="1"/>
  <c r="N1116" i="7" s="1"/>
  <c r="Q1117" i="7" l="1"/>
  <c r="O1116" i="7"/>
  <c r="T1117" i="7" s="1"/>
  <c r="P1117" i="7"/>
  <c r="K1116" i="7"/>
  <c r="S1117" i="7" s="1"/>
  <c r="R1117" i="7" l="1"/>
  <c r="G1117" i="7"/>
  <c r="L1117" i="7" l="1"/>
  <c r="M1117" i="7" s="1"/>
  <c r="N1117" i="7" s="1"/>
  <c r="H1117" i="7"/>
  <c r="I1117" i="7" s="1"/>
  <c r="J1117" i="7" s="1"/>
  <c r="P1118" i="7" l="1"/>
  <c r="K1117" i="7"/>
  <c r="S1118" i="7" s="1"/>
  <c r="O1117" i="7"/>
  <c r="T1118" i="7" s="1"/>
  <c r="Q1118" i="7"/>
  <c r="G1118" i="7" l="1"/>
  <c r="R1118" i="7"/>
  <c r="L1118" i="7" l="1"/>
  <c r="M1118" i="7" s="1"/>
  <c r="N1118" i="7" s="1"/>
  <c r="H1118" i="7"/>
  <c r="I1118" i="7" s="1"/>
  <c r="J1118" i="7" s="1"/>
  <c r="K1118" i="7" l="1"/>
  <c r="S1119" i="7" s="1"/>
  <c r="P1119" i="7"/>
  <c r="Q1119" i="7"/>
  <c r="O1118" i="7"/>
  <c r="T1119" i="7" s="1"/>
  <c r="G1119" i="7" l="1"/>
  <c r="R1119" i="7"/>
  <c r="H1119" i="7" l="1"/>
  <c r="I1119" i="7" s="1"/>
  <c r="J1119" i="7" s="1"/>
  <c r="L1119" i="7"/>
  <c r="M1119" i="7" s="1"/>
  <c r="N1119" i="7" s="1"/>
  <c r="O1119" i="7" l="1"/>
  <c r="T1120" i="7" s="1"/>
  <c r="Q1120" i="7"/>
  <c r="P1120" i="7"/>
  <c r="K1119" i="7"/>
  <c r="S1120" i="7" s="1"/>
  <c r="R1120" i="7" l="1"/>
  <c r="G1120" i="7"/>
  <c r="H1120" i="7" l="1"/>
  <c r="I1120" i="7" s="1"/>
  <c r="J1120" i="7" s="1"/>
  <c r="L1120" i="7"/>
  <c r="M1120" i="7" s="1"/>
  <c r="N1120" i="7" s="1"/>
  <c r="Q1121" i="7" l="1"/>
  <c r="O1120" i="7"/>
  <c r="T1121" i="7" s="1"/>
  <c r="P1121" i="7"/>
  <c r="K1120" i="7"/>
  <c r="S1121" i="7" s="1"/>
  <c r="G1121" i="7" l="1"/>
  <c r="R1121" i="7"/>
  <c r="L1121" i="7" l="1"/>
  <c r="M1121" i="7" s="1"/>
  <c r="N1121" i="7" s="1"/>
  <c r="H1121" i="7"/>
  <c r="I1121" i="7" s="1"/>
  <c r="J1121" i="7" s="1"/>
  <c r="K1121" i="7" l="1"/>
  <c r="S1122" i="7" s="1"/>
  <c r="P1122" i="7"/>
  <c r="Q1122" i="7"/>
  <c r="O1121" i="7"/>
  <c r="T1122" i="7" s="1"/>
  <c r="R1122" i="7" l="1"/>
  <c r="G1122" i="7"/>
  <c r="L1122" i="7" l="1"/>
  <c r="M1122" i="7" s="1"/>
  <c r="N1122" i="7" s="1"/>
  <c r="H1122" i="7"/>
  <c r="I1122" i="7" s="1"/>
  <c r="J1122" i="7" s="1"/>
  <c r="P1123" i="7" l="1"/>
  <c r="K1122" i="7"/>
  <c r="S1123" i="7" s="1"/>
  <c r="Q1123" i="7"/>
  <c r="O1122" i="7"/>
  <c r="T1123" i="7" s="1"/>
  <c r="R1123" i="7" l="1"/>
  <c r="G1123" i="7"/>
  <c r="H1123" i="7" l="1"/>
  <c r="I1123" i="7" s="1"/>
  <c r="J1123" i="7" s="1"/>
  <c r="L1123" i="7"/>
  <c r="M1123" i="7" s="1"/>
  <c r="N1123" i="7" s="1"/>
  <c r="Q1124" i="7" l="1"/>
  <c r="O1123" i="7"/>
  <c r="T1124" i="7" s="1"/>
  <c r="P1124" i="7"/>
  <c r="K1123" i="7"/>
  <c r="S1124" i="7" s="1"/>
  <c r="G1124" i="7" l="1"/>
  <c r="R1124" i="7"/>
  <c r="H1124" i="7" l="1"/>
  <c r="I1124" i="7" s="1"/>
  <c r="J1124" i="7" s="1"/>
  <c r="L1124" i="7"/>
  <c r="M1124" i="7" s="1"/>
  <c r="N1124" i="7" s="1"/>
  <c r="Q1125" i="7" l="1"/>
  <c r="O1124" i="7"/>
  <c r="T1125" i="7" s="1"/>
  <c r="P1125" i="7"/>
  <c r="K1124" i="7"/>
  <c r="S1125" i="7" s="1"/>
  <c r="G1125" i="7" l="1"/>
  <c r="R1125" i="7"/>
  <c r="H1125" i="7" l="1"/>
  <c r="I1125" i="7" s="1"/>
  <c r="J1125" i="7" s="1"/>
  <c r="L1125" i="7"/>
  <c r="M1125" i="7" s="1"/>
  <c r="N1125" i="7" s="1"/>
  <c r="O1125" i="7" l="1"/>
  <c r="T1126" i="7" s="1"/>
  <c r="Q1126" i="7"/>
  <c r="P1126" i="7"/>
  <c r="K1125" i="7"/>
  <c r="S1126" i="7" s="1"/>
  <c r="R1126" i="7" l="1"/>
  <c r="G1126" i="7"/>
  <c r="L1126" i="7" l="1"/>
  <c r="M1126" i="7" s="1"/>
  <c r="N1126" i="7" s="1"/>
  <c r="H1126" i="7"/>
  <c r="I1126" i="7" s="1"/>
  <c r="J1126" i="7" s="1"/>
  <c r="P1127" i="7" l="1"/>
  <c r="K1126" i="7"/>
  <c r="S1127" i="7" s="1"/>
  <c r="O1126" i="7"/>
  <c r="T1127" i="7" s="1"/>
  <c r="Q1127" i="7"/>
  <c r="R1127" i="7" l="1"/>
  <c r="G1127" i="7"/>
  <c r="H1127" i="7" l="1"/>
  <c r="I1127" i="7" s="1"/>
  <c r="J1127" i="7" s="1"/>
  <c r="L1127" i="7"/>
  <c r="M1127" i="7" s="1"/>
  <c r="N1127" i="7" s="1"/>
  <c r="O1127" i="7" l="1"/>
  <c r="T1128" i="7" s="1"/>
  <c r="Q1128" i="7"/>
  <c r="P1128" i="7"/>
  <c r="K1127" i="7"/>
  <c r="S1128" i="7" s="1"/>
  <c r="G1128" i="7" l="1"/>
  <c r="R1128" i="7"/>
  <c r="L1128" i="7" l="1"/>
  <c r="M1128" i="7" s="1"/>
  <c r="N1128" i="7" s="1"/>
  <c r="H1128" i="7"/>
  <c r="I1128" i="7" s="1"/>
  <c r="J1128" i="7" s="1"/>
  <c r="P1129" i="7" l="1"/>
  <c r="K1128" i="7"/>
  <c r="S1129" i="7" s="1"/>
  <c r="O1128" i="7"/>
  <c r="T1129" i="7" s="1"/>
  <c r="Q1129" i="7"/>
  <c r="R1129" i="7" l="1"/>
  <c r="G1129" i="7"/>
  <c r="H1129" i="7" l="1"/>
  <c r="I1129" i="7" s="1"/>
  <c r="J1129" i="7" s="1"/>
  <c r="L1129" i="7"/>
  <c r="M1129" i="7" s="1"/>
  <c r="N1129" i="7" s="1"/>
  <c r="O1129" i="7" l="1"/>
  <c r="T1130" i="7" s="1"/>
  <c r="Q1130" i="7"/>
  <c r="P1130" i="7"/>
  <c r="K1129" i="7"/>
  <c r="S1130" i="7" s="1"/>
  <c r="G1130" i="7" l="1"/>
  <c r="R1130" i="7"/>
  <c r="H1130" i="7" l="1"/>
  <c r="I1130" i="7" s="1"/>
  <c r="J1130" i="7" s="1"/>
  <c r="L1130" i="7"/>
  <c r="M1130" i="7" s="1"/>
  <c r="N1130" i="7" s="1"/>
  <c r="O1130" i="7" l="1"/>
  <c r="T1131" i="7" s="1"/>
  <c r="Q1131" i="7"/>
  <c r="P1131" i="7"/>
  <c r="K1130" i="7"/>
  <c r="S1131" i="7" s="1"/>
  <c r="G1131" i="7" l="1"/>
  <c r="R1131" i="7"/>
  <c r="L1131" i="7" l="1"/>
  <c r="M1131" i="7" s="1"/>
  <c r="N1131" i="7" s="1"/>
  <c r="H1131" i="7"/>
  <c r="I1131" i="7" s="1"/>
  <c r="J1131" i="7" s="1"/>
  <c r="P1132" i="7" l="1"/>
  <c r="K1131" i="7"/>
  <c r="S1132" i="7" s="1"/>
  <c r="O1131" i="7"/>
  <c r="T1132" i="7" s="1"/>
  <c r="Q1132" i="7"/>
  <c r="R1132" i="7" l="1"/>
  <c r="G1132" i="7"/>
  <c r="L1132" i="7" l="1"/>
  <c r="M1132" i="7" s="1"/>
  <c r="N1132" i="7" s="1"/>
  <c r="H1132" i="7"/>
  <c r="I1132" i="7" s="1"/>
  <c r="J1132" i="7" s="1"/>
  <c r="K1132" i="7" l="1"/>
  <c r="S1133" i="7" s="1"/>
  <c r="P1133" i="7"/>
  <c r="Q1133" i="7"/>
  <c r="O1132" i="7"/>
  <c r="T1133" i="7" s="1"/>
  <c r="R1133" i="7" l="1"/>
  <c r="G1133" i="7"/>
  <c r="L1133" i="7" l="1"/>
  <c r="M1133" i="7" s="1"/>
  <c r="N1133" i="7" s="1"/>
  <c r="H1133" i="7"/>
  <c r="I1133" i="7" s="1"/>
  <c r="J1133" i="7" s="1"/>
  <c r="P1134" i="7" l="1"/>
  <c r="K1133" i="7"/>
  <c r="S1134" i="7" s="1"/>
  <c r="Q1134" i="7"/>
  <c r="O1133" i="7"/>
  <c r="T1134" i="7" s="1"/>
  <c r="R1134" i="7" l="1"/>
  <c r="G1134" i="7"/>
  <c r="H1134" i="7" l="1"/>
  <c r="I1134" i="7" s="1"/>
  <c r="J1134" i="7" s="1"/>
  <c r="L1134" i="7"/>
  <c r="M1134" i="7" s="1"/>
  <c r="N1134" i="7" s="1"/>
  <c r="Q1135" i="7" l="1"/>
  <c r="O1134" i="7"/>
  <c r="T1135" i="7" s="1"/>
  <c r="K1134" i="7"/>
  <c r="S1135" i="7" s="1"/>
  <c r="P1135" i="7"/>
  <c r="R1135" i="7" l="1"/>
  <c r="G1135" i="7"/>
  <c r="L1135" i="7" l="1"/>
  <c r="M1135" i="7" s="1"/>
  <c r="N1135" i="7" s="1"/>
  <c r="H1135" i="7"/>
  <c r="I1135" i="7" s="1"/>
  <c r="J1135" i="7" s="1"/>
  <c r="K1135" i="7" l="1"/>
  <c r="S1136" i="7" s="1"/>
  <c r="P1136" i="7"/>
  <c r="Q1136" i="7"/>
  <c r="O1135" i="7"/>
  <c r="T1136" i="7" s="1"/>
  <c r="R1136" i="7" l="1"/>
  <c r="G1136" i="7"/>
  <c r="L1136" i="7" l="1"/>
  <c r="M1136" i="7" s="1"/>
  <c r="N1136" i="7" s="1"/>
  <c r="H1136" i="7"/>
  <c r="I1136" i="7" s="1"/>
  <c r="J1136" i="7" s="1"/>
  <c r="K1136" i="7" l="1"/>
  <c r="S1137" i="7" s="1"/>
  <c r="P1137" i="7"/>
  <c r="Q1137" i="7"/>
  <c r="O1136" i="7"/>
  <c r="T1137" i="7" s="1"/>
  <c r="R1137" i="7" l="1"/>
  <c r="G1137" i="7"/>
  <c r="L1137" i="7" l="1"/>
  <c r="M1137" i="7" s="1"/>
  <c r="N1137" i="7" s="1"/>
  <c r="H1137" i="7"/>
  <c r="I1137" i="7" s="1"/>
  <c r="J1137" i="7" s="1"/>
  <c r="K1137" i="7" l="1"/>
  <c r="S1138" i="7" s="1"/>
  <c r="P1138" i="7"/>
  <c r="Q1138" i="7"/>
  <c r="O1137" i="7"/>
  <c r="T1138" i="7" s="1"/>
  <c r="G1138" i="7" l="1"/>
  <c r="R1138" i="7"/>
  <c r="L1138" i="7" l="1"/>
  <c r="M1138" i="7" s="1"/>
  <c r="N1138" i="7" s="1"/>
  <c r="H1138" i="7"/>
  <c r="I1138" i="7" s="1"/>
  <c r="J1138" i="7" s="1"/>
  <c r="K1138" i="7" l="1"/>
  <c r="S1139" i="7" s="1"/>
  <c r="P1139" i="7"/>
  <c r="O1138" i="7"/>
  <c r="T1139" i="7" s="1"/>
  <c r="Q1139" i="7"/>
  <c r="G1139" i="7" l="1"/>
  <c r="R1139" i="7"/>
  <c r="L1139" i="7" l="1"/>
  <c r="M1139" i="7" s="1"/>
  <c r="N1139" i="7" s="1"/>
  <c r="H1139" i="7"/>
  <c r="I1139" i="7" s="1"/>
  <c r="J1139" i="7" s="1"/>
  <c r="K1139" i="7" l="1"/>
  <c r="S1140" i="7" s="1"/>
  <c r="P1140" i="7"/>
  <c r="O1139" i="7"/>
  <c r="T1140" i="7" s="1"/>
  <c r="Q1140" i="7"/>
  <c r="R1140" i="7" l="1"/>
  <c r="G1140" i="7"/>
  <c r="H1140" i="7" l="1"/>
  <c r="I1140" i="7" s="1"/>
  <c r="J1140" i="7" s="1"/>
  <c r="L1140" i="7"/>
  <c r="M1140" i="7" s="1"/>
  <c r="N1140" i="7" s="1"/>
  <c r="O1140" i="7" l="1"/>
  <c r="T1141" i="7" s="1"/>
  <c r="Q1141" i="7"/>
  <c r="K1140" i="7"/>
  <c r="S1141" i="7" s="1"/>
  <c r="P1141" i="7"/>
  <c r="R1141" i="7" l="1"/>
  <c r="G1141" i="7"/>
  <c r="H1141" i="7" l="1"/>
  <c r="I1141" i="7" s="1"/>
  <c r="J1141" i="7" s="1"/>
  <c r="L1141" i="7"/>
  <c r="M1141" i="7" s="1"/>
  <c r="N1141" i="7" s="1"/>
  <c r="Q1142" i="7" l="1"/>
  <c r="O1141" i="7"/>
  <c r="T1142" i="7" s="1"/>
  <c r="P1142" i="7"/>
  <c r="K1141" i="7"/>
  <c r="S1142" i="7" s="1"/>
  <c r="G1142" i="7" l="1"/>
  <c r="R1142" i="7"/>
  <c r="L1142" i="7" l="1"/>
  <c r="M1142" i="7" s="1"/>
  <c r="N1142" i="7" s="1"/>
  <c r="H1142" i="7"/>
  <c r="I1142" i="7" s="1"/>
  <c r="J1142" i="7" s="1"/>
  <c r="K1142" i="7" l="1"/>
  <c r="S1143" i="7" s="1"/>
  <c r="P1143" i="7"/>
  <c r="O1142" i="7"/>
  <c r="T1143" i="7" s="1"/>
  <c r="Q1143" i="7"/>
  <c r="G1143" i="7" l="1"/>
  <c r="R1143" i="7"/>
  <c r="L1143" i="7" l="1"/>
  <c r="M1143" i="7" s="1"/>
  <c r="N1143" i="7" s="1"/>
  <c r="H1143" i="7"/>
  <c r="I1143" i="7" s="1"/>
  <c r="J1143" i="7" s="1"/>
  <c r="P1144" i="7" l="1"/>
  <c r="K1143" i="7"/>
  <c r="S1144" i="7" s="1"/>
  <c r="O1143" i="7"/>
  <c r="T1144" i="7" s="1"/>
  <c r="Q1144" i="7"/>
  <c r="R1144" i="7" l="1"/>
  <c r="G1144" i="7"/>
  <c r="H1144" i="7" l="1"/>
  <c r="I1144" i="7" s="1"/>
  <c r="J1144" i="7" s="1"/>
  <c r="L1144" i="7"/>
  <c r="M1144" i="7" s="1"/>
  <c r="N1144" i="7" s="1"/>
  <c r="Q1145" i="7" l="1"/>
  <c r="O1144" i="7"/>
  <c r="T1145" i="7" s="1"/>
  <c r="K1144" i="7"/>
  <c r="S1145" i="7" s="1"/>
  <c r="P1145" i="7"/>
  <c r="G1145" i="7" l="1"/>
  <c r="R1145" i="7"/>
  <c r="L1145" i="7" l="1"/>
  <c r="M1145" i="7" s="1"/>
  <c r="N1145" i="7" s="1"/>
  <c r="H1145" i="7"/>
  <c r="I1145" i="7" s="1"/>
  <c r="J1145" i="7" s="1"/>
  <c r="K1145" i="7" l="1"/>
  <c r="S1146" i="7" s="1"/>
  <c r="P1146" i="7"/>
  <c r="Q1146" i="7"/>
  <c r="O1145" i="7"/>
  <c r="T1146" i="7" s="1"/>
  <c r="G1146" i="7" l="1"/>
  <c r="R1146" i="7"/>
  <c r="L1146" i="7" l="1"/>
  <c r="M1146" i="7" s="1"/>
  <c r="N1146" i="7" s="1"/>
  <c r="H1146" i="7"/>
  <c r="I1146" i="7" s="1"/>
  <c r="J1146" i="7" s="1"/>
  <c r="P1147" i="7" l="1"/>
  <c r="K1146" i="7"/>
  <c r="S1147" i="7" s="1"/>
  <c r="O1146" i="7"/>
  <c r="T1147" i="7" s="1"/>
  <c r="Q1147" i="7"/>
  <c r="R1147" i="7" l="1"/>
  <c r="G1147" i="7"/>
  <c r="L1147" i="7" l="1"/>
  <c r="M1147" i="7" s="1"/>
  <c r="N1147" i="7" s="1"/>
  <c r="H1147" i="7"/>
  <c r="I1147" i="7" s="1"/>
  <c r="J1147" i="7" s="1"/>
  <c r="K1147" i="7" l="1"/>
  <c r="S1148" i="7" s="1"/>
  <c r="P1148" i="7"/>
  <c r="O1147" i="7"/>
  <c r="T1148" i="7" s="1"/>
  <c r="Q1148" i="7"/>
  <c r="R1148" i="7" l="1"/>
  <c r="G1148" i="7"/>
  <c r="H1148" i="7" l="1"/>
  <c r="I1148" i="7" s="1"/>
  <c r="J1148" i="7" s="1"/>
  <c r="L1148" i="7"/>
  <c r="M1148" i="7" s="1"/>
  <c r="N1148" i="7" s="1"/>
  <c r="Q1149" i="7" l="1"/>
  <c r="O1148" i="7"/>
  <c r="T1149" i="7" s="1"/>
  <c r="P1149" i="7"/>
  <c r="K1148" i="7"/>
  <c r="S1149" i="7" s="1"/>
  <c r="G1149" i="7" l="1"/>
  <c r="R1149" i="7"/>
  <c r="H1149" i="7" l="1"/>
  <c r="I1149" i="7" s="1"/>
  <c r="J1149" i="7" s="1"/>
  <c r="L1149" i="7"/>
  <c r="M1149" i="7" s="1"/>
  <c r="N1149" i="7" s="1"/>
  <c r="O1149" i="7" l="1"/>
  <c r="T1150" i="7" s="1"/>
  <c r="Q1150" i="7"/>
  <c r="K1149" i="7"/>
  <c r="S1150" i="7" s="1"/>
  <c r="P1150" i="7"/>
  <c r="R1150" i="7" l="1"/>
  <c r="G1150" i="7"/>
  <c r="L1150" i="7" l="1"/>
  <c r="M1150" i="7" s="1"/>
  <c r="N1150" i="7" s="1"/>
  <c r="H1150" i="7"/>
  <c r="I1150" i="7" s="1"/>
  <c r="J1150" i="7" s="1"/>
  <c r="P1151" i="7" l="1"/>
  <c r="K1150" i="7"/>
  <c r="S1151" i="7" s="1"/>
  <c r="Q1151" i="7"/>
  <c r="O1150" i="7"/>
  <c r="T1151" i="7" s="1"/>
  <c r="R1151" i="7" l="1"/>
  <c r="G1151" i="7"/>
  <c r="L1151" i="7" l="1"/>
  <c r="M1151" i="7" s="1"/>
  <c r="N1151" i="7" s="1"/>
  <c r="H1151" i="7"/>
  <c r="I1151" i="7" s="1"/>
  <c r="J1151" i="7" s="1"/>
  <c r="P1152" i="7" l="1"/>
  <c r="K1151" i="7"/>
  <c r="S1152" i="7" s="1"/>
  <c r="Q1152" i="7"/>
  <c r="O1151" i="7"/>
  <c r="T1152" i="7" s="1"/>
  <c r="G1152" i="7" l="1"/>
  <c r="R1152" i="7"/>
  <c r="H1152" i="7" l="1"/>
  <c r="I1152" i="7" s="1"/>
  <c r="J1152" i="7" s="1"/>
  <c r="L1152" i="7"/>
  <c r="M1152" i="7" s="1"/>
  <c r="N1152" i="7" s="1"/>
  <c r="Q1153" i="7" l="1"/>
  <c r="O1152" i="7"/>
  <c r="T1153" i="7" s="1"/>
  <c r="K1152" i="7"/>
  <c r="S1153" i="7" s="1"/>
  <c r="P1153" i="7"/>
  <c r="R1153" i="7" l="1"/>
  <c r="G1153" i="7"/>
  <c r="L1153" i="7" l="1"/>
  <c r="M1153" i="7" s="1"/>
  <c r="N1153" i="7" s="1"/>
  <c r="H1153" i="7"/>
  <c r="I1153" i="7" s="1"/>
  <c r="J1153" i="7" s="1"/>
  <c r="K1153" i="7" l="1"/>
  <c r="S1154" i="7" s="1"/>
  <c r="P1154" i="7"/>
  <c r="O1153" i="7"/>
  <c r="T1154" i="7" s="1"/>
  <c r="Q1154" i="7"/>
  <c r="G1154" i="7" l="1"/>
  <c r="R1154" i="7"/>
  <c r="L1154" i="7" l="1"/>
  <c r="M1154" i="7" s="1"/>
  <c r="N1154" i="7" s="1"/>
  <c r="H1154" i="7"/>
  <c r="I1154" i="7" s="1"/>
  <c r="J1154" i="7" s="1"/>
  <c r="P1155" i="7" l="1"/>
  <c r="K1154" i="7"/>
  <c r="S1155" i="7" s="1"/>
  <c r="O1154" i="7"/>
  <c r="T1155" i="7" s="1"/>
  <c r="Q1155" i="7"/>
  <c r="R1155" i="7" l="1"/>
  <c r="G1155" i="7"/>
  <c r="L1155" i="7" l="1"/>
  <c r="M1155" i="7" s="1"/>
  <c r="N1155" i="7" s="1"/>
  <c r="H1155" i="7"/>
  <c r="I1155" i="7" s="1"/>
  <c r="J1155" i="7" s="1"/>
  <c r="K1155" i="7" l="1"/>
  <c r="S1156" i="7" s="1"/>
  <c r="P1156" i="7"/>
  <c r="O1155" i="7"/>
  <c r="T1156" i="7" s="1"/>
  <c r="Q1156" i="7"/>
  <c r="G1156" i="7" l="1"/>
  <c r="R1156" i="7"/>
  <c r="H1156" i="7" l="1"/>
  <c r="I1156" i="7" s="1"/>
  <c r="J1156" i="7" s="1"/>
  <c r="L1156" i="7"/>
  <c r="M1156" i="7" s="1"/>
  <c r="N1156" i="7" s="1"/>
  <c r="Q1157" i="7" l="1"/>
  <c r="O1156" i="7"/>
  <c r="T1157" i="7" s="1"/>
  <c r="K1156" i="7"/>
  <c r="S1157" i="7" s="1"/>
  <c r="P1157" i="7"/>
  <c r="G1157" i="7" l="1"/>
  <c r="R1157" i="7"/>
  <c r="H1157" i="7" l="1"/>
  <c r="I1157" i="7" s="1"/>
  <c r="J1157" i="7" s="1"/>
  <c r="L1157" i="7"/>
  <c r="M1157" i="7" s="1"/>
  <c r="N1157" i="7" s="1"/>
  <c r="Q1158" i="7" l="1"/>
  <c r="O1157" i="7"/>
  <c r="T1158" i="7" s="1"/>
  <c r="P1158" i="7"/>
  <c r="K1157" i="7"/>
  <c r="S1158" i="7" s="1"/>
  <c r="G1158" i="7" l="1"/>
  <c r="R1158" i="7"/>
  <c r="L1158" i="7" l="1"/>
  <c r="M1158" i="7" s="1"/>
  <c r="N1158" i="7" s="1"/>
  <c r="H1158" i="7"/>
  <c r="I1158" i="7" s="1"/>
  <c r="J1158" i="7" s="1"/>
  <c r="K1158" i="7" l="1"/>
  <c r="S1159" i="7" s="1"/>
  <c r="P1159" i="7"/>
  <c r="O1158" i="7"/>
  <c r="T1159" i="7" s="1"/>
  <c r="Q1159" i="7"/>
  <c r="G1159" i="7" l="1"/>
  <c r="R1159" i="7"/>
  <c r="L1159" i="7" l="1"/>
  <c r="M1159" i="7" s="1"/>
  <c r="N1159" i="7" s="1"/>
  <c r="H1159" i="7"/>
  <c r="I1159" i="7" s="1"/>
  <c r="J1159" i="7" s="1"/>
  <c r="P1160" i="7" l="1"/>
  <c r="K1159" i="7"/>
  <c r="S1160" i="7" s="1"/>
  <c r="O1159" i="7"/>
  <c r="T1160" i="7" s="1"/>
  <c r="Q1160" i="7"/>
  <c r="R1160" i="7" l="1"/>
  <c r="G1160" i="7"/>
  <c r="L1160" i="7" l="1"/>
  <c r="M1160" i="7" s="1"/>
  <c r="N1160" i="7" s="1"/>
  <c r="H1160" i="7"/>
  <c r="I1160" i="7" s="1"/>
  <c r="J1160" i="7" s="1"/>
  <c r="P1161" i="7" l="1"/>
  <c r="K1160" i="7"/>
  <c r="S1161" i="7" s="1"/>
  <c r="O1160" i="7"/>
  <c r="T1161" i="7" s="1"/>
  <c r="Q1161" i="7"/>
  <c r="G1161" i="7" l="1"/>
  <c r="R1161" i="7"/>
  <c r="L1161" i="7" l="1"/>
  <c r="M1161" i="7" s="1"/>
  <c r="N1161" i="7" s="1"/>
  <c r="H1161" i="7"/>
  <c r="I1161" i="7" s="1"/>
  <c r="J1161" i="7" s="1"/>
  <c r="P1162" i="7" l="1"/>
  <c r="K1161" i="7"/>
  <c r="S1162" i="7" s="1"/>
  <c r="O1161" i="7"/>
  <c r="T1162" i="7" s="1"/>
  <c r="Q1162" i="7"/>
  <c r="G1162" i="7" l="1"/>
  <c r="R1162" i="7"/>
  <c r="L1162" i="7" l="1"/>
  <c r="M1162" i="7" s="1"/>
  <c r="N1162" i="7" s="1"/>
  <c r="H1162" i="7"/>
  <c r="I1162" i="7" s="1"/>
  <c r="J1162" i="7" s="1"/>
  <c r="P1163" i="7" l="1"/>
  <c r="K1162" i="7"/>
  <c r="S1163" i="7" s="1"/>
  <c r="O1162" i="7"/>
  <c r="T1163" i="7" s="1"/>
  <c r="Q1163" i="7"/>
  <c r="R1163" i="7" l="1"/>
  <c r="G1163" i="7"/>
  <c r="H1163" i="7" l="1"/>
  <c r="I1163" i="7" s="1"/>
  <c r="J1163" i="7" s="1"/>
  <c r="L1163" i="7"/>
  <c r="M1163" i="7" s="1"/>
  <c r="N1163" i="7" s="1"/>
  <c r="Q1164" i="7" l="1"/>
  <c r="O1163" i="7"/>
  <c r="T1164" i="7" s="1"/>
  <c r="P1164" i="7"/>
  <c r="K1163" i="7"/>
  <c r="S1164" i="7" s="1"/>
  <c r="G1164" i="7" l="1"/>
  <c r="R1164" i="7"/>
  <c r="L1164" i="7" l="1"/>
  <c r="M1164" i="7" s="1"/>
  <c r="N1164" i="7" s="1"/>
  <c r="H1164" i="7"/>
  <c r="I1164" i="7" s="1"/>
  <c r="J1164" i="7" s="1"/>
  <c r="K1164" i="7" l="1"/>
  <c r="S1165" i="7" s="1"/>
  <c r="P1165" i="7"/>
  <c r="Q1165" i="7"/>
  <c r="O1164" i="7"/>
  <c r="T1165" i="7" s="1"/>
  <c r="G1165" i="7" l="1"/>
  <c r="R1165" i="7"/>
  <c r="H1165" i="7" l="1"/>
  <c r="I1165" i="7" s="1"/>
  <c r="J1165" i="7" s="1"/>
  <c r="L1165" i="7"/>
  <c r="M1165" i="7" s="1"/>
  <c r="N1165" i="7" s="1"/>
  <c r="Q1166" i="7" l="1"/>
  <c r="O1165" i="7"/>
  <c r="T1166" i="7" s="1"/>
  <c r="P1166" i="7"/>
  <c r="K1165" i="7"/>
  <c r="S1166" i="7" s="1"/>
  <c r="G1166" i="7" l="1"/>
  <c r="R1166" i="7"/>
  <c r="H1166" i="7" l="1"/>
  <c r="I1166" i="7" s="1"/>
  <c r="J1166" i="7" s="1"/>
  <c r="L1166" i="7"/>
  <c r="M1166" i="7" s="1"/>
  <c r="N1166" i="7" s="1"/>
  <c r="O1166" i="7" l="1"/>
  <c r="T1167" i="7" s="1"/>
  <c r="Q1167" i="7"/>
  <c r="P1167" i="7"/>
  <c r="K1166" i="7"/>
  <c r="S1167" i="7" s="1"/>
  <c r="R1167" i="7" l="1"/>
  <c r="G1167" i="7"/>
  <c r="L1167" i="7" l="1"/>
  <c r="M1167" i="7" s="1"/>
  <c r="N1167" i="7" s="1"/>
  <c r="H1167" i="7"/>
  <c r="I1167" i="7" s="1"/>
  <c r="J1167" i="7" s="1"/>
  <c r="P1168" i="7" l="1"/>
  <c r="K1167" i="7"/>
  <c r="S1168" i="7" s="1"/>
  <c r="O1167" i="7"/>
  <c r="T1168" i="7" s="1"/>
  <c r="Q1168" i="7"/>
  <c r="R1168" i="7" l="1"/>
  <c r="G1168" i="7"/>
  <c r="H1168" i="7" l="1"/>
  <c r="I1168" i="7" s="1"/>
  <c r="J1168" i="7" s="1"/>
  <c r="L1168" i="7"/>
  <c r="M1168" i="7" s="1"/>
  <c r="N1168" i="7" s="1"/>
  <c r="O1168" i="7" l="1"/>
  <c r="T1169" i="7" s="1"/>
  <c r="Q1169" i="7"/>
  <c r="K1168" i="7"/>
  <c r="S1169" i="7" s="1"/>
  <c r="P1169" i="7"/>
  <c r="G1169" i="7" l="1"/>
  <c r="R1169" i="7"/>
  <c r="H1169" i="7" l="1"/>
  <c r="I1169" i="7" s="1"/>
  <c r="J1169" i="7" s="1"/>
  <c r="L1169" i="7"/>
  <c r="M1169" i="7" s="1"/>
  <c r="N1169" i="7" s="1"/>
  <c r="Q1170" i="7" l="1"/>
  <c r="O1169" i="7"/>
  <c r="T1170" i="7" s="1"/>
  <c r="K1169" i="7"/>
  <c r="S1170" i="7" s="1"/>
  <c r="P1170" i="7"/>
  <c r="G1170" i="7" l="1"/>
  <c r="R1170" i="7"/>
  <c r="H1170" i="7" l="1"/>
  <c r="I1170" i="7" s="1"/>
  <c r="J1170" i="7" s="1"/>
  <c r="L1170" i="7"/>
  <c r="M1170" i="7" s="1"/>
  <c r="N1170" i="7" s="1"/>
  <c r="O1170" i="7" l="1"/>
  <c r="T1171" i="7" s="1"/>
  <c r="Q1171" i="7"/>
  <c r="P1171" i="7"/>
  <c r="K1170" i="7"/>
  <c r="S1171" i="7" s="1"/>
  <c r="G1171" i="7" l="1"/>
  <c r="R1171" i="7"/>
  <c r="H1171" i="7" l="1"/>
  <c r="I1171" i="7" s="1"/>
  <c r="J1171" i="7" s="1"/>
  <c r="L1171" i="7"/>
  <c r="M1171" i="7" s="1"/>
  <c r="N1171" i="7" s="1"/>
  <c r="Q1172" i="7" l="1"/>
  <c r="O1171" i="7"/>
  <c r="T1172" i="7" s="1"/>
  <c r="K1171" i="7"/>
  <c r="S1172" i="7" s="1"/>
  <c r="P1172" i="7"/>
  <c r="G1172" i="7" l="1"/>
  <c r="R1172" i="7"/>
  <c r="H1172" i="7" l="1"/>
  <c r="I1172" i="7" s="1"/>
  <c r="J1172" i="7" s="1"/>
  <c r="L1172" i="7"/>
  <c r="M1172" i="7" s="1"/>
  <c r="N1172" i="7" s="1"/>
  <c r="Q1173" i="7" l="1"/>
  <c r="O1172" i="7"/>
  <c r="T1173" i="7" s="1"/>
  <c r="K1172" i="7"/>
  <c r="S1173" i="7" s="1"/>
  <c r="P1173" i="7"/>
  <c r="R1173" i="7" l="1"/>
  <c r="G1173" i="7"/>
  <c r="L1173" i="7" l="1"/>
  <c r="M1173" i="7" s="1"/>
  <c r="N1173" i="7" s="1"/>
  <c r="H1173" i="7"/>
  <c r="I1173" i="7" s="1"/>
  <c r="J1173" i="7" s="1"/>
  <c r="P1174" i="7" l="1"/>
  <c r="K1173" i="7"/>
  <c r="S1174" i="7" s="1"/>
  <c r="O1173" i="7"/>
  <c r="T1174" i="7" s="1"/>
  <c r="Q1174" i="7"/>
  <c r="G1174" i="7" l="1"/>
  <c r="R1174" i="7"/>
  <c r="H1174" i="7" l="1"/>
  <c r="I1174" i="7" s="1"/>
  <c r="J1174" i="7" s="1"/>
  <c r="L1174" i="7"/>
  <c r="M1174" i="7" s="1"/>
  <c r="N1174" i="7" s="1"/>
  <c r="O1174" i="7" l="1"/>
  <c r="T1175" i="7" s="1"/>
  <c r="Q1175" i="7"/>
  <c r="K1174" i="7"/>
  <c r="S1175" i="7" s="1"/>
  <c r="P1175" i="7"/>
  <c r="G1175" i="7" l="1"/>
  <c r="R1175" i="7"/>
  <c r="H1175" i="7" l="1"/>
  <c r="I1175" i="7" s="1"/>
  <c r="J1175" i="7" s="1"/>
  <c r="L1175" i="7"/>
  <c r="M1175" i="7" s="1"/>
  <c r="N1175" i="7" s="1"/>
  <c r="Q1176" i="7" l="1"/>
  <c r="O1175" i="7"/>
  <c r="T1176" i="7" s="1"/>
  <c r="K1175" i="7"/>
  <c r="S1176" i="7" s="1"/>
  <c r="P1176" i="7"/>
  <c r="R1176" i="7" l="1"/>
  <c r="G1176" i="7"/>
  <c r="L1176" i="7" l="1"/>
  <c r="M1176" i="7" s="1"/>
  <c r="N1176" i="7" s="1"/>
  <c r="H1176" i="7"/>
  <c r="I1176" i="7" s="1"/>
  <c r="J1176" i="7" s="1"/>
  <c r="P1177" i="7" l="1"/>
  <c r="K1176" i="7"/>
  <c r="S1177" i="7" s="1"/>
  <c r="Q1177" i="7"/>
  <c r="O1176" i="7"/>
  <c r="T1177" i="7" s="1"/>
  <c r="R1177" i="7" l="1"/>
  <c r="G1177" i="7"/>
  <c r="L1177" i="7" l="1"/>
  <c r="M1177" i="7" s="1"/>
  <c r="N1177" i="7" s="1"/>
  <c r="H1177" i="7"/>
  <c r="I1177" i="7" s="1"/>
  <c r="J1177" i="7" s="1"/>
  <c r="K1177" i="7" l="1"/>
  <c r="S1178" i="7" s="1"/>
  <c r="P1178" i="7"/>
  <c r="Q1178" i="7"/>
  <c r="O1177" i="7"/>
  <c r="T1178" i="7" s="1"/>
  <c r="G1178" i="7" l="1"/>
  <c r="R1178" i="7"/>
  <c r="L1178" i="7" l="1"/>
  <c r="M1178" i="7" s="1"/>
  <c r="N1178" i="7" s="1"/>
  <c r="H1178" i="7"/>
  <c r="I1178" i="7" s="1"/>
  <c r="J1178" i="7" s="1"/>
  <c r="K1178" i="7" l="1"/>
  <c r="S1179" i="7" s="1"/>
  <c r="P1179" i="7"/>
  <c r="O1178" i="7"/>
  <c r="T1179" i="7" s="1"/>
  <c r="Q1179" i="7"/>
  <c r="G1179" i="7" l="1"/>
  <c r="R1179" i="7"/>
  <c r="H1179" i="7" l="1"/>
  <c r="I1179" i="7" s="1"/>
  <c r="J1179" i="7" s="1"/>
  <c r="L1179" i="7"/>
  <c r="M1179" i="7" s="1"/>
  <c r="N1179" i="7" s="1"/>
  <c r="O1179" i="7" l="1"/>
  <c r="T1180" i="7" s="1"/>
  <c r="Q1180" i="7"/>
  <c r="P1180" i="7"/>
  <c r="K1179" i="7"/>
  <c r="S1180" i="7" s="1"/>
  <c r="G1180" i="7" l="1"/>
  <c r="R1180" i="7"/>
  <c r="H1180" i="7" l="1"/>
  <c r="I1180" i="7" s="1"/>
  <c r="J1180" i="7" s="1"/>
  <c r="L1180" i="7"/>
  <c r="M1180" i="7" s="1"/>
  <c r="N1180" i="7" s="1"/>
  <c r="O1180" i="7" l="1"/>
  <c r="T1181" i="7" s="1"/>
  <c r="Q1181" i="7"/>
  <c r="P1181" i="7"/>
  <c r="K1180" i="7"/>
  <c r="S1181" i="7" s="1"/>
  <c r="R1181" i="7" l="1"/>
  <c r="G1181" i="7"/>
  <c r="H1181" i="7" l="1"/>
  <c r="I1181" i="7" s="1"/>
  <c r="J1181" i="7" s="1"/>
  <c r="L1181" i="7"/>
  <c r="M1181" i="7" s="1"/>
  <c r="N1181" i="7" s="1"/>
  <c r="O1181" i="7" l="1"/>
  <c r="T1182" i="7" s="1"/>
  <c r="Q1182" i="7"/>
  <c r="P1182" i="7"/>
  <c r="K1181" i="7"/>
  <c r="S1182" i="7" s="1"/>
  <c r="R1182" i="7" l="1"/>
  <c r="G1182" i="7"/>
  <c r="H1182" i="7" l="1"/>
  <c r="I1182" i="7" s="1"/>
  <c r="J1182" i="7" s="1"/>
  <c r="L1182" i="7"/>
  <c r="M1182" i="7" s="1"/>
  <c r="N1182" i="7" s="1"/>
  <c r="Q1183" i="7" l="1"/>
  <c r="O1182" i="7"/>
  <c r="T1183" i="7" s="1"/>
  <c r="P1183" i="7"/>
  <c r="K1182" i="7"/>
  <c r="S1183" i="7" s="1"/>
  <c r="G1183" i="7" l="1"/>
  <c r="R1183" i="7"/>
  <c r="L1183" i="7" l="1"/>
  <c r="M1183" i="7" s="1"/>
  <c r="N1183" i="7" s="1"/>
  <c r="H1183" i="7"/>
  <c r="I1183" i="7" s="1"/>
  <c r="J1183" i="7" s="1"/>
  <c r="K1183" i="7" l="1"/>
  <c r="S1184" i="7" s="1"/>
  <c r="P1184" i="7"/>
  <c r="Q1184" i="7"/>
  <c r="O1183" i="7"/>
  <c r="T1184" i="7" s="1"/>
  <c r="G1184" i="7" l="1"/>
  <c r="R1184" i="7"/>
  <c r="L1184" i="7" l="1"/>
  <c r="M1184" i="7" s="1"/>
  <c r="N1184" i="7" s="1"/>
  <c r="H1184" i="7"/>
  <c r="I1184" i="7" s="1"/>
  <c r="J1184" i="7" s="1"/>
  <c r="P1185" i="7" l="1"/>
  <c r="K1184" i="7"/>
  <c r="S1185" i="7" s="1"/>
  <c r="Q1185" i="7"/>
  <c r="O1184" i="7"/>
  <c r="T1185" i="7" s="1"/>
  <c r="G1185" i="7" l="1"/>
  <c r="R1185" i="7"/>
  <c r="H1185" i="7" l="1"/>
  <c r="I1185" i="7" s="1"/>
  <c r="J1185" i="7" s="1"/>
  <c r="L1185" i="7"/>
  <c r="M1185" i="7" s="1"/>
  <c r="N1185" i="7" s="1"/>
  <c r="Q1186" i="7" l="1"/>
  <c r="O1185" i="7"/>
  <c r="T1186" i="7" s="1"/>
  <c r="K1185" i="7"/>
  <c r="S1186" i="7" s="1"/>
  <c r="P1186" i="7"/>
  <c r="R1186" i="7" l="1"/>
  <c r="G1186" i="7"/>
  <c r="H1186" i="7" l="1"/>
  <c r="I1186" i="7" s="1"/>
  <c r="J1186" i="7" s="1"/>
  <c r="L1186" i="7"/>
  <c r="M1186" i="7" s="1"/>
  <c r="N1186" i="7" s="1"/>
  <c r="O1186" i="7" l="1"/>
  <c r="T1187" i="7" s="1"/>
  <c r="Q1187" i="7"/>
  <c r="K1186" i="7"/>
  <c r="S1187" i="7" s="1"/>
  <c r="P1187" i="7"/>
  <c r="R1187" i="7" l="1"/>
  <c r="G1187" i="7"/>
  <c r="H1187" i="7" l="1"/>
  <c r="I1187" i="7" s="1"/>
  <c r="J1187" i="7" s="1"/>
  <c r="L1187" i="7"/>
  <c r="M1187" i="7" s="1"/>
  <c r="N1187" i="7" s="1"/>
  <c r="Q1188" i="7" l="1"/>
  <c r="O1187" i="7"/>
  <c r="T1188" i="7" s="1"/>
  <c r="K1187" i="7"/>
  <c r="S1188" i="7" s="1"/>
  <c r="P1188" i="7"/>
  <c r="G1188" i="7" l="1"/>
  <c r="R1188" i="7"/>
  <c r="L1188" i="7" l="1"/>
  <c r="M1188" i="7" s="1"/>
  <c r="N1188" i="7" s="1"/>
  <c r="H1188" i="7"/>
  <c r="I1188" i="7" s="1"/>
  <c r="J1188" i="7" s="1"/>
  <c r="P1189" i="7" l="1"/>
  <c r="K1188" i="7"/>
  <c r="S1189" i="7" s="1"/>
  <c r="Q1189" i="7"/>
  <c r="O1188" i="7"/>
  <c r="T1189" i="7" s="1"/>
  <c r="R1189" i="7" l="1"/>
  <c r="G1189" i="7"/>
  <c r="L1189" i="7" l="1"/>
  <c r="M1189" i="7" s="1"/>
  <c r="N1189" i="7" s="1"/>
  <c r="H1189" i="7"/>
  <c r="I1189" i="7" s="1"/>
  <c r="J1189" i="7" s="1"/>
  <c r="P1190" i="7" l="1"/>
  <c r="K1189" i="7"/>
  <c r="S1190" i="7" s="1"/>
  <c r="O1189" i="7"/>
  <c r="T1190" i="7" s="1"/>
  <c r="Q1190" i="7"/>
  <c r="R1190" i="7" l="1"/>
  <c r="G1190" i="7"/>
  <c r="L1190" i="7" l="1"/>
  <c r="M1190" i="7" s="1"/>
  <c r="N1190" i="7" s="1"/>
  <c r="H1190" i="7"/>
  <c r="I1190" i="7" s="1"/>
  <c r="J1190" i="7" s="1"/>
  <c r="K1190" i="7" l="1"/>
  <c r="S1191" i="7" s="1"/>
  <c r="P1191" i="7"/>
  <c r="O1190" i="7"/>
  <c r="T1191" i="7" s="1"/>
  <c r="Q1191" i="7"/>
  <c r="R1191" i="7" l="1"/>
  <c r="G1191" i="7"/>
  <c r="L1191" i="7" l="1"/>
  <c r="M1191" i="7" s="1"/>
  <c r="N1191" i="7" s="1"/>
  <c r="H1191" i="7"/>
  <c r="I1191" i="7" s="1"/>
  <c r="J1191" i="7" s="1"/>
  <c r="P1192" i="7" l="1"/>
  <c r="K1191" i="7"/>
  <c r="S1192" i="7" s="1"/>
  <c r="Q1192" i="7"/>
  <c r="O1191" i="7"/>
  <c r="T1192" i="7" s="1"/>
  <c r="G1192" i="7" l="1"/>
  <c r="R1192" i="7"/>
  <c r="L1192" i="7" l="1"/>
  <c r="M1192" i="7" s="1"/>
  <c r="N1192" i="7" s="1"/>
  <c r="H1192" i="7"/>
  <c r="I1192" i="7" s="1"/>
  <c r="J1192" i="7" s="1"/>
  <c r="K1192" i="7" l="1"/>
  <c r="S1193" i="7" s="1"/>
  <c r="P1193" i="7"/>
  <c r="Q1193" i="7"/>
  <c r="O1192" i="7"/>
  <c r="T1193" i="7" s="1"/>
  <c r="G1193" i="7" l="1"/>
  <c r="R1193" i="7"/>
  <c r="L1193" i="7" l="1"/>
  <c r="M1193" i="7" s="1"/>
  <c r="N1193" i="7" s="1"/>
  <c r="H1193" i="7"/>
  <c r="I1193" i="7" s="1"/>
  <c r="J1193" i="7" s="1"/>
  <c r="P1194" i="7" l="1"/>
  <c r="K1193" i="7"/>
  <c r="S1194" i="7" s="1"/>
  <c r="Q1194" i="7"/>
  <c r="O1193" i="7"/>
  <c r="T1194" i="7" s="1"/>
  <c r="G1194" i="7" l="1"/>
  <c r="R1194" i="7"/>
  <c r="L1194" i="7" l="1"/>
  <c r="M1194" i="7" s="1"/>
  <c r="N1194" i="7" s="1"/>
  <c r="H1194" i="7"/>
  <c r="I1194" i="7" s="1"/>
  <c r="J1194" i="7" s="1"/>
  <c r="K1194" i="7" l="1"/>
  <c r="S1195" i="7" s="1"/>
  <c r="P1195" i="7"/>
  <c r="O1194" i="7"/>
  <c r="T1195" i="7" s="1"/>
  <c r="Q1195" i="7"/>
  <c r="R1195" i="7" l="1"/>
  <c r="G1195" i="7"/>
  <c r="L1195" i="7" l="1"/>
  <c r="M1195" i="7" s="1"/>
  <c r="N1195" i="7" s="1"/>
  <c r="H1195" i="7"/>
  <c r="I1195" i="7" s="1"/>
  <c r="J1195" i="7" s="1"/>
  <c r="K1195" i="7" l="1"/>
  <c r="S1196" i="7" s="1"/>
  <c r="P1196" i="7"/>
  <c r="Q1196" i="7"/>
  <c r="O1195" i="7"/>
  <c r="T1196" i="7" s="1"/>
  <c r="G1196" i="7" l="1"/>
  <c r="R1196" i="7"/>
  <c r="L1196" i="7" l="1"/>
  <c r="M1196" i="7" s="1"/>
  <c r="N1196" i="7" s="1"/>
  <c r="H1196" i="7"/>
  <c r="I1196" i="7" s="1"/>
  <c r="J1196" i="7" s="1"/>
  <c r="K1196" i="7" l="1"/>
  <c r="S1197" i="7" s="1"/>
  <c r="P1197" i="7"/>
  <c r="Q1197" i="7"/>
  <c r="O1196" i="7"/>
  <c r="T1197" i="7" s="1"/>
  <c r="R1197" i="7" l="1"/>
  <c r="G1197" i="7"/>
  <c r="H1197" i="7" l="1"/>
  <c r="I1197" i="7" s="1"/>
  <c r="J1197" i="7" s="1"/>
  <c r="L1197" i="7"/>
  <c r="M1197" i="7" s="1"/>
  <c r="N1197" i="7" s="1"/>
  <c r="Q1198" i="7" l="1"/>
  <c r="O1197" i="7"/>
  <c r="T1198" i="7" s="1"/>
  <c r="P1198" i="7"/>
  <c r="K1197" i="7"/>
  <c r="S1198" i="7" s="1"/>
  <c r="R1198" i="7" l="1"/>
  <c r="G1198" i="7"/>
  <c r="L1198" i="7" l="1"/>
  <c r="M1198" i="7" s="1"/>
  <c r="N1198" i="7" s="1"/>
  <c r="H1198" i="7"/>
  <c r="I1198" i="7" s="1"/>
  <c r="J1198" i="7" s="1"/>
  <c r="K1198" i="7" l="1"/>
  <c r="S1199" i="7" s="1"/>
  <c r="P1199" i="7"/>
  <c r="O1198" i="7"/>
  <c r="T1199" i="7" s="1"/>
  <c r="Q1199" i="7"/>
  <c r="R1199" i="7" l="1"/>
  <c r="G1199" i="7"/>
  <c r="L1199" i="7" l="1"/>
  <c r="M1199" i="7" s="1"/>
  <c r="N1199" i="7" s="1"/>
  <c r="H1199" i="7"/>
  <c r="I1199" i="7" s="1"/>
  <c r="J1199" i="7" s="1"/>
  <c r="P1200" i="7" l="1"/>
  <c r="K1199" i="7"/>
  <c r="S1200" i="7" s="1"/>
  <c r="Q1200" i="7"/>
  <c r="O1199" i="7"/>
  <c r="T1200" i="7" s="1"/>
  <c r="G1200" i="7" l="1"/>
  <c r="R1200" i="7"/>
  <c r="H1200" i="7" l="1"/>
  <c r="I1200" i="7" s="1"/>
  <c r="J1200" i="7" s="1"/>
  <c r="L1200" i="7"/>
  <c r="M1200" i="7" s="1"/>
  <c r="N1200" i="7" s="1"/>
  <c r="Q1201" i="7" l="1"/>
  <c r="O1200" i="7"/>
  <c r="T1201" i="7" s="1"/>
  <c r="K1200" i="7"/>
  <c r="S1201" i="7" s="1"/>
  <c r="P1201" i="7"/>
  <c r="G1201" i="7" l="1"/>
  <c r="R1201" i="7"/>
  <c r="L1201" i="7" l="1"/>
  <c r="M1201" i="7" s="1"/>
  <c r="N1201" i="7" s="1"/>
  <c r="H1201" i="7"/>
  <c r="I1201" i="7" s="1"/>
  <c r="J1201" i="7" s="1"/>
  <c r="K1201" i="7" l="1"/>
  <c r="S1202" i="7" s="1"/>
  <c r="P1202" i="7"/>
  <c r="O1201" i="7"/>
  <c r="T1202" i="7" s="1"/>
  <c r="Q1202" i="7"/>
  <c r="R1202" i="7" l="1"/>
  <c r="G1202" i="7"/>
  <c r="H1202" i="7" l="1"/>
  <c r="I1202" i="7" s="1"/>
  <c r="J1202" i="7" s="1"/>
  <c r="L1202" i="7"/>
  <c r="M1202" i="7" s="1"/>
  <c r="N1202" i="7" s="1"/>
  <c r="O1202" i="7" l="1"/>
  <c r="T1203" i="7" s="1"/>
  <c r="Q1203" i="7"/>
  <c r="P1203" i="7"/>
  <c r="K1202" i="7"/>
  <c r="S1203" i="7" s="1"/>
  <c r="G1203" i="7" l="1"/>
  <c r="R1203" i="7"/>
  <c r="H1203" i="7" l="1"/>
  <c r="I1203" i="7" s="1"/>
  <c r="J1203" i="7" s="1"/>
  <c r="L1203" i="7"/>
  <c r="M1203" i="7" s="1"/>
  <c r="N1203" i="7" s="1"/>
  <c r="O1203" i="7" l="1"/>
  <c r="T1204" i="7" s="1"/>
  <c r="Q1204" i="7"/>
  <c r="K1203" i="7"/>
  <c r="S1204" i="7" s="1"/>
  <c r="P1204" i="7"/>
  <c r="R1204" i="7" l="1"/>
  <c r="G1204" i="7"/>
  <c r="L1204" i="7" l="1"/>
  <c r="M1204" i="7" s="1"/>
  <c r="N1204" i="7" s="1"/>
  <c r="H1204" i="7"/>
  <c r="I1204" i="7" s="1"/>
  <c r="J1204" i="7" s="1"/>
  <c r="P1205" i="7" l="1"/>
  <c r="K1204" i="7"/>
  <c r="S1205" i="7" s="1"/>
  <c r="O1204" i="7"/>
  <c r="T1205" i="7" s="1"/>
  <c r="Q1205" i="7"/>
  <c r="R1205" i="7" l="1"/>
  <c r="G1205" i="7"/>
  <c r="L1205" i="7" l="1"/>
  <c r="M1205" i="7" s="1"/>
  <c r="N1205" i="7" s="1"/>
  <c r="H1205" i="7"/>
  <c r="I1205" i="7" s="1"/>
  <c r="J1205" i="7" s="1"/>
  <c r="K1205" i="7" l="1"/>
  <c r="S1206" i="7" s="1"/>
  <c r="P1206" i="7"/>
  <c r="Q1206" i="7"/>
  <c r="O1205" i="7"/>
  <c r="T1206" i="7" s="1"/>
  <c r="G1206" i="7" l="1"/>
  <c r="R1206" i="7"/>
  <c r="H1206" i="7" l="1"/>
  <c r="I1206" i="7" s="1"/>
  <c r="J1206" i="7" s="1"/>
  <c r="L1206" i="7"/>
  <c r="M1206" i="7" s="1"/>
  <c r="N1206" i="7" s="1"/>
  <c r="Q1207" i="7" l="1"/>
  <c r="O1206" i="7"/>
  <c r="T1207" i="7" s="1"/>
  <c r="K1206" i="7"/>
  <c r="S1207" i="7" s="1"/>
  <c r="P1207" i="7"/>
  <c r="G1207" i="7" l="1"/>
  <c r="R1207" i="7"/>
  <c r="L1207" i="7" l="1"/>
  <c r="M1207" i="7" s="1"/>
  <c r="N1207" i="7" s="1"/>
  <c r="H1207" i="7"/>
  <c r="I1207" i="7" s="1"/>
  <c r="J1207" i="7" s="1"/>
  <c r="P1208" i="7" l="1"/>
  <c r="K1207" i="7"/>
  <c r="S1208" i="7" s="1"/>
  <c r="O1207" i="7"/>
  <c r="T1208" i="7" s="1"/>
  <c r="Q1208" i="7"/>
  <c r="R1208" i="7" l="1"/>
  <c r="G1208" i="7"/>
  <c r="L1208" i="7" l="1"/>
  <c r="M1208" i="7" s="1"/>
  <c r="N1208" i="7" s="1"/>
  <c r="H1208" i="7"/>
  <c r="I1208" i="7" s="1"/>
  <c r="J1208" i="7" s="1"/>
  <c r="P1209" i="7" l="1"/>
  <c r="K1208" i="7"/>
  <c r="S1209" i="7" s="1"/>
  <c r="O1208" i="7"/>
  <c r="T1209" i="7" s="1"/>
  <c r="Q1209" i="7"/>
  <c r="R1209" i="7" l="1"/>
  <c r="G1209" i="7"/>
  <c r="L1209" i="7" l="1"/>
  <c r="M1209" i="7" s="1"/>
  <c r="N1209" i="7" s="1"/>
  <c r="H1209" i="7"/>
  <c r="I1209" i="7" s="1"/>
  <c r="J1209" i="7" s="1"/>
  <c r="P1210" i="7" l="1"/>
  <c r="K1209" i="7"/>
  <c r="S1210" i="7" s="1"/>
  <c r="Q1210" i="7"/>
  <c r="O1209" i="7"/>
  <c r="T1210" i="7" s="1"/>
  <c r="G1210" i="7" l="1"/>
  <c r="R1210" i="7"/>
  <c r="H1210" i="7" l="1"/>
  <c r="I1210" i="7" s="1"/>
  <c r="J1210" i="7" s="1"/>
  <c r="L1210" i="7"/>
  <c r="M1210" i="7" s="1"/>
  <c r="N1210" i="7" s="1"/>
  <c r="Q1211" i="7" l="1"/>
  <c r="O1210" i="7"/>
  <c r="T1211" i="7" s="1"/>
  <c r="P1211" i="7"/>
  <c r="K1210" i="7"/>
  <c r="S1211" i="7" s="1"/>
  <c r="R1211" i="7" l="1"/>
  <c r="G1211" i="7"/>
  <c r="L1211" i="7" l="1"/>
  <c r="M1211" i="7" s="1"/>
  <c r="N1211" i="7" s="1"/>
  <c r="H1211" i="7"/>
  <c r="I1211" i="7" s="1"/>
  <c r="J1211" i="7" s="1"/>
  <c r="K1211" i="7" l="1"/>
  <c r="S1212" i="7" s="1"/>
  <c r="P1212" i="7"/>
  <c r="Q1212" i="7"/>
  <c r="O1211" i="7"/>
  <c r="T1212" i="7" s="1"/>
  <c r="R1212" i="7" l="1"/>
  <c r="G1212" i="7"/>
  <c r="L1212" i="7" l="1"/>
  <c r="M1212" i="7" s="1"/>
  <c r="N1212" i="7" s="1"/>
  <c r="H1212" i="7"/>
  <c r="I1212" i="7" s="1"/>
  <c r="J1212" i="7" s="1"/>
  <c r="K1212" i="7" l="1"/>
  <c r="S1213" i="7" s="1"/>
  <c r="P1213" i="7"/>
  <c r="Q1213" i="7"/>
  <c r="O1212" i="7"/>
  <c r="T1213" i="7" s="1"/>
  <c r="G1213" i="7" l="1"/>
  <c r="R1213" i="7"/>
  <c r="H1213" i="7" l="1"/>
  <c r="I1213" i="7" s="1"/>
  <c r="J1213" i="7" s="1"/>
  <c r="L1213" i="7"/>
  <c r="M1213" i="7" s="1"/>
  <c r="N1213" i="7" s="1"/>
  <c r="O1213" i="7" l="1"/>
  <c r="T1214" i="7" s="1"/>
  <c r="Q1214" i="7"/>
  <c r="K1213" i="7"/>
  <c r="S1214" i="7" s="1"/>
  <c r="P1214" i="7"/>
  <c r="R1214" i="7" l="1"/>
  <c r="G1214" i="7"/>
  <c r="L1214" i="7" l="1"/>
  <c r="M1214" i="7" s="1"/>
  <c r="N1214" i="7" s="1"/>
  <c r="H1214" i="7"/>
  <c r="I1214" i="7" s="1"/>
  <c r="J1214" i="7" s="1"/>
  <c r="K1214" i="7" l="1"/>
  <c r="S1215" i="7" s="1"/>
  <c r="P1215" i="7"/>
  <c r="O1214" i="7"/>
  <c r="T1215" i="7" s="1"/>
  <c r="Q1215" i="7"/>
  <c r="R1215" i="7" l="1"/>
  <c r="G1215" i="7"/>
  <c r="L1215" i="7" l="1"/>
  <c r="M1215" i="7" s="1"/>
  <c r="N1215" i="7" s="1"/>
  <c r="H1215" i="7"/>
  <c r="I1215" i="7" s="1"/>
  <c r="J1215" i="7" s="1"/>
  <c r="K1215" i="7" l="1"/>
  <c r="S1216" i="7" s="1"/>
  <c r="P1216" i="7"/>
  <c r="Q1216" i="7"/>
  <c r="O1215" i="7"/>
  <c r="T1216" i="7" s="1"/>
  <c r="R1216" i="7" l="1"/>
  <c r="G1216" i="7"/>
  <c r="H1216" i="7" l="1"/>
  <c r="I1216" i="7" s="1"/>
  <c r="J1216" i="7" s="1"/>
  <c r="L1216" i="7"/>
  <c r="M1216" i="7" s="1"/>
  <c r="N1216" i="7" s="1"/>
  <c r="O1216" i="7" l="1"/>
  <c r="T1217" i="7" s="1"/>
  <c r="Q1217" i="7"/>
  <c r="P1217" i="7"/>
  <c r="K1216" i="7"/>
  <c r="S1217" i="7" s="1"/>
  <c r="G1217" i="7" l="1"/>
  <c r="R1217" i="7"/>
  <c r="L1217" i="7" l="1"/>
  <c r="M1217" i="7" s="1"/>
  <c r="N1217" i="7" s="1"/>
  <c r="H1217" i="7"/>
  <c r="I1217" i="7" s="1"/>
  <c r="J1217" i="7" s="1"/>
  <c r="K1217" i="7" l="1"/>
  <c r="S1218" i="7" s="1"/>
  <c r="P1218" i="7"/>
  <c r="O1217" i="7"/>
  <c r="T1218" i="7" s="1"/>
  <c r="Q1218" i="7"/>
  <c r="R1218" i="7" l="1"/>
  <c r="G1218" i="7"/>
  <c r="L1218" i="7" l="1"/>
  <c r="M1218" i="7" s="1"/>
  <c r="N1218" i="7" s="1"/>
  <c r="H1218" i="7"/>
  <c r="I1218" i="7" s="1"/>
  <c r="J1218" i="7" s="1"/>
  <c r="P1219" i="7" l="1"/>
  <c r="K1218" i="7"/>
  <c r="S1219" i="7" s="1"/>
  <c r="Q1219" i="7"/>
  <c r="O1218" i="7"/>
  <c r="T1219" i="7" s="1"/>
  <c r="G1219" i="7" l="1"/>
  <c r="R1219" i="7"/>
  <c r="H1219" i="7" l="1"/>
  <c r="I1219" i="7" s="1"/>
  <c r="J1219" i="7" s="1"/>
  <c r="L1219" i="7"/>
  <c r="M1219" i="7" s="1"/>
  <c r="N1219" i="7" s="1"/>
  <c r="Q1220" i="7" l="1"/>
  <c r="O1219" i="7"/>
  <c r="T1220" i="7" s="1"/>
  <c r="K1219" i="7"/>
  <c r="S1220" i="7" s="1"/>
  <c r="P1220" i="7"/>
  <c r="G1220" i="7" l="1"/>
  <c r="R1220" i="7"/>
  <c r="L1220" i="7" l="1"/>
  <c r="M1220" i="7" s="1"/>
  <c r="N1220" i="7" s="1"/>
  <c r="H1220" i="7"/>
  <c r="I1220" i="7" s="1"/>
  <c r="J1220" i="7" s="1"/>
  <c r="K1220" i="7" l="1"/>
  <c r="S1221" i="7" s="1"/>
  <c r="P1221" i="7"/>
  <c r="O1220" i="7"/>
  <c r="T1221" i="7" s="1"/>
  <c r="Q1221" i="7"/>
  <c r="R1221" i="7" l="1"/>
  <c r="G1221" i="7"/>
  <c r="L1221" i="7" l="1"/>
  <c r="M1221" i="7" s="1"/>
  <c r="N1221" i="7" s="1"/>
  <c r="H1221" i="7"/>
  <c r="I1221" i="7" s="1"/>
  <c r="J1221" i="7" s="1"/>
  <c r="P1222" i="7" l="1"/>
  <c r="K1221" i="7"/>
  <c r="S1222" i="7" s="1"/>
  <c r="Q1222" i="7"/>
  <c r="O1221" i="7"/>
  <c r="T1222" i="7" s="1"/>
  <c r="G1222" i="7" l="1"/>
  <c r="R1222" i="7"/>
  <c r="H1222" i="7" l="1"/>
  <c r="I1222" i="7" s="1"/>
  <c r="J1222" i="7" s="1"/>
  <c r="L1222" i="7"/>
  <c r="M1222" i="7" s="1"/>
  <c r="N1222" i="7" s="1"/>
  <c r="O1222" i="7" l="1"/>
  <c r="T1223" i="7" s="1"/>
  <c r="Q1223" i="7"/>
  <c r="K1222" i="7"/>
  <c r="S1223" i="7" s="1"/>
  <c r="P1223" i="7"/>
  <c r="R1223" i="7" l="1"/>
  <c r="G1223" i="7"/>
  <c r="L1223" i="7" l="1"/>
  <c r="M1223" i="7" s="1"/>
  <c r="N1223" i="7" s="1"/>
  <c r="H1223" i="7"/>
  <c r="I1223" i="7" s="1"/>
  <c r="J1223" i="7" s="1"/>
  <c r="P1224" i="7" l="1"/>
  <c r="K1223" i="7"/>
  <c r="S1224" i="7" s="1"/>
  <c r="Q1224" i="7"/>
  <c r="O1223" i="7"/>
  <c r="T1224" i="7" s="1"/>
  <c r="R1224" i="7" l="1"/>
  <c r="G1224" i="7"/>
  <c r="H1224" i="7" l="1"/>
  <c r="I1224" i="7" s="1"/>
  <c r="J1224" i="7" s="1"/>
  <c r="L1224" i="7"/>
  <c r="M1224" i="7" s="1"/>
  <c r="N1224" i="7" s="1"/>
  <c r="Q1225" i="7" l="1"/>
  <c r="O1224" i="7"/>
  <c r="T1225" i="7" s="1"/>
  <c r="K1224" i="7"/>
  <c r="S1225" i="7" s="1"/>
  <c r="P1225" i="7"/>
  <c r="R1225" i="7" l="1"/>
  <c r="G1225" i="7"/>
  <c r="H1225" i="7" l="1"/>
  <c r="I1225" i="7" s="1"/>
  <c r="J1225" i="7" s="1"/>
  <c r="L1225" i="7"/>
  <c r="M1225" i="7" s="1"/>
  <c r="N1225" i="7" s="1"/>
  <c r="O1225" i="7" l="1"/>
  <c r="T1226" i="7" s="1"/>
  <c r="Q1226" i="7"/>
  <c r="P1226" i="7"/>
  <c r="K1225" i="7"/>
  <c r="S1226" i="7" s="1"/>
  <c r="G1226" i="7" l="1"/>
  <c r="R1226" i="7"/>
  <c r="L1226" i="7" l="1"/>
  <c r="M1226" i="7" s="1"/>
  <c r="N1226" i="7" s="1"/>
  <c r="H1226" i="7"/>
  <c r="I1226" i="7" s="1"/>
  <c r="J1226" i="7" s="1"/>
  <c r="K1226" i="7" l="1"/>
  <c r="S1227" i="7" s="1"/>
  <c r="P1227" i="7"/>
  <c r="Q1227" i="7"/>
  <c r="O1226" i="7"/>
  <c r="T1227" i="7" s="1"/>
  <c r="R1227" i="7" l="1"/>
  <c r="G1227" i="7"/>
  <c r="H1227" i="7" l="1"/>
  <c r="I1227" i="7" s="1"/>
  <c r="J1227" i="7" s="1"/>
  <c r="L1227" i="7"/>
  <c r="M1227" i="7" s="1"/>
  <c r="N1227" i="7" s="1"/>
  <c r="Q1228" i="7" l="1"/>
  <c r="O1227" i="7"/>
  <c r="T1228" i="7" s="1"/>
  <c r="P1228" i="7"/>
  <c r="K1227" i="7"/>
  <c r="S1228" i="7" s="1"/>
  <c r="R1228" i="7" l="1"/>
  <c r="G1228" i="7"/>
  <c r="L1228" i="7" l="1"/>
  <c r="M1228" i="7" s="1"/>
  <c r="N1228" i="7" s="1"/>
  <c r="H1228" i="7"/>
  <c r="I1228" i="7" s="1"/>
  <c r="J1228" i="7" s="1"/>
  <c r="K1228" i="7" l="1"/>
  <c r="S1229" i="7" s="1"/>
  <c r="P1229" i="7"/>
  <c r="O1228" i="7"/>
  <c r="T1229" i="7" s="1"/>
  <c r="Q1229" i="7"/>
  <c r="R1229" i="7" l="1"/>
  <c r="G1229" i="7"/>
  <c r="L1229" i="7" l="1"/>
  <c r="M1229" i="7" s="1"/>
  <c r="N1229" i="7" s="1"/>
  <c r="H1229" i="7"/>
  <c r="I1229" i="7" s="1"/>
  <c r="J1229" i="7" s="1"/>
  <c r="K1229" i="7" l="1"/>
  <c r="S1230" i="7" s="1"/>
  <c r="P1230" i="7"/>
  <c r="Q1230" i="7"/>
  <c r="O1229" i="7"/>
  <c r="T1230" i="7" s="1"/>
  <c r="R1230" i="7" l="1"/>
  <c r="G1230" i="7"/>
  <c r="H1230" i="7" l="1"/>
  <c r="I1230" i="7" s="1"/>
  <c r="J1230" i="7" s="1"/>
  <c r="L1230" i="7"/>
  <c r="M1230" i="7" s="1"/>
  <c r="N1230" i="7" s="1"/>
  <c r="Q1231" i="7" l="1"/>
  <c r="O1230" i="7"/>
  <c r="T1231" i="7" s="1"/>
  <c r="K1230" i="7"/>
  <c r="S1231" i="7" s="1"/>
  <c r="P1231" i="7"/>
  <c r="G1231" i="7" l="1"/>
  <c r="R1231" i="7"/>
  <c r="H1231" i="7" l="1"/>
  <c r="I1231" i="7" s="1"/>
  <c r="J1231" i="7" s="1"/>
  <c r="L1231" i="7"/>
  <c r="M1231" i="7" s="1"/>
  <c r="N1231" i="7" s="1"/>
  <c r="O1231" i="7" l="1"/>
  <c r="T1232" i="7" s="1"/>
  <c r="Q1232" i="7"/>
  <c r="P1232" i="7"/>
  <c r="K1231" i="7"/>
  <c r="S1232" i="7" s="1"/>
  <c r="G1232" i="7" l="1"/>
  <c r="R1232" i="7"/>
  <c r="L1232" i="7" l="1"/>
  <c r="M1232" i="7" s="1"/>
  <c r="N1232" i="7" s="1"/>
  <c r="H1232" i="7"/>
  <c r="I1232" i="7" s="1"/>
  <c r="J1232" i="7" s="1"/>
  <c r="K1232" i="7" l="1"/>
  <c r="S1233" i="7" s="1"/>
  <c r="P1233" i="7"/>
  <c r="O1232" i="7"/>
  <c r="T1233" i="7" s="1"/>
  <c r="Q1233" i="7"/>
  <c r="G1233" i="7" l="1"/>
  <c r="R1233" i="7"/>
  <c r="L1233" i="7" l="1"/>
  <c r="M1233" i="7" s="1"/>
  <c r="N1233" i="7" s="1"/>
  <c r="H1233" i="7"/>
  <c r="I1233" i="7" s="1"/>
  <c r="J1233" i="7" s="1"/>
  <c r="P1234" i="7" l="1"/>
  <c r="K1233" i="7"/>
  <c r="S1234" i="7" s="1"/>
  <c r="Q1234" i="7"/>
  <c r="O1233" i="7"/>
  <c r="T1234" i="7" s="1"/>
  <c r="G1234" i="7" l="1"/>
  <c r="R1234" i="7"/>
  <c r="H1234" i="7" l="1"/>
  <c r="I1234" i="7" s="1"/>
  <c r="J1234" i="7" s="1"/>
  <c r="L1234" i="7"/>
  <c r="M1234" i="7" s="1"/>
  <c r="N1234" i="7" s="1"/>
  <c r="O1234" i="7" l="1"/>
  <c r="T1235" i="7" s="1"/>
  <c r="Q1235" i="7"/>
  <c r="K1234" i="7"/>
  <c r="S1235" i="7" s="1"/>
  <c r="P1235" i="7"/>
  <c r="G1235" i="7" l="1"/>
  <c r="R1235" i="7"/>
  <c r="H1235" i="7" l="1"/>
  <c r="I1235" i="7" s="1"/>
  <c r="J1235" i="7" s="1"/>
  <c r="L1235" i="7"/>
  <c r="M1235" i="7" s="1"/>
  <c r="N1235" i="7" s="1"/>
  <c r="O1235" i="7" l="1"/>
  <c r="T1236" i="7" s="1"/>
  <c r="Q1236" i="7"/>
  <c r="K1235" i="7"/>
  <c r="S1236" i="7" s="1"/>
  <c r="P1236" i="7"/>
  <c r="R1236" i="7" l="1"/>
  <c r="G1236" i="7"/>
  <c r="L1236" i="7" l="1"/>
  <c r="M1236" i="7" s="1"/>
  <c r="N1236" i="7" s="1"/>
  <c r="H1236" i="7"/>
  <c r="I1236" i="7" s="1"/>
  <c r="J1236" i="7" s="1"/>
  <c r="P1237" i="7" l="1"/>
  <c r="K1236" i="7"/>
  <c r="S1237" i="7" s="1"/>
  <c r="Q1237" i="7"/>
  <c r="O1236" i="7"/>
  <c r="T1237" i="7" s="1"/>
  <c r="G1237" i="7" l="1"/>
  <c r="R1237" i="7"/>
  <c r="H1237" i="7" l="1"/>
  <c r="I1237" i="7" s="1"/>
  <c r="J1237" i="7" s="1"/>
  <c r="L1237" i="7"/>
  <c r="M1237" i="7" s="1"/>
  <c r="N1237" i="7" s="1"/>
  <c r="Q1238" i="7" l="1"/>
  <c r="O1237" i="7"/>
  <c r="T1238" i="7" s="1"/>
  <c r="P1238" i="7"/>
  <c r="K1237" i="7"/>
  <c r="S1238" i="7" s="1"/>
  <c r="G1238" i="7" l="1"/>
  <c r="R1238" i="7"/>
  <c r="H1238" i="7" l="1"/>
  <c r="I1238" i="7" s="1"/>
  <c r="J1238" i="7" s="1"/>
  <c r="L1238" i="7"/>
  <c r="M1238" i="7" s="1"/>
  <c r="N1238" i="7" s="1"/>
  <c r="O1238" i="7" l="1"/>
  <c r="T1239" i="7" s="1"/>
  <c r="Q1239" i="7"/>
  <c r="K1238" i="7"/>
  <c r="S1239" i="7" s="1"/>
  <c r="P1239" i="7"/>
  <c r="G1239" i="7" l="1"/>
  <c r="R1239" i="7"/>
  <c r="L1239" i="7" l="1"/>
  <c r="M1239" i="7" s="1"/>
  <c r="N1239" i="7" s="1"/>
  <c r="H1239" i="7"/>
  <c r="I1239" i="7" s="1"/>
  <c r="J1239" i="7" s="1"/>
  <c r="K1239" i="7" l="1"/>
  <c r="S1240" i="7" s="1"/>
  <c r="P1240" i="7"/>
  <c r="Q1240" i="7"/>
  <c r="O1239" i="7"/>
  <c r="T1240" i="7" s="1"/>
  <c r="G1240" i="7" l="1"/>
  <c r="R1240" i="7"/>
  <c r="H1240" i="7" l="1"/>
  <c r="I1240" i="7" s="1"/>
  <c r="J1240" i="7" s="1"/>
  <c r="L1240" i="7"/>
  <c r="M1240" i="7" s="1"/>
  <c r="N1240" i="7" s="1"/>
  <c r="O1240" i="7" l="1"/>
  <c r="T1241" i="7" s="1"/>
  <c r="Q1241" i="7"/>
  <c r="K1240" i="7"/>
  <c r="S1241" i="7" s="1"/>
  <c r="P1241" i="7"/>
  <c r="G1241" i="7" l="1"/>
  <c r="R1241" i="7"/>
  <c r="L1241" i="7" l="1"/>
  <c r="M1241" i="7" s="1"/>
  <c r="N1241" i="7" s="1"/>
  <c r="H1241" i="7"/>
  <c r="I1241" i="7" s="1"/>
  <c r="J1241" i="7" s="1"/>
  <c r="K1241" i="7" l="1"/>
  <c r="S1242" i="7" s="1"/>
  <c r="P1242" i="7"/>
  <c r="Q1242" i="7"/>
  <c r="O1241" i="7"/>
  <c r="T1242" i="7" s="1"/>
  <c r="R1242" i="7" l="1"/>
  <c r="G1242" i="7"/>
  <c r="L1242" i="7" l="1"/>
  <c r="M1242" i="7" s="1"/>
  <c r="N1242" i="7" s="1"/>
  <c r="H1242" i="7"/>
  <c r="I1242" i="7" s="1"/>
  <c r="J1242" i="7" s="1"/>
  <c r="P1243" i="7" l="1"/>
  <c r="K1242" i="7"/>
  <c r="S1243" i="7" s="1"/>
  <c r="Q1243" i="7"/>
  <c r="O1242" i="7"/>
  <c r="T1243" i="7" s="1"/>
  <c r="G1243" i="7" l="1"/>
  <c r="R1243" i="7"/>
  <c r="L1243" i="7" l="1"/>
  <c r="M1243" i="7" s="1"/>
  <c r="N1243" i="7" s="1"/>
  <c r="H1243" i="7"/>
  <c r="I1243" i="7" s="1"/>
  <c r="J1243" i="7" s="1"/>
  <c r="K1243" i="7" l="1"/>
  <c r="S1244" i="7" s="1"/>
  <c r="P1244" i="7"/>
  <c r="Q1244" i="7"/>
  <c r="O1243" i="7"/>
  <c r="T1244" i="7" s="1"/>
  <c r="R1244" i="7" l="1"/>
  <c r="G1244" i="7"/>
  <c r="H1244" i="7" l="1"/>
  <c r="I1244" i="7" s="1"/>
  <c r="J1244" i="7" s="1"/>
  <c r="L1244" i="7"/>
  <c r="M1244" i="7" s="1"/>
  <c r="N1244" i="7" s="1"/>
  <c r="O1244" i="7" l="1"/>
  <c r="T1245" i="7" s="1"/>
  <c r="Q1245" i="7"/>
  <c r="P1245" i="7"/>
  <c r="K1244" i="7"/>
  <c r="S1245" i="7" s="1"/>
  <c r="R1245" i="7" l="1"/>
  <c r="G1245" i="7"/>
  <c r="H1245" i="7" l="1"/>
  <c r="I1245" i="7" s="1"/>
  <c r="J1245" i="7" s="1"/>
  <c r="L1245" i="7"/>
  <c r="M1245" i="7" s="1"/>
  <c r="N1245" i="7" s="1"/>
  <c r="Q1246" i="7" l="1"/>
  <c r="O1245" i="7"/>
  <c r="T1246" i="7" s="1"/>
  <c r="K1245" i="7"/>
  <c r="S1246" i="7" s="1"/>
  <c r="P1246" i="7"/>
  <c r="G1246" i="7" l="1"/>
  <c r="R1246" i="7"/>
  <c r="L1246" i="7" l="1"/>
  <c r="M1246" i="7" s="1"/>
  <c r="N1246" i="7" s="1"/>
  <c r="H1246" i="7"/>
  <c r="I1246" i="7" s="1"/>
  <c r="J1246" i="7" s="1"/>
  <c r="K1246" i="7" l="1"/>
  <c r="S1247" i="7" s="1"/>
  <c r="P1247" i="7"/>
  <c r="O1246" i="7"/>
  <c r="T1247" i="7" s="1"/>
  <c r="Q1247" i="7"/>
  <c r="R1247" i="7" l="1"/>
  <c r="G1247" i="7"/>
  <c r="H1247" i="7" l="1"/>
  <c r="I1247" i="7" s="1"/>
  <c r="J1247" i="7" s="1"/>
  <c r="L1247" i="7"/>
  <c r="M1247" i="7" s="1"/>
  <c r="N1247" i="7" s="1"/>
  <c r="O1247" i="7" l="1"/>
  <c r="T1248" i="7" s="1"/>
  <c r="Q1248" i="7"/>
  <c r="P1248" i="7"/>
  <c r="K1247" i="7"/>
  <c r="S1248" i="7" s="1"/>
  <c r="G1248" i="7" l="1"/>
  <c r="R1248" i="7"/>
  <c r="L1248" i="7" l="1"/>
  <c r="M1248" i="7" s="1"/>
  <c r="N1248" i="7" s="1"/>
  <c r="H1248" i="7"/>
  <c r="I1248" i="7" s="1"/>
  <c r="J1248" i="7" s="1"/>
  <c r="P1249" i="7" l="1"/>
  <c r="K1248" i="7"/>
  <c r="S1249" i="7" s="1"/>
  <c r="Q1249" i="7"/>
  <c r="O1248" i="7"/>
  <c r="T1249" i="7" s="1"/>
  <c r="G1249" i="7" l="1"/>
  <c r="R1249" i="7"/>
  <c r="H1249" i="7" l="1"/>
  <c r="I1249" i="7" s="1"/>
  <c r="J1249" i="7" s="1"/>
  <c r="L1249" i="7"/>
  <c r="M1249" i="7" s="1"/>
  <c r="N1249" i="7" s="1"/>
  <c r="O1249" i="7" l="1"/>
  <c r="T1250" i="7" s="1"/>
  <c r="Q1250" i="7"/>
  <c r="P1250" i="7"/>
  <c r="K1249" i="7"/>
  <c r="S1250" i="7" s="1"/>
  <c r="R1250" i="7" l="1"/>
  <c r="G1250" i="7"/>
  <c r="H1250" i="7" l="1"/>
  <c r="I1250" i="7" s="1"/>
  <c r="J1250" i="7" s="1"/>
  <c r="L1250" i="7"/>
  <c r="M1250" i="7" s="1"/>
  <c r="N1250" i="7" s="1"/>
  <c r="O1250" i="7" l="1"/>
  <c r="T1251" i="7" s="1"/>
  <c r="Q1251" i="7"/>
  <c r="K1250" i="7"/>
  <c r="S1251" i="7" s="1"/>
  <c r="P1251" i="7"/>
  <c r="G1251" i="7" l="1"/>
  <c r="R1251" i="7"/>
  <c r="L1251" i="7" l="1"/>
  <c r="M1251" i="7" s="1"/>
  <c r="N1251" i="7" s="1"/>
  <c r="H1251" i="7"/>
  <c r="I1251" i="7" s="1"/>
  <c r="J1251" i="7" s="1"/>
  <c r="P1252" i="7" l="1"/>
  <c r="K1251" i="7"/>
  <c r="S1252" i="7" s="1"/>
  <c r="Q1252" i="7"/>
  <c r="O1251" i="7"/>
  <c r="T1252" i="7" s="1"/>
  <c r="G1252" i="7" l="1"/>
  <c r="R1252" i="7"/>
  <c r="H1252" i="7" l="1"/>
  <c r="I1252" i="7" s="1"/>
  <c r="J1252" i="7" s="1"/>
  <c r="L1252" i="7"/>
  <c r="M1252" i="7" s="1"/>
  <c r="N1252" i="7" s="1"/>
  <c r="O1252" i="7" l="1"/>
  <c r="T1253" i="7" s="1"/>
  <c r="Q1253" i="7"/>
  <c r="P1253" i="7"/>
  <c r="K1252" i="7"/>
  <c r="S1253" i="7" s="1"/>
  <c r="R1253" i="7" l="1"/>
  <c r="G1253" i="7"/>
  <c r="H1253" i="7" l="1"/>
  <c r="I1253" i="7" s="1"/>
  <c r="J1253" i="7" s="1"/>
  <c r="L1253" i="7"/>
  <c r="M1253" i="7" s="1"/>
  <c r="N1253" i="7" s="1"/>
  <c r="Q1254" i="7" l="1"/>
  <c r="O1253" i="7"/>
  <c r="T1254" i="7" s="1"/>
  <c r="P1254" i="7"/>
  <c r="K1253" i="7"/>
  <c r="S1254" i="7" s="1"/>
  <c r="G1254" i="7" l="1"/>
  <c r="R1254" i="7"/>
  <c r="H1254" i="7" l="1"/>
  <c r="I1254" i="7" s="1"/>
  <c r="J1254" i="7" s="1"/>
  <c r="L1254" i="7"/>
  <c r="M1254" i="7" s="1"/>
  <c r="N1254" i="7" s="1"/>
  <c r="Q1255" i="7" l="1"/>
  <c r="O1254" i="7"/>
  <c r="T1255" i="7" s="1"/>
  <c r="K1254" i="7"/>
  <c r="S1255" i="7" s="1"/>
  <c r="P1255" i="7"/>
  <c r="G1255" i="7" l="1"/>
  <c r="R1255" i="7"/>
  <c r="H1255" i="7" l="1"/>
  <c r="I1255" i="7" s="1"/>
  <c r="J1255" i="7" s="1"/>
  <c r="L1255" i="7"/>
  <c r="M1255" i="7" s="1"/>
  <c r="N1255" i="7" s="1"/>
  <c r="O1255" i="7" l="1"/>
  <c r="T1256" i="7" s="1"/>
  <c r="Q1256" i="7"/>
  <c r="P1256" i="7"/>
  <c r="K1255" i="7"/>
  <c r="S1256" i="7" s="1"/>
  <c r="G1256" i="7" l="1"/>
  <c r="R1256" i="7"/>
  <c r="H1256" i="7" l="1"/>
  <c r="I1256" i="7" s="1"/>
  <c r="J1256" i="7" s="1"/>
  <c r="L1256" i="7"/>
  <c r="M1256" i="7" s="1"/>
  <c r="N1256" i="7" s="1"/>
  <c r="Q1257" i="7" l="1"/>
  <c r="O1256" i="7"/>
  <c r="T1257" i="7" s="1"/>
  <c r="K1256" i="7"/>
  <c r="S1257" i="7" s="1"/>
  <c r="P1257" i="7"/>
  <c r="G1257" i="7" l="1"/>
  <c r="R1257" i="7"/>
  <c r="L1257" i="7" l="1"/>
  <c r="M1257" i="7" s="1"/>
  <c r="N1257" i="7" s="1"/>
  <c r="H1257" i="7"/>
  <c r="I1257" i="7" s="1"/>
  <c r="J1257" i="7" s="1"/>
  <c r="K1257" i="7" l="1"/>
  <c r="S1258" i="7" s="1"/>
  <c r="P1258" i="7"/>
  <c r="O1257" i="7"/>
  <c r="T1258" i="7" s="1"/>
  <c r="Q1258" i="7"/>
  <c r="R1258" i="7" l="1"/>
  <c r="G1258" i="7"/>
  <c r="L1258" i="7" l="1"/>
  <c r="M1258" i="7" s="1"/>
  <c r="N1258" i="7" s="1"/>
  <c r="H1258" i="7"/>
  <c r="I1258" i="7" s="1"/>
  <c r="J1258" i="7" s="1"/>
  <c r="P1259" i="7" l="1"/>
  <c r="K1258" i="7"/>
  <c r="S1259" i="7" s="1"/>
  <c r="O1258" i="7"/>
  <c r="T1259" i="7" s="1"/>
  <c r="Q1259" i="7"/>
  <c r="R1259" i="7" l="1"/>
  <c r="G1259" i="7"/>
  <c r="H1259" i="7" l="1"/>
  <c r="I1259" i="7" s="1"/>
  <c r="J1259" i="7" s="1"/>
  <c r="L1259" i="7"/>
  <c r="M1259" i="7" s="1"/>
  <c r="N1259" i="7" s="1"/>
  <c r="O1259" i="7" l="1"/>
  <c r="T1260" i="7" s="1"/>
  <c r="Q1260" i="7"/>
  <c r="P1260" i="7"/>
  <c r="K1259" i="7"/>
  <c r="S1260" i="7" s="1"/>
  <c r="R1260" i="7" l="1"/>
  <c r="G1260" i="7"/>
  <c r="L1260" i="7" l="1"/>
  <c r="M1260" i="7" s="1"/>
  <c r="N1260" i="7" s="1"/>
  <c r="H1260" i="7"/>
  <c r="I1260" i="7" s="1"/>
  <c r="J1260" i="7" s="1"/>
  <c r="K1260" i="7" l="1"/>
  <c r="S1261" i="7" s="1"/>
  <c r="P1261" i="7"/>
  <c r="Q1261" i="7"/>
  <c r="O1260" i="7"/>
  <c r="T1261" i="7" s="1"/>
  <c r="R1261" i="7" l="1"/>
  <c r="G1261" i="7"/>
  <c r="H1261" i="7" l="1"/>
  <c r="I1261" i="7" s="1"/>
  <c r="J1261" i="7" s="1"/>
  <c r="L1261" i="7"/>
  <c r="M1261" i="7" s="1"/>
  <c r="N1261" i="7" s="1"/>
  <c r="Q1262" i="7" l="1"/>
  <c r="O1261" i="7"/>
  <c r="T1262" i="7" s="1"/>
  <c r="P1262" i="7"/>
  <c r="K1261" i="7"/>
  <c r="S1262" i="7" s="1"/>
  <c r="G1262" i="7" l="1"/>
  <c r="R1262" i="7"/>
  <c r="H1262" i="7" l="1"/>
  <c r="I1262" i="7" s="1"/>
  <c r="J1262" i="7" s="1"/>
  <c r="L1262" i="7"/>
  <c r="M1262" i="7" s="1"/>
  <c r="N1262" i="7" s="1"/>
  <c r="Q1263" i="7" l="1"/>
  <c r="O1262" i="7"/>
  <c r="T1263" i="7" s="1"/>
  <c r="K1262" i="7"/>
  <c r="S1263" i="7" s="1"/>
  <c r="P1263" i="7"/>
  <c r="R1263" i="7" l="1"/>
  <c r="G1263" i="7"/>
  <c r="H1263" i="7" l="1"/>
  <c r="I1263" i="7" s="1"/>
  <c r="J1263" i="7" s="1"/>
  <c r="L1263" i="7"/>
  <c r="M1263" i="7" s="1"/>
  <c r="N1263" i="7" s="1"/>
  <c r="O1263" i="7" l="1"/>
  <c r="T1264" i="7" s="1"/>
  <c r="Q1264" i="7"/>
  <c r="P1264" i="7"/>
  <c r="K1263" i="7"/>
  <c r="S1264" i="7" s="1"/>
  <c r="G1264" i="7" l="1"/>
  <c r="R1264" i="7"/>
  <c r="L1264" i="7" l="1"/>
  <c r="M1264" i="7" s="1"/>
  <c r="N1264" i="7" s="1"/>
  <c r="H1264" i="7"/>
  <c r="I1264" i="7" s="1"/>
  <c r="J1264" i="7" s="1"/>
  <c r="P1265" i="7" l="1"/>
  <c r="K1264" i="7"/>
  <c r="S1265" i="7" s="1"/>
  <c r="O1264" i="7"/>
  <c r="T1265" i="7" s="1"/>
  <c r="Q1265" i="7"/>
  <c r="G1265" i="7" l="1"/>
  <c r="R1265" i="7"/>
  <c r="L1265" i="7" l="1"/>
  <c r="M1265" i="7" s="1"/>
  <c r="N1265" i="7" s="1"/>
  <c r="H1265" i="7"/>
  <c r="I1265" i="7" s="1"/>
  <c r="J1265" i="7" s="1"/>
  <c r="P1266" i="7" l="1"/>
  <c r="K1265" i="7"/>
  <c r="S1266" i="7" s="1"/>
  <c r="Q1266" i="7"/>
  <c r="O1265" i="7"/>
  <c r="T1266" i="7" s="1"/>
  <c r="R1266" i="7" l="1"/>
  <c r="G1266" i="7"/>
  <c r="L1266" i="7" l="1"/>
  <c r="M1266" i="7" s="1"/>
  <c r="N1266" i="7" s="1"/>
  <c r="H1266" i="7"/>
  <c r="I1266" i="7" s="1"/>
  <c r="J1266" i="7" s="1"/>
  <c r="P1267" i="7" l="1"/>
  <c r="K1266" i="7"/>
  <c r="S1267" i="7" s="1"/>
  <c r="Q1267" i="7"/>
  <c r="O1266" i="7"/>
  <c r="T1267" i="7" s="1"/>
  <c r="R1267" i="7" l="1"/>
  <c r="G1267" i="7"/>
  <c r="L1267" i="7" l="1"/>
  <c r="M1267" i="7" s="1"/>
  <c r="N1267" i="7" s="1"/>
  <c r="H1267" i="7"/>
  <c r="I1267" i="7" s="1"/>
  <c r="J1267" i="7" s="1"/>
  <c r="P1268" i="7" l="1"/>
  <c r="K1267" i="7"/>
  <c r="S1268" i="7" s="1"/>
  <c r="Q1268" i="7"/>
  <c r="O1267" i="7"/>
  <c r="T1268" i="7" s="1"/>
  <c r="G1268" i="7" l="1"/>
  <c r="R1268" i="7"/>
  <c r="H1268" i="7" l="1"/>
  <c r="I1268" i="7" s="1"/>
  <c r="J1268" i="7" s="1"/>
  <c r="L1268" i="7"/>
  <c r="M1268" i="7" s="1"/>
  <c r="N1268" i="7" s="1"/>
  <c r="Q1269" i="7" l="1"/>
  <c r="O1268" i="7"/>
  <c r="T1269" i="7" s="1"/>
  <c r="P1269" i="7"/>
  <c r="K1268" i="7"/>
  <c r="S1269" i="7" s="1"/>
  <c r="G1269" i="7" l="1"/>
  <c r="R1269" i="7"/>
  <c r="L1269" i="7" l="1"/>
  <c r="M1269" i="7" s="1"/>
  <c r="N1269" i="7" s="1"/>
  <c r="H1269" i="7"/>
  <c r="I1269" i="7" s="1"/>
  <c r="J1269" i="7" s="1"/>
  <c r="K1269" i="7" l="1"/>
  <c r="S1270" i="7" s="1"/>
  <c r="P1270" i="7"/>
  <c r="Q1270" i="7"/>
  <c r="O1269" i="7"/>
  <c r="T1270" i="7" s="1"/>
  <c r="G1270" i="7" l="1"/>
  <c r="R1270" i="7"/>
  <c r="H1270" i="7" l="1"/>
  <c r="I1270" i="7" s="1"/>
  <c r="J1270" i="7" s="1"/>
  <c r="L1270" i="7"/>
  <c r="M1270" i="7" s="1"/>
  <c r="N1270" i="7" s="1"/>
  <c r="Q1271" i="7" l="1"/>
  <c r="O1270" i="7"/>
  <c r="T1271" i="7" s="1"/>
  <c r="P1271" i="7"/>
  <c r="K1270" i="7"/>
  <c r="S1271" i="7" s="1"/>
  <c r="R1271" i="7" l="1"/>
  <c r="G1271" i="7"/>
  <c r="L1271" i="7" l="1"/>
  <c r="M1271" i="7" s="1"/>
  <c r="N1271" i="7" s="1"/>
  <c r="H1271" i="7"/>
  <c r="I1271" i="7" s="1"/>
  <c r="J1271" i="7" s="1"/>
  <c r="K1271" i="7" l="1"/>
  <c r="S1272" i="7" s="1"/>
  <c r="P1272" i="7"/>
  <c r="O1271" i="7"/>
  <c r="T1272" i="7" s="1"/>
  <c r="Q1272" i="7"/>
  <c r="R1272" i="7" l="1"/>
  <c r="G1272" i="7"/>
  <c r="H1272" i="7" l="1"/>
  <c r="I1272" i="7" s="1"/>
  <c r="J1272" i="7" s="1"/>
  <c r="L1272" i="7"/>
  <c r="M1272" i="7" s="1"/>
  <c r="N1272" i="7" s="1"/>
  <c r="Q1273" i="7" l="1"/>
  <c r="O1272" i="7"/>
  <c r="T1273" i="7" s="1"/>
  <c r="K1272" i="7"/>
  <c r="S1273" i="7" s="1"/>
  <c r="P1273" i="7"/>
  <c r="R1273" i="7" l="1"/>
  <c r="G1273" i="7"/>
  <c r="H1273" i="7" l="1"/>
  <c r="I1273" i="7" s="1"/>
  <c r="J1273" i="7" s="1"/>
  <c r="L1273" i="7"/>
  <c r="M1273" i="7" s="1"/>
  <c r="N1273" i="7" s="1"/>
  <c r="O1273" i="7" l="1"/>
  <c r="T1274" i="7" s="1"/>
  <c r="Q1274" i="7"/>
  <c r="K1273" i="7"/>
  <c r="S1274" i="7" s="1"/>
  <c r="P1274" i="7"/>
  <c r="R1274" i="7" l="1"/>
  <c r="G1274" i="7"/>
  <c r="H1274" i="7" l="1"/>
  <c r="I1274" i="7" s="1"/>
  <c r="J1274" i="7" s="1"/>
  <c r="L1274" i="7"/>
  <c r="M1274" i="7" s="1"/>
  <c r="N1274" i="7" s="1"/>
  <c r="O1274" i="7" l="1"/>
  <c r="T1275" i="7" s="1"/>
  <c r="Q1275" i="7"/>
  <c r="P1275" i="7"/>
  <c r="K1274" i="7"/>
  <c r="S1275" i="7" s="1"/>
  <c r="G1275" i="7" l="1"/>
  <c r="R1275" i="7"/>
  <c r="L1275" i="7" l="1"/>
  <c r="M1275" i="7" s="1"/>
  <c r="N1275" i="7" s="1"/>
  <c r="H1275" i="7"/>
  <c r="I1275" i="7" s="1"/>
  <c r="J1275" i="7" s="1"/>
  <c r="P1276" i="7" l="1"/>
  <c r="K1275" i="7"/>
  <c r="S1276" i="7" s="1"/>
  <c r="Q1276" i="7"/>
  <c r="O1275" i="7"/>
  <c r="T1276" i="7" s="1"/>
  <c r="G1276" i="7" l="1"/>
  <c r="R1276" i="7"/>
  <c r="H1276" i="7" l="1"/>
  <c r="I1276" i="7" s="1"/>
  <c r="J1276" i="7" s="1"/>
  <c r="L1276" i="7"/>
  <c r="M1276" i="7" s="1"/>
  <c r="N1276" i="7" s="1"/>
  <c r="O1276" i="7" l="1"/>
  <c r="T1277" i="7" s="1"/>
  <c r="Q1277" i="7"/>
  <c r="K1276" i="7"/>
  <c r="S1277" i="7" s="1"/>
  <c r="P1277" i="7"/>
  <c r="R1277" i="7" l="1"/>
  <c r="G1277" i="7"/>
  <c r="H1277" i="7" l="1"/>
  <c r="I1277" i="7" s="1"/>
  <c r="J1277" i="7" s="1"/>
  <c r="L1277" i="7"/>
  <c r="M1277" i="7" s="1"/>
  <c r="N1277" i="7" s="1"/>
  <c r="Q1278" i="7" l="1"/>
  <c r="O1277" i="7"/>
  <c r="T1278" i="7" s="1"/>
  <c r="K1277" i="7"/>
  <c r="S1278" i="7" s="1"/>
  <c r="P1278" i="7"/>
  <c r="R1278" i="7" l="1"/>
  <c r="G1278" i="7"/>
  <c r="L1278" i="7" l="1"/>
  <c r="M1278" i="7" s="1"/>
  <c r="N1278" i="7" s="1"/>
  <c r="H1278" i="7"/>
  <c r="I1278" i="7" s="1"/>
  <c r="J1278" i="7" s="1"/>
  <c r="P1279" i="7" l="1"/>
  <c r="K1278" i="7"/>
  <c r="S1279" i="7" s="1"/>
  <c r="Q1279" i="7"/>
  <c r="O1278" i="7"/>
  <c r="T1279" i="7" s="1"/>
  <c r="R1279" i="7" l="1"/>
  <c r="G1279" i="7"/>
  <c r="L1279" i="7" l="1"/>
  <c r="M1279" i="7" s="1"/>
  <c r="N1279" i="7" s="1"/>
  <c r="H1279" i="7"/>
  <c r="I1279" i="7" s="1"/>
  <c r="J1279" i="7" s="1"/>
  <c r="K1279" i="7" l="1"/>
  <c r="S1280" i="7" s="1"/>
  <c r="P1280" i="7"/>
  <c r="O1279" i="7"/>
  <c r="T1280" i="7" s="1"/>
  <c r="Q1280" i="7"/>
  <c r="R1280" i="7" l="1"/>
  <c r="G1280" i="7"/>
  <c r="H1280" i="7" l="1"/>
  <c r="I1280" i="7" s="1"/>
  <c r="J1280" i="7" s="1"/>
  <c r="L1280" i="7"/>
  <c r="M1280" i="7" s="1"/>
  <c r="N1280" i="7" s="1"/>
  <c r="Q1281" i="7" l="1"/>
  <c r="O1280" i="7"/>
  <c r="T1281" i="7" s="1"/>
  <c r="K1280" i="7"/>
  <c r="S1281" i="7" s="1"/>
  <c r="P1281" i="7"/>
  <c r="G1281" i="7" l="1"/>
  <c r="R1281" i="7"/>
  <c r="L1281" i="7" l="1"/>
  <c r="M1281" i="7" s="1"/>
  <c r="N1281" i="7" s="1"/>
  <c r="H1281" i="7"/>
  <c r="I1281" i="7" s="1"/>
  <c r="J1281" i="7" s="1"/>
  <c r="K1281" i="7" l="1"/>
  <c r="S1282" i="7" s="1"/>
  <c r="P1282" i="7"/>
  <c r="O1281" i="7"/>
  <c r="T1282" i="7" s="1"/>
  <c r="Q1282" i="7"/>
  <c r="R1282" i="7" l="1"/>
  <c r="G1282" i="7"/>
  <c r="H1282" i="7" l="1"/>
  <c r="I1282" i="7" s="1"/>
  <c r="J1282" i="7" s="1"/>
  <c r="L1282" i="7"/>
  <c r="M1282" i="7" s="1"/>
  <c r="N1282" i="7" s="1"/>
  <c r="O1282" i="7" l="1"/>
  <c r="T1283" i="7" s="1"/>
  <c r="Q1283" i="7"/>
  <c r="P1283" i="7"/>
  <c r="K1282" i="7"/>
  <c r="S1283" i="7" s="1"/>
  <c r="G1283" i="7" l="1"/>
  <c r="R1283" i="7"/>
  <c r="L1283" i="7" l="1"/>
  <c r="M1283" i="7" s="1"/>
  <c r="N1283" i="7" s="1"/>
  <c r="H1283" i="7"/>
  <c r="I1283" i="7" s="1"/>
  <c r="J1283" i="7" s="1"/>
  <c r="K1283" i="7" l="1"/>
  <c r="S1284" i="7" s="1"/>
  <c r="P1284" i="7"/>
  <c r="Q1284" i="7"/>
  <c r="O1283" i="7"/>
  <c r="T1284" i="7" s="1"/>
  <c r="R1284" i="7" l="1"/>
  <c r="G1284" i="7"/>
  <c r="L1284" i="7" l="1"/>
  <c r="M1284" i="7" s="1"/>
  <c r="N1284" i="7" s="1"/>
  <c r="H1284" i="7"/>
  <c r="I1284" i="7" s="1"/>
  <c r="J1284" i="7" s="1"/>
  <c r="K1284" i="7" l="1"/>
  <c r="S1285" i="7" s="1"/>
  <c r="P1285" i="7"/>
  <c r="O1284" i="7"/>
  <c r="T1285" i="7" s="1"/>
  <c r="Q1285" i="7"/>
  <c r="R1285" i="7" l="1"/>
  <c r="G1285" i="7"/>
  <c r="L1285" i="7" l="1"/>
  <c r="M1285" i="7" s="1"/>
  <c r="N1285" i="7" s="1"/>
  <c r="H1285" i="7"/>
  <c r="I1285" i="7" s="1"/>
  <c r="J1285" i="7" s="1"/>
  <c r="P1286" i="7" l="1"/>
  <c r="K1285" i="7"/>
  <c r="S1286" i="7" s="1"/>
  <c r="O1285" i="7"/>
  <c r="T1286" i="7" s="1"/>
  <c r="Q1286" i="7"/>
  <c r="G1286" i="7" l="1"/>
  <c r="R1286" i="7"/>
  <c r="H1286" i="7" l="1"/>
  <c r="I1286" i="7" s="1"/>
  <c r="J1286" i="7" s="1"/>
  <c r="L1286" i="7"/>
  <c r="M1286" i="7" s="1"/>
  <c r="N1286" i="7" s="1"/>
  <c r="Q1287" i="7" l="1"/>
  <c r="O1286" i="7"/>
  <c r="T1287" i="7" s="1"/>
  <c r="K1286" i="7"/>
  <c r="S1287" i="7" s="1"/>
  <c r="P1287" i="7"/>
  <c r="G1287" i="7" l="1"/>
  <c r="R1287" i="7"/>
  <c r="L1287" i="7" l="1"/>
  <c r="M1287" i="7" s="1"/>
  <c r="N1287" i="7" s="1"/>
  <c r="H1287" i="7"/>
  <c r="I1287" i="7" s="1"/>
  <c r="J1287" i="7" s="1"/>
  <c r="K1287" i="7" l="1"/>
  <c r="S1288" i="7" s="1"/>
  <c r="P1288" i="7"/>
  <c r="O1287" i="7"/>
  <c r="T1288" i="7" s="1"/>
  <c r="Q1288" i="7"/>
  <c r="G1288" i="7" l="1"/>
  <c r="R1288" i="7"/>
  <c r="L1288" i="7" l="1"/>
  <c r="M1288" i="7" s="1"/>
  <c r="N1288" i="7" s="1"/>
  <c r="H1288" i="7"/>
  <c r="I1288" i="7" s="1"/>
  <c r="J1288" i="7" s="1"/>
  <c r="K1288" i="7" l="1"/>
  <c r="S1289" i="7" s="1"/>
  <c r="P1289" i="7"/>
  <c r="Q1289" i="7"/>
  <c r="O1288" i="7"/>
  <c r="T1289" i="7" s="1"/>
  <c r="G1289" i="7" l="1"/>
  <c r="R1289" i="7"/>
  <c r="L1289" i="7" l="1"/>
  <c r="M1289" i="7" s="1"/>
  <c r="N1289" i="7" s="1"/>
  <c r="H1289" i="7"/>
  <c r="I1289" i="7" s="1"/>
  <c r="J1289" i="7" s="1"/>
  <c r="K1289" i="7" l="1"/>
  <c r="S1290" i="7" s="1"/>
  <c r="P1290" i="7"/>
  <c r="O1289" i="7"/>
  <c r="T1290" i="7" s="1"/>
  <c r="Q1290" i="7"/>
  <c r="G1290" i="7" l="1"/>
  <c r="R1290" i="7"/>
  <c r="L1290" i="7" l="1"/>
  <c r="M1290" i="7" s="1"/>
  <c r="N1290" i="7" s="1"/>
  <c r="H1290" i="7"/>
  <c r="I1290" i="7" s="1"/>
  <c r="J1290" i="7" s="1"/>
  <c r="P1291" i="7" l="1"/>
  <c r="K1290" i="7"/>
  <c r="S1291" i="7" s="1"/>
  <c r="Q1291" i="7"/>
  <c r="O1290" i="7"/>
  <c r="T1291" i="7" s="1"/>
  <c r="R1291" i="7" l="1"/>
  <c r="G1291" i="7"/>
  <c r="H1291" i="7" l="1"/>
  <c r="I1291" i="7" s="1"/>
  <c r="J1291" i="7" s="1"/>
  <c r="L1291" i="7"/>
  <c r="M1291" i="7" s="1"/>
  <c r="N1291" i="7" s="1"/>
  <c r="O1291" i="7" l="1"/>
  <c r="T1292" i="7" s="1"/>
  <c r="Q1292" i="7"/>
  <c r="P1292" i="7"/>
  <c r="K1291" i="7"/>
  <c r="S1292" i="7" s="1"/>
  <c r="G1292" i="7" l="1"/>
  <c r="R1292" i="7"/>
  <c r="L1292" i="7" l="1"/>
  <c r="M1292" i="7" s="1"/>
  <c r="N1292" i="7" s="1"/>
  <c r="H1292" i="7"/>
  <c r="I1292" i="7" s="1"/>
  <c r="J1292" i="7" s="1"/>
  <c r="K1292" i="7" l="1"/>
  <c r="S1293" i="7" s="1"/>
  <c r="P1293" i="7"/>
  <c r="Q1293" i="7"/>
  <c r="O1292" i="7"/>
  <c r="T1293" i="7" s="1"/>
  <c r="G1293" i="7" l="1"/>
  <c r="R1293" i="7"/>
  <c r="L1293" i="7" l="1"/>
  <c r="M1293" i="7" s="1"/>
  <c r="N1293" i="7" s="1"/>
  <c r="H1293" i="7"/>
  <c r="I1293" i="7" s="1"/>
  <c r="J1293" i="7" s="1"/>
  <c r="P1294" i="7" l="1"/>
  <c r="K1293" i="7"/>
  <c r="S1294" i="7" s="1"/>
  <c r="O1293" i="7"/>
  <c r="T1294" i="7" s="1"/>
  <c r="Q1294" i="7"/>
  <c r="G1294" i="7" l="1"/>
  <c r="R1294" i="7"/>
  <c r="L1294" i="7" l="1"/>
  <c r="M1294" i="7" s="1"/>
  <c r="N1294" i="7" s="1"/>
  <c r="H1294" i="7"/>
  <c r="I1294" i="7" s="1"/>
  <c r="J1294" i="7" s="1"/>
  <c r="K1294" i="7" l="1"/>
  <c r="S1295" i="7" s="1"/>
  <c r="P1295" i="7"/>
  <c r="O1294" i="7"/>
  <c r="T1295" i="7" s="1"/>
  <c r="Q1295" i="7"/>
  <c r="R1295" i="7" l="1"/>
  <c r="G1295" i="7"/>
  <c r="H1295" i="7" l="1"/>
  <c r="I1295" i="7" s="1"/>
  <c r="J1295" i="7" s="1"/>
  <c r="L1295" i="7"/>
  <c r="M1295" i="7" s="1"/>
  <c r="N1295" i="7" s="1"/>
  <c r="O1295" i="7" l="1"/>
  <c r="T1296" i="7" s="1"/>
  <c r="Q1296" i="7"/>
  <c r="K1295" i="7"/>
  <c r="S1296" i="7" s="1"/>
  <c r="P1296" i="7"/>
  <c r="R1296" i="7" l="1"/>
  <c r="G1296" i="7"/>
  <c r="H1296" i="7" l="1"/>
  <c r="I1296" i="7" s="1"/>
  <c r="J1296" i="7" s="1"/>
  <c r="L1296" i="7"/>
  <c r="M1296" i="7" s="1"/>
  <c r="N1296" i="7" s="1"/>
  <c r="Q1297" i="7" l="1"/>
  <c r="O1296" i="7"/>
  <c r="T1297" i="7" s="1"/>
  <c r="P1297" i="7"/>
  <c r="K1296" i="7"/>
  <c r="S1297" i="7" s="1"/>
  <c r="G1297" i="7" l="1"/>
  <c r="R1297" i="7"/>
  <c r="H1297" i="7" l="1"/>
  <c r="I1297" i="7" s="1"/>
  <c r="J1297" i="7" s="1"/>
  <c r="L1297" i="7"/>
  <c r="M1297" i="7" s="1"/>
  <c r="N1297" i="7" s="1"/>
  <c r="O1297" i="7" l="1"/>
  <c r="T1298" i="7" s="1"/>
  <c r="Q1298" i="7"/>
  <c r="P1298" i="7"/>
  <c r="K1297" i="7"/>
  <c r="S1298" i="7" s="1"/>
  <c r="R1298" i="7" l="1"/>
  <c r="G1298" i="7"/>
  <c r="L1298" i="7" l="1"/>
  <c r="M1298" i="7" s="1"/>
  <c r="N1298" i="7" s="1"/>
  <c r="H1298" i="7"/>
  <c r="I1298" i="7" s="1"/>
  <c r="J1298" i="7" s="1"/>
  <c r="P1299" i="7" l="1"/>
  <c r="K1298" i="7"/>
  <c r="S1299" i="7" s="1"/>
  <c r="O1298" i="7"/>
  <c r="T1299" i="7" s="1"/>
  <c r="Q1299" i="7"/>
  <c r="G1299" i="7" l="1"/>
  <c r="R1299" i="7"/>
  <c r="H1299" i="7" l="1"/>
  <c r="I1299" i="7" s="1"/>
  <c r="J1299" i="7" s="1"/>
  <c r="L1299" i="7"/>
  <c r="M1299" i="7" s="1"/>
  <c r="N1299" i="7" s="1"/>
  <c r="O1299" i="7" l="1"/>
  <c r="T1300" i="7" s="1"/>
  <c r="Q1300" i="7"/>
  <c r="K1299" i="7"/>
  <c r="S1300" i="7" s="1"/>
  <c r="P1300" i="7"/>
  <c r="R1300" i="7" l="1"/>
  <c r="G1300" i="7"/>
  <c r="L1300" i="7" l="1"/>
  <c r="M1300" i="7" s="1"/>
  <c r="N1300" i="7" s="1"/>
  <c r="H1300" i="7"/>
  <c r="I1300" i="7" s="1"/>
  <c r="J1300" i="7" s="1"/>
  <c r="K1300" i="7" l="1"/>
  <c r="S1301" i="7" s="1"/>
  <c r="P1301" i="7"/>
  <c r="O1300" i="7"/>
  <c r="T1301" i="7" s="1"/>
  <c r="Q1301" i="7"/>
  <c r="G1301" i="7" l="1"/>
  <c r="R1301" i="7"/>
  <c r="L1301" i="7" l="1"/>
  <c r="M1301" i="7" s="1"/>
  <c r="N1301" i="7" s="1"/>
  <c r="H1301" i="7"/>
  <c r="I1301" i="7" s="1"/>
  <c r="J1301" i="7" s="1"/>
  <c r="P1302" i="7" l="1"/>
  <c r="K1301" i="7"/>
  <c r="S1302" i="7" s="1"/>
  <c r="O1301" i="7"/>
  <c r="T1302" i="7" s="1"/>
  <c r="Q1302" i="7"/>
  <c r="R1302" i="7" l="1"/>
  <c r="G1302" i="7"/>
  <c r="H1302" i="7" l="1"/>
  <c r="I1302" i="7" s="1"/>
  <c r="J1302" i="7" s="1"/>
  <c r="L1302" i="7"/>
  <c r="M1302" i="7" s="1"/>
  <c r="N1302" i="7" s="1"/>
  <c r="Q1303" i="7" l="1"/>
  <c r="O1302" i="7"/>
  <c r="T1303" i="7" s="1"/>
  <c r="K1302" i="7"/>
  <c r="S1303" i="7" s="1"/>
  <c r="P1303" i="7"/>
  <c r="R1303" i="7" l="1"/>
  <c r="G1303" i="7"/>
  <c r="L1303" i="7" l="1"/>
  <c r="M1303" i="7" s="1"/>
  <c r="N1303" i="7" s="1"/>
  <c r="H1303" i="7"/>
  <c r="I1303" i="7" s="1"/>
  <c r="J1303" i="7" s="1"/>
  <c r="P1304" i="7" l="1"/>
  <c r="K1303" i="7"/>
  <c r="S1304" i="7" s="1"/>
  <c r="O1303" i="7"/>
  <c r="T1304" i="7" s="1"/>
  <c r="Q1304" i="7"/>
  <c r="R1304" i="7" l="1"/>
  <c r="G1304" i="7"/>
  <c r="H1304" i="7" l="1"/>
  <c r="I1304" i="7" s="1"/>
  <c r="J1304" i="7" s="1"/>
  <c r="L1304" i="7"/>
  <c r="M1304" i="7" s="1"/>
  <c r="N1304" i="7" s="1"/>
  <c r="O1304" i="7" l="1"/>
  <c r="T1305" i="7" s="1"/>
  <c r="Q1305" i="7"/>
  <c r="K1304" i="7"/>
  <c r="S1305" i="7" s="1"/>
  <c r="P1305" i="7"/>
  <c r="G1305" i="7" l="1"/>
  <c r="R1305" i="7"/>
  <c r="H1305" i="7" l="1"/>
  <c r="I1305" i="7" s="1"/>
  <c r="J1305" i="7" s="1"/>
  <c r="L1305" i="7"/>
  <c r="M1305" i="7" s="1"/>
  <c r="N1305" i="7" s="1"/>
  <c r="O1305" i="7" l="1"/>
  <c r="T1306" i="7" s="1"/>
  <c r="Q1306" i="7"/>
  <c r="K1305" i="7"/>
  <c r="S1306" i="7" s="1"/>
  <c r="P1306" i="7"/>
  <c r="G1306" i="7" l="1"/>
  <c r="R1306" i="7"/>
  <c r="L1306" i="7" l="1"/>
  <c r="M1306" i="7" s="1"/>
  <c r="N1306" i="7" s="1"/>
  <c r="H1306" i="7"/>
  <c r="I1306" i="7" s="1"/>
  <c r="J1306" i="7" s="1"/>
  <c r="P1307" i="7" l="1"/>
  <c r="K1306" i="7"/>
  <c r="S1307" i="7" s="1"/>
  <c r="O1306" i="7"/>
  <c r="T1307" i="7" s="1"/>
  <c r="Q1307" i="7"/>
  <c r="G1307" i="7" l="1"/>
  <c r="R1307" i="7"/>
  <c r="L1307" i="7" l="1"/>
  <c r="M1307" i="7" s="1"/>
  <c r="N1307" i="7" s="1"/>
  <c r="H1307" i="7"/>
  <c r="I1307" i="7" s="1"/>
  <c r="J1307" i="7" s="1"/>
  <c r="K1307" i="7" l="1"/>
  <c r="S1308" i="7" s="1"/>
  <c r="P1308" i="7"/>
  <c r="Q1308" i="7"/>
  <c r="O1307" i="7"/>
  <c r="T1308" i="7" s="1"/>
  <c r="G1308" i="7" l="1"/>
  <c r="R1308" i="7"/>
  <c r="H1308" i="7" l="1"/>
  <c r="I1308" i="7" s="1"/>
  <c r="J1308" i="7" s="1"/>
  <c r="L1308" i="7"/>
  <c r="M1308" i="7" s="1"/>
  <c r="N1308" i="7" s="1"/>
  <c r="O1308" i="7" l="1"/>
  <c r="T1309" i="7" s="1"/>
  <c r="Q1309" i="7"/>
  <c r="P1309" i="7"/>
  <c r="K1308" i="7"/>
  <c r="S1309" i="7" s="1"/>
  <c r="G1309" i="7" l="1"/>
  <c r="R1309" i="7"/>
  <c r="L1309" i="7" l="1"/>
  <c r="M1309" i="7" s="1"/>
  <c r="N1309" i="7" s="1"/>
  <c r="H1309" i="7"/>
  <c r="I1309" i="7" s="1"/>
  <c r="J1309" i="7" s="1"/>
  <c r="K1309" i="7" l="1"/>
  <c r="S1310" i="7" s="1"/>
  <c r="P1310" i="7"/>
  <c r="O1309" i="7"/>
  <c r="T1310" i="7" s="1"/>
  <c r="Q1310" i="7"/>
  <c r="R1310" i="7" l="1"/>
  <c r="G1310" i="7"/>
  <c r="H1310" i="7" l="1"/>
  <c r="I1310" i="7" s="1"/>
  <c r="J1310" i="7" s="1"/>
  <c r="L1310" i="7"/>
  <c r="M1310" i="7" s="1"/>
  <c r="N1310" i="7" s="1"/>
  <c r="O1310" i="7" l="1"/>
  <c r="T1311" i="7" s="1"/>
  <c r="Q1311" i="7"/>
  <c r="K1310" i="7"/>
  <c r="S1311" i="7" s="1"/>
  <c r="P1311" i="7"/>
  <c r="R1311" i="7" l="1"/>
  <c r="G1311" i="7"/>
  <c r="H1311" i="7" l="1"/>
  <c r="I1311" i="7" s="1"/>
  <c r="J1311" i="7" s="1"/>
  <c r="L1311" i="7"/>
  <c r="M1311" i="7" s="1"/>
  <c r="N1311" i="7" s="1"/>
  <c r="O1311" i="7" l="1"/>
  <c r="T1312" i="7" s="1"/>
  <c r="Q1312" i="7"/>
  <c r="P1312" i="7"/>
  <c r="K1311" i="7"/>
  <c r="S1312" i="7" s="1"/>
  <c r="G1312" i="7" l="1"/>
  <c r="R1312" i="7"/>
  <c r="H1312" i="7" l="1"/>
  <c r="I1312" i="7" s="1"/>
  <c r="J1312" i="7" s="1"/>
  <c r="L1312" i="7"/>
  <c r="M1312" i="7" s="1"/>
  <c r="N1312" i="7" s="1"/>
  <c r="O1312" i="7" l="1"/>
  <c r="T1313" i="7" s="1"/>
  <c r="Q1313" i="7"/>
  <c r="K1312" i="7"/>
  <c r="S1313" i="7" s="1"/>
  <c r="P1313" i="7"/>
  <c r="R1313" i="7" l="1"/>
  <c r="G1313" i="7"/>
  <c r="H1313" i="7" l="1"/>
  <c r="I1313" i="7" s="1"/>
  <c r="J1313" i="7" s="1"/>
  <c r="L1313" i="7"/>
  <c r="M1313" i="7" s="1"/>
  <c r="N1313" i="7" s="1"/>
  <c r="O1313" i="7" l="1"/>
  <c r="T1314" i="7" s="1"/>
  <c r="Q1314" i="7"/>
  <c r="K1313" i="7"/>
  <c r="S1314" i="7" s="1"/>
  <c r="P1314" i="7"/>
  <c r="G1314" i="7" l="1"/>
  <c r="R1314" i="7"/>
  <c r="L1314" i="7" l="1"/>
  <c r="M1314" i="7" s="1"/>
  <c r="N1314" i="7" s="1"/>
  <c r="H1314" i="7"/>
  <c r="I1314" i="7" s="1"/>
  <c r="J1314" i="7" s="1"/>
  <c r="P1315" i="7" l="1"/>
  <c r="K1314" i="7"/>
  <c r="S1315" i="7" s="1"/>
  <c r="Q1315" i="7"/>
  <c r="O1314" i="7"/>
  <c r="T1315" i="7" s="1"/>
  <c r="R1315" i="7" l="1"/>
  <c r="G1315" i="7"/>
  <c r="L1315" i="7" l="1"/>
  <c r="M1315" i="7" s="1"/>
  <c r="N1315" i="7" s="1"/>
  <c r="H1315" i="7"/>
  <c r="I1315" i="7" s="1"/>
  <c r="J1315" i="7" s="1"/>
  <c r="K1315" i="7" l="1"/>
  <c r="S1316" i="7" s="1"/>
  <c r="P1316" i="7"/>
  <c r="O1315" i="7"/>
  <c r="T1316" i="7" s="1"/>
  <c r="Q1316" i="7"/>
  <c r="R1316" i="7" l="1"/>
  <c r="G1316" i="7"/>
  <c r="L1316" i="7" l="1"/>
  <c r="M1316" i="7" s="1"/>
  <c r="N1316" i="7" s="1"/>
  <c r="H1316" i="7"/>
  <c r="I1316" i="7" s="1"/>
  <c r="J1316" i="7" s="1"/>
  <c r="P1317" i="7" l="1"/>
  <c r="K1316" i="7"/>
  <c r="S1317" i="7" s="1"/>
  <c r="Q1317" i="7"/>
  <c r="O1316" i="7"/>
  <c r="T1317" i="7" s="1"/>
  <c r="R1317" i="7" l="1"/>
  <c r="G1317" i="7"/>
  <c r="L1317" i="7" l="1"/>
  <c r="M1317" i="7" s="1"/>
  <c r="N1317" i="7" s="1"/>
  <c r="H1317" i="7"/>
  <c r="I1317" i="7" s="1"/>
  <c r="J1317" i="7" s="1"/>
  <c r="P1318" i="7" l="1"/>
  <c r="K1317" i="7"/>
  <c r="S1318" i="7" s="1"/>
  <c r="O1317" i="7"/>
  <c r="T1318" i="7" s="1"/>
  <c r="Q1318" i="7"/>
  <c r="R1318" i="7" l="1"/>
  <c r="G1318" i="7"/>
  <c r="L1318" i="7" l="1"/>
  <c r="M1318" i="7" s="1"/>
  <c r="N1318" i="7" s="1"/>
  <c r="H1318" i="7"/>
  <c r="I1318" i="7" s="1"/>
  <c r="J1318" i="7" s="1"/>
  <c r="K1318" i="7" l="1"/>
  <c r="S1319" i="7" s="1"/>
  <c r="P1319" i="7"/>
  <c r="O1318" i="7"/>
  <c r="T1319" i="7" s="1"/>
  <c r="Q1319" i="7"/>
  <c r="G1319" i="7" l="1"/>
  <c r="R1319" i="7"/>
  <c r="H1319" i="7" l="1"/>
  <c r="I1319" i="7" s="1"/>
  <c r="J1319" i="7" s="1"/>
  <c r="L1319" i="7"/>
  <c r="M1319" i="7" s="1"/>
  <c r="N1319" i="7" s="1"/>
  <c r="O1319" i="7" l="1"/>
  <c r="T1320" i="7" s="1"/>
  <c r="Q1320" i="7"/>
  <c r="P1320" i="7"/>
  <c r="K1319" i="7"/>
  <c r="S1320" i="7" s="1"/>
  <c r="G1320" i="7" l="1"/>
  <c r="R1320" i="7"/>
  <c r="H1320" i="7" l="1"/>
  <c r="I1320" i="7" s="1"/>
  <c r="J1320" i="7" s="1"/>
  <c r="L1320" i="7"/>
  <c r="M1320" i="7" s="1"/>
  <c r="N1320" i="7" s="1"/>
  <c r="O1320" i="7" l="1"/>
  <c r="T1321" i="7" s="1"/>
  <c r="Q1321" i="7"/>
  <c r="P1321" i="7"/>
  <c r="K1320" i="7"/>
  <c r="S1321" i="7" s="1"/>
  <c r="R1321" i="7" l="1"/>
  <c r="G1321" i="7"/>
  <c r="L1321" i="7" l="1"/>
  <c r="M1321" i="7" s="1"/>
  <c r="N1321" i="7" s="1"/>
  <c r="H1321" i="7"/>
  <c r="I1321" i="7" s="1"/>
  <c r="J1321" i="7" s="1"/>
  <c r="K1321" i="7" l="1"/>
  <c r="S1322" i="7" s="1"/>
  <c r="P1322" i="7"/>
  <c r="O1321" i="7"/>
  <c r="T1322" i="7" s="1"/>
  <c r="Q1322" i="7"/>
  <c r="R1322" i="7" l="1"/>
  <c r="G1322" i="7"/>
  <c r="H1322" i="7" l="1"/>
  <c r="I1322" i="7" s="1"/>
  <c r="J1322" i="7" s="1"/>
  <c r="L1322" i="7"/>
  <c r="M1322" i="7" s="1"/>
  <c r="N1322" i="7" s="1"/>
  <c r="O1322" i="7" l="1"/>
  <c r="T1323" i="7" s="1"/>
  <c r="Q1323" i="7"/>
  <c r="P1323" i="7"/>
  <c r="K1322" i="7"/>
  <c r="S1323" i="7" s="1"/>
  <c r="G1323" i="7" l="1"/>
  <c r="R1323" i="7"/>
  <c r="H1323" i="7" l="1"/>
  <c r="I1323" i="7" s="1"/>
  <c r="J1323" i="7" s="1"/>
  <c r="L1323" i="7"/>
  <c r="M1323" i="7" s="1"/>
  <c r="N1323" i="7" s="1"/>
  <c r="Q1324" i="7" l="1"/>
  <c r="O1323" i="7"/>
  <c r="T1324" i="7" s="1"/>
  <c r="K1323" i="7"/>
  <c r="S1324" i="7" s="1"/>
  <c r="P1324" i="7"/>
  <c r="R1324" i="7" l="1"/>
  <c r="G1324" i="7"/>
  <c r="L1324" i="7" l="1"/>
  <c r="M1324" i="7" s="1"/>
  <c r="N1324" i="7" s="1"/>
  <c r="H1324" i="7"/>
  <c r="I1324" i="7" s="1"/>
  <c r="J1324" i="7" s="1"/>
  <c r="K1324" i="7" l="1"/>
  <c r="S1325" i="7" s="1"/>
  <c r="P1325" i="7"/>
  <c r="O1324" i="7"/>
  <c r="T1325" i="7" s="1"/>
  <c r="Q1325" i="7"/>
  <c r="G1325" i="7" l="1"/>
  <c r="R1325" i="7"/>
  <c r="L1325" i="7" l="1"/>
  <c r="M1325" i="7" s="1"/>
  <c r="N1325" i="7" s="1"/>
  <c r="H1325" i="7"/>
  <c r="I1325" i="7" s="1"/>
  <c r="J1325" i="7" s="1"/>
  <c r="K1325" i="7" l="1"/>
  <c r="S1326" i="7" s="1"/>
  <c r="P1326" i="7"/>
  <c r="Q1326" i="7"/>
  <c r="O1325" i="7"/>
  <c r="T1326" i="7" s="1"/>
  <c r="R1326" i="7" l="1"/>
  <c r="G1326" i="7"/>
  <c r="H1326" i="7" l="1"/>
  <c r="I1326" i="7" s="1"/>
  <c r="J1326" i="7" s="1"/>
  <c r="L1326" i="7"/>
  <c r="M1326" i="7" s="1"/>
  <c r="N1326" i="7" s="1"/>
  <c r="O1326" i="7" l="1"/>
  <c r="T1327" i="7" s="1"/>
  <c r="Q1327" i="7"/>
  <c r="K1326" i="7"/>
  <c r="S1327" i="7" s="1"/>
  <c r="P1327" i="7"/>
  <c r="R1327" i="7" l="1"/>
  <c r="G1327" i="7"/>
  <c r="L1327" i="7" l="1"/>
  <c r="M1327" i="7" s="1"/>
  <c r="N1327" i="7" s="1"/>
  <c r="H1327" i="7"/>
  <c r="I1327" i="7" s="1"/>
  <c r="J1327" i="7" s="1"/>
  <c r="P1328" i="7" l="1"/>
  <c r="K1327" i="7"/>
  <c r="S1328" i="7" s="1"/>
  <c r="O1327" i="7"/>
  <c r="T1328" i="7" s="1"/>
  <c r="Q1328" i="7"/>
  <c r="G1328" i="7" l="1"/>
  <c r="R1328" i="7"/>
  <c r="L1328" i="7" l="1"/>
  <c r="M1328" i="7" s="1"/>
  <c r="N1328" i="7" s="1"/>
  <c r="H1328" i="7"/>
  <c r="I1328" i="7" s="1"/>
  <c r="J1328" i="7" s="1"/>
  <c r="K1328" i="7" l="1"/>
  <c r="S1329" i="7" s="1"/>
  <c r="P1329" i="7"/>
  <c r="Q1329" i="7"/>
  <c r="O1328" i="7"/>
  <c r="T1329" i="7" s="1"/>
  <c r="G1329" i="7" l="1"/>
  <c r="R1329" i="7"/>
  <c r="H1329" i="7" l="1"/>
  <c r="I1329" i="7" s="1"/>
  <c r="J1329" i="7" s="1"/>
  <c r="L1329" i="7"/>
  <c r="M1329" i="7" s="1"/>
  <c r="N1329" i="7" s="1"/>
  <c r="Q1330" i="7" l="1"/>
  <c r="O1329" i="7"/>
  <c r="T1330" i="7" s="1"/>
  <c r="P1330" i="7"/>
  <c r="K1329" i="7"/>
  <c r="S1330" i="7" s="1"/>
  <c r="R1330" i="7" l="1"/>
  <c r="G1330" i="7"/>
  <c r="L1330" i="7" l="1"/>
  <c r="M1330" i="7" s="1"/>
  <c r="N1330" i="7" s="1"/>
  <c r="H1330" i="7"/>
  <c r="I1330" i="7" s="1"/>
  <c r="J1330" i="7" s="1"/>
  <c r="K1330" i="7" l="1"/>
  <c r="S1331" i="7" s="1"/>
  <c r="P1331" i="7"/>
  <c r="O1330" i="7"/>
  <c r="T1331" i="7" s="1"/>
  <c r="Q1331" i="7"/>
  <c r="G1331" i="7" l="1"/>
  <c r="R1331" i="7"/>
  <c r="L1331" i="7" l="1"/>
  <c r="M1331" i="7" s="1"/>
  <c r="N1331" i="7" s="1"/>
  <c r="H1331" i="7"/>
  <c r="I1331" i="7" s="1"/>
  <c r="J1331" i="7" s="1"/>
  <c r="P1332" i="7" l="1"/>
  <c r="K1331" i="7"/>
  <c r="S1332" i="7" s="1"/>
  <c r="Q1332" i="7"/>
  <c r="O1331" i="7"/>
  <c r="T1332" i="7" s="1"/>
  <c r="R1332" i="7" l="1"/>
  <c r="G1332" i="7"/>
  <c r="L1332" i="7" l="1"/>
  <c r="M1332" i="7" s="1"/>
  <c r="N1332" i="7" s="1"/>
  <c r="H1332" i="7"/>
  <c r="I1332" i="7" s="1"/>
  <c r="J1332" i="7" s="1"/>
  <c r="P1333" i="7" l="1"/>
  <c r="K1332" i="7"/>
  <c r="S1333" i="7" s="1"/>
  <c r="Q1333" i="7"/>
  <c r="O1332" i="7"/>
  <c r="T1333" i="7" s="1"/>
  <c r="R1333" i="7" l="1"/>
  <c r="G1333" i="7"/>
  <c r="L1333" i="7" l="1"/>
  <c r="M1333" i="7" s="1"/>
  <c r="N1333" i="7" s="1"/>
  <c r="H1333" i="7"/>
  <c r="I1333" i="7" s="1"/>
  <c r="J1333" i="7" s="1"/>
  <c r="K1333" i="7" l="1"/>
  <c r="S1334" i="7" s="1"/>
  <c r="P1334" i="7"/>
  <c r="Q1334" i="7"/>
  <c r="O1333" i="7"/>
  <c r="T1334" i="7" s="1"/>
  <c r="R1334" i="7" l="1"/>
  <c r="G1334" i="7"/>
  <c r="L1334" i="7" l="1"/>
  <c r="M1334" i="7" s="1"/>
  <c r="N1334" i="7" s="1"/>
  <c r="H1334" i="7"/>
  <c r="I1334" i="7" s="1"/>
  <c r="J1334" i="7" s="1"/>
  <c r="K1334" i="7" l="1"/>
  <c r="S1335" i="7" s="1"/>
  <c r="P1335" i="7"/>
  <c r="O1334" i="7"/>
  <c r="T1335" i="7" s="1"/>
  <c r="Q1335" i="7"/>
  <c r="R1335" i="7" l="1"/>
  <c r="G1335" i="7"/>
  <c r="H1335" i="7" l="1"/>
  <c r="I1335" i="7" s="1"/>
  <c r="J1335" i="7" s="1"/>
  <c r="L1335" i="7"/>
  <c r="M1335" i="7" s="1"/>
  <c r="N1335" i="7" s="1"/>
  <c r="O1335" i="7" l="1"/>
  <c r="T1336" i="7" s="1"/>
  <c r="Q1336" i="7"/>
  <c r="P1336" i="7"/>
  <c r="K1335" i="7"/>
  <c r="S1336" i="7" s="1"/>
  <c r="G1336" i="7" l="1"/>
  <c r="R1336" i="7"/>
  <c r="H1336" i="7" l="1"/>
  <c r="I1336" i="7" s="1"/>
  <c r="J1336" i="7" s="1"/>
  <c r="L1336" i="7"/>
  <c r="M1336" i="7" s="1"/>
  <c r="N1336" i="7" s="1"/>
  <c r="O1336" i="7" l="1"/>
  <c r="T1337" i="7" s="1"/>
  <c r="Q1337" i="7"/>
  <c r="K1336" i="7"/>
  <c r="S1337" i="7" s="1"/>
  <c r="P1337" i="7"/>
  <c r="G1337" i="7" l="1"/>
  <c r="R1337" i="7"/>
  <c r="H1337" i="7" l="1"/>
  <c r="I1337" i="7" s="1"/>
  <c r="J1337" i="7" s="1"/>
  <c r="L1337" i="7"/>
  <c r="M1337" i="7" s="1"/>
  <c r="N1337" i="7" s="1"/>
  <c r="O1337" i="7" l="1"/>
  <c r="T1338" i="7" s="1"/>
  <c r="Q1338" i="7"/>
  <c r="P1338" i="7"/>
  <c r="K1337" i="7"/>
  <c r="S1338" i="7" s="1"/>
  <c r="R1338" i="7" l="1"/>
  <c r="G1338" i="7"/>
  <c r="H1338" i="7" l="1"/>
  <c r="I1338" i="7" s="1"/>
  <c r="J1338" i="7" s="1"/>
  <c r="L1338" i="7"/>
  <c r="M1338" i="7" s="1"/>
  <c r="N1338" i="7" s="1"/>
  <c r="O1338" i="7" l="1"/>
  <c r="T1339" i="7" s="1"/>
  <c r="Q1339" i="7"/>
  <c r="P1339" i="7"/>
  <c r="K1338" i="7"/>
  <c r="S1339" i="7" s="1"/>
  <c r="R1339" i="7" l="1"/>
  <c r="G1339" i="7"/>
  <c r="L1339" i="7" l="1"/>
  <c r="M1339" i="7" s="1"/>
  <c r="N1339" i="7" s="1"/>
  <c r="H1339" i="7"/>
  <c r="I1339" i="7" s="1"/>
  <c r="J1339" i="7" s="1"/>
  <c r="P1340" i="7" l="1"/>
  <c r="K1339" i="7"/>
  <c r="S1340" i="7" s="1"/>
  <c r="O1339" i="7"/>
  <c r="T1340" i="7" s="1"/>
  <c r="Q1340" i="7"/>
  <c r="G1340" i="7" l="1"/>
  <c r="R1340" i="7"/>
  <c r="H1340" i="7" l="1"/>
  <c r="I1340" i="7" s="1"/>
  <c r="J1340" i="7" s="1"/>
  <c r="L1340" i="7"/>
  <c r="M1340" i="7" s="1"/>
  <c r="N1340" i="7" s="1"/>
  <c r="O1340" i="7" l="1"/>
  <c r="T1341" i="7" s="1"/>
  <c r="Q1341" i="7"/>
  <c r="K1340" i="7"/>
  <c r="S1341" i="7" s="1"/>
  <c r="P1341" i="7"/>
  <c r="R1341" i="7" l="1"/>
  <c r="G1341" i="7"/>
  <c r="L1341" i="7" l="1"/>
  <c r="M1341" i="7" s="1"/>
  <c r="N1341" i="7" s="1"/>
  <c r="H1341" i="7"/>
  <c r="I1341" i="7" s="1"/>
  <c r="J1341" i="7" s="1"/>
  <c r="P1342" i="7" l="1"/>
  <c r="K1341" i="7"/>
  <c r="S1342" i="7" s="1"/>
  <c r="O1341" i="7"/>
  <c r="T1342" i="7" s="1"/>
  <c r="Q1342" i="7"/>
  <c r="R1342" i="7" l="1"/>
  <c r="G1342" i="7"/>
  <c r="H1342" i="7" l="1"/>
  <c r="I1342" i="7" s="1"/>
  <c r="J1342" i="7" s="1"/>
  <c r="L1342" i="7"/>
  <c r="M1342" i="7" s="1"/>
  <c r="N1342" i="7" s="1"/>
  <c r="O1342" i="7" l="1"/>
  <c r="T1343" i="7" s="1"/>
  <c r="Q1343" i="7"/>
  <c r="K1342" i="7"/>
  <c r="S1343" i="7" s="1"/>
  <c r="P1343" i="7"/>
  <c r="R1343" i="7" l="1"/>
  <c r="G1343" i="7"/>
  <c r="L1343" i="7" l="1"/>
  <c r="M1343" i="7" s="1"/>
  <c r="N1343" i="7" s="1"/>
  <c r="H1343" i="7"/>
  <c r="I1343" i="7" s="1"/>
  <c r="J1343" i="7" s="1"/>
  <c r="P1344" i="7" l="1"/>
  <c r="K1343" i="7"/>
  <c r="S1344" i="7" s="1"/>
  <c r="O1343" i="7"/>
  <c r="T1344" i="7" s="1"/>
  <c r="Q1344" i="7"/>
  <c r="R1344" i="7" l="1"/>
  <c r="G1344" i="7"/>
  <c r="L1344" i="7" l="1"/>
  <c r="M1344" i="7" s="1"/>
  <c r="N1344" i="7" s="1"/>
  <c r="H1344" i="7"/>
  <c r="I1344" i="7" s="1"/>
  <c r="J1344" i="7" s="1"/>
  <c r="K1344" i="7" l="1"/>
  <c r="S1345" i="7" s="1"/>
  <c r="P1345" i="7"/>
  <c r="Q1345" i="7"/>
  <c r="O1344" i="7"/>
  <c r="T1345" i="7" s="1"/>
  <c r="G1345" i="7" l="1"/>
  <c r="R1345" i="7"/>
  <c r="H1345" i="7" l="1"/>
  <c r="I1345" i="7" s="1"/>
  <c r="J1345" i="7" s="1"/>
  <c r="L1345" i="7"/>
  <c r="M1345" i="7" s="1"/>
  <c r="N1345" i="7" s="1"/>
  <c r="O1345" i="7" l="1"/>
  <c r="T1346" i="7" s="1"/>
  <c r="Q1346" i="7"/>
  <c r="P1346" i="7"/>
  <c r="K1345" i="7"/>
  <c r="S1346" i="7" s="1"/>
  <c r="R1346" i="7" l="1"/>
  <c r="G1346" i="7"/>
  <c r="L1346" i="7" l="1"/>
  <c r="M1346" i="7" s="1"/>
  <c r="N1346" i="7" s="1"/>
  <c r="H1346" i="7"/>
  <c r="I1346" i="7" s="1"/>
  <c r="J1346" i="7" s="1"/>
  <c r="K1346" i="7" l="1"/>
  <c r="S1347" i="7" s="1"/>
  <c r="P1347" i="7"/>
  <c r="Q1347" i="7"/>
  <c r="O1346" i="7"/>
  <c r="T1347" i="7" s="1"/>
  <c r="R1347" i="7" l="1"/>
  <c r="G1347" i="7"/>
  <c r="L1347" i="7" l="1"/>
  <c r="M1347" i="7" s="1"/>
  <c r="N1347" i="7" s="1"/>
  <c r="H1347" i="7"/>
  <c r="I1347" i="7" s="1"/>
  <c r="J1347" i="7" s="1"/>
  <c r="P1348" i="7" l="1"/>
  <c r="K1347" i="7"/>
  <c r="S1348" i="7" s="1"/>
  <c r="O1347" i="7"/>
  <c r="T1348" i="7" s="1"/>
  <c r="Q1348" i="7"/>
  <c r="R1348" i="7" l="1"/>
  <c r="G1348" i="7"/>
  <c r="H1348" i="7" l="1"/>
  <c r="I1348" i="7" s="1"/>
  <c r="J1348" i="7" s="1"/>
  <c r="L1348" i="7"/>
  <c r="M1348" i="7" s="1"/>
  <c r="N1348" i="7" s="1"/>
  <c r="O1348" i="7" l="1"/>
  <c r="T1349" i="7" s="1"/>
  <c r="Q1349" i="7"/>
  <c r="K1348" i="7"/>
  <c r="S1349" i="7" s="1"/>
  <c r="P1349" i="7"/>
  <c r="R1349" i="7" l="1"/>
  <c r="G1349" i="7"/>
  <c r="H1349" i="7" l="1"/>
  <c r="I1349" i="7" s="1"/>
  <c r="J1349" i="7" s="1"/>
  <c r="L1349" i="7"/>
  <c r="M1349" i="7" s="1"/>
  <c r="N1349" i="7" s="1"/>
  <c r="Q1350" i="7" l="1"/>
  <c r="O1349" i="7"/>
  <c r="T1350" i="7" s="1"/>
  <c r="K1349" i="7"/>
  <c r="S1350" i="7" s="1"/>
  <c r="P1350" i="7"/>
  <c r="R1350" i="7" l="1"/>
  <c r="G1350" i="7"/>
  <c r="H1350" i="7" l="1"/>
  <c r="I1350" i="7" s="1"/>
  <c r="J1350" i="7" s="1"/>
  <c r="L1350" i="7"/>
  <c r="M1350" i="7" s="1"/>
  <c r="N1350" i="7" s="1"/>
  <c r="O1350" i="7" l="1"/>
  <c r="T1351" i="7" s="1"/>
  <c r="Q1351" i="7"/>
  <c r="P1351" i="7"/>
  <c r="K1350" i="7"/>
  <c r="S1351" i="7" s="1"/>
  <c r="G1351" i="7" l="1"/>
  <c r="R1351" i="7"/>
  <c r="L1351" i="7" l="1"/>
  <c r="M1351" i="7" s="1"/>
  <c r="N1351" i="7" s="1"/>
  <c r="H1351" i="7"/>
  <c r="I1351" i="7" s="1"/>
  <c r="J1351" i="7" s="1"/>
  <c r="K1351" i="7" l="1"/>
  <c r="S1352" i="7" s="1"/>
  <c r="P1352" i="7"/>
  <c r="O1351" i="7"/>
  <c r="T1352" i="7" s="1"/>
  <c r="Q1352" i="7"/>
  <c r="R1352" i="7" l="1"/>
  <c r="G1352" i="7"/>
  <c r="L1352" i="7" l="1"/>
  <c r="M1352" i="7" s="1"/>
  <c r="N1352" i="7" s="1"/>
  <c r="H1352" i="7"/>
  <c r="I1352" i="7" s="1"/>
  <c r="J1352" i="7" s="1"/>
  <c r="P1353" i="7" l="1"/>
  <c r="K1352" i="7"/>
  <c r="S1353" i="7" s="1"/>
  <c r="O1352" i="7"/>
  <c r="T1353" i="7" s="1"/>
  <c r="Q1353" i="7"/>
  <c r="R1353" i="7" l="1"/>
  <c r="G1353" i="7"/>
  <c r="H1353" i="7" l="1"/>
  <c r="I1353" i="7" s="1"/>
  <c r="J1353" i="7" s="1"/>
  <c r="L1353" i="7"/>
  <c r="M1353" i="7" s="1"/>
  <c r="N1353" i="7" s="1"/>
  <c r="Q1354" i="7" l="1"/>
  <c r="O1353" i="7"/>
  <c r="T1354" i="7" s="1"/>
  <c r="P1354" i="7"/>
  <c r="K1353" i="7"/>
  <c r="S1354" i="7" s="1"/>
  <c r="R1354" i="7" l="1"/>
  <c r="G1354" i="7"/>
  <c r="L1354" i="7" l="1"/>
  <c r="M1354" i="7" s="1"/>
  <c r="N1354" i="7" s="1"/>
  <c r="H1354" i="7"/>
  <c r="I1354" i="7" s="1"/>
  <c r="J1354" i="7" s="1"/>
  <c r="K1354" i="7" l="1"/>
  <c r="S1355" i="7" s="1"/>
  <c r="P1355" i="7"/>
  <c r="O1354" i="7"/>
  <c r="T1355" i="7" s="1"/>
  <c r="Q1355" i="7"/>
  <c r="G1355" i="7" l="1"/>
  <c r="R1355" i="7"/>
  <c r="H1355" i="7" l="1"/>
  <c r="I1355" i="7" s="1"/>
  <c r="J1355" i="7" s="1"/>
  <c r="L1355" i="7"/>
  <c r="M1355" i="7" s="1"/>
  <c r="N1355" i="7" s="1"/>
  <c r="O1355" i="7" l="1"/>
  <c r="T1356" i="7" s="1"/>
  <c r="Q1356" i="7"/>
  <c r="P1356" i="7"/>
  <c r="K1355" i="7"/>
  <c r="S1356" i="7" s="1"/>
  <c r="G1356" i="7" l="1"/>
  <c r="R1356" i="7"/>
  <c r="L1356" i="7" l="1"/>
  <c r="M1356" i="7" s="1"/>
  <c r="N1356" i="7" s="1"/>
  <c r="H1356" i="7"/>
  <c r="I1356" i="7" s="1"/>
  <c r="J1356" i="7" s="1"/>
  <c r="K1356" i="7" l="1"/>
  <c r="S1357" i="7" s="1"/>
  <c r="P1357" i="7"/>
  <c r="Q1357" i="7"/>
  <c r="O1356" i="7"/>
  <c r="T1357" i="7" s="1"/>
  <c r="R1357" i="7" l="1"/>
  <c r="G1357" i="7"/>
  <c r="H1357" i="7" l="1"/>
  <c r="I1357" i="7" s="1"/>
  <c r="J1357" i="7" s="1"/>
  <c r="L1357" i="7"/>
  <c r="M1357" i="7" s="1"/>
  <c r="N1357" i="7" s="1"/>
  <c r="O1357" i="7" l="1"/>
  <c r="T1358" i="7" s="1"/>
  <c r="Q1358" i="7"/>
  <c r="P1358" i="7"/>
  <c r="K1357" i="7"/>
  <c r="S1358" i="7" s="1"/>
  <c r="R1358" i="7" l="1"/>
  <c r="G1358" i="7"/>
  <c r="L1358" i="7" l="1"/>
  <c r="M1358" i="7" s="1"/>
  <c r="N1358" i="7" s="1"/>
  <c r="H1358" i="7"/>
  <c r="I1358" i="7" s="1"/>
  <c r="J1358" i="7" s="1"/>
  <c r="P1359" i="7" l="1"/>
  <c r="K1358" i="7"/>
  <c r="S1359" i="7" s="1"/>
  <c r="O1358" i="7"/>
  <c r="T1359" i="7" s="1"/>
  <c r="Q1359" i="7"/>
  <c r="R1359" i="7" l="1"/>
  <c r="G1359" i="7"/>
  <c r="L1359" i="7" l="1"/>
  <c r="M1359" i="7" s="1"/>
  <c r="N1359" i="7" s="1"/>
  <c r="H1359" i="7"/>
  <c r="I1359" i="7" s="1"/>
  <c r="J1359" i="7" s="1"/>
  <c r="P1360" i="7" l="1"/>
  <c r="K1359" i="7"/>
  <c r="S1360" i="7" s="1"/>
  <c r="Q1360" i="7"/>
  <c r="O1359" i="7"/>
  <c r="T1360" i="7" s="1"/>
  <c r="G1360" i="7" l="1"/>
  <c r="R1360" i="7"/>
  <c r="L1360" i="7" l="1"/>
  <c r="M1360" i="7" s="1"/>
  <c r="N1360" i="7" s="1"/>
  <c r="H1360" i="7"/>
  <c r="I1360" i="7" s="1"/>
  <c r="J1360" i="7" s="1"/>
  <c r="P1361" i="7" l="1"/>
  <c r="K1360" i="7"/>
  <c r="S1361" i="7" s="1"/>
  <c r="O1360" i="7"/>
  <c r="T1361" i="7" s="1"/>
  <c r="Q1361" i="7"/>
  <c r="R1361" i="7" l="1"/>
  <c r="G1361" i="7"/>
  <c r="L1361" i="7" l="1"/>
  <c r="M1361" i="7" s="1"/>
  <c r="N1361" i="7" s="1"/>
  <c r="H1361" i="7"/>
  <c r="I1361" i="7" s="1"/>
  <c r="J1361" i="7" s="1"/>
  <c r="P1362" i="7" l="1"/>
  <c r="K1361" i="7"/>
  <c r="S1362" i="7" s="1"/>
  <c r="Q1362" i="7"/>
  <c r="O1361" i="7"/>
  <c r="T1362" i="7" s="1"/>
  <c r="R1362" i="7" l="1"/>
  <c r="G1362" i="7"/>
  <c r="L1362" i="7" l="1"/>
  <c r="M1362" i="7" s="1"/>
  <c r="N1362" i="7" s="1"/>
  <c r="H1362" i="7"/>
  <c r="I1362" i="7" s="1"/>
  <c r="J1362" i="7" s="1"/>
  <c r="K1362" i="7" l="1"/>
  <c r="S1363" i="7" s="1"/>
  <c r="P1363" i="7"/>
  <c r="O1362" i="7"/>
  <c r="T1363" i="7" s="1"/>
  <c r="Q1363" i="7"/>
  <c r="R1363" i="7" l="1"/>
  <c r="G1363" i="7"/>
  <c r="L1363" i="7" l="1"/>
  <c r="M1363" i="7" s="1"/>
  <c r="N1363" i="7" s="1"/>
  <c r="H1363" i="7"/>
  <c r="I1363" i="7" s="1"/>
  <c r="J1363" i="7" s="1"/>
  <c r="P1364" i="7" l="1"/>
  <c r="K1363" i="7"/>
  <c r="S1364" i="7" s="1"/>
  <c r="O1363" i="7"/>
  <c r="T1364" i="7" s="1"/>
  <c r="Q1364" i="7"/>
  <c r="R1364" i="7" l="1"/>
  <c r="G1364" i="7"/>
  <c r="H1364" i="7" l="1"/>
  <c r="I1364" i="7" s="1"/>
  <c r="J1364" i="7" s="1"/>
  <c r="L1364" i="7"/>
  <c r="M1364" i="7" s="1"/>
  <c r="N1364" i="7" s="1"/>
  <c r="O1364" i="7" l="1"/>
  <c r="T1365" i="7" s="1"/>
  <c r="Q1365" i="7"/>
  <c r="P1365" i="7"/>
  <c r="K1364" i="7"/>
  <c r="S1365" i="7" s="1"/>
  <c r="G1365" i="7" l="1"/>
  <c r="R1365" i="7"/>
  <c r="H1365" i="7" l="1"/>
  <c r="I1365" i="7" s="1"/>
  <c r="J1365" i="7" s="1"/>
  <c r="L1365" i="7"/>
  <c r="M1365" i="7" s="1"/>
  <c r="N1365" i="7" s="1"/>
  <c r="O1365" i="7" l="1"/>
  <c r="T1366" i="7" s="1"/>
  <c r="Q1366" i="7"/>
  <c r="P1366" i="7"/>
  <c r="K1365" i="7"/>
  <c r="S1366" i="7" s="1"/>
  <c r="R1366" i="7" l="1"/>
  <c r="G1366" i="7"/>
  <c r="H1366" i="7" l="1"/>
  <c r="I1366" i="7" s="1"/>
  <c r="J1366" i="7" s="1"/>
  <c r="L1366" i="7"/>
  <c r="M1366" i="7" s="1"/>
  <c r="N1366" i="7" s="1"/>
  <c r="O1366" i="7" l="1"/>
  <c r="T1367" i="7" s="1"/>
  <c r="Q1367" i="7"/>
  <c r="K1366" i="7"/>
  <c r="S1367" i="7" s="1"/>
  <c r="P1367" i="7"/>
  <c r="R1367" i="7" l="1"/>
  <c r="G1367" i="7"/>
  <c r="L1367" i="7" l="1"/>
  <c r="M1367" i="7" s="1"/>
  <c r="N1367" i="7" s="1"/>
  <c r="H1367" i="7"/>
  <c r="I1367" i="7" s="1"/>
  <c r="J1367" i="7" s="1"/>
  <c r="K1367" i="7" l="1"/>
  <c r="S1368" i="7" s="1"/>
  <c r="P1368" i="7"/>
  <c r="O1367" i="7"/>
  <c r="T1368" i="7" s="1"/>
  <c r="Q1368" i="7"/>
  <c r="R1368" i="7" l="1"/>
  <c r="G1368" i="7"/>
  <c r="H1368" i="7" l="1"/>
  <c r="I1368" i="7" s="1"/>
  <c r="J1368" i="7" s="1"/>
  <c r="L1368" i="7"/>
  <c r="M1368" i="7" s="1"/>
  <c r="N1368" i="7" s="1"/>
  <c r="Q1369" i="7" l="1"/>
  <c r="O1368" i="7"/>
  <c r="T1369" i="7" s="1"/>
  <c r="P1369" i="7"/>
  <c r="K1368" i="7"/>
  <c r="S1369" i="7" s="1"/>
  <c r="G1369" i="7" l="1"/>
  <c r="R1369" i="7"/>
  <c r="H1369" i="7" l="1"/>
  <c r="I1369" i="7" s="1"/>
  <c r="J1369" i="7" s="1"/>
  <c r="L1369" i="7"/>
  <c r="M1369" i="7" s="1"/>
  <c r="N1369" i="7" s="1"/>
  <c r="O1369" i="7" l="1"/>
  <c r="T1370" i="7" s="1"/>
  <c r="Q1370" i="7"/>
  <c r="K1369" i="7"/>
  <c r="S1370" i="7" s="1"/>
  <c r="P1370" i="7"/>
  <c r="G1370" i="7" l="1"/>
  <c r="R1370" i="7"/>
  <c r="L1370" i="7" l="1"/>
  <c r="M1370" i="7" s="1"/>
  <c r="N1370" i="7" s="1"/>
  <c r="H1370" i="7"/>
  <c r="I1370" i="7" s="1"/>
  <c r="J1370" i="7" s="1"/>
  <c r="K1370" i="7" l="1"/>
  <c r="S1371" i="7" s="1"/>
  <c r="P1371" i="7"/>
  <c r="O1370" i="7"/>
  <c r="T1371" i="7" s="1"/>
  <c r="Q1371" i="7"/>
  <c r="R1371" i="7" l="1"/>
  <c r="G1371" i="7"/>
  <c r="L1371" i="7" l="1"/>
  <c r="M1371" i="7" s="1"/>
  <c r="N1371" i="7" s="1"/>
  <c r="H1371" i="7"/>
  <c r="I1371" i="7" s="1"/>
  <c r="J1371" i="7" s="1"/>
  <c r="K1371" i="7" l="1"/>
  <c r="S1372" i="7" s="1"/>
  <c r="P1372" i="7"/>
  <c r="O1371" i="7"/>
  <c r="T1372" i="7" s="1"/>
  <c r="Q1372" i="7"/>
  <c r="R1372" i="7" l="1"/>
  <c r="G1372" i="7"/>
  <c r="H1372" i="7" l="1"/>
  <c r="I1372" i="7" s="1"/>
  <c r="J1372" i="7" s="1"/>
  <c r="L1372" i="7"/>
  <c r="M1372" i="7" s="1"/>
  <c r="N1372" i="7" s="1"/>
  <c r="Q1373" i="7" l="1"/>
  <c r="O1372" i="7"/>
  <c r="T1373" i="7" s="1"/>
  <c r="P1373" i="7"/>
  <c r="K1372" i="7"/>
  <c r="S1373" i="7" s="1"/>
  <c r="R1373" i="7" l="1"/>
  <c r="G1373" i="7"/>
  <c r="L1373" i="7" l="1"/>
  <c r="M1373" i="7" s="1"/>
  <c r="N1373" i="7" s="1"/>
  <c r="H1373" i="7"/>
  <c r="I1373" i="7" s="1"/>
  <c r="J1373" i="7" s="1"/>
  <c r="K1373" i="7" l="1"/>
  <c r="S1374" i="7" s="1"/>
  <c r="P1374" i="7"/>
  <c r="Q1374" i="7"/>
  <c r="O1373" i="7"/>
  <c r="T1374" i="7" s="1"/>
  <c r="R1374" i="7" l="1"/>
  <c r="G1374" i="7"/>
  <c r="L1374" i="7" l="1"/>
  <c r="M1374" i="7" s="1"/>
  <c r="N1374" i="7" s="1"/>
  <c r="H1374" i="7"/>
  <c r="I1374" i="7" s="1"/>
  <c r="J1374" i="7" s="1"/>
  <c r="K1374" i="7" l="1"/>
  <c r="S1375" i="7" s="1"/>
  <c r="P1375" i="7"/>
  <c r="Q1375" i="7"/>
  <c r="O1374" i="7"/>
  <c r="T1375" i="7" s="1"/>
  <c r="G1375" i="7" l="1"/>
  <c r="R1375" i="7"/>
  <c r="H1375" i="7" l="1"/>
  <c r="I1375" i="7" s="1"/>
  <c r="J1375" i="7" s="1"/>
  <c r="L1375" i="7"/>
  <c r="M1375" i="7" s="1"/>
  <c r="N1375" i="7" s="1"/>
  <c r="O1375" i="7" l="1"/>
  <c r="T1376" i="7" s="1"/>
  <c r="Q1376" i="7"/>
  <c r="K1375" i="7"/>
  <c r="S1376" i="7" s="1"/>
  <c r="P1376" i="7"/>
  <c r="R1376" i="7" l="1"/>
  <c r="G1376" i="7"/>
  <c r="H1376" i="7" l="1"/>
  <c r="I1376" i="7" s="1"/>
  <c r="J1376" i="7" s="1"/>
  <c r="L1376" i="7"/>
  <c r="M1376" i="7" s="1"/>
  <c r="N1376" i="7" s="1"/>
  <c r="O1376" i="7" l="1"/>
  <c r="T1377" i="7" s="1"/>
  <c r="Q1377" i="7"/>
  <c r="K1376" i="7"/>
  <c r="S1377" i="7" s="1"/>
  <c r="P1377" i="7"/>
  <c r="G1377" i="7" l="1"/>
  <c r="R1377" i="7"/>
  <c r="L1377" i="7" l="1"/>
  <c r="M1377" i="7" s="1"/>
  <c r="N1377" i="7" s="1"/>
  <c r="H1377" i="7"/>
  <c r="I1377" i="7" s="1"/>
  <c r="J1377" i="7" s="1"/>
  <c r="P1378" i="7" l="1"/>
  <c r="K1377" i="7"/>
  <c r="S1378" i="7" s="1"/>
  <c r="Q1378" i="7"/>
  <c r="O1377" i="7"/>
  <c r="T1378" i="7" s="1"/>
  <c r="R1378" i="7" l="1"/>
  <c r="G1378" i="7"/>
  <c r="L1378" i="7" l="1"/>
  <c r="M1378" i="7" s="1"/>
  <c r="N1378" i="7" s="1"/>
  <c r="H1378" i="7"/>
  <c r="I1378" i="7" s="1"/>
  <c r="J1378" i="7" s="1"/>
  <c r="P1379" i="7" l="1"/>
  <c r="K1378" i="7"/>
  <c r="S1379" i="7" s="1"/>
  <c r="O1378" i="7"/>
  <c r="T1379" i="7" s="1"/>
  <c r="Q1379" i="7"/>
  <c r="G1379" i="7" l="1"/>
  <c r="R1379" i="7"/>
  <c r="H1379" i="7" l="1"/>
  <c r="I1379" i="7" s="1"/>
  <c r="J1379" i="7" s="1"/>
  <c r="L1379" i="7"/>
  <c r="M1379" i="7" s="1"/>
  <c r="N1379" i="7" s="1"/>
  <c r="O1379" i="7" l="1"/>
  <c r="T1380" i="7" s="1"/>
  <c r="Q1380" i="7"/>
  <c r="P1380" i="7"/>
  <c r="K1379" i="7"/>
  <c r="S1380" i="7" s="1"/>
  <c r="G1380" i="7" l="1"/>
  <c r="R1380" i="7"/>
  <c r="L1380" i="7" l="1"/>
  <c r="M1380" i="7" s="1"/>
  <c r="N1380" i="7" s="1"/>
  <c r="H1380" i="7"/>
  <c r="I1380" i="7" s="1"/>
  <c r="J1380" i="7" s="1"/>
  <c r="P1381" i="7" l="1"/>
  <c r="K1380" i="7"/>
  <c r="S1381" i="7" s="1"/>
  <c r="Q1381" i="7"/>
  <c r="O1380" i="7"/>
  <c r="T1381" i="7" s="1"/>
  <c r="R1381" i="7" l="1"/>
  <c r="G1381" i="7"/>
  <c r="L1381" i="7" l="1"/>
  <c r="M1381" i="7" s="1"/>
  <c r="N1381" i="7" s="1"/>
  <c r="H1381" i="7"/>
  <c r="I1381" i="7" s="1"/>
  <c r="J1381" i="7" s="1"/>
  <c r="K1381" i="7" l="1"/>
  <c r="S1382" i="7" s="1"/>
  <c r="P1382" i="7"/>
  <c r="O1381" i="7"/>
  <c r="T1382" i="7" s="1"/>
  <c r="Q1382" i="7"/>
  <c r="R1382" i="7" l="1"/>
  <c r="G1382" i="7"/>
  <c r="H1382" i="7" l="1"/>
  <c r="I1382" i="7" s="1"/>
  <c r="J1382" i="7" s="1"/>
  <c r="L1382" i="7"/>
  <c r="M1382" i="7" s="1"/>
  <c r="N1382" i="7" s="1"/>
  <c r="Q1383" i="7" l="1"/>
  <c r="O1382" i="7"/>
  <c r="T1383" i="7" s="1"/>
  <c r="P1383" i="7"/>
  <c r="K1382" i="7"/>
  <c r="S1383" i="7" s="1"/>
  <c r="G1383" i="7" l="1"/>
  <c r="R1383" i="7"/>
  <c r="L1383" i="7" l="1"/>
  <c r="M1383" i="7" s="1"/>
  <c r="N1383" i="7" s="1"/>
  <c r="H1383" i="7"/>
  <c r="I1383" i="7" s="1"/>
  <c r="J1383" i="7" s="1"/>
  <c r="K1383" i="7" l="1"/>
  <c r="S1384" i="7" s="1"/>
  <c r="P1384" i="7"/>
  <c r="Q1384" i="7"/>
  <c r="O1383" i="7"/>
  <c r="T1384" i="7" s="1"/>
  <c r="G1384" i="7" l="1"/>
  <c r="R1384" i="7"/>
  <c r="H1384" i="7" l="1"/>
  <c r="I1384" i="7" s="1"/>
  <c r="J1384" i="7" s="1"/>
  <c r="L1384" i="7"/>
  <c r="M1384" i="7" s="1"/>
  <c r="N1384" i="7" s="1"/>
  <c r="Q1385" i="7" l="1"/>
  <c r="O1384" i="7"/>
  <c r="T1385" i="7" s="1"/>
  <c r="K1384" i="7"/>
  <c r="S1385" i="7" s="1"/>
  <c r="P1385" i="7"/>
  <c r="G1385" i="7" l="1"/>
  <c r="R1385" i="7"/>
  <c r="L1385" i="7" l="1"/>
  <c r="M1385" i="7" s="1"/>
  <c r="N1385" i="7" s="1"/>
  <c r="H1385" i="7"/>
  <c r="I1385" i="7" s="1"/>
  <c r="J1385" i="7" s="1"/>
  <c r="P1386" i="7" l="1"/>
  <c r="K1385" i="7"/>
  <c r="S1386" i="7" s="1"/>
  <c r="O1385" i="7"/>
  <c r="T1386" i="7" s="1"/>
  <c r="Q1386" i="7"/>
  <c r="R1386" i="7" l="1"/>
  <c r="G1386" i="7"/>
  <c r="L1386" i="7" l="1"/>
  <c r="M1386" i="7" s="1"/>
  <c r="N1386" i="7" s="1"/>
  <c r="H1386" i="7"/>
  <c r="I1386" i="7" s="1"/>
  <c r="J1386" i="7" s="1"/>
  <c r="P1387" i="7" l="1"/>
  <c r="K1386" i="7"/>
  <c r="S1387" i="7" s="1"/>
  <c r="Q1387" i="7"/>
  <c r="O1386" i="7"/>
  <c r="T1387" i="7" s="1"/>
  <c r="R1387" i="7" l="1"/>
  <c r="G1387" i="7"/>
  <c r="L1387" i="7" l="1"/>
  <c r="M1387" i="7" s="1"/>
  <c r="N1387" i="7" s="1"/>
  <c r="H1387" i="7"/>
  <c r="I1387" i="7" s="1"/>
  <c r="J1387" i="7" s="1"/>
  <c r="P1388" i="7" l="1"/>
  <c r="K1387" i="7"/>
  <c r="S1388" i="7" s="1"/>
  <c r="Q1388" i="7"/>
  <c r="O1387" i="7"/>
  <c r="T1388" i="7" s="1"/>
  <c r="G1388" i="7" l="1"/>
  <c r="R1388" i="7"/>
  <c r="H1388" i="7" l="1"/>
  <c r="I1388" i="7" s="1"/>
  <c r="J1388" i="7" s="1"/>
  <c r="L1388" i="7"/>
  <c r="M1388" i="7" s="1"/>
  <c r="N1388" i="7" s="1"/>
  <c r="O1388" i="7" l="1"/>
  <c r="T1389" i="7" s="1"/>
  <c r="Q1389" i="7"/>
  <c r="K1388" i="7"/>
  <c r="S1389" i="7" s="1"/>
  <c r="P1389" i="7"/>
  <c r="G1389" i="7" l="1"/>
  <c r="R1389" i="7"/>
  <c r="L1389" i="7" l="1"/>
  <c r="M1389" i="7" s="1"/>
  <c r="N1389" i="7" s="1"/>
  <c r="H1389" i="7"/>
  <c r="I1389" i="7" s="1"/>
  <c r="J1389" i="7" s="1"/>
  <c r="P1390" i="7" l="1"/>
  <c r="K1389" i="7"/>
  <c r="S1390" i="7" s="1"/>
  <c r="O1389" i="7"/>
  <c r="T1390" i="7" s="1"/>
  <c r="Q1390" i="7"/>
  <c r="G1390" i="7" l="1"/>
  <c r="R1390" i="7"/>
  <c r="L1390" i="7" l="1"/>
  <c r="M1390" i="7" s="1"/>
  <c r="N1390" i="7" s="1"/>
  <c r="H1390" i="7"/>
  <c r="I1390" i="7" s="1"/>
  <c r="J1390" i="7" s="1"/>
  <c r="K1390" i="7" l="1"/>
  <c r="S1391" i="7" s="1"/>
  <c r="P1391" i="7"/>
  <c r="O1390" i="7"/>
  <c r="T1391" i="7" s="1"/>
  <c r="Q1391" i="7"/>
  <c r="G1391" i="7" l="1"/>
  <c r="R1391" i="7"/>
  <c r="L1391" i="7" l="1"/>
  <c r="M1391" i="7" s="1"/>
  <c r="N1391" i="7" s="1"/>
  <c r="H1391" i="7"/>
  <c r="I1391" i="7" s="1"/>
  <c r="J1391" i="7" s="1"/>
  <c r="K1391" i="7" l="1"/>
  <c r="S1392" i="7" s="1"/>
  <c r="P1392" i="7"/>
  <c r="O1391" i="7"/>
  <c r="T1392" i="7" s="1"/>
  <c r="Q1392" i="7"/>
  <c r="R1392" i="7" l="1"/>
  <c r="G1392" i="7"/>
  <c r="L1392" i="7" l="1"/>
  <c r="M1392" i="7" s="1"/>
  <c r="N1392" i="7" s="1"/>
  <c r="H1392" i="7"/>
  <c r="I1392" i="7" s="1"/>
  <c r="J1392" i="7" s="1"/>
  <c r="K1392" i="7" l="1"/>
  <c r="S1393" i="7" s="1"/>
  <c r="P1393" i="7"/>
  <c r="O1392" i="7"/>
  <c r="T1393" i="7" s="1"/>
  <c r="Q1393" i="7"/>
  <c r="R1393" i="7" l="1"/>
  <c r="G1393" i="7"/>
  <c r="L1393" i="7" l="1"/>
  <c r="M1393" i="7" s="1"/>
  <c r="N1393" i="7" s="1"/>
  <c r="H1393" i="7"/>
  <c r="I1393" i="7" s="1"/>
  <c r="J1393" i="7" s="1"/>
  <c r="K1393" i="7" l="1"/>
  <c r="S1394" i="7" s="1"/>
  <c r="P1394" i="7"/>
  <c r="O1393" i="7"/>
  <c r="T1394" i="7" s="1"/>
  <c r="Q1394" i="7"/>
  <c r="G1394" i="7" l="1"/>
  <c r="R1394" i="7"/>
  <c r="H1394" i="7" l="1"/>
  <c r="I1394" i="7" s="1"/>
  <c r="J1394" i="7" s="1"/>
  <c r="L1394" i="7"/>
  <c r="M1394" i="7" s="1"/>
  <c r="N1394" i="7" s="1"/>
  <c r="Q1395" i="7" l="1"/>
  <c r="O1394" i="7"/>
  <c r="T1395" i="7" s="1"/>
  <c r="P1395" i="7"/>
  <c r="K1394" i="7"/>
  <c r="S1395" i="7" s="1"/>
  <c r="G1395" i="7" l="1"/>
  <c r="R1395" i="7"/>
  <c r="H1395" i="7" l="1"/>
  <c r="I1395" i="7" s="1"/>
  <c r="J1395" i="7" s="1"/>
  <c r="L1395" i="7"/>
  <c r="M1395" i="7" s="1"/>
  <c r="N1395" i="7" s="1"/>
  <c r="O1395" i="7" l="1"/>
  <c r="T1396" i="7" s="1"/>
  <c r="Q1396" i="7"/>
  <c r="P1396" i="7"/>
  <c r="K1395" i="7"/>
  <c r="S1396" i="7" s="1"/>
  <c r="G1396" i="7" l="1"/>
  <c r="R1396" i="7"/>
  <c r="H1396" i="7" l="1"/>
  <c r="I1396" i="7" s="1"/>
  <c r="J1396" i="7" s="1"/>
  <c r="L1396" i="7"/>
  <c r="M1396" i="7" s="1"/>
  <c r="N1396" i="7" s="1"/>
  <c r="O1396" i="7" l="1"/>
  <c r="T1397" i="7" s="1"/>
  <c r="Q1397" i="7"/>
  <c r="K1396" i="7"/>
  <c r="S1397" i="7" s="1"/>
  <c r="P1397" i="7"/>
  <c r="R1397" i="7" l="1"/>
  <c r="G1397" i="7"/>
  <c r="L1397" i="7" l="1"/>
  <c r="M1397" i="7" s="1"/>
  <c r="N1397" i="7" s="1"/>
  <c r="H1397" i="7"/>
  <c r="I1397" i="7" s="1"/>
  <c r="J1397" i="7" s="1"/>
  <c r="K1397" i="7" l="1"/>
  <c r="S1398" i="7" s="1"/>
  <c r="P1398" i="7"/>
  <c r="Q1398" i="7"/>
  <c r="O1397" i="7"/>
  <c r="T1398" i="7" s="1"/>
  <c r="G1398" i="7" l="1"/>
  <c r="R1398" i="7"/>
  <c r="L1398" i="7" l="1"/>
  <c r="M1398" i="7" s="1"/>
  <c r="N1398" i="7" s="1"/>
  <c r="H1398" i="7"/>
  <c r="I1398" i="7" s="1"/>
  <c r="J1398" i="7" s="1"/>
  <c r="K1398" i="7" l="1"/>
  <c r="S1399" i="7" s="1"/>
  <c r="P1399" i="7"/>
  <c r="O1398" i="7"/>
  <c r="T1399" i="7" s="1"/>
  <c r="Q1399" i="7"/>
  <c r="R1399" i="7" l="1"/>
  <c r="G1399" i="7"/>
  <c r="L1399" i="7" l="1"/>
  <c r="M1399" i="7" s="1"/>
  <c r="N1399" i="7" s="1"/>
  <c r="H1399" i="7"/>
  <c r="I1399" i="7" s="1"/>
  <c r="J1399" i="7" s="1"/>
  <c r="P1400" i="7" l="1"/>
  <c r="K1399" i="7"/>
  <c r="S1400" i="7" s="1"/>
  <c r="Q1400" i="7"/>
  <c r="O1399" i="7"/>
  <c r="T1400" i="7" s="1"/>
  <c r="R1400" i="7" l="1"/>
  <c r="G1400" i="7"/>
  <c r="L1400" i="7" l="1"/>
  <c r="M1400" i="7" s="1"/>
  <c r="N1400" i="7" s="1"/>
  <c r="H1400" i="7"/>
  <c r="I1400" i="7" s="1"/>
  <c r="J1400" i="7" s="1"/>
  <c r="P1401" i="7" l="1"/>
  <c r="K1400" i="7"/>
  <c r="S1401" i="7" s="1"/>
  <c r="O1400" i="7"/>
  <c r="T1401" i="7" s="1"/>
  <c r="Q1401" i="7"/>
  <c r="G1401" i="7" l="1"/>
  <c r="R1401" i="7"/>
  <c r="H1401" i="7" l="1"/>
  <c r="I1401" i="7" s="1"/>
  <c r="J1401" i="7" s="1"/>
  <c r="L1401" i="7"/>
  <c r="M1401" i="7" s="1"/>
  <c r="N1401" i="7" s="1"/>
  <c r="Q1402" i="7" l="1"/>
  <c r="O1401" i="7"/>
  <c r="T1402" i="7" s="1"/>
  <c r="P1402" i="7"/>
  <c r="K1401" i="7"/>
  <c r="S1402" i="7" s="1"/>
  <c r="R1402" i="7" l="1"/>
  <c r="G1402" i="7"/>
  <c r="L1402" i="7" l="1"/>
  <c r="M1402" i="7" s="1"/>
  <c r="N1402" i="7" s="1"/>
  <c r="H1402" i="7"/>
  <c r="I1402" i="7" s="1"/>
  <c r="J1402" i="7" s="1"/>
  <c r="K1402" i="7" l="1"/>
  <c r="S1403" i="7" s="1"/>
  <c r="P1403" i="7"/>
  <c r="O1402" i="7"/>
  <c r="T1403" i="7" s="1"/>
  <c r="Q1403" i="7"/>
  <c r="G1403" i="7" l="1"/>
  <c r="R1403" i="7"/>
  <c r="L1403" i="7" l="1"/>
  <c r="M1403" i="7" s="1"/>
  <c r="N1403" i="7" s="1"/>
  <c r="H1403" i="7"/>
  <c r="I1403" i="7" s="1"/>
  <c r="J1403" i="7" s="1"/>
  <c r="K1403" i="7" l="1"/>
  <c r="S1404" i="7" s="1"/>
  <c r="P1404" i="7"/>
  <c r="Q1404" i="7"/>
  <c r="O1403" i="7"/>
  <c r="T1404" i="7" s="1"/>
  <c r="R1404" i="7" l="1"/>
  <c r="G1404" i="7"/>
  <c r="L1404" i="7" l="1"/>
  <c r="M1404" i="7" s="1"/>
  <c r="N1404" i="7" s="1"/>
  <c r="H1404" i="7"/>
  <c r="I1404" i="7" s="1"/>
  <c r="J1404" i="7" s="1"/>
  <c r="P1405" i="7" l="1"/>
  <c r="K1404" i="7"/>
  <c r="S1405" i="7" s="1"/>
  <c r="O1404" i="7"/>
  <c r="T1405" i="7" s="1"/>
  <c r="Q1405" i="7"/>
  <c r="R1405" i="7" l="1"/>
  <c r="G1405" i="7"/>
  <c r="H1405" i="7" l="1"/>
  <c r="I1405" i="7" s="1"/>
  <c r="J1405" i="7" s="1"/>
  <c r="L1405" i="7"/>
  <c r="M1405" i="7" s="1"/>
  <c r="N1405" i="7" s="1"/>
  <c r="Q1406" i="7" l="1"/>
  <c r="O1405" i="7"/>
  <c r="T1406" i="7" s="1"/>
  <c r="K1405" i="7"/>
  <c r="S1406" i="7" s="1"/>
  <c r="P1406" i="7"/>
  <c r="G1406" i="7" l="1"/>
  <c r="R1406" i="7"/>
  <c r="L1406" i="7" l="1"/>
  <c r="M1406" i="7" s="1"/>
  <c r="N1406" i="7" s="1"/>
  <c r="H1406" i="7"/>
  <c r="I1406" i="7" s="1"/>
  <c r="J1406" i="7" s="1"/>
  <c r="P1407" i="7" l="1"/>
  <c r="K1406" i="7"/>
  <c r="S1407" i="7" s="1"/>
  <c r="Q1407" i="7"/>
  <c r="O1406" i="7"/>
  <c r="T1407" i="7" s="1"/>
  <c r="R1407" i="7" l="1"/>
  <c r="G1407" i="7"/>
  <c r="L1407" i="7" l="1"/>
  <c r="M1407" i="7" s="1"/>
  <c r="N1407" i="7" s="1"/>
  <c r="H1407" i="7"/>
  <c r="I1407" i="7" s="1"/>
  <c r="J1407" i="7" s="1"/>
  <c r="K1407" i="7" l="1"/>
  <c r="S1408" i="7" s="1"/>
  <c r="P1408" i="7"/>
  <c r="O1407" i="7"/>
  <c r="T1408" i="7" s="1"/>
  <c r="Q1408" i="7"/>
  <c r="G1408" i="7" l="1"/>
  <c r="R1408" i="7"/>
  <c r="H1408" i="7" l="1"/>
  <c r="I1408" i="7" s="1"/>
  <c r="J1408" i="7" s="1"/>
  <c r="L1408" i="7"/>
  <c r="M1408" i="7" s="1"/>
  <c r="N1408" i="7" s="1"/>
  <c r="O1408" i="7" l="1"/>
  <c r="T1409" i="7" s="1"/>
  <c r="Q1409" i="7"/>
  <c r="K1408" i="7"/>
  <c r="S1409" i="7" s="1"/>
  <c r="P1409" i="7"/>
  <c r="G1409" i="7" l="1"/>
  <c r="R1409" i="7"/>
  <c r="H1409" i="7" l="1"/>
  <c r="I1409" i="7" s="1"/>
  <c r="J1409" i="7" s="1"/>
  <c r="L1409" i="7"/>
  <c r="M1409" i="7" s="1"/>
  <c r="N1409" i="7" s="1"/>
  <c r="O1409" i="7" l="1"/>
  <c r="T1410" i="7" s="1"/>
  <c r="Q1410" i="7"/>
  <c r="K1409" i="7"/>
  <c r="S1410" i="7" s="1"/>
  <c r="P1410" i="7"/>
  <c r="R1410" i="7" l="1"/>
  <c r="G1410" i="7"/>
  <c r="L1410" i="7" l="1"/>
  <c r="M1410" i="7" s="1"/>
  <c r="N1410" i="7" s="1"/>
  <c r="H1410" i="7"/>
  <c r="I1410" i="7" s="1"/>
  <c r="J1410" i="7" s="1"/>
  <c r="P1411" i="7" l="1"/>
  <c r="K1410" i="7"/>
  <c r="S1411" i="7" s="1"/>
  <c r="O1410" i="7"/>
  <c r="T1411" i="7" s="1"/>
  <c r="Q1411" i="7"/>
  <c r="R1411" i="7" l="1"/>
  <c r="G1411" i="7"/>
  <c r="H1411" i="7" l="1"/>
  <c r="I1411" i="7" s="1"/>
  <c r="J1411" i="7" s="1"/>
  <c r="L1411" i="7"/>
  <c r="M1411" i="7" s="1"/>
  <c r="N1411" i="7" s="1"/>
  <c r="O1411" i="7" l="1"/>
  <c r="T1412" i="7" s="1"/>
  <c r="Q1412" i="7"/>
  <c r="P1412" i="7"/>
  <c r="K1411" i="7"/>
  <c r="S1412" i="7" s="1"/>
  <c r="R1412" i="7" l="1"/>
  <c r="G1412" i="7"/>
  <c r="H1412" i="7" l="1"/>
  <c r="I1412" i="7" s="1"/>
  <c r="J1412" i="7" s="1"/>
  <c r="L1412" i="7"/>
  <c r="M1412" i="7" s="1"/>
  <c r="N1412" i="7" s="1"/>
  <c r="O1412" i="7" l="1"/>
  <c r="T1413" i="7" s="1"/>
  <c r="Q1413" i="7"/>
  <c r="P1413" i="7"/>
  <c r="K1412" i="7"/>
  <c r="S1413" i="7" s="1"/>
  <c r="G1413" i="7" l="1"/>
  <c r="R1413" i="7"/>
  <c r="L1413" i="7" l="1"/>
  <c r="M1413" i="7" s="1"/>
  <c r="N1413" i="7" s="1"/>
  <c r="H1413" i="7"/>
  <c r="I1413" i="7" s="1"/>
  <c r="J1413" i="7" s="1"/>
  <c r="K1413" i="7" l="1"/>
  <c r="S1414" i="7" s="1"/>
  <c r="P1414" i="7"/>
  <c r="O1413" i="7"/>
  <c r="T1414" i="7" s="1"/>
  <c r="Q1414" i="7"/>
  <c r="G1414" i="7" l="1"/>
  <c r="R1414" i="7"/>
  <c r="H1414" i="7" l="1"/>
  <c r="I1414" i="7" s="1"/>
  <c r="J1414" i="7" s="1"/>
  <c r="L1414" i="7"/>
  <c r="M1414" i="7" s="1"/>
  <c r="N1414" i="7" s="1"/>
  <c r="O1414" i="7" l="1"/>
  <c r="T1415" i="7" s="1"/>
  <c r="Q1415" i="7"/>
  <c r="P1415" i="7"/>
  <c r="K1414" i="7"/>
  <c r="S1415" i="7" s="1"/>
  <c r="R1415" i="7" l="1"/>
  <c r="G1415" i="7"/>
  <c r="H1415" i="7" l="1"/>
  <c r="I1415" i="7" s="1"/>
  <c r="J1415" i="7" s="1"/>
  <c r="L1415" i="7"/>
  <c r="M1415" i="7" s="1"/>
  <c r="N1415" i="7" s="1"/>
  <c r="O1415" i="7" l="1"/>
  <c r="T1416" i="7" s="1"/>
  <c r="Q1416" i="7"/>
  <c r="P1416" i="7"/>
  <c r="K1415" i="7"/>
  <c r="S1416" i="7" s="1"/>
  <c r="R1416" i="7" l="1"/>
  <c r="G1416" i="7"/>
  <c r="H1416" i="7" l="1"/>
  <c r="I1416" i="7" s="1"/>
  <c r="J1416" i="7" s="1"/>
  <c r="L1416" i="7"/>
  <c r="M1416" i="7" s="1"/>
  <c r="N1416" i="7" s="1"/>
  <c r="Q1417" i="7" l="1"/>
  <c r="O1416" i="7"/>
  <c r="T1417" i="7" s="1"/>
  <c r="P1417" i="7"/>
  <c r="K1416" i="7"/>
  <c r="S1417" i="7" s="1"/>
  <c r="G1417" i="7" l="1"/>
  <c r="R1417" i="7"/>
  <c r="H1417" i="7" l="1"/>
  <c r="I1417" i="7" s="1"/>
  <c r="J1417" i="7" s="1"/>
  <c r="L1417" i="7"/>
  <c r="M1417" i="7" s="1"/>
  <c r="N1417" i="7" s="1"/>
  <c r="O1417" i="7" l="1"/>
  <c r="T1418" i="7" s="1"/>
  <c r="Q1418" i="7"/>
  <c r="P1418" i="7"/>
  <c r="K1417" i="7"/>
  <c r="S1418" i="7" s="1"/>
  <c r="G1418" i="7" l="1"/>
  <c r="R1418" i="7"/>
  <c r="H1418" i="7" l="1"/>
  <c r="I1418" i="7" s="1"/>
  <c r="J1418" i="7" s="1"/>
  <c r="L1418" i="7"/>
  <c r="M1418" i="7" s="1"/>
  <c r="N1418" i="7" s="1"/>
  <c r="Q1419" i="7" l="1"/>
  <c r="O1418" i="7"/>
  <c r="T1419" i="7" s="1"/>
  <c r="K1418" i="7"/>
  <c r="S1419" i="7" s="1"/>
  <c r="P1419" i="7"/>
  <c r="R1419" i="7" l="1"/>
  <c r="G1419" i="7"/>
  <c r="L1419" i="7" l="1"/>
  <c r="M1419" i="7" s="1"/>
  <c r="N1419" i="7" s="1"/>
  <c r="H1419" i="7"/>
  <c r="I1419" i="7" s="1"/>
  <c r="J1419" i="7" s="1"/>
  <c r="P1420" i="7" l="1"/>
  <c r="K1419" i="7"/>
  <c r="S1420" i="7" s="1"/>
  <c r="O1419" i="7"/>
  <c r="T1420" i="7" s="1"/>
  <c r="Q1420" i="7"/>
  <c r="R1420" i="7" l="1"/>
  <c r="G1420" i="7"/>
  <c r="H1420" i="7" l="1"/>
  <c r="I1420" i="7" s="1"/>
  <c r="J1420" i="7" s="1"/>
  <c r="L1420" i="7"/>
  <c r="M1420" i="7" s="1"/>
  <c r="N1420" i="7" s="1"/>
  <c r="O1420" i="7" l="1"/>
  <c r="T1421" i="7" s="1"/>
  <c r="Q1421" i="7"/>
  <c r="K1420" i="7"/>
  <c r="S1421" i="7" s="1"/>
  <c r="P1421" i="7"/>
  <c r="R1421" i="7" l="1"/>
  <c r="G1421" i="7"/>
  <c r="L1421" i="7" l="1"/>
  <c r="M1421" i="7" s="1"/>
  <c r="N1421" i="7" s="1"/>
  <c r="H1421" i="7"/>
  <c r="I1421" i="7" s="1"/>
  <c r="J1421" i="7" s="1"/>
  <c r="P1422" i="7" l="1"/>
  <c r="K1421" i="7"/>
  <c r="S1422" i="7" s="1"/>
  <c r="O1421" i="7"/>
  <c r="T1422" i="7" s="1"/>
  <c r="Q1422" i="7"/>
  <c r="G1422" i="7" l="1"/>
  <c r="R1422" i="7"/>
  <c r="H1422" i="7" l="1"/>
  <c r="I1422" i="7" s="1"/>
  <c r="J1422" i="7" s="1"/>
  <c r="L1422" i="7"/>
  <c r="M1422" i="7" s="1"/>
  <c r="N1422" i="7" s="1"/>
  <c r="O1422" i="7" l="1"/>
  <c r="T1423" i="7" s="1"/>
  <c r="Q1423" i="7"/>
  <c r="K1422" i="7"/>
  <c r="S1423" i="7" s="1"/>
  <c r="P1423" i="7"/>
  <c r="R1423" i="7" l="1"/>
  <c r="G1423" i="7"/>
  <c r="L1423" i="7" l="1"/>
  <c r="M1423" i="7" s="1"/>
  <c r="N1423" i="7" s="1"/>
  <c r="H1423" i="7"/>
  <c r="I1423" i="7" s="1"/>
  <c r="J1423" i="7" s="1"/>
  <c r="K1423" i="7" l="1"/>
  <c r="S1424" i="7" s="1"/>
  <c r="P1424" i="7"/>
  <c r="O1423" i="7"/>
  <c r="T1424" i="7" s="1"/>
  <c r="Q1424" i="7"/>
  <c r="R1424" i="7" l="1"/>
  <c r="G1424" i="7"/>
  <c r="H1424" i="7" l="1"/>
  <c r="I1424" i="7" s="1"/>
  <c r="J1424" i="7" s="1"/>
  <c r="L1424" i="7"/>
  <c r="M1424" i="7" s="1"/>
  <c r="N1424" i="7" s="1"/>
  <c r="O1424" i="7" l="1"/>
  <c r="T1425" i="7" s="1"/>
  <c r="Q1425" i="7"/>
  <c r="P1425" i="7"/>
  <c r="K1424" i="7"/>
  <c r="S1425" i="7" s="1"/>
  <c r="R1425" i="7" l="1"/>
  <c r="G1425" i="7"/>
  <c r="L1425" i="7" l="1"/>
  <c r="M1425" i="7" s="1"/>
  <c r="N1425" i="7" s="1"/>
  <c r="H1425" i="7"/>
  <c r="I1425" i="7" s="1"/>
  <c r="J1425" i="7" s="1"/>
  <c r="P1426" i="7" l="1"/>
  <c r="K1425" i="7"/>
  <c r="S1426" i="7" s="1"/>
  <c r="O1425" i="7"/>
  <c r="T1426" i="7" s="1"/>
  <c r="Q1426" i="7"/>
  <c r="G1426" i="7" l="1"/>
  <c r="R1426" i="7"/>
  <c r="L1426" i="7" l="1"/>
  <c r="M1426" i="7" s="1"/>
  <c r="N1426" i="7" s="1"/>
  <c r="H1426" i="7"/>
  <c r="I1426" i="7" s="1"/>
  <c r="J1426" i="7" s="1"/>
  <c r="K1426" i="7" l="1"/>
  <c r="S1427" i="7" s="1"/>
  <c r="P1427" i="7"/>
  <c r="Q1427" i="7"/>
  <c r="O1426" i="7"/>
  <c r="T1427" i="7" s="1"/>
  <c r="G1427" i="7" l="1"/>
  <c r="R1427" i="7"/>
  <c r="H1427" i="7" l="1"/>
  <c r="I1427" i="7" s="1"/>
  <c r="J1427" i="7" s="1"/>
  <c r="L1427" i="7"/>
  <c r="M1427" i="7" s="1"/>
  <c r="N1427" i="7" s="1"/>
  <c r="Q1428" i="7" l="1"/>
  <c r="O1427" i="7"/>
  <c r="T1428" i="7" s="1"/>
  <c r="K1427" i="7"/>
  <c r="S1428" i="7" s="1"/>
  <c r="P1428" i="7"/>
  <c r="R1428" i="7" l="1"/>
  <c r="G1428" i="7"/>
  <c r="H1428" i="7" l="1"/>
  <c r="I1428" i="7" s="1"/>
  <c r="J1428" i="7" s="1"/>
  <c r="L1428" i="7"/>
  <c r="M1428" i="7" s="1"/>
  <c r="N1428" i="7" s="1"/>
  <c r="Q1429" i="7" l="1"/>
  <c r="O1428" i="7"/>
  <c r="T1429" i="7" s="1"/>
  <c r="P1429" i="7"/>
  <c r="K1428" i="7"/>
  <c r="S1429" i="7" s="1"/>
  <c r="R1429" i="7" l="1"/>
  <c r="G1429" i="7"/>
  <c r="H1429" i="7" l="1"/>
  <c r="I1429" i="7" s="1"/>
  <c r="J1429" i="7" s="1"/>
  <c r="L1429" i="7"/>
  <c r="M1429" i="7" s="1"/>
  <c r="N1429" i="7" s="1"/>
  <c r="Q1430" i="7" l="1"/>
  <c r="O1429" i="7"/>
  <c r="T1430" i="7" s="1"/>
  <c r="P1430" i="7"/>
  <c r="K1429" i="7"/>
  <c r="S1430" i="7" s="1"/>
  <c r="G1430" i="7" l="1"/>
  <c r="R1430" i="7"/>
  <c r="L1430" i="7" l="1"/>
  <c r="M1430" i="7" s="1"/>
  <c r="N1430" i="7" s="1"/>
  <c r="H1430" i="7"/>
  <c r="I1430" i="7" s="1"/>
  <c r="J1430" i="7" s="1"/>
  <c r="K1430" i="7" l="1"/>
  <c r="S1431" i="7" s="1"/>
  <c r="P1431" i="7"/>
  <c r="Q1431" i="7"/>
  <c r="O1430" i="7"/>
  <c r="T1431" i="7" s="1"/>
  <c r="G1431" i="7" l="1"/>
  <c r="R1431" i="7"/>
  <c r="H1431" i="7" l="1"/>
  <c r="I1431" i="7" s="1"/>
  <c r="J1431" i="7" s="1"/>
  <c r="L1431" i="7"/>
  <c r="M1431" i="7" s="1"/>
  <c r="N1431" i="7" s="1"/>
  <c r="O1431" i="7" l="1"/>
  <c r="T1432" i="7" s="1"/>
  <c r="Q1432" i="7"/>
  <c r="K1431" i="7"/>
  <c r="S1432" i="7" s="1"/>
  <c r="P1432" i="7"/>
  <c r="G1432" i="7" l="1"/>
  <c r="R1432" i="7"/>
  <c r="H1432" i="7" l="1"/>
  <c r="I1432" i="7" s="1"/>
  <c r="J1432" i="7" s="1"/>
  <c r="L1432" i="7"/>
  <c r="M1432" i="7" s="1"/>
  <c r="N1432" i="7" s="1"/>
  <c r="O1432" i="7" l="1"/>
  <c r="T1433" i="7" s="1"/>
  <c r="Q1433" i="7"/>
  <c r="K1432" i="7"/>
  <c r="S1433" i="7" s="1"/>
  <c r="P1433" i="7"/>
  <c r="G1433" i="7" l="1"/>
  <c r="R1433" i="7"/>
  <c r="L1433" i="7" l="1"/>
  <c r="M1433" i="7" s="1"/>
  <c r="N1433" i="7" s="1"/>
  <c r="H1433" i="7"/>
  <c r="I1433" i="7" s="1"/>
  <c r="J1433" i="7" s="1"/>
  <c r="P1434" i="7" l="1"/>
  <c r="K1433" i="7"/>
  <c r="S1434" i="7" s="1"/>
  <c r="Q1434" i="7"/>
  <c r="O1433" i="7"/>
  <c r="T1434" i="7" s="1"/>
  <c r="G1434" i="7" l="1"/>
  <c r="R1434" i="7"/>
  <c r="H1434" i="7" l="1"/>
  <c r="I1434" i="7" s="1"/>
  <c r="J1434" i="7" s="1"/>
  <c r="L1434" i="7"/>
  <c r="M1434" i="7" s="1"/>
  <c r="N1434" i="7" s="1"/>
  <c r="O1434" i="7" l="1"/>
  <c r="T1435" i="7" s="1"/>
  <c r="Q1435" i="7"/>
  <c r="K1434" i="7"/>
  <c r="S1435" i="7" s="1"/>
  <c r="P1435" i="7"/>
  <c r="R1435" i="7" l="1"/>
  <c r="G1435" i="7"/>
  <c r="H1435" i="7" l="1"/>
  <c r="I1435" i="7" s="1"/>
  <c r="J1435" i="7" s="1"/>
  <c r="L1435" i="7"/>
  <c r="M1435" i="7" s="1"/>
  <c r="N1435" i="7" s="1"/>
  <c r="Q1436" i="7" l="1"/>
  <c r="O1435" i="7"/>
  <c r="T1436" i="7" s="1"/>
  <c r="K1435" i="7"/>
  <c r="S1436" i="7" s="1"/>
  <c r="P1436" i="7"/>
  <c r="G1436" i="7" l="1"/>
  <c r="R1436" i="7"/>
  <c r="H1436" i="7" l="1"/>
  <c r="I1436" i="7" s="1"/>
  <c r="J1436" i="7" s="1"/>
  <c r="L1436" i="7"/>
  <c r="M1436" i="7" s="1"/>
  <c r="N1436" i="7" s="1"/>
  <c r="Q1437" i="7" l="1"/>
  <c r="O1436" i="7"/>
  <c r="T1437" i="7" s="1"/>
  <c r="P1437" i="7"/>
  <c r="K1436" i="7"/>
  <c r="S1437" i="7" s="1"/>
  <c r="R1437" i="7" l="1"/>
  <c r="G1437" i="7"/>
  <c r="L1437" i="7" l="1"/>
  <c r="M1437" i="7" s="1"/>
  <c r="N1437" i="7" s="1"/>
  <c r="H1437" i="7"/>
  <c r="I1437" i="7" s="1"/>
  <c r="J1437" i="7" s="1"/>
  <c r="P1438" i="7" l="1"/>
  <c r="K1437" i="7"/>
  <c r="S1438" i="7" s="1"/>
  <c r="O1437" i="7"/>
  <c r="T1438" i="7" s="1"/>
  <c r="Q1438" i="7"/>
  <c r="R1438" i="7" l="1"/>
  <c r="G1438" i="7"/>
  <c r="L1438" i="7" l="1"/>
  <c r="M1438" i="7" s="1"/>
  <c r="N1438" i="7" s="1"/>
  <c r="H1438" i="7"/>
  <c r="I1438" i="7" s="1"/>
  <c r="J1438" i="7" s="1"/>
  <c r="P1439" i="7" l="1"/>
  <c r="K1438" i="7"/>
  <c r="S1439" i="7" s="1"/>
  <c r="Q1439" i="7"/>
  <c r="O1438" i="7"/>
  <c r="T1439" i="7" s="1"/>
  <c r="R1439" i="7" l="1"/>
  <c r="G1439" i="7"/>
  <c r="H1439" i="7" l="1"/>
  <c r="I1439" i="7" s="1"/>
  <c r="J1439" i="7" s="1"/>
  <c r="L1439" i="7"/>
  <c r="M1439" i="7" s="1"/>
  <c r="N1439" i="7" s="1"/>
  <c r="O1439" i="7" l="1"/>
  <c r="T1440" i="7" s="1"/>
  <c r="Q1440" i="7"/>
  <c r="P1440" i="7"/>
  <c r="K1439" i="7"/>
  <c r="S1440" i="7" s="1"/>
  <c r="R1440" i="7" l="1"/>
  <c r="G1440" i="7"/>
  <c r="H1440" i="7" l="1"/>
  <c r="I1440" i="7" s="1"/>
  <c r="J1440" i="7" s="1"/>
  <c r="L1440" i="7"/>
  <c r="M1440" i="7" s="1"/>
  <c r="N1440" i="7" s="1"/>
  <c r="O1440" i="7" l="1"/>
  <c r="T1441" i="7" s="1"/>
  <c r="Q1441" i="7"/>
  <c r="P1441" i="7"/>
  <c r="K1440" i="7"/>
  <c r="S1441" i="7" s="1"/>
  <c r="R1441" i="7" l="1"/>
  <c r="G1441" i="7"/>
  <c r="H1441" i="7" l="1"/>
  <c r="I1441" i="7" s="1"/>
  <c r="J1441" i="7" s="1"/>
  <c r="L1441" i="7"/>
  <c r="M1441" i="7" s="1"/>
  <c r="N1441" i="7" s="1"/>
  <c r="Q1442" i="7" l="1"/>
  <c r="O1441" i="7"/>
  <c r="T1442" i="7" s="1"/>
  <c r="P1442" i="7"/>
  <c r="K1441" i="7"/>
  <c r="S1442" i="7" s="1"/>
  <c r="R1442" i="7" l="1"/>
  <c r="G1442" i="7"/>
  <c r="H1442" i="7" l="1"/>
  <c r="I1442" i="7" s="1"/>
  <c r="J1442" i="7" s="1"/>
  <c r="L1442" i="7"/>
  <c r="M1442" i="7" s="1"/>
  <c r="N1442" i="7" s="1"/>
  <c r="O1442" i="7" l="1"/>
  <c r="T1443" i="7" s="1"/>
  <c r="Q1443" i="7"/>
  <c r="P1443" i="7"/>
  <c r="K1442" i="7"/>
  <c r="S1443" i="7" s="1"/>
  <c r="G1443" i="7" l="1"/>
  <c r="R1443" i="7"/>
  <c r="H1443" i="7" l="1"/>
  <c r="I1443" i="7" s="1"/>
  <c r="J1443" i="7" s="1"/>
  <c r="L1443" i="7"/>
  <c r="M1443" i="7" s="1"/>
  <c r="N1443" i="7" s="1"/>
  <c r="O1443" i="7" l="1"/>
  <c r="T1444" i="7" s="1"/>
  <c r="Q1444" i="7"/>
  <c r="P1444" i="7"/>
  <c r="K1443" i="7"/>
  <c r="S1444" i="7" s="1"/>
  <c r="G1444" i="7" l="1"/>
  <c r="R1444" i="7"/>
  <c r="L1444" i="7" l="1"/>
  <c r="M1444" i="7" s="1"/>
  <c r="N1444" i="7" s="1"/>
  <c r="H1444" i="7"/>
  <c r="I1444" i="7" s="1"/>
  <c r="J1444" i="7" s="1"/>
  <c r="P1445" i="7" l="1"/>
  <c r="K1444" i="7"/>
  <c r="S1445" i="7" s="1"/>
  <c r="Q1445" i="7"/>
  <c r="O1444" i="7"/>
  <c r="T1445" i="7" s="1"/>
  <c r="R1445" i="7" l="1"/>
  <c r="G1445" i="7"/>
  <c r="L1445" i="7" l="1"/>
  <c r="M1445" i="7" s="1"/>
  <c r="N1445" i="7" s="1"/>
  <c r="H1445" i="7"/>
  <c r="I1445" i="7" s="1"/>
  <c r="J1445" i="7" s="1"/>
  <c r="K1445" i="7" l="1"/>
  <c r="S1446" i="7" s="1"/>
  <c r="P1446" i="7"/>
  <c r="O1445" i="7"/>
  <c r="T1446" i="7" s="1"/>
  <c r="Q1446" i="7"/>
  <c r="R1446" i="7" l="1"/>
  <c r="G1446" i="7"/>
  <c r="L1446" i="7" l="1"/>
  <c r="M1446" i="7" s="1"/>
  <c r="N1446" i="7" s="1"/>
  <c r="H1446" i="7"/>
  <c r="I1446" i="7" s="1"/>
  <c r="J1446" i="7" s="1"/>
  <c r="K1446" i="7" l="1"/>
  <c r="S1447" i="7" s="1"/>
  <c r="P1447" i="7"/>
  <c r="O1446" i="7"/>
  <c r="T1447" i="7" s="1"/>
  <c r="Q1447" i="7"/>
  <c r="R1447" i="7" l="1"/>
  <c r="G1447" i="7"/>
  <c r="H1447" i="7" l="1"/>
  <c r="I1447" i="7" s="1"/>
  <c r="J1447" i="7" s="1"/>
  <c r="L1447" i="7"/>
  <c r="M1447" i="7" s="1"/>
  <c r="N1447" i="7" s="1"/>
  <c r="Q1448" i="7" l="1"/>
  <c r="O1447" i="7"/>
  <c r="T1448" i="7" s="1"/>
  <c r="P1448" i="7"/>
  <c r="K1447" i="7"/>
  <c r="S1448" i="7" s="1"/>
  <c r="G1448" i="7" l="1"/>
  <c r="R1448" i="7"/>
  <c r="L1448" i="7" l="1"/>
  <c r="M1448" i="7" s="1"/>
  <c r="N1448" i="7" s="1"/>
  <c r="H1448" i="7"/>
  <c r="I1448" i="7" s="1"/>
  <c r="J1448" i="7" s="1"/>
  <c r="K1448" i="7" l="1"/>
  <c r="S1449" i="7" s="1"/>
  <c r="P1449" i="7"/>
  <c r="O1448" i="7"/>
  <c r="T1449" i="7" s="1"/>
  <c r="Q1449" i="7"/>
  <c r="R1449" i="7" l="1"/>
  <c r="G1449" i="7"/>
  <c r="H1449" i="7" l="1"/>
  <c r="I1449" i="7" s="1"/>
  <c r="J1449" i="7" s="1"/>
  <c r="L1449" i="7"/>
  <c r="M1449" i="7" s="1"/>
  <c r="N1449" i="7" s="1"/>
  <c r="O1449" i="7" l="1"/>
  <c r="T1450" i="7" s="1"/>
  <c r="Q1450" i="7"/>
  <c r="K1449" i="7"/>
  <c r="S1450" i="7" s="1"/>
  <c r="P1450" i="7"/>
  <c r="G1450" i="7" l="1"/>
  <c r="R1450" i="7"/>
  <c r="H1450" i="7" l="1"/>
  <c r="I1450" i="7" s="1"/>
  <c r="J1450" i="7" s="1"/>
  <c r="L1450" i="7"/>
  <c r="M1450" i="7" s="1"/>
  <c r="N1450" i="7" s="1"/>
  <c r="O1450" i="7" l="1"/>
  <c r="T1451" i="7" s="1"/>
  <c r="Q1451" i="7"/>
  <c r="P1451" i="7"/>
  <c r="K1450" i="7"/>
  <c r="S1451" i="7" s="1"/>
  <c r="G1451" i="7" l="1"/>
  <c r="R1451" i="7"/>
  <c r="H1451" i="7" l="1"/>
  <c r="I1451" i="7" s="1"/>
  <c r="J1451" i="7" s="1"/>
  <c r="L1451" i="7"/>
  <c r="M1451" i="7" s="1"/>
  <c r="N1451" i="7" s="1"/>
  <c r="Q1452" i="7" l="1"/>
  <c r="O1451" i="7"/>
  <c r="T1452" i="7" s="1"/>
  <c r="P1452" i="7"/>
  <c r="K1451" i="7"/>
  <c r="S1452" i="7" s="1"/>
  <c r="R1452" i="7" l="1"/>
  <c r="G1452" i="7"/>
  <c r="L1452" i="7" l="1"/>
  <c r="M1452" i="7" s="1"/>
  <c r="N1452" i="7" s="1"/>
  <c r="H1452" i="7"/>
  <c r="I1452" i="7" s="1"/>
  <c r="J1452" i="7" s="1"/>
  <c r="P1453" i="7" l="1"/>
  <c r="K1452" i="7"/>
  <c r="S1453" i="7" s="1"/>
  <c r="O1452" i="7"/>
  <c r="T1453" i="7" s="1"/>
  <c r="Q1453" i="7"/>
  <c r="G1453" i="7" l="1"/>
  <c r="R1453" i="7"/>
  <c r="L1453" i="7" l="1"/>
  <c r="M1453" i="7" s="1"/>
  <c r="N1453" i="7" s="1"/>
  <c r="H1453" i="7"/>
  <c r="I1453" i="7" s="1"/>
  <c r="J1453" i="7" s="1"/>
  <c r="P1454" i="7" l="1"/>
  <c r="K1453" i="7"/>
  <c r="S1454" i="7" s="1"/>
  <c r="O1453" i="7"/>
  <c r="T1454" i="7" s="1"/>
  <c r="Q1454" i="7"/>
  <c r="R1454" i="7" l="1"/>
  <c r="G1454" i="7"/>
  <c r="H1454" i="7" l="1"/>
  <c r="I1454" i="7" s="1"/>
  <c r="J1454" i="7" s="1"/>
  <c r="L1454" i="7"/>
  <c r="M1454" i="7" s="1"/>
  <c r="N1454" i="7" s="1"/>
  <c r="Q1455" i="7" l="1"/>
  <c r="O1454" i="7"/>
  <c r="T1455" i="7" s="1"/>
  <c r="K1454" i="7"/>
  <c r="S1455" i="7" s="1"/>
  <c r="P1455" i="7"/>
  <c r="G1455" i="7" l="1"/>
  <c r="R1455" i="7"/>
  <c r="H1455" i="7" l="1"/>
  <c r="I1455" i="7" s="1"/>
  <c r="J1455" i="7" s="1"/>
  <c r="L1455" i="7"/>
  <c r="M1455" i="7" s="1"/>
  <c r="N1455" i="7" s="1"/>
  <c r="O1455" i="7" l="1"/>
  <c r="T1456" i="7" s="1"/>
  <c r="Q1456" i="7"/>
  <c r="P1456" i="7"/>
  <c r="K1455" i="7"/>
  <c r="S1456" i="7" s="1"/>
  <c r="G1456" i="7" l="1"/>
  <c r="R1456" i="7"/>
  <c r="H1456" i="7" l="1"/>
  <c r="I1456" i="7" s="1"/>
  <c r="J1456" i="7" s="1"/>
  <c r="L1456" i="7"/>
  <c r="M1456" i="7" s="1"/>
  <c r="N1456" i="7" s="1"/>
  <c r="Q1457" i="7" l="1"/>
  <c r="O1456" i="7"/>
  <c r="T1457" i="7" s="1"/>
  <c r="K1456" i="7"/>
  <c r="S1457" i="7" s="1"/>
  <c r="P1457" i="7"/>
  <c r="R1457" i="7" l="1"/>
  <c r="G1457" i="7"/>
  <c r="H1457" i="7" l="1"/>
  <c r="I1457" i="7" s="1"/>
  <c r="J1457" i="7" s="1"/>
  <c r="L1457" i="7"/>
  <c r="M1457" i="7" s="1"/>
  <c r="N1457" i="7" s="1"/>
  <c r="Q1458" i="7" l="1"/>
  <c r="O1457" i="7"/>
  <c r="T1458" i="7" s="1"/>
  <c r="P1458" i="7"/>
  <c r="K1457" i="7"/>
  <c r="S1458" i="7" s="1"/>
  <c r="R1458" i="7" l="1"/>
  <c r="G1458" i="7"/>
  <c r="L1458" i="7" l="1"/>
  <c r="M1458" i="7" s="1"/>
  <c r="N1458" i="7" s="1"/>
  <c r="H1458" i="7"/>
  <c r="I1458" i="7" s="1"/>
  <c r="J1458" i="7" s="1"/>
  <c r="K1458" i="7" l="1"/>
  <c r="S1459" i="7" s="1"/>
  <c r="P1459" i="7"/>
  <c r="Q1459" i="7"/>
  <c r="O1458" i="7"/>
  <c r="T1459" i="7" s="1"/>
  <c r="G1459" i="7" l="1"/>
  <c r="R1459" i="7"/>
  <c r="L1459" i="7" l="1"/>
  <c r="M1459" i="7" s="1"/>
  <c r="N1459" i="7" s="1"/>
  <c r="H1459" i="7"/>
  <c r="I1459" i="7" s="1"/>
  <c r="J1459" i="7" s="1"/>
  <c r="P1460" i="7" l="1"/>
  <c r="K1459" i="7"/>
  <c r="S1460" i="7" s="1"/>
  <c r="O1459" i="7"/>
  <c r="T1460" i="7" s="1"/>
  <c r="Q1460" i="7"/>
  <c r="R1460" i="7" l="1"/>
  <c r="G1460" i="7"/>
  <c r="L1460" i="7" l="1"/>
  <c r="M1460" i="7" s="1"/>
  <c r="N1460" i="7" s="1"/>
  <c r="H1460" i="7"/>
  <c r="I1460" i="7" s="1"/>
  <c r="J1460" i="7" s="1"/>
  <c r="K1460" i="7" l="1"/>
  <c r="S1461" i="7" s="1"/>
  <c r="P1461" i="7"/>
  <c r="O1460" i="7"/>
  <c r="T1461" i="7" s="1"/>
  <c r="Q1461" i="7"/>
  <c r="G1461" i="7" l="1"/>
  <c r="R1461" i="7"/>
  <c r="H1461" i="7" l="1"/>
  <c r="I1461" i="7" s="1"/>
  <c r="J1461" i="7" s="1"/>
  <c r="L1461" i="7"/>
  <c r="M1461" i="7" s="1"/>
  <c r="N1461" i="7" s="1"/>
  <c r="O1461" i="7" l="1"/>
  <c r="T1462" i="7" s="1"/>
  <c r="Q1462" i="7"/>
  <c r="P1462" i="7"/>
  <c r="K1461" i="7"/>
  <c r="S1462" i="7" s="1"/>
  <c r="G1462" i="7" l="1"/>
  <c r="R1462" i="7"/>
  <c r="H1462" i="7" l="1"/>
  <c r="I1462" i="7" s="1"/>
  <c r="J1462" i="7" s="1"/>
  <c r="L1462" i="7"/>
  <c r="M1462" i="7" s="1"/>
  <c r="N1462" i="7" s="1"/>
  <c r="Q1463" i="7" l="1"/>
  <c r="O1462" i="7"/>
  <c r="T1463" i="7" s="1"/>
  <c r="K1462" i="7"/>
  <c r="S1463" i="7" s="1"/>
  <c r="P1463" i="7"/>
  <c r="G1463" i="7" l="1"/>
  <c r="R1463" i="7"/>
  <c r="H1463" i="7" l="1"/>
  <c r="I1463" i="7" s="1"/>
  <c r="J1463" i="7" s="1"/>
  <c r="L1463" i="7"/>
  <c r="M1463" i="7" s="1"/>
  <c r="N1463" i="7" s="1"/>
  <c r="Q1464" i="7" l="1"/>
  <c r="O1463" i="7"/>
  <c r="T1464" i="7" s="1"/>
  <c r="P1464" i="7"/>
  <c r="K1463" i="7"/>
  <c r="S1464" i="7" s="1"/>
  <c r="G1464" i="7" l="1"/>
  <c r="R1464" i="7"/>
  <c r="L1464" i="7" l="1"/>
  <c r="M1464" i="7" s="1"/>
  <c r="N1464" i="7" s="1"/>
  <c r="H1464" i="7"/>
  <c r="I1464" i="7" s="1"/>
  <c r="J1464" i="7" s="1"/>
  <c r="P1465" i="7" l="1"/>
  <c r="K1464" i="7"/>
  <c r="S1465" i="7" s="1"/>
  <c r="Q1465" i="7"/>
  <c r="O1464" i="7"/>
  <c r="T1465" i="7" s="1"/>
  <c r="R1465" i="7" l="1"/>
  <c r="G1465" i="7"/>
  <c r="H1465" i="7" l="1"/>
  <c r="I1465" i="7" s="1"/>
  <c r="J1465" i="7" s="1"/>
  <c r="L1465" i="7"/>
  <c r="M1465" i="7" s="1"/>
  <c r="N1465" i="7" s="1"/>
  <c r="Q1466" i="7" l="1"/>
  <c r="O1465" i="7"/>
  <c r="T1466" i="7" s="1"/>
  <c r="K1465" i="7"/>
  <c r="S1466" i="7" s="1"/>
  <c r="P1466" i="7"/>
  <c r="R1466" i="7" l="1"/>
  <c r="G1466" i="7"/>
  <c r="H1466" i="7" l="1"/>
  <c r="I1466" i="7" s="1"/>
  <c r="J1466" i="7" s="1"/>
  <c r="L1466" i="7"/>
  <c r="M1466" i="7" s="1"/>
  <c r="N1466" i="7" s="1"/>
  <c r="O1466" i="7" l="1"/>
  <c r="T1467" i="7" s="1"/>
  <c r="Q1467" i="7"/>
  <c r="K1466" i="7"/>
  <c r="S1467" i="7" s="1"/>
  <c r="P1467" i="7"/>
  <c r="R1467" i="7" l="1"/>
  <c r="G1467" i="7"/>
  <c r="H1467" i="7" l="1"/>
  <c r="I1467" i="7" s="1"/>
  <c r="J1467" i="7" s="1"/>
  <c r="L1467" i="7"/>
  <c r="M1467" i="7" s="1"/>
  <c r="N1467" i="7" s="1"/>
  <c r="O1467" i="7" l="1"/>
  <c r="T1468" i="7" s="1"/>
  <c r="Q1468" i="7"/>
  <c r="P1468" i="7"/>
  <c r="K1467" i="7"/>
  <c r="S1468" i="7" s="1"/>
  <c r="G1468" i="7" l="1"/>
  <c r="R1468" i="7"/>
  <c r="L1468" i="7" l="1"/>
  <c r="M1468" i="7" s="1"/>
  <c r="N1468" i="7" s="1"/>
  <c r="H1468" i="7"/>
  <c r="I1468" i="7" s="1"/>
  <c r="J1468" i="7" s="1"/>
  <c r="P1469" i="7" l="1"/>
  <c r="K1468" i="7"/>
  <c r="S1469" i="7" s="1"/>
  <c r="O1468" i="7"/>
  <c r="T1469" i="7" s="1"/>
  <c r="Q1469" i="7"/>
  <c r="G1469" i="7" l="1"/>
  <c r="R1469" i="7"/>
  <c r="L1469" i="7" l="1"/>
  <c r="M1469" i="7" s="1"/>
  <c r="N1469" i="7" s="1"/>
  <c r="H1469" i="7"/>
  <c r="I1469" i="7" s="1"/>
  <c r="J1469" i="7" s="1"/>
  <c r="P1470" i="7" l="1"/>
  <c r="K1469" i="7"/>
  <c r="S1470" i="7" s="1"/>
  <c r="Q1470" i="7"/>
  <c r="O1469" i="7"/>
  <c r="T1470" i="7" s="1"/>
  <c r="G1470" i="7" l="1"/>
  <c r="R1470" i="7"/>
  <c r="L1470" i="7" l="1"/>
  <c r="M1470" i="7" s="1"/>
  <c r="N1470" i="7" s="1"/>
  <c r="H1470" i="7"/>
  <c r="I1470" i="7" s="1"/>
  <c r="J1470" i="7" s="1"/>
  <c r="P1471" i="7" l="1"/>
  <c r="K1470" i="7"/>
  <c r="S1471" i="7" s="1"/>
  <c r="O1470" i="7"/>
  <c r="T1471" i="7" s="1"/>
  <c r="Q1471" i="7"/>
  <c r="G1471" i="7" l="1"/>
  <c r="R1471" i="7"/>
  <c r="H1471" i="7" l="1"/>
  <c r="I1471" i="7" s="1"/>
  <c r="J1471" i="7" s="1"/>
  <c r="L1471" i="7"/>
  <c r="M1471" i="7" s="1"/>
  <c r="N1471" i="7" s="1"/>
  <c r="O1471" i="7" l="1"/>
  <c r="T1472" i="7" s="1"/>
  <c r="Q1472" i="7"/>
  <c r="P1472" i="7"/>
  <c r="K1471" i="7"/>
  <c r="S1472" i="7" s="1"/>
  <c r="G1472" i="7" l="1"/>
  <c r="R1472" i="7"/>
  <c r="L1472" i="7" l="1"/>
  <c r="M1472" i="7" s="1"/>
  <c r="N1472" i="7" s="1"/>
  <c r="H1472" i="7"/>
  <c r="I1472" i="7" s="1"/>
  <c r="J1472" i="7" s="1"/>
  <c r="K1472" i="7" l="1"/>
  <c r="S1473" i="7" s="1"/>
  <c r="P1473" i="7"/>
  <c r="O1472" i="7"/>
  <c r="T1473" i="7" s="1"/>
  <c r="Q1473" i="7"/>
  <c r="R1473" i="7" l="1"/>
  <c r="G1473" i="7"/>
  <c r="L1473" i="7" l="1"/>
  <c r="M1473" i="7" s="1"/>
  <c r="N1473" i="7" s="1"/>
  <c r="H1473" i="7"/>
  <c r="I1473" i="7" s="1"/>
  <c r="J1473" i="7" s="1"/>
  <c r="P1474" i="7" l="1"/>
  <c r="K1473" i="7"/>
  <c r="S1474" i="7" s="1"/>
  <c r="Q1474" i="7"/>
  <c r="O1473" i="7"/>
  <c r="T1474" i="7" s="1"/>
  <c r="G1474" i="7" l="1"/>
  <c r="R1474" i="7"/>
  <c r="H1474" i="7" l="1"/>
  <c r="I1474" i="7" s="1"/>
  <c r="J1474" i="7" s="1"/>
  <c r="L1474" i="7"/>
  <c r="M1474" i="7" s="1"/>
  <c r="N1474" i="7" s="1"/>
  <c r="O1474" i="7" l="1"/>
  <c r="T1475" i="7" s="1"/>
  <c r="Q1475" i="7"/>
  <c r="P1475" i="7"/>
  <c r="K1474" i="7"/>
  <c r="S1475" i="7" s="1"/>
  <c r="R1475" i="7" l="1"/>
  <c r="G1475" i="7"/>
  <c r="L1475" i="7" l="1"/>
  <c r="M1475" i="7" s="1"/>
  <c r="N1475" i="7" s="1"/>
  <c r="H1475" i="7"/>
  <c r="I1475" i="7" s="1"/>
  <c r="J1475" i="7" s="1"/>
  <c r="P1476" i="7" l="1"/>
  <c r="K1475" i="7"/>
  <c r="S1476" i="7" s="1"/>
  <c r="Q1476" i="7"/>
  <c r="O1475" i="7"/>
  <c r="T1476" i="7" s="1"/>
  <c r="R1476" i="7" l="1"/>
  <c r="G1476" i="7"/>
  <c r="L1476" i="7" l="1"/>
  <c r="M1476" i="7" s="1"/>
  <c r="N1476" i="7" s="1"/>
  <c r="H1476" i="7"/>
  <c r="I1476" i="7" s="1"/>
  <c r="J1476" i="7" s="1"/>
  <c r="K1476" i="7" l="1"/>
  <c r="S1477" i="7" s="1"/>
  <c r="P1477" i="7"/>
  <c r="O1476" i="7"/>
  <c r="T1477" i="7" s="1"/>
  <c r="Q1477" i="7"/>
  <c r="R1477" i="7" l="1"/>
  <c r="G1477" i="7"/>
  <c r="L1477" i="7" l="1"/>
  <c r="M1477" i="7" s="1"/>
  <c r="N1477" i="7" s="1"/>
  <c r="H1477" i="7"/>
  <c r="I1477" i="7" s="1"/>
  <c r="J1477" i="7" s="1"/>
  <c r="K1477" i="7" l="1"/>
  <c r="S1478" i="7" s="1"/>
  <c r="P1478" i="7"/>
  <c r="O1477" i="7"/>
  <c r="T1478" i="7" s="1"/>
  <c r="Q1478" i="7"/>
  <c r="G1478" i="7" l="1"/>
  <c r="R1478" i="7"/>
  <c r="H1478" i="7" l="1"/>
  <c r="I1478" i="7" s="1"/>
  <c r="J1478" i="7" s="1"/>
  <c r="L1478" i="7"/>
  <c r="M1478" i="7" s="1"/>
  <c r="N1478" i="7" s="1"/>
  <c r="Q1479" i="7" l="1"/>
  <c r="O1478" i="7"/>
  <c r="T1479" i="7" s="1"/>
  <c r="K1478" i="7"/>
  <c r="S1479" i="7" s="1"/>
  <c r="P1479" i="7"/>
  <c r="G1479" i="7" l="1"/>
  <c r="R1479" i="7"/>
  <c r="L1479" i="7" l="1"/>
  <c r="M1479" i="7" s="1"/>
  <c r="N1479" i="7" s="1"/>
  <c r="H1479" i="7"/>
  <c r="I1479" i="7" s="1"/>
  <c r="J1479" i="7" s="1"/>
  <c r="P1480" i="7" l="1"/>
  <c r="K1479" i="7"/>
  <c r="S1480" i="7" s="1"/>
  <c r="O1479" i="7"/>
  <c r="T1480" i="7" s="1"/>
  <c r="Q1480" i="7"/>
  <c r="G1480" i="7" l="1"/>
  <c r="R1480" i="7"/>
  <c r="H1480" i="7" l="1"/>
  <c r="I1480" i="7" s="1"/>
  <c r="J1480" i="7" s="1"/>
  <c r="L1480" i="7"/>
  <c r="M1480" i="7" s="1"/>
  <c r="N1480" i="7" s="1"/>
  <c r="O1480" i="7" l="1"/>
  <c r="T1481" i="7" s="1"/>
  <c r="Q1481" i="7"/>
  <c r="P1481" i="7"/>
  <c r="K1480" i="7"/>
  <c r="S1481" i="7" s="1"/>
  <c r="R1481" i="7" l="1"/>
  <c r="G1481" i="7"/>
  <c r="H1481" i="7" l="1"/>
  <c r="I1481" i="7" s="1"/>
  <c r="J1481" i="7" s="1"/>
  <c r="L1481" i="7"/>
  <c r="M1481" i="7" s="1"/>
  <c r="N1481" i="7" s="1"/>
  <c r="Q1482" i="7" l="1"/>
  <c r="O1481" i="7"/>
  <c r="T1482" i="7" s="1"/>
  <c r="P1482" i="7"/>
  <c r="K1481" i="7"/>
  <c r="S1482" i="7" s="1"/>
  <c r="G1482" i="7" l="1"/>
  <c r="R1482" i="7"/>
  <c r="H1482" i="7" l="1"/>
  <c r="I1482" i="7" s="1"/>
  <c r="J1482" i="7" s="1"/>
  <c r="L1482" i="7"/>
  <c r="M1482" i="7" s="1"/>
  <c r="N1482" i="7" s="1"/>
  <c r="Q1483" i="7" l="1"/>
  <c r="O1482" i="7"/>
  <c r="T1483" i="7" s="1"/>
  <c r="K1482" i="7"/>
  <c r="S1483" i="7" s="1"/>
  <c r="P1483" i="7"/>
  <c r="R1483" i="7" l="1"/>
  <c r="G1483" i="7"/>
  <c r="H1483" i="7" l="1"/>
  <c r="I1483" i="7" s="1"/>
  <c r="J1483" i="7" s="1"/>
  <c r="L1483" i="7"/>
  <c r="M1483" i="7" s="1"/>
  <c r="N1483" i="7" s="1"/>
  <c r="O1483" i="7" l="1"/>
  <c r="T1484" i="7" s="1"/>
  <c r="Q1484" i="7"/>
  <c r="P1484" i="7"/>
  <c r="K1483" i="7"/>
  <c r="S1484" i="7" s="1"/>
  <c r="G1484" i="7" l="1"/>
  <c r="R1484" i="7"/>
  <c r="L1484" i="7" l="1"/>
  <c r="M1484" i="7" s="1"/>
  <c r="N1484" i="7" s="1"/>
  <c r="H1484" i="7"/>
  <c r="I1484" i="7" s="1"/>
  <c r="J1484" i="7" s="1"/>
  <c r="K1484" i="7" l="1"/>
  <c r="S1485" i="7" s="1"/>
  <c r="P1485" i="7"/>
  <c r="Q1485" i="7"/>
  <c r="O1484" i="7"/>
  <c r="T1485" i="7" s="1"/>
  <c r="R1485" i="7" l="1"/>
  <c r="G1485" i="7"/>
  <c r="L1485" i="7" l="1"/>
  <c r="M1485" i="7" s="1"/>
  <c r="N1485" i="7" s="1"/>
  <c r="H1485" i="7"/>
  <c r="I1485" i="7" s="1"/>
  <c r="J1485" i="7" s="1"/>
  <c r="P1486" i="7" l="1"/>
  <c r="K1485" i="7"/>
  <c r="S1486" i="7" s="1"/>
  <c r="O1485" i="7"/>
  <c r="T1486" i="7" s="1"/>
  <c r="Q1486" i="7"/>
  <c r="G1486" i="7" l="1"/>
  <c r="R1486" i="7"/>
  <c r="L1486" i="7" l="1"/>
  <c r="M1486" i="7" s="1"/>
  <c r="N1486" i="7" s="1"/>
  <c r="H1486" i="7"/>
  <c r="I1486" i="7" s="1"/>
  <c r="J1486" i="7" s="1"/>
  <c r="K1486" i="7" l="1"/>
  <c r="S1487" i="7" s="1"/>
  <c r="P1487" i="7"/>
  <c r="O1486" i="7"/>
  <c r="T1487" i="7" s="1"/>
  <c r="Q1487" i="7"/>
  <c r="G1487" i="7" l="1"/>
  <c r="R1487" i="7"/>
  <c r="L1487" i="7" l="1"/>
  <c r="M1487" i="7" s="1"/>
  <c r="N1487" i="7" s="1"/>
  <c r="H1487" i="7"/>
  <c r="I1487" i="7" s="1"/>
  <c r="J1487" i="7" s="1"/>
  <c r="K1487" i="7" l="1"/>
  <c r="S1488" i="7" s="1"/>
  <c r="P1488" i="7"/>
  <c r="Q1488" i="7"/>
  <c r="O1487" i="7"/>
  <c r="T1488" i="7" s="1"/>
  <c r="G1488" i="7" l="1"/>
  <c r="R1488" i="7"/>
  <c r="H1488" i="7" l="1"/>
  <c r="I1488" i="7" s="1"/>
  <c r="J1488" i="7" s="1"/>
  <c r="L1488" i="7"/>
  <c r="M1488" i="7" s="1"/>
  <c r="N1488" i="7" s="1"/>
  <c r="Q1489" i="7" l="1"/>
  <c r="O1488" i="7"/>
  <c r="T1489" i="7" s="1"/>
  <c r="K1488" i="7"/>
  <c r="S1489" i="7" s="1"/>
  <c r="P1489" i="7"/>
  <c r="R1489" i="7" l="1"/>
  <c r="G1489" i="7"/>
  <c r="H1489" i="7" l="1"/>
  <c r="I1489" i="7" s="1"/>
  <c r="J1489" i="7" s="1"/>
  <c r="L1489" i="7"/>
  <c r="M1489" i="7" s="1"/>
  <c r="N1489" i="7" s="1"/>
  <c r="Q1490" i="7" l="1"/>
  <c r="O1489" i="7"/>
  <c r="T1490" i="7" s="1"/>
  <c r="P1490" i="7"/>
  <c r="K1489" i="7"/>
  <c r="S1490" i="7" s="1"/>
  <c r="G1490" i="7" l="1"/>
  <c r="R1490" i="7"/>
  <c r="L1490" i="7" l="1"/>
  <c r="M1490" i="7" s="1"/>
  <c r="N1490" i="7" s="1"/>
  <c r="H1490" i="7"/>
  <c r="I1490" i="7" s="1"/>
  <c r="J1490" i="7" s="1"/>
  <c r="P1491" i="7" l="1"/>
  <c r="K1490" i="7"/>
  <c r="S1491" i="7" s="1"/>
  <c r="O1490" i="7"/>
  <c r="T1491" i="7" s="1"/>
  <c r="Q1491" i="7"/>
  <c r="G1491" i="7" l="1"/>
  <c r="R1491" i="7"/>
  <c r="H1491" i="7" l="1"/>
  <c r="I1491" i="7" s="1"/>
  <c r="J1491" i="7" s="1"/>
  <c r="L1491" i="7"/>
  <c r="M1491" i="7" s="1"/>
  <c r="N1491" i="7" s="1"/>
  <c r="O1491" i="7" l="1"/>
  <c r="T1492" i="7" s="1"/>
  <c r="Q1492" i="7"/>
  <c r="K1491" i="7"/>
  <c r="S1492" i="7" s="1"/>
  <c r="P1492" i="7"/>
  <c r="G1492" i="7" l="1"/>
  <c r="R1492" i="7"/>
  <c r="H1492" i="7" l="1"/>
  <c r="I1492" i="7" s="1"/>
  <c r="J1492" i="7" s="1"/>
  <c r="L1492" i="7"/>
  <c r="M1492" i="7" s="1"/>
  <c r="N1492" i="7" s="1"/>
  <c r="O1492" i="7" l="1"/>
  <c r="T1493" i="7" s="1"/>
  <c r="Q1493" i="7"/>
  <c r="K1492" i="7"/>
  <c r="S1493" i="7" s="1"/>
  <c r="P1493" i="7"/>
  <c r="R1493" i="7" l="1"/>
  <c r="G1493" i="7"/>
  <c r="H1493" i="7" l="1"/>
  <c r="I1493" i="7" s="1"/>
  <c r="J1493" i="7" s="1"/>
  <c r="L1493" i="7"/>
  <c r="M1493" i="7" s="1"/>
  <c r="N1493" i="7" s="1"/>
  <c r="Q1494" i="7" l="1"/>
  <c r="O1493" i="7"/>
  <c r="T1494" i="7" s="1"/>
  <c r="P1494" i="7"/>
  <c r="K1493" i="7"/>
  <c r="S1494" i="7" s="1"/>
  <c r="G1494" i="7" l="1"/>
  <c r="R1494" i="7"/>
  <c r="L1494" i="7" l="1"/>
  <c r="M1494" i="7" s="1"/>
  <c r="N1494" i="7" s="1"/>
  <c r="H1494" i="7"/>
  <c r="I1494" i="7" s="1"/>
  <c r="J1494" i="7" s="1"/>
  <c r="P1495" i="7" l="1"/>
  <c r="K1494" i="7"/>
  <c r="S1495" i="7" s="1"/>
  <c r="Q1495" i="7"/>
  <c r="O1494" i="7"/>
  <c r="T1495" i="7" s="1"/>
  <c r="R1495" i="7" l="1"/>
  <c r="G1495" i="7"/>
  <c r="L1495" i="7" l="1"/>
  <c r="M1495" i="7" s="1"/>
  <c r="N1495" i="7" s="1"/>
  <c r="H1495" i="7"/>
  <c r="I1495" i="7" s="1"/>
  <c r="J1495" i="7" s="1"/>
  <c r="P1496" i="7" l="1"/>
  <c r="K1495" i="7"/>
  <c r="S1496" i="7" s="1"/>
  <c r="O1495" i="7"/>
  <c r="T1496" i="7" s="1"/>
  <c r="Q1496" i="7"/>
  <c r="G1496" i="7" l="1"/>
  <c r="R1496" i="7"/>
  <c r="L1496" i="7" l="1"/>
  <c r="M1496" i="7" s="1"/>
  <c r="N1496" i="7" s="1"/>
  <c r="H1496" i="7"/>
  <c r="I1496" i="7" s="1"/>
  <c r="J1496" i="7" s="1"/>
  <c r="P1497" i="7" l="1"/>
  <c r="K1496" i="7"/>
  <c r="S1497" i="7" s="1"/>
  <c r="Q1497" i="7"/>
  <c r="O1496" i="7"/>
  <c r="T1497" i="7" s="1"/>
  <c r="R1497" i="7" l="1"/>
  <c r="G1497" i="7"/>
  <c r="L1497" i="7" l="1"/>
  <c r="M1497" i="7" s="1"/>
  <c r="N1497" i="7" s="1"/>
  <c r="H1497" i="7"/>
  <c r="I1497" i="7" s="1"/>
  <c r="J1497" i="7" s="1"/>
  <c r="P1498" i="7" l="1"/>
  <c r="K1497" i="7"/>
  <c r="S1498" i="7" s="1"/>
  <c r="Q1498" i="7"/>
  <c r="O1497" i="7"/>
  <c r="T1498" i="7" s="1"/>
  <c r="G1498" i="7" l="1"/>
  <c r="R1498" i="7"/>
  <c r="H1498" i="7" l="1"/>
  <c r="I1498" i="7" s="1"/>
  <c r="J1498" i="7" s="1"/>
  <c r="L1498" i="7"/>
  <c r="M1498" i="7" s="1"/>
  <c r="N1498" i="7" s="1"/>
  <c r="Q1499" i="7" l="1"/>
  <c r="O1498" i="7"/>
  <c r="T1499" i="7" s="1"/>
  <c r="P1499" i="7"/>
  <c r="K1498" i="7"/>
  <c r="S1499" i="7" s="1"/>
  <c r="R1499" i="7" l="1"/>
  <c r="G1499" i="7"/>
  <c r="H1499" i="7" l="1"/>
  <c r="I1499" i="7" s="1"/>
  <c r="J1499" i="7" s="1"/>
  <c r="L1499" i="7"/>
  <c r="M1499" i="7" s="1"/>
  <c r="N1499" i="7" s="1"/>
  <c r="Q1500" i="7" l="1"/>
  <c r="O1499" i="7"/>
  <c r="T1500" i="7" s="1"/>
  <c r="P1500" i="7"/>
  <c r="K1499" i="7"/>
  <c r="S1500" i="7" s="1"/>
  <c r="G1500" i="7" l="1"/>
  <c r="R1500" i="7"/>
  <c r="L1500" i="7" l="1"/>
  <c r="M1500" i="7" s="1"/>
  <c r="N1500" i="7" s="1"/>
  <c r="H1500" i="7"/>
  <c r="I1500" i="7" s="1"/>
  <c r="J1500" i="7" s="1"/>
  <c r="K1500" i="7" l="1"/>
  <c r="S1501" i="7" s="1"/>
  <c r="P1501" i="7"/>
  <c r="Q1501" i="7"/>
  <c r="O1500" i="7"/>
  <c r="T1501" i="7" s="1"/>
  <c r="R1501" i="7" l="1"/>
  <c r="G1501" i="7"/>
  <c r="H1501" i="7" l="1"/>
  <c r="I1501" i="7" s="1"/>
  <c r="J1501" i="7" s="1"/>
  <c r="L1501" i="7"/>
  <c r="M1501" i="7" s="1"/>
  <c r="N1501" i="7" s="1"/>
  <c r="Q1502" i="7" l="1"/>
  <c r="O1501" i="7"/>
  <c r="T1502" i="7" s="1"/>
  <c r="P1502" i="7"/>
  <c r="K1501" i="7"/>
  <c r="S1502" i="7" s="1"/>
  <c r="R1502" i="7" l="1"/>
  <c r="G1502" i="7"/>
  <c r="L1502" i="7" l="1"/>
  <c r="M1502" i="7" s="1"/>
  <c r="N1502" i="7" s="1"/>
  <c r="H1502" i="7"/>
  <c r="I1502" i="7" s="1"/>
  <c r="J1502" i="7" s="1"/>
  <c r="P1503" i="7" l="1"/>
  <c r="K1502" i="7"/>
  <c r="S1503" i="7" s="1"/>
  <c r="Q1503" i="7"/>
  <c r="O1502" i="7"/>
  <c r="T1503" i="7" s="1"/>
  <c r="G1503" i="7" l="1"/>
  <c r="R1503" i="7"/>
  <c r="H1503" i="7" l="1"/>
  <c r="I1503" i="7" s="1"/>
  <c r="J1503" i="7" s="1"/>
  <c r="L1503" i="7"/>
  <c r="M1503" i="7" s="1"/>
  <c r="N1503" i="7" s="1"/>
  <c r="O1503" i="7" l="1"/>
  <c r="T1504" i="7" s="1"/>
  <c r="Q1504" i="7"/>
  <c r="K1503" i="7"/>
  <c r="S1504" i="7" s="1"/>
  <c r="P1504" i="7"/>
  <c r="R1504" i="7" l="1"/>
  <c r="G1504" i="7"/>
  <c r="L1504" i="7" l="1"/>
  <c r="M1504" i="7" s="1"/>
  <c r="N1504" i="7" s="1"/>
  <c r="H1504" i="7"/>
  <c r="I1504" i="7" s="1"/>
  <c r="J1504" i="7" s="1"/>
  <c r="P1505" i="7" l="1"/>
  <c r="K1504" i="7"/>
  <c r="S1505" i="7" s="1"/>
  <c r="O1504" i="7"/>
  <c r="T1505" i="7" s="1"/>
  <c r="Q1505" i="7"/>
  <c r="R1505" i="7" l="1"/>
  <c r="G1505" i="7"/>
  <c r="H1505" i="7" l="1"/>
  <c r="I1505" i="7" s="1"/>
  <c r="J1505" i="7" s="1"/>
  <c r="L1505" i="7"/>
  <c r="M1505" i="7" s="1"/>
  <c r="N1505" i="7" s="1"/>
  <c r="O1505" i="7" l="1"/>
  <c r="T1506" i="7" s="1"/>
  <c r="Q1506" i="7"/>
  <c r="K1505" i="7"/>
  <c r="S1506" i="7" s="1"/>
  <c r="P1506" i="7"/>
  <c r="R1506" i="7" l="1"/>
  <c r="G1506" i="7"/>
  <c r="H1506" i="7" l="1"/>
  <c r="I1506" i="7" s="1"/>
  <c r="J1506" i="7" s="1"/>
  <c r="L1506" i="7"/>
  <c r="M1506" i="7" s="1"/>
  <c r="N1506" i="7" s="1"/>
  <c r="Q1507" i="7" l="1"/>
  <c r="O1506" i="7"/>
  <c r="T1507" i="7" s="1"/>
  <c r="K1506" i="7"/>
  <c r="S1507" i="7" s="1"/>
  <c r="P1507" i="7"/>
  <c r="G1507" i="7" l="1"/>
  <c r="R1507" i="7"/>
  <c r="L1507" i="7" l="1"/>
  <c r="M1507" i="7" s="1"/>
  <c r="N1507" i="7" s="1"/>
  <c r="H1507" i="7"/>
  <c r="I1507" i="7" s="1"/>
  <c r="J1507" i="7" s="1"/>
  <c r="K1507" i="7" l="1"/>
  <c r="S1508" i="7" s="1"/>
  <c r="P1508" i="7"/>
  <c r="O1507" i="7"/>
  <c r="T1508" i="7" s="1"/>
  <c r="Q1508" i="7"/>
  <c r="G1508" i="7" l="1"/>
  <c r="R1508" i="7"/>
  <c r="H1508" i="7" l="1"/>
  <c r="I1508" i="7" s="1"/>
  <c r="J1508" i="7" s="1"/>
  <c r="L1508" i="7"/>
  <c r="M1508" i="7" s="1"/>
  <c r="N1508" i="7" s="1"/>
  <c r="Q1509" i="7" l="1"/>
  <c r="O1508" i="7"/>
  <c r="T1509" i="7" s="1"/>
  <c r="P1509" i="7"/>
  <c r="K1508" i="7"/>
  <c r="S1509" i="7" s="1"/>
  <c r="G1509" i="7" l="1"/>
  <c r="R1509" i="7"/>
  <c r="H1509" i="7" l="1"/>
  <c r="I1509" i="7" s="1"/>
  <c r="J1509" i="7" s="1"/>
  <c r="L1509" i="7"/>
  <c r="M1509" i="7" s="1"/>
  <c r="N1509" i="7" s="1"/>
  <c r="O1509" i="7" l="1"/>
  <c r="T1510" i="7" s="1"/>
  <c r="Q1510" i="7"/>
  <c r="P1510" i="7"/>
  <c r="K1509" i="7"/>
  <c r="S1510" i="7" s="1"/>
  <c r="R1510" i="7" l="1"/>
  <c r="G1510" i="7"/>
  <c r="H1510" i="7" l="1"/>
  <c r="I1510" i="7" s="1"/>
  <c r="J1510" i="7" s="1"/>
  <c r="L1510" i="7"/>
  <c r="M1510" i="7" s="1"/>
  <c r="N1510" i="7" s="1"/>
  <c r="O1510" i="7" l="1"/>
  <c r="T1511" i="7" s="1"/>
  <c r="Q1511" i="7"/>
  <c r="P1511" i="7"/>
  <c r="K1510" i="7"/>
  <c r="S1511" i="7" s="1"/>
  <c r="G1511" i="7" l="1"/>
  <c r="R1511" i="7"/>
  <c r="L1511" i="7" l="1"/>
  <c r="M1511" i="7" s="1"/>
  <c r="N1511" i="7" s="1"/>
  <c r="H1511" i="7"/>
  <c r="I1511" i="7" s="1"/>
  <c r="J1511" i="7" s="1"/>
  <c r="P1512" i="7" l="1"/>
  <c r="K1511" i="7"/>
  <c r="S1512" i="7" s="1"/>
  <c r="Q1512" i="7"/>
  <c r="O1511" i="7"/>
  <c r="T1512" i="7" s="1"/>
  <c r="R1512" i="7" l="1"/>
  <c r="G1512" i="7"/>
  <c r="L1512" i="7" l="1"/>
  <c r="M1512" i="7" s="1"/>
  <c r="N1512" i="7" s="1"/>
  <c r="H1512" i="7"/>
  <c r="I1512" i="7" s="1"/>
  <c r="J1512" i="7" s="1"/>
  <c r="K1512" i="7" l="1"/>
  <c r="S1513" i="7" s="1"/>
  <c r="P1513" i="7"/>
  <c r="Q1513" i="7"/>
  <c r="O1512" i="7"/>
  <c r="T1513" i="7" s="1"/>
  <c r="R1513" i="7" l="1"/>
  <c r="G1513" i="7"/>
  <c r="L1513" i="7" l="1"/>
  <c r="M1513" i="7" s="1"/>
  <c r="N1513" i="7" s="1"/>
  <c r="H1513" i="7"/>
  <c r="I1513" i="7" s="1"/>
  <c r="J1513" i="7" s="1"/>
  <c r="P1514" i="7" l="1"/>
  <c r="K1513" i="7"/>
  <c r="S1514" i="7" s="1"/>
  <c r="O1513" i="7"/>
  <c r="T1514" i="7" s="1"/>
  <c r="Q1514" i="7"/>
  <c r="G1514" i="7" l="1"/>
  <c r="R1514" i="7"/>
  <c r="H1514" i="7" l="1"/>
  <c r="I1514" i="7" s="1"/>
  <c r="J1514" i="7" s="1"/>
  <c r="L1514" i="7"/>
  <c r="M1514" i="7" s="1"/>
  <c r="N1514" i="7" s="1"/>
  <c r="Q1515" i="7" l="1"/>
  <c r="O1514" i="7"/>
  <c r="T1515" i="7" s="1"/>
  <c r="K1514" i="7"/>
  <c r="S1515" i="7" s="1"/>
  <c r="P1515" i="7"/>
  <c r="R1515" i="7" l="1"/>
  <c r="G1515" i="7"/>
  <c r="H1515" i="7" l="1"/>
  <c r="I1515" i="7" s="1"/>
  <c r="J1515" i="7" s="1"/>
  <c r="L1515" i="7"/>
  <c r="M1515" i="7" s="1"/>
  <c r="N1515" i="7" s="1"/>
  <c r="Q1516" i="7" l="1"/>
  <c r="O1515" i="7"/>
  <c r="T1516" i="7" s="1"/>
  <c r="K1515" i="7"/>
  <c r="S1516" i="7" s="1"/>
  <c r="P1516" i="7"/>
  <c r="G1516" i="7" l="1"/>
  <c r="R1516" i="7"/>
  <c r="L1516" i="7" l="1"/>
  <c r="M1516" i="7" s="1"/>
  <c r="N1516" i="7" s="1"/>
  <c r="H1516" i="7"/>
  <c r="I1516" i="7" s="1"/>
  <c r="J1516" i="7" s="1"/>
  <c r="P1517" i="7" l="1"/>
  <c r="K1516" i="7"/>
  <c r="S1517" i="7" s="1"/>
  <c r="O1516" i="7"/>
  <c r="T1517" i="7" s="1"/>
  <c r="Q1517" i="7"/>
  <c r="R1517" i="7" l="1"/>
  <c r="G1517" i="7"/>
  <c r="H1517" i="7" l="1"/>
  <c r="I1517" i="7" s="1"/>
  <c r="J1517" i="7" s="1"/>
  <c r="L1517" i="7"/>
  <c r="M1517" i="7" s="1"/>
  <c r="N1517" i="7" s="1"/>
  <c r="O1517" i="7" l="1"/>
  <c r="T1518" i="7" s="1"/>
  <c r="Q1518" i="7"/>
  <c r="P1518" i="7"/>
  <c r="K1517" i="7"/>
  <c r="S1518" i="7" s="1"/>
  <c r="R1518" i="7" l="1"/>
  <c r="G1518" i="7"/>
  <c r="H1518" i="7" l="1"/>
  <c r="I1518" i="7" s="1"/>
  <c r="J1518" i="7" s="1"/>
  <c r="L1518" i="7"/>
  <c r="M1518" i="7" s="1"/>
  <c r="N1518" i="7" s="1"/>
  <c r="O1518" i="7" l="1"/>
  <c r="T1519" i="7" s="1"/>
  <c r="Q1519" i="7"/>
  <c r="K1518" i="7"/>
  <c r="S1519" i="7" s="1"/>
  <c r="P1519" i="7"/>
  <c r="G1519" i="7" l="1"/>
  <c r="R1519" i="7"/>
  <c r="H1519" i="7" l="1"/>
  <c r="I1519" i="7" s="1"/>
  <c r="J1519" i="7" s="1"/>
  <c r="L1519" i="7"/>
  <c r="M1519" i="7" s="1"/>
  <c r="N1519" i="7" s="1"/>
  <c r="O1519" i="7" l="1"/>
  <c r="T1520" i="7" s="1"/>
  <c r="Q1520" i="7"/>
  <c r="K1519" i="7"/>
  <c r="S1520" i="7" s="1"/>
  <c r="P1520" i="7"/>
  <c r="R1520" i="7" l="1"/>
  <c r="G1520" i="7"/>
  <c r="L1520" i="7" l="1"/>
  <c r="M1520" i="7" s="1"/>
  <c r="N1520" i="7" s="1"/>
  <c r="H1520" i="7"/>
  <c r="I1520" i="7" s="1"/>
  <c r="J1520" i="7" s="1"/>
  <c r="P1521" i="7" l="1"/>
  <c r="K1520" i="7"/>
  <c r="S1521" i="7" s="1"/>
  <c r="Q1521" i="7"/>
  <c r="O1520" i="7"/>
  <c r="T1521" i="7" s="1"/>
  <c r="R1521" i="7" l="1"/>
  <c r="G1521" i="7"/>
  <c r="L1521" i="7" l="1"/>
  <c r="M1521" i="7" s="1"/>
  <c r="N1521" i="7" s="1"/>
  <c r="H1521" i="7"/>
  <c r="I1521" i="7" s="1"/>
  <c r="J1521" i="7" s="1"/>
  <c r="P1522" i="7" l="1"/>
  <c r="K1521" i="7"/>
  <c r="S1522" i="7" s="1"/>
  <c r="Q1522" i="7"/>
  <c r="O1521" i="7"/>
  <c r="T1522" i="7" s="1"/>
  <c r="G1522" i="7" l="1"/>
  <c r="R1522" i="7"/>
  <c r="H1522" i="7" l="1"/>
  <c r="I1522" i="7" s="1"/>
  <c r="J1522" i="7" s="1"/>
  <c r="L1522" i="7"/>
  <c r="M1522" i="7" s="1"/>
  <c r="N1522" i="7" s="1"/>
  <c r="Q1523" i="7" l="1"/>
  <c r="O1522" i="7"/>
  <c r="T1523" i="7" s="1"/>
  <c r="P1523" i="7"/>
  <c r="K1522" i="7"/>
  <c r="S1523" i="7" s="1"/>
  <c r="R1523" i="7" l="1"/>
  <c r="G1523" i="7"/>
  <c r="L1523" i="7" l="1"/>
  <c r="M1523" i="7" s="1"/>
  <c r="N1523" i="7" s="1"/>
  <c r="H1523" i="7"/>
  <c r="I1523" i="7" s="1"/>
  <c r="J1523" i="7" s="1"/>
  <c r="P1524" i="7" l="1"/>
  <c r="K1523" i="7"/>
  <c r="S1524" i="7" s="1"/>
  <c r="Q1524" i="7"/>
  <c r="O1523" i="7"/>
  <c r="T1524" i="7" s="1"/>
  <c r="R1524" i="7" l="1"/>
  <c r="G1524" i="7"/>
  <c r="H1524" i="7" l="1"/>
  <c r="I1524" i="7" s="1"/>
  <c r="J1524" i="7" s="1"/>
  <c r="L1524" i="7"/>
  <c r="M1524" i="7" s="1"/>
  <c r="N1524" i="7" s="1"/>
  <c r="Q1525" i="7" l="1"/>
  <c r="O1524" i="7"/>
  <c r="T1525" i="7" s="1"/>
  <c r="P1525" i="7"/>
  <c r="K1524" i="7"/>
  <c r="S1525" i="7" s="1"/>
  <c r="R1525" i="7" l="1"/>
  <c r="G1525" i="7"/>
  <c r="L1525" i="7" l="1"/>
  <c r="M1525" i="7" s="1"/>
  <c r="N1525" i="7" s="1"/>
  <c r="H1525" i="7"/>
  <c r="I1525" i="7" s="1"/>
  <c r="J1525" i="7" s="1"/>
  <c r="K1525" i="7" l="1"/>
  <c r="S1526" i="7" s="1"/>
  <c r="P1526" i="7"/>
  <c r="Q1526" i="7"/>
  <c r="O1525" i="7"/>
  <c r="T1526" i="7" s="1"/>
  <c r="G1526" i="7" l="1"/>
  <c r="R1526" i="7"/>
  <c r="L1526" i="7" l="1"/>
  <c r="M1526" i="7" s="1"/>
  <c r="N1526" i="7" s="1"/>
  <c r="H1526" i="7"/>
  <c r="I1526" i="7" s="1"/>
  <c r="J1526" i="7" s="1"/>
  <c r="P1527" i="7" l="1"/>
  <c r="K1526" i="7"/>
  <c r="S1527" i="7" s="1"/>
  <c r="O1526" i="7"/>
  <c r="T1527" i="7" s="1"/>
  <c r="Q1527" i="7"/>
  <c r="R1527" i="7" l="1"/>
  <c r="G1527" i="7"/>
  <c r="L1527" i="7" l="1"/>
  <c r="M1527" i="7" s="1"/>
  <c r="N1527" i="7" s="1"/>
  <c r="H1527" i="7"/>
  <c r="I1527" i="7" s="1"/>
  <c r="J1527" i="7" s="1"/>
  <c r="P1528" i="7" l="1"/>
  <c r="K1527" i="7"/>
  <c r="S1528" i="7" s="1"/>
  <c r="O1527" i="7"/>
  <c r="T1528" i="7" s="1"/>
  <c r="Q1528" i="7"/>
  <c r="R1528" i="7" l="1"/>
  <c r="G1528" i="7"/>
  <c r="L1528" i="7" l="1"/>
  <c r="M1528" i="7" s="1"/>
  <c r="N1528" i="7" s="1"/>
  <c r="H1528" i="7"/>
  <c r="I1528" i="7" s="1"/>
  <c r="J1528" i="7" s="1"/>
  <c r="P1529" i="7" l="1"/>
  <c r="K1528" i="7"/>
  <c r="S1529" i="7" s="1"/>
  <c r="Q1529" i="7"/>
  <c r="O1528" i="7"/>
  <c r="T1529" i="7" s="1"/>
  <c r="R1529" i="7" l="1"/>
  <c r="G1529" i="7"/>
  <c r="L1529" i="7" l="1"/>
  <c r="M1529" i="7" s="1"/>
  <c r="N1529" i="7" s="1"/>
  <c r="H1529" i="7"/>
  <c r="I1529" i="7" s="1"/>
  <c r="J1529" i="7" s="1"/>
  <c r="K1529" i="7" l="1"/>
  <c r="S1530" i="7" s="1"/>
  <c r="P1530" i="7"/>
  <c r="Q1530" i="7"/>
  <c r="O1529" i="7"/>
  <c r="T1530" i="7" s="1"/>
  <c r="G1530" i="7" l="1"/>
  <c r="R1530" i="7"/>
  <c r="H1530" i="7" l="1"/>
  <c r="I1530" i="7" s="1"/>
  <c r="J1530" i="7" s="1"/>
  <c r="L1530" i="7"/>
  <c r="M1530" i="7" s="1"/>
  <c r="N1530" i="7" s="1"/>
  <c r="O1530" i="7" l="1"/>
  <c r="T1531" i="7" s="1"/>
  <c r="Q1531" i="7"/>
  <c r="P1531" i="7"/>
  <c r="K1530" i="7"/>
  <c r="S1531" i="7" s="1"/>
  <c r="G1531" i="7" l="1"/>
  <c r="R1531" i="7"/>
  <c r="H1531" i="7" l="1"/>
  <c r="I1531" i="7" s="1"/>
  <c r="J1531" i="7" s="1"/>
  <c r="L1531" i="7"/>
  <c r="M1531" i="7" s="1"/>
  <c r="N1531" i="7" s="1"/>
  <c r="Q1532" i="7" l="1"/>
  <c r="O1531" i="7"/>
  <c r="T1532" i="7" s="1"/>
  <c r="K1531" i="7"/>
  <c r="S1532" i="7" s="1"/>
  <c r="P1532" i="7"/>
  <c r="R1532" i="7" l="1"/>
  <c r="G1532" i="7"/>
  <c r="H1532" i="7" l="1"/>
  <c r="I1532" i="7" s="1"/>
  <c r="J1532" i="7" s="1"/>
  <c r="L1532" i="7"/>
  <c r="M1532" i="7" s="1"/>
  <c r="N1532" i="7" s="1"/>
  <c r="Q1533" i="7" l="1"/>
  <c r="O1532" i="7"/>
  <c r="T1533" i="7" s="1"/>
  <c r="K1532" i="7"/>
  <c r="S1533" i="7" s="1"/>
  <c r="P1533" i="7"/>
  <c r="G1533" i="7" l="1"/>
  <c r="R1533" i="7"/>
  <c r="L1533" i="7" l="1"/>
  <c r="M1533" i="7" s="1"/>
  <c r="N1533" i="7" s="1"/>
  <c r="H1533" i="7"/>
  <c r="I1533" i="7" s="1"/>
  <c r="J1533" i="7" s="1"/>
  <c r="P1534" i="7" l="1"/>
  <c r="K1533" i="7"/>
  <c r="S1534" i="7" s="1"/>
  <c r="O1533" i="7"/>
  <c r="T1534" i="7" s="1"/>
  <c r="Q1534" i="7"/>
  <c r="R1534" i="7" l="1"/>
  <c r="G1534" i="7"/>
  <c r="L1534" i="7" l="1"/>
  <c r="M1534" i="7" s="1"/>
  <c r="N1534" i="7" s="1"/>
  <c r="H1534" i="7"/>
  <c r="I1534" i="7" s="1"/>
  <c r="J1534" i="7" s="1"/>
  <c r="P1535" i="7" l="1"/>
  <c r="K1534" i="7"/>
  <c r="S1535" i="7" s="1"/>
  <c r="Q1535" i="7"/>
  <c r="O1534" i="7"/>
  <c r="T1535" i="7" s="1"/>
  <c r="G1535" i="7" l="1"/>
  <c r="R1535" i="7"/>
  <c r="H1535" i="7" l="1"/>
  <c r="I1535" i="7" s="1"/>
  <c r="J1535" i="7" s="1"/>
  <c r="L1535" i="7"/>
  <c r="M1535" i="7" s="1"/>
  <c r="N1535" i="7" s="1"/>
  <c r="Q1536" i="7" l="1"/>
  <c r="O1535" i="7"/>
  <c r="T1536" i="7" s="1"/>
  <c r="P1536" i="7"/>
  <c r="K1535" i="7"/>
  <c r="S1536" i="7" s="1"/>
  <c r="R1536" i="7" l="1"/>
  <c r="G1536" i="7"/>
  <c r="H1536" i="7" l="1"/>
  <c r="I1536" i="7" s="1"/>
  <c r="J1536" i="7" s="1"/>
  <c r="L1536" i="7"/>
  <c r="M1536" i="7" s="1"/>
  <c r="N1536" i="7" s="1"/>
  <c r="Q1537" i="7" l="1"/>
  <c r="O1536" i="7"/>
  <c r="T1537" i="7" s="1"/>
  <c r="P1537" i="7"/>
  <c r="K1536" i="7"/>
  <c r="S1537" i="7" s="1"/>
  <c r="R1537" i="7" l="1"/>
  <c r="G1537" i="7"/>
  <c r="H1537" i="7" l="1"/>
  <c r="I1537" i="7" s="1"/>
  <c r="J1537" i="7" s="1"/>
  <c r="L1537" i="7"/>
  <c r="M1537" i="7" s="1"/>
  <c r="N1537" i="7" s="1"/>
  <c r="Q1538" i="7" l="1"/>
  <c r="O1537" i="7"/>
  <c r="T1538" i="7" s="1"/>
  <c r="K1537" i="7"/>
  <c r="S1538" i="7" s="1"/>
  <c r="P1538" i="7"/>
  <c r="G1538" i="7" l="1"/>
  <c r="R1538" i="7"/>
  <c r="H1538" i="7" l="1"/>
  <c r="I1538" i="7" s="1"/>
  <c r="J1538" i="7" s="1"/>
  <c r="L1538" i="7"/>
  <c r="M1538" i="7" s="1"/>
  <c r="N1538" i="7" s="1"/>
  <c r="Q1539" i="7" l="1"/>
  <c r="O1538" i="7"/>
  <c r="T1539" i="7" s="1"/>
  <c r="P1539" i="7"/>
  <c r="K1538" i="7"/>
  <c r="S1539" i="7" s="1"/>
  <c r="G1539" i="7" l="1"/>
  <c r="R1539" i="7"/>
  <c r="L1539" i="7" l="1"/>
  <c r="M1539" i="7" s="1"/>
  <c r="N1539" i="7" s="1"/>
  <c r="H1539" i="7"/>
  <c r="I1539" i="7" s="1"/>
  <c r="J1539" i="7" s="1"/>
  <c r="K1539" i="7" l="1"/>
  <c r="S1540" i="7" s="1"/>
  <c r="P1540" i="7"/>
  <c r="O1539" i="7"/>
  <c r="T1540" i="7" s="1"/>
  <c r="Q1540" i="7"/>
  <c r="G1540" i="7" l="1"/>
  <c r="R1540" i="7"/>
  <c r="L1540" i="7" l="1"/>
  <c r="M1540" i="7" s="1"/>
  <c r="N1540" i="7" s="1"/>
  <c r="H1540" i="7"/>
  <c r="I1540" i="7" s="1"/>
  <c r="J1540" i="7" s="1"/>
  <c r="K1540" i="7" l="1"/>
  <c r="S1541" i="7" s="1"/>
  <c r="P1541" i="7"/>
  <c r="Q1541" i="7"/>
  <c r="O1540" i="7"/>
  <c r="T1541" i="7" s="1"/>
  <c r="R1541" i="7" l="1"/>
  <c r="G1541" i="7"/>
  <c r="H1541" i="7" l="1"/>
  <c r="I1541" i="7" s="1"/>
  <c r="J1541" i="7" s="1"/>
  <c r="L1541" i="7"/>
  <c r="M1541" i="7" s="1"/>
  <c r="N1541" i="7" s="1"/>
  <c r="O1541" i="7" l="1"/>
  <c r="T1542" i="7" s="1"/>
  <c r="Q1542" i="7"/>
  <c r="K1541" i="7"/>
  <c r="S1542" i="7" s="1"/>
  <c r="P1542" i="7"/>
  <c r="G1542" i="7" l="1"/>
  <c r="R1542" i="7"/>
  <c r="H1542" i="7" l="1"/>
  <c r="I1542" i="7" s="1"/>
  <c r="J1542" i="7" s="1"/>
  <c r="L1542" i="7"/>
  <c r="M1542" i="7" s="1"/>
  <c r="N1542" i="7" s="1"/>
  <c r="O1542" i="7" l="1"/>
  <c r="T1543" i="7" s="1"/>
  <c r="Q1543" i="7"/>
  <c r="P1543" i="7"/>
  <c r="K1542" i="7"/>
  <c r="S1543" i="7" s="1"/>
  <c r="R1543" i="7" l="1"/>
  <c r="G1543" i="7"/>
  <c r="H1543" i="7" l="1"/>
  <c r="I1543" i="7" s="1"/>
  <c r="J1543" i="7" s="1"/>
  <c r="L1543" i="7"/>
  <c r="M1543" i="7" s="1"/>
  <c r="N1543" i="7" s="1"/>
  <c r="Q1544" i="7" l="1"/>
  <c r="O1543" i="7"/>
  <c r="T1544" i="7" s="1"/>
  <c r="P1544" i="7"/>
  <c r="K1543" i="7"/>
  <c r="S1544" i="7" s="1"/>
  <c r="G1544" i="7" l="1"/>
  <c r="R1544" i="7"/>
  <c r="H1544" i="7" l="1"/>
  <c r="I1544" i="7" s="1"/>
  <c r="J1544" i="7" s="1"/>
  <c r="L1544" i="7"/>
  <c r="M1544" i="7" s="1"/>
  <c r="N1544" i="7" s="1"/>
  <c r="O1544" i="7" l="1"/>
  <c r="T1545" i="7" s="1"/>
  <c r="Q1545" i="7"/>
  <c r="P1545" i="7"/>
  <c r="K1544" i="7"/>
  <c r="S1545" i="7" s="1"/>
  <c r="R1545" i="7" l="1"/>
  <c r="G1545" i="7"/>
  <c r="L1545" i="7" l="1"/>
  <c r="M1545" i="7" s="1"/>
  <c r="N1545" i="7" s="1"/>
  <c r="H1545" i="7"/>
  <c r="I1545" i="7" s="1"/>
  <c r="J1545" i="7" s="1"/>
  <c r="P1546" i="7" l="1"/>
  <c r="K1545" i="7"/>
  <c r="S1546" i="7" s="1"/>
  <c r="O1545" i="7"/>
  <c r="T1546" i="7" s="1"/>
  <c r="Q1546" i="7"/>
  <c r="G1546" i="7" l="1"/>
  <c r="R1546" i="7"/>
  <c r="L1546" i="7" l="1"/>
  <c r="M1546" i="7" s="1"/>
  <c r="N1546" i="7" s="1"/>
  <c r="H1546" i="7"/>
  <c r="I1546" i="7" s="1"/>
  <c r="J1546" i="7" s="1"/>
  <c r="P1547" i="7" l="1"/>
  <c r="K1546" i="7"/>
  <c r="S1547" i="7" s="1"/>
  <c r="O1546" i="7"/>
  <c r="T1547" i="7" s="1"/>
  <c r="Q1547" i="7"/>
  <c r="R1547" i="7" l="1"/>
  <c r="G1547" i="7"/>
  <c r="L1547" i="7" l="1"/>
  <c r="M1547" i="7" s="1"/>
  <c r="N1547" i="7" s="1"/>
  <c r="H1547" i="7"/>
  <c r="I1547" i="7" s="1"/>
  <c r="J1547" i="7" s="1"/>
  <c r="K1547" i="7" l="1"/>
  <c r="S1548" i="7" s="1"/>
  <c r="P1548" i="7"/>
  <c r="O1547" i="7"/>
  <c r="T1548" i="7" s="1"/>
  <c r="Q1548" i="7"/>
  <c r="R1548" i="7" l="1"/>
  <c r="G1548" i="7"/>
  <c r="L1548" i="7" l="1"/>
  <c r="M1548" i="7" s="1"/>
  <c r="N1548" i="7" s="1"/>
  <c r="H1548" i="7"/>
  <c r="I1548" i="7" s="1"/>
  <c r="J1548" i="7" s="1"/>
  <c r="K1548" i="7" l="1"/>
  <c r="S1549" i="7" s="1"/>
  <c r="P1549" i="7"/>
  <c r="O1548" i="7"/>
  <c r="T1549" i="7" s="1"/>
  <c r="Q1549" i="7"/>
  <c r="R1549" i="7" l="1"/>
  <c r="G1549" i="7"/>
  <c r="H1549" i="7" l="1"/>
  <c r="I1549" i="7" s="1"/>
  <c r="J1549" i="7" s="1"/>
  <c r="L1549" i="7"/>
  <c r="M1549" i="7" s="1"/>
  <c r="N1549" i="7" s="1"/>
  <c r="Q1550" i="7" l="1"/>
  <c r="O1549" i="7"/>
  <c r="T1550" i="7" s="1"/>
  <c r="P1550" i="7"/>
  <c r="K1549" i="7"/>
  <c r="S1550" i="7" s="1"/>
  <c r="G1550" i="7" l="1"/>
  <c r="R1550" i="7"/>
  <c r="H1550" i="7" l="1"/>
  <c r="I1550" i="7" s="1"/>
  <c r="J1550" i="7" s="1"/>
  <c r="L1550" i="7"/>
  <c r="M1550" i="7" s="1"/>
  <c r="N1550" i="7" s="1"/>
  <c r="O1550" i="7" l="1"/>
  <c r="T1551" i="7" s="1"/>
  <c r="Q1551" i="7"/>
  <c r="P1551" i="7"/>
  <c r="K1550" i="7"/>
  <c r="S1551" i="7" s="1"/>
  <c r="R1551" i="7" l="1"/>
  <c r="G1551" i="7"/>
  <c r="H1551" i="7" l="1"/>
  <c r="I1551" i="7" s="1"/>
  <c r="J1551" i="7" s="1"/>
  <c r="L1551" i="7"/>
  <c r="M1551" i="7" s="1"/>
  <c r="N1551" i="7" s="1"/>
  <c r="O1551" i="7" l="1"/>
  <c r="T1552" i="7" s="1"/>
  <c r="Q1552" i="7"/>
  <c r="K1551" i="7"/>
  <c r="S1552" i="7" s="1"/>
  <c r="P1552" i="7"/>
  <c r="R1552" i="7" l="1"/>
  <c r="G1552" i="7"/>
  <c r="L1552" i="7" l="1"/>
  <c r="M1552" i="7" s="1"/>
  <c r="N1552" i="7" s="1"/>
  <c r="H1552" i="7"/>
  <c r="I1552" i="7" s="1"/>
  <c r="J1552" i="7" s="1"/>
  <c r="P1553" i="7" l="1"/>
  <c r="K1552" i="7"/>
  <c r="S1553" i="7" s="1"/>
  <c r="O1552" i="7"/>
  <c r="T1553" i="7" s="1"/>
  <c r="Q1553" i="7"/>
  <c r="R1553" i="7" l="1"/>
  <c r="G1553" i="7"/>
  <c r="L1553" i="7" l="1"/>
  <c r="M1553" i="7" s="1"/>
  <c r="N1553" i="7" s="1"/>
  <c r="H1553" i="7"/>
  <c r="I1553" i="7" s="1"/>
  <c r="J1553" i="7" s="1"/>
  <c r="P1554" i="7" l="1"/>
  <c r="K1553" i="7"/>
  <c r="S1554" i="7" s="1"/>
  <c r="O1553" i="7"/>
  <c r="T1554" i="7" s="1"/>
  <c r="Q1554" i="7"/>
  <c r="G1554" i="7" l="1"/>
  <c r="R1554" i="7"/>
  <c r="H1554" i="7" l="1"/>
  <c r="I1554" i="7" s="1"/>
  <c r="J1554" i="7" s="1"/>
  <c r="L1554" i="7"/>
  <c r="M1554" i="7" s="1"/>
  <c r="N1554" i="7" s="1"/>
  <c r="Q1555" i="7" l="1"/>
  <c r="O1554" i="7"/>
  <c r="T1555" i="7" s="1"/>
  <c r="K1554" i="7"/>
  <c r="S1555" i="7" s="1"/>
  <c r="P1555" i="7"/>
  <c r="G1555" i="7" l="1"/>
  <c r="R1555" i="7"/>
  <c r="H1555" i="7" l="1"/>
  <c r="I1555" i="7" s="1"/>
  <c r="J1555" i="7" s="1"/>
  <c r="L1555" i="7"/>
  <c r="M1555" i="7" s="1"/>
  <c r="N1555" i="7" s="1"/>
  <c r="O1555" i="7" l="1"/>
  <c r="T1556" i="7" s="1"/>
  <c r="Q1556" i="7"/>
  <c r="P1556" i="7"/>
  <c r="K1555" i="7"/>
  <c r="S1556" i="7" s="1"/>
  <c r="G1556" i="7" l="1"/>
  <c r="R1556" i="7"/>
  <c r="L1556" i="7" l="1"/>
  <c r="M1556" i="7" s="1"/>
  <c r="N1556" i="7" s="1"/>
  <c r="H1556" i="7"/>
  <c r="I1556" i="7" s="1"/>
  <c r="J1556" i="7" s="1"/>
  <c r="K1556" i="7" l="1"/>
  <c r="S1557" i="7" s="1"/>
  <c r="P1557" i="7"/>
  <c r="Q1557" i="7"/>
  <c r="O1556" i="7"/>
  <c r="T1557" i="7" s="1"/>
  <c r="G1557" i="7" l="1"/>
  <c r="R1557" i="7"/>
  <c r="L1557" i="7" l="1"/>
  <c r="M1557" i="7" s="1"/>
  <c r="N1557" i="7" s="1"/>
  <c r="H1557" i="7"/>
  <c r="I1557" i="7" s="1"/>
  <c r="J1557" i="7" s="1"/>
  <c r="K1557" i="7" l="1"/>
  <c r="S1558" i="7" s="1"/>
  <c r="P1558" i="7"/>
  <c r="Q1558" i="7"/>
  <c r="O1557" i="7"/>
  <c r="T1558" i="7" s="1"/>
  <c r="G1558" i="7" l="1"/>
  <c r="R1558" i="7"/>
  <c r="L1558" i="7" l="1"/>
  <c r="M1558" i="7" s="1"/>
  <c r="N1558" i="7" s="1"/>
  <c r="H1558" i="7"/>
  <c r="I1558" i="7" s="1"/>
  <c r="J1558" i="7" s="1"/>
  <c r="P1559" i="7" l="1"/>
  <c r="K1558" i="7"/>
  <c r="S1559" i="7" s="1"/>
  <c r="O1558" i="7"/>
  <c r="T1559" i="7" s="1"/>
  <c r="Q1559" i="7"/>
  <c r="G1559" i="7" l="1"/>
  <c r="R1559" i="7"/>
  <c r="L1559" i="7" l="1"/>
  <c r="M1559" i="7" s="1"/>
  <c r="N1559" i="7" s="1"/>
  <c r="H1559" i="7"/>
  <c r="I1559" i="7" s="1"/>
  <c r="J1559" i="7" s="1"/>
  <c r="K1559" i="7" l="1"/>
  <c r="S1560" i="7" s="1"/>
  <c r="P1560" i="7"/>
  <c r="Q1560" i="7"/>
  <c r="O1559" i="7"/>
  <c r="T1560" i="7" s="1"/>
  <c r="R1560" i="7" l="1"/>
  <c r="G1560" i="7"/>
  <c r="L1560" i="7" l="1"/>
  <c r="M1560" i="7" s="1"/>
  <c r="N1560" i="7" s="1"/>
  <c r="H1560" i="7"/>
  <c r="I1560" i="7" s="1"/>
  <c r="J1560" i="7" s="1"/>
  <c r="P1561" i="7" l="1"/>
  <c r="K1560" i="7"/>
  <c r="S1561" i="7" s="1"/>
  <c r="Q1561" i="7"/>
  <c r="O1560" i="7"/>
  <c r="T1561" i="7" s="1"/>
  <c r="R1561" i="7" l="1"/>
  <c r="G1561" i="7"/>
  <c r="L1561" i="7" l="1"/>
  <c r="M1561" i="7" s="1"/>
  <c r="N1561" i="7" s="1"/>
  <c r="H1561" i="7"/>
  <c r="I1561" i="7" s="1"/>
  <c r="J1561" i="7" s="1"/>
  <c r="P1562" i="7" l="1"/>
  <c r="K1561" i="7"/>
  <c r="S1562" i="7" s="1"/>
  <c r="O1561" i="7"/>
  <c r="T1562" i="7" s="1"/>
  <c r="Q1562" i="7"/>
  <c r="R1562" i="7" l="1"/>
  <c r="G1562" i="7"/>
  <c r="L1562" i="7" l="1"/>
  <c r="M1562" i="7" s="1"/>
  <c r="N1562" i="7" s="1"/>
  <c r="H1562" i="7"/>
  <c r="I1562" i="7" s="1"/>
  <c r="J1562" i="7" s="1"/>
  <c r="P1563" i="7" l="1"/>
  <c r="K1562" i="7"/>
  <c r="S1563" i="7" s="1"/>
  <c r="Q1563" i="7"/>
  <c r="O1562" i="7"/>
  <c r="T1563" i="7" s="1"/>
  <c r="G1563" i="7" l="1"/>
  <c r="R1563" i="7"/>
  <c r="H1563" i="7" l="1"/>
  <c r="I1563" i="7" s="1"/>
  <c r="J1563" i="7" s="1"/>
  <c r="L1563" i="7"/>
  <c r="M1563" i="7" s="1"/>
  <c r="N1563" i="7" s="1"/>
  <c r="Q1564" i="7" l="1"/>
  <c r="O1563" i="7"/>
  <c r="T1564" i="7" s="1"/>
  <c r="P1564" i="7"/>
  <c r="K1563" i="7"/>
  <c r="S1564" i="7" s="1"/>
  <c r="R1564" i="7" l="1"/>
  <c r="G1564" i="7"/>
  <c r="L1564" i="7" l="1"/>
  <c r="M1564" i="7" s="1"/>
  <c r="N1564" i="7" s="1"/>
  <c r="H1564" i="7"/>
  <c r="I1564" i="7" s="1"/>
  <c r="J1564" i="7" s="1"/>
  <c r="P1565" i="7" l="1"/>
  <c r="K1564" i="7"/>
  <c r="S1565" i="7" s="1"/>
  <c r="O1564" i="7"/>
  <c r="T1565" i="7" s="1"/>
  <c r="Q1565" i="7"/>
  <c r="R1565" i="7" l="1"/>
  <c r="G1565" i="7"/>
  <c r="L1565" i="7" l="1"/>
  <c r="M1565" i="7" s="1"/>
  <c r="N1565" i="7" s="1"/>
  <c r="H1565" i="7"/>
  <c r="I1565" i="7" s="1"/>
  <c r="J1565" i="7" s="1"/>
  <c r="K1565" i="7" l="1"/>
  <c r="S1566" i="7" s="1"/>
  <c r="P1566" i="7"/>
  <c r="O1565" i="7"/>
  <c r="T1566" i="7" s="1"/>
  <c r="Q1566" i="7"/>
  <c r="R1566" i="7" l="1"/>
  <c r="G1566" i="7"/>
  <c r="H1566" i="7" l="1"/>
  <c r="I1566" i="7" s="1"/>
  <c r="J1566" i="7" s="1"/>
  <c r="L1566" i="7"/>
  <c r="M1566" i="7" s="1"/>
  <c r="N1566" i="7" s="1"/>
  <c r="O1566" i="7" l="1"/>
  <c r="T1567" i="7" s="1"/>
  <c r="Q1567" i="7"/>
  <c r="P1567" i="7"/>
  <c r="K1566" i="7"/>
  <c r="S1567" i="7" s="1"/>
  <c r="G1567" i="7" l="1"/>
  <c r="R1567" i="7"/>
  <c r="L1567" i="7" l="1"/>
  <c r="M1567" i="7" s="1"/>
  <c r="N1567" i="7" s="1"/>
  <c r="H1567" i="7"/>
  <c r="I1567" i="7" s="1"/>
  <c r="J1567" i="7" s="1"/>
  <c r="K1567" i="7" l="1"/>
  <c r="S1568" i="7" s="1"/>
  <c r="P1568" i="7"/>
  <c r="O1567" i="7"/>
  <c r="T1568" i="7" s="1"/>
  <c r="Q1568" i="7"/>
  <c r="G1568" i="7" l="1"/>
  <c r="R1568" i="7"/>
  <c r="L1568" i="7" l="1"/>
  <c r="M1568" i="7" s="1"/>
  <c r="N1568" i="7" s="1"/>
  <c r="H1568" i="7"/>
  <c r="I1568" i="7" s="1"/>
  <c r="J1568" i="7" s="1"/>
  <c r="P1569" i="7" l="1"/>
  <c r="K1568" i="7"/>
  <c r="S1569" i="7" s="1"/>
  <c r="O1568" i="7"/>
  <c r="T1569" i="7" s="1"/>
  <c r="Q1569" i="7"/>
  <c r="G1569" i="7" l="1"/>
  <c r="R1569" i="7"/>
  <c r="L1569" i="7" l="1"/>
  <c r="M1569" i="7" s="1"/>
  <c r="N1569" i="7" s="1"/>
  <c r="H1569" i="7"/>
  <c r="I1569" i="7" s="1"/>
  <c r="J1569" i="7" s="1"/>
  <c r="K1569" i="7" l="1"/>
  <c r="S1570" i="7" s="1"/>
  <c r="P1570" i="7"/>
  <c r="O1569" i="7"/>
  <c r="T1570" i="7" s="1"/>
  <c r="Q1570" i="7"/>
  <c r="R1570" i="7" l="1"/>
  <c r="G1570" i="7"/>
  <c r="H1570" i="7" l="1"/>
  <c r="I1570" i="7" s="1"/>
  <c r="J1570" i="7" s="1"/>
  <c r="L1570" i="7"/>
  <c r="M1570" i="7" s="1"/>
  <c r="N1570" i="7" s="1"/>
  <c r="O1570" i="7" l="1"/>
  <c r="T1571" i="7" s="1"/>
  <c r="Q1571" i="7"/>
  <c r="P1571" i="7"/>
  <c r="K1570" i="7"/>
  <c r="S1571" i="7" s="1"/>
  <c r="R1571" i="7" l="1"/>
  <c r="G1571" i="7"/>
  <c r="L1571" i="7" l="1"/>
  <c r="M1571" i="7" s="1"/>
  <c r="N1571" i="7" s="1"/>
  <c r="H1571" i="7"/>
  <c r="I1571" i="7" s="1"/>
  <c r="J1571" i="7" s="1"/>
  <c r="P1572" i="7" l="1"/>
  <c r="K1571" i="7"/>
  <c r="S1572" i="7" s="1"/>
  <c r="Q1572" i="7"/>
  <c r="O1571" i="7"/>
  <c r="T1572" i="7" s="1"/>
  <c r="G1572" i="7" l="1"/>
  <c r="R1572" i="7"/>
  <c r="L1572" i="7" l="1"/>
  <c r="M1572" i="7" s="1"/>
  <c r="N1572" i="7" s="1"/>
  <c r="H1572" i="7"/>
  <c r="I1572" i="7" s="1"/>
  <c r="J1572" i="7" s="1"/>
  <c r="P1573" i="7" l="1"/>
  <c r="K1572" i="7"/>
  <c r="S1573" i="7" s="1"/>
  <c r="O1572" i="7"/>
  <c r="T1573" i="7" s="1"/>
  <c r="Q1573" i="7"/>
  <c r="G1573" i="7" l="1"/>
  <c r="R1573" i="7"/>
  <c r="H1573" i="7" l="1"/>
  <c r="I1573" i="7" s="1"/>
  <c r="J1573" i="7" s="1"/>
  <c r="L1573" i="7"/>
  <c r="M1573" i="7" s="1"/>
  <c r="N1573" i="7" s="1"/>
  <c r="Q1574" i="7" l="1"/>
  <c r="O1573" i="7"/>
  <c r="T1574" i="7" s="1"/>
  <c r="K1573" i="7"/>
  <c r="S1574" i="7" s="1"/>
  <c r="P1574" i="7"/>
  <c r="G1574" i="7" l="1"/>
  <c r="R1574" i="7"/>
  <c r="L1574" i="7" l="1"/>
  <c r="M1574" i="7" s="1"/>
  <c r="N1574" i="7" s="1"/>
  <c r="H1574" i="7"/>
  <c r="I1574" i="7" s="1"/>
  <c r="J1574" i="7" s="1"/>
  <c r="P1575" i="7" l="1"/>
  <c r="K1574" i="7"/>
  <c r="S1575" i="7" s="1"/>
  <c r="Q1575" i="7"/>
  <c r="O1574" i="7"/>
  <c r="T1575" i="7" s="1"/>
  <c r="G1575" i="7" l="1"/>
  <c r="R1575" i="7"/>
  <c r="H1575" i="7" l="1"/>
  <c r="I1575" i="7" s="1"/>
  <c r="J1575" i="7" s="1"/>
  <c r="L1575" i="7"/>
  <c r="M1575" i="7" s="1"/>
  <c r="N1575" i="7" s="1"/>
  <c r="O1575" i="7" l="1"/>
  <c r="T1576" i="7" s="1"/>
  <c r="Q1576" i="7"/>
  <c r="K1575" i="7"/>
  <c r="S1576" i="7" s="1"/>
  <c r="P1576" i="7"/>
  <c r="R1576" i="7" l="1"/>
  <c r="G1576" i="7"/>
  <c r="L1576" i="7" l="1"/>
  <c r="M1576" i="7" s="1"/>
  <c r="N1576" i="7" s="1"/>
  <c r="H1576" i="7"/>
  <c r="I1576" i="7" s="1"/>
  <c r="J1576" i="7" s="1"/>
  <c r="P1577" i="7" l="1"/>
  <c r="K1576" i="7"/>
  <c r="S1577" i="7" s="1"/>
  <c r="O1576" i="7"/>
  <c r="T1577" i="7" s="1"/>
  <c r="Q1577" i="7"/>
  <c r="R1577" i="7" l="1"/>
  <c r="G1577" i="7"/>
  <c r="L1577" i="7" l="1"/>
  <c r="M1577" i="7" s="1"/>
  <c r="N1577" i="7" s="1"/>
  <c r="H1577" i="7"/>
  <c r="I1577" i="7" s="1"/>
  <c r="J1577" i="7" s="1"/>
  <c r="P1578" i="7" l="1"/>
  <c r="K1577" i="7"/>
  <c r="S1578" i="7" s="1"/>
  <c r="O1577" i="7"/>
  <c r="T1578" i="7" s="1"/>
  <c r="Q1578" i="7"/>
  <c r="G1578" i="7" l="1"/>
  <c r="R1578" i="7"/>
  <c r="H1578" i="7" l="1"/>
  <c r="I1578" i="7" s="1"/>
  <c r="J1578" i="7" s="1"/>
  <c r="L1578" i="7"/>
  <c r="M1578" i="7" s="1"/>
  <c r="N1578" i="7" s="1"/>
  <c r="Q1579" i="7" l="1"/>
  <c r="O1578" i="7"/>
  <c r="T1579" i="7" s="1"/>
  <c r="P1579" i="7"/>
  <c r="K1578" i="7"/>
  <c r="S1579" i="7" s="1"/>
  <c r="R1579" i="7" l="1"/>
  <c r="G1579" i="7"/>
  <c r="L1579" i="7" l="1"/>
  <c r="M1579" i="7" s="1"/>
  <c r="N1579" i="7" s="1"/>
  <c r="H1579" i="7"/>
  <c r="I1579" i="7" s="1"/>
  <c r="J1579" i="7" s="1"/>
  <c r="K1579" i="7" l="1"/>
  <c r="S1580" i="7" s="1"/>
  <c r="P1580" i="7"/>
  <c r="Q1580" i="7"/>
  <c r="O1579" i="7"/>
  <c r="T1580" i="7" s="1"/>
  <c r="G1580" i="7" l="1"/>
  <c r="R1580" i="7"/>
  <c r="L1580" i="7" l="1"/>
  <c r="M1580" i="7" s="1"/>
  <c r="N1580" i="7" s="1"/>
  <c r="H1580" i="7"/>
  <c r="I1580" i="7" s="1"/>
  <c r="J1580" i="7" s="1"/>
  <c r="K1580" i="7" l="1"/>
  <c r="S1581" i="7" s="1"/>
  <c r="P1581" i="7"/>
  <c r="Q1581" i="7"/>
  <c r="O1580" i="7"/>
  <c r="W2" i="7" l="1"/>
  <c r="W3" i="7" s="1"/>
  <c r="D3" i="4" s="1"/>
  <c r="T1581" i="7"/>
  <c r="R1581" i="7"/>
  <c r="G1581" i="7"/>
  <c r="H1581" i="7" l="1"/>
  <c r="I1581" i="7" s="1"/>
  <c r="J1581" i="7" s="1"/>
  <c r="K1581" i="7" s="1"/>
  <c r="L1581" i="7"/>
  <c r="M1581" i="7" s="1"/>
  <c r="N1581" i="7" s="1"/>
  <c r="O158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<sst xmlns="http://schemas.openxmlformats.org/spreadsheetml/2006/main" count="272" uniqueCount="186">
  <si>
    <t>h_max [m]</t>
  </si>
  <si>
    <t>θ_release [°]</t>
  </si>
  <si>
    <t>h_1 [m]</t>
  </si>
  <si>
    <t>v_0y  [m/s]</t>
  </si>
  <si>
    <t>v_0  [m/s]</t>
  </si>
  <si>
    <t>v_0x  [m/s]</t>
  </si>
  <si>
    <t>Parameters</t>
  </si>
  <si>
    <t>r_1 [m]</t>
  </si>
  <si>
    <t>h_0 [m]</t>
  </si>
  <si>
    <t>Constants</t>
  </si>
  <si>
    <t>g [m/s^2]</t>
  </si>
  <si>
    <t>t_throw [s]</t>
  </si>
  <si>
    <t>x_impact [m]</t>
  </si>
  <si>
    <t>Solution</t>
  </si>
  <si>
    <t>t_max [s]</t>
  </si>
  <si>
    <t>Simulation</t>
  </si>
  <si>
    <t>Dynamic Chart</t>
  </si>
  <si>
    <t>Count [h &gt; 0]</t>
  </si>
  <si>
    <t>x(t) [m]</t>
  </si>
  <si>
    <t>y(t) [m]</t>
  </si>
  <si>
    <t>t [s]</t>
  </si>
  <si>
    <t>t_speed_up [s]</t>
  </si>
  <si>
    <t>n_0 [rev/s]</t>
  </si>
  <si>
    <t>ω_0 [rad/s]</t>
  </si>
  <si>
    <t>α [rad/s^2]</t>
  </si>
  <si>
    <t>a_t  [m/s^2]</t>
  </si>
  <si>
    <t>a_n0 [m/s^2]</t>
  </si>
  <si>
    <t>n [g]</t>
  </si>
  <si>
    <t>n_0 [rpm]</t>
  </si>
  <si>
    <t>Load Factor</t>
  </si>
  <si>
    <t>Maximum normal acceleration</t>
  </si>
  <si>
    <t>T [Nm]</t>
  </si>
  <si>
    <t>P [W]</t>
  </si>
  <si>
    <t>Constant throughout acceleration</t>
  </si>
  <si>
    <t>Maxmimum nearing v_0</t>
  </si>
  <si>
    <t>m_cw</t>
  </si>
  <si>
    <t>r_cw [m]</t>
  </si>
  <si>
    <t>m_rocket [kg]</t>
  </si>
  <si>
    <t>m_rod [kg]</t>
  </si>
  <si>
    <t>m_rod_cw [kg]</t>
  </si>
  <si>
    <t>Input Parameters</t>
  </si>
  <si>
    <t>Color Code</t>
  </si>
  <si>
    <t>Mass Moment of Inertia</t>
  </si>
  <si>
    <t xml:space="preserve">System parameter </t>
  </si>
  <si>
    <t>Tensile Loading</t>
  </si>
  <si>
    <t>Solutions</t>
  </si>
  <si>
    <t>Counterweight</t>
  </si>
  <si>
    <t>a_n0_rod [m/s^2]</t>
  </si>
  <si>
    <t>F_n_rod [N]</t>
  </si>
  <si>
    <t>F_n_rocket [N]</t>
  </si>
  <si>
    <t>F_max [N]</t>
  </si>
  <si>
    <t>Material</t>
  </si>
  <si>
    <t>Steel S235</t>
  </si>
  <si>
    <t>Shear Modulus [Gpa]</t>
  </si>
  <si>
    <t>Material Density [kg/m^3]</t>
  </si>
  <si>
    <t>Yield Strenght [Mpa]</t>
  </si>
  <si>
    <t>Drop Down Selection</t>
  </si>
  <si>
    <t>Carbon Fibre</t>
  </si>
  <si>
    <t>Yield Strength [Mpa]</t>
  </si>
  <si>
    <t>Aluminum 6060</t>
  </si>
  <si>
    <t>PPA-CF</t>
  </si>
  <si>
    <t>N/A</t>
  </si>
  <si>
    <t>d_rod [mm]</t>
  </si>
  <si>
    <t>D_rod [mm]</t>
  </si>
  <si>
    <t>Rod - Rocket</t>
  </si>
  <si>
    <t>Rod - CW</t>
  </si>
  <si>
    <t>D_rod_cw [mm]</t>
  </si>
  <si>
    <t>d_rod_cw  [mm]</t>
  </si>
  <si>
    <t>ρ_rod [kg/m^3]</t>
  </si>
  <si>
    <t>A_rod [mm^2]</t>
  </si>
  <si>
    <t>V_rod [mm^3]</t>
  </si>
  <si>
    <t>ρ_rod_cw [kg/m^3]</t>
  </si>
  <si>
    <t>S</t>
  </si>
  <si>
    <t>Dimensioning Rod - Rocket</t>
  </si>
  <si>
    <t>Torque and Power of Motor</t>
  </si>
  <si>
    <t>Projectile Motion</t>
  </si>
  <si>
    <t>Rotational Motion</t>
  </si>
  <si>
    <t>Saftey Factor</t>
  </si>
  <si>
    <t>Bending</t>
  </si>
  <si>
    <t>a_t [m/s^2]</t>
  </si>
  <si>
    <t>F_t_rod [N]</t>
  </si>
  <si>
    <t>F_t_rocket [N]</t>
  </si>
  <si>
    <t>Force at attachment point A</t>
  </si>
  <si>
    <t>M_A [Nm]</t>
  </si>
  <si>
    <t>F_A [N]</t>
  </si>
  <si>
    <t>J_cw [kgm^2]</t>
  </si>
  <si>
    <t>J_rocket [kgm^2]</t>
  </si>
  <si>
    <t>J_rod [kgm^2]</t>
  </si>
  <si>
    <t>J_rod_cw  [kgm^2]</t>
  </si>
  <si>
    <t>J_total [kgm^2]</t>
  </si>
  <si>
    <t>I_rod [mm^4]</t>
  </si>
  <si>
    <t>Maximum bending moment is at attachment</t>
  </si>
  <si>
    <t>σ_rod_tensile [Mpa]</t>
  </si>
  <si>
    <t>σ_rod_bending [Mpa]</t>
  </si>
  <si>
    <t>Flexure formula</t>
  </si>
  <si>
    <t>Von Mises Criterion</t>
  </si>
  <si>
    <t>σ_rod [Mpa]</t>
  </si>
  <si>
    <t>Total normal stress in the rod</t>
  </si>
  <si>
    <t>Beam Deflection</t>
  </si>
  <si>
    <t>Elastic Modulus [Mpa]</t>
  </si>
  <si>
    <t>δ_rod_bending [mm]</t>
  </si>
  <si>
    <t>Results</t>
  </si>
  <si>
    <t>Workings</t>
  </si>
  <si>
    <t>σ_rod_tension [Mpa]</t>
  </si>
  <si>
    <t>Von Mises Normal Stress</t>
  </si>
  <si>
    <t>Bending Beam Deflection</t>
  </si>
  <si>
    <t>Tensile Stress</t>
  </si>
  <si>
    <t>Bending Stress</t>
  </si>
  <si>
    <t>Tensile loading on the rod due to the normal acceleration of the rocket's mass</t>
  </si>
  <si>
    <t>Kinematics</t>
  </si>
  <si>
    <t>Kinetics</t>
  </si>
  <si>
    <t>Rocket Drag</t>
  </si>
  <si>
    <t>ρ_air [kg/m^3]</t>
  </si>
  <si>
    <t>A_rocket [m^2]</t>
  </si>
  <si>
    <t>cd_rocket []</t>
  </si>
  <si>
    <t>Rocket</t>
  </si>
  <si>
    <t>Stand</t>
  </si>
  <si>
    <t>A_rocket [mm^2]</t>
  </si>
  <si>
    <t>F_d_rocket</t>
  </si>
  <si>
    <t>Drag force on rocket</t>
  </si>
  <si>
    <t>T_d  [Nm]</t>
  </si>
  <si>
    <t>Torque through inertia</t>
  </si>
  <si>
    <t>Torque through air resistance</t>
  </si>
  <si>
    <t>T_j [Nm]</t>
  </si>
  <si>
    <t>Release velocity</t>
  </si>
  <si>
    <t>F_d_rocket [N]</t>
  </si>
  <si>
    <t>Dimensioning Rod - CW</t>
  </si>
  <si>
    <t>F_n_cw [N]</t>
  </si>
  <si>
    <t>F_n_rod_cw [N]</t>
  </si>
  <si>
    <t>a_n0_cw [m/s^2]</t>
  </si>
  <si>
    <t>a_n0_rod_cw [m/s^2]</t>
  </si>
  <si>
    <t>F_t_cw [N]</t>
  </si>
  <si>
    <t>F_t_rod_cw [N]</t>
  </si>
  <si>
    <t>A_rod_cw [mm^2]</t>
  </si>
  <si>
    <t>V_rod_cw [mm^3]</t>
  </si>
  <si>
    <t>Weight Calculations Rod</t>
  </si>
  <si>
    <t>Weight Calculations Rod CW</t>
  </si>
  <si>
    <t>I_rod_cw [mm^4]</t>
  </si>
  <si>
    <t>σ_rod_cw_tension [Mpa]</t>
  </si>
  <si>
    <t>σ_rod_cw_bending [Mpa]</t>
  </si>
  <si>
    <t>δ_rod_cw_bending [mm]</t>
  </si>
  <si>
    <t>σ_rod_cw [Mpa]</t>
  </si>
  <si>
    <t>M_A_cw [Nm]</t>
  </si>
  <si>
    <t>F_A_cw [N]</t>
  </si>
  <si>
    <t>Dimensioning Bearing</t>
  </si>
  <si>
    <t>Driving radius</t>
  </si>
  <si>
    <t>r_drive [m]</t>
  </si>
  <si>
    <t>F_cr [N]</t>
  </si>
  <si>
    <t>F_drive [N]</t>
  </si>
  <si>
    <t>Centrifugal forces (oscillating)</t>
  </si>
  <si>
    <t>Driving force through chain / crank handle (mostly static)</t>
  </si>
  <si>
    <t>Approximate gravitational force (static)</t>
  </si>
  <si>
    <t>F_grav [N]</t>
  </si>
  <si>
    <t>Applied forces</t>
  </si>
  <si>
    <t>Center motorization &amp; bearing</t>
  </si>
  <si>
    <t>Outer radius of bearing</t>
  </si>
  <si>
    <t>Inner radius of bearing</t>
  </si>
  <si>
    <t>outer radius of inner ring</t>
  </si>
  <si>
    <t>D_bear [mm]</t>
  </si>
  <si>
    <t>d_bear [mm]</t>
  </si>
  <si>
    <t>d1_bear [mm]</t>
  </si>
  <si>
    <t>The projected area in Y (radial)</t>
  </si>
  <si>
    <t>The projected area in X (axial)</t>
  </si>
  <si>
    <t>w_bear [mm]</t>
  </si>
  <si>
    <t>bearing width</t>
  </si>
  <si>
    <t>A_projy [mm²]</t>
  </si>
  <si>
    <t>A_projx [mm²]</t>
  </si>
  <si>
    <t>Areas &amp; tensions</t>
  </si>
  <si>
    <t>include_drag</t>
  </si>
  <si>
    <t>dt [s]</t>
  </si>
  <si>
    <t>ax</t>
  </si>
  <si>
    <t>ay</t>
  </si>
  <si>
    <t>dvx</t>
  </si>
  <si>
    <t>dvy</t>
  </si>
  <si>
    <t>dx</t>
  </si>
  <si>
    <t>dy</t>
  </si>
  <si>
    <t>Fx</t>
  </si>
  <si>
    <t>Fy</t>
  </si>
  <si>
    <t>vx</t>
  </si>
  <si>
    <t>vy</t>
  </si>
  <si>
    <t>x</t>
  </si>
  <si>
    <t>y</t>
  </si>
  <si>
    <t>Fd</t>
  </si>
  <si>
    <t>v</t>
  </si>
  <si>
    <t>Max Height</t>
  </si>
  <si>
    <t>h_max_actual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</si>
</sst>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"/>
    <numFmt numFmtId="166" formatCode="0.000"/>
    <numFmt numFmtId="167" formatCode="0.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0" fontId="1" fillId="0" borderId="0" xfId="0" applyFont="1"/>
    <xf numFmtId="2" fontId="0" fillId="2" borderId="0" xfId="0" applyNumberFormat="1" applyFill="1"/>
    <xf numFmtId="0" fontId="0" fillId="2" borderId="0" xfId="0" applyFill="1"/>
    <xf numFmtId="0" fontId="0" fillId="0" borderId="1" xfId="0" applyBorder="1"/>
    <xf numFmtId="0" fontId="2" fillId="2" borderId="0" xfId="0" applyFont="1" applyFill="1"/>
    <xf numFmtId="0" fontId="0" fillId="0" borderId="0" xfId="0" applyAlignment="1">
      <alignment horizontal="left" vertical="top" wrapText="1"/>
    </xf>
    <xf numFmtId="0" fontId="2" fillId="3" borderId="0" xfId="0" applyFont="1" applyFill="1"/>
    <xf numFmtId="0" fontId="0" fillId="3" borderId="0" xfId="0" applyFill="1"/>
    <xf numFmtId="167" fontId="0" fillId="2" borderId="0" xfId="0" applyNumberFormat="1" applyFill="1"/>
    <xf numFmtId="1" fontId="0" fillId="2" borderId="0" xfId="0" applyNumberFormat="1" applyFill="1"/>
    <xf numFmtId="166" fontId="0" fillId="2" borderId="0" xfId="0" applyNumberFormat="1" applyFill="1"/>
    <xf numFmtId="165" fontId="0" fillId="2" borderId="0" xfId="0" applyNumberFormat="1" applyFill="1"/>
    <xf numFmtId="164" fontId="0" fillId="2" borderId="0" xfId="0" applyNumberFormat="1" applyFill="1"/>
    <xf numFmtId="2" fontId="0" fillId="3" borderId="0" xfId="0" applyNumberFormat="1" applyFill="1"/>
    <xf numFmtId="167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2" fillId="4" borderId="0" xfId="0" applyFont="1" applyFill="1"/>
    <xf numFmtId="0" fontId="0" fillId="5" borderId="2" xfId="0" applyFill="1" applyBorder="1"/>
    <xf numFmtId="0" fontId="0" fillId="6" borderId="0" xfId="0" applyFill="1"/>
    <xf numFmtId="2" fontId="0" fillId="6" borderId="0" xfId="0" applyNumberFormat="1" applyFill="1"/>
    <xf numFmtId="166" fontId="0" fillId="3" borderId="0" xfId="0" applyNumberFormat="1" applyFill="1"/>
    <xf numFmtId="166" fontId="0" fillId="4" borderId="0" xfId="0" applyNumberFormat="1" applyFill="1"/>
    <xf numFmtId="0" fontId="0" fillId="4" borderId="0" xfId="0" applyFill="1">
      <extLst>
        <ext xmlns:xfpb="http://schemas.microsoft.com/office/spreadsheetml/2022/featurepropertybag" uri="{C7286773-470A-42A8-94C5-96B5CB345126}">
          <xfpb:xfComplement i="0"/>
        </ext>
      </extLst>
    </xf>
    <xf numFmtId="2" fontId="0" fillId="3" borderId="0" xfId="0" applyNumberFormat="1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" xfId="0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0"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26443118844661"/>
          <c:y val="0.17111880046136105"/>
          <c:w val="0.7826845708977614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 Drag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[0]!XIt</c:f>
              <c:numCache>
                <c:formatCode>General</c:formatCode>
                <c:ptCount val="638"/>
                <c:pt idx="0">
                  <c:v>0</c:v>
                </c:pt>
                <c:pt idx="1">
                  <c:v>1.0467394398169905</c:v>
                </c:pt>
                <c:pt idx="2">
                  <c:v>2.0934788796339809</c:v>
                </c:pt>
                <c:pt idx="3">
                  <c:v>3.1402183194509714</c:v>
                </c:pt>
                <c:pt idx="4">
                  <c:v>4.1869577592679619</c:v>
                </c:pt>
                <c:pt idx="5">
                  <c:v>5.2336971990849523</c:v>
                </c:pt>
                <c:pt idx="6">
                  <c:v>6.2804366389019428</c:v>
                </c:pt>
                <c:pt idx="7">
                  <c:v>7.3271760787189333</c:v>
                </c:pt>
                <c:pt idx="8">
                  <c:v>8.3739155185359238</c:v>
                </c:pt>
                <c:pt idx="9">
                  <c:v>9.4206549583529142</c:v>
                </c:pt>
                <c:pt idx="10">
                  <c:v>10.467394398169905</c:v>
                </c:pt>
                <c:pt idx="11">
                  <c:v>11.514133837986895</c:v>
                </c:pt>
                <c:pt idx="12">
                  <c:v>12.560873277803886</c:v>
                </c:pt>
                <c:pt idx="13">
                  <c:v>13.607612717620876</c:v>
                </c:pt>
                <c:pt idx="14">
                  <c:v>14.654352157437867</c:v>
                </c:pt>
                <c:pt idx="15">
                  <c:v>15.701091597254857</c:v>
                </c:pt>
                <c:pt idx="16">
                  <c:v>16.747831037071848</c:v>
                </c:pt>
                <c:pt idx="17">
                  <c:v>17.794570476888836</c:v>
                </c:pt>
                <c:pt idx="18">
                  <c:v>18.841309916705825</c:v>
                </c:pt>
                <c:pt idx="19">
                  <c:v>19.888049356522814</c:v>
                </c:pt>
                <c:pt idx="20">
                  <c:v>20.934788796339802</c:v>
                </c:pt>
                <c:pt idx="21">
                  <c:v>21.981528236156791</c:v>
                </c:pt>
                <c:pt idx="22">
                  <c:v>23.02826767597378</c:v>
                </c:pt>
                <c:pt idx="23">
                  <c:v>24.075007115790768</c:v>
                </c:pt>
                <c:pt idx="24">
                  <c:v>25.121746555607757</c:v>
                </c:pt>
                <c:pt idx="25">
                  <c:v>26.168485995424746</c:v>
                </c:pt>
                <c:pt idx="26">
                  <c:v>27.215225435241734</c:v>
                </c:pt>
                <c:pt idx="27">
                  <c:v>28.261964875058723</c:v>
                </c:pt>
                <c:pt idx="28">
                  <c:v>29.308704314875712</c:v>
                </c:pt>
                <c:pt idx="29">
                  <c:v>30.355443754692701</c:v>
                </c:pt>
                <c:pt idx="30">
                  <c:v>31.402183194509689</c:v>
                </c:pt>
                <c:pt idx="31">
                  <c:v>32.448922634326678</c:v>
                </c:pt>
                <c:pt idx="32">
                  <c:v>33.495662074143667</c:v>
                </c:pt>
                <c:pt idx="33">
                  <c:v>34.542401513960655</c:v>
                </c:pt>
                <c:pt idx="34">
                  <c:v>35.589140953777644</c:v>
                </c:pt>
                <c:pt idx="35">
                  <c:v>36.635880393594633</c:v>
                </c:pt>
                <c:pt idx="36">
                  <c:v>37.682619833411621</c:v>
                </c:pt>
                <c:pt idx="37">
                  <c:v>38.72935927322861</c:v>
                </c:pt>
                <c:pt idx="38">
                  <c:v>39.776098713045599</c:v>
                </c:pt>
                <c:pt idx="39">
                  <c:v>40.822838152862587</c:v>
                </c:pt>
                <c:pt idx="40">
                  <c:v>41.869577592679576</c:v>
                </c:pt>
                <c:pt idx="41">
                  <c:v>42.916317032496565</c:v>
                </c:pt>
                <c:pt idx="42">
                  <c:v>43.963056472313554</c:v>
                </c:pt>
                <c:pt idx="43">
                  <c:v>45.009795912130542</c:v>
                </c:pt>
                <c:pt idx="44">
                  <c:v>46.056535351947531</c:v>
                </c:pt>
                <c:pt idx="45">
                  <c:v>47.10327479176452</c:v>
                </c:pt>
                <c:pt idx="46">
                  <c:v>48.150014231581508</c:v>
                </c:pt>
                <c:pt idx="47">
                  <c:v>49.196753671398497</c:v>
                </c:pt>
                <c:pt idx="48">
                  <c:v>50.243493111215486</c:v>
                </c:pt>
                <c:pt idx="49">
                  <c:v>51.290232551032474</c:v>
                </c:pt>
                <c:pt idx="50">
                  <c:v>52.336971990849463</c:v>
                </c:pt>
                <c:pt idx="51">
                  <c:v>53.383711430666452</c:v>
                </c:pt>
                <c:pt idx="52">
                  <c:v>54.43045087048344</c:v>
                </c:pt>
                <c:pt idx="53">
                  <c:v>55.477190310300429</c:v>
                </c:pt>
                <c:pt idx="54">
                  <c:v>56.523929750117418</c:v>
                </c:pt>
                <c:pt idx="55">
                  <c:v>57.570669189934407</c:v>
                </c:pt>
                <c:pt idx="56">
                  <c:v>58.617408629751395</c:v>
                </c:pt>
                <c:pt idx="57">
                  <c:v>59.664148069568384</c:v>
                </c:pt>
                <c:pt idx="58">
                  <c:v>60.710887509385373</c:v>
                </c:pt>
                <c:pt idx="59">
                  <c:v>61.757626949202361</c:v>
                </c:pt>
                <c:pt idx="60">
                  <c:v>62.80436638901935</c:v>
                </c:pt>
                <c:pt idx="61">
                  <c:v>63.851105828836339</c:v>
                </c:pt>
                <c:pt idx="62">
                  <c:v>64.897845268653327</c:v>
                </c:pt>
                <c:pt idx="63">
                  <c:v>65.944584708470316</c:v>
                </c:pt>
                <c:pt idx="64">
                  <c:v>66.991324148287305</c:v>
                </c:pt>
                <c:pt idx="65">
                  <c:v>68.038063588104293</c:v>
                </c:pt>
                <c:pt idx="66">
                  <c:v>69.084803027921282</c:v>
                </c:pt>
                <c:pt idx="67">
                  <c:v>70.131542467738271</c:v>
                </c:pt>
                <c:pt idx="68">
                  <c:v>71.17828190755526</c:v>
                </c:pt>
                <c:pt idx="69">
                  <c:v>72.225021347372248</c:v>
                </c:pt>
                <c:pt idx="70">
                  <c:v>73.271760787189237</c:v>
                </c:pt>
                <c:pt idx="71">
                  <c:v>74.318500227006226</c:v>
                </c:pt>
                <c:pt idx="72">
                  <c:v>75.365239666823214</c:v>
                </c:pt>
                <c:pt idx="73">
                  <c:v>76.411979106640203</c:v>
                </c:pt>
                <c:pt idx="74">
                  <c:v>77.458718546457192</c:v>
                </c:pt>
                <c:pt idx="75">
                  <c:v>78.50545798627418</c:v>
                </c:pt>
                <c:pt idx="76">
                  <c:v>79.552197426091169</c:v>
                </c:pt>
                <c:pt idx="77">
                  <c:v>80.598936865908158</c:v>
                </c:pt>
                <c:pt idx="78">
                  <c:v>81.645676305725146</c:v>
                </c:pt>
                <c:pt idx="79">
                  <c:v>82.692415745542135</c:v>
                </c:pt>
                <c:pt idx="80">
                  <c:v>83.739155185359124</c:v>
                </c:pt>
                <c:pt idx="81">
                  <c:v>84.785894625176113</c:v>
                </c:pt>
                <c:pt idx="82">
                  <c:v>85.832634064993101</c:v>
                </c:pt>
                <c:pt idx="83">
                  <c:v>86.87937350481009</c:v>
                </c:pt>
                <c:pt idx="84">
                  <c:v>87.926112944627079</c:v>
                </c:pt>
                <c:pt idx="85">
                  <c:v>88.972852384444067</c:v>
                </c:pt>
                <c:pt idx="86">
                  <c:v>90.019591824261056</c:v>
                </c:pt>
                <c:pt idx="87">
                  <c:v>91.066331264078045</c:v>
                </c:pt>
                <c:pt idx="88">
                  <c:v>92.113070703895033</c:v>
                </c:pt>
                <c:pt idx="89">
                  <c:v>93.159810143712022</c:v>
                </c:pt>
                <c:pt idx="90">
                  <c:v>94.206549583529011</c:v>
                </c:pt>
                <c:pt idx="91">
                  <c:v>95.253289023345999</c:v>
                </c:pt>
                <c:pt idx="92">
                  <c:v>96.300028463162988</c:v>
                </c:pt>
                <c:pt idx="93">
                  <c:v>97.346767902979977</c:v>
                </c:pt>
                <c:pt idx="94">
                  <c:v>98.393507342796966</c:v>
                </c:pt>
                <c:pt idx="95">
                  <c:v>99.440246782613954</c:v>
                </c:pt>
                <c:pt idx="96">
                  <c:v>100.48698622243094</c:v>
                </c:pt>
                <c:pt idx="97">
                  <c:v>101.53372566224793</c:v>
                </c:pt>
                <c:pt idx="98">
                  <c:v>102.58046510206492</c:v>
                </c:pt>
                <c:pt idx="99">
                  <c:v>103.62720454188191</c:v>
                </c:pt>
                <c:pt idx="100">
                  <c:v>104.6739439816989</c:v>
                </c:pt>
                <c:pt idx="101">
                  <c:v>105.72068342151589</c:v>
                </c:pt>
                <c:pt idx="102">
                  <c:v>106.76742286133288</c:v>
                </c:pt>
                <c:pt idx="103">
                  <c:v>107.81416230114986</c:v>
                </c:pt>
                <c:pt idx="104">
                  <c:v>108.86090174096685</c:v>
                </c:pt>
                <c:pt idx="105">
                  <c:v>109.90764118078384</c:v>
                </c:pt>
                <c:pt idx="106">
                  <c:v>110.95438062060083</c:v>
                </c:pt>
                <c:pt idx="107">
                  <c:v>112.00112006041782</c:v>
                </c:pt>
                <c:pt idx="108">
                  <c:v>113.04785950023481</c:v>
                </c:pt>
                <c:pt idx="109">
                  <c:v>114.0945989400518</c:v>
                </c:pt>
                <c:pt idx="110">
                  <c:v>115.14133837986878</c:v>
                </c:pt>
                <c:pt idx="111">
                  <c:v>116.18807781968577</c:v>
                </c:pt>
                <c:pt idx="112">
                  <c:v>117.23481725950276</c:v>
                </c:pt>
                <c:pt idx="113">
                  <c:v>118.28155669931975</c:v>
                </c:pt>
                <c:pt idx="114">
                  <c:v>119.32829613913674</c:v>
                </c:pt>
                <c:pt idx="115">
                  <c:v>120.37503557895373</c:v>
                </c:pt>
                <c:pt idx="116">
                  <c:v>121.42177501877072</c:v>
                </c:pt>
                <c:pt idx="117">
                  <c:v>122.46851445858771</c:v>
                </c:pt>
                <c:pt idx="118">
                  <c:v>123.51525389840469</c:v>
                </c:pt>
                <c:pt idx="119">
                  <c:v>124.56199333822168</c:v>
                </c:pt>
                <c:pt idx="120">
                  <c:v>125.60873277803867</c:v>
                </c:pt>
                <c:pt idx="121">
                  <c:v>126.65547221785566</c:v>
                </c:pt>
                <c:pt idx="122">
                  <c:v>127.70221165767265</c:v>
                </c:pt>
                <c:pt idx="123">
                  <c:v>128.74895109748965</c:v>
                </c:pt>
                <c:pt idx="124">
                  <c:v>129.79569053730665</c:v>
                </c:pt>
                <c:pt idx="125">
                  <c:v>130.84242997712366</c:v>
                </c:pt>
                <c:pt idx="126">
                  <c:v>131.88916941694066</c:v>
                </c:pt>
                <c:pt idx="127">
                  <c:v>132.93590885675766</c:v>
                </c:pt>
                <c:pt idx="128">
                  <c:v>133.98264829657467</c:v>
                </c:pt>
                <c:pt idx="129">
                  <c:v>135.02938773639167</c:v>
                </c:pt>
                <c:pt idx="130">
                  <c:v>136.07612717620867</c:v>
                </c:pt>
                <c:pt idx="131">
                  <c:v>137.12286661602568</c:v>
                </c:pt>
                <c:pt idx="132">
                  <c:v>138.16960605584268</c:v>
                </c:pt>
                <c:pt idx="133">
                  <c:v>139.21634549565968</c:v>
                </c:pt>
                <c:pt idx="134">
                  <c:v>140.26308493547668</c:v>
                </c:pt>
                <c:pt idx="135">
                  <c:v>141.30982437529369</c:v>
                </c:pt>
                <c:pt idx="136">
                  <c:v>142.35656381511069</c:v>
                </c:pt>
                <c:pt idx="137">
                  <c:v>143.40330325492769</c:v>
                </c:pt>
                <c:pt idx="138">
                  <c:v>144.4500426947447</c:v>
                </c:pt>
                <c:pt idx="139">
                  <c:v>145.4967821345617</c:v>
                </c:pt>
                <c:pt idx="140">
                  <c:v>146.5435215743787</c:v>
                </c:pt>
                <c:pt idx="141">
                  <c:v>147.5902610141957</c:v>
                </c:pt>
                <c:pt idx="142">
                  <c:v>148.63700045401271</c:v>
                </c:pt>
                <c:pt idx="143">
                  <c:v>149.68373989382971</c:v>
                </c:pt>
                <c:pt idx="144">
                  <c:v>150.73047933364671</c:v>
                </c:pt>
                <c:pt idx="145">
                  <c:v>151.77721877346372</c:v>
                </c:pt>
                <c:pt idx="146">
                  <c:v>152.82395821328072</c:v>
                </c:pt>
                <c:pt idx="147">
                  <c:v>153.87069765309772</c:v>
                </c:pt>
                <c:pt idx="148">
                  <c:v>154.91743709291472</c:v>
                </c:pt>
                <c:pt idx="149">
                  <c:v>155.96417653273173</c:v>
                </c:pt>
                <c:pt idx="150">
                  <c:v>157.01091597254873</c:v>
                </c:pt>
                <c:pt idx="151">
                  <c:v>158.05765541236573</c:v>
                </c:pt>
                <c:pt idx="152">
                  <c:v>159.10439485218274</c:v>
                </c:pt>
                <c:pt idx="153">
                  <c:v>160.15113429199974</c:v>
                </c:pt>
                <c:pt idx="154">
                  <c:v>161.19787373181674</c:v>
                </c:pt>
                <c:pt idx="155">
                  <c:v>162.24461317163374</c:v>
                </c:pt>
                <c:pt idx="156">
                  <c:v>163.29135261145075</c:v>
                </c:pt>
                <c:pt idx="157">
                  <c:v>164.33809205126775</c:v>
                </c:pt>
                <c:pt idx="158">
                  <c:v>165.38483149108475</c:v>
                </c:pt>
                <c:pt idx="159">
                  <c:v>166.43157093090176</c:v>
                </c:pt>
                <c:pt idx="160">
                  <c:v>167.47831037071876</c:v>
                </c:pt>
                <c:pt idx="161">
                  <c:v>168.52504981053576</c:v>
                </c:pt>
                <c:pt idx="162">
                  <c:v>169.57178925035277</c:v>
                </c:pt>
                <c:pt idx="163">
                  <c:v>170.61852869016977</c:v>
                </c:pt>
                <c:pt idx="164">
                  <c:v>171.66526812998677</c:v>
                </c:pt>
                <c:pt idx="165">
                  <c:v>172.71200756980377</c:v>
                </c:pt>
                <c:pt idx="166">
                  <c:v>173.75874700962078</c:v>
                </c:pt>
                <c:pt idx="167">
                  <c:v>174.80548644943778</c:v>
                </c:pt>
                <c:pt idx="168">
                  <c:v>175.85222588925478</c:v>
                </c:pt>
                <c:pt idx="169">
                  <c:v>176.89896532907179</c:v>
                </c:pt>
                <c:pt idx="170">
                  <c:v>177.94570476888879</c:v>
                </c:pt>
                <c:pt idx="171">
                  <c:v>178.99244420870579</c:v>
                </c:pt>
                <c:pt idx="172">
                  <c:v>180.03918364852279</c:v>
                </c:pt>
                <c:pt idx="173">
                  <c:v>181.0859230883398</c:v>
                </c:pt>
                <c:pt idx="174">
                  <c:v>182.1326625281568</c:v>
                </c:pt>
                <c:pt idx="175">
                  <c:v>183.1794019679738</c:v>
                </c:pt>
                <c:pt idx="176">
                  <c:v>184.22614140779081</c:v>
                </c:pt>
                <c:pt idx="177">
                  <c:v>185.27288084760781</c:v>
                </c:pt>
                <c:pt idx="178">
                  <c:v>186.31962028742481</c:v>
                </c:pt>
                <c:pt idx="179">
                  <c:v>187.36635972724181</c:v>
                </c:pt>
                <c:pt idx="180">
                  <c:v>188.41309916705882</c:v>
                </c:pt>
                <c:pt idx="181">
                  <c:v>189.45983860687582</c:v>
                </c:pt>
                <c:pt idx="182">
                  <c:v>190.50657804669282</c:v>
                </c:pt>
                <c:pt idx="183">
                  <c:v>191.55331748650983</c:v>
                </c:pt>
                <c:pt idx="184">
                  <c:v>192.60005692632683</c:v>
                </c:pt>
                <c:pt idx="185">
                  <c:v>193.64679636614383</c:v>
                </c:pt>
                <c:pt idx="186">
                  <c:v>194.69353580596083</c:v>
                </c:pt>
                <c:pt idx="187">
                  <c:v>195.74027524577784</c:v>
                </c:pt>
                <c:pt idx="188">
                  <c:v>196.78701468559484</c:v>
                </c:pt>
                <c:pt idx="189">
                  <c:v>197.83375412541184</c:v>
                </c:pt>
                <c:pt idx="190">
                  <c:v>198.88049356522885</c:v>
                </c:pt>
                <c:pt idx="191">
                  <c:v>199.92723300504585</c:v>
                </c:pt>
                <c:pt idx="192">
                  <c:v>200.97397244486285</c:v>
                </c:pt>
                <c:pt idx="193">
                  <c:v>202.02071188467986</c:v>
                </c:pt>
                <c:pt idx="194">
                  <c:v>203.06745132449686</c:v>
                </c:pt>
                <c:pt idx="195">
                  <c:v>204.11419076431386</c:v>
                </c:pt>
                <c:pt idx="196">
                  <c:v>205.16093020413086</c:v>
                </c:pt>
                <c:pt idx="197">
                  <c:v>206.20766964394787</c:v>
                </c:pt>
                <c:pt idx="198">
                  <c:v>207.25440908376487</c:v>
                </c:pt>
                <c:pt idx="199">
                  <c:v>208.30114852358187</c:v>
                </c:pt>
                <c:pt idx="200">
                  <c:v>209.34788796339888</c:v>
                </c:pt>
                <c:pt idx="201">
                  <c:v>210.39462740321588</c:v>
                </c:pt>
                <c:pt idx="202">
                  <c:v>211.44136684303288</c:v>
                </c:pt>
                <c:pt idx="203">
                  <c:v>212.48810628284988</c:v>
                </c:pt>
                <c:pt idx="204">
                  <c:v>213.53484572266689</c:v>
                </c:pt>
                <c:pt idx="205">
                  <c:v>214.58158516248389</c:v>
                </c:pt>
                <c:pt idx="206">
                  <c:v>215.62832460230089</c:v>
                </c:pt>
                <c:pt idx="207">
                  <c:v>216.6750640421179</c:v>
                </c:pt>
                <c:pt idx="208">
                  <c:v>217.7218034819349</c:v>
                </c:pt>
                <c:pt idx="209">
                  <c:v>218.7685429217519</c:v>
                </c:pt>
                <c:pt idx="210">
                  <c:v>219.8152823615689</c:v>
                </c:pt>
                <c:pt idx="211">
                  <c:v>220.86202180138591</c:v>
                </c:pt>
                <c:pt idx="212">
                  <c:v>221.90876124120291</c:v>
                </c:pt>
                <c:pt idx="213">
                  <c:v>222.95550068101991</c:v>
                </c:pt>
                <c:pt idx="214">
                  <c:v>224.00224012083692</c:v>
                </c:pt>
                <c:pt idx="215">
                  <c:v>225.04897956065392</c:v>
                </c:pt>
                <c:pt idx="216">
                  <c:v>226.09571900047092</c:v>
                </c:pt>
                <c:pt idx="217">
                  <c:v>227.14245844028792</c:v>
                </c:pt>
                <c:pt idx="218">
                  <c:v>228.18919788010493</c:v>
                </c:pt>
                <c:pt idx="219">
                  <c:v>229.23593731992193</c:v>
                </c:pt>
                <c:pt idx="220">
                  <c:v>230.28267675973893</c:v>
                </c:pt>
                <c:pt idx="221">
                  <c:v>231.32941619955594</c:v>
                </c:pt>
                <c:pt idx="222">
                  <c:v>232.37615563937294</c:v>
                </c:pt>
                <c:pt idx="223">
                  <c:v>233.42289507918994</c:v>
                </c:pt>
                <c:pt idx="224">
                  <c:v>234.46963451900695</c:v>
                </c:pt>
                <c:pt idx="225">
                  <c:v>235.51637395882395</c:v>
                </c:pt>
                <c:pt idx="226">
                  <c:v>236.56311339864095</c:v>
                </c:pt>
                <c:pt idx="227">
                  <c:v>237.60985283845795</c:v>
                </c:pt>
                <c:pt idx="228">
                  <c:v>238.65659227827496</c:v>
                </c:pt>
                <c:pt idx="229">
                  <c:v>239.70333171809196</c:v>
                </c:pt>
                <c:pt idx="230">
                  <c:v>240.75007115790896</c:v>
                </c:pt>
                <c:pt idx="231">
                  <c:v>241.79681059772597</c:v>
                </c:pt>
                <c:pt idx="232">
                  <c:v>242.84355003754297</c:v>
                </c:pt>
                <c:pt idx="233">
                  <c:v>243.89028947735997</c:v>
                </c:pt>
                <c:pt idx="234">
                  <c:v>244.93702891717697</c:v>
                </c:pt>
                <c:pt idx="235">
                  <c:v>245.98376835699398</c:v>
                </c:pt>
                <c:pt idx="236">
                  <c:v>247.03050779681098</c:v>
                </c:pt>
                <c:pt idx="237">
                  <c:v>248.07724723662798</c:v>
                </c:pt>
                <c:pt idx="238">
                  <c:v>249.12398667644499</c:v>
                </c:pt>
                <c:pt idx="239">
                  <c:v>250.17072611626199</c:v>
                </c:pt>
                <c:pt idx="240">
                  <c:v>251.21746555607899</c:v>
                </c:pt>
                <c:pt idx="241">
                  <c:v>252.26420499589599</c:v>
                </c:pt>
                <c:pt idx="242">
                  <c:v>253.310944435713</c:v>
                </c:pt>
                <c:pt idx="243">
                  <c:v>254.35768387553</c:v>
                </c:pt>
                <c:pt idx="244">
                  <c:v>255.404423315347</c:v>
                </c:pt>
                <c:pt idx="245">
                  <c:v>256.45116275516398</c:v>
                </c:pt>
                <c:pt idx="246">
                  <c:v>257.49790219498095</c:v>
                </c:pt>
                <c:pt idx="247">
                  <c:v>258.54464163479793</c:v>
                </c:pt>
                <c:pt idx="248">
                  <c:v>259.5913810746149</c:v>
                </c:pt>
                <c:pt idx="249">
                  <c:v>260.63812051443188</c:v>
                </c:pt>
                <c:pt idx="250">
                  <c:v>261.68485995424885</c:v>
                </c:pt>
                <c:pt idx="251">
                  <c:v>262.73159939406582</c:v>
                </c:pt>
                <c:pt idx="252">
                  <c:v>263.7783388338828</c:v>
                </c:pt>
                <c:pt idx="253">
                  <c:v>264.82507827369977</c:v>
                </c:pt>
                <c:pt idx="254">
                  <c:v>265.87181771351675</c:v>
                </c:pt>
                <c:pt idx="255">
                  <c:v>266.91855715333372</c:v>
                </c:pt>
                <c:pt idx="256">
                  <c:v>267.9652965931507</c:v>
                </c:pt>
                <c:pt idx="257">
                  <c:v>269.01203603296767</c:v>
                </c:pt>
                <c:pt idx="258">
                  <c:v>270.05877547278465</c:v>
                </c:pt>
                <c:pt idx="259">
                  <c:v>271.10551491260162</c:v>
                </c:pt>
                <c:pt idx="260">
                  <c:v>272.15225435241859</c:v>
                </c:pt>
                <c:pt idx="261">
                  <c:v>273.19899379223557</c:v>
                </c:pt>
                <c:pt idx="262">
                  <c:v>274.24573323205254</c:v>
                </c:pt>
                <c:pt idx="263">
                  <c:v>275.29247267186952</c:v>
                </c:pt>
                <c:pt idx="264">
                  <c:v>276.33921211168649</c:v>
                </c:pt>
                <c:pt idx="265">
                  <c:v>277.38595155150347</c:v>
                </c:pt>
                <c:pt idx="266">
                  <c:v>278.43269099132044</c:v>
                </c:pt>
                <c:pt idx="267">
                  <c:v>279.47943043113742</c:v>
                </c:pt>
                <c:pt idx="268">
                  <c:v>280.52616987095439</c:v>
                </c:pt>
                <c:pt idx="269">
                  <c:v>281.57290931077137</c:v>
                </c:pt>
                <c:pt idx="270">
                  <c:v>282.61964875058834</c:v>
                </c:pt>
                <c:pt idx="271">
                  <c:v>283.66638819040531</c:v>
                </c:pt>
                <c:pt idx="272">
                  <c:v>284.71312763022229</c:v>
                </c:pt>
                <c:pt idx="273">
                  <c:v>285.75986707003926</c:v>
                </c:pt>
                <c:pt idx="274">
                  <c:v>286.80660650985624</c:v>
                </c:pt>
                <c:pt idx="275">
                  <c:v>287.85334594967321</c:v>
                </c:pt>
                <c:pt idx="276">
                  <c:v>288.90008538949019</c:v>
                </c:pt>
                <c:pt idx="277">
                  <c:v>289.94682482930716</c:v>
                </c:pt>
                <c:pt idx="278">
                  <c:v>290.99356426912414</c:v>
                </c:pt>
                <c:pt idx="279">
                  <c:v>292.04030370894111</c:v>
                </c:pt>
                <c:pt idx="280">
                  <c:v>293.08704314875808</c:v>
                </c:pt>
                <c:pt idx="281">
                  <c:v>294.13378258857506</c:v>
                </c:pt>
                <c:pt idx="282">
                  <c:v>295.18052202839203</c:v>
                </c:pt>
                <c:pt idx="283">
                  <c:v>296.22726146820901</c:v>
                </c:pt>
                <c:pt idx="284">
                  <c:v>297.27400090802598</c:v>
                </c:pt>
                <c:pt idx="285">
                  <c:v>298.32074034784296</c:v>
                </c:pt>
                <c:pt idx="286">
                  <c:v>299.36747978765993</c:v>
                </c:pt>
                <c:pt idx="287">
                  <c:v>300.41421922747691</c:v>
                </c:pt>
                <c:pt idx="288">
                  <c:v>301.46095866729388</c:v>
                </c:pt>
                <c:pt idx="289">
                  <c:v>302.50769810711085</c:v>
                </c:pt>
                <c:pt idx="290">
                  <c:v>303.55443754692783</c:v>
                </c:pt>
                <c:pt idx="291">
                  <c:v>304.6011769867448</c:v>
                </c:pt>
                <c:pt idx="292">
                  <c:v>305.64791642656178</c:v>
                </c:pt>
                <c:pt idx="293">
                  <c:v>306.69465586637875</c:v>
                </c:pt>
                <c:pt idx="294">
                  <c:v>307.74139530619573</c:v>
                </c:pt>
                <c:pt idx="295">
                  <c:v>308.7881347460127</c:v>
                </c:pt>
                <c:pt idx="296">
                  <c:v>309.83487418582968</c:v>
                </c:pt>
                <c:pt idx="297">
                  <c:v>310.88161362564665</c:v>
                </c:pt>
                <c:pt idx="298">
                  <c:v>311.92835306546363</c:v>
                </c:pt>
                <c:pt idx="299">
                  <c:v>312.9750925052806</c:v>
                </c:pt>
                <c:pt idx="300">
                  <c:v>314.02183194509757</c:v>
                </c:pt>
                <c:pt idx="301">
                  <c:v>315.06857138491455</c:v>
                </c:pt>
                <c:pt idx="302">
                  <c:v>316.11531082473152</c:v>
                </c:pt>
                <c:pt idx="303">
                  <c:v>317.1620502645485</c:v>
                </c:pt>
                <c:pt idx="304">
                  <c:v>318.20878970436547</c:v>
                </c:pt>
                <c:pt idx="305">
                  <c:v>319.25552914418245</c:v>
                </c:pt>
                <c:pt idx="306">
                  <c:v>320.30226858399942</c:v>
                </c:pt>
                <c:pt idx="307">
                  <c:v>321.3490080238164</c:v>
                </c:pt>
                <c:pt idx="308">
                  <c:v>322.39574746363337</c:v>
                </c:pt>
                <c:pt idx="309">
                  <c:v>323.44248690345034</c:v>
                </c:pt>
                <c:pt idx="310">
                  <c:v>324.48922634326732</c:v>
                </c:pt>
                <c:pt idx="311">
                  <c:v>325.53596578308429</c:v>
                </c:pt>
                <c:pt idx="312">
                  <c:v>326.58270522290127</c:v>
                </c:pt>
                <c:pt idx="313">
                  <c:v>327.62944466271824</c:v>
                </c:pt>
                <c:pt idx="314">
                  <c:v>328.67618410253522</c:v>
                </c:pt>
                <c:pt idx="315">
                  <c:v>329.72292354235219</c:v>
                </c:pt>
                <c:pt idx="316">
                  <c:v>330.76966298216917</c:v>
                </c:pt>
                <c:pt idx="317">
                  <c:v>331.81640242198614</c:v>
                </c:pt>
                <c:pt idx="318">
                  <c:v>332.86314186180311</c:v>
                </c:pt>
                <c:pt idx="319">
                  <c:v>333.90988130162009</c:v>
                </c:pt>
                <c:pt idx="320">
                  <c:v>334.95662074143706</c:v>
                </c:pt>
                <c:pt idx="321">
                  <c:v>336.00336018125404</c:v>
                </c:pt>
                <c:pt idx="322">
                  <c:v>337.05009962107101</c:v>
                </c:pt>
                <c:pt idx="323">
                  <c:v>338.09683906088799</c:v>
                </c:pt>
                <c:pt idx="324">
                  <c:v>339.14357850070496</c:v>
                </c:pt>
                <c:pt idx="325">
                  <c:v>340.19031794052194</c:v>
                </c:pt>
                <c:pt idx="326">
                  <c:v>341.23705738033891</c:v>
                </c:pt>
                <c:pt idx="327">
                  <c:v>342.28379682015589</c:v>
                </c:pt>
                <c:pt idx="328">
                  <c:v>343.33053625997286</c:v>
                </c:pt>
                <c:pt idx="329">
                  <c:v>344.37727569978983</c:v>
                </c:pt>
                <c:pt idx="330">
                  <c:v>345.42401513960681</c:v>
                </c:pt>
                <c:pt idx="331">
                  <c:v>346.47075457942378</c:v>
                </c:pt>
                <c:pt idx="332">
                  <c:v>347.51749401924076</c:v>
                </c:pt>
                <c:pt idx="333">
                  <c:v>348.56423345905773</c:v>
                </c:pt>
                <c:pt idx="334">
                  <c:v>349.61097289887471</c:v>
                </c:pt>
                <c:pt idx="335">
                  <c:v>350.65771233869168</c:v>
                </c:pt>
                <c:pt idx="336">
                  <c:v>351.70445177850866</c:v>
                </c:pt>
                <c:pt idx="337">
                  <c:v>352.75119121832563</c:v>
                </c:pt>
                <c:pt idx="338">
                  <c:v>353.7979306581426</c:v>
                </c:pt>
                <c:pt idx="339">
                  <c:v>354.84467009795958</c:v>
                </c:pt>
                <c:pt idx="340">
                  <c:v>355.89140953777655</c:v>
                </c:pt>
                <c:pt idx="341">
                  <c:v>356.93814897759353</c:v>
                </c:pt>
                <c:pt idx="342">
                  <c:v>357.9848884174105</c:v>
                </c:pt>
                <c:pt idx="343">
                  <c:v>359.03162785722748</c:v>
                </c:pt>
                <c:pt idx="344">
                  <c:v>360.07836729704445</c:v>
                </c:pt>
                <c:pt idx="345">
                  <c:v>361.12510673686143</c:v>
                </c:pt>
                <c:pt idx="346">
                  <c:v>362.1718461766784</c:v>
                </c:pt>
                <c:pt idx="347">
                  <c:v>363.21858561649537</c:v>
                </c:pt>
                <c:pt idx="348">
                  <c:v>364.26532505631235</c:v>
                </c:pt>
                <c:pt idx="349">
                  <c:v>365.31206449612932</c:v>
                </c:pt>
                <c:pt idx="350">
                  <c:v>366.3588039359463</c:v>
                </c:pt>
                <c:pt idx="351">
                  <c:v>367.40554337576327</c:v>
                </c:pt>
                <c:pt idx="352">
                  <c:v>368.45228281558025</c:v>
                </c:pt>
                <c:pt idx="353">
                  <c:v>369.49902225539722</c:v>
                </c:pt>
                <c:pt idx="354">
                  <c:v>370.5457616952142</c:v>
                </c:pt>
                <c:pt idx="355">
                  <c:v>371.59250113503117</c:v>
                </c:pt>
                <c:pt idx="356">
                  <c:v>372.63924057484815</c:v>
                </c:pt>
                <c:pt idx="357">
                  <c:v>373.68598001466512</c:v>
                </c:pt>
                <c:pt idx="358">
                  <c:v>374.73271945448209</c:v>
                </c:pt>
                <c:pt idx="359">
                  <c:v>375.77945889429907</c:v>
                </c:pt>
                <c:pt idx="360">
                  <c:v>376.82619833411604</c:v>
                </c:pt>
                <c:pt idx="361">
                  <c:v>377.87293777393302</c:v>
                </c:pt>
                <c:pt idx="362">
                  <c:v>378.91967721374999</c:v>
                </c:pt>
                <c:pt idx="363">
                  <c:v>379.96641665356697</c:v>
                </c:pt>
                <c:pt idx="364">
                  <c:v>381.01315609338394</c:v>
                </c:pt>
                <c:pt idx="365">
                  <c:v>382.05989553320092</c:v>
                </c:pt>
                <c:pt idx="366">
                  <c:v>383.10663497301789</c:v>
                </c:pt>
                <c:pt idx="367">
                  <c:v>384.15337441283486</c:v>
                </c:pt>
                <c:pt idx="368">
                  <c:v>385.20011385265184</c:v>
                </c:pt>
                <c:pt idx="369">
                  <c:v>386.24685329246881</c:v>
                </c:pt>
                <c:pt idx="370">
                  <c:v>387.29359273228579</c:v>
                </c:pt>
                <c:pt idx="371">
                  <c:v>388.34033217210276</c:v>
                </c:pt>
                <c:pt idx="372">
                  <c:v>389.38707161191974</c:v>
                </c:pt>
                <c:pt idx="373">
                  <c:v>390.43381105173671</c:v>
                </c:pt>
                <c:pt idx="374">
                  <c:v>391.48055049155369</c:v>
                </c:pt>
                <c:pt idx="375">
                  <c:v>392.52728993137066</c:v>
                </c:pt>
                <c:pt idx="376">
                  <c:v>393.57402937118763</c:v>
                </c:pt>
                <c:pt idx="377">
                  <c:v>394.62076881100461</c:v>
                </c:pt>
                <c:pt idx="378">
                  <c:v>395.66750825082158</c:v>
                </c:pt>
                <c:pt idx="379">
                  <c:v>396.71424769063856</c:v>
                </c:pt>
                <c:pt idx="380">
                  <c:v>397.76098713045553</c:v>
                </c:pt>
                <c:pt idx="381">
                  <c:v>398.80772657027251</c:v>
                </c:pt>
                <c:pt idx="382">
                  <c:v>399.85446601008948</c:v>
                </c:pt>
                <c:pt idx="383">
                  <c:v>400.90120544990646</c:v>
                </c:pt>
                <c:pt idx="384">
                  <c:v>401.94794488972343</c:v>
                </c:pt>
                <c:pt idx="385">
                  <c:v>402.99468432954041</c:v>
                </c:pt>
                <c:pt idx="386">
                  <c:v>404.04142376935738</c:v>
                </c:pt>
                <c:pt idx="387">
                  <c:v>405.08816320917435</c:v>
                </c:pt>
                <c:pt idx="388">
                  <c:v>406.13490264899133</c:v>
                </c:pt>
                <c:pt idx="389">
                  <c:v>407.1816420888083</c:v>
                </c:pt>
                <c:pt idx="390">
                  <c:v>408.22838152862528</c:v>
                </c:pt>
                <c:pt idx="391">
                  <c:v>409.27512096844225</c:v>
                </c:pt>
                <c:pt idx="392">
                  <c:v>410.32186040825923</c:v>
                </c:pt>
                <c:pt idx="393">
                  <c:v>411.3685998480762</c:v>
                </c:pt>
                <c:pt idx="394">
                  <c:v>412.41533928789318</c:v>
                </c:pt>
                <c:pt idx="395">
                  <c:v>413.46207872771015</c:v>
                </c:pt>
                <c:pt idx="396">
                  <c:v>414.50881816752712</c:v>
                </c:pt>
                <c:pt idx="397">
                  <c:v>415.5555576073441</c:v>
                </c:pt>
                <c:pt idx="398">
                  <c:v>416.60229704716107</c:v>
                </c:pt>
                <c:pt idx="399">
                  <c:v>417.64903648697805</c:v>
                </c:pt>
                <c:pt idx="400">
                  <c:v>418.69577592679502</c:v>
                </c:pt>
                <c:pt idx="401">
                  <c:v>419.742515366612</c:v>
                </c:pt>
                <c:pt idx="402">
                  <c:v>420.78925480642897</c:v>
                </c:pt>
                <c:pt idx="403">
                  <c:v>421.83599424624595</c:v>
                </c:pt>
                <c:pt idx="404">
                  <c:v>422.88273368606292</c:v>
                </c:pt>
                <c:pt idx="405">
                  <c:v>423.92947312587989</c:v>
                </c:pt>
                <c:pt idx="406">
                  <c:v>424.97621256569687</c:v>
                </c:pt>
                <c:pt idx="407">
                  <c:v>426.02295200551384</c:v>
                </c:pt>
                <c:pt idx="408">
                  <c:v>427.06969144533082</c:v>
                </c:pt>
                <c:pt idx="409">
                  <c:v>428.11643088514779</c:v>
                </c:pt>
                <c:pt idx="410">
                  <c:v>429.16317032496477</c:v>
                </c:pt>
                <c:pt idx="411">
                  <c:v>430.20990976478174</c:v>
                </c:pt>
                <c:pt idx="412">
                  <c:v>431.25664920459872</c:v>
                </c:pt>
                <c:pt idx="413">
                  <c:v>432.30338864441569</c:v>
                </c:pt>
                <c:pt idx="414">
                  <c:v>433.35012808423267</c:v>
                </c:pt>
                <c:pt idx="415">
                  <c:v>434.39686752404964</c:v>
                </c:pt>
                <c:pt idx="416">
                  <c:v>435.44360696386661</c:v>
                </c:pt>
                <c:pt idx="417">
                  <c:v>436.49034640368359</c:v>
                </c:pt>
                <c:pt idx="418">
                  <c:v>437.53708584350056</c:v>
                </c:pt>
                <c:pt idx="419">
                  <c:v>438.58382528331754</c:v>
                </c:pt>
                <c:pt idx="420">
                  <c:v>439.63056472313451</c:v>
                </c:pt>
                <c:pt idx="421">
                  <c:v>440.67730416295149</c:v>
                </c:pt>
                <c:pt idx="422">
                  <c:v>441.72404360276846</c:v>
                </c:pt>
                <c:pt idx="423">
                  <c:v>442.77078304258544</c:v>
                </c:pt>
                <c:pt idx="424">
                  <c:v>443.81752248240241</c:v>
                </c:pt>
                <c:pt idx="425">
                  <c:v>444.86426192221938</c:v>
                </c:pt>
                <c:pt idx="426">
                  <c:v>445.91100136203636</c:v>
                </c:pt>
                <c:pt idx="427">
                  <c:v>446.95774080185333</c:v>
                </c:pt>
                <c:pt idx="428">
                  <c:v>448.00448024167031</c:v>
                </c:pt>
                <c:pt idx="429">
                  <c:v>449.05121968148728</c:v>
                </c:pt>
                <c:pt idx="430">
                  <c:v>450.09795912130426</c:v>
                </c:pt>
                <c:pt idx="431">
                  <c:v>451.14469856112123</c:v>
                </c:pt>
                <c:pt idx="432">
                  <c:v>452.19143800093821</c:v>
                </c:pt>
                <c:pt idx="433">
                  <c:v>453.23817744075518</c:v>
                </c:pt>
                <c:pt idx="434">
                  <c:v>454.28491688057215</c:v>
                </c:pt>
                <c:pt idx="435">
                  <c:v>455.33165632038913</c:v>
                </c:pt>
                <c:pt idx="436">
                  <c:v>456.3783957602061</c:v>
                </c:pt>
                <c:pt idx="437">
                  <c:v>457.42513520002308</c:v>
                </c:pt>
                <c:pt idx="438">
                  <c:v>458.47187463984005</c:v>
                </c:pt>
                <c:pt idx="439">
                  <c:v>459.51861407965703</c:v>
                </c:pt>
                <c:pt idx="440">
                  <c:v>460.565353519474</c:v>
                </c:pt>
                <c:pt idx="441">
                  <c:v>461.61209295929098</c:v>
                </c:pt>
                <c:pt idx="442">
                  <c:v>462.65883239910795</c:v>
                </c:pt>
                <c:pt idx="443">
                  <c:v>463.70557183892493</c:v>
                </c:pt>
                <c:pt idx="444">
                  <c:v>464.7523112787419</c:v>
                </c:pt>
                <c:pt idx="445">
                  <c:v>465.79905071855887</c:v>
                </c:pt>
                <c:pt idx="446">
                  <c:v>466.84579015837585</c:v>
                </c:pt>
                <c:pt idx="447">
                  <c:v>467.89252959819282</c:v>
                </c:pt>
                <c:pt idx="448">
                  <c:v>468.9392690380098</c:v>
                </c:pt>
                <c:pt idx="449">
                  <c:v>469.98600847782677</c:v>
                </c:pt>
                <c:pt idx="450">
                  <c:v>471.03274791764375</c:v>
                </c:pt>
                <c:pt idx="451">
                  <c:v>472.07948735746072</c:v>
                </c:pt>
                <c:pt idx="452">
                  <c:v>473.1262267972777</c:v>
                </c:pt>
                <c:pt idx="453">
                  <c:v>474.17296623709467</c:v>
                </c:pt>
                <c:pt idx="454">
                  <c:v>475.21970567691164</c:v>
                </c:pt>
                <c:pt idx="455">
                  <c:v>476.26644511672862</c:v>
                </c:pt>
                <c:pt idx="456">
                  <c:v>477.31318455654559</c:v>
                </c:pt>
                <c:pt idx="457">
                  <c:v>478.35992399636257</c:v>
                </c:pt>
                <c:pt idx="458">
                  <c:v>479.40666343617954</c:v>
                </c:pt>
                <c:pt idx="459">
                  <c:v>480.45340287599652</c:v>
                </c:pt>
                <c:pt idx="460">
                  <c:v>481.50014231581349</c:v>
                </c:pt>
                <c:pt idx="461">
                  <c:v>482.54688175563047</c:v>
                </c:pt>
                <c:pt idx="462">
                  <c:v>483.59362119544744</c:v>
                </c:pt>
                <c:pt idx="463">
                  <c:v>484.64036063526441</c:v>
                </c:pt>
                <c:pt idx="464">
                  <c:v>485.68710007508139</c:v>
                </c:pt>
                <c:pt idx="465">
                  <c:v>486.73383951489836</c:v>
                </c:pt>
                <c:pt idx="466">
                  <c:v>487.78057895471534</c:v>
                </c:pt>
                <c:pt idx="467">
                  <c:v>488.82731839453231</c:v>
                </c:pt>
                <c:pt idx="468">
                  <c:v>489.87405783434929</c:v>
                </c:pt>
                <c:pt idx="469">
                  <c:v>490.92079727416626</c:v>
                </c:pt>
                <c:pt idx="470">
                  <c:v>491.96753671398324</c:v>
                </c:pt>
                <c:pt idx="471">
                  <c:v>493.01427615380021</c:v>
                </c:pt>
                <c:pt idx="472">
                  <c:v>494.06101559361719</c:v>
                </c:pt>
                <c:pt idx="473">
                  <c:v>495.10775503343416</c:v>
                </c:pt>
                <c:pt idx="474">
                  <c:v>496.15449447325113</c:v>
                </c:pt>
                <c:pt idx="475">
                  <c:v>497.20123391306811</c:v>
                </c:pt>
                <c:pt idx="476">
                  <c:v>498.24797335288508</c:v>
                </c:pt>
                <c:pt idx="477">
                  <c:v>499.29471279270206</c:v>
                </c:pt>
                <c:pt idx="478">
                  <c:v>500.34145223251903</c:v>
                </c:pt>
                <c:pt idx="479">
                  <c:v>501.38819167233601</c:v>
                </c:pt>
                <c:pt idx="480">
                  <c:v>502.43493111215298</c:v>
                </c:pt>
                <c:pt idx="481">
                  <c:v>503.48167055196996</c:v>
                </c:pt>
                <c:pt idx="482">
                  <c:v>504.52840999178693</c:v>
                </c:pt>
                <c:pt idx="483">
                  <c:v>505.5751494316039</c:v>
                </c:pt>
                <c:pt idx="484">
                  <c:v>506.62188887142088</c:v>
                </c:pt>
                <c:pt idx="485">
                  <c:v>507.66862831123785</c:v>
                </c:pt>
                <c:pt idx="486">
                  <c:v>508.71536775105483</c:v>
                </c:pt>
                <c:pt idx="487">
                  <c:v>509.7621071908718</c:v>
                </c:pt>
                <c:pt idx="488">
                  <c:v>510.80884663068878</c:v>
                </c:pt>
                <c:pt idx="489">
                  <c:v>511.85558607050575</c:v>
                </c:pt>
                <c:pt idx="490">
                  <c:v>512.90232551032273</c:v>
                </c:pt>
                <c:pt idx="491">
                  <c:v>513.9490649501397</c:v>
                </c:pt>
                <c:pt idx="492">
                  <c:v>514.99580438995667</c:v>
                </c:pt>
                <c:pt idx="493">
                  <c:v>516.04254382977365</c:v>
                </c:pt>
                <c:pt idx="494">
                  <c:v>517.08928326959062</c:v>
                </c:pt>
                <c:pt idx="495">
                  <c:v>518.1360227094076</c:v>
                </c:pt>
                <c:pt idx="496">
                  <c:v>519.18276214922457</c:v>
                </c:pt>
                <c:pt idx="497">
                  <c:v>520.22950158904155</c:v>
                </c:pt>
                <c:pt idx="498">
                  <c:v>521.27624102885852</c:v>
                </c:pt>
                <c:pt idx="499">
                  <c:v>522.3229804686755</c:v>
                </c:pt>
                <c:pt idx="500">
                  <c:v>523.36971990849247</c:v>
                </c:pt>
                <c:pt idx="501">
                  <c:v>524.41645934830944</c:v>
                </c:pt>
                <c:pt idx="502">
                  <c:v>525.46319878812642</c:v>
                </c:pt>
                <c:pt idx="503">
                  <c:v>526.50993822794339</c:v>
                </c:pt>
                <c:pt idx="504">
                  <c:v>527.55667766776037</c:v>
                </c:pt>
                <c:pt idx="505">
                  <c:v>528.60341710757734</c:v>
                </c:pt>
                <c:pt idx="506">
                  <c:v>529.65015654739432</c:v>
                </c:pt>
                <c:pt idx="507">
                  <c:v>530.69689598721129</c:v>
                </c:pt>
                <c:pt idx="508">
                  <c:v>531.74363542702827</c:v>
                </c:pt>
                <c:pt idx="509">
                  <c:v>532.79037486684524</c:v>
                </c:pt>
                <c:pt idx="510">
                  <c:v>533.83711430666222</c:v>
                </c:pt>
                <c:pt idx="511">
                  <c:v>534.88385374647919</c:v>
                </c:pt>
                <c:pt idx="512">
                  <c:v>535.93059318629616</c:v>
                </c:pt>
                <c:pt idx="513">
                  <c:v>536.97733262611314</c:v>
                </c:pt>
                <c:pt idx="514">
                  <c:v>538.02407206593011</c:v>
                </c:pt>
                <c:pt idx="515">
                  <c:v>539.07081150574709</c:v>
                </c:pt>
                <c:pt idx="516">
                  <c:v>540.11755094556406</c:v>
                </c:pt>
                <c:pt idx="517">
                  <c:v>541.16429038538104</c:v>
                </c:pt>
                <c:pt idx="518">
                  <c:v>542.21102982519801</c:v>
                </c:pt>
                <c:pt idx="519">
                  <c:v>543.25776926501499</c:v>
                </c:pt>
                <c:pt idx="520">
                  <c:v>544.30450870483196</c:v>
                </c:pt>
                <c:pt idx="521">
                  <c:v>545.35124814464893</c:v>
                </c:pt>
                <c:pt idx="522">
                  <c:v>546.39798758446591</c:v>
                </c:pt>
                <c:pt idx="523">
                  <c:v>547.44472702428288</c:v>
                </c:pt>
                <c:pt idx="524">
                  <c:v>548.49146646409986</c:v>
                </c:pt>
                <c:pt idx="525">
                  <c:v>549.53820590391683</c:v>
                </c:pt>
                <c:pt idx="526">
                  <c:v>550.58494534373381</c:v>
                </c:pt>
                <c:pt idx="527">
                  <c:v>551.63168478355078</c:v>
                </c:pt>
                <c:pt idx="528">
                  <c:v>552.67842422336776</c:v>
                </c:pt>
                <c:pt idx="529">
                  <c:v>553.72516366318473</c:v>
                </c:pt>
                <c:pt idx="530">
                  <c:v>554.7719031030017</c:v>
                </c:pt>
                <c:pt idx="531">
                  <c:v>555.81864254281868</c:v>
                </c:pt>
                <c:pt idx="532">
                  <c:v>556.86538198263565</c:v>
                </c:pt>
                <c:pt idx="533">
                  <c:v>557.91212142245263</c:v>
                </c:pt>
                <c:pt idx="534">
                  <c:v>558.9588608622696</c:v>
                </c:pt>
                <c:pt idx="535">
                  <c:v>560.00560030208658</c:v>
                </c:pt>
                <c:pt idx="536">
                  <c:v>561.05233974190355</c:v>
                </c:pt>
                <c:pt idx="537">
                  <c:v>562.09907918172053</c:v>
                </c:pt>
                <c:pt idx="538">
                  <c:v>563.1458186215375</c:v>
                </c:pt>
                <c:pt idx="539">
                  <c:v>564.19255806135448</c:v>
                </c:pt>
                <c:pt idx="540">
                  <c:v>565.23929750117145</c:v>
                </c:pt>
                <c:pt idx="541">
                  <c:v>566.28603694098842</c:v>
                </c:pt>
                <c:pt idx="542">
                  <c:v>567.3327763808054</c:v>
                </c:pt>
                <c:pt idx="543">
                  <c:v>568.37951582062237</c:v>
                </c:pt>
                <c:pt idx="544">
                  <c:v>569.42625526043935</c:v>
                </c:pt>
                <c:pt idx="545">
                  <c:v>570.47299470025632</c:v>
                </c:pt>
                <c:pt idx="546">
                  <c:v>571.5197341400733</c:v>
                </c:pt>
                <c:pt idx="547">
                  <c:v>572.56647357989027</c:v>
                </c:pt>
                <c:pt idx="548">
                  <c:v>573.61321301970725</c:v>
                </c:pt>
                <c:pt idx="549">
                  <c:v>574.65995245952422</c:v>
                </c:pt>
                <c:pt idx="550">
                  <c:v>575.70669189934119</c:v>
                </c:pt>
                <c:pt idx="551">
                  <c:v>576.75343133915817</c:v>
                </c:pt>
                <c:pt idx="552">
                  <c:v>577.80017077897514</c:v>
                </c:pt>
                <c:pt idx="553">
                  <c:v>578.84691021879212</c:v>
                </c:pt>
                <c:pt idx="554">
                  <c:v>579.89364965860909</c:v>
                </c:pt>
                <c:pt idx="555">
                  <c:v>580.94038909842607</c:v>
                </c:pt>
                <c:pt idx="556">
                  <c:v>581.98712853824304</c:v>
                </c:pt>
                <c:pt idx="557">
                  <c:v>583.03386797806002</c:v>
                </c:pt>
                <c:pt idx="558">
                  <c:v>584.08060741787699</c:v>
                </c:pt>
                <c:pt idx="559">
                  <c:v>585.12734685769396</c:v>
                </c:pt>
                <c:pt idx="560">
                  <c:v>586.17408629751094</c:v>
                </c:pt>
                <c:pt idx="561">
                  <c:v>587.22082573732791</c:v>
                </c:pt>
                <c:pt idx="562">
                  <c:v>588.26756517714489</c:v>
                </c:pt>
                <c:pt idx="563">
                  <c:v>589.31430461696186</c:v>
                </c:pt>
                <c:pt idx="564">
                  <c:v>590.36104405677884</c:v>
                </c:pt>
                <c:pt idx="565">
                  <c:v>591.40778349659581</c:v>
                </c:pt>
                <c:pt idx="566">
                  <c:v>592.45452293641279</c:v>
                </c:pt>
                <c:pt idx="567">
                  <c:v>593.50126237622976</c:v>
                </c:pt>
                <c:pt idx="568">
                  <c:v>594.54800181604674</c:v>
                </c:pt>
                <c:pt idx="569">
                  <c:v>595.59474125586371</c:v>
                </c:pt>
                <c:pt idx="570">
                  <c:v>596.64148069568068</c:v>
                </c:pt>
                <c:pt idx="571">
                  <c:v>597.68822013549766</c:v>
                </c:pt>
                <c:pt idx="572">
                  <c:v>598.73495957531463</c:v>
                </c:pt>
                <c:pt idx="573">
                  <c:v>599.78169901513161</c:v>
                </c:pt>
                <c:pt idx="574">
                  <c:v>600.82843845494858</c:v>
                </c:pt>
                <c:pt idx="575">
                  <c:v>601.87517789476556</c:v>
                </c:pt>
                <c:pt idx="576">
                  <c:v>602.92191733458253</c:v>
                </c:pt>
                <c:pt idx="577">
                  <c:v>603.96865677439951</c:v>
                </c:pt>
                <c:pt idx="578">
                  <c:v>605.01539621421648</c:v>
                </c:pt>
                <c:pt idx="579">
                  <c:v>606.06213565403345</c:v>
                </c:pt>
                <c:pt idx="580">
                  <c:v>607.10887509385043</c:v>
                </c:pt>
                <c:pt idx="581">
                  <c:v>608.1556145336674</c:v>
                </c:pt>
                <c:pt idx="582">
                  <c:v>609.20235397348438</c:v>
                </c:pt>
                <c:pt idx="583">
                  <c:v>610.24909341330135</c:v>
                </c:pt>
                <c:pt idx="584">
                  <c:v>611.29583285311833</c:v>
                </c:pt>
                <c:pt idx="585">
                  <c:v>612.3425722929353</c:v>
                </c:pt>
                <c:pt idx="586">
                  <c:v>613.38931173275228</c:v>
                </c:pt>
                <c:pt idx="587">
                  <c:v>614.43605117256925</c:v>
                </c:pt>
                <c:pt idx="588">
                  <c:v>615.48279061238622</c:v>
                </c:pt>
                <c:pt idx="589">
                  <c:v>616.5295300522032</c:v>
                </c:pt>
                <c:pt idx="590">
                  <c:v>617.57626949202017</c:v>
                </c:pt>
                <c:pt idx="591">
                  <c:v>618.62300893183715</c:v>
                </c:pt>
                <c:pt idx="592">
                  <c:v>619.66974837165412</c:v>
                </c:pt>
                <c:pt idx="593">
                  <c:v>620.7164878114711</c:v>
                </c:pt>
                <c:pt idx="594">
                  <c:v>621.76322725128807</c:v>
                </c:pt>
                <c:pt idx="595">
                  <c:v>622.80996669110505</c:v>
                </c:pt>
                <c:pt idx="596">
                  <c:v>623.85670613092202</c:v>
                </c:pt>
                <c:pt idx="597">
                  <c:v>624.903445570739</c:v>
                </c:pt>
                <c:pt idx="598">
                  <c:v>625.95018501055597</c:v>
                </c:pt>
                <c:pt idx="599">
                  <c:v>626.99692445037294</c:v>
                </c:pt>
                <c:pt idx="600">
                  <c:v>628.04366389018992</c:v>
                </c:pt>
                <c:pt idx="601">
                  <c:v>629.09040333000689</c:v>
                </c:pt>
                <c:pt idx="602">
                  <c:v>630.13714276982387</c:v>
                </c:pt>
                <c:pt idx="603">
                  <c:v>631.18388220964084</c:v>
                </c:pt>
                <c:pt idx="604">
                  <c:v>632.23062164945782</c:v>
                </c:pt>
                <c:pt idx="605">
                  <c:v>633.27736108927479</c:v>
                </c:pt>
                <c:pt idx="606">
                  <c:v>634.32410052909177</c:v>
                </c:pt>
                <c:pt idx="607">
                  <c:v>635.37083996890874</c:v>
                </c:pt>
                <c:pt idx="608">
                  <c:v>636.41757940872571</c:v>
                </c:pt>
                <c:pt idx="609">
                  <c:v>637.46431884854269</c:v>
                </c:pt>
                <c:pt idx="610">
                  <c:v>638.51105828835966</c:v>
                </c:pt>
                <c:pt idx="611">
                  <c:v>639.55779772817664</c:v>
                </c:pt>
                <c:pt idx="612">
                  <c:v>640.60453716799361</c:v>
                </c:pt>
                <c:pt idx="613">
                  <c:v>641.65127660781059</c:v>
                </c:pt>
                <c:pt idx="614">
                  <c:v>642.69801604762756</c:v>
                </c:pt>
                <c:pt idx="615">
                  <c:v>643.74475548744454</c:v>
                </c:pt>
                <c:pt idx="616">
                  <c:v>644.79149492726151</c:v>
                </c:pt>
                <c:pt idx="617">
                  <c:v>645.83823436707848</c:v>
                </c:pt>
                <c:pt idx="618">
                  <c:v>646.88497380689546</c:v>
                </c:pt>
                <c:pt idx="619">
                  <c:v>647.93171324671243</c:v>
                </c:pt>
                <c:pt idx="620">
                  <c:v>648.97845268652941</c:v>
                </c:pt>
                <c:pt idx="621">
                  <c:v>650.02519212634638</c:v>
                </c:pt>
                <c:pt idx="622">
                  <c:v>651.07193156616336</c:v>
                </c:pt>
                <c:pt idx="623">
                  <c:v>652.11867100598033</c:v>
                </c:pt>
                <c:pt idx="624">
                  <c:v>653.16541044579731</c:v>
                </c:pt>
                <c:pt idx="625">
                  <c:v>654.21214988561428</c:v>
                </c:pt>
                <c:pt idx="626">
                  <c:v>655.25888932543126</c:v>
                </c:pt>
                <c:pt idx="627">
                  <c:v>656.30562876524823</c:v>
                </c:pt>
                <c:pt idx="628">
                  <c:v>657.3523682050652</c:v>
                </c:pt>
                <c:pt idx="629">
                  <c:v>658.39910764488218</c:v>
                </c:pt>
                <c:pt idx="630">
                  <c:v>659.44584708469915</c:v>
                </c:pt>
                <c:pt idx="631">
                  <c:v>660.49258652451613</c:v>
                </c:pt>
                <c:pt idx="632">
                  <c:v>661.5393259643331</c:v>
                </c:pt>
                <c:pt idx="633">
                  <c:v>662.58606540415008</c:v>
                </c:pt>
                <c:pt idx="634">
                  <c:v>663.63280484396705</c:v>
                </c:pt>
                <c:pt idx="635">
                  <c:v>664.67954428378403</c:v>
                </c:pt>
                <c:pt idx="636">
                  <c:v>665.726283723601</c:v>
                </c:pt>
                <c:pt idx="637">
                  <c:v>666.77302316341797</c:v>
                </c:pt>
              </c:numCache>
            </c:numRef>
          </c:xVal>
          <c:yVal>
            <c:numRef>
              <c:f>[0]!YIt</c:f>
              <c:numCache>
                <c:formatCode>0.00</c:formatCode>
                <c:ptCount val="638"/>
                <c:pt idx="0">
                  <c:v>1.7144247806269215</c:v>
                </c:pt>
                <c:pt idx="1">
                  <c:v>2.9599182685388712</c:v>
                </c:pt>
                <c:pt idx="2">
                  <c:v>4.2014877564508204</c:v>
                </c:pt>
                <c:pt idx="3">
                  <c:v>5.43913324436277</c:v>
                </c:pt>
                <c:pt idx="4">
                  <c:v>6.67285473227472</c:v>
                </c:pt>
                <c:pt idx="5">
                  <c:v>7.9026522201866696</c:v>
                </c:pt>
                <c:pt idx="6">
                  <c:v>9.1285257080986195</c:v>
                </c:pt>
                <c:pt idx="7">
                  <c:v>10.350475196010569</c:v>
                </c:pt>
                <c:pt idx="8">
                  <c:v>11.568500683922519</c:v>
                </c:pt>
                <c:pt idx="9">
                  <c:v>12.782602171834469</c:v>
                </c:pt>
                <c:pt idx="10">
                  <c:v>13.99277965974642</c:v>
                </c:pt>
                <c:pt idx="11">
                  <c:v>15.199033147658369</c:v>
                </c:pt>
                <c:pt idx="12">
                  <c:v>16.401362635570319</c:v>
                </c:pt>
                <c:pt idx="13">
                  <c:v>17.599768123482271</c:v>
                </c:pt>
                <c:pt idx="14">
                  <c:v>18.794249611394221</c:v>
                </c:pt>
                <c:pt idx="15">
                  <c:v>19.98480709930617</c:v>
                </c:pt>
                <c:pt idx="16">
                  <c:v>21.171440587218122</c:v>
                </c:pt>
                <c:pt idx="17">
                  <c:v>22.354150075130072</c:v>
                </c:pt>
                <c:pt idx="18">
                  <c:v>23.532935563042024</c:v>
                </c:pt>
                <c:pt idx="19">
                  <c:v>24.707797050953975</c:v>
                </c:pt>
                <c:pt idx="20">
                  <c:v>25.878734538865924</c:v>
                </c:pt>
                <c:pt idx="21">
                  <c:v>27.045748026777876</c:v>
                </c:pt>
                <c:pt idx="22">
                  <c:v>28.208837514689826</c:v>
                </c:pt>
                <c:pt idx="23">
                  <c:v>29.368003002601775</c:v>
                </c:pt>
                <c:pt idx="24">
                  <c:v>30.523244490513726</c:v>
                </c:pt>
                <c:pt idx="25">
                  <c:v>31.674561978425675</c:v>
                </c:pt>
                <c:pt idx="26">
                  <c:v>32.821955466337627</c:v>
                </c:pt>
                <c:pt idx="27">
                  <c:v>33.965424954249578</c:v>
                </c:pt>
                <c:pt idx="28">
                  <c:v>35.10497044216153</c:v>
                </c:pt>
                <c:pt idx="29">
                  <c:v>36.240591930073478</c:v>
                </c:pt>
                <c:pt idx="30">
                  <c:v>37.372289417985428</c:v>
                </c:pt>
                <c:pt idx="31">
                  <c:v>38.50006290589738</c:v>
                </c:pt>
                <c:pt idx="32">
                  <c:v>39.623912393809334</c:v>
                </c:pt>
                <c:pt idx="33">
                  <c:v>40.743837881721284</c:v>
                </c:pt>
                <c:pt idx="34">
                  <c:v>41.859839369633235</c:v>
                </c:pt>
                <c:pt idx="35">
                  <c:v>42.971916857545189</c:v>
                </c:pt>
                <c:pt idx="36">
                  <c:v>44.080070345457138</c:v>
                </c:pt>
                <c:pt idx="37">
                  <c:v>45.184299833369089</c:v>
                </c:pt>
                <c:pt idx="38">
                  <c:v>46.284605321281042</c:v>
                </c:pt>
                <c:pt idx="39">
                  <c:v>47.38098680919299</c:v>
                </c:pt>
                <c:pt idx="40">
                  <c:v>48.47344429710494</c:v>
                </c:pt>
                <c:pt idx="41">
                  <c:v>49.561977785016893</c:v>
                </c:pt>
                <c:pt idx="42">
                  <c:v>50.646587272928848</c:v>
                </c:pt>
                <c:pt idx="43">
                  <c:v>51.727272760840798</c:v>
                </c:pt>
                <c:pt idx="44">
                  <c:v>52.80403424875275</c:v>
                </c:pt>
                <c:pt idx="45">
                  <c:v>53.876871736664704</c:v>
                </c:pt>
                <c:pt idx="46">
                  <c:v>54.945785224576653</c:v>
                </c:pt>
                <c:pt idx="47">
                  <c:v>56.010774712488605</c:v>
                </c:pt>
                <c:pt idx="48">
                  <c:v>57.071840200400558</c:v>
                </c:pt>
                <c:pt idx="49">
                  <c:v>58.128981688312507</c:v>
                </c:pt>
                <c:pt idx="50">
                  <c:v>59.182199176224458</c:v>
                </c:pt>
                <c:pt idx="51">
                  <c:v>60.231492664136411</c:v>
                </c:pt>
                <c:pt idx="52">
                  <c:v>61.276862152048366</c:v>
                </c:pt>
                <c:pt idx="53">
                  <c:v>62.318307639960317</c:v>
                </c:pt>
                <c:pt idx="54">
                  <c:v>63.355829127872269</c:v>
                </c:pt>
                <c:pt idx="55">
                  <c:v>64.389426615784217</c:v>
                </c:pt>
                <c:pt idx="56">
                  <c:v>65.419100103696167</c:v>
                </c:pt>
                <c:pt idx="57">
                  <c:v>66.444849591608119</c:v>
                </c:pt>
                <c:pt idx="58">
                  <c:v>67.466675079520073</c:v>
                </c:pt>
                <c:pt idx="59">
                  <c:v>68.484576567432029</c:v>
                </c:pt>
                <c:pt idx="60">
                  <c:v>69.498554055343988</c:v>
                </c:pt>
                <c:pt idx="61">
                  <c:v>70.508607543255934</c:v>
                </c:pt>
                <c:pt idx="62">
                  <c:v>71.514737031167883</c:v>
                </c:pt>
                <c:pt idx="63">
                  <c:v>72.516942519079834</c:v>
                </c:pt>
                <c:pt idx="64">
                  <c:v>73.515224006991787</c:v>
                </c:pt>
                <c:pt idx="65">
                  <c:v>74.509581494903742</c:v>
                </c:pt>
                <c:pt idx="66">
                  <c:v>75.500014982815699</c:v>
                </c:pt>
                <c:pt idx="67">
                  <c:v>76.486524470727659</c:v>
                </c:pt>
                <c:pt idx="68">
                  <c:v>77.469109958639606</c:v>
                </c:pt>
                <c:pt idx="69">
                  <c:v>78.447771446551556</c:v>
                </c:pt>
                <c:pt idx="70">
                  <c:v>79.422508934463508</c:v>
                </c:pt>
                <c:pt idx="71">
                  <c:v>80.393322422375462</c:v>
                </c:pt>
                <c:pt idx="72">
                  <c:v>81.360211910287418</c:v>
                </c:pt>
                <c:pt idx="73">
                  <c:v>82.323177398199377</c:v>
                </c:pt>
                <c:pt idx="74">
                  <c:v>83.282218886111323</c:v>
                </c:pt>
                <c:pt idx="75">
                  <c:v>84.237336374023272</c:v>
                </c:pt>
                <c:pt idx="76">
                  <c:v>85.188529861935223</c:v>
                </c:pt>
                <c:pt idx="77">
                  <c:v>86.135799349847176</c:v>
                </c:pt>
                <c:pt idx="78">
                  <c:v>87.079144837759131</c:v>
                </c:pt>
                <c:pt idx="79">
                  <c:v>88.018566325671088</c:v>
                </c:pt>
                <c:pt idx="80">
                  <c:v>88.954063813583048</c:v>
                </c:pt>
                <c:pt idx="81">
                  <c:v>89.885637301494995</c:v>
                </c:pt>
                <c:pt idx="82">
                  <c:v>90.813286789406945</c:v>
                </c:pt>
                <c:pt idx="83">
                  <c:v>91.737012277318897</c:v>
                </c:pt>
                <c:pt idx="84">
                  <c:v>92.656813765230851</c:v>
                </c:pt>
                <c:pt idx="85">
                  <c:v>93.572691253142807</c:v>
                </c:pt>
                <c:pt idx="86">
                  <c:v>94.484644741054765</c:v>
                </c:pt>
                <c:pt idx="87">
                  <c:v>95.392674228966726</c:v>
                </c:pt>
                <c:pt idx="88">
                  <c:v>96.296779716878675</c:v>
                </c:pt>
                <c:pt idx="89">
                  <c:v>97.196961204790625</c:v>
                </c:pt>
                <c:pt idx="90">
                  <c:v>98.093218692702578</c:v>
                </c:pt>
                <c:pt idx="91">
                  <c:v>98.985552180614533</c:v>
                </c:pt>
                <c:pt idx="92">
                  <c:v>99.873961668526491</c:v>
                </c:pt>
                <c:pt idx="93">
                  <c:v>100.75844715643845</c:v>
                </c:pt>
                <c:pt idx="94">
                  <c:v>101.6390086443504</c:v>
                </c:pt>
                <c:pt idx="95">
                  <c:v>102.51564613226235</c:v>
                </c:pt>
                <c:pt idx="96">
                  <c:v>103.3883596201743</c:v>
                </c:pt>
                <c:pt idx="97">
                  <c:v>104.25714910808625</c:v>
                </c:pt>
                <c:pt idx="98">
                  <c:v>105.12201459599821</c:v>
                </c:pt>
                <c:pt idx="99">
                  <c:v>105.98295608391017</c:v>
                </c:pt>
                <c:pt idx="100">
                  <c:v>106.83997357182213</c:v>
                </c:pt>
                <c:pt idx="101">
                  <c:v>107.69306705973408</c:v>
                </c:pt>
                <c:pt idx="102">
                  <c:v>108.54223654764603</c:v>
                </c:pt>
                <c:pt idx="103">
                  <c:v>109.38748203555798</c:v>
                </c:pt>
                <c:pt idx="104">
                  <c:v>110.22880352346994</c:v>
                </c:pt>
                <c:pt idx="105">
                  <c:v>111.06620101138189</c:v>
                </c:pt>
                <c:pt idx="106">
                  <c:v>111.89967449929385</c:v>
                </c:pt>
                <c:pt idx="107">
                  <c:v>112.72922398720581</c:v>
                </c:pt>
                <c:pt idx="108">
                  <c:v>113.55484947511776</c:v>
                </c:pt>
                <c:pt idx="109">
                  <c:v>114.37655096302971</c:v>
                </c:pt>
                <c:pt idx="110">
                  <c:v>115.19432845094167</c:v>
                </c:pt>
                <c:pt idx="111">
                  <c:v>116.00818193885362</c:v>
                </c:pt>
                <c:pt idx="112">
                  <c:v>116.81811142676558</c:v>
                </c:pt>
                <c:pt idx="113">
                  <c:v>117.62411691467754</c:v>
                </c:pt>
                <c:pt idx="114">
                  <c:v>118.42619840258949</c:v>
                </c:pt>
                <c:pt idx="115">
                  <c:v>119.22435589050144</c:v>
                </c:pt>
                <c:pt idx="116">
                  <c:v>120.0185893784134</c:v>
                </c:pt>
                <c:pt idx="117">
                  <c:v>120.80889886632535</c:v>
                </c:pt>
                <c:pt idx="118">
                  <c:v>121.59528435423731</c:v>
                </c:pt>
                <c:pt idx="119">
                  <c:v>122.37774584214927</c:v>
                </c:pt>
                <c:pt idx="120">
                  <c:v>123.15628333006123</c:v>
                </c:pt>
                <c:pt idx="121">
                  <c:v>123.93089681797318</c:v>
                </c:pt>
                <c:pt idx="122">
                  <c:v>124.70158630588513</c:v>
                </c:pt>
                <c:pt idx="123">
                  <c:v>125.46835179379708</c:v>
                </c:pt>
                <c:pt idx="124">
                  <c:v>126.23119328170904</c:v>
                </c:pt>
                <c:pt idx="125">
                  <c:v>126.990110769621</c:v>
                </c:pt>
                <c:pt idx="126">
                  <c:v>127.74510425753296</c:v>
                </c:pt>
                <c:pt idx="127">
                  <c:v>128.49617374544491</c:v>
                </c:pt>
                <c:pt idx="128">
                  <c:v>129.24331923335686</c:v>
                </c:pt>
                <c:pt idx="129">
                  <c:v>129.98654072126882</c:v>
                </c:pt>
                <c:pt idx="130">
                  <c:v>130.72583820918078</c:v>
                </c:pt>
                <c:pt idx="131">
                  <c:v>131.46121169709272</c:v>
                </c:pt>
                <c:pt idx="132">
                  <c:v>132.19266118500468</c:v>
                </c:pt>
                <c:pt idx="133">
                  <c:v>132.92018667291663</c:v>
                </c:pt>
                <c:pt idx="134">
                  <c:v>133.64378816082859</c:v>
                </c:pt>
                <c:pt idx="135">
                  <c:v>134.36346564874054</c:v>
                </c:pt>
                <c:pt idx="136">
                  <c:v>135.07921913665251</c:v>
                </c:pt>
                <c:pt idx="137">
                  <c:v>135.79104862456447</c:v>
                </c:pt>
                <c:pt idx="138">
                  <c:v>136.49895411247641</c:v>
                </c:pt>
                <c:pt idx="139">
                  <c:v>137.20293560038837</c:v>
                </c:pt>
                <c:pt idx="140">
                  <c:v>137.90299308830032</c:v>
                </c:pt>
                <c:pt idx="141">
                  <c:v>138.59912657621229</c:v>
                </c:pt>
                <c:pt idx="142">
                  <c:v>139.29133606412424</c:v>
                </c:pt>
                <c:pt idx="143">
                  <c:v>139.97962155203621</c:v>
                </c:pt>
                <c:pt idx="144">
                  <c:v>140.66398303994816</c:v>
                </c:pt>
                <c:pt idx="145">
                  <c:v>141.34442052786011</c:v>
                </c:pt>
                <c:pt idx="146">
                  <c:v>142.02093401577207</c:v>
                </c:pt>
                <c:pt idx="147">
                  <c:v>142.69352350368402</c:v>
                </c:pt>
                <c:pt idx="148">
                  <c:v>143.36218899159599</c:v>
                </c:pt>
                <c:pt idx="149">
                  <c:v>144.02693047950794</c:v>
                </c:pt>
                <c:pt idx="150">
                  <c:v>144.68774796741991</c:v>
                </c:pt>
                <c:pt idx="151">
                  <c:v>145.34464145533187</c:v>
                </c:pt>
                <c:pt idx="152">
                  <c:v>145.99761094324381</c:v>
                </c:pt>
                <c:pt idx="153">
                  <c:v>146.64665643115578</c:v>
                </c:pt>
                <c:pt idx="154">
                  <c:v>147.29177791906773</c:v>
                </c:pt>
                <c:pt idx="155">
                  <c:v>147.93297540697969</c:v>
                </c:pt>
                <c:pt idx="156">
                  <c:v>148.57024889489165</c:v>
                </c:pt>
                <c:pt idx="157">
                  <c:v>149.20359838280362</c:v>
                </c:pt>
                <c:pt idx="158">
                  <c:v>149.83302387071558</c:v>
                </c:pt>
                <c:pt idx="159">
                  <c:v>150.45852535862753</c:v>
                </c:pt>
                <c:pt idx="160">
                  <c:v>151.08010284653949</c:v>
                </c:pt>
                <c:pt idx="161">
                  <c:v>151.69775633445144</c:v>
                </c:pt>
                <c:pt idx="162">
                  <c:v>152.31148582236341</c:v>
                </c:pt>
                <c:pt idx="163">
                  <c:v>152.92129131027536</c:v>
                </c:pt>
                <c:pt idx="164">
                  <c:v>153.52717279818731</c:v>
                </c:pt>
                <c:pt idx="165">
                  <c:v>154.12913028609927</c:v>
                </c:pt>
                <c:pt idx="166">
                  <c:v>154.72716377401122</c:v>
                </c:pt>
                <c:pt idx="167">
                  <c:v>155.32127326192318</c:v>
                </c:pt>
                <c:pt idx="168">
                  <c:v>155.91145874983513</c:v>
                </c:pt>
                <c:pt idx="169">
                  <c:v>156.4977202377471</c:v>
                </c:pt>
                <c:pt idx="170">
                  <c:v>157.08005772565906</c:v>
                </c:pt>
                <c:pt idx="171">
                  <c:v>157.658471213571</c:v>
                </c:pt>
                <c:pt idx="172">
                  <c:v>158.23296070148297</c:v>
                </c:pt>
                <c:pt idx="173">
                  <c:v>158.80352618939492</c:v>
                </c:pt>
                <c:pt idx="174">
                  <c:v>159.37016767730688</c:v>
                </c:pt>
                <c:pt idx="175">
                  <c:v>159.93288516521883</c:v>
                </c:pt>
                <c:pt idx="176">
                  <c:v>160.4916786531308</c:v>
                </c:pt>
                <c:pt idx="177">
                  <c:v>161.04654814104276</c:v>
                </c:pt>
                <c:pt idx="178">
                  <c:v>161.59749362895471</c:v>
                </c:pt>
                <c:pt idx="179">
                  <c:v>162.14451511686667</c:v>
                </c:pt>
                <c:pt idx="180">
                  <c:v>162.68761260477862</c:v>
                </c:pt>
                <c:pt idx="181">
                  <c:v>163.22678609269059</c:v>
                </c:pt>
                <c:pt idx="182">
                  <c:v>163.76203558060254</c:v>
                </c:pt>
                <c:pt idx="183">
                  <c:v>164.29336106851449</c:v>
                </c:pt>
                <c:pt idx="184">
                  <c:v>164.82076255642644</c:v>
                </c:pt>
                <c:pt idx="185">
                  <c:v>165.34424004433839</c:v>
                </c:pt>
                <c:pt idx="186">
                  <c:v>165.86379353225036</c:v>
                </c:pt>
                <c:pt idx="187">
                  <c:v>166.37942302016231</c:v>
                </c:pt>
                <c:pt idx="188">
                  <c:v>166.89112850807427</c:v>
                </c:pt>
                <c:pt idx="189">
                  <c:v>167.39890999598623</c:v>
                </c:pt>
                <c:pt idx="190">
                  <c:v>167.90276748389817</c:v>
                </c:pt>
                <c:pt idx="191">
                  <c:v>168.40270097181013</c:v>
                </c:pt>
                <c:pt idx="192">
                  <c:v>168.89871045972208</c:v>
                </c:pt>
                <c:pt idx="193">
                  <c:v>169.39079594763405</c:v>
                </c:pt>
                <c:pt idx="194">
                  <c:v>169.878957435546</c:v>
                </c:pt>
                <c:pt idx="195">
                  <c:v>170.36319492345797</c:v>
                </c:pt>
                <c:pt idx="196">
                  <c:v>170.84350841136992</c:v>
                </c:pt>
                <c:pt idx="197">
                  <c:v>171.31989789928187</c:v>
                </c:pt>
                <c:pt idx="198">
                  <c:v>171.79236338719383</c:v>
                </c:pt>
                <c:pt idx="199">
                  <c:v>172.26090487510578</c:v>
                </c:pt>
                <c:pt idx="200">
                  <c:v>172.72552236301775</c:v>
                </c:pt>
                <c:pt idx="201">
                  <c:v>173.1862158509297</c:v>
                </c:pt>
                <c:pt idx="202">
                  <c:v>173.64298533884167</c:v>
                </c:pt>
                <c:pt idx="203">
                  <c:v>174.09583082675363</c:v>
                </c:pt>
                <c:pt idx="204">
                  <c:v>174.54475231466557</c:v>
                </c:pt>
                <c:pt idx="205">
                  <c:v>174.98974980257753</c:v>
                </c:pt>
                <c:pt idx="206">
                  <c:v>175.43082329048949</c:v>
                </c:pt>
                <c:pt idx="207">
                  <c:v>175.86797277840145</c:v>
                </c:pt>
                <c:pt idx="208">
                  <c:v>176.30119826631341</c:v>
                </c:pt>
                <c:pt idx="209">
                  <c:v>176.73049975422535</c:v>
                </c:pt>
                <c:pt idx="210">
                  <c:v>177.15587724213731</c:v>
                </c:pt>
                <c:pt idx="211">
                  <c:v>177.57733073004925</c:v>
                </c:pt>
                <c:pt idx="212">
                  <c:v>177.99486021796122</c:v>
                </c:pt>
                <c:pt idx="213">
                  <c:v>178.40846570587317</c:v>
                </c:pt>
                <c:pt idx="214">
                  <c:v>178.81814719378514</c:v>
                </c:pt>
                <c:pt idx="215">
                  <c:v>179.22390468169709</c:v>
                </c:pt>
                <c:pt idx="216">
                  <c:v>179.62573816960904</c:v>
                </c:pt>
                <c:pt idx="217">
                  <c:v>180.023647657521</c:v>
                </c:pt>
                <c:pt idx="218">
                  <c:v>180.41763314543294</c:v>
                </c:pt>
                <c:pt idx="219">
                  <c:v>180.80769463334491</c:v>
                </c:pt>
                <c:pt idx="220">
                  <c:v>181.19383212125686</c:v>
                </c:pt>
                <c:pt idx="221">
                  <c:v>181.57604560916883</c:v>
                </c:pt>
                <c:pt idx="222">
                  <c:v>181.95433509708079</c:v>
                </c:pt>
                <c:pt idx="223">
                  <c:v>182.32870058499273</c:v>
                </c:pt>
                <c:pt idx="224">
                  <c:v>182.69914207290469</c:v>
                </c:pt>
                <c:pt idx="225">
                  <c:v>183.06565956081664</c:v>
                </c:pt>
                <c:pt idx="226">
                  <c:v>183.42825304872861</c:v>
                </c:pt>
                <c:pt idx="227">
                  <c:v>183.78692253664056</c:v>
                </c:pt>
                <c:pt idx="228">
                  <c:v>184.14166802455253</c:v>
                </c:pt>
                <c:pt idx="229">
                  <c:v>184.49248951246449</c:v>
                </c:pt>
                <c:pt idx="230">
                  <c:v>184.83938700037643</c:v>
                </c:pt>
                <c:pt idx="231">
                  <c:v>185.1823604882884</c:v>
                </c:pt>
                <c:pt idx="232">
                  <c:v>185.52140997620035</c:v>
                </c:pt>
                <c:pt idx="233">
                  <c:v>185.85653546411231</c:v>
                </c:pt>
                <c:pt idx="234">
                  <c:v>186.18773695202427</c:v>
                </c:pt>
                <c:pt idx="235">
                  <c:v>186.51501443993621</c:v>
                </c:pt>
                <c:pt idx="236">
                  <c:v>186.83836792784817</c:v>
                </c:pt>
                <c:pt idx="237">
                  <c:v>187.15779741576011</c:v>
                </c:pt>
                <c:pt idx="238">
                  <c:v>187.47330290367208</c:v>
                </c:pt>
                <c:pt idx="239">
                  <c:v>187.78488439158403</c:v>
                </c:pt>
                <c:pt idx="240">
                  <c:v>188.092541879496</c:v>
                </c:pt>
                <c:pt idx="241">
                  <c:v>188.39627536740795</c:v>
                </c:pt>
                <c:pt idx="242">
                  <c:v>188.6960848553199</c:v>
                </c:pt>
                <c:pt idx="243">
                  <c:v>188.99197034323186</c:v>
                </c:pt>
                <c:pt idx="244">
                  <c:v>189.2839318311438</c:v>
                </c:pt>
                <c:pt idx="245">
                  <c:v>189.57196931905577</c:v>
                </c:pt>
                <c:pt idx="246">
                  <c:v>189.85608280696772</c:v>
                </c:pt>
                <c:pt idx="247">
                  <c:v>190.13627229487969</c:v>
                </c:pt>
                <c:pt idx="248">
                  <c:v>190.41253778279165</c:v>
                </c:pt>
                <c:pt idx="249">
                  <c:v>190.68487927070359</c:v>
                </c:pt>
                <c:pt idx="250">
                  <c:v>190.95329675861555</c:v>
                </c:pt>
                <c:pt idx="251">
                  <c:v>191.2177902465275</c:v>
                </c:pt>
                <c:pt idx="252">
                  <c:v>191.47835973443947</c:v>
                </c:pt>
                <c:pt idx="253">
                  <c:v>191.73500522235142</c:v>
                </c:pt>
                <c:pt idx="254">
                  <c:v>191.98772671026339</c:v>
                </c:pt>
                <c:pt idx="255">
                  <c:v>192.23652419817535</c:v>
                </c:pt>
                <c:pt idx="256">
                  <c:v>192.48139768608729</c:v>
                </c:pt>
                <c:pt idx="257">
                  <c:v>192.72234717399925</c:v>
                </c:pt>
                <c:pt idx="258">
                  <c:v>192.9593726619112</c:v>
                </c:pt>
                <c:pt idx="259">
                  <c:v>193.19247414982317</c:v>
                </c:pt>
                <c:pt idx="260">
                  <c:v>193.42165163773512</c:v>
                </c:pt>
                <c:pt idx="261">
                  <c:v>193.64690512564707</c:v>
                </c:pt>
                <c:pt idx="262">
                  <c:v>193.86823461355903</c:v>
                </c:pt>
                <c:pt idx="263">
                  <c:v>194.08564010147097</c:v>
                </c:pt>
                <c:pt idx="264">
                  <c:v>194.29912158938293</c:v>
                </c:pt>
                <c:pt idx="265">
                  <c:v>194.50867907729489</c:v>
                </c:pt>
                <c:pt idx="266">
                  <c:v>194.71431256520685</c:v>
                </c:pt>
                <c:pt idx="267">
                  <c:v>194.91602205311881</c:v>
                </c:pt>
                <c:pt idx="268">
                  <c:v>195.11380754103075</c:v>
                </c:pt>
                <c:pt idx="269">
                  <c:v>195.30766902894271</c:v>
                </c:pt>
                <c:pt idx="270">
                  <c:v>195.49760651685466</c:v>
                </c:pt>
                <c:pt idx="271">
                  <c:v>195.68362000476662</c:v>
                </c:pt>
                <c:pt idx="272">
                  <c:v>195.86570949267858</c:v>
                </c:pt>
                <c:pt idx="273">
                  <c:v>196.04387498059054</c:v>
                </c:pt>
                <c:pt idx="274">
                  <c:v>196.2181164685025</c:v>
                </c:pt>
                <c:pt idx="275">
                  <c:v>196.38843395641445</c:v>
                </c:pt>
                <c:pt idx="276">
                  <c:v>196.55482744432641</c:v>
                </c:pt>
                <c:pt idx="277">
                  <c:v>196.71729693223836</c:v>
                </c:pt>
                <c:pt idx="278">
                  <c:v>196.87584242015032</c:v>
                </c:pt>
                <c:pt idx="279">
                  <c:v>197.03046390806227</c:v>
                </c:pt>
                <c:pt idx="280">
                  <c:v>197.18116139597424</c:v>
                </c:pt>
                <c:pt idx="281">
                  <c:v>197.3279348838862</c:v>
                </c:pt>
                <c:pt idx="282">
                  <c:v>197.47078437179815</c:v>
                </c:pt>
                <c:pt idx="283">
                  <c:v>197.60970985971011</c:v>
                </c:pt>
                <c:pt idx="284">
                  <c:v>197.74471134762206</c:v>
                </c:pt>
                <c:pt idx="285">
                  <c:v>197.87578883553402</c:v>
                </c:pt>
                <c:pt idx="286">
                  <c:v>198.00294232344598</c:v>
                </c:pt>
                <c:pt idx="287">
                  <c:v>198.12617181135792</c:v>
                </c:pt>
                <c:pt idx="288">
                  <c:v>198.24547729926988</c:v>
                </c:pt>
                <c:pt idx="289">
                  <c:v>198.36085878718183</c:v>
                </c:pt>
                <c:pt idx="290">
                  <c:v>198.47231627509379</c:v>
                </c:pt>
                <c:pt idx="291">
                  <c:v>198.57984976300574</c:v>
                </c:pt>
                <c:pt idx="292">
                  <c:v>198.68345925091771</c:v>
                </c:pt>
                <c:pt idx="293">
                  <c:v>198.78314473882966</c:v>
                </c:pt>
                <c:pt idx="294">
                  <c:v>198.87890622674161</c:v>
                </c:pt>
                <c:pt idx="295">
                  <c:v>198.97074371465357</c:v>
                </c:pt>
                <c:pt idx="296">
                  <c:v>199.05865720256551</c:v>
                </c:pt>
                <c:pt idx="297">
                  <c:v>199.14264669047748</c:v>
                </c:pt>
                <c:pt idx="298">
                  <c:v>199.22271217838943</c:v>
                </c:pt>
                <c:pt idx="299">
                  <c:v>199.2988536663014</c:v>
                </c:pt>
                <c:pt idx="300">
                  <c:v>199.37107115421335</c:v>
                </c:pt>
                <c:pt idx="301">
                  <c:v>199.4393646421253</c:v>
                </c:pt>
                <c:pt idx="302">
                  <c:v>199.50373413003726</c:v>
                </c:pt>
                <c:pt idx="303">
                  <c:v>199.56417961794921</c:v>
                </c:pt>
                <c:pt idx="304">
                  <c:v>199.62070110586117</c:v>
                </c:pt>
                <c:pt idx="305">
                  <c:v>199.67329859377313</c:v>
                </c:pt>
                <c:pt idx="306">
                  <c:v>199.7219720816851</c:v>
                </c:pt>
                <c:pt idx="307">
                  <c:v>199.76672156959705</c:v>
                </c:pt>
                <c:pt idx="308">
                  <c:v>199.807547057509</c:v>
                </c:pt>
                <c:pt idx="309">
                  <c:v>199.84444854542096</c:v>
                </c:pt>
                <c:pt idx="310">
                  <c:v>199.87742603333291</c:v>
                </c:pt>
                <c:pt idx="311">
                  <c:v>199.90647952124488</c:v>
                </c:pt>
                <c:pt idx="312">
                  <c:v>199.93160900915683</c:v>
                </c:pt>
                <c:pt idx="313">
                  <c:v>199.95281449706877</c:v>
                </c:pt>
                <c:pt idx="314">
                  <c:v>199.97009598498073</c:v>
                </c:pt>
                <c:pt idx="315">
                  <c:v>199.98345347289268</c:v>
                </c:pt>
                <c:pt idx="316">
                  <c:v>199.99288696080464</c:v>
                </c:pt>
                <c:pt idx="317">
                  <c:v>199.99839644871659</c:v>
                </c:pt>
                <c:pt idx="318">
                  <c:v>199.99998193662856</c:v>
                </c:pt>
                <c:pt idx="319">
                  <c:v>199.99764342454051</c:v>
                </c:pt>
                <c:pt idx="320">
                  <c:v>199.99138091245246</c:v>
                </c:pt>
                <c:pt idx="321">
                  <c:v>199.98119440036442</c:v>
                </c:pt>
                <c:pt idx="322">
                  <c:v>199.96708388827636</c:v>
                </c:pt>
                <c:pt idx="323">
                  <c:v>199.94904937618833</c:v>
                </c:pt>
                <c:pt idx="324">
                  <c:v>199.92709086410028</c:v>
                </c:pt>
                <c:pt idx="325">
                  <c:v>199.90120835201225</c:v>
                </c:pt>
                <c:pt idx="326">
                  <c:v>199.8714018399242</c:v>
                </c:pt>
                <c:pt idx="327">
                  <c:v>199.83767132783615</c:v>
                </c:pt>
                <c:pt idx="328">
                  <c:v>199.80001681574811</c:v>
                </c:pt>
                <c:pt idx="329">
                  <c:v>199.75843830366006</c:v>
                </c:pt>
                <c:pt idx="330">
                  <c:v>199.71293579157202</c:v>
                </c:pt>
                <c:pt idx="331">
                  <c:v>199.66350927948397</c:v>
                </c:pt>
                <c:pt idx="332">
                  <c:v>199.61015876739594</c:v>
                </c:pt>
                <c:pt idx="333">
                  <c:v>199.5528842553079</c:v>
                </c:pt>
                <c:pt idx="334">
                  <c:v>199.49168574321985</c:v>
                </c:pt>
                <c:pt idx="335">
                  <c:v>199.42656323113181</c:v>
                </c:pt>
                <c:pt idx="336">
                  <c:v>199.35751671904376</c:v>
                </c:pt>
                <c:pt idx="337">
                  <c:v>199.28454620695572</c:v>
                </c:pt>
                <c:pt idx="338">
                  <c:v>199.20765169486768</c:v>
                </c:pt>
                <c:pt idx="339">
                  <c:v>199.12683318277962</c:v>
                </c:pt>
                <c:pt idx="340">
                  <c:v>199.04209067069158</c:v>
                </c:pt>
                <c:pt idx="341">
                  <c:v>198.95342415860353</c:v>
                </c:pt>
                <c:pt idx="342">
                  <c:v>198.86083364651549</c:v>
                </c:pt>
                <c:pt idx="343">
                  <c:v>198.76431913442744</c:v>
                </c:pt>
                <c:pt idx="344">
                  <c:v>198.66388062233941</c:v>
                </c:pt>
                <c:pt idx="345">
                  <c:v>198.55951811025136</c:v>
                </c:pt>
                <c:pt idx="346">
                  <c:v>198.4512315981633</c:v>
                </c:pt>
                <c:pt idx="347">
                  <c:v>198.33902108607526</c:v>
                </c:pt>
                <c:pt idx="348">
                  <c:v>198.22288657398721</c:v>
                </c:pt>
                <c:pt idx="349">
                  <c:v>198.10282806189917</c:v>
                </c:pt>
                <c:pt idx="350">
                  <c:v>197.97884554981113</c:v>
                </c:pt>
                <c:pt idx="351">
                  <c:v>197.85093903772309</c:v>
                </c:pt>
                <c:pt idx="352">
                  <c:v>197.71910852563505</c:v>
                </c:pt>
                <c:pt idx="353">
                  <c:v>197.58335401354699</c:v>
                </c:pt>
                <c:pt idx="354">
                  <c:v>197.44367550145896</c:v>
                </c:pt>
                <c:pt idx="355">
                  <c:v>197.3000729893709</c:v>
                </c:pt>
                <c:pt idx="356">
                  <c:v>197.15254647728287</c:v>
                </c:pt>
                <c:pt idx="357">
                  <c:v>197.00109596519482</c:v>
                </c:pt>
                <c:pt idx="358">
                  <c:v>196.84572145310679</c:v>
                </c:pt>
                <c:pt idx="359">
                  <c:v>196.68642294101875</c:v>
                </c:pt>
                <c:pt idx="360">
                  <c:v>196.52320042893069</c:v>
                </c:pt>
                <c:pt idx="361">
                  <c:v>196.35605391684265</c:v>
                </c:pt>
                <c:pt idx="362">
                  <c:v>196.1849834047546</c:v>
                </c:pt>
                <c:pt idx="363">
                  <c:v>196.00998889266657</c:v>
                </c:pt>
                <c:pt idx="364">
                  <c:v>195.83107038057852</c:v>
                </c:pt>
                <c:pt idx="365">
                  <c:v>195.64822786849047</c:v>
                </c:pt>
                <c:pt idx="366">
                  <c:v>195.46146135640242</c:v>
                </c:pt>
                <c:pt idx="367">
                  <c:v>195.27077084431437</c:v>
                </c:pt>
                <c:pt idx="368">
                  <c:v>195.07615633222633</c:v>
                </c:pt>
                <c:pt idx="369">
                  <c:v>194.87761782013828</c:v>
                </c:pt>
                <c:pt idx="370">
                  <c:v>194.67515530805025</c:v>
                </c:pt>
                <c:pt idx="371">
                  <c:v>194.46876879596221</c:v>
                </c:pt>
                <c:pt idx="372">
                  <c:v>194.25845828387415</c:v>
                </c:pt>
                <c:pt idx="373">
                  <c:v>194.04422377178611</c:v>
                </c:pt>
                <c:pt idx="374">
                  <c:v>193.82606525969805</c:v>
                </c:pt>
                <c:pt idx="375">
                  <c:v>193.60398274761002</c:v>
                </c:pt>
                <c:pt idx="376">
                  <c:v>193.37797623552197</c:v>
                </c:pt>
                <c:pt idx="377">
                  <c:v>193.14804572343394</c:v>
                </c:pt>
                <c:pt idx="378">
                  <c:v>192.91419121134589</c:v>
                </c:pt>
                <c:pt idx="379">
                  <c:v>192.67641269925784</c:v>
                </c:pt>
                <c:pt idx="380">
                  <c:v>192.4347101871698</c:v>
                </c:pt>
                <c:pt idx="381">
                  <c:v>192.18908367508175</c:v>
                </c:pt>
                <c:pt idx="382">
                  <c:v>191.93953316299371</c:v>
                </c:pt>
                <c:pt idx="383">
                  <c:v>191.68605865090566</c:v>
                </c:pt>
                <c:pt idx="384">
                  <c:v>191.42866013881763</c:v>
                </c:pt>
                <c:pt idx="385">
                  <c:v>191.16733762672959</c:v>
                </c:pt>
                <c:pt idx="386">
                  <c:v>190.90209111464154</c:v>
                </c:pt>
                <c:pt idx="387">
                  <c:v>190.6329206025535</c:v>
                </c:pt>
                <c:pt idx="388">
                  <c:v>190.35982609046545</c:v>
                </c:pt>
                <c:pt idx="389">
                  <c:v>190.08280757837741</c:v>
                </c:pt>
                <c:pt idx="390">
                  <c:v>189.80186506628937</c:v>
                </c:pt>
                <c:pt idx="391">
                  <c:v>189.51699855420134</c:v>
                </c:pt>
                <c:pt idx="392">
                  <c:v>189.22820804211329</c:v>
                </c:pt>
                <c:pt idx="393">
                  <c:v>188.93549353002524</c:v>
                </c:pt>
                <c:pt idx="394">
                  <c:v>188.6388550179372</c:v>
                </c:pt>
                <c:pt idx="395">
                  <c:v>188.33829250584915</c:v>
                </c:pt>
                <c:pt idx="396">
                  <c:v>188.03380599376112</c:v>
                </c:pt>
                <c:pt idx="397">
                  <c:v>187.72539548167308</c:v>
                </c:pt>
                <c:pt idx="398">
                  <c:v>187.41306096958502</c:v>
                </c:pt>
                <c:pt idx="399">
                  <c:v>187.09680245749698</c:v>
                </c:pt>
                <c:pt idx="400">
                  <c:v>186.77661994540892</c:v>
                </c:pt>
                <c:pt idx="401">
                  <c:v>186.45251343332089</c:v>
                </c:pt>
                <c:pt idx="402">
                  <c:v>186.12448292123284</c:v>
                </c:pt>
                <c:pt idx="403">
                  <c:v>185.79252840914481</c:v>
                </c:pt>
                <c:pt idx="404">
                  <c:v>185.45664989705676</c:v>
                </c:pt>
                <c:pt idx="405">
                  <c:v>185.11684738496871</c:v>
                </c:pt>
                <c:pt idx="406">
                  <c:v>184.77312087288067</c:v>
                </c:pt>
                <c:pt idx="407">
                  <c:v>184.42547036079262</c:v>
                </c:pt>
                <c:pt idx="408">
                  <c:v>184.07389584870458</c:v>
                </c:pt>
                <c:pt idx="409">
                  <c:v>183.71839733661653</c:v>
                </c:pt>
                <c:pt idx="410">
                  <c:v>183.3589748245285</c:v>
                </c:pt>
                <c:pt idx="411">
                  <c:v>182.99562831244046</c:v>
                </c:pt>
                <c:pt idx="412">
                  <c:v>182.6283578003524</c:v>
                </c:pt>
                <c:pt idx="413">
                  <c:v>182.25716328826437</c:v>
                </c:pt>
                <c:pt idx="414">
                  <c:v>181.88204477617631</c:v>
                </c:pt>
                <c:pt idx="415">
                  <c:v>181.50300226408828</c:v>
                </c:pt>
                <c:pt idx="416">
                  <c:v>181.12003575200023</c:v>
                </c:pt>
                <c:pt idx="417">
                  <c:v>180.7331452399122</c:v>
                </c:pt>
                <c:pt idx="418">
                  <c:v>180.34233072782416</c:v>
                </c:pt>
                <c:pt idx="419">
                  <c:v>179.94759221573611</c:v>
                </c:pt>
                <c:pt idx="420">
                  <c:v>179.54892970364807</c:v>
                </c:pt>
                <c:pt idx="421">
                  <c:v>179.14634319156002</c:v>
                </c:pt>
                <c:pt idx="422">
                  <c:v>178.73983267947199</c:v>
                </c:pt>
                <c:pt idx="423">
                  <c:v>178.32939816738394</c:v>
                </c:pt>
                <c:pt idx="424">
                  <c:v>177.91503965529589</c:v>
                </c:pt>
                <c:pt idx="425">
                  <c:v>177.49675714320784</c:v>
                </c:pt>
                <c:pt idx="426">
                  <c:v>177.07455063111979</c:v>
                </c:pt>
                <c:pt idx="427">
                  <c:v>176.64842011903175</c:v>
                </c:pt>
                <c:pt idx="428">
                  <c:v>176.21836560694371</c:v>
                </c:pt>
                <c:pt idx="429">
                  <c:v>175.78438709485567</c:v>
                </c:pt>
                <c:pt idx="430">
                  <c:v>175.34648458276763</c:v>
                </c:pt>
                <c:pt idx="431">
                  <c:v>174.90465807067957</c:v>
                </c:pt>
                <c:pt idx="432">
                  <c:v>174.45890755859153</c:v>
                </c:pt>
                <c:pt idx="433">
                  <c:v>174.00923304650348</c:v>
                </c:pt>
                <c:pt idx="434">
                  <c:v>173.55563453441545</c:v>
                </c:pt>
                <c:pt idx="435">
                  <c:v>173.0981120223274</c:v>
                </c:pt>
                <c:pt idx="436">
                  <c:v>172.63666551023937</c:v>
                </c:pt>
                <c:pt idx="437">
                  <c:v>172.17129499815132</c:v>
                </c:pt>
                <c:pt idx="438">
                  <c:v>171.70200048606327</c:v>
                </c:pt>
                <c:pt idx="439">
                  <c:v>171.22878197397523</c:v>
                </c:pt>
                <c:pt idx="440">
                  <c:v>170.75163946188718</c:v>
                </c:pt>
                <c:pt idx="441">
                  <c:v>170.27057294979915</c:v>
                </c:pt>
                <c:pt idx="442">
                  <c:v>169.7855824377111</c:v>
                </c:pt>
                <c:pt idx="443">
                  <c:v>169.29666792562304</c:v>
                </c:pt>
                <c:pt idx="444">
                  <c:v>168.803829413535</c:v>
                </c:pt>
                <c:pt idx="445">
                  <c:v>168.30706690144694</c:v>
                </c:pt>
                <c:pt idx="446">
                  <c:v>167.80638038935891</c:v>
                </c:pt>
                <c:pt idx="447">
                  <c:v>167.30176987727086</c:v>
                </c:pt>
                <c:pt idx="448">
                  <c:v>166.79323536518282</c:v>
                </c:pt>
                <c:pt idx="449">
                  <c:v>166.28077685309478</c:v>
                </c:pt>
                <c:pt idx="450">
                  <c:v>165.76439434100672</c:v>
                </c:pt>
                <c:pt idx="451">
                  <c:v>165.24408782891868</c:v>
                </c:pt>
                <c:pt idx="452">
                  <c:v>164.71985731683063</c:v>
                </c:pt>
                <c:pt idx="453">
                  <c:v>164.19170280474259</c:v>
                </c:pt>
                <c:pt idx="454">
                  <c:v>163.65962429265454</c:v>
                </c:pt>
                <c:pt idx="455">
                  <c:v>163.12362178056651</c:v>
                </c:pt>
                <c:pt idx="456">
                  <c:v>162.58369526847846</c:v>
                </c:pt>
                <c:pt idx="457">
                  <c:v>162.03984475639041</c:v>
                </c:pt>
                <c:pt idx="458">
                  <c:v>161.49207024430237</c:v>
                </c:pt>
                <c:pt idx="459">
                  <c:v>160.94037173221432</c:v>
                </c:pt>
                <c:pt idx="460">
                  <c:v>160.38474922012628</c:v>
                </c:pt>
                <c:pt idx="461">
                  <c:v>159.82520270803823</c:v>
                </c:pt>
                <c:pt idx="462">
                  <c:v>159.2617321959502</c:v>
                </c:pt>
                <c:pt idx="463">
                  <c:v>158.69433768386216</c:v>
                </c:pt>
                <c:pt idx="464">
                  <c:v>158.1230191717741</c:v>
                </c:pt>
                <c:pt idx="465">
                  <c:v>157.54777665968606</c:v>
                </c:pt>
                <c:pt idx="466">
                  <c:v>156.96861014759801</c:v>
                </c:pt>
                <c:pt idx="467">
                  <c:v>156.38551963550998</c:v>
                </c:pt>
                <c:pt idx="468">
                  <c:v>155.79850512342193</c:v>
                </c:pt>
                <c:pt idx="469">
                  <c:v>155.20756661133387</c:v>
                </c:pt>
                <c:pt idx="470">
                  <c:v>154.61270409924583</c:v>
                </c:pt>
                <c:pt idx="471">
                  <c:v>154.01391758715778</c:v>
                </c:pt>
                <c:pt idx="472">
                  <c:v>153.41120707506974</c:v>
                </c:pt>
                <c:pt idx="473">
                  <c:v>152.80457256298169</c:v>
                </c:pt>
                <c:pt idx="474">
                  <c:v>152.19401405089366</c:v>
                </c:pt>
                <c:pt idx="475">
                  <c:v>151.57953153880561</c:v>
                </c:pt>
                <c:pt idx="476">
                  <c:v>150.96112502671755</c:v>
                </c:pt>
                <c:pt idx="477">
                  <c:v>150.33879451462951</c:v>
                </c:pt>
                <c:pt idx="478">
                  <c:v>149.71254000254146</c:v>
                </c:pt>
                <c:pt idx="479">
                  <c:v>149.08236149045342</c:v>
                </c:pt>
                <c:pt idx="480">
                  <c:v>148.44825897836537</c:v>
                </c:pt>
                <c:pt idx="481">
                  <c:v>147.81023246627734</c:v>
                </c:pt>
                <c:pt idx="482">
                  <c:v>147.1682819541893</c:v>
                </c:pt>
                <c:pt idx="483">
                  <c:v>146.52240744210124</c:v>
                </c:pt>
                <c:pt idx="484">
                  <c:v>145.8726089300132</c:v>
                </c:pt>
                <c:pt idx="485">
                  <c:v>145.21888641792515</c:v>
                </c:pt>
                <c:pt idx="486">
                  <c:v>144.56123990583711</c:v>
                </c:pt>
                <c:pt idx="487">
                  <c:v>143.89966939374906</c:v>
                </c:pt>
                <c:pt idx="488">
                  <c:v>143.23417488166103</c:v>
                </c:pt>
                <c:pt idx="489">
                  <c:v>142.56475636957299</c:v>
                </c:pt>
                <c:pt idx="490">
                  <c:v>141.89141385748493</c:v>
                </c:pt>
                <c:pt idx="491">
                  <c:v>141.2141473453969</c:v>
                </c:pt>
                <c:pt idx="492">
                  <c:v>140.53295683330884</c:v>
                </c:pt>
                <c:pt idx="493">
                  <c:v>139.84784232122081</c:v>
                </c:pt>
                <c:pt idx="494">
                  <c:v>139.15880380913276</c:v>
                </c:pt>
                <c:pt idx="495">
                  <c:v>138.4658412970447</c:v>
                </c:pt>
                <c:pt idx="496">
                  <c:v>137.76895478495666</c:v>
                </c:pt>
                <c:pt idx="497">
                  <c:v>137.06814427286861</c:v>
                </c:pt>
                <c:pt idx="498">
                  <c:v>136.36340976078057</c:v>
                </c:pt>
                <c:pt idx="499">
                  <c:v>135.65475124869252</c:v>
                </c:pt>
                <c:pt idx="500">
                  <c:v>134.94216873660449</c:v>
                </c:pt>
                <c:pt idx="501">
                  <c:v>134.22566222451644</c:v>
                </c:pt>
                <c:pt idx="502">
                  <c:v>133.50523171242838</c:v>
                </c:pt>
                <c:pt idx="503">
                  <c:v>132.78087720034034</c:v>
                </c:pt>
                <c:pt idx="504">
                  <c:v>132.05259868825229</c:v>
                </c:pt>
                <c:pt idx="505">
                  <c:v>131.32039617616425</c:v>
                </c:pt>
                <c:pt idx="506">
                  <c:v>130.5842696640762</c:v>
                </c:pt>
                <c:pt idx="507">
                  <c:v>129.84421915198817</c:v>
                </c:pt>
                <c:pt idx="508">
                  <c:v>129.10024463990013</c:v>
                </c:pt>
                <c:pt idx="509">
                  <c:v>128.35234612781207</c:v>
                </c:pt>
                <c:pt idx="510">
                  <c:v>127.60052361572403</c:v>
                </c:pt>
                <c:pt idx="511">
                  <c:v>126.84477710363599</c:v>
                </c:pt>
                <c:pt idx="512">
                  <c:v>126.08510659154794</c:v>
                </c:pt>
                <c:pt idx="513">
                  <c:v>125.32151207945989</c:v>
                </c:pt>
                <c:pt idx="514">
                  <c:v>124.55399356737185</c:v>
                </c:pt>
                <c:pt idx="515">
                  <c:v>123.7825510552838</c:v>
                </c:pt>
                <c:pt idx="516">
                  <c:v>123.00718454319576</c:v>
                </c:pt>
                <c:pt idx="517">
                  <c:v>122.22789403110772</c:v>
                </c:pt>
                <c:pt idx="518">
                  <c:v>121.44467951901969</c:v>
                </c:pt>
                <c:pt idx="519">
                  <c:v>120.65754100693164</c:v>
                </c:pt>
                <c:pt idx="520">
                  <c:v>119.86647849484359</c:v>
                </c:pt>
                <c:pt idx="521">
                  <c:v>119.07149198275555</c:v>
                </c:pt>
                <c:pt idx="522">
                  <c:v>118.2725814706675</c:v>
                </c:pt>
                <c:pt idx="523">
                  <c:v>117.46974695857946</c:v>
                </c:pt>
                <c:pt idx="524">
                  <c:v>116.66298844649143</c:v>
                </c:pt>
                <c:pt idx="525">
                  <c:v>115.85230593440338</c:v>
                </c:pt>
                <c:pt idx="526">
                  <c:v>115.03769942231533</c:v>
                </c:pt>
                <c:pt idx="527">
                  <c:v>114.21916891022728</c:v>
                </c:pt>
                <c:pt idx="528">
                  <c:v>113.39671439813924</c:v>
                </c:pt>
                <c:pt idx="529">
                  <c:v>112.5703358860512</c:v>
                </c:pt>
                <c:pt idx="530">
                  <c:v>111.74003337396316</c:v>
                </c:pt>
                <c:pt idx="531">
                  <c:v>110.90580686187512</c:v>
                </c:pt>
                <c:pt idx="532">
                  <c:v>110.06765634978707</c:v>
                </c:pt>
                <c:pt idx="533">
                  <c:v>109.22558183769902</c:v>
                </c:pt>
                <c:pt idx="534">
                  <c:v>108.37958332561098</c:v>
                </c:pt>
                <c:pt idx="535">
                  <c:v>107.52966081352294</c:v>
                </c:pt>
                <c:pt idx="536">
                  <c:v>106.6758143014349</c:v>
                </c:pt>
                <c:pt idx="537">
                  <c:v>105.81804378934686</c:v>
                </c:pt>
                <c:pt idx="538">
                  <c:v>104.95634927725882</c:v>
                </c:pt>
                <c:pt idx="539">
                  <c:v>104.09073076517078</c:v>
                </c:pt>
                <c:pt idx="540">
                  <c:v>103.22118825308273</c:v>
                </c:pt>
                <c:pt idx="541">
                  <c:v>102.34772174099469</c:v>
                </c:pt>
                <c:pt idx="542">
                  <c:v>101.47033122890664</c:v>
                </c:pt>
                <c:pt idx="543">
                  <c:v>100.58901671681861</c:v>
                </c:pt>
                <c:pt idx="544">
                  <c:v>99.703778204730568</c:v>
                </c:pt>
                <c:pt idx="545">
                  <c:v>98.814615692642519</c:v>
                </c:pt>
                <c:pt idx="546">
                  <c:v>97.921529180554472</c:v>
                </c:pt>
                <c:pt idx="547">
                  <c:v>97.024518668466428</c:v>
                </c:pt>
                <c:pt idx="548">
                  <c:v>96.123584156378385</c:v>
                </c:pt>
                <c:pt idx="549">
                  <c:v>95.218725644290345</c:v>
                </c:pt>
                <c:pt idx="550">
                  <c:v>94.309943132202307</c:v>
                </c:pt>
                <c:pt idx="551">
                  <c:v>93.397236620114271</c:v>
                </c:pt>
                <c:pt idx="552">
                  <c:v>92.480606108026223</c:v>
                </c:pt>
                <c:pt idx="553">
                  <c:v>91.560051595938177</c:v>
                </c:pt>
                <c:pt idx="554">
                  <c:v>90.635573083850133</c:v>
                </c:pt>
                <c:pt idx="555">
                  <c:v>89.707170571762092</c:v>
                </c:pt>
                <c:pt idx="556">
                  <c:v>88.774844059674052</c:v>
                </c:pt>
                <c:pt idx="557">
                  <c:v>87.838593547586015</c:v>
                </c:pt>
                <c:pt idx="558">
                  <c:v>86.89841903549798</c:v>
                </c:pt>
                <c:pt idx="559">
                  <c:v>85.954320523409933</c:v>
                </c:pt>
                <c:pt idx="560">
                  <c:v>85.006298011321888</c:v>
                </c:pt>
                <c:pt idx="561">
                  <c:v>84.054351499233846</c:v>
                </c:pt>
                <c:pt idx="562">
                  <c:v>83.098480987145805</c:v>
                </c:pt>
                <c:pt idx="563">
                  <c:v>82.138686475057767</c:v>
                </c:pt>
                <c:pt idx="564">
                  <c:v>81.174967962969731</c:v>
                </c:pt>
                <c:pt idx="565">
                  <c:v>80.207325450881683</c:v>
                </c:pt>
                <c:pt idx="566">
                  <c:v>79.235758938793637</c:v>
                </c:pt>
                <c:pt idx="567">
                  <c:v>78.260268426705593</c:v>
                </c:pt>
                <c:pt idx="568">
                  <c:v>77.280853914617552</c:v>
                </c:pt>
                <c:pt idx="569">
                  <c:v>76.297515402529513</c:v>
                </c:pt>
                <c:pt idx="570">
                  <c:v>75.310252890441475</c:v>
                </c:pt>
                <c:pt idx="571">
                  <c:v>74.31906637835344</c:v>
                </c:pt>
                <c:pt idx="572">
                  <c:v>73.323955866265393</c:v>
                </c:pt>
                <c:pt idx="573">
                  <c:v>72.324921354177349</c:v>
                </c:pt>
                <c:pt idx="574">
                  <c:v>71.321962842089306</c:v>
                </c:pt>
                <c:pt idx="575">
                  <c:v>70.315080330001265</c:v>
                </c:pt>
                <c:pt idx="576">
                  <c:v>69.304273817913227</c:v>
                </c:pt>
                <c:pt idx="577">
                  <c:v>68.289543305825191</c:v>
                </c:pt>
                <c:pt idx="578">
                  <c:v>67.270888793737157</c:v>
                </c:pt>
                <c:pt idx="579">
                  <c:v>66.248310281649111</c:v>
                </c:pt>
                <c:pt idx="580">
                  <c:v>65.221807769561067</c:v>
                </c:pt>
                <c:pt idx="581">
                  <c:v>64.191381257473026</c:v>
                </c:pt>
                <c:pt idx="582">
                  <c:v>63.157030745384986</c:v>
                </c:pt>
                <c:pt idx="583">
                  <c:v>62.118756233296949</c:v>
                </c:pt>
                <c:pt idx="584">
                  <c:v>61.076557721208907</c:v>
                </c:pt>
                <c:pt idx="585">
                  <c:v>60.030435209120867</c:v>
                </c:pt>
                <c:pt idx="586">
                  <c:v>58.980388697032829</c:v>
                </c:pt>
                <c:pt idx="587">
                  <c:v>57.926418184944787</c:v>
                </c:pt>
                <c:pt idx="588">
                  <c:v>56.868523672856746</c:v>
                </c:pt>
                <c:pt idx="589">
                  <c:v>55.806705160768708</c:v>
                </c:pt>
                <c:pt idx="590">
                  <c:v>54.740962648680664</c:v>
                </c:pt>
                <c:pt idx="591">
                  <c:v>53.671296136592623</c:v>
                </c:pt>
                <c:pt idx="592">
                  <c:v>52.597705624504584</c:v>
                </c:pt>
                <c:pt idx="593">
                  <c:v>51.520191112416548</c:v>
                </c:pt>
                <c:pt idx="594">
                  <c:v>50.438752600328506</c:v>
                </c:pt>
                <c:pt idx="595">
                  <c:v>49.353390088240467</c:v>
                </c:pt>
                <c:pt idx="596">
                  <c:v>48.264103576152429</c:v>
                </c:pt>
                <c:pt idx="597">
                  <c:v>47.170893064064387</c:v>
                </c:pt>
                <c:pt idx="598">
                  <c:v>46.073758551976347</c:v>
                </c:pt>
                <c:pt idx="599">
                  <c:v>44.972700039888309</c:v>
                </c:pt>
                <c:pt idx="600">
                  <c:v>43.867717527800266</c:v>
                </c:pt>
                <c:pt idx="601">
                  <c:v>42.758811015712226</c:v>
                </c:pt>
                <c:pt idx="602">
                  <c:v>41.645980503624187</c:v>
                </c:pt>
                <c:pt idx="603">
                  <c:v>40.529225991536151</c:v>
                </c:pt>
                <c:pt idx="604">
                  <c:v>39.40854747944811</c:v>
                </c:pt>
                <c:pt idx="605">
                  <c:v>38.283944967360071</c:v>
                </c:pt>
                <c:pt idx="606">
                  <c:v>37.155418455272034</c:v>
                </c:pt>
                <c:pt idx="607">
                  <c:v>36.022967943183993</c:v>
                </c:pt>
                <c:pt idx="608">
                  <c:v>34.886593431095953</c:v>
                </c:pt>
                <c:pt idx="609">
                  <c:v>33.746294919007916</c:v>
                </c:pt>
                <c:pt idx="610">
                  <c:v>32.602072406919874</c:v>
                </c:pt>
                <c:pt idx="611">
                  <c:v>31.453925894831833</c:v>
                </c:pt>
                <c:pt idx="612">
                  <c:v>30.301855382743796</c:v>
                </c:pt>
                <c:pt idx="613">
                  <c:v>29.145860870655756</c:v>
                </c:pt>
                <c:pt idx="614">
                  <c:v>27.985942358567719</c:v>
                </c:pt>
                <c:pt idx="615">
                  <c:v>26.822099846479681</c:v>
                </c:pt>
                <c:pt idx="616">
                  <c:v>25.654333334391641</c:v>
                </c:pt>
                <c:pt idx="617">
                  <c:v>24.482642822303603</c:v>
                </c:pt>
                <c:pt idx="618">
                  <c:v>23.307028310215564</c:v>
                </c:pt>
                <c:pt idx="619">
                  <c:v>22.127489798127527</c:v>
                </c:pt>
                <c:pt idx="620">
                  <c:v>20.944027286039489</c:v>
                </c:pt>
                <c:pt idx="621">
                  <c:v>19.75664077395145</c:v>
                </c:pt>
                <c:pt idx="622">
                  <c:v>18.565330261863412</c:v>
                </c:pt>
                <c:pt idx="623">
                  <c:v>17.370095749775373</c:v>
                </c:pt>
                <c:pt idx="624">
                  <c:v>16.170937237687337</c:v>
                </c:pt>
                <c:pt idx="625">
                  <c:v>14.967854725599299</c:v>
                </c:pt>
                <c:pt idx="626">
                  <c:v>13.760848213511261</c:v>
                </c:pt>
                <c:pt idx="627">
                  <c:v>12.549917701423222</c:v>
                </c:pt>
                <c:pt idx="628">
                  <c:v>11.335063189335184</c:v>
                </c:pt>
                <c:pt idx="629">
                  <c:v>10.116284677247146</c:v>
                </c:pt>
                <c:pt idx="630">
                  <c:v>8.893582165159108</c:v>
                </c:pt>
                <c:pt idx="631">
                  <c:v>7.6669556530710707</c:v>
                </c:pt>
                <c:pt idx="632">
                  <c:v>6.436405140983033</c:v>
                </c:pt>
                <c:pt idx="633">
                  <c:v>5.2019306288949956</c:v>
                </c:pt>
                <c:pt idx="634">
                  <c:v>3.9635321168069577</c:v>
                </c:pt>
                <c:pt idx="635">
                  <c:v>2.7212096047189203</c:v>
                </c:pt>
                <c:pt idx="636">
                  <c:v>1.4749630926308828</c:v>
                </c:pt>
                <c:pt idx="637">
                  <c:v>0.22479258054284523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0-4E42-A569-C9F14ADA6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layout>
            <c:manualLayout>
              <c:xMode val="edge"/>
              <c:yMode val="edge"/>
              <c:x val="5.0222431987655561E-3"/>
              <c:y val="0.437793394871182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 Iterative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26443118844661"/>
          <c:y val="0.17111880046136105"/>
          <c:w val="0.7826845708977614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 Drag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[0]!XIt</c:f>
              <c:numCache>
                <c:formatCode>General</c:formatCode>
                <c:ptCount val="638"/>
                <c:pt idx="0">
                  <c:v>0</c:v>
                </c:pt>
                <c:pt idx="1">
                  <c:v>1.0467394398169905</c:v>
                </c:pt>
                <c:pt idx="2">
                  <c:v>2.0934788796339809</c:v>
                </c:pt>
                <c:pt idx="3">
                  <c:v>3.1402183194509714</c:v>
                </c:pt>
                <c:pt idx="4">
                  <c:v>4.1869577592679619</c:v>
                </c:pt>
                <c:pt idx="5">
                  <c:v>5.2336971990849523</c:v>
                </c:pt>
                <c:pt idx="6">
                  <c:v>6.2804366389019428</c:v>
                </c:pt>
                <c:pt idx="7">
                  <c:v>7.3271760787189333</c:v>
                </c:pt>
                <c:pt idx="8">
                  <c:v>8.3739155185359238</c:v>
                </c:pt>
                <c:pt idx="9">
                  <c:v>9.4206549583529142</c:v>
                </c:pt>
                <c:pt idx="10">
                  <c:v>10.467394398169905</c:v>
                </c:pt>
                <c:pt idx="11">
                  <c:v>11.514133837986895</c:v>
                </c:pt>
                <c:pt idx="12">
                  <c:v>12.560873277803886</c:v>
                </c:pt>
                <c:pt idx="13">
                  <c:v>13.607612717620876</c:v>
                </c:pt>
                <c:pt idx="14">
                  <c:v>14.654352157437867</c:v>
                </c:pt>
                <c:pt idx="15">
                  <c:v>15.701091597254857</c:v>
                </c:pt>
                <c:pt idx="16">
                  <c:v>16.747831037071848</c:v>
                </c:pt>
                <c:pt idx="17">
                  <c:v>17.794570476888836</c:v>
                </c:pt>
                <c:pt idx="18">
                  <c:v>18.841309916705825</c:v>
                </c:pt>
                <c:pt idx="19">
                  <c:v>19.888049356522814</c:v>
                </c:pt>
                <c:pt idx="20">
                  <c:v>20.934788796339802</c:v>
                </c:pt>
                <c:pt idx="21">
                  <c:v>21.981528236156791</c:v>
                </c:pt>
                <c:pt idx="22">
                  <c:v>23.02826767597378</c:v>
                </c:pt>
                <c:pt idx="23">
                  <c:v>24.075007115790768</c:v>
                </c:pt>
                <c:pt idx="24">
                  <c:v>25.121746555607757</c:v>
                </c:pt>
                <c:pt idx="25">
                  <c:v>26.168485995424746</c:v>
                </c:pt>
                <c:pt idx="26">
                  <c:v>27.215225435241734</c:v>
                </c:pt>
                <c:pt idx="27">
                  <c:v>28.261964875058723</c:v>
                </c:pt>
                <c:pt idx="28">
                  <c:v>29.308704314875712</c:v>
                </c:pt>
                <c:pt idx="29">
                  <c:v>30.355443754692701</c:v>
                </c:pt>
                <c:pt idx="30">
                  <c:v>31.402183194509689</c:v>
                </c:pt>
                <c:pt idx="31">
                  <c:v>32.448922634326678</c:v>
                </c:pt>
                <c:pt idx="32">
                  <c:v>33.495662074143667</c:v>
                </c:pt>
                <c:pt idx="33">
                  <c:v>34.542401513960655</c:v>
                </c:pt>
                <c:pt idx="34">
                  <c:v>35.589140953777644</c:v>
                </c:pt>
                <c:pt idx="35">
                  <c:v>36.635880393594633</c:v>
                </c:pt>
                <c:pt idx="36">
                  <c:v>37.682619833411621</c:v>
                </c:pt>
                <c:pt idx="37">
                  <c:v>38.72935927322861</c:v>
                </c:pt>
                <c:pt idx="38">
                  <c:v>39.776098713045599</c:v>
                </c:pt>
                <c:pt idx="39">
                  <c:v>40.822838152862587</c:v>
                </c:pt>
                <c:pt idx="40">
                  <c:v>41.869577592679576</c:v>
                </c:pt>
                <c:pt idx="41">
                  <c:v>42.916317032496565</c:v>
                </c:pt>
                <c:pt idx="42">
                  <c:v>43.963056472313554</c:v>
                </c:pt>
                <c:pt idx="43">
                  <c:v>45.009795912130542</c:v>
                </c:pt>
                <c:pt idx="44">
                  <c:v>46.056535351947531</c:v>
                </c:pt>
                <c:pt idx="45">
                  <c:v>47.10327479176452</c:v>
                </c:pt>
                <c:pt idx="46">
                  <c:v>48.150014231581508</c:v>
                </c:pt>
                <c:pt idx="47">
                  <c:v>49.196753671398497</c:v>
                </c:pt>
                <c:pt idx="48">
                  <c:v>50.243493111215486</c:v>
                </c:pt>
                <c:pt idx="49">
                  <c:v>51.290232551032474</c:v>
                </c:pt>
                <c:pt idx="50">
                  <c:v>52.336971990849463</c:v>
                </c:pt>
                <c:pt idx="51">
                  <c:v>53.383711430666452</c:v>
                </c:pt>
                <c:pt idx="52">
                  <c:v>54.43045087048344</c:v>
                </c:pt>
                <c:pt idx="53">
                  <c:v>55.477190310300429</c:v>
                </c:pt>
                <c:pt idx="54">
                  <c:v>56.523929750117418</c:v>
                </c:pt>
                <c:pt idx="55">
                  <c:v>57.570669189934407</c:v>
                </c:pt>
                <c:pt idx="56">
                  <c:v>58.617408629751395</c:v>
                </c:pt>
                <c:pt idx="57">
                  <c:v>59.664148069568384</c:v>
                </c:pt>
                <c:pt idx="58">
                  <c:v>60.710887509385373</c:v>
                </c:pt>
                <c:pt idx="59">
                  <c:v>61.757626949202361</c:v>
                </c:pt>
                <c:pt idx="60">
                  <c:v>62.80436638901935</c:v>
                </c:pt>
                <c:pt idx="61">
                  <c:v>63.851105828836339</c:v>
                </c:pt>
                <c:pt idx="62">
                  <c:v>64.897845268653327</c:v>
                </c:pt>
                <c:pt idx="63">
                  <c:v>65.944584708470316</c:v>
                </c:pt>
                <c:pt idx="64">
                  <c:v>66.991324148287305</c:v>
                </c:pt>
                <c:pt idx="65">
                  <c:v>68.038063588104293</c:v>
                </c:pt>
                <c:pt idx="66">
                  <c:v>69.084803027921282</c:v>
                </c:pt>
                <c:pt idx="67">
                  <c:v>70.131542467738271</c:v>
                </c:pt>
                <c:pt idx="68">
                  <c:v>71.17828190755526</c:v>
                </c:pt>
                <c:pt idx="69">
                  <c:v>72.225021347372248</c:v>
                </c:pt>
                <c:pt idx="70">
                  <c:v>73.271760787189237</c:v>
                </c:pt>
                <c:pt idx="71">
                  <c:v>74.318500227006226</c:v>
                </c:pt>
                <c:pt idx="72">
                  <c:v>75.365239666823214</c:v>
                </c:pt>
                <c:pt idx="73">
                  <c:v>76.411979106640203</c:v>
                </c:pt>
                <c:pt idx="74">
                  <c:v>77.458718546457192</c:v>
                </c:pt>
                <c:pt idx="75">
                  <c:v>78.50545798627418</c:v>
                </c:pt>
                <c:pt idx="76">
                  <c:v>79.552197426091169</c:v>
                </c:pt>
                <c:pt idx="77">
                  <c:v>80.598936865908158</c:v>
                </c:pt>
                <c:pt idx="78">
                  <c:v>81.645676305725146</c:v>
                </c:pt>
                <c:pt idx="79">
                  <c:v>82.692415745542135</c:v>
                </c:pt>
                <c:pt idx="80">
                  <c:v>83.739155185359124</c:v>
                </c:pt>
                <c:pt idx="81">
                  <c:v>84.785894625176113</c:v>
                </c:pt>
                <c:pt idx="82">
                  <c:v>85.832634064993101</c:v>
                </c:pt>
                <c:pt idx="83">
                  <c:v>86.87937350481009</c:v>
                </c:pt>
                <c:pt idx="84">
                  <c:v>87.926112944627079</c:v>
                </c:pt>
                <c:pt idx="85">
                  <c:v>88.972852384444067</c:v>
                </c:pt>
                <c:pt idx="86">
                  <c:v>90.019591824261056</c:v>
                </c:pt>
                <c:pt idx="87">
                  <c:v>91.066331264078045</c:v>
                </c:pt>
                <c:pt idx="88">
                  <c:v>92.113070703895033</c:v>
                </c:pt>
                <c:pt idx="89">
                  <c:v>93.159810143712022</c:v>
                </c:pt>
                <c:pt idx="90">
                  <c:v>94.206549583529011</c:v>
                </c:pt>
                <c:pt idx="91">
                  <c:v>95.253289023345999</c:v>
                </c:pt>
                <c:pt idx="92">
                  <c:v>96.300028463162988</c:v>
                </c:pt>
                <c:pt idx="93">
                  <c:v>97.346767902979977</c:v>
                </c:pt>
                <c:pt idx="94">
                  <c:v>98.393507342796966</c:v>
                </c:pt>
                <c:pt idx="95">
                  <c:v>99.440246782613954</c:v>
                </c:pt>
                <c:pt idx="96">
                  <c:v>100.48698622243094</c:v>
                </c:pt>
                <c:pt idx="97">
                  <c:v>101.53372566224793</c:v>
                </c:pt>
                <c:pt idx="98">
                  <c:v>102.58046510206492</c:v>
                </c:pt>
                <c:pt idx="99">
                  <c:v>103.62720454188191</c:v>
                </c:pt>
                <c:pt idx="100">
                  <c:v>104.6739439816989</c:v>
                </c:pt>
                <c:pt idx="101">
                  <c:v>105.72068342151589</c:v>
                </c:pt>
                <c:pt idx="102">
                  <c:v>106.76742286133288</c:v>
                </c:pt>
                <c:pt idx="103">
                  <c:v>107.81416230114986</c:v>
                </c:pt>
                <c:pt idx="104">
                  <c:v>108.86090174096685</c:v>
                </c:pt>
                <c:pt idx="105">
                  <c:v>109.90764118078384</c:v>
                </c:pt>
                <c:pt idx="106">
                  <c:v>110.95438062060083</c:v>
                </c:pt>
                <c:pt idx="107">
                  <c:v>112.00112006041782</c:v>
                </c:pt>
                <c:pt idx="108">
                  <c:v>113.04785950023481</c:v>
                </c:pt>
                <c:pt idx="109">
                  <c:v>114.0945989400518</c:v>
                </c:pt>
                <c:pt idx="110">
                  <c:v>115.14133837986878</c:v>
                </c:pt>
                <c:pt idx="111">
                  <c:v>116.18807781968577</c:v>
                </c:pt>
                <c:pt idx="112">
                  <c:v>117.23481725950276</c:v>
                </c:pt>
                <c:pt idx="113">
                  <c:v>118.28155669931975</c:v>
                </c:pt>
                <c:pt idx="114">
                  <c:v>119.32829613913674</c:v>
                </c:pt>
                <c:pt idx="115">
                  <c:v>120.37503557895373</c:v>
                </c:pt>
                <c:pt idx="116">
                  <c:v>121.42177501877072</c:v>
                </c:pt>
                <c:pt idx="117">
                  <c:v>122.46851445858771</c:v>
                </c:pt>
                <c:pt idx="118">
                  <c:v>123.51525389840469</c:v>
                </c:pt>
                <c:pt idx="119">
                  <c:v>124.56199333822168</c:v>
                </c:pt>
                <c:pt idx="120">
                  <c:v>125.60873277803867</c:v>
                </c:pt>
                <c:pt idx="121">
                  <c:v>126.65547221785566</c:v>
                </c:pt>
                <c:pt idx="122">
                  <c:v>127.70221165767265</c:v>
                </c:pt>
                <c:pt idx="123">
                  <c:v>128.74895109748965</c:v>
                </c:pt>
                <c:pt idx="124">
                  <c:v>129.79569053730665</c:v>
                </c:pt>
                <c:pt idx="125">
                  <c:v>130.84242997712366</c:v>
                </c:pt>
                <c:pt idx="126">
                  <c:v>131.88916941694066</c:v>
                </c:pt>
                <c:pt idx="127">
                  <c:v>132.93590885675766</c:v>
                </c:pt>
                <c:pt idx="128">
                  <c:v>133.98264829657467</c:v>
                </c:pt>
                <c:pt idx="129">
                  <c:v>135.02938773639167</c:v>
                </c:pt>
                <c:pt idx="130">
                  <c:v>136.07612717620867</c:v>
                </c:pt>
                <c:pt idx="131">
                  <c:v>137.12286661602568</c:v>
                </c:pt>
                <c:pt idx="132">
                  <c:v>138.16960605584268</c:v>
                </c:pt>
                <c:pt idx="133">
                  <c:v>139.21634549565968</c:v>
                </c:pt>
                <c:pt idx="134">
                  <c:v>140.26308493547668</c:v>
                </c:pt>
                <c:pt idx="135">
                  <c:v>141.30982437529369</c:v>
                </c:pt>
                <c:pt idx="136">
                  <c:v>142.35656381511069</c:v>
                </c:pt>
                <c:pt idx="137">
                  <c:v>143.40330325492769</c:v>
                </c:pt>
                <c:pt idx="138">
                  <c:v>144.4500426947447</c:v>
                </c:pt>
                <c:pt idx="139">
                  <c:v>145.4967821345617</c:v>
                </c:pt>
                <c:pt idx="140">
                  <c:v>146.5435215743787</c:v>
                </c:pt>
                <c:pt idx="141">
                  <c:v>147.5902610141957</c:v>
                </c:pt>
                <c:pt idx="142">
                  <c:v>148.63700045401271</c:v>
                </c:pt>
                <c:pt idx="143">
                  <c:v>149.68373989382971</c:v>
                </c:pt>
                <c:pt idx="144">
                  <c:v>150.73047933364671</c:v>
                </c:pt>
                <c:pt idx="145">
                  <c:v>151.77721877346372</c:v>
                </c:pt>
                <c:pt idx="146">
                  <c:v>152.82395821328072</c:v>
                </c:pt>
                <c:pt idx="147">
                  <c:v>153.87069765309772</c:v>
                </c:pt>
                <c:pt idx="148">
                  <c:v>154.91743709291472</c:v>
                </c:pt>
                <c:pt idx="149">
                  <c:v>155.96417653273173</c:v>
                </c:pt>
                <c:pt idx="150">
                  <c:v>157.01091597254873</c:v>
                </c:pt>
                <c:pt idx="151">
                  <c:v>158.05765541236573</c:v>
                </c:pt>
                <c:pt idx="152">
                  <c:v>159.10439485218274</c:v>
                </c:pt>
                <c:pt idx="153">
                  <c:v>160.15113429199974</c:v>
                </c:pt>
                <c:pt idx="154">
                  <c:v>161.19787373181674</c:v>
                </c:pt>
                <c:pt idx="155">
                  <c:v>162.24461317163374</c:v>
                </c:pt>
                <c:pt idx="156">
                  <c:v>163.29135261145075</c:v>
                </c:pt>
                <c:pt idx="157">
                  <c:v>164.33809205126775</c:v>
                </c:pt>
                <c:pt idx="158">
                  <c:v>165.38483149108475</c:v>
                </c:pt>
                <c:pt idx="159">
                  <c:v>166.43157093090176</c:v>
                </c:pt>
                <c:pt idx="160">
                  <c:v>167.47831037071876</c:v>
                </c:pt>
                <c:pt idx="161">
                  <c:v>168.52504981053576</c:v>
                </c:pt>
                <c:pt idx="162">
                  <c:v>169.57178925035277</c:v>
                </c:pt>
                <c:pt idx="163">
                  <c:v>170.61852869016977</c:v>
                </c:pt>
                <c:pt idx="164">
                  <c:v>171.66526812998677</c:v>
                </c:pt>
                <c:pt idx="165">
                  <c:v>172.71200756980377</c:v>
                </c:pt>
                <c:pt idx="166">
                  <c:v>173.75874700962078</c:v>
                </c:pt>
                <c:pt idx="167">
                  <c:v>174.80548644943778</c:v>
                </c:pt>
                <c:pt idx="168">
                  <c:v>175.85222588925478</c:v>
                </c:pt>
                <c:pt idx="169">
                  <c:v>176.89896532907179</c:v>
                </c:pt>
                <c:pt idx="170">
                  <c:v>177.94570476888879</c:v>
                </c:pt>
                <c:pt idx="171">
                  <c:v>178.99244420870579</c:v>
                </c:pt>
                <c:pt idx="172">
                  <c:v>180.03918364852279</c:v>
                </c:pt>
                <c:pt idx="173">
                  <c:v>181.0859230883398</c:v>
                </c:pt>
                <c:pt idx="174">
                  <c:v>182.1326625281568</c:v>
                </c:pt>
                <c:pt idx="175">
                  <c:v>183.1794019679738</c:v>
                </c:pt>
                <c:pt idx="176">
                  <c:v>184.22614140779081</c:v>
                </c:pt>
                <c:pt idx="177">
                  <c:v>185.27288084760781</c:v>
                </c:pt>
                <c:pt idx="178">
                  <c:v>186.31962028742481</c:v>
                </c:pt>
                <c:pt idx="179">
                  <c:v>187.36635972724181</c:v>
                </c:pt>
                <c:pt idx="180">
                  <c:v>188.41309916705882</c:v>
                </c:pt>
                <c:pt idx="181">
                  <c:v>189.45983860687582</c:v>
                </c:pt>
                <c:pt idx="182">
                  <c:v>190.50657804669282</c:v>
                </c:pt>
                <c:pt idx="183">
                  <c:v>191.55331748650983</c:v>
                </c:pt>
                <c:pt idx="184">
                  <c:v>192.60005692632683</c:v>
                </c:pt>
                <c:pt idx="185">
                  <c:v>193.64679636614383</c:v>
                </c:pt>
                <c:pt idx="186">
                  <c:v>194.69353580596083</c:v>
                </c:pt>
                <c:pt idx="187">
                  <c:v>195.74027524577784</c:v>
                </c:pt>
                <c:pt idx="188">
                  <c:v>196.78701468559484</c:v>
                </c:pt>
                <c:pt idx="189">
                  <c:v>197.83375412541184</c:v>
                </c:pt>
                <c:pt idx="190">
                  <c:v>198.88049356522885</c:v>
                </c:pt>
                <c:pt idx="191">
                  <c:v>199.92723300504585</c:v>
                </c:pt>
                <c:pt idx="192">
                  <c:v>200.97397244486285</c:v>
                </c:pt>
                <c:pt idx="193">
                  <c:v>202.02071188467986</c:v>
                </c:pt>
                <c:pt idx="194">
                  <c:v>203.06745132449686</c:v>
                </c:pt>
                <c:pt idx="195">
                  <c:v>204.11419076431386</c:v>
                </c:pt>
                <c:pt idx="196">
                  <c:v>205.16093020413086</c:v>
                </c:pt>
                <c:pt idx="197">
                  <c:v>206.20766964394787</c:v>
                </c:pt>
                <c:pt idx="198">
                  <c:v>207.25440908376487</c:v>
                </c:pt>
                <c:pt idx="199">
                  <c:v>208.30114852358187</c:v>
                </c:pt>
                <c:pt idx="200">
                  <c:v>209.34788796339888</c:v>
                </c:pt>
                <c:pt idx="201">
                  <c:v>210.39462740321588</c:v>
                </c:pt>
                <c:pt idx="202">
                  <c:v>211.44136684303288</c:v>
                </c:pt>
                <c:pt idx="203">
                  <c:v>212.48810628284988</c:v>
                </c:pt>
                <c:pt idx="204">
                  <c:v>213.53484572266689</c:v>
                </c:pt>
                <c:pt idx="205">
                  <c:v>214.58158516248389</c:v>
                </c:pt>
                <c:pt idx="206">
                  <c:v>215.62832460230089</c:v>
                </c:pt>
                <c:pt idx="207">
                  <c:v>216.6750640421179</c:v>
                </c:pt>
                <c:pt idx="208">
                  <c:v>217.7218034819349</c:v>
                </c:pt>
                <c:pt idx="209">
                  <c:v>218.7685429217519</c:v>
                </c:pt>
                <c:pt idx="210">
                  <c:v>219.8152823615689</c:v>
                </c:pt>
                <c:pt idx="211">
                  <c:v>220.86202180138591</c:v>
                </c:pt>
                <c:pt idx="212">
                  <c:v>221.90876124120291</c:v>
                </c:pt>
                <c:pt idx="213">
                  <c:v>222.95550068101991</c:v>
                </c:pt>
                <c:pt idx="214">
                  <c:v>224.00224012083692</c:v>
                </c:pt>
                <c:pt idx="215">
                  <c:v>225.04897956065392</c:v>
                </c:pt>
                <c:pt idx="216">
                  <c:v>226.09571900047092</c:v>
                </c:pt>
                <c:pt idx="217">
                  <c:v>227.14245844028792</c:v>
                </c:pt>
                <c:pt idx="218">
                  <c:v>228.18919788010493</c:v>
                </c:pt>
                <c:pt idx="219">
                  <c:v>229.23593731992193</c:v>
                </c:pt>
                <c:pt idx="220">
                  <c:v>230.28267675973893</c:v>
                </c:pt>
                <c:pt idx="221">
                  <c:v>231.32941619955594</c:v>
                </c:pt>
                <c:pt idx="222">
                  <c:v>232.37615563937294</c:v>
                </c:pt>
                <c:pt idx="223">
                  <c:v>233.42289507918994</c:v>
                </c:pt>
                <c:pt idx="224">
                  <c:v>234.46963451900695</c:v>
                </c:pt>
                <c:pt idx="225">
                  <c:v>235.51637395882395</c:v>
                </c:pt>
                <c:pt idx="226">
                  <c:v>236.56311339864095</c:v>
                </c:pt>
                <c:pt idx="227">
                  <c:v>237.60985283845795</c:v>
                </c:pt>
                <c:pt idx="228">
                  <c:v>238.65659227827496</c:v>
                </c:pt>
                <c:pt idx="229">
                  <c:v>239.70333171809196</c:v>
                </c:pt>
                <c:pt idx="230">
                  <c:v>240.75007115790896</c:v>
                </c:pt>
                <c:pt idx="231">
                  <c:v>241.79681059772597</c:v>
                </c:pt>
                <c:pt idx="232">
                  <c:v>242.84355003754297</c:v>
                </c:pt>
                <c:pt idx="233">
                  <c:v>243.89028947735997</c:v>
                </c:pt>
                <c:pt idx="234">
                  <c:v>244.93702891717697</c:v>
                </c:pt>
                <c:pt idx="235">
                  <c:v>245.98376835699398</c:v>
                </c:pt>
                <c:pt idx="236">
                  <c:v>247.03050779681098</c:v>
                </c:pt>
                <c:pt idx="237">
                  <c:v>248.07724723662798</c:v>
                </c:pt>
                <c:pt idx="238">
                  <c:v>249.12398667644499</c:v>
                </c:pt>
                <c:pt idx="239">
                  <c:v>250.17072611626199</c:v>
                </c:pt>
                <c:pt idx="240">
                  <c:v>251.21746555607899</c:v>
                </c:pt>
                <c:pt idx="241">
                  <c:v>252.26420499589599</c:v>
                </c:pt>
                <c:pt idx="242">
                  <c:v>253.310944435713</c:v>
                </c:pt>
                <c:pt idx="243">
                  <c:v>254.35768387553</c:v>
                </c:pt>
                <c:pt idx="244">
                  <c:v>255.404423315347</c:v>
                </c:pt>
                <c:pt idx="245">
                  <c:v>256.45116275516398</c:v>
                </c:pt>
                <c:pt idx="246">
                  <c:v>257.49790219498095</c:v>
                </c:pt>
                <c:pt idx="247">
                  <c:v>258.54464163479793</c:v>
                </c:pt>
                <c:pt idx="248">
                  <c:v>259.5913810746149</c:v>
                </c:pt>
                <c:pt idx="249">
                  <c:v>260.63812051443188</c:v>
                </c:pt>
                <c:pt idx="250">
                  <c:v>261.68485995424885</c:v>
                </c:pt>
                <c:pt idx="251">
                  <c:v>262.73159939406582</c:v>
                </c:pt>
                <c:pt idx="252">
                  <c:v>263.7783388338828</c:v>
                </c:pt>
                <c:pt idx="253">
                  <c:v>264.82507827369977</c:v>
                </c:pt>
                <c:pt idx="254">
                  <c:v>265.87181771351675</c:v>
                </c:pt>
                <c:pt idx="255">
                  <c:v>266.91855715333372</c:v>
                </c:pt>
                <c:pt idx="256">
                  <c:v>267.9652965931507</c:v>
                </c:pt>
                <c:pt idx="257">
                  <c:v>269.01203603296767</c:v>
                </c:pt>
                <c:pt idx="258">
                  <c:v>270.05877547278465</c:v>
                </c:pt>
                <c:pt idx="259">
                  <c:v>271.10551491260162</c:v>
                </c:pt>
                <c:pt idx="260">
                  <c:v>272.15225435241859</c:v>
                </c:pt>
                <c:pt idx="261">
                  <c:v>273.19899379223557</c:v>
                </c:pt>
                <c:pt idx="262">
                  <c:v>274.24573323205254</c:v>
                </c:pt>
                <c:pt idx="263">
                  <c:v>275.29247267186952</c:v>
                </c:pt>
                <c:pt idx="264">
                  <c:v>276.33921211168649</c:v>
                </c:pt>
                <c:pt idx="265">
                  <c:v>277.38595155150347</c:v>
                </c:pt>
                <c:pt idx="266">
                  <c:v>278.43269099132044</c:v>
                </c:pt>
                <c:pt idx="267">
                  <c:v>279.47943043113742</c:v>
                </c:pt>
                <c:pt idx="268">
                  <c:v>280.52616987095439</c:v>
                </c:pt>
                <c:pt idx="269">
                  <c:v>281.57290931077137</c:v>
                </c:pt>
                <c:pt idx="270">
                  <c:v>282.61964875058834</c:v>
                </c:pt>
                <c:pt idx="271">
                  <c:v>283.66638819040531</c:v>
                </c:pt>
                <c:pt idx="272">
                  <c:v>284.71312763022229</c:v>
                </c:pt>
                <c:pt idx="273">
                  <c:v>285.75986707003926</c:v>
                </c:pt>
                <c:pt idx="274">
                  <c:v>286.80660650985624</c:v>
                </c:pt>
                <c:pt idx="275">
                  <c:v>287.85334594967321</c:v>
                </c:pt>
                <c:pt idx="276">
                  <c:v>288.90008538949019</c:v>
                </c:pt>
                <c:pt idx="277">
                  <c:v>289.94682482930716</c:v>
                </c:pt>
                <c:pt idx="278">
                  <c:v>290.99356426912414</c:v>
                </c:pt>
                <c:pt idx="279">
                  <c:v>292.04030370894111</c:v>
                </c:pt>
                <c:pt idx="280">
                  <c:v>293.08704314875808</c:v>
                </c:pt>
                <c:pt idx="281">
                  <c:v>294.13378258857506</c:v>
                </c:pt>
                <c:pt idx="282">
                  <c:v>295.18052202839203</c:v>
                </c:pt>
                <c:pt idx="283">
                  <c:v>296.22726146820901</c:v>
                </c:pt>
                <c:pt idx="284">
                  <c:v>297.27400090802598</c:v>
                </c:pt>
                <c:pt idx="285">
                  <c:v>298.32074034784296</c:v>
                </c:pt>
                <c:pt idx="286">
                  <c:v>299.36747978765993</c:v>
                </c:pt>
                <c:pt idx="287">
                  <c:v>300.41421922747691</c:v>
                </c:pt>
                <c:pt idx="288">
                  <c:v>301.46095866729388</c:v>
                </c:pt>
                <c:pt idx="289">
                  <c:v>302.50769810711085</c:v>
                </c:pt>
                <c:pt idx="290">
                  <c:v>303.55443754692783</c:v>
                </c:pt>
                <c:pt idx="291">
                  <c:v>304.6011769867448</c:v>
                </c:pt>
                <c:pt idx="292">
                  <c:v>305.64791642656178</c:v>
                </c:pt>
                <c:pt idx="293">
                  <c:v>306.69465586637875</c:v>
                </c:pt>
                <c:pt idx="294">
                  <c:v>307.74139530619573</c:v>
                </c:pt>
                <c:pt idx="295">
                  <c:v>308.7881347460127</c:v>
                </c:pt>
                <c:pt idx="296">
                  <c:v>309.83487418582968</c:v>
                </c:pt>
                <c:pt idx="297">
                  <c:v>310.88161362564665</c:v>
                </c:pt>
                <c:pt idx="298">
                  <c:v>311.92835306546363</c:v>
                </c:pt>
                <c:pt idx="299">
                  <c:v>312.9750925052806</c:v>
                </c:pt>
                <c:pt idx="300">
                  <c:v>314.02183194509757</c:v>
                </c:pt>
                <c:pt idx="301">
                  <c:v>315.06857138491455</c:v>
                </c:pt>
                <c:pt idx="302">
                  <c:v>316.11531082473152</c:v>
                </c:pt>
                <c:pt idx="303">
                  <c:v>317.1620502645485</c:v>
                </c:pt>
                <c:pt idx="304">
                  <c:v>318.20878970436547</c:v>
                </c:pt>
                <c:pt idx="305">
                  <c:v>319.25552914418245</c:v>
                </c:pt>
                <c:pt idx="306">
                  <c:v>320.30226858399942</c:v>
                </c:pt>
                <c:pt idx="307">
                  <c:v>321.3490080238164</c:v>
                </c:pt>
                <c:pt idx="308">
                  <c:v>322.39574746363337</c:v>
                </c:pt>
                <c:pt idx="309">
                  <c:v>323.44248690345034</c:v>
                </c:pt>
                <c:pt idx="310">
                  <c:v>324.48922634326732</c:v>
                </c:pt>
                <c:pt idx="311">
                  <c:v>325.53596578308429</c:v>
                </c:pt>
                <c:pt idx="312">
                  <c:v>326.58270522290127</c:v>
                </c:pt>
                <c:pt idx="313">
                  <c:v>327.62944466271824</c:v>
                </c:pt>
                <c:pt idx="314">
                  <c:v>328.67618410253522</c:v>
                </c:pt>
                <c:pt idx="315">
                  <c:v>329.72292354235219</c:v>
                </c:pt>
                <c:pt idx="316">
                  <c:v>330.76966298216917</c:v>
                </c:pt>
                <c:pt idx="317">
                  <c:v>331.81640242198614</c:v>
                </c:pt>
                <c:pt idx="318">
                  <c:v>332.86314186180311</c:v>
                </c:pt>
                <c:pt idx="319">
                  <c:v>333.90988130162009</c:v>
                </c:pt>
                <c:pt idx="320">
                  <c:v>334.95662074143706</c:v>
                </c:pt>
                <c:pt idx="321">
                  <c:v>336.00336018125404</c:v>
                </c:pt>
                <c:pt idx="322">
                  <c:v>337.05009962107101</c:v>
                </c:pt>
                <c:pt idx="323">
                  <c:v>338.09683906088799</c:v>
                </c:pt>
                <c:pt idx="324">
                  <c:v>339.14357850070496</c:v>
                </c:pt>
                <c:pt idx="325">
                  <c:v>340.19031794052194</c:v>
                </c:pt>
                <c:pt idx="326">
                  <c:v>341.23705738033891</c:v>
                </c:pt>
                <c:pt idx="327">
                  <c:v>342.28379682015589</c:v>
                </c:pt>
                <c:pt idx="328">
                  <c:v>343.33053625997286</c:v>
                </c:pt>
                <c:pt idx="329">
                  <c:v>344.37727569978983</c:v>
                </c:pt>
                <c:pt idx="330">
                  <c:v>345.42401513960681</c:v>
                </c:pt>
                <c:pt idx="331">
                  <c:v>346.47075457942378</c:v>
                </c:pt>
                <c:pt idx="332">
                  <c:v>347.51749401924076</c:v>
                </c:pt>
                <c:pt idx="333">
                  <c:v>348.56423345905773</c:v>
                </c:pt>
                <c:pt idx="334">
                  <c:v>349.61097289887471</c:v>
                </c:pt>
                <c:pt idx="335">
                  <c:v>350.65771233869168</c:v>
                </c:pt>
                <c:pt idx="336">
                  <c:v>351.70445177850866</c:v>
                </c:pt>
                <c:pt idx="337">
                  <c:v>352.75119121832563</c:v>
                </c:pt>
                <c:pt idx="338">
                  <c:v>353.7979306581426</c:v>
                </c:pt>
                <c:pt idx="339">
                  <c:v>354.84467009795958</c:v>
                </c:pt>
                <c:pt idx="340">
                  <c:v>355.89140953777655</c:v>
                </c:pt>
                <c:pt idx="341">
                  <c:v>356.93814897759353</c:v>
                </c:pt>
                <c:pt idx="342">
                  <c:v>357.9848884174105</c:v>
                </c:pt>
                <c:pt idx="343">
                  <c:v>359.03162785722748</c:v>
                </c:pt>
                <c:pt idx="344">
                  <c:v>360.07836729704445</c:v>
                </c:pt>
                <c:pt idx="345">
                  <c:v>361.12510673686143</c:v>
                </c:pt>
                <c:pt idx="346">
                  <c:v>362.1718461766784</c:v>
                </c:pt>
                <c:pt idx="347">
                  <c:v>363.21858561649537</c:v>
                </c:pt>
                <c:pt idx="348">
                  <c:v>364.26532505631235</c:v>
                </c:pt>
                <c:pt idx="349">
                  <c:v>365.31206449612932</c:v>
                </c:pt>
                <c:pt idx="350">
                  <c:v>366.3588039359463</c:v>
                </c:pt>
                <c:pt idx="351">
                  <c:v>367.40554337576327</c:v>
                </c:pt>
                <c:pt idx="352">
                  <c:v>368.45228281558025</c:v>
                </c:pt>
                <c:pt idx="353">
                  <c:v>369.49902225539722</c:v>
                </c:pt>
                <c:pt idx="354">
                  <c:v>370.5457616952142</c:v>
                </c:pt>
                <c:pt idx="355">
                  <c:v>371.59250113503117</c:v>
                </c:pt>
                <c:pt idx="356">
                  <c:v>372.63924057484815</c:v>
                </c:pt>
                <c:pt idx="357">
                  <c:v>373.68598001466512</c:v>
                </c:pt>
                <c:pt idx="358">
                  <c:v>374.73271945448209</c:v>
                </c:pt>
                <c:pt idx="359">
                  <c:v>375.77945889429907</c:v>
                </c:pt>
                <c:pt idx="360">
                  <c:v>376.82619833411604</c:v>
                </c:pt>
                <c:pt idx="361">
                  <c:v>377.87293777393302</c:v>
                </c:pt>
                <c:pt idx="362">
                  <c:v>378.91967721374999</c:v>
                </c:pt>
                <c:pt idx="363">
                  <c:v>379.96641665356697</c:v>
                </c:pt>
                <c:pt idx="364">
                  <c:v>381.01315609338394</c:v>
                </c:pt>
                <c:pt idx="365">
                  <c:v>382.05989553320092</c:v>
                </c:pt>
                <c:pt idx="366">
                  <c:v>383.10663497301789</c:v>
                </c:pt>
                <c:pt idx="367">
                  <c:v>384.15337441283486</c:v>
                </c:pt>
                <c:pt idx="368">
                  <c:v>385.20011385265184</c:v>
                </c:pt>
                <c:pt idx="369">
                  <c:v>386.24685329246881</c:v>
                </c:pt>
                <c:pt idx="370">
                  <c:v>387.29359273228579</c:v>
                </c:pt>
                <c:pt idx="371">
                  <c:v>388.34033217210276</c:v>
                </c:pt>
                <c:pt idx="372">
                  <c:v>389.38707161191974</c:v>
                </c:pt>
                <c:pt idx="373">
                  <c:v>390.43381105173671</c:v>
                </c:pt>
                <c:pt idx="374">
                  <c:v>391.48055049155369</c:v>
                </c:pt>
                <c:pt idx="375">
                  <c:v>392.52728993137066</c:v>
                </c:pt>
                <c:pt idx="376">
                  <c:v>393.57402937118763</c:v>
                </c:pt>
                <c:pt idx="377">
                  <c:v>394.62076881100461</c:v>
                </c:pt>
                <c:pt idx="378">
                  <c:v>395.66750825082158</c:v>
                </c:pt>
                <c:pt idx="379">
                  <c:v>396.71424769063856</c:v>
                </c:pt>
                <c:pt idx="380">
                  <c:v>397.76098713045553</c:v>
                </c:pt>
                <c:pt idx="381">
                  <c:v>398.80772657027251</c:v>
                </c:pt>
                <c:pt idx="382">
                  <c:v>399.85446601008948</c:v>
                </c:pt>
                <c:pt idx="383">
                  <c:v>400.90120544990646</c:v>
                </c:pt>
                <c:pt idx="384">
                  <c:v>401.94794488972343</c:v>
                </c:pt>
                <c:pt idx="385">
                  <c:v>402.99468432954041</c:v>
                </c:pt>
                <c:pt idx="386">
                  <c:v>404.04142376935738</c:v>
                </c:pt>
                <c:pt idx="387">
                  <c:v>405.08816320917435</c:v>
                </c:pt>
                <c:pt idx="388">
                  <c:v>406.13490264899133</c:v>
                </c:pt>
                <c:pt idx="389">
                  <c:v>407.1816420888083</c:v>
                </c:pt>
                <c:pt idx="390">
                  <c:v>408.22838152862528</c:v>
                </c:pt>
                <c:pt idx="391">
                  <c:v>409.27512096844225</c:v>
                </c:pt>
                <c:pt idx="392">
                  <c:v>410.32186040825923</c:v>
                </c:pt>
                <c:pt idx="393">
                  <c:v>411.3685998480762</c:v>
                </c:pt>
                <c:pt idx="394">
                  <c:v>412.41533928789318</c:v>
                </c:pt>
                <c:pt idx="395">
                  <c:v>413.46207872771015</c:v>
                </c:pt>
                <c:pt idx="396">
                  <c:v>414.50881816752712</c:v>
                </c:pt>
                <c:pt idx="397">
                  <c:v>415.5555576073441</c:v>
                </c:pt>
                <c:pt idx="398">
                  <c:v>416.60229704716107</c:v>
                </c:pt>
                <c:pt idx="399">
                  <c:v>417.64903648697805</c:v>
                </c:pt>
                <c:pt idx="400">
                  <c:v>418.69577592679502</c:v>
                </c:pt>
                <c:pt idx="401">
                  <c:v>419.742515366612</c:v>
                </c:pt>
                <c:pt idx="402">
                  <c:v>420.78925480642897</c:v>
                </c:pt>
                <c:pt idx="403">
                  <c:v>421.83599424624595</c:v>
                </c:pt>
                <c:pt idx="404">
                  <c:v>422.88273368606292</c:v>
                </c:pt>
                <c:pt idx="405">
                  <c:v>423.92947312587989</c:v>
                </c:pt>
                <c:pt idx="406">
                  <c:v>424.97621256569687</c:v>
                </c:pt>
                <c:pt idx="407">
                  <c:v>426.02295200551384</c:v>
                </c:pt>
                <c:pt idx="408">
                  <c:v>427.06969144533082</c:v>
                </c:pt>
                <c:pt idx="409">
                  <c:v>428.11643088514779</c:v>
                </c:pt>
                <c:pt idx="410">
                  <c:v>429.16317032496477</c:v>
                </c:pt>
                <c:pt idx="411">
                  <c:v>430.20990976478174</c:v>
                </c:pt>
                <c:pt idx="412">
                  <c:v>431.25664920459872</c:v>
                </c:pt>
                <c:pt idx="413">
                  <c:v>432.30338864441569</c:v>
                </c:pt>
                <c:pt idx="414">
                  <c:v>433.35012808423267</c:v>
                </c:pt>
                <c:pt idx="415">
                  <c:v>434.39686752404964</c:v>
                </c:pt>
                <c:pt idx="416">
                  <c:v>435.44360696386661</c:v>
                </c:pt>
                <c:pt idx="417">
                  <c:v>436.49034640368359</c:v>
                </c:pt>
                <c:pt idx="418">
                  <c:v>437.53708584350056</c:v>
                </c:pt>
                <c:pt idx="419">
                  <c:v>438.58382528331754</c:v>
                </c:pt>
                <c:pt idx="420">
                  <c:v>439.63056472313451</c:v>
                </c:pt>
                <c:pt idx="421">
                  <c:v>440.67730416295149</c:v>
                </c:pt>
                <c:pt idx="422">
                  <c:v>441.72404360276846</c:v>
                </c:pt>
                <c:pt idx="423">
                  <c:v>442.77078304258544</c:v>
                </c:pt>
                <c:pt idx="424">
                  <c:v>443.81752248240241</c:v>
                </c:pt>
                <c:pt idx="425">
                  <c:v>444.86426192221938</c:v>
                </c:pt>
                <c:pt idx="426">
                  <c:v>445.91100136203636</c:v>
                </c:pt>
                <c:pt idx="427">
                  <c:v>446.95774080185333</c:v>
                </c:pt>
                <c:pt idx="428">
                  <c:v>448.00448024167031</c:v>
                </c:pt>
                <c:pt idx="429">
                  <c:v>449.05121968148728</c:v>
                </c:pt>
                <c:pt idx="430">
                  <c:v>450.09795912130426</c:v>
                </c:pt>
                <c:pt idx="431">
                  <c:v>451.14469856112123</c:v>
                </c:pt>
                <c:pt idx="432">
                  <c:v>452.19143800093821</c:v>
                </c:pt>
                <c:pt idx="433">
                  <c:v>453.23817744075518</c:v>
                </c:pt>
                <c:pt idx="434">
                  <c:v>454.28491688057215</c:v>
                </c:pt>
                <c:pt idx="435">
                  <c:v>455.33165632038913</c:v>
                </c:pt>
                <c:pt idx="436">
                  <c:v>456.3783957602061</c:v>
                </c:pt>
                <c:pt idx="437">
                  <c:v>457.42513520002308</c:v>
                </c:pt>
                <c:pt idx="438">
                  <c:v>458.47187463984005</c:v>
                </c:pt>
                <c:pt idx="439">
                  <c:v>459.51861407965703</c:v>
                </c:pt>
                <c:pt idx="440">
                  <c:v>460.565353519474</c:v>
                </c:pt>
                <c:pt idx="441">
                  <c:v>461.61209295929098</c:v>
                </c:pt>
                <c:pt idx="442">
                  <c:v>462.65883239910795</c:v>
                </c:pt>
                <c:pt idx="443">
                  <c:v>463.70557183892493</c:v>
                </c:pt>
                <c:pt idx="444">
                  <c:v>464.7523112787419</c:v>
                </c:pt>
                <c:pt idx="445">
                  <c:v>465.79905071855887</c:v>
                </c:pt>
                <c:pt idx="446">
                  <c:v>466.84579015837585</c:v>
                </c:pt>
                <c:pt idx="447">
                  <c:v>467.89252959819282</c:v>
                </c:pt>
                <c:pt idx="448">
                  <c:v>468.9392690380098</c:v>
                </c:pt>
                <c:pt idx="449">
                  <c:v>469.98600847782677</c:v>
                </c:pt>
                <c:pt idx="450">
                  <c:v>471.03274791764375</c:v>
                </c:pt>
                <c:pt idx="451">
                  <c:v>472.07948735746072</c:v>
                </c:pt>
                <c:pt idx="452">
                  <c:v>473.1262267972777</c:v>
                </c:pt>
                <c:pt idx="453">
                  <c:v>474.17296623709467</c:v>
                </c:pt>
                <c:pt idx="454">
                  <c:v>475.21970567691164</c:v>
                </c:pt>
                <c:pt idx="455">
                  <c:v>476.26644511672862</c:v>
                </c:pt>
                <c:pt idx="456">
                  <c:v>477.31318455654559</c:v>
                </c:pt>
                <c:pt idx="457">
                  <c:v>478.35992399636257</c:v>
                </c:pt>
                <c:pt idx="458">
                  <c:v>479.40666343617954</c:v>
                </c:pt>
                <c:pt idx="459">
                  <c:v>480.45340287599652</c:v>
                </c:pt>
                <c:pt idx="460">
                  <c:v>481.50014231581349</c:v>
                </c:pt>
                <c:pt idx="461">
                  <c:v>482.54688175563047</c:v>
                </c:pt>
                <c:pt idx="462">
                  <c:v>483.59362119544744</c:v>
                </c:pt>
                <c:pt idx="463">
                  <c:v>484.64036063526441</c:v>
                </c:pt>
                <c:pt idx="464">
                  <c:v>485.68710007508139</c:v>
                </c:pt>
                <c:pt idx="465">
                  <c:v>486.73383951489836</c:v>
                </c:pt>
                <c:pt idx="466">
                  <c:v>487.78057895471534</c:v>
                </c:pt>
                <c:pt idx="467">
                  <c:v>488.82731839453231</c:v>
                </c:pt>
                <c:pt idx="468">
                  <c:v>489.87405783434929</c:v>
                </c:pt>
                <c:pt idx="469">
                  <c:v>490.92079727416626</c:v>
                </c:pt>
                <c:pt idx="470">
                  <c:v>491.96753671398324</c:v>
                </c:pt>
                <c:pt idx="471">
                  <c:v>493.01427615380021</c:v>
                </c:pt>
                <c:pt idx="472">
                  <c:v>494.06101559361719</c:v>
                </c:pt>
                <c:pt idx="473">
                  <c:v>495.10775503343416</c:v>
                </c:pt>
                <c:pt idx="474">
                  <c:v>496.15449447325113</c:v>
                </c:pt>
                <c:pt idx="475">
                  <c:v>497.20123391306811</c:v>
                </c:pt>
                <c:pt idx="476">
                  <c:v>498.24797335288508</c:v>
                </c:pt>
                <c:pt idx="477">
                  <c:v>499.29471279270206</c:v>
                </c:pt>
                <c:pt idx="478">
                  <c:v>500.34145223251903</c:v>
                </c:pt>
                <c:pt idx="479">
                  <c:v>501.38819167233601</c:v>
                </c:pt>
                <c:pt idx="480">
                  <c:v>502.43493111215298</c:v>
                </c:pt>
                <c:pt idx="481">
                  <c:v>503.48167055196996</c:v>
                </c:pt>
                <c:pt idx="482">
                  <c:v>504.52840999178693</c:v>
                </c:pt>
                <c:pt idx="483">
                  <c:v>505.5751494316039</c:v>
                </c:pt>
                <c:pt idx="484">
                  <c:v>506.62188887142088</c:v>
                </c:pt>
                <c:pt idx="485">
                  <c:v>507.66862831123785</c:v>
                </c:pt>
                <c:pt idx="486">
                  <c:v>508.71536775105483</c:v>
                </c:pt>
                <c:pt idx="487">
                  <c:v>509.7621071908718</c:v>
                </c:pt>
                <c:pt idx="488">
                  <c:v>510.80884663068878</c:v>
                </c:pt>
                <c:pt idx="489">
                  <c:v>511.85558607050575</c:v>
                </c:pt>
                <c:pt idx="490">
                  <c:v>512.90232551032273</c:v>
                </c:pt>
                <c:pt idx="491">
                  <c:v>513.9490649501397</c:v>
                </c:pt>
                <c:pt idx="492">
                  <c:v>514.99580438995667</c:v>
                </c:pt>
                <c:pt idx="493">
                  <c:v>516.04254382977365</c:v>
                </c:pt>
                <c:pt idx="494">
                  <c:v>517.08928326959062</c:v>
                </c:pt>
                <c:pt idx="495">
                  <c:v>518.1360227094076</c:v>
                </c:pt>
                <c:pt idx="496">
                  <c:v>519.18276214922457</c:v>
                </c:pt>
                <c:pt idx="497">
                  <c:v>520.22950158904155</c:v>
                </c:pt>
                <c:pt idx="498">
                  <c:v>521.27624102885852</c:v>
                </c:pt>
                <c:pt idx="499">
                  <c:v>522.3229804686755</c:v>
                </c:pt>
                <c:pt idx="500">
                  <c:v>523.36971990849247</c:v>
                </c:pt>
                <c:pt idx="501">
                  <c:v>524.41645934830944</c:v>
                </c:pt>
                <c:pt idx="502">
                  <c:v>525.46319878812642</c:v>
                </c:pt>
                <c:pt idx="503">
                  <c:v>526.50993822794339</c:v>
                </c:pt>
                <c:pt idx="504">
                  <c:v>527.55667766776037</c:v>
                </c:pt>
                <c:pt idx="505">
                  <c:v>528.60341710757734</c:v>
                </c:pt>
                <c:pt idx="506">
                  <c:v>529.65015654739432</c:v>
                </c:pt>
                <c:pt idx="507">
                  <c:v>530.69689598721129</c:v>
                </c:pt>
                <c:pt idx="508">
                  <c:v>531.74363542702827</c:v>
                </c:pt>
                <c:pt idx="509">
                  <c:v>532.79037486684524</c:v>
                </c:pt>
                <c:pt idx="510">
                  <c:v>533.83711430666222</c:v>
                </c:pt>
                <c:pt idx="511">
                  <c:v>534.88385374647919</c:v>
                </c:pt>
                <c:pt idx="512">
                  <c:v>535.93059318629616</c:v>
                </c:pt>
                <c:pt idx="513">
                  <c:v>536.97733262611314</c:v>
                </c:pt>
                <c:pt idx="514">
                  <c:v>538.02407206593011</c:v>
                </c:pt>
                <c:pt idx="515">
                  <c:v>539.07081150574709</c:v>
                </c:pt>
                <c:pt idx="516">
                  <c:v>540.11755094556406</c:v>
                </c:pt>
                <c:pt idx="517">
                  <c:v>541.16429038538104</c:v>
                </c:pt>
                <c:pt idx="518">
                  <c:v>542.21102982519801</c:v>
                </c:pt>
                <c:pt idx="519">
                  <c:v>543.25776926501499</c:v>
                </c:pt>
                <c:pt idx="520">
                  <c:v>544.30450870483196</c:v>
                </c:pt>
                <c:pt idx="521">
                  <c:v>545.35124814464893</c:v>
                </c:pt>
                <c:pt idx="522">
                  <c:v>546.39798758446591</c:v>
                </c:pt>
                <c:pt idx="523">
                  <c:v>547.44472702428288</c:v>
                </c:pt>
                <c:pt idx="524">
                  <c:v>548.49146646409986</c:v>
                </c:pt>
                <c:pt idx="525">
                  <c:v>549.53820590391683</c:v>
                </c:pt>
                <c:pt idx="526">
                  <c:v>550.58494534373381</c:v>
                </c:pt>
                <c:pt idx="527">
                  <c:v>551.63168478355078</c:v>
                </c:pt>
                <c:pt idx="528">
                  <c:v>552.67842422336776</c:v>
                </c:pt>
                <c:pt idx="529">
                  <c:v>553.72516366318473</c:v>
                </c:pt>
                <c:pt idx="530">
                  <c:v>554.7719031030017</c:v>
                </c:pt>
                <c:pt idx="531">
                  <c:v>555.81864254281868</c:v>
                </c:pt>
                <c:pt idx="532">
                  <c:v>556.86538198263565</c:v>
                </c:pt>
                <c:pt idx="533">
                  <c:v>557.91212142245263</c:v>
                </c:pt>
                <c:pt idx="534">
                  <c:v>558.9588608622696</c:v>
                </c:pt>
                <c:pt idx="535">
                  <c:v>560.00560030208658</c:v>
                </c:pt>
                <c:pt idx="536">
                  <c:v>561.05233974190355</c:v>
                </c:pt>
                <c:pt idx="537">
                  <c:v>562.09907918172053</c:v>
                </c:pt>
                <c:pt idx="538">
                  <c:v>563.1458186215375</c:v>
                </c:pt>
                <c:pt idx="539">
                  <c:v>564.19255806135448</c:v>
                </c:pt>
                <c:pt idx="540">
                  <c:v>565.23929750117145</c:v>
                </c:pt>
                <c:pt idx="541">
                  <c:v>566.28603694098842</c:v>
                </c:pt>
                <c:pt idx="542">
                  <c:v>567.3327763808054</c:v>
                </c:pt>
                <c:pt idx="543">
                  <c:v>568.37951582062237</c:v>
                </c:pt>
                <c:pt idx="544">
                  <c:v>569.42625526043935</c:v>
                </c:pt>
                <c:pt idx="545">
                  <c:v>570.47299470025632</c:v>
                </c:pt>
                <c:pt idx="546">
                  <c:v>571.5197341400733</c:v>
                </c:pt>
                <c:pt idx="547">
                  <c:v>572.56647357989027</c:v>
                </c:pt>
                <c:pt idx="548">
                  <c:v>573.61321301970725</c:v>
                </c:pt>
                <c:pt idx="549">
                  <c:v>574.65995245952422</c:v>
                </c:pt>
                <c:pt idx="550">
                  <c:v>575.70669189934119</c:v>
                </c:pt>
                <c:pt idx="551">
                  <c:v>576.75343133915817</c:v>
                </c:pt>
                <c:pt idx="552">
                  <c:v>577.80017077897514</c:v>
                </c:pt>
                <c:pt idx="553">
                  <c:v>578.84691021879212</c:v>
                </c:pt>
                <c:pt idx="554">
                  <c:v>579.89364965860909</c:v>
                </c:pt>
                <c:pt idx="555">
                  <c:v>580.94038909842607</c:v>
                </c:pt>
                <c:pt idx="556">
                  <c:v>581.98712853824304</c:v>
                </c:pt>
                <c:pt idx="557">
                  <c:v>583.03386797806002</c:v>
                </c:pt>
                <c:pt idx="558">
                  <c:v>584.08060741787699</c:v>
                </c:pt>
                <c:pt idx="559">
                  <c:v>585.12734685769396</c:v>
                </c:pt>
                <c:pt idx="560">
                  <c:v>586.17408629751094</c:v>
                </c:pt>
                <c:pt idx="561">
                  <c:v>587.22082573732791</c:v>
                </c:pt>
                <c:pt idx="562">
                  <c:v>588.26756517714489</c:v>
                </c:pt>
                <c:pt idx="563">
                  <c:v>589.31430461696186</c:v>
                </c:pt>
                <c:pt idx="564">
                  <c:v>590.36104405677884</c:v>
                </c:pt>
                <c:pt idx="565">
                  <c:v>591.40778349659581</c:v>
                </c:pt>
                <c:pt idx="566">
                  <c:v>592.45452293641279</c:v>
                </c:pt>
                <c:pt idx="567">
                  <c:v>593.50126237622976</c:v>
                </c:pt>
                <c:pt idx="568">
                  <c:v>594.54800181604674</c:v>
                </c:pt>
                <c:pt idx="569">
                  <c:v>595.59474125586371</c:v>
                </c:pt>
                <c:pt idx="570">
                  <c:v>596.64148069568068</c:v>
                </c:pt>
                <c:pt idx="571">
                  <c:v>597.68822013549766</c:v>
                </c:pt>
                <c:pt idx="572">
                  <c:v>598.73495957531463</c:v>
                </c:pt>
                <c:pt idx="573">
                  <c:v>599.78169901513161</c:v>
                </c:pt>
                <c:pt idx="574">
                  <c:v>600.82843845494858</c:v>
                </c:pt>
                <c:pt idx="575">
                  <c:v>601.87517789476556</c:v>
                </c:pt>
                <c:pt idx="576">
                  <c:v>602.92191733458253</c:v>
                </c:pt>
                <c:pt idx="577">
                  <c:v>603.96865677439951</c:v>
                </c:pt>
                <c:pt idx="578">
                  <c:v>605.01539621421648</c:v>
                </c:pt>
                <c:pt idx="579">
                  <c:v>606.06213565403345</c:v>
                </c:pt>
                <c:pt idx="580">
                  <c:v>607.10887509385043</c:v>
                </c:pt>
                <c:pt idx="581">
                  <c:v>608.1556145336674</c:v>
                </c:pt>
                <c:pt idx="582">
                  <c:v>609.20235397348438</c:v>
                </c:pt>
                <c:pt idx="583">
                  <c:v>610.24909341330135</c:v>
                </c:pt>
                <c:pt idx="584">
                  <c:v>611.29583285311833</c:v>
                </c:pt>
                <c:pt idx="585">
                  <c:v>612.3425722929353</c:v>
                </c:pt>
                <c:pt idx="586">
                  <c:v>613.38931173275228</c:v>
                </c:pt>
                <c:pt idx="587">
                  <c:v>614.43605117256925</c:v>
                </c:pt>
                <c:pt idx="588">
                  <c:v>615.48279061238622</c:v>
                </c:pt>
                <c:pt idx="589">
                  <c:v>616.5295300522032</c:v>
                </c:pt>
                <c:pt idx="590">
                  <c:v>617.57626949202017</c:v>
                </c:pt>
                <c:pt idx="591">
                  <c:v>618.62300893183715</c:v>
                </c:pt>
                <c:pt idx="592">
                  <c:v>619.66974837165412</c:v>
                </c:pt>
                <c:pt idx="593">
                  <c:v>620.7164878114711</c:v>
                </c:pt>
                <c:pt idx="594">
                  <c:v>621.76322725128807</c:v>
                </c:pt>
                <c:pt idx="595">
                  <c:v>622.80996669110505</c:v>
                </c:pt>
                <c:pt idx="596">
                  <c:v>623.85670613092202</c:v>
                </c:pt>
                <c:pt idx="597">
                  <c:v>624.903445570739</c:v>
                </c:pt>
                <c:pt idx="598">
                  <c:v>625.95018501055597</c:v>
                </c:pt>
                <c:pt idx="599">
                  <c:v>626.99692445037294</c:v>
                </c:pt>
                <c:pt idx="600">
                  <c:v>628.04366389018992</c:v>
                </c:pt>
                <c:pt idx="601">
                  <c:v>629.09040333000689</c:v>
                </c:pt>
                <c:pt idx="602">
                  <c:v>630.13714276982387</c:v>
                </c:pt>
                <c:pt idx="603">
                  <c:v>631.18388220964084</c:v>
                </c:pt>
                <c:pt idx="604">
                  <c:v>632.23062164945782</c:v>
                </c:pt>
                <c:pt idx="605">
                  <c:v>633.27736108927479</c:v>
                </c:pt>
                <c:pt idx="606">
                  <c:v>634.32410052909177</c:v>
                </c:pt>
                <c:pt idx="607">
                  <c:v>635.37083996890874</c:v>
                </c:pt>
                <c:pt idx="608">
                  <c:v>636.41757940872571</c:v>
                </c:pt>
                <c:pt idx="609">
                  <c:v>637.46431884854269</c:v>
                </c:pt>
                <c:pt idx="610">
                  <c:v>638.51105828835966</c:v>
                </c:pt>
                <c:pt idx="611">
                  <c:v>639.55779772817664</c:v>
                </c:pt>
                <c:pt idx="612">
                  <c:v>640.60453716799361</c:v>
                </c:pt>
                <c:pt idx="613">
                  <c:v>641.65127660781059</c:v>
                </c:pt>
                <c:pt idx="614">
                  <c:v>642.69801604762756</c:v>
                </c:pt>
                <c:pt idx="615">
                  <c:v>643.74475548744454</c:v>
                </c:pt>
                <c:pt idx="616">
                  <c:v>644.79149492726151</c:v>
                </c:pt>
                <c:pt idx="617">
                  <c:v>645.83823436707848</c:v>
                </c:pt>
                <c:pt idx="618">
                  <c:v>646.88497380689546</c:v>
                </c:pt>
                <c:pt idx="619">
                  <c:v>647.93171324671243</c:v>
                </c:pt>
                <c:pt idx="620">
                  <c:v>648.97845268652941</c:v>
                </c:pt>
                <c:pt idx="621">
                  <c:v>650.02519212634638</c:v>
                </c:pt>
                <c:pt idx="622">
                  <c:v>651.07193156616336</c:v>
                </c:pt>
                <c:pt idx="623">
                  <c:v>652.11867100598033</c:v>
                </c:pt>
                <c:pt idx="624">
                  <c:v>653.16541044579731</c:v>
                </c:pt>
                <c:pt idx="625">
                  <c:v>654.21214988561428</c:v>
                </c:pt>
                <c:pt idx="626">
                  <c:v>655.25888932543126</c:v>
                </c:pt>
                <c:pt idx="627">
                  <c:v>656.30562876524823</c:v>
                </c:pt>
                <c:pt idx="628">
                  <c:v>657.3523682050652</c:v>
                </c:pt>
                <c:pt idx="629">
                  <c:v>658.39910764488218</c:v>
                </c:pt>
                <c:pt idx="630">
                  <c:v>659.44584708469915</c:v>
                </c:pt>
                <c:pt idx="631">
                  <c:v>660.49258652451613</c:v>
                </c:pt>
                <c:pt idx="632">
                  <c:v>661.5393259643331</c:v>
                </c:pt>
                <c:pt idx="633">
                  <c:v>662.58606540415008</c:v>
                </c:pt>
                <c:pt idx="634">
                  <c:v>663.63280484396705</c:v>
                </c:pt>
                <c:pt idx="635">
                  <c:v>664.67954428378403</c:v>
                </c:pt>
                <c:pt idx="636">
                  <c:v>665.726283723601</c:v>
                </c:pt>
                <c:pt idx="637">
                  <c:v>666.77302316341797</c:v>
                </c:pt>
              </c:numCache>
            </c:numRef>
          </c:xVal>
          <c:yVal>
            <c:numRef>
              <c:f>[0]!YIt</c:f>
              <c:numCache>
                <c:formatCode>0.00</c:formatCode>
                <c:ptCount val="638"/>
                <c:pt idx="0">
                  <c:v>1.7144247806269215</c:v>
                </c:pt>
                <c:pt idx="1">
                  <c:v>2.9599182685388712</c:v>
                </c:pt>
                <c:pt idx="2">
                  <c:v>4.2014877564508204</c:v>
                </c:pt>
                <c:pt idx="3">
                  <c:v>5.43913324436277</c:v>
                </c:pt>
                <c:pt idx="4">
                  <c:v>6.67285473227472</c:v>
                </c:pt>
                <c:pt idx="5">
                  <c:v>7.9026522201866696</c:v>
                </c:pt>
                <c:pt idx="6">
                  <c:v>9.1285257080986195</c:v>
                </c:pt>
                <c:pt idx="7">
                  <c:v>10.350475196010569</c:v>
                </c:pt>
                <c:pt idx="8">
                  <c:v>11.568500683922519</c:v>
                </c:pt>
                <c:pt idx="9">
                  <c:v>12.782602171834469</c:v>
                </c:pt>
                <c:pt idx="10">
                  <c:v>13.99277965974642</c:v>
                </c:pt>
                <c:pt idx="11">
                  <c:v>15.199033147658369</c:v>
                </c:pt>
                <c:pt idx="12">
                  <c:v>16.401362635570319</c:v>
                </c:pt>
                <c:pt idx="13">
                  <c:v>17.599768123482271</c:v>
                </c:pt>
                <c:pt idx="14">
                  <c:v>18.794249611394221</c:v>
                </c:pt>
                <c:pt idx="15">
                  <c:v>19.98480709930617</c:v>
                </c:pt>
                <c:pt idx="16">
                  <c:v>21.171440587218122</c:v>
                </c:pt>
                <c:pt idx="17">
                  <c:v>22.354150075130072</c:v>
                </c:pt>
                <c:pt idx="18">
                  <c:v>23.532935563042024</c:v>
                </c:pt>
                <c:pt idx="19">
                  <c:v>24.707797050953975</c:v>
                </c:pt>
                <c:pt idx="20">
                  <c:v>25.878734538865924</c:v>
                </c:pt>
                <c:pt idx="21">
                  <c:v>27.045748026777876</c:v>
                </c:pt>
                <c:pt idx="22">
                  <c:v>28.208837514689826</c:v>
                </c:pt>
                <c:pt idx="23">
                  <c:v>29.368003002601775</c:v>
                </c:pt>
                <c:pt idx="24">
                  <c:v>30.523244490513726</c:v>
                </c:pt>
                <c:pt idx="25">
                  <c:v>31.674561978425675</c:v>
                </c:pt>
                <c:pt idx="26">
                  <c:v>32.821955466337627</c:v>
                </c:pt>
                <c:pt idx="27">
                  <c:v>33.965424954249578</c:v>
                </c:pt>
                <c:pt idx="28">
                  <c:v>35.10497044216153</c:v>
                </c:pt>
                <c:pt idx="29">
                  <c:v>36.240591930073478</c:v>
                </c:pt>
                <c:pt idx="30">
                  <c:v>37.372289417985428</c:v>
                </c:pt>
                <c:pt idx="31">
                  <c:v>38.50006290589738</c:v>
                </c:pt>
                <c:pt idx="32">
                  <c:v>39.623912393809334</c:v>
                </c:pt>
                <c:pt idx="33">
                  <c:v>40.743837881721284</c:v>
                </c:pt>
                <c:pt idx="34">
                  <c:v>41.859839369633235</c:v>
                </c:pt>
                <c:pt idx="35">
                  <c:v>42.971916857545189</c:v>
                </c:pt>
                <c:pt idx="36">
                  <c:v>44.080070345457138</c:v>
                </c:pt>
                <c:pt idx="37">
                  <c:v>45.184299833369089</c:v>
                </c:pt>
                <c:pt idx="38">
                  <c:v>46.284605321281042</c:v>
                </c:pt>
                <c:pt idx="39">
                  <c:v>47.38098680919299</c:v>
                </c:pt>
                <c:pt idx="40">
                  <c:v>48.47344429710494</c:v>
                </c:pt>
                <c:pt idx="41">
                  <c:v>49.561977785016893</c:v>
                </c:pt>
                <c:pt idx="42">
                  <c:v>50.646587272928848</c:v>
                </c:pt>
                <c:pt idx="43">
                  <c:v>51.727272760840798</c:v>
                </c:pt>
                <c:pt idx="44">
                  <c:v>52.80403424875275</c:v>
                </c:pt>
                <c:pt idx="45">
                  <c:v>53.876871736664704</c:v>
                </c:pt>
                <c:pt idx="46">
                  <c:v>54.945785224576653</c:v>
                </c:pt>
                <c:pt idx="47">
                  <c:v>56.010774712488605</c:v>
                </c:pt>
                <c:pt idx="48">
                  <c:v>57.071840200400558</c:v>
                </c:pt>
                <c:pt idx="49">
                  <c:v>58.128981688312507</c:v>
                </c:pt>
                <c:pt idx="50">
                  <c:v>59.182199176224458</c:v>
                </c:pt>
                <c:pt idx="51">
                  <c:v>60.231492664136411</c:v>
                </c:pt>
                <c:pt idx="52">
                  <c:v>61.276862152048366</c:v>
                </c:pt>
                <c:pt idx="53">
                  <c:v>62.318307639960317</c:v>
                </c:pt>
                <c:pt idx="54">
                  <c:v>63.355829127872269</c:v>
                </c:pt>
                <c:pt idx="55">
                  <c:v>64.389426615784217</c:v>
                </c:pt>
                <c:pt idx="56">
                  <c:v>65.419100103696167</c:v>
                </c:pt>
                <c:pt idx="57">
                  <c:v>66.444849591608119</c:v>
                </c:pt>
                <c:pt idx="58">
                  <c:v>67.466675079520073</c:v>
                </c:pt>
                <c:pt idx="59">
                  <c:v>68.484576567432029</c:v>
                </c:pt>
                <c:pt idx="60">
                  <c:v>69.498554055343988</c:v>
                </c:pt>
                <c:pt idx="61">
                  <c:v>70.508607543255934</c:v>
                </c:pt>
                <c:pt idx="62">
                  <c:v>71.514737031167883</c:v>
                </c:pt>
                <c:pt idx="63">
                  <c:v>72.516942519079834</c:v>
                </c:pt>
                <c:pt idx="64">
                  <c:v>73.515224006991787</c:v>
                </c:pt>
                <c:pt idx="65">
                  <c:v>74.509581494903742</c:v>
                </c:pt>
                <c:pt idx="66">
                  <c:v>75.500014982815699</c:v>
                </c:pt>
                <c:pt idx="67">
                  <c:v>76.486524470727659</c:v>
                </c:pt>
                <c:pt idx="68">
                  <c:v>77.469109958639606</c:v>
                </c:pt>
                <c:pt idx="69">
                  <c:v>78.447771446551556</c:v>
                </c:pt>
                <c:pt idx="70">
                  <c:v>79.422508934463508</c:v>
                </c:pt>
                <c:pt idx="71">
                  <c:v>80.393322422375462</c:v>
                </c:pt>
                <c:pt idx="72">
                  <c:v>81.360211910287418</c:v>
                </c:pt>
                <c:pt idx="73">
                  <c:v>82.323177398199377</c:v>
                </c:pt>
                <c:pt idx="74">
                  <c:v>83.282218886111323</c:v>
                </c:pt>
                <c:pt idx="75">
                  <c:v>84.237336374023272</c:v>
                </c:pt>
                <c:pt idx="76">
                  <c:v>85.188529861935223</c:v>
                </c:pt>
                <c:pt idx="77">
                  <c:v>86.135799349847176</c:v>
                </c:pt>
                <c:pt idx="78">
                  <c:v>87.079144837759131</c:v>
                </c:pt>
                <c:pt idx="79">
                  <c:v>88.018566325671088</c:v>
                </c:pt>
                <c:pt idx="80">
                  <c:v>88.954063813583048</c:v>
                </c:pt>
                <c:pt idx="81">
                  <c:v>89.885637301494995</c:v>
                </c:pt>
                <c:pt idx="82">
                  <c:v>90.813286789406945</c:v>
                </c:pt>
                <c:pt idx="83">
                  <c:v>91.737012277318897</c:v>
                </c:pt>
                <c:pt idx="84">
                  <c:v>92.656813765230851</c:v>
                </c:pt>
                <c:pt idx="85">
                  <c:v>93.572691253142807</c:v>
                </c:pt>
                <c:pt idx="86">
                  <c:v>94.484644741054765</c:v>
                </c:pt>
                <c:pt idx="87">
                  <c:v>95.392674228966726</c:v>
                </c:pt>
                <c:pt idx="88">
                  <c:v>96.296779716878675</c:v>
                </c:pt>
                <c:pt idx="89">
                  <c:v>97.196961204790625</c:v>
                </c:pt>
                <c:pt idx="90">
                  <c:v>98.093218692702578</c:v>
                </c:pt>
                <c:pt idx="91">
                  <c:v>98.985552180614533</c:v>
                </c:pt>
                <c:pt idx="92">
                  <c:v>99.873961668526491</c:v>
                </c:pt>
                <c:pt idx="93">
                  <c:v>100.75844715643845</c:v>
                </c:pt>
                <c:pt idx="94">
                  <c:v>101.6390086443504</c:v>
                </c:pt>
                <c:pt idx="95">
                  <c:v>102.51564613226235</c:v>
                </c:pt>
                <c:pt idx="96">
                  <c:v>103.3883596201743</c:v>
                </c:pt>
                <c:pt idx="97">
                  <c:v>104.25714910808625</c:v>
                </c:pt>
                <c:pt idx="98">
                  <c:v>105.12201459599821</c:v>
                </c:pt>
                <c:pt idx="99">
                  <c:v>105.98295608391017</c:v>
                </c:pt>
                <c:pt idx="100">
                  <c:v>106.83997357182213</c:v>
                </c:pt>
                <c:pt idx="101">
                  <c:v>107.69306705973408</c:v>
                </c:pt>
                <c:pt idx="102">
                  <c:v>108.54223654764603</c:v>
                </c:pt>
                <c:pt idx="103">
                  <c:v>109.38748203555798</c:v>
                </c:pt>
                <c:pt idx="104">
                  <c:v>110.22880352346994</c:v>
                </c:pt>
                <c:pt idx="105">
                  <c:v>111.06620101138189</c:v>
                </c:pt>
                <c:pt idx="106">
                  <c:v>111.89967449929385</c:v>
                </c:pt>
                <c:pt idx="107">
                  <c:v>112.72922398720581</c:v>
                </c:pt>
                <c:pt idx="108">
                  <c:v>113.55484947511776</c:v>
                </c:pt>
                <c:pt idx="109">
                  <c:v>114.37655096302971</c:v>
                </c:pt>
                <c:pt idx="110">
                  <c:v>115.19432845094167</c:v>
                </c:pt>
                <c:pt idx="111">
                  <c:v>116.00818193885362</c:v>
                </c:pt>
                <c:pt idx="112">
                  <c:v>116.81811142676558</c:v>
                </c:pt>
                <c:pt idx="113">
                  <c:v>117.62411691467754</c:v>
                </c:pt>
                <c:pt idx="114">
                  <c:v>118.42619840258949</c:v>
                </c:pt>
                <c:pt idx="115">
                  <c:v>119.22435589050144</c:v>
                </c:pt>
                <c:pt idx="116">
                  <c:v>120.0185893784134</c:v>
                </c:pt>
                <c:pt idx="117">
                  <c:v>120.80889886632535</c:v>
                </c:pt>
                <c:pt idx="118">
                  <c:v>121.59528435423731</c:v>
                </c:pt>
                <c:pt idx="119">
                  <c:v>122.37774584214927</c:v>
                </c:pt>
                <c:pt idx="120">
                  <c:v>123.15628333006123</c:v>
                </c:pt>
                <c:pt idx="121">
                  <c:v>123.93089681797318</c:v>
                </c:pt>
                <c:pt idx="122">
                  <c:v>124.70158630588513</c:v>
                </c:pt>
                <c:pt idx="123">
                  <c:v>125.46835179379708</c:v>
                </c:pt>
                <c:pt idx="124">
                  <c:v>126.23119328170904</c:v>
                </c:pt>
                <c:pt idx="125">
                  <c:v>126.990110769621</c:v>
                </c:pt>
                <c:pt idx="126">
                  <c:v>127.74510425753296</c:v>
                </c:pt>
                <c:pt idx="127">
                  <c:v>128.49617374544491</c:v>
                </c:pt>
                <c:pt idx="128">
                  <c:v>129.24331923335686</c:v>
                </c:pt>
                <c:pt idx="129">
                  <c:v>129.98654072126882</c:v>
                </c:pt>
                <c:pt idx="130">
                  <c:v>130.72583820918078</c:v>
                </c:pt>
                <c:pt idx="131">
                  <c:v>131.46121169709272</c:v>
                </c:pt>
                <c:pt idx="132">
                  <c:v>132.19266118500468</c:v>
                </c:pt>
                <c:pt idx="133">
                  <c:v>132.92018667291663</c:v>
                </c:pt>
                <c:pt idx="134">
                  <c:v>133.64378816082859</c:v>
                </c:pt>
                <c:pt idx="135">
                  <c:v>134.36346564874054</c:v>
                </c:pt>
                <c:pt idx="136">
                  <c:v>135.07921913665251</c:v>
                </c:pt>
                <c:pt idx="137">
                  <c:v>135.79104862456447</c:v>
                </c:pt>
                <c:pt idx="138">
                  <c:v>136.49895411247641</c:v>
                </c:pt>
                <c:pt idx="139">
                  <c:v>137.20293560038837</c:v>
                </c:pt>
                <c:pt idx="140">
                  <c:v>137.90299308830032</c:v>
                </c:pt>
                <c:pt idx="141">
                  <c:v>138.59912657621229</c:v>
                </c:pt>
                <c:pt idx="142">
                  <c:v>139.29133606412424</c:v>
                </c:pt>
                <c:pt idx="143">
                  <c:v>139.97962155203621</c:v>
                </c:pt>
                <c:pt idx="144">
                  <c:v>140.66398303994816</c:v>
                </c:pt>
                <c:pt idx="145">
                  <c:v>141.34442052786011</c:v>
                </c:pt>
                <c:pt idx="146">
                  <c:v>142.02093401577207</c:v>
                </c:pt>
                <c:pt idx="147">
                  <c:v>142.69352350368402</c:v>
                </c:pt>
                <c:pt idx="148">
                  <c:v>143.36218899159599</c:v>
                </c:pt>
                <c:pt idx="149">
                  <c:v>144.02693047950794</c:v>
                </c:pt>
                <c:pt idx="150">
                  <c:v>144.68774796741991</c:v>
                </c:pt>
                <c:pt idx="151">
                  <c:v>145.34464145533187</c:v>
                </c:pt>
                <c:pt idx="152">
                  <c:v>145.99761094324381</c:v>
                </c:pt>
                <c:pt idx="153">
                  <c:v>146.64665643115578</c:v>
                </c:pt>
                <c:pt idx="154">
                  <c:v>147.29177791906773</c:v>
                </c:pt>
                <c:pt idx="155">
                  <c:v>147.93297540697969</c:v>
                </c:pt>
                <c:pt idx="156">
                  <c:v>148.57024889489165</c:v>
                </c:pt>
                <c:pt idx="157">
                  <c:v>149.20359838280362</c:v>
                </c:pt>
                <c:pt idx="158">
                  <c:v>149.83302387071558</c:v>
                </c:pt>
                <c:pt idx="159">
                  <c:v>150.45852535862753</c:v>
                </c:pt>
                <c:pt idx="160">
                  <c:v>151.08010284653949</c:v>
                </c:pt>
                <c:pt idx="161">
                  <c:v>151.69775633445144</c:v>
                </c:pt>
                <c:pt idx="162">
                  <c:v>152.31148582236341</c:v>
                </c:pt>
                <c:pt idx="163">
                  <c:v>152.92129131027536</c:v>
                </c:pt>
                <c:pt idx="164">
                  <c:v>153.52717279818731</c:v>
                </c:pt>
                <c:pt idx="165">
                  <c:v>154.12913028609927</c:v>
                </c:pt>
                <c:pt idx="166">
                  <c:v>154.72716377401122</c:v>
                </c:pt>
                <c:pt idx="167">
                  <c:v>155.32127326192318</c:v>
                </c:pt>
                <c:pt idx="168">
                  <c:v>155.91145874983513</c:v>
                </c:pt>
                <c:pt idx="169">
                  <c:v>156.4977202377471</c:v>
                </c:pt>
                <c:pt idx="170">
                  <c:v>157.08005772565906</c:v>
                </c:pt>
                <c:pt idx="171">
                  <c:v>157.658471213571</c:v>
                </c:pt>
                <c:pt idx="172">
                  <c:v>158.23296070148297</c:v>
                </c:pt>
                <c:pt idx="173">
                  <c:v>158.80352618939492</c:v>
                </c:pt>
                <c:pt idx="174">
                  <c:v>159.37016767730688</c:v>
                </c:pt>
                <c:pt idx="175">
                  <c:v>159.93288516521883</c:v>
                </c:pt>
                <c:pt idx="176">
                  <c:v>160.4916786531308</c:v>
                </c:pt>
                <c:pt idx="177">
                  <c:v>161.04654814104276</c:v>
                </c:pt>
                <c:pt idx="178">
                  <c:v>161.59749362895471</c:v>
                </c:pt>
                <c:pt idx="179">
                  <c:v>162.14451511686667</c:v>
                </c:pt>
                <c:pt idx="180">
                  <c:v>162.68761260477862</c:v>
                </c:pt>
                <c:pt idx="181">
                  <c:v>163.22678609269059</c:v>
                </c:pt>
                <c:pt idx="182">
                  <c:v>163.76203558060254</c:v>
                </c:pt>
                <c:pt idx="183">
                  <c:v>164.29336106851449</c:v>
                </c:pt>
                <c:pt idx="184">
                  <c:v>164.82076255642644</c:v>
                </c:pt>
                <c:pt idx="185">
                  <c:v>165.34424004433839</c:v>
                </c:pt>
                <c:pt idx="186">
                  <c:v>165.86379353225036</c:v>
                </c:pt>
                <c:pt idx="187">
                  <c:v>166.37942302016231</c:v>
                </c:pt>
                <c:pt idx="188">
                  <c:v>166.89112850807427</c:v>
                </c:pt>
                <c:pt idx="189">
                  <c:v>167.39890999598623</c:v>
                </c:pt>
                <c:pt idx="190">
                  <c:v>167.90276748389817</c:v>
                </c:pt>
                <c:pt idx="191">
                  <c:v>168.40270097181013</c:v>
                </c:pt>
                <c:pt idx="192">
                  <c:v>168.89871045972208</c:v>
                </c:pt>
                <c:pt idx="193">
                  <c:v>169.39079594763405</c:v>
                </c:pt>
                <c:pt idx="194">
                  <c:v>169.878957435546</c:v>
                </c:pt>
                <c:pt idx="195">
                  <c:v>170.36319492345797</c:v>
                </c:pt>
                <c:pt idx="196">
                  <c:v>170.84350841136992</c:v>
                </c:pt>
                <c:pt idx="197">
                  <c:v>171.31989789928187</c:v>
                </c:pt>
                <c:pt idx="198">
                  <c:v>171.79236338719383</c:v>
                </c:pt>
                <c:pt idx="199">
                  <c:v>172.26090487510578</c:v>
                </c:pt>
                <c:pt idx="200">
                  <c:v>172.72552236301775</c:v>
                </c:pt>
                <c:pt idx="201">
                  <c:v>173.1862158509297</c:v>
                </c:pt>
                <c:pt idx="202">
                  <c:v>173.64298533884167</c:v>
                </c:pt>
                <c:pt idx="203">
                  <c:v>174.09583082675363</c:v>
                </c:pt>
                <c:pt idx="204">
                  <c:v>174.54475231466557</c:v>
                </c:pt>
                <c:pt idx="205">
                  <c:v>174.98974980257753</c:v>
                </c:pt>
                <c:pt idx="206">
                  <c:v>175.43082329048949</c:v>
                </c:pt>
                <c:pt idx="207">
                  <c:v>175.86797277840145</c:v>
                </c:pt>
                <c:pt idx="208">
                  <c:v>176.30119826631341</c:v>
                </c:pt>
                <c:pt idx="209">
                  <c:v>176.73049975422535</c:v>
                </c:pt>
                <c:pt idx="210">
                  <c:v>177.15587724213731</c:v>
                </c:pt>
                <c:pt idx="211">
                  <c:v>177.57733073004925</c:v>
                </c:pt>
                <c:pt idx="212">
                  <c:v>177.99486021796122</c:v>
                </c:pt>
                <c:pt idx="213">
                  <c:v>178.40846570587317</c:v>
                </c:pt>
                <c:pt idx="214">
                  <c:v>178.81814719378514</c:v>
                </c:pt>
                <c:pt idx="215">
                  <c:v>179.22390468169709</c:v>
                </c:pt>
                <c:pt idx="216">
                  <c:v>179.62573816960904</c:v>
                </c:pt>
                <c:pt idx="217">
                  <c:v>180.023647657521</c:v>
                </c:pt>
                <c:pt idx="218">
                  <c:v>180.41763314543294</c:v>
                </c:pt>
                <c:pt idx="219">
                  <c:v>180.80769463334491</c:v>
                </c:pt>
                <c:pt idx="220">
                  <c:v>181.19383212125686</c:v>
                </c:pt>
                <c:pt idx="221">
                  <c:v>181.57604560916883</c:v>
                </c:pt>
                <c:pt idx="222">
                  <c:v>181.95433509708079</c:v>
                </c:pt>
                <c:pt idx="223">
                  <c:v>182.32870058499273</c:v>
                </c:pt>
                <c:pt idx="224">
                  <c:v>182.69914207290469</c:v>
                </c:pt>
                <c:pt idx="225">
                  <c:v>183.06565956081664</c:v>
                </c:pt>
                <c:pt idx="226">
                  <c:v>183.42825304872861</c:v>
                </c:pt>
                <c:pt idx="227">
                  <c:v>183.78692253664056</c:v>
                </c:pt>
                <c:pt idx="228">
                  <c:v>184.14166802455253</c:v>
                </c:pt>
                <c:pt idx="229">
                  <c:v>184.49248951246449</c:v>
                </c:pt>
                <c:pt idx="230">
                  <c:v>184.83938700037643</c:v>
                </c:pt>
                <c:pt idx="231">
                  <c:v>185.1823604882884</c:v>
                </c:pt>
                <c:pt idx="232">
                  <c:v>185.52140997620035</c:v>
                </c:pt>
                <c:pt idx="233">
                  <c:v>185.85653546411231</c:v>
                </c:pt>
                <c:pt idx="234">
                  <c:v>186.18773695202427</c:v>
                </c:pt>
                <c:pt idx="235">
                  <c:v>186.51501443993621</c:v>
                </c:pt>
                <c:pt idx="236">
                  <c:v>186.83836792784817</c:v>
                </c:pt>
                <c:pt idx="237">
                  <c:v>187.15779741576011</c:v>
                </c:pt>
                <c:pt idx="238">
                  <c:v>187.47330290367208</c:v>
                </c:pt>
                <c:pt idx="239">
                  <c:v>187.78488439158403</c:v>
                </c:pt>
                <c:pt idx="240">
                  <c:v>188.092541879496</c:v>
                </c:pt>
                <c:pt idx="241">
                  <c:v>188.39627536740795</c:v>
                </c:pt>
                <c:pt idx="242">
                  <c:v>188.6960848553199</c:v>
                </c:pt>
                <c:pt idx="243">
                  <c:v>188.99197034323186</c:v>
                </c:pt>
                <c:pt idx="244">
                  <c:v>189.2839318311438</c:v>
                </c:pt>
                <c:pt idx="245">
                  <c:v>189.57196931905577</c:v>
                </c:pt>
                <c:pt idx="246">
                  <c:v>189.85608280696772</c:v>
                </c:pt>
                <c:pt idx="247">
                  <c:v>190.13627229487969</c:v>
                </c:pt>
                <c:pt idx="248">
                  <c:v>190.41253778279165</c:v>
                </c:pt>
                <c:pt idx="249">
                  <c:v>190.68487927070359</c:v>
                </c:pt>
                <c:pt idx="250">
                  <c:v>190.95329675861555</c:v>
                </c:pt>
                <c:pt idx="251">
                  <c:v>191.2177902465275</c:v>
                </c:pt>
                <c:pt idx="252">
                  <c:v>191.47835973443947</c:v>
                </c:pt>
                <c:pt idx="253">
                  <c:v>191.73500522235142</c:v>
                </c:pt>
                <c:pt idx="254">
                  <c:v>191.98772671026339</c:v>
                </c:pt>
                <c:pt idx="255">
                  <c:v>192.23652419817535</c:v>
                </c:pt>
                <c:pt idx="256">
                  <c:v>192.48139768608729</c:v>
                </c:pt>
                <c:pt idx="257">
                  <c:v>192.72234717399925</c:v>
                </c:pt>
                <c:pt idx="258">
                  <c:v>192.9593726619112</c:v>
                </c:pt>
                <c:pt idx="259">
                  <c:v>193.19247414982317</c:v>
                </c:pt>
                <c:pt idx="260">
                  <c:v>193.42165163773512</c:v>
                </c:pt>
                <c:pt idx="261">
                  <c:v>193.64690512564707</c:v>
                </c:pt>
                <c:pt idx="262">
                  <c:v>193.86823461355903</c:v>
                </c:pt>
                <c:pt idx="263">
                  <c:v>194.08564010147097</c:v>
                </c:pt>
                <c:pt idx="264">
                  <c:v>194.29912158938293</c:v>
                </c:pt>
                <c:pt idx="265">
                  <c:v>194.50867907729489</c:v>
                </c:pt>
                <c:pt idx="266">
                  <c:v>194.71431256520685</c:v>
                </c:pt>
                <c:pt idx="267">
                  <c:v>194.91602205311881</c:v>
                </c:pt>
                <c:pt idx="268">
                  <c:v>195.11380754103075</c:v>
                </c:pt>
                <c:pt idx="269">
                  <c:v>195.30766902894271</c:v>
                </c:pt>
                <c:pt idx="270">
                  <c:v>195.49760651685466</c:v>
                </c:pt>
                <c:pt idx="271">
                  <c:v>195.68362000476662</c:v>
                </c:pt>
                <c:pt idx="272">
                  <c:v>195.86570949267858</c:v>
                </c:pt>
                <c:pt idx="273">
                  <c:v>196.04387498059054</c:v>
                </c:pt>
                <c:pt idx="274">
                  <c:v>196.2181164685025</c:v>
                </c:pt>
                <c:pt idx="275">
                  <c:v>196.38843395641445</c:v>
                </c:pt>
                <c:pt idx="276">
                  <c:v>196.55482744432641</c:v>
                </c:pt>
                <c:pt idx="277">
                  <c:v>196.71729693223836</c:v>
                </c:pt>
                <c:pt idx="278">
                  <c:v>196.87584242015032</c:v>
                </c:pt>
                <c:pt idx="279">
                  <c:v>197.03046390806227</c:v>
                </c:pt>
                <c:pt idx="280">
                  <c:v>197.18116139597424</c:v>
                </c:pt>
                <c:pt idx="281">
                  <c:v>197.3279348838862</c:v>
                </c:pt>
                <c:pt idx="282">
                  <c:v>197.47078437179815</c:v>
                </c:pt>
                <c:pt idx="283">
                  <c:v>197.60970985971011</c:v>
                </c:pt>
                <c:pt idx="284">
                  <c:v>197.74471134762206</c:v>
                </c:pt>
                <c:pt idx="285">
                  <c:v>197.87578883553402</c:v>
                </c:pt>
                <c:pt idx="286">
                  <c:v>198.00294232344598</c:v>
                </c:pt>
                <c:pt idx="287">
                  <c:v>198.12617181135792</c:v>
                </c:pt>
                <c:pt idx="288">
                  <c:v>198.24547729926988</c:v>
                </c:pt>
                <c:pt idx="289">
                  <c:v>198.36085878718183</c:v>
                </c:pt>
                <c:pt idx="290">
                  <c:v>198.47231627509379</c:v>
                </c:pt>
                <c:pt idx="291">
                  <c:v>198.57984976300574</c:v>
                </c:pt>
                <c:pt idx="292">
                  <c:v>198.68345925091771</c:v>
                </c:pt>
                <c:pt idx="293">
                  <c:v>198.78314473882966</c:v>
                </c:pt>
                <c:pt idx="294">
                  <c:v>198.87890622674161</c:v>
                </c:pt>
                <c:pt idx="295">
                  <c:v>198.97074371465357</c:v>
                </c:pt>
                <c:pt idx="296">
                  <c:v>199.05865720256551</c:v>
                </c:pt>
                <c:pt idx="297">
                  <c:v>199.14264669047748</c:v>
                </c:pt>
                <c:pt idx="298">
                  <c:v>199.22271217838943</c:v>
                </c:pt>
                <c:pt idx="299">
                  <c:v>199.2988536663014</c:v>
                </c:pt>
                <c:pt idx="300">
                  <c:v>199.37107115421335</c:v>
                </c:pt>
                <c:pt idx="301">
                  <c:v>199.4393646421253</c:v>
                </c:pt>
                <c:pt idx="302">
                  <c:v>199.50373413003726</c:v>
                </c:pt>
                <c:pt idx="303">
                  <c:v>199.56417961794921</c:v>
                </c:pt>
                <c:pt idx="304">
                  <c:v>199.62070110586117</c:v>
                </c:pt>
                <c:pt idx="305">
                  <c:v>199.67329859377313</c:v>
                </c:pt>
                <c:pt idx="306">
                  <c:v>199.7219720816851</c:v>
                </c:pt>
                <c:pt idx="307">
                  <c:v>199.76672156959705</c:v>
                </c:pt>
                <c:pt idx="308">
                  <c:v>199.807547057509</c:v>
                </c:pt>
                <c:pt idx="309">
                  <c:v>199.84444854542096</c:v>
                </c:pt>
                <c:pt idx="310">
                  <c:v>199.87742603333291</c:v>
                </c:pt>
                <c:pt idx="311">
                  <c:v>199.90647952124488</c:v>
                </c:pt>
                <c:pt idx="312">
                  <c:v>199.93160900915683</c:v>
                </c:pt>
                <c:pt idx="313">
                  <c:v>199.95281449706877</c:v>
                </c:pt>
                <c:pt idx="314">
                  <c:v>199.97009598498073</c:v>
                </c:pt>
                <c:pt idx="315">
                  <c:v>199.98345347289268</c:v>
                </c:pt>
                <c:pt idx="316">
                  <c:v>199.99288696080464</c:v>
                </c:pt>
                <c:pt idx="317">
                  <c:v>199.99839644871659</c:v>
                </c:pt>
                <c:pt idx="318">
                  <c:v>199.99998193662856</c:v>
                </c:pt>
                <c:pt idx="319">
                  <c:v>199.99764342454051</c:v>
                </c:pt>
                <c:pt idx="320">
                  <c:v>199.99138091245246</c:v>
                </c:pt>
                <c:pt idx="321">
                  <c:v>199.98119440036442</c:v>
                </c:pt>
                <c:pt idx="322">
                  <c:v>199.96708388827636</c:v>
                </c:pt>
                <c:pt idx="323">
                  <c:v>199.94904937618833</c:v>
                </c:pt>
                <c:pt idx="324">
                  <c:v>199.92709086410028</c:v>
                </c:pt>
                <c:pt idx="325">
                  <c:v>199.90120835201225</c:v>
                </c:pt>
                <c:pt idx="326">
                  <c:v>199.8714018399242</c:v>
                </c:pt>
                <c:pt idx="327">
                  <c:v>199.83767132783615</c:v>
                </c:pt>
                <c:pt idx="328">
                  <c:v>199.80001681574811</c:v>
                </c:pt>
                <c:pt idx="329">
                  <c:v>199.75843830366006</c:v>
                </c:pt>
                <c:pt idx="330">
                  <c:v>199.71293579157202</c:v>
                </c:pt>
                <c:pt idx="331">
                  <c:v>199.66350927948397</c:v>
                </c:pt>
                <c:pt idx="332">
                  <c:v>199.61015876739594</c:v>
                </c:pt>
                <c:pt idx="333">
                  <c:v>199.5528842553079</c:v>
                </c:pt>
                <c:pt idx="334">
                  <c:v>199.49168574321985</c:v>
                </c:pt>
                <c:pt idx="335">
                  <c:v>199.42656323113181</c:v>
                </c:pt>
                <c:pt idx="336">
                  <c:v>199.35751671904376</c:v>
                </c:pt>
                <c:pt idx="337">
                  <c:v>199.28454620695572</c:v>
                </c:pt>
                <c:pt idx="338">
                  <c:v>199.20765169486768</c:v>
                </c:pt>
                <c:pt idx="339">
                  <c:v>199.12683318277962</c:v>
                </c:pt>
                <c:pt idx="340">
                  <c:v>199.04209067069158</c:v>
                </c:pt>
                <c:pt idx="341">
                  <c:v>198.95342415860353</c:v>
                </c:pt>
                <c:pt idx="342">
                  <c:v>198.86083364651549</c:v>
                </c:pt>
                <c:pt idx="343">
                  <c:v>198.76431913442744</c:v>
                </c:pt>
                <c:pt idx="344">
                  <c:v>198.66388062233941</c:v>
                </c:pt>
                <c:pt idx="345">
                  <c:v>198.55951811025136</c:v>
                </c:pt>
                <c:pt idx="346">
                  <c:v>198.4512315981633</c:v>
                </c:pt>
                <c:pt idx="347">
                  <c:v>198.33902108607526</c:v>
                </c:pt>
                <c:pt idx="348">
                  <c:v>198.22288657398721</c:v>
                </c:pt>
                <c:pt idx="349">
                  <c:v>198.10282806189917</c:v>
                </c:pt>
                <c:pt idx="350">
                  <c:v>197.97884554981113</c:v>
                </c:pt>
                <c:pt idx="351">
                  <c:v>197.85093903772309</c:v>
                </c:pt>
                <c:pt idx="352">
                  <c:v>197.71910852563505</c:v>
                </c:pt>
                <c:pt idx="353">
                  <c:v>197.58335401354699</c:v>
                </c:pt>
                <c:pt idx="354">
                  <c:v>197.44367550145896</c:v>
                </c:pt>
                <c:pt idx="355">
                  <c:v>197.3000729893709</c:v>
                </c:pt>
                <c:pt idx="356">
                  <c:v>197.15254647728287</c:v>
                </c:pt>
                <c:pt idx="357">
                  <c:v>197.00109596519482</c:v>
                </c:pt>
                <c:pt idx="358">
                  <c:v>196.84572145310679</c:v>
                </c:pt>
                <c:pt idx="359">
                  <c:v>196.68642294101875</c:v>
                </c:pt>
                <c:pt idx="360">
                  <c:v>196.52320042893069</c:v>
                </c:pt>
                <c:pt idx="361">
                  <c:v>196.35605391684265</c:v>
                </c:pt>
                <c:pt idx="362">
                  <c:v>196.1849834047546</c:v>
                </c:pt>
                <c:pt idx="363">
                  <c:v>196.00998889266657</c:v>
                </c:pt>
                <c:pt idx="364">
                  <c:v>195.83107038057852</c:v>
                </c:pt>
                <c:pt idx="365">
                  <c:v>195.64822786849047</c:v>
                </c:pt>
                <c:pt idx="366">
                  <c:v>195.46146135640242</c:v>
                </c:pt>
                <c:pt idx="367">
                  <c:v>195.27077084431437</c:v>
                </c:pt>
                <c:pt idx="368">
                  <c:v>195.07615633222633</c:v>
                </c:pt>
                <c:pt idx="369">
                  <c:v>194.87761782013828</c:v>
                </c:pt>
                <c:pt idx="370">
                  <c:v>194.67515530805025</c:v>
                </c:pt>
                <c:pt idx="371">
                  <c:v>194.46876879596221</c:v>
                </c:pt>
                <c:pt idx="372">
                  <c:v>194.25845828387415</c:v>
                </c:pt>
                <c:pt idx="373">
                  <c:v>194.04422377178611</c:v>
                </c:pt>
                <c:pt idx="374">
                  <c:v>193.82606525969805</c:v>
                </c:pt>
                <c:pt idx="375">
                  <c:v>193.60398274761002</c:v>
                </c:pt>
                <c:pt idx="376">
                  <c:v>193.37797623552197</c:v>
                </c:pt>
                <c:pt idx="377">
                  <c:v>193.14804572343394</c:v>
                </c:pt>
                <c:pt idx="378">
                  <c:v>192.91419121134589</c:v>
                </c:pt>
                <c:pt idx="379">
                  <c:v>192.67641269925784</c:v>
                </c:pt>
                <c:pt idx="380">
                  <c:v>192.4347101871698</c:v>
                </c:pt>
                <c:pt idx="381">
                  <c:v>192.18908367508175</c:v>
                </c:pt>
                <c:pt idx="382">
                  <c:v>191.93953316299371</c:v>
                </c:pt>
                <c:pt idx="383">
                  <c:v>191.68605865090566</c:v>
                </c:pt>
                <c:pt idx="384">
                  <c:v>191.42866013881763</c:v>
                </c:pt>
                <c:pt idx="385">
                  <c:v>191.16733762672959</c:v>
                </c:pt>
                <c:pt idx="386">
                  <c:v>190.90209111464154</c:v>
                </c:pt>
                <c:pt idx="387">
                  <c:v>190.6329206025535</c:v>
                </c:pt>
                <c:pt idx="388">
                  <c:v>190.35982609046545</c:v>
                </c:pt>
                <c:pt idx="389">
                  <c:v>190.08280757837741</c:v>
                </c:pt>
                <c:pt idx="390">
                  <c:v>189.80186506628937</c:v>
                </c:pt>
                <c:pt idx="391">
                  <c:v>189.51699855420134</c:v>
                </c:pt>
                <c:pt idx="392">
                  <c:v>189.22820804211329</c:v>
                </c:pt>
                <c:pt idx="393">
                  <c:v>188.93549353002524</c:v>
                </c:pt>
                <c:pt idx="394">
                  <c:v>188.6388550179372</c:v>
                </c:pt>
                <c:pt idx="395">
                  <c:v>188.33829250584915</c:v>
                </c:pt>
                <c:pt idx="396">
                  <c:v>188.03380599376112</c:v>
                </c:pt>
                <c:pt idx="397">
                  <c:v>187.72539548167308</c:v>
                </c:pt>
                <c:pt idx="398">
                  <c:v>187.41306096958502</c:v>
                </c:pt>
                <c:pt idx="399">
                  <c:v>187.09680245749698</c:v>
                </c:pt>
                <c:pt idx="400">
                  <c:v>186.77661994540892</c:v>
                </c:pt>
                <c:pt idx="401">
                  <c:v>186.45251343332089</c:v>
                </c:pt>
                <c:pt idx="402">
                  <c:v>186.12448292123284</c:v>
                </c:pt>
                <c:pt idx="403">
                  <c:v>185.79252840914481</c:v>
                </c:pt>
                <c:pt idx="404">
                  <c:v>185.45664989705676</c:v>
                </c:pt>
                <c:pt idx="405">
                  <c:v>185.11684738496871</c:v>
                </c:pt>
                <c:pt idx="406">
                  <c:v>184.77312087288067</c:v>
                </c:pt>
                <c:pt idx="407">
                  <c:v>184.42547036079262</c:v>
                </c:pt>
                <c:pt idx="408">
                  <c:v>184.07389584870458</c:v>
                </c:pt>
                <c:pt idx="409">
                  <c:v>183.71839733661653</c:v>
                </c:pt>
                <c:pt idx="410">
                  <c:v>183.3589748245285</c:v>
                </c:pt>
                <c:pt idx="411">
                  <c:v>182.99562831244046</c:v>
                </c:pt>
                <c:pt idx="412">
                  <c:v>182.6283578003524</c:v>
                </c:pt>
                <c:pt idx="413">
                  <c:v>182.25716328826437</c:v>
                </c:pt>
                <c:pt idx="414">
                  <c:v>181.88204477617631</c:v>
                </c:pt>
                <c:pt idx="415">
                  <c:v>181.50300226408828</c:v>
                </c:pt>
                <c:pt idx="416">
                  <c:v>181.12003575200023</c:v>
                </c:pt>
                <c:pt idx="417">
                  <c:v>180.7331452399122</c:v>
                </c:pt>
                <c:pt idx="418">
                  <c:v>180.34233072782416</c:v>
                </c:pt>
                <c:pt idx="419">
                  <c:v>179.94759221573611</c:v>
                </c:pt>
                <c:pt idx="420">
                  <c:v>179.54892970364807</c:v>
                </c:pt>
                <c:pt idx="421">
                  <c:v>179.14634319156002</c:v>
                </c:pt>
                <c:pt idx="422">
                  <c:v>178.73983267947199</c:v>
                </c:pt>
                <c:pt idx="423">
                  <c:v>178.32939816738394</c:v>
                </c:pt>
                <c:pt idx="424">
                  <c:v>177.91503965529589</c:v>
                </c:pt>
                <c:pt idx="425">
                  <c:v>177.49675714320784</c:v>
                </c:pt>
                <c:pt idx="426">
                  <c:v>177.07455063111979</c:v>
                </c:pt>
                <c:pt idx="427">
                  <c:v>176.64842011903175</c:v>
                </c:pt>
                <c:pt idx="428">
                  <c:v>176.21836560694371</c:v>
                </c:pt>
                <c:pt idx="429">
                  <c:v>175.78438709485567</c:v>
                </c:pt>
                <c:pt idx="430">
                  <c:v>175.34648458276763</c:v>
                </c:pt>
                <c:pt idx="431">
                  <c:v>174.90465807067957</c:v>
                </c:pt>
                <c:pt idx="432">
                  <c:v>174.45890755859153</c:v>
                </c:pt>
                <c:pt idx="433">
                  <c:v>174.00923304650348</c:v>
                </c:pt>
                <c:pt idx="434">
                  <c:v>173.55563453441545</c:v>
                </c:pt>
                <c:pt idx="435">
                  <c:v>173.0981120223274</c:v>
                </c:pt>
                <c:pt idx="436">
                  <c:v>172.63666551023937</c:v>
                </c:pt>
                <c:pt idx="437">
                  <c:v>172.17129499815132</c:v>
                </c:pt>
                <c:pt idx="438">
                  <c:v>171.70200048606327</c:v>
                </c:pt>
                <c:pt idx="439">
                  <c:v>171.22878197397523</c:v>
                </c:pt>
                <c:pt idx="440">
                  <c:v>170.75163946188718</c:v>
                </c:pt>
                <c:pt idx="441">
                  <c:v>170.27057294979915</c:v>
                </c:pt>
                <c:pt idx="442">
                  <c:v>169.7855824377111</c:v>
                </c:pt>
                <c:pt idx="443">
                  <c:v>169.29666792562304</c:v>
                </c:pt>
                <c:pt idx="444">
                  <c:v>168.803829413535</c:v>
                </c:pt>
                <c:pt idx="445">
                  <c:v>168.30706690144694</c:v>
                </c:pt>
                <c:pt idx="446">
                  <c:v>167.80638038935891</c:v>
                </c:pt>
                <c:pt idx="447">
                  <c:v>167.30176987727086</c:v>
                </c:pt>
                <c:pt idx="448">
                  <c:v>166.79323536518282</c:v>
                </c:pt>
                <c:pt idx="449">
                  <c:v>166.28077685309478</c:v>
                </c:pt>
                <c:pt idx="450">
                  <c:v>165.76439434100672</c:v>
                </c:pt>
                <c:pt idx="451">
                  <c:v>165.24408782891868</c:v>
                </c:pt>
                <c:pt idx="452">
                  <c:v>164.71985731683063</c:v>
                </c:pt>
                <c:pt idx="453">
                  <c:v>164.19170280474259</c:v>
                </c:pt>
                <c:pt idx="454">
                  <c:v>163.65962429265454</c:v>
                </c:pt>
                <c:pt idx="455">
                  <c:v>163.12362178056651</c:v>
                </c:pt>
                <c:pt idx="456">
                  <c:v>162.58369526847846</c:v>
                </c:pt>
                <c:pt idx="457">
                  <c:v>162.03984475639041</c:v>
                </c:pt>
                <c:pt idx="458">
                  <c:v>161.49207024430237</c:v>
                </c:pt>
                <c:pt idx="459">
                  <c:v>160.94037173221432</c:v>
                </c:pt>
                <c:pt idx="460">
                  <c:v>160.38474922012628</c:v>
                </c:pt>
                <c:pt idx="461">
                  <c:v>159.82520270803823</c:v>
                </c:pt>
                <c:pt idx="462">
                  <c:v>159.2617321959502</c:v>
                </c:pt>
                <c:pt idx="463">
                  <c:v>158.69433768386216</c:v>
                </c:pt>
                <c:pt idx="464">
                  <c:v>158.1230191717741</c:v>
                </c:pt>
                <c:pt idx="465">
                  <c:v>157.54777665968606</c:v>
                </c:pt>
                <c:pt idx="466">
                  <c:v>156.96861014759801</c:v>
                </c:pt>
                <c:pt idx="467">
                  <c:v>156.38551963550998</c:v>
                </c:pt>
                <c:pt idx="468">
                  <c:v>155.79850512342193</c:v>
                </c:pt>
                <c:pt idx="469">
                  <c:v>155.20756661133387</c:v>
                </c:pt>
                <c:pt idx="470">
                  <c:v>154.61270409924583</c:v>
                </c:pt>
                <c:pt idx="471">
                  <c:v>154.01391758715778</c:v>
                </c:pt>
                <c:pt idx="472">
                  <c:v>153.41120707506974</c:v>
                </c:pt>
                <c:pt idx="473">
                  <c:v>152.80457256298169</c:v>
                </c:pt>
                <c:pt idx="474">
                  <c:v>152.19401405089366</c:v>
                </c:pt>
                <c:pt idx="475">
                  <c:v>151.57953153880561</c:v>
                </c:pt>
                <c:pt idx="476">
                  <c:v>150.96112502671755</c:v>
                </c:pt>
                <c:pt idx="477">
                  <c:v>150.33879451462951</c:v>
                </c:pt>
                <c:pt idx="478">
                  <c:v>149.71254000254146</c:v>
                </c:pt>
                <c:pt idx="479">
                  <c:v>149.08236149045342</c:v>
                </c:pt>
                <c:pt idx="480">
                  <c:v>148.44825897836537</c:v>
                </c:pt>
                <c:pt idx="481">
                  <c:v>147.81023246627734</c:v>
                </c:pt>
                <c:pt idx="482">
                  <c:v>147.1682819541893</c:v>
                </c:pt>
                <c:pt idx="483">
                  <c:v>146.52240744210124</c:v>
                </c:pt>
                <c:pt idx="484">
                  <c:v>145.8726089300132</c:v>
                </c:pt>
                <c:pt idx="485">
                  <c:v>145.21888641792515</c:v>
                </c:pt>
                <c:pt idx="486">
                  <c:v>144.56123990583711</c:v>
                </c:pt>
                <c:pt idx="487">
                  <c:v>143.89966939374906</c:v>
                </c:pt>
                <c:pt idx="488">
                  <c:v>143.23417488166103</c:v>
                </c:pt>
                <c:pt idx="489">
                  <c:v>142.56475636957299</c:v>
                </c:pt>
                <c:pt idx="490">
                  <c:v>141.89141385748493</c:v>
                </c:pt>
                <c:pt idx="491">
                  <c:v>141.2141473453969</c:v>
                </c:pt>
                <c:pt idx="492">
                  <c:v>140.53295683330884</c:v>
                </c:pt>
                <c:pt idx="493">
                  <c:v>139.84784232122081</c:v>
                </c:pt>
                <c:pt idx="494">
                  <c:v>139.15880380913276</c:v>
                </c:pt>
                <c:pt idx="495">
                  <c:v>138.4658412970447</c:v>
                </c:pt>
                <c:pt idx="496">
                  <c:v>137.76895478495666</c:v>
                </c:pt>
                <c:pt idx="497">
                  <c:v>137.06814427286861</c:v>
                </c:pt>
                <c:pt idx="498">
                  <c:v>136.36340976078057</c:v>
                </c:pt>
                <c:pt idx="499">
                  <c:v>135.65475124869252</c:v>
                </c:pt>
                <c:pt idx="500">
                  <c:v>134.94216873660449</c:v>
                </c:pt>
                <c:pt idx="501">
                  <c:v>134.22566222451644</c:v>
                </c:pt>
                <c:pt idx="502">
                  <c:v>133.50523171242838</c:v>
                </c:pt>
                <c:pt idx="503">
                  <c:v>132.78087720034034</c:v>
                </c:pt>
                <c:pt idx="504">
                  <c:v>132.05259868825229</c:v>
                </c:pt>
                <c:pt idx="505">
                  <c:v>131.32039617616425</c:v>
                </c:pt>
                <c:pt idx="506">
                  <c:v>130.5842696640762</c:v>
                </c:pt>
                <c:pt idx="507">
                  <c:v>129.84421915198817</c:v>
                </c:pt>
                <c:pt idx="508">
                  <c:v>129.10024463990013</c:v>
                </c:pt>
                <c:pt idx="509">
                  <c:v>128.35234612781207</c:v>
                </c:pt>
                <c:pt idx="510">
                  <c:v>127.60052361572403</c:v>
                </c:pt>
                <c:pt idx="511">
                  <c:v>126.84477710363599</c:v>
                </c:pt>
                <c:pt idx="512">
                  <c:v>126.08510659154794</c:v>
                </c:pt>
                <c:pt idx="513">
                  <c:v>125.32151207945989</c:v>
                </c:pt>
                <c:pt idx="514">
                  <c:v>124.55399356737185</c:v>
                </c:pt>
                <c:pt idx="515">
                  <c:v>123.7825510552838</c:v>
                </c:pt>
                <c:pt idx="516">
                  <c:v>123.00718454319576</c:v>
                </c:pt>
                <c:pt idx="517">
                  <c:v>122.22789403110772</c:v>
                </c:pt>
                <c:pt idx="518">
                  <c:v>121.44467951901969</c:v>
                </c:pt>
                <c:pt idx="519">
                  <c:v>120.65754100693164</c:v>
                </c:pt>
                <c:pt idx="520">
                  <c:v>119.86647849484359</c:v>
                </c:pt>
                <c:pt idx="521">
                  <c:v>119.07149198275555</c:v>
                </c:pt>
                <c:pt idx="522">
                  <c:v>118.2725814706675</c:v>
                </c:pt>
                <c:pt idx="523">
                  <c:v>117.46974695857946</c:v>
                </c:pt>
                <c:pt idx="524">
                  <c:v>116.66298844649143</c:v>
                </c:pt>
                <c:pt idx="525">
                  <c:v>115.85230593440338</c:v>
                </c:pt>
                <c:pt idx="526">
                  <c:v>115.03769942231533</c:v>
                </c:pt>
                <c:pt idx="527">
                  <c:v>114.21916891022728</c:v>
                </c:pt>
                <c:pt idx="528">
                  <c:v>113.39671439813924</c:v>
                </c:pt>
                <c:pt idx="529">
                  <c:v>112.5703358860512</c:v>
                </c:pt>
                <c:pt idx="530">
                  <c:v>111.74003337396316</c:v>
                </c:pt>
                <c:pt idx="531">
                  <c:v>110.90580686187512</c:v>
                </c:pt>
                <c:pt idx="532">
                  <c:v>110.06765634978707</c:v>
                </c:pt>
                <c:pt idx="533">
                  <c:v>109.22558183769902</c:v>
                </c:pt>
                <c:pt idx="534">
                  <c:v>108.37958332561098</c:v>
                </c:pt>
                <c:pt idx="535">
                  <c:v>107.52966081352294</c:v>
                </c:pt>
                <c:pt idx="536">
                  <c:v>106.6758143014349</c:v>
                </c:pt>
                <c:pt idx="537">
                  <c:v>105.81804378934686</c:v>
                </c:pt>
                <c:pt idx="538">
                  <c:v>104.95634927725882</c:v>
                </c:pt>
                <c:pt idx="539">
                  <c:v>104.09073076517078</c:v>
                </c:pt>
                <c:pt idx="540">
                  <c:v>103.22118825308273</c:v>
                </c:pt>
                <c:pt idx="541">
                  <c:v>102.34772174099469</c:v>
                </c:pt>
                <c:pt idx="542">
                  <c:v>101.47033122890664</c:v>
                </c:pt>
                <c:pt idx="543">
                  <c:v>100.58901671681861</c:v>
                </c:pt>
                <c:pt idx="544">
                  <c:v>99.703778204730568</c:v>
                </c:pt>
                <c:pt idx="545">
                  <c:v>98.814615692642519</c:v>
                </c:pt>
                <c:pt idx="546">
                  <c:v>97.921529180554472</c:v>
                </c:pt>
                <c:pt idx="547">
                  <c:v>97.024518668466428</c:v>
                </c:pt>
                <c:pt idx="548">
                  <c:v>96.123584156378385</c:v>
                </c:pt>
                <c:pt idx="549">
                  <c:v>95.218725644290345</c:v>
                </c:pt>
                <c:pt idx="550">
                  <c:v>94.309943132202307</c:v>
                </c:pt>
                <c:pt idx="551">
                  <c:v>93.397236620114271</c:v>
                </c:pt>
                <c:pt idx="552">
                  <c:v>92.480606108026223</c:v>
                </c:pt>
                <c:pt idx="553">
                  <c:v>91.560051595938177</c:v>
                </c:pt>
                <c:pt idx="554">
                  <c:v>90.635573083850133</c:v>
                </c:pt>
                <c:pt idx="555">
                  <c:v>89.707170571762092</c:v>
                </c:pt>
                <c:pt idx="556">
                  <c:v>88.774844059674052</c:v>
                </c:pt>
                <c:pt idx="557">
                  <c:v>87.838593547586015</c:v>
                </c:pt>
                <c:pt idx="558">
                  <c:v>86.89841903549798</c:v>
                </c:pt>
                <c:pt idx="559">
                  <c:v>85.954320523409933</c:v>
                </c:pt>
                <c:pt idx="560">
                  <c:v>85.006298011321888</c:v>
                </c:pt>
                <c:pt idx="561">
                  <c:v>84.054351499233846</c:v>
                </c:pt>
                <c:pt idx="562">
                  <c:v>83.098480987145805</c:v>
                </c:pt>
                <c:pt idx="563">
                  <c:v>82.138686475057767</c:v>
                </c:pt>
                <c:pt idx="564">
                  <c:v>81.174967962969731</c:v>
                </c:pt>
                <c:pt idx="565">
                  <c:v>80.207325450881683</c:v>
                </c:pt>
                <c:pt idx="566">
                  <c:v>79.235758938793637</c:v>
                </c:pt>
                <c:pt idx="567">
                  <c:v>78.260268426705593</c:v>
                </c:pt>
                <c:pt idx="568">
                  <c:v>77.280853914617552</c:v>
                </c:pt>
                <c:pt idx="569">
                  <c:v>76.297515402529513</c:v>
                </c:pt>
                <c:pt idx="570">
                  <c:v>75.310252890441475</c:v>
                </c:pt>
                <c:pt idx="571">
                  <c:v>74.31906637835344</c:v>
                </c:pt>
                <c:pt idx="572">
                  <c:v>73.323955866265393</c:v>
                </c:pt>
                <c:pt idx="573">
                  <c:v>72.324921354177349</c:v>
                </c:pt>
                <c:pt idx="574">
                  <c:v>71.321962842089306</c:v>
                </c:pt>
                <c:pt idx="575">
                  <c:v>70.315080330001265</c:v>
                </c:pt>
                <c:pt idx="576">
                  <c:v>69.304273817913227</c:v>
                </c:pt>
                <c:pt idx="577">
                  <c:v>68.289543305825191</c:v>
                </c:pt>
                <c:pt idx="578">
                  <c:v>67.270888793737157</c:v>
                </c:pt>
                <c:pt idx="579">
                  <c:v>66.248310281649111</c:v>
                </c:pt>
                <c:pt idx="580">
                  <c:v>65.221807769561067</c:v>
                </c:pt>
                <c:pt idx="581">
                  <c:v>64.191381257473026</c:v>
                </c:pt>
                <c:pt idx="582">
                  <c:v>63.157030745384986</c:v>
                </c:pt>
                <c:pt idx="583">
                  <c:v>62.118756233296949</c:v>
                </c:pt>
                <c:pt idx="584">
                  <c:v>61.076557721208907</c:v>
                </c:pt>
                <c:pt idx="585">
                  <c:v>60.030435209120867</c:v>
                </c:pt>
                <c:pt idx="586">
                  <c:v>58.980388697032829</c:v>
                </c:pt>
                <c:pt idx="587">
                  <c:v>57.926418184944787</c:v>
                </c:pt>
                <c:pt idx="588">
                  <c:v>56.868523672856746</c:v>
                </c:pt>
                <c:pt idx="589">
                  <c:v>55.806705160768708</c:v>
                </c:pt>
                <c:pt idx="590">
                  <c:v>54.740962648680664</c:v>
                </c:pt>
                <c:pt idx="591">
                  <c:v>53.671296136592623</c:v>
                </c:pt>
                <c:pt idx="592">
                  <c:v>52.597705624504584</c:v>
                </c:pt>
                <c:pt idx="593">
                  <c:v>51.520191112416548</c:v>
                </c:pt>
                <c:pt idx="594">
                  <c:v>50.438752600328506</c:v>
                </c:pt>
                <c:pt idx="595">
                  <c:v>49.353390088240467</c:v>
                </c:pt>
                <c:pt idx="596">
                  <c:v>48.264103576152429</c:v>
                </c:pt>
                <c:pt idx="597">
                  <c:v>47.170893064064387</c:v>
                </c:pt>
                <c:pt idx="598">
                  <c:v>46.073758551976347</c:v>
                </c:pt>
                <c:pt idx="599">
                  <c:v>44.972700039888309</c:v>
                </c:pt>
                <c:pt idx="600">
                  <c:v>43.867717527800266</c:v>
                </c:pt>
                <c:pt idx="601">
                  <c:v>42.758811015712226</c:v>
                </c:pt>
                <c:pt idx="602">
                  <c:v>41.645980503624187</c:v>
                </c:pt>
                <c:pt idx="603">
                  <c:v>40.529225991536151</c:v>
                </c:pt>
                <c:pt idx="604">
                  <c:v>39.40854747944811</c:v>
                </c:pt>
                <c:pt idx="605">
                  <c:v>38.283944967360071</c:v>
                </c:pt>
                <c:pt idx="606">
                  <c:v>37.155418455272034</c:v>
                </c:pt>
                <c:pt idx="607">
                  <c:v>36.022967943183993</c:v>
                </c:pt>
                <c:pt idx="608">
                  <c:v>34.886593431095953</c:v>
                </c:pt>
                <c:pt idx="609">
                  <c:v>33.746294919007916</c:v>
                </c:pt>
                <c:pt idx="610">
                  <c:v>32.602072406919874</c:v>
                </c:pt>
                <c:pt idx="611">
                  <c:v>31.453925894831833</c:v>
                </c:pt>
                <c:pt idx="612">
                  <c:v>30.301855382743796</c:v>
                </c:pt>
                <c:pt idx="613">
                  <c:v>29.145860870655756</c:v>
                </c:pt>
                <c:pt idx="614">
                  <c:v>27.985942358567719</c:v>
                </c:pt>
                <c:pt idx="615">
                  <c:v>26.822099846479681</c:v>
                </c:pt>
                <c:pt idx="616">
                  <c:v>25.654333334391641</c:v>
                </c:pt>
                <c:pt idx="617">
                  <c:v>24.482642822303603</c:v>
                </c:pt>
                <c:pt idx="618">
                  <c:v>23.307028310215564</c:v>
                </c:pt>
                <c:pt idx="619">
                  <c:v>22.127489798127527</c:v>
                </c:pt>
                <c:pt idx="620">
                  <c:v>20.944027286039489</c:v>
                </c:pt>
                <c:pt idx="621">
                  <c:v>19.75664077395145</c:v>
                </c:pt>
                <c:pt idx="622">
                  <c:v>18.565330261863412</c:v>
                </c:pt>
                <c:pt idx="623">
                  <c:v>17.370095749775373</c:v>
                </c:pt>
                <c:pt idx="624">
                  <c:v>16.170937237687337</c:v>
                </c:pt>
                <c:pt idx="625">
                  <c:v>14.967854725599299</c:v>
                </c:pt>
                <c:pt idx="626">
                  <c:v>13.760848213511261</c:v>
                </c:pt>
                <c:pt idx="627">
                  <c:v>12.549917701423222</c:v>
                </c:pt>
                <c:pt idx="628">
                  <c:v>11.335063189335184</c:v>
                </c:pt>
                <c:pt idx="629">
                  <c:v>10.116284677247146</c:v>
                </c:pt>
                <c:pt idx="630">
                  <c:v>8.893582165159108</c:v>
                </c:pt>
                <c:pt idx="631">
                  <c:v>7.6669556530710707</c:v>
                </c:pt>
                <c:pt idx="632">
                  <c:v>6.436405140983033</c:v>
                </c:pt>
                <c:pt idx="633">
                  <c:v>5.2019306288949956</c:v>
                </c:pt>
                <c:pt idx="634">
                  <c:v>3.9635321168069577</c:v>
                </c:pt>
                <c:pt idx="635">
                  <c:v>2.7212096047189203</c:v>
                </c:pt>
                <c:pt idx="636">
                  <c:v>1.4749630926308828</c:v>
                </c:pt>
                <c:pt idx="637">
                  <c:v>0.22479258054284523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6E-470D-A6F7-77348F04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layout>
            <c:manualLayout>
              <c:xMode val="edge"/>
              <c:yMode val="edge"/>
              <c:x val="5.0222431987655561E-3"/>
              <c:y val="0.437793394871182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 Plot</a:t>
            </a:r>
            <a:r>
              <a:rPr lang="en-US" baseline="0"/>
              <a:t> of Projectile Motion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13097908464146"/>
          <c:y val="0.17111880046136105"/>
          <c:w val="0.81281806380956434"/>
          <c:h val="0.66965581060309187"/>
        </c:manualLayout>
      </c:layout>
      <c:scatterChart>
        <c:scatterStyle val="lineMarker"/>
        <c:varyColors val="0"/>
        <c:ser>
          <c:idx val="0"/>
          <c:order val="0"/>
          <c:tx>
            <c:v>Projectile Motion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</c:f>
              <c:numCache>
                <c:formatCode>General</c:formatCode>
                <c:ptCount val="638"/>
                <c:pt idx="0">
                  <c:v>0</c:v>
                </c:pt>
                <c:pt idx="1">
                  <c:v>1.0467394398169905</c:v>
                </c:pt>
                <c:pt idx="2">
                  <c:v>2.0934788796339809</c:v>
                </c:pt>
                <c:pt idx="3">
                  <c:v>3.1402183194509714</c:v>
                </c:pt>
                <c:pt idx="4">
                  <c:v>4.1869577592679619</c:v>
                </c:pt>
                <c:pt idx="5">
                  <c:v>5.2336971990849532</c:v>
                </c:pt>
                <c:pt idx="6">
                  <c:v>6.2804366389019428</c:v>
                </c:pt>
                <c:pt idx="7">
                  <c:v>7.3271760787189342</c:v>
                </c:pt>
                <c:pt idx="8">
                  <c:v>8.3739155185359238</c:v>
                </c:pt>
                <c:pt idx="9">
                  <c:v>9.4206549583529142</c:v>
                </c:pt>
                <c:pt idx="10">
                  <c:v>10.467394398169906</c:v>
                </c:pt>
                <c:pt idx="11">
                  <c:v>11.514133837986895</c:v>
                </c:pt>
                <c:pt idx="12">
                  <c:v>12.560873277803886</c:v>
                </c:pt>
                <c:pt idx="13">
                  <c:v>13.607612717620878</c:v>
                </c:pt>
                <c:pt idx="14">
                  <c:v>14.654352157437868</c:v>
                </c:pt>
                <c:pt idx="15">
                  <c:v>15.701091597254857</c:v>
                </c:pt>
                <c:pt idx="16">
                  <c:v>16.747831037071848</c:v>
                </c:pt>
                <c:pt idx="17">
                  <c:v>17.79457047688884</c:v>
                </c:pt>
                <c:pt idx="18">
                  <c:v>18.841309916705828</c:v>
                </c:pt>
                <c:pt idx="19">
                  <c:v>19.888049356522821</c:v>
                </c:pt>
                <c:pt idx="20">
                  <c:v>20.934788796339813</c:v>
                </c:pt>
                <c:pt idx="21">
                  <c:v>21.981528236156802</c:v>
                </c:pt>
                <c:pt idx="22">
                  <c:v>23.02826767597379</c:v>
                </c:pt>
                <c:pt idx="23">
                  <c:v>24.075007115790783</c:v>
                </c:pt>
                <c:pt idx="24">
                  <c:v>25.121746555607771</c:v>
                </c:pt>
                <c:pt idx="25">
                  <c:v>26.168485995424764</c:v>
                </c:pt>
                <c:pt idx="26">
                  <c:v>27.215225435241756</c:v>
                </c:pt>
                <c:pt idx="27">
                  <c:v>28.261964875058748</c:v>
                </c:pt>
                <c:pt idx="28">
                  <c:v>29.308704314875737</c:v>
                </c:pt>
                <c:pt idx="29">
                  <c:v>30.355443754692722</c:v>
                </c:pt>
                <c:pt idx="30">
                  <c:v>31.402183194509714</c:v>
                </c:pt>
                <c:pt idx="31">
                  <c:v>32.448922634326706</c:v>
                </c:pt>
                <c:pt idx="32">
                  <c:v>33.495662074143695</c:v>
                </c:pt>
                <c:pt idx="33">
                  <c:v>34.542401513960691</c:v>
                </c:pt>
                <c:pt idx="34">
                  <c:v>35.589140953777679</c:v>
                </c:pt>
                <c:pt idx="35">
                  <c:v>36.635880393594668</c:v>
                </c:pt>
                <c:pt idx="36">
                  <c:v>37.682619833411657</c:v>
                </c:pt>
                <c:pt idx="37">
                  <c:v>38.729359273228653</c:v>
                </c:pt>
                <c:pt idx="38">
                  <c:v>39.776098713045641</c:v>
                </c:pt>
                <c:pt idx="39">
                  <c:v>40.82283815286263</c:v>
                </c:pt>
                <c:pt idx="40">
                  <c:v>41.869577592679626</c:v>
                </c:pt>
                <c:pt idx="41">
                  <c:v>42.916317032496607</c:v>
                </c:pt>
                <c:pt idx="42">
                  <c:v>43.963056472313603</c:v>
                </c:pt>
                <c:pt idx="43">
                  <c:v>45.009795912130592</c:v>
                </c:pt>
                <c:pt idx="44">
                  <c:v>46.056535351947581</c:v>
                </c:pt>
                <c:pt idx="45">
                  <c:v>47.103274791764576</c:v>
                </c:pt>
                <c:pt idx="46">
                  <c:v>48.150014231581565</c:v>
                </c:pt>
                <c:pt idx="47">
                  <c:v>49.196753671398554</c:v>
                </c:pt>
                <c:pt idx="48">
                  <c:v>50.243493111215543</c:v>
                </c:pt>
                <c:pt idx="49">
                  <c:v>51.290232551032538</c:v>
                </c:pt>
                <c:pt idx="50">
                  <c:v>52.336971990849527</c:v>
                </c:pt>
                <c:pt idx="51">
                  <c:v>53.383711430666516</c:v>
                </c:pt>
                <c:pt idx="52">
                  <c:v>54.430450870483511</c:v>
                </c:pt>
                <c:pt idx="53">
                  <c:v>55.4771903103005</c:v>
                </c:pt>
                <c:pt idx="54">
                  <c:v>56.523929750117496</c:v>
                </c:pt>
                <c:pt idx="55">
                  <c:v>57.570669189934485</c:v>
                </c:pt>
                <c:pt idx="56">
                  <c:v>58.617408629751473</c:v>
                </c:pt>
                <c:pt idx="57">
                  <c:v>59.664148069568455</c:v>
                </c:pt>
                <c:pt idx="58">
                  <c:v>60.710887509385444</c:v>
                </c:pt>
                <c:pt idx="59">
                  <c:v>61.757626949202439</c:v>
                </c:pt>
                <c:pt idx="60">
                  <c:v>62.804366389019428</c:v>
                </c:pt>
                <c:pt idx="61">
                  <c:v>63.851105828836424</c:v>
                </c:pt>
                <c:pt idx="62">
                  <c:v>64.897845268653413</c:v>
                </c:pt>
                <c:pt idx="63">
                  <c:v>65.944584708470401</c:v>
                </c:pt>
                <c:pt idx="64">
                  <c:v>66.99132414828739</c:v>
                </c:pt>
                <c:pt idx="65">
                  <c:v>68.038063588104393</c:v>
                </c:pt>
                <c:pt idx="66">
                  <c:v>69.084803027921382</c:v>
                </c:pt>
                <c:pt idx="67">
                  <c:v>70.13154246773837</c:v>
                </c:pt>
                <c:pt idx="68">
                  <c:v>71.178281907555359</c:v>
                </c:pt>
                <c:pt idx="69">
                  <c:v>72.225021347372348</c:v>
                </c:pt>
                <c:pt idx="70">
                  <c:v>73.271760787189336</c:v>
                </c:pt>
                <c:pt idx="71">
                  <c:v>74.318500227006325</c:v>
                </c:pt>
                <c:pt idx="72">
                  <c:v>75.365239666823314</c:v>
                </c:pt>
                <c:pt idx="73">
                  <c:v>76.411979106640302</c:v>
                </c:pt>
                <c:pt idx="74">
                  <c:v>77.458718546457305</c:v>
                </c:pt>
                <c:pt idx="75">
                  <c:v>78.505457986274294</c:v>
                </c:pt>
                <c:pt idx="76">
                  <c:v>79.552197426091283</c:v>
                </c:pt>
                <c:pt idx="77">
                  <c:v>80.598936865908271</c:v>
                </c:pt>
                <c:pt idx="78">
                  <c:v>81.64567630572526</c:v>
                </c:pt>
                <c:pt idx="79">
                  <c:v>82.692415745542263</c:v>
                </c:pt>
                <c:pt idx="80">
                  <c:v>83.739155185359252</c:v>
                </c:pt>
                <c:pt idx="81">
                  <c:v>84.78589462517624</c:v>
                </c:pt>
                <c:pt idx="82">
                  <c:v>85.832634064993215</c:v>
                </c:pt>
                <c:pt idx="83">
                  <c:v>86.879373504810204</c:v>
                </c:pt>
                <c:pt idx="84">
                  <c:v>87.926112944627207</c:v>
                </c:pt>
                <c:pt idx="85">
                  <c:v>88.972852384444195</c:v>
                </c:pt>
                <c:pt idx="86">
                  <c:v>90.019591824261184</c:v>
                </c:pt>
                <c:pt idx="87">
                  <c:v>91.066331264078173</c:v>
                </c:pt>
                <c:pt idx="88">
                  <c:v>92.113070703895161</c:v>
                </c:pt>
                <c:pt idx="89">
                  <c:v>93.159810143712164</c:v>
                </c:pt>
                <c:pt idx="90">
                  <c:v>94.206549583529153</c:v>
                </c:pt>
                <c:pt idx="91">
                  <c:v>95.253289023346142</c:v>
                </c:pt>
                <c:pt idx="92">
                  <c:v>96.30002846316313</c:v>
                </c:pt>
                <c:pt idx="93">
                  <c:v>97.346767902980119</c:v>
                </c:pt>
                <c:pt idx="94">
                  <c:v>98.393507342797108</c:v>
                </c:pt>
                <c:pt idx="95">
                  <c:v>99.440246782614096</c:v>
                </c:pt>
                <c:pt idx="96">
                  <c:v>100.48698622243109</c:v>
                </c:pt>
                <c:pt idx="97">
                  <c:v>101.53372566224807</c:v>
                </c:pt>
                <c:pt idx="98">
                  <c:v>102.58046510206508</c:v>
                </c:pt>
                <c:pt idx="99">
                  <c:v>103.62720454188207</c:v>
                </c:pt>
                <c:pt idx="100">
                  <c:v>104.67394398169905</c:v>
                </c:pt>
                <c:pt idx="101">
                  <c:v>105.72068342151604</c:v>
                </c:pt>
                <c:pt idx="102">
                  <c:v>106.76742286133303</c:v>
                </c:pt>
                <c:pt idx="103">
                  <c:v>107.81416230115003</c:v>
                </c:pt>
                <c:pt idx="104">
                  <c:v>108.86090174096702</c:v>
                </c:pt>
                <c:pt idx="105">
                  <c:v>109.90764118078401</c:v>
                </c:pt>
                <c:pt idx="106">
                  <c:v>110.954380620601</c:v>
                </c:pt>
                <c:pt idx="107">
                  <c:v>112.00112006041799</c:v>
                </c:pt>
                <c:pt idx="108">
                  <c:v>113.04785950023499</c:v>
                </c:pt>
                <c:pt idx="109">
                  <c:v>114.09459894005198</c:v>
                </c:pt>
                <c:pt idx="110">
                  <c:v>115.14133837986897</c:v>
                </c:pt>
                <c:pt idx="111">
                  <c:v>116.18807781968596</c:v>
                </c:pt>
                <c:pt idx="112">
                  <c:v>117.23481725950295</c:v>
                </c:pt>
                <c:pt idx="113">
                  <c:v>118.28155669931992</c:v>
                </c:pt>
                <c:pt idx="114">
                  <c:v>119.32829613913691</c:v>
                </c:pt>
                <c:pt idx="115">
                  <c:v>120.3750355789539</c:v>
                </c:pt>
                <c:pt idx="116">
                  <c:v>121.42177501877089</c:v>
                </c:pt>
                <c:pt idx="117">
                  <c:v>122.46851445858789</c:v>
                </c:pt>
                <c:pt idx="118">
                  <c:v>123.51525389840488</c:v>
                </c:pt>
                <c:pt idx="119">
                  <c:v>124.56199333822187</c:v>
                </c:pt>
                <c:pt idx="120">
                  <c:v>125.60873277803886</c:v>
                </c:pt>
                <c:pt idx="121">
                  <c:v>126.65547221785584</c:v>
                </c:pt>
                <c:pt idx="122">
                  <c:v>127.70221165767285</c:v>
                </c:pt>
                <c:pt idx="123">
                  <c:v>128.74895109748982</c:v>
                </c:pt>
                <c:pt idx="124">
                  <c:v>129.79569053730683</c:v>
                </c:pt>
                <c:pt idx="125">
                  <c:v>130.84242997712383</c:v>
                </c:pt>
                <c:pt idx="126">
                  <c:v>131.8891694169408</c:v>
                </c:pt>
                <c:pt idx="127">
                  <c:v>132.93590885675781</c:v>
                </c:pt>
                <c:pt idx="128">
                  <c:v>133.98264829657478</c:v>
                </c:pt>
                <c:pt idx="129">
                  <c:v>135.02938773639178</c:v>
                </c:pt>
                <c:pt idx="130">
                  <c:v>136.07612717620879</c:v>
                </c:pt>
                <c:pt idx="131">
                  <c:v>137.12286661602576</c:v>
                </c:pt>
                <c:pt idx="132">
                  <c:v>138.16960605584276</c:v>
                </c:pt>
                <c:pt idx="133">
                  <c:v>139.21634549565974</c:v>
                </c:pt>
                <c:pt idx="134">
                  <c:v>140.26308493547674</c:v>
                </c:pt>
                <c:pt idx="135">
                  <c:v>141.30982437529374</c:v>
                </c:pt>
                <c:pt idx="136">
                  <c:v>142.35656381511072</c:v>
                </c:pt>
                <c:pt idx="137">
                  <c:v>143.40330325492772</c:v>
                </c:pt>
                <c:pt idx="138">
                  <c:v>144.4500426947447</c:v>
                </c:pt>
                <c:pt idx="139">
                  <c:v>145.49678213456167</c:v>
                </c:pt>
                <c:pt idx="140">
                  <c:v>146.54352157437867</c:v>
                </c:pt>
                <c:pt idx="141">
                  <c:v>147.59026101419565</c:v>
                </c:pt>
                <c:pt idx="142">
                  <c:v>148.63700045401265</c:v>
                </c:pt>
                <c:pt idx="143">
                  <c:v>149.68373989382965</c:v>
                </c:pt>
                <c:pt idx="144">
                  <c:v>150.73047933364663</c:v>
                </c:pt>
                <c:pt idx="145">
                  <c:v>151.77721877346363</c:v>
                </c:pt>
                <c:pt idx="146">
                  <c:v>152.8239582132806</c:v>
                </c:pt>
                <c:pt idx="147">
                  <c:v>153.87069765309761</c:v>
                </c:pt>
                <c:pt idx="148">
                  <c:v>154.91743709291461</c:v>
                </c:pt>
                <c:pt idx="149">
                  <c:v>155.96417653273159</c:v>
                </c:pt>
                <c:pt idx="150">
                  <c:v>157.01091597254859</c:v>
                </c:pt>
                <c:pt idx="151">
                  <c:v>158.05765541236556</c:v>
                </c:pt>
                <c:pt idx="152">
                  <c:v>159.10439485218257</c:v>
                </c:pt>
                <c:pt idx="153">
                  <c:v>160.15113429199957</c:v>
                </c:pt>
                <c:pt idx="154">
                  <c:v>161.19787373181654</c:v>
                </c:pt>
                <c:pt idx="155">
                  <c:v>162.24461317163355</c:v>
                </c:pt>
                <c:pt idx="156">
                  <c:v>163.29135261145052</c:v>
                </c:pt>
                <c:pt idx="157">
                  <c:v>164.33809205126752</c:v>
                </c:pt>
                <c:pt idx="158">
                  <c:v>165.38483149108453</c:v>
                </c:pt>
                <c:pt idx="159">
                  <c:v>166.4315709309015</c:v>
                </c:pt>
                <c:pt idx="160">
                  <c:v>167.4783103707185</c:v>
                </c:pt>
                <c:pt idx="161">
                  <c:v>168.52504981053548</c:v>
                </c:pt>
                <c:pt idx="162">
                  <c:v>169.57178925035248</c:v>
                </c:pt>
                <c:pt idx="163">
                  <c:v>170.61852869016946</c:v>
                </c:pt>
                <c:pt idx="164">
                  <c:v>171.66526812998643</c:v>
                </c:pt>
                <c:pt idx="165">
                  <c:v>172.71200756980343</c:v>
                </c:pt>
                <c:pt idx="166">
                  <c:v>173.75874700962041</c:v>
                </c:pt>
                <c:pt idx="167">
                  <c:v>174.80548644943741</c:v>
                </c:pt>
                <c:pt idx="168">
                  <c:v>175.85222588925441</c:v>
                </c:pt>
                <c:pt idx="169">
                  <c:v>176.89896532907139</c:v>
                </c:pt>
                <c:pt idx="170">
                  <c:v>177.94570476888839</c:v>
                </c:pt>
                <c:pt idx="171">
                  <c:v>178.99244420870536</c:v>
                </c:pt>
                <c:pt idx="172">
                  <c:v>180.03918364852237</c:v>
                </c:pt>
                <c:pt idx="173">
                  <c:v>181.08592308833937</c:v>
                </c:pt>
                <c:pt idx="174">
                  <c:v>182.13266252815635</c:v>
                </c:pt>
                <c:pt idx="175">
                  <c:v>183.17940196797335</c:v>
                </c:pt>
                <c:pt idx="176">
                  <c:v>184.22614140779032</c:v>
                </c:pt>
                <c:pt idx="177">
                  <c:v>185.27288084760733</c:v>
                </c:pt>
                <c:pt idx="178">
                  <c:v>186.31962028742433</c:v>
                </c:pt>
                <c:pt idx="179">
                  <c:v>187.3663597272413</c:v>
                </c:pt>
                <c:pt idx="180">
                  <c:v>188.41309916705831</c:v>
                </c:pt>
                <c:pt idx="181">
                  <c:v>189.45983860687528</c:v>
                </c:pt>
                <c:pt idx="182">
                  <c:v>190.50657804669228</c:v>
                </c:pt>
                <c:pt idx="183">
                  <c:v>191.55331748650929</c:v>
                </c:pt>
                <c:pt idx="184">
                  <c:v>192.60005692632626</c:v>
                </c:pt>
                <c:pt idx="185">
                  <c:v>193.64679636614326</c:v>
                </c:pt>
                <c:pt idx="186">
                  <c:v>194.69353580596024</c:v>
                </c:pt>
                <c:pt idx="187">
                  <c:v>195.74027524577724</c:v>
                </c:pt>
                <c:pt idx="188">
                  <c:v>196.78701468559422</c:v>
                </c:pt>
                <c:pt idx="189">
                  <c:v>197.83375412541119</c:v>
                </c:pt>
                <c:pt idx="190">
                  <c:v>198.88049356522819</c:v>
                </c:pt>
                <c:pt idx="191">
                  <c:v>199.9272330050452</c:v>
                </c:pt>
                <c:pt idx="192">
                  <c:v>200.97397244486217</c:v>
                </c:pt>
                <c:pt idx="193">
                  <c:v>202.02071188467917</c:v>
                </c:pt>
                <c:pt idx="194">
                  <c:v>203.06745132449615</c:v>
                </c:pt>
                <c:pt idx="195">
                  <c:v>204.11419076431315</c:v>
                </c:pt>
                <c:pt idx="196">
                  <c:v>205.16093020413015</c:v>
                </c:pt>
                <c:pt idx="197">
                  <c:v>206.20766964394713</c:v>
                </c:pt>
                <c:pt idx="198">
                  <c:v>207.25440908376413</c:v>
                </c:pt>
                <c:pt idx="199">
                  <c:v>208.30114852358111</c:v>
                </c:pt>
                <c:pt idx="200">
                  <c:v>209.34788796339811</c:v>
                </c:pt>
                <c:pt idx="201">
                  <c:v>210.39462740321508</c:v>
                </c:pt>
                <c:pt idx="202">
                  <c:v>211.44136684303209</c:v>
                </c:pt>
                <c:pt idx="203">
                  <c:v>212.48810628284906</c:v>
                </c:pt>
                <c:pt idx="204">
                  <c:v>213.53484572266606</c:v>
                </c:pt>
                <c:pt idx="205">
                  <c:v>214.58158516248304</c:v>
                </c:pt>
                <c:pt idx="206">
                  <c:v>215.62832460230007</c:v>
                </c:pt>
                <c:pt idx="207">
                  <c:v>216.67506404211701</c:v>
                </c:pt>
                <c:pt idx="208">
                  <c:v>217.72180348193405</c:v>
                </c:pt>
                <c:pt idx="209">
                  <c:v>218.76854292175102</c:v>
                </c:pt>
                <c:pt idx="210">
                  <c:v>219.81528236156802</c:v>
                </c:pt>
                <c:pt idx="211">
                  <c:v>220.862021801385</c:v>
                </c:pt>
                <c:pt idx="212">
                  <c:v>221.908761241202</c:v>
                </c:pt>
                <c:pt idx="213">
                  <c:v>222.95550068101898</c:v>
                </c:pt>
                <c:pt idx="214">
                  <c:v>224.00224012083598</c:v>
                </c:pt>
                <c:pt idx="215">
                  <c:v>225.04897956065295</c:v>
                </c:pt>
                <c:pt idx="216">
                  <c:v>226.09571900046998</c:v>
                </c:pt>
                <c:pt idx="217">
                  <c:v>227.14245844028693</c:v>
                </c:pt>
                <c:pt idx="218">
                  <c:v>228.18919788010396</c:v>
                </c:pt>
                <c:pt idx="219">
                  <c:v>229.23593731992094</c:v>
                </c:pt>
                <c:pt idx="220">
                  <c:v>230.28267675973794</c:v>
                </c:pt>
                <c:pt idx="221">
                  <c:v>231.32941619955491</c:v>
                </c:pt>
                <c:pt idx="222">
                  <c:v>232.37615563937192</c:v>
                </c:pt>
                <c:pt idx="223">
                  <c:v>233.42289507918889</c:v>
                </c:pt>
                <c:pt idx="224">
                  <c:v>234.46963451900589</c:v>
                </c:pt>
                <c:pt idx="225">
                  <c:v>235.51637395882287</c:v>
                </c:pt>
                <c:pt idx="226">
                  <c:v>236.56311339863984</c:v>
                </c:pt>
                <c:pt idx="227">
                  <c:v>237.60985283845685</c:v>
                </c:pt>
                <c:pt idx="228">
                  <c:v>238.65659227827382</c:v>
                </c:pt>
                <c:pt idx="229">
                  <c:v>239.70333171809085</c:v>
                </c:pt>
                <c:pt idx="230">
                  <c:v>240.7500711579078</c:v>
                </c:pt>
                <c:pt idx="231">
                  <c:v>241.79681059772483</c:v>
                </c:pt>
                <c:pt idx="232">
                  <c:v>242.84355003754177</c:v>
                </c:pt>
                <c:pt idx="233">
                  <c:v>243.89028947735881</c:v>
                </c:pt>
                <c:pt idx="234">
                  <c:v>244.93702891717578</c:v>
                </c:pt>
                <c:pt idx="235">
                  <c:v>245.98376835699278</c:v>
                </c:pt>
                <c:pt idx="236">
                  <c:v>247.03050779680976</c:v>
                </c:pt>
                <c:pt idx="237">
                  <c:v>248.07724723662676</c:v>
                </c:pt>
                <c:pt idx="238">
                  <c:v>249.12398667644374</c:v>
                </c:pt>
                <c:pt idx="239">
                  <c:v>250.17072611626074</c:v>
                </c:pt>
                <c:pt idx="240">
                  <c:v>251.21746555607771</c:v>
                </c:pt>
                <c:pt idx="241">
                  <c:v>252.26420499589474</c:v>
                </c:pt>
                <c:pt idx="242">
                  <c:v>253.31094443571169</c:v>
                </c:pt>
                <c:pt idx="243">
                  <c:v>254.35768387552872</c:v>
                </c:pt>
                <c:pt idx="244">
                  <c:v>255.4044233153457</c:v>
                </c:pt>
                <c:pt idx="245">
                  <c:v>256.45116275516273</c:v>
                </c:pt>
                <c:pt idx="246">
                  <c:v>257.49790219497964</c:v>
                </c:pt>
                <c:pt idx="247">
                  <c:v>258.54464163479668</c:v>
                </c:pt>
                <c:pt idx="248">
                  <c:v>259.59138107461365</c:v>
                </c:pt>
                <c:pt idx="249">
                  <c:v>260.63812051443068</c:v>
                </c:pt>
                <c:pt idx="250">
                  <c:v>261.68485995424766</c:v>
                </c:pt>
                <c:pt idx="251">
                  <c:v>262.73159939406463</c:v>
                </c:pt>
                <c:pt idx="252">
                  <c:v>263.77833883388161</c:v>
                </c:pt>
                <c:pt idx="253">
                  <c:v>264.82507827369858</c:v>
                </c:pt>
                <c:pt idx="254">
                  <c:v>265.87181771351561</c:v>
                </c:pt>
                <c:pt idx="255">
                  <c:v>266.91855715333259</c:v>
                </c:pt>
                <c:pt idx="256">
                  <c:v>267.96529659314956</c:v>
                </c:pt>
                <c:pt idx="257">
                  <c:v>269.01203603296653</c:v>
                </c:pt>
                <c:pt idx="258">
                  <c:v>270.05877547278357</c:v>
                </c:pt>
                <c:pt idx="259">
                  <c:v>271.10551491260054</c:v>
                </c:pt>
                <c:pt idx="260">
                  <c:v>272.15225435241757</c:v>
                </c:pt>
                <c:pt idx="261">
                  <c:v>273.19899379223455</c:v>
                </c:pt>
                <c:pt idx="262">
                  <c:v>274.24573323205152</c:v>
                </c:pt>
                <c:pt idx="263">
                  <c:v>275.2924726718685</c:v>
                </c:pt>
                <c:pt idx="264">
                  <c:v>276.33921211168553</c:v>
                </c:pt>
                <c:pt idx="265">
                  <c:v>277.3859515515025</c:v>
                </c:pt>
                <c:pt idx="266">
                  <c:v>278.43269099131948</c:v>
                </c:pt>
                <c:pt idx="267">
                  <c:v>279.47943043113645</c:v>
                </c:pt>
                <c:pt idx="268">
                  <c:v>280.52616987095348</c:v>
                </c:pt>
                <c:pt idx="269">
                  <c:v>281.57290931077046</c:v>
                </c:pt>
                <c:pt idx="270">
                  <c:v>282.61964875058749</c:v>
                </c:pt>
                <c:pt idx="271">
                  <c:v>283.6663881904044</c:v>
                </c:pt>
                <c:pt idx="272">
                  <c:v>284.71312763022144</c:v>
                </c:pt>
                <c:pt idx="273">
                  <c:v>285.75986707003841</c:v>
                </c:pt>
                <c:pt idx="274">
                  <c:v>286.80660650985544</c:v>
                </c:pt>
                <c:pt idx="275">
                  <c:v>287.85334594967242</c:v>
                </c:pt>
                <c:pt idx="276">
                  <c:v>288.90008538948939</c:v>
                </c:pt>
                <c:pt idx="277">
                  <c:v>289.94682482930637</c:v>
                </c:pt>
                <c:pt idx="278">
                  <c:v>290.99356426912334</c:v>
                </c:pt>
                <c:pt idx="279">
                  <c:v>292.04030370894037</c:v>
                </c:pt>
                <c:pt idx="280">
                  <c:v>293.08704314875735</c:v>
                </c:pt>
                <c:pt idx="281">
                  <c:v>294.13378258857432</c:v>
                </c:pt>
                <c:pt idx="282">
                  <c:v>295.18052202839129</c:v>
                </c:pt>
                <c:pt idx="283">
                  <c:v>296.22726146820833</c:v>
                </c:pt>
                <c:pt idx="284">
                  <c:v>297.2740009080253</c:v>
                </c:pt>
                <c:pt idx="285">
                  <c:v>298.32074034784233</c:v>
                </c:pt>
                <c:pt idx="286">
                  <c:v>299.36747978765931</c:v>
                </c:pt>
                <c:pt idx="287">
                  <c:v>300.41421922747628</c:v>
                </c:pt>
                <c:pt idx="288">
                  <c:v>301.46095866729326</c:v>
                </c:pt>
                <c:pt idx="289">
                  <c:v>302.50769810711029</c:v>
                </c:pt>
                <c:pt idx="290">
                  <c:v>303.55443754692726</c:v>
                </c:pt>
                <c:pt idx="291">
                  <c:v>304.60117698674424</c:v>
                </c:pt>
                <c:pt idx="292">
                  <c:v>305.64791642656121</c:v>
                </c:pt>
                <c:pt idx="293">
                  <c:v>306.69465586637824</c:v>
                </c:pt>
                <c:pt idx="294">
                  <c:v>307.74139530619522</c:v>
                </c:pt>
                <c:pt idx="295">
                  <c:v>308.78813474601225</c:v>
                </c:pt>
                <c:pt idx="296">
                  <c:v>309.83487418582922</c:v>
                </c:pt>
                <c:pt idx="297">
                  <c:v>310.8816136256462</c:v>
                </c:pt>
                <c:pt idx="298">
                  <c:v>311.92835306546317</c:v>
                </c:pt>
                <c:pt idx="299">
                  <c:v>312.9750925052802</c:v>
                </c:pt>
                <c:pt idx="300">
                  <c:v>314.02183194509718</c:v>
                </c:pt>
                <c:pt idx="301">
                  <c:v>315.06857138491415</c:v>
                </c:pt>
                <c:pt idx="302">
                  <c:v>316.11531082473113</c:v>
                </c:pt>
                <c:pt idx="303">
                  <c:v>317.1620502645481</c:v>
                </c:pt>
                <c:pt idx="304">
                  <c:v>318.20878970436513</c:v>
                </c:pt>
                <c:pt idx="305">
                  <c:v>319.25552914418211</c:v>
                </c:pt>
                <c:pt idx="306">
                  <c:v>320.30226858399914</c:v>
                </c:pt>
                <c:pt idx="307">
                  <c:v>321.34900802381605</c:v>
                </c:pt>
                <c:pt idx="308">
                  <c:v>322.39574746363309</c:v>
                </c:pt>
                <c:pt idx="309">
                  <c:v>323.44248690345006</c:v>
                </c:pt>
                <c:pt idx="310">
                  <c:v>324.48922634326709</c:v>
                </c:pt>
                <c:pt idx="311">
                  <c:v>325.53596578308407</c:v>
                </c:pt>
                <c:pt idx="312">
                  <c:v>326.58270522290104</c:v>
                </c:pt>
                <c:pt idx="313">
                  <c:v>327.62944466271802</c:v>
                </c:pt>
                <c:pt idx="314">
                  <c:v>328.67618410253505</c:v>
                </c:pt>
                <c:pt idx="315">
                  <c:v>329.72292354235202</c:v>
                </c:pt>
                <c:pt idx="316">
                  <c:v>330.76966298216905</c:v>
                </c:pt>
                <c:pt idx="317">
                  <c:v>331.81640242198597</c:v>
                </c:pt>
                <c:pt idx="318">
                  <c:v>332.863141861803</c:v>
                </c:pt>
                <c:pt idx="319">
                  <c:v>333.90988130161998</c:v>
                </c:pt>
                <c:pt idx="320">
                  <c:v>334.95662074143701</c:v>
                </c:pt>
                <c:pt idx="321">
                  <c:v>336.00336018125398</c:v>
                </c:pt>
                <c:pt idx="322">
                  <c:v>337.05009962107096</c:v>
                </c:pt>
                <c:pt idx="323">
                  <c:v>338.09683906088793</c:v>
                </c:pt>
                <c:pt idx="324">
                  <c:v>339.14357850070496</c:v>
                </c:pt>
                <c:pt idx="325">
                  <c:v>340.19031794052194</c:v>
                </c:pt>
                <c:pt idx="326">
                  <c:v>341.23705738033891</c:v>
                </c:pt>
                <c:pt idx="327">
                  <c:v>342.2837968201564</c:v>
                </c:pt>
                <c:pt idx="328">
                  <c:v>343.33053625997343</c:v>
                </c:pt>
                <c:pt idx="329">
                  <c:v>344.3772756997904</c:v>
                </c:pt>
                <c:pt idx="330">
                  <c:v>345.42401513960743</c:v>
                </c:pt>
                <c:pt idx="331">
                  <c:v>346.47075457942441</c:v>
                </c:pt>
                <c:pt idx="332">
                  <c:v>347.51749401924138</c:v>
                </c:pt>
                <c:pt idx="333">
                  <c:v>348.56423345905836</c:v>
                </c:pt>
                <c:pt idx="334">
                  <c:v>349.61097289887539</c:v>
                </c:pt>
                <c:pt idx="335">
                  <c:v>350.65771233869236</c:v>
                </c:pt>
                <c:pt idx="336">
                  <c:v>351.70445177850939</c:v>
                </c:pt>
                <c:pt idx="337">
                  <c:v>352.75119121832631</c:v>
                </c:pt>
                <c:pt idx="338">
                  <c:v>353.79793065814329</c:v>
                </c:pt>
                <c:pt idx="339">
                  <c:v>354.84467009796032</c:v>
                </c:pt>
                <c:pt idx="340">
                  <c:v>355.89140953777729</c:v>
                </c:pt>
                <c:pt idx="341">
                  <c:v>356.93814897759432</c:v>
                </c:pt>
                <c:pt idx="342">
                  <c:v>357.98488841741124</c:v>
                </c:pt>
                <c:pt idx="343">
                  <c:v>359.03162785722827</c:v>
                </c:pt>
                <c:pt idx="344">
                  <c:v>360.07836729704525</c:v>
                </c:pt>
                <c:pt idx="345">
                  <c:v>361.12510673686228</c:v>
                </c:pt>
                <c:pt idx="346">
                  <c:v>362.17184617667925</c:v>
                </c:pt>
                <c:pt idx="347">
                  <c:v>363.21858561649623</c:v>
                </c:pt>
                <c:pt idx="348">
                  <c:v>364.26532505631377</c:v>
                </c:pt>
                <c:pt idx="349">
                  <c:v>365.31206449613074</c:v>
                </c:pt>
                <c:pt idx="350">
                  <c:v>366.35880393594778</c:v>
                </c:pt>
                <c:pt idx="351">
                  <c:v>367.40554337576475</c:v>
                </c:pt>
                <c:pt idx="352">
                  <c:v>368.45228281558167</c:v>
                </c:pt>
                <c:pt idx="353">
                  <c:v>369.4990222553987</c:v>
                </c:pt>
                <c:pt idx="354">
                  <c:v>370.54576169521567</c:v>
                </c:pt>
                <c:pt idx="355">
                  <c:v>371.59250113503271</c:v>
                </c:pt>
                <c:pt idx="356">
                  <c:v>372.63924057484968</c:v>
                </c:pt>
                <c:pt idx="357">
                  <c:v>373.68598001466665</c:v>
                </c:pt>
                <c:pt idx="358">
                  <c:v>374.73271945448363</c:v>
                </c:pt>
                <c:pt idx="359">
                  <c:v>375.77945889430066</c:v>
                </c:pt>
                <c:pt idx="360">
                  <c:v>376.82619833411763</c:v>
                </c:pt>
                <c:pt idx="361">
                  <c:v>377.87293777393467</c:v>
                </c:pt>
                <c:pt idx="362">
                  <c:v>378.91967721375158</c:v>
                </c:pt>
                <c:pt idx="363">
                  <c:v>379.96641665356861</c:v>
                </c:pt>
                <c:pt idx="364">
                  <c:v>381.01315609338559</c:v>
                </c:pt>
                <c:pt idx="365">
                  <c:v>382.05989553320262</c:v>
                </c:pt>
                <c:pt idx="366">
                  <c:v>383.1066349730196</c:v>
                </c:pt>
                <c:pt idx="367">
                  <c:v>384.15337441283657</c:v>
                </c:pt>
                <c:pt idx="368">
                  <c:v>385.20011385265354</c:v>
                </c:pt>
                <c:pt idx="369">
                  <c:v>386.24685329247058</c:v>
                </c:pt>
                <c:pt idx="370">
                  <c:v>387.29359273228806</c:v>
                </c:pt>
                <c:pt idx="371">
                  <c:v>388.34033217210509</c:v>
                </c:pt>
                <c:pt idx="372">
                  <c:v>389.38707161192201</c:v>
                </c:pt>
                <c:pt idx="373">
                  <c:v>390.43381105173904</c:v>
                </c:pt>
                <c:pt idx="374">
                  <c:v>391.48055049155602</c:v>
                </c:pt>
                <c:pt idx="375">
                  <c:v>392.52728993137305</c:v>
                </c:pt>
                <c:pt idx="376">
                  <c:v>393.57402937119002</c:v>
                </c:pt>
                <c:pt idx="377">
                  <c:v>394.620768811007</c:v>
                </c:pt>
                <c:pt idx="378">
                  <c:v>395.66750825082397</c:v>
                </c:pt>
                <c:pt idx="379">
                  <c:v>396.714247690641</c:v>
                </c:pt>
                <c:pt idx="380">
                  <c:v>397.76098713045798</c:v>
                </c:pt>
                <c:pt idx="381">
                  <c:v>398.80772657027501</c:v>
                </c:pt>
                <c:pt idx="382">
                  <c:v>399.85446601009193</c:v>
                </c:pt>
                <c:pt idx="383">
                  <c:v>400.90120544990896</c:v>
                </c:pt>
                <c:pt idx="384">
                  <c:v>401.94794488972593</c:v>
                </c:pt>
                <c:pt idx="385">
                  <c:v>402.99468432954296</c:v>
                </c:pt>
                <c:pt idx="386">
                  <c:v>404.04142376935994</c:v>
                </c:pt>
                <c:pt idx="387">
                  <c:v>405.08816320917691</c:v>
                </c:pt>
                <c:pt idx="388">
                  <c:v>406.13490264899389</c:v>
                </c:pt>
                <c:pt idx="389">
                  <c:v>407.18164208881086</c:v>
                </c:pt>
                <c:pt idx="390">
                  <c:v>408.22838152862789</c:v>
                </c:pt>
                <c:pt idx="391">
                  <c:v>409.27512096844544</c:v>
                </c:pt>
                <c:pt idx="392">
                  <c:v>410.32186040826235</c:v>
                </c:pt>
                <c:pt idx="393">
                  <c:v>411.36859984807938</c:v>
                </c:pt>
                <c:pt idx="394">
                  <c:v>412.41533928789636</c:v>
                </c:pt>
                <c:pt idx="395">
                  <c:v>413.46207872771339</c:v>
                </c:pt>
                <c:pt idx="396">
                  <c:v>414.50881816753036</c:v>
                </c:pt>
                <c:pt idx="397">
                  <c:v>415.55555760734734</c:v>
                </c:pt>
                <c:pt idx="398">
                  <c:v>416.60229704716431</c:v>
                </c:pt>
                <c:pt idx="399">
                  <c:v>417.64903648698134</c:v>
                </c:pt>
                <c:pt idx="400">
                  <c:v>418.69577592679838</c:v>
                </c:pt>
                <c:pt idx="401">
                  <c:v>419.74251536661535</c:v>
                </c:pt>
                <c:pt idx="402">
                  <c:v>420.78925480643227</c:v>
                </c:pt>
                <c:pt idx="403">
                  <c:v>421.83599424624924</c:v>
                </c:pt>
                <c:pt idx="404">
                  <c:v>422.88273368606622</c:v>
                </c:pt>
                <c:pt idx="405">
                  <c:v>423.92947312588331</c:v>
                </c:pt>
                <c:pt idx="406">
                  <c:v>424.97621256570028</c:v>
                </c:pt>
                <c:pt idx="407">
                  <c:v>426.0229520055172</c:v>
                </c:pt>
                <c:pt idx="408">
                  <c:v>427.06969144533417</c:v>
                </c:pt>
                <c:pt idx="409">
                  <c:v>428.11643088515126</c:v>
                </c:pt>
                <c:pt idx="410">
                  <c:v>429.16317032496823</c:v>
                </c:pt>
                <c:pt idx="411">
                  <c:v>430.20990976478521</c:v>
                </c:pt>
                <c:pt idx="412">
                  <c:v>431.25664920460218</c:v>
                </c:pt>
                <c:pt idx="413">
                  <c:v>432.30338864441967</c:v>
                </c:pt>
                <c:pt idx="414">
                  <c:v>433.35012808423676</c:v>
                </c:pt>
                <c:pt idx="415">
                  <c:v>434.39686752405373</c:v>
                </c:pt>
                <c:pt idx="416">
                  <c:v>435.44360696387071</c:v>
                </c:pt>
                <c:pt idx="417">
                  <c:v>436.49034640368762</c:v>
                </c:pt>
                <c:pt idx="418">
                  <c:v>437.5370858435046</c:v>
                </c:pt>
                <c:pt idx="419">
                  <c:v>438.58382528332169</c:v>
                </c:pt>
                <c:pt idx="420">
                  <c:v>439.63056472313866</c:v>
                </c:pt>
                <c:pt idx="421">
                  <c:v>440.67730416295564</c:v>
                </c:pt>
                <c:pt idx="422">
                  <c:v>441.72404360277261</c:v>
                </c:pt>
                <c:pt idx="423">
                  <c:v>442.77078304258964</c:v>
                </c:pt>
                <c:pt idx="424">
                  <c:v>443.81752248240662</c:v>
                </c:pt>
                <c:pt idx="425">
                  <c:v>444.86426192222359</c:v>
                </c:pt>
                <c:pt idx="426">
                  <c:v>445.91100136204057</c:v>
                </c:pt>
                <c:pt idx="427">
                  <c:v>446.9577408018576</c:v>
                </c:pt>
                <c:pt idx="428">
                  <c:v>448.00448024167457</c:v>
                </c:pt>
                <c:pt idx="429">
                  <c:v>449.05121968149155</c:v>
                </c:pt>
                <c:pt idx="430">
                  <c:v>450.09795912130852</c:v>
                </c:pt>
                <c:pt idx="431">
                  <c:v>451.14469856112555</c:v>
                </c:pt>
                <c:pt idx="432">
                  <c:v>452.19143800094253</c:v>
                </c:pt>
                <c:pt idx="433">
                  <c:v>453.2381774407595</c:v>
                </c:pt>
                <c:pt idx="434">
                  <c:v>454.28491688057647</c:v>
                </c:pt>
                <c:pt idx="435">
                  <c:v>455.33165632039402</c:v>
                </c:pt>
                <c:pt idx="436">
                  <c:v>456.37839576021099</c:v>
                </c:pt>
                <c:pt idx="437">
                  <c:v>457.42513520002802</c:v>
                </c:pt>
                <c:pt idx="438">
                  <c:v>458.471874639845</c:v>
                </c:pt>
                <c:pt idx="439">
                  <c:v>459.51861407966197</c:v>
                </c:pt>
                <c:pt idx="440">
                  <c:v>460.56535351947895</c:v>
                </c:pt>
                <c:pt idx="441">
                  <c:v>461.61209295929598</c:v>
                </c:pt>
                <c:pt idx="442">
                  <c:v>462.65883239911295</c:v>
                </c:pt>
                <c:pt idx="443">
                  <c:v>463.70557183892993</c:v>
                </c:pt>
                <c:pt idx="444">
                  <c:v>464.7523112787469</c:v>
                </c:pt>
                <c:pt idx="445">
                  <c:v>465.79905071856399</c:v>
                </c:pt>
                <c:pt idx="446">
                  <c:v>466.84579015838096</c:v>
                </c:pt>
                <c:pt idx="447">
                  <c:v>467.89252959819788</c:v>
                </c:pt>
                <c:pt idx="448">
                  <c:v>468.93926903801486</c:v>
                </c:pt>
                <c:pt idx="449">
                  <c:v>469.98600847783194</c:v>
                </c:pt>
                <c:pt idx="450">
                  <c:v>471.03274791764892</c:v>
                </c:pt>
                <c:pt idx="451">
                  <c:v>472.07948735746589</c:v>
                </c:pt>
                <c:pt idx="452">
                  <c:v>473.12622679728287</c:v>
                </c:pt>
                <c:pt idx="453">
                  <c:v>474.17296623709979</c:v>
                </c:pt>
                <c:pt idx="454">
                  <c:v>475.21970567691687</c:v>
                </c:pt>
                <c:pt idx="455">
                  <c:v>476.26644511673385</c:v>
                </c:pt>
                <c:pt idx="456">
                  <c:v>477.31318455655139</c:v>
                </c:pt>
                <c:pt idx="457">
                  <c:v>478.35992399636831</c:v>
                </c:pt>
                <c:pt idx="458">
                  <c:v>479.40666343618528</c:v>
                </c:pt>
                <c:pt idx="459">
                  <c:v>480.45340287600237</c:v>
                </c:pt>
                <c:pt idx="460">
                  <c:v>481.50014231581935</c:v>
                </c:pt>
                <c:pt idx="461">
                  <c:v>482.54688175563632</c:v>
                </c:pt>
                <c:pt idx="462">
                  <c:v>483.59362119545324</c:v>
                </c:pt>
                <c:pt idx="463">
                  <c:v>484.64036063527033</c:v>
                </c:pt>
                <c:pt idx="464">
                  <c:v>485.6871000750873</c:v>
                </c:pt>
                <c:pt idx="465">
                  <c:v>486.73383951490428</c:v>
                </c:pt>
                <c:pt idx="466">
                  <c:v>487.78057895472125</c:v>
                </c:pt>
                <c:pt idx="467">
                  <c:v>488.82731839453822</c:v>
                </c:pt>
                <c:pt idx="468">
                  <c:v>489.87405783435526</c:v>
                </c:pt>
                <c:pt idx="469">
                  <c:v>490.92079727417223</c:v>
                </c:pt>
                <c:pt idx="470">
                  <c:v>491.9675367139892</c:v>
                </c:pt>
                <c:pt idx="471">
                  <c:v>493.01427615380618</c:v>
                </c:pt>
                <c:pt idx="472">
                  <c:v>494.06101559362321</c:v>
                </c:pt>
                <c:pt idx="473">
                  <c:v>495.10775503344018</c:v>
                </c:pt>
                <c:pt idx="474">
                  <c:v>496.15449447325716</c:v>
                </c:pt>
                <c:pt idx="475">
                  <c:v>497.20123391307413</c:v>
                </c:pt>
                <c:pt idx="476">
                  <c:v>498.24797335289117</c:v>
                </c:pt>
                <c:pt idx="477">
                  <c:v>499.29471279270814</c:v>
                </c:pt>
                <c:pt idx="478">
                  <c:v>500.34145223252568</c:v>
                </c:pt>
                <c:pt idx="479">
                  <c:v>501.38819167234266</c:v>
                </c:pt>
                <c:pt idx="480">
                  <c:v>502.43493111215963</c:v>
                </c:pt>
                <c:pt idx="481">
                  <c:v>503.48167055197661</c:v>
                </c:pt>
                <c:pt idx="482">
                  <c:v>504.52840999179364</c:v>
                </c:pt>
                <c:pt idx="483">
                  <c:v>505.57514943161061</c:v>
                </c:pt>
                <c:pt idx="484">
                  <c:v>506.62188887142759</c:v>
                </c:pt>
                <c:pt idx="485">
                  <c:v>507.66862831124456</c:v>
                </c:pt>
                <c:pt idx="486">
                  <c:v>508.71536775106159</c:v>
                </c:pt>
                <c:pt idx="487">
                  <c:v>509.76210719087857</c:v>
                </c:pt>
                <c:pt idx="488">
                  <c:v>510.80884663069554</c:v>
                </c:pt>
                <c:pt idx="489">
                  <c:v>511.85558607051252</c:v>
                </c:pt>
                <c:pt idx="490">
                  <c:v>512.90232551032955</c:v>
                </c:pt>
                <c:pt idx="491">
                  <c:v>513.94906495014652</c:v>
                </c:pt>
                <c:pt idx="492">
                  <c:v>514.9958043899635</c:v>
                </c:pt>
                <c:pt idx="493">
                  <c:v>516.04254382978047</c:v>
                </c:pt>
                <c:pt idx="494">
                  <c:v>517.08928326959756</c:v>
                </c:pt>
                <c:pt idx="495">
                  <c:v>518.13602270941453</c:v>
                </c:pt>
                <c:pt idx="496">
                  <c:v>519.18276214923151</c:v>
                </c:pt>
                <c:pt idx="497">
                  <c:v>520.22950158904848</c:v>
                </c:pt>
                <c:pt idx="498">
                  <c:v>521.27624102886557</c:v>
                </c:pt>
                <c:pt idx="499">
                  <c:v>522.32298046868243</c:v>
                </c:pt>
                <c:pt idx="500">
                  <c:v>523.36971990850043</c:v>
                </c:pt>
                <c:pt idx="501">
                  <c:v>524.41645934831752</c:v>
                </c:pt>
                <c:pt idx="502">
                  <c:v>525.46319878813449</c:v>
                </c:pt>
                <c:pt idx="503">
                  <c:v>526.50993822795147</c:v>
                </c:pt>
                <c:pt idx="504">
                  <c:v>527.55667766776844</c:v>
                </c:pt>
                <c:pt idx="505">
                  <c:v>528.60341710758541</c:v>
                </c:pt>
                <c:pt idx="506">
                  <c:v>529.6501565474025</c:v>
                </c:pt>
                <c:pt idx="507">
                  <c:v>530.69689598721948</c:v>
                </c:pt>
                <c:pt idx="508">
                  <c:v>531.74363542703645</c:v>
                </c:pt>
                <c:pt idx="509">
                  <c:v>532.79037486685343</c:v>
                </c:pt>
                <c:pt idx="510">
                  <c:v>533.8371143066704</c:v>
                </c:pt>
                <c:pt idx="511">
                  <c:v>534.88385374648738</c:v>
                </c:pt>
                <c:pt idx="512">
                  <c:v>535.93059318630435</c:v>
                </c:pt>
                <c:pt idx="513">
                  <c:v>536.97733262612132</c:v>
                </c:pt>
                <c:pt idx="514">
                  <c:v>538.02407206593841</c:v>
                </c:pt>
                <c:pt idx="515">
                  <c:v>539.07081150575539</c:v>
                </c:pt>
                <c:pt idx="516">
                  <c:v>540.11755094557236</c:v>
                </c:pt>
                <c:pt idx="517">
                  <c:v>541.16429038538934</c:v>
                </c:pt>
                <c:pt idx="518">
                  <c:v>542.21102982520642</c:v>
                </c:pt>
                <c:pt idx="519">
                  <c:v>543.25776926502328</c:v>
                </c:pt>
                <c:pt idx="520">
                  <c:v>544.30450870484026</c:v>
                </c:pt>
                <c:pt idx="521">
                  <c:v>545.35124814465723</c:v>
                </c:pt>
                <c:pt idx="522">
                  <c:v>546.39798758447432</c:v>
                </c:pt>
                <c:pt idx="523">
                  <c:v>547.4447270242913</c:v>
                </c:pt>
                <c:pt idx="524">
                  <c:v>548.49146646410827</c:v>
                </c:pt>
                <c:pt idx="525">
                  <c:v>549.53820590392525</c:v>
                </c:pt>
                <c:pt idx="526">
                  <c:v>550.58494534374233</c:v>
                </c:pt>
                <c:pt idx="527">
                  <c:v>551.63168478355931</c:v>
                </c:pt>
                <c:pt idx="528">
                  <c:v>552.67842422337628</c:v>
                </c:pt>
                <c:pt idx="529">
                  <c:v>553.72516366319326</c:v>
                </c:pt>
                <c:pt idx="530">
                  <c:v>554.77190310301012</c:v>
                </c:pt>
                <c:pt idx="531">
                  <c:v>555.81864254282721</c:v>
                </c:pt>
                <c:pt idx="532">
                  <c:v>556.86538198264418</c:v>
                </c:pt>
                <c:pt idx="533">
                  <c:v>557.91212142246115</c:v>
                </c:pt>
                <c:pt idx="534">
                  <c:v>558.95886086227813</c:v>
                </c:pt>
                <c:pt idx="535">
                  <c:v>560.00560030209522</c:v>
                </c:pt>
                <c:pt idx="536">
                  <c:v>561.05233974191219</c:v>
                </c:pt>
                <c:pt idx="537">
                  <c:v>562.09907918172917</c:v>
                </c:pt>
                <c:pt idx="538">
                  <c:v>563.14581862154614</c:v>
                </c:pt>
                <c:pt idx="539">
                  <c:v>564.19255806136312</c:v>
                </c:pt>
                <c:pt idx="540">
                  <c:v>565.23929750118009</c:v>
                </c:pt>
                <c:pt idx="541">
                  <c:v>566.28603694099706</c:v>
                </c:pt>
                <c:pt idx="542">
                  <c:v>567.33277638081404</c:v>
                </c:pt>
                <c:pt idx="543">
                  <c:v>568.37951582063113</c:v>
                </c:pt>
                <c:pt idx="544">
                  <c:v>569.4262552604481</c:v>
                </c:pt>
                <c:pt idx="545">
                  <c:v>570.47299470026508</c:v>
                </c:pt>
                <c:pt idx="546">
                  <c:v>571.51973414008205</c:v>
                </c:pt>
                <c:pt idx="547">
                  <c:v>572.56647357989914</c:v>
                </c:pt>
                <c:pt idx="548">
                  <c:v>573.61321301971611</c:v>
                </c:pt>
                <c:pt idx="549">
                  <c:v>574.65995245953309</c:v>
                </c:pt>
                <c:pt idx="550">
                  <c:v>575.70669189934995</c:v>
                </c:pt>
                <c:pt idx="551">
                  <c:v>576.75343133916704</c:v>
                </c:pt>
                <c:pt idx="552">
                  <c:v>577.80017077898401</c:v>
                </c:pt>
                <c:pt idx="553">
                  <c:v>578.84691021880099</c:v>
                </c:pt>
                <c:pt idx="554">
                  <c:v>579.89364965861796</c:v>
                </c:pt>
                <c:pt idx="555">
                  <c:v>580.94038909843493</c:v>
                </c:pt>
                <c:pt idx="556">
                  <c:v>581.98712853825202</c:v>
                </c:pt>
                <c:pt idx="557">
                  <c:v>583.033867978069</c:v>
                </c:pt>
                <c:pt idx="558">
                  <c:v>584.08060741788597</c:v>
                </c:pt>
                <c:pt idx="559">
                  <c:v>585.12734685770295</c:v>
                </c:pt>
                <c:pt idx="560">
                  <c:v>586.17408629751992</c:v>
                </c:pt>
                <c:pt idx="561">
                  <c:v>587.2208257373369</c:v>
                </c:pt>
                <c:pt idx="562">
                  <c:v>588.26756517715387</c:v>
                </c:pt>
                <c:pt idx="563">
                  <c:v>589.31430461697084</c:v>
                </c:pt>
                <c:pt idx="564">
                  <c:v>590.36104405678793</c:v>
                </c:pt>
                <c:pt idx="565">
                  <c:v>591.40778349660491</c:v>
                </c:pt>
                <c:pt idx="566">
                  <c:v>592.45452293642188</c:v>
                </c:pt>
                <c:pt idx="567">
                  <c:v>593.50126237623886</c:v>
                </c:pt>
                <c:pt idx="568">
                  <c:v>594.54800181605594</c:v>
                </c:pt>
                <c:pt idx="569">
                  <c:v>595.59474125587292</c:v>
                </c:pt>
                <c:pt idx="570">
                  <c:v>596.64148069568978</c:v>
                </c:pt>
                <c:pt idx="571">
                  <c:v>597.68822013550675</c:v>
                </c:pt>
                <c:pt idx="572">
                  <c:v>598.73495957532384</c:v>
                </c:pt>
                <c:pt idx="573">
                  <c:v>599.78169901514082</c:v>
                </c:pt>
                <c:pt idx="574">
                  <c:v>600.82843845495779</c:v>
                </c:pt>
                <c:pt idx="575">
                  <c:v>601.87517789477477</c:v>
                </c:pt>
                <c:pt idx="576">
                  <c:v>602.92191733459185</c:v>
                </c:pt>
                <c:pt idx="577">
                  <c:v>603.96865677440883</c:v>
                </c:pt>
                <c:pt idx="578">
                  <c:v>605.0153962142258</c:v>
                </c:pt>
                <c:pt idx="579">
                  <c:v>606.06213565404278</c:v>
                </c:pt>
                <c:pt idx="580">
                  <c:v>607.10887509385975</c:v>
                </c:pt>
                <c:pt idx="581">
                  <c:v>608.15561453367673</c:v>
                </c:pt>
                <c:pt idx="582">
                  <c:v>609.2023539734937</c:v>
                </c:pt>
                <c:pt idx="583">
                  <c:v>610.24909341331067</c:v>
                </c:pt>
                <c:pt idx="584">
                  <c:v>611.29583285312765</c:v>
                </c:pt>
                <c:pt idx="585">
                  <c:v>612.34257229294474</c:v>
                </c:pt>
                <c:pt idx="586">
                  <c:v>613.38931173276171</c:v>
                </c:pt>
                <c:pt idx="587">
                  <c:v>614.43605117257869</c:v>
                </c:pt>
                <c:pt idx="588">
                  <c:v>615.48279061239566</c:v>
                </c:pt>
                <c:pt idx="589">
                  <c:v>616.52953005221275</c:v>
                </c:pt>
                <c:pt idx="590">
                  <c:v>617.57626949202961</c:v>
                </c:pt>
                <c:pt idx="591">
                  <c:v>618.62300893184658</c:v>
                </c:pt>
                <c:pt idx="592">
                  <c:v>619.66974837166356</c:v>
                </c:pt>
                <c:pt idx="593">
                  <c:v>620.71648781148065</c:v>
                </c:pt>
                <c:pt idx="594">
                  <c:v>621.76322725129762</c:v>
                </c:pt>
                <c:pt idx="595">
                  <c:v>622.8099666911146</c:v>
                </c:pt>
                <c:pt idx="596">
                  <c:v>623.85670613093157</c:v>
                </c:pt>
                <c:pt idx="597">
                  <c:v>624.90344557074866</c:v>
                </c:pt>
                <c:pt idx="598">
                  <c:v>625.95018501056563</c:v>
                </c:pt>
                <c:pt idx="599">
                  <c:v>626.99692445038261</c:v>
                </c:pt>
                <c:pt idx="600">
                  <c:v>628.04366389019958</c:v>
                </c:pt>
                <c:pt idx="601">
                  <c:v>629.09040333001656</c:v>
                </c:pt>
                <c:pt idx="602">
                  <c:v>630.13714276983353</c:v>
                </c:pt>
                <c:pt idx="603">
                  <c:v>631.18388220965051</c:v>
                </c:pt>
                <c:pt idx="604">
                  <c:v>632.23062164946748</c:v>
                </c:pt>
                <c:pt idx="605">
                  <c:v>633.27736108928445</c:v>
                </c:pt>
                <c:pt idx="606">
                  <c:v>634.32410052910154</c:v>
                </c:pt>
                <c:pt idx="607">
                  <c:v>635.37083996891852</c:v>
                </c:pt>
                <c:pt idx="608">
                  <c:v>636.41757940873549</c:v>
                </c:pt>
                <c:pt idx="609">
                  <c:v>637.46431884855247</c:v>
                </c:pt>
                <c:pt idx="610">
                  <c:v>638.51105828836944</c:v>
                </c:pt>
                <c:pt idx="611">
                  <c:v>639.55779772818642</c:v>
                </c:pt>
                <c:pt idx="612">
                  <c:v>640.60453716800339</c:v>
                </c:pt>
                <c:pt idx="613">
                  <c:v>641.65127660782036</c:v>
                </c:pt>
                <c:pt idx="614">
                  <c:v>642.69801604763745</c:v>
                </c:pt>
                <c:pt idx="615">
                  <c:v>643.74475548745443</c:v>
                </c:pt>
                <c:pt idx="616">
                  <c:v>644.7914949272714</c:v>
                </c:pt>
                <c:pt idx="617">
                  <c:v>645.83823436708838</c:v>
                </c:pt>
                <c:pt idx="618">
                  <c:v>646.88497380690546</c:v>
                </c:pt>
                <c:pt idx="619">
                  <c:v>647.93171324672244</c:v>
                </c:pt>
                <c:pt idx="620">
                  <c:v>648.97845268653941</c:v>
                </c:pt>
                <c:pt idx="621">
                  <c:v>650.02519212635627</c:v>
                </c:pt>
                <c:pt idx="622">
                  <c:v>651.07193156617336</c:v>
                </c:pt>
                <c:pt idx="623">
                  <c:v>652.11867100599034</c:v>
                </c:pt>
                <c:pt idx="624">
                  <c:v>653.16541044580731</c:v>
                </c:pt>
                <c:pt idx="625">
                  <c:v>654.21214988562429</c:v>
                </c:pt>
                <c:pt idx="626">
                  <c:v>655.25888932544137</c:v>
                </c:pt>
                <c:pt idx="627">
                  <c:v>656.30562876525835</c:v>
                </c:pt>
                <c:pt idx="628">
                  <c:v>657.35236820507532</c:v>
                </c:pt>
                <c:pt idx="629">
                  <c:v>658.39910764489753</c:v>
                </c:pt>
                <c:pt idx="630">
                  <c:v>659.4458470847145</c:v>
                </c:pt>
                <c:pt idx="631">
                  <c:v>660.49258652453148</c:v>
                </c:pt>
                <c:pt idx="632">
                  <c:v>661.53932596434322</c:v>
                </c:pt>
                <c:pt idx="633">
                  <c:v>662.58606540416019</c:v>
                </c:pt>
                <c:pt idx="634">
                  <c:v>663.63280484397717</c:v>
                </c:pt>
                <c:pt idx="635">
                  <c:v>664.67954428379426</c:v>
                </c:pt>
                <c:pt idx="636">
                  <c:v>665.72628372361123</c:v>
                </c:pt>
                <c:pt idx="637">
                  <c:v>666.77302316342821</c:v>
                </c:pt>
              </c:numCache>
            </c:numRef>
          </c:xVal>
          <c:yVal>
            <c:numRef>
              <c:f>[0]!Y</c:f>
              <c:numCache>
                <c:formatCode>General</c:formatCode>
                <c:ptCount val="638"/>
                <c:pt idx="0">
                  <c:v>1.7144247806269215</c:v>
                </c:pt>
                <c:pt idx="1">
                  <c:v>2.9599182685388712</c:v>
                </c:pt>
                <c:pt idx="2">
                  <c:v>4.2014877564508204</c:v>
                </c:pt>
                <c:pt idx="3">
                  <c:v>5.43913324436277</c:v>
                </c:pt>
                <c:pt idx="4">
                  <c:v>6.6728547322747191</c:v>
                </c:pt>
                <c:pt idx="5">
                  <c:v>7.9026522201866687</c:v>
                </c:pt>
                <c:pt idx="6">
                  <c:v>9.1285257080986177</c:v>
                </c:pt>
                <c:pt idx="7">
                  <c:v>10.350475196010567</c:v>
                </c:pt>
                <c:pt idx="8">
                  <c:v>11.568500683922519</c:v>
                </c:pt>
                <c:pt idx="9">
                  <c:v>12.782602171834466</c:v>
                </c:pt>
                <c:pt idx="10">
                  <c:v>13.992779659746418</c:v>
                </c:pt>
                <c:pt idx="11">
                  <c:v>15.199033147658366</c:v>
                </c:pt>
                <c:pt idx="12">
                  <c:v>16.401362635570315</c:v>
                </c:pt>
                <c:pt idx="13">
                  <c:v>17.599768123482264</c:v>
                </c:pt>
                <c:pt idx="14">
                  <c:v>18.794249611394214</c:v>
                </c:pt>
                <c:pt idx="15">
                  <c:v>19.984807099306163</c:v>
                </c:pt>
                <c:pt idx="16">
                  <c:v>21.171440587218111</c:v>
                </c:pt>
                <c:pt idx="17">
                  <c:v>22.354150075130061</c:v>
                </c:pt>
                <c:pt idx="18">
                  <c:v>23.53293556304201</c:v>
                </c:pt>
                <c:pt idx="19">
                  <c:v>24.70779705095396</c:v>
                </c:pt>
                <c:pt idx="20">
                  <c:v>25.87873453886591</c:v>
                </c:pt>
                <c:pt idx="21">
                  <c:v>27.045748026777861</c:v>
                </c:pt>
                <c:pt idx="22">
                  <c:v>28.208837514689808</c:v>
                </c:pt>
                <c:pt idx="23">
                  <c:v>29.36800300260176</c:v>
                </c:pt>
                <c:pt idx="24">
                  <c:v>30.523244490513708</c:v>
                </c:pt>
                <c:pt idx="25">
                  <c:v>31.674561978425658</c:v>
                </c:pt>
                <c:pt idx="26">
                  <c:v>32.821955466337606</c:v>
                </c:pt>
                <c:pt idx="27">
                  <c:v>33.965424954249556</c:v>
                </c:pt>
                <c:pt idx="28">
                  <c:v>35.104970442161509</c:v>
                </c:pt>
                <c:pt idx="29">
                  <c:v>36.240591930073457</c:v>
                </c:pt>
                <c:pt idx="30">
                  <c:v>37.372289417985407</c:v>
                </c:pt>
                <c:pt idx="31">
                  <c:v>38.500062905897352</c:v>
                </c:pt>
                <c:pt idx="32">
                  <c:v>39.623912393809306</c:v>
                </c:pt>
                <c:pt idx="33">
                  <c:v>40.743837881721255</c:v>
                </c:pt>
                <c:pt idx="34">
                  <c:v>41.8598393696332</c:v>
                </c:pt>
                <c:pt idx="35">
                  <c:v>42.971916857545153</c:v>
                </c:pt>
                <c:pt idx="36">
                  <c:v>44.080070345457102</c:v>
                </c:pt>
                <c:pt idx="37">
                  <c:v>45.184299833369053</c:v>
                </c:pt>
                <c:pt idx="38">
                  <c:v>46.284605321280999</c:v>
                </c:pt>
                <c:pt idx="39">
                  <c:v>47.380986809192947</c:v>
                </c:pt>
                <c:pt idx="40">
                  <c:v>48.473444297104898</c:v>
                </c:pt>
                <c:pt idx="41">
                  <c:v>49.56197778501685</c:v>
                </c:pt>
                <c:pt idx="42">
                  <c:v>50.646587272928798</c:v>
                </c:pt>
                <c:pt idx="43">
                  <c:v>51.727272760840748</c:v>
                </c:pt>
                <c:pt idx="44">
                  <c:v>52.8040342487527</c:v>
                </c:pt>
                <c:pt idx="45">
                  <c:v>53.876871736664647</c:v>
                </c:pt>
                <c:pt idx="46">
                  <c:v>54.945785224576596</c:v>
                </c:pt>
                <c:pt idx="47">
                  <c:v>56.010774712488548</c:v>
                </c:pt>
                <c:pt idx="48">
                  <c:v>57.071840200400494</c:v>
                </c:pt>
                <c:pt idx="49">
                  <c:v>58.128981688312443</c:v>
                </c:pt>
                <c:pt idx="50">
                  <c:v>59.182199176224394</c:v>
                </c:pt>
                <c:pt idx="51">
                  <c:v>60.231492664136347</c:v>
                </c:pt>
                <c:pt idx="52">
                  <c:v>61.276862152048295</c:v>
                </c:pt>
                <c:pt idx="53">
                  <c:v>62.318307639960246</c:v>
                </c:pt>
                <c:pt idx="54">
                  <c:v>63.355829127872191</c:v>
                </c:pt>
                <c:pt idx="55">
                  <c:v>64.389426615784146</c:v>
                </c:pt>
                <c:pt idx="56">
                  <c:v>65.419100103696096</c:v>
                </c:pt>
                <c:pt idx="57">
                  <c:v>66.444849591608047</c:v>
                </c:pt>
                <c:pt idx="58">
                  <c:v>67.466675079520002</c:v>
                </c:pt>
                <c:pt idx="59">
                  <c:v>68.484576567431944</c:v>
                </c:pt>
                <c:pt idx="60">
                  <c:v>69.498554055343902</c:v>
                </c:pt>
                <c:pt idx="61">
                  <c:v>70.508607543255849</c:v>
                </c:pt>
                <c:pt idx="62">
                  <c:v>71.514737031167797</c:v>
                </c:pt>
                <c:pt idx="63">
                  <c:v>72.516942519079748</c:v>
                </c:pt>
                <c:pt idx="64">
                  <c:v>73.515224006991701</c:v>
                </c:pt>
                <c:pt idx="65">
                  <c:v>74.509581494903642</c:v>
                </c:pt>
                <c:pt idx="66">
                  <c:v>75.5000149828156</c:v>
                </c:pt>
                <c:pt idx="67">
                  <c:v>76.486524470727545</c:v>
                </c:pt>
                <c:pt idx="68">
                  <c:v>77.469109958639493</c:v>
                </c:pt>
                <c:pt idx="69">
                  <c:v>78.447771446551442</c:v>
                </c:pt>
                <c:pt idx="70">
                  <c:v>79.422508934463394</c:v>
                </c:pt>
                <c:pt idx="71">
                  <c:v>80.393322422375348</c:v>
                </c:pt>
                <c:pt idx="72">
                  <c:v>81.36021191028729</c:v>
                </c:pt>
                <c:pt idx="73">
                  <c:v>82.323177398199249</c:v>
                </c:pt>
                <c:pt idx="74">
                  <c:v>83.282218886111195</c:v>
                </c:pt>
                <c:pt idx="75">
                  <c:v>84.237336374023144</c:v>
                </c:pt>
                <c:pt idx="76">
                  <c:v>85.188529861935081</c:v>
                </c:pt>
                <c:pt idx="77">
                  <c:v>86.135799349847034</c:v>
                </c:pt>
                <c:pt idx="78">
                  <c:v>87.079144837758989</c:v>
                </c:pt>
                <c:pt idx="79">
                  <c:v>88.018566325670932</c:v>
                </c:pt>
                <c:pt idx="80">
                  <c:v>88.954063813582877</c:v>
                </c:pt>
                <c:pt idx="81">
                  <c:v>89.885637301494839</c:v>
                </c:pt>
                <c:pt idx="82">
                  <c:v>90.813286789406789</c:v>
                </c:pt>
                <c:pt idx="83">
                  <c:v>91.73701227731874</c:v>
                </c:pt>
                <c:pt idx="84">
                  <c:v>92.65681376523068</c:v>
                </c:pt>
                <c:pt idx="85">
                  <c:v>93.572691253142636</c:v>
                </c:pt>
                <c:pt idx="86">
                  <c:v>94.484644741054581</c:v>
                </c:pt>
                <c:pt idx="87">
                  <c:v>95.392674228966527</c:v>
                </c:pt>
                <c:pt idx="88">
                  <c:v>96.29677971687849</c:v>
                </c:pt>
                <c:pt idx="89">
                  <c:v>97.196961204790426</c:v>
                </c:pt>
                <c:pt idx="90">
                  <c:v>98.093218692702379</c:v>
                </c:pt>
                <c:pt idx="91">
                  <c:v>98.985552180614334</c:v>
                </c:pt>
                <c:pt idx="92">
                  <c:v>99.873961668526277</c:v>
                </c:pt>
                <c:pt idx="93">
                  <c:v>100.75844715643822</c:v>
                </c:pt>
                <c:pt idx="94">
                  <c:v>101.63900864435018</c:v>
                </c:pt>
                <c:pt idx="95">
                  <c:v>102.51564613226213</c:v>
                </c:pt>
                <c:pt idx="96">
                  <c:v>103.38835962017407</c:v>
                </c:pt>
                <c:pt idx="97">
                  <c:v>104.25714910808603</c:v>
                </c:pt>
                <c:pt idx="98">
                  <c:v>105.12201459599798</c:v>
                </c:pt>
                <c:pt idx="99">
                  <c:v>105.98295608390993</c:v>
                </c:pt>
                <c:pt idx="100">
                  <c:v>106.83997357182187</c:v>
                </c:pt>
                <c:pt idx="101">
                  <c:v>107.69306705973382</c:v>
                </c:pt>
                <c:pt idx="102">
                  <c:v>108.54223654764577</c:v>
                </c:pt>
                <c:pt idx="103">
                  <c:v>109.38748203555774</c:v>
                </c:pt>
                <c:pt idx="104">
                  <c:v>110.22880352346968</c:v>
                </c:pt>
                <c:pt idx="105">
                  <c:v>111.06620101138164</c:v>
                </c:pt>
                <c:pt idx="106">
                  <c:v>111.89967449929357</c:v>
                </c:pt>
                <c:pt idx="107">
                  <c:v>112.72922398720553</c:v>
                </c:pt>
                <c:pt idx="108">
                  <c:v>113.55484947511746</c:v>
                </c:pt>
                <c:pt idx="109">
                  <c:v>114.37655096302943</c:v>
                </c:pt>
                <c:pt idx="110">
                  <c:v>115.19432845094137</c:v>
                </c:pt>
                <c:pt idx="111">
                  <c:v>116.00818193885333</c:v>
                </c:pt>
                <c:pt idx="112">
                  <c:v>116.81811142676527</c:v>
                </c:pt>
                <c:pt idx="113">
                  <c:v>117.62411691467722</c:v>
                </c:pt>
                <c:pt idx="114">
                  <c:v>118.42619840258916</c:v>
                </c:pt>
                <c:pt idx="115">
                  <c:v>119.2243558905011</c:v>
                </c:pt>
                <c:pt idx="116">
                  <c:v>120.01858937841307</c:v>
                </c:pt>
                <c:pt idx="117">
                  <c:v>120.80889886632501</c:v>
                </c:pt>
                <c:pt idx="118">
                  <c:v>121.59528435423697</c:v>
                </c:pt>
                <c:pt idx="119">
                  <c:v>122.3777458421489</c:v>
                </c:pt>
                <c:pt idx="120">
                  <c:v>123.15628333006086</c:v>
                </c:pt>
                <c:pt idx="121">
                  <c:v>123.93089681797281</c:v>
                </c:pt>
                <c:pt idx="122">
                  <c:v>124.70158630588476</c:v>
                </c:pt>
                <c:pt idx="123">
                  <c:v>125.4683517937967</c:v>
                </c:pt>
                <c:pt idx="124">
                  <c:v>126.23119328170867</c:v>
                </c:pt>
                <c:pt idx="125">
                  <c:v>126.99011076962063</c:v>
                </c:pt>
                <c:pt idx="126">
                  <c:v>127.74510425753256</c:v>
                </c:pt>
                <c:pt idx="127">
                  <c:v>128.49617374544451</c:v>
                </c:pt>
                <c:pt idx="128">
                  <c:v>129.24331923335646</c:v>
                </c:pt>
                <c:pt idx="129">
                  <c:v>129.98654072126843</c:v>
                </c:pt>
                <c:pt idx="130">
                  <c:v>130.72583820918035</c:v>
                </c:pt>
                <c:pt idx="131">
                  <c:v>131.46121169709232</c:v>
                </c:pt>
                <c:pt idx="132">
                  <c:v>132.19266118500425</c:v>
                </c:pt>
                <c:pt idx="133">
                  <c:v>132.9201866729162</c:v>
                </c:pt>
                <c:pt idx="134">
                  <c:v>133.64378816082814</c:v>
                </c:pt>
                <c:pt idx="135">
                  <c:v>134.36346564874012</c:v>
                </c:pt>
                <c:pt idx="136">
                  <c:v>135.07921913665206</c:v>
                </c:pt>
                <c:pt idx="137">
                  <c:v>135.79104862456401</c:v>
                </c:pt>
                <c:pt idx="138">
                  <c:v>136.49895411247596</c:v>
                </c:pt>
                <c:pt idx="139">
                  <c:v>137.20293560038789</c:v>
                </c:pt>
                <c:pt idx="140">
                  <c:v>137.90299308829987</c:v>
                </c:pt>
                <c:pt idx="141">
                  <c:v>138.5991265762118</c:v>
                </c:pt>
                <c:pt idx="142">
                  <c:v>139.29133606412375</c:v>
                </c:pt>
                <c:pt idx="143">
                  <c:v>139.9796215520357</c:v>
                </c:pt>
                <c:pt idx="144">
                  <c:v>140.66398303994765</c:v>
                </c:pt>
                <c:pt idx="145">
                  <c:v>141.3444205278596</c:v>
                </c:pt>
                <c:pt idx="146">
                  <c:v>142.02093401577156</c:v>
                </c:pt>
                <c:pt idx="147">
                  <c:v>142.69352350368348</c:v>
                </c:pt>
                <c:pt idx="148">
                  <c:v>143.36218899159545</c:v>
                </c:pt>
                <c:pt idx="149">
                  <c:v>144.02693047950737</c:v>
                </c:pt>
                <c:pt idx="150">
                  <c:v>144.68774796741934</c:v>
                </c:pt>
                <c:pt idx="151">
                  <c:v>145.34464145533133</c:v>
                </c:pt>
                <c:pt idx="152">
                  <c:v>145.99761094324325</c:v>
                </c:pt>
                <c:pt idx="153">
                  <c:v>146.64665643115521</c:v>
                </c:pt>
                <c:pt idx="154">
                  <c:v>147.29177791906716</c:v>
                </c:pt>
                <c:pt idx="155">
                  <c:v>147.9329754069791</c:v>
                </c:pt>
                <c:pt idx="156">
                  <c:v>148.57024889489105</c:v>
                </c:pt>
                <c:pt idx="157">
                  <c:v>149.20359838280302</c:v>
                </c:pt>
                <c:pt idx="158">
                  <c:v>149.83302387071495</c:v>
                </c:pt>
                <c:pt idx="159">
                  <c:v>150.4585253586269</c:v>
                </c:pt>
                <c:pt idx="160">
                  <c:v>151.08010284653884</c:v>
                </c:pt>
                <c:pt idx="161">
                  <c:v>151.69775633445079</c:v>
                </c:pt>
                <c:pt idx="162">
                  <c:v>152.31148582236273</c:v>
                </c:pt>
                <c:pt idx="163">
                  <c:v>152.92129131027468</c:v>
                </c:pt>
                <c:pt idx="164">
                  <c:v>153.52717279818665</c:v>
                </c:pt>
                <c:pt idx="165">
                  <c:v>154.12913028609859</c:v>
                </c:pt>
                <c:pt idx="166">
                  <c:v>154.72716377401053</c:v>
                </c:pt>
                <c:pt idx="167">
                  <c:v>155.32127326192247</c:v>
                </c:pt>
                <c:pt idx="168">
                  <c:v>155.91145874983445</c:v>
                </c:pt>
                <c:pt idx="169">
                  <c:v>156.49772023774636</c:v>
                </c:pt>
                <c:pt idx="170">
                  <c:v>157.08005772565835</c:v>
                </c:pt>
                <c:pt idx="171">
                  <c:v>157.65847121357029</c:v>
                </c:pt>
                <c:pt idx="172">
                  <c:v>158.23296070148223</c:v>
                </c:pt>
                <c:pt idx="173">
                  <c:v>158.80352618939418</c:v>
                </c:pt>
                <c:pt idx="174">
                  <c:v>159.37016767730614</c:v>
                </c:pt>
                <c:pt idx="175">
                  <c:v>159.93288516521807</c:v>
                </c:pt>
                <c:pt idx="176">
                  <c:v>160.49167865313004</c:v>
                </c:pt>
                <c:pt idx="177">
                  <c:v>161.046548141042</c:v>
                </c:pt>
                <c:pt idx="178">
                  <c:v>161.59749362895394</c:v>
                </c:pt>
                <c:pt idx="179">
                  <c:v>162.1445151168659</c:v>
                </c:pt>
                <c:pt idx="180">
                  <c:v>162.68761260477783</c:v>
                </c:pt>
                <c:pt idx="181">
                  <c:v>163.22678609268979</c:v>
                </c:pt>
                <c:pt idx="182">
                  <c:v>163.76203558060172</c:v>
                </c:pt>
                <c:pt idx="183">
                  <c:v>164.29336106851369</c:v>
                </c:pt>
                <c:pt idx="184">
                  <c:v>164.82076255642562</c:v>
                </c:pt>
                <c:pt idx="185">
                  <c:v>165.3442400443376</c:v>
                </c:pt>
                <c:pt idx="186">
                  <c:v>165.86379353224953</c:v>
                </c:pt>
                <c:pt idx="187">
                  <c:v>166.37942302016148</c:v>
                </c:pt>
                <c:pt idx="188">
                  <c:v>166.89112850807345</c:v>
                </c:pt>
                <c:pt idx="189">
                  <c:v>167.39890999598538</c:v>
                </c:pt>
                <c:pt idx="190">
                  <c:v>167.90276748389732</c:v>
                </c:pt>
                <c:pt idx="191">
                  <c:v>168.40270097180928</c:v>
                </c:pt>
                <c:pt idx="192">
                  <c:v>168.89871045972123</c:v>
                </c:pt>
                <c:pt idx="193">
                  <c:v>169.39079594763317</c:v>
                </c:pt>
                <c:pt idx="194">
                  <c:v>169.87895743554515</c:v>
                </c:pt>
                <c:pt idx="195">
                  <c:v>170.36319492345706</c:v>
                </c:pt>
                <c:pt idx="196">
                  <c:v>170.84350841136904</c:v>
                </c:pt>
                <c:pt idx="197">
                  <c:v>171.31989789928096</c:v>
                </c:pt>
                <c:pt idx="198">
                  <c:v>171.79236338719292</c:v>
                </c:pt>
                <c:pt idx="199">
                  <c:v>172.26090487510487</c:v>
                </c:pt>
                <c:pt idx="200">
                  <c:v>172.72552236301681</c:v>
                </c:pt>
                <c:pt idx="201">
                  <c:v>173.18621585092876</c:v>
                </c:pt>
                <c:pt idx="202">
                  <c:v>173.64298533884073</c:v>
                </c:pt>
                <c:pt idx="203">
                  <c:v>174.09583082675266</c:v>
                </c:pt>
                <c:pt idx="204">
                  <c:v>174.54475231466461</c:v>
                </c:pt>
                <c:pt idx="205">
                  <c:v>174.98974980257657</c:v>
                </c:pt>
                <c:pt idx="206">
                  <c:v>175.43082329048855</c:v>
                </c:pt>
                <c:pt idx="207">
                  <c:v>175.86797277840046</c:v>
                </c:pt>
                <c:pt idx="208">
                  <c:v>176.30119826631241</c:v>
                </c:pt>
                <c:pt idx="209">
                  <c:v>176.73049975422435</c:v>
                </c:pt>
                <c:pt idx="210">
                  <c:v>177.15587724213634</c:v>
                </c:pt>
                <c:pt idx="211">
                  <c:v>177.57733073004826</c:v>
                </c:pt>
                <c:pt idx="212">
                  <c:v>177.99486021796019</c:v>
                </c:pt>
                <c:pt idx="213">
                  <c:v>178.40846570587217</c:v>
                </c:pt>
                <c:pt idx="214">
                  <c:v>178.81814719378414</c:v>
                </c:pt>
                <c:pt idx="215">
                  <c:v>179.22390468169607</c:v>
                </c:pt>
                <c:pt idx="216">
                  <c:v>179.62573816960798</c:v>
                </c:pt>
                <c:pt idx="217">
                  <c:v>180.02364765751997</c:v>
                </c:pt>
                <c:pt idx="218">
                  <c:v>180.41763314543192</c:v>
                </c:pt>
                <c:pt idx="219">
                  <c:v>180.80769463334383</c:v>
                </c:pt>
                <c:pt idx="220">
                  <c:v>181.19383212125581</c:v>
                </c:pt>
                <c:pt idx="221">
                  <c:v>181.57604560916778</c:v>
                </c:pt>
                <c:pt idx="222">
                  <c:v>181.95433509707971</c:v>
                </c:pt>
                <c:pt idx="223">
                  <c:v>182.32870058499162</c:v>
                </c:pt>
                <c:pt idx="224">
                  <c:v>182.69914207290361</c:v>
                </c:pt>
                <c:pt idx="225">
                  <c:v>183.06565956081556</c:v>
                </c:pt>
                <c:pt idx="226">
                  <c:v>183.4282530487275</c:v>
                </c:pt>
                <c:pt idx="227">
                  <c:v>183.78692253663945</c:v>
                </c:pt>
                <c:pt idx="228">
                  <c:v>184.14166802455142</c:v>
                </c:pt>
                <c:pt idx="229">
                  <c:v>184.49248951246335</c:v>
                </c:pt>
                <c:pt idx="230">
                  <c:v>184.8393870003753</c:v>
                </c:pt>
                <c:pt idx="231">
                  <c:v>185.18236048828726</c:v>
                </c:pt>
                <c:pt idx="232">
                  <c:v>185.52140997619921</c:v>
                </c:pt>
                <c:pt idx="233">
                  <c:v>185.85653546411118</c:v>
                </c:pt>
                <c:pt idx="234">
                  <c:v>186.1877369520231</c:v>
                </c:pt>
                <c:pt idx="235">
                  <c:v>186.51501443993502</c:v>
                </c:pt>
                <c:pt idx="236">
                  <c:v>186.838367927847</c:v>
                </c:pt>
                <c:pt idx="237">
                  <c:v>187.15779741575898</c:v>
                </c:pt>
                <c:pt idx="238">
                  <c:v>187.47330290367088</c:v>
                </c:pt>
                <c:pt idx="239">
                  <c:v>187.78488439158286</c:v>
                </c:pt>
                <c:pt idx="240">
                  <c:v>188.0925418794948</c:v>
                </c:pt>
                <c:pt idx="241">
                  <c:v>188.39627536740676</c:v>
                </c:pt>
                <c:pt idx="242">
                  <c:v>188.69608485531867</c:v>
                </c:pt>
                <c:pt idx="243">
                  <c:v>188.99197034323066</c:v>
                </c:pt>
                <c:pt idx="244">
                  <c:v>189.28393183114258</c:v>
                </c:pt>
                <c:pt idx="245">
                  <c:v>189.57196931905452</c:v>
                </c:pt>
                <c:pt idx="246">
                  <c:v>189.85608280696647</c:v>
                </c:pt>
                <c:pt idx="247">
                  <c:v>190.13627229487847</c:v>
                </c:pt>
                <c:pt idx="248">
                  <c:v>190.41253778279039</c:v>
                </c:pt>
                <c:pt idx="249">
                  <c:v>190.68487927070234</c:v>
                </c:pt>
                <c:pt idx="250">
                  <c:v>190.95329675861433</c:v>
                </c:pt>
                <c:pt idx="251">
                  <c:v>191.21779024652625</c:v>
                </c:pt>
                <c:pt idx="252">
                  <c:v>191.47835973443819</c:v>
                </c:pt>
                <c:pt idx="253">
                  <c:v>191.73500522235011</c:v>
                </c:pt>
                <c:pt idx="254">
                  <c:v>191.98772671026211</c:v>
                </c:pt>
                <c:pt idx="255">
                  <c:v>192.23652419817404</c:v>
                </c:pt>
                <c:pt idx="256">
                  <c:v>192.48139768608598</c:v>
                </c:pt>
                <c:pt idx="257">
                  <c:v>192.72234717399792</c:v>
                </c:pt>
                <c:pt idx="258">
                  <c:v>192.9593726619099</c:v>
                </c:pt>
                <c:pt idx="259">
                  <c:v>193.19247414982183</c:v>
                </c:pt>
                <c:pt idx="260">
                  <c:v>193.42165163773379</c:v>
                </c:pt>
                <c:pt idx="261">
                  <c:v>193.6469051256457</c:v>
                </c:pt>
                <c:pt idx="262">
                  <c:v>193.86823461355769</c:v>
                </c:pt>
                <c:pt idx="263">
                  <c:v>194.08564010146964</c:v>
                </c:pt>
                <c:pt idx="264">
                  <c:v>194.29912158938157</c:v>
                </c:pt>
                <c:pt idx="265">
                  <c:v>194.50867907729355</c:v>
                </c:pt>
                <c:pt idx="266">
                  <c:v>194.71431256520549</c:v>
                </c:pt>
                <c:pt idx="267">
                  <c:v>194.91602205311742</c:v>
                </c:pt>
                <c:pt idx="268">
                  <c:v>195.11380754102936</c:v>
                </c:pt>
                <c:pt idx="269">
                  <c:v>195.30766902894135</c:v>
                </c:pt>
                <c:pt idx="270">
                  <c:v>195.4976065168533</c:v>
                </c:pt>
                <c:pt idx="271">
                  <c:v>195.6836200047652</c:v>
                </c:pt>
                <c:pt idx="272">
                  <c:v>195.86570949267715</c:v>
                </c:pt>
                <c:pt idx="273">
                  <c:v>196.04387498058915</c:v>
                </c:pt>
                <c:pt idx="274">
                  <c:v>196.21811646850108</c:v>
                </c:pt>
                <c:pt idx="275">
                  <c:v>196.38843395641302</c:v>
                </c:pt>
                <c:pt idx="276">
                  <c:v>196.55482744432501</c:v>
                </c:pt>
                <c:pt idx="277">
                  <c:v>196.71729693223693</c:v>
                </c:pt>
                <c:pt idx="278">
                  <c:v>196.87584242014887</c:v>
                </c:pt>
                <c:pt idx="279">
                  <c:v>197.0304639080608</c:v>
                </c:pt>
                <c:pt idx="280">
                  <c:v>197.18116139597279</c:v>
                </c:pt>
                <c:pt idx="281">
                  <c:v>197.32793488388472</c:v>
                </c:pt>
                <c:pt idx="282">
                  <c:v>197.47078437179667</c:v>
                </c:pt>
                <c:pt idx="283">
                  <c:v>197.6097098597086</c:v>
                </c:pt>
                <c:pt idx="284">
                  <c:v>197.74471134762058</c:v>
                </c:pt>
                <c:pt idx="285">
                  <c:v>197.87578883553252</c:v>
                </c:pt>
                <c:pt idx="286">
                  <c:v>198.00294232344447</c:v>
                </c:pt>
                <c:pt idx="287">
                  <c:v>198.12617181135641</c:v>
                </c:pt>
                <c:pt idx="288">
                  <c:v>198.24547729926837</c:v>
                </c:pt>
                <c:pt idx="289">
                  <c:v>198.36085878718035</c:v>
                </c:pt>
                <c:pt idx="290">
                  <c:v>198.47231627509225</c:v>
                </c:pt>
                <c:pt idx="291">
                  <c:v>198.57984976300423</c:v>
                </c:pt>
                <c:pt idx="292">
                  <c:v>198.6834592509162</c:v>
                </c:pt>
                <c:pt idx="293">
                  <c:v>198.7831447388281</c:v>
                </c:pt>
                <c:pt idx="294">
                  <c:v>198.87890622674004</c:v>
                </c:pt>
                <c:pt idx="295">
                  <c:v>198.97074371465206</c:v>
                </c:pt>
                <c:pt idx="296">
                  <c:v>199.05865720256398</c:v>
                </c:pt>
                <c:pt idx="297">
                  <c:v>199.14264669047589</c:v>
                </c:pt>
                <c:pt idx="298">
                  <c:v>199.22271217838784</c:v>
                </c:pt>
                <c:pt idx="299">
                  <c:v>199.29885366629983</c:v>
                </c:pt>
                <c:pt idx="300">
                  <c:v>199.37107115421176</c:v>
                </c:pt>
                <c:pt idx="301">
                  <c:v>199.43936464212371</c:v>
                </c:pt>
                <c:pt idx="302">
                  <c:v>199.5037341300357</c:v>
                </c:pt>
                <c:pt idx="303">
                  <c:v>199.56417961794762</c:v>
                </c:pt>
                <c:pt idx="304">
                  <c:v>199.62070110585955</c:v>
                </c:pt>
                <c:pt idx="305">
                  <c:v>199.67329859377151</c:v>
                </c:pt>
                <c:pt idx="306">
                  <c:v>199.7219720816835</c:v>
                </c:pt>
                <c:pt idx="307">
                  <c:v>199.7667215695954</c:v>
                </c:pt>
                <c:pt idx="308">
                  <c:v>199.80754705750738</c:v>
                </c:pt>
                <c:pt idx="309">
                  <c:v>199.84444854541928</c:v>
                </c:pt>
                <c:pt idx="310">
                  <c:v>199.87742603333126</c:v>
                </c:pt>
                <c:pt idx="311">
                  <c:v>199.90647952124323</c:v>
                </c:pt>
                <c:pt idx="312">
                  <c:v>199.93160900915515</c:v>
                </c:pt>
                <c:pt idx="313">
                  <c:v>199.95281449706715</c:v>
                </c:pt>
                <c:pt idx="314">
                  <c:v>199.97009598497908</c:v>
                </c:pt>
                <c:pt idx="315">
                  <c:v>199.983453472891</c:v>
                </c:pt>
                <c:pt idx="316">
                  <c:v>199.99288696080293</c:v>
                </c:pt>
                <c:pt idx="317">
                  <c:v>199.99839644871491</c:v>
                </c:pt>
                <c:pt idx="318">
                  <c:v>199.99998193662685</c:v>
                </c:pt>
                <c:pt idx="319">
                  <c:v>199.99764342453878</c:v>
                </c:pt>
                <c:pt idx="320">
                  <c:v>199.99138091245072</c:v>
                </c:pt>
                <c:pt idx="321">
                  <c:v>199.98119440036271</c:v>
                </c:pt>
                <c:pt idx="322">
                  <c:v>199.96708388827466</c:v>
                </c:pt>
                <c:pt idx="323">
                  <c:v>199.94904937618659</c:v>
                </c:pt>
                <c:pt idx="324">
                  <c:v>199.92709086409852</c:v>
                </c:pt>
                <c:pt idx="325">
                  <c:v>199.90120835201051</c:v>
                </c:pt>
                <c:pt idx="326">
                  <c:v>199.87140183992244</c:v>
                </c:pt>
                <c:pt idx="327">
                  <c:v>199.83767132783439</c:v>
                </c:pt>
                <c:pt idx="328">
                  <c:v>199.80001681574632</c:v>
                </c:pt>
                <c:pt idx="329">
                  <c:v>199.75843830365832</c:v>
                </c:pt>
                <c:pt idx="330">
                  <c:v>199.71293579157023</c:v>
                </c:pt>
                <c:pt idx="331">
                  <c:v>199.66350927948216</c:v>
                </c:pt>
                <c:pt idx="332">
                  <c:v>199.6101587673941</c:v>
                </c:pt>
                <c:pt idx="333">
                  <c:v>199.55288425530608</c:v>
                </c:pt>
                <c:pt idx="334">
                  <c:v>199.491685743218</c:v>
                </c:pt>
                <c:pt idx="335">
                  <c:v>199.42656323112993</c:v>
                </c:pt>
                <c:pt idx="336">
                  <c:v>199.35751671904188</c:v>
                </c:pt>
                <c:pt idx="337">
                  <c:v>199.28454620695388</c:v>
                </c:pt>
                <c:pt idx="338">
                  <c:v>199.2076516948658</c:v>
                </c:pt>
                <c:pt idx="339">
                  <c:v>199.12683318277772</c:v>
                </c:pt>
                <c:pt idx="340">
                  <c:v>199.04209067068973</c:v>
                </c:pt>
                <c:pt idx="341">
                  <c:v>198.95342415860168</c:v>
                </c:pt>
                <c:pt idx="342">
                  <c:v>198.86083364651361</c:v>
                </c:pt>
                <c:pt idx="343">
                  <c:v>198.76431913442553</c:v>
                </c:pt>
                <c:pt idx="344">
                  <c:v>198.66388062233753</c:v>
                </c:pt>
                <c:pt idx="345">
                  <c:v>198.55951811024943</c:v>
                </c:pt>
                <c:pt idx="346">
                  <c:v>198.45123159816137</c:v>
                </c:pt>
                <c:pt idx="347">
                  <c:v>198.3390210860733</c:v>
                </c:pt>
                <c:pt idx="348">
                  <c:v>198.22288657398519</c:v>
                </c:pt>
                <c:pt idx="349">
                  <c:v>198.10282806189716</c:v>
                </c:pt>
                <c:pt idx="350">
                  <c:v>197.97884554980911</c:v>
                </c:pt>
                <c:pt idx="351">
                  <c:v>197.85093903772108</c:v>
                </c:pt>
                <c:pt idx="352">
                  <c:v>197.71910852563298</c:v>
                </c:pt>
                <c:pt idx="353">
                  <c:v>197.58335401354495</c:v>
                </c:pt>
                <c:pt idx="354">
                  <c:v>197.44367550145688</c:v>
                </c:pt>
                <c:pt idx="355">
                  <c:v>197.3000729893688</c:v>
                </c:pt>
                <c:pt idx="356">
                  <c:v>197.15254647728082</c:v>
                </c:pt>
                <c:pt idx="357">
                  <c:v>197.00109596519272</c:v>
                </c:pt>
                <c:pt idx="358">
                  <c:v>196.84572145310466</c:v>
                </c:pt>
                <c:pt idx="359">
                  <c:v>196.68642294101659</c:v>
                </c:pt>
                <c:pt idx="360">
                  <c:v>196.52320042892862</c:v>
                </c:pt>
                <c:pt idx="361">
                  <c:v>196.35605391684052</c:v>
                </c:pt>
                <c:pt idx="362">
                  <c:v>196.18498340475247</c:v>
                </c:pt>
                <c:pt idx="363">
                  <c:v>196.00998889266441</c:v>
                </c:pt>
                <c:pt idx="364">
                  <c:v>195.83107038057636</c:v>
                </c:pt>
                <c:pt idx="365">
                  <c:v>195.64822786848828</c:v>
                </c:pt>
                <c:pt idx="366">
                  <c:v>195.46146135640021</c:v>
                </c:pt>
                <c:pt idx="367">
                  <c:v>195.27077084431221</c:v>
                </c:pt>
                <c:pt idx="368">
                  <c:v>195.07615633222412</c:v>
                </c:pt>
                <c:pt idx="369">
                  <c:v>194.87761782013604</c:v>
                </c:pt>
                <c:pt idx="370">
                  <c:v>194.67515530804792</c:v>
                </c:pt>
                <c:pt idx="371">
                  <c:v>194.46876879595987</c:v>
                </c:pt>
                <c:pt idx="372">
                  <c:v>194.25845828387185</c:v>
                </c:pt>
                <c:pt idx="373">
                  <c:v>194.04422377178378</c:v>
                </c:pt>
                <c:pt idx="374">
                  <c:v>193.82606525969572</c:v>
                </c:pt>
                <c:pt idx="375">
                  <c:v>193.60398274760763</c:v>
                </c:pt>
                <c:pt idx="376">
                  <c:v>193.37797623551961</c:v>
                </c:pt>
                <c:pt idx="377">
                  <c:v>193.14804572343155</c:v>
                </c:pt>
                <c:pt idx="378">
                  <c:v>192.91419121134345</c:v>
                </c:pt>
                <c:pt idx="379">
                  <c:v>192.67641269925537</c:v>
                </c:pt>
                <c:pt idx="380">
                  <c:v>192.43471018716735</c:v>
                </c:pt>
                <c:pt idx="381">
                  <c:v>192.1890836750793</c:v>
                </c:pt>
                <c:pt idx="382">
                  <c:v>191.93953316299127</c:v>
                </c:pt>
                <c:pt idx="383">
                  <c:v>191.68605865090319</c:v>
                </c:pt>
                <c:pt idx="384">
                  <c:v>191.42866013881513</c:v>
                </c:pt>
                <c:pt idx="385">
                  <c:v>191.16733762672703</c:v>
                </c:pt>
                <c:pt idx="386">
                  <c:v>190.90209111463901</c:v>
                </c:pt>
                <c:pt idx="387">
                  <c:v>190.632920602551</c:v>
                </c:pt>
                <c:pt idx="388">
                  <c:v>190.35982609046289</c:v>
                </c:pt>
                <c:pt idx="389">
                  <c:v>190.08280757837485</c:v>
                </c:pt>
                <c:pt idx="390">
                  <c:v>189.80186506628678</c:v>
                </c:pt>
                <c:pt idx="391">
                  <c:v>189.51699855419855</c:v>
                </c:pt>
                <c:pt idx="392">
                  <c:v>189.22820804211051</c:v>
                </c:pt>
                <c:pt idx="393">
                  <c:v>188.93549353002248</c:v>
                </c:pt>
                <c:pt idx="394">
                  <c:v>188.63885501793442</c:v>
                </c:pt>
                <c:pt idx="395">
                  <c:v>188.33829250584631</c:v>
                </c:pt>
                <c:pt idx="396">
                  <c:v>188.03380599375834</c:v>
                </c:pt>
                <c:pt idx="397">
                  <c:v>187.72539548167026</c:v>
                </c:pt>
                <c:pt idx="398">
                  <c:v>187.41306096958215</c:v>
                </c:pt>
                <c:pt idx="399">
                  <c:v>187.09680245749416</c:v>
                </c:pt>
                <c:pt idx="400">
                  <c:v>186.77661994540608</c:v>
                </c:pt>
                <c:pt idx="401">
                  <c:v>186.45251343331802</c:v>
                </c:pt>
                <c:pt idx="402">
                  <c:v>186.12448292122997</c:v>
                </c:pt>
                <c:pt idx="403">
                  <c:v>185.79252840914188</c:v>
                </c:pt>
                <c:pt idx="404">
                  <c:v>185.45664989705386</c:v>
                </c:pt>
                <c:pt idx="405">
                  <c:v>185.11684738496575</c:v>
                </c:pt>
                <c:pt idx="406">
                  <c:v>184.77312087287771</c:v>
                </c:pt>
                <c:pt idx="407">
                  <c:v>184.42547036078969</c:v>
                </c:pt>
                <c:pt idx="408">
                  <c:v>184.07389584870162</c:v>
                </c:pt>
                <c:pt idx="409">
                  <c:v>183.71839733661352</c:v>
                </c:pt>
                <c:pt idx="410">
                  <c:v>183.35897482452549</c:v>
                </c:pt>
                <c:pt idx="411">
                  <c:v>182.99562831243747</c:v>
                </c:pt>
                <c:pt idx="412">
                  <c:v>182.62835780034936</c:v>
                </c:pt>
                <c:pt idx="413">
                  <c:v>182.2571632882611</c:v>
                </c:pt>
                <c:pt idx="414">
                  <c:v>181.88204477617302</c:v>
                </c:pt>
                <c:pt idx="415">
                  <c:v>181.50300226408496</c:v>
                </c:pt>
                <c:pt idx="416">
                  <c:v>181.12003575199691</c:v>
                </c:pt>
                <c:pt idx="417">
                  <c:v>180.73314523990894</c:v>
                </c:pt>
                <c:pt idx="418">
                  <c:v>180.34233072782087</c:v>
                </c:pt>
                <c:pt idx="419">
                  <c:v>179.94759221573281</c:v>
                </c:pt>
                <c:pt idx="420">
                  <c:v>179.54892970364472</c:v>
                </c:pt>
                <c:pt idx="421">
                  <c:v>179.14634319155664</c:v>
                </c:pt>
                <c:pt idx="422">
                  <c:v>178.73983267946852</c:v>
                </c:pt>
                <c:pt idx="423">
                  <c:v>178.32939816738048</c:v>
                </c:pt>
                <c:pt idx="424">
                  <c:v>177.9150396552925</c:v>
                </c:pt>
                <c:pt idx="425">
                  <c:v>177.49675714320438</c:v>
                </c:pt>
                <c:pt idx="426">
                  <c:v>177.07455063111638</c:v>
                </c:pt>
                <c:pt idx="427">
                  <c:v>176.64842011902823</c:v>
                </c:pt>
                <c:pt idx="428">
                  <c:v>176.21836560694021</c:v>
                </c:pt>
                <c:pt idx="429">
                  <c:v>175.78438709485215</c:v>
                </c:pt>
                <c:pt idx="430">
                  <c:v>175.34648458276411</c:v>
                </c:pt>
                <c:pt idx="431">
                  <c:v>174.90465807067602</c:v>
                </c:pt>
                <c:pt idx="432">
                  <c:v>174.45890755858801</c:v>
                </c:pt>
                <c:pt idx="433">
                  <c:v>174.00923304649996</c:v>
                </c:pt>
                <c:pt idx="434">
                  <c:v>173.55563453441187</c:v>
                </c:pt>
                <c:pt idx="435">
                  <c:v>173.09811202232362</c:v>
                </c:pt>
                <c:pt idx="436">
                  <c:v>172.6366655102355</c:v>
                </c:pt>
                <c:pt idx="437">
                  <c:v>172.1712949981474</c:v>
                </c:pt>
                <c:pt idx="438">
                  <c:v>171.70200048605938</c:v>
                </c:pt>
                <c:pt idx="439">
                  <c:v>171.22878197397131</c:v>
                </c:pt>
                <c:pt idx="440">
                  <c:v>170.75163946188331</c:v>
                </c:pt>
                <c:pt idx="441">
                  <c:v>170.27057294979522</c:v>
                </c:pt>
                <c:pt idx="442">
                  <c:v>169.78558243770715</c:v>
                </c:pt>
                <c:pt idx="443">
                  <c:v>169.29666792561903</c:v>
                </c:pt>
                <c:pt idx="444">
                  <c:v>168.80382941353105</c:v>
                </c:pt>
                <c:pt idx="445">
                  <c:v>168.30706690144285</c:v>
                </c:pt>
                <c:pt idx="446">
                  <c:v>167.80638038935479</c:v>
                </c:pt>
                <c:pt idx="447">
                  <c:v>167.30176987726674</c:v>
                </c:pt>
                <c:pt idx="448">
                  <c:v>166.79323536517882</c:v>
                </c:pt>
                <c:pt idx="449">
                  <c:v>166.28077685309069</c:v>
                </c:pt>
                <c:pt idx="450">
                  <c:v>165.76439434100268</c:v>
                </c:pt>
                <c:pt idx="451">
                  <c:v>165.24408782891459</c:v>
                </c:pt>
                <c:pt idx="452">
                  <c:v>164.71985731682651</c:v>
                </c:pt>
                <c:pt idx="453">
                  <c:v>164.19170280473844</c:v>
                </c:pt>
                <c:pt idx="454">
                  <c:v>163.65962429265034</c:v>
                </c:pt>
                <c:pt idx="455">
                  <c:v>163.12362178056236</c:v>
                </c:pt>
                <c:pt idx="456">
                  <c:v>162.583695268474</c:v>
                </c:pt>
                <c:pt idx="457">
                  <c:v>162.039844756386</c:v>
                </c:pt>
                <c:pt idx="458">
                  <c:v>161.49207024429791</c:v>
                </c:pt>
                <c:pt idx="459">
                  <c:v>160.94037173220977</c:v>
                </c:pt>
                <c:pt idx="460">
                  <c:v>160.38474922012171</c:v>
                </c:pt>
                <c:pt idx="461">
                  <c:v>159.82520270803366</c:v>
                </c:pt>
                <c:pt idx="462">
                  <c:v>159.26173219594557</c:v>
                </c:pt>
                <c:pt idx="463">
                  <c:v>158.69433768385744</c:v>
                </c:pt>
                <c:pt idx="464">
                  <c:v>158.1230191717695</c:v>
                </c:pt>
                <c:pt idx="465">
                  <c:v>157.5477766596814</c:v>
                </c:pt>
                <c:pt idx="466">
                  <c:v>156.96861014759332</c:v>
                </c:pt>
                <c:pt idx="467">
                  <c:v>156.38551963550526</c:v>
                </c:pt>
                <c:pt idx="468">
                  <c:v>155.79850512341716</c:v>
                </c:pt>
                <c:pt idx="469">
                  <c:v>155.20756661132907</c:v>
                </c:pt>
                <c:pt idx="470">
                  <c:v>154.61270409924106</c:v>
                </c:pt>
                <c:pt idx="471">
                  <c:v>154.01391758715306</c:v>
                </c:pt>
                <c:pt idx="472">
                  <c:v>153.41120707506497</c:v>
                </c:pt>
                <c:pt idx="473">
                  <c:v>152.80457256297689</c:v>
                </c:pt>
                <c:pt idx="474">
                  <c:v>152.19401405088882</c:v>
                </c:pt>
                <c:pt idx="475">
                  <c:v>151.57953153880072</c:v>
                </c:pt>
                <c:pt idx="476">
                  <c:v>150.96112502671264</c:v>
                </c:pt>
                <c:pt idx="477">
                  <c:v>150.33879451462457</c:v>
                </c:pt>
                <c:pt idx="478">
                  <c:v>149.71254000253617</c:v>
                </c:pt>
                <c:pt idx="479">
                  <c:v>149.08236149044825</c:v>
                </c:pt>
                <c:pt idx="480">
                  <c:v>148.44825897836017</c:v>
                </c:pt>
                <c:pt idx="481">
                  <c:v>147.81023246627211</c:v>
                </c:pt>
                <c:pt idx="482">
                  <c:v>147.16828195418395</c:v>
                </c:pt>
                <c:pt idx="483">
                  <c:v>146.52240744209587</c:v>
                </c:pt>
                <c:pt idx="484">
                  <c:v>145.8726089300078</c:v>
                </c:pt>
                <c:pt idx="485">
                  <c:v>145.21888641791975</c:v>
                </c:pt>
                <c:pt idx="486">
                  <c:v>144.5612399058316</c:v>
                </c:pt>
                <c:pt idx="487">
                  <c:v>143.89966939374369</c:v>
                </c:pt>
                <c:pt idx="488">
                  <c:v>143.23417488165563</c:v>
                </c:pt>
                <c:pt idx="489">
                  <c:v>142.56475636956759</c:v>
                </c:pt>
                <c:pt idx="490">
                  <c:v>141.89141385747939</c:v>
                </c:pt>
                <c:pt idx="491">
                  <c:v>141.21414734539132</c:v>
                </c:pt>
                <c:pt idx="492">
                  <c:v>140.53295683330327</c:v>
                </c:pt>
                <c:pt idx="493">
                  <c:v>139.84784232121524</c:v>
                </c:pt>
                <c:pt idx="494">
                  <c:v>139.15880380912722</c:v>
                </c:pt>
                <c:pt idx="495">
                  <c:v>138.46584129703911</c:v>
                </c:pt>
                <c:pt idx="496">
                  <c:v>137.76895478495106</c:v>
                </c:pt>
                <c:pt idx="497">
                  <c:v>137.06814427286298</c:v>
                </c:pt>
                <c:pt idx="498">
                  <c:v>136.36340976077491</c:v>
                </c:pt>
                <c:pt idx="499">
                  <c:v>135.65475124868686</c:v>
                </c:pt>
                <c:pt idx="500">
                  <c:v>134.94216873659809</c:v>
                </c:pt>
                <c:pt idx="501">
                  <c:v>134.22566222450996</c:v>
                </c:pt>
                <c:pt idx="502">
                  <c:v>133.5052317124219</c:v>
                </c:pt>
                <c:pt idx="503">
                  <c:v>132.7808772003338</c:v>
                </c:pt>
                <c:pt idx="504">
                  <c:v>132.05259868824584</c:v>
                </c:pt>
                <c:pt idx="505">
                  <c:v>131.32039617615777</c:v>
                </c:pt>
                <c:pt idx="506">
                  <c:v>130.58426966406967</c:v>
                </c:pt>
                <c:pt idx="507">
                  <c:v>129.84421915198158</c:v>
                </c:pt>
                <c:pt idx="508">
                  <c:v>129.10024463989356</c:v>
                </c:pt>
                <c:pt idx="509">
                  <c:v>128.35234612780545</c:v>
                </c:pt>
                <c:pt idx="510">
                  <c:v>127.60052361571729</c:v>
                </c:pt>
                <c:pt idx="511">
                  <c:v>126.84477710362933</c:v>
                </c:pt>
                <c:pt idx="512">
                  <c:v>126.08510659154126</c:v>
                </c:pt>
                <c:pt idx="513">
                  <c:v>125.32151207945321</c:v>
                </c:pt>
                <c:pt idx="514">
                  <c:v>124.55399356736507</c:v>
                </c:pt>
                <c:pt idx="515">
                  <c:v>123.78255105527705</c:v>
                </c:pt>
                <c:pt idx="516">
                  <c:v>123.00718454318894</c:v>
                </c:pt>
                <c:pt idx="517">
                  <c:v>122.22789403110085</c:v>
                </c:pt>
                <c:pt idx="518">
                  <c:v>121.44467951901277</c:v>
                </c:pt>
                <c:pt idx="519">
                  <c:v>120.6575410069247</c:v>
                </c:pt>
                <c:pt idx="520">
                  <c:v>119.86647849483677</c:v>
                </c:pt>
                <c:pt idx="521">
                  <c:v>119.07149198274863</c:v>
                </c:pt>
                <c:pt idx="522">
                  <c:v>118.2725814706605</c:v>
                </c:pt>
                <c:pt idx="523">
                  <c:v>117.46974695857239</c:v>
                </c:pt>
                <c:pt idx="524">
                  <c:v>116.66298844648429</c:v>
                </c:pt>
                <c:pt idx="525">
                  <c:v>115.85230593439633</c:v>
                </c:pt>
                <c:pt idx="526">
                  <c:v>115.03769942230826</c:v>
                </c:pt>
                <c:pt idx="527">
                  <c:v>114.21916891022022</c:v>
                </c:pt>
                <c:pt idx="528">
                  <c:v>113.39671439813208</c:v>
                </c:pt>
                <c:pt idx="529">
                  <c:v>112.57033588604406</c:v>
                </c:pt>
                <c:pt idx="530">
                  <c:v>111.74003337395595</c:v>
                </c:pt>
                <c:pt idx="531">
                  <c:v>110.90580686186786</c:v>
                </c:pt>
                <c:pt idx="532">
                  <c:v>110.06765634977978</c:v>
                </c:pt>
                <c:pt idx="533">
                  <c:v>109.22558183769183</c:v>
                </c:pt>
                <c:pt idx="534">
                  <c:v>108.37958332560379</c:v>
                </c:pt>
                <c:pt idx="535">
                  <c:v>107.52966081351565</c:v>
                </c:pt>
                <c:pt idx="536">
                  <c:v>106.67581430142752</c:v>
                </c:pt>
                <c:pt idx="537">
                  <c:v>105.81804378933941</c:v>
                </c:pt>
                <c:pt idx="538">
                  <c:v>104.95634927725143</c:v>
                </c:pt>
                <c:pt idx="539">
                  <c:v>104.09073076516324</c:v>
                </c:pt>
                <c:pt idx="540">
                  <c:v>103.22118825307518</c:v>
                </c:pt>
                <c:pt idx="541">
                  <c:v>102.34772174098725</c:v>
                </c:pt>
                <c:pt idx="542">
                  <c:v>101.47033122889923</c:v>
                </c:pt>
                <c:pt idx="543">
                  <c:v>100.58901671681099</c:v>
                </c:pt>
                <c:pt idx="544">
                  <c:v>99.703778204722994</c:v>
                </c:pt>
                <c:pt idx="545">
                  <c:v>98.814615692634902</c:v>
                </c:pt>
                <c:pt idx="546">
                  <c:v>97.921529180546827</c:v>
                </c:pt>
                <c:pt idx="547">
                  <c:v>97.024518668458654</c:v>
                </c:pt>
                <c:pt idx="548">
                  <c:v>96.123584156370725</c:v>
                </c:pt>
                <c:pt idx="549">
                  <c:v>95.218725644282699</c:v>
                </c:pt>
                <c:pt idx="550">
                  <c:v>94.309943132194576</c:v>
                </c:pt>
                <c:pt idx="551">
                  <c:v>93.397236620106469</c:v>
                </c:pt>
                <c:pt idx="552">
                  <c:v>92.480606108018378</c:v>
                </c:pt>
                <c:pt idx="553">
                  <c:v>91.560051595930304</c:v>
                </c:pt>
                <c:pt idx="554">
                  <c:v>90.635573083842246</c:v>
                </c:pt>
                <c:pt idx="555">
                  <c:v>89.707170571754318</c:v>
                </c:pt>
                <c:pt idx="556">
                  <c:v>88.774844059666179</c:v>
                </c:pt>
                <c:pt idx="557">
                  <c:v>87.838593547578057</c:v>
                </c:pt>
                <c:pt idx="558">
                  <c:v>86.898419035490065</c:v>
                </c:pt>
                <c:pt idx="559">
                  <c:v>85.954320523401975</c:v>
                </c:pt>
                <c:pt idx="560">
                  <c:v>85.006298011313788</c:v>
                </c:pt>
                <c:pt idx="561">
                  <c:v>84.054351499225731</c:v>
                </c:pt>
                <c:pt idx="562">
                  <c:v>83.098480987137691</c:v>
                </c:pt>
                <c:pt idx="563">
                  <c:v>82.138686475049781</c:v>
                </c:pt>
                <c:pt idx="564">
                  <c:v>81.174967962961546</c:v>
                </c:pt>
                <c:pt idx="565">
                  <c:v>80.207325450873554</c:v>
                </c:pt>
                <c:pt idx="566">
                  <c:v>79.235758938785466</c:v>
                </c:pt>
                <c:pt idx="567">
                  <c:v>78.26026842669728</c:v>
                </c:pt>
                <c:pt idx="568">
                  <c:v>77.280853914609224</c:v>
                </c:pt>
                <c:pt idx="569">
                  <c:v>76.297515402521185</c:v>
                </c:pt>
                <c:pt idx="570">
                  <c:v>75.310252890433162</c:v>
                </c:pt>
                <c:pt idx="571">
                  <c:v>74.319066378345042</c:v>
                </c:pt>
                <c:pt idx="572">
                  <c:v>73.323955866256938</c:v>
                </c:pt>
                <c:pt idx="573">
                  <c:v>72.32492135416885</c:v>
                </c:pt>
                <c:pt idx="574">
                  <c:v>71.321962842080779</c:v>
                </c:pt>
                <c:pt idx="575">
                  <c:v>70.315080329992838</c:v>
                </c:pt>
                <c:pt idx="576">
                  <c:v>69.304273817904686</c:v>
                </c:pt>
                <c:pt idx="577">
                  <c:v>68.289543305816665</c:v>
                </c:pt>
                <c:pt idx="578">
                  <c:v>67.270888793728659</c:v>
                </c:pt>
                <c:pt idx="579">
                  <c:v>66.248310281640556</c:v>
                </c:pt>
                <c:pt idx="580">
                  <c:v>65.22180776955247</c:v>
                </c:pt>
                <c:pt idx="581">
                  <c:v>64.191381257464286</c:v>
                </c:pt>
                <c:pt idx="582">
                  <c:v>63.157030745376339</c:v>
                </c:pt>
                <c:pt idx="583">
                  <c:v>62.118756233288188</c:v>
                </c:pt>
                <c:pt idx="584">
                  <c:v>61.076557721200167</c:v>
                </c:pt>
                <c:pt idx="585">
                  <c:v>60.030435209112163</c:v>
                </c:pt>
                <c:pt idx="586">
                  <c:v>58.980388697024061</c:v>
                </c:pt>
                <c:pt idx="587">
                  <c:v>57.926418184935976</c:v>
                </c:pt>
                <c:pt idx="588">
                  <c:v>56.868523672847907</c:v>
                </c:pt>
                <c:pt idx="589">
                  <c:v>55.806705160759741</c:v>
                </c:pt>
                <c:pt idx="590">
                  <c:v>54.740962648671704</c:v>
                </c:pt>
                <c:pt idx="591">
                  <c:v>53.671296136583685</c:v>
                </c:pt>
                <c:pt idx="592">
                  <c:v>52.597705624495568</c:v>
                </c:pt>
                <c:pt idx="593">
                  <c:v>51.520191112407467</c:v>
                </c:pt>
                <c:pt idx="594">
                  <c:v>50.438752600319496</c:v>
                </c:pt>
                <c:pt idx="595">
                  <c:v>49.353390088231428</c:v>
                </c:pt>
                <c:pt idx="596">
                  <c:v>48.264103576143377</c:v>
                </c:pt>
                <c:pt idx="597">
                  <c:v>47.170893064055228</c:v>
                </c:pt>
                <c:pt idx="598">
                  <c:v>46.073758551967096</c:v>
                </c:pt>
                <c:pt idx="599">
                  <c:v>44.972700039879093</c:v>
                </c:pt>
                <c:pt idx="600">
                  <c:v>43.867717527791108</c:v>
                </c:pt>
                <c:pt idx="601">
                  <c:v>42.758811015703024</c:v>
                </c:pt>
                <c:pt idx="602">
                  <c:v>41.645980503614844</c:v>
                </c:pt>
                <c:pt idx="603">
                  <c:v>40.529225991526793</c:v>
                </c:pt>
                <c:pt idx="604">
                  <c:v>39.408547479438759</c:v>
                </c:pt>
                <c:pt idx="605">
                  <c:v>38.283944967350628</c:v>
                </c:pt>
                <c:pt idx="606">
                  <c:v>37.155418455262513</c:v>
                </c:pt>
                <c:pt idx="607">
                  <c:v>36.022967943174642</c:v>
                </c:pt>
                <c:pt idx="608">
                  <c:v>34.88659343108656</c:v>
                </c:pt>
                <c:pt idx="609">
                  <c:v>33.746294918998494</c:v>
                </c:pt>
                <c:pt idx="610">
                  <c:v>32.602072406910331</c:v>
                </c:pt>
                <c:pt idx="611">
                  <c:v>31.453925894822184</c:v>
                </c:pt>
                <c:pt idx="612">
                  <c:v>30.301855382734168</c:v>
                </c:pt>
                <c:pt idx="613">
                  <c:v>29.145860870646167</c:v>
                </c:pt>
                <c:pt idx="614">
                  <c:v>27.98594235855807</c:v>
                </c:pt>
                <c:pt idx="615">
                  <c:v>26.822099846469989</c:v>
                </c:pt>
                <c:pt idx="616">
                  <c:v>25.654333334381924</c:v>
                </c:pt>
                <c:pt idx="617">
                  <c:v>24.48264282229399</c:v>
                </c:pt>
                <c:pt idx="618">
                  <c:v>23.30702831020573</c:v>
                </c:pt>
                <c:pt idx="619">
                  <c:v>22.127489798117601</c:v>
                </c:pt>
                <c:pt idx="620">
                  <c:v>20.944027286029716</c:v>
                </c:pt>
                <c:pt idx="621">
                  <c:v>19.756640773941619</c:v>
                </c:pt>
                <c:pt idx="622">
                  <c:v>18.565330261853539</c:v>
                </c:pt>
                <c:pt idx="623">
                  <c:v>17.370095749765476</c:v>
                </c:pt>
                <c:pt idx="624">
                  <c:v>16.170937237677428</c:v>
                </c:pt>
                <c:pt idx="625">
                  <c:v>14.967854725589284</c:v>
                </c:pt>
                <c:pt idx="626">
                  <c:v>13.760848213501156</c:v>
                </c:pt>
                <c:pt idx="627">
                  <c:v>12.549917701413044</c:v>
                </c:pt>
                <c:pt idx="628">
                  <c:v>11.335063189325062</c:v>
                </c:pt>
                <c:pt idx="629">
                  <c:v>10.116284677230844</c:v>
                </c:pt>
                <c:pt idx="630">
                  <c:v>8.8935821651427815</c:v>
                </c:pt>
                <c:pt idx="631">
                  <c:v>7.6669556530546226</c:v>
                </c:pt>
                <c:pt idx="632">
                  <c:v>6.4364051409728456</c:v>
                </c:pt>
                <c:pt idx="633">
                  <c:v>5.2019306288847185</c:v>
                </c:pt>
                <c:pt idx="634">
                  <c:v>3.9635321167966078</c:v>
                </c:pt>
                <c:pt idx="635">
                  <c:v>2.7212096047085135</c:v>
                </c:pt>
                <c:pt idx="636">
                  <c:v>1.4749630926204356</c:v>
                </c:pt>
                <c:pt idx="637">
                  <c:v>0.22479258053248774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55-47C0-8313-E61D56756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957887"/>
        <c:axId val="416957407"/>
      </c:scatterChart>
      <c:valAx>
        <c:axId val="416957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X(t)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407"/>
        <c:crosses val="autoZero"/>
        <c:crossBetween val="midCat"/>
      </c:valAx>
      <c:valAx>
        <c:axId val="4169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Y(t)</a:t>
                </a:r>
                <a:r>
                  <a:rPr lang="en-US" baseline="0"/>
                  <a:t>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5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1001598</xdr:colOff>
      <xdr:row>1</xdr:row>
      <xdr:rowOff>196390</xdr:rowOff>
    </xdr:from>
    <xdr:to>
      <xdr:col>9</xdr:col>
      <xdr:colOff>0</xdr:colOff>
      <xdr:row>20</xdr:row>
      <xdr:rowOff>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90882F6E-1062-45E1-AA56-75624AA5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27</xdr:col>
      <xdr:colOff>361676</xdr:colOff>
      <xdr:row>21</xdr:row>
      <xdr:rowOff>35089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BBF264-6518-4391-9C22-3492F7B1CF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581463</xdr:colOff>
      <xdr:row>3</xdr:row>
      <xdr:rowOff>4940</xdr:rowOff>
    </xdr:from>
    <xdr:to>
      <xdr:col>15</xdr:col>
      <xdr:colOff>333539</xdr:colOff>
      <xdr:row>19</xdr:row>
      <xdr:rowOff>40029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DE88A6-2E34-4FE8-822E-AA46E7A6D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B75935-AEB2-47D0-BA19-EB0028897C30}" name="Tabelle2" displayName="Tabelle2" ref="F2:T1581" totalsRowShown="0" headerRowDxfId="9" headerRowBorderDxfId="8">
  <autoFilter ref="F2:T1581" xr:uid="{3EB75935-AEB2-47D0-BA19-EB0028897C30}"/>
  <tableColumns count="15">
    <tableColumn id="1" xr3:uid="{6326C609-F1B0-44B5-A26B-EC9B54753963}" name="t [s]" dataDxfId="7">
      <calculatedColumnFormula>F2+$B$13</calculatedColumnFormula>
    </tableColumn>
    <tableColumn id="14" xr3:uid="{1BA6DDC4-0FA0-407E-8D47-ACEFFC72E343}" name="Fd" dataDxfId="6">
      <calculatedColumnFormula>1/2*$B$8*$B$6*$B$7*(Tabelle2[[#This Row],[vx]]*Tabelle2[[#This Row],[vx]]+Tabelle2[[#This Row],[vy]]*Tabelle2[[#This Row],[vy]])/1000000</calculatedColumnFormula>
    </tableColumn>
    <tableColumn id="2" xr3:uid="{8ADB060E-358A-44D5-B597-A3EAAFBF4471}" name="Fx" dataDxfId="5">
      <calculatedColumnFormula>IF($B$3,-Tabelle2[[#This Row],[Fd]]*Tabelle2[[#This Row],[vx]]/Tabelle2[[#This Row],[v]],0)</calculatedColumnFormula>
    </tableColumn>
    <tableColumn id="4" xr3:uid="{3EBFBAC4-9D71-48D4-82F5-D6CD18B3F322}" name="ax">
      <calculatedColumnFormula>H3/$B$5</calculatedColumnFormula>
    </tableColumn>
    <tableColumn id="5" xr3:uid="{81A6369A-7EA8-49B6-BBDB-0C35317DF23F}" name="dvx">
      <calculatedColumnFormula>I3*$B$13</calculatedColumnFormula>
    </tableColumn>
    <tableColumn id="6" xr3:uid="{0DBC3E74-7AD7-4E24-85E6-C6B33D75999F}" name="dx">
      <calculatedColumnFormula>$B$13*(P3+J3/2)</calculatedColumnFormula>
    </tableColumn>
    <tableColumn id="3" xr3:uid="{995C50AC-D233-45C5-A780-42CF88F3D1D6}" name="Fy" dataDxfId="4">
      <calculatedColumnFormula>-$B$5*$B$12-IF($B$3,Tabelle2[[#This Row],[Fd]]*Tabelle2[[#This Row],[vy]]/Tabelle2[[#This Row],[v]],0)</calculatedColumnFormula>
    </tableColumn>
    <tableColumn id="7" xr3:uid="{7B842052-B82D-48BA-B8E6-54230B66EC52}" name="ay">
      <calculatedColumnFormula>L3/$B$5</calculatedColumnFormula>
    </tableColumn>
    <tableColumn id="8" xr3:uid="{F61EB5B3-7CED-48C4-9564-20C5A4E91315}" name="dvy">
      <calculatedColumnFormula>M3*$B$13</calculatedColumnFormula>
    </tableColumn>
    <tableColumn id="9" xr3:uid="{FED2067E-9A52-4692-A3F4-573DBAC35AC3}" name="dy">
      <calculatedColumnFormula>$B$13*(Q3+N3/2)</calculatedColumnFormula>
    </tableColumn>
    <tableColumn id="10" xr3:uid="{38691B57-6EAD-485E-A885-7455CDADDB9C}" name="vx" dataDxfId="3">
      <calculatedColumnFormula>P2+J2</calculatedColumnFormula>
    </tableColumn>
    <tableColumn id="11" xr3:uid="{41699CEC-1134-4C48-915C-E1C2B45CD517}" name="vy" dataDxfId="2">
      <calculatedColumnFormula>Q2+N2</calculatedColumnFormula>
    </tableColumn>
    <tableColumn id="15" xr3:uid="{34671686-86C3-4ED9-A678-EA3EA815EA77}" name="v" dataDxfId="1">
      <calculatedColumnFormula>SQRT(Tabelle2[[#This Row],[vx]]*Tabelle2[[#This Row],[vx]]+Tabelle2[[#This Row],[vy]]*Tabelle2[[#This Row],[vy]])</calculatedColumnFormula>
    </tableColumn>
    <tableColumn id="12" xr3:uid="{36F6365B-F367-4E27-96CE-61F59FEC664A}" name="x">
      <calculatedColumnFormula>S2+K2</calculatedColumnFormula>
    </tableColumn>
    <tableColumn id="13" xr3:uid="{D95E174B-5B8B-4690-A419-5213CBBC7120}" name="y" dataDxfId="0">
      <calculatedColumnFormula>T2+O2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38BBC0-F5F9-464B-8773-EB07E20CCBAD}" name="Table1" displayName="Table1" ref="A1:E5" totalsRowShown="0">
  <autoFilter ref="A1:E5" xr:uid="{3238BBC0-F5F9-464B-8773-EB07E20CCBAD}"/>
  <tableColumns count="5">
    <tableColumn id="1" xr3:uid="{1E8E0AD6-5986-410B-A405-25038CD05C7E}" name="Material"/>
    <tableColumn id="2" xr3:uid="{2410EB5A-08B7-41A0-9B55-76485239C5A7}" name="Shear Modulus [Gpa]"/>
    <tableColumn id="3" xr3:uid="{5BCB5E3B-81E0-4472-8A90-56ABD2FEE5CD}" name="Elastic Modulus [Mpa]"/>
    <tableColumn id="4" xr3:uid="{865EABEB-BD5E-4F3C-B0E4-4EA5E064C75D}" name="Material Density [kg/m^3]"/>
    <tableColumn id="5" xr3:uid="{0300F939-CDE3-4DF7-843E-5F6639DC9C47}" name="Yield Strenght [Mpa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DBE5-908A-4180-B9D8-62427F3067D5}">
  <sheetPr codeName="Tabelle1">
    <tabColor theme="3" tint="0.749992370372631"/>
  </sheetPr>
  <dimension ref="A1:K129"/>
  <sheetViews>
    <sheetView tabSelected="1" topLeftCell="A69" zoomScale="97" zoomScaleNormal="160" workbookViewId="0">
      <selection activeCell="B80" sqref="B80"/>
    </sheetView>
  </sheetViews>
  <sheetFormatPr defaultColWidth="9.08984375" defaultRowHeight="14.5" x14ac:dyDescent="0.35"/>
  <cols>
    <col min="1" max="1" width="20.36328125" bestFit="1" customWidth="1"/>
    <col min="2" max="2" width="13.54296875" bestFit="1" customWidth="1"/>
    <col min="3" max="3" width="22.36328125" customWidth="1"/>
    <col min="4" max="4" width="12.90625" style="1" customWidth="1"/>
    <col min="5" max="5" width="28" customWidth="1"/>
    <col min="6" max="6" width="12.6328125" bestFit="1" customWidth="1"/>
    <col min="7" max="7" width="17.6328125" bestFit="1" customWidth="1"/>
    <col min="8" max="8" width="14.90625" bestFit="1" customWidth="1"/>
  </cols>
  <sheetData>
    <row r="1" spans="1:11" x14ac:dyDescent="0.35">
      <c r="A1" s="2" t="s">
        <v>6</v>
      </c>
      <c r="J1" s="2" t="s">
        <v>41</v>
      </c>
    </row>
    <row r="2" spans="1:11" ht="15" thickBot="1" x14ac:dyDescent="0.4">
      <c r="A2" s="2" t="s">
        <v>109</v>
      </c>
      <c r="C2" s="2" t="s">
        <v>101</v>
      </c>
      <c r="J2" s="17"/>
      <c r="K2" t="s">
        <v>40</v>
      </c>
    </row>
    <row r="3" spans="1:11" ht="15" thickBot="1" x14ac:dyDescent="0.4">
      <c r="A3" s="17" t="s">
        <v>0</v>
      </c>
      <c r="B3" s="18">
        <v>200</v>
      </c>
      <c r="C3" s="9" t="s">
        <v>185</v>
      </c>
      <c r="D3" s="15">
        <f ca="1">Kinematics2!W3</f>
        <v>199.99998193662856</v>
      </c>
      <c r="E3" t="s">
        <v>124</v>
      </c>
      <c r="J3" s="20"/>
      <c r="K3" t="s">
        <v>56</v>
      </c>
    </row>
    <row r="4" spans="1:11" x14ac:dyDescent="0.35">
      <c r="A4" s="17" t="s">
        <v>168</v>
      </c>
      <c r="B4" s="25" t="b">
        <v>0</v>
      </c>
      <c r="C4" s="9" t="s">
        <v>4</v>
      </c>
      <c r="D4" s="15">
        <f>Kinematics2!B18</f>
        <v>81.421874351890651</v>
      </c>
      <c r="J4" s="9"/>
      <c r="K4" t="s">
        <v>43</v>
      </c>
    </row>
    <row r="5" spans="1:11" x14ac:dyDescent="0.35">
      <c r="A5" s="19" t="s">
        <v>1</v>
      </c>
      <c r="B5" s="18">
        <v>40</v>
      </c>
      <c r="C5" s="8" t="s">
        <v>23</v>
      </c>
      <c r="D5" s="15">
        <f>Kinematics2!B26</f>
        <v>40.710937175945325</v>
      </c>
      <c r="J5" s="21"/>
      <c r="K5" t="s">
        <v>9</v>
      </c>
    </row>
    <row r="6" spans="1:11" x14ac:dyDescent="0.35">
      <c r="C6" s="9" t="s">
        <v>22</v>
      </c>
      <c r="D6" s="15">
        <f>Kinematics2!B27</f>
        <v>6.4793468894553046</v>
      </c>
      <c r="J6" s="4"/>
      <c r="K6" t="s">
        <v>13</v>
      </c>
    </row>
    <row r="7" spans="1:11" x14ac:dyDescent="0.35">
      <c r="A7" s="2" t="s">
        <v>110</v>
      </c>
      <c r="C7" s="9" t="s">
        <v>28</v>
      </c>
      <c r="D7" s="15">
        <f>Kinematics2!B28</f>
        <v>388.76081336731829</v>
      </c>
    </row>
    <row r="8" spans="1:11" x14ac:dyDescent="0.35">
      <c r="A8" s="17" t="s">
        <v>21</v>
      </c>
      <c r="B8" s="17">
        <v>60</v>
      </c>
      <c r="C8" s="9" t="s">
        <v>24</v>
      </c>
      <c r="D8" s="15">
        <f>Kinetics!B13</f>
        <v>0.67851561959908879</v>
      </c>
    </row>
    <row r="9" spans="1:11" x14ac:dyDescent="0.35">
      <c r="C9" s="9" t="s">
        <v>25</v>
      </c>
      <c r="D9" s="15">
        <f>Kinetics!B14</f>
        <v>1.3570312391981776</v>
      </c>
    </row>
    <row r="10" spans="1:11" x14ac:dyDescent="0.35">
      <c r="C10" s="9" t="s">
        <v>26</v>
      </c>
      <c r="D10" s="15">
        <f>Kinetics!B15</f>
        <v>3314.7608114875343</v>
      </c>
    </row>
    <row r="11" spans="1:11" x14ac:dyDescent="0.35">
      <c r="C11" s="9" t="s">
        <v>27</v>
      </c>
      <c r="D11" s="15">
        <f>Kinetics!B16</f>
        <v>337.89610718527359</v>
      </c>
    </row>
    <row r="12" spans="1:11" x14ac:dyDescent="0.35">
      <c r="A12" s="2" t="s">
        <v>115</v>
      </c>
    </row>
    <row r="13" spans="1:11" x14ac:dyDescent="0.35">
      <c r="A13" s="17" t="s">
        <v>37</v>
      </c>
      <c r="B13" s="18">
        <v>1.5</v>
      </c>
      <c r="C13" s="9" t="s">
        <v>125</v>
      </c>
      <c r="D13" s="15">
        <f>Kinetics!B19</f>
        <v>11.727084066548276</v>
      </c>
    </row>
    <row r="14" spans="1:11" x14ac:dyDescent="0.35">
      <c r="A14" s="17" t="s">
        <v>114</v>
      </c>
      <c r="B14" s="17">
        <v>0.75</v>
      </c>
      <c r="C14" s="9" t="s">
        <v>31</v>
      </c>
      <c r="D14" s="15">
        <f>Kinetics!B24</f>
        <v>32.555584426930906</v>
      </c>
    </row>
    <row r="15" spans="1:11" x14ac:dyDescent="0.35">
      <c r="A15" s="17" t="s">
        <v>117</v>
      </c>
      <c r="B15" s="17">
        <v>3850</v>
      </c>
      <c r="C15" s="9" t="s">
        <v>32</v>
      </c>
      <c r="D15" s="15">
        <f>Kinetics!B25</f>
        <v>1325.368352330968</v>
      </c>
    </row>
    <row r="16" spans="1:11" x14ac:dyDescent="0.35">
      <c r="A16" s="17" t="s">
        <v>112</v>
      </c>
      <c r="B16" s="17">
        <v>1.225225</v>
      </c>
    </row>
    <row r="18" spans="1:5" x14ac:dyDescent="0.35">
      <c r="A18" s="2" t="s">
        <v>116</v>
      </c>
    </row>
    <row r="19" spans="1:5" x14ac:dyDescent="0.35">
      <c r="A19" s="19" t="s">
        <v>8</v>
      </c>
      <c r="B19" s="18">
        <v>3</v>
      </c>
    </row>
    <row r="21" spans="1:5" x14ac:dyDescent="0.35">
      <c r="A21" s="2" t="s">
        <v>64</v>
      </c>
      <c r="C21" s="2"/>
    </row>
    <row r="22" spans="1:5" x14ac:dyDescent="0.35">
      <c r="A22" s="19" t="s">
        <v>7</v>
      </c>
      <c r="B22" s="18">
        <v>2</v>
      </c>
      <c r="C22" s="9" t="s">
        <v>103</v>
      </c>
      <c r="D22" s="15">
        <f>B75</f>
        <v>33.108704860726945</v>
      </c>
      <c r="E22" t="s">
        <v>106</v>
      </c>
    </row>
    <row r="23" spans="1:5" x14ac:dyDescent="0.35">
      <c r="A23" s="17" t="s">
        <v>63</v>
      </c>
      <c r="B23" s="17">
        <v>25</v>
      </c>
      <c r="C23" s="9" t="s">
        <v>93</v>
      </c>
      <c r="D23" s="15">
        <f>B84</f>
        <v>30.789593418510091</v>
      </c>
      <c r="E23" t="s">
        <v>107</v>
      </c>
    </row>
    <row r="24" spans="1:5" ht="15" thickBot="1" x14ac:dyDescent="0.4">
      <c r="A24" s="17" t="s">
        <v>62</v>
      </c>
      <c r="B24" s="17">
        <v>20</v>
      </c>
      <c r="C24" s="8" t="s">
        <v>100</v>
      </c>
      <c r="D24" s="15">
        <f>B88</f>
        <v>14.590303295156659</v>
      </c>
      <c r="E24" t="s">
        <v>105</v>
      </c>
    </row>
    <row r="25" spans="1:5" ht="15" thickBot="1" x14ac:dyDescent="0.4">
      <c r="A25" s="17" t="s">
        <v>51</v>
      </c>
      <c r="B25" s="20" t="s">
        <v>57</v>
      </c>
      <c r="C25" s="9" t="s">
        <v>96</v>
      </c>
      <c r="D25" s="15">
        <f>B92</f>
        <v>62.770881196508654</v>
      </c>
      <c r="E25" t="s">
        <v>104</v>
      </c>
    </row>
    <row r="26" spans="1:5" x14ac:dyDescent="0.35">
      <c r="C26" s="9" t="s">
        <v>72</v>
      </c>
      <c r="D26" s="15">
        <f>B93</f>
        <v>9.5585722004070295</v>
      </c>
      <c r="E26" t="s">
        <v>77</v>
      </c>
    </row>
    <row r="28" spans="1:5" x14ac:dyDescent="0.35">
      <c r="A28" s="2" t="s">
        <v>65</v>
      </c>
    </row>
    <row r="29" spans="1:5" x14ac:dyDescent="0.35">
      <c r="A29" s="17" t="s">
        <v>36</v>
      </c>
      <c r="B29" s="18">
        <v>2</v>
      </c>
      <c r="C29" s="9" t="s">
        <v>138</v>
      </c>
      <c r="D29" s="15">
        <f>B102</f>
        <v>33.108704860726945</v>
      </c>
      <c r="E29" t="s">
        <v>106</v>
      </c>
    </row>
    <row r="30" spans="1:5" x14ac:dyDescent="0.35">
      <c r="A30" s="17" t="s">
        <v>66</v>
      </c>
      <c r="B30" s="17">
        <v>25</v>
      </c>
      <c r="C30" s="9" t="s">
        <v>139</v>
      </c>
      <c r="D30" s="15">
        <f>B110</f>
        <v>4.892336524482281</v>
      </c>
      <c r="E30" t="s">
        <v>107</v>
      </c>
    </row>
    <row r="31" spans="1:5" ht="14.4" customHeight="1" thickBot="1" x14ac:dyDescent="0.4">
      <c r="A31" s="17" t="s">
        <v>67</v>
      </c>
      <c r="B31" s="17">
        <v>20</v>
      </c>
      <c r="C31" s="8" t="s">
        <v>140</v>
      </c>
      <c r="D31" s="15">
        <f>B114</f>
        <v>2.474627555260609</v>
      </c>
      <c r="E31" t="s">
        <v>105</v>
      </c>
    </row>
    <row r="32" spans="1:5" ht="15" thickBot="1" x14ac:dyDescent="0.4">
      <c r="A32" s="17" t="s">
        <v>51</v>
      </c>
      <c r="B32" s="20" t="s">
        <v>57</v>
      </c>
      <c r="C32" s="9" t="s">
        <v>141</v>
      </c>
      <c r="D32" s="15">
        <f>B118</f>
        <v>34.175886346385724</v>
      </c>
      <c r="E32" t="s">
        <v>104</v>
      </c>
    </row>
    <row r="33" spans="1:5" x14ac:dyDescent="0.35">
      <c r="C33" s="9" t="s">
        <v>72</v>
      </c>
      <c r="D33" s="15">
        <f>B119</f>
        <v>17.556238159232205</v>
      </c>
      <c r="E33" t="s">
        <v>77</v>
      </c>
    </row>
    <row r="36" spans="1:5" x14ac:dyDescent="0.35">
      <c r="A36" s="28" t="s">
        <v>154</v>
      </c>
      <c r="B36" s="28"/>
    </row>
    <row r="37" spans="1:5" x14ac:dyDescent="0.35">
      <c r="A37" s="17" t="s">
        <v>146</v>
      </c>
      <c r="B37" s="24">
        <v>0.1</v>
      </c>
      <c r="C37" t="s">
        <v>145</v>
      </c>
    </row>
    <row r="38" spans="1:5" x14ac:dyDescent="0.35">
      <c r="A38" s="17" t="s">
        <v>158</v>
      </c>
      <c r="B38" s="24">
        <v>80</v>
      </c>
      <c r="C38" t="s">
        <v>155</v>
      </c>
    </row>
    <row r="39" spans="1:5" x14ac:dyDescent="0.35">
      <c r="A39" s="17" t="s">
        <v>159</v>
      </c>
      <c r="B39" s="24">
        <v>50</v>
      </c>
      <c r="C39" t="s">
        <v>156</v>
      </c>
    </row>
    <row r="40" spans="1:5" x14ac:dyDescent="0.35">
      <c r="A40" s="17" t="s">
        <v>160</v>
      </c>
      <c r="B40" s="24">
        <v>58</v>
      </c>
      <c r="C40" t="s">
        <v>157</v>
      </c>
    </row>
    <row r="41" spans="1:5" x14ac:dyDescent="0.35">
      <c r="A41" s="17" t="s">
        <v>163</v>
      </c>
      <c r="B41" s="24">
        <v>20</v>
      </c>
      <c r="C41" t="s">
        <v>164</v>
      </c>
    </row>
    <row r="43" spans="1:5" x14ac:dyDescent="0.35">
      <c r="A43" s="2" t="s">
        <v>102</v>
      </c>
    </row>
    <row r="44" spans="1:5" x14ac:dyDescent="0.35">
      <c r="A44" t="s">
        <v>135</v>
      </c>
    </row>
    <row r="45" spans="1:5" x14ac:dyDescent="0.35">
      <c r="A45" s="8" t="s">
        <v>68</v>
      </c>
      <c r="B45" s="9" cm="1">
        <f t="array" ref="B45">_xlfn.XLOOKUP(B25,Table1[[#All],[Material]],Table1[[#All],[Material Density '[kg/m^3']]])</f>
        <v>1500</v>
      </c>
    </row>
    <row r="46" spans="1:5" x14ac:dyDescent="0.35">
      <c r="A46" s="4" t="s">
        <v>69</v>
      </c>
      <c r="B46" s="11">
        <f>(B23^2-B24^2)*PI()/4</f>
        <v>176.71458676442586</v>
      </c>
    </row>
    <row r="47" spans="1:5" x14ac:dyDescent="0.35">
      <c r="A47" s="4" t="s">
        <v>70</v>
      </c>
      <c r="B47" s="11">
        <f>B46*B22*1000</f>
        <v>353429.17352885171</v>
      </c>
    </row>
    <row r="48" spans="1:5" x14ac:dyDescent="0.35">
      <c r="A48" s="4" t="s">
        <v>38</v>
      </c>
      <c r="B48" s="14">
        <f>(B47/10^9)*B45</f>
        <v>0.53014376029327759</v>
      </c>
    </row>
    <row r="49" spans="1:2" x14ac:dyDescent="0.35">
      <c r="A49" s="4" t="s">
        <v>90</v>
      </c>
      <c r="B49" s="11">
        <f>(B23^4-B24^4)*PI()/64</f>
        <v>11320.778214596032</v>
      </c>
    </row>
    <row r="51" spans="1:2" x14ac:dyDescent="0.35">
      <c r="A51" t="s">
        <v>136</v>
      </c>
    </row>
    <row r="52" spans="1:2" x14ac:dyDescent="0.35">
      <c r="A52" s="8" t="s">
        <v>71</v>
      </c>
      <c r="B52" s="9" cm="1">
        <f t="array" ref="B52">_xlfn.XLOOKUP(B32,Table1[[#All],[Material]],Table1[[#All],[Material Density '[kg/m^3']]])</f>
        <v>1500</v>
      </c>
    </row>
    <row r="53" spans="1:2" x14ac:dyDescent="0.35">
      <c r="A53" s="4" t="s">
        <v>133</v>
      </c>
      <c r="B53" s="11">
        <f>(B30^2-B31^2)*PI()/4</f>
        <v>176.71458676442586</v>
      </c>
    </row>
    <row r="54" spans="1:2" x14ac:dyDescent="0.35">
      <c r="A54" s="4" t="s">
        <v>134</v>
      </c>
      <c r="B54" s="11">
        <f>B53*B29*1000</f>
        <v>353429.17352885171</v>
      </c>
    </row>
    <row r="55" spans="1:2" x14ac:dyDescent="0.35">
      <c r="A55" s="4" t="s">
        <v>39</v>
      </c>
      <c r="B55" s="14">
        <f>(B54/10^9)*B52</f>
        <v>0.53014376029327759</v>
      </c>
    </row>
    <row r="56" spans="1:2" x14ac:dyDescent="0.35">
      <c r="A56" s="4" t="s">
        <v>137</v>
      </c>
      <c r="B56" s="11">
        <f>(B30^4-B31^4)*PI()/64</f>
        <v>11320.778214596032</v>
      </c>
    </row>
    <row r="58" spans="1:2" x14ac:dyDescent="0.35">
      <c r="A58" t="s">
        <v>46</v>
      </c>
      <c r="B58" s="1"/>
    </row>
    <row r="59" spans="1:2" x14ac:dyDescent="0.35">
      <c r="A59" s="4" t="s">
        <v>35</v>
      </c>
      <c r="B59" s="3">
        <f>(B22/B29)*B13</f>
        <v>1.5</v>
      </c>
    </row>
    <row r="61" spans="1:2" x14ac:dyDescent="0.35">
      <c r="A61" t="s">
        <v>42</v>
      </c>
    </row>
    <row r="62" spans="1:2" x14ac:dyDescent="0.35">
      <c r="A62" s="4" t="s">
        <v>86</v>
      </c>
      <c r="B62" s="3">
        <f>B13*B22^2</f>
        <v>6</v>
      </c>
    </row>
    <row r="63" spans="1:2" x14ac:dyDescent="0.35">
      <c r="A63" s="4" t="s">
        <v>85</v>
      </c>
      <c r="B63" s="3">
        <f>B59*B29^2</f>
        <v>6</v>
      </c>
    </row>
    <row r="64" spans="1:2" x14ac:dyDescent="0.35">
      <c r="A64" s="4" t="s">
        <v>87</v>
      </c>
      <c r="B64" s="3">
        <f>(B48*B22^2)/3</f>
        <v>0.70685834705770345</v>
      </c>
    </row>
    <row r="65" spans="1:3" x14ac:dyDescent="0.35">
      <c r="A65" s="4" t="s">
        <v>88</v>
      </c>
      <c r="B65" s="3">
        <f>(B55*B29^2)/3</f>
        <v>0.70685834705770345</v>
      </c>
    </row>
    <row r="66" spans="1:3" x14ac:dyDescent="0.35">
      <c r="A66" s="4" t="s">
        <v>89</v>
      </c>
      <c r="B66" s="3">
        <f>B62+B63+B64+B65</f>
        <v>13.413716694115408</v>
      </c>
    </row>
    <row r="68" spans="1:3" x14ac:dyDescent="0.35">
      <c r="A68" s="2" t="s">
        <v>73</v>
      </c>
    </row>
    <row r="69" spans="1:3" x14ac:dyDescent="0.35">
      <c r="A69" t="s">
        <v>44</v>
      </c>
    </row>
    <row r="70" spans="1:3" ht="58" x14ac:dyDescent="0.35">
      <c r="A70" s="4" t="s">
        <v>26</v>
      </c>
      <c r="B70" s="10">
        <f>(Kinematics_deprecated!B14^2)/Main!B22</f>
        <v>3314.7608114875343</v>
      </c>
      <c r="C70" s="7" t="s">
        <v>108</v>
      </c>
    </row>
    <row r="71" spans="1:3" x14ac:dyDescent="0.35">
      <c r="A71" s="4" t="s">
        <v>47</v>
      </c>
      <c r="B71" s="10">
        <f>(Kinematics_deprecated!B14^2)/(2*Main!B22)</f>
        <v>1657.3804057437671</v>
      </c>
      <c r="C71" s="7"/>
    </row>
    <row r="72" spans="1:3" x14ac:dyDescent="0.35">
      <c r="A72" s="4" t="s">
        <v>49</v>
      </c>
      <c r="B72" s="10">
        <f>B70*B13</f>
        <v>4972.1412172313012</v>
      </c>
      <c r="C72" s="7"/>
    </row>
    <row r="73" spans="1:3" x14ac:dyDescent="0.35">
      <c r="A73" s="4" t="s">
        <v>48</v>
      </c>
      <c r="B73" s="10">
        <f>B71*B48</f>
        <v>878.64988053739887</v>
      </c>
    </row>
    <row r="74" spans="1:3" x14ac:dyDescent="0.35">
      <c r="A74" s="4" t="s">
        <v>50</v>
      </c>
      <c r="B74" s="10">
        <f>B72+B73</f>
        <v>5850.7910977686997</v>
      </c>
    </row>
    <row r="75" spans="1:3" x14ac:dyDescent="0.35">
      <c r="A75" s="4" t="s">
        <v>92</v>
      </c>
      <c r="B75" s="12">
        <f>B74/B46</f>
        <v>33.108704860726945</v>
      </c>
    </row>
    <row r="77" spans="1:3" x14ac:dyDescent="0.35">
      <c r="A77" t="s">
        <v>78</v>
      </c>
    </row>
    <row r="78" spans="1:3" x14ac:dyDescent="0.35">
      <c r="A78" s="9" t="s">
        <v>79</v>
      </c>
      <c r="B78" s="16">
        <f>Kinetics!B14</f>
        <v>1.3570312391981776</v>
      </c>
    </row>
    <row r="79" spans="1:3" x14ac:dyDescent="0.35">
      <c r="A79" s="9" t="s">
        <v>118</v>
      </c>
      <c r="B79" s="23">
        <f>Kinetics!B19</f>
        <v>11.727084066548276</v>
      </c>
    </row>
    <row r="80" spans="1:3" x14ac:dyDescent="0.35">
      <c r="A80" s="4" t="s">
        <v>81</v>
      </c>
      <c r="B80" s="3">
        <f>B78*B13</f>
        <v>2.0355468587972663</v>
      </c>
    </row>
    <row r="81" spans="1:3" x14ac:dyDescent="0.35">
      <c r="A81" s="4" t="s">
        <v>80</v>
      </c>
      <c r="B81" s="13">
        <f>(B78/2)*B48</f>
        <v>0.35971082199198406</v>
      </c>
    </row>
    <row r="82" spans="1:3" x14ac:dyDescent="0.35">
      <c r="A82" s="4" t="s">
        <v>84</v>
      </c>
      <c r="B82" s="3">
        <f>B80+B81+B79</f>
        <v>14.122341747337526</v>
      </c>
      <c r="C82" t="s">
        <v>82</v>
      </c>
    </row>
    <row r="83" spans="1:3" x14ac:dyDescent="0.35">
      <c r="A83" s="4" t="s">
        <v>83</v>
      </c>
      <c r="B83" s="3">
        <f>B80*B22+B81*(B22/2)+B79*B22</f>
        <v>27.88497267268307</v>
      </c>
      <c r="C83" t="s">
        <v>91</v>
      </c>
    </row>
    <row r="84" spans="1:3" x14ac:dyDescent="0.35">
      <c r="A84" s="4" t="s">
        <v>93</v>
      </c>
      <c r="B84" s="13">
        <f>(B83*1000)*B23/(2*B49)</f>
        <v>30.789593418510091</v>
      </c>
      <c r="C84" t="s">
        <v>94</v>
      </c>
    </row>
    <row r="86" spans="1:3" x14ac:dyDescent="0.35">
      <c r="A86" t="s">
        <v>98</v>
      </c>
    </row>
    <row r="87" spans="1:3" x14ac:dyDescent="0.35">
      <c r="A87" s="9" t="s">
        <v>99</v>
      </c>
      <c r="B87" s="15" cm="1">
        <f t="array" ref="B87">_xlfn.XLOOKUP(B25,Table1[[#All],[Material]],Table1[[#All],[Elastic Modulus '[Mpa']]])</f>
        <v>228000</v>
      </c>
    </row>
    <row r="88" spans="1:3" x14ac:dyDescent="0.35">
      <c r="A88" s="6" t="s">
        <v>100</v>
      </c>
      <c r="B88" s="3">
        <f>B82*(B22*1000)^3/(3*B87*B49)</f>
        <v>14.590303295156659</v>
      </c>
    </row>
    <row r="90" spans="1:3" x14ac:dyDescent="0.35">
      <c r="A90" t="s">
        <v>95</v>
      </c>
    </row>
    <row r="91" spans="1:3" x14ac:dyDescent="0.35">
      <c r="A91" s="9" t="s">
        <v>58</v>
      </c>
      <c r="B91" s="15" cm="1">
        <f t="array" ref="B91">_xlfn.XLOOKUP(B25,Table1[[#All],[Material]],Table1[[#All],[Yield Strenght '[Mpa']]])</f>
        <v>600</v>
      </c>
    </row>
    <row r="92" spans="1:3" x14ac:dyDescent="0.35">
      <c r="A92" s="4" t="s">
        <v>96</v>
      </c>
      <c r="B92" s="12">
        <f>SQRT(B75^2+3*B84^2)</f>
        <v>62.770881196508654</v>
      </c>
      <c r="C92" t="s">
        <v>97</v>
      </c>
    </row>
    <row r="93" spans="1:3" x14ac:dyDescent="0.35">
      <c r="A93" s="4" t="s">
        <v>72</v>
      </c>
      <c r="B93" s="11">
        <f>B91/B92</f>
        <v>9.5585722004070295</v>
      </c>
      <c r="C93" t="s">
        <v>77</v>
      </c>
    </row>
    <row r="95" spans="1:3" x14ac:dyDescent="0.35">
      <c r="A95" s="2" t="s">
        <v>126</v>
      </c>
    </row>
    <row r="96" spans="1:3" x14ac:dyDescent="0.35">
      <c r="A96" t="s">
        <v>44</v>
      </c>
    </row>
    <row r="97" spans="1:3" x14ac:dyDescent="0.35">
      <c r="A97" s="4" t="s">
        <v>129</v>
      </c>
      <c r="B97" s="10">
        <f>(Kinematics_deprecated!B14^2)/Main!B22</f>
        <v>3314.7608114875343</v>
      </c>
      <c r="C97" s="7"/>
    </row>
    <row r="98" spans="1:3" x14ac:dyDescent="0.35">
      <c r="A98" s="4" t="s">
        <v>130</v>
      </c>
      <c r="B98" s="10">
        <f>(Kinematics_deprecated!B14^2)/(2*Main!B22)</f>
        <v>1657.3804057437671</v>
      </c>
      <c r="C98" s="7"/>
    </row>
    <row r="99" spans="1:3" x14ac:dyDescent="0.35">
      <c r="A99" s="4" t="s">
        <v>127</v>
      </c>
      <c r="B99" s="10">
        <f>B97*B59</f>
        <v>4972.1412172313012</v>
      </c>
      <c r="C99" s="7"/>
    </row>
    <row r="100" spans="1:3" x14ac:dyDescent="0.35">
      <c r="A100" s="4" t="s">
        <v>128</v>
      </c>
      <c r="B100" s="10">
        <f>B98*B55</f>
        <v>878.64988053739887</v>
      </c>
    </row>
    <row r="101" spans="1:3" x14ac:dyDescent="0.35">
      <c r="A101" s="4" t="s">
        <v>50</v>
      </c>
      <c r="B101" s="10">
        <f>B99+B100</f>
        <v>5850.7910977686997</v>
      </c>
    </row>
    <row r="102" spans="1:3" x14ac:dyDescent="0.35">
      <c r="A102" s="4" t="s">
        <v>92</v>
      </c>
      <c r="B102" s="12">
        <f>B101/B53</f>
        <v>33.108704860726945</v>
      </c>
    </row>
    <row r="104" spans="1:3" x14ac:dyDescent="0.35">
      <c r="A104" t="s">
        <v>78</v>
      </c>
    </row>
    <row r="105" spans="1:3" x14ac:dyDescent="0.35">
      <c r="A105" s="9" t="s">
        <v>79</v>
      </c>
      <c r="B105" s="16">
        <f>Kinetics!B14</f>
        <v>1.3570312391981776</v>
      </c>
    </row>
    <row r="106" spans="1:3" x14ac:dyDescent="0.35">
      <c r="A106" s="4" t="s">
        <v>131</v>
      </c>
      <c r="B106" s="3">
        <f>B105*B59</f>
        <v>2.0355468587972663</v>
      </c>
    </row>
    <row r="107" spans="1:3" x14ac:dyDescent="0.35">
      <c r="A107" s="4" t="s">
        <v>132</v>
      </c>
      <c r="B107" s="13">
        <f>(B105/2)*B55</f>
        <v>0.35971082199198406</v>
      </c>
    </row>
    <row r="108" spans="1:3" x14ac:dyDescent="0.35">
      <c r="A108" s="4" t="s">
        <v>143</v>
      </c>
      <c r="B108" s="3">
        <f>B106+B107</f>
        <v>2.3952576807892503</v>
      </c>
      <c r="C108" t="s">
        <v>82</v>
      </c>
    </row>
    <row r="109" spans="1:3" x14ac:dyDescent="0.35">
      <c r="A109" s="4" t="s">
        <v>142</v>
      </c>
      <c r="B109" s="3">
        <f>B106*B29+B107*(B29/2)</f>
        <v>4.430804539586517</v>
      </c>
      <c r="C109" t="s">
        <v>91</v>
      </c>
    </row>
    <row r="110" spans="1:3" x14ac:dyDescent="0.35">
      <c r="A110" s="4" t="s">
        <v>139</v>
      </c>
      <c r="B110" s="13">
        <f>(B109*1000)*B30/(2*B56)</f>
        <v>4.892336524482281</v>
      </c>
      <c r="C110" t="s">
        <v>94</v>
      </c>
    </row>
    <row r="112" spans="1:3" x14ac:dyDescent="0.35">
      <c r="A112" t="s">
        <v>98</v>
      </c>
    </row>
    <row r="113" spans="1:3" x14ac:dyDescent="0.35">
      <c r="A113" s="9" t="s">
        <v>99</v>
      </c>
      <c r="B113" s="15" cm="1">
        <f t="array" ref="B113">_xlfn.XLOOKUP(B32,Table1[[#All],[Material]],Table1[[#All],[Elastic Modulus '[Mpa']]])</f>
        <v>228000</v>
      </c>
    </row>
    <row r="114" spans="1:3" x14ac:dyDescent="0.35">
      <c r="A114" s="6" t="s">
        <v>140</v>
      </c>
      <c r="B114" s="3">
        <f>B108*(B29*1000)^3/(3*B113*B56)</f>
        <v>2.474627555260609</v>
      </c>
    </row>
    <row r="116" spans="1:3" x14ac:dyDescent="0.35">
      <c r="A116" t="s">
        <v>95</v>
      </c>
    </row>
    <row r="117" spans="1:3" x14ac:dyDescent="0.35">
      <c r="A117" s="9" t="s">
        <v>58</v>
      </c>
      <c r="B117" s="15" cm="1">
        <f t="array" ref="B117">_xlfn.XLOOKUP(B32,Table1[[#All],[Material]],Table1[[#All],[Yield Strenght '[Mpa']]])</f>
        <v>600</v>
      </c>
    </row>
    <row r="118" spans="1:3" x14ac:dyDescent="0.35">
      <c r="A118" s="4" t="s">
        <v>141</v>
      </c>
      <c r="B118" s="12">
        <f>SQRT(B102^2+3*B110^2)</f>
        <v>34.175886346385724</v>
      </c>
      <c r="C118" t="s">
        <v>97</v>
      </c>
    </row>
    <row r="119" spans="1:3" x14ac:dyDescent="0.35">
      <c r="A119" s="4" t="s">
        <v>72</v>
      </c>
      <c r="B119" s="11">
        <f>B117/B118</f>
        <v>17.556238159232205</v>
      </c>
      <c r="C119" t="s">
        <v>77</v>
      </c>
    </row>
    <row r="121" spans="1:3" x14ac:dyDescent="0.35">
      <c r="A121" s="28" t="s">
        <v>144</v>
      </c>
      <c r="B121" s="28"/>
    </row>
    <row r="122" spans="1:3" x14ac:dyDescent="0.35">
      <c r="A122" s="29" t="s">
        <v>153</v>
      </c>
      <c r="B122" s="28"/>
    </row>
    <row r="123" spans="1:3" x14ac:dyDescent="0.35">
      <c r="A123" s="4" t="s">
        <v>147</v>
      </c>
      <c r="B123" s="10">
        <f>B99</f>
        <v>4972.1412172313012</v>
      </c>
      <c r="C123" t="s">
        <v>149</v>
      </c>
    </row>
    <row r="124" spans="1:3" x14ac:dyDescent="0.35">
      <c r="A124" s="4" t="s">
        <v>148</v>
      </c>
      <c r="B124" s="10">
        <f>D14/B37</f>
        <v>325.55584426930903</v>
      </c>
      <c r="C124" t="s">
        <v>150</v>
      </c>
    </row>
    <row r="125" spans="1:3" x14ac:dyDescent="0.35">
      <c r="A125" s="4" t="s">
        <v>152</v>
      </c>
      <c r="B125" s="10">
        <f>(B13+B59+B48+B55) * 9.81</f>
        <v>39.831420576954109</v>
      </c>
      <c r="C125" t="s">
        <v>151</v>
      </c>
    </row>
    <row r="127" spans="1:3" x14ac:dyDescent="0.35">
      <c r="A127" s="29" t="s">
        <v>167</v>
      </c>
      <c r="B127" s="29"/>
    </row>
    <row r="128" spans="1:3" x14ac:dyDescent="0.35">
      <c r="A128" s="4" t="s">
        <v>165</v>
      </c>
      <c r="B128" s="10">
        <f>B38*B41</f>
        <v>1600</v>
      </c>
      <c r="C128" t="s">
        <v>161</v>
      </c>
    </row>
    <row r="129" spans="1:3" x14ac:dyDescent="0.35">
      <c r="A129" s="4" t="s">
        <v>166</v>
      </c>
      <c r="B129" s="10">
        <f>PI() /4 *(B40*B40 - B39*B39)</f>
        <v>678.58401317539528</v>
      </c>
      <c r="C129" t="s">
        <v>162</v>
      </c>
    </row>
  </sheetData>
  <mergeCells count="4">
    <mergeCell ref="A121:B121"/>
    <mergeCell ref="A36:B36"/>
    <mergeCell ref="A122:B122"/>
    <mergeCell ref="A127:B127"/>
  </mergeCells>
  <dataValidations count="1">
    <dataValidation type="list" allowBlank="1" showInputMessage="1" showErrorMessage="1" sqref="B25 B32" xr:uid="{5BA042D7-8F26-4B17-8025-6A73066270B5}">
      <formula1>Material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D21CC-BC1E-4DF2-ACF1-D6629810FE5B}">
  <sheetPr codeName="Tabelle3">
    <tabColor theme="5" tint="0.59999389629810485"/>
  </sheetPr>
  <dimension ref="A1:W1581"/>
  <sheetViews>
    <sheetView workbookViewId="0">
      <selection activeCell="C24" sqref="C24"/>
    </sheetView>
  </sheetViews>
  <sheetFormatPr defaultColWidth="9.08984375" defaultRowHeight="14.5" x14ac:dyDescent="0.35"/>
  <cols>
    <col min="1" max="1" width="16" customWidth="1"/>
    <col min="2" max="2" width="9.08984375" style="1"/>
    <col min="4" max="4" width="11.54296875" bestFit="1" customWidth="1"/>
    <col min="6" max="6" width="11.26953125" style="1" customWidth="1"/>
    <col min="7" max="7" width="8.81640625" customWidth="1"/>
    <col min="8" max="8" width="15.90625" customWidth="1"/>
    <col min="9" max="9" width="9.453125" customWidth="1"/>
    <col min="10" max="10" width="7" customWidth="1"/>
    <col min="11" max="11" width="11.26953125" customWidth="1"/>
    <col min="12" max="12" width="11.453125" customWidth="1"/>
    <col min="13" max="13" width="9.08984375" customWidth="1"/>
    <col min="14" max="14" width="10.453125" customWidth="1"/>
    <col min="15" max="15" width="14.36328125" customWidth="1"/>
    <col min="16" max="16" width="9.08984375" style="1"/>
    <col min="17" max="17" width="10" style="1" customWidth="1"/>
    <col min="19" max="19" width="10" customWidth="1"/>
    <col min="21" max="21" width="10.36328125" customWidth="1"/>
    <col min="22" max="22" width="12.36328125" customWidth="1"/>
    <col min="23" max="23" width="11.90625" customWidth="1"/>
    <col min="24" max="24" width="18.90625" customWidth="1"/>
  </cols>
  <sheetData>
    <row r="1" spans="1:23" x14ac:dyDescent="0.35">
      <c r="A1" s="2" t="s">
        <v>6</v>
      </c>
      <c r="F1" s="2" t="s">
        <v>15</v>
      </c>
      <c r="G1" s="2"/>
      <c r="H1" s="2"/>
      <c r="I1" s="2"/>
      <c r="J1" s="2"/>
      <c r="K1" s="2"/>
      <c r="L1" s="2"/>
      <c r="M1" s="2"/>
      <c r="N1" s="2"/>
      <c r="O1" s="2"/>
      <c r="P1"/>
      <c r="Q1"/>
      <c r="R1" s="2"/>
      <c r="V1" s="2" t="s">
        <v>16</v>
      </c>
    </row>
    <row r="2" spans="1:23" x14ac:dyDescent="0.35">
      <c r="A2" s="9" t="s">
        <v>0</v>
      </c>
      <c r="B2" s="15">
        <f>Main!B3</f>
        <v>200</v>
      </c>
      <c r="F2" s="27" t="s">
        <v>20</v>
      </c>
      <c r="G2" s="27" t="s">
        <v>182</v>
      </c>
      <c r="H2" s="27" t="s">
        <v>176</v>
      </c>
      <c r="I2" s="27" t="s">
        <v>170</v>
      </c>
      <c r="J2" s="27" t="s">
        <v>172</v>
      </c>
      <c r="K2" s="27" t="s">
        <v>174</v>
      </c>
      <c r="L2" s="27" t="s">
        <v>177</v>
      </c>
      <c r="M2" s="27" t="s">
        <v>171</v>
      </c>
      <c r="N2" s="27" t="s">
        <v>173</v>
      </c>
      <c r="O2" s="27" t="s">
        <v>175</v>
      </c>
      <c r="P2" s="27" t="s">
        <v>178</v>
      </c>
      <c r="Q2" s="27" t="s">
        <v>179</v>
      </c>
      <c r="R2" s="27" t="s">
        <v>183</v>
      </c>
      <c r="S2" s="27" t="s">
        <v>180</v>
      </c>
      <c r="T2" s="27" t="s">
        <v>181</v>
      </c>
      <c r="V2" t="s">
        <v>17</v>
      </c>
      <c r="W2" s="1">
        <f>COUNTIF(Tabelle2[y],"&gt;0")</f>
        <v>638</v>
      </c>
    </row>
    <row r="3" spans="1:23" x14ac:dyDescent="0.35">
      <c r="A3" s="9" t="s">
        <v>168</v>
      </c>
      <c r="B3" s="26" t="b">
        <f>Main!B4</f>
        <v>0</v>
      </c>
      <c r="F3" s="1">
        <v>0</v>
      </c>
      <c r="G3">
        <f>1/2*$B$8*$B$6*$B$7*(Tabelle2[[#This Row],[vx]]*Tabelle2[[#This Row],[vx]]+Tabelle2[[#This Row],[vy]]*Tabelle2[[#This Row],[vy]])/1000000</f>
        <v>11.727084066548272</v>
      </c>
      <c r="H3">
        <f>IF($B$3,-Tabelle2[[#This Row],[Fd]]*Tabelle2[[#This Row],[vx]]/Tabelle2[[#This Row],[v]],0)</f>
        <v>0</v>
      </c>
      <c r="I3">
        <f t="shared" ref="I3:I66" si="0">H3/$B$5</f>
        <v>0</v>
      </c>
      <c r="J3">
        <f t="shared" ref="J3:J66" si="1">I3*$B$13</f>
        <v>0</v>
      </c>
      <c r="K3">
        <f t="shared" ref="K3:K66" si="2">$B$13*(P3+J3/2)</f>
        <v>1.0467394398169905</v>
      </c>
      <c r="L3">
        <f>-$B$5*$B$12-IF($B$3,Tabelle2[[#This Row],[Fd]]*Tabelle2[[#This Row],[vy]]/Tabelle2[[#This Row],[v]],0)</f>
        <v>-14.715</v>
      </c>
      <c r="M3">
        <f t="shared" ref="M3:M66" si="3">L3/$B$5</f>
        <v>-9.81</v>
      </c>
      <c r="N3">
        <f t="shared" ref="N3:N66" si="4">M3*$B$13</f>
        <v>-0.19620000000000001</v>
      </c>
      <c r="O3">
        <f t="shared" ref="O3:O66" si="5">$B$13*(Q3+N3/2)</f>
        <v>1.2454934879119495</v>
      </c>
      <c r="P3" s="1">
        <f>B20</f>
        <v>52.336971990849527</v>
      </c>
      <c r="Q3" s="1">
        <f>B19</f>
        <v>62.372774395597474</v>
      </c>
      <c r="R3">
        <f>SQRT(Tabelle2[[#This Row],[vx]]*Tabelle2[[#This Row],[vx]]+Tabelle2[[#This Row],[vy]]*Tabelle2[[#This Row],[vy]])</f>
        <v>81.421874351890651</v>
      </c>
      <c r="S3">
        <v>0</v>
      </c>
      <c r="T3" s="1">
        <f>B17</f>
        <v>1.7144247806269215</v>
      </c>
      <c r="V3" t="s">
        <v>184</v>
      </c>
      <c r="W3">
        <f ca="1">MAX(YIt)</f>
        <v>199.99998193662856</v>
      </c>
    </row>
    <row r="4" spans="1:23" x14ac:dyDescent="0.35">
      <c r="A4" s="8" t="s">
        <v>1</v>
      </c>
      <c r="B4" s="15">
        <f>Main!B5</f>
        <v>40</v>
      </c>
      <c r="F4" s="1">
        <f t="shared" ref="F4:F67" si="6">F3+$B$13</f>
        <v>0.02</v>
      </c>
      <c r="G4">
        <f>1/2*$B$8*$B$6*$B$7*(Tabelle2[[#This Row],[vx]]*Tabelle2[[#This Row],[vx]]+Tabelle2[[#This Row],[vy]]*Tabelle2[[#This Row],[vy]])/1000000</f>
        <v>11.683857741868914</v>
      </c>
      <c r="H4">
        <f>IF($B$3,-Tabelle2[[#This Row],[Fd]]*Tabelle2[[#This Row],[vx]]/Tabelle2[[#This Row],[v]],0)</f>
        <v>0</v>
      </c>
      <c r="I4">
        <f t="shared" si="0"/>
        <v>0</v>
      </c>
      <c r="J4">
        <f t="shared" si="1"/>
        <v>0</v>
      </c>
      <c r="K4">
        <f t="shared" si="2"/>
        <v>1.0467394398169905</v>
      </c>
      <c r="L4">
        <f>-$B$5*$B$12-IF($B$3,Tabelle2[[#This Row],[Fd]]*Tabelle2[[#This Row],[vy]]/Tabelle2[[#This Row],[v]],0)</f>
        <v>-14.715</v>
      </c>
      <c r="M4">
        <f t="shared" si="3"/>
        <v>-9.81</v>
      </c>
      <c r="N4">
        <f t="shared" si="4"/>
        <v>-0.19620000000000001</v>
      </c>
      <c r="O4">
        <f t="shared" si="5"/>
        <v>1.2415694879119494</v>
      </c>
      <c r="P4" s="1">
        <f t="shared" ref="P4:P67" si="7">P3+J3</f>
        <v>52.336971990849527</v>
      </c>
      <c r="Q4" s="1">
        <f t="shared" ref="Q4:Q67" si="8">Q3+N3</f>
        <v>62.176574395597477</v>
      </c>
      <c r="R4">
        <f>SQRT(Tabelle2[[#This Row],[vx]]*Tabelle2[[#This Row],[vx]]+Tabelle2[[#This Row],[vy]]*Tabelle2[[#This Row],[vy]])</f>
        <v>81.271674282878138</v>
      </c>
      <c r="S4">
        <f>S3+K3</f>
        <v>1.0467394398169905</v>
      </c>
      <c r="T4" s="1">
        <f t="shared" ref="T4:T67" si="9">T3+O3</f>
        <v>2.9599182685388712</v>
      </c>
    </row>
    <row r="5" spans="1:23" x14ac:dyDescent="0.35">
      <c r="A5" s="8" t="s">
        <v>37</v>
      </c>
      <c r="B5" s="15">
        <f>Main!B13</f>
        <v>1.5</v>
      </c>
      <c r="F5" s="1">
        <f t="shared" si="6"/>
        <v>0.04</v>
      </c>
      <c r="G5">
        <f>1/2*$B$8*$B$6*$B$7*(Tabelle2[[#This Row],[vx]]*Tabelle2[[#This Row],[vx]]+Tabelle2[[#This Row],[vy]]*Tabelle2[[#This Row],[vy]])/1000000</f>
        <v>11.6407676042509</v>
      </c>
      <c r="H5">
        <f>IF($B$3,-Tabelle2[[#This Row],[Fd]]*Tabelle2[[#This Row],[vx]]/Tabelle2[[#This Row],[v]],0)</f>
        <v>0</v>
      </c>
      <c r="I5">
        <f t="shared" si="0"/>
        <v>0</v>
      </c>
      <c r="J5">
        <f t="shared" si="1"/>
        <v>0</v>
      </c>
      <c r="K5">
        <f t="shared" si="2"/>
        <v>1.0467394398169905</v>
      </c>
      <c r="L5">
        <f>-$B$5*$B$12-IF($B$3,Tabelle2[[#This Row],[Fd]]*Tabelle2[[#This Row],[vy]]/Tabelle2[[#This Row],[v]],0)</f>
        <v>-14.715</v>
      </c>
      <c r="M5">
        <f t="shared" si="3"/>
        <v>-9.81</v>
      </c>
      <c r="N5">
        <f t="shared" si="4"/>
        <v>-0.19620000000000001</v>
      </c>
      <c r="O5">
        <f t="shared" si="5"/>
        <v>1.2376454879119496</v>
      </c>
      <c r="P5" s="1">
        <f t="shared" si="7"/>
        <v>52.336971990849527</v>
      </c>
      <c r="Q5" s="1">
        <f t="shared" si="8"/>
        <v>61.98037439559748</v>
      </c>
      <c r="R5">
        <f>SQRT(Tabelle2[[#This Row],[vx]]*Tabelle2[[#This Row],[vx]]+Tabelle2[[#This Row],[vy]]*Tabelle2[[#This Row],[vy]])</f>
        <v>81.12167063978282</v>
      </c>
      <c r="S5">
        <f t="shared" ref="S5:S67" si="10">S4+K4</f>
        <v>2.0934788796339809</v>
      </c>
      <c r="T5" s="1">
        <f t="shared" si="9"/>
        <v>4.2014877564508204</v>
      </c>
    </row>
    <row r="6" spans="1:23" x14ac:dyDescent="0.35">
      <c r="A6" s="8" t="s">
        <v>114</v>
      </c>
      <c r="B6" s="15">
        <f>Main!B14</f>
        <v>0.75</v>
      </c>
      <c r="F6" s="1">
        <f t="shared" si="6"/>
        <v>0.06</v>
      </c>
      <c r="G6">
        <f>1/2*$B$8*$B$6*$B$7*(Tabelle2[[#This Row],[vx]]*Tabelle2[[#This Row],[vx]]+Tabelle2[[#This Row],[vy]]*Tabelle2[[#This Row],[vy]])/1000000</f>
        <v>11.597813653694233</v>
      </c>
      <c r="H6">
        <f>IF($B$3,-Tabelle2[[#This Row],[Fd]]*Tabelle2[[#This Row],[vx]]/Tabelle2[[#This Row],[v]],0)</f>
        <v>0</v>
      </c>
      <c r="I6">
        <f t="shared" si="0"/>
        <v>0</v>
      </c>
      <c r="J6">
        <f t="shared" si="1"/>
        <v>0</v>
      </c>
      <c r="K6">
        <f t="shared" si="2"/>
        <v>1.0467394398169905</v>
      </c>
      <c r="L6">
        <f>-$B$5*$B$12-IF($B$3,Tabelle2[[#This Row],[Fd]]*Tabelle2[[#This Row],[vy]]/Tabelle2[[#This Row],[v]],0)</f>
        <v>-14.715</v>
      </c>
      <c r="M6">
        <f t="shared" si="3"/>
        <v>-9.81</v>
      </c>
      <c r="N6">
        <f t="shared" si="4"/>
        <v>-0.19620000000000001</v>
      </c>
      <c r="O6">
        <f t="shared" si="5"/>
        <v>1.2337214879119496</v>
      </c>
      <c r="P6" s="1">
        <f t="shared" si="7"/>
        <v>52.336971990849527</v>
      </c>
      <c r="Q6" s="1">
        <f t="shared" si="8"/>
        <v>61.784174395597482</v>
      </c>
      <c r="R6">
        <f>SQRT(Tabelle2[[#This Row],[vx]]*Tabelle2[[#This Row],[vx]]+Tabelle2[[#This Row],[vy]]*Tabelle2[[#This Row],[vy]])</f>
        <v>80.971864514265519</v>
      </c>
      <c r="S6">
        <f t="shared" si="10"/>
        <v>3.1402183194509714</v>
      </c>
      <c r="T6" s="1">
        <f t="shared" si="9"/>
        <v>5.43913324436277</v>
      </c>
    </row>
    <row r="7" spans="1:23" x14ac:dyDescent="0.35">
      <c r="A7" s="8" t="s">
        <v>117</v>
      </c>
      <c r="B7" s="15">
        <f>Main!B15</f>
        <v>3850</v>
      </c>
      <c r="F7" s="1">
        <f t="shared" si="6"/>
        <v>0.08</v>
      </c>
      <c r="G7">
        <f>1/2*$B$8*$B$6*$B$7*(Tabelle2[[#This Row],[vx]]*Tabelle2[[#This Row],[vx]]+Tabelle2[[#This Row],[vy]]*Tabelle2[[#This Row],[vy]])/1000000</f>
        <v>11.554995890198908</v>
      </c>
      <c r="H7">
        <f>IF($B$3,-Tabelle2[[#This Row],[Fd]]*Tabelle2[[#This Row],[vx]]/Tabelle2[[#This Row],[v]],0)</f>
        <v>0</v>
      </c>
      <c r="I7">
        <f t="shared" si="0"/>
        <v>0</v>
      </c>
      <c r="J7">
        <f t="shared" si="1"/>
        <v>0</v>
      </c>
      <c r="K7">
        <f t="shared" si="2"/>
        <v>1.0467394398169905</v>
      </c>
      <c r="L7">
        <f>-$B$5*$B$12-IF($B$3,Tabelle2[[#This Row],[Fd]]*Tabelle2[[#This Row],[vy]]/Tabelle2[[#This Row],[v]],0)</f>
        <v>-14.715</v>
      </c>
      <c r="M7">
        <f t="shared" si="3"/>
        <v>-9.81</v>
      </c>
      <c r="N7">
        <f t="shared" si="4"/>
        <v>-0.19620000000000001</v>
      </c>
      <c r="O7">
        <f t="shared" si="5"/>
        <v>1.2297974879119498</v>
      </c>
      <c r="P7" s="1">
        <f t="shared" si="7"/>
        <v>52.336971990849527</v>
      </c>
      <c r="Q7" s="1">
        <f t="shared" si="8"/>
        <v>61.587974395597485</v>
      </c>
      <c r="R7">
        <f>SQRT(Tabelle2[[#This Row],[vx]]*Tabelle2[[#This Row],[vx]]+Tabelle2[[#This Row],[vy]]*Tabelle2[[#This Row],[vy]])</f>
        <v>80.822257004637905</v>
      </c>
      <c r="S7">
        <f>S6+K6</f>
        <v>4.1869577592679619</v>
      </c>
      <c r="T7" s="1">
        <f t="shared" si="9"/>
        <v>6.67285473227472</v>
      </c>
    </row>
    <row r="8" spans="1:23" x14ac:dyDescent="0.35">
      <c r="A8" s="8" t="s">
        <v>112</v>
      </c>
      <c r="B8" s="15">
        <f>Main!B16</f>
        <v>1.225225</v>
      </c>
      <c r="F8" s="1">
        <f t="shared" si="6"/>
        <v>0.1</v>
      </c>
      <c r="G8">
        <f>1/2*$B$8*$B$6*$B$7*(Tabelle2[[#This Row],[vx]]*Tabelle2[[#This Row],[vx]]+Tabelle2[[#This Row],[vy]]*Tabelle2[[#This Row],[vy]])/1000000</f>
        <v>11.512314313764927</v>
      </c>
      <c r="H8">
        <f>IF($B$3,-Tabelle2[[#This Row],[Fd]]*Tabelle2[[#This Row],[vx]]/Tabelle2[[#This Row],[v]],0)</f>
        <v>0</v>
      </c>
      <c r="I8">
        <f t="shared" si="0"/>
        <v>0</v>
      </c>
      <c r="J8">
        <f t="shared" si="1"/>
        <v>0</v>
      </c>
      <c r="K8">
        <f t="shared" si="2"/>
        <v>1.0467394398169905</v>
      </c>
      <c r="L8">
        <f>-$B$5*$B$12-IF($B$3,Tabelle2[[#This Row],[Fd]]*Tabelle2[[#This Row],[vy]]/Tabelle2[[#This Row],[v]],0)</f>
        <v>-14.715</v>
      </c>
      <c r="M8">
        <f t="shared" si="3"/>
        <v>-9.81</v>
      </c>
      <c r="N8">
        <f t="shared" si="4"/>
        <v>-0.19620000000000001</v>
      </c>
      <c r="O8">
        <f t="shared" si="5"/>
        <v>1.2258734879119497</v>
      </c>
      <c r="P8" s="1">
        <f t="shared" si="7"/>
        <v>52.336971990849527</v>
      </c>
      <c r="Q8" s="1">
        <f t="shared" si="8"/>
        <v>61.391774395597487</v>
      </c>
      <c r="R8">
        <f>SQRT(Tabelle2[[#This Row],[vx]]*Tabelle2[[#This Row],[vx]]+Tabelle2[[#This Row],[vy]]*Tabelle2[[#This Row],[vy]])</f>
        <v>80.67284921589733</v>
      </c>
      <c r="S8">
        <f t="shared" si="10"/>
        <v>5.2336971990849523</v>
      </c>
      <c r="T8" s="1">
        <f t="shared" si="9"/>
        <v>7.9026522201866696</v>
      </c>
    </row>
    <row r="9" spans="1:23" x14ac:dyDescent="0.35">
      <c r="A9" s="8" t="s">
        <v>7</v>
      </c>
      <c r="B9" s="15">
        <f>Main!B22</f>
        <v>2</v>
      </c>
      <c r="F9" s="1">
        <f t="shared" si="6"/>
        <v>0.12000000000000001</v>
      </c>
      <c r="G9">
        <f>1/2*$B$8*$B$6*$B$7*(Tabelle2[[#This Row],[vx]]*Tabelle2[[#This Row],[vx]]+Tabelle2[[#This Row],[vy]]*Tabelle2[[#This Row],[vy]])/1000000</f>
        <v>11.469768924392289</v>
      </c>
      <c r="H9">
        <f>IF($B$3,-Tabelle2[[#This Row],[Fd]]*Tabelle2[[#This Row],[vx]]/Tabelle2[[#This Row],[v]],0)</f>
        <v>0</v>
      </c>
      <c r="I9">
        <f t="shared" si="0"/>
        <v>0</v>
      </c>
      <c r="J9">
        <f t="shared" si="1"/>
        <v>0</v>
      </c>
      <c r="K9">
        <f t="shared" si="2"/>
        <v>1.0467394398169905</v>
      </c>
      <c r="L9">
        <f>-$B$5*$B$12-IF($B$3,Tabelle2[[#This Row],[Fd]]*Tabelle2[[#This Row],[vy]]/Tabelle2[[#This Row],[v]],0)</f>
        <v>-14.715</v>
      </c>
      <c r="M9">
        <f t="shared" si="3"/>
        <v>-9.81</v>
      </c>
      <c r="N9">
        <f t="shared" si="4"/>
        <v>-0.19620000000000001</v>
      </c>
      <c r="O9">
        <f t="shared" si="5"/>
        <v>1.2219494879119497</v>
      </c>
      <c r="P9" s="1">
        <f t="shared" si="7"/>
        <v>52.336971990849527</v>
      </c>
      <c r="Q9" s="1">
        <f t="shared" si="8"/>
        <v>61.19557439559749</v>
      </c>
      <c r="R9">
        <f>SQRT(Tabelle2[[#This Row],[vx]]*Tabelle2[[#This Row],[vx]]+Tabelle2[[#This Row],[vy]]*Tabelle2[[#This Row],[vy]])</f>
        <v>80.523642259761672</v>
      </c>
      <c r="S9">
        <f t="shared" si="10"/>
        <v>6.2804366389019428</v>
      </c>
      <c r="T9" s="1">
        <f t="shared" si="9"/>
        <v>9.1285257080986195</v>
      </c>
    </row>
    <row r="10" spans="1:23" x14ac:dyDescent="0.35">
      <c r="F10" s="1">
        <f t="shared" si="6"/>
        <v>0.14000000000000001</v>
      </c>
      <c r="G10">
        <f>1/2*$B$8*$B$6*$B$7*(Tabelle2[[#This Row],[vx]]*Tabelle2[[#This Row],[vx]]+Tabelle2[[#This Row],[vy]]*Tabelle2[[#This Row],[vy]])/1000000</f>
        <v>11.427359722080995</v>
      </c>
      <c r="H10">
        <f>IF($B$3,-Tabelle2[[#This Row],[Fd]]*Tabelle2[[#This Row],[vx]]/Tabelle2[[#This Row],[v]],0)</f>
        <v>0</v>
      </c>
      <c r="I10">
        <f t="shared" si="0"/>
        <v>0</v>
      </c>
      <c r="J10">
        <f t="shared" si="1"/>
        <v>0</v>
      </c>
      <c r="K10">
        <f t="shared" si="2"/>
        <v>1.0467394398169905</v>
      </c>
      <c r="L10">
        <f>-$B$5*$B$12-IF($B$3,Tabelle2[[#This Row],[Fd]]*Tabelle2[[#This Row],[vy]]/Tabelle2[[#This Row],[v]],0)</f>
        <v>-14.715</v>
      </c>
      <c r="M10">
        <f t="shared" si="3"/>
        <v>-9.81</v>
      </c>
      <c r="N10">
        <f t="shared" si="4"/>
        <v>-0.19620000000000001</v>
      </c>
      <c r="O10">
        <f t="shared" si="5"/>
        <v>1.2180254879119499</v>
      </c>
      <c r="P10" s="1">
        <f t="shared" si="7"/>
        <v>52.336971990849527</v>
      </c>
      <c r="Q10" s="1">
        <f t="shared" si="8"/>
        <v>60.999374395597492</v>
      </c>
      <c r="R10">
        <f>SQRT(Tabelle2[[#This Row],[vx]]*Tabelle2[[#This Row],[vx]]+Tabelle2[[#This Row],[vy]]*Tabelle2[[#This Row],[vy]])</f>
        <v>80.374637254703941</v>
      </c>
      <c r="S10">
        <f t="shared" si="10"/>
        <v>7.3271760787189333</v>
      </c>
      <c r="T10" s="1">
        <f t="shared" si="9"/>
        <v>10.350475196010569</v>
      </c>
    </row>
    <row r="11" spans="1:23" x14ac:dyDescent="0.35">
      <c r="A11" s="2" t="s">
        <v>9</v>
      </c>
      <c r="F11" s="1">
        <f t="shared" si="6"/>
        <v>0.16</v>
      </c>
      <c r="G11">
        <f>1/2*$B$8*$B$6*$B$7*(Tabelle2[[#This Row],[vx]]*Tabelle2[[#This Row],[vx]]+Tabelle2[[#This Row],[vy]]*Tabelle2[[#This Row],[vy]])/1000000</f>
        <v>11.385086706831043</v>
      </c>
      <c r="H11">
        <f>IF($B$3,-Tabelle2[[#This Row],[Fd]]*Tabelle2[[#This Row],[vx]]/Tabelle2[[#This Row],[v]],0)</f>
        <v>0</v>
      </c>
      <c r="I11">
        <f t="shared" si="0"/>
        <v>0</v>
      </c>
      <c r="J11">
        <f t="shared" si="1"/>
        <v>0</v>
      </c>
      <c r="K11">
        <f t="shared" si="2"/>
        <v>1.0467394398169905</v>
      </c>
      <c r="L11">
        <f>-$B$5*$B$12-IF($B$3,Tabelle2[[#This Row],[Fd]]*Tabelle2[[#This Row],[vy]]/Tabelle2[[#This Row],[v]],0)</f>
        <v>-14.715</v>
      </c>
      <c r="M11">
        <f t="shared" si="3"/>
        <v>-9.81</v>
      </c>
      <c r="N11">
        <f t="shared" si="4"/>
        <v>-0.19620000000000001</v>
      </c>
      <c r="O11">
        <f t="shared" si="5"/>
        <v>1.2141014879119498</v>
      </c>
      <c r="P11" s="1">
        <f t="shared" si="7"/>
        <v>52.336971990849527</v>
      </c>
      <c r="Q11" s="1">
        <f t="shared" si="8"/>
        <v>60.803174395597495</v>
      </c>
      <c r="R11">
        <f>SQRT(Tabelle2[[#This Row],[vx]]*Tabelle2[[#This Row],[vx]]+Tabelle2[[#This Row],[vy]]*Tabelle2[[#This Row],[vy]])</f>
        <v>80.225835325987163</v>
      </c>
      <c r="S11">
        <f t="shared" si="10"/>
        <v>8.3739155185359238</v>
      </c>
      <c r="T11" s="1">
        <f t="shared" si="9"/>
        <v>11.568500683922519</v>
      </c>
    </row>
    <row r="12" spans="1:23" x14ac:dyDescent="0.35">
      <c r="A12" s="21" t="s">
        <v>10</v>
      </c>
      <c r="B12" s="22">
        <v>9.81</v>
      </c>
      <c r="F12" s="1">
        <f t="shared" si="6"/>
        <v>0.18</v>
      </c>
      <c r="G12">
        <f>1/2*$B$8*$B$6*$B$7*(Tabelle2[[#This Row],[vx]]*Tabelle2[[#This Row],[vx]]+Tabelle2[[#This Row],[vy]]*Tabelle2[[#This Row],[vy]])/1000000</f>
        <v>11.342949878642438</v>
      </c>
      <c r="H12">
        <f>IF($B$3,-Tabelle2[[#This Row],[Fd]]*Tabelle2[[#This Row],[vx]]/Tabelle2[[#This Row],[v]],0)</f>
        <v>0</v>
      </c>
      <c r="I12">
        <f t="shared" si="0"/>
        <v>0</v>
      </c>
      <c r="J12">
        <f t="shared" si="1"/>
        <v>0</v>
      </c>
      <c r="K12">
        <f t="shared" si="2"/>
        <v>1.0467394398169905</v>
      </c>
      <c r="L12">
        <f>-$B$5*$B$12-IF($B$3,Tabelle2[[#This Row],[Fd]]*Tabelle2[[#This Row],[vy]]/Tabelle2[[#This Row],[v]],0)</f>
        <v>-14.715</v>
      </c>
      <c r="M12">
        <f t="shared" si="3"/>
        <v>-9.81</v>
      </c>
      <c r="N12">
        <f t="shared" si="4"/>
        <v>-0.19620000000000001</v>
      </c>
      <c r="O12">
        <f t="shared" si="5"/>
        <v>1.21017748791195</v>
      </c>
      <c r="P12" s="1">
        <f t="shared" si="7"/>
        <v>52.336971990849527</v>
      </c>
      <c r="Q12" s="1">
        <f t="shared" si="8"/>
        <v>60.606974395597497</v>
      </c>
      <c r="R12">
        <f>SQRT(Tabelle2[[#This Row],[vx]]*Tabelle2[[#This Row],[vx]]+Tabelle2[[#This Row],[vy]]*Tabelle2[[#This Row],[vy]])</f>
        <v>80.077237605699025</v>
      </c>
      <c r="S12">
        <f t="shared" si="10"/>
        <v>9.4206549583529142</v>
      </c>
      <c r="T12" s="1">
        <f t="shared" si="9"/>
        <v>12.782602171834469</v>
      </c>
    </row>
    <row r="13" spans="1:23" x14ac:dyDescent="0.35">
      <c r="A13" s="21" t="s">
        <v>169</v>
      </c>
      <c r="B13" s="22">
        <v>0.02</v>
      </c>
      <c r="F13" s="1">
        <f t="shared" si="6"/>
        <v>0.19999999999999998</v>
      </c>
      <c r="G13">
        <f>1/2*$B$8*$B$6*$B$7*(Tabelle2[[#This Row],[vx]]*Tabelle2[[#This Row],[vx]]+Tabelle2[[#This Row],[vy]]*Tabelle2[[#This Row],[vy]])/1000000</f>
        <v>11.300949237515178</v>
      </c>
      <c r="H13">
        <f>IF($B$3,-Tabelle2[[#This Row],[Fd]]*Tabelle2[[#This Row],[vx]]/Tabelle2[[#This Row],[v]],0)</f>
        <v>0</v>
      </c>
      <c r="I13">
        <f t="shared" si="0"/>
        <v>0</v>
      </c>
      <c r="J13">
        <f t="shared" si="1"/>
        <v>0</v>
      </c>
      <c r="K13">
        <f t="shared" si="2"/>
        <v>1.0467394398169905</v>
      </c>
      <c r="L13">
        <f>-$B$5*$B$12-IF($B$3,Tabelle2[[#This Row],[Fd]]*Tabelle2[[#This Row],[vy]]/Tabelle2[[#This Row],[v]],0)</f>
        <v>-14.715</v>
      </c>
      <c r="M13">
        <f t="shared" si="3"/>
        <v>-9.81</v>
      </c>
      <c r="N13">
        <f t="shared" si="4"/>
        <v>-0.19620000000000001</v>
      </c>
      <c r="O13">
        <f t="shared" si="5"/>
        <v>1.20625348791195</v>
      </c>
      <c r="P13" s="1">
        <f t="shared" si="7"/>
        <v>52.336971990849527</v>
      </c>
      <c r="Q13" s="1">
        <f t="shared" si="8"/>
        <v>60.4107743955975</v>
      </c>
      <c r="R13">
        <f>SQRT(Tabelle2[[#This Row],[vx]]*Tabelle2[[#This Row],[vx]]+Tabelle2[[#This Row],[vy]]*Tabelle2[[#This Row],[vy]])</f>
        <v>79.928845232786557</v>
      </c>
      <c r="S13">
        <f t="shared" si="10"/>
        <v>10.467394398169905</v>
      </c>
      <c r="T13" s="1">
        <f t="shared" si="9"/>
        <v>13.99277965974642</v>
      </c>
    </row>
    <row r="14" spans="1:23" x14ac:dyDescent="0.35">
      <c r="F14" s="1">
        <f t="shared" si="6"/>
        <v>0.21999999999999997</v>
      </c>
      <c r="G14">
        <f>1/2*$B$8*$B$6*$B$7*(Tabelle2[[#This Row],[vx]]*Tabelle2[[#This Row],[vx]]+Tabelle2[[#This Row],[vy]]*Tabelle2[[#This Row],[vy]])/1000000</f>
        <v>11.259084783449259</v>
      </c>
      <c r="H14">
        <f>IF($B$3,-Tabelle2[[#This Row],[Fd]]*Tabelle2[[#This Row],[vx]]/Tabelle2[[#This Row],[v]],0)</f>
        <v>0</v>
      </c>
      <c r="I14">
        <f t="shared" si="0"/>
        <v>0</v>
      </c>
      <c r="J14">
        <f t="shared" si="1"/>
        <v>0</v>
      </c>
      <c r="K14">
        <f t="shared" si="2"/>
        <v>1.0467394398169905</v>
      </c>
      <c r="L14">
        <f>-$B$5*$B$12-IF($B$3,Tabelle2[[#This Row],[Fd]]*Tabelle2[[#This Row],[vy]]/Tabelle2[[#This Row],[v]],0)</f>
        <v>-14.715</v>
      </c>
      <c r="M14">
        <f t="shared" si="3"/>
        <v>-9.81</v>
      </c>
      <c r="N14">
        <f t="shared" si="4"/>
        <v>-0.19620000000000001</v>
      </c>
      <c r="O14">
        <f t="shared" si="5"/>
        <v>1.2023294879119499</v>
      </c>
      <c r="P14" s="1">
        <f t="shared" si="7"/>
        <v>52.336971990849527</v>
      </c>
      <c r="Q14" s="1">
        <f t="shared" si="8"/>
        <v>60.214574395597502</v>
      </c>
      <c r="R14">
        <f>SQRT(Tabelle2[[#This Row],[vx]]*Tabelle2[[#This Row],[vx]]+Tabelle2[[#This Row],[vy]]*Tabelle2[[#This Row],[vy]])</f>
        <v>79.780659353090797</v>
      </c>
      <c r="S14">
        <f t="shared" si="10"/>
        <v>11.514133837986895</v>
      </c>
      <c r="T14" s="1">
        <f t="shared" si="9"/>
        <v>15.199033147658369</v>
      </c>
    </row>
    <row r="15" spans="1:23" x14ac:dyDescent="0.35">
      <c r="A15" s="2" t="s">
        <v>45</v>
      </c>
      <c r="F15" s="1">
        <f t="shared" si="6"/>
        <v>0.23999999999999996</v>
      </c>
      <c r="G15">
        <f>1/2*$B$8*$B$6*$B$7*(Tabelle2[[#This Row],[vx]]*Tabelle2[[#This Row],[vx]]+Tabelle2[[#This Row],[vy]]*Tabelle2[[#This Row],[vy]])/1000000</f>
        <v>11.217356516444685</v>
      </c>
      <c r="H15">
        <f>IF($B$3,-Tabelle2[[#This Row],[Fd]]*Tabelle2[[#This Row],[vx]]/Tabelle2[[#This Row],[v]],0)</f>
        <v>0</v>
      </c>
      <c r="I15">
        <f t="shared" si="0"/>
        <v>0</v>
      </c>
      <c r="J15">
        <f t="shared" si="1"/>
        <v>0</v>
      </c>
      <c r="K15">
        <f t="shared" si="2"/>
        <v>1.0467394398169905</v>
      </c>
      <c r="L15">
        <f>-$B$5*$B$12-IF($B$3,Tabelle2[[#This Row],[Fd]]*Tabelle2[[#This Row],[vy]]/Tabelle2[[#This Row],[v]],0)</f>
        <v>-14.715</v>
      </c>
      <c r="M15">
        <f t="shared" si="3"/>
        <v>-9.81</v>
      </c>
      <c r="N15">
        <f t="shared" si="4"/>
        <v>-0.19620000000000001</v>
      </c>
      <c r="O15">
        <f t="shared" si="5"/>
        <v>1.1984054879119501</v>
      </c>
      <c r="P15" s="1">
        <f t="shared" si="7"/>
        <v>52.336971990849527</v>
      </c>
      <c r="Q15" s="1">
        <f t="shared" si="8"/>
        <v>60.018374395597505</v>
      </c>
      <c r="R15">
        <f>SQRT(Tabelle2[[#This Row],[vx]]*Tabelle2[[#This Row],[vx]]+Tabelle2[[#This Row],[vy]]*Tabelle2[[#This Row],[vy]])</f>
        <v>79.632681119381402</v>
      </c>
      <c r="S15">
        <f t="shared" si="10"/>
        <v>12.560873277803886</v>
      </c>
      <c r="T15" s="1">
        <f t="shared" si="9"/>
        <v>16.401362635570319</v>
      </c>
    </row>
    <row r="16" spans="1:23" x14ac:dyDescent="0.35">
      <c r="A16" s="29" t="s">
        <v>75</v>
      </c>
      <c r="B16" s="29"/>
      <c r="F16" s="1">
        <f t="shared" si="6"/>
        <v>0.25999999999999995</v>
      </c>
      <c r="G16">
        <f>1/2*$B$8*$B$6*$B$7*(Tabelle2[[#This Row],[vx]]*Tabelle2[[#This Row],[vx]]+Tabelle2[[#This Row],[vy]]*Tabelle2[[#This Row],[vy]])/1000000</f>
        <v>11.175764436501456</v>
      </c>
      <c r="H16">
        <f>IF($B$3,-Tabelle2[[#This Row],[Fd]]*Tabelle2[[#This Row],[vx]]/Tabelle2[[#This Row],[v]],0)</f>
        <v>0</v>
      </c>
      <c r="I16">
        <f t="shared" si="0"/>
        <v>0</v>
      </c>
      <c r="J16">
        <f t="shared" si="1"/>
        <v>0</v>
      </c>
      <c r="K16">
        <f t="shared" si="2"/>
        <v>1.0467394398169905</v>
      </c>
      <c r="L16">
        <f>-$B$5*$B$12-IF($B$3,Tabelle2[[#This Row],[Fd]]*Tabelle2[[#This Row],[vy]]/Tabelle2[[#This Row],[v]],0)</f>
        <v>-14.715</v>
      </c>
      <c r="M16">
        <f t="shared" si="3"/>
        <v>-9.81</v>
      </c>
      <c r="N16">
        <f t="shared" si="4"/>
        <v>-0.19620000000000001</v>
      </c>
      <c r="O16">
        <f t="shared" si="5"/>
        <v>1.1944814879119501</v>
      </c>
      <c r="P16" s="1">
        <f t="shared" si="7"/>
        <v>52.336971990849527</v>
      </c>
      <c r="Q16" s="1">
        <f t="shared" si="8"/>
        <v>59.822174395597507</v>
      </c>
      <c r="R16">
        <f>SQRT(Tabelle2[[#This Row],[vx]]*Tabelle2[[#This Row],[vx]]+Tabelle2[[#This Row],[vy]]*Tabelle2[[#This Row],[vy]])</f>
        <v>79.484911691391147</v>
      </c>
      <c r="S16">
        <f t="shared" si="10"/>
        <v>13.607612717620876</v>
      </c>
      <c r="T16" s="1">
        <f t="shared" si="9"/>
        <v>17.599768123482271</v>
      </c>
    </row>
    <row r="17" spans="1:20" x14ac:dyDescent="0.35">
      <c r="A17" s="4" t="s">
        <v>2</v>
      </c>
      <c r="B17" s="3">
        <f>Main!B19-Main!B22*SIN(RADIANS(B4))</f>
        <v>1.7144247806269215</v>
      </c>
      <c r="F17" s="1">
        <f t="shared" si="6"/>
        <v>0.27999999999999997</v>
      </c>
      <c r="G17">
        <f>1/2*$B$8*$B$6*$B$7*(Tabelle2[[#This Row],[vx]]*Tabelle2[[#This Row],[vx]]+Tabelle2[[#This Row],[vy]]*Tabelle2[[#This Row],[vy]])/1000000</f>
        <v>11.13430854361957</v>
      </c>
      <c r="H17">
        <f>IF($B$3,-Tabelle2[[#This Row],[Fd]]*Tabelle2[[#This Row],[vx]]/Tabelle2[[#This Row],[v]],0)</f>
        <v>0</v>
      </c>
      <c r="I17">
        <f t="shared" si="0"/>
        <v>0</v>
      </c>
      <c r="J17">
        <f t="shared" si="1"/>
        <v>0</v>
      </c>
      <c r="K17">
        <f t="shared" si="2"/>
        <v>1.0467394398169905</v>
      </c>
      <c r="L17">
        <f>-$B$5*$B$12-IF($B$3,Tabelle2[[#This Row],[Fd]]*Tabelle2[[#This Row],[vy]]/Tabelle2[[#This Row],[v]],0)</f>
        <v>-14.715</v>
      </c>
      <c r="M17">
        <f t="shared" si="3"/>
        <v>-9.81</v>
      </c>
      <c r="N17">
        <f t="shared" si="4"/>
        <v>-0.19620000000000001</v>
      </c>
      <c r="O17">
        <f t="shared" si="5"/>
        <v>1.1905574879119503</v>
      </c>
      <c r="P17" s="1">
        <f t="shared" si="7"/>
        <v>52.336971990849527</v>
      </c>
      <c r="Q17" s="1">
        <f t="shared" si="8"/>
        <v>59.62597439559751</v>
      </c>
      <c r="R17">
        <f>SQRT(Tabelle2[[#This Row],[vx]]*Tabelle2[[#This Row],[vx]]+Tabelle2[[#This Row],[vy]]*Tabelle2[[#This Row],[vy]])</f>
        <v>79.337352235850531</v>
      </c>
      <c r="S17">
        <f t="shared" si="10"/>
        <v>14.654352157437867</v>
      </c>
      <c r="T17" s="1">
        <f t="shared" si="9"/>
        <v>18.794249611394221</v>
      </c>
    </row>
    <row r="18" spans="1:20" x14ac:dyDescent="0.35">
      <c r="A18" s="4" t="s">
        <v>4</v>
      </c>
      <c r="B18" s="3">
        <f>SQRT(2*B12*(B2-B17))/COS(RADIANS(B4))</f>
        <v>81.421874351890651</v>
      </c>
      <c r="F18" s="1">
        <f t="shared" si="6"/>
        <v>0.3</v>
      </c>
      <c r="G18">
        <f>1/2*$B$8*$B$6*$B$7*(Tabelle2[[#This Row],[vx]]*Tabelle2[[#This Row],[vx]]+Tabelle2[[#This Row],[vy]]*Tabelle2[[#This Row],[vy]])/1000000</f>
        <v>11.092988837799028</v>
      </c>
      <c r="H18">
        <f>IF($B$3,-Tabelle2[[#This Row],[Fd]]*Tabelle2[[#This Row],[vx]]/Tabelle2[[#This Row],[v]],0)</f>
        <v>0</v>
      </c>
      <c r="I18">
        <f t="shared" si="0"/>
        <v>0</v>
      </c>
      <c r="J18">
        <f t="shared" si="1"/>
        <v>0</v>
      </c>
      <c r="K18">
        <f t="shared" si="2"/>
        <v>1.0467394398169905</v>
      </c>
      <c r="L18">
        <f>-$B$5*$B$12-IF($B$3,Tabelle2[[#This Row],[Fd]]*Tabelle2[[#This Row],[vy]]/Tabelle2[[#This Row],[v]],0)</f>
        <v>-14.715</v>
      </c>
      <c r="M18">
        <f t="shared" si="3"/>
        <v>-9.81</v>
      </c>
      <c r="N18">
        <f t="shared" si="4"/>
        <v>-0.19620000000000001</v>
      </c>
      <c r="O18">
        <f t="shared" si="5"/>
        <v>1.1866334879119502</v>
      </c>
      <c r="P18" s="1">
        <f t="shared" si="7"/>
        <v>52.336971990849527</v>
      </c>
      <c r="Q18" s="1">
        <f t="shared" si="8"/>
        <v>59.429774395597512</v>
      </c>
      <c r="R18">
        <f>SQRT(Tabelle2[[#This Row],[vx]]*Tabelle2[[#This Row],[vx]]+Tabelle2[[#This Row],[vy]]*Tabelle2[[#This Row],[vy]])</f>
        <v>79.190003926522095</v>
      </c>
      <c r="S18">
        <f t="shared" si="10"/>
        <v>15.701091597254857</v>
      </c>
      <c r="T18" s="1">
        <f t="shared" si="9"/>
        <v>19.98480709930617</v>
      </c>
    </row>
    <row r="19" spans="1:20" x14ac:dyDescent="0.35">
      <c r="A19" s="4" t="s">
        <v>3</v>
      </c>
      <c r="B19" s="3">
        <f>B18*COS(RADIANS(B4))</f>
        <v>62.372774395597474</v>
      </c>
      <c r="F19" s="1">
        <f t="shared" si="6"/>
        <v>0.32</v>
      </c>
      <c r="G19">
        <f>1/2*$B$8*$B$6*$B$7*(Tabelle2[[#This Row],[vx]]*Tabelle2[[#This Row],[vx]]+Tabelle2[[#This Row],[vy]]*Tabelle2[[#This Row],[vy]])/1000000</f>
        <v>11.051805319039829</v>
      </c>
      <c r="H19">
        <f>IF($B$3,-Tabelle2[[#This Row],[Fd]]*Tabelle2[[#This Row],[vx]]/Tabelle2[[#This Row],[v]],0)</f>
        <v>0</v>
      </c>
      <c r="I19">
        <f t="shared" si="0"/>
        <v>0</v>
      </c>
      <c r="J19">
        <f t="shared" si="1"/>
        <v>0</v>
      </c>
      <c r="K19">
        <f t="shared" si="2"/>
        <v>1.0467394398169905</v>
      </c>
      <c r="L19">
        <f>-$B$5*$B$12-IF($B$3,Tabelle2[[#This Row],[Fd]]*Tabelle2[[#This Row],[vy]]/Tabelle2[[#This Row],[v]],0)</f>
        <v>-14.715</v>
      </c>
      <c r="M19">
        <f t="shared" si="3"/>
        <v>-9.81</v>
      </c>
      <c r="N19">
        <f t="shared" si="4"/>
        <v>-0.19620000000000001</v>
      </c>
      <c r="O19">
        <f t="shared" si="5"/>
        <v>1.1827094879119502</v>
      </c>
      <c r="P19" s="1">
        <f t="shared" si="7"/>
        <v>52.336971990849527</v>
      </c>
      <c r="Q19" s="1">
        <f t="shared" si="8"/>
        <v>59.233574395597515</v>
      </c>
      <c r="R19">
        <f>SQRT(Tabelle2[[#This Row],[vx]]*Tabelle2[[#This Row],[vx]]+Tabelle2[[#This Row],[vy]]*Tabelle2[[#This Row],[vy]])</f>
        <v>79.042867944234871</v>
      </c>
      <c r="S19">
        <f t="shared" si="10"/>
        <v>16.747831037071848</v>
      </c>
      <c r="T19" s="1">
        <f t="shared" si="9"/>
        <v>21.171440587218122</v>
      </c>
    </row>
    <row r="20" spans="1:20" x14ac:dyDescent="0.35">
      <c r="A20" s="4" t="s">
        <v>5</v>
      </c>
      <c r="B20" s="3">
        <f>B18*SIN(RADIANS(B4))</f>
        <v>52.336971990849527</v>
      </c>
      <c r="F20" s="1">
        <f t="shared" si="6"/>
        <v>0.34</v>
      </c>
      <c r="G20">
        <f>1/2*$B$8*$B$6*$B$7*(Tabelle2[[#This Row],[vx]]*Tabelle2[[#This Row],[vx]]+Tabelle2[[#This Row],[vy]]*Tabelle2[[#This Row],[vy]])/1000000</f>
        <v>11.010757987341975</v>
      </c>
      <c r="H20">
        <f>IF($B$3,-Tabelle2[[#This Row],[Fd]]*Tabelle2[[#This Row],[vx]]/Tabelle2[[#This Row],[v]],0)</f>
        <v>0</v>
      </c>
      <c r="I20">
        <f t="shared" si="0"/>
        <v>0</v>
      </c>
      <c r="J20">
        <f t="shared" si="1"/>
        <v>0</v>
      </c>
      <c r="K20">
        <f t="shared" si="2"/>
        <v>1.0467394398169905</v>
      </c>
      <c r="L20">
        <f>-$B$5*$B$12-IF($B$3,Tabelle2[[#This Row],[Fd]]*Tabelle2[[#This Row],[vy]]/Tabelle2[[#This Row],[v]],0)</f>
        <v>-14.715</v>
      </c>
      <c r="M20">
        <f t="shared" si="3"/>
        <v>-9.81</v>
      </c>
      <c r="N20">
        <f t="shared" si="4"/>
        <v>-0.19620000000000001</v>
      </c>
      <c r="O20">
        <f t="shared" si="5"/>
        <v>1.1787854879119504</v>
      </c>
      <c r="P20" s="1">
        <f t="shared" si="7"/>
        <v>52.336971990849527</v>
      </c>
      <c r="Q20" s="1">
        <f t="shared" si="8"/>
        <v>59.037374395597517</v>
      </c>
      <c r="R20">
        <f>SQRT(Tabelle2[[#This Row],[vx]]*Tabelle2[[#This Row],[vx]]+Tabelle2[[#This Row],[vy]]*Tabelle2[[#This Row],[vy]])</f>
        <v>78.895945476918655</v>
      </c>
      <c r="S20">
        <f t="shared" si="10"/>
        <v>17.794570476888836</v>
      </c>
      <c r="T20" s="1">
        <f t="shared" si="9"/>
        <v>22.354150075130072</v>
      </c>
    </row>
    <row r="21" spans="1:20" x14ac:dyDescent="0.35">
      <c r="A21" s="4" t="s">
        <v>14</v>
      </c>
      <c r="B21" s="3">
        <f>B19/B12</f>
        <v>6.3580809781444927</v>
      </c>
      <c r="F21" s="1">
        <f t="shared" si="6"/>
        <v>0.36000000000000004</v>
      </c>
      <c r="G21">
        <f>1/2*$B$8*$B$6*$B$7*(Tabelle2[[#This Row],[vx]]*Tabelle2[[#This Row],[vx]]+Tabelle2[[#This Row],[vy]]*Tabelle2[[#This Row],[vy]])/1000000</f>
        <v>10.969846842705467</v>
      </c>
      <c r="H21">
        <f>IF($B$3,-Tabelle2[[#This Row],[Fd]]*Tabelle2[[#This Row],[vx]]/Tabelle2[[#This Row],[v]],0)</f>
        <v>0</v>
      </c>
      <c r="I21">
        <f t="shared" si="0"/>
        <v>0</v>
      </c>
      <c r="J21">
        <f t="shared" si="1"/>
        <v>0</v>
      </c>
      <c r="K21">
        <f t="shared" si="2"/>
        <v>1.0467394398169905</v>
      </c>
      <c r="L21">
        <f>-$B$5*$B$12-IF($B$3,Tabelle2[[#This Row],[Fd]]*Tabelle2[[#This Row],[vy]]/Tabelle2[[#This Row],[v]],0)</f>
        <v>-14.715</v>
      </c>
      <c r="M21">
        <f t="shared" si="3"/>
        <v>-9.81</v>
      </c>
      <c r="N21">
        <f t="shared" si="4"/>
        <v>-0.19620000000000001</v>
      </c>
      <c r="O21">
        <f t="shared" si="5"/>
        <v>1.1748614879119503</v>
      </c>
      <c r="P21" s="1">
        <f t="shared" si="7"/>
        <v>52.336971990849527</v>
      </c>
      <c r="Q21" s="1">
        <f t="shared" si="8"/>
        <v>58.84117439559752</v>
      </c>
      <c r="R21">
        <f>SQRT(Tabelle2[[#This Row],[vx]]*Tabelle2[[#This Row],[vx]]+Tabelle2[[#This Row],[vy]]*Tabelle2[[#This Row],[vy]])</f>
        <v>78.749237719638217</v>
      </c>
      <c r="S21">
        <f t="shared" si="10"/>
        <v>18.841309916705825</v>
      </c>
      <c r="T21" s="1">
        <f t="shared" si="9"/>
        <v>23.532935563042024</v>
      </c>
    </row>
    <row r="22" spans="1:20" x14ac:dyDescent="0.35">
      <c r="A22" s="4" t="s">
        <v>11</v>
      </c>
      <c r="B22" s="3">
        <f>(B19+SQRT(B19^2+2*B17*B12))/B12</f>
        <v>12.743589546285502</v>
      </c>
      <c r="F22" s="1">
        <f t="shared" si="6"/>
        <v>0.38000000000000006</v>
      </c>
      <c r="G22">
        <f>1/2*$B$8*$B$6*$B$7*(Tabelle2[[#This Row],[vx]]*Tabelle2[[#This Row],[vx]]+Tabelle2[[#This Row],[vy]]*Tabelle2[[#This Row],[vy]])/1000000</f>
        <v>10.929071885130298</v>
      </c>
      <c r="H22">
        <f>IF($B$3,-Tabelle2[[#This Row],[Fd]]*Tabelle2[[#This Row],[vx]]/Tabelle2[[#This Row],[v]],0)</f>
        <v>0</v>
      </c>
      <c r="I22">
        <f t="shared" si="0"/>
        <v>0</v>
      </c>
      <c r="J22">
        <f t="shared" si="1"/>
        <v>0</v>
      </c>
      <c r="K22">
        <f t="shared" si="2"/>
        <v>1.0467394398169905</v>
      </c>
      <c r="L22">
        <f>-$B$5*$B$12-IF($B$3,Tabelle2[[#This Row],[Fd]]*Tabelle2[[#This Row],[vy]]/Tabelle2[[#This Row],[v]],0)</f>
        <v>-14.715</v>
      </c>
      <c r="M22">
        <f t="shared" si="3"/>
        <v>-9.81</v>
      </c>
      <c r="N22">
        <f t="shared" si="4"/>
        <v>-0.19620000000000001</v>
      </c>
      <c r="O22">
        <f t="shared" si="5"/>
        <v>1.1709374879119505</v>
      </c>
      <c r="P22" s="1">
        <f t="shared" si="7"/>
        <v>52.336971990849527</v>
      </c>
      <c r="Q22" s="1">
        <f t="shared" si="8"/>
        <v>58.644974395597522</v>
      </c>
      <c r="R22">
        <f>SQRT(Tabelle2[[#This Row],[vx]]*Tabelle2[[#This Row],[vx]]+Tabelle2[[#This Row],[vy]]*Tabelle2[[#This Row],[vy]])</f>
        <v>78.602745874627416</v>
      </c>
      <c r="S22">
        <f t="shared" si="10"/>
        <v>19.888049356522814</v>
      </c>
      <c r="T22" s="1">
        <f t="shared" si="9"/>
        <v>24.707797050953975</v>
      </c>
    </row>
    <row r="23" spans="1:20" x14ac:dyDescent="0.35">
      <c r="A23" s="4" t="s">
        <v>12</v>
      </c>
      <c r="B23" s="3">
        <f>B20*B22</f>
        <v>666.96088914682718</v>
      </c>
      <c r="F23" s="1">
        <f t="shared" si="6"/>
        <v>0.40000000000000008</v>
      </c>
      <c r="G23">
        <f>1/2*$B$8*$B$6*$B$7*(Tabelle2[[#This Row],[vx]]*Tabelle2[[#This Row],[vx]]+Tabelle2[[#This Row],[vy]]*Tabelle2[[#This Row],[vy]])/1000000</f>
        <v>10.888433114616475</v>
      </c>
      <c r="H23">
        <f>IF($B$3,-Tabelle2[[#This Row],[Fd]]*Tabelle2[[#This Row],[vx]]/Tabelle2[[#This Row],[v]],0)</f>
        <v>0</v>
      </c>
      <c r="I23">
        <f t="shared" si="0"/>
        <v>0</v>
      </c>
      <c r="J23">
        <f t="shared" si="1"/>
        <v>0</v>
      </c>
      <c r="K23">
        <f t="shared" si="2"/>
        <v>1.0467394398169905</v>
      </c>
      <c r="L23">
        <f>-$B$5*$B$12-IF($B$3,Tabelle2[[#This Row],[Fd]]*Tabelle2[[#This Row],[vy]]/Tabelle2[[#This Row],[v]],0)</f>
        <v>-14.715</v>
      </c>
      <c r="M23">
        <f t="shared" si="3"/>
        <v>-9.81</v>
      </c>
      <c r="N23">
        <f t="shared" si="4"/>
        <v>-0.19620000000000001</v>
      </c>
      <c r="O23">
        <f t="shared" si="5"/>
        <v>1.1670134879119505</v>
      </c>
      <c r="P23" s="1">
        <f t="shared" si="7"/>
        <v>52.336971990849527</v>
      </c>
      <c r="Q23" s="1">
        <f t="shared" si="8"/>
        <v>58.448774395597525</v>
      </c>
      <c r="R23">
        <f>SQRT(Tabelle2[[#This Row],[vx]]*Tabelle2[[#This Row],[vx]]+Tabelle2[[#This Row],[vy]]*Tabelle2[[#This Row],[vy]])</f>
        <v>78.456471151323299</v>
      </c>
      <c r="S23">
        <f t="shared" si="10"/>
        <v>20.934788796339802</v>
      </c>
      <c r="T23" s="1">
        <f t="shared" si="9"/>
        <v>25.878734538865924</v>
      </c>
    </row>
    <row r="24" spans="1:20" x14ac:dyDescent="0.35">
      <c r="F24" s="1">
        <f t="shared" si="6"/>
        <v>0.4200000000000001</v>
      </c>
      <c r="G24">
        <f>1/2*$B$8*$B$6*$B$7*(Tabelle2[[#This Row],[vx]]*Tabelle2[[#This Row],[vx]]+Tabelle2[[#This Row],[vy]]*Tabelle2[[#This Row],[vy]])/1000000</f>
        <v>10.847930531164</v>
      </c>
      <c r="H24">
        <f>IF($B$3,-Tabelle2[[#This Row],[Fd]]*Tabelle2[[#This Row],[vx]]/Tabelle2[[#This Row],[v]],0)</f>
        <v>0</v>
      </c>
      <c r="I24">
        <f t="shared" si="0"/>
        <v>0</v>
      </c>
      <c r="J24">
        <f t="shared" si="1"/>
        <v>0</v>
      </c>
      <c r="K24">
        <f t="shared" si="2"/>
        <v>1.0467394398169905</v>
      </c>
      <c r="L24">
        <f>-$B$5*$B$12-IF($B$3,Tabelle2[[#This Row],[Fd]]*Tabelle2[[#This Row],[vy]]/Tabelle2[[#This Row],[v]],0)</f>
        <v>-14.715</v>
      </c>
      <c r="M24">
        <f t="shared" si="3"/>
        <v>-9.81</v>
      </c>
      <c r="N24">
        <f t="shared" si="4"/>
        <v>-0.19620000000000001</v>
      </c>
      <c r="O24">
        <f t="shared" si="5"/>
        <v>1.1630894879119504</v>
      </c>
      <c r="P24" s="1">
        <f t="shared" si="7"/>
        <v>52.336971990849527</v>
      </c>
      <c r="Q24" s="1">
        <f t="shared" si="8"/>
        <v>58.252574395597527</v>
      </c>
      <c r="R24">
        <f>SQRT(Tabelle2[[#This Row],[vx]]*Tabelle2[[#This Row],[vx]]+Tabelle2[[#This Row],[vy]]*Tabelle2[[#This Row],[vy]])</f>
        <v>78.310414766399958</v>
      </c>
      <c r="S24">
        <f t="shared" si="10"/>
        <v>21.981528236156791</v>
      </c>
      <c r="T24" s="1">
        <f t="shared" si="9"/>
        <v>27.045748026777876</v>
      </c>
    </row>
    <row r="25" spans="1:20" x14ac:dyDescent="0.35">
      <c r="A25" s="29" t="s">
        <v>76</v>
      </c>
      <c r="B25" s="29"/>
      <c r="F25" s="1">
        <f t="shared" si="6"/>
        <v>0.44000000000000011</v>
      </c>
      <c r="G25">
        <f>1/2*$B$8*$B$6*$B$7*(Tabelle2[[#This Row],[vx]]*Tabelle2[[#This Row],[vx]]+Tabelle2[[#This Row],[vy]]*Tabelle2[[#This Row],[vy]])/1000000</f>
        <v>10.807564134772866</v>
      </c>
      <c r="H25">
        <f>IF($B$3,-Tabelle2[[#This Row],[Fd]]*Tabelle2[[#This Row],[vx]]/Tabelle2[[#This Row],[v]],0)</f>
        <v>0</v>
      </c>
      <c r="I25">
        <f t="shared" si="0"/>
        <v>0</v>
      </c>
      <c r="J25">
        <f t="shared" si="1"/>
        <v>0</v>
      </c>
      <c r="K25">
        <f t="shared" si="2"/>
        <v>1.0467394398169905</v>
      </c>
      <c r="L25">
        <f>-$B$5*$B$12-IF($B$3,Tabelle2[[#This Row],[Fd]]*Tabelle2[[#This Row],[vy]]/Tabelle2[[#This Row],[v]],0)</f>
        <v>-14.715</v>
      </c>
      <c r="M25">
        <f t="shared" si="3"/>
        <v>-9.81</v>
      </c>
      <c r="N25">
        <f t="shared" si="4"/>
        <v>-0.19620000000000001</v>
      </c>
      <c r="O25">
        <f t="shared" si="5"/>
        <v>1.1591654879119506</v>
      </c>
      <c r="P25" s="1">
        <f t="shared" si="7"/>
        <v>52.336971990849527</v>
      </c>
      <c r="Q25" s="1">
        <f t="shared" si="8"/>
        <v>58.05637439559753</v>
      </c>
      <c r="R25">
        <f>SQRT(Tabelle2[[#This Row],[vx]]*Tabelle2[[#This Row],[vx]]+Tabelle2[[#This Row],[vy]]*Tabelle2[[#This Row],[vy]])</f>
        <v>78.164577943802399</v>
      </c>
      <c r="S25">
        <f t="shared" si="10"/>
        <v>23.02826767597378</v>
      </c>
      <c r="T25" s="1">
        <f t="shared" si="9"/>
        <v>28.208837514689826</v>
      </c>
    </row>
    <row r="26" spans="1:20" x14ac:dyDescent="0.35">
      <c r="A26" s="6" t="s">
        <v>23</v>
      </c>
      <c r="B26" s="3">
        <f>B18/B9</f>
        <v>40.710937175945325</v>
      </c>
      <c r="F26" s="1">
        <f t="shared" si="6"/>
        <v>0.46000000000000013</v>
      </c>
      <c r="G26">
        <f>1/2*$B$8*$B$6*$B$7*(Tabelle2[[#This Row],[vx]]*Tabelle2[[#This Row],[vx]]+Tabelle2[[#This Row],[vy]]*Tabelle2[[#This Row],[vy]])/1000000</f>
        <v>10.767333925443076</v>
      </c>
      <c r="H26">
        <f>IF($B$3,-Tabelle2[[#This Row],[Fd]]*Tabelle2[[#This Row],[vx]]/Tabelle2[[#This Row],[v]],0)</f>
        <v>0</v>
      </c>
      <c r="I26">
        <f t="shared" si="0"/>
        <v>0</v>
      </c>
      <c r="J26">
        <f t="shared" si="1"/>
        <v>0</v>
      </c>
      <c r="K26">
        <f t="shared" si="2"/>
        <v>1.0467394398169905</v>
      </c>
      <c r="L26">
        <f>-$B$5*$B$12-IF($B$3,Tabelle2[[#This Row],[Fd]]*Tabelle2[[#This Row],[vy]]/Tabelle2[[#This Row],[v]],0)</f>
        <v>-14.715</v>
      </c>
      <c r="M26">
        <f t="shared" si="3"/>
        <v>-9.81</v>
      </c>
      <c r="N26">
        <f t="shared" si="4"/>
        <v>-0.19620000000000001</v>
      </c>
      <c r="O26">
        <f t="shared" si="5"/>
        <v>1.1552414879119506</v>
      </c>
      <c r="P26" s="1">
        <f t="shared" si="7"/>
        <v>52.336971990849527</v>
      </c>
      <c r="Q26" s="1">
        <f t="shared" si="8"/>
        <v>57.860174395597532</v>
      </c>
      <c r="R26">
        <f>SQRT(Tabelle2[[#This Row],[vx]]*Tabelle2[[#This Row],[vx]]+Tabelle2[[#This Row],[vy]]*Tabelle2[[#This Row],[vy]])</f>
        <v>78.018961914780235</v>
      </c>
      <c r="S26">
        <f t="shared" si="10"/>
        <v>24.075007115790768</v>
      </c>
      <c r="T26" s="1">
        <f t="shared" si="9"/>
        <v>29.368003002601775</v>
      </c>
    </row>
    <row r="27" spans="1:20" x14ac:dyDescent="0.35">
      <c r="A27" s="4" t="s">
        <v>22</v>
      </c>
      <c r="B27" s="4">
        <f>B26/(2*PI())</f>
        <v>6.4793468894553046</v>
      </c>
      <c r="F27" s="1">
        <f t="shared" si="6"/>
        <v>0.48000000000000015</v>
      </c>
      <c r="G27">
        <f>1/2*$B$8*$B$6*$B$7*(Tabelle2[[#This Row],[vx]]*Tabelle2[[#This Row],[vx]]+Tabelle2[[#This Row],[vy]]*Tabelle2[[#This Row],[vy]])/1000000</f>
        <v>10.727239903174629</v>
      </c>
      <c r="H27">
        <f>IF($B$3,-Tabelle2[[#This Row],[Fd]]*Tabelle2[[#This Row],[vx]]/Tabelle2[[#This Row],[v]],0)</f>
        <v>0</v>
      </c>
      <c r="I27">
        <f t="shared" si="0"/>
        <v>0</v>
      </c>
      <c r="J27">
        <f t="shared" si="1"/>
        <v>0</v>
      </c>
      <c r="K27">
        <f t="shared" si="2"/>
        <v>1.0467394398169905</v>
      </c>
      <c r="L27">
        <f>-$B$5*$B$12-IF($B$3,Tabelle2[[#This Row],[Fd]]*Tabelle2[[#This Row],[vy]]/Tabelle2[[#This Row],[v]],0)</f>
        <v>-14.715</v>
      </c>
      <c r="M27">
        <f t="shared" si="3"/>
        <v>-9.81</v>
      </c>
      <c r="N27">
        <f t="shared" si="4"/>
        <v>-0.19620000000000001</v>
      </c>
      <c r="O27">
        <f t="shared" si="5"/>
        <v>1.1513174879119508</v>
      </c>
      <c r="P27" s="1">
        <f t="shared" si="7"/>
        <v>52.336971990849527</v>
      </c>
      <c r="Q27" s="1">
        <f t="shared" si="8"/>
        <v>57.663974395597535</v>
      </c>
      <c r="R27">
        <f>SQRT(Tabelle2[[#This Row],[vx]]*Tabelle2[[#This Row],[vx]]+Tabelle2[[#This Row],[vy]]*Tabelle2[[#This Row],[vy]])</f>
        <v>77.873567917921264</v>
      </c>
      <c r="S27">
        <f t="shared" si="10"/>
        <v>25.121746555607757</v>
      </c>
      <c r="T27" s="1">
        <f t="shared" si="9"/>
        <v>30.523244490513726</v>
      </c>
    </row>
    <row r="28" spans="1:20" x14ac:dyDescent="0.35">
      <c r="A28" s="4" t="s">
        <v>28</v>
      </c>
      <c r="B28" s="4">
        <f>30*B26/PI()</f>
        <v>388.76081336731829</v>
      </c>
      <c r="F28" s="1">
        <f t="shared" si="6"/>
        <v>0.50000000000000011</v>
      </c>
      <c r="G28">
        <f>1/2*$B$8*$B$6*$B$7*(Tabelle2[[#This Row],[vx]]*Tabelle2[[#This Row],[vx]]+Tabelle2[[#This Row],[vy]]*Tabelle2[[#This Row],[vy]])/1000000</f>
        <v>10.687282067967526</v>
      </c>
      <c r="H28">
        <f>IF($B$3,-Tabelle2[[#This Row],[Fd]]*Tabelle2[[#This Row],[vx]]/Tabelle2[[#This Row],[v]],0)</f>
        <v>0</v>
      </c>
      <c r="I28">
        <f t="shared" si="0"/>
        <v>0</v>
      </c>
      <c r="J28">
        <f t="shared" si="1"/>
        <v>0</v>
      </c>
      <c r="K28">
        <f t="shared" si="2"/>
        <v>1.0467394398169905</v>
      </c>
      <c r="L28">
        <f>-$B$5*$B$12-IF($B$3,Tabelle2[[#This Row],[Fd]]*Tabelle2[[#This Row],[vy]]/Tabelle2[[#This Row],[v]],0)</f>
        <v>-14.715</v>
      </c>
      <c r="M28">
        <f t="shared" si="3"/>
        <v>-9.81</v>
      </c>
      <c r="N28">
        <f t="shared" si="4"/>
        <v>-0.19620000000000001</v>
      </c>
      <c r="O28">
        <f t="shared" si="5"/>
        <v>1.1473934879119507</v>
      </c>
      <c r="P28" s="1">
        <f t="shared" si="7"/>
        <v>52.336971990849527</v>
      </c>
      <c r="Q28" s="1">
        <f t="shared" si="8"/>
        <v>57.467774395597537</v>
      </c>
      <c r="R28">
        <f>SQRT(Tabelle2[[#This Row],[vx]]*Tabelle2[[#This Row],[vx]]+Tabelle2[[#This Row],[vy]]*Tabelle2[[#This Row],[vy]])</f>
        <v>77.728397199184954</v>
      </c>
      <c r="S28">
        <f t="shared" si="10"/>
        <v>26.168485995424746</v>
      </c>
      <c r="T28" s="1">
        <f t="shared" si="9"/>
        <v>31.674561978425675</v>
      </c>
    </row>
    <row r="29" spans="1:20" x14ac:dyDescent="0.35">
      <c r="F29" s="1">
        <f t="shared" si="6"/>
        <v>0.52000000000000013</v>
      </c>
      <c r="G29">
        <f>1/2*$B$8*$B$6*$B$7*(Tabelle2[[#This Row],[vx]]*Tabelle2[[#This Row],[vx]]+Tabelle2[[#This Row],[vy]]*Tabelle2[[#This Row],[vy]])/1000000</f>
        <v>10.647460419821769</v>
      </c>
      <c r="H29">
        <f>IF($B$3,-Tabelle2[[#This Row],[Fd]]*Tabelle2[[#This Row],[vx]]/Tabelle2[[#This Row],[v]],0)</f>
        <v>0</v>
      </c>
      <c r="I29">
        <f t="shared" si="0"/>
        <v>0</v>
      </c>
      <c r="J29">
        <f t="shared" si="1"/>
        <v>0</v>
      </c>
      <c r="K29">
        <f t="shared" si="2"/>
        <v>1.0467394398169905</v>
      </c>
      <c r="L29">
        <f>-$B$5*$B$12-IF($B$3,Tabelle2[[#This Row],[Fd]]*Tabelle2[[#This Row],[vy]]/Tabelle2[[#This Row],[v]],0)</f>
        <v>-14.715</v>
      </c>
      <c r="M29">
        <f t="shared" si="3"/>
        <v>-9.81</v>
      </c>
      <c r="N29">
        <f t="shared" si="4"/>
        <v>-0.19620000000000001</v>
      </c>
      <c r="O29">
        <f t="shared" si="5"/>
        <v>1.1434694879119507</v>
      </c>
      <c r="P29" s="1">
        <f t="shared" si="7"/>
        <v>52.336971990849527</v>
      </c>
      <c r="Q29" s="1">
        <f t="shared" si="8"/>
        <v>57.27157439559754</v>
      </c>
      <c r="R29">
        <f>SQRT(Tabelle2[[#This Row],[vx]]*Tabelle2[[#This Row],[vx]]+Tabelle2[[#This Row],[vy]]*Tabelle2[[#This Row],[vy]])</f>
        <v>77.583451011935736</v>
      </c>
      <c r="S29">
        <f t="shared" si="10"/>
        <v>27.215225435241734</v>
      </c>
      <c r="T29" s="1">
        <f t="shared" si="9"/>
        <v>32.821955466337627</v>
      </c>
    </row>
    <row r="30" spans="1:20" x14ac:dyDescent="0.35">
      <c r="F30" s="1">
        <f t="shared" si="6"/>
        <v>0.54000000000000015</v>
      </c>
      <c r="G30">
        <f>1/2*$B$8*$B$6*$B$7*(Tabelle2[[#This Row],[vx]]*Tabelle2[[#This Row],[vx]]+Tabelle2[[#This Row],[vy]]*Tabelle2[[#This Row],[vy]])/1000000</f>
        <v>10.607774958737355</v>
      </c>
      <c r="H30">
        <f>IF($B$3,-Tabelle2[[#This Row],[Fd]]*Tabelle2[[#This Row],[vx]]/Tabelle2[[#This Row],[v]],0)</f>
        <v>0</v>
      </c>
      <c r="I30">
        <f t="shared" si="0"/>
        <v>0</v>
      </c>
      <c r="J30">
        <f t="shared" si="1"/>
        <v>0</v>
      </c>
      <c r="K30">
        <f t="shared" si="2"/>
        <v>1.0467394398169905</v>
      </c>
      <c r="L30">
        <f>-$B$5*$B$12-IF($B$3,Tabelle2[[#This Row],[Fd]]*Tabelle2[[#This Row],[vy]]/Tabelle2[[#This Row],[v]],0)</f>
        <v>-14.715</v>
      </c>
      <c r="M30">
        <f t="shared" si="3"/>
        <v>-9.81</v>
      </c>
      <c r="N30">
        <f t="shared" si="4"/>
        <v>-0.19620000000000001</v>
      </c>
      <c r="O30">
        <f t="shared" si="5"/>
        <v>1.1395454879119509</v>
      </c>
      <c r="P30" s="1">
        <f t="shared" si="7"/>
        <v>52.336971990849527</v>
      </c>
      <c r="Q30" s="1">
        <f t="shared" si="8"/>
        <v>57.075374395597542</v>
      </c>
      <c r="R30">
        <f>SQRT(Tabelle2[[#This Row],[vx]]*Tabelle2[[#This Row],[vx]]+Tabelle2[[#This Row],[vy]]*Tabelle2[[#This Row],[vy]])</f>
        <v>77.438730616976144</v>
      </c>
      <c r="S30">
        <f t="shared" si="10"/>
        <v>28.261964875058723</v>
      </c>
      <c r="T30" s="1">
        <f t="shared" si="9"/>
        <v>33.965424954249578</v>
      </c>
    </row>
    <row r="31" spans="1:20" x14ac:dyDescent="0.35">
      <c r="F31" s="1">
        <f t="shared" si="6"/>
        <v>0.56000000000000016</v>
      </c>
      <c r="G31">
        <f>1/2*$B$8*$B$6*$B$7*(Tabelle2[[#This Row],[vx]]*Tabelle2[[#This Row],[vx]]+Tabelle2[[#This Row],[vy]]*Tabelle2[[#This Row],[vy]])/1000000</f>
        <v>10.568225684714285</v>
      </c>
      <c r="H31">
        <f>IF($B$3,-Tabelle2[[#This Row],[Fd]]*Tabelle2[[#This Row],[vx]]/Tabelle2[[#This Row],[v]],0)</f>
        <v>0</v>
      </c>
      <c r="I31">
        <f t="shared" si="0"/>
        <v>0</v>
      </c>
      <c r="J31">
        <f t="shared" si="1"/>
        <v>0</v>
      </c>
      <c r="K31">
        <f t="shared" si="2"/>
        <v>1.0467394398169905</v>
      </c>
      <c r="L31">
        <f>-$B$5*$B$12-IF($B$3,Tabelle2[[#This Row],[Fd]]*Tabelle2[[#This Row],[vy]]/Tabelle2[[#This Row],[v]],0)</f>
        <v>-14.715</v>
      </c>
      <c r="M31">
        <f t="shared" si="3"/>
        <v>-9.81</v>
      </c>
      <c r="N31">
        <f t="shared" si="4"/>
        <v>-0.19620000000000001</v>
      </c>
      <c r="O31">
        <f t="shared" si="5"/>
        <v>1.1356214879119508</v>
      </c>
      <c r="P31" s="1">
        <f t="shared" si="7"/>
        <v>52.336971990849527</v>
      </c>
      <c r="Q31" s="1">
        <f t="shared" si="8"/>
        <v>56.879174395597545</v>
      </c>
      <c r="R31">
        <f>SQRT(Tabelle2[[#This Row],[vx]]*Tabelle2[[#This Row],[vx]]+Tabelle2[[#This Row],[vy]]*Tabelle2[[#This Row],[vy]])</f>
        <v>77.294237282579914</v>
      </c>
      <c r="S31">
        <f t="shared" si="10"/>
        <v>29.308704314875712</v>
      </c>
      <c r="T31" s="1">
        <f t="shared" si="9"/>
        <v>35.10497044216153</v>
      </c>
    </row>
    <row r="32" spans="1:20" x14ac:dyDescent="0.35">
      <c r="F32" s="1">
        <f t="shared" si="6"/>
        <v>0.58000000000000018</v>
      </c>
      <c r="G32">
        <f>1/2*$B$8*$B$6*$B$7*(Tabelle2[[#This Row],[vx]]*Tabelle2[[#This Row],[vx]]+Tabelle2[[#This Row],[vy]]*Tabelle2[[#This Row],[vy]])/1000000</f>
        <v>10.528812597752561</v>
      </c>
      <c r="H32">
        <f>IF($B$3,-Tabelle2[[#This Row],[Fd]]*Tabelle2[[#This Row],[vx]]/Tabelle2[[#This Row],[v]],0)</f>
        <v>0</v>
      </c>
      <c r="I32">
        <f t="shared" si="0"/>
        <v>0</v>
      </c>
      <c r="J32">
        <f t="shared" si="1"/>
        <v>0</v>
      </c>
      <c r="K32">
        <f t="shared" si="2"/>
        <v>1.0467394398169905</v>
      </c>
      <c r="L32">
        <f>-$B$5*$B$12-IF($B$3,Tabelle2[[#This Row],[Fd]]*Tabelle2[[#This Row],[vy]]/Tabelle2[[#This Row],[v]],0)</f>
        <v>-14.715</v>
      </c>
      <c r="M32">
        <f t="shared" si="3"/>
        <v>-9.81</v>
      </c>
      <c r="N32">
        <f t="shared" si="4"/>
        <v>-0.19620000000000001</v>
      </c>
      <c r="O32">
        <f t="shared" si="5"/>
        <v>1.131697487911951</v>
      </c>
      <c r="P32" s="1">
        <f t="shared" si="7"/>
        <v>52.336971990849527</v>
      </c>
      <c r="Q32" s="1">
        <f t="shared" si="8"/>
        <v>56.682974395597547</v>
      </c>
      <c r="R32">
        <f>SQRT(Tabelle2[[#This Row],[vx]]*Tabelle2[[#This Row],[vx]]+Tabelle2[[#This Row],[vy]]*Tabelle2[[#This Row],[vy]])</f>
        <v>77.149972284524736</v>
      </c>
      <c r="S32">
        <f t="shared" si="10"/>
        <v>30.355443754692701</v>
      </c>
      <c r="T32" s="1">
        <f t="shared" si="9"/>
        <v>36.240591930073478</v>
      </c>
    </row>
    <row r="33" spans="6:20" x14ac:dyDescent="0.35">
      <c r="F33" s="1">
        <f t="shared" si="6"/>
        <v>0.6000000000000002</v>
      </c>
      <c r="G33">
        <f>1/2*$B$8*$B$6*$B$7*(Tabelle2[[#This Row],[vx]]*Tabelle2[[#This Row],[vx]]+Tabelle2[[#This Row],[vy]]*Tabelle2[[#This Row],[vy]])/1000000</f>
        <v>10.489535697852178</v>
      </c>
      <c r="H33">
        <f>IF($B$3,-Tabelle2[[#This Row],[Fd]]*Tabelle2[[#This Row],[vx]]/Tabelle2[[#This Row],[v]],0)</f>
        <v>0</v>
      </c>
      <c r="I33">
        <f t="shared" si="0"/>
        <v>0</v>
      </c>
      <c r="J33">
        <f t="shared" si="1"/>
        <v>0</v>
      </c>
      <c r="K33">
        <f t="shared" si="2"/>
        <v>1.0467394398169905</v>
      </c>
      <c r="L33">
        <f>-$B$5*$B$12-IF($B$3,Tabelle2[[#This Row],[Fd]]*Tabelle2[[#This Row],[vy]]/Tabelle2[[#This Row],[v]],0)</f>
        <v>-14.715</v>
      </c>
      <c r="M33">
        <f t="shared" si="3"/>
        <v>-9.81</v>
      </c>
      <c r="N33">
        <f t="shared" si="4"/>
        <v>-0.19620000000000001</v>
      </c>
      <c r="O33">
        <f t="shared" si="5"/>
        <v>1.127773487911951</v>
      </c>
      <c r="P33" s="1">
        <f t="shared" si="7"/>
        <v>52.336971990849527</v>
      </c>
      <c r="Q33" s="1">
        <f t="shared" si="8"/>
        <v>56.48677439559755</v>
      </c>
      <c r="R33">
        <f>SQRT(Tabelle2[[#This Row],[vx]]*Tabelle2[[#This Row],[vx]]+Tabelle2[[#This Row],[vy]]*Tabelle2[[#This Row],[vy]])</f>
        <v>77.005936906124987</v>
      </c>
      <c r="S33">
        <f t="shared" si="10"/>
        <v>31.402183194509689</v>
      </c>
      <c r="T33" s="1">
        <f t="shared" si="9"/>
        <v>37.372289417985428</v>
      </c>
    </row>
    <row r="34" spans="6:20" x14ac:dyDescent="0.35">
      <c r="F34" s="1">
        <f t="shared" si="6"/>
        <v>0.62000000000000022</v>
      </c>
      <c r="G34">
        <f>1/2*$B$8*$B$6*$B$7*(Tabelle2[[#This Row],[vx]]*Tabelle2[[#This Row],[vx]]+Tabelle2[[#This Row],[vy]]*Tabelle2[[#This Row],[vy]])/1000000</f>
        <v>10.450394985013139</v>
      </c>
      <c r="H34">
        <f>IF($B$3,-Tabelle2[[#This Row],[Fd]]*Tabelle2[[#This Row],[vx]]/Tabelle2[[#This Row],[v]],0)</f>
        <v>0</v>
      </c>
      <c r="I34">
        <f t="shared" si="0"/>
        <v>0</v>
      </c>
      <c r="J34">
        <f t="shared" si="1"/>
        <v>0</v>
      </c>
      <c r="K34">
        <f t="shared" si="2"/>
        <v>1.0467394398169905</v>
      </c>
      <c r="L34">
        <f>-$B$5*$B$12-IF($B$3,Tabelle2[[#This Row],[Fd]]*Tabelle2[[#This Row],[vy]]/Tabelle2[[#This Row],[v]],0)</f>
        <v>-14.715</v>
      </c>
      <c r="M34">
        <f t="shared" si="3"/>
        <v>-9.81</v>
      </c>
      <c r="N34">
        <f t="shared" si="4"/>
        <v>-0.19620000000000001</v>
      </c>
      <c r="O34">
        <f t="shared" si="5"/>
        <v>1.1238494879119509</v>
      </c>
      <c r="P34" s="1">
        <f t="shared" si="7"/>
        <v>52.336971990849527</v>
      </c>
      <c r="Q34" s="1">
        <f t="shared" si="8"/>
        <v>56.290574395597552</v>
      </c>
      <c r="R34">
        <f>SQRT(Tabelle2[[#This Row],[vx]]*Tabelle2[[#This Row],[vx]]+Tabelle2[[#This Row],[vy]]*Tabelle2[[#This Row],[vy]])</f>
        <v>76.862132438264226</v>
      </c>
      <c r="S34">
        <f t="shared" si="10"/>
        <v>32.448922634326678</v>
      </c>
      <c r="T34" s="1">
        <f t="shared" si="9"/>
        <v>38.50006290589738</v>
      </c>
    </row>
    <row r="35" spans="6:20" x14ac:dyDescent="0.35">
      <c r="F35" s="1">
        <f t="shared" si="6"/>
        <v>0.64000000000000024</v>
      </c>
      <c r="G35">
        <f>1/2*$B$8*$B$6*$B$7*(Tabelle2[[#This Row],[vx]]*Tabelle2[[#This Row],[vx]]+Tabelle2[[#This Row],[vy]]*Tabelle2[[#This Row],[vy]])/1000000</f>
        <v>10.411390459235445</v>
      </c>
      <c r="H35">
        <f>IF($B$3,-Tabelle2[[#This Row],[Fd]]*Tabelle2[[#This Row],[vx]]/Tabelle2[[#This Row],[v]],0)</f>
        <v>0</v>
      </c>
      <c r="I35">
        <f t="shared" si="0"/>
        <v>0</v>
      </c>
      <c r="J35">
        <f t="shared" si="1"/>
        <v>0</v>
      </c>
      <c r="K35">
        <f t="shared" si="2"/>
        <v>1.0467394398169905</v>
      </c>
      <c r="L35">
        <f>-$B$5*$B$12-IF($B$3,Tabelle2[[#This Row],[Fd]]*Tabelle2[[#This Row],[vy]]/Tabelle2[[#This Row],[v]],0)</f>
        <v>-14.715</v>
      </c>
      <c r="M35">
        <f t="shared" si="3"/>
        <v>-9.81</v>
      </c>
      <c r="N35">
        <f t="shared" si="4"/>
        <v>-0.19620000000000001</v>
      </c>
      <c r="O35">
        <f t="shared" si="5"/>
        <v>1.1199254879119511</v>
      </c>
      <c r="P35" s="1">
        <f t="shared" si="7"/>
        <v>52.336971990849527</v>
      </c>
      <c r="Q35" s="1">
        <f t="shared" si="8"/>
        <v>56.094374395597555</v>
      </c>
      <c r="R35">
        <f>SQRT(Tabelle2[[#This Row],[vx]]*Tabelle2[[#This Row],[vx]]+Tabelle2[[#This Row],[vy]]*Tabelle2[[#This Row],[vy]])</f>
        <v>76.718560179427499</v>
      </c>
      <c r="S35">
        <f t="shared" si="10"/>
        <v>33.495662074143667</v>
      </c>
      <c r="T35" s="1">
        <f t="shared" si="9"/>
        <v>39.623912393809334</v>
      </c>
    </row>
    <row r="36" spans="6:20" x14ac:dyDescent="0.35">
      <c r="F36" s="1">
        <f t="shared" si="6"/>
        <v>0.66000000000000025</v>
      </c>
      <c r="G36">
        <f>1/2*$B$8*$B$6*$B$7*(Tabelle2[[#This Row],[vx]]*Tabelle2[[#This Row],[vx]]+Tabelle2[[#This Row],[vy]]*Tabelle2[[#This Row],[vy]])/1000000</f>
        <v>10.372522120519093</v>
      </c>
      <c r="H36">
        <f>IF($B$3,-Tabelle2[[#This Row],[Fd]]*Tabelle2[[#This Row],[vx]]/Tabelle2[[#This Row],[v]],0)</f>
        <v>0</v>
      </c>
      <c r="I36">
        <f t="shared" si="0"/>
        <v>0</v>
      </c>
      <c r="J36">
        <f t="shared" si="1"/>
        <v>0</v>
      </c>
      <c r="K36">
        <f t="shared" si="2"/>
        <v>1.0467394398169905</v>
      </c>
      <c r="L36">
        <f>-$B$5*$B$12-IF($B$3,Tabelle2[[#This Row],[Fd]]*Tabelle2[[#This Row],[vy]]/Tabelle2[[#This Row],[v]],0)</f>
        <v>-14.715</v>
      </c>
      <c r="M36">
        <f t="shared" si="3"/>
        <v>-9.81</v>
      </c>
      <c r="N36">
        <f t="shared" si="4"/>
        <v>-0.19620000000000001</v>
      </c>
      <c r="O36">
        <f t="shared" si="5"/>
        <v>1.1160014879119511</v>
      </c>
      <c r="P36" s="1">
        <f t="shared" si="7"/>
        <v>52.336971990849527</v>
      </c>
      <c r="Q36" s="1">
        <f t="shared" si="8"/>
        <v>55.898174395597557</v>
      </c>
      <c r="R36">
        <f>SQRT(Tabelle2[[#This Row],[vx]]*Tabelle2[[#This Row],[vx]]+Tabelle2[[#This Row],[vy]]*Tabelle2[[#This Row],[vy]])</f>
        <v>76.575221435733411</v>
      </c>
      <c r="S36">
        <f t="shared" si="10"/>
        <v>34.542401513960655</v>
      </c>
      <c r="T36" s="1">
        <f t="shared" si="9"/>
        <v>40.743837881721284</v>
      </c>
    </row>
    <row r="37" spans="6:20" x14ac:dyDescent="0.35">
      <c r="F37" s="1">
        <f t="shared" si="6"/>
        <v>0.68000000000000027</v>
      </c>
      <c r="G37">
        <f>1/2*$B$8*$B$6*$B$7*(Tabelle2[[#This Row],[vx]]*Tabelle2[[#This Row],[vx]]+Tabelle2[[#This Row],[vy]]*Tabelle2[[#This Row],[vy]])/1000000</f>
        <v>10.333789968864089</v>
      </c>
      <c r="H37">
        <f>IF($B$3,-Tabelle2[[#This Row],[Fd]]*Tabelle2[[#This Row],[vx]]/Tabelle2[[#This Row],[v]],0)</f>
        <v>0</v>
      </c>
      <c r="I37">
        <f t="shared" si="0"/>
        <v>0</v>
      </c>
      <c r="J37">
        <f t="shared" si="1"/>
        <v>0</v>
      </c>
      <c r="K37">
        <f t="shared" si="2"/>
        <v>1.0467394398169905</v>
      </c>
      <c r="L37">
        <f>-$B$5*$B$12-IF($B$3,Tabelle2[[#This Row],[Fd]]*Tabelle2[[#This Row],[vy]]/Tabelle2[[#This Row],[v]],0)</f>
        <v>-14.715</v>
      </c>
      <c r="M37">
        <f t="shared" si="3"/>
        <v>-9.81</v>
      </c>
      <c r="N37">
        <f t="shared" si="4"/>
        <v>-0.19620000000000001</v>
      </c>
      <c r="O37">
        <f t="shared" si="5"/>
        <v>1.1120774879119513</v>
      </c>
      <c r="P37" s="1">
        <f t="shared" si="7"/>
        <v>52.336971990849527</v>
      </c>
      <c r="Q37" s="1">
        <f t="shared" si="8"/>
        <v>55.70197439559756</v>
      </c>
      <c r="R37">
        <f>SQRT(Tabelle2[[#This Row],[vx]]*Tabelle2[[#This Row],[vx]]+Tabelle2[[#This Row],[vy]]*Tabelle2[[#This Row],[vy]])</f>
        <v>76.432117520966102</v>
      </c>
      <c r="S37">
        <f t="shared" si="10"/>
        <v>35.589140953777644</v>
      </c>
      <c r="T37" s="1">
        <f t="shared" si="9"/>
        <v>41.859839369633235</v>
      </c>
    </row>
    <row r="38" spans="6:20" x14ac:dyDescent="0.35">
      <c r="F38" s="1">
        <f t="shared" si="6"/>
        <v>0.70000000000000029</v>
      </c>
      <c r="G38">
        <f>1/2*$B$8*$B$6*$B$7*(Tabelle2[[#This Row],[vx]]*Tabelle2[[#This Row],[vx]]+Tabelle2[[#This Row],[vy]]*Tabelle2[[#This Row],[vy]])/1000000</f>
        <v>10.295194004270426</v>
      </c>
      <c r="H38">
        <f>IF($B$3,-Tabelle2[[#This Row],[Fd]]*Tabelle2[[#This Row],[vx]]/Tabelle2[[#This Row],[v]],0)</f>
        <v>0</v>
      </c>
      <c r="I38">
        <f t="shared" si="0"/>
        <v>0</v>
      </c>
      <c r="J38">
        <f t="shared" si="1"/>
        <v>0</v>
      </c>
      <c r="K38">
        <f t="shared" si="2"/>
        <v>1.0467394398169905</v>
      </c>
      <c r="L38">
        <f>-$B$5*$B$12-IF($B$3,Tabelle2[[#This Row],[Fd]]*Tabelle2[[#This Row],[vy]]/Tabelle2[[#This Row],[v]],0)</f>
        <v>-14.715</v>
      </c>
      <c r="M38">
        <f t="shared" si="3"/>
        <v>-9.81</v>
      </c>
      <c r="N38">
        <f t="shared" si="4"/>
        <v>-0.19620000000000001</v>
      </c>
      <c r="O38">
        <f t="shared" si="5"/>
        <v>1.1081534879119512</v>
      </c>
      <c r="P38" s="1">
        <f t="shared" si="7"/>
        <v>52.336971990849527</v>
      </c>
      <c r="Q38" s="1">
        <f t="shared" si="8"/>
        <v>55.505774395597562</v>
      </c>
      <c r="R38">
        <f>SQRT(Tabelle2[[#This Row],[vx]]*Tabelle2[[#This Row],[vx]]+Tabelle2[[#This Row],[vy]]*Tabelle2[[#This Row],[vy]])</f>
        <v>76.289249756606878</v>
      </c>
      <c r="S38">
        <f t="shared" si="10"/>
        <v>36.635880393594633</v>
      </c>
      <c r="T38" s="1">
        <f t="shared" si="9"/>
        <v>42.971916857545189</v>
      </c>
    </row>
    <row r="39" spans="6:20" x14ac:dyDescent="0.35">
      <c r="F39" s="1">
        <f t="shared" si="6"/>
        <v>0.72000000000000031</v>
      </c>
      <c r="G39">
        <f>1/2*$B$8*$B$6*$B$7*(Tabelle2[[#This Row],[vx]]*Tabelle2[[#This Row],[vx]]+Tabelle2[[#This Row],[vy]]*Tabelle2[[#This Row],[vy]])/1000000</f>
        <v>10.256734226738107</v>
      </c>
      <c r="H39">
        <f>IF($B$3,-Tabelle2[[#This Row],[Fd]]*Tabelle2[[#This Row],[vx]]/Tabelle2[[#This Row],[v]],0)</f>
        <v>0</v>
      </c>
      <c r="I39">
        <f t="shared" si="0"/>
        <v>0</v>
      </c>
      <c r="J39">
        <f t="shared" si="1"/>
        <v>0</v>
      </c>
      <c r="K39">
        <f t="shared" si="2"/>
        <v>1.0467394398169905</v>
      </c>
      <c r="L39">
        <f>-$B$5*$B$12-IF($B$3,Tabelle2[[#This Row],[Fd]]*Tabelle2[[#This Row],[vy]]/Tabelle2[[#This Row],[v]],0)</f>
        <v>-14.715</v>
      </c>
      <c r="M39">
        <f t="shared" si="3"/>
        <v>-9.81</v>
      </c>
      <c r="N39">
        <f t="shared" si="4"/>
        <v>-0.19620000000000001</v>
      </c>
      <c r="O39">
        <f t="shared" si="5"/>
        <v>1.1042294879119512</v>
      </c>
      <c r="P39" s="1">
        <f t="shared" si="7"/>
        <v>52.336971990849527</v>
      </c>
      <c r="Q39" s="1">
        <f t="shared" si="8"/>
        <v>55.309574395597565</v>
      </c>
      <c r="R39">
        <f>SQRT(Tabelle2[[#This Row],[vx]]*Tabelle2[[#This Row],[vx]]+Tabelle2[[#This Row],[vy]]*Tabelle2[[#This Row],[vy]])</f>
        <v>76.146619471865648</v>
      </c>
      <c r="S39">
        <f t="shared" si="10"/>
        <v>37.682619833411621</v>
      </c>
      <c r="T39" s="1">
        <f t="shared" si="9"/>
        <v>44.080070345457138</v>
      </c>
    </row>
    <row r="40" spans="6:20" x14ac:dyDescent="0.35">
      <c r="F40" s="1">
        <f t="shared" si="6"/>
        <v>0.74000000000000032</v>
      </c>
      <c r="G40">
        <f>1/2*$B$8*$B$6*$B$7*(Tabelle2[[#This Row],[vx]]*Tabelle2[[#This Row],[vx]]+Tabelle2[[#This Row],[vy]]*Tabelle2[[#This Row],[vy]])/1000000</f>
        <v>10.218410636267135</v>
      </c>
      <c r="H40">
        <f>IF($B$3,-Tabelle2[[#This Row],[Fd]]*Tabelle2[[#This Row],[vx]]/Tabelle2[[#This Row],[v]],0)</f>
        <v>0</v>
      </c>
      <c r="I40">
        <f t="shared" si="0"/>
        <v>0</v>
      </c>
      <c r="J40">
        <f t="shared" si="1"/>
        <v>0</v>
      </c>
      <c r="K40">
        <f t="shared" si="2"/>
        <v>1.0467394398169905</v>
      </c>
      <c r="L40">
        <f>-$B$5*$B$12-IF($B$3,Tabelle2[[#This Row],[Fd]]*Tabelle2[[#This Row],[vy]]/Tabelle2[[#This Row],[v]],0)</f>
        <v>-14.715</v>
      </c>
      <c r="M40">
        <f t="shared" si="3"/>
        <v>-9.81</v>
      </c>
      <c r="N40">
        <f t="shared" si="4"/>
        <v>-0.19620000000000001</v>
      </c>
      <c r="O40">
        <f t="shared" si="5"/>
        <v>1.1003054879119514</v>
      </c>
      <c r="P40" s="1">
        <f t="shared" si="7"/>
        <v>52.336971990849527</v>
      </c>
      <c r="Q40" s="1">
        <f t="shared" si="8"/>
        <v>55.113374395597567</v>
      </c>
      <c r="R40">
        <f>SQRT(Tabelle2[[#This Row],[vx]]*Tabelle2[[#This Row],[vx]]+Tabelle2[[#This Row],[vy]]*Tabelle2[[#This Row],[vy]])</f>
        <v>76.004228003712257</v>
      </c>
      <c r="S40">
        <f t="shared" si="10"/>
        <v>38.72935927322861</v>
      </c>
      <c r="T40" s="1">
        <f t="shared" si="9"/>
        <v>45.184299833369089</v>
      </c>
    </row>
    <row r="41" spans="6:20" x14ac:dyDescent="0.35">
      <c r="F41" s="1">
        <f t="shared" si="6"/>
        <v>0.76000000000000034</v>
      </c>
      <c r="G41">
        <f>1/2*$B$8*$B$6*$B$7*(Tabelle2[[#This Row],[vx]]*Tabelle2[[#This Row],[vx]]+Tabelle2[[#This Row],[vy]]*Tabelle2[[#This Row],[vy]])/1000000</f>
        <v>10.180223232857506</v>
      </c>
      <c r="H41">
        <f>IF($B$3,-Tabelle2[[#This Row],[Fd]]*Tabelle2[[#This Row],[vx]]/Tabelle2[[#This Row],[v]],0)</f>
        <v>0</v>
      </c>
      <c r="I41">
        <f t="shared" si="0"/>
        <v>0</v>
      </c>
      <c r="J41">
        <f t="shared" si="1"/>
        <v>0</v>
      </c>
      <c r="K41">
        <f t="shared" si="2"/>
        <v>1.0467394398169905</v>
      </c>
      <c r="L41">
        <f>-$B$5*$B$12-IF($B$3,Tabelle2[[#This Row],[Fd]]*Tabelle2[[#This Row],[vy]]/Tabelle2[[#This Row],[v]],0)</f>
        <v>-14.715</v>
      </c>
      <c r="M41">
        <f t="shared" si="3"/>
        <v>-9.81</v>
      </c>
      <c r="N41">
        <f t="shared" si="4"/>
        <v>-0.19620000000000001</v>
      </c>
      <c r="O41">
        <f t="shared" si="5"/>
        <v>1.0963814879119513</v>
      </c>
      <c r="P41" s="1">
        <f t="shared" si="7"/>
        <v>52.336971990849527</v>
      </c>
      <c r="Q41" s="1">
        <f t="shared" si="8"/>
        <v>54.91717439559757</v>
      </c>
      <c r="R41">
        <f>SQRT(Tabelle2[[#This Row],[vx]]*Tabelle2[[#This Row],[vx]]+Tabelle2[[#This Row],[vy]]*Tabelle2[[#This Row],[vy]])</f>
        <v>75.862076696907295</v>
      </c>
      <c r="S41">
        <f t="shared" si="10"/>
        <v>39.776098713045599</v>
      </c>
      <c r="T41" s="1">
        <f t="shared" si="9"/>
        <v>46.284605321281042</v>
      </c>
    </row>
    <row r="42" spans="6:20" x14ac:dyDescent="0.35">
      <c r="F42" s="1">
        <f t="shared" si="6"/>
        <v>0.78000000000000036</v>
      </c>
      <c r="G42">
        <f>1/2*$B$8*$B$6*$B$7*(Tabelle2[[#This Row],[vx]]*Tabelle2[[#This Row],[vx]]+Tabelle2[[#This Row],[vy]]*Tabelle2[[#This Row],[vy]])/1000000</f>
        <v>10.142172016509218</v>
      </c>
      <c r="H42">
        <f>IF($B$3,-Tabelle2[[#This Row],[Fd]]*Tabelle2[[#This Row],[vx]]/Tabelle2[[#This Row],[v]],0)</f>
        <v>0</v>
      </c>
      <c r="I42">
        <f t="shared" si="0"/>
        <v>0</v>
      </c>
      <c r="J42">
        <f t="shared" si="1"/>
        <v>0</v>
      </c>
      <c r="K42">
        <f t="shared" si="2"/>
        <v>1.0467394398169905</v>
      </c>
      <c r="L42">
        <f>-$B$5*$B$12-IF($B$3,Tabelle2[[#This Row],[Fd]]*Tabelle2[[#This Row],[vy]]/Tabelle2[[#This Row],[v]],0)</f>
        <v>-14.715</v>
      </c>
      <c r="M42">
        <f t="shared" si="3"/>
        <v>-9.81</v>
      </c>
      <c r="N42">
        <f t="shared" si="4"/>
        <v>-0.19620000000000001</v>
      </c>
      <c r="O42">
        <f t="shared" si="5"/>
        <v>1.0924574879119515</v>
      </c>
      <c r="P42" s="1">
        <f t="shared" si="7"/>
        <v>52.336971990849527</v>
      </c>
      <c r="Q42" s="1">
        <f t="shared" si="8"/>
        <v>54.720974395597572</v>
      </c>
      <c r="R42">
        <f>SQRT(Tabelle2[[#This Row],[vx]]*Tabelle2[[#This Row],[vx]]+Tabelle2[[#This Row],[vy]]*Tabelle2[[#This Row],[vy]])</f>
        <v>75.720166904032993</v>
      </c>
      <c r="S42">
        <f t="shared" si="10"/>
        <v>40.822838152862587</v>
      </c>
      <c r="T42" s="1">
        <f t="shared" si="9"/>
        <v>47.38098680919299</v>
      </c>
    </row>
    <row r="43" spans="6:20" x14ac:dyDescent="0.35">
      <c r="F43" s="1">
        <f t="shared" si="6"/>
        <v>0.80000000000000038</v>
      </c>
      <c r="G43">
        <f>1/2*$B$8*$B$6*$B$7*(Tabelle2[[#This Row],[vx]]*Tabelle2[[#This Row],[vx]]+Tabelle2[[#This Row],[vy]]*Tabelle2[[#This Row],[vy]])/1000000</f>
        <v>10.104256987222275</v>
      </c>
      <c r="H43">
        <f>IF($B$3,-Tabelle2[[#This Row],[Fd]]*Tabelle2[[#This Row],[vx]]/Tabelle2[[#This Row],[v]],0)</f>
        <v>0</v>
      </c>
      <c r="I43">
        <f t="shared" si="0"/>
        <v>0</v>
      </c>
      <c r="J43">
        <f t="shared" si="1"/>
        <v>0</v>
      </c>
      <c r="K43">
        <f t="shared" si="2"/>
        <v>1.0467394398169905</v>
      </c>
      <c r="L43">
        <f>-$B$5*$B$12-IF($B$3,Tabelle2[[#This Row],[Fd]]*Tabelle2[[#This Row],[vy]]/Tabelle2[[#This Row],[v]],0)</f>
        <v>-14.715</v>
      </c>
      <c r="M43">
        <f t="shared" si="3"/>
        <v>-9.81</v>
      </c>
      <c r="N43">
        <f t="shared" si="4"/>
        <v>-0.19620000000000001</v>
      </c>
      <c r="O43">
        <f t="shared" si="5"/>
        <v>1.0885334879119515</v>
      </c>
      <c r="P43" s="1">
        <f t="shared" si="7"/>
        <v>52.336971990849527</v>
      </c>
      <c r="Q43" s="1">
        <f t="shared" si="8"/>
        <v>54.524774395597575</v>
      </c>
      <c r="R43">
        <f>SQRT(Tabelle2[[#This Row],[vx]]*Tabelle2[[#This Row],[vx]]+Tabelle2[[#This Row],[vy]]*Tabelle2[[#This Row],[vy]])</f>
        <v>75.578499985523536</v>
      </c>
      <c r="S43">
        <f t="shared" si="10"/>
        <v>41.869577592679576</v>
      </c>
      <c r="T43" s="1">
        <f t="shared" si="9"/>
        <v>48.47344429710494</v>
      </c>
    </row>
    <row r="44" spans="6:20" x14ac:dyDescent="0.35">
      <c r="F44" s="1">
        <f t="shared" si="6"/>
        <v>0.8200000000000004</v>
      </c>
      <c r="G44">
        <f>1/2*$B$8*$B$6*$B$7*(Tabelle2[[#This Row],[vx]]*Tabelle2[[#This Row],[vx]]+Tabelle2[[#This Row],[vy]]*Tabelle2[[#This Row],[vy]])/1000000</f>
        <v>10.066478144996676</v>
      </c>
      <c r="H44">
        <f>IF($B$3,-Tabelle2[[#This Row],[Fd]]*Tabelle2[[#This Row],[vx]]/Tabelle2[[#This Row],[v]],0)</f>
        <v>0</v>
      </c>
      <c r="I44">
        <f t="shared" si="0"/>
        <v>0</v>
      </c>
      <c r="J44">
        <f t="shared" si="1"/>
        <v>0</v>
      </c>
      <c r="K44">
        <f t="shared" si="2"/>
        <v>1.0467394398169905</v>
      </c>
      <c r="L44">
        <f>-$B$5*$B$12-IF($B$3,Tabelle2[[#This Row],[Fd]]*Tabelle2[[#This Row],[vy]]/Tabelle2[[#This Row],[v]],0)</f>
        <v>-14.715</v>
      </c>
      <c r="M44">
        <f t="shared" si="3"/>
        <v>-9.81</v>
      </c>
      <c r="N44">
        <f t="shared" si="4"/>
        <v>-0.19620000000000001</v>
      </c>
      <c r="O44">
        <f t="shared" si="5"/>
        <v>1.0846094879119514</v>
      </c>
      <c r="P44" s="1">
        <f t="shared" si="7"/>
        <v>52.336971990849527</v>
      </c>
      <c r="Q44" s="1">
        <f t="shared" si="8"/>
        <v>54.328574395597578</v>
      </c>
      <c r="R44">
        <f>SQRT(Tabelle2[[#This Row],[vx]]*Tabelle2[[#This Row],[vx]]+Tabelle2[[#This Row],[vy]]*Tabelle2[[#This Row],[vy]])</f>
        <v>75.437077309695326</v>
      </c>
      <c r="S44">
        <f t="shared" si="10"/>
        <v>42.916317032496565</v>
      </c>
      <c r="T44" s="1">
        <f t="shared" si="9"/>
        <v>49.561977785016893</v>
      </c>
    </row>
    <row r="45" spans="6:20" x14ac:dyDescent="0.35">
      <c r="F45" s="1">
        <f t="shared" si="6"/>
        <v>0.84000000000000041</v>
      </c>
      <c r="G45">
        <f>1/2*$B$8*$B$6*$B$7*(Tabelle2[[#This Row],[vx]]*Tabelle2[[#This Row],[vx]]+Tabelle2[[#This Row],[vy]]*Tabelle2[[#This Row],[vy]])/1000000</f>
        <v>10.028835489832423</v>
      </c>
      <c r="H45">
        <f>IF($B$3,-Tabelle2[[#This Row],[Fd]]*Tabelle2[[#This Row],[vx]]/Tabelle2[[#This Row],[v]],0)</f>
        <v>0</v>
      </c>
      <c r="I45">
        <f t="shared" si="0"/>
        <v>0</v>
      </c>
      <c r="J45">
        <f t="shared" si="1"/>
        <v>0</v>
      </c>
      <c r="K45">
        <f t="shared" si="2"/>
        <v>1.0467394398169905</v>
      </c>
      <c r="L45">
        <f>-$B$5*$B$12-IF($B$3,Tabelle2[[#This Row],[Fd]]*Tabelle2[[#This Row],[vy]]/Tabelle2[[#This Row],[v]],0)</f>
        <v>-14.715</v>
      </c>
      <c r="M45">
        <f t="shared" si="3"/>
        <v>-9.81</v>
      </c>
      <c r="N45">
        <f t="shared" si="4"/>
        <v>-0.19620000000000001</v>
      </c>
      <c r="O45">
        <f t="shared" si="5"/>
        <v>1.0806854879119516</v>
      </c>
      <c r="P45" s="1">
        <f t="shared" si="7"/>
        <v>52.336971990849527</v>
      </c>
      <c r="Q45" s="1">
        <f t="shared" si="8"/>
        <v>54.13237439559758</v>
      </c>
      <c r="R45">
        <f>SQRT(Tabelle2[[#This Row],[vx]]*Tabelle2[[#This Row],[vx]]+Tabelle2[[#This Row],[vy]]*Tabelle2[[#This Row],[vy]])</f>
        <v>75.295900252776818</v>
      </c>
      <c r="S45">
        <f t="shared" si="10"/>
        <v>43.963056472313554</v>
      </c>
      <c r="T45" s="1">
        <f t="shared" si="9"/>
        <v>50.646587272928848</v>
      </c>
    </row>
    <row r="46" spans="6:20" x14ac:dyDescent="0.35">
      <c r="F46" s="1">
        <f t="shared" si="6"/>
        <v>0.86000000000000043</v>
      </c>
      <c r="G46">
        <f>1/2*$B$8*$B$6*$B$7*(Tabelle2[[#This Row],[vx]]*Tabelle2[[#This Row],[vx]]+Tabelle2[[#This Row],[vy]]*Tabelle2[[#This Row],[vy]])/1000000</f>
        <v>9.991329021729511</v>
      </c>
      <c r="H46">
        <f>IF($B$3,-Tabelle2[[#This Row],[Fd]]*Tabelle2[[#This Row],[vx]]/Tabelle2[[#This Row],[v]],0)</f>
        <v>0</v>
      </c>
      <c r="I46">
        <f t="shared" si="0"/>
        <v>0</v>
      </c>
      <c r="J46">
        <f t="shared" si="1"/>
        <v>0</v>
      </c>
      <c r="K46">
        <f t="shared" si="2"/>
        <v>1.0467394398169905</v>
      </c>
      <c r="L46">
        <f>-$B$5*$B$12-IF($B$3,Tabelle2[[#This Row],[Fd]]*Tabelle2[[#This Row],[vy]]/Tabelle2[[#This Row],[v]],0)</f>
        <v>-14.715</v>
      </c>
      <c r="M46">
        <f t="shared" si="3"/>
        <v>-9.81</v>
      </c>
      <c r="N46">
        <f t="shared" si="4"/>
        <v>-0.19620000000000001</v>
      </c>
      <c r="O46">
        <f t="shared" si="5"/>
        <v>1.0767614879119516</v>
      </c>
      <c r="P46" s="1">
        <f t="shared" si="7"/>
        <v>52.336971990849527</v>
      </c>
      <c r="Q46" s="1">
        <f t="shared" si="8"/>
        <v>53.936174395597583</v>
      </c>
      <c r="R46">
        <f>SQRT(Tabelle2[[#This Row],[vx]]*Tabelle2[[#This Row],[vx]]+Tabelle2[[#This Row],[vy]]*Tabelle2[[#This Row],[vy]])</f>
        <v>75.154970198938159</v>
      </c>
      <c r="S46">
        <f t="shared" si="10"/>
        <v>45.009795912130542</v>
      </c>
      <c r="T46" s="1">
        <f t="shared" si="9"/>
        <v>51.727272760840798</v>
      </c>
    </row>
    <row r="47" spans="6:20" x14ac:dyDescent="0.35">
      <c r="F47" s="1">
        <f t="shared" si="6"/>
        <v>0.88000000000000045</v>
      </c>
      <c r="G47">
        <f>1/2*$B$8*$B$6*$B$7*(Tabelle2[[#This Row],[vx]]*Tabelle2[[#This Row],[vx]]+Tabelle2[[#This Row],[vy]]*Tabelle2[[#This Row],[vy]])/1000000</f>
        <v>9.9539587406879466</v>
      </c>
      <c r="H47">
        <f>IF($B$3,-Tabelle2[[#This Row],[Fd]]*Tabelle2[[#This Row],[vx]]/Tabelle2[[#This Row],[v]],0)</f>
        <v>0</v>
      </c>
      <c r="I47">
        <f t="shared" si="0"/>
        <v>0</v>
      </c>
      <c r="J47">
        <f t="shared" si="1"/>
        <v>0</v>
      </c>
      <c r="K47">
        <f t="shared" si="2"/>
        <v>1.0467394398169905</v>
      </c>
      <c r="L47">
        <f>-$B$5*$B$12-IF($B$3,Tabelle2[[#This Row],[Fd]]*Tabelle2[[#This Row],[vy]]/Tabelle2[[#This Row],[v]],0)</f>
        <v>-14.715</v>
      </c>
      <c r="M47">
        <f t="shared" si="3"/>
        <v>-9.81</v>
      </c>
      <c r="N47">
        <f t="shared" si="4"/>
        <v>-0.19620000000000001</v>
      </c>
      <c r="O47">
        <f t="shared" si="5"/>
        <v>1.0728374879119518</v>
      </c>
      <c r="P47" s="1">
        <f t="shared" si="7"/>
        <v>52.336971990849527</v>
      </c>
      <c r="Q47" s="1">
        <f t="shared" si="8"/>
        <v>53.739974395597585</v>
      </c>
      <c r="R47">
        <f>SQRT(Tabelle2[[#This Row],[vx]]*Tabelle2[[#This Row],[vx]]+Tabelle2[[#This Row],[vy]]*Tabelle2[[#This Row],[vy]])</f>
        <v>75.01428854032045</v>
      </c>
      <c r="S47">
        <f t="shared" si="10"/>
        <v>46.056535351947531</v>
      </c>
      <c r="T47" s="1">
        <f t="shared" si="9"/>
        <v>52.80403424875275</v>
      </c>
    </row>
    <row r="48" spans="6:20" x14ac:dyDescent="0.35">
      <c r="F48" s="1">
        <f t="shared" si="6"/>
        <v>0.90000000000000047</v>
      </c>
      <c r="G48">
        <f>1/2*$B$8*$B$6*$B$7*(Tabelle2[[#This Row],[vx]]*Tabelle2[[#This Row],[vx]]+Tabelle2[[#This Row],[vy]]*Tabelle2[[#This Row],[vy]])/1000000</f>
        <v>9.9167246467077224</v>
      </c>
      <c r="H48">
        <f>IF($B$3,-Tabelle2[[#This Row],[Fd]]*Tabelle2[[#This Row],[vx]]/Tabelle2[[#This Row],[v]],0)</f>
        <v>0</v>
      </c>
      <c r="I48">
        <f t="shared" si="0"/>
        <v>0</v>
      </c>
      <c r="J48">
        <f t="shared" si="1"/>
        <v>0</v>
      </c>
      <c r="K48">
        <f t="shared" si="2"/>
        <v>1.0467394398169905</v>
      </c>
      <c r="L48">
        <f>-$B$5*$B$12-IF($B$3,Tabelle2[[#This Row],[Fd]]*Tabelle2[[#This Row],[vy]]/Tabelle2[[#This Row],[v]],0)</f>
        <v>-14.715</v>
      </c>
      <c r="M48">
        <f t="shared" si="3"/>
        <v>-9.81</v>
      </c>
      <c r="N48">
        <f t="shared" si="4"/>
        <v>-0.19620000000000001</v>
      </c>
      <c r="O48">
        <f t="shared" si="5"/>
        <v>1.0689134879119517</v>
      </c>
      <c r="P48" s="1">
        <f t="shared" si="7"/>
        <v>52.336971990849527</v>
      </c>
      <c r="Q48" s="1">
        <f t="shared" si="8"/>
        <v>53.543774395597588</v>
      </c>
      <c r="R48">
        <f>SQRT(Tabelle2[[#This Row],[vx]]*Tabelle2[[#This Row],[vx]]+Tabelle2[[#This Row],[vy]]*Tabelle2[[#This Row],[vy]])</f>
        <v>74.873856677064651</v>
      </c>
      <c r="S48">
        <f t="shared" si="10"/>
        <v>47.10327479176452</v>
      </c>
      <c r="T48" s="1">
        <f t="shared" si="9"/>
        <v>53.876871736664704</v>
      </c>
    </row>
    <row r="49" spans="6:20" x14ac:dyDescent="0.35">
      <c r="F49" s="1">
        <f t="shared" si="6"/>
        <v>0.92000000000000048</v>
      </c>
      <c r="G49">
        <f>1/2*$B$8*$B$6*$B$7*(Tabelle2[[#This Row],[vx]]*Tabelle2[[#This Row],[vx]]+Tabelle2[[#This Row],[vy]]*Tabelle2[[#This Row],[vy]])/1000000</f>
        <v>9.8796267397888453</v>
      </c>
      <c r="H49">
        <f>IF($B$3,-Tabelle2[[#This Row],[Fd]]*Tabelle2[[#This Row],[vx]]/Tabelle2[[#This Row],[v]],0)</f>
        <v>0</v>
      </c>
      <c r="I49">
        <f t="shared" si="0"/>
        <v>0</v>
      </c>
      <c r="J49">
        <f t="shared" si="1"/>
        <v>0</v>
      </c>
      <c r="K49">
        <f t="shared" si="2"/>
        <v>1.0467394398169905</v>
      </c>
      <c r="L49">
        <f>-$B$5*$B$12-IF($B$3,Tabelle2[[#This Row],[Fd]]*Tabelle2[[#This Row],[vy]]/Tabelle2[[#This Row],[v]],0)</f>
        <v>-14.715</v>
      </c>
      <c r="M49">
        <f t="shared" si="3"/>
        <v>-9.81</v>
      </c>
      <c r="N49">
        <f t="shared" si="4"/>
        <v>-0.19620000000000001</v>
      </c>
      <c r="O49">
        <f t="shared" si="5"/>
        <v>1.0649894879119517</v>
      </c>
      <c r="P49" s="1">
        <f t="shared" si="7"/>
        <v>52.336971990849527</v>
      </c>
      <c r="Q49" s="1">
        <f t="shared" si="8"/>
        <v>53.34757439559759</v>
      </c>
      <c r="R49">
        <f>SQRT(Tabelle2[[#This Row],[vx]]*Tabelle2[[#This Row],[vx]]+Tabelle2[[#This Row],[vy]]*Tabelle2[[#This Row],[vy]])</f>
        <v>74.733676017340315</v>
      </c>
      <c r="S49">
        <f t="shared" si="10"/>
        <v>48.150014231581508</v>
      </c>
      <c r="T49" s="1">
        <f t="shared" si="9"/>
        <v>54.945785224576653</v>
      </c>
    </row>
    <row r="50" spans="6:20" x14ac:dyDescent="0.35">
      <c r="F50" s="1">
        <f t="shared" si="6"/>
        <v>0.9400000000000005</v>
      </c>
      <c r="G50">
        <f>1/2*$B$8*$B$6*$B$7*(Tabelle2[[#This Row],[vx]]*Tabelle2[[#This Row],[vx]]+Tabelle2[[#This Row],[vy]]*Tabelle2[[#This Row],[vy]])/1000000</f>
        <v>9.8426650199313102</v>
      </c>
      <c r="H50">
        <f>IF($B$3,-Tabelle2[[#This Row],[Fd]]*Tabelle2[[#This Row],[vx]]/Tabelle2[[#This Row],[v]],0)</f>
        <v>0</v>
      </c>
      <c r="I50">
        <f t="shared" si="0"/>
        <v>0</v>
      </c>
      <c r="J50">
        <f t="shared" si="1"/>
        <v>0</v>
      </c>
      <c r="K50">
        <f t="shared" si="2"/>
        <v>1.0467394398169905</v>
      </c>
      <c r="L50">
        <f>-$B$5*$B$12-IF($B$3,Tabelle2[[#This Row],[Fd]]*Tabelle2[[#This Row],[vy]]/Tabelle2[[#This Row],[v]],0)</f>
        <v>-14.715</v>
      </c>
      <c r="M50">
        <f t="shared" si="3"/>
        <v>-9.81</v>
      </c>
      <c r="N50">
        <f t="shared" si="4"/>
        <v>-0.19620000000000001</v>
      </c>
      <c r="O50">
        <f t="shared" si="5"/>
        <v>1.0610654879119519</v>
      </c>
      <c r="P50" s="1">
        <f t="shared" si="7"/>
        <v>52.336971990849527</v>
      </c>
      <c r="Q50" s="1">
        <f t="shared" si="8"/>
        <v>53.151374395597593</v>
      </c>
      <c r="R50">
        <f>SQRT(Tabelle2[[#This Row],[vx]]*Tabelle2[[#This Row],[vx]]+Tabelle2[[#This Row],[vy]]*Tabelle2[[#This Row],[vy]])</f>
        <v>74.593747977373781</v>
      </c>
      <c r="S50">
        <f t="shared" si="10"/>
        <v>49.196753671398497</v>
      </c>
      <c r="T50" s="1">
        <f t="shared" si="9"/>
        <v>56.010774712488605</v>
      </c>
    </row>
    <row r="51" spans="6:20" x14ac:dyDescent="0.35">
      <c r="F51" s="1">
        <f t="shared" si="6"/>
        <v>0.96000000000000052</v>
      </c>
      <c r="G51">
        <f>1/2*$B$8*$B$6*$B$7*(Tabelle2[[#This Row],[vx]]*Tabelle2[[#This Row],[vx]]+Tabelle2[[#This Row],[vy]]*Tabelle2[[#This Row],[vy]])/1000000</f>
        <v>9.8058394871351204</v>
      </c>
      <c r="H51">
        <f>IF($B$3,-Tabelle2[[#This Row],[Fd]]*Tabelle2[[#This Row],[vx]]/Tabelle2[[#This Row],[v]],0)</f>
        <v>0</v>
      </c>
      <c r="I51">
        <f t="shared" si="0"/>
        <v>0</v>
      </c>
      <c r="J51">
        <f t="shared" si="1"/>
        <v>0</v>
      </c>
      <c r="K51">
        <f t="shared" si="2"/>
        <v>1.0467394398169905</v>
      </c>
      <c r="L51">
        <f>-$B$5*$B$12-IF($B$3,Tabelle2[[#This Row],[Fd]]*Tabelle2[[#This Row],[vy]]/Tabelle2[[#This Row],[v]],0)</f>
        <v>-14.715</v>
      </c>
      <c r="M51">
        <f t="shared" si="3"/>
        <v>-9.81</v>
      </c>
      <c r="N51">
        <f t="shared" si="4"/>
        <v>-0.19620000000000001</v>
      </c>
      <c r="O51">
        <f t="shared" si="5"/>
        <v>1.0571414879119518</v>
      </c>
      <c r="P51" s="1">
        <f t="shared" si="7"/>
        <v>52.336971990849527</v>
      </c>
      <c r="Q51" s="1">
        <f t="shared" si="8"/>
        <v>52.955174395597595</v>
      </c>
      <c r="R51">
        <f>SQRT(Tabelle2[[#This Row],[vx]]*Tabelle2[[#This Row],[vx]]+Tabelle2[[#This Row],[vy]]*Tabelle2[[#This Row],[vy]])</f>
        <v>74.454073981476142</v>
      </c>
      <c r="S51">
        <f t="shared" si="10"/>
        <v>50.243493111215486</v>
      </c>
      <c r="T51" s="1">
        <f t="shared" si="9"/>
        <v>57.071840200400558</v>
      </c>
    </row>
    <row r="52" spans="6:20" x14ac:dyDescent="0.35">
      <c r="F52" s="1">
        <f t="shared" si="6"/>
        <v>0.98000000000000054</v>
      </c>
      <c r="G52">
        <f>1/2*$B$8*$B$6*$B$7*(Tabelle2[[#This Row],[vx]]*Tabelle2[[#This Row],[vx]]+Tabelle2[[#This Row],[vy]]*Tabelle2[[#This Row],[vy]])/1000000</f>
        <v>9.7691501414002744</v>
      </c>
      <c r="H52">
        <f>IF($B$3,-Tabelle2[[#This Row],[Fd]]*Tabelle2[[#This Row],[vx]]/Tabelle2[[#This Row],[v]],0)</f>
        <v>0</v>
      </c>
      <c r="I52">
        <f t="shared" si="0"/>
        <v>0</v>
      </c>
      <c r="J52">
        <f t="shared" si="1"/>
        <v>0</v>
      </c>
      <c r="K52">
        <f t="shared" si="2"/>
        <v>1.0467394398169905</v>
      </c>
      <c r="L52">
        <f>-$B$5*$B$12-IF($B$3,Tabelle2[[#This Row],[Fd]]*Tabelle2[[#This Row],[vy]]/Tabelle2[[#This Row],[v]],0)</f>
        <v>-14.715</v>
      </c>
      <c r="M52">
        <f t="shared" si="3"/>
        <v>-9.81</v>
      </c>
      <c r="N52">
        <f t="shared" si="4"/>
        <v>-0.19620000000000001</v>
      </c>
      <c r="O52">
        <f t="shared" si="5"/>
        <v>1.053217487911952</v>
      </c>
      <c r="P52" s="1">
        <f t="shared" si="7"/>
        <v>52.336971990849527</v>
      </c>
      <c r="Q52" s="1">
        <f t="shared" si="8"/>
        <v>52.758974395597598</v>
      </c>
      <c r="R52">
        <f>SQRT(Tabelle2[[#This Row],[vx]]*Tabelle2[[#This Row],[vx]]+Tabelle2[[#This Row],[vy]]*Tabelle2[[#This Row],[vy]])</f>
        <v>74.314655462070803</v>
      </c>
      <c r="S52">
        <f t="shared" si="10"/>
        <v>51.290232551032474</v>
      </c>
      <c r="T52" s="1">
        <f t="shared" si="9"/>
        <v>58.128981688312507</v>
      </c>
    </row>
    <row r="53" spans="6:20" x14ac:dyDescent="0.35">
      <c r="F53" s="1">
        <f t="shared" si="6"/>
        <v>1.0000000000000004</v>
      </c>
      <c r="G53">
        <f>1/2*$B$8*$B$6*$B$7*(Tabelle2[[#This Row],[vx]]*Tabelle2[[#This Row],[vx]]+Tabelle2[[#This Row],[vy]]*Tabelle2[[#This Row],[vy]])/1000000</f>
        <v>9.732596982726772</v>
      </c>
      <c r="H53">
        <f>IF($B$3,-Tabelle2[[#This Row],[Fd]]*Tabelle2[[#This Row],[vx]]/Tabelle2[[#This Row],[v]],0)</f>
        <v>0</v>
      </c>
      <c r="I53">
        <f t="shared" si="0"/>
        <v>0</v>
      </c>
      <c r="J53">
        <f t="shared" si="1"/>
        <v>0</v>
      </c>
      <c r="K53">
        <f t="shared" si="2"/>
        <v>1.0467394398169905</v>
      </c>
      <c r="L53">
        <f>-$B$5*$B$12-IF($B$3,Tabelle2[[#This Row],[Fd]]*Tabelle2[[#This Row],[vy]]/Tabelle2[[#This Row],[v]],0)</f>
        <v>-14.715</v>
      </c>
      <c r="M53">
        <f t="shared" si="3"/>
        <v>-9.81</v>
      </c>
      <c r="N53">
        <f t="shared" si="4"/>
        <v>-0.19620000000000001</v>
      </c>
      <c r="O53">
        <f t="shared" si="5"/>
        <v>1.049293487911952</v>
      </c>
      <c r="P53" s="1">
        <f t="shared" si="7"/>
        <v>52.336971990849527</v>
      </c>
      <c r="Q53" s="1">
        <f t="shared" si="8"/>
        <v>52.5627743955976</v>
      </c>
      <c r="R53">
        <f>SQRT(Tabelle2[[#This Row],[vx]]*Tabelle2[[#This Row],[vx]]+Tabelle2[[#This Row],[vy]]*Tabelle2[[#This Row],[vy]])</f>
        <v>74.175493859720675</v>
      </c>
      <c r="S53">
        <f t="shared" si="10"/>
        <v>52.336971990849463</v>
      </c>
      <c r="T53" s="1">
        <f t="shared" si="9"/>
        <v>59.182199176224458</v>
      </c>
    </row>
    <row r="54" spans="6:20" x14ac:dyDescent="0.35">
      <c r="F54" s="1">
        <f t="shared" si="6"/>
        <v>1.0200000000000005</v>
      </c>
      <c r="G54">
        <f>1/2*$B$8*$B$6*$B$7*(Tabelle2[[#This Row],[vx]]*Tabelle2[[#This Row],[vx]]+Tabelle2[[#This Row],[vy]]*Tabelle2[[#This Row],[vy]])/1000000</f>
        <v>9.6961800111146115</v>
      </c>
      <c r="H54">
        <f>IF($B$3,-Tabelle2[[#This Row],[Fd]]*Tabelle2[[#This Row],[vx]]/Tabelle2[[#This Row],[v]],0)</f>
        <v>0</v>
      </c>
      <c r="I54">
        <f t="shared" si="0"/>
        <v>0</v>
      </c>
      <c r="J54">
        <f t="shared" si="1"/>
        <v>0</v>
      </c>
      <c r="K54">
        <f t="shared" si="2"/>
        <v>1.0467394398169905</v>
      </c>
      <c r="L54">
        <f>-$B$5*$B$12-IF($B$3,Tabelle2[[#This Row],[Fd]]*Tabelle2[[#This Row],[vy]]/Tabelle2[[#This Row],[v]],0)</f>
        <v>-14.715</v>
      </c>
      <c r="M54">
        <f t="shared" si="3"/>
        <v>-9.81</v>
      </c>
      <c r="N54">
        <f t="shared" si="4"/>
        <v>-0.19620000000000001</v>
      </c>
      <c r="O54">
        <f t="shared" si="5"/>
        <v>1.0453694879119519</v>
      </c>
      <c r="P54" s="1">
        <f t="shared" si="7"/>
        <v>52.336971990849527</v>
      </c>
      <c r="Q54" s="1">
        <f t="shared" si="8"/>
        <v>52.366574395597603</v>
      </c>
      <c r="R54">
        <f>SQRT(Tabelle2[[#This Row],[vx]]*Tabelle2[[#This Row],[vx]]+Tabelle2[[#This Row],[vy]]*Tabelle2[[#This Row],[vy]])</f>
        <v>74.036590623154893</v>
      </c>
      <c r="S54">
        <f t="shared" si="10"/>
        <v>53.383711430666452</v>
      </c>
      <c r="T54" s="1">
        <f t="shared" si="9"/>
        <v>60.231492664136411</v>
      </c>
    </row>
    <row r="55" spans="6:20" x14ac:dyDescent="0.35">
      <c r="F55" s="1">
        <f t="shared" si="6"/>
        <v>1.0400000000000005</v>
      </c>
      <c r="G55">
        <f>1/2*$B$8*$B$6*$B$7*(Tabelle2[[#This Row],[vx]]*Tabelle2[[#This Row],[vx]]+Tabelle2[[#This Row],[vy]]*Tabelle2[[#This Row],[vy]])/1000000</f>
        <v>9.6598992265638</v>
      </c>
      <c r="H55">
        <f>IF($B$3,-Tabelle2[[#This Row],[Fd]]*Tabelle2[[#This Row],[vx]]/Tabelle2[[#This Row],[v]],0)</f>
        <v>0</v>
      </c>
      <c r="I55">
        <f t="shared" si="0"/>
        <v>0</v>
      </c>
      <c r="J55">
        <f t="shared" si="1"/>
        <v>0</v>
      </c>
      <c r="K55">
        <f t="shared" si="2"/>
        <v>1.0467394398169905</v>
      </c>
      <c r="L55">
        <f>-$B$5*$B$12-IF($B$3,Tabelle2[[#This Row],[Fd]]*Tabelle2[[#This Row],[vy]]/Tabelle2[[#This Row],[v]],0)</f>
        <v>-14.715</v>
      </c>
      <c r="M55">
        <f t="shared" si="3"/>
        <v>-9.81</v>
      </c>
      <c r="N55">
        <f t="shared" si="4"/>
        <v>-0.19620000000000001</v>
      </c>
      <c r="O55">
        <f t="shared" si="5"/>
        <v>1.0414454879119521</v>
      </c>
      <c r="P55" s="1">
        <f t="shared" si="7"/>
        <v>52.336971990849527</v>
      </c>
      <c r="Q55" s="1">
        <f t="shared" si="8"/>
        <v>52.170374395597605</v>
      </c>
      <c r="R55">
        <f>SQRT(Tabelle2[[#This Row],[vx]]*Tabelle2[[#This Row],[vx]]+Tabelle2[[#This Row],[vy]]*Tabelle2[[#This Row],[vy]])</f>
        <v>73.897947209295296</v>
      </c>
      <c r="S55">
        <f t="shared" si="10"/>
        <v>54.43045087048344</v>
      </c>
      <c r="T55" s="1">
        <f t="shared" si="9"/>
        <v>61.276862152048366</v>
      </c>
    </row>
    <row r="56" spans="6:20" x14ac:dyDescent="0.35">
      <c r="F56" s="1">
        <f t="shared" si="6"/>
        <v>1.0600000000000005</v>
      </c>
      <c r="G56">
        <f>1/2*$B$8*$B$6*$B$7*(Tabelle2[[#This Row],[vx]]*Tabelle2[[#This Row],[vx]]+Tabelle2[[#This Row],[vy]]*Tabelle2[[#This Row],[vy]])/1000000</f>
        <v>9.6237546290743303</v>
      </c>
      <c r="H56">
        <f>IF($B$3,-Tabelle2[[#This Row],[Fd]]*Tabelle2[[#This Row],[vx]]/Tabelle2[[#This Row],[v]],0)</f>
        <v>0</v>
      </c>
      <c r="I56">
        <f t="shared" si="0"/>
        <v>0</v>
      </c>
      <c r="J56">
        <f t="shared" si="1"/>
        <v>0</v>
      </c>
      <c r="K56">
        <f t="shared" si="2"/>
        <v>1.0467394398169905</v>
      </c>
      <c r="L56">
        <f>-$B$5*$B$12-IF($B$3,Tabelle2[[#This Row],[Fd]]*Tabelle2[[#This Row],[vy]]/Tabelle2[[#This Row],[v]],0)</f>
        <v>-14.715</v>
      </c>
      <c r="M56">
        <f t="shared" si="3"/>
        <v>-9.81</v>
      </c>
      <c r="N56">
        <f t="shared" si="4"/>
        <v>-0.19620000000000001</v>
      </c>
      <c r="O56">
        <f t="shared" si="5"/>
        <v>1.0375214879119521</v>
      </c>
      <c r="P56" s="1">
        <f t="shared" si="7"/>
        <v>52.336971990849527</v>
      </c>
      <c r="Q56" s="1">
        <f t="shared" si="8"/>
        <v>51.974174395597608</v>
      </c>
      <c r="R56">
        <f>SQRT(Tabelle2[[#This Row],[vx]]*Tabelle2[[#This Row],[vx]]+Tabelle2[[#This Row],[vy]]*Tabelle2[[#This Row],[vy]])</f>
        <v>73.759565083282325</v>
      </c>
      <c r="S56">
        <f t="shared" si="10"/>
        <v>55.477190310300429</v>
      </c>
      <c r="T56" s="1">
        <f t="shared" si="9"/>
        <v>62.318307639960317</v>
      </c>
    </row>
    <row r="57" spans="6:20" x14ac:dyDescent="0.35">
      <c r="F57" s="1">
        <f t="shared" si="6"/>
        <v>1.0800000000000005</v>
      </c>
      <c r="G57">
        <f>1/2*$B$8*$B$6*$B$7*(Tabelle2[[#This Row],[vx]]*Tabelle2[[#This Row],[vx]]+Tabelle2[[#This Row],[vy]]*Tabelle2[[#This Row],[vy]])/1000000</f>
        <v>9.5877462186462026</v>
      </c>
      <c r="H57">
        <f>IF($B$3,-Tabelle2[[#This Row],[Fd]]*Tabelle2[[#This Row],[vx]]/Tabelle2[[#This Row],[v]],0)</f>
        <v>0</v>
      </c>
      <c r="I57">
        <f t="shared" si="0"/>
        <v>0</v>
      </c>
      <c r="J57">
        <f t="shared" si="1"/>
        <v>0</v>
      </c>
      <c r="K57">
        <f t="shared" si="2"/>
        <v>1.0467394398169905</v>
      </c>
      <c r="L57">
        <f>-$B$5*$B$12-IF($B$3,Tabelle2[[#This Row],[Fd]]*Tabelle2[[#This Row],[vy]]/Tabelle2[[#This Row],[v]],0)</f>
        <v>-14.715</v>
      </c>
      <c r="M57">
        <f t="shared" si="3"/>
        <v>-9.81</v>
      </c>
      <c r="N57">
        <f t="shared" si="4"/>
        <v>-0.19620000000000001</v>
      </c>
      <c r="O57">
        <f t="shared" si="5"/>
        <v>1.0335974879119523</v>
      </c>
      <c r="P57" s="1">
        <f t="shared" si="7"/>
        <v>52.336971990849527</v>
      </c>
      <c r="Q57" s="1">
        <f t="shared" si="8"/>
        <v>51.77797439559761</v>
      </c>
      <c r="R57">
        <f>SQRT(Tabelle2[[#This Row],[vx]]*Tabelle2[[#This Row],[vx]]+Tabelle2[[#This Row],[vy]]*Tabelle2[[#This Row],[vy]])</f>
        <v>73.621445718500595</v>
      </c>
      <c r="S57">
        <f t="shared" si="10"/>
        <v>56.523929750117418</v>
      </c>
      <c r="T57" s="1">
        <f t="shared" si="9"/>
        <v>63.355829127872269</v>
      </c>
    </row>
    <row r="58" spans="6:20" x14ac:dyDescent="0.35">
      <c r="F58" s="1">
        <f t="shared" si="6"/>
        <v>1.1000000000000005</v>
      </c>
      <c r="G58">
        <f>1/2*$B$8*$B$6*$B$7*(Tabelle2[[#This Row],[vx]]*Tabelle2[[#This Row],[vx]]+Tabelle2[[#This Row],[vy]]*Tabelle2[[#This Row],[vy]])/1000000</f>
        <v>9.5518739952794185</v>
      </c>
      <c r="H58">
        <f>IF($B$3,-Tabelle2[[#This Row],[Fd]]*Tabelle2[[#This Row],[vx]]/Tabelle2[[#This Row],[v]],0)</f>
        <v>0</v>
      </c>
      <c r="I58">
        <f t="shared" si="0"/>
        <v>0</v>
      </c>
      <c r="J58">
        <f t="shared" si="1"/>
        <v>0</v>
      </c>
      <c r="K58">
        <f t="shared" si="2"/>
        <v>1.0467394398169905</v>
      </c>
      <c r="L58">
        <f>-$B$5*$B$12-IF($B$3,Tabelle2[[#This Row],[Fd]]*Tabelle2[[#This Row],[vy]]/Tabelle2[[#This Row],[v]],0)</f>
        <v>-14.715</v>
      </c>
      <c r="M58">
        <f t="shared" si="3"/>
        <v>-9.81</v>
      </c>
      <c r="N58">
        <f t="shared" si="4"/>
        <v>-0.19620000000000001</v>
      </c>
      <c r="O58">
        <f t="shared" si="5"/>
        <v>1.0296734879119522</v>
      </c>
      <c r="P58" s="1">
        <f t="shared" si="7"/>
        <v>52.336971990849527</v>
      </c>
      <c r="Q58" s="1">
        <f t="shared" si="8"/>
        <v>51.581774395597613</v>
      </c>
      <c r="R58">
        <f>SQRT(Tabelle2[[#This Row],[vx]]*Tabelle2[[#This Row],[vx]]+Tabelle2[[#This Row],[vy]]*Tabelle2[[#This Row],[vy]])</f>
        <v>73.483590596603932</v>
      </c>
      <c r="S58">
        <f t="shared" si="10"/>
        <v>57.570669189934407</v>
      </c>
      <c r="T58" s="1">
        <f t="shared" si="9"/>
        <v>64.389426615784217</v>
      </c>
    </row>
    <row r="59" spans="6:20" x14ac:dyDescent="0.35">
      <c r="F59" s="1">
        <f t="shared" si="6"/>
        <v>1.1200000000000006</v>
      </c>
      <c r="G59">
        <f>1/2*$B$8*$B$6*$B$7*(Tabelle2[[#This Row],[vx]]*Tabelle2[[#This Row],[vx]]+Tabelle2[[#This Row],[vy]]*Tabelle2[[#This Row],[vy]])/1000000</f>
        <v>9.5161379589739798</v>
      </c>
      <c r="H59">
        <f>IF($B$3,-Tabelle2[[#This Row],[Fd]]*Tabelle2[[#This Row],[vx]]/Tabelle2[[#This Row],[v]],0)</f>
        <v>0</v>
      </c>
      <c r="I59">
        <f t="shared" si="0"/>
        <v>0</v>
      </c>
      <c r="J59">
        <f t="shared" si="1"/>
        <v>0</v>
      </c>
      <c r="K59">
        <f t="shared" si="2"/>
        <v>1.0467394398169905</v>
      </c>
      <c r="L59">
        <f>-$B$5*$B$12-IF($B$3,Tabelle2[[#This Row],[Fd]]*Tabelle2[[#This Row],[vy]]/Tabelle2[[#This Row],[v]],0)</f>
        <v>-14.715</v>
      </c>
      <c r="M59">
        <f t="shared" si="3"/>
        <v>-9.81</v>
      </c>
      <c r="N59">
        <f t="shared" si="4"/>
        <v>-0.19620000000000001</v>
      </c>
      <c r="O59">
        <f t="shared" si="5"/>
        <v>1.0257494879119522</v>
      </c>
      <c r="P59" s="1">
        <f t="shared" si="7"/>
        <v>52.336971990849527</v>
      </c>
      <c r="Q59" s="1">
        <f t="shared" si="8"/>
        <v>51.385574395597615</v>
      </c>
      <c r="R59">
        <f>SQRT(Tabelle2[[#This Row],[vx]]*Tabelle2[[#This Row],[vx]]+Tabelle2[[#This Row],[vy]]*Tabelle2[[#This Row],[vy]])</f>
        <v>73.346001207540041</v>
      </c>
      <c r="S59">
        <f t="shared" si="10"/>
        <v>58.617408629751395</v>
      </c>
      <c r="T59" s="1">
        <f t="shared" si="9"/>
        <v>65.419100103696167</v>
      </c>
    </row>
    <row r="60" spans="6:20" x14ac:dyDescent="0.35">
      <c r="F60" s="1">
        <f t="shared" si="6"/>
        <v>1.1400000000000006</v>
      </c>
      <c r="G60">
        <f>1/2*$B$8*$B$6*$B$7*(Tabelle2[[#This Row],[vx]]*Tabelle2[[#This Row],[vx]]+Tabelle2[[#This Row],[vy]]*Tabelle2[[#This Row],[vy]])/1000000</f>
        <v>9.4805381097298866</v>
      </c>
      <c r="H60">
        <f>IF($B$3,-Tabelle2[[#This Row],[Fd]]*Tabelle2[[#This Row],[vx]]/Tabelle2[[#This Row],[v]],0)</f>
        <v>0</v>
      </c>
      <c r="I60">
        <f t="shared" si="0"/>
        <v>0</v>
      </c>
      <c r="J60">
        <f t="shared" si="1"/>
        <v>0</v>
      </c>
      <c r="K60">
        <f t="shared" si="2"/>
        <v>1.0467394398169905</v>
      </c>
      <c r="L60">
        <f>-$B$5*$B$12-IF($B$3,Tabelle2[[#This Row],[Fd]]*Tabelle2[[#This Row],[vy]]/Tabelle2[[#This Row],[v]],0)</f>
        <v>-14.715</v>
      </c>
      <c r="M60">
        <f t="shared" si="3"/>
        <v>-9.81</v>
      </c>
      <c r="N60">
        <f t="shared" si="4"/>
        <v>-0.19620000000000001</v>
      </c>
      <c r="O60">
        <f t="shared" si="5"/>
        <v>1.0218254879119524</v>
      </c>
      <c r="P60" s="1">
        <f t="shared" si="7"/>
        <v>52.336971990849527</v>
      </c>
      <c r="Q60" s="1">
        <f t="shared" si="8"/>
        <v>51.189374395597618</v>
      </c>
      <c r="R60">
        <f>SQRT(Tabelle2[[#This Row],[vx]]*Tabelle2[[#This Row],[vx]]+Tabelle2[[#This Row],[vy]]*Tabelle2[[#This Row],[vy]])</f>
        <v>73.20867904957467</v>
      </c>
      <c r="S60">
        <f t="shared" si="10"/>
        <v>59.664148069568384</v>
      </c>
      <c r="T60" s="1">
        <f t="shared" si="9"/>
        <v>66.444849591608119</v>
      </c>
    </row>
    <row r="61" spans="6:20" x14ac:dyDescent="0.35">
      <c r="F61" s="1">
        <f t="shared" si="6"/>
        <v>1.1600000000000006</v>
      </c>
      <c r="G61">
        <f>1/2*$B$8*$B$6*$B$7*(Tabelle2[[#This Row],[vx]]*Tabelle2[[#This Row],[vx]]+Tabelle2[[#This Row],[vy]]*Tabelle2[[#This Row],[vy]])/1000000</f>
        <v>9.4450744475471335</v>
      </c>
      <c r="H61">
        <f>IF($B$3,-Tabelle2[[#This Row],[Fd]]*Tabelle2[[#This Row],[vx]]/Tabelle2[[#This Row],[v]],0)</f>
        <v>0</v>
      </c>
      <c r="I61">
        <f t="shared" si="0"/>
        <v>0</v>
      </c>
      <c r="J61">
        <f t="shared" si="1"/>
        <v>0</v>
      </c>
      <c r="K61">
        <f t="shared" si="2"/>
        <v>1.0467394398169905</v>
      </c>
      <c r="L61">
        <f>-$B$5*$B$12-IF($B$3,Tabelle2[[#This Row],[Fd]]*Tabelle2[[#This Row],[vy]]/Tabelle2[[#This Row],[v]],0)</f>
        <v>-14.715</v>
      </c>
      <c r="M61">
        <f t="shared" si="3"/>
        <v>-9.81</v>
      </c>
      <c r="N61">
        <f t="shared" si="4"/>
        <v>-0.19620000000000001</v>
      </c>
      <c r="O61">
        <f t="shared" si="5"/>
        <v>1.0179014879119523</v>
      </c>
      <c r="P61" s="1">
        <f t="shared" si="7"/>
        <v>52.336971990849527</v>
      </c>
      <c r="Q61" s="1">
        <f t="shared" si="8"/>
        <v>50.99317439559762</v>
      </c>
      <c r="R61">
        <f>SQRT(Tabelle2[[#This Row],[vx]]*Tabelle2[[#This Row],[vx]]+Tabelle2[[#This Row],[vy]]*Tabelle2[[#This Row],[vy]])</f>
        <v>73.07162562931525</v>
      </c>
      <c r="S61">
        <f t="shared" si="10"/>
        <v>60.710887509385373</v>
      </c>
      <c r="T61" s="1">
        <f t="shared" si="9"/>
        <v>67.466675079520073</v>
      </c>
    </row>
    <row r="62" spans="6:20" x14ac:dyDescent="0.35">
      <c r="F62" s="1">
        <f t="shared" si="6"/>
        <v>1.1800000000000006</v>
      </c>
      <c r="G62">
        <f>1/2*$B$8*$B$6*$B$7*(Tabelle2[[#This Row],[vx]]*Tabelle2[[#This Row],[vx]]+Tabelle2[[#This Row],[vy]]*Tabelle2[[#This Row],[vy]])/1000000</f>
        <v>9.4097469724257294</v>
      </c>
      <c r="H62">
        <f>IF($B$3,-Tabelle2[[#This Row],[Fd]]*Tabelle2[[#This Row],[vx]]/Tabelle2[[#This Row],[v]],0)</f>
        <v>0</v>
      </c>
      <c r="I62">
        <f t="shared" si="0"/>
        <v>0</v>
      </c>
      <c r="J62">
        <f t="shared" si="1"/>
        <v>0</v>
      </c>
      <c r="K62">
        <f t="shared" si="2"/>
        <v>1.0467394398169905</v>
      </c>
      <c r="L62">
        <f>-$B$5*$B$12-IF($B$3,Tabelle2[[#This Row],[Fd]]*Tabelle2[[#This Row],[vy]]/Tabelle2[[#This Row],[v]],0)</f>
        <v>-14.715</v>
      </c>
      <c r="M62">
        <f t="shared" si="3"/>
        <v>-9.81</v>
      </c>
      <c r="N62">
        <f t="shared" si="4"/>
        <v>-0.19620000000000001</v>
      </c>
      <c r="O62">
        <f t="shared" si="5"/>
        <v>1.0139774879119525</v>
      </c>
      <c r="P62" s="1">
        <f t="shared" si="7"/>
        <v>52.336971990849527</v>
      </c>
      <c r="Q62" s="1">
        <f t="shared" si="8"/>
        <v>50.796974395597623</v>
      </c>
      <c r="R62">
        <f>SQRT(Tabelle2[[#This Row],[vx]]*Tabelle2[[#This Row],[vx]]+Tabelle2[[#This Row],[vy]]*Tabelle2[[#This Row],[vy]])</f>
        <v>72.934842461734078</v>
      </c>
      <c r="S62">
        <f t="shared" si="10"/>
        <v>61.757626949202361</v>
      </c>
      <c r="T62" s="1">
        <f t="shared" si="9"/>
        <v>68.484576567432029</v>
      </c>
    </row>
    <row r="63" spans="6:20" x14ac:dyDescent="0.35">
      <c r="F63" s="1">
        <f t="shared" si="6"/>
        <v>1.2000000000000006</v>
      </c>
      <c r="G63">
        <f>1/2*$B$8*$B$6*$B$7*(Tabelle2[[#This Row],[vx]]*Tabelle2[[#This Row],[vx]]+Tabelle2[[#This Row],[vy]]*Tabelle2[[#This Row],[vy]])/1000000</f>
        <v>9.3745556843656654</v>
      </c>
      <c r="H63">
        <f>IF($B$3,-Tabelle2[[#This Row],[Fd]]*Tabelle2[[#This Row],[vx]]/Tabelle2[[#This Row],[v]],0)</f>
        <v>0</v>
      </c>
      <c r="I63">
        <f t="shared" si="0"/>
        <v>0</v>
      </c>
      <c r="J63">
        <f t="shared" si="1"/>
        <v>0</v>
      </c>
      <c r="K63">
        <f t="shared" si="2"/>
        <v>1.0467394398169905</v>
      </c>
      <c r="L63">
        <f>-$B$5*$B$12-IF($B$3,Tabelle2[[#This Row],[Fd]]*Tabelle2[[#This Row],[vy]]/Tabelle2[[#This Row],[v]],0)</f>
        <v>-14.715</v>
      </c>
      <c r="M63">
        <f t="shared" si="3"/>
        <v>-9.81</v>
      </c>
      <c r="N63">
        <f t="shared" si="4"/>
        <v>-0.19620000000000001</v>
      </c>
      <c r="O63">
        <f t="shared" si="5"/>
        <v>1.0100534879119525</v>
      </c>
      <c r="P63" s="1">
        <f t="shared" si="7"/>
        <v>52.336971990849527</v>
      </c>
      <c r="Q63" s="1">
        <f t="shared" si="8"/>
        <v>50.600774395597625</v>
      </c>
      <c r="R63">
        <f>SQRT(Tabelle2[[#This Row],[vx]]*Tabelle2[[#This Row],[vx]]+Tabelle2[[#This Row],[vy]]*Tabelle2[[#This Row],[vy]])</f>
        <v>72.798331070190997</v>
      </c>
      <c r="S63">
        <f t="shared" si="10"/>
        <v>62.80436638901935</v>
      </c>
      <c r="T63" s="1">
        <f t="shared" si="9"/>
        <v>69.498554055343988</v>
      </c>
    </row>
    <row r="64" spans="6:20" x14ac:dyDescent="0.35">
      <c r="F64" s="1">
        <f t="shared" si="6"/>
        <v>1.2200000000000006</v>
      </c>
      <c r="G64">
        <f>1/2*$B$8*$B$6*$B$7*(Tabelle2[[#This Row],[vx]]*Tabelle2[[#This Row],[vx]]+Tabelle2[[#This Row],[vy]]*Tabelle2[[#This Row],[vy]])/1000000</f>
        <v>9.3395005833669469</v>
      </c>
      <c r="H64">
        <f>IF($B$3,-Tabelle2[[#This Row],[Fd]]*Tabelle2[[#This Row],[vx]]/Tabelle2[[#This Row],[v]],0)</f>
        <v>0</v>
      </c>
      <c r="I64">
        <f t="shared" si="0"/>
        <v>0</v>
      </c>
      <c r="J64">
        <f t="shared" si="1"/>
        <v>0</v>
      </c>
      <c r="K64">
        <f t="shared" si="2"/>
        <v>1.0467394398169905</v>
      </c>
      <c r="L64">
        <f>-$B$5*$B$12-IF($B$3,Tabelle2[[#This Row],[Fd]]*Tabelle2[[#This Row],[vy]]/Tabelle2[[#This Row],[v]],0)</f>
        <v>-14.715</v>
      </c>
      <c r="M64">
        <f t="shared" si="3"/>
        <v>-9.81</v>
      </c>
      <c r="N64">
        <f t="shared" si="4"/>
        <v>-0.19620000000000001</v>
      </c>
      <c r="O64">
        <f t="shared" si="5"/>
        <v>1.0061294879119524</v>
      </c>
      <c r="P64" s="1">
        <f t="shared" si="7"/>
        <v>52.336971990849527</v>
      </c>
      <c r="Q64" s="1">
        <f t="shared" si="8"/>
        <v>50.404574395597628</v>
      </c>
      <c r="R64">
        <f>SQRT(Tabelle2[[#This Row],[vx]]*Tabelle2[[#This Row],[vx]]+Tabelle2[[#This Row],[vy]]*Tabelle2[[#This Row],[vy]])</f>
        <v>72.662092986455491</v>
      </c>
      <c r="S64">
        <f t="shared" si="10"/>
        <v>63.851105828836339</v>
      </c>
      <c r="T64" s="1">
        <f t="shared" si="9"/>
        <v>70.508607543255934</v>
      </c>
    </row>
    <row r="65" spans="6:20" x14ac:dyDescent="0.35">
      <c r="F65" s="1">
        <f t="shared" si="6"/>
        <v>1.2400000000000007</v>
      </c>
      <c r="G65">
        <f>1/2*$B$8*$B$6*$B$7*(Tabelle2[[#This Row],[vx]]*Tabelle2[[#This Row],[vx]]+Tabelle2[[#This Row],[vy]]*Tabelle2[[#This Row],[vy]])/1000000</f>
        <v>9.304581669429572</v>
      </c>
      <c r="H65">
        <f>IF($B$3,-Tabelle2[[#This Row],[Fd]]*Tabelle2[[#This Row],[vx]]/Tabelle2[[#This Row],[v]],0)</f>
        <v>0</v>
      </c>
      <c r="I65">
        <f t="shared" si="0"/>
        <v>0</v>
      </c>
      <c r="J65">
        <f t="shared" si="1"/>
        <v>0</v>
      </c>
      <c r="K65">
        <f t="shared" si="2"/>
        <v>1.0467394398169905</v>
      </c>
      <c r="L65">
        <f>-$B$5*$B$12-IF($B$3,Tabelle2[[#This Row],[Fd]]*Tabelle2[[#This Row],[vy]]/Tabelle2[[#This Row],[v]],0)</f>
        <v>-14.715</v>
      </c>
      <c r="M65">
        <f t="shared" si="3"/>
        <v>-9.81</v>
      </c>
      <c r="N65">
        <f t="shared" si="4"/>
        <v>-0.19620000000000001</v>
      </c>
      <c r="O65">
        <f t="shared" si="5"/>
        <v>1.0022054879119526</v>
      </c>
      <c r="P65" s="1">
        <f t="shared" si="7"/>
        <v>52.336971990849527</v>
      </c>
      <c r="Q65" s="1">
        <f t="shared" si="8"/>
        <v>50.20837439559763</v>
      </c>
      <c r="R65">
        <f>SQRT(Tabelle2[[#This Row],[vx]]*Tabelle2[[#This Row],[vx]]+Tabelle2[[#This Row],[vy]]*Tabelle2[[#This Row],[vy]])</f>
        <v>72.526129750728259</v>
      </c>
      <c r="S65">
        <f t="shared" si="10"/>
        <v>64.897845268653327</v>
      </c>
      <c r="T65" s="1">
        <f t="shared" si="9"/>
        <v>71.514737031167883</v>
      </c>
    </row>
    <row r="66" spans="6:20" x14ac:dyDescent="0.35">
      <c r="F66" s="1">
        <f t="shared" si="6"/>
        <v>1.2600000000000007</v>
      </c>
      <c r="G66">
        <f>1/2*$B$8*$B$6*$B$7*(Tabelle2[[#This Row],[vx]]*Tabelle2[[#This Row],[vx]]+Tabelle2[[#This Row],[vy]]*Tabelle2[[#This Row],[vy]])/1000000</f>
        <v>9.2697989425535425</v>
      </c>
      <c r="H66">
        <f>IF($B$3,-Tabelle2[[#This Row],[Fd]]*Tabelle2[[#This Row],[vx]]/Tabelle2[[#This Row],[v]],0)</f>
        <v>0</v>
      </c>
      <c r="I66">
        <f t="shared" si="0"/>
        <v>0</v>
      </c>
      <c r="J66">
        <f t="shared" si="1"/>
        <v>0</v>
      </c>
      <c r="K66">
        <f t="shared" si="2"/>
        <v>1.0467394398169905</v>
      </c>
      <c r="L66">
        <f>-$B$5*$B$12-IF($B$3,Tabelle2[[#This Row],[Fd]]*Tabelle2[[#This Row],[vy]]/Tabelle2[[#This Row],[v]],0)</f>
        <v>-14.715</v>
      </c>
      <c r="M66">
        <f t="shared" si="3"/>
        <v>-9.81</v>
      </c>
      <c r="N66">
        <f t="shared" si="4"/>
        <v>-0.19620000000000001</v>
      </c>
      <c r="O66">
        <f t="shared" si="5"/>
        <v>0.99828148791195259</v>
      </c>
      <c r="P66" s="1">
        <f t="shared" si="7"/>
        <v>52.336971990849527</v>
      </c>
      <c r="Q66" s="1">
        <f t="shared" si="8"/>
        <v>50.012174395597633</v>
      </c>
      <c r="R66">
        <f>SQRT(Tabelle2[[#This Row],[vx]]*Tabelle2[[#This Row],[vx]]+Tabelle2[[#This Row],[vy]]*Tabelle2[[#This Row],[vy]])</f>
        <v>72.390442911662305</v>
      </c>
      <c r="S66">
        <f t="shared" si="10"/>
        <v>65.944584708470316</v>
      </c>
      <c r="T66" s="1">
        <f t="shared" si="9"/>
        <v>72.516942519079834</v>
      </c>
    </row>
    <row r="67" spans="6:20" x14ac:dyDescent="0.35">
      <c r="F67" s="1">
        <f t="shared" si="6"/>
        <v>1.2800000000000007</v>
      </c>
      <c r="G67">
        <f>1/2*$B$8*$B$6*$B$7*(Tabelle2[[#This Row],[vx]]*Tabelle2[[#This Row],[vx]]+Tabelle2[[#This Row],[vy]]*Tabelle2[[#This Row],[vy]])/1000000</f>
        <v>9.2351524027388567</v>
      </c>
      <c r="H67">
        <f>IF($B$3,-Tabelle2[[#This Row],[Fd]]*Tabelle2[[#This Row],[vx]]/Tabelle2[[#This Row],[v]],0)</f>
        <v>0</v>
      </c>
      <c r="I67">
        <f t="shared" ref="I67:I130" si="11">H67/$B$5</f>
        <v>0</v>
      </c>
      <c r="J67">
        <f t="shared" ref="J67:J130" si="12">I67*$B$13</f>
        <v>0</v>
      </c>
      <c r="K67">
        <f t="shared" ref="K67:K130" si="13">$B$13*(P67+J67/2)</f>
        <v>1.0467394398169905</v>
      </c>
      <c r="L67">
        <f>-$B$5*$B$12-IF($B$3,Tabelle2[[#This Row],[Fd]]*Tabelle2[[#This Row],[vy]]/Tabelle2[[#This Row],[v]],0)</f>
        <v>-14.715</v>
      </c>
      <c r="M67">
        <f t="shared" ref="M67:M130" si="14">L67/$B$5</f>
        <v>-9.81</v>
      </c>
      <c r="N67">
        <f t="shared" ref="N67:N130" si="15">M67*$B$13</f>
        <v>-0.19620000000000001</v>
      </c>
      <c r="O67">
        <f t="shared" ref="O67:O130" si="16">$B$13*(Q67+N67/2)</f>
        <v>0.99435748791195266</v>
      </c>
      <c r="P67" s="1">
        <f t="shared" si="7"/>
        <v>52.336971990849527</v>
      </c>
      <c r="Q67" s="1">
        <f t="shared" si="8"/>
        <v>49.815974395597635</v>
      </c>
      <c r="R67">
        <f>SQRT(Tabelle2[[#This Row],[vx]]*Tabelle2[[#This Row],[vx]]+Tabelle2[[#This Row],[vy]]*Tabelle2[[#This Row],[vy]])</f>
        <v>72.255034026383285</v>
      </c>
      <c r="S67">
        <f t="shared" si="10"/>
        <v>66.991324148287305</v>
      </c>
      <c r="T67" s="1">
        <f t="shared" si="9"/>
        <v>73.515224006991787</v>
      </c>
    </row>
    <row r="68" spans="6:20" x14ac:dyDescent="0.35">
      <c r="F68" s="1">
        <f t="shared" ref="F68:F131" si="17">F67+$B$13</f>
        <v>1.3000000000000007</v>
      </c>
      <c r="G68">
        <f>1/2*$B$8*$B$6*$B$7*(Tabelle2[[#This Row],[vx]]*Tabelle2[[#This Row],[vx]]+Tabelle2[[#This Row],[vy]]*Tabelle2[[#This Row],[vy]])/1000000</f>
        <v>9.2006420499855111</v>
      </c>
      <c r="H68">
        <f>IF($B$3,-Tabelle2[[#This Row],[Fd]]*Tabelle2[[#This Row],[vx]]/Tabelle2[[#This Row],[v]],0)</f>
        <v>0</v>
      </c>
      <c r="I68">
        <f t="shared" si="11"/>
        <v>0</v>
      </c>
      <c r="J68">
        <f t="shared" si="12"/>
        <v>0</v>
      </c>
      <c r="K68">
        <f t="shared" si="13"/>
        <v>1.0467394398169905</v>
      </c>
      <c r="L68">
        <f>-$B$5*$B$12-IF($B$3,Tabelle2[[#This Row],[Fd]]*Tabelle2[[#This Row],[vy]]/Tabelle2[[#This Row],[v]],0)</f>
        <v>-14.715</v>
      </c>
      <c r="M68">
        <f t="shared" si="14"/>
        <v>-9.81</v>
      </c>
      <c r="N68">
        <f t="shared" si="15"/>
        <v>-0.19620000000000001</v>
      </c>
      <c r="O68">
        <f t="shared" si="16"/>
        <v>0.99043348791195274</v>
      </c>
      <c r="P68" s="1">
        <f t="shared" ref="P68:P131" si="18">P67+J67</f>
        <v>52.336971990849527</v>
      </c>
      <c r="Q68" s="1">
        <f t="shared" ref="Q68:Q131" si="19">Q67+N67</f>
        <v>49.619774395597638</v>
      </c>
      <c r="R68">
        <f>SQRT(Tabelle2[[#This Row],[vx]]*Tabelle2[[#This Row],[vx]]+Tabelle2[[#This Row],[vy]]*Tabelle2[[#This Row],[vy]])</f>
        <v>72.119904660509462</v>
      </c>
      <c r="S68">
        <f t="shared" ref="S68:S131" si="20">S67+K67</f>
        <v>68.038063588104293</v>
      </c>
      <c r="T68" s="1">
        <f t="shared" ref="T68:T131" si="21">T67+O67</f>
        <v>74.509581494903742</v>
      </c>
    </row>
    <row r="69" spans="6:20" x14ac:dyDescent="0.35">
      <c r="F69" s="1">
        <f t="shared" si="17"/>
        <v>1.3200000000000007</v>
      </c>
      <c r="G69">
        <f>1/2*$B$8*$B$6*$B$7*(Tabelle2[[#This Row],[vx]]*Tabelle2[[#This Row],[vx]]+Tabelle2[[#This Row],[vy]]*Tabelle2[[#This Row],[vy]])/1000000</f>
        <v>9.1662678842935144</v>
      </c>
      <c r="H69">
        <f>IF($B$3,-Tabelle2[[#This Row],[Fd]]*Tabelle2[[#This Row],[vx]]/Tabelle2[[#This Row],[v]],0)</f>
        <v>0</v>
      </c>
      <c r="I69">
        <f t="shared" si="11"/>
        <v>0</v>
      </c>
      <c r="J69">
        <f t="shared" si="12"/>
        <v>0</v>
      </c>
      <c r="K69">
        <f t="shared" si="13"/>
        <v>1.0467394398169905</v>
      </c>
      <c r="L69">
        <f>-$B$5*$B$12-IF($B$3,Tabelle2[[#This Row],[Fd]]*Tabelle2[[#This Row],[vy]]/Tabelle2[[#This Row],[v]],0)</f>
        <v>-14.715</v>
      </c>
      <c r="M69">
        <f t="shared" si="14"/>
        <v>-9.81</v>
      </c>
      <c r="N69">
        <f t="shared" si="15"/>
        <v>-0.19620000000000001</v>
      </c>
      <c r="O69">
        <f t="shared" si="16"/>
        <v>0.98650948791195281</v>
      </c>
      <c r="P69" s="1">
        <f t="shared" si="18"/>
        <v>52.336971990849527</v>
      </c>
      <c r="Q69" s="1">
        <f t="shared" si="19"/>
        <v>49.42357439559764</v>
      </c>
      <c r="R69">
        <f>SQRT(Tabelle2[[#This Row],[vx]]*Tabelle2[[#This Row],[vx]]+Tabelle2[[#This Row],[vy]]*Tabelle2[[#This Row],[vy]])</f>
        <v>71.985056388170889</v>
      </c>
      <c r="S69">
        <f t="shared" si="20"/>
        <v>69.084803027921282</v>
      </c>
      <c r="T69" s="1">
        <f t="shared" si="21"/>
        <v>75.500014982815699</v>
      </c>
    </row>
    <row r="70" spans="6:20" x14ac:dyDescent="0.35">
      <c r="F70" s="1">
        <f t="shared" si="17"/>
        <v>1.3400000000000007</v>
      </c>
      <c r="G70">
        <f>1/2*$B$8*$B$6*$B$7*(Tabelle2[[#This Row],[vx]]*Tabelle2[[#This Row],[vx]]+Tabelle2[[#This Row],[vy]]*Tabelle2[[#This Row],[vy]])/1000000</f>
        <v>9.1320299056628613</v>
      </c>
      <c r="H70">
        <f>IF($B$3,-Tabelle2[[#This Row],[Fd]]*Tabelle2[[#This Row],[vx]]/Tabelle2[[#This Row],[v]],0)</f>
        <v>0</v>
      </c>
      <c r="I70">
        <f t="shared" si="11"/>
        <v>0</v>
      </c>
      <c r="J70">
        <f t="shared" si="12"/>
        <v>0</v>
      </c>
      <c r="K70">
        <f t="shared" si="13"/>
        <v>1.0467394398169905</v>
      </c>
      <c r="L70">
        <f>-$B$5*$B$12-IF($B$3,Tabelle2[[#This Row],[Fd]]*Tabelle2[[#This Row],[vy]]/Tabelle2[[#This Row],[v]],0)</f>
        <v>-14.715</v>
      </c>
      <c r="M70">
        <f t="shared" si="14"/>
        <v>-9.81</v>
      </c>
      <c r="N70">
        <f t="shared" si="15"/>
        <v>-0.19620000000000001</v>
      </c>
      <c r="O70">
        <f t="shared" si="16"/>
        <v>0.98258548791195288</v>
      </c>
      <c r="P70" s="1">
        <f t="shared" si="18"/>
        <v>52.336971990849527</v>
      </c>
      <c r="Q70" s="1">
        <f t="shared" si="19"/>
        <v>49.227374395597643</v>
      </c>
      <c r="R70">
        <f>SQRT(Tabelle2[[#This Row],[vx]]*Tabelle2[[#This Row],[vx]]+Tabelle2[[#This Row],[vy]]*Tabelle2[[#This Row],[vy]])</f>
        <v>71.850490792028069</v>
      </c>
      <c r="S70">
        <f t="shared" si="20"/>
        <v>70.131542467738271</v>
      </c>
      <c r="T70" s="1">
        <f t="shared" si="21"/>
        <v>76.486524470727659</v>
      </c>
    </row>
    <row r="71" spans="6:20" x14ac:dyDescent="0.35">
      <c r="F71" s="1">
        <f t="shared" si="17"/>
        <v>1.3600000000000008</v>
      </c>
      <c r="G71">
        <f>1/2*$B$8*$B$6*$B$7*(Tabelle2[[#This Row],[vx]]*Tabelle2[[#This Row],[vx]]+Tabelle2[[#This Row],[vy]]*Tabelle2[[#This Row],[vy]])/1000000</f>
        <v>9.0979281140935502</v>
      </c>
      <c r="H71">
        <f>IF($B$3,-Tabelle2[[#This Row],[Fd]]*Tabelle2[[#This Row],[vx]]/Tabelle2[[#This Row],[v]],0)</f>
        <v>0</v>
      </c>
      <c r="I71">
        <f t="shared" si="11"/>
        <v>0</v>
      </c>
      <c r="J71">
        <f t="shared" si="12"/>
        <v>0</v>
      </c>
      <c r="K71">
        <f t="shared" si="13"/>
        <v>1.0467394398169905</v>
      </c>
      <c r="L71">
        <f>-$B$5*$B$12-IF($B$3,Tabelle2[[#This Row],[Fd]]*Tabelle2[[#This Row],[vy]]/Tabelle2[[#This Row],[v]],0)</f>
        <v>-14.715</v>
      </c>
      <c r="M71">
        <f t="shared" si="14"/>
        <v>-9.81</v>
      </c>
      <c r="N71">
        <f t="shared" si="15"/>
        <v>-0.19620000000000001</v>
      </c>
      <c r="O71">
        <f t="shared" si="16"/>
        <v>0.97866148791195284</v>
      </c>
      <c r="P71" s="1">
        <f t="shared" si="18"/>
        <v>52.336971990849527</v>
      </c>
      <c r="Q71" s="1">
        <f t="shared" si="19"/>
        <v>49.031174395597645</v>
      </c>
      <c r="R71">
        <f>SQRT(Tabelle2[[#This Row],[vx]]*Tabelle2[[#This Row],[vx]]+Tabelle2[[#This Row],[vy]]*Tabelle2[[#This Row],[vy]])</f>
        <v>71.716209463289943</v>
      </c>
      <c r="S71">
        <f t="shared" si="20"/>
        <v>71.17828190755526</v>
      </c>
      <c r="T71" s="1">
        <f t="shared" si="21"/>
        <v>77.469109958639606</v>
      </c>
    </row>
    <row r="72" spans="6:20" x14ac:dyDescent="0.35">
      <c r="F72" s="1">
        <f t="shared" si="17"/>
        <v>1.3800000000000008</v>
      </c>
      <c r="G72">
        <f>1/2*$B$8*$B$6*$B$7*(Tabelle2[[#This Row],[vx]]*Tabelle2[[#This Row],[vx]]+Tabelle2[[#This Row],[vy]]*Tabelle2[[#This Row],[vy]])/1000000</f>
        <v>9.0639625095855809</v>
      </c>
      <c r="H72">
        <f>IF($B$3,-Tabelle2[[#This Row],[Fd]]*Tabelle2[[#This Row],[vx]]/Tabelle2[[#This Row],[v]],0)</f>
        <v>0</v>
      </c>
      <c r="I72">
        <f t="shared" si="11"/>
        <v>0</v>
      </c>
      <c r="J72">
        <f t="shared" si="12"/>
        <v>0</v>
      </c>
      <c r="K72">
        <f t="shared" si="13"/>
        <v>1.0467394398169905</v>
      </c>
      <c r="L72">
        <f>-$B$5*$B$12-IF($B$3,Tabelle2[[#This Row],[Fd]]*Tabelle2[[#This Row],[vy]]/Tabelle2[[#This Row],[v]],0)</f>
        <v>-14.715</v>
      </c>
      <c r="M72">
        <f t="shared" si="14"/>
        <v>-9.81</v>
      </c>
      <c r="N72">
        <f t="shared" si="15"/>
        <v>-0.19620000000000001</v>
      </c>
      <c r="O72">
        <f t="shared" si="16"/>
        <v>0.97473748791195292</v>
      </c>
      <c r="P72" s="1">
        <f t="shared" si="18"/>
        <v>52.336971990849527</v>
      </c>
      <c r="Q72" s="1">
        <f t="shared" si="19"/>
        <v>48.834974395597648</v>
      </c>
      <c r="R72">
        <f>SQRT(Tabelle2[[#This Row],[vx]]*Tabelle2[[#This Row],[vx]]+Tabelle2[[#This Row],[vy]]*Tabelle2[[#This Row],[vy]])</f>
        <v>71.582214001731217</v>
      </c>
      <c r="S72">
        <f t="shared" si="20"/>
        <v>72.225021347372248</v>
      </c>
      <c r="T72" s="1">
        <f t="shared" si="21"/>
        <v>78.447771446551556</v>
      </c>
    </row>
    <row r="73" spans="6:20" x14ac:dyDescent="0.35">
      <c r="F73" s="1">
        <f t="shared" si="17"/>
        <v>1.4000000000000008</v>
      </c>
      <c r="G73">
        <f>1/2*$B$8*$B$6*$B$7*(Tabelle2[[#This Row],[vx]]*Tabelle2[[#This Row],[vx]]+Tabelle2[[#This Row],[vy]]*Tabelle2[[#This Row],[vy]])/1000000</f>
        <v>9.0301330921389589</v>
      </c>
      <c r="H73">
        <f>IF($B$3,-Tabelle2[[#This Row],[Fd]]*Tabelle2[[#This Row],[vx]]/Tabelle2[[#This Row],[v]],0)</f>
        <v>0</v>
      </c>
      <c r="I73">
        <f t="shared" si="11"/>
        <v>0</v>
      </c>
      <c r="J73">
        <f t="shared" si="12"/>
        <v>0</v>
      </c>
      <c r="K73">
        <f t="shared" si="13"/>
        <v>1.0467394398169905</v>
      </c>
      <c r="L73">
        <f>-$B$5*$B$12-IF($B$3,Tabelle2[[#This Row],[Fd]]*Tabelle2[[#This Row],[vy]]/Tabelle2[[#This Row],[v]],0)</f>
        <v>-14.715</v>
      </c>
      <c r="M73">
        <f t="shared" si="14"/>
        <v>-9.81</v>
      </c>
      <c r="N73">
        <f t="shared" si="15"/>
        <v>-0.19620000000000001</v>
      </c>
      <c r="O73">
        <f t="shared" si="16"/>
        <v>0.97081348791195299</v>
      </c>
      <c r="P73" s="1">
        <f t="shared" si="18"/>
        <v>52.336971990849527</v>
      </c>
      <c r="Q73" s="1">
        <f t="shared" si="19"/>
        <v>48.63877439559765</v>
      </c>
      <c r="R73">
        <f>SQRT(Tabelle2[[#This Row],[vx]]*Tabelle2[[#This Row],[vx]]+Tabelle2[[#This Row],[vy]]*Tabelle2[[#This Row],[vy]])</f>
        <v>71.448506015709057</v>
      </c>
      <c r="S73">
        <f t="shared" si="20"/>
        <v>73.271760787189237</v>
      </c>
      <c r="T73" s="1">
        <f t="shared" si="21"/>
        <v>79.422508934463508</v>
      </c>
    </row>
    <row r="74" spans="6:20" x14ac:dyDescent="0.35">
      <c r="F74" s="1">
        <f t="shared" si="17"/>
        <v>1.4200000000000008</v>
      </c>
      <c r="G74">
        <f>1/2*$B$8*$B$6*$B$7*(Tabelle2[[#This Row],[vx]]*Tabelle2[[#This Row],[vx]]+Tabelle2[[#This Row],[vy]]*Tabelle2[[#This Row],[vy]])/1000000</f>
        <v>8.9964398617536823</v>
      </c>
      <c r="H74">
        <f>IF($B$3,-Tabelle2[[#This Row],[Fd]]*Tabelle2[[#This Row],[vx]]/Tabelle2[[#This Row],[v]],0)</f>
        <v>0</v>
      </c>
      <c r="I74">
        <f t="shared" si="11"/>
        <v>0</v>
      </c>
      <c r="J74">
        <f t="shared" si="12"/>
        <v>0</v>
      </c>
      <c r="K74">
        <f t="shared" si="13"/>
        <v>1.0467394398169905</v>
      </c>
      <c r="L74">
        <f>-$B$5*$B$12-IF($B$3,Tabelle2[[#This Row],[Fd]]*Tabelle2[[#This Row],[vy]]/Tabelle2[[#This Row],[v]],0)</f>
        <v>-14.715</v>
      </c>
      <c r="M74">
        <f t="shared" si="14"/>
        <v>-9.81</v>
      </c>
      <c r="N74">
        <f t="shared" si="15"/>
        <v>-0.19620000000000001</v>
      </c>
      <c r="O74">
        <f t="shared" si="16"/>
        <v>0.96688948791195306</v>
      </c>
      <c r="P74" s="1">
        <f t="shared" si="18"/>
        <v>52.336971990849527</v>
      </c>
      <c r="Q74" s="1">
        <f t="shared" si="19"/>
        <v>48.442574395597653</v>
      </c>
      <c r="R74">
        <f>SQRT(Tabelle2[[#This Row],[vx]]*Tabelle2[[#This Row],[vx]]+Tabelle2[[#This Row],[vy]]*Tabelle2[[#This Row],[vy]])</f>
        <v>71.315087122179008</v>
      </c>
      <c r="S74">
        <f t="shared" si="20"/>
        <v>74.318500227006226</v>
      </c>
      <c r="T74" s="1">
        <f t="shared" si="21"/>
        <v>80.393322422375462</v>
      </c>
    </row>
    <row r="75" spans="6:20" x14ac:dyDescent="0.35">
      <c r="F75" s="1">
        <f t="shared" si="17"/>
        <v>1.4400000000000008</v>
      </c>
      <c r="G75">
        <f>1/2*$B$8*$B$6*$B$7*(Tabelle2[[#This Row],[vx]]*Tabelle2[[#This Row],[vx]]+Tabelle2[[#This Row],[vy]]*Tabelle2[[#This Row],[vy]])/1000000</f>
        <v>8.9628828184297458</v>
      </c>
      <c r="H75">
        <f>IF($B$3,-Tabelle2[[#This Row],[Fd]]*Tabelle2[[#This Row],[vx]]/Tabelle2[[#This Row],[v]],0)</f>
        <v>0</v>
      </c>
      <c r="I75">
        <f t="shared" si="11"/>
        <v>0</v>
      </c>
      <c r="J75">
        <f t="shared" si="12"/>
        <v>0</v>
      </c>
      <c r="K75">
        <f t="shared" si="13"/>
        <v>1.0467394398169905</v>
      </c>
      <c r="L75">
        <f>-$B$5*$B$12-IF($B$3,Tabelle2[[#This Row],[Fd]]*Tabelle2[[#This Row],[vy]]/Tabelle2[[#This Row],[v]],0)</f>
        <v>-14.715</v>
      </c>
      <c r="M75">
        <f t="shared" si="14"/>
        <v>-9.81</v>
      </c>
      <c r="N75">
        <f t="shared" si="15"/>
        <v>-0.19620000000000001</v>
      </c>
      <c r="O75">
        <f t="shared" si="16"/>
        <v>0.96296548791195313</v>
      </c>
      <c r="P75" s="1">
        <f t="shared" si="18"/>
        <v>52.336971990849527</v>
      </c>
      <c r="Q75" s="1">
        <f t="shared" si="19"/>
        <v>48.246374395597655</v>
      </c>
      <c r="R75">
        <f>SQRT(Tabelle2[[#This Row],[vx]]*Tabelle2[[#This Row],[vx]]+Tabelle2[[#This Row],[vy]]*Tabelle2[[#This Row],[vy]])</f>
        <v>71.181958946710296</v>
      </c>
      <c r="S75">
        <f t="shared" si="20"/>
        <v>75.365239666823214</v>
      </c>
      <c r="T75" s="1">
        <f t="shared" si="21"/>
        <v>81.360211910287418</v>
      </c>
    </row>
    <row r="76" spans="6:20" x14ac:dyDescent="0.35">
      <c r="F76" s="1">
        <f t="shared" si="17"/>
        <v>1.4600000000000009</v>
      </c>
      <c r="G76">
        <f>1/2*$B$8*$B$6*$B$7*(Tabelle2[[#This Row],[vx]]*Tabelle2[[#This Row],[vx]]+Tabelle2[[#This Row],[vy]]*Tabelle2[[#This Row],[vy]])/1000000</f>
        <v>8.9294619621671547</v>
      </c>
      <c r="H76">
        <f>IF($B$3,-Tabelle2[[#This Row],[Fd]]*Tabelle2[[#This Row],[vx]]/Tabelle2[[#This Row],[v]],0)</f>
        <v>0</v>
      </c>
      <c r="I76">
        <f t="shared" si="11"/>
        <v>0</v>
      </c>
      <c r="J76">
        <f t="shared" si="12"/>
        <v>0</v>
      </c>
      <c r="K76">
        <f t="shared" si="13"/>
        <v>1.0467394398169905</v>
      </c>
      <c r="L76">
        <f>-$B$5*$B$12-IF($B$3,Tabelle2[[#This Row],[Fd]]*Tabelle2[[#This Row],[vy]]/Tabelle2[[#This Row],[v]],0)</f>
        <v>-14.715</v>
      </c>
      <c r="M76">
        <f t="shared" si="14"/>
        <v>-9.81</v>
      </c>
      <c r="N76">
        <f t="shared" si="15"/>
        <v>-0.19620000000000001</v>
      </c>
      <c r="O76">
        <f t="shared" si="16"/>
        <v>0.95904148791195309</v>
      </c>
      <c r="P76" s="1">
        <f t="shared" si="18"/>
        <v>52.336971990849527</v>
      </c>
      <c r="Q76" s="1">
        <f t="shared" si="19"/>
        <v>48.050174395597658</v>
      </c>
      <c r="R76">
        <f>SQRT(Tabelle2[[#This Row],[vx]]*Tabelle2[[#This Row],[vx]]+Tabelle2[[#This Row],[vy]]*Tabelle2[[#This Row],[vy]])</f>
        <v>71.04912312350038</v>
      </c>
      <c r="S76">
        <f t="shared" si="20"/>
        <v>76.411979106640203</v>
      </c>
      <c r="T76" s="1">
        <f t="shared" si="21"/>
        <v>82.323177398199377</v>
      </c>
    </row>
    <row r="77" spans="6:20" x14ac:dyDescent="0.35">
      <c r="F77" s="1">
        <f t="shared" si="17"/>
        <v>1.4800000000000009</v>
      </c>
      <c r="G77">
        <f>1/2*$B$8*$B$6*$B$7*(Tabelle2[[#This Row],[vx]]*Tabelle2[[#This Row],[vx]]+Tabelle2[[#This Row],[vy]]*Tabelle2[[#This Row],[vy]])/1000000</f>
        <v>8.8961772929659073</v>
      </c>
      <c r="H77">
        <f>IF($B$3,-Tabelle2[[#This Row],[Fd]]*Tabelle2[[#This Row],[vx]]/Tabelle2[[#This Row],[v]],0)</f>
        <v>0</v>
      </c>
      <c r="I77">
        <f t="shared" si="11"/>
        <v>0</v>
      </c>
      <c r="J77">
        <f t="shared" si="12"/>
        <v>0</v>
      </c>
      <c r="K77">
        <f t="shared" si="13"/>
        <v>1.0467394398169905</v>
      </c>
      <c r="L77">
        <f>-$B$5*$B$12-IF($B$3,Tabelle2[[#This Row],[Fd]]*Tabelle2[[#This Row],[vy]]/Tabelle2[[#This Row],[v]],0)</f>
        <v>-14.715</v>
      </c>
      <c r="M77">
        <f t="shared" si="14"/>
        <v>-9.81</v>
      </c>
      <c r="N77">
        <f t="shared" si="15"/>
        <v>-0.19620000000000001</v>
      </c>
      <c r="O77">
        <f t="shared" si="16"/>
        <v>0.95511748791195317</v>
      </c>
      <c r="P77" s="1">
        <f t="shared" si="18"/>
        <v>52.336971990849527</v>
      </c>
      <c r="Q77" s="1">
        <f t="shared" si="19"/>
        <v>47.85397439559766</v>
      </c>
      <c r="R77">
        <f>SQRT(Tabelle2[[#This Row],[vx]]*Tabelle2[[#This Row],[vx]]+Tabelle2[[#This Row],[vy]]*Tabelle2[[#This Row],[vy]])</f>
        <v>70.916581295388767</v>
      </c>
      <c r="S77">
        <f t="shared" si="20"/>
        <v>77.458718546457192</v>
      </c>
      <c r="T77" s="1">
        <f t="shared" si="21"/>
        <v>83.282218886111323</v>
      </c>
    </row>
    <row r="78" spans="6:20" x14ac:dyDescent="0.35">
      <c r="F78" s="1">
        <f t="shared" si="17"/>
        <v>1.5000000000000009</v>
      </c>
      <c r="G78">
        <f>1/2*$B$8*$B$6*$B$7*(Tabelle2[[#This Row],[vx]]*Tabelle2[[#This Row],[vx]]+Tabelle2[[#This Row],[vy]]*Tabelle2[[#This Row],[vy]])/1000000</f>
        <v>8.8630288108260054</v>
      </c>
      <c r="H78">
        <f>IF($B$3,-Tabelle2[[#This Row],[Fd]]*Tabelle2[[#This Row],[vx]]/Tabelle2[[#This Row],[v]],0)</f>
        <v>0</v>
      </c>
      <c r="I78">
        <f t="shared" si="11"/>
        <v>0</v>
      </c>
      <c r="J78">
        <f t="shared" si="12"/>
        <v>0</v>
      </c>
      <c r="K78">
        <f t="shared" si="13"/>
        <v>1.0467394398169905</v>
      </c>
      <c r="L78">
        <f>-$B$5*$B$12-IF($B$3,Tabelle2[[#This Row],[Fd]]*Tabelle2[[#This Row],[vy]]/Tabelle2[[#This Row],[v]],0)</f>
        <v>-14.715</v>
      </c>
      <c r="M78">
        <f t="shared" si="14"/>
        <v>-9.81</v>
      </c>
      <c r="N78">
        <f t="shared" si="15"/>
        <v>-0.19620000000000001</v>
      </c>
      <c r="O78">
        <f t="shared" si="16"/>
        <v>0.95119348791195324</v>
      </c>
      <c r="P78" s="1">
        <f t="shared" si="18"/>
        <v>52.336971990849527</v>
      </c>
      <c r="Q78" s="1">
        <f t="shared" si="19"/>
        <v>47.657774395597663</v>
      </c>
      <c r="R78">
        <f>SQRT(Tabelle2[[#This Row],[vx]]*Tabelle2[[#This Row],[vx]]+Tabelle2[[#This Row],[vy]]*Tabelle2[[#This Row],[vy]])</f>
        <v>70.784335113870014</v>
      </c>
      <c r="S78">
        <f t="shared" si="20"/>
        <v>78.50545798627418</v>
      </c>
      <c r="T78" s="1">
        <f t="shared" si="21"/>
        <v>84.237336374023272</v>
      </c>
    </row>
    <row r="79" spans="6:20" x14ac:dyDescent="0.35">
      <c r="F79" s="1">
        <f t="shared" si="17"/>
        <v>1.5200000000000009</v>
      </c>
      <c r="G79">
        <f>1/2*$B$8*$B$6*$B$7*(Tabelle2[[#This Row],[vx]]*Tabelle2[[#This Row],[vx]]+Tabelle2[[#This Row],[vy]]*Tabelle2[[#This Row],[vy]])/1000000</f>
        <v>8.8300165157474471</v>
      </c>
      <c r="H79">
        <f>IF($B$3,-Tabelle2[[#This Row],[Fd]]*Tabelle2[[#This Row],[vx]]/Tabelle2[[#This Row],[v]],0)</f>
        <v>0</v>
      </c>
      <c r="I79">
        <f t="shared" si="11"/>
        <v>0</v>
      </c>
      <c r="J79">
        <f t="shared" si="12"/>
        <v>0</v>
      </c>
      <c r="K79">
        <f t="shared" si="13"/>
        <v>1.0467394398169905</v>
      </c>
      <c r="L79">
        <f>-$B$5*$B$12-IF($B$3,Tabelle2[[#This Row],[Fd]]*Tabelle2[[#This Row],[vy]]/Tabelle2[[#This Row],[v]],0)</f>
        <v>-14.715</v>
      </c>
      <c r="M79">
        <f t="shared" si="14"/>
        <v>-9.81</v>
      </c>
      <c r="N79">
        <f t="shared" si="15"/>
        <v>-0.19620000000000001</v>
      </c>
      <c r="O79">
        <f t="shared" si="16"/>
        <v>0.94726948791195331</v>
      </c>
      <c r="P79" s="1">
        <f t="shared" si="18"/>
        <v>52.336971990849527</v>
      </c>
      <c r="Q79" s="1">
        <f t="shared" si="19"/>
        <v>47.461574395597665</v>
      </c>
      <c r="R79">
        <f>SQRT(Tabelle2[[#This Row],[vx]]*Tabelle2[[#This Row],[vx]]+Tabelle2[[#This Row],[vy]]*Tabelle2[[#This Row],[vy]])</f>
        <v>70.652386239106036</v>
      </c>
      <c r="S79">
        <f t="shared" si="20"/>
        <v>79.552197426091169</v>
      </c>
      <c r="T79" s="1">
        <f t="shared" si="21"/>
        <v>85.188529861935223</v>
      </c>
    </row>
    <row r="80" spans="6:20" x14ac:dyDescent="0.35">
      <c r="F80" s="1">
        <f t="shared" si="17"/>
        <v>1.5400000000000009</v>
      </c>
      <c r="G80">
        <f>1/2*$B$8*$B$6*$B$7*(Tabelle2[[#This Row],[vx]]*Tabelle2[[#This Row],[vx]]+Tabelle2[[#This Row],[vy]]*Tabelle2[[#This Row],[vy]])/1000000</f>
        <v>8.7971404077302306</v>
      </c>
      <c r="H80">
        <f>IF($B$3,-Tabelle2[[#This Row],[Fd]]*Tabelle2[[#This Row],[vx]]/Tabelle2[[#This Row],[v]],0)</f>
        <v>0</v>
      </c>
      <c r="I80">
        <f t="shared" si="11"/>
        <v>0</v>
      </c>
      <c r="J80">
        <f t="shared" si="12"/>
        <v>0</v>
      </c>
      <c r="K80">
        <f t="shared" si="13"/>
        <v>1.0467394398169905</v>
      </c>
      <c r="L80">
        <f>-$B$5*$B$12-IF($B$3,Tabelle2[[#This Row],[Fd]]*Tabelle2[[#This Row],[vy]]/Tabelle2[[#This Row],[v]],0)</f>
        <v>-14.715</v>
      </c>
      <c r="M80">
        <f t="shared" si="14"/>
        <v>-9.81</v>
      </c>
      <c r="N80">
        <f t="shared" si="15"/>
        <v>-0.19620000000000001</v>
      </c>
      <c r="O80">
        <f t="shared" si="16"/>
        <v>0.94334548791195338</v>
      </c>
      <c r="P80" s="1">
        <f t="shared" si="18"/>
        <v>52.336971990849527</v>
      </c>
      <c r="Q80" s="1">
        <f t="shared" si="19"/>
        <v>47.265374395597668</v>
      </c>
      <c r="R80">
        <f>SQRT(Tabelle2[[#This Row],[vx]]*Tabelle2[[#This Row],[vx]]+Tabelle2[[#This Row],[vy]]*Tabelle2[[#This Row],[vy]])</f>
        <v>70.520736339937542</v>
      </c>
      <c r="S80">
        <f t="shared" si="20"/>
        <v>80.598936865908158</v>
      </c>
      <c r="T80" s="1">
        <f t="shared" si="21"/>
        <v>86.135799349847176</v>
      </c>
    </row>
    <row r="81" spans="6:20" x14ac:dyDescent="0.35">
      <c r="F81" s="1">
        <f t="shared" si="17"/>
        <v>1.5600000000000009</v>
      </c>
      <c r="G81">
        <f>1/2*$B$8*$B$6*$B$7*(Tabelle2[[#This Row],[vx]]*Tabelle2[[#This Row],[vx]]+Tabelle2[[#This Row],[vy]]*Tabelle2[[#This Row],[vy]])/1000000</f>
        <v>8.7644004867743597</v>
      </c>
      <c r="H81">
        <f>IF($B$3,-Tabelle2[[#This Row],[Fd]]*Tabelle2[[#This Row],[vx]]/Tabelle2[[#This Row],[v]],0)</f>
        <v>0</v>
      </c>
      <c r="I81">
        <f t="shared" si="11"/>
        <v>0</v>
      </c>
      <c r="J81">
        <f t="shared" si="12"/>
        <v>0</v>
      </c>
      <c r="K81">
        <f t="shared" si="13"/>
        <v>1.0467394398169905</v>
      </c>
      <c r="L81">
        <f>-$B$5*$B$12-IF($B$3,Tabelle2[[#This Row],[Fd]]*Tabelle2[[#This Row],[vy]]/Tabelle2[[#This Row],[v]],0)</f>
        <v>-14.715</v>
      </c>
      <c r="M81">
        <f t="shared" si="14"/>
        <v>-9.81</v>
      </c>
      <c r="N81">
        <f t="shared" si="15"/>
        <v>-0.19620000000000001</v>
      </c>
      <c r="O81">
        <f t="shared" si="16"/>
        <v>0.93942148791195335</v>
      </c>
      <c r="P81" s="1">
        <f t="shared" si="18"/>
        <v>52.336971990849527</v>
      </c>
      <c r="Q81" s="1">
        <f t="shared" si="19"/>
        <v>47.06917439559767</v>
      </c>
      <c r="R81">
        <f>SQRT(Tabelle2[[#This Row],[vx]]*Tabelle2[[#This Row],[vx]]+Tabelle2[[#This Row],[vy]]*Tabelle2[[#This Row],[vy]])</f>
        <v>70.38938709389474</v>
      </c>
      <c r="S81">
        <f t="shared" si="20"/>
        <v>81.645676305725146</v>
      </c>
      <c r="T81" s="1">
        <f t="shared" si="21"/>
        <v>87.079144837759131</v>
      </c>
    </row>
    <row r="82" spans="6:20" x14ac:dyDescent="0.35">
      <c r="F82" s="1">
        <f t="shared" si="17"/>
        <v>1.580000000000001</v>
      </c>
      <c r="G82">
        <f>1/2*$B$8*$B$6*$B$7*(Tabelle2[[#This Row],[vx]]*Tabelle2[[#This Row],[vx]]+Tabelle2[[#This Row],[vy]]*Tabelle2[[#This Row],[vy]])/1000000</f>
        <v>8.7317967528798341</v>
      </c>
      <c r="H82">
        <f>IF($B$3,-Tabelle2[[#This Row],[Fd]]*Tabelle2[[#This Row],[vx]]/Tabelle2[[#This Row],[v]],0)</f>
        <v>0</v>
      </c>
      <c r="I82">
        <f t="shared" si="11"/>
        <v>0</v>
      </c>
      <c r="J82">
        <f t="shared" si="12"/>
        <v>0</v>
      </c>
      <c r="K82">
        <f t="shared" si="13"/>
        <v>1.0467394398169905</v>
      </c>
      <c r="L82">
        <f>-$B$5*$B$12-IF($B$3,Tabelle2[[#This Row],[Fd]]*Tabelle2[[#This Row],[vy]]/Tabelle2[[#This Row],[v]],0)</f>
        <v>-14.715</v>
      </c>
      <c r="M82">
        <f t="shared" si="14"/>
        <v>-9.81</v>
      </c>
      <c r="N82">
        <f t="shared" si="15"/>
        <v>-0.19620000000000001</v>
      </c>
      <c r="O82">
        <f t="shared" si="16"/>
        <v>0.93549748791195342</v>
      </c>
      <c r="P82" s="1">
        <f t="shared" si="18"/>
        <v>52.336971990849527</v>
      </c>
      <c r="Q82" s="1">
        <f t="shared" si="19"/>
        <v>46.872974395597673</v>
      </c>
      <c r="R82">
        <f>SQRT(Tabelle2[[#This Row],[vx]]*Tabelle2[[#This Row],[vx]]+Tabelle2[[#This Row],[vy]]*Tabelle2[[#This Row],[vy]])</f>
        <v>70.258340187207111</v>
      </c>
      <c r="S82">
        <f t="shared" si="20"/>
        <v>82.692415745542135</v>
      </c>
      <c r="T82" s="1">
        <f t="shared" si="21"/>
        <v>88.018566325671088</v>
      </c>
    </row>
    <row r="83" spans="6:20" x14ac:dyDescent="0.35">
      <c r="F83" s="1">
        <f t="shared" si="17"/>
        <v>1.600000000000001</v>
      </c>
      <c r="G83">
        <f>1/2*$B$8*$B$6*$B$7*(Tabelle2[[#This Row],[vx]]*Tabelle2[[#This Row],[vx]]+Tabelle2[[#This Row],[vy]]*Tabelle2[[#This Row],[vy]])/1000000</f>
        <v>8.6993292060466505</v>
      </c>
      <c r="H83">
        <f>IF($B$3,-Tabelle2[[#This Row],[Fd]]*Tabelle2[[#This Row],[vx]]/Tabelle2[[#This Row],[v]],0)</f>
        <v>0</v>
      </c>
      <c r="I83">
        <f t="shared" si="11"/>
        <v>0</v>
      </c>
      <c r="J83">
        <f t="shared" si="12"/>
        <v>0</v>
      </c>
      <c r="K83">
        <f t="shared" si="13"/>
        <v>1.0467394398169905</v>
      </c>
      <c r="L83">
        <f>-$B$5*$B$12-IF($B$3,Tabelle2[[#This Row],[Fd]]*Tabelle2[[#This Row],[vy]]/Tabelle2[[#This Row],[v]],0)</f>
        <v>-14.715</v>
      </c>
      <c r="M83">
        <f t="shared" si="14"/>
        <v>-9.81</v>
      </c>
      <c r="N83">
        <f t="shared" si="15"/>
        <v>-0.19620000000000001</v>
      </c>
      <c r="O83">
        <f t="shared" si="16"/>
        <v>0.93157348791195349</v>
      </c>
      <c r="P83" s="1">
        <f t="shared" si="18"/>
        <v>52.336971990849527</v>
      </c>
      <c r="Q83" s="1">
        <f t="shared" si="19"/>
        <v>46.676774395597675</v>
      </c>
      <c r="R83">
        <f>SQRT(Tabelle2[[#This Row],[vx]]*Tabelle2[[#This Row],[vx]]+Tabelle2[[#This Row],[vy]]*Tabelle2[[#This Row],[vy]])</f>
        <v>70.127597314812448</v>
      </c>
      <c r="S83">
        <f t="shared" si="20"/>
        <v>83.739155185359124</v>
      </c>
      <c r="T83" s="1">
        <f t="shared" si="21"/>
        <v>88.954063813583048</v>
      </c>
    </row>
    <row r="84" spans="6:20" x14ac:dyDescent="0.35">
      <c r="F84" s="1">
        <f t="shared" si="17"/>
        <v>1.620000000000001</v>
      </c>
      <c r="G84">
        <f>1/2*$B$8*$B$6*$B$7*(Tabelle2[[#This Row],[vx]]*Tabelle2[[#This Row],[vx]]+Tabelle2[[#This Row],[vy]]*Tabelle2[[#This Row],[vy]])/1000000</f>
        <v>8.6669978462748123</v>
      </c>
      <c r="H84">
        <f>IF($B$3,-Tabelle2[[#This Row],[Fd]]*Tabelle2[[#This Row],[vx]]/Tabelle2[[#This Row],[v]],0)</f>
        <v>0</v>
      </c>
      <c r="I84">
        <f t="shared" si="11"/>
        <v>0</v>
      </c>
      <c r="J84">
        <f t="shared" si="12"/>
        <v>0</v>
      </c>
      <c r="K84">
        <f t="shared" si="13"/>
        <v>1.0467394398169905</v>
      </c>
      <c r="L84">
        <f>-$B$5*$B$12-IF($B$3,Tabelle2[[#This Row],[Fd]]*Tabelle2[[#This Row],[vy]]/Tabelle2[[#This Row],[v]],0)</f>
        <v>-14.715</v>
      </c>
      <c r="M84">
        <f t="shared" si="14"/>
        <v>-9.81</v>
      </c>
      <c r="N84">
        <f t="shared" si="15"/>
        <v>-0.19620000000000001</v>
      </c>
      <c r="O84">
        <f t="shared" si="16"/>
        <v>0.92764948791195356</v>
      </c>
      <c r="P84" s="1">
        <f t="shared" si="18"/>
        <v>52.336971990849527</v>
      </c>
      <c r="Q84" s="1">
        <f t="shared" si="19"/>
        <v>46.480574395597678</v>
      </c>
      <c r="R84">
        <f>SQRT(Tabelle2[[#This Row],[vx]]*Tabelle2[[#This Row],[vx]]+Tabelle2[[#This Row],[vy]]*Tabelle2[[#This Row],[vy]])</f>
        <v>69.997160180364872</v>
      </c>
      <c r="S84">
        <f t="shared" si="20"/>
        <v>84.785894625176113</v>
      </c>
      <c r="T84" s="1">
        <f t="shared" si="21"/>
        <v>89.885637301494995</v>
      </c>
    </row>
    <row r="85" spans="6:20" x14ac:dyDescent="0.35">
      <c r="F85" s="1">
        <f t="shared" si="17"/>
        <v>1.640000000000001</v>
      </c>
      <c r="G85">
        <f>1/2*$B$8*$B$6*$B$7*(Tabelle2[[#This Row],[vx]]*Tabelle2[[#This Row],[vx]]+Tabelle2[[#This Row],[vy]]*Tabelle2[[#This Row],[vy]])/1000000</f>
        <v>8.634802673564316</v>
      </c>
      <c r="H85">
        <f>IF($B$3,-Tabelle2[[#This Row],[Fd]]*Tabelle2[[#This Row],[vx]]/Tabelle2[[#This Row],[v]],0)</f>
        <v>0</v>
      </c>
      <c r="I85">
        <f t="shared" si="11"/>
        <v>0</v>
      </c>
      <c r="J85">
        <f t="shared" si="12"/>
        <v>0</v>
      </c>
      <c r="K85">
        <f t="shared" si="13"/>
        <v>1.0467394398169905</v>
      </c>
      <c r="L85">
        <f>-$B$5*$B$12-IF($B$3,Tabelle2[[#This Row],[Fd]]*Tabelle2[[#This Row],[vy]]/Tabelle2[[#This Row],[v]],0)</f>
        <v>-14.715</v>
      </c>
      <c r="M85">
        <f t="shared" si="14"/>
        <v>-9.81</v>
      </c>
      <c r="N85">
        <f t="shared" si="15"/>
        <v>-0.19620000000000001</v>
      </c>
      <c r="O85">
        <f t="shared" si="16"/>
        <v>0.92372548791195364</v>
      </c>
      <c r="P85" s="1">
        <f t="shared" si="18"/>
        <v>52.336971990849527</v>
      </c>
      <c r="Q85" s="1">
        <f t="shared" si="19"/>
        <v>46.284374395597681</v>
      </c>
      <c r="R85">
        <f>SQRT(Tabelle2[[#This Row],[vx]]*Tabelle2[[#This Row],[vx]]+Tabelle2[[#This Row],[vy]]*Tabelle2[[#This Row],[vy]])</f>
        <v>69.867030496242123</v>
      </c>
      <c r="S85">
        <f t="shared" si="20"/>
        <v>85.832634064993101</v>
      </c>
      <c r="T85" s="1">
        <f t="shared" si="21"/>
        <v>90.813286789406945</v>
      </c>
    </row>
    <row r="86" spans="6:20" x14ac:dyDescent="0.35">
      <c r="F86" s="1">
        <f t="shared" si="17"/>
        <v>1.660000000000001</v>
      </c>
      <c r="G86">
        <f>1/2*$B$8*$B$6*$B$7*(Tabelle2[[#This Row],[vx]]*Tabelle2[[#This Row],[vx]]+Tabelle2[[#This Row],[vy]]*Tabelle2[[#This Row],[vy]])/1000000</f>
        <v>8.6027436879151669</v>
      </c>
      <c r="H86">
        <f>IF($B$3,-Tabelle2[[#This Row],[Fd]]*Tabelle2[[#This Row],[vx]]/Tabelle2[[#This Row],[v]],0)</f>
        <v>0</v>
      </c>
      <c r="I86">
        <f t="shared" si="11"/>
        <v>0</v>
      </c>
      <c r="J86">
        <f t="shared" si="12"/>
        <v>0</v>
      </c>
      <c r="K86">
        <f t="shared" si="13"/>
        <v>1.0467394398169905</v>
      </c>
      <c r="L86">
        <f>-$B$5*$B$12-IF($B$3,Tabelle2[[#This Row],[Fd]]*Tabelle2[[#This Row],[vy]]/Tabelle2[[#This Row],[v]],0)</f>
        <v>-14.715</v>
      </c>
      <c r="M86">
        <f t="shared" si="14"/>
        <v>-9.81</v>
      </c>
      <c r="N86">
        <f t="shared" si="15"/>
        <v>-0.19620000000000001</v>
      </c>
      <c r="O86">
        <f t="shared" si="16"/>
        <v>0.9198014879119536</v>
      </c>
      <c r="P86" s="1">
        <f t="shared" si="18"/>
        <v>52.336971990849527</v>
      </c>
      <c r="Q86" s="1">
        <f t="shared" si="19"/>
        <v>46.088174395597683</v>
      </c>
      <c r="R86">
        <f>SQRT(Tabelle2[[#This Row],[vx]]*Tabelle2[[#This Row],[vx]]+Tabelle2[[#This Row],[vy]]*Tabelle2[[#This Row],[vy]])</f>
        <v>69.737209983551779</v>
      </c>
      <c r="S86">
        <f t="shared" si="20"/>
        <v>86.87937350481009</v>
      </c>
      <c r="T86" s="1">
        <f t="shared" si="21"/>
        <v>91.737012277318897</v>
      </c>
    </row>
    <row r="87" spans="6:20" x14ac:dyDescent="0.35">
      <c r="F87" s="1">
        <f t="shared" si="17"/>
        <v>1.680000000000001</v>
      </c>
      <c r="G87">
        <f>1/2*$B$8*$B$6*$B$7*(Tabelle2[[#This Row],[vx]]*Tabelle2[[#This Row],[vx]]+Tabelle2[[#This Row],[vy]]*Tabelle2[[#This Row],[vy]])/1000000</f>
        <v>8.5708208893273579</v>
      </c>
      <c r="H87">
        <f>IF($B$3,-Tabelle2[[#This Row],[Fd]]*Tabelle2[[#This Row],[vx]]/Tabelle2[[#This Row],[v]],0)</f>
        <v>0</v>
      </c>
      <c r="I87">
        <f t="shared" si="11"/>
        <v>0</v>
      </c>
      <c r="J87">
        <f t="shared" si="12"/>
        <v>0</v>
      </c>
      <c r="K87">
        <f t="shared" si="13"/>
        <v>1.0467394398169905</v>
      </c>
      <c r="L87">
        <f>-$B$5*$B$12-IF($B$3,Tabelle2[[#This Row],[Fd]]*Tabelle2[[#This Row],[vy]]/Tabelle2[[#This Row],[v]],0)</f>
        <v>-14.715</v>
      </c>
      <c r="M87">
        <f t="shared" si="14"/>
        <v>-9.81</v>
      </c>
      <c r="N87">
        <f t="shared" si="15"/>
        <v>-0.19620000000000001</v>
      </c>
      <c r="O87">
        <f t="shared" si="16"/>
        <v>0.91587748791195367</v>
      </c>
      <c r="P87" s="1">
        <f t="shared" si="18"/>
        <v>52.336971990849527</v>
      </c>
      <c r="Q87" s="1">
        <f t="shared" si="19"/>
        <v>45.891974395597686</v>
      </c>
      <c r="R87">
        <f>SQRT(Tabelle2[[#This Row],[vx]]*Tabelle2[[#This Row],[vx]]+Tabelle2[[#This Row],[vy]]*Tabelle2[[#This Row],[vy]])</f>
        <v>69.607700372136705</v>
      </c>
      <c r="S87">
        <f t="shared" si="20"/>
        <v>87.926112944627079</v>
      </c>
      <c r="T87" s="1">
        <f t="shared" si="21"/>
        <v>92.656813765230851</v>
      </c>
    </row>
    <row r="88" spans="6:20" x14ac:dyDescent="0.35">
      <c r="F88" s="1">
        <f t="shared" si="17"/>
        <v>1.7000000000000011</v>
      </c>
      <c r="G88">
        <f>1/2*$B$8*$B$6*$B$7*(Tabelle2[[#This Row],[vx]]*Tabelle2[[#This Row],[vx]]+Tabelle2[[#This Row],[vy]]*Tabelle2[[#This Row],[vy]])/1000000</f>
        <v>8.5390342778008961</v>
      </c>
      <c r="H88">
        <f>IF($B$3,-Tabelle2[[#This Row],[Fd]]*Tabelle2[[#This Row],[vx]]/Tabelle2[[#This Row],[v]],0)</f>
        <v>0</v>
      </c>
      <c r="I88">
        <f t="shared" si="11"/>
        <v>0</v>
      </c>
      <c r="J88">
        <f t="shared" si="12"/>
        <v>0</v>
      </c>
      <c r="K88">
        <f t="shared" si="13"/>
        <v>1.0467394398169905</v>
      </c>
      <c r="L88">
        <f>-$B$5*$B$12-IF($B$3,Tabelle2[[#This Row],[Fd]]*Tabelle2[[#This Row],[vy]]/Tabelle2[[#This Row],[v]],0)</f>
        <v>-14.715</v>
      </c>
      <c r="M88">
        <f t="shared" si="14"/>
        <v>-9.81</v>
      </c>
      <c r="N88">
        <f t="shared" si="15"/>
        <v>-0.19620000000000001</v>
      </c>
      <c r="O88">
        <f t="shared" si="16"/>
        <v>0.91195348791195374</v>
      </c>
      <c r="P88" s="1">
        <f t="shared" si="18"/>
        <v>52.336971990849527</v>
      </c>
      <c r="Q88" s="1">
        <f t="shared" si="19"/>
        <v>45.695774395597688</v>
      </c>
      <c r="R88">
        <f>SQRT(Tabelle2[[#This Row],[vx]]*Tabelle2[[#This Row],[vx]]+Tabelle2[[#This Row],[vy]]*Tabelle2[[#This Row],[vy]])</f>
        <v>69.478503400579442</v>
      </c>
      <c r="S88">
        <f t="shared" si="20"/>
        <v>88.972852384444067</v>
      </c>
      <c r="T88" s="1">
        <f t="shared" si="21"/>
        <v>93.572691253142807</v>
      </c>
    </row>
    <row r="89" spans="6:20" x14ac:dyDescent="0.35">
      <c r="F89" s="1">
        <f t="shared" si="17"/>
        <v>1.7200000000000011</v>
      </c>
      <c r="G89">
        <f>1/2*$B$8*$B$6*$B$7*(Tabelle2[[#This Row],[vx]]*Tabelle2[[#This Row],[vx]]+Tabelle2[[#This Row],[vy]]*Tabelle2[[#This Row],[vy]])/1000000</f>
        <v>8.5073838533357762</v>
      </c>
      <c r="H89">
        <f>IF($B$3,-Tabelle2[[#This Row],[Fd]]*Tabelle2[[#This Row],[vx]]/Tabelle2[[#This Row],[v]],0)</f>
        <v>0</v>
      </c>
      <c r="I89">
        <f t="shared" si="11"/>
        <v>0</v>
      </c>
      <c r="J89">
        <f t="shared" si="12"/>
        <v>0</v>
      </c>
      <c r="K89">
        <f t="shared" si="13"/>
        <v>1.0467394398169905</v>
      </c>
      <c r="L89">
        <f>-$B$5*$B$12-IF($B$3,Tabelle2[[#This Row],[Fd]]*Tabelle2[[#This Row],[vy]]/Tabelle2[[#This Row],[v]],0)</f>
        <v>-14.715</v>
      </c>
      <c r="M89">
        <f t="shared" si="14"/>
        <v>-9.81</v>
      </c>
      <c r="N89">
        <f t="shared" si="15"/>
        <v>-0.19620000000000001</v>
      </c>
      <c r="O89">
        <f t="shared" si="16"/>
        <v>0.90802948791195381</v>
      </c>
      <c r="P89" s="1">
        <f t="shared" si="18"/>
        <v>52.336971990849527</v>
      </c>
      <c r="Q89" s="1">
        <f t="shared" si="19"/>
        <v>45.499574395597691</v>
      </c>
      <c r="R89">
        <f>SQRT(Tabelle2[[#This Row],[vx]]*Tabelle2[[#This Row],[vx]]+Tabelle2[[#This Row],[vy]]*Tabelle2[[#This Row],[vy]])</f>
        <v>69.349620816205601</v>
      </c>
      <c r="S89">
        <f t="shared" si="20"/>
        <v>90.019591824261056</v>
      </c>
      <c r="T89" s="1">
        <f t="shared" si="21"/>
        <v>94.484644741054765</v>
      </c>
    </row>
    <row r="90" spans="6:20" x14ac:dyDescent="0.35">
      <c r="F90" s="1">
        <f t="shared" si="17"/>
        <v>1.7400000000000011</v>
      </c>
      <c r="G90">
        <f>1/2*$B$8*$B$6*$B$7*(Tabelle2[[#This Row],[vx]]*Tabelle2[[#This Row],[vx]]+Tabelle2[[#This Row],[vy]]*Tabelle2[[#This Row],[vy]])/1000000</f>
        <v>8.4758696159320035</v>
      </c>
      <c r="H90">
        <f>IF($B$3,-Tabelle2[[#This Row],[Fd]]*Tabelle2[[#This Row],[vx]]/Tabelle2[[#This Row],[v]],0)</f>
        <v>0</v>
      </c>
      <c r="I90">
        <f t="shared" si="11"/>
        <v>0</v>
      </c>
      <c r="J90">
        <f t="shared" si="12"/>
        <v>0</v>
      </c>
      <c r="K90">
        <f t="shared" si="13"/>
        <v>1.0467394398169905</v>
      </c>
      <c r="L90">
        <f>-$B$5*$B$12-IF($B$3,Tabelle2[[#This Row],[Fd]]*Tabelle2[[#This Row],[vy]]/Tabelle2[[#This Row],[v]],0)</f>
        <v>-14.715</v>
      </c>
      <c r="M90">
        <f t="shared" si="14"/>
        <v>-9.81</v>
      </c>
      <c r="N90">
        <f t="shared" si="15"/>
        <v>-0.19620000000000001</v>
      </c>
      <c r="O90">
        <f t="shared" si="16"/>
        <v>0.90410548791195389</v>
      </c>
      <c r="P90" s="1">
        <f t="shared" si="18"/>
        <v>52.336971990849527</v>
      </c>
      <c r="Q90" s="1">
        <f t="shared" si="19"/>
        <v>45.303374395597693</v>
      </c>
      <c r="R90">
        <f>SQRT(Tabelle2[[#This Row],[vx]]*Tabelle2[[#This Row],[vx]]+Tabelle2[[#This Row],[vy]]*Tabelle2[[#This Row],[vy]])</f>
        <v>69.221054375086382</v>
      </c>
      <c r="S90">
        <f t="shared" si="20"/>
        <v>91.066331264078045</v>
      </c>
      <c r="T90" s="1">
        <f t="shared" si="21"/>
        <v>95.392674228966726</v>
      </c>
    </row>
    <row r="91" spans="6:20" x14ac:dyDescent="0.35">
      <c r="F91" s="1">
        <f t="shared" si="17"/>
        <v>1.7600000000000011</v>
      </c>
      <c r="G91">
        <f>1/2*$B$8*$B$6*$B$7*(Tabelle2[[#This Row],[vx]]*Tabelle2[[#This Row],[vx]]+Tabelle2[[#This Row],[vy]]*Tabelle2[[#This Row],[vy]])/1000000</f>
        <v>8.4444915655895691</v>
      </c>
      <c r="H91">
        <f>IF($B$3,-Tabelle2[[#This Row],[Fd]]*Tabelle2[[#This Row],[vx]]/Tabelle2[[#This Row],[v]],0)</f>
        <v>0</v>
      </c>
      <c r="I91">
        <f t="shared" si="11"/>
        <v>0</v>
      </c>
      <c r="J91">
        <f t="shared" si="12"/>
        <v>0</v>
      </c>
      <c r="K91">
        <f t="shared" si="13"/>
        <v>1.0467394398169905</v>
      </c>
      <c r="L91">
        <f>-$B$5*$B$12-IF($B$3,Tabelle2[[#This Row],[Fd]]*Tabelle2[[#This Row],[vy]]/Tabelle2[[#This Row],[v]],0)</f>
        <v>-14.715</v>
      </c>
      <c r="M91">
        <f t="shared" si="14"/>
        <v>-9.81</v>
      </c>
      <c r="N91">
        <f t="shared" si="15"/>
        <v>-0.19620000000000001</v>
      </c>
      <c r="O91">
        <f t="shared" si="16"/>
        <v>0.90018148791195385</v>
      </c>
      <c r="P91" s="1">
        <f t="shared" si="18"/>
        <v>52.336971990849527</v>
      </c>
      <c r="Q91" s="1">
        <f t="shared" si="19"/>
        <v>45.107174395597696</v>
      </c>
      <c r="R91">
        <f>SQRT(Tabelle2[[#This Row],[vx]]*Tabelle2[[#This Row],[vx]]+Tabelle2[[#This Row],[vy]]*Tabelle2[[#This Row],[vy]])</f>
        <v>69.092805842039965</v>
      </c>
      <c r="S91">
        <f t="shared" si="20"/>
        <v>92.113070703895033</v>
      </c>
      <c r="T91" s="1">
        <f t="shared" si="21"/>
        <v>96.296779716878675</v>
      </c>
    </row>
    <row r="92" spans="6:20" x14ac:dyDescent="0.35">
      <c r="F92" s="1">
        <f t="shared" si="17"/>
        <v>1.7800000000000011</v>
      </c>
      <c r="G92">
        <f>1/2*$B$8*$B$6*$B$7*(Tabelle2[[#This Row],[vx]]*Tabelle2[[#This Row],[vx]]+Tabelle2[[#This Row],[vy]]*Tabelle2[[#This Row],[vy]])/1000000</f>
        <v>8.4132497023084838</v>
      </c>
      <c r="H92">
        <f>IF($B$3,-Tabelle2[[#This Row],[Fd]]*Tabelle2[[#This Row],[vx]]/Tabelle2[[#This Row],[v]],0)</f>
        <v>0</v>
      </c>
      <c r="I92">
        <f t="shared" si="11"/>
        <v>0</v>
      </c>
      <c r="J92">
        <f t="shared" si="12"/>
        <v>0</v>
      </c>
      <c r="K92">
        <f t="shared" si="13"/>
        <v>1.0467394398169905</v>
      </c>
      <c r="L92">
        <f>-$B$5*$B$12-IF($B$3,Tabelle2[[#This Row],[Fd]]*Tabelle2[[#This Row],[vy]]/Tabelle2[[#This Row],[v]],0)</f>
        <v>-14.715</v>
      </c>
      <c r="M92">
        <f t="shared" si="14"/>
        <v>-9.81</v>
      </c>
      <c r="N92">
        <f t="shared" si="15"/>
        <v>-0.19620000000000001</v>
      </c>
      <c r="O92">
        <f t="shared" si="16"/>
        <v>0.89625748791195392</v>
      </c>
      <c r="P92" s="1">
        <f t="shared" si="18"/>
        <v>52.336971990849527</v>
      </c>
      <c r="Q92" s="1">
        <f t="shared" si="19"/>
        <v>44.910974395597698</v>
      </c>
      <c r="R92">
        <f>SQRT(Tabelle2[[#This Row],[vx]]*Tabelle2[[#This Row],[vx]]+Tabelle2[[#This Row],[vy]]*Tabelle2[[#This Row],[vy]])</f>
        <v>68.964876990631979</v>
      </c>
      <c r="S92">
        <f t="shared" si="20"/>
        <v>93.159810143712022</v>
      </c>
      <c r="T92" s="1">
        <f t="shared" si="21"/>
        <v>97.196961204790625</v>
      </c>
    </row>
    <row r="93" spans="6:20" x14ac:dyDescent="0.35">
      <c r="F93" s="1">
        <f t="shared" si="17"/>
        <v>1.8000000000000012</v>
      </c>
      <c r="G93">
        <f>1/2*$B$8*$B$6*$B$7*(Tabelle2[[#This Row],[vx]]*Tabelle2[[#This Row],[vx]]+Tabelle2[[#This Row],[vy]]*Tabelle2[[#This Row],[vy]])/1000000</f>
        <v>8.3821440260887403</v>
      </c>
      <c r="H93">
        <f>IF($B$3,-Tabelle2[[#This Row],[Fd]]*Tabelle2[[#This Row],[vx]]/Tabelle2[[#This Row],[v]],0)</f>
        <v>0</v>
      </c>
      <c r="I93">
        <f t="shared" si="11"/>
        <v>0</v>
      </c>
      <c r="J93">
        <f t="shared" si="12"/>
        <v>0</v>
      </c>
      <c r="K93">
        <f t="shared" si="13"/>
        <v>1.0467394398169905</v>
      </c>
      <c r="L93">
        <f>-$B$5*$B$12-IF($B$3,Tabelle2[[#This Row],[Fd]]*Tabelle2[[#This Row],[vy]]/Tabelle2[[#This Row],[v]],0)</f>
        <v>-14.715</v>
      </c>
      <c r="M93">
        <f t="shared" si="14"/>
        <v>-9.81</v>
      </c>
      <c r="N93">
        <f t="shared" si="15"/>
        <v>-0.19620000000000001</v>
      </c>
      <c r="O93">
        <f t="shared" si="16"/>
        <v>0.89233348791195399</v>
      </c>
      <c r="P93" s="1">
        <f t="shared" si="18"/>
        <v>52.336971990849527</v>
      </c>
      <c r="Q93" s="1">
        <f t="shared" si="19"/>
        <v>44.714774395597701</v>
      </c>
      <c r="R93">
        <f>SQRT(Tabelle2[[#This Row],[vx]]*Tabelle2[[#This Row],[vx]]+Tabelle2[[#This Row],[vy]]*Tabelle2[[#This Row],[vy]])</f>
        <v>68.837269603174761</v>
      </c>
      <c r="S93">
        <f t="shared" si="20"/>
        <v>94.206549583529011</v>
      </c>
      <c r="T93" s="1">
        <f t="shared" si="21"/>
        <v>98.093218692702578</v>
      </c>
    </row>
    <row r="94" spans="6:20" x14ac:dyDescent="0.35">
      <c r="F94" s="1">
        <f t="shared" si="17"/>
        <v>1.8200000000000012</v>
      </c>
      <c r="G94">
        <f>1/2*$B$8*$B$6*$B$7*(Tabelle2[[#This Row],[vx]]*Tabelle2[[#This Row],[vx]]+Tabelle2[[#This Row],[vy]]*Tabelle2[[#This Row],[vy]])/1000000</f>
        <v>8.3511745369303405</v>
      </c>
      <c r="H94">
        <f>IF($B$3,-Tabelle2[[#This Row],[Fd]]*Tabelle2[[#This Row],[vx]]/Tabelle2[[#This Row],[v]],0)</f>
        <v>0</v>
      </c>
      <c r="I94">
        <f t="shared" si="11"/>
        <v>0</v>
      </c>
      <c r="J94">
        <f t="shared" si="12"/>
        <v>0</v>
      </c>
      <c r="K94">
        <f t="shared" si="13"/>
        <v>1.0467394398169905</v>
      </c>
      <c r="L94">
        <f>-$B$5*$B$12-IF($B$3,Tabelle2[[#This Row],[Fd]]*Tabelle2[[#This Row],[vy]]/Tabelle2[[#This Row],[v]],0)</f>
        <v>-14.715</v>
      </c>
      <c r="M94">
        <f t="shared" si="14"/>
        <v>-9.81</v>
      </c>
      <c r="N94">
        <f t="shared" si="15"/>
        <v>-0.19620000000000001</v>
      </c>
      <c r="O94">
        <f t="shared" si="16"/>
        <v>0.88840948791195407</v>
      </c>
      <c r="P94" s="1">
        <f t="shared" si="18"/>
        <v>52.336971990849527</v>
      </c>
      <c r="Q94" s="1">
        <f t="shared" si="19"/>
        <v>44.518574395597703</v>
      </c>
      <c r="R94">
        <f>SQRT(Tabelle2[[#This Row],[vx]]*Tabelle2[[#This Row],[vx]]+Tabelle2[[#This Row],[vy]]*Tabelle2[[#This Row],[vy]])</f>
        <v>68.709985470725684</v>
      </c>
      <c r="S94">
        <f t="shared" si="20"/>
        <v>95.253289023345999</v>
      </c>
      <c r="T94" s="1">
        <f t="shared" si="21"/>
        <v>98.985552180614533</v>
      </c>
    </row>
    <row r="95" spans="6:20" x14ac:dyDescent="0.35">
      <c r="F95" s="1">
        <f t="shared" si="17"/>
        <v>1.8400000000000012</v>
      </c>
      <c r="G95">
        <f>1/2*$B$8*$B$6*$B$7*(Tabelle2[[#This Row],[vx]]*Tabelle2[[#This Row],[vx]]+Tabelle2[[#This Row],[vy]]*Tabelle2[[#This Row],[vy]])/1000000</f>
        <v>8.3203412348332879</v>
      </c>
      <c r="H95">
        <f>IF($B$3,-Tabelle2[[#This Row],[Fd]]*Tabelle2[[#This Row],[vx]]/Tabelle2[[#This Row],[v]],0)</f>
        <v>0</v>
      </c>
      <c r="I95">
        <f t="shared" si="11"/>
        <v>0</v>
      </c>
      <c r="J95">
        <f t="shared" si="12"/>
        <v>0</v>
      </c>
      <c r="K95">
        <f t="shared" si="13"/>
        <v>1.0467394398169905</v>
      </c>
      <c r="L95">
        <f>-$B$5*$B$12-IF($B$3,Tabelle2[[#This Row],[Fd]]*Tabelle2[[#This Row],[vy]]/Tabelle2[[#This Row],[v]],0)</f>
        <v>-14.715</v>
      </c>
      <c r="M95">
        <f t="shared" si="14"/>
        <v>-9.81</v>
      </c>
      <c r="N95">
        <f t="shared" si="15"/>
        <v>-0.19620000000000001</v>
      </c>
      <c r="O95">
        <f t="shared" si="16"/>
        <v>0.88448548791195414</v>
      </c>
      <c r="P95" s="1">
        <f t="shared" si="18"/>
        <v>52.336971990849527</v>
      </c>
      <c r="Q95" s="1">
        <f t="shared" si="19"/>
        <v>44.322374395597706</v>
      </c>
      <c r="R95">
        <f>SQRT(Tabelle2[[#This Row],[vx]]*Tabelle2[[#This Row],[vx]]+Tabelle2[[#This Row],[vy]]*Tabelle2[[#This Row],[vy]])</f>
        <v>68.583026393084339</v>
      </c>
      <c r="S95">
        <f t="shared" si="20"/>
        <v>96.300028463162988</v>
      </c>
      <c r="T95" s="1">
        <f t="shared" si="21"/>
        <v>99.873961668526491</v>
      </c>
    </row>
    <row r="96" spans="6:20" x14ac:dyDescent="0.35">
      <c r="F96" s="1">
        <f t="shared" si="17"/>
        <v>1.8600000000000012</v>
      </c>
      <c r="G96">
        <f>1/2*$B$8*$B$6*$B$7*(Tabelle2[[#This Row],[vx]]*Tabelle2[[#This Row],[vx]]+Tabelle2[[#This Row],[vy]]*Tabelle2[[#This Row],[vy]])/1000000</f>
        <v>8.2896441197975754</v>
      </c>
      <c r="H96">
        <f>IF($B$3,-Tabelle2[[#This Row],[Fd]]*Tabelle2[[#This Row],[vx]]/Tabelle2[[#This Row],[v]],0)</f>
        <v>0</v>
      </c>
      <c r="I96">
        <f t="shared" si="11"/>
        <v>0</v>
      </c>
      <c r="J96">
        <f t="shared" si="12"/>
        <v>0</v>
      </c>
      <c r="K96">
        <f t="shared" si="13"/>
        <v>1.0467394398169905</v>
      </c>
      <c r="L96">
        <f>-$B$5*$B$12-IF($B$3,Tabelle2[[#This Row],[Fd]]*Tabelle2[[#This Row],[vy]]/Tabelle2[[#This Row],[v]],0)</f>
        <v>-14.715</v>
      </c>
      <c r="M96">
        <f t="shared" si="14"/>
        <v>-9.81</v>
      </c>
      <c r="N96">
        <f t="shared" si="15"/>
        <v>-0.19620000000000001</v>
      </c>
      <c r="O96">
        <f t="shared" si="16"/>
        <v>0.8805614879119541</v>
      </c>
      <c r="P96" s="1">
        <f t="shared" si="18"/>
        <v>52.336971990849527</v>
      </c>
      <c r="Q96" s="1">
        <f t="shared" si="19"/>
        <v>44.126174395597708</v>
      </c>
      <c r="R96">
        <f>SQRT(Tabelle2[[#This Row],[vx]]*Tabelle2[[#This Row],[vx]]+Tabelle2[[#This Row],[vy]]*Tabelle2[[#This Row],[vy]])</f>
        <v>68.456394178788514</v>
      </c>
      <c r="S96">
        <f t="shared" si="20"/>
        <v>97.346767902979977</v>
      </c>
      <c r="T96" s="1">
        <f t="shared" si="21"/>
        <v>100.75844715643845</v>
      </c>
    </row>
    <row r="97" spans="6:20" x14ac:dyDescent="0.35">
      <c r="F97" s="1">
        <f t="shared" si="17"/>
        <v>1.8800000000000012</v>
      </c>
      <c r="G97">
        <f>1/2*$B$8*$B$6*$B$7*(Tabelle2[[#This Row],[vx]]*Tabelle2[[#This Row],[vx]]+Tabelle2[[#This Row],[vy]]*Tabelle2[[#This Row],[vy]])/1000000</f>
        <v>8.2590831918232084</v>
      </c>
      <c r="H97">
        <f>IF($B$3,-Tabelle2[[#This Row],[Fd]]*Tabelle2[[#This Row],[vx]]/Tabelle2[[#This Row],[v]],0)</f>
        <v>0</v>
      </c>
      <c r="I97">
        <f t="shared" si="11"/>
        <v>0</v>
      </c>
      <c r="J97">
        <f t="shared" si="12"/>
        <v>0</v>
      </c>
      <c r="K97">
        <f t="shared" si="13"/>
        <v>1.0467394398169905</v>
      </c>
      <c r="L97">
        <f>-$B$5*$B$12-IF($B$3,Tabelle2[[#This Row],[Fd]]*Tabelle2[[#This Row],[vy]]/Tabelle2[[#This Row],[v]],0)</f>
        <v>-14.715</v>
      </c>
      <c r="M97">
        <f t="shared" si="14"/>
        <v>-9.81</v>
      </c>
      <c r="N97">
        <f t="shared" si="15"/>
        <v>-0.19620000000000001</v>
      </c>
      <c r="O97">
        <f t="shared" si="16"/>
        <v>0.87663748791195417</v>
      </c>
      <c r="P97" s="1">
        <f t="shared" si="18"/>
        <v>52.336971990849527</v>
      </c>
      <c r="Q97" s="1">
        <f t="shared" si="19"/>
        <v>43.929974395597711</v>
      </c>
      <c r="R97">
        <f>SQRT(Tabelle2[[#This Row],[vx]]*Tabelle2[[#This Row],[vx]]+Tabelle2[[#This Row],[vy]]*Tabelle2[[#This Row],[vy]])</f>
        <v>68.330090645109181</v>
      </c>
      <c r="S97">
        <f t="shared" si="20"/>
        <v>98.393507342796966</v>
      </c>
      <c r="T97" s="1">
        <f t="shared" si="21"/>
        <v>101.6390086443504</v>
      </c>
    </row>
    <row r="98" spans="6:20" x14ac:dyDescent="0.35">
      <c r="F98" s="1">
        <f t="shared" si="17"/>
        <v>1.9000000000000012</v>
      </c>
      <c r="G98">
        <f>1/2*$B$8*$B$6*$B$7*(Tabelle2[[#This Row],[vx]]*Tabelle2[[#This Row],[vx]]+Tabelle2[[#This Row],[vy]]*Tabelle2[[#This Row],[vy]])/1000000</f>
        <v>8.228658450910185</v>
      </c>
      <c r="H98">
        <f>IF($B$3,-Tabelle2[[#This Row],[Fd]]*Tabelle2[[#This Row],[vx]]/Tabelle2[[#This Row],[v]],0)</f>
        <v>0</v>
      </c>
      <c r="I98">
        <f t="shared" si="11"/>
        <v>0</v>
      </c>
      <c r="J98">
        <f t="shared" si="12"/>
        <v>0</v>
      </c>
      <c r="K98">
        <f t="shared" si="13"/>
        <v>1.0467394398169905</v>
      </c>
      <c r="L98">
        <f>-$B$5*$B$12-IF($B$3,Tabelle2[[#This Row],[Fd]]*Tabelle2[[#This Row],[vy]]/Tabelle2[[#This Row],[v]],0)</f>
        <v>-14.715</v>
      </c>
      <c r="M98">
        <f t="shared" si="14"/>
        <v>-9.81</v>
      </c>
      <c r="N98">
        <f t="shared" si="15"/>
        <v>-0.19620000000000001</v>
      </c>
      <c r="O98">
        <f t="shared" si="16"/>
        <v>0.87271348791195424</v>
      </c>
      <c r="P98" s="1">
        <f t="shared" si="18"/>
        <v>52.336971990849527</v>
      </c>
      <c r="Q98" s="1">
        <f t="shared" si="19"/>
        <v>43.733774395597713</v>
      </c>
      <c r="R98">
        <f>SQRT(Tabelle2[[#This Row],[vx]]*Tabelle2[[#This Row],[vx]]+Tabelle2[[#This Row],[vy]]*Tabelle2[[#This Row],[vy]])</f>
        <v>68.204117618044194</v>
      </c>
      <c r="S98">
        <f t="shared" si="20"/>
        <v>99.440246782613954</v>
      </c>
      <c r="T98" s="1">
        <f t="shared" si="21"/>
        <v>102.51564613226235</v>
      </c>
    </row>
    <row r="99" spans="6:20" x14ac:dyDescent="0.35">
      <c r="F99" s="1">
        <f t="shared" si="17"/>
        <v>1.9200000000000013</v>
      </c>
      <c r="G99">
        <f>1/2*$B$8*$B$6*$B$7*(Tabelle2[[#This Row],[vx]]*Tabelle2[[#This Row],[vx]]+Tabelle2[[#This Row],[vy]]*Tabelle2[[#This Row],[vy]])/1000000</f>
        <v>8.1983698970585053</v>
      </c>
      <c r="H99">
        <f>IF($B$3,-Tabelle2[[#This Row],[Fd]]*Tabelle2[[#This Row],[vx]]/Tabelle2[[#This Row],[v]],0)</f>
        <v>0</v>
      </c>
      <c r="I99">
        <f t="shared" si="11"/>
        <v>0</v>
      </c>
      <c r="J99">
        <f t="shared" si="12"/>
        <v>0</v>
      </c>
      <c r="K99">
        <f t="shared" si="13"/>
        <v>1.0467394398169905</v>
      </c>
      <c r="L99">
        <f>-$B$5*$B$12-IF($B$3,Tabelle2[[#This Row],[Fd]]*Tabelle2[[#This Row],[vy]]/Tabelle2[[#This Row],[v]],0)</f>
        <v>-14.715</v>
      </c>
      <c r="M99">
        <f t="shared" si="14"/>
        <v>-9.81</v>
      </c>
      <c r="N99">
        <f t="shared" si="15"/>
        <v>-0.19620000000000001</v>
      </c>
      <c r="O99">
        <f t="shared" si="16"/>
        <v>0.86878948791195432</v>
      </c>
      <c r="P99" s="1">
        <f t="shared" si="18"/>
        <v>52.336971990849527</v>
      </c>
      <c r="Q99" s="1">
        <f t="shared" si="19"/>
        <v>43.537574395597716</v>
      </c>
      <c r="R99">
        <f>SQRT(Tabelle2[[#This Row],[vx]]*Tabelle2[[#This Row],[vx]]+Tabelle2[[#This Row],[vy]]*Tabelle2[[#This Row],[vy]])</f>
        <v>68.078476932310792</v>
      </c>
      <c r="S99">
        <f t="shared" si="20"/>
        <v>100.48698622243094</v>
      </c>
      <c r="T99" s="1">
        <f t="shared" si="21"/>
        <v>103.3883596201743</v>
      </c>
    </row>
    <row r="100" spans="6:20" x14ac:dyDescent="0.35">
      <c r="F100" s="1">
        <f t="shared" si="17"/>
        <v>1.9400000000000013</v>
      </c>
      <c r="G100">
        <f>1/2*$B$8*$B$6*$B$7*(Tabelle2[[#This Row],[vx]]*Tabelle2[[#This Row],[vx]]+Tabelle2[[#This Row],[vy]]*Tabelle2[[#This Row],[vy]])/1000000</f>
        <v>8.168217530268171</v>
      </c>
      <c r="H100">
        <f>IF($B$3,-Tabelle2[[#This Row],[Fd]]*Tabelle2[[#This Row],[vx]]/Tabelle2[[#This Row],[v]],0)</f>
        <v>0</v>
      </c>
      <c r="I100">
        <f t="shared" si="11"/>
        <v>0</v>
      </c>
      <c r="J100">
        <f t="shared" si="12"/>
        <v>0</v>
      </c>
      <c r="K100">
        <f t="shared" si="13"/>
        <v>1.0467394398169905</v>
      </c>
      <c r="L100">
        <f>-$B$5*$B$12-IF($B$3,Tabelle2[[#This Row],[Fd]]*Tabelle2[[#This Row],[vy]]/Tabelle2[[#This Row],[v]],0)</f>
        <v>-14.715</v>
      </c>
      <c r="M100">
        <f t="shared" si="14"/>
        <v>-9.81</v>
      </c>
      <c r="N100">
        <f t="shared" si="15"/>
        <v>-0.19620000000000001</v>
      </c>
      <c r="O100">
        <f t="shared" si="16"/>
        <v>0.86486548791195439</v>
      </c>
      <c r="P100" s="1">
        <f t="shared" si="18"/>
        <v>52.336971990849527</v>
      </c>
      <c r="Q100" s="1">
        <f t="shared" si="19"/>
        <v>43.341374395597718</v>
      </c>
      <c r="R100">
        <f>SQRT(Tabelle2[[#This Row],[vx]]*Tabelle2[[#This Row],[vx]]+Tabelle2[[#This Row],[vy]]*Tabelle2[[#This Row],[vy]])</f>
        <v>67.953170431337057</v>
      </c>
      <c r="S100">
        <f t="shared" si="20"/>
        <v>101.53372566224793</v>
      </c>
      <c r="T100" s="1">
        <f t="shared" si="21"/>
        <v>104.25714910808625</v>
      </c>
    </row>
    <row r="101" spans="6:20" x14ac:dyDescent="0.35">
      <c r="F101" s="1">
        <f t="shared" si="17"/>
        <v>1.9600000000000013</v>
      </c>
      <c r="G101">
        <f>1/2*$B$8*$B$6*$B$7*(Tabelle2[[#This Row],[vx]]*Tabelle2[[#This Row],[vx]]+Tabelle2[[#This Row],[vy]]*Tabelle2[[#This Row],[vy]])/1000000</f>
        <v>8.1382013505391786</v>
      </c>
      <c r="H101">
        <f>IF($B$3,-Tabelle2[[#This Row],[Fd]]*Tabelle2[[#This Row],[vx]]/Tabelle2[[#This Row],[v]],0)</f>
        <v>0</v>
      </c>
      <c r="I101">
        <f t="shared" si="11"/>
        <v>0</v>
      </c>
      <c r="J101">
        <f t="shared" si="12"/>
        <v>0</v>
      </c>
      <c r="K101">
        <f t="shared" si="13"/>
        <v>1.0467394398169905</v>
      </c>
      <c r="L101">
        <f>-$B$5*$B$12-IF($B$3,Tabelle2[[#This Row],[Fd]]*Tabelle2[[#This Row],[vy]]/Tabelle2[[#This Row],[v]],0)</f>
        <v>-14.715</v>
      </c>
      <c r="M101">
        <f t="shared" si="14"/>
        <v>-9.81</v>
      </c>
      <c r="N101">
        <f t="shared" si="15"/>
        <v>-0.19620000000000001</v>
      </c>
      <c r="O101">
        <f t="shared" si="16"/>
        <v>0.86094148791195435</v>
      </c>
      <c r="P101" s="1">
        <f t="shared" si="18"/>
        <v>52.336971990849527</v>
      </c>
      <c r="Q101" s="1">
        <f t="shared" si="19"/>
        <v>43.145174395597721</v>
      </c>
      <c r="R101">
        <f>SQRT(Tabelle2[[#This Row],[vx]]*Tabelle2[[#This Row],[vx]]+Tabelle2[[#This Row],[vy]]*Tabelle2[[#This Row],[vy]])</f>
        <v>67.828199967251891</v>
      </c>
      <c r="S101">
        <f t="shared" si="20"/>
        <v>102.58046510206492</v>
      </c>
      <c r="T101" s="1">
        <f t="shared" si="21"/>
        <v>105.12201459599821</v>
      </c>
    </row>
    <row r="102" spans="6:20" x14ac:dyDescent="0.35">
      <c r="F102" s="1">
        <f t="shared" si="17"/>
        <v>1.9800000000000013</v>
      </c>
      <c r="G102">
        <f>1/2*$B$8*$B$6*$B$7*(Tabelle2[[#This Row],[vx]]*Tabelle2[[#This Row],[vx]]+Tabelle2[[#This Row],[vy]]*Tabelle2[[#This Row],[vy]])/1000000</f>
        <v>8.1083213578715316</v>
      </c>
      <c r="H102">
        <f>IF($B$3,-Tabelle2[[#This Row],[Fd]]*Tabelle2[[#This Row],[vx]]/Tabelle2[[#This Row],[v]],0)</f>
        <v>0</v>
      </c>
      <c r="I102">
        <f t="shared" si="11"/>
        <v>0</v>
      </c>
      <c r="J102">
        <f t="shared" si="12"/>
        <v>0</v>
      </c>
      <c r="K102">
        <f t="shared" si="13"/>
        <v>1.0467394398169905</v>
      </c>
      <c r="L102">
        <f>-$B$5*$B$12-IF($B$3,Tabelle2[[#This Row],[Fd]]*Tabelle2[[#This Row],[vy]]/Tabelle2[[#This Row],[v]],0)</f>
        <v>-14.715</v>
      </c>
      <c r="M102">
        <f t="shared" si="14"/>
        <v>-9.81</v>
      </c>
      <c r="N102">
        <f t="shared" si="15"/>
        <v>-0.19620000000000001</v>
      </c>
      <c r="O102">
        <f t="shared" si="16"/>
        <v>0.85701748791195442</v>
      </c>
      <c r="P102" s="1">
        <f t="shared" si="18"/>
        <v>52.336971990849527</v>
      </c>
      <c r="Q102" s="1">
        <f t="shared" si="19"/>
        <v>42.948974395597723</v>
      </c>
      <c r="R102">
        <f>SQRT(Tabelle2[[#This Row],[vx]]*Tabelle2[[#This Row],[vx]]+Tabelle2[[#This Row],[vy]]*Tabelle2[[#This Row],[vy]])</f>
        <v>67.703567400873908</v>
      </c>
      <c r="S102">
        <f t="shared" si="20"/>
        <v>103.62720454188191</v>
      </c>
      <c r="T102" s="1">
        <f t="shared" si="21"/>
        <v>105.98295608391017</v>
      </c>
    </row>
    <row r="103" spans="6:20" x14ac:dyDescent="0.35">
      <c r="F103" s="1">
        <f t="shared" si="17"/>
        <v>2.0000000000000013</v>
      </c>
      <c r="G103">
        <f>1/2*$B$8*$B$6*$B$7*(Tabelle2[[#This Row],[vx]]*Tabelle2[[#This Row],[vx]]+Tabelle2[[#This Row],[vy]]*Tabelle2[[#This Row],[vy]])/1000000</f>
        <v>8.0785775522652283</v>
      </c>
      <c r="H103">
        <f>IF($B$3,-Tabelle2[[#This Row],[Fd]]*Tabelle2[[#This Row],[vx]]/Tabelle2[[#This Row],[v]],0)</f>
        <v>0</v>
      </c>
      <c r="I103">
        <f t="shared" si="11"/>
        <v>0</v>
      </c>
      <c r="J103">
        <f t="shared" si="12"/>
        <v>0</v>
      </c>
      <c r="K103">
        <f t="shared" si="13"/>
        <v>1.0467394398169905</v>
      </c>
      <c r="L103">
        <f>-$B$5*$B$12-IF($B$3,Tabelle2[[#This Row],[Fd]]*Tabelle2[[#This Row],[vy]]/Tabelle2[[#This Row],[v]],0)</f>
        <v>-14.715</v>
      </c>
      <c r="M103">
        <f t="shared" si="14"/>
        <v>-9.81</v>
      </c>
      <c r="N103">
        <f t="shared" si="15"/>
        <v>-0.19620000000000001</v>
      </c>
      <c r="O103">
        <f t="shared" si="16"/>
        <v>0.8530934879119545</v>
      </c>
      <c r="P103" s="1">
        <f t="shared" si="18"/>
        <v>52.336971990849527</v>
      </c>
      <c r="Q103" s="1">
        <f t="shared" si="19"/>
        <v>42.752774395597726</v>
      </c>
      <c r="R103">
        <f>SQRT(Tabelle2[[#This Row],[vx]]*Tabelle2[[#This Row],[vx]]+Tabelle2[[#This Row],[vy]]*Tabelle2[[#This Row],[vy]])</f>
        <v>67.579274601699041</v>
      </c>
      <c r="S103">
        <f t="shared" si="20"/>
        <v>104.6739439816989</v>
      </c>
      <c r="T103" s="1">
        <f t="shared" si="21"/>
        <v>106.83997357182213</v>
      </c>
    </row>
    <row r="104" spans="6:20" x14ac:dyDescent="0.35">
      <c r="F104" s="1">
        <f t="shared" si="17"/>
        <v>2.0200000000000014</v>
      </c>
      <c r="G104">
        <f>1/2*$B$8*$B$6*$B$7*(Tabelle2[[#This Row],[vx]]*Tabelle2[[#This Row],[vx]]+Tabelle2[[#This Row],[vy]]*Tabelle2[[#This Row],[vy]])/1000000</f>
        <v>8.0489699337202705</v>
      </c>
      <c r="H104">
        <f>IF($B$3,-Tabelle2[[#This Row],[Fd]]*Tabelle2[[#This Row],[vx]]/Tabelle2[[#This Row],[v]],0)</f>
        <v>0</v>
      </c>
      <c r="I104">
        <f t="shared" si="11"/>
        <v>0</v>
      </c>
      <c r="J104">
        <f t="shared" si="12"/>
        <v>0</v>
      </c>
      <c r="K104">
        <f t="shared" si="13"/>
        <v>1.0467394398169905</v>
      </c>
      <c r="L104">
        <f>-$B$5*$B$12-IF($B$3,Tabelle2[[#This Row],[Fd]]*Tabelle2[[#This Row],[vy]]/Tabelle2[[#This Row],[v]],0)</f>
        <v>-14.715</v>
      </c>
      <c r="M104">
        <f t="shared" si="14"/>
        <v>-9.81</v>
      </c>
      <c r="N104">
        <f t="shared" si="15"/>
        <v>-0.19620000000000001</v>
      </c>
      <c r="O104">
        <f t="shared" si="16"/>
        <v>0.84916948791195457</v>
      </c>
      <c r="P104" s="1">
        <f t="shared" si="18"/>
        <v>52.336971990849527</v>
      </c>
      <c r="Q104" s="1">
        <f t="shared" si="19"/>
        <v>42.556574395597728</v>
      </c>
      <c r="R104">
        <f>SQRT(Tabelle2[[#This Row],[vx]]*Tabelle2[[#This Row],[vx]]+Tabelle2[[#This Row],[vy]]*Tabelle2[[#This Row],[vy]])</f>
        <v>67.455323447886698</v>
      </c>
      <c r="S104">
        <f t="shared" si="20"/>
        <v>105.72068342151589</v>
      </c>
      <c r="T104" s="1">
        <f t="shared" si="21"/>
        <v>107.69306705973408</v>
      </c>
    </row>
    <row r="105" spans="6:20" x14ac:dyDescent="0.35">
      <c r="F105" s="1">
        <f t="shared" si="17"/>
        <v>2.0400000000000014</v>
      </c>
      <c r="G105">
        <f>1/2*$B$8*$B$6*$B$7*(Tabelle2[[#This Row],[vx]]*Tabelle2[[#This Row],[vx]]+Tabelle2[[#This Row],[vy]]*Tabelle2[[#This Row],[vy]])/1000000</f>
        <v>8.0194985022366527</v>
      </c>
      <c r="H105">
        <f>IF($B$3,-Tabelle2[[#This Row],[Fd]]*Tabelle2[[#This Row],[vx]]/Tabelle2[[#This Row],[v]],0)</f>
        <v>0</v>
      </c>
      <c r="I105">
        <f t="shared" si="11"/>
        <v>0</v>
      </c>
      <c r="J105">
        <f t="shared" si="12"/>
        <v>0</v>
      </c>
      <c r="K105">
        <f t="shared" si="13"/>
        <v>1.0467394398169905</v>
      </c>
      <c r="L105">
        <f>-$B$5*$B$12-IF($B$3,Tabelle2[[#This Row],[Fd]]*Tabelle2[[#This Row],[vy]]/Tabelle2[[#This Row],[v]],0)</f>
        <v>-14.715</v>
      </c>
      <c r="M105">
        <f t="shared" si="14"/>
        <v>-9.81</v>
      </c>
      <c r="N105">
        <f t="shared" si="15"/>
        <v>-0.19620000000000001</v>
      </c>
      <c r="O105">
        <f t="shared" si="16"/>
        <v>0.84524548791195464</v>
      </c>
      <c r="P105" s="1">
        <f t="shared" si="18"/>
        <v>52.336971990849527</v>
      </c>
      <c r="Q105" s="1">
        <f t="shared" si="19"/>
        <v>42.360374395597731</v>
      </c>
      <c r="R105">
        <f>SQRT(Tabelle2[[#This Row],[vx]]*Tabelle2[[#This Row],[vx]]+Tabelle2[[#This Row],[vy]]*Tabelle2[[#This Row],[vy]])</f>
        <v>67.331715826244761</v>
      </c>
      <c r="S105">
        <f t="shared" si="20"/>
        <v>106.76742286133288</v>
      </c>
      <c r="T105" s="1">
        <f t="shared" si="21"/>
        <v>108.54223654764603</v>
      </c>
    </row>
    <row r="106" spans="6:20" x14ac:dyDescent="0.35">
      <c r="F106" s="1">
        <f t="shared" si="17"/>
        <v>2.0600000000000014</v>
      </c>
      <c r="G106">
        <f>1/2*$B$8*$B$6*$B$7*(Tabelle2[[#This Row],[vx]]*Tabelle2[[#This Row],[vx]]+Tabelle2[[#This Row],[vy]]*Tabelle2[[#This Row],[vy]])/1000000</f>
        <v>7.9901632578143831</v>
      </c>
      <c r="H106">
        <f>IF($B$3,-Tabelle2[[#This Row],[Fd]]*Tabelle2[[#This Row],[vx]]/Tabelle2[[#This Row],[v]],0)</f>
        <v>0</v>
      </c>
      <c r="I106">
        <f t="shared" si="11"/>
        <v>0</v>
      </c>
      <c r="J106">
        <f t="shared" si="12"/>
        <v>0</v>
      </c>
      <c r="K106">
        <f t="shared" si="13"/>
        <v>1.0467394398169905</v>
      </c>
      <c r="L106">
        <f>-$B$5*$B$12-IF($B$3,Tabelle2[[#This Row],[Fd]]*Tabelle2[[#This Row],[vy]]/Tabelle2[[#This Row],[v]],0)</f>
        <v>-14.715</v>
      </c>
      <c r="M106">
        <f t="shared" si="14"/>
        <v>-9.81</v>
      </c>
      <c r="N106">
        <f t="shared" si="15"/>
        <v>-0.19620000000000001</v>
      </c>
      <c r="O106">
        <f t="shared" si="16"/>
        <v>0.8413214879119546</v>
      </c>
      <c r="P106" s="1">
        <f t="shared" si="18"/>
        <v>52.336971990849527</v>
      </c>
      <c r="Q106" s="1">
        <f t="shared" si="19"/>
        <v>42.164174395597733</v>
      </c>
      <c r="R106">
        <f>SQRT(Tabelle2[[#This Row],[vx]]*Tabelle2[[#This Row],[vx]]+Tabelle2[[#This Row],[vy]]*Tabelle2[[#This Row],[vy]])</f>
        <v>67.208453632213164</v>
      </c>
      <c r="S106">
        <f t="shared" si="20"/>
        <v>107.81416230114986</v>
      </c>
      <c r="T106" s="1">
        <f t="shared" si="21"/>
        <v>109.38748203555798</v>
      </c>
    </row>
    <row r="107" spans="6:20" x14ac:dyDescent="0.35">
      <c r="F107" s="1">
        <f t="shared" si="17"/>
        <v>2.0800000000000014</v>
      </c>
      <c r="G107">
        <f>1/2*$B$8*$B$6*$B$7*(Tabelle2[[#This Row],[vx]]*Tabelle2[[#This Row],[vx]]+Tabelle2[[#This Row],[vy]]*Tabelle2[[#This Row],[vy]])/1000000</f>
        <v>7.9609642004534553</v>
      </c>
      <c r="H107">
        <f>IF($B$3,-Tabelle2[[#This Row],[Fd]]*Tabelle2[[#This Row],[vx]]/Tabelle2[[#This Row],[v]],0)</f>
        <v>0</v>
      </c>
      <c r="I107">
        <f t="shared" si="11"/>
        <v>0</v>
      </c>
      <c r="J107">
        <f t="shared" si="12"/>
        <v>0</v>
      </c>
      <c r="K107">
        <f t="shared" si="13"/>
        <v>1.0467394398169905</v>
      </c>
      <c r="L107">
        <f>-$B$5*$B$12-IF($B$3,Tabelle2[[#This Row],[Fd]]*Tabelle2[[#This Row],[vy]]/Tabelle2[[#This Row],[v]],0)</f>
        <v>-14.715</v>
      </c>
      <c r="M107">
        <f t="shared" si="14"/>
        <v>-9.81</v>
      </c>
      <c r="N107">
        <f t="shared" si="15"/>
        <v>-0.19620000000000001</v>
      </c>
      <c r="O107">
        <f t="shared" si="16"/>
        <v>0.83739748791195467</v>
      </c>
      <c r="P107" s="1">
        <f t="shared" si="18"/>
        <v>52.336971990849527</v>
      </c>
      <c r="Q107" s="1">
        <f t="shared" si="19"/>
        <v>41.967974395597736</v>
      </c>
      <c r="R107">
        <f>SQRT(Tabelle2[[#This Row],[vx]]*Tabelle2[[#This Row],[vx]]+Tabelle2[[#This Row],[vy]]*Tabelle2[[#This Row],[vy]])</f>
        <v>67.085538769846025</v>
      </c>
      <c r="S107">
        <f t="shared" si="20"/>
        <v>108.86090174096685</v>
      </c>
      <c r="T107" s="1">
        <f t="shared" si="21"/>
        <v>110.22880352346994</v>
      </c>
    </row>
    <row r="108" spans="6:20" x14ac:dyDescent="0.35">
      <c r="F108" s="1">
        <f t="shared" si="17"/>
        <v>2.1000000000000014</v>
      </c>
      <c r="G108">
        <f>1/2*$B$8*$B$6*$B$7*(Tabelle2[[#This Row],[vx]]*Tabelle2[[#This Row],[vx]]+Tabelle2[[#This Row],[vy]]*Tabelle2[[#This Row],[vy]])/1000000</f>
        <v>7.9319013301538721</v>
      </c>
      <c r="H108">
        <f>IF($B$3,-Tabelle2[[#This Row],[Fd]]*Tabelle2[[#This Row],[vx]]/Tabelle2[[#This Row],[v]],0)</f>
        <v>0</v>
      </c>
      <c r="I108">
        <f t="shared" si="11"/>
        <v>0</v>
      </c>
      <c r="J108">
        <f t="shared" si="12"/>
        <v>0</v>
      </c>
      <c r="K108">
        <f t="shared" si="13"/>
        <v>1.0467394398169905</v>
      </c>
      <c r="L108">
        <f>-$B$5*$B$12-IF($B$3,Tabelle2[[#This Row],[Fd]]*Tabelle2[[#This Row],[vy]]/Tabelle2[[#This Row],[v]],0)</f>
        <v>-14.715</v>
      </c>
      <c r="M108">
        <f t="shared" si="14"/>
        <v>-9.81</v>
      </c>
      <c r="N108">
        <f t="shared" si="15"/>
        <v>-0.19620000000000001</v>
      </c>
      <c r="O108">
        <f t="shared" si="16"/>
        <v>0.83347348791195475</v>
      </c>
      <c r="P108" s="1">
        <f t="shared" si="18"/>
        <v>52.336971990849527</v>
      </c>
      <c r="Q108" s="1">
        <f t="shared" si="19"/>
        <v>41.771774395597738</v>
      </c>
      <c r="R108">
        <f>SQRT(Tabelle2[[#This Row],[vx]]*Tabelle2[[#This Row],[vx]]+Tabelle2[[#This Row],[vy]]*Tabelle2[[#This Row],[vy]])</f>
        <v>66.962973151792497</v>
      </c>
      <c r="S108">
        <f t="shared" si="20"/>
        <v>109.90764118078384</v>
      </c>
      <c r="T108" s="1">
        <f t="shared" si="21"/>
        <v>111.06620101138189</v>
      </c>
    </row>
    <row r="109" spans="6:20" x14ac:dyDescent="0.35">
      <c r="F109" s="1">
        <f t="shared" si="17"/>
        <v>2.1200000000000014</v>
      </c>
      <c r="G109">
        <f>1/2*$B$8*$B$6*$B$7*(Tabelle2[[#This Row],[vx]]*Tabelle2[[#This Row],[vx]]+Tabelle2[[#This Row],[vy]]*Tabelle2[[#This Row],[vy]])/1000000</f>
        <v>7.9029746469156334</v>
      </c>
      <c r="H109">
        <f>IF($B$3,-Tabelle2[[#This Row],[Fd]]*Tabelle2[[#This Row],[vx]]/Tabelle2[[#This Row],[v]],0)</f>
        <v>0</v>
      </c>
      <c r="I109">
        <f t="shared" si="11"/>
        <v>0</v>
      </c>
      <c r="J109">
        <f t="shared" si="12"/>
        <v>0</v>
      </c>
      <c r="K109">
        <f t="shared" si="13"/>
        <v>1.0467394398169905</v>
      </c>
      <c r="L109">
        <f>-$B$5*$B$12-IF($B$3,Tabelle2[[#This Row],[Fd]]*Tabelle2[[#This Row],[vy]]/Tabelle2[[#This Row],[v]],0)</f>
        <v>-14.715</v>
      </c>
      <c r="M109">
        <f t="shared" si="14"/>
        <v>-9.81</v>
      </c>
      <c r="N109">
        <f t="shared" si="15"/>
        <v>-0.19620000000000001</v>
      </c>
      <c r="O109">
        <f t="shared" si="16"/>
        <v>0.82954948791195482</v>
      </c>
      <c r="P109" s="1">
        <f t="shared" si="18"/>
        <v>52.336971990849527</v>
      </c>
      <c r="Q109" s="1">
        <f t="shared" si="19"/>
        <v>41.575574395597741</v>
      </c>
      <c r="R109">
        <f>SQRT(Tabelle2[[#This Row],[vx]]*Tabelle2[[#This Row],[vx]]+Tabelle2[[#This Row],[vy]]*Tabelle2[[#This Row],[vy]])</f>
        <v>66.84075869927608</v>
      </c>
      <c r="S109">
        <f t="shared" si="20"/>
        <v>110.95438062060083</v>
      </c>
      <c r="T109" s="1">
        <f t="shared" si="21"/>
        <v>111.89967449929385</v>
      </c>
    </row>
    <row r="110" spans="6:20" x14ac:dyDescent="0.35">
      <c r="F110" s="1">
        <f t="shared" si="17"/>
        <v>2.1400000000000015</v>
      </c>
      <c r="G110">
        <f>1/2*$B$8*$B$6*$B$7*(Tabelle2[[#This Row],[vx]]*Tabelle2[[#This Row],[vx]]+Tabelle2[[#This Row],[vy]]*Tabelle2[[#This Row],[vy]])/1000000</f>
        <v>7.8741841507387376</v>
      </c>
      <c r="H110">
        <f>IF($B$3,-Tabelle2[[#This Row],[Fd]]*Tabelle2[[#This Row],[vx]]/Tabelle2[[#This Row],[v]],0)</f>
        <v>0</v>
      </c>
      <c r="I110">
        <f t="shared" si="11"/>
        <v>0</v>
      </c>
      <c r="J110">
        <f t="shared" si="12"/>
        <v>0</v>
      </c>
      <c r="K110">
        <f t="shared" si="13"/>
        <v>1.0467394398169905</v>
      </c>
      <c r="L110">
        <f>-$B$5*$B$12-IF($B$3,Tabelle2[[#This Row],[Fd]]*Tabelle2[[#This Row],[vy]]/Tabelle2[[#This Row],[v]],0)</f>
        <v>-14.715</v>
      </c>
      <c r="M110">
        <f t="shared" si="14"/>
        <v>-9.81</v>
      </c>
      <c r="N110">
        <f t="shared" si="15"/>
        <v>-0.19620000000000001</v>
      </c>
      <c r="O110">
        <f t="shared" si="16"/>
        <v>0.82562548791195489</v>
      </c>
      <c r="P110" s="1">
        <f t="shared" si="18"/>
        <v>52.336971990849527</v>
      </c>
      <c r="Q110" s="1">
        <f t="shared" si="19"/>
        <v>41.379374395597743</v>
      </c>
      <c r="R110">
        <f>SQRT(Tabelle2[[#This Row],[vx]]*Tabelle2[[#This Row],[vx]]+Tabelle2[[#This Row],[vy]]*Tabelle2[[#This Row],[vy]])</f>
        <v>66.718897342072566</v>
      </c>
      <c r="S110">
        <f t="shared" si="20"/>
        <v>112.00112006041782</v>
      </c>
      <c r="T110" s="1">
        <f t="shared" si="21"/>
        <v>112.72922398720581</v>
      </c>
    </row>
    <row r="111" spans="6:20" x14ac:dyDescent="0.35">
      <c r="F111" s="1">
        <f t="shared" si="17"/>
        <v>2.1600000000000015</v>
      </c>
      <c r="G111">
        <f>1/2*$B$8*$B$6*$B$7*(Tabelle2[[#This Row],[vx]]*Tabelle2[[#This Row],[vx]]+Tabelle2[[#This Row],[vy]]*Tabelle2[[#This Row],[vy]])/1000000</f>
        <v>7.8455298416231862</v>
      </c>
      <c r="H111">
        <f>IF($B$3,-Tabelle2[[#This Row],[Fd]]*Tabelle2[[#This Row],[vx]]/Tabelle2[[#This Row],[v]],0)</f>
        <v>0</v>
      </c>
      <c r="I111">
        <f t="shared" si="11"/>
        <v>0</v>
      </c>
      <c r="J111">
        <f t="shared" si="12"/>
        <v>0</v>
      </c>
      <c r="K111">
        <f t="shared" si="13"/>
        <v>1.0467394398169905</v>
      </c>
      <c r="L111">
        <f>-$B$5*$B$12-IF($B$3,Tabelle2[[#This Row],[Fd]]*Tabelle2[[#This Row],[vy]]/Tabelle2[[#This Row],[v]],0)</f>
        <v>-14.715</v>
      </c>
      <c r="M111">
        <f t="shared" si="14"/>
        <v>-9.81</v>
      </c>
      <c r="N111">
        <f t="shared" si="15"/>
        <v>-0.19620000000000001</v>
      </c>
      <c r="O111">
        <f t="shared" si="16"/>
        <v>0.82170148791195485</v>
      </c>
      <c r="P111" s="1">
        <f t="shared" si="18"/>
        <v>52.336971990849527</v>
      </c>
      <c r="Q111" s="1">
        <f t="shared" si="19"/>
        <v>41.183174395597746</v>
      </c>
      <c r="R111">
        <f>SQRT(Tabelle2[[#This Row],[vx]]*Tabelle2[[#This Row],[vx]]+Tabelle2[[#This Row],[vy]]*Tabelle2[[#This Row],[vy]])</f>
        <v>66.597391018486491</v>
      </c>
      <c r="S111">
        <f t="shared" si="20"/>
        <v>113.04785950023481</v>
      </c>
      <c r="T111" s="1">
        <f t="shared" si="21"/>
        <v>113.55484947511776</v>
      </c>
    </row>
    <row r="112" spans="6:20" x14ac:dyDescent="0.35">
      <c r="F112" s="1">
        <f t="shared" si="17"/>
        <v>2.1800000000000015</v>
      </c>
      <c r="G112">
        <f>1/2*$B$8*$B$6*$B$7*(Tabelle2[[#This Row],[vx]]*Tabelle2[[#This Row],[vx]]+Tabelle2[[#This Row],[vy]]*Tabelle2[[#This Row],[vy]])/1000000</f>
        <v>7.8170117195689786</v>
      </c>
      <c r="H112">
        <f>IF($B$3,-Tabelle2[[#This Row],[Fd]]*Tabelle2[[#This Row],[vx]]/Tabelle2[[#This Row],[v]],0)</f>
        <v>0</v>
      </c>
      <c r="I112">
        <f t="shared" si="11"/>
        <v>0</v>
      </c>
      <c r="J112">
        <f t="shared" si="12"/>
        <v>0</v>
      </c>
      <c r="K112">
        <f t="shared" si="13"/>
        <v>1.0467394398169905</v>
      </c>
      <c r="L112">
        <f>-$B$5*$B$12-IF($B$3,Tabelle2[[#This Row],[Fd]]*Tabelle2[[#This Row],[vy]]/Tabelle2[[#This Row],[v]],0)</f>
        <v>-14.715</v>
      </c>
      <c r="M112">
        <f t="shared" si="14"/>
        <v>-9.81</v>
      </c>
      <c r="N112">
        <f t="shared" si="15"/>
        <v>-0.19620000000000001</v>
      </c>
      <c r="O112">
        <f t="shared" si="16"/>
        <v>0.81777748791195493</v>
      </c>
      <c r="P112" s="1">
        <f t="shared" si="18"/>
        <v>52.336971990849527</v>
      </c>
      <c r="Q112" s="1">
        <f t="shared" si="19"/>
        <v>40.986974395597748</v>
      </c>
      <c r="R112">
        <f>SQRT(Tabelle2[[#This Row],[vx]]*Tabelle2[[#This Row],[vx]]+Tabelle2[[#This Row],[vy]]*Tabelle2[[#This Row],[vy]])</f>
        <v>66.476241675326023</v>
      </c>
      <c r="S112">
        <f t="shared" si="20"/>
        <v>114.0945989400518</v>
      </c>
      <c r="T112" s="1">
        <f t="shared" si="21"/>
        <v>114.37655096302971</v>
      </c>
    </row>
    <row r="113" spans="6:20" x14ac:dyDescent="0.35">
      <c r="F113" s="1">
        <f t="shared" si="17"/>
        <v>2.2000000000000015</v>
      </c>
      <c r="G113">
        <f>1/2*$B$8*$B$6*$B$7*(Tabelle2[[#This Row],[vx]]*Tabelle2[[#This Row],[vx]]+Tabelle2[[#This Row],[vy]]*Tabelle2[[#This Row],[vy]])/1000000</f>
        <v>7.7886297845761163</v>
      </c>
      <c r="H113">
        <f>IF($B$3,-Tabelle2[[#This Row],[Fd]]*Tabelle2[[#This Row],[vx]]/Tabelle2[[#This Row],[v]],0)</f>
        <v>0</v>
      </c>
      <c r="I113">
        <f t="shared" si="11"/>
        <v>0</v>
      </c>
      <c r="J113">
        <f t="shared" si="12"/>
        <v>0</v>
      </c>
      <c r="K113">
        <f t="shared" si="13"/>
        <v>1.0467394398169905</v>
      </c>
      <c r="L113">
        <f>-$B$5*$B$12-IF($B$3,Tabelle2[[#This Row],[Fd]]*Tabelle2[[#This Row],[vy]]/Tabelle2[[#This Row],[v]],0)</f>
        <v>-14.715</v>
      </c>
      <c r="M113">
        <f t="shared" si="14"/>
        <v>-9.81</v>
      </c>
      <c r="N113">
        <f t="shared" si="15"/>
        <v>-0.19620000000000001</v>
      </c>
      <c r="O113">
        <f t="shared" si="16"/>
        <v>0.813853487911955</v>
      </c>
      <c r="P113" s="1">
        <f t="shared" si="18"/>
        <v>52.336971990849527</v>
      </c>
      <c r="Q113" s="1">
        <f t="shared" si="19"/>
        <v>40.790774395597751</v>
      </c>
      <c r="R113">
        <f>SQRT(Tabelle2[[#This Row],[vx]]*Tabelle2[[#This Row],[vx]]+Tabelle2[[#This Row],[vy]]*Tabelle2[[#This Row],[vy]])</f>
        <v>66.355451267876404</v>
      </c>
      <c r="S113">
        <f t="shared" si="20"/>
        <v>115.14133837986878</v>
      </c>
      <c r="T113" s="1">
        <f t="shared" si="21"/>
        <v>115.19432845094167</v>
      </c>
    </row>
    <row r="114" spans="6:20" x14ac:dyDescent="0.35">
      <c r="F114" s="1">
        <f t="shared" si="17"/>
        <v>2.2200000000000015</v>
      </c>
      <c r="G114">
        <f>1/2*$B$8*$B$6*$B$7*(Tabelle2[[#This Row],[vx]]*Tabelle2[[#This Row],[vx]]+Tabelle2[[#This Row],[vy]]*Tabelle2[[#This Row],[vy]])/1000000</f>
        <v>7.7603840366445969</v>
      </c>
      <c r="H114">
        <f>IF($B$3,-Tabelle2[[#This Row],[Fd]]*Tabelle2[[#This Row],[vx]]/Tabelle2[[#This Row],[v]],0)</f>
        <v>0</v>
      </c>
      <c r="I114">
        <f t="shared" si="11"/>
        <v>0</v>
      </c>
      <c r="J114">
        <f t="shared" si="12"/>
        <v>0</v>
      </c>
      <c r="K114">
        <f t="shared" si="13"/>
        <v>1.0467394398169905</v>
      </c>
      <c r="L114">
        <f>-$B$5*$B$12-IF($B$3,Tabelle2[[#This Row],[Fd]]*Tabelle2[[#This Row],[vy]]/Tabelle2[[#This Row],[v]],0)</f>
        <v>-14.715</v>
      </c>
      <c r="M114">
        <f t="shared" si="14"/>
        <v>-9.81</v>
      </c>
      <c r="N114">
        <f t="shared" si="15"/>
        <v>-0.19620000000000001</v>
      </c>
      <c r="O114">
        <f t="shared" si="16"/>
        <v>0.80992948791195507</v>
      </c>
      <c r="P114" s="1">
        <f t="shared" si="18"/>
        <v>52.336971990849527</v>
      </c>
      <c r="Q114" s="1">
        <f t="shared" si="19"/>
        <v>40.594574395597753</v>
      </c>
      <c r="R114">
        <f>SQRT(Tabelle2[[#This Row],[vx]]*Tabelle2[[#This Row],[vx]]+Tabelle2[[#This Row],[vy]]*Tabelle2[[#This Row],[vy]])</f>
        <v>66.235021759871785</v>
      </c>
      <c r="S114">
        <f t="shared" si="20"/>
        <v>116.18807781968577</v>
      </c>
      <c r="T114" s="1">
        <f t="shared" si="21"/>
        <v>116.00818193885362</v>
      </c>
    </row>
    <row r="115" spans="6:20" x14ac:dyDescent="0.35">
      <c r="F115" s="1">
        <f t="shared" si="17"/>
        <v>2.2400000000000015</v>
      </c>
      <c r="G115">
        <f>1/2*$B$8*$B$6*$B$7*(Tabelle2[[#This Row],[vx]]*Tabelle2[[#This Row],[vx]]+Tabelle2[[#This Row],[vy]]*Tabelle2[[#This Row],[vy]])/1000000</f>
        <v>7.7322744757744202</v>
      </c>
      <c r="H115">
        <f>IF($B$3,-Tabelle2[[#This Row],[Fd]]*Tabelle2[[#This Row],[vx]]/Tabelle2[[#This Row],[v]],0)</f>
        <v>0</v>
      </c>
      <c r="I115">
        <f t="shared" si="11"/>
        <v>0</v>
      </c>
      <c r="J115">
        <f t="shared" si="12"/>
        <v>0</v>
      </c>
      <c r="K115">
        <f t="shared" si="13"/>
        <v>1.0467394398169905</v>
      </c>
      <c r="L115">
        <f>-$B$5*$B$12-IF($B$3,Tabelle2[[#This Row],[Fd]]*Tabelle2[[#This Row],[vy]]/Tabelle2[[#This Row],[v]],0)</f>
        <v>-14.715</v>
      </c>
      <c r="M115">
        <f t="shared" si="14"/>
        <v>-9.81</v>
      </c>
      <c r="N115">
        <f t="shared" si="15"/>
        <v>-0.19620000000000001</v>
      </c>
      <c r="O115">
        <f t="shared" si="16"/>
        <v>0.80600548791195514</v>
      </c>
      <c r="P115" s="1">
        <f t="shared" si="18"/>
        <v>52.336971990849527</v>
      </c>
      <c r="Q115" s="1">
        <f t="shared" si="19"/>
        <v>40.398374395597756</v>
      </c>
      <c r="R115">
        <f>SQRT(Tabelle2[[#This Row],[vx]]*Tabelle2[[#This Row],[vx]]+Tabelle2[[#This Row],[vy]]*Tabelle2[[#This Row],[vy]])</f>
        <v>66.114955123465492</v>
      </c>
      <c r="S115">
        <f t="shared" si="20"/>
        <v>117.23481725950276</v>
      </c>
      <c r="T115" s="1">
        <f t="shared" si="21"/>
        <v>116.81811142676558</v>
      </c>
    </row>
    <row r="116" spans="6:20" x14ac:dyDescent="0.35">
      <c r="F116" s="1">
        <f t="shared" si="17"/>
        <v>2.2600000000000016</v>
      </c>
      <c r="G116">
        <f>1/2*$B$8*$B$6*$B$7*(Tabelle2[[#This Row],[vx]]*Tabelle2[[#This Row],[vx]]+Tabelle2[[#This Row],[vy]]*Tabelle2[[#This Row],[vy]])/1000000</f>
        <v>7.7043011019655889</v>
      </c>
      <c r="H116">
        <f>IF($B$3,-Tabelle2[[#This Row],[Fd]]*Tabelle2[[#This Row],[vx]]/Tabelle2[[#This Row],[v]],0)</f>
        <v>0</v>
      </c>
      <c r="I116">
        <f t="shared" si="11"/>
        <v>0</v>
      </c>
      <c r="J116">
        <f t="shared" si="12"/>
        <v>0</v>
      </c>
      <c r="K116">
        <f t="shared" si="13"/>
        <v>1.0467394398169905</v>
      </c>
      <c r="L116">
        <f>-$B$5*$B$12-IF($B$3,Tabelle2[[#This Row],[Fd]]*Tabelle2[[#This Row],[vy]]/Tabelle2[[#This Row],[v]],0)</f>
        <v>-14.715</v>
      </c>
      <c r="M116">
        <f t="shared" si="14"/>
        <v>-9.81</v>
      </c>
      <c r="N116">
        <f t="shared" si="15"/>
        <v>-0.19620000000000001</v>
      </c>
      <c r="O116">
        <f t="shared" si="16"/>
        <v>0.8020814879119551</v>
      </c>
      <c r="P116" s="1">
        <f t="shared" si="18"/>
        <v>52.336971990849527</v>
      </c>
      <c r="Q116" s="1">
        <f t="shared" si="19"/>
        <v>40.202174395597758</v>
      </c>
      <c r="R116">
        <f>SQRT(Tabelle2[[#This Row],[vx]]*Tabelle2[[#This Row],[vx]]+Tabelle2[[#This Row],[vy]]*Tabelle2[[#This Row],[vy]])</f>
        <v>65.995253339198754</v>
      </c>
      <c r="S116">
        <f t="shared" si="20"/>
        <v>118.28155669931975</v>
      </c>
      <c r="T116" s="1">
        <f t="shared" si="21"/>
        <v>117.62411691467754</v>
      </c>
    </row>
    <row r="117" spans="6:20" x14ac:dyDescent="0.35">
      <c r="F117" s="1">
        <f t="shared" si="17"/>
        <v>2.2800000000000016</v>
      </c>
      <c r="G117">
        <f>1/2*$B$8*$B$6*$B$7*(Tabelle2[[#This Row],[vx]]*Tabelle2[[#This Row],[vx]]+Tabelle2[[#This Row],[vy]]*Tabelle2[[#This Row],[vy]])/1000000</f>
        <v>7.6764639152181031</v>
      </c>
      <c r="H117">
        <f>IF($B$3,-Tabelle2[[#This Row],[Fd]]*Tabelle2[[#This Row],[vx]]/Tabelle2[[#This Row],[v]],0)</f>
        <v>0</v>
      </c>
      <c r="I117">
        <f t="shared" si="11"/>
        <v>0</v>
      </c>
      <c r="J117">
        <f t="shared" si="12"/>
        <v>0</v>
      </c>
      <c r="K117">
        <f t="shared" si="13"/>
        <v>1.0467394398169905</v>
      </c>
      <c r="L117">
        <f>-$B$5*$B$12-IF($B$3,Tabelle2[[#This Row],[Fd]]*Tabelle2[[#This Row],[vy]]/Tabelle2[[#This Row],[v]],0)</f>
        <v>-14.715</v>
      </c>
      <c r="M117">
        <f t="shared" si="14"/>
        <v>-9.81</v>
      </c>
      <c r="N117">
        <f t="shared" si="15"/>
        <v>-0.19620000000000001</v>
      </c>
      <c r="O117">
        <f t="shared" si="16"/>
        <v>0.79815748791195518</v>
      </c>
      <c r="P117" s="1">
        <f t="shared" si="18"/>
        <v>52.336971990849527</v>
      </c>
      <c r="Q117" s="1">
        <f t="shared" si="19"/>
        <v>40.005974395597761</v>
      </c>
      <c r="R117">
        <f>SQRT(Tabelle2[[#This Row],[vx]]*Tabelle2[[#This Row],[vx]]+Tabelle2[[#This Row],[vy]]*Tabelle2[[#This Row],[vy]])</f>
        <v>65.875918395967673</v>
      </c>
      <c r="S117">
        <f t="shared" si="20"/>
        <v>119.32829613913674</v>
      </c>
      <c r="T117" s="1">
        <f t="shared" si="21"/>
        <v>118.42619840258949</v>
      </c>
    </row>
    <row r="118" spans="6:20" x14ac:dyDescent="0.35">
      <c r="F118" s="1">
        <f t="shared" si="17"/>
        <v>2.3000000000000016</v>
      </c>
      <c r="G118">
        <f>1/2*$B$8*$B$6*$B$7*(Tabelle2[[#This Row],[vx]]*Tabelle2[[#This Row],[vx]]+Tabelle2[[#This Row],[vy]]*Tabelle2[[#This Row],[vy]])/1000000</f>
        <v>7.6487629155319592</v>
      </c>
      <c r="H118">
        <f>IF($B$3,-Tabelle2[[#This Row],[Fd]]*Tabelle2[[#This Row],[vx]]/Tabelle2[[#This Row],[v]],0)</f>
        <v>0</v>
      </c>
      <c r="I118">
        <f t="shared" si="11"/>
        <v>0</v>
      </c>
      <c r="J118">
        <f t="shared" si="12"/>
        <v>0</v>
      </c>
      <c r="K118">
        <f t="shared" si="13"/>
        <v>1.0467394398169905</v>
      </c>
      <c r="L118">
        <f>-$B$5*$B$12-IF($B$3,Tabelle2[[#This Row],[Fd]]*Tabelle2[[#This Row],[vy]]/Tabelle2[[#This Row],[v]],0)</f>
        <v>-14.715</v>
      </c>
      <c r="M118">
        <f t="shared" si="14"/>
        <v>-9.81</v>
      </c>
      <c r="N118">
        <f t="shared" si="15"/>
        <v>-0.19620000000000001</v>
      </c>
      <c r="O118">
        <f t="shared" si="16"/>
        <v>0.79423348791195525</v>
      </c>
      <c r="P118" s="1">
        <f t="shared" si="18"/>
        <v>52.336971990849527</v>
      </c>
      <c r="Q118" s="1">
        <f t="shared" si="19"/>
        <v>39.809774395597763</v>
      </c>
      <c r="R118">
        <f>SQRT(Tabelle2[[#This Row],[vx]]*Tabelle2[[#This Row],[vx]]+Tabelle2[[#This Row],[vy]]*Tabelle2[[#This Row],[vy]])</f>
        <v>65.756952290988664</v>
      </c>
      <c r="S118">
        <f t="shared" si="20"/>
        <v>120.37503557895373</v>
      </c>
      <c r="T118" s="1">
        <f t="shared" si="21"/>
        <v>119.22435589050144</v>
      </c>
    </row>
    <row r="119" spans="6:20" x14ac:dyDescent="0.35">
      <c r="F119" s="1">
        <f t="shared" si="17"/>
        <v>2.3200000000000016</v>
      </c>
      <c r="G119">
        <f>1/2*$B$8*$B$6*$B$7*(Tabelle2[[#This Row],[vx]]*Tabelle2[[#This Row],[vx]]+Tabelle2[[#This Row],[vy]]*Tabelle2[[#This Row],[vy]])/1000000</f>
        <v>7.6211981029071589</v>
      </c>
      <c r="H119">
        <f>IF($B$3,-Tabelle2[[#This Row],[Fd]]*Tabelle2[[#This Row],[vx]]/Tabelle2[[#This Row],[v]],0)</f>
        <v>0</v>
      </c>
      <c r="I119">
        <f t="shared" si="11"/>
        <v>0</v>
      </c>
      <c r="J119">
        <f t="shared" si="12"/>
        <v>0</v>
      </c>
      <c r="K119">
        <f t="shared" si="13"/>
        <v>1.0467394398169905</v>
      </c>
      <c r="L119">
        <f>-$B$5*$B$12-IF($B$3,Tabelle2[[#This Row],[Fd]]*Tabelle2[[#This Row],[vy]]/Tabelle2[[#This Row],[v]],0)</f>
        <v>-14.715</v>
      </c>
      <c r="M119">
        <f t="shared" si="14"/>
        <v>-9.81</v>
      </c>
      <c r="N119">
        <f t="shared" si="15"/>
        <v>-0.19620000000000001</v>
      </c>
      <c r="O119">
        <f t="shared" si="16"/>
        <v>0.79030948791195532</v>
      </c>
      <c r="P119" s="1">
        <f t="shared" si="18"/>
        <v>52.336971990849527</v>
      </c>
      <c r="Q119" s="1">
        <f t="shared" si="19"/>
        <v>39.613574395597766</v>
      </c>
      <c r="R119">
        <f>SQRT(Tabelle2[[#This Row],[vx]]*Tabelle2[[#This Row],[vx]]+Tabelle2[[#This Row],[vy]]*Tabelle2[[#This Row],[vy]])</f>
        <v>65.638357029762162</v>
      </c>
      <c r="S119">
        <f t="shared" si="20"/>
        <v>121.42177501877072</v>
      </c>
      <c r="T119" s="1">
        <f t="shared" si="21"/>
        <v>120.0185893784134</v>
      </c>
    </row>
    <row r="120" spans="6:20" x14ac:dyDescent="0.35">
      <c r="F120" s="1">
        <f t="shared" si="17"/>
        <v>2.3400000000000016</v>
      </c>
      <c r="G120">
        <f>1/2*$B$8*$B$6*$B$7*(Tabelle2[[#This Row],[vx]]*Tabelle2[[#This Row],[vx]]+Tabelle2[[#This Row],[vy]]*Tabelle2[[#This Row],[vy]])/1000000</f>
        <v>7.5937694773437041</v>
      </c>
      <c r="H120">
        <f>IF($B$3,-Tabelle2[[#This Row],[Fd]]*Tabelle2[[#This Row],[vx]]/Tabelle2[[#This Row],[v]],0)</f>
        <v>0</v>
      </c>
      <c r="I120">
        <f t="shared" si="11"/>
        <v>0</v>
      </c>
      <c r="J120">
        <f t="shared" si="12"/>
        <v>0</v>
      </c>
      <c r="K120">
        <f t="shared" si="13"/>
        <v>1.0467394398169905</v>
      </c>
      <c r="L120">
        <f>-$B$5*$B$12-IF($B$3,Tabelle2[[#This Row],[Fd]]*Tabelle2[[#This Row],[vy]]/Tabelle2[[#This Row],[v]],0)</f>
        <v>-14.715</v>
      </c>
      <c r="M120">
        <f t="shared" si="14"/>
        <v>-9.81</v>
      </c>
      <c r="N120">
        <f t="shared" si="15"/>
        <v>-0.19620000000000001</v>
      </c>
      <c r="O120">
        <f t="shared" si="16"/>
        <v>0.78638548791195539</v>
      </c>
      <c r="P120" s="1">
        <f t="shared" si="18"/>
        <v>52.336971990849527</v>
      </c>
      <c r="Q120" s="1">
        <f t="shared" si="19"/>
        <v>39.417374395597768</v>
      </c>
      <c r="R120">
        <f>SQRT(Tabelle2[[#This Row],[vx]]*Tabelle2[[#This Row],[vx]]+Tabelle2[[#This Row],[vy]]*Tabelle2[[#This Row],[vy]])</f>
        <v>65.520134626034576</v>
      </c>
      <c r="S120">
        <f t="shared" si="20"/>
        <v>122.46851445858771</v>
      </c>
      <c r="T120" s="1">
        <f t="shared" si="21"/>
        <v>120.80889886632535</v>
      </c>
    </row>
    <row r="121" spans="6:20" x14ac:dyDescent="0.35">
      <c r="F121" s="1">
        <f t="shared" si="17"/>
        <v>2.3600000000000017</v>
      </c>
      <c r="G121">
        <f>1/2*$B$8*$B$6*$B$7*(Tabelle2[[#This Row],[vx]]*Tabelle2[[#This Row],[vx]]+Tabelle2[[#This Row],[vy]]*Tabelle2[[#This Row],[vy]])/1000000</f>
        <v>7.5664770388415921</v>
      </c>
      <c r="H121">
        <f>IF($B$3,-Tabelle2[[#This Row],[Fd]]*Tabelle2[[#This Row],[vx]]/Tabelle2[[#This Row],[v]],0)</f>
        <v>0</v>
      </c>
      <c r="I121">
        <f t="shared" si="11"/>
        <v>0</v>
      </c>
      <c r="J121">
        <f t="shared" si="12"/>
        <v>0</v>
      </c>
      <c r="K121">
        <f t="shared" si="13"/>
        <v>1.0467394398169905</v>
      </c>
      <c r="L121">
        <f>-$B$5*$B$12-IF($B$3,Tabelle2[[#This Row],[Fd]]*Tabelle2[[#This Row],[vy]]/Tabelle2[[#This Row],[v]],0)</f>
        <v>-14.715</v>
      </c>
      <c r="M121">
        <f t="shared" si="14"/>
        <v>-9.81</v>
      </c>
      <c r="N121">
        <f t="shared" si="15"/>
        <v>-0.19620000000000001</v>
      </c>
      <c r="O121">
        <f t="shared" si="16"/>
        <v>0.78246148791195536</v>
      </c>
      <c r="P121" s="1">
        <f t="shared" si="18"/>
        <v>52.336971990849527</v>
      </c>
      <c r="Q121" s="1">
        <f t="shared" si="19"/>
        <v>39.221174395597771</v>
      </c>
      <c r="R121">
        <f>SQRT(Tabelle2[[#This Row],[vx]]*Tabelle2[[#This Row],[vx]]+Tabelle2[[#This Row],[vy]]*Tabelle2[[#This Row],[vy]])</f>
        <v>65.402287101758617</v>
      </c>
      <c r="S121">
        <f t="shared" si="20"/>
        <v>123.51525389840469</v>
      </c>
      <c r="T121" s="1">
        <f t="shared" si="21"/>
        <v>121.59528435423731</v>
      </c>
    </row>
    <row r="122" spans="6:20" x14ac:dyDescent="0.35">
      <c r="F122" s="1">
        <f t="shared" si="17"/>
        <v>2.3800000000000017</v>
      </c>
      <c r="G122">
        <f>1/2*$B$8*$B$6*$B$7*(Tabelle2[[#This Row],[vx]]*Tabelle2[[#This Row],[vx]]+Tabelle2[[#This Row],[vy]]*Tabelle2[[#This Row],[vy]])/1000000</f>
        <v>7.5393207874008237</v>
      </c>
      <c r="H122">
        <f>IF($B$3,-Tabelle2[[#This Row],[Fd]]*Tabelle2[[#This Row],[vx]]/Tabelle2[[#This Row],[v]],0)</f>
        <v>0</v>
      </c>
      <c r="I122">
        <f t="shared" si="11"/>
        <v>0</v>
      </c>
      <c r="J122">
        <f t="shared" si="12"/>
        <v>0</v>
      </c>
      <c r="K122">
        <f t="shared" si="13"/>
        <v>1.0467394398169905</v>
      </c>
      <c r="L122">
        <f>-$B$5*$B$12-IF($B$3,Tabelle2[[#This Row],[Fd]]*Tabelle2[[#This Row],[vy]]/Tabelle2[[#This Row],[v]],0)</f>
        <v>-14.715</v>
      </c>
      <c r="M122">
        <f t="shared" si="14"/>
        <v>-9.81</v>
      </c>
      <c r="N122">
        <f t="shared" si="15"/>
        <v>-0.19620000000000001</v>
      </c>
      <c r="O122">
        <f t="shared" si="16"/>
        <v>0.77853748791195543</v>
      </c>
      <c r="P122" s="1">
        <f t="shared" si="18"/>
        <v>52.336971990849527</v>
      </c>
      <c r="Q122" s="1">
        <f t="shared" si="19"/>
        <v>39.024974395597773</v>
      </c>
      <c r="R122">
        <f>SQRT(Tabelle2[[#This Row],[vx]]*Tabelle2[[#This Row],[vx]]+Tabelle2[[#This Row],[vy]]*Tabelle2[[#This Row],[vy]])</f>
        <v>65.284816487051785</v>
      </c>
      <c r="S122">
        <f t="shared" si="20"/>
        <v>124.56199333822168</v>
      </c>
      <c r="T122" s="1">
        <f t="shared" si="21"/>
        <v>122.37774584214927</v>
      </c>
    </row>
    <row r="123" spans="6:20" x14ac:dyDescent="0.35">
      <c r="F123" s="1">
        <f t="shared" si="17"/>
        <v>2.4000000000000017</v>
      </c>
      <c r="G123">
        <f>1/2*$B$8*$B$6*$B$7*(Tabelle2[[#This Row],[vx]]*Tabelle2[[#This Row],[vx]]+Tabelle2[[#This Row],[vy]]*Tabelle2[[#This Row],[vy]])/1000000</f>
        <v>7.5123007230213998</v>
      </c>
      <c r="H123">
        <f>IF($B$3,-Tabelle2[[#This Row],[Fd]]*Tabelle2[[#This Row],[vx]]/Tabelle2[[#This Row],[v]],0)</f>
        <v>0</v>
      </c>
      <c r="I123">
        <f t="shared" si="11"/>
        <v>0</v>
      </c>
      <c r="J123">
        <f t="shared" si="12"/>
        <v>0</v>
      </c>
      <c r="K123">
        <f t="shared" si="13"/>
        <v>1.0467394398169905</v>
      </c>
      <c r="L123">
        <f>-$B$5*$B$12-IF($B$3,Tabelle2[[#This Row],[Fd]]*Tabelle2[[#This Row],[vy]]/Tabelle2[[#This Row],[v]],0)</f>
        <v>-14.715</v>
      </c>
      <c r="M123">
        <f t="shared" si="14"/>
        <v>-9.81</v>
      </c>
      <c r="N123">
        <f t="shared" si="15"/>
        <v>-0.19620000000000001</v>
      </c>
      <c r="O123">
        <f t="shared" si="16"/>
        <v>0.7746134879119555</v>
      </c>
      <c r="P123" s="1">
        <f t="shared" si="18"/>
        <v>52.336971990849527</v>
      </c>
      <c r="Q123" s="1">
        <f t="shared" si="19"/>
        <v>38.828774395597776</v>
      </c>
      <c r="R123">
        <f>SQRT(Tabelle2[[#This Row],[vx]]*Tabelle2[[#This Row],[vx]]+Tabelle2[[#This Row],[vy]]*Tabelle2[[#This Row],[vy]])</f>
        <v>65.167724820153083</v>
      </c>
      <c r="S123">
        <f t="shared" si="20"/>
        <v>125.60873277803867</v>
      </c>
      <c r="T123" s="1">
        <f t="shared" si="21"/>
        <v>123.15628333006123</v>
      </c>
    </row>
    <row r="124" spans="6:20" x14ac:dyDescent="0.35">
      <c r="F124" s="1">
        <f t="shared" si="17"/>
        <v>2.4200000000000017</v>
      </c>
      <c r="G124">
        <f>1/2*$B$8*$B$6*$B$7*(Tabelle2[[#This Row],[vx]]*Tabelle2[[#This Row],[vx]]+Tabelle2[[#This Row],[vy]]*Tabelle2[[#This Row],[vy]])/1000000</f>
        <v>7.4854168457033214</v>
      </c>
      <c r="H124">
        <f>IF($B$3,-Tabelle2[[#This Row],[Fd]]*Tabelle2[[#This Row],[vx]]/Tabelle2[[#This Row],[v]],0)</f>
        <v>0</v>
      </c>
      <c r="I124">
        <f t="shared" si="11"/>
        <v>0</v>
      </c>
      <c r="J124">
        <f t="shared" si="12"/>
        <v>0</v>
      </c>
      <c r="K124">
        <f t="shared" si="13"/>
        <v>1.0467394398169905</v>
      </c>
      <c r="L124">
        <f>-$B$5*$B$12-IF($B$3,Tabelle2[[#This Row],[Fd]]*Tabelle2[[#This Row],[vy]]/Tabelle2[[#This Row],[v]],0)</f>
        <v>-14.715</v>
      </c>
      <c r="M124">
        <f t="shared" si="14"/>
        <v>-9.81</v>
      </c>
      <c r="N124">
        <f t="shared" si="15"/>
        <v>-0.19620000000000001</v>
      </c>
      <c r="O124">
        <f t="shared" si="16"/>
        <v>0.77068948791195557</v>
      </c>
      <c r="P124" s="1">
        <f t="shared" si="18"/>
        <v>52.336971990849527</v>
      </c>
      <c r="Q124" s="1">
        <f t="shared" si="19"/>
        <v>38.632574395597779</v>
      </c>
      <c r="R124">
        <f>SQRT(Tabelle2[[#This Row],[vx]]*Tabelle2[[#This Row],[vx]]+Tabelle2[[#This Row],[vy]]*Tabelle2[[#This Row],[vy]])</f>
        <v>65.051014147377941</v>
      </c>
      <c r="S124">
        <f t="shared" si="20"/>
        <v>126.65547221785566</v>
      </c>
      <c r="T124" s="1">
        <f t="shared" si="21"/>
        <v>123.93089681797318</v>
      </c>
    </row>
    <row r="125" spans="6:20" x14ac:dyDescent="0.35">
      <c r="F125" s="1">
        <f t="shared" si="17"/>
        <v>2.4400000000000017</v>
      </c>
      <c r="G125">
        <f>1/2*$B$8*$B$6*$B$7*(Tabelle2[[#This Row],[vx]]*Tabelle2[[#This Row],[vx]]+Tabelle2[[#This Row],[vy]]*Tabelle2[[#This Row],[vy]])/1000000</f>
        <v>7.4586691554465858</v>
      </c>
      <c r="H125">
        <f>IF($B$3,-Tabelle2[[#This Row],[Fd]]*Tabelle2[[#This Row],[vx]]/Tabelle2[[#This Row],[v]],0)</f>
        <v>0</v>
      </c>
      <c r="I125">
        <f t="shared" si="11"/>
        <v>0</v>
      </c>
      <c r="J125">
        <f t="shared" si="12"/>
        <v>0</v>
      </c>
      <c r="K125">
        <f t="shared" si="13"/>
        <v>1.0467394398169905</v>
      </c>
      <c r="L125">
        <f>-$B$5*$B$12-IF($B$3,Tabelle2[[#This Row],[Fd]]*Tabelle2[[#This Row],[vy]]/Tabelle2[[#This Row],[v]],0)</f>
        <v>-14.715</v>
      </c>
      <c r="M125">
        <f t="shared" si="14"/>
        <v>-9.81</v>
      </c>
      <c r="N125">
        <f t="shared" si="15"/>
        <v>-0.19620000000000001</v>
      </c>
      <c r="O125">
        <f t="shared" si="16"/>
        <v>0.76676548791195565</v>
      </c>
      <c r="P125" s="1">
        <f t="shared" si="18"/>
        <v>52.336971990849527</v>
      </c>
      <c r="Q125" s="1">
        <f t="shared" si="19"/>
        <v>38.436374395597781</v>
      </c>
      <c r="R125">
        <f>SQRT(Tabelle2[[#This Row],[vx]]*Tabelle2[[#This Row],[vx]]+Tabelle2[[#This Row],[vy]]*Tabelle2[[#This Row],[vy]])</f>
        <v>64.934686523071264</v>
      </c>
      <c r="S125">
        <f t="shared" si="20"/>
        <v>127.70221165767265</v>
      </c>
      <c r="T125" s="1">
        <f t="shared" si="21"/>
        <v>124.70158630588513</v>
      </c>
    </row>
    <row r="126" spans="6:20" x14ac:dyDescent="0.35">
      <c r="F126" s="1">
        <f t="shared" si="17"/>
        <v>2.4600000000000017</v>
      </c>
      <c r="G126">
        <f>1/2*$B$8*$B$6*$B$7*(Tabelle2[[#This Row],[vx]]*Tabelle2[[#This Row],[vx]]+Tabelle2[[#This Row],[vy]]*Tabelle2[[#This Row],[vy]])/1000000</f>
        <v>7.432057652251193</v>
      </c>
      <c r="H126">
        <f>IF($B$3,-Tabelle2[[#This Row],[Fd]]*Tabelle2[[#This Row],[vx]]/Tabelle2[[#This Row],[v]],0)</f>
        <v>0</v>
      </c>
      <c r="I126">
        <f t="shared" si="11"/>
        <v>0</v>
      </c>
      <c r="J126">
        <f t="shared" si="12"/>
        <v>0</v>
      </c>
      <c r="K126">
        <f t="shared" si="13"/>
        <v>1.0467394398169905</v>
      </c>
      <c r="L126">
        <f>-$B$5*$B$12-IF($B$3,Tabelle2[[#This Row],[Fd]]*Tabelle2[[#This Row],[vy]]/Tabelle2[[#This Row],[v]],0)</f>
        <v>-14.715</v>
      </c>
      <c r="M126">
        <f t="shared" si="14"/>
        <v>-9.81</v>
      </c>
      <c r="N126">
        <f t="shared" si="15"/>
        <v>-0.19620000000000001</v>
      </c>
      <c r="O126">
        <f t="shared" si="16"/>
        <v>0.76284148791195561</v>
      </c>
      <c r="P126" s="1">
        <f t="shared" si="18"/>
        <v>52.336971990849527</v>
      </c>
      <c r="Q126" s="1">
        <f t="shared" si="19"/>
        <v>38.240174395597784</v>
      </c>
      <c r="R126">
        <f>SQRT(Tabelle2[[#This Row],[vx]]*Tabelle2[[#This Row],[vx]]+Tabelle2[[#This Row],[vy]]*Tabelle2[[#This Row],[vy]])</f>
        <v>64.818744009558685</v>
      </c>
      <c r="S126">
        <f t="shared" si="20"/>
        <v>128.74895109748965</v>
      </c>
      <c r="T126" s="1">
        <f t="shared" si="21"/>
        <v>125.46835179379708</v>
      </c>
    </row>
    <row r="127" spans="6:20" x14ac:dyDescent="0.35">
      <c r="F127" s="1">
        <f t="shared" si="17"/>
        <v>2.4800000000000018</v>
      </c>
      <c r="G127">
        <f>1/2*$B$8*$B$6*$B$7*(Tabelle2[[#This Row],[vx]]*Tabelle2[[#This Row],[vx]]+Tabelle2[[#This Row],[vy]]*Tabelle2[[#This Row],[vy]])/1000000</f>
        <v>7.4055823361171456</v>
      </c>
      <c r="H127">
        <f>IF($B$3,-Tabelle2[[#This Row],[Fd]]*Tabelle2[[#This Row],[vx]]/Tabelle2[[#This Row],[v]],0)</f>
        <v>0</v>
      </c>
      <c r="I127">
        <f t="shared" si="11"/>
        <v>0</v>
      </c>
      <c r="J127">
        <f t="shared" si="12"/>
        <v>0</v>
      </c>
      <c r="K127">
        <f t="shared" si="13"/>
        <v>1.0467394398169905</v>
      </c>
      <c r="L127">
        <f>-$B$5*$B$12-IF($B$3,Tabelle2[[#This Row],[Fd]]*Tabelle2[[#This Row],[vy]]/Tabelle2[[#This Row],[v]],0)</f>
        <v>-14.715</v>
      </c>
      <c r="M127">
        <f t="shared" si="14"/>
        <v>-9.81</v>
      </c>
      <c r="N127">
        <f t="shared" si="15"/>
        <v>-0.19620000000000001</v>
      </c>
      <c r="O127">
        <f t="shared" si="16"/>
        <v>0.75891748791195568</v>
      </c>
      <c r="P127" s="1">
        <f t="shared" si="18"/>
        <v>52.336971990849527</v>
      </c>
      <c r="Q127" s="1">
        <f t="shared" si="19"/>
        <v>38.043974395597786</v>
      </c>
      <c r="R127">
        <f>SQRT(Tabelle2[[#This Row],[vx]]*Tabelle2[[#This Row],[vx]]+Tabelle2[[#This Row],[vy]]*Tabelle2[[#This Row],[vy]])</f>
        <v>64.703188677095866</v>
      </c>
      <c r="S127">
        <f t="shared" si="20"/>
        <v>129.79569053730665</v>
      </c>
      <c r="T127" s="1">
        <f t="shared" si="21"/>
        <v>126.23119328170904</v>
      </c>
    </row>
    <row r="128" spans="6:20" x14ac:dyDescent="0.35">
      <c r="F128" s="1">
        <f t="shared" si="17"/>
        <v>2.5000000000000018</v>
      </c>
      <c r="G128">
        <f>1/2*$B$8*$B$6*$B$7*(Tabelle2[[#This Row],[vx]]*Tabelle2[[#This Row],[vx]]+Tabelle2[[#This Row],[vy]]*Tabelle2[[#This Row],[vy]])/1000000</f>
        <v>7.3792432070444427</v>
      </c>
      <c r="H128">
        <f>IF($B$3,-Tabelle2[[#This Row],[Fd]]*Tabelle2[[#This Row],[vx]]/Tabelle2[[#This Row],[v]],0)</f>
        <v>0</v>
      </c>
      <c r="I128">
        <f t="shared" si="11"/>
        <v>0</v>
      </c>
      <c r="J128">
        <f t="shared" si="12"/>
        <v>0</v>
      </c>
      <c r="K128">
        <f t="shared" si="13"/>
        <v>1.0467394398169905</v>
      </c>
      <c r="L128">
        <f>-$B$5*$B$12-IF($B$3,Tabelle2[[#This Row],[Fd]]*Tabelle2[[#This Row],[vy]]/Tabelle2[[#This Row],[v]],0)</f>
        <v>-14.715</v>
      </c>
      <c r="M128">
        <f t="shared" si="14"/>
        <v>-9.81</v>
      </c>
      <c r="N128">
        <f t="shared" si="15"/>
        <v>-0.19620000000000001</v>
      </c>
      <c r="O128">
        <f t="shared" si="16"/>
        <v>0.75499348791195575</v>
      </c>
      <c r="P128" s="1">
        <f t="shared" si="18"/>
        <v>52.336971990849527</v>
      </c>
      <c r="Q128" s="1">
        <f t="shared" si="19"/>
        <v>37.847774395597789</v>
      </c>
      <c r="R128">
        <f>SQRT(Tabelle2[[#This Row],[vx]]*Tabelle2[[#This Row],[vx]]+Tabelle2[[#This Row],[vy]]*Tabelle2[[#This Row],[vy]])</f>
        <v>64.588022603815915</v>
      </c>
      <c r="S128">
        <f t="shared" si="20"/>
        <v>130.84242997712366</v>
      </c>
      <c r="T128" s="1">
        <f t="shared" si="21"/>
        <v>126.990110769621</v>
      </c>
    </row>
    <row r="129" spans="6:20" x14ac:dyDescent="0.35">
      <c r="F129" s="1">
        <f t="shared" si="17"/>
        <v>2.5200000000000018</v>
      </c>
      <c r="G129">
        <f>1/2*$B$8*$B$6*$B$7*(Tabelle2[[#This Row],[vx]]*Tabelle2[[#This Row],[vx]]+Tabelle2[[#This Row],[vy]]*Tabelle2[[#This Row],[vy]])/1000000</f>
        <v>7.3530402650330817</v>
      </c>
      <c r="H129">
        <f>IF($B$3,-Tabelle2[[#This Row],[Fd]]*Tabelle2[[#This Row],[vx]]/Tabelle2[[#This Row],[v]],0)</f>
        <v>0</v>
      </c>
      <c r="I129">
        <f t="shared" si="11"/>
        <v>0</v>
      </c>
      <c r="J129">
        <f t="shared" si="12"/>
        <v>0</v>
      </c>
      <c r="K129">
        <f t="shared" si="13"/>
        <v>1.0467394398169905</v>
      </c>
      <c r="L129">
        <f>-$B$5*$B$12-IF($B$3,Tabelle2[[#This Row],[Fd]]*Tabelle2[[#This Row],[vy]]/Tabelle2[[#This Row],[v]],0)</f>
        <v>-14.715</v>
      </c>
      <c r="M129">
        <f t="shared" si="14"/>
        <v>-9.81</v>
      </c>
      <c r="N129">
        <f t="shared" si="15"/>
        <v>-0.19620000000000001</v>
      </c>
      <c r="O129">
        <f t="shared" si="16"/>
        <v>0.75106948791195582</v>
      </c>
      <c r="P129" s="1">
        <f t="shared" si="18"/>
        <v>52.336971990849527</v>
      </c>
      <c r="Q129" s="1">
        <f t="shared" si="19"/>
        <v>37.651574395597791</v>
      </c>
      <c r="R129">
        <f>SQRT(Tabelle2[[#This Row],[vx]]*Tabelle2[[#This Row],[vx]]+Tabelle2[[#This Row],[vy]]*Tabelle2[[#This Row],[vy]])</f>
        <v>64.473247875674787</v>
      </c>
      <c r="S129">
        <f t="shared" si="20"/>
        <v>131.88916941694066</v>
      </c>
      <c r="T129" s="1">
        <f t="shared" si="21"/>
        <v>127.74510425753296</v>
      </c>
    </row>
    <row r="130" spans="6:20" x14ac:dyDescent="0.35">
      <c r="F130" s="1">
        <f t="shared" si="17"/>
        <v>2.5400000000000018</v>
      </c>
      <c r="G130">
        <f>1/2*$B$8*$B$6*$B$7*(Tabelle2[[#This Row],[vx]]*Tabelle2[[#This Row],[vx]]+Tabelle2[[#This Row],[vy]]*Tabelle2[[#This Row],[vy]])/1000000</f>
        <v>7.3269735100830662</v>
      </c>
      <c r="H130">
        <f>IF($B$3,-Tabelle2[[#This Row],[Fd]]*Tabelle2[[#This Row],[vx]]/Tabelle2[[#This Row],[v]],0)</f>
        <v>0</v>
      </c>
      <c r="I130">
        <f t="shared" si="11"/>
        <v>0</v>
      </c>
      <c r="J130">
        <f t="shared" si="12"/>
        <v>0</v>
      </c>
      <c r="K130">
        <f t="shared" si="13"/>
        <v>1.0467394398169905</v>
      </c>
      <c r="L130">
        <f>-$B$5*$B$12-IF($B$3,Tabelle2[[#This Row],[Fd]]*Tabelle2[[#This Row],[vy]]/Tabelle2[[#This Row],[v]],0)</f>
        <v>-14.715</v>
      </c>
      <c r="M130">
        <f t="shared" si="14"/>
        <v>-9.81</v>
      </c>
      <c r="N130">
        <f t="shared" si="15"/>
        <v>-0.19620000000000001</v>
      </c>
      <c r="O130">
        <f t="shared" si="16"/>
        <v>0.7471454879119559</v>
      </c>
      <c r="P130" s="1">
        <f t="shared" si="18"/>
        <v>52.336971990849527</v>
      </c>
      <c r="Q130" s="1">
        <f t="shared" si="19"/>
        <v>37.455374395597794</v>
      </c>
      <c r="R130">
        <f>SQRT(Tabelle2[[#This Row],[vx]]*Tabelle2[[#This Row],[vx]]+Tabelle2[[#This Row],[vy]]*Tabelle2[[#This Row],[vy]])</f>
        <v>64.358866586394839</v>
      </c>
      <c r="S130">
        <f t="shared" si="20"/>
        <v>132.93590885675766</v>
      </c>
      <c r="T130" s="1">
        <f t="shared" si="21"/>
        <v>128.49617374544491</v>
      </c>
    </row>
    <row r="131" spans="6:20" x14ac:dyDescent="0.35">
      <c r="F131" s="1">
        <f t="shared" si="17"/>
        <v>2.5600000000000018</v>
      </c>
      <c r="G131">
        <f>1/2*$B$8*$B$6*$B$7*(Tabelle2[[#This Row],[vx]]*Tabelle2[[#This Row],[vx]]+Tabelle2[[#This Row],[vy]]*Tabelle2[[#This Row],[vy]])/1000000</f>
        <v>7.3010429421943961</v>
      </c>
      <c r="H131">
        <f>IF($B$3,-Tabelle2[[#This Row],[Fd]]*Tabelle2[[#This Row],[vx]]/Tabelle2[[#This Row],[v]],0)</f>
        <v>0</v>
      </c>
      <c r="I131">
        <f t="shared" ref="I131:I194" si="22">H131/$B$5</f>
        <v>0</v>
      </c>
      <c r="J131">
        <f t="shared" ref="J131:J194" si="23">I131*$B$13</f>
        <v>0</v>
      </c>
      <c r="K131">
        <f t="shared" ref="K131:K194" si="24">$B$13*(P131+J131/2)</f>
        <v>1.0467394398169905</v>
      </c>
      <c r="L131">
        <f>-$B$5*$B$12-IF($B$3,Tabelle2[[#This Row],[Fd]]*Tabelle2[[#This Row],[vy]]/Tabelle2[[#This Row],[v]],0)</f>
        <v>-14.715</v>
      </c>
      <c r="M131">
        <f t="shared" ref="M131:M194" si="25">L131/$B$5</f>
        <v>-9.81</v>
      </c>
      <c r="N131">
        <f t="shared" ref="N131:N194" si="26">M131*$B$13</f>
        <v>-0.19620000000000001</v>
      </c>
      <c r="O131">
        <f t="shared" ref="O131:O194" si="27">$B$13*(Q131+N131/2)</f>
        <v>0.74322148791195586</v>
      </c>
      <c r="P131" s="1">
        <f t="shared" si="18"/>
        <v>52.336971990849527</v>
      </c>
      <c r="Q131" s="1">
        <f t="shared" si="19"/>
        <v>37.259174395597796</v>
      </c>
      <c r="R131">
        <f>SQRT(Tabelle2[[#This Row],[vx]]*Tabelle2[[#This Row],[vx]]+Tabelle2[[#This Row],[vy]]*Tabelle2[[#This Row],[vy]])</f>
        <v>64.244880837406328</v>
      </c>
      <c r="S131">
        <f t="shared" si="20"/>
        <v>133.98264829657467</v>
      </c>
      <c r="T131" s="1">
        <f t="shared" si="21"/>
        <v>129.24331923335686</v>
      </c>
    </row>
    <row r="132" spans="6:20" x14ac:dyDescent="0.35">
      <c r="F132" s="1">
        <f t="shared" ref="F132:F195" si="28">F131+$B$13</f>
        <v>2.5800000000000018</v>
      </c>
      <c r="G132">
        <f>1/2*$B$8*$B$6*$B$7*(Tabelle2[[#This Row],[vx]]*Tabelle2[[#This Row],[vx]]+Tabelle2[[#This Row],[vy]]*Tabelle2[[#This Row],[vy]])/1000000</f>
        <v>7.2752485613670679</v>
      </c>
      <c r="H132">
        <f>IF($B$3,-Tabelle2[[#This Row],[Fd]]*Tabelle2[[#This Row],[vx]]/Tabelle2[[#This Row],[v]],0)</f>
        <v>0</v>
      </c>
      <c r="I132">
        <f t="shared" si="22"/>
        <v>0</v>
      </c>
      <c r="J132">
        <f t="shared" si="23"/>
        <v>0</v>
      </c>
      <c r="K132">
        <f t="shared" si="24"/>
        <v>1.0467394398169905</v>
      </c>
      <c r="L132">
        <f>-$B$5*$B$12-IF($B$3,Tabelle2[[#This Row],[Fd]]*Tabelle2[[#This Row],[vy]]/Tabelle2[[#This Row],[v]],0)</f>
        <v>-14.715</v>
      </c>
      <c r="M132">
        <f t="shared" si="25"/>
        <v>-9.81</v>
      </c>
      <c r="N132">
        <f t="shared" si="26"/>
        <v>-0.19620000000000001</v>
      </c>
      <c r="O132">
        <f t="shared" si="27"/>
        <v>0.73929748791195593</v>
      </c>
      <c r="P132" s="1">
        <f t="shared" ref="P132:P195" si="29">P131+J131</f>
        <v>52.336971990849527</v>
      </c>
      <c r="Q132" s="1">
        <f t="shared" ref="Q132:Q195" si="30">Q131+N131</f>
        <v>37.062974395597799</v>
      </c>
      <c r="R132">
        <f>SQRT(Tabelle2[[#This Row],[vx]]*Tabelle2[[#This Row],[vx]]+Tabelle2[[#This Row],[vy]]*Tabelle2[[#This Row],[vy]])</f>
        <v>64.131292737786794</v>
      </c>
      <c r="S132">
        <f t="shared" ref="S132:S195" si="31">S131+K131</f>
        <v>135.02938773639167</v>
      </c>
      <c r="T132" s="1">
        <f t="shared" ref="T132:T195" si="32">T131+O131</f>
        <v>129.98654072126882</v>
      </c>
    </row>
    <row r="133" spans="6:20" x14ac:dyDescent="0.35">
      <c r="F133" s="1">
        <f t="shared" si="28"/>
        <v>2.6000000000000019</v>
      </c>
      <c r="G133">
        <f>1/2*$B$8*$B$6*$B$7*(Tabelle2[[#This Row],[vx]]*Tabelle2[[#This Row],[vx]]+Tabelle2[[#This Row],[vy]]*Tabelle2[[#This Row],[vy]])/1000000</f>
        <v>7.2495903676010842</v>
      </c>
      <c r="H133">
        <f>IF($B$3,-Tabelle2[[#This Row],[Fd]]*Tabelle2[[#This Row],[vx]]/Tabelle2[[#This Row],[v]],0)</f>
        <v>0</v>
      </c>
      <c r="I133">
        <f t="shared" si="22"/>
        <v>0</v>
      </c>
      <c r="J133">
        <f t="shared" si="23"/>
        <v>0</v>
      </c>
      <c r="K133">
        <f t="shared" si="24"/>
        <v>1.0467394398169905</v>
      </c>
      <c r="L133">
        <f>-$B$5*$B$12-IF($B$3,Tabelle2[[#This Row],[Fd]]*Tabelle2[[#This Row],[vy]]/Tabelle2[[#This Row],[v]],0)</f>
        <v>-14.715</v>
      </c>
      <c r="M133">
        <f t="shared" si="25"/>
        <v>-9.81</v>
      </c>
      <c r="N133">
        <f t="shared" si="26"/>
        <v>-0.19620000000000001</v>
      </c>
      <c r="O133">
        <f t="shared" si="27"/>
        <v>0.735373487911956</v>
      </c>
      <c r="P133" s="1">
        <f t="shared" si="29"/>
        <v>52.336971990849527</v>
      </c>
      <c r="Q133" s="1">
        <f t="shared" si="30"/>
        <v>36.866774395597801</v>
      </c>
      <c r="R133">
        <f>SQRT(Tabelle2[[#This Row],[vx]]*Tabelle2[[#This Row],[vx]]+Tabelle2[[#This Row],[vy]]*Tabelle2[[#This Row],[vy]])</f>
        <v>64.01810440419861</v>
      </c>
      <c r="S133">
        <f t="shared" si="31"/>
        <v>136.07612717620867</v>
      </c>
      <c r="T133" s="1">
        <f t="shared" si="32"/>
        <v>130.72583820918078</v>
      </c>
    </row>
    <row r="134" spans="6:20" x14ac:dyDescent="0.35">
      <c r="F134" s="1">
        <f t="shared" si="28"/>
        <v>2.6200000000000019</v>
      </c>
      <c r="G134">
        <f>1/2*$B$8*$B$6*$B$7*(Tabelle2[[#This Row],[vx]]*Tabelle2[[#This Row],[vx]]+Tabelle2[[#This Row],[vy]]*Tabelle2[[#This Row],[vy]])/1000000</f>
        <v>7.2240683608964451</v>
      </c>
      <c r="H134">
        <f>IF($B$3,-Tabelle2[[#This Row],[Fd]]*Tabelle2[[#This Row],[vx]]/Tabelle2[[#This Row],[v]],0)</f>
        <v>0</v>
      </c>
      <c r="I134">
        <f t="shared" si="22"/>
        <v>0</v>
      </c>
      <c r="J134">
        <f t="shared" si="23"/>
        <v>0</v>
      </c>
      <c r="K134">
        <f t="shared" si="24"/>
        <v>1.0467394398169905</v>
      </c>
      <c r="L134">
        <f>-$B$5*$B$12-IF($B$3,Tabelle2[[#This Row],[Fd]]*Tabelle2[[#This Row],[vy]]/Tabelle2[[#This Row],[v]],0)</f>
        <v>-14.715</v>
      </c>
      <c r="M134">
        <f t="shared" si="25"/>
        <v>-9.81</v>
      </c>
      <c r="N134">
        <f t="shared" si="26"/>
        <v>-0.19620000000000001</v>
      </c>
      <c r="O134">
        <f t="shared" si="27"/>
        <v>0.73144948791195608</v>
      </c>
      <c r="P134" s="1">
        <f t="shared" si="29"/>
        <v>52.336971990849527</v>
      </c>
      <c r="Q134" s="1">
        <f t="shared" si="30"/>
        <v>36.670574395597804</v>
      </c>
      <c r="R134">
        <f>SQRT(Tabelle2[[#This Row],[vx]]*Tabelle2[[#This Row],[vx]]+Tabelle2[[#This Row],[vy]]*Tabelle2[[#This Row],[vy]])</f>
        <v>63.905317960824206</v>
      </c>
      <c r="S134">
        <f t="shared" si="31"/>
        <v>137.12286661602568</v>
      </c>
      <c r="T134" s="1">
        <f t="shared" si="32"/>
        <v>131.46121169709272</v>
      </c>
    </row>
    <row r="135" spans="6:20" x14ac:dyDescent="0.35">
      <c r="F135" s="1">
        <f t="shared" si="28"/>
        <v>2.6400000000000019</v>
      </c>
      <c r="G135">
        <f>1/2*$B$8*$B$6*$B$7*(Tabelle2[[#This Row],[vx]]*Tabelle2[[#This Row],[vx]]+Tabelle2[[#This Row],[vy]]*Tabelle2[[#This Row],[vy]])/1000000</f>
        <v>7.1986825412531488</v>
      </c>
      <c r="H135">
        <f>IF($B$3,-Tabelle2[[#This Row],[Fd]]*Tabelle2[[#This Row],[vx]]/Tabelle2[[#This Row],[v]],0)</f>
        <v>0</v>
      </c>
      <c r="I135">
        <f t="shared" si="22"/>
        <v>0</v>
      </c>
      <c r="J135">
        <f t="shared" si="23"/>
        <v>0</v>
      </c>
      <c r="K135">
        <f t="shared" si="24"/>
        <v>1.0467394398169905</v>
      </c>
      <c r="L135">
        <f>-$B$5*$B$12-IF($B$3,Tabelle2[[#This Row],[Fd]]*Tabelle2[[#This Row],[vy]]/Tabelle2[[#This Row],[v]],0)</f>
        <v>-14.715</v>
      </c>
      <c r="M135">
        <f t="shared" si="25"/>
        <v>-9.81</v>
      </c>
      <c r="N135">
        <f t="shared" si="26"/>
        <v>-0.19620000000000001</v>
      </c>
      <c r="O135">
        <f t="shared" si="27"/>
        <v>0.72752548791195604</v>
      </c>
      <c r="P135" s="1">
        <f t="shared" si="29"/>
        <v>52.336971990849527</v>
      </c>
      <c r="Q135" s="1">
        <f t="shared" si="30"/>
        <v>36.474374395597806</v>
      </c>
      <c r="R135">
        <f>SQRT(Tabelle2[[#This Row],[vx]]*Tabelle2[[#This Row],[vx]]+Tabelle2[[#This Row],[vy]]*Tabelle2[[#This Row],[vy]])</f>
        <v>63.7929355392994</v>
      </c>
      <c r="S135">
        <f t="shared" si="31"/>
        <v>138.16960605584268</v>
      </c>
      <c r="T135" s="1">
        <f t="shared" si="32"/>
        <v>132.19266118500468</v>
      </c>
    </row>
    <row r="136" spans="6:20" x14ac:dyDescent="0.35">
      <c r="F136" s="1">
        <f t="shared" si="28"/>
        <v>2.6600000000000019</v>
      </c>
      <c r="G136">
        <f>1/2*$B$8*$B$6*$B$7*(Tabelle2[[#This Row],[vx]]*Tabelle2[[#This Row],[vx]]+Tabelle2[[#This Row],[vy]]*Tabelle2[[#This Row],[vy]])/1000000</f>
        <v>7.173432908671197</v>
      </c>
      <c r="H136">
        <f>IF($B$3,-Tabelle2[[#This Row],[Fd]]*Tabelle2[[#This Row],[vx]]/Tabelle2[[#This Row],[v]],0)</f>
        <v>0</v>
      </c>
      <c r="I136">
        <f t="shared" si="22"/>
        <v>0</v>
      </c>
      <c r="J136">
        <f t="shared" si="23"/>
        <v>0</v>
      </c>
      <c r="K136">
        <f t="shared" si="24"/>
        <v>1.0467394398169905</v>
      </c>
      <c r="L136">
        <f>-$B$5*$B$12-IF($B$3,Tabelle2[[#This Row],[Fd]]*Tabelle2[[#This Row],[vy]]/Tabelle2[[#This Row],[v]],0)</f>
        <v>-14.715</v>
      </c>
      <c r="M136">
        <f t="shared" si="25"/>
        <v>-9.81</v>
      </c>
      <c r="N136">
        <f t="shared" si="26"/>
        <v>-0.19620000000000001</v>
      </c>
      <c r="O136">
        <f t="shared" si="27"/>
        <v>0.72360148791195611</v>
      </c>
      <c r="P136" s="1">
        <f t="shared" si="29"/>
        <v>52.336971990849527</v>
      </c>
      <c r="Q136" s="1">
        <f t="shared" si="30"/>
        <v>36.278174395597809</v>
      </c>
      <c r="R136">
        <f>SQRT(Tabelle2[[#This Row],[vx]]*Tabelle2[[#This Row],[vx]]+Tabelle2[[#This Row],[vy]]*Tabelle2[[#This Row],[vy]])</f>
        <v>63.680959278644472</v>
      </c>
      <c r="S136">
        <f t="shared" si="31"/>
        <v>139.21634549565968</v>
      </c>
      <c r="T136" s="1">
        <f t="shared" si="32"/>
        <v>132.92018667291663</v>
      </c>
    </row>
    <row r="137" spans="6:20" x14ac:dyDescent="0.35">
      <c r="F137" s="1">
        <f t="shared" si="28"/>
        <v>2.6800000000000019</v>
      </c>
      <c r="G137">
        <f>1/2*$B$8*$B$6*$B$7*(Tabelle2[[#This Row],[vx]]*Tabelle2[[#This Row],[vx]]+Tabelle2[[#This Row],[vy]]*Tabelle2[[#This Row],[vy]])/1000000</f>
        <v>7.1483194631505897</v>
      </c>
      <c r="H137">
        <f>IF($B$3,-Tabelle2[[#This Row],[Fd]]*Tabelle2[[#This Row],[vx]]/Tabelle2[[#This Row],[v]],0)</f>
        <v>0</v>
      </c>
      <c r="I137">
        <f t="shared" si="22"/>
        <v>0</v>
      </c>
      <c r="J137">
        <f t="shared" si="23"/>
        <v>0</v>
      </c>
      <c r="K137">
        <f t="shared" si="24"/>
        <v>1.0467394398169905</v>
      </c>
      <c r="L137">
        <f>-$B$5*$B$12-IF($B$3,Tabelle2[[#This Row],[Fd]]*Tabelle2[[#This Row],[vy]]/Tabelle2[[#This Row],[v]],0)</f>
        <v>-14.715</v>
      </c>
      <c r="M137">
        <f t="shared" si="25"/>
        <v>-9.81</v>
      </c>
      <c r="N137">
        <f t="shared" si="26"/>
        <v>-0.19620000000000001</v>
      </c>
      <c r="O137">
        <f t="shared" si="27"/>
        <v>0.71967748791195618</v>
      </c>
      <c r="P137" s="1">
        <f t="shared" si="29"/>
        <v>52.336971990849527</v>
      </c>
      <c r="Q137" s="1">
        <f t="shared" si="30"/>
        <v>36.081974395597811</v>
      </c>
      <c r="R137">
        <f>SQRT(Tabelle2[[#This Row],[vx]]*Tabelle2[[#This Row],[vx]]+Tabelle2[[#This Row],[vy]]*Tabelle2[[#This Row],[vy]])</f>
        <v>63.569391325193166</v>
      </c>
      <c r="S137">
        <f t="shared" si="31"/>
        <v>140.26308493547668</v>
      </c>
      <c r="T137" s="1">
        <f t="shared" si="32"/>
        <v>133.64378816082859</v>
      </c>
    </row>
    <row r="138" spans="6:20" x14ac:dyDescent="0.35">
      <c r="F138" s="1">
        <f t="shared" si="28"/>
        <v>2.700000000000002</v>
      </c>
      <c r="G138">
        <f>1/2*$B$8*$B$6*$B$7*(Tabelle2[[#This Row],[vx]]*Tabelle2[[#This Row],[vx]]+Tabelle2[[#This Row],[vy]]*Tabelle2[[#This Row],[vy]])/1000000</f>
        <v>7.1233422046913253</v>
      </c>
      <c r="H138">
        <f>IF($B$3,-Tabelle2[[#This Row],[Fd]]*Tabelle2[[#This Row],[vx]]/Tabelle2[[#This Row],[v]],0)</f>
        <v>0</v>
      </c>
      <c r="I138">
        <f t="shared" si="22"/>
        <v>0</v>
      </c>
      <c r="J138">
        <f t="shared" si="23"/>
        <v>0</v>
      </c>
      <c r="K138">
        <f t="shared" si="24"/>
        <v>1.0467394398169905</v>
      </c>
      <c r="L138">
        <f>-$B$5*$B$12-IF($B$3,Tabelle2[[#This Row],[Fd]]*Tabelle2[[#This Row],[vy]]/Tabelle2[[#This Row],[v]],0)</f>
        <v>-14.715</v>
      </c>
      <c r="M138">
        <f t="shared" si="25"/>
        <v>-9.81</v>
      </c>
      <c r="N138">
        <f t="shared" si="26"/>
        <v>-0.19620000000000001</v>
      </c>
      <c r="O138">
        <f t="shared" si="27"/>
        <v>0.71575348791195625</v>
      </c>
      <c r="P138" s="1">
        <f t="shared" si="29"/>
        <v>52.336971990849527</v>
      </c>
      <c r="Q138" s="1">
        <f t="shared" si="30"/>
        <v>35.885774395597814</v>
      </c>
      <c r="R138">
        <f>SQRT(Tabelle2[[#This Row],[vx]]*Tabelle2[[#This Row],[vx]]+Tabelle2[[#This Row],[vy]]*Tabelle2[[#This Row],[vy]])</f>
        <v>63.458233832519412</v>
      </c>
      <c r="S138">
        <f t="shared" si="31"/>
        <v>141.30982437529369</v>
      </c>
      <c r="T138" s="1">
        <f t="shared" si="32"/>
        <v>134.36346564874054</v>
      </c>
    </row>
    <row r="139" spans="6:20" x14ac:dyDescent="0.35">
      <c r="F139" s="1">
        <f t="shared" si="28"/>
        <v>2.720000000000002</v>
      </c>
      <c r="G139">
        <f>1/2*$B$8*$B$6*$B$7*(Tabelle2[[#This Row],[vx]]*Tabelle2[[#This Row],[vx]]+Tabelle2[[#This Row],[vy]]*Tabelle2[[#This Row],[vy]])/1000000</f>
        <v>7.0985011332934063</v>
      </c>
      <c r="H139">
        <f>IF($B$3,-Tabelle2[[#This Row],[Fd]]*Tabelle2[[#This Row],[vx]]/Tabelle2[[#This Row],[v]],0)</f>
        <v>0</v>
      </c>
      <c r="I139">
        <f t="shared" si="22"/>
        <v>0</v>
      </c>
      <c r="J139">
        <f t="shared" si="23"/>
        <v>0</v>
      </c>
      <c r="K139">
        <f t="shared" si="24"/>
        <v>1.0467394398169905</v>
      </c>
      <c r="L139">
        <f>-$B$5*$B$12-IF($B$3,Tabelle2[[#This Row],[Fd]]*Tabelle2[[#This Row],[vy]]/Tabelle2[[#This Row],[v]],0)</f>
        <v>-14.715</v>
      </c>
      <c r="M139">
        <f t="shared" si="25"/>
        <v>-9.81</v>
      </c>
      <c r="N139">
        <f t="shared" si="26"/>
        <v>-0.19620000000000001</v>
      </c>
      <c r="O139">
        <f t="shared" si="27"/>
        <v>0.71182948791195633</v>
      </c>
      <c r="P139" s="1">
        <f t="shared" si="29"/>
        <v>52.336971990849527</v>
      </c>
      <c r="Q139" s="1">
        <f t="shared" si="30"/>
        <v>35.689574395597816</v>
      </c>
      <c r="R139">
        <f>SQRT(Tabelle2[[#This Row],[vx]]*Tabelle2[[#This Row],[vx]]+Tabelle2[[#This Row],[vy]]*Tabelle2[[#This Row],[vy]])</f>
        <v>63.347488961361989</v>
      </c>
      <c r="S139">
        <f t="shared" si="31"/>
        <v>142.35656381511069</v>
      </c>
      <c r="T139" s="1">
        <f t="shared" si="32"/>
        <v>135.07921913665251</v>
      </c>
    </row>
    <row r="140" spans="6:20" x14ac:dyDescent="0.35">
      <c r="F140" s="1">
        <f t="shared" si="28"/>
        <v>2.740000000000002</v>
      </c>
      <c r="G140">
        <f>1/2*$B$8*$B$6*$B$7*(Tabelle2[[#This Row],[vx]]*Tabelle2[[#This Row],[vx]]+Tabelle2[[#This Row],[vy]]*Tabelle2[[#This Row],[vy]])/1000000</f>
        <v>7.07379624895683</v>
      </c>
      <c r="H140">
        <f>IF($B$3,-Tabelle2[[#This Row],[Fd]]*Tabelle2[[#This Row],[vx]]/Tabelle2[[#This Row],[v]],0)</f>
        <v>0</v>
      </c>
      <c r="I140">
        <f t="shared" si="22"/>
        <v>0</v>
      </c>
      <c r="J140">
        <f t="shared" si="23"/>
        <v>0</v>
      </c>
      <c r="K140">
        <f t="shared" si="24"/>
        <v>1.0467394398169905</v>
      </c>
      <c r="L140">
        <f>-$B$5*$B$12-IF($B$3,Tabelle2[[#This Row],[Fd]]*Tabelle2[[#This Row],[vy]]/Tabelle2[[#This Row],[v]],0)</f>
        <v>-14.715</v>
      </c>
      <c r="M140">
        <f t="shared" si="25"/>
        <v>-9.81</v>
      </c>
      <c r="N140">
        <f t="shared" si="26"/>
        <v>-0.19620000000000001</v>
      </c>
      <c r="O140">
        <f t="shared" si="27"/>
        <v>0.70790548791195629</v>
      </c>
      <c r="P140" s="1">
        <f t="shared" si="29"/>
        <v>52.336971990849527</v>
      </c>
      <c r="Q140" s="1">
        <f t="shared" si="30"/>
        <v>35.493374395597819</v>
      </c>
      <c r="R140">
        <f>SQRT(Tabelle2[[#This Row],[vx]]*Tabelle2[[#This Row],[vx]]+Tabelle2[[#This Row],[vy]]*Tabelle2[[#This Row],[vy]])</f>
        <v>63.237158879546811</v>
      </c>
      <c r="S140">
        <f t="shared" si="31"/>
        <v>143.40330325492769</v>
      </c>
      <c r="T140" s="1">
        <f t="shared" si="32"/>
        <v>135.79104862456447</v>
      </c>
    </row>
    <row r="141" spans="6:20" x14ac:dyDescent="0.35">
      <c r="F141" s="1">
        <f t="shared" si="28"/>
        <v>2.760000000000002</v>
      </c>
      <c r="G141">
        <f>1/2*$B$8*$B$6*$B$7*(Tabelle2[[#This Row],[vx]]*Tabelle2[[#This Row],[vx]]+Tabelle2[[#This Row],[vy]]*Tabelle2[[#This Row],[vy]])/1000000</f>
        <v>7.0492275516815983</v>
      </c>
      <c r="H141">
        <f>IF($B$3,-Tabelle2[[#This Row],[Fd]]*Tabelle2[[#This Row],[vx]]/Tabelle2[[#This Row],[v]],0)</f>
        <v>0</v>
      </c>
      <c r="I141">
        <f t="shared" si="22"/>
        <v>0</v>
      </c>
      <c r="J141">
        <f t="shared" si="23"/>
        <v>0</v>
      </c>
      <c r="K141">
        <f t="shared" si="24"/>
        <v>1.0467394398169905</v>
      </c>
      <c r="L141">
        <f>-$B$5*$B$12-IF($B$3,Tabelle2[[#This Row],[Fd]]*Tabelle2[[#This Row],[vy]]/Tabelle2[[#This Row],[v]],0)</f>
        <v>-14.715</v>
      </c>
      <c r="M141">
        <f t="shared" si="25"/>
        <v>-9.81</v>
      </c>
      <c r="N141">
        <f t="shared" si="26"/>
        <v>-0.19620000000000001</v>
      </c>
      <c r="O141">
        <f t="shared" si="27"/>
        <v>0.70398148791195636</v>
      </c>
      <c r="P141" s="1">
        <f t="shared" si="29"/>
        <v>52.336971990849527</v>
      </c>
      <c r="Q141" s="1">
        <f t="shared" si="30"/>
        <v>35.297174395597821</v>
      </c>
      <c r="R141">
        <f>SQRT(Tabelle2[[#This Row],[vx]]*Tabelle2[[#This Row],[vx]]+Tabelle2[[#This Row],[vy]]*Tabelle2[[#This Row],[vy]])</f>
        <v>63.127245761907069</v>
      </c>
      <c r="S141">
        <f t="shared" si="31"/>
        <v>144.4500426947447</v>
      </c>
      <c r="T141" s="1">
        <f t="shared" si="32"/>
        <v>136.49895411247641</v>
      </c>
    </row>
    <row r="142" spans="6:20" x14ac:dyDescent="0.35">
      <c r="F142" s="1">
        <f t="shared" si="28"/>
        <v>2.780000000000002</v>
      </c>
      <c r="G142">
        <f>1/2*$B$8*$B$6*$B$7*(Tabelle2[[#This Row],[vx]]*Tabelle2[[#This Row],[vx]]+Tabelle2[[#This Row],[vy]]*Tabelle2[[#This Row],[vy]])/1000000</f>
        <v>7.0247950414677094</v>
      </c>
      <c r="H142">
        <f>IF($B$3,-Tabelle2[[#This Row],[Fd]]*Tabelle2[[#This Row],[vx]]/Tabelle2[[#This Row],[v]],0)</f>
        <v>0</v>
      </c>
      <c r="I142">
        <f t="shared" si="22"/>
        <v>0</v>
      </c>
      <c r="J142">
        <f t="shared" si="23"/>
        <v>0</v>
      </c>
      <c r="K142">
        <f t="shared" si="24"/>
        <v>1.0467394398169905</v>
      </c>
      <c r="L142">
        <f>-$B$5*$B$12-IF($B$3,Tabelle2[[#This Row],[Fd]]*Tabelle2[[#This Row],[vy]]/Tabelle2[[#This Row],[v]],0)</f>
        <v>-14.715</v>
      </c>
      <c r="M142">
        <f t="shared" si="25"/>
        <v>-9.81</v>
      </c>
      <c r="N142">
        <f t="shared" si="26"/>
        <v>-0.19620000000000001</v>
      </c>
      <c r="O142">
        <f t="shared" si="27"/>
        <v>0.70005748791195643</v>
      </c>
      <c r="P142" s="1">
        <f t="shared" si="29"/>
        <v>52.336971990849527</v>
      </c>
      <c r="Q142" s="1">
        <f t="shared" si="30"/>
        <v>35.100974395597824</v>
      </c>
      <c r="R142">
        <f>SQRT(Tabelle2[[#This Row],[vx]]*Tabelle2[[#This Row],[vx]]+Tabelle2[[#This Row],[vy]]*Tabelle2[[#This Row],[vy]])</f>
        <v>63.017751790201004</v>
      </c>
      <c r="S142">
        <f t="shared" si="31"/>
        <v>145.4967821345617</v>
      </c>
      <c r="T142" s="1">
        <f t="shared" si="32"/>
        <v>137.20293560038837</v>
      </c>
    </row>
    <row r="143" spans="6:20" x14ac:dyDescent="0.35">
      <c r="F143" s="1">
        <f t="shared" si="28"/>
        <v>2.800000000000002</v>
      </c>
      <c r="G143">
        <f>1/2*$B$8*$B$6*$B$7*(Tabelle2[[#This Row],[vx]]*Tabelle2[[#This Row],[vx]]+Tabelle2[[#This Row],[vy]]*Tabelle2[[#This Row],[vy]])/1000000</f>
        <v>7.0004987183151659</v>
      </c>
      <c r="H143">
        <f>IF($B$3,-Tabelle2[[#This Row],[Fd]]*Tabelle2[[#This Row],[vx]]/Tabelle2[[#This Row],[v]],0)</f>
        <v>0</v>
      </c>
      <c r="I143">
        <f t="shared" si="22"/>
        <v>0</v>
      </c>
      <c r="J143">
        <f t="shared" si="23"/>
        <v>0</v>
      </c>
      <c r="K143">
        <f t="shared" si="24"/>
        <v>1.0467394398169905</v>
      </c>
      <c r="L143">
        <f>-$B$5*$B$12-IF($B$3,Tabelle2[[#This Row],[Fd]]*Tabelle2[[#This Row],[vy]]/Tabelle2[[#This Row],[v]],0)</f>
        <v>-14.715</v>
      </c>
      <c r="M143">
        <f t="shared" si="25"/>
        <v>-9.81</v>
      </c>
      <c r="N143">
        <f t="shared" si="26"/>
        <v>-0.19620000000000001</v>
      </c>
      <c r="O143">
        <f t="shared" si="27"/>
        <v>0.69613348791195651</v>
      </c>
      <c r="P143" s="1">
        <f t="shared" si="29"/>
        <v>52.336971990849527</v>
      </c>
      <c r="Q143" s="1">
        <f t="shared" si="30"/>
        <v>34.904774395597826</v>
      </c>
      <c r="R143">
        <f>SQRT(Tabelle2[[#This Row],[vx]]*Tabelle2[[#This Row],[vx]]+Tabelle2[[#This Row],[vy]]*Tabelle2[[#This Row],[vy]])</f>
        <v>62.908679153027435</v>
      </c>
      <c r="S143">
        <f t="shared" si="31"/>
        <v>146.5435215743787</v>
      </c>
      <c r="T143" s="1">
        <f t="shared" si="32"/>
        <v>137.90299308830032</v>
      </c>
    </row>
    <row r="144" spans="6:20" x14ac:dyDescent="0.35">
      <c r="F144" s="1">
        <f t="shared" si="28"/>
        <v>2.8200000000000021</v>
      </c>
      <c r="G144">
        <f>1/2*$B$8*$B$6*$B$7*(Tabelle2[[#This Row],[vx]]*Tabelle2[[#This Row],[vx]]+Tabelle2[[#This Row],[vy]]*Tabelle2[[#This Row],[vy]])/1000000</f>
        <v>6.976338582223967</v>
      </c>
      <c r="H144">
        <f>IF($B$3,-Tabelle2[[#This Row],[Fd]]*Tabelle2[[#This Row],[vx]]/Tabelle2[[#This Row],[v]],0)</f>
        <v>0</v>
      </c>
      <c r="I144">
        <f t="shared" si="22"/>
        <v>0</v>
      </c>
      <c r="J144">
        <f t="shared" si="23"/>
        <v>0</v>
      </c>
      <c r="K144">
        <f t="shared" si="24"/>
        <v>1.0467394398169905</v>
      </c>
      <c r="L144">
        <f>-$B$5*$B$12-IF($B$3,Tabelle2[[#This Row],[Fd]]*Tabelle2[[#This Row],[vy]]/Tabelle2[[#This Row],[v]],0)</f>
        <v>-14.715</v>
      </c>
      <c r="M144">
        <f t="shared" si="25"/>
        <v>-9.81</v>
      </c>
      <c r="N144">
        <f t="shared" si="26"/>
        <v>-0.19620000000000001</v>
      </c>
      <c r="O144">
        <f t="shared" si="27"/>
        <v>0.69220948791195658</v>
      </c>
      <c r="P144" s="1">
        <f t="shared" si="29"/>
        <v>52.336971990849527</v>
      </c>
      <c r="Q144" s="1">
        <f t="shared" si="30"/>
        <v>34.708574395597829</v>
      </c>
      <c r="R144">
        <f>SQRT(Tabelle2[[#This Row],[vx]]*Tabelle2[[#This Row],[vx]]+Tabelle2[[#This Row],[vy]]*Tabelle2[[#This Row],[vy]])</f>
        <v>62.800030045738964</v>
      </c>
      <c r="S144">
        <f t="shared" si="31"/>
        <v>147.5902610141957</v>
      </c>
      <c r="T144" s="1">
        <f t="shared" si="32"/>
        <v>138.59912657621229</v>
      </c>
    </row>
    <row r="145" spans="6:20" x14ac:dyDescent="0.35">
      <c r="F145" s="1">
        <f t="shared" si="28"/>
        <v>2.8400000000000021</v>
      </c>
      <c r="G145">
        <f>1/2*$B$8*$B$6*$B$7*(Tabelle2[[#This Row],[vx]]*Tabelle2[[#This Row],[vx]]+Tabelle2[[#This Row],[vy]]*Tabelle2[[#This Row],[vy]])/1000000</f>
        <v>6.9523146331941099</v>
      </c>
      <c r="H145">
        <f>IF($B$3,-Tabelle2[[#This Row],[Fd]]*Tabelle2[[#This Row],[vx]]/Tabelle2[[#This Row],[v]],0)</f>
        <v>0</v>
      </c>
      <c r="I145">
        <f t="shared" si="22"/>
        <v>0</v>
      </c>
      <c r="J145">
        <f t="shared" si="23"/>
        <v>0</v>
      </c>
      <c r="K145">
        <f t="shared" si="24"/>
        <v>1.0467394398169905</v>
      </c>
      <c r="L145">
        <f>-$B$5*$B$12-IF($B$3,Tabelle2[[#This Row],[Fd]]*Tabelle2[[#This Row],[vy]]/Tabelle2[[#This Row],[v]],0)</f>
        <v>-14.715</v>
      </c>
      <c r="M145">
        <f t="shared" si="25"/>
        <v>-9.81</v>
      </c>
      <c r="N145">
        <f t="shared" si="26"/>
        <v>-0.19620000000000001</v>
      </c>
      <c r="O145">
        <f t="shared" si="27"/>
        <v>0.68828548791195654</v>
      </c>
      <c r="P145" s="1">
        <f t="shared" si="29"/>
        <v>52.336971990849527</v>
      </c>
      <c r="Q145" s="1">
        <f t="shared" si="30"/>
        <v>34.512374395597831</v>
      </c>
      <c r="R145">
        <f>SQRT(Tabelle2[[#This Row],[vx]]*Tabelle2[[#This Row],[vx]]+Tabelle2[[#This Row],[vy]]*Tabelle2[[#This Row],[vy]])</f>
        <v>62.69180667035274</v>
      </c>
      <c r="S145">
        <f t="shared" si="31"/>
        <v>148.63700045401271</v>
      </c>
      <c r="T145" s="1">
        <f t="shared" si="32"/>
        <v>139.29133606412424</v>
      </c>
    </row>
    <row r="146" spans="6:20" x14ac:dyDescent="0.35">
      <c r="F146" s="1">
        <f t="shared" si="28"/>
        <v>2.8600000000000021</v>
      </c>
      <c r="G146">
        <f>1/2*$B$8*$B$6*$B$7*(Tabelle2[[#This Row],[vx]]*Tabelle2[[#This Row],[vx]]+Tabelle2[[#This Row],[vy]]*Tabelle2[[#This Row],[vy]])/1000000</f>
        <v>6.9284268712255983</v>
      </c>
      <c r="H146">
        <f>IF($B$3,-Tabelle2[[#This Row],[Fd]]*Tabelle2[[#This Row],[vx]]/Tabelle2[[#This Row],[v]],0)</f>
        <v>0</v>
      </c>
      <c r="I146">
        <f t="shared" si="22"/>
        <v>0</v>
      </c>
      <c r="J146">
        <f t="shared" si="23"/>
        <v>0</v>
      </c>
      <c r="K146">
        <f t="shared" si="24"/>
        <v>1.0467394398169905</v>
      </c>
      <c r="L146">
        <f>-$B$5*$B$12-IF($B$3,Tabelle2[[#This Row],[Fd]]*Tabelle2[[#This Row],[vy]]/Tabelle2[[#This Row],[v]],0)</f>
        <v>-14.715</v>
      </c>
      <c r="M146">
        <f t="shared" si="25"/>
        <v>-9.81</v>
      </c>
      <c r="N146">
        <f t="shared" si="26"/>
        <v>-0.19620000000000001</v>
      </c>
      <c r="O146">
        <f t="shared" si="27"/>
        <v>0.68436148791195661</v>
      </c>
      <c r="P146" s="1">
        <f t="shared" si="29"/>
        <v>52.336971990849527</v>
      </c>
      <c r="Q146" s="1">
        <f t="shared" si="30"/>
        <v>34.316174395597834</v>
      </c>
      <c r="R146">
        <f>SQRT(Tabelle2[[#This Row],[vx]]*Tabelle2[[#This Row],[vx]]+Tabelle2[[#This Row],[vy]]*Tabelle2[[#This Row],[vy]])</f>
        <v>62.584011235458945</v>
      </c>
      <c r="S146">
        <f t="shared" si="31"/>
        <v>149.68373989382971</v>
      </c>
      <c r="T146" s="1">
        <f t="shared" si="32"/>
        <v>139.97962155203621</v>
      </c>
    </row>
    <row r="147" spans="6:20" x14ac:dyDescent="0.35">
      <c r="F147" s="1">
        <f t="shared" si="28"/>
        <v>2.8800000000000021</v>
      </c>
      <c r="G147">
        <f>1/2*$B$8*$B$6*$B$7*(Tabelle2[[#This Row],[vx]]*Tabelle2[[#This Row],[vx]]+Tabelle2[[#This Row],[vy]]*Tabelle2[[#This Row],[vy]])/1000000</f>
        <v>6.9046752963184304</v>
      </c>
      <c r="H147">
        <f>IF($B$3,-Tabelle2[[#This Row],[Fd]]*Tabelle2[[#This Row],[vx]]/Tabelle2[[#This Row],[v]],0)</f>
        <v>0</v>
      </c>
      <c r="I147">
        <f t="shared" si="22"/>
        <v>0</v>
      </c>
      <c r="J147">
        <f t="shared" si="23"/>
        <v>0</v>
      </c>
      <c r="K147">
        <f t="shared" si="24"/>
        <v>1.0467394398169905</v>
      </c>
      <c r="L147">
        <f>-$B$5*$B$12-IF($B$3,Tabelle2[[#This Row],[Fd]]*Tabelle2[[#This Row],[vy]]/Tabelle2[[#This Row],[v]],0)</f>
        <v>-14.715</v>
      </c>
      <c r="M147">
        <f t="shared" si="25"/>
        <v>-9.81</v>
      </c>
      <c r="N147">
        <f t="shared" si="26"/>
        <v>-0.19620000000000001</v>
      </c>
      <c r="O147">
        <f t="shared" si="27"/>
        <v>0.68043748791195668</v>
      </c>
      <c r="P147" s="1">
        <f t="shared" si="29"/>
        <v>52.336971990849527</v>
      </c>
      <c r="Q147" s="1">
        <f t="shared" si="30"/>
        <v>34.119974395597836</v>
      </c>
      <c r="R147">
        <f>SQRT(Tabelle2[[#This Row],[vx]]*Tabelle2[[#This Row],[vx]]+Tabelle2[[#This Row],[vy]]*Tabelle2[[#This Row],[vy]])</f>
        <v>62.476645956126838</v>
      </c>
      <c r="S147">
        <f t="shared" si="31"/>
        <v>150.73047933364671</v>
      </c>
      <c r="T147" s="1">
        <f t="shared" si="32"/>
        <v>140.66398303994816</v>
      </c>
    </row>
    <row r="148" spans="6:20" x14ac:dyDescent="0.35">
      <c r="F148" s="1">
        <f t="shared" si="28"/>
        <v>2.9000000000000021</v>
      </c>
      <c r="G148">
        <f>1/2*$B$8*$B$6*$B$7*(Tabelle2[[#This Row],[vx]]*Tabelle2[[#This Row],[vx]]+Tabelle2[[#This Row],[vy]]*Tabelle2[[#This Row],[vy]])/1000000</f>
        <v>6.881059908472607</v>
      </c>
      <c r="H148">
        <f>IF($B$3,-Tabelle2[[#This Row],[Fd]]*Tabelle2[[#This Row],[vx]]/Tabelle2[[#This Row],[v]],0)</f>
        <v>0</v>
      </c>
      <c r="I148">
        <f t="shared" si="22"/>
        <v>0</v>
      </c>
      <c r="J148">
        <f t="shared" si="23"/>
        <v>0</v>
      </c>
      <c r="K148">
        <f t="shared" si="24"/>
        <v>1.0467394398169905</v>
      </c>
      <c r="L148">
        <f>-$B$5*$B$12-IF($B$3,Tabelle2[[#This Row],[Fd]]*Tabelle2[[#This Row],[vy]]/Tabelle2[[#This Row],[v]],0)</f>
        <v>-14.715</v>
      </c>
      <c r="M148">
        <f t="shared" si="25"/>
        <v>-9.81</v>
      </c>
      <c r="N148">
        <f t="shared" si="26"/>
        <v>-0.19620000000000001</v>
      </c>
      <c r="O148">
        <f t="shared" si="27"/>
        <v>0.67651348791195676</v>
      </c>
      <c r="P148" s="1">
        <f t="shared" si="29"/>
        <v>52.336971990849527</v>
      </c>
      <c r="Q148" s="1">
        <f t="shared" si="30"/>
        <v>33.923774395597839</v>
      </c>
      <c r="R148">
        <f>SQRT(Tabelle2[[#This Row],[vx]]*Tabelle2[[#This Row],[vx]]+Tabelle2[[#This Row],[vy]]*Tabelle2[[#This Row],[vy]])</f>
        <v>62.369713053808312</v>
      </c>
      <c r="S148">
        <f t="shared" si="31"/>
        <v>151.77721877346372</v>
      </c>
      <c r="T148" s="1">
        <f t="shared" si="32"/>
        <v>141.34442052786011</v>
      </c>
    </row>
    <row r="149" spans="6:20" x14ac:dyDescent="0.35">
      <c r="F149" s="1">
        <f t="shared" si="28"/>
        <v>2.9200000000000021</v>
      </c>
      <c r="G149">
        <f>1/2*$B$8*$B$6*$B$7*(Tabelle2[[#This Row],[vx]]*Tabelle2[[#This Row],[vx]]+Tabelle2[[#This Row],[vy]]*Tabelle2[[#This Row],[vy]])/1000000</f>
        <v>6.8575807076881263</v>
      </c>
      <c r="H149">
        <f>IF($B$3,-Tabelle2[[#This Row],[Fd]]*Tabelle2[[#This Row],[vx]]/Tabelle2[[#This Row],[v]],0)</f>
        <v>0</v>
      </c>
      <c r="I149">
        <f t="shared" si="22"/>
        <v>0</v>
      </c>
      <c r="J149">
        <f t="shared" si="23"/>
        <v>0</v>
      </c>
      <c r="K149">
        <f t="shared" si="24"/>
        <v>1.0467394398169905</v>
      </c>
      <c r="L149">
        <f>-$B$5*$B$12-IF($B$3,Tabelle2[[#This Row],[Fd]]*Tabelle2[[#This Row],[vy]]/Tabelle2[[#This Row],[v]],0)</f>
        <v>-14.715</v>
      </c>
      <c r="M149">
        <f t="shared" si="25"/>
        <v>-9.81</v>
      </c>
      <c r="N149">
        <f t="shared" si="26"/>
        <v>-0.19620000000000001</v>
      </c>
      <c r="O149">
        <f t="shared" si="27"/>
        <v>0.67258948791195683</v>
      </c>
      <c r="P149" s="1">
        <f t="shared" si="29"/>
        <v>52.336971990849527</v>
      </c>
      <c r="Q149" s="1">
        <f t="shared" si="30"/>
        <v>33.727574395597841</v>
      </c>
      <c r="R149">
        <f>SQRT(Tabelle2[[#This Row],[vx]]*Tabelle2[[#This Row],[vx]]+Tabelle2[[#This Row],[vy]]*Tabelle2[[#This Row],[vy]])</f>
        <v>62.263214756239137</v>
      </c>
      <c r="S149">
        <f t="shared" si="31"/>
        <v>152.82395821328072</v>
      </c>
      <c r="T149" s="1">
        <f t="shared" si="32"/>
        <v>142.02093401577207</v>
      </c>
    </row>
    <row r="150" spans="6:20" x14ac:dyDescent="0.35">
      <c r="F150" s="1">
        <f t="shared" si="28"/>
        <v>2.9400000000000022</v>
      </c>
      <c r="G150">
        <f>1/2*$B$8*$B$6*$B$7*(Tabelle2[[#This Row],[vx]]*Tabelle2[[#This Row],[vx]]+Tabelle2[[#This Row],[vy]]*Tabelle2[[#This Row],[vy]])/1000000</f>
        <v>6.8342376939649903</v>
      </c>
      <c r="H150">
        <f>IF($B$3,-Tabelle2[[#This Row],[Fd]]*Tabelle2[[#This Row],[vx]]/Tabelle2[[#This Row],[v]],0)</f>
        <v>0</v>
      </c>
      <c r="I150">
        <f t="shared" si="22"/>
        <v>0</v>
      </c>
      <c r="J150">
        <f t="shared" si="23"/>
        <v>0</v>
      </c>
      <c r="K150">
        <f t="shared" si="24"/>
        <v>1.0467394398169905</v>
      </c>
      <c r="L150">
        <f>-$B$5*$B$12-IF($B$3,Tabelle2[[#This Row],[Fd]]*Tabelle2[[#This Row],[vy]]/Tabelle2[[#This Row],[v]],0)</f>
        <v>-14.715</v>
      </c>
      <c r="M150">
        <f t="shared" si="25"/>
        <v>-9.81</v>
      </c>
      <c r="N150">
        <f t="shared" si="26"/>
        <v>-0.19620000000000001</v>
      </c>
      <c r="O150">
        <f t="shared" si="27"/>
        <v>0.66866548791195679</v>
      </c>
      <c r="P150" s="1">
        <f t="shared" si="29"/>
        <v>52.336971990849527</v>
      </c>
      <c r="Q150" s="1">
        <f t="shared" si="30"/>
        <v>33.531374395597844</v>
      </c>
      <c r="R150">
        <f>SQRT(Tabelle2[[#This Row],[vx]]*Tabelle2[[#This Row],[vx]]+Tabelle2[[#This Row],[vy]]*Tabelle2[[#This Row],[vy]])</f>
        <v>62.157153297337565</v>
      </c>
      <c r="S150">
        <f t="shared" si="31"/>
        <v>153.87069765309772</v>
      </c>
      <c r="T150" s="1">
        <f t="shared" si="32"/>
        <v>142.69352350368402</v>
      </c>
    </row>
    <row r="151" spans="6:20" x14ac:dyDescent="0.35">
      <c r="F151" s="1">
        <f t="shared" si="28"/>
        <v>2.9600000000000022</v>
      </c>
      <c r="G151">
        <f>1/2*$B$8*$B$6*$B$7*(Tabelle2[[#This Row],[vx]]*Tabelle2[[#This Row],[vx]]+Tabelle2[[#This Row],[vy]]*Tabelle2[[#This Row],[vy]])/1000000</f>
        <v>6.8110308673031978</v>
      </c>
      <c r="H151">
        <f>IF($B$3,-Tabelle2[[#This Row],[Fd]]*Tabelle2[[#This Row],[vx]]/Tabelle2[[#This Row],[v]],0)</f>
        <v>0</v>
      </c>
      <c r="I151">
        <f t="shared" si="22"/>
        <v>0</v>
      </c>
      <c r="J151">
        <f t="shared" si="23"/>
        <v>0</v>
      </c>
      <c r="K151">
        <f t="shared" si="24"/>
        <v>1.0467394398169905</v>
      </c>
      <c r="L151">
        <f>-$B$5*$B$12-IF($B$3,Tabelle2[[#This Row],[Fd]]*Tabelle2[[#This Row],[vy]]/Tabelle2[[#This Row],[v]],0)</f>
        <v>-14.715</v>
      </c>
      <c r="M151">
        <f t="shared" si="25"/>
        <v>-9.81</v>
      </c>
      <c r="N151">
        <f t="shared" si="26"/>
        <v>-0.19620000000000001</v>
      </c>
      <c r="O151">
        <f t="shared" si="27"/>
        <v>0.66474148791195686</v>
      </c>
      <c r="P151" s="1">
        <f t="shared" si="29"/>
        <v>52.336971990849527</v>
      </c>
      <c r="Q151" s="1">
        <f t="shared" si="30"/>
        <v>33.335174395597846</v>
      </c>
      <c r="R151">
        <f>SQRT(Tabelle2[[#This Row],[vx]]*Tabelle2[[#This Row],[vx]]+Tabelle2[[#This Row],[vy]]*Tabelle2[[#This Row],[vy]])</f>
        <v>62.051530917100585</v>
      </c>
      <c r="S151">
        <f t="shared" si="31"/>
        <v>154.91743709291472</v>
      </c>
      <c r="T151" s="1">
        <f t="shared" si="32"/>
        <v>143.36218899159599</v>
      </c>
    </row>
    <row r="152" spans="6:20" x14ac:dyDescent="0.35">
      <c r="F152" s="1">
        <f t="shared" si="28"/>
        <v>2.9800000000000022</v>
      </c>
      <c r="G152">
        <f>1/2*$B$8*$B$6*$B$7*(Tabelle2[[#This Row],[vx]]*Tabelle2[[#This Row],[vx]]+Tabelle2[[#This Row],[vy]]*Tabelle2[[#This Row],[vy]])/1000000</f>
        <v>6.7879602277027509</v>
      </c>
      <c r="H152">
        <f>IF($B$3,-Tabelle2[[#This Row],[Fd]]*Tabelle2[[#This Row],[vx]]/Tabelle2[[#This Row],[v]],0)</f>
        <v>0</v>
      </c>
      <c r="I152">
        <f t="shared" si="22"/>
        <v>0</v>
      </c>
      <c r="J152">
        <f t="shared" si="23"/>
        <v>0</v>
      </c>
      <c r="K152">
        <f t="shared" si="24"/>
        <v>1.0467394398169905</v>
      </c>
      <c r="L152">
        <f>-$B$5*$B$12-IF($B$3,Tabelle2[[#This Row],[Fd]]*Tabelle2[[#This Row],[vy]]/Tabelle2[[#This Row],[v]],0)</f>
        <v>-14.715</v>
      </c>
      <c r="M152">
        <f t="shared" si="25"/>
        <v>-9.81</v>
      </c>
      <c r="N152">
        <f t="shared" si="26"/>
        <v>-0.19620000000000001</v>
      </c>
      <c r="O152">
        <f t="shared" si="27"/>
        <v>0.66081748791195694</v>
      </c>
      <c r="P152" s="1">
        <f t="shared" si="29"/>
        <v>52.336971990849527</v>
      </c>
      <c r="Q152" s="1">
        <f t="shared" si="30"/>
        <v>33.138974395597849</v>
      </c>
      <c r="R152">
        <f>SQRT(Tabelle2[[#This Row],[vx]]*Tabelle2[[#This Row],[vx]]+Tabelle2[[#This Row],[vy]]*Tabelle2[[#This Row],[vy]])</f>
        <v>61.946349861497552</v>
      </c>
      <c r="S152">
        <f t="shared" si="31"/>
        <v>155.96417653273173</v>
      </c>
      <c r="T152" s="1">
        <f t="shared" si="32"/>
        <v>144.02693047950794</v>
      </c>
    </row>
    <row r="153" spans="6:20" x14ac:dyDescent="0.35">
      <c r="F153" s="1">
        <f t="shared" si="28"/>
        <v>3.0000000000000022</v>
      </c>
      <c r="G153">
        <f>1/2*$B$8*$B$6*$B$7*(Tabelle2[[#This Row],[vx]]*Tabelle2[[#This Row],[vx]]+Tabelle2[[#This Row],[vy]]*Tabelle2[[#This Row],[vy]])/1000000</f>
        <v>6.7650257751636467</v>
      </c>
      <c r="H153">
        <f>IF($B$3,-Tabelle2[[#This Row],[Fd]]*Tabelle2[[#This Row],[vx]]/Tabelle2[[#This Row],[v]],0)</f>
        <v>0</v>
      </c>
      <c r="I153">
        <f t="shared" si="22"/>
        <v>0</v>
      </c>
      <c r="J153">
        <f t="shared" si="23"/>
        <v>0</v>
      </c>
      <c r="K153">
        <f t="shared" si="24"/>
        <v>1.0467394398169905</v>
      </c>
      <c r="L153">
        <f>-$B$5*$B$12-IF($B$3,Tabelle2[[#This Row],[Fd]]*Tabelle2[[#This Row],[vy]]/Tabelle2[[#This Row],[v]],0)</f>
        <v>-14.715</v>
      </c>
      <c r="M153">
        <f t="shared" si="25"/>
        <v>-9.81</v>
      </c>
      <c r="N153">
        <f t="shared" si="26"/>
        <v>-0.19620000000000001</v>
      </c>
      <c r="O153">
        <f t="shared" si="27"/>
        <v>0.65689348791195701</v>
      </c>
      <c r="P153" s="1">
        <f t="shared" si="29"/>
        <v>52.336971990849527</v>
      </c>
      <c r="Q153" s="1">
        <f t="shared" si="30"/>
        <v>32.942774395597851</v>
      </c>
      <c r="R153">
        <f>SQRT(Tabelle2[[#This Row],[vx]]*Tabelle2[[#This Row],[vx]]+Tabelle2[[#This Row],[vy]]*Tabelle2[[#This Row],[vy]])</f>
        <v>61.841612382361326</v>
      </c>
      <c r="S153">
        <f t="shared" si="31"/>
        <v>157.01091597254873</v>
      </c>
      <c r="T153" s="1">
        <f t="shared" si="32"/>
        <v>144.68774796741991</v>
      </c>
    </row>
    <row r="154" spans="6:20" x14ac:dyDescent="0.35">
      <c r="F154" s="1">
        <f t="shared" si="28"/>
        <v>3.0200000000000022</v>
      </c>
      <c r="G154">
        <f>1/2*$B$8*$B$6*$B$7*(Tabelle2[[#This Row],[vx]]*Tabelle2[[#This Row],[vx]]+Tabelle2[[#This Row],[vy]]*Tabelle2[[#This Row],[vy]])/1000000</f>
        <v>6.742227509685887</v>
      </c>
      <c r="H154">
        <f>IF($B$3,-Tabelle2[[#This Row],[Fd]]*Tabelle2[[#This Row],[vx]]/Tabelle2[[#This Row],[v]],0)</f>
        <v>0</v>
      </c>
      <c r="I154">
        <f t="shared" si="22"/>
        <v>0</v>
      </c>
      <c r="J154">
        <f t="shared" si="23"/>
        <v>0</v>
      </c>
      <c r="K154">
        <f t="shared" si="24"/>
        <v>1.0467394398169905</v>
      </c>
      <c r="L154">
        <f>-$B$5*$B$12-IF($B$3,Tabelle2[[#This Row],[Fd]]*Tabelle2[[#This Row],[vy]]/Tabelle2[[#This Row],[v]],0)</f>
        <v>-14.715</v>
      </c>
      <c r="M154">
        <f t="shared" si="25"/>
        <v>-9.81</v>
      </c>
      <c r="N154">
        <f t="shared" si="26"/>
        <v>-0.19620000000000001</v>
      </c>
      <c r="O154">
        <f t="shared" si="27"/>
        <v>0.65296948791195708</v>
      </c>
      <c r="P154" s="1">
        <f t="shared" si="29"/>
        <v>52.336971990849527</v>
      </c>
      <c r="Q154" s="1">
        <f t="shared" si="30"/>
        <v>32.746574395597854</v>
      </c>
      <c r="R154">
        <f>SQRT(Tabelle2[[#This Row],[vx]]*Tabelle2[[#This Row],[vx]]+Tabelle2[[#This Row],[vy]]*Tabelle2[[#This Row],[vy]])</f>
        <v>61.737320737276839</v>
      </c>
      <c r="S154">
        <f t="shared" si="31"/>
        <v>158.05765541236573</v>
      </c>
      <c r="T154" s="1">
        <f t="shared" si="32"/>
        <v>145.34464145533187</v>
      </c>
    </row>
    <row r="155" spans="6:20" x14ac:dyDescent="0.35">
      <c r="F155" s="1">
        <f t="shared" si="28"/>
        <v>3.0400000000000023</v>
      </c>
      <c r="G155">
        <f>1/2*$B$8*$B$6*$B$7*(Tabelle2[[#This Row],[vx]]*Tabelle2[[#This Row],[vx]]+Tabelle2[[#This Row],[vy]]*Tabelle2[[#This Row],[vy]])/1000000</f>
        <v>6.719565431269471</v>
      </c>
      <c r="H155">
        <f>IF($B$3,-Tabelle2[[#This Row],[Fd]]*Tabelle2[[#This Row],[vx]]/Tabelle2[[#This Row],[v]],0)</f>
        <v>0</v>
      </c>
      <c r="I155">
        <f t="shared" si="22"/>
        <v>0</v>
      </c>
      <c r="J155">
        <f t="shared" si="23"/>
        <v>0</v>
      </c>
      <c r="K155">
        <f t="shared" si="24"/>
        <v>1.0467394398169905</v>
      </c>
      <c r="L155">
        <f>-$B$5*$B$12-IF($B$3,Tabelle2[[#This Row],[Fd]]*Tabelle2[[#This Row],[vy]]/Tabelle2[[#This Row],[v]],0)</f>
        <v>-14.715</v>
      </c>
      <c r="M155">
        <f t="shared" si="25"/>
        <v>-9.81</v>
      </c>
      <c r="N155">
        <f t="shared" si="26"/>
        <v>-0.19620000000000001</v>
      </c>
      <c r="O155">
        <f t="shared" si="27"/>
        <v>0.64904548791195704</v>
      </c>
      <c r="P155" s="1">
        <f t="shared" si="29"/>
        <v>52.336971990849527</v>
      </c>
      <c r="Q155" s="1">
        <f t="shared" si="30"/>
        <v>32.550374395597856</v>
      </c>
      <c r="R155">
        <f>SQRT(Tabelle2[[#This Row],[vx]]*Tabelle2[[#This Row],[vx]]+Tabelle2[[#This Row],[vy]]*Tabelle2[[#This Row],[vy]])</f>
        <v>61.633477189467094</v>
      </c>
      <c r="S155">
        <f t="shared" si="31"/>
        <v>159.10439485218274</v>
      </c>
      <c r="T155" s="1">
        <f t="shared" si="32"/>
        <v>145.99761094324381</v>
      </c>
    </row>
    <row r="156" spans="6:20" x14ac:dyDescent="0.35">
      <c r="F156" s="1">
        <f t="shared" si="28"/>
        <v>3.0600000000000023</v>
      </c>
      <c r="G156">
        <f>1/2*$B$8*$B$6*$B$7*(Tabelle2[[#This Row],[vx]]*Tabelle2[[#This Row],[vx]]+Tabelle2[[#This Row],[vy]]*Tabelle2[[#This Row],[vy]])/1000000</f>
        <v>6.6970395399143987</v>
      </c>
      <c r="H156">
        <f>IF($B$3,-Tabelle2[[#This Row],[Fd]]*Tabelle2[[#This Row],[vx]]/Tabelle2[[#This Row],[v]],0)</f>
        <v>0</v>
      </c>
      <c r="I156">
        <f t="shared" si="22"/>
        <v>0</v>
      </c>
      <c r="J156">
        <f t="shared" si="23"/>
        <v>0</v>
      </c>
      <c r="K156">
        <f t="shared" si="24"/>
        <v>1.0467394398169905</v>
      </c>
      <c r="L156">
        <f>-$B$5*$B$12-IF($B$3,Tabelle2[[#This Row],[Fd]]*Tabelle2[[#This Row],[vy]]/Tabelle2[[#This Row],[v]],0)</f>
        <v>-14.715</v>
      </c>
      <c r="M156">
        <f t="shared" si="25"/>
        <v>-9.81</v>
      </c>
      <c r="N156">
        <f t="shared" si="26"/>
        <v>-0.19620000000000001</v>
      </c>
      <c r="O156">
        <f t="shared" si="27"/>
        <v>0.64512148791195711</v>
      </c>
      <c r="P156" s="1">
        <f t="shared" si="29"/>
        <v>52.336971990849527</v>
      </c>
      <c r="Q156" s="1">
        <f t="shared" si="30"/>
        <v>32.354174395597859</v>
      </c>
      <c r="R156">
        <f>SQRT(Tabelle2[[#This Row],[vx]]*Tabelle2[[#This Row],[vx]]+Tabelle2[[#This Row],[vy]]*Tabelle2[[#This Row],[vy]])</f>
        <v>61.5300840076765</v>
      </c>
      <c r="S156">
        <f t="shared" si="31"/>
        <v>160.15113429199974</v>
      </c>
      <c r="T156" s="1">
        <f t="shared" si="32"/>
        <v>146.64665643115578</v>
      </c>
    </row>
    <row r="157" spans="6:20" x14ac:dyDescent="0.35">
      <c r="F157" s="1">
        <f t="shared" si="28"/>
        <v>3.0800000000000023</v>
      </c>
      <c r="G157">
        <f>1/2*$B$8*$B$6*$B$7*(Tabelle2[[#This Row],[vx]]*Tabelle2[[#This Row],[vx]]+Tabelle2[[#This Row],[vy]]*Tabelle2[[#This Row],[vy]])/1000000</f>
        <v>6.67464983562067</v>
      </c>
      <c r="H157">
        <f>IF($B$3,-Tabelle2[[#This Row],[Fd]]*Tabelle2[[#This Row],[vx]]/Tabelle2[[#This Row],[v]],0)</f>
        <v>0</v>
      </c>
      <c r="I157">
        <f t="shared" si="22"/>
        <v>0</v>
      </c>
      <c r="J157">
        <f t="shared" si="23"/>
        <v>0</v>
      </c>
      <c r="K157">
        <f t="shared" si="24"/>
        <v>1.0467394398169905</v>
      </c>
      <c r="L157">
        <f>-$B$5*$B$12-IF($B$3,Tabelle2[[#This Row],[Fd]]*Tabelle2[[#This Row],[vy]]/Tabelle2[[#This Row],[v]],0)</f>
        <v>-14.715</v>
      </c>
      <c r="M157">
        <f t="shared" si="25"/>
        <v>-9.81</v>
      </c>
      <c r="N157">
        <f t="shared" si="26"/>
        <v>-0.19620000000000001</v>
      </c>
      <c r="O157">
        <f t="shared" si="27"/>
        <v>0.64119748791195719</v>
      </c>
      <c r="P157" s="1">
        <f t="shared" si="29"/>
        <v>52.336971990849527</v>
      </c>
      <c r="Q157" s="1">
        <f t="shared" si="30"/>
        <v>32.157974395597861</v>
      </c>
      <c r="R157">
        <f>SQRT(Tabelle2[[#This Row],[vx]]*Tabelle2[[#This Row],[vx]]+Tabelle2[[#This Row],[vy]]*Tabelle2[[#This Row],[vy]])</f>
        <v>61.427143466051675</v>
      </c>
      <c r="S157">
        <f t="shared" si="31"/>
        <v>161.19787373181674</v>
      </c>
      <c r="T157" s="1">
        <f t="shared" si="32"/>
        <v>147.29177791906773</v>
      </c>
    </row>
    <row r="158" spans="6:20" x14ac:dyDescent="0.35">
      <c r="F158" s="1">
        <f t="shared" si="28"/>
        <v>3.1000000000000023</v>
      </c>
      <c r="G158">
        <f>1/2*$B$8*$B$6*$B$7*(Tabelle2[[#This Row],[vx]]*Tabelle2[[#This Row],[vx]]+Tabelle2[[#This Row],[vy]]*Tabelle2[[#This Row],[vy]])/1000000</f>
        <v>6.6523963183882859</v>
      </c>
      <c r="H158">
        <f>IF($B$3,-Tabelle2[[#This Row],[Fd]]*Tabelle2[[#This Row],[vx]]/Tabelle2[[#This Row],[v]],0)</f>
        <v>0</v>
      </c>
      <c r="I158">
        <f t="shared" si="22"/>
        <v>0</v>
      </c>
      <c r="J158">
        <f t="shared" si="23"/>
        <v>0</v>
      </c>
      <c r="K158">
        <f t="shared" si="24"/>
        <v>1.0467394398169905</v>
      </c>
      <c r="L158">
        <f>-$B$5*$B$12-IF($B$3,Tabelle2[[#This Row],[Fd]]*Tabelle2[[#This Row],[vy]]/Tabelle2[[#This Row],[v]],0)</f>
        <v>-14.715</v>
      </c>
      <c r="M158">
        <f t="shared" si="25"/>
        <v>-9.81</v>
      </c>
      <c r="N158">
        <f t="shared" si="26"/>
        <v>-0.19620000000000001</v>
      </c>
      <c r="O158">
        <f t="shared" si="27"/>
        <v>0.63727348791195726</v>
      </c>
      <c r="P158" s="1">
        <f t="shared" si="29"/>
        <v>52.336971990849527</v>
      </c>
      <c r="Q158" s="1">
        <f t="shared" si="30"/>
        <v>31.96177439559786</v>
      </c>
      <c r="R158">
        <f>SQRT(Tabelle2[[#This Row],[vx]]*Tabelle2[[#This Row],[vx]]+Tabelle2[[#This Row],[vy]]*Tabelle2[[#This Row],[vy]])</f>
        <v>61.324657844019505</v>
      </c>
      <c r="S158">
        <f t="shared" si="31"/>
        <v>162.24461317163374</v>
      </c>
      <c r="T158" s="1">
        <f t="shared" si="32"/>
        <v>147.93297540697969</v>
      </c>
    </row>
    <row r="159" spans="6:20" x14ac:dyDescent="0.35">
      <c r="F159" s="1">
        <f t="shared" si="28"/>
        <v>3.1200000000000023</v>
      </c>
      <c r="G159">
        <f>1/2*$B$8*$B$6*$B$7*(Tabelle2[[#This Row],[vx]]*Tabelle2[[#This Row],[vx]]+Tabelle2[[#This Row],[vy]]*Tabelle2[[#This Row],[vy]])/1000000</f>
        <v>6.6302789882172455</v>
      </c>
      <c r="H159">
        <f>IF($B$3,-Tabelle2[[#This Row],[Fd]]*Tabelle2[[#This Row],[vx]]/Tabelle2[[#This Row],[v]],0)</f>
        <v>0</v>
      </c>
      <c r="I159">
        <f t="shared" si="22"/>
        <v>0</v>
      </c>
      <c r="J159">
        <f t="shared" si="23"/>
        <v>0</v>
      </c>
      <c r="K159">
        <f t="shared" si="24"/>
        <v>1.0467394398169905</v>
      </c>
      <c r="L159">
        <f>-$B$5*$B$12-IF($B$3,Tabelle2[[#This Row],[Fd]]*Tabelle2[[#This Row],[vy]]/Tabelle2[[#This Row],[v]],0)</f>
        <v>-14.715</v>
      </c>
      <c r="M159">
        <f t="shared" si="25"/>
        <v>-9.81</v>
      </c>
      <c r="N159">
        <f t="shared" si="26"/>
        <v>-0.19620000000000001</v>
      </c>
      <c r="O159">
        <f t="shared" si="27"/>
        <v>0.63334948791195722</v>
      </c>
      <c r="P159" s="1">
        <f t="shared" si="29"/>
        <v>52.336971990849527</v>
      </c>
      <c r="Q159" s="1">
        <f t="shared" si="30"/>
        <v>31.765574395597859</v>
      </c>
      <c r="R159">
        <f>SQRT(Tabelle2[[#This Row],[vx]]*Tabelle2[[#This Row],[vx]]+Tabelle2[[#This Row],[vy]]*Tabelle2[[#This Row],[vy]])</f>
        <v>61.222629426162598</v>
      </c>
      <c r="S159">
        <f t="shared" si="31"/>
        <v>163.29135261145075</v>
      </c>
      <c r="T159" s="1">
        <f t="shared" si="32"/>
        <v>148.57024889489165</v>
      </c>
    </row>
    <row r="160" spans="6:20" x14ac:dyDescent="0.35">
      <c r="F160" s="1">
        <f t="shared" si="28"/>
        <v>3.1400000000000023</v>
      </c>
      <c r="G160">
        <f>1/2*$B$8*$B$6*$B$7*(Tabelle2[[#This Row],[vx]]*Tabelle2[[#This Row],[vx]]+Tabelle2[[#This Row],[vy]]*Tabelle2[[#This Row],[vy]])/1000000</f>
        <v>6.6082978451075487</v>
      </c>
      <c r="H160">
        <f>IF($B$3,-Tabelle2[[#This Row],[Fd]]*Tabelle2[[#This Row],[vx]]/Tabelle2[[#This Row],[v]],0)</f>
        <v>0</v>
      </c>
      <c r="I160">
        <f t="shared" si="22"/>
        <v>0</v>
      </c>
      <c r="J160">
        <f t="shared" si="23"/>
        <v>0</v>
      </c>
      <c r="K160">
        <f t="shared" si="24"/>
        <v>1.0467394398169905</v>
      </c>
      <c r="L160">
        <f>-$B$5*$B$12-IF($B$3,Tabelle2[[#This Row],[Fd]]*Tabelle2[[#This Row],[vy]]/Tabelle2[[#This Row],[v]],0)</f>
        <v>-14.715</v>
      </c>
      <c r="M160">
        <f t="shared" si="25"/>
        <v>-9.81</v>
      </c>
      <c r="N160">
        <f t="shared" si="26"/>
        <v>-0.19620000000000001</v>
      </c>
      <c r="O160">
        <f t="shared" si="27"/>
        <v>0.62942548791195718</v>
      </c>
      <c r="P160" s="1">
        <f t="shared" si="29"/>
        <v>52.336971990849527</v>
      </c>
      <c r="Q160" s="1">
        <f t="shared" si="30"/>
        <v>31.569374395597858</v>
      </c>
      <c r="R160">
        <f>SQRT(Tabelle2[[#This Row],[vx]]*Tabelle2[[#This Row],[vx]]+Tabelle2[[#This Row],[vy]]*Tabelle2[[#This Row],[vy]])</f>
        <v>61.121060502092057</v>
      </c>
      <c r="S160">
        <f t="shared" si="31"/>
        <v>164.33809205126775</v>
      </c>
      <c r="T160" s="1">
        <f t="shared" si="32"/>
        <v>149.20359838280362</v>
      </c>
    </row>
    <row r="161" spans="6:20" x14ac:dyDescent="0.35">
      <c r="F161" s="1">
        <f t="shared" si="28"/>
        <v>3.1600000000000024</v>
      </c>
      <c r="G161">
        <f>1/2*$B$8*$B$6*$B$7*(Tabelle2[[#This Row],[vx]]*Tabelle2[[#This Row],[vx]]+Tabelle2[[#This Row],[vy]]*Tabelle2[[#This Row],[vy]])/1000000</f>
        <v>6.5864528890591956</v>
      </c>
      <c r="H161">
        <f>IF($B$3,-Tabelle2[[#This Row],[Fd]]*Tabelle2[[#This Row],[vx]]/Tabelle2[[#This Row],[v]],0)</f>
        <v>0</v>
      </c>
      <c r="I161">
        <f t="shared" si="22"/>
        <v>0</v>
      </c>
      <c r="J161">
        <f t="shared" si="23"/>
        <v>0</v>
      </c>
      <c r="K161">
        <f t="shared" si="24"/>
        <v>1.0467394398169905</v>
      </c>
      <c r="L161">
        <f>-$B$5*$B$12-IF($B$3,Tabelle2[[#This Row],[Fd]]*Tabelle2[[#This Row],[vy]]/Tabelle2[[#This Row],[v]],0)</f>
        <v>-14.715</v>
      </c>
      <c r="M161">
        <f t="shared" si="25"/>
        <v>-9.81</v>
      </c>
      <c r="N161">
        <f t="shared" si="26"/>
        <v>-0.19620000000000001</v>
      </c>
      <c r="O161">
        <f t="shared" si="27"/>
        <v>0.62550148791195714</v>
      </c>
      <c r="P161" s="1">
        <f t="shared" si="29"/>
        <v>52.336971990849527</v>
      </c>
      <c r="Q161" s="1">
        <f t="shared" si="30"/>
        <v>31.373174395597857</v>
      </c>
      <c r="R161">
        <f>SQRT(Tabelle2[[#This Row],[vx]]*Tabelle2[[#This Row],[vx]]+Tabelle2[[#This Row],[vy]]*Tabelle2[[#This Row],[vy]])</f>
        <v>61.019953366317516</v>
      </c>
      <c r="S161">
        <f t="shared" si="31"/>
        <v>165.38483149108475</v>
      </c>
      <c r="T161" s="1">
        <f t="shared" si="32"/>
        <v>149.83302387071558</v>
      </c>
    </row>
    <row r="162" spans="6:20" x14ac:dyDescent="0.35">
      <c r="F162" s="1">
        <f t="shared" si="28"/>
        <v>3.1800000000000024</v>
      </c>
      <c r="G162">
        <f>1/2*$B$8*$B$6*$B$7*(Tabelle2[[#This Row],[vx]]*Tabelle2[[#This Row],[vx]]+Tabelle2[[#This Row],[vy]]*Tabelle2[[#This Row],[vy]])/1000000</f>
        <v>6.564744120072187</v>
      </c>
      <c r="H162">
        <f>IF($B$3,-Tabelle2[[#This Row],[Fd]]*Tabelle2[[#This Row],[vx]]/Tabelle2[[#This Row],[v]],0)</f>
        <v>0</v>
      </c>
      <c r="I162">
        <f t="shared" si="22"/>
        <v>0</v>
      </c>
      <c r="J162">
        <f t="shared" si="23"/>
        <v>0</v>
      </c>
      <c r="K162">
        <f t="shared" si="24"/>
        <v>1.0467394398169905</v>
      </c>
      <c r="L162">
        <f>-$B$5*$B$12-IF($B$3,Tabelle2[[#This Row],[Fd]]*Tabelle2[[#This Row],[vy]]/Tabelle2[[#This Row],[v]],0)</f>
        <v>-14.715</v>
      </c>
      <c r="M162">
        <f t="shared" si="25"/>
        <v>-9.81</v>
      </c>
      <c r="N162">
        <f t="shared" si="26"/>
        <v>-0.19620000000000001</v>
      </c>
      <c r="O162">
        <f t="shared" si="27"/>
        <v>0.62157748791195722</v>
      </c>
      <c r="P162" s="1">
        <f t="shared" si="29"/>
        <v>52.336971990849527</v>
      </c>
      <c r="Q162" s="1">
        <f t="shared" si="30"/>
        <v>31.176974395597856</v>
      </c>
      <c r="R162">
        <f>SQRT(Tabelle2[[#This Row],[vx]]*Tabelle2[[#This Row],[vx]]+Tabelle2[[#This Row],[vy]]*Tabelle2[[#This Row],[vy]])</f>
        <v>60.919310318114498</v>
      </c>
      <c r="S162">
        <f t="shared" si="31"/>
        <v>166.43157093090176</v>
      </c>
      <c r="T162" s="1">
        <f t="shared" si="32"/>
        <v>150.45852535862753</v>
      </c>
    </row>
    <row r="163" spans="6:20" x14ac:dyDescent="0.35">
      <c r="F163" s="1">
        <f t="shared" si="28"/>
        <v>3.2000000000000024</v>
      </c>
      <c r="G163">
        <f>1/2*$B$8*$B$6*$B$7*(Tabelle2[[#This Row],[vx]]*Tabelle2[[#This Row],[vx]]+Tabelle2[[#This Row],[vy]]*Tabelle2[[#This Row],[vy]])/1000000</f>
        <v>6.543171538146523</v>
      </c>
      <c r="H163">
        <f>IF($B$3,-Tabelle2[[#This Row],[Fd]]*Tabelle2[[#This Row],[vx]]/Tabelle2[[#This Row],[v]],0)</f>
        <v>0</v>
      </c>
      <c r="I163">
        <f t="shared" si="22"/>
        <v>0</v>
      </c>
      <c r="J163">
        <f t="shared" si="23"/>
        <v>0</v>
      </c>
      <c r="K163">
        <f t="shared" si="24"/>
        <v>1.0467394398169905</v>
      </c>
      <c r="L163">
        <f>-$B$5*$B$12-IF($B$3,Tabelle2[[#This Row],[Fd]]*Tabelle2[[#This Row],[vy]]/Tabelle2[[#This Row],[v]],0)</f>
        <v>-14.715</v>
      </c>
      <c r="M163">
        <f t="shared" si="25"/>
        <v>-9.81</v>
      </c>
      <c r="N163">
        <f t="shared" si="26"/>
        <v>-0.19620000000000001</v>
      </c>
      <c r="O163">
        <f t="shared" si="27"/>
        <v>0.61765348791195718</v>
      </c>
      <c r="P163" s="1">
        <f t="shared" si="29"/>
        <v>52.336971990849527</v>
      </c>
      <c r="Q163" s="1">
        <f t="shared" si="30"/>
        <v>30.980774395597855</v>
      </c>
      <c r="R163">
        <f>SQRT(Tabelle2[[#This Row],[vx]]*Tabelle2[[#This Row],[vx]]+Tabelle2[[#This Row],[vy]]*Tabelle2[[#This Row],[vy]])</f>
        <v>60.819133661388989</v>
      </c>
      <c r="S163">
        <f t="shared" si="31"/>
        <v>167.47831037071876</v>
      </c>
      <c r="T163" s="1">
        <f t="shared" si="32"/>
        <v>151.08010284653949</v>
      </c>
    </row>
    <row r="164" spans="6:20" x14ac:dyDescent="0.35">
      <c r="F164" s="1">
        <f t="shared" si="28"/>
        <v>3.2200000000000024</v>
      </c>
      <c r="G164">
        <f>1/2*$B$8*$B$6*$B$7*(Tabelle2[[#This Row],[vx]]*Tabelle2[[#This Row],[vx]]+Tabelle2[[#This Row],[vy]]*Tabelle2[[#This Row],[vy]])/1000000</f>
        <v>6.5217351432822017</v>
      </c>
      <c r="H164">
        <f>IF($B$3,-Tabelle2[[#This Row],[Fd]]*Tabelle2[[#This Row],[vx]]/Tabelle2[[#This Row],[v]],0)</f>
        <v>0</v>
      </c>
      <c r="I164">
        <f t="shared" si="22"/>
        <v>0</v>
      </c>
      <c r="J164">
        <f t="shared" si="23"/>
        <v>0</v>
      </c>
      <c r="K164">
        <f t="shared" si="24"/>
        <v>1.0467394398169905</v>
      </c>
      <c r="L164">
        <f>-$B$5*$B$12-IF($B$3,Tabelle2[[#This Row],[Fd]]*Tabelle2[[#This Row],[vy]]/Tabelle2[[#This Row],[v]],0)</f>
        <v>-14.715</v>
      </c>
      <c r="M164">
        <f t="shared" si="25"/>
        <v>-9.81</v>
      </c>
      <c r="N164">
        <f t="shared" si="26"/>
        <v>-0.19620000000000001</v>
      </c>
      <c r="O164">
        <f t="shared" si="27"/>
        <v>0.61372948791195714</v>
      </c>
      <c r="P164" s="1">
        <f t="shared" si="29"/>
        <v>52.336971990849527</v>
      </c>
      <c r="Q164" s="1">
        <f t="shared" si="30"/>
        <v>30.784574395597854</v>
      </c>
      <c r="R164">
        <f>SQRT(Tabelle2[[#This Row],[vx]]*Tabelle2[[#This Row],[vx]]+Tabelle2[[#This Row],[vy]]*Tabelle2[[#This Row],[vy]])</f>
        <v>60.71942570453929</v>
      </c>
      <c r="S164">
        <f t="shared" si="31"/>
        <v>168.52504981053576</v>
      </c>
      <c r="T164" s="1">
        <f t="shared" si="32"/>
        <v>151.69775633445144</v>
      </c>
    </row>
    <row r="165" spans="6:20" x14ac:dyDescent="0.35">
      <c r="F165" s="1">
        <f t="shared" si="28"/>
        <v>3.2400000000000024</v>
      </c>
      <c r="G165">
        <f>1/2*$B$8*$B$6*$B$7*(Tabelle2[[#This Row],[vx]]*Tabelle2[[#This Row],[vx]]+Tabelle2[[#This Row],[vy]]*Tabelle2[[#This Row],[vy]])/1000000</f>
        <v>6.5004349354792259</v>
      </c>
      <c r="H165">
        <f>IF($B$3,-Tabelle2[[#This Row],[Fd]]*Tabelle2[[#This Row],[vx]]/Tabelle2[[#This Row],[v]],0)</f>
        <v>0</v>
      </c>
      <c r="I165">
        <f t="shared" si="22"/>
        <v>0</v>
      </c>
      <c r="J165">
        <f t="shared" si="23"/>
        <v>0</v>
      </c>
      <c r="K165">
        <f t="shared" si="24"/>
        <v>1.0467394398169905</v>
      </c>
      <c r="L165">
        <f>-$B$5*$B$12-IF($B$3,Tabelle2[[#This Row],[Fd]]*Tabelle2[[#This Row],[vy]]/Tabelle2[[#This Row],[v]],0)</f>
        <v>-14.715</v>
      </c>
      <c r="M165">
        <f t="shared" si="25"/>
        <v>-9.81</v>
      </c>
      <c r="N165">
        <f t="shared" si="26"/>
        <v>-0.19620000000000001</v>
      </c>
      <c r="O165">
        <f t="shared" si="27"/>
        <v>0.6098054879119571</v>
      </c>
      <c r="P165" s="1">
        <f t="shared" si="29"/>
        <v>52.336971990849527</v>
      </c>
      <c r="Q165" s="1">
        <f t="shared" si="30"/>
        <v>30.588374395597853</v>
      </c>
      <c r="R165">
        <f>SQRT(Tabelle2[[#This Row],[vx]]*Tabelle2[[#This Row],[vx]]+Tabelle2[[#This Row],[vy]]*Tabelle2[[#This Row],[vy]])</f>
        <v>60.620188760315109</v>
      </c>
      <c r="S165">
        <f t="shared" si="31"/>
        <v>169.57178925035277</v>
      </c>
      <c r="T165" s="1">
        <f t="shared" si="32"/>
        <v>152.31148582236341</v>
      </c>
    </row>
    <row r="166" spans="6:20" x14ac:dyDescent="0.35">
      <c r="F166" s="1">
        <f t="shared" si="28"/>
        <v>3.2600000000000025</v>
      </c>
      <c r="G166">
        <f>1/2*$B$8*$B$6*$B$7*(Tabelle2[[#This Row],[vx]]*Tabelle2[[#This Row],[vx]]+Tabelle2[[#This Row],[vy]]*Tabelle2[[#This Row],[vy]])/1000000</f>
        <v>6.4792709147375938</v>
      </c>
      <c r="H166">
        <f>IF($B$3,-Tabelle2[[#This Row],[Fd]]*Tabelle2[[#This Row],[vx]]/Tabelle2[[#This Row],[v]],0)</f>
        <v>0</v>
      </c>
      <c r="I166">
        <f t="shared" si="22"/>
        <v>0</v>
      </c>
      <c r="J166">
        <f t="shared" si="23"/>
        <v>0</v>
      </c>
      <c r="K166">
        <f t="shared" si="24"/>
        <v>1.0467394398169905</v>
      </c>
      <c r="L166">
        <f>-$B$5*$B$12-IF($B$3,Tabelle2[[#This Row],[Fd]]*Tabelle2[[#This Row],[vy]]/Tabelle2[[#This Row],[v]],0)</f>
        <v>-14.715</v>
      </c>
      <c r="M166">
        <f t="shared" si="25"/>
        <v>-9.81</v>
      </c>
      <c r="N166">
        <f t="shared" si="26"/>
        <v>-0.19620000000000001</v>
      </c>
      <c r="O166">
        <f t="shared" si="27"/>
        <v>0.60588148791195706</v>
      </c>
      <c r="P166" s="1">
        <f t="shared" si="29"/>
        <v>52.336971990849527</v>
      </c>
      <c r="Q166" s="1">
        <f t="shared" si="30"/>
        <v>30.392174395597852</v>
      </c>
      <c r="R166">
        <f>SQRT(Tabelle2[[#This Row],[vx]]*Tabelle2[[#This Row],[vx]]+Tabelle2[[#This Row],[vy]]*Tabelle2[[#This Row],[vy]])</f>
        <v>60.521425145673838</v>
      </c>
      <c r="S166">
        <f t="shared" si="31"/>
        <v>170.61852869016977</v>
      </c>
      <c r="T166" s="1">
        <f t="shared" si="32"/>
        <v>152.92129131027536</v>
      </c>
    </row>
    <row r="167" spans="6:20" x14ac:dyDescent="0.35">
      <c r="F167" s="1">
        <f t="shared" si="28"/>
        <v>3.2800000000000025</v>
      </c>
      <c r="G167">
        <f>1/2*$B$8*$B$6*$B$7*(Tabelle2[[#This Row],[vx]]*Tabelle2[[#This Row],[vx]]+Tabelle2[[#This Row],[vy]]*Tabelle2[[#This Row],[vy]])/1000000</f>
        <v>6.4582430810573044</v>
      </c>
      <c r="H167">
        <f>IF($B$3,-Tabelle2[[#This Row],[Fd]]*Tabelle2[[#This Row],[vx]]/Tabelle2[[#This Row],[v]],0)</f>
        <v>0</v>
      </c>
      <c r="I167">
        <f t="shared" si="22"/>
        <v>0</v>
      </c>
      <c r="J167">
        <f t="shared" si="23"/>
        <v>0</v>
      </c>
      <c r="K167">
        <f t="shared" si="24"/>
        <v>1.0467394398169905</v>
      </c>
      <c r="L167">
        <f>-$B$5*$B$12-IF($B$3,Tabelle2[[#This Row],[Fd]]*Tabelle2[[#This Row],[vy]]/Tabelle2[[#This Row],[v]],0)</f>
        <v>-14.715</v>
      </c>
      <c r="M167">
        <f t="shared" si="25"/>
        <v>-9.81</v>
      </c>
      <c r="N167">
        <f t="shared" si="26"/>
        <v>-0.19620000000000001</v>
      </c>
      <c r="O167">
        <f t="shared" si="27"/>
        <v>0.60195748791195702</v>
      </c>
      <c r="P167" s="1">
        <f t="shared" si="29"/>
        <v>52.336971990849527</v>
      </c>
      <c r="Q167" s="1">
        <f t="shared" si="30"/>
        <v>30.195974395597851</v>
      </c>
      <c r="R167">
        <f>SQRT(Tabelle2[[#This Row],[vx]]*Tabelle2[[#This Row],[vx]]+Tabelle2[[#This Row],[vy]]*Tabelle2[[#This Row],[vy]])</f>
        <v>60.423137181634061</v>
      </c>
      <c r="S167">
        <f t="shared" si="31"/>
        <v>171.66526812998677</v>
      </c>
      <c r="T167" s="1">
        <f t="shared" si="32"/>
        <v>153.52717279818731</v>
      </c>
    </row>
    <row r="168" spans="6:20" x14ac:dyDescent="0.35">
      <c r="F168" s="1">
        <f t="shared" si="28"/>
        <v>3.3000000000000025</v>
      </c>
      <c r="G168">
        <f>1/2*$B$8*$B$6*$B$7*(Tabelle2[[#This Row],[vx]]*Tabelle2[[#This Row],[vx]]+Tabelle2[[#This Row],[vy]]*Tabelle2[[#This Row],[vy]])/1000000</f>
        <v>6.4373514344383596</v>
      </c>
      <c r="H168">
        <f>IF($B$3,-Tabelle2[[#This Row],[Fd]]*Tabelle2[[#This Row],[vx]]/Tabelle2[[#This Row],[v]],0)</f>
        <v>0</v>
      </c>
      <c r="I168">
        <f t="shared" si="22"/>
        <v>0</v>
      </c>
      <c r="J168">
        <f t="shared" si="23"/>
        <v>0</v>
      </c>
      <c r="K168">
        <f t="shared" si="24"/>
        <v>1.0467394398169905</v>
      </c>
      <c r="L168">
        <f>-$B$5*$B$12-IF($B$3,Tabelle2[[#This Row],[Fd]]*Tabelle2[[#This Row],[vy]]/Tabelle2[[#This Row],[v]],0)</f>
        <v>-14.715</v>
      </c>
      <c r="M168">
        <f t="shared" si="25"/>
        <v>-9.81</v>
      </c>
      <c r="N168">
        <f t="shared" si="26"/>
        <v>-0.19620000000000001</v>
      </c>
      <c r="O168">
        <f t="shared" si="27"/>
        <v>0.59803348791195698</v>
      </c>
      <c r="P168" s="1">
        <f t="shared" si="29"/>
        <v>52.336971990849527</v>
      </c>
      <c r="Q168" s="1">
        <f t="shared" si="30"/>
        <v>29.99977439559785</v>
      </c>
      <c r="R168">
        <f>SQRT(Tabelle2[[#This Row],[vx]]*Tabelle2[[#This Row],[vx]]+Tabelle2[[#This Row],[vy]]*Tabelle2[[#This Row],[vy]])</f>
        <v>60.325327193126235</v>
      </c>
      <c r="S168">
        <f t="shared" si="31"/>
        <v>172.71200756980377</v>
      </c>
      <c r="T168" s="1">
        <f t="shared" si="32"/>
        <v>154.12913028609927</v>
      </c>
    </row>
    <row r="169" spans="6:20" x14ac:dyDescent="0.35">
      <c r="F169" s="1">
        <f t="shared" si="28"/>
        <v>3.3200000000000025</v>
      </c>
      <c r="G169">
        <f>1/2*$B$8*$B$6*$B$7*(Tabelle2[[#This Row],[vx]]*Tabelle2[[#This Row],[vx]]+Tabelle2[[#This Row],[vy]]*Tabelle2[[#This Row],[vy]])/1000000</f>
        <v>6.4165959748807593</v>
      </c>
      <c r="H169">
        <f>IF($B$3,-Tabelle2[[#This Row],[Fd]]*Tabelle2[[#This Row],[vx]]/Tabelle2[[#This Row],[v]],0)</f>
        <v>0</v>
      </c>
      <c r="I169">
        <f t="shared" si="22"/>
        <v>0</v>
      </c>
      <c r="J169">
        <f t="shared" si="23"/>
        <v>0</v>
      </c>
      <c r="K169">
        <f t="shared" si="24"/>
        <v>1.0467394398169905</v>
      </c>
      <c r="L169">
        <f>-$B$5*$B$12-IF($B$3,Tabelle2[[#This Row],[Fd]]*Tabelle2[[#This Row],[vy]]/Tabelle2[[#This Row],[v]],0)</f>
        <v>-14.715</v>
      </c>
      <c r="M169">
        <f t="shared" si="25"/>
        <v>-9.81</v>
      </c>
      <c r="N169">
        <f t="shared" si="26"/>
        <v>-0.19620000000000001</v>
      </c>
      <c r="O169">
        <f t="shared" si="27"/>
        <v>0.59410948791195706</v>
      </c>
      <c r="P169" s="1">
        <f t="shared" si="29"/>
        <v>52.336971990849527</v>
      </c>
      <c r="Q169" s="1">
        <f t="shared" si="30"/>
        <v>29.803574395597849</v>
      </c>
      <c r="R169">
        <f>SQRT(Tabelle2[[#This Row],[vx]]*Tabelle2[[#This Row],[vx]]+Tabelle2[[#This Row],[vy]]*Tabelle2[[#This Row],[vy]])</f>
        <v>60.227997508840552</v>
      </c>
      <c r="S169">
        <f t="shared" si="31"/>
        <v>173.75874700962078</v>
      </c>
      <c r="T169" s="1">
        <f t="shared" si="32"/>
        <v>154.72716377401122</v>
      </c>
    </row>
    <row r="170" spans="6:20" x14ac:dyDescent="0.35">
      <c r="F170" s="1">
        <f t="shared" si="28"/>
        <v>3.3400000000000025</v>
      </c>
      <c r="G170">
        <f>1/2*$B$8*$B$6*$B$7*(Tabelle2[[#This Row],[vx]]*Tabelle2[[#This Row],[vx]]+Tabelle2[[#This Row],[vy]]*Tabelle2[[#This Row],[vy]])/1000000</f>
        <v>6.3959767023845027</v>
      </c>
      <c r="H170">
        <f>IF($B$3,-Tabelle2[[#This Row],[Fd]]*Tabelle2[[#This Row],[vx]]/Tabelle2[[#This Row],[v]],0)</f>
        <v>0</v>
      </c>
      <c r="I170">
        <f t="shared" si="22"/>
        <v>0</v>
      </c>
      <c r="J170">
        <f t="shared" si="23"/>
        <v>0</v>
      </c>
      <c r="K170">
        <f t="shared" si="24"/>
        <v>1.0467394398169905</v>
      </c>
      <c r="L170">
        <f>-$B$5*$B$12-IF($B$3,Tabelle2[[#This Row],[Fd]]*Tabelle2[[#This Row],[vy]]/Tabelle2[[#This Row],[v]],0)</f>
        <v>-14.715</v>
      </c>
      <c r="M170">
        <f t="shared" si="25"/>
        <v>-9.81</v>
      </c>
      <c r="N170">
        <f t="shared" si="26"/>
        <v>-0.19620000000000001</v>
      </c>
      <c r="O170">
        <f t="shared" si="27"/>
        <v>0.59018548791195702</v>
      </c>
      <c r="P170" s="1">
        <f t="shared" si="29"/>
        <v>52.336971990849527</v>
      </c>
      <c r="Q170" s="1">
        <f t="shared" si="30"/>
        <v>29.607374395597848</v>
      </c>
      <c r="R170">
        <f>SQRT(Tabelle2[[#This Row],[vx]]*Tabelle2[[#This Row],[vx]]+Tabelle2[[#This Row],[vy]]*Tabelle2[[#This Row],[vy]])</f>
        <v>60.131150461071933</v>
      </c>
      <c r="S170">
        <f t="shared" si="31"/>
        <v>174.80548644943778</v>
      </c>
      <c r="T170" s="1">
        <f t="shared" si="32"/>
        <v>155.32127326192318</v>
      </c>
    </row>
    <row r="171" spans="6:20" x14ac:dyDescent="0.35">
      <c r="F171" s="1">
        <f t="shared" si="28"/>
        <v>3.3600000000000025</v>
      </c>
      <c r="G171">
        <f>1/2*$B$8*$B$6*$B$7*(Tabelle2[[#This Row],[vx]]*Tabelle2[[#This Row],[vx]]+Tabelle2[[#This Row],[vy]]*Tabelle2[[#This Row],[vy]])/1000000</f>
        <v>6.3754936169495897</v>
      </c>
      <c r="H171">
        <f>IF($B$3,-Tabelle2[[#This Row],[Fd]]*Tabelle2[[#This Row],[vx]]/Tabelle2[[#This Row],[v]],0)</f>
        <v>0</v>
      </c>
      <c r="I171">
        <f t="shared" si="22"/>
        <v>0</v>
      </c>
      <c r="J171">
        <f t="shared" si="23"/>
        <v>0</v>
      </c>
      <c r="K171">
        <f t="shared" si="24"/>
        <v>1.0467394398169905</v>
      </c>
      <c r="L171">
        <f>-$B$5*$B$12-IF($B$3,Tabelle2[[#This Row],[Fd]]*Tabelle2[[#This Row],[vy]]/Tabelle2[[#This Row],[v]],0)</f>
        <v>-14.715</v>
      </c>
      <c r="M171">
        <f t="shared" si="25"/>
        <v>-9.81</v>
      </c>
      <c r="N171">
        <f t="shared" si="26"/>
        <v>-0.19620000000000001</v>
      </c>
      <c r="O171">
        <f t="shared" si="27"/>
        <v>0.58626148791195698</v>
      </c>
      <c r="P171" s="1">
        <f t="shared" si="29"/>
        <v>52.336971990849527</v>
      </c>
      <c r="Q171" s="1">
        <f t="shared" si="30"/>
        <v>29.411174395597847</v>
      </c>
      <c r="R171">
        <f>SQRT(Tabelle2[[#This Row],[vx]]*Tabelle2[[#This Row],[vx]]+Tabelle2[[#This Row],[vy]]*Tabelle2[[#This Row],[vy]])</f>
        <v>60.03478838556223</v>
      </c>
      <c r="S171">
        <f t="shared" si="31"/>
        <v>175.85222588925478</v>
      </c>
      <c r="T171" s="1">
        <f t="shared" si="32"/>
        <v>155.91145874983513</v>
      </c>
    </row>
    <row r="172" spans="6:20" x14ac:dyDescent="0.35">
      <c r="F172" s="1">
        <f t="shared" si="28"/>
        <v>3.3800000000000026</v>
      </c>
      <c r="G172">
        <f>1/2*$B$8*$B$6*$B$7*(Tabelle2[[#This Row],[vx]]*Tabelle2[[#This Row],[vx]]+Tabelle2[[#This Row],[vy]]*Tabelle2[[#This Row],[vy]])/1000000</f>
        <v>6.3551467185760213</v>
      </c>
      <c r="H172">
        <f>IF($B$3,-Tabelle2[[#This Row],[Fd]]*Tabelle2[[#This Row],[vx]]/Tabelle2[[#This Row],[v]],0)</f>
        <v>0</v>
      </c>
      <c r="I172">
        <f t="shared" si="22"/>
        <v>0</v>
      </c>
      <c r="J172">
        <f t="shared" si="23"/>
        <v>0</v>
      </c>
      <c r="K172">
        <f t="shared" si="24"/>
        <v>1.0467394398169905</v>
      </c>
      <c r="L172">
        <f>-$B$5*$B$12-IF($B$3,Tabelle2[[#This Row],[Fd]]*Tabelle2[[#This Row],[vy]]/Tabelle2[[#This Row],[v]],0)</f>
        <v>-14.715</v>
      </c>
      <c r="M172">
        <f t="shared" si="25"/>
        <v>-9.81</v>
      </c>
      <c r="N172">
        <f t="shared" si="26"/>
        <v>-0.19620000000000001</v>
      </c>
      <c r="O172">
        <f t="shared" si="27"/>
        <v>0.58233748791195694</v>
      </c>
      <c r="P172" s="1">
        <f t="shared" si="29"/>
        <v>52.336971990849527</v>
      </c>
      <c r="Q172" s="1">
        <f t="shared" si="30"/>
        <v>29.214974395597846</v>
      </c>
      <c r="R172">
        <f>SQRT(Tabelle2[[#This Row],[vx]]*Tabelle2[[#This Row],[vx]]+Tabelle2[[#This Row],[vy]]*Tabelle2[[#This Row],[vy]])</f>
        <v>59.938913621339566</v>
      </c>
      <c r="S172">
        <f t="shared" si="31"/>
        <v>176.89896532907179</v>
      </c>
      <c r="T172" s="1">
        <f t="shared" si="32"/>
        <v>156.4977202377471</v>
      </c>
    </row>
    <row r="173" spans="6:20" x14ac:dyDescent="0.35">
      <c r="F173" s="1">
        <f t="shared" si="28"/>
        <v>3.4000000000000026</v>
      </c>
      <c r="G173">
        <f>1/2*$B$8*$B$6*$B$7*(Tabelle2[[#This Row],[vx]]*Tabelle2[[#This Row],[vx]]+Tabelle2[[#This Row],[vy]]*Tabelle2[[#This Row],[vy]])/1000000</f>
        <v>6.3349360072637966</v>
      </c>
      <c r="H173">
        <f>IF($B$3,-Tabelle2[[#This Row],[Fd]]*Tabelle2[[#This Row],[vx]]/Tabelle2[[#This Row],[v]],0)</f>
        <v>0</v>
      </c>
      <c r="I173">
        <f t="shared" si="22"/>
        <v>0</v>
      </c>
      <c r="J173">
        <f t="shared" si="23"/>
        <v>0</v>
      </c>
      <c r="K173">
        <f t="shared" si="24"/>
        <v>1.0467394398169905</v>
      </c>
      <c r="L173">
        <f>-$B$5*$B$12-IF($B$3,Tabelle2[[#This Row],[Fd]]*Tabelle2[[#This Row],[vy]]/Tabelle2[[#This Row],[v]],0)</f>
        <v>-14.715</v>
      </c>
      <c r="M173">
        <f t="shared" si="25"/>
        <v>-9.81</v>
      </c>
      <c r="N173">
        <f t="shared" si="26"/>
        <v>-0.19620000000000001</v>
      </c>
      <c r="O173">
        <f t="shared" si="27"/>
        <v>0.5784134879119569</v>
      </c>
      <c r="P173" s="1">
        <f t="shared" si="29"/>
        <v>52.336971990849527</v>
      </c>
      <c r="Q173" s="1">
        <f t="shared" si="30"/>
        <v>29.018774395597845</v>
      </c>
      <c r="R173">
        <f>SQRT(Tabelle2[[#This Row],[vx]]*Tabelle2[[#This Row],[vx]]+Tabelle2[[#This Row],[vy]]*Tabelle2[[#This Row],[vy]])</f>
        <v>59.843528510554698</v>
      </c>
      <c r="S173">
        <f t="shared" si="31"/>
        <v>177.94570476888879</v>
      </c>
      <c r="T173" s="1">
        <f t="shared" si="32"/>
        <v>157.08005772565906</v>
      </c>
    </row>
    <row r="174" spans="6:20" x14ac:dyDescent="0.35">
      <c r="F174" s="1">
        <f t="shared" si="28"/>
        <v>3.4200000000000026</v>
      </c>
      <c r="G174">
        <f>1/2*$B$8*$B$6*$B$7*(Tabelle2[[#This Row],[vx]]*Tabelle2[[#This Row],[vx]]+Tabelle2[[#This Row],[vy]]*Tabelle2[[#This Row],[vy]])/1000000</f>
        <v>6.3148614830129155</v>
      </c>
      <c r="H174">
        <f>IF($B$3,-Tabelle2[[#This Row],[Fd]]*Tabelle2[[#This Row],[vx]]/Tabelle2[[#This Row],[v]],0)</f>
        <v>0</v>
      </c>
      <c r="I174">
        <f t="shared" si="22"/>
        <v>0</v>
      </c>
      <c r="J174">
        <f t="shared" si="23"/>
        <v>0</v>
      </c>
      <c r="K174">
        <f t="shared" si="24"/>
        <v>1.0467394398169905</v>
      </c>
      <c r="L174">
        <f>-$B$5*$B$12-IF($B$3,Tabelle2[[#This Row],[Fd]]*Tabelle2[[#This Row],[vy]]/Tabelle2[[#This Row],[v]],0)</f>
        <v>-14.715</v>
      </c>
      <c r="M174">
        <f t="shared" si="25"/>
        <v>-9.81</v>
      </c>
      <c r="N174">
        <f t="shared" si="26"/>
        <v>-0.19620000000000001</v>
      </c>
      <c r="O174">
        <f t="shared" si="27"/>
        <v>0.57448948791195686</v>
      </c>
      <c r="P174" s="1">
        <f t="shared" si="29"/>
        <v>52.336971990849527</v>
      </c>
      <c r="Q174" s="1">
        <f t="shared" si="30"/>
        <v>28.822574395597844</v>
      </c>
      <c r="R174">
        <f>SQRT(Tabelle2[[#This Row],[vx]]*Tabelle2[[#This Row],[vx]]+Tabelle2[[#This Row],[vy]]*Tabelle2[[#This Row],[vy]])</f>
        <v>59.748635398314661</v>
      </c>
      <c r="S174">
        <f t="shared" si="31"/>
        <v>178.99244420870579</v>
      </c>
      <c r="T174" s="1">
        <f t="shared" si="32"/>
        <v>157.658471213571</v>
      </c>
    </row>
    <row r="175" spans="6:20" x14ac:dyDescent="0.35">
      <c r="F175" s="1">
        <f t="shared" si="28"/>
        <v>3.4400000000000026</v>
      </c>
      <c r="G175">
        <f>1/2*$B$8*$B$6*$B$7*(Tabelle2[[#This Row],[vx]]*Tabelle2[[#This Row],[vx]]+Tabelle2[[#This Row],[vy]]*Tabelle2[[#This Row],[vy]])/1000000</f>
        <v>6.294923145823379</v>
      </c>
      <c r="H175">
        <f>IF($B$3,-Tabelle2[[#This Row],[Fd]]*Tabelle2[[#This Row],[vx]]/Tabelle2[[#This Row],[v]],0)</f>
        <v>0</v>
      </c>
      <c r="I175">
        <f t="shared" si="22"/>
        <v>0</v>
      </c>
      <c r="J175">
        <f t="shared" si="23"/>
        <v>0</v>
      </c>
      <c r="K175">
        <f t="shared" si="24"/>
        <v>1.0467394398169905</v>
      </c>
      <c r="L175">
        <f>-$B$5*$B$12-IF($B$3,Tabelle2[[#This Row],[Fd]]*Tabelle2[[#This Row],[vy]]/Tabelle2[[#This Row],[v]],0)</f>
        <v>-14.715</v>
      </c>
      <c r="M175">
        <f t="shared" si="25"/>
        <v>-9.81</v>
      </c>
      <c r="N175">
        <f t="shared" si="26"/>
        <v>-0.19620000000000001</v>
      </c>
      <c r="O175">
        <f t="shared" si="27"/>
        <v>0.57056548791195694</v>
      </c>
      <c r="P175" s="1">
        <f t="shared" si="29"/>
        <v>52.336971990849527</v>
      </c>
      <c r="Q175" s="1">
        <f t="shared" si="30"/>
        <v>28.626374395597843</v>
      </c>
      <c r="R175">
        <f>SQRT(Tabelle2[[#This Row],[vx]]*Tabelle2[[#This Row],[vx]]+Tabelle2[[#This Row],[vy]]*Tabelle2[[#This Row],[vy]])</f>
        <v>59.654236632513431</v>
      </c>
      <c r="S175">
        <f t="shared" si="31"/>
        <v>180.03918364852279</v>
      </c>
      <c r="T175" s="1">
        <f t="shared" si="32"/>
        <v>158.23296070148297</v>
      </c>
    </row>
    <row r="176" spans="6:20" x14ac:dyDescent="0.35">
      <c r="F176" s="1">
        <f t="shared" si="28"/>
        <v>3.4600000000000026</v>
      </c>
      <c r="G176">
        <f>1/2*$B$8*$B$6*$B$7*(Tabelle2[[#This Row],[vx]]*Tabelle2[[#This Row],[vx]]+Tabelle2[[#This Row],[vy]]*Tabelle2[[#This Row],[vy]])/1000000</f>
        <v>6.275120995695187</v>
      </c>
      <c r="H176">
        <f>IF($B$3,-Tabelle2[[#This Row],[Fd]]*Tabelle2[[#This Row],[vx]]/Tabelle2[[#This Row],[v]],0)</f>
        <v>0</v>
      </c>
      <c r="I176">
        <f t="shared" si="22"/>
        <v>0</v>
      </c>
      <c r="J176">
        <f t="shared" si="23"/>
        <v>0</v>
      </c>
      <c r="K176">
        <f t="shared" si="24"/>
        <v>1.0467394398169905</v>
      </c>
      <c r="L176">
        <f>-$B$5*$B$12-IF($B$3,Tabelle2[[#This Row],[Fd]]*Tabelle2[[#This Row],[vy]]/Tabelle2[[#This Row],[v]],0)</f>
        <v>-14.715</v>
      </c>
      <c r="M176">
        <f t="shared" si="25"/>
        <v>-9.81</v>
      </c>
      <c r="N176">
        <f t="shared" si="26"/>
        <v>-0.19620000000000001</v>
      </c>
      <c r="O176">
        <f t="shared" si="27"/>
        <v>0.5666414879119569</v>
      </c>
      <c r="P176" s="1">
        <f t="shared" si="29"/>
        <v>52.336971990849527</v>
      </c>
      <c r="Q176" s="1">
        <f t="shared" si="30"/>
        <v>28.430174395597842</v>
      </c>
      <c r="R176">
        <f>SQRT(Tabelle2[[#This Row],[vx]]*Tabelle2[[#This Row],[vx]]+Tabelle2[[#This Row],[vy]]*Tabelle2[[#This Row],[vy]])</f>
        <v>59.560334563659687</v>
      </c>
      <c r="S176">
        <f t="shared" si="31"/>
        <v>181.0859230883398</v>
      </c>
      <c r="T176" s="1">
        <f t="shared" si="32"/>
        <v>158.80352618939492</v>
      </c>
    </row>
    <row r="177" spans="6:20" x14ac:dyDescent="0.35">
      <c r="F177" s="1">
        <f t="shared" si="28"/>
        <v>3.4800000000000026</v>
      </c>
      <c r="G177">
        <f>1/2*$B$8*$B$6*$B$7*(Tabelle2[[#This Row],[vx]]*Tabelle2[[#This Row],[vx]]+Tabelle2[[#This Row],[vy]]*Tabelle2[[#This Row],[vy]])/1000000</f>
        <v>6.2554550326283378</v>
      </c>
      <c r="H177">
        <f>IF($B$3,-Tabelle2[[#This Row],[Fd]]*Tabelle2[[#This Row],[vx]]/Tabelle2[[#This Row],[v]],0)</f>
        <v>0</v>
      </c>
      <c r="I177">
        <f t="shared" si="22"/>
        <v>0</v>
      </c>
      <c r="J177">
        <f t="shared" si="23"/>
        <v>0</v>
      </c>
      <c r="K177">
        <f t="shared" si="24"/>
        <v>1.0467394398169905</v>
      </c>
      <c r="L177">
        <f>-$B$5*$B$12-IF($B$3,Tabelle2[[#This Row],[Fd]]*Tabelle2[[#This Row],[vy]]/Tabelle2[[#This Row],[v]],0)</f>
        <v>-14.715</v>
      </c>
      <c r="M177">
        <f t="shared" si="25"/>
        <v>-9.81</v>
      </c>
      <c r="N177">
        <f t="shared" si="26"/>
        <v>-0.19620000000000001</v>
      </c>
      <c r="O177">
        <f t="shared" si="27"/>
        <v>0.56271748791195686</v>
      </c>
      <c r="P177" s="1">
        <f t="shared" si="29"/>
        <v>52.336971990849527</v>
      </c>
      <c r="Q177" s="1">
        <f t="shared" si="30"/>
        <v>28.233974395597841</v>
      </c>
      <c r="R177">
        <f>SQRT(Tabelle2[[#This Row],[vx]]*Tabelle2[[#This Row],[vx]]+Tabelle2[[#This Row],[vy]]*Tabelle2[[#This Row],[vy]])</f>
        <v>59.46693154470173</v>
      </c>
      <c r="S177">
        <f t="shared" si="31"/>
        <v>182.1326625281568</v>
      </c>
      <c r="T177" s="1">
        <f t="shared" si="32"/>
        <v>159.37016767730688</v>
      </c>
    </row>
    <row r="178" spans="6:20" x14ac:dyDescent="0.35">
      <c r="F178" s="1">
        <f t="shared" si="28"/>
        <v>3.5000000000000027</v>
      </c>
      <c r="G178">
        <f>1/2*$B$8*$B$6*$B$7*(Tabelle2[[#This Row],[vx]]*Tabelle2[[#This Row],[vx]]+Tabelle2[[#This Row],[vy]]*Tabelle2[[#This Row],[vy]])/1000000</f>
        <v>6.2359252566228331</v>
      </c>
      <c r="H178">
        <f>IF($B$3,-Tabelle2[[#This Row],[Fd]]*Tabelle2[[#This Row],[vx]]/Tabelle2[[#This Row],[v]],0)</f>
        <v>0</v>
      </c>
      <c r="I178">
        <f t="shared" si="22"/>
        <v>0</v>
      </c>
      <c r="J178">
        <f t="shared" si="23"/>
        <v>0</v>
      </c>
      <c r="K178">
        <f t="shared" si="24"/>
        <v>1.0467394398169905</v>
      </c>
      <c r="L178">
        <f>-$B$5*$B$12-IF($B$3,Tabelle2[[#This Row],[Fd]]*Tabelle2[[#This Row],[vy]]/Tabelle2[[#This Row],[v]],0)</f>
        <v>-14.715</v>
      </c>
      <c r="M178">
        <f t="shared" si="25"/>
        <v>-9.81</v>
      </c>
      <c r="N178">
        <f t="shared" si="26"/>
        <v>-0.19620000000000001</v>
      </c>
      <c r="O178">
        <f t="shared" si="27"/>
        <v>0.55879348791195682</v>
      </c>
      <c r="P178" s="1">
        <f t="shared" si="29"/>
        <v>52.336971990849527</v>
      </c>
      <c r="Q178" s="1">
        <f t="shared" si="30"/>
        <v>28.03777439559784</v>
      </c>
      <c r="R178">
        <f>SQRT(Tabelle2[[#This Row],[vx]]*Tabelle2[[#This Row],[vx]]+Tabelle2[[#This Row],[vy]]*Tabelle2[[#This Row],[vy]])</f>
        <v>59.374029930849481</v>
      </c>
      <c r="S178">
        <f t="shared" si="31"/>
        <v>183.1794019679738</v>
      </c>
      <c r="T178" s="1">
        <f t="shared" si="32"/>
        <v>159.93288516521883</v>
      </c>
    </row>
    <row r="179" spans="6:20" x14ac:dyDescent="0.35">
      <c r="F179" s="1">
        <f t="shared" si="28"/>
        <v>3.5200000000000027</v>
      </c>
      <c r="G179">
        <f>1/2*$B$8*$B$6*$B$7*(Tabelle2[[#This Row],[vx]]*Tabelle2[[#This Row],[vx]]+Tabelle2[[#This Row],[vy]]*Tabelle2[[#This Row],[vy]])/1000000</f>
        <v>6.216531667678673</v>
      </c>
      <c r="H179">
        <f>IF($B$3,-Tabelle2[[#This Row],[Fd]]*Tabelle2[[#This Row],[vx]]/Tabelle2[[#This Row],[v]],0)</f>
        <v>0</v>
      </c>
      <c r="I179">
        <f t="shared" si="22"/>
        <v>0</v>
      </c>
      <c r="J179">
        <f t="shared" si="23"/>
        <v>0</v>
      </c>
      <c r="K179">
        <f t="shared" si="24"/>
        <v>1.0467394398169905</v>
      </c>
      <c r="L179">
        <f>-$B$5*$B$12-IF($B$3,Tabelle2[[#This Row],[Fd]]*Tabelle2[[#This Row],[vy]]/Tabelle2[[#This Row],[v]],0)</f>
        <v>-14.715</v>
      </c>
      <c r="M179">
        <f t="shared" si="25"/>
        <v>-9.81</v>
      </c>
      <c r="N179">
        <f t="shared" si="26"/>
        <v>-0.19620000000000001</v>
      </c>
      <c r="O179">
        <f t="shared" si="27"/>
        <v>0.55486948791195678</v>
      </c>
      <c r="P179" s="1">
        <f t="shared" si="29"/>
        <v>52.336971990849527</v>
      </c>
      <c r="Q179" s="1">
        <f t="shared" si="30"/>
        <v>27.841574395597839</v>
      </c>
      <c r="R179">
        <f>SQRT(Tabelle2[[#This Row],[vx]]*Tabelle2[[#This Row],[vx]]+Tabelle2[[#This Row],[vy]]*Tabelle2[[#This Row],[vy]])</f>
        <v>59.281632079393503</v>
      </c>
      <c r="S179">
        <f t="shared" si="31"/>
        <v>184.22614140779081</v>
      </c>
      <c r="T179" s="1">
        <f t="shared" si="32"/>
        <v>160.4916786531308</v>
      </c>
    </row>
    <row r="180" spans="6:20" x14ac:dyDescent="0.35">
      <c r="F180" s="1">
        <f t="shared" si="28"/>
        <v>3.5400000000000027</v>
      </c>
      <c r="G180">
        <f>1/2*$B$8*$B$6*$B$7*(Tabelle2[[#This Row],[vx]]*Tabelle2[[#This Row],[vx]]+Tabelle2[[#This Row],[vy]]*Tabelle2[[#This Row],[vy]])/1000000</f>
        <v>6.1972742657958548</v>
      </c>
      <c r="H180">
        <f>IF($B$3,-Tabelle2[[#This Row],[Fd]]*Tabelle2[[#This Row],[vx]]/Tabelle2[[#This Row],[v]],0)</f>
        <v>0</v>
      </c>
      <c r="I180">
        <f t="shared" si="22"/>
        <v>0</v>
      </c>
      <c r="J180">
        <f t="shared" si="23"/>
        <v>0</v>
      </c>
      <c r="K180">
        <f t="shared" si="24"/>
        <v>1.0467394398169905</v>
      </c>
      <c r="L180">
        <f>-$B$5*$B$12-IF($B$3,Tabelle2[[#This Row],[Fd]]*Tabelle2[[#This Row],[vy]]/Tabelle2[[#This Row],[v]],0)</f>
        <v>-14.715</v>
      </c>
      <c r="M180">
        <f t="shared" si="25"/>
        <v>-9.81</v>
      </c>
      <c r="N180">
        <f t="shared" si="26"/>
        <v>-0.19620000000000001</v>
      </c>
      <c r="O180">
        <f t="shared" si="27"/>
        <v>0.55094548791195674</v>
      </c>
      <c r="P180" s="1">
        <f t="shared" si="29"/>
        <v>52.336971990849527</v>
      </c>
      <c r="Q180" s="1">
        <f t="shared" si="30"/>
        <v>27.645374395597837</v>
      </c>
      <c r="R180">
        <f>SQRT(Tabelle2[[#This Row],[vx]]*Tabelle2[[#This Row],[vx]]+Tabelle2[[#This Row],[vy]]*Tabelle2[[#This Row],[vy]])</f>
        <v>59.189740349521252</v>
      </c>
      <c r="S180">
        <f t="shared" si="31"/>
        <v>185.27288084760781</v>
      </c>
      <c r="T180" s="1">
        <f t="shared" si="32"/>
        <v>161.04654814104276</v>
      </c>
    </row>
    <row r="181" spans="6:20" x14ac:dyDescent="0.35">
      <c r="F181" s="1">
        <f t="shared" si="28"/>
        <v>3.5600000000000027</v>
      </c>
      <c r="G181">
        <f>1/2*$B$8*$B$6*$B$7*(Tabelle2[[#This Row],[vx]]*Tabelle2[[#This Row],[vx]]+Tabelle2[[#This Row],[vy]]*Tabelle2[[#This Row],[vy]])/1000000</f>
        <v>6.1781530509743821</v>
      </c>
      <c r="H181">
        <f>IF($B$3,-Tabelle2[[#This Row],[Fd]]*Tabelle2[[#This Row],[vx]]/Tabelle2[[#This Row],[v]],0)</f>
        <v>0</v>
      </c>
      <c r="I181">
        <f t="shared" si="22"/>
        <v>0</v>
      </c>
      <c r="J181">
        <f t="shared" si="23"/>
        <v>0</v>
      </c>
      <c r="K181">
        <f t="shared" si="24"/>
        <v>1.0467394398169905</v>
      </c>
      <c r="L181">
        <f>-$B$5*$B$12-IF($B$3,Tabelle2[[#This Row],[Fd]]*Tabelle2[[#This Row],[vy]]/Tabelle2[[#This Row],[v]],0)</f>
        <v>-14.715</v>
      </c>
      <c r="M181">
        <f t="shared" si="25"/>
        <v>-9.81</v>
      </c>
      <c r="N181">
        <f t="shared" si="26"/>
        <v>-0.19620000000000001</v>
      </c>
      <c r="O181">
        <f t="shared" si="27"/>
        <v>0.54702148791195682</v>
      </c>
      <c r="P181" s="1">
        <f t="shared" si="29"/>
        <v>52.336971990849527</v>
      </c>
      <c r="Q181" s="1">
        <f t="shared" si="30"/>
        <v>27.449174395597836</v>
      </c>
      <c r="R181">
        <f>SQRT(Tabelle2[[#This Row],[vx]]*Tabelle2[[#This Row],[vx]]+Tabelle2[[#This Row],[vy]]*Tabelle2[[#This Row],[vy]])</f>
        <v>59.098357102130272</v>
      </c>
      <c r="S181">
        <f t="shared" si="31"/>
        <v>186.31962028742481</v>
      </c>
      <c r="T181" s="1">
        <f t="shared" si="32"/>
        <v>161.59749362895471</v>
      </c>
    </row>
    <row r="182" spans="6:20" x14ac:dyDescent="0.35">
      <c r="F182" s="1">
        <f t="shared" si="28"/>
        <v>3.5800000000000027</v>
      </c>
      <c r="G182">
        <f>1/2*$B$8*$B$6*$B$7*(Tabelle2[[#This Row],[vx]]*Tabelle2[[#This Row],[vx]]+Tabelle2[[#This Row],[vy]]*Tabelle2[[#This Row],[vy]])/1000000</f>
        <v>6.1591680232142538</v>
      </c>
      <c r="H182">
        <f>IF($B$3,-Tabelle2[[#This Row],[Fd]]*Tabelle2[[#This Row],[vx]]/Tabelle2[[#This Row],[v]],0)</f>
        <v>0</v>
      </c>
      <c r="I182">
        <f t="shared" si="22"/>
        <v>0</v>
      </c>
      <c r="J182">
        <f t="shared" si="23"/>
        <v>0</v>
      </c>
      <c r="K182">
        <f t="shared" si="24"/>
        <v>1.0467394398169905</v>
      </c>
      <c r="L182">
        <f>-$B$5*$B$12-IF($B$3,Tabelle2[[#This Row],[Fd]]*Tabelle2[[#This Row],[vy]]/Tabelle2[[#This Row],[v]],0)</f>
        <v>-14.715</v>
      </c>
      <c r="M182">
        <f t="shared" si="25"/>
        <v>-9.81</v>
      </c>
      <c r="N182">
        <f t="shared" si="26"/>
        <v>-0.19620000000000001</v>
      </c>
      <c r="O182">
        <f t="shared" si="27"/>
        <v>0.54309748791195678</v>
      </c>
      <c r="P182" s="1">
        <f t="shared" si="29"/>
        <v>52.336971990849527</v>
      </c>
      <c r="Q182" s="1">
        <f t="shared" si="30"/>
        <v>27.252974395597835</v>
      </c>
      <c r="R182">
        <f>SQRT(Tabelle2[[#This Row],[vx]]*Tabelle2[[#This Row],[vx]]+Tabelle2[[#This Row],[vy]]*Tabelle2[[#This Row],[vy]])</f>
        <v>59.00748469963856</v>
      </c>
      <c r="S182">
        <f t="shared" si="31"/>
        <v>187.36635972724181</v>
      </c>
      <c r="T182" s="1">
        <f t="shared" si="32"/>
        <v>162.14451511686667</v>
      </c>
    </row>
    <row r="183" spans="6:20" x14ac:dyDescent="0.35">
      <c r="F183" s="1">
        <f t="shared" si="28"/>
        <v>3.6000000000000028</v>
      </c>
      <c r="G183">
        <f>1/2*$B$8*$B$6*$B$7*(Tabelle2[[#This Row],[vx]]*Tabelle2[[#This Row],[vx]]+Tabelle2[[#This Row],[vy]]*Tabelle2[[#This Row],[vy]])/1000000</f>
        <v>6.1403191825154693</v>
      </c>
      <c r="H183">
        <f>IF($B$3,-Tabelle2[[#This Row],[Fd]]*Tabelle2[[#This Row],[vx]]/Tabelle2[[#This Row],[v]],0)</f>
        <v>0</v>
      </c>
      <c r="I183">
        <f t="shared" si="22"/>
        <v>0</v>
      </c>
      <c r="J183">
        <f t="shared" si="23"/>
        <v>0</v>
      </c>
      <c r="K183">
        <f t="shared" si="24"/>
        <v>1.0467394398169905</v>
      </c>
      <c r="L183">
        <f>-$B$5*$B$12-IF($B$3,Tabelle2[[#This Row],[Fd]]*Tabelle2[[#This Row],[vy]]/Tabelle2[[#This Row],[v]],0)</f>
        <v>-14.715</v>
      </c>
      <c r="M183">
        <f t="shared" si="25"/>
        <v>-9.81</v>
      </c>
      <c r="N183">
        <f t="shared" si="26"/>
        <v>-0.19620000000000001</v>
      </c>
      <c r="O183">
        <f t="shared" si="27"/>
        <v>0.53917348791195674</v>
      </c>
      <c r="P183" s="1">
        <f t="shared" si="29"/>
        <v>52.336971990849527</v>
      </c>
      <c r="Q183" s="1">
        <f t="shared" si="30"/>
        <v>27.056774395597834</v>
      </c>
      <c r="R183">
        <f>SQRT(Tabelle2[[#This Row],[vx]]*Tabelle2[[#This Row],[vx]]+Tabelle2[[#This Row],[vy]]*Tabelle2[[#This Row],[vy]])</f>
        <v>58.917125505792001</v>
      </c>
      <c r="S183">
        <f t="shared" si="31"/>
        <v>188.41309916705882</v>
      </c>
      <c r="T183" s="1">
        <f t="shared" si="32"/>
        <v>162.68761260477862</v>
      </c>
    </row>
    <row r="184" spans="6:20" x14ac:dyDescent="0.35">
      <c r="F184" s="1">
        <f t="shared" si="28"/>
        <v>3.6200000000000028</v>
      </c>
      <c r="G184">
        <f>1/2*$B$8*$B$6*$B$7*(Tabelle2[[#This Row],[vx]]*Tabelle2[[#This Row],[vx]]+Tabelle2[[#This Row],[vy]]*Tabelle2[[#This Row],[vy]])/1000000</f>
        <v>6.1216065288780284</v>
      </c>
      <c r="H184">
        <f>IF($B$3,-Tabelle2[[#This Row],[Fd]]*Tabelle2[[#This Row],[vx]]/Tabelle2[[#This Row],[v]],0)</f>
        <v>0</v>
      </c>
      <c r="I184">
        <f t="shared" si="22"/>
        <v>0</v>
      </c>
      <c r="J184">
        <f t="shared" si="23"/>
        <v>0</v>
      </c>
      <c r="K184">
        <f t="shared" si="24"/>
        <v>1.0467394398169905</v>
      </c>
      <c r="L184">
        <f>-$B$5*$B$12-IF($B$3,Tabelle2[[#This Row],[Fd]]*Tabelle2[[#This Row],[vy]]/Tabelle2[[#This Row],[v]],0)</f>
        <v>-14.715</v>
      </c>
      <c r="M184">
        <f t="shared" si="25"/>
        <v>-9.81</v>
      </c>
      <c r="N184">
        <f t="shared" si="26"/>
        <v>-0.19620000000000001</v>
      </c>
      <c r="O184">
        <f t="shared" si="27"/>
        <v>0.5352494879119567</v>
      </c>
      <c r="P184" s="1">
        <f t="shared" si="29"/>
        <v>52.336971990849527</v>
      </c>
      <c r="Q184" s="1">
        <f t="shared" si="30"/>
        <v>26.860574395597833</v>
      </c>
      <c r="R184">
        <f>SQRT(Tabelle2[[#This Row],[vx]]*Tabelle2[[#This Row],[vx]]+Tabelle2[[#This Row],[vy]]*Tabelle2[[#This Row],[vy]])</f>
        <v>58.827281885468871</v>
      </c>
      <c r="S184">
        <f t="shared" si="31"/>
        <v>189.45983860687582</v>
      </c>
      <c r="T184" s="1">
        <f t="shared" si="32"/>
        <v>163.22678609269059</v>
      </c>
    </row>
    <row r="185" spans="6:20" x14ac:dyDescent="0.35">
      <c r="F185" s="1">
        <f t="shared" si="28"/>
        <v>3.6400000000000028</v>
      </c>
      <c r="G185">
        <f>1/2*$B$8*$B$6*$B$7*(Tabelle2[[#This Row],[vx]]*Tabelle2[[#This Row],[vx]]+Tabelle2[[#This Row],[vy]]*Tabelle2[[#This Row],[vy]])/1000000</f>
        <v>6.1030300623019311</v>
      </c>
      <c r="H185">
        <f>IF($B$3,-Tabelle2[[#This Row],[Fd]]*Tabelle2[[#This Row],[vx]]/Tabelle2[[#This Row],[v]],0)</f>
        <v>0</v>
      </c>
      <c r="I185">
        <f t="shared" si="22"/>
        <v>0</v>
      </c>
      <c r="J185">
        <f t="shared" si="23"/>
        <v>0</v>
      </c>
      <c r="K185">
        <f t="shared" si="24"/>
        <v>1.0467394398169905</v>
      </c>
      <c r="L185">
        <f>-$B$5*$B$12-IF($B$3,Tabelle2[[#This Row],[Fd]]*Tabelle2[[#This Row],[vy]]/Tabelle2[[#This Row],[v]],0)</f>
        <v>-14.715</v>
      </c>
      <c r="M185">
        <f t="shared" si="25"/>
        <v>-9.81</v>
      </c>
      <c r="N185">
        <f t="shared" si="26"/>
        <v>-0.19620000000000001</v>
      </c>
      <c r="O185">
        <f t="shared" si="27"/>
        <v>0.53132548791195666</v>
      </c>
      <c r="P185" s="1">
        <f t="shared" si="29"/>
        <v>52.336971990849527</v>
      </c>
      <c r="Q185" s="1">
        <f t="shared" si="30"/>
        <v>26.664374395597832</v>
      </c>
      <c r="R185">
        <f>SQRT(Tabelle2[[#This Row],[vx]]*Tabelle2[[#This Row],[vx]]+Tabelle2[[#This Row],[vy]]*Tabelle2[[#This Row],[vy]])</f>
        <v>58.737956204481449</v>
      </c>
      <c r="S185">
        <f t="shared" si="31"/>
        <v>190.50657804669282</v>
      </c>
      <c r="T185" s="1">
        <f t="shared" si="32"/>
        <v>163.76203558060254</v>
      </c>
    </row>
    <row r="186" spans="6:20" x14ac:dyDescent="0.35">
      <c r="F186" s="1">
        <f t="shared" si="28"/>
        <v>3.6600000000000028</v>
      </c>
      <c r="G186">
        <f>1/2*$B$8*$B$6*$B$7*(Tabelle2[[#This Row],[vx]]*Tabelle2[[#This Row],[vx]]+Tabelle2[[#This Row],[vy]]*Tabelle2[[#This Row],[vy]])/1000000</f>
        <v>6.0845897827871784</v>
      </c>
      <c r="H186">
        <f>IF($B$3,-Tabelle2[[#This Row],[Fd]]*Tabelle2[[#This Row],[vx]]/Tabelle2[[#This Row],[v]],0)</f>
        <v>0</v>
      </c>
      <c r="I186">
        <f t="shared" si="22"/>
        <v>0</v>
      </c>
      <c r="J186">
        <f t="shared" si="23"/>
        <v>0</v>
      </c>
      <c r="K186">
        <f t="shared" si="24"/>
        <v>1.0467394398169905</v>
      </c>
      <c r="L186">
        <f>-$B$5*$B$12-IF($B$3,Tabelle2[[#This Row],[Fd]]*Tabelle2[[#This Row],[vy]]/Tabelle2[[#This Row],[v]],0)</f>
        <v>-14.715</v>
      </c>
      <c r="M186">
        <f t="shared" si="25"/>
        <v>-9.81</v>
      </c>
      <c r="N186">
        <f t="shared" si="26"/>
        <v>-0.19620000000000001</v>
      </c>
      <c r="O186">
        <f t="shared" si="27"/>
        <v>0.52740148791195662</v>
      </c>
      <c r="P186" s="1">
        <f t="shared" si="29"/>
        <v>52.336971990849527</v>
      </c>
      <c r="Q186" s="1">
        <f t="shared" si="30"/>
        <v>26.468174395597831</v>
      </c>
      <c r="R186">
        <f>SQRT(Tabelle2[[#This Row],[vx]]*Tabelle2[[#This Row],[vx]]+Tabelle2[[#This Row],[vy]]*Tabelle2[[#This Row],[vy]])</f>
        <v>58.649150829374747</v>
      </c>
      <c r="S186">
        <f t="shared" si="31"/>
        <v>191.55331748650983</v>
      </c>
      <c r="T186" s="1">
        <f t="shared" si="32"/>
        <v>164.29336106851449</v>
      </c>
    </row>
    <row r="187" spans="6:20" x14ac:dyDescent="0.35">
      <c r="F187" s="1">
        <f t="shared" si="28"/>
        <v>3.6800000000000028</v>
      </c>
      <c r="G187">
        <f>1/2*$B$8*$B$6*$B$7*(Tabelle2[[#This Row],[vx]]*Tabelle2[[#This Row],[vx]]+Tabelle2[[#This Row],[vy]]*Tabelle2[[#This Row],[vy]])/1000000</f>
        <v>6.0662856903337694</v>
      </c>
      <c r="H187">
        <f>IF($B$3,-Tabelle2[[#This Row],[Fd]]*Tabelle2[[#This Row],[vx]]/Tabelle2[[#This Row],[v]],0)</f>
        <v>0</v>
      </c>
      <c r="I187">
        <f t="shared" si="22"/>
        <v>0</v>
      </c>
      <c r="J187">
        <f t="shared" si="23"/>
        <v>0</v>
      </c>
      <c r="K187">
        <f t="shared" si="24"/>
        <v>1.0467394398169905</v>
      </c>
      <c r="L187">
        <f>-$B$5*$B$12-IF($B$3,Tabelle2[[#This Row],[Fd]]*Tabelle2[[#This Row],[vy]]/Tabelle2[[#This Row],[v]],0)</f>
        <v>-14.715</v>
      </c>
      <c r="M187">
        <f t="shared" si="25"/>
        <v>-9.81</v>
      </c>
      <c r="N187">
        <f t="shared" si="26"/>
        <v>-0.19620000000000001</v>
      </c>
      <c r="O187">
        <f t="shared" si="27"/>
        <v>0.52347748791195658</v>
      </c>
      <c r="P187" s="1">
        <f t="shared" si="29"/>
        <v>52.336971990849527</v>
      </c>
      <c r="Q187" s="1">
        <f t="shared" si="30"/>
        <v>26.27197439559783</v>
      </c>
      <c r="R187">
        <f>SQRT(Tabelle2[[#This Row],[vx]]*Tabelle2[[#This Row],[vx]]+Tabelle2[[#This Row],[vy]]*Tabelle2[[#This Row],[vy]])</f>
        <v>58.560868127222257</v>
      </c>
      <c r="S187">
        <f t="shared" si="31"/>
        <v>192.60005692632683</v>
      </c>
      <c r="T187" s="1">
        <f t="shared" si="32"/>
        <v>164.82076255642644</v>
      </c>
    </row>
    <row r="188" spans="6:20" x14ac:dyDescent="0.35">
      <c r="F188" s="1">
        <f t="shared" si="28"/>
        <v>3.7000000000000028</v>
      </c>
      <c r="G188">
        <f>1/2*$B$8*$B$6*$B$7*(Tabelle2[[#This Row],[vx]]*Tabelle2[[#This Row],[vx]]+Tabelle2[[#This Row],[vy]]*Tabelle2[[#This Row],[vy]])/1000000</f>
        <v>6.0481177849417049</v>
      </c>
      <c r="H188">
        <f>IF($B$3,-Tabelle2[[#This Row],[Fd]]*Tabelle2[[#This Row],[vx]]/Tabelle2[[#This Row],[v]],0)</f>
        <v>0</v>
      </c>
      <c r="I188">
        <f t="shared" si="22"/>
        <v>0</v>
      </c>
      <c r="J188">
        <f t="shared" si="23"/>
        <v>0</v>
      </c>
      <c r="K188">
        <f t="shared" si="24"/>
        <v>1.0467394398169905</v>
      </c>
      <c r="L188">
        <f>-$B$5*$B$12-IF($B$3,Tabelle2[[#This Row],[Fd]]*Tabelle2[[#This Row],[vy]]/Tabelle2[[#This Row],[v]],0)</f>
        <v>-14.715</v>
      </c>
      <c r="M188">
        <f t="shared" si="25"/>
        <v>-9.81</v>
      </c>
      <c r="N188">
        <f t="shared" si="26"/>
        <v>-0.19620000000000001</v>
      </c>
      <c r="O188">
        <f t="shared" si="27"/>
        <v>0.51955348791195666</v>
      </c>
      <c r="P188" s="1">
        <f t="shared" si="29"/>
        <v>52.336971990849527</v>
      </c>
      <c r="Q188" s="1">
        <f t="shared" si="30"/>
        <v>26.075774395597829</v>
      </c>
      <c r="R188">
        <f>SQRT(Tabelle2[[#This Row],[vx]]*Tabelle2[[#This Row],[vx]]+Tabelle2[[#This Row],[vy]]*Tabelle2[[#This Row],[vy]])</f>
        <v>58.473110465418912</v>
      </c>
      <c r="S188">
        <f t="shared" si="31"/>
        <v>193.64679636614383</v>
      </c>
      <c r="T188" s="1">
        <f t="shared" si="32"/>
        <v>165.34424004433839</v>
      </c>
    </row>
    <row r="189" spans="6:20" x14ac:dyDescent="0.35">
      <c r="F189" s="1">
        <f t="shared" si="28"/>
        <v>3.7200000000000029</v>
      </c>
      <c r="G189">
        <f>1/2*$B$8*$B$6*$B$7*(Tabelle2[[#This Row],[vx]]*Tabelle2[[#This Row],[vx]]+Tabelle2[[#This Row],[vy]]*Tabelle2[[#This Row],[vy]])/1000000</f>
        <v>6.0300860666109832</v>
      </c>
      <c r="H189">
        <f>IF($B$3,-Tabelle2[[#This Row],[Fd]]*Tabelle2[[#This Row],[vx]]/Tabelle2[[#This Row],[v]],0)</f>
        <v>0</v>
      </c>
      <c r="I189">
        <f t="shared" si="22"/>
        <v>0</v>
      </c>
      <c r="J189">
        <f t="shared" si="23"/>
        <v>0</v>
      </c>
      <c r="K189">
        <f t="shared" si="24"/>
        <v>1.0467394398169905</v>
      </c>
      <c r="L189">
        <f>-$B$5*$B$12-IF($B$3,Tabelle2[[#This Row],[Fd]]*Tabelle2[[#This Row],[vy]]/Tabelle2[[#This Row],[v]],0)</f>
        <v>-14.715</v>
      </c>
      <c r="M189">
        <f t="shared" si="25"/>
        <v>-9.81</v>
      </c>
      <c r="N189">
        <f t="shared" si="26"/>
        <v>-0.19620000000000001</v>
      </c>
      <c r="O189">
        <f t="shared" si="27"/>
        <v>0.51562948791195662</v>
      </c>
      <c r="P189" s="1">
        <f t="shared" si="29"/>
        <v>52.336971990849527</v>
      </c>
      <c r="Q189" s="1">
        <f t="shared" si="30"/>
        <v>25.879574395597828</v>
      </c>
      <c r="R189">
        <f>SQRT(Tabelle2[[#This Row],[vx]]*Tabelle2[[#This Row],[vx]]+Tabelle2[[#This Row],[vy]]*Tabelle2[[#This Row],[vy]])</f>
        <v>58.385880211471083</v>
      </c>
      <c r="S189">
        <f t="shared" si="31"/>
        <v>194.69353580596083</v>
      </c>
      <c r="T189" s="1">
        <f t="shared" si="32"/>
        <v>165.86379353225036</v>
      </c>
    </row>
    <row r="190" spans="6:20" x14ac:dyDescent="0.35">
      <c r="F190" s="1">
        <f t="shared" si="28"/>
        <v>3.7400000000000029</v>
      </c>
      <c r="G190">
        <f>1/2*$B$8*$B$6*$B$7*(Tabelle2[[#This Row],[vx]]*Tabelle2[[#This Row],[vx]]+Tabelle2[[#This Row],[vy]]*Tabelle2[[#This Row],[vy]])/1000000</f>
        <v>6.012190535341607</v>
      </c>
      <c r="H190">
        <f>IF($B$3,-Tabelle2[[#This Row],[Fd]]*Tabelle2[[#This Row],[vx]]/Tabelle2[[#This Row],[v]],0)</f>
        <v>0</v>
      </c>
      <c r="I190">
        <f t="shared" si="22"/>
        <v>0</v>
      </c>
      <c r="J190">
        <f t="shared" si="23"/>
        <v>0</v>
      </c>
      <c r="K190">
        <f t="shared" si="24"/>
        <v>1.0467394398169905</v>
      </c>
      <c r="L190">
        <f>-$B$5*$B$12-IF($B$3,Tabelle2[[#This Row],[Fd]]*Tabelle2[[#This Row],[vy]]/Tabelle2[[#This Row],[v]],0)</f>
        <v>-14.715</v>
      </c>
      <c r="M190">
        <f t="shared" si="25"/>
        <v>-9.81</v>
      </c>
      <c r="N190">
        <f t="shared" si="26"/>
        <v>-0.19620000000000001</v>
      </c>
      <c r="O190">
        <f t="shared" si="27"/>
        <v>0.51170548791195658</v>
      </c>
      <c r="P190" s="1">
        <f t="shared" si="29"/>
        <v>52.336971990849527</v>
      </c>
      <c r="Q190" s="1">
        <f t="shared" si="30"/>
        <v>25.683374395597827</v>
      </c>
      <c r="R190">
        <f>SQRT(Tabelle2[[#This Row],[vx]]*Tabelle2[[#This Row],[vx]]+Tabelle2[[#This Row],[vy]]*Tabelle2[[#This Row],[vy]])</f>
        <v>58.299179732783699</v>
      </c>
      <c r="S190">
        <f t="shared" si="31"/>
        <v>195.74027524577784</v>
      </c>
      <c r="T190" s="1">
        <f t="shared" si="32"/>
        <v>166.37942302016231</v>
      </c>
    </row>
    <row r="191" spans="6:20" x14ac:dyDescent="0.35">
      <c r="F191" s="1">
        <f t="shared" si="28"/>
        <v>3.7600000000000029</v>
      </c>
      <c r="G191">
        <f>1/2*$B$8*$B$6*$B$7*(Tabelle2[[#This Row],[vx]]*Tabelle2[[#This Row],[vx]]+Tabelle2[[#This Row],[vy]]*Tabelle2[[#This Row],[vy]])/1000000</f>
        <v>5.9944311911335744</v>
      </c>
      <c r="H191">
        <f>IF($B$3,-Tabelle2[[#This Row],[Fd]]*Tabelle2[[#This Row],[vx]]/Tabelle2[[#This Row],[v]],0)</f>
        <v>0</v>
      </c>
      <c r="I191">
        <f t="shared" si="22"/>
        <v>0</v>
      </c>
      <c r="J191">
        <f t="shared" si="23"/>
        <v>0</v>
      </c>
      <c r="K191">
        <f t="shared" si="24"/>
        <v>1.0467394398169905</v>
      </c>
      <c r="L191">
        <f>-$B$5*$B$12-IF($B$3,Tabelle2[[#This Row],[Fd]]*Tabelle2[[#This Row],[vy]]/Tabelle2[[#This Row],[v]],0)</f>
        <v>-14.715</v>
      </c>
      <c r="M191">
        <f t="shared" si="25"/>
        <v>-9.81</v>
      </c>
      <c r="N191">
        <f t="shared" si="26"/>
        <v>-0.19620000000000001</v>
      </c>
      <c r="O191">
        <f t="shared" si="27"/>
        <v>0.50778148791195654</v>
      </c>
      <c r="P191" s="1">
        <f t="shared" si="29"/>
        <v>52.336971990849527</v>
      </c>
      <c r="Q191" s="1">
        <f t="shared" si="30"/>
        <v>25.487174395597826</v>
      </c>
      <c r="R191">
        <f>SQRT(Tabelle2[[#This Row],[vx]]*Tabelle2[[#This Row],[vx]]+Tabelle2[[#This Row],[vy]]*Tabelle2[[#This Row],[vy]])</f>
        <v>58.213011396444564</v>
      </c>
      <c r="S191">
        <f t="shared" si="31"/>
        <v>196.78701468559484</v>
      </c>
      <c r="T191" s="1">
        <f t="shared" si="32"/>
        <v>166.89112850807427</v>
      </c>
    </row>
    <row r="192" spans="6:20" x14ac:dyDescent="0.35">
      <c r="F192" s="1">
        <f t="shared" si="28"/>
        <v>3.7800000000000029</v>
      </c>
      <c r="G192">
        <f>1/2*$B$8*$B$6*$B$7*(Tabelle2[[#This Row],[vx]]*Tabelle2[[#This Row],[vx]]+Tabelle2[[#This Row],[vy]]*Tabelle2[[#This Row],[vy]])/1000000</f>
        <v>5.9768080339868854</v>
      </c>
      <c r="H192">
        <f>IF($B$3,-Tabelle2[[#This Row],[Fd]]*Tabelle2[[#This Row],[vx]]/Tabelle2[[#This Row],[v]],0)</f>
        <v>0</v>
      </c>
      <c r="I192">
        <f t="shared" si="22"/>
        <v>0</v>
      </c>
      <c r="J192">
        <f t="shared" si="23"/>
        <v>0</v>
      </c>
      <c r="K192">
        <f t="shared" si="24"/>
        <v>1.0467394398169905</v>
      </c>
      <c r="L192">
        <f>-$B$5*$B$12-IF($B$3,Tabelle2[[#This Row],[Fd]]*Tabelle2[[#This Row],[vy]]/Tabelle2[[#This Row],[v]],0)</f>
        <v>-14.715</v>
      </c>
      <c r="M192">
        <f t="shared" si="25"/>
        <v>-9.81</v>
      </c>
      <c r="N192">
        <f t="shared" si="26"/>
        <v>-0.19620000000000001</v>
      </c>
      <c r="O192">
        <f t="shared" si="27"/>
        <v>0.5038574879119565</v>
      </c>
      <c r="P192" s="1">
        <f t="shared" si="29"/>
        <v>52.336971990849527</v>
      </c>
      <c r="Q192" s="1">
        <f t="shared" si="30"/>
        <v>25.290974395597825</v>
      </c>
      <c r="R192">
        <f>SQRT(Tabelle2[[#This Row],[vx]]*Tabelle2[[#This Row],[vx]]+Tabelle2[[#This Row],[vy]]*Tabelle2[[#This Row],[vy]])</f>
        <v>58.127377569005745</v>
      </c>
      <c r="S192">
        <f t="shared" si="31"/>
        <v>197.83375412541184</v>
      </c>
      <c r="T192" s="1">
        <f t="shared" si="32"/>
        <v>167.39890999598623</v>
      </c>
    </row>
    <row r="193" spans="6:20" x14ac:dyDescent="0.35">
      <c r="F193" s="1">
        <f t="shared" si="28"/>
        <v>3.8000000000000029</v>
      </c>
      <c r="G193">
        <f>1/2*$B$8*$B$6*$B$7*(Tabelle2[[#This Row],[vx]]*Tabelle2[[#This Row],[vx]]+Tabelle2[[#This Row],[vy]]*Tabelle2[[#This Row],[vy]])/1000000</f>
        <v>5.959321063901541</v>
      </c>
      <c r="H193">
        <f>IF($B$3,-Tabelle2[[#This Row],[Fd]]*Tabelle2[[#This Row],[vx]]/Tabelle2[[#This Row],[v]],0)</f>
        <v>0</v>
      </c>
      <c r="I193">
        <f t="shared" si="22"/>
        <v>0</v>
      </c>
      <c r="J193">
        <f t="shared" si="23"/>
        <v>0</v>
      </c>
      <c r="K193">
        <f t="shared" si="24"/>
        <v>1.0467394398169905</v>
      </c>
      <c r="L193">
        <f>-$B$5*$B$12-IF($B$3,Tabelle2[[#This Row],[Fd]]*Tabelle2[[#This Row],[vy]]/Tabelle2[[#This Row],[v]],0)</f>
        <v>-14.715</v>
      </c>
      <c r="M193">
        <f t="shared" si="25"/>
        <v>-9.81</v>
      </c>
      <c r="N193">
        <f t="shared" si="26"/>
        <v>-0.19620000000000001</v>
      </c>
      <c r="O193">
        <f t="shared" si="27"/>
        <v>0.49993348791195652</v>
      </c>
      <c r="P193" s="1">
        <f t="shared" si="29"/>
        <v>52.336971990849527</v>
      </c>
      <c r="Q193" s="1">
        <f t="shared" si="30"/>
        <v>25.094774395597824</v>
      </c>
      <c r="R193">
        <f>SQRT(Tabelle2[[#This Row],[vx]]*Tabelle2[[#This Row],[vx]]+Tabelle2[[#This Row],[vy]]*Tabelle2[[#This Row],[vy]])</f>
        <v>58.04228061626214</v>
      </c>
      <c r="S193">
        <f t="shared" si="31"/>
        <v>198.88049356522885</v>
      </c>
      <c r="T193" s="1">
        <f t="shared" si="32"/>
        <v>167.90276748389817</v>
      </c>
    </row>
    <row r="194" spans="6:20" x14ac:dyDescent="0.35">
      <c r="F194" s="1">
        <f t="shared" si="28"/>
        <v>3.8200000000000029</v>
      </c>
      <c r="G194">
        <f>1/2*$B$8*$B$6*$B$7*(Tabelle2[[#This Row],[vx]]*Tabelle2[[#This Row],[vx]]+Tabelle2[[#This Row],[vy]]*Tabelle2[[#This Row],[vy]])/1000000</f>
        <v>5.9419702808775385</v>
      </c>
      <c r="H194">
        <f>IF($B$3,-Tabelle2[[#This Row],[Fd]]*Tabelle2[[#This Row],[vx]]/Tabelle2[[#This Row],[v]],0)</f>
        <v>0</v>
      </c>
      <c r="I194">
        <f t="shared" si="22"/>
        <v>0</v>
      </c>
      <c r="J194">
        <f t="shared" si="23"/>
        <v>0</v>
      </c>
      <c r="K194">
        <f t="shared" si="24"/>
        <v>1.0467394398169905</v>
      </c>
      <c r="L194">
        <f>-$B$5*$B$12-IF($B$3,Tabelle2[[#This Row],[Fd]]*Tabelle2[[#This Row],[vy]]/Tabelle2[[#This Row],[v]],0)</f>
        <v>-14.715</v>
      </c>
      <c r="M194">
        <f t="shared" si="25"/>
        <v>-9.81</v>
      </c>
      <c r="N194">
        <f t="shared" si="26"/>
        <v>-0.19620000000000001</v>
      </c>
      <c r="O194">
        <f t="shared" si="27"/>
        <v>0.49600948791195648</v>
      </c>
      <c r="P194" s="1">
        <f t="shared" si="29"/>
        <v>52.336971990849527</v>
      </c>
      <c r="Q194" s="1">
        <f t="shared" si="30"/>
        <v>24.898574395597823</v>
      </c>
      <c r="R194">
        <f>SQRT(Tabelle2[[#This Row],[vx]]*Tabelle2[[#This Row],[vx]]+Tabelle2[[#This Row],[vy]]*Tabelle2[[#This Row],[vy]])</f>
        <v>57.957722903027232</v>
      </c>
      <c r="S194">
        <f t="shared" si="31"/>
        <v>199.92723300504585</v>
      </c>
      <c r="T194" s="1">
        <f t="shared" si="32"/>
        <v>168.40270097181013</v>
      </c>
    </row>
    <row r="195" spans="6:20" x14ac:dyDescent="0.35">
      <c r="F195" s="1">
        <f t="shared" si="28"/>
        <v>3.840000000000003</v>
      </c>
      <c r="G195">
        <f>1/2*$B$8*$B$6*$B$7*(Tabelle2[[#This Row],[vx]]*Tabelle2[[#This Row],[vx]]+Tabelle2[[#This Row],[vy]]*Tabelle2[[#This Row],[vy]])/1000000</f>
        <v>5.9247556849148832</v>
      </c>
      <c r="H195">
        <f>IF($B$3,-Tabelle2[[#This Row],[Fd]]*Tabelle2[[#This Row],[vx]]/Tabelle2[[#This Row],[v]],0)</f>
        <v>0</v>
      </c>
      <c r="I195">
        <f t="shared" ref="I195:I258" si="33">H195/$B$5</f>
        <v>0</v>
      </c>
      <c r="J195">
        <f t="shared" ref="J195:J258" si="34">I195*$B$13</f>
        <v>0</v>
      </c>
      <c r="K195">
        <f t="shared" ref="K195:K258" si="35">$B$13*(P195+J195/2)</f>
        <v>1.0467394398169905</v>
      </c>
      <c r="L195">
        <f>-$B$5*$B$12-IF($B$3,Tabelle2[[#This Row],[Fd]]*Tabelle2[[#This Row],[vy]]/Tabelle2[[#This Row],[v]],0)</f>
        <v>-14.715</v>
      </c>
      <c r="M195">
        <f t="shared" ref="M195:M258" si="36">L195/$B$5</f>
        <v>-9.81</v>
      </c>
      <c r="N195">
        <f t="shared" ref="N195:N258" si="37">M195*$B$13</f>
        <v>-0.19620000000000001</v>
      </c>
      <c r="O195">
        <f t="shared" ref="O195:O258" si="38">$B$13*(Q195+N195/2)</f>
        <v>0.4920854879119565</v>
      </c>
      <c r="P195" s="1">
        <f t="shared" si="29"/>
        <v>52.336971990849527</v>
      </c>
      <c r="Q195" s="1">
        <f t="shared" si="30"/>
        <v>24.702374395597822</v>
      </c>
      <c r="R195">
        <f>SQRT(Tabelle2[[#This Row],[vx]]*Tabelle2[[#This Row],[vx]]+Tabelle2[[#This Row],[vy]]*Tabelle2[[#This Row],[vy]])</f>
        <v>57.873706792906006</v>
      </c>
      <c r="S195">
        <f t="shared" si="31"/>
        <v>200.97397244486285</v>
      </c>
      <c r="T195" s="1">
        <f t="shared" si="32"/>
        <v>168.89871045972208</v>
      </c>
    </row>
    <row r="196" spans="6:20" x14ac:dyDescent="0.35">
      <c r="F196" s="1">
        <f t="shared" ref="F196:F259" si="39">F195+$B$13</f>
        <v>3.860000000000003</v>
      </c>
      <c r="G196">
        <f>1/2*$B$8*$B$6*$B$7*(Tabelle2[[#This Row],[vx]]*Tabelle2[[#This Row],[vx]]+Tabelle2[[#This Row],[vy]]*Tabelle2[[#This Row],[vy]])/1000000</f>
        <v>5.9076772760135698</v>
      </c>
      <c r="H196">
        <f>IF($B$3,-Tabelle2[[#This Row],[Fd]]*Tabelle2[[#This Row],[vx]]/Tabelle2[[#This Row],[v]],0)</f>
        <v>0</v>
      </c>
      <c r="I196">
        <f t="shared" si="33"/>
        <v>0</v>
      </c>
      <c r="J196">
        <f t="shared" si="34"/>
        <v>0</v>
      </c>
      <c r="K196">
        <f t="shared" si="35"/>
        <v>1.0467394398169905</v>
      </c>
      <c r="L196">
        <f>-$B$5*$B$12-IF($B$3,Tabelle2[[#This Row],[Fd]]*Tabelle2[[#This Row],[vy]]/Tabelle2[[#This Row],[v]],0)</f>
        <v>-14.715</v>
      </c>
      <c r="M196">
        <f t="shared" si="36"/>
        <v>-9.81</v>
      </c>
      <c r="N196">
        <f t="shared" si="37"/>
        <v>-0.19620000000000001</v>
      </c>
      <c r="O196">
        <f t="shared" si="38"/>
        <v>0.48816148791195646</v>
      </c>
      <c r="P196" s="1">
        <f t="shared" ref="P196:P259" si="40">P195+J195</f>
        <v>52.336971990849527</v>
      </c>
      <c r="Q196" s="1">
        <f t="shared" ref="Q196:Q259" si="41">Q195+N195</f>
        <v>24.506174395597821</v>
      </c>
      <c r="R196">
        <f>SQRT(Tabelle2[[#This Row],[vx]]*Tabelle2[[#This Row],[vx]]+Tabelle2[[#This Row],[vy]]*Tabelle2[[#This Row],[vy]])</f>
        <v>57.790234648065081</v>
      </c>
      <c r="S196">
        <f t="shared" ref="S196:S259" si="42">S195+K195</f>
        <v>202.02071188467986</v>
      </c>
      <c r="T196" s="1">
        <f t="shared" ref="T196:T259" si="43">T195+O195</f>
        <v>169.39079594763405</v>
      </c>
    </row>
    <row r="197" spans="6:20" x14ac:dyDescent="0.35">
      <c r="F197" s="1">
        <f t="shared" si="39"/>
        <v>3.880000000000003</v>
      </c>
      <c r="G197">
        <f>1/2*$B$8*$B$6*$B$7*(Tabelle2[[#This Row],[vx]]*Tabelle2[[#This Row],[vx]]+Tabelle2[[#This Row],[vy]]*Tabelle2[[#This Row],[vy]])/1000000</f>
        <v>5.890735054173601</v>
      </c>
      <c r="H197">
        <f>IF($B$3,-Tabelle2[[#This Row],[Fd]]*Tabelle2[[#This Row],[vx]]/Tabelle2[[#This Row],[v]],0)</f>
        <v>0</v>
      </c>
      <c r="I197">
        <f t="shared" si="33"/>
        <v>0</v>
      </c>
      <c r="J197">
        <f t="shared" si="34"/>
        <v>0</v>
      </c>
      <c r="K197">
        <f t="shared" si="35"/>
        <v>1.0467394398169905</v>
      </c>
      <c r="L197">
        <f>-$B$5*$B$12-IF($B$3,Tabelle2[[#This Row],[Fd]]*Tabelle2[[#This Row],[vy]]/Tabelle2[[#This Row],[v]],0)</f>
        <v>-14.715</v>
      </c>
      <c r="M197">
        <f t="shared" si="36"/>
        <v>-9.81</v>
      </c>
      <c r="N197">
        <f t="shared" si="37"/>
        <v>-0.19620000000000001</v>
      </c>
      <c r="O197">
        <f t="shared" si="38"/>
        <v>0.48423748791195642</v>
      </c>
      <c r="P197" s="1">
        <f t="shared" si="40"/>
        <v>52.336971990849527</v>
      </c>
      <c r="Q197" s="1">
        <f t="shared" si="41"/>
        <v>24.30997439559782</v>
      </c>
      <c r="R197">
        <f>SQRT(Tabelle2[[#This Row],[vx]]*Tabelle2[[#This Row],[vx]]+Tabelle2[[#This Row],[vy]]*Tabelle2[[#This Row],[vy]])</f>
        <v>57.70730882900007</v>
      </c>
      <c r="S197">
        <f t="shared" si="42"/>
        <v>203.06745132449686</v>
      </c>
      <c r="T197" s="1">
        <f t="shared" si="43"/>
        <v>169.878957435546</v>
      </c>
    </row>
    <row r="198" spans="6:20" x14ac:dyDescent="0.35">
      <c r="F198" s="1">
        <f t="shared" si="39"/>
        <v>3.900000000000003</v>
      </c>
      <c r="G198">
        <f>1/2*$B$8*$B$6*$B$7*(Tabelle2[[#This Row],[vx]]*Tabelle2[[#This Row],[vx]]+Tabelle2[[#This Row],[vy]]*Tabelle2[[#This Row],[vy]])/1000000</f>
        <v>5.8739290193949758</v>
      </c>
      <c r="H198">
        <f>IF($B$3,-Tabelle2[[#This Row],[Fd]]*Tabelle2[[#This Row],[vx]]/Tabelle2[[#This Row],[v]],0)</f>
        <v>0</v>
      </c>
      <c r="I198">
        <f t="shared" si="33"/>
        <v>0</v>
      </c>
      <c r="J198">
        <f t="shared" si="34"/>
        <v>0</v>
      </c>
      <c r="K198">
        <f t="shared" si="35"/>
        <v>1.0467394398169905</v>
      </c>
      <c r="L198">
        <f>-$B$5*$B$12-IF($B$3,Tabelle2[[#This Row],[Fd]]*Tabelle2[[#This Row],[vy]]/Tabelle2[[#This Row],[v]],0)</f>
        <v>-14.715</v>
      </c>
      <c r="M198">
        <f t="shared" si="36"/>
        <v>-9.81</v>
      </c>
      <c r="N198">
        <f t="shared" si="37"/>
        <v>-0.19620000000000001</v>
      </c>
      <c r="O198">
        <f t="shared" si="38"/>
        <v>0.48031348791195638</v>
      </c>
      <c r="P198" s="1">
        <f t="shared" si="40"/>
        <v>52.336971990849527</v>
      </c>
      <c r="Q198" s="1">
        <f t="shared" si="41"/>
        <v>24.113774395597819</v>
      </c>
      <c r="R198">
        <f>SQRT(Tabelle2[[#This Row],[vx]]*Tabelle2[[#This Row],[vx]]+Tabelle2[[#This Row],[vy]]*Tabelle2[[#This Row],[vy]])</f>
        <v>57.624931694300138</v>
      </c>
      <c r="S198">
        <f t="shared" si="42"/>
        <v>204.11419076431386</v>
      </c>
      <c r="T198" s="1">
        <f t="shared" si="43"/>
        <v>170.36319492345797</v>
      </c>
    </row>
    <row r="199" spans="6:20" x14ac:dyDescent="0.35">
      <c r="F199" s="1">
        <f t="shared" si="39"/>
        <v>3.920000000000003</v>
      </c>
      <c r="G199">
        <f>1/2*$B$8*$B$6*$B$7*(Tabelle2[[#This Row],[vx]]*Tabelle2[[#This Row],[vx]]+Tabelle2[[#This Row],[vy]]*Tabelle2[[#This Row],[vy]])/1000000</f>
        <v>5.8572591716776943</v>
      </c>
      <c r="H199">
        <f>IF($B$3,-Tabelle2[[#This Row],[Fd]]*Tabelle2[[#This Row],[vx]]/Tabelle2[[#This Row],[v]],0)</f>
        <v>0</v>
      </c>
      <c r="I199">
        <f t="shared" si="33"/>
        <v>0</v>
      </c>
      <c r="J199">
        <f t="shared" si="34"/>
        <v>0</v>
      </c>
      <c r="K199">
        <f t="shared" si="35"/>
        <v>1.0467394398169905</v>
      </c>
      <c r="L199">
        <f>-$B$5*$B$12-IF($B$3,Tabelle2[[#This Row],[Fd]]*Tabelle2[[#This Row],[vy]]/Tabelle2[[#This Row],[v]],0)</f>
        <v>-14.715</v>
      </c>
      <c r="M199">
        <f t="shared" si="36"/>
        <v>-9.81</v>
      </c>
      <c r="N199">
        <f t="shared" si="37"/>
        <v>-0.19620000000000001</v>
      </c>
      <c r="O199">
        <f t="shared" si="38"/>
        <v>0.4763894879119564</v>
      </c>
      <c r="P199" s="1">
        <f t="shared" si="40"/>
        <v>52.336971990849527</v>
      </c>
      <c r="Q199" s="1">
        <f t="shared" si="41"/>
        <v>23.917574395597818</v>
      </c>
      <c r="R199">
        <f>SQRT(Tabelle2[[#This Row],[vx]]*Tabelle2[[#This Row],[vx]]+Tabelle2[[#This Row],[vy]]*Tabelle2[[#This Row],[vy]])</f>
        <v>57.543105600409888</v>
      </c>
      <c r="S199">
        <f t="shared" si="42"/>
        <v>205.16093020413086</v>
      </c>
      <c r="T199" s="1">
        <f t="shared" si="43"/>
        <v>170.84350841136992</v>
      </c>
    </row>
    <row r="200" spans="6:20" x14ac:dyDescent="0.35">
      <c r="F200" s="1">
        <f t="shared" si="39"/>
        <v>3.9400000000000031</v>
      </c>
      <c r="G200">
        <f>1/2*$B$8*$B$6*$B$7*(Tabelle2[[#This Row],[vx]]*Tabelle2[[#This Row],[vx]]+Tabelle2[[#This Row],[vy]]*Tabelle2[[#This Row],[vy]])/1000000</f>
        <v>5.8407255110217573</v>
      </c>
      <c r="H200">
        <f>IF($B$3,-Tabelle2[[#This Row],[Fd]]*Tabelle2[[#This Row],[vx]]/Tabelle2[[#This Row],[v]],0)</f>
        <v>0</v>
      </c>
      <c r="I200">
        <f t="shared" si="33"/>
        <v>0</v>
      </c>
      <c r="J200">
        <f t="shared" si="34"/>
        <v>0</v>
      </c>
      <c r="K200">
        <f t="shared" si="35"/>
        <v>1.0467394398169905</v>
      </c>
      <c r="L200">
        <f>-$B$5*$B$12-IF($B$3,Tabelle2[[#This Row],[Fd]]*Tabelle2[[#This Row],[vy]]/Tabelle2[[#This Row],[v]],0)</f>
        <v>-14.715</v>
      </c>
      <c r="M200">
        <f t="shared" si="36"/>
        <v>-9.81</v>
      </c>
      <c r="N200">
        <f t="shared" si="37"/>
        <v>-0.19620000000000001</v>
      </c>
      <c r="O200">
        <f t="shared" si="38"/>
        <v>0.47246548791195636</v>
      </c>
      <c r="P200" s="1">
        <f t="shared" si="40"/>
        <v>52.336971990849527</v>
      </c>
      <c r="Q200" s="1">
        <f t="shared" si="41"/>
        <v>23.721374395597817</v>
      </c>
      <c r="R200">
        <f>SQRT(Tabelle2[[#This Row],[vx]]*Tabelle2[[#This Row],[vx]]+Tabelle2[[#This Row],[vy]]*Tabelle2[[#This Row],[vy]])</f>
        <v>57.461832901388476</v>
      </c>
      <c r="S200">
        <f t="shared" si="42"/>
        <v>206.20766964394787</v>
      </c>
      <c r="T200" s="1">
        <f t="shared" si="43"/>
        <v>171.31989789928187</v>
      </c>
    </row>
    <row r="201" spans="6:20" x14ac:dyDescent="0.35">
      <c r="F201" s="1">
        <f t="shared" si="39"/>
        <v>3.9600000000000031</v>
      </c>
      <c r="G201">
        <f>1/2*$B$8*$B$6*$B$7*(Tabelle2[[#This Row],[vx]]*Tabelle2[[#This Row],[vx]]+Tabelle2[[#This Row],[vy]]*Tabelle2[[#This Row],[vy]])/1000000</f>
        <v>5.8243280374271649</v>
      </c>
      <c r="H201">
        <f>IF($B$3,-Tabelle2[[#This Row],[Fd]]*Tabelle2[[#This Row],[vx]]/Tabelle2[[#This Row],[v]],0)</f>
        <v>0</v>
      </c>
      <c r="I201">
        <f t="shared" si="33"/>
        <v>0</v>
      </c>
      <c r="J201">
        <f t="shared" si="34"/>
        <v>0</v>
      </c>
      <c r="K201">
        <f t="shared" si="35"/>
        <v>1.0467394398169905</v>
      </c>
      <c r="L201">
        <f>-$B$5*$B$12-IF($B$3,Tabelle2[[#This Row],[Fd]]*Tabelle2[[#This Row],[vy]]/Tabelle2[[#This Row],[v]],0)</f>
        <v>-14.715</v>
      </c>
      <c r="M201">
        <f t="shared" si="36"/>
        <v>-9.81</v>
      </c>
      <c r="N201">
        <f t="shared" si="37"/>
        <v>-0.19620000000000001</v>
      </c>
      <c r="O201">
        <f t="shared" si="38"/>
        <v>0.46854148791195632</v>
      </c>
      <c r="P201" s="1">
        <f t="shared" si="40"/>
        <v>52.336971990849527</v>
      </c>
      <c r="Q201" s="1">
        <f t="shared" si="41"/>
        <v>23.525174395597816</v>
      </c>
      <c r="R201">
        <f>SQRT(Tabelle2[[#This Row],[vx]]*Tabelle2[[#This Row],[vx]]+Tabelle2[[#This Row],[vy]]*Tabelle2[[#This Row],[vy]])</f>
        <v>57.381115948666064</v>
      </c>
      <c r="S201">
        <f t="shared" si="42"/>
        <v>207.25440908376487</v>
      </c>
      <c r="T201" s="1">
        <f t="shared" si="43"/>
        <v>171.79236338719383</v>
      </c>
    </row>
    <row r="202" spans="6:20" x14ac:dyDescent="0.35">
      <c r="F202" s="1">
        <f t="shared" si="39"/>
        <v>3.9800000000000031</v>
      </c>
      <c r="G202">
        <f>1/2*$B$8*$B$6*$B$7*(Tabelle2[[#This Row],[vx]]*Tabelle2[[#This Row],[vx]]+Tabelle2[[#This Row],[vy]]*Tabelle2[[#This Row],[vy]])/1000000</f>
        <v>5.8080667508939161</v>
      </c>
      <c r="H202">
        <f>IF($B$3,-Tabelle2[[#This Row],[Fd]]*Tabelle2[[#This Row],[vx]]/Tabelle2[[#This Row],[v]],0)</f>
        <v>0</v>
      </c>
      <c r="I202">
        <f t="shared" si="33"/>
        <v>0</v>
      </c>
      <c r="J202">
        <f t="shared" si="34"/>
        <v>0</v>
      </c>
      <c r="K202">
        <f t="shared" si="35"/>
        <v>1.0467394398169905</v>
      </c>
      <c r="L202">
        <f>-$B$5*$B$12-IF($B$3,Tabelle2[[#This Row],[Fd]]*Tabelle2[[#This Row],[vy]]/Tabelle2[[#This Row],[v]],0)</f>
        <v>-14.715</v>
      </c>
      <c r="M202">
        <f t="shared" si="36"/>
        <v>-9.81</v>
      </c>
      <c r="N202">
        <f t="shared" si="37"/>
        <v>-0.19620000000000001</v>
      </c>
      <c r="O202">
        <f t="shared" si="38"/>
        <v>0.46461748791195634</v>
      </c>
      <c r="P202" s="1">
        <f t="shared" si="40"/>
        <v>52.336971990849527</v>
      </c>
      <c r="Q202" s="1">
        <f t="shared" si="41"/>
        <v>23.328974395597815</v>
      </c>
      <c r="R202">
        <f>SQRT(Tabelle2[[#This Row],[vx]]*Tabelle2[[#This Row],[vx]]+Tabelle2[[#This Row],[vy]]*Tabelle2[[#This Row],[vy]])</f>
        <v>57.300957090797588</v>
      </c>
      <c r="S202">
        <f t="shared" si="42"/>
        <v>208.30114852358187</v>
      </c>
      <c r="T202" s="1">
        <f t="shared" si="43"/>
        <v>172.26090487510578</v>
      </c>
    </row>
    <row r="203" spans="6:20" x14ac:dyDescent="0.35">
      <c r="F203" s="1">
        <f t="shared" si="39"/>
        <v>4.0000000000000027</v>
      </c>
      <c r="G203">
        <f>1/2*$B$8*$B$6*$B$7*(Tabelle2[[#This Row],[vx]]*Tabelle2[[#This Row],[vx]]+Tabelle2[[#This Row],[vy]]*Tabelle2[[#This Row],[vy]])/1000000</f>
        <v>5.791941651422011</v>
      </c>
      <c r="H203">
        <f>IF($B$3,-Tabelle2[[#This Row],[Fd]]*Tabelle2[[#This Row],[vx]]/Tabelle2[[#This Row],[v]],0)</f>
        <v>0</v>
      </c>
      <c r="I203">
        <f t="shared" si="33"/>
        <v>0</v>
      </c>
      <c r="J203">
        <f t="shared" si="34"/>
        <v>0</v>
      </c>
      <c r="K203">
        <f t="shared" si="35"/>
        <v>1.0467394398169905</v>
      </c>
      <c r="L203">
        <f>-$B$5*$B$12-IF($B$3,Tabelle2[[#This Row],[Fd]]*Tabelle2[[#This Row],[vy]]/Tabelle2[[#This Row],[v]],0)</f>
        <v>-14.715</v>
      </c>
      <c r="M203">
        <f t="shared" si="36"/>
        <v>-9.81</v>
      </c>
      <c r="N203">
        <f t="shared" si="37"/>
        <v>-0.19620000000000001</v>
      </c>
      <c r="O203">
        <f t="shared" si="38"/>
        <v>0.4606934879119563</v>
      </c>
      <c r="P203" s="1">
        <f t="shared" si="40"/>
        <v>52.336971990849527</v>
      </c>
      <c r="Q203" s="1">
        <f t="shared" si="41"/>
        <v>23.132774395597814</v>
      </c>
      <c r="R203">
        <f>SQRT(Tabelle2[[#This Row],[vx]]*Tabelle2[[#This Row],[vx]]+Tabelle2[[#This Row],[vy]]*Tabelle2[[#This Row],[vy]])</f>
        <v>57.221358673213921</v>
      </c>
      <c r="S203">
        <f t="shared" si="42"/>
        <v>209.34788796339888</v>
      </c>
      <c r="T203" s="1">
        <f t="shared" si="43"/>
        <v>172.72552236301775</v>
      </c>
    </row>
    <row r="204" spans="6:20" x14ac:dyDescent="0.35">
      <c r="F204" s="1">
        <f t="shared" si="39"/>
        <v>4.0200000000000022</v>
      </c>
      <c r="G204">
        <f>1/2*$B$8*$B$6*$B$7*(Tabelle2[[#This Row],[vx]]*Tabelle2[[#This Row],[vx]]+Tabelle2[[#This Row],[vy]]*Tabelle2[[#This Row],[vy]])/1000000</f>
        <v>5.7759527390114505</v>
      </c>
      <c r="H204">
        <f>IF($B$3,-Tabelle2[[#This Row],[Fd]]*Tabelle2[[#This Row],[vx]]/Tabelle2[[#This Row],[v]],0)</f>
        <v>0</v>
      </c>
      <c r="I204">
        <f t="shared" si="33"/>
        <v>0</v>
      </c>
      <c r="J204">
        <f t="shared" si="34"/>
        <v>0</v>
      </c>
      <c r="K204">
        <f t="shared" si="35"/>
        <v>1.0467394398169905</v>
      </c>
      <c r="L204">
        <f>-$B$5*$B$12-IF($B$3,Tabelle2[[#This Row],[Fd]]*Tabelle2[[#This Row],[vy]]/Tabelle2[[#This Row],[v]],0)</f>
        <v>-14.715</v>
      </c>
      <c r="M204">
        <f t="shared" si="36"/>
        <v>-9.81</v>
      </c>
      <c r="N204">
        <f t="shared" si="37"/>
        <v>-0.19620000000000001</v>
      </c>
      <c r="O204">
        <f t="shared" si="38"/>
        <v>0.45676948791195626</v>
      </c>
      <c r="P204" s="1">
        <f t="shared" si="40"/>
        <v>52.336971990849527</v>
      </c>
      <c r="Q204" s="1">
        <f t="shared" si="41"/>
        <v>22.936574395597813</v>
      </c>
      <c r="R204">
        <f>SQRT(Tabelle2[[#This Row],[vx]]*Tabelle2[[#This Row],[vx]]+Tabelle2[[#This Row],[vy]]*Tabelle2[[#This Row],[vy]])</f>
        <v>57.142323037970385</v>
      </c>
      <c r="S204">
        <f t="shared" si="42"/>
        <v>210.39462740321588</v>
      </c>
      <c r="T204" s="1">
        <f t="shared" si="43"/>
        <v>173.1862158509297</v>
      </c>
    </row>
    <row r="205" spans="6:20" x14ac:dyDescent="0.35">
      <c r="F205" s="1">
        <f t="shared" si="39"/>
        <v>4.0400000000000018</v>
      </c>
      <c r="G205">
        <f>1/2*$B$8*$B$6*$B$7*(Tabelle2[[#This Row],[vx]]*Tabelle2[[#This Row],[vx]]+Tabelle2[[#This Row],[vy]]*Tabelle2[[#This Row],[vy]])/1000000</f>
        <v>5.7601000136622327</v>
      </c>
      <c r="H205">
        <f>IF($B$3,-Tabelle2[[#This Row],[Fd]]*Tabelle2[[#This Row],[vx]]/Tabelle2[[#This Row],[v]],0)</f>
        <v>0</v>
      </c>
      <c r="I205">
        <f t="shared" si="33"/>
        <v>0</v>
      </c>
      <c r="J205">
        <f t="shared" si="34"/>
        <v>0</v>
      </c>
      <c r="K205">
        <f t="shared" si="35"/>
        <v>1.0467394398169905</v>
      </c>
      <c r="L205">
        <f>-$B$5*$B$12-IF($B$3,Tabelle2[[#This Row],[Fd]]*Tabelle2[[#This Row],[vy]]/Tabelle2[[#This Row],[v]],0)</f>
        <v>-14.715</v>
      </c>
      <c r="M205">
        <f t="shared" si="36"/>
        <v>-9.81</v>
      </c>
      <c r="N205">
        <f t="shared" si="37"/>
        <v>-0.19620000000000001</v>
      </c>
      <c r="O205">
        <f t="shared" si="38"/>
        <v>0.45284548791195628</v>
      </c>
      <c r="P205" s="1">
        <f t="shared" si="40"/>
        <v>52.336971990849527</v>
      </c>
      <c r="Q205" s="1">
        <f t="shared" si="41"/>
        <v>22.740374395597811</v>
      </c>
      <c r="R205">
        <f>SQRT(Tabelle2[[#This Row],[vx]]*Tabelle2[[#This Row],[vx]]+Tabelle2[[#This Row],[vy]]*Tabelle2[[#This Row],[vy]])</f>
        <v>57.063852523492734</v>
      </c>
      <c r="S205">
        <f t="shared" si="42"/>
        <v>211.44136684303288</v>
      </c>
      <c r="T205" s="1">
        <f t="shared" si="43"/>
        <v>173.64298533884167</v>
      </c>
    </row>
    <row r="206" spans="6:20" x14ac:dyDescent="0.35">
      <c r="F206" s="1">
        <f t="shared" si="39"/>
        <v>4.0600000000000014</v>
      </c>
      <c r="G206">
        <f>1/2*$B$8*$B$6*$B$7*(Tabelle2[[#This Row],[vx]]*Tabelle2[[#This Row],[vx]]+Tabelle2[[#This Row],[vy]]*Tabelle2[[#This Row],[vy]])/1000000</f>
        <v>5.7443834753743594</v>
      </c>
      <c r="H206">
        <f>IF($B$3,-Tabelle2[[#This Row],[Fd]]*Tabelle2[[#This Row],[vx]]/Tabelle2[[#This Row],[v]],0)</f>
        <v>0</v>
      </c>
      <c r="I206">
        <f t="shared" si="33"/>
        <v>0</v>
      </c>
      <c r="J206">
        <f t="shared" si="34"/>
        <v>0</v>
      </c>
      <c r="K206">
        <f t="shared" si="35"/>
        <v>1.0467394398169905</v>
      </c>
      <c r="L206">
        <f>-$B$5*$B$12-IF($B$3,Tabelle2[[#This Row],[Fd]]*Tabelle2[[#This Row],[vy]]/Tabelle2[[#This Row],[v]],0)</f>
        <v>-14.715</v>
      </c>
      <c r="M206">
        <f t="shared" si="36"/>
        <v>-9.81</v>
      </c>
      <c r="N206">
        <f t="shared" si="37"/>
        <v>-0.19620000000000001</v>
      </c>
      <c r="O206">
        <f t="shared" si="38"/>
        <v>0.44892148791195624</v>
      </c>
      <c r="P206" s="1">
        <f t="shared" si="40"/>
        <v>52.336971990849527</v>
      </c>
      <c r="Q206" s="1">
        <f t="shared" si="41"/>
        <v>22.54417439559781</v>
      </c>
      <c r="R206">
        <f>SQRT(Tabelle2[[#This Row],[vx]]*Tabelle2[[#This Row],[vx]]+Tabelle2[[#This Row],[vy]]*Tabelle2[[#This Row],[vy]])</f>
        <v>56.985949464320555</v>
      </c>
      <c r="S206">
        <f t="shared" si="42"/>
        <v>212.48810628284988</v>
      </c>
      <c r="T206" s="1">
        <f t="shared" si="43"/>
        <v>174.09583082675363</v>
      </c>
    </row>
    <row r="207" spans="6:20" x14ac:dyDescent="0.35">
      <c r="F207" s="1">
        <f t="shared" si="39"/>
        <v>4.080000000000001</v>
      </c>
      <c r="G207">
        <f>1/2*$B$8*$B$6*$B$7*(Tabelle2[[#This Row],[vx]]*Tabelle2[[#This Row],[vx]]+Tabelle2[[#This Row],[vy]]*Tabelle2[[#This Row],[vy]])/1000000</f>
        <v>5.7288031241478308</v>
      </c>
      <c r="H207">
        <f>IF($B$3,-Tabelle2[[#This Row],[Fd]]*Tabelle2[[#This Row],[vx]]/Tabelle2[[#This Row],[v]],0)</f>
        <v>0</v>
      </c>
      <c r="I207">
        <f t="shared" si="33"/>
        <v>0</v>
      </c>
      <c r="J207">
        <f t="shared" si="34"/>
        <v>0</v>
      </c>
      <c r="K207">
        <f t="shared" si="35"/>
        <v>1.0467394398169905</v>
      </c>
      <c r="L207">
        <f>-$B$5*$B$12-IF($B$3,Tabelle2[[#This Row],[Fd]]*Tabelle2[[#This Row],[vy]]/Tabelle2[[#This Row],[v]],0)</f>
        <v>-14.715</v>
      </c>
      <c r="M207">
        <f t="shared" si="36"/>
        <v>-9.81</v>
      </c>
      <c r="N207">
        <f t="shared" si="37"/>
        <v>-0.19620000000000001</v>
      </c>
      <c r="O207">
        <f t="shared" si="38"/>
        <v>0.4449974879119562</v>
      </c>
      <c r="P207" s="1">
        <f t="shared" si="40"/>
        <v>52.336971990849527</v>
      </c>
      <c r="Q207" s="1">
        <f t="shared" si="41"/>
        <v>22.347974395597809</v>
      </c>
      <c r="R207">
        <f>SQRT(Tabelle2[[#This Row],[vx]]*Tabelle2[[#This Row],[vx]]+Tabelle2[[#This Row],[vy]]*Tabelle2[[#This Row],[vy]])</f>
        <v>56.908616190848143</v>
      </c>
      <c r="S207">
        <f t="shared" si="42"/>
        <v>213.53484572266689</v>
      </c>
      <c r="T207" s="1">
        <f t="shared" si="43"/>
        <v>174.54475231466557</v>
      </c>
    </row>
    <row r="208" spans="6:20" x14ac:dyDescent="0.35">
      <c r="F208" s="1">
        <f t="shared" si="39"/>
        <v>4.1000000000000005</v>
      </c>
      <c r="G208">
        <f>1/2*$B$8*$B$6*$B$7*(Tabelle2[[#This Row],[vx]]*Tabelle2[[#This Row],[vx]]+Tabelle2[[#This Row],[vy]]*Tabelle2[[#This Row],[vy]])/1000000</f>
        <v>5.7133589599826458</v>
      </c>
      <c r="H208">
        <f>IF($B$3,-Tabelle2[[#This Row],[Fd]]*Tabelle2[[#This Row],[vx]]/Tabelle2[[#This Row],[v]],0)</f>
        <v>0</v>
      </c>
      <c r="I208">
        <f t="shared" si="33"/>
        <v>0</v>
      </c>
      <c r="J208">
        <f t="shared" si="34"/>
        <v>0</v>
      </c>
      <c r="K208">
        <f t="shared" si="35"/>
        <v>1.0467394398169905</v>
      </c>
      <c r="L208">
        <f>-$B$5*$B$12-IF($B$3,Tabelle2[[#This Row],[Fd]]*Tabelle2[[#This Row],[vy]]/Tabelle2[[#This Row],[v]],0)</f>
        <v>-14.715</v>
      </c>
      <c r="M208">
        <f t="shared" si="36"/>
        <v>-9.81</v>
      </c>
      <c r="N208">
        <f t="shared" si="37"/>
        <v>-0.19620000000000001</v>
      </c>
      <c r="O208">
        <f t="shared" si="38"/>
        <v>0.44107348791195622</v>
      </c>
      <c r="P208" s="1">
        <f t="shared" si="40"/>
        <v>52.336971990849527</v>
      </c>
      <c r="Q208" s="1">
        <f t="shared" si="41"/>
        <v>22.151774395597808</v>
      </c>
      <c r="R208">
        <f>SQRT(Tabelle2[[#This Row],[vx]]*Tabelle2[[#This Row],[vx]]+Tabelle2[[#This Row],[vy]]*Tabelle2[[#This Row],[vy]])</f>
        <v>56.831855029062972</v>
      </c>
      <c r="S208">
        <f t="shared" si="42"/>
        <v>214.58158516248389</v>
      </c>
      <c r="T208" s="1">
        <f t="shared" si="43"/>
        <v>174.98974980257753</v>
      </c>
    </row>
    <row r="209" spans="6:20" x14ac:dyDescent="0.35">
      <c r="F209" s="1">
        <f t="shared" si="39"/>
        <v>4.12</v>
      </c>
      <c r="G209">
        <f>1/2*$B$8*$B$6*$B$7*(Tabelle2[[#This Row],[vx]]*Tabelle2[[#This Row],[vx]]+Tabelle2[[#This Row],[vy]]*Tabelle2[[#This Row],[vy]])/1000000</f>
        <v>5.6980509828788044</v>
      </c>
      <c r="H209">
        <f>IF($B$3,-Tabelle2[[#This Row],[Fd]]*Tabelle2[[#This Row],[vx]]/Tabelle2[[#This Row],[v]],0)</f>
        <v>0</v>
      </c>
      <c r="I209">
        <f t="shared" si="33"/>
        <v>0</v>
      </c>
      <c r="J209">
        <f t="shared" si="34"/>
        <v>0</v>
      </c>
      <c r="K209">
        <f t="shared" si="35"/>
        <v>1.0467394398169905</v>
      </c>
      <c r="L209">
        <f>-$B$5*$B$12-IF($B$3,Tabelle2[[#This Row],[Fd]]*Tabelle2[[#This Row],[vy]]/Tabelle2[[#This Row],[v]],0)</f>
        <v>-14.715</v>
      </c>
      <c r="M209">
        <f t="shared" si="36"/>
        <v>-9.81</v>
      </c>
      <c r="N209">
        <f t="shared" si="37"/>
        <v>-0.19620000000000001</v>
      </c>
      <c r="O209">
        <f t="shared" si="38"/>
        <v>0.43714948791195618</v>
      </c>
      <c r="P209" s="1">
        <f t="shared" si="40"/>
        <v>52.336971990849527</v>
      </c>
      <c r="Q209" s="1">
        <f t="shared" si="41"/>
        <v>21.955574395597807</v>
      </c>
      <c r="R209">
        <f>SQRT(Tabelle2[[#This Row],[vx]]*Tabelle2[[#This Row],[vx]]+Tabelle2[[#This Row],[vy]]*Tabelle2[[#This Row],[vy]])</f>
        <v>56.75566830028167</v>
      </c>
      <c r="S209">
        <f t="shared" si="42"/>
        <v>215.62832460230089</v>
      </c>
      <c r="T209" s="1">
        <f t="shared" si="43"/>
        <v>175.43082329048949</v>
      </c>
    </row>
    <row r="210" spans="6:20" x14ac:dyDescent="0.35">
      <c r="F210" s="1">
        <f t="shared" si="39"/>
        <v>4.1399999999999997</v>
      </c>
      <c r="G210">
        <f>1/2*$B$8*$B$6*$B$7*(Tabelle2[[#This Row],[vx]]*Tabelle2[[#This Row],[vx]]+Tabelle2[[#This Row],[vy]]*Tabelle2[[#This Row],[vy]])/1000000</f>
        <v>5.6828791928363067</v>
      </c>
      <c r="H210">
        <f>IF($B$3,-Tabelle2[[#This Row],[Fd]]*Tabelle2[[#This Row],[vx]]/Tabelle2[[#This Row],[v]],0)</f>
        <v>0</v>
      </c>
      <c r="I210">
        <f t="shared" si="33"/>
        <v>0</v>
      </c>
      <c r="J210">
        <f t="shared" si="34"/>
        <v>0</v>
      </c>
      <c r="K210">
        <f t="shared" si="35"/>
        <v>1.0467394398169905</v>
      </c>
      <c r="L210">
        <f>-$B$5*$B$12-IF($B$3,Tabelle2[[#This Row],[Fd]]*Tabelle2[[#This Row],[vy]]/Tabelle2[[#This Row],[v]],0)</f>
        <v>-14.715</v>
      </c>
      <c r="M210">
        <f t="shared" si="36"/>
        <v>-9.81</v>
      </c>
      <c r="N210">
        <f t="shared" si="37"/>
        <v>-0.19620000000000001</v>
      </c>
      <c r="O210">
        <f t="shared" si="38"/>
        <v>0.43322548791195614</v>
      </c>
      <c r="P210" s="1">
        <f t="shared" si="40"/>
        <v>52.336971990849527</v>
      </c>
      <c r="Q210" s="1">
        <f t="shared" si="41"/>
        <v>21.759374395597806</v>
      </c>
      <c r="R210">
        <f>SQRT(Tabelle2[[#This Row],[vx]]*Tabelle2[[#This Row],[vx]]+Tabelle2[[#This Row],[vy]]*Tabelle2[[#This Row],[vy]])</f>
        <v>56.680058320883589</v>
      </c>
      <c r="S210">
        <f t="shared" si="42"/>
        <v>216.6750640421179</v>
      </c>
      <c r="T210" s="1">
        <f t="shared" si="43"/>
        <v>175.86797277840145</v>
      </c>
    </row>
    <row r="211" spans="6:20" x14ac:dyDescent="0.35">
      <c r="F211" s="1">
        <f t="shared" si="39"/>
        <v>4.1599999999999993</v>
      </c>
      <c r="G211">
        <f>1/2*$B$8*$B$6*$B$7*(Tabelle2[[#This Row],[vx]]*Tabelle2[[#This Row],[vx]]+Tabelle2[[#This Row],[vy]]*Tabelle2[[#This Row],[vy]])/1000000</f>
        <v>5.6678435898551554</v>
      </c>
      <c r="H211">
        <f>IF($B$3,-Tabelle2[[#This Row],[Fd]]*Tabelle2[[#This Row],[vx]]/Tabelle2[[#This Row],[v]],0)</f>
        <v>0</v>
      </c>
      <c r="I211">
        <f t="shared" si="33"/>
        <v>0</v>
      </c>
      <c r="J211">
        <f t="shared" si="34"/>
        <v>0</v>
      </c>
      <c r="K211">
        <f t="shared" si="35"/>
        <v>1.0467394398169905</v>
      </c>
      <c r="L211">
        <f>-$B$5*$B$12-IF($B$3,Tabelle2[[#This Row],[Fd]]*Tabelle2[[#This Row],[vy]]/Tabelle2[[#This Row],[v]],0)</f>
        <v>-14.715</v>
      </c>
      <c r="M211">
        <f t="shared" si="36"/>
        <v>-9.81</v>
      </c>
      <c r="N211">
        <f t="shared" si="37"/>
        <v>-0.19620000000000001</v>
      </c>
      <c r="O211">
        <f t="shared" si="38"/>
        <v>0.42930148791195616</v>
      </c>
      <c r="P211" s="1">
        <f t="shared" si="40"/>
        <v>52.336971990849527</v>
      </c>
      <c r="Q211" s="1">
        <f t="shared" si="41"/>
        <v>21.563174395597805</v>
      </c>
      <c r="R211">
        <f>SQRT(Tabelle2[[#This Row],[vx]]*Tabelle2[[#This Row],[vx]]+Tabelle2[[#This Row],[vy]]*Tabelle2[[#This Row],[vy]])</f>
        <v>56.605027402042062</v>
      </c>
      <c r="S211">
        <f t="shared" si="42"/>
        <v>217.7218034819349</v>
      </c>
      <c r="T211" s="1">
        <f t="shared" si="43"/>
        <v>176.30119826631341</v>
      </c>
    </row>
    <row r="212" spans="6:20" x14ac:dyDescent="0.35">
      <c r="F212" s="1">
        <f t="shared" si="39"/>
        <v>4.1799999999999988</v>
      </c>
      <c r="G212">
        <f>1/2*$B$8*$B$6*$B$7*(Tabelle2[[#This Row],[vx]]*Tabelle2[[#This Row],[vx]]+Tabelle2[[#This Row],[vy]]*Tabelle2[[#This Row],[vy]])/1000000</f>
        <v>5.652944173935345</v>
      </c>
      <c r="H212">
        <f>IF($B$3,-Tabelle2[[#This Row],[Fd]]*Tabelle2[[#This Row],[vx]]/Tabelle2[[#This Row],[v]],0)</f>
        <v>0</v>
      </c>
      <c r="I212">
        <f t="shared" si="33"/>
        <v>0</v>
      </c>
      <c r="J212">
        <f t="shared" si="34"/>
        <v>0</v>
      </c>
      <c r="K212">
        <f t="shared" si="35"/>
        <v>1.0467394398169905</v>
      </c>
      <c r="L212">
        <f>-$B$5*$B$12-IF($B$3,Tabelle2[[#This Row],[Fd]]*Tabelle2[[#This Row],[vy]]/Tabelle2[[#This Row],[v]],0)</f>
        <v>-14.715</v>
      </c>
      <c r="M212">
        <f t="shared" si="36"/>
        <v>-9.81</v>
      </c>
      <c r="N212">
        <f t="shared" si="37"/>
        <v>-0.19620000000000001</v>
      </c>
      <c r="O212">
        <f t="shared" si="38"/>
        <v>0.42537748791195612</v>
      </c>
      <c r="P212" s="1">
        <f t="shared" si="40"/>
        <v>52.336971990849527</v>
      </c>
      <c r="Q212" s="1">
        <f t="shared" si="41"/>
        <v>21.366974395597804</v>
      </c>
      <c r="R212">
        <f>SQRT(Tabelle2[[#This Row],[vx]]*Tabelle2[[#This Row],[vx]]+Tabelle2[[#This Row],[vy]]*Tabelle2[[#This Row],[vy]])</f>
        <v>56.530577849453302</v>
      </c>
      <c r="S212">
        <f t="shared" si="42"/>
        <v>218.7685429217519</v>
      </c>
      <c r="T212" s="1">
        <f t="shared" si="43"/>
        <v>176.73049975422535</v>
      </c>
    </row>
    <row r="213" spans="6:20" x14ac:dyDescent="0.35">
      <c r="F213" s="1">
        <f t="shared" si="39"/>
        <v>4.1999999999999984</v>
      </c>
      <c r="G213">
        <f>1/2*$B$8*$B$6*$B$7*(Tabelle2[[#This Row],[vx]]*Tabelle2[[#This Row],[vx]]+Tabelle2[[#This Row],[vy]]*Tabelle2[[#This Row],[vy]])/1000000</f>
        <v>5.6381809450768801</v>
      </c>
      <c r="H213">
        <f>IF($B$3,-Tabelle2[[#This Row],[Fd]]*Tabelle2[[#This Row],[vx]]/Tabelle2[[#This Row],[v]],0)</f>
        <v>0</v>
      </c>
      <c r="I213">
        <f t="shared" si="33"/>
        <v>0</v>
      </c>
      <c r="J213">
        <f t="shared" si="34"/>
        <v>0</v>
      </c>
      <c r="K213">
        <f t="shared" si="35"/>
        <v>1.0467394398169905</v>
      </c>
      <c r="L213">
        <f>-$B$5*$B$12-IF($B$3,Tabelle2[[#This Row],[Fd]]*Tabelle2[[#This Row],[vy]]/Tabelle2[[#This Row],[v]],0)</f>
        <v>-14.715</v>
      </c>
      <c r="M213">
        <f t="shared" si="36"/>
        <v>-9.81</v>
      </c>
      <c r="N213">
        <f t="shared" si="37"/>
        <v>-0.19620000000000001</v>
      </c>
      <c r="O213">
        <f t="shared" si="38"/>
        <v>0.42145348791195608</v>
      </c>
      <c r="P213" s="1">
        <f t="shared" si="40"/>
        <v>52.336971990849527</v>
      </c>
      <c r="Q213" s="1">
        <f t="shared" si="41"/>
        <v>21.170774395597803</v>
      </c>
      <c r="R213">
        <f>SQRT(Tabelle2[[#This Row],[vx]]*Tabelle2[[#This Row],[vx]]+Tabelle2[[#This Row],[vy]]*Tabelle2[[#This Row],[vy]])</f>
        <v>56.456711963063057</v>
      </c>
      <c r="S213">
        <f t="shared" si="42"/>
        <v>219.8152823615689</v>
      </c>
      <c r="T213" s="1">
        <f t="shared" si="43"/>
        <v>177.15587724213731</v>
      </c>
    </row>
    <row r="214" spans="6:20" x14ac:dyDescent="0.35">
      <c r="F214" s="1">
        <f t="shared" si="39"/>
        <v>4.219999999999998</v>
      </c>
      <c r="G214">
        <f>1/2*$B$8*$B$6*$B$7*(Tabelle2[[#This Row],[vx]]*Tabelle2[[#This Row],[vx]]+Tabelle2[[#This Row],[vy]]*Tabelle2[[#This Row],[vy]])/1000000</f>
        <v>5.6235539032797588</v>
      </c>
      <c r="H214">
        <f>IF($B$3,-Tabelle2[[#This Row],[Fd]]*Tabelle2[[#This Row],[vx]]/Tabelle2[[#This Row],[v]],0)</f>
        <v>0</v>
      </c>
      <c r="I214">
        <f t="shared" si="33"/>
        <v>0</v>
      </c>
      <c r="J214">
        <f t="shared" si="34"/>
        <v>0</v>
      </c>
      <c r="K214">
        <f t="shared" si="35"/>
        <v>1.0467394398169905</v>
      </c>
      <c r="L214">
        <f>-$B$5*$B$12-IF($B$3,Tabelle2[[#This Row],[Fd]]*Tabelle2[[#This Row],[vy]]/Tabelle2[[#This Row],[v]],0)</f>
        <v>-14.715</v>
      </c>
      <c r="M214">
        <f t="shared" si="36"/>
        <v>-9.81</v>
      </c>
      <c r="N214">
        <f t="shared" si="37"/>
        <v>-0.19620000000000001</v>
      </c>
      <c r="O214">
        <f t="shared" si="38"/>
        <v>0.4175294879119561</v>
      </c>
      <c r="P214" s="1">
        <f t="shared" si="40"/>
        <v>52.336971990849527</v>
      </c>
      <c r="Q214" s="1">
        <f t="shared" si="41"/>
        <v>20.974574395597802</v>
      </c>
      <c r="R214">
        <f>SQRT(Tabelle2[[#This Row],[vx]]*Tabelle2[[#This Row],[vx]]+Tabelle2[[#This Row],[vy]]*Tabelle2[[#This Row],[vy]])</f>
        <v>56.383432036791042</v>
      </c>
      <c r="S214">
        <f t="shared" si="42"/>
        <v>220.86202180138591</v>
      </c>
      <c r="T214" s="1">
        <f t="shared" si="43"/>
        <v>177.57733073004925</v>
      </c>
    </row>
    <row r="215" spans="6:20" x14ac:dyDescent="0.35">
      <c r="F215" s="1">
        <f t="shared" si="39"/>
        <v>4.2399999999999975</v>
      </c>
      <c r="G215">
        <f>1/2*$B$8*$B$6*$B$7*(Tabelle2[[#This Row],[vx]]*Tabelle2[[#This Row],[vx]]+Tabelle2[[#This Row],[vy]]*Tabelle2[[#This Row],[vy]])/1000000</f>
        <v>5.6090630485439821</v>
      </c>
      <c r="H215">
        <f>IF($B$3,-Tabelle2[[#This Row],[Fd]]*Tabelle2[[#This Row],[vx]]/Tabelle2[[#This Row],[v]],0)</f>
        <v>0</v>
      </c>
      <c r="I215">
        <f t="shared" si="33"/>
        <v>0</v>
      </c>
      <c r="J215">
        <f t="shared" si="34"/>
        <v>0</v>
      </c>
      <c r="K215">
        <f t="shared" si="35"/>
        <v>1.0467394398169905</v>
      </c>
      <c r="L215">
        <f>-$B$5*$B$12-IF($B$3,Tabelle2[[#This Row],[Fd]]*Tabelle2[[#This Row],[vy]]/Tabelle2[[#This Row],[v]],0)</f>
        <v>-14.715</v>
      </c>
      <c r="M215">
        <f t="shared" si="36"/>
        <v>-9.81</v>
      </c>
      <c r="N215">
        <f t="shared" si="37"/>
        <v>-0.19620000000000001</v>
      </c>
      <c r="O215">
        <f t="shared" si="38"/>
        <v>0.41360548791195606</v>
      </c>
      <c r="P215" s="1">
        <f t="shared" si="40"/>
        <v>52.336971990849527</v>
      </c>
      <c r="Q215" s="1">
        <f t="shared" si="41"/>
        <v>20.778374395597801</v>
      </c>
      <c r="R215">
        <f>SQRT(Tabelle2[[#This Row],[vx]]*Tabelle2[[#This Row],[vx]]+Tabelle2[[#This Row],[vy]]*Tabelle2[[#This Row],[vy]])</f>
        <v>56.31074035825317</v>
      </c>
      <c r="S215">
        <f t="shared" si="42"/>
        <v>221.90876124120291</v>
      </c>
      <c r="T215" s="1">
        <f t="shared" si="43"/>
        <v>177.99486021796122</v>
      </c>
    </row>
    <row r="216" spans="6:20" x14ac:dyDescent="0.35">
      <c r="F216" s="1">
        <f t="shared" si="39"/>
        <v>4.2599999999999971</v>
      </c>
      <c r="G216">
        <f>1/2*$B$8*$B$6*$B$7*(Tabelle2[[#This Row],[vx]]*Tabelle2[[#This Row],[vx]]+Tabelle2[[#This Row],[vy]]*Tabelle2[[#This Row],[vy]])/1000000</f>
        <v>5.594708380869549</v>
      </c>
      <c r="H216">
        <f>IF($B$3,-Tabelle2[[#This Row],[Fd]]*Tabelle2[[#This Row],[vx]]/Tabelle2[[#This Row],[v]],0)</f>
        <v>0</v>
      </c>
      <c r="I216">
        <f t="shared" si="33"/>
        <v>0</v>
      </c>
      <c r="J216">
        <f t="shared" si="34"/>
        <v>0</v>
      </c>
      <c r="K216">
        <f t="shared" si="35"/>
        <v>1.0467394398169905</v>
      </c>
      <c r="L216">
        <f>-$B$5*$B$12-IF($B$3,Tabelle2[[#This Row],[Fd]]*Tabelle2[[#This Row],[vy]]/Tabelle2[[#This Row],[v]],0)</f>
        <v>-14.715</v>
      </c>
      <c r="M216">
        <f t="shared" si="36"/>
        <v>-9.81</v>
      </c>
      <c r="N216">
        <f t="shared" si="37"/>
        <v>-0.19620000000000001</v>
      </c>
      <c r="O216">
        <f t="shared" si="38"/>
        <v>0.40968148791195602</v>
      </c>
      <c r="P216" s="1">
        <f t="shared" si="40"/>
        <v>52.336971990849527</v>
      </c>
      <c r="Q216" s="1">
        <f t="shared" si="41"/>
        <v>20.5821743955978</v>
      </c>
      <c r="R216">
        <f>SQRT(Tabelle2[[#This Row],[vx]]*Tabelle2[[#This Row],[vx]]+Tabelle2[[#This Row],[vy]]*Tabelle2[[#This Row],[vy]])</f>
        <v>56.238639208481651</v>
      </c>
      <c r="S216">
        <f t="shared" si="42"/>
        <v>222.95550068101991</v>
      </c>
      <c r="T216" s="1">
        <f t="shared" si="43"/>
        <v>178.40846570587317</v>
      </c>
    </row>
    <row r="217" spans="6:20" x14ac:dyDescent="0.35">
      <c r="F217" s="1">
        <f t="shared" si="39"/>
        <v>4.2799999999999967</v>
      </c>
      <c r="G217">
        <f>1/2*$B$8*$B$6*$B$7*(Tabelle2[[#This Row],[vx]]*Tabelle2[[#This Row],[vx]]+Tabelle2[[#This Row],[vy]]*Tabelle2[[#This Row],[vy]])/1000000</f>
        <v>5.5804899002564596</v>
      </c>
      <c r="H217">
        <f>IF($B$3,-Tabelle2[[#This Row],[Fd]]*Tabelle2[[#This Row],[vx]]/Tabelle2[[#This Row],[v]],0)</f>
        <v>0</v>
      </c>
      <c r="I217">
        <f t="shared" si="33"/>
        <v>0</v>
      </c>
      <c r="J217">
        <f t="shared" si="34"/>
        <v>0</v>
      </c>
      <c r="K217">
        <f t="shared" si="35"/>
        <v>1.0467394398169905</v>
      </c>
      <c r="L217">
        <f>-$B$5*$B$12-IF($B$3,Tabelle2[[#This Row],[Fd]]*Tabelle2[[#This Row],[vy]]/Tabelle2[[#This Row],[v]],0)</f>
        <v>-14.715</v>
      </c>
      <c r="M217">
        <f t="shared" si="36"/>
        <v>-9.81</v>
      </c>
      <c r="N217">
        <f t="shared" si="37"/>
        <v>-0.19620000000000001</v>
      </c>
      <c r="O217">
        <f t="shared" si="38"/>
        <v>0.40575748791195604</v>
      </c>
      <c r="P217" s="1">
        <f t="shared" si="40"/>
        <v>52.336971990849527</v>
      </c>
      <c r="Q217" s="1">
        <f t="shared" si="41"/>
        <v>20.385974395597799</v>
      </c>
      <c r="R217">
        <f>SQRT(Tabelle2[[#This Row],[vx]]*Tabelle2[[#This Row],[vx]]+Tabelle2[[#This Row],[vy]]*Tabelle2[[#This Row],[vy]])</f>
        <v>56.167130861643066</v>
      </c>
      <c r="S217">
        <f t="shared" si="42"/>
        <v>224.00224012083692</v>
      </c>
      <c r="T217" s="1">
        <f t="shared" si="43"/>
        <v>178.81814719378514</v>
      </c>
    </row>
    <row r="218" spans="6:20" x14ac:dyDescent="0.35">
      <c r="F218" s="1">
        <f t="shared" si="39"/>
        <v>4.2999999999999963</v>
      </c>
      <c r="G218">
        <f>1/2*$B$8*$B$6*$B$7*(Tabelle2[[#This Row],[vx]]*Tabelle2[[#This Row],[vx]]+Tabelle2[[#This Row],[vy]]*Tabelle2[[#This Row],[vy]])/1000000</f>
        <v>5.5664076067047148</v>
      </c>
      <c r="H218">
        <f>IF($B$3,-Tabelle2[[#This Row],[Fd]]*Tabelle2[[#This Row],[vx]]/Tabelle2[[#This Row],[v]],0)</f>
        <v>0</v>
      </c>
      <c r="I218">
        <f t="shared" si="33"/>
        <v>0</v>
      </c>
      <c r="J218">
        <f t="shared" si="34"/>
        <v>0</v>
      </c>
      <c r="K218">
        <f t="shared" si="35"/>
        <v>1.0467394398169905</v>
      </c>
      <c r="L218">
        <f>-$B$5*$B$12-IF($B$3,Tabelle2[[#This Row],[Fd]]*Tabelle2[[#This Row],[vy]]/Tabelle2[[#This Row],[v]],0)</f>
        <v>-14.715</v>
      </c>
      <c r="M218">
        <f t="shared" si="36"/>
        <v>-9.81</v>
      </c>
      <c r="N218">
        <f t="shared" si="37"/>
        <v>-0.19620000000000001</v>
      </c>
      <c r="O218">
        <f t="shared" si="38"/>
        <v>0.401833487911956</v>
      </c>
      <c r="P218" s="1">
        <f t="shared" si="40"/>
        <v>52.336971990849527</v>
      </c>
      <c r="Q218" s="1">
        <f t="shared" si="41"/>
        <v>20.189774395597798</v>
      </c>
      <c r="R218">
        <f>SQRT(Tabelle2[[#This Row],[vx]]*Tabelle2[[#This Row],[vx]]+Tabelle2[[#This Row],[vy]]*Tabelle2[[#This Row],[vy]])</f>
        <v>56.096217584754356</v>
      </c>
      <c r="S218">
        <f t="shared" si="42"/>
        <v>225.04897956065392</v>
      </c>
      <c r="T218" s="1">
        <f t="shared" si="43"/>
        <v>179.22390468169709</v>
      </c>
    </row>
    <row r="219" spans="6:20" x14ac:dyDescent="0.35">
      <c r="F219" s="1">
        <f t="shared" si="39"/>
        <v>4.3199999999999958</v>
      </c>
      <c r="G219">
        <f>1/2*$B$8*$B$6*$B$7*(Tabelle2[[#This Row],[vx]]*Tabelle2[[#This Row],[vx]]+Tabelle2[[#This Row],[vy]]*Tabelle2[[#This Row],[vy]])/1000000</f>
        <v>5.5524615002143127</v>
      </c>
      <c r="H219">
        <f>IF($B$3,-Tabelle2[[#This Row],[Fd]]*Tabelle2[[#This Row],[vx]]/Tabelle2[[#This Row],[v]],0)</f>
        <v>0</v>
      </c>
      <c r="I219">
        <f t="shared" si="33"/>
        <v>0</v>
      </c>
      <c r="J219">
        <f t="shared" si="34"/>
        <v>0</v>
      </c>
      <c r="K219">
        <f t="shared" si="35"/>
        <v>1.0467394398169905</v>
      </c>
      <c r="L219">
        <f>-$B$5*$B$12-IF($B$3,Tabelle2[[#This Row],[Fd]]*Tabelle2[[#This Row],[vy]]/Tabelle2[[#This Row],[v]],0)</f>
        <v>-14.715</v>
      </c>
      <c r="M219">
        <f t="shared" si="36"/>
        <v>-9.81</v>
      </c>
      <c r="N219">
        <f t="shared" si="37"/>
        <v>-0.19620000000000001</v>
      </c>
      <c r="O219">
        <f t="shared" si="38"/>
        <v>0.39790948791195596</v>
      </c>
      <c r="P219" s="1">
        <f t="shared" si="40"/>
        <v>52.336971990849527</v>
      </c>
      <c r="Q219" s="1">
        <f t="shared" si="41"/>
        <v>19.993574395597797</v>
      </c>
      <c r="R219">
        <f>SQRT(Tabelle2[[#This Row],[vx]]*Tabelle2[[#This Row],[vx]]+Tabelle2[[#This Row],[vy]]*Tabelle2[[#This Row],[vy]])</f>
        <v>56.025901637396892</v>
      </c>
      <c r="S219">
        <f t="shared" si="42"/>
        <v>226.09571900047092</v>
      </c>
      <c r="T219" s="1">
        <f t="shared" si="43"/>
        <v>179.62573816960904</v>
      </c>
    </row>
    <row r="220" spans="6:20" x14ac:dyDescent="0.35">
      <c r="F220" s="1">
        <f t="shared" si="39"/>
        <v>4.3399999999999954</v>
      </c>
      <c r="G220">
        <f>1/2*$B$8*$B$6*$B$7*(Tabelle2[[#This Row],[vx]]*Tabelle2[[#This Row],[vx]]+Tabelle2[[#This Row],[vy]]*Tabelle2[[#This Row],[vy]])/1000000</f>
        <v>5.5386515807852561</v>
      </c>
      <c r="H220">
        <f>IF($B$3,-Tabelle2[[#This Row],[Fd]]*Tabelle2[[#This Row],[vx]]/Tabelle2[[#This Row],[v]],0)</f>
        <v>0</v>
      </c>
      <c r="I220">
        <f t="shared" si="33"/>
        <v>0</v>
      </c>
      <c r="J220">
        <f t="shared" si="34"/>
        <v>0</v>
      </c>
      <c r="K220">
        <f t="shared" si="35"/>
        <v>1.0467394398169905</v>
      </c>
      <c r="L220">
        <f>-$B$5*$B$12-IF($B$3,Tabelle2[[#This Row],[Fd]]*Tabelle2[[#This Row],[vy]]/Tabelle2[[#This Row],[v]],0)</f>
        <v>-14.715</v>
      </c>
      <c r="M220">
        <f t="shared" si="36"/>
        <v>-9.81</v>
      </c>
      <c r="N220">
        <f t="shared" si="37"/>
        <v>-0.19620000000000001</v>
      </c>
      <c r="O220">
        <f t="shared" si="38"/>
        <v>0.39398548791195598</v>
      </c>
      <c r="P220" s="1">
        <f t="shared" si="40"/>
        <v>52.336971990849527</v>
      </c>
      <c r="Q220" s="1">
        <f t="shared" si="41"/>
        <v>19.797374395597796</v>
      </c>
      <c r="R220">
        <f>SQRT(Tabelle2[[#This Row],[vx]]*Tabelle2[[#This Row],[vx]]+Tabelle2[[#This Row],[vy]]*Tabelle2[[#This Row],[vy]])</f>
        <v>55.956185271428559</v>
      </c>
      <c r="S220">
        <f t="shared" si="42"/>
        <v>227.14245844028792</v>
      </c>
      <c r="T220" s="1">
        <f t="shared" si="43"/>
        <v>180.023647657521</v>
      </c>
    </row>
    <row r="221" spans="6:20" x14ac:dyDescent="0.35">
      <c r="F221" s="1">
        <f t="shared" si="39"/>
        <v>4.359999999999995</v>
      </c>
      <c r="G221">
        <f>1/2*$B$8*$B$6*$B$7*(Tabelle2[[#This Row],[vx]]*Tabelle2[[#This Row],[vx]]+Tabelle2[[#This Row],[vy]]*Tabelle2[[#This Row],[vy]])/1000000</f>
        <v>5.5249778484175422</v>
      </c>
      <c r="H221">
        <f>IF($B$3,-Tabelle2[[#This Row],[Fd]]*Tabelle2[[#This Row],[vx]]/Tabelle2[[#This Row],[v]],0)</f>
        <v>0</v>
      </c>
      <c r="I221">
        <f t="shared" si="33"/>
        <v>0</v>
      </c>
      <c r="J221">
        <f t="shared" si="34"/>
        <v>0</v>
      </c>
      <c r="K221">
        <f t="shared" si="35"/>
        <v>1.0467394398169905</v>
      </c>
      <c r="L221">
        <f>-$B$5*$B$12-IF($B$3,Tabelle2[[#This Row],[Fd]]*Tabelle2[[#This Row],[vy]]/Tabelle2[[#This Row],[v]],0)</f>
        <v>-14.715</v>
      </c>
      <c r="M221">
        <f t="shared" si="36"/>
        <v>-9.81</v>
      </c>
      <c r="N221">
        <f t="shared" si="37"/>
        <v>-0.19620000000000001</v>
      </c>
      <c r="O221">
        <f t="shared" si="38"/>
        <v>0.39006148791195594</v>
      </c>
      <c r="P221" s="1">
        <f t="shared" si="40"/>
        <v>52.336971990849527</v>
      </c>
      <c r="Q221" s="1">
        <f t="shared" si="41"/>
        <v>19.601174395597795</v>
      </c>
      <c r="R221">
        <f>SQRT(Tabelle2[[#This Row],[vx]]*Tabelle2[[#This Row],[vx]]+Tabelle2[[#This Row],[vy]]*Tabelle2[[#This Row],[vy]])</f>
        <v>55.887070730694106</v>
      </c>
      <c r="S221">
        <f t="shared" si="42"/>
        <v>228.18919788010493</v>
      </c>
      <c r="T221" s="1">
        <f t="shared" si="43"/>
        <v>180.41763314543294</v>
      </c>
    </row>
    <row r="222" spans="6:20" x14ac:dyDescent="0.35">
      <c r="F222" s="1">
        <f t="shared" si="39"/>
        <v>4.3799999999999946</v>
      </c>
      <c r="G222">
        <f>1/2*$B$8*$B$6*$B$7*(Tabelle2[[#This Row],[vx]]*Tabelle2[[#This Row],[vx]]+Tabelle2[[#This Row],[vy]]*Tabelle2[[#This Row],[vy]])/1000000</f>
        <v>5.5114403031111729</v>
      </c>
      <c r="H222">
        <f>IF($B$3,-Tabelle2[[#This Row],[Fd]]*Tabelle2[[#This Row],[vx]]/Tabelle2[[#This Row],[v]],0)</f>
        <v>0</v>
      </c>
      <c r="I222">
        <f t="shared" si="33"/>
        <v>0</v>
      </c>
      <c r="J222">
        <f t="shared" si="34"/>
        <v>0</v>
      </c>
      <c r="K222">
        <f t="shared" si="35"/>
        <v>1.0467394398169905</v>
      </c>
      <c r="L222">
        <f>-$B$5*$B$12-IF($B$3,Tabelle2[[#This Row],[Fd]]*Tabelle2[[#This Row],[vy]]/Tabelle2[[#This Row],[v]],0)</f>
        <v>-14.715</v>
      </c>
      <c r="M222">
        <f t="shared" si="36"/>
        <v>-9.81</v>
      </c>
      <c r="N222">
        <f t="shared" si="37"/>
        <v>-0.19620000000000001</v>
      </c>
      <c r="O222">
        <f t="shared" si="38"/>
        <v>0.3861374879119559</v>
      </c>
      <c r="P222" s="1">
        <f t="shared" si="40"/>
        <v>52.336971990849527</v>
      </c>
      <c r="Q222" s="1">
        <f t="shared" si="41"/>
        <v>19.404974395597794</v>
      </c>
      <c r="R222">
        <f>SQRT(Tabelle2[[#This Row],[vx]]*Tabelle2[[#This Row],[vx]]+Tabelle2[[#This Row],[vy]]*Tabelle2[[#This Row],[vy]])</f>
        <v>55.818560250733569</v>
      </c>
      <c r="S222">
        <f t="shared" si="42"/>
        <v>229.23593731992193</v>
      </c>
      <c r="T222" s="1">
        <f t="shared" si="43"/>
        <v>180.80769463334491</v>
      </c>
    </row>
    <row r="223" spans="6:20" x14ac:dyDescent="0.35">
      <c r="F223" s="1">
        <f t="shared" si="39"/>
        <v>4.3999999999999941</v>
      </c>
      <c r="G223">
        <f>1/2*$B$8*$B$6*$B$7*(Tabelle2[[#This Row],[vx]]*Tabelle2[[#This Row],[vx]]+Tabelle2[[#This Row],[vy]]*Tabelle2[[#This Row],[vy]])/1000000</f>
        <v>5.4980389448661482</v>
      </c>
      <c r="H223">
        <f>IF($B$3,-Tabelle2[[#This Row],[Fd]]*Tabelle2[[#This Row],[vx]]/Tabelle2[[#This Row],[v]],0)</f>
        <v>0</v>
      </c>
      <c r="I223">
        <f t="shared" si="33"/>
        <v>0</v>
      </c>
      <c r="J223">
        <f t="shared" si="34"/>
        <v>0</v>
      </c>
      <c r="K223">
        <f t="shared" si="35"/>
        <v>1.0467394398169905</v>
      </c>
      <c r="L223">
        <f>-$B$5*$B$12-IF($B$3,Tabelle2[[#This Row],[Fd]]*Tabelle2[[#This Row],[vy]]/Tabelle2[[#This Row],[v]],0)</f>
        <v>-14.715</v>
      </c>
      <c r="M223">
        <f t="shared" si="36"/>
        <v>-9.81</v>
      </c>
      <c r="N223">
        <f t="shared" si="37"/>
        <v>-0.19620000000000001</v>
      </c>
      <c r="O223">
        <f t="shared" si="38"/>
        <v>0.38221348791195586</v>
      </c>
      <c r="P223" s="1">
        <f t="shared" si="40"/>
        <v>52.336971990849527</v>
      </c>
      <c r="Q223" s="1">
        <f t="shared" si="41"/>
        <v>19.208774395597793</v>
      </c>
      <c r="R223">
        <f>SQRT(Tabelle2[[#This Row],[vx]]*Tabelle2[[#This Row],[vx]]+Tabelle2[[#This Row],[vy]]*Tabelle2[[#This Row],[vy]])</f>
        <v>55.750656058489042</v>
      </c>
      <c r="S223">
        <f t="shared" si="42"/>
        <v>230.28267675973893</v>
      </c>
      <c r="T223" s="1">
        <f t="shared" si="43"/>
        <v>181.19383212125686</v>
      </c>
    </row>
    <row r="224" spans="6:20" x14ac:dyDescent="0.35">
      <c r="F224" s="1">
        <f t="shared" si="39"/>
        <v>4.4199999999999937</v>
      </c>
      <c r="G224">
        <f>1/2*$B$8*$B$6*$B$7*(Tabelle2[[#This Row],[vx]]*Tabelle2[[#This Row],[vx]]+Tabelle2[[#This Row],[vy]]*Tabelle2[[#This Row],[vy]])/1000000</f>
        <v>5.4847737736824671</v>
      </c>
      <c r="H224">
        <f>IF($B$3,-Tabelle2[[#This Row],[Fd]]*Tabelle2[[#This Row],[vx]]/Tabelle2[[#This Row],[v]],0)</f>
        <v>0</v>
      </c>
      <c r="I224">
        <f t="shared" si="33"/>
        <v>0</v>
      </c>
      <c r="J224">
        <f t="shared" si="34"/>
        <v>0</v>
      </c>
      <c r="K224">
        <f t="shared" si="35"/>
        <v>1.0467394398169905</v>
      </c>
      <c r="L224">
        <f>-$B$5*$B$12-IF($B$3,Tabelle2[[#This Row],[Fd]]*Tabelle2[[#This Row],[vy]]/Tabelle2[[#This Row],[v]],0)</f>
        <v>-14.715</v>
      </c>
      <c r="M224">
        <f t="shared" si="36"/>
        <v>-9.81</v>
      </c>
      <c r="N224">
        <f t="shared" si="37"/>
        <v>-0.19620000000000001</v>
      </c>
      <c r="O224">
        <f t="shared" si="38"/>
        <v>0.37828948791195588</v>
      </c>
      <c r="P224" s="1">
        <f t="shared" si="40"/>
        <v>52.336971990849527</v>
      </c>
      <c r="Q224" s="1">
        <f t="shared" si="41"/>
        <v>19.012574395597792</v>
      </c>
      <c r="R224">
        <f>SQRT(Tabelle2[[#This Row],[vx]]*Tabelle2[[#This Row],[vx]]+Tabelle2[[#This Row],[vy]]*Tabelle2[[#This Row],[vy]])</f>
        <v>55.683360372009773</v>
      </c>
      <c r="S224">
        <f t="shared" si="42"/>
        <v>231.32941619955594</v>
      </c>
      <c r="T224" s="1">
        <f t="shared" si="43"/>
        <v>181.57604560916883</v>
      </c>
    </row>
    <row r="225" spans="6:20" x14ac:dyDescent="0.35">
      <c r="F225" s="1">
        <f t="shared" si="39"/>
        <v>4.4399999999999933</v>
      </c>
      <c r="G225">
        <f>1/2*$B$8*$B$6*$B$7*(Tabelle2[[#This Row],[vx]]*Tabelle2[[#This Row],[vx]]+Tabelle2[[#This Row],[vy]]*Tabelle2[[#This Row],[vy]])/1000000</f>
        <v>5.4716447895601297</v>
      </c>
      <c r="H225">
        <f>IF($B$3,-Tabelle2[[#This Row],[Fd]]*Tabelle2[[#This Row],[vx]]/Tabelle2[[#This Row],[v]],0)</f>
        <v>0</v>
      </c>
      <c r="I225">
        <f t="shared" si="33"/>
        <v>0</v>
      </c>
      <c r="J225">
        <f t="shared" si="34"/>
        <v>0</v>
      </c>
      <c r="K225">
        <f t="shared" si="35"/>
        <v>1.0467394398169905</v>
      </c>
      <c r="L225">
        <f>-$B$5*$B$12-IF($B$3,Tabelle2[[#This Row],[Fd]]*Tabelle2[[#This Row],[vy]]/Tabelle2[[#This Row],[v]],0)</f>
        <v>-14.715</v>
      </c>
      <c r="M225">
        <f t="shared" si="36"/>
        <v>-9.81</v>
      </c>
      <c r="N225">
        <f t="shared" si="37"/>
        <v>-0.19620000000000001</v>
      </c>
      <c r="O225">
        <f t="shared" si="38"/>
        <v>0.37436548791195584</v>
      </c>
      <c r="P225" s="1">
        <f t="shared" si="40"/>
        <v>52.336971990849527</v>
      </c>
      <c r="Q225" s="1">
        <f t="shared" si="41"/>
        <v>18.816374395597791</v>
      </c>
      <c r="R225">
        <f>SQRT(Tabelle2[[#This Row],[vx]]*Tabelle2[[#This Row],[vx]]+Tabelle2[[#This Row],[vy]]*Tabelle2[[#This Row],[vy]])</f>
        <v>55.616675400155628</v>
      </c>
      <c r="S225">
        <f t="shared" si="42"/>
        <v>232.37615563937294</v>
      </c>
      <c r="T225" s="1">
        <f t="shared" si="43"/>
        <v>181.95433509708079</v>
      </c>
    </row>
    <row r="226" spans="6:20" x14ac:dyDescent="0.35">
      <c r="F226" s="1">
        <f t="shared" si="39"/>
        <v>4.4599999999999929</v>
      </c>
      <c r="G226">
        <f>1/2*$B$8*$B$6*$B$7*(Tabelle2[[#This Row],[vx]]*Tabelle2[[#This Row],[vx]]+Tabelle2[[#This Row],[vy]]*Tabelle2[[#This Row],[vy]])/1000000</f>
        <v>5.4586519924991368</v>
      </c>
      <c r="H226">
        <f>IF($B$3,-Tabelle2[[#This Row],[Fd]]*Tabelle2[[#This Row],[vx]]/Tabelle2[[#This Row],[v]],0)</f>
        <v>0</v>
      </c>
      <c r="I226">
        <f t="shared" si="33"/>
        <v>0</v>
      </c>
      <c r="J226">
        <f t="shared" si="34"/>
        <v>0</v>
      </c>
      <c r="K226">
        <f t="shared" si="35"/>
        <v>1.0467394398169905</v>
      </c>
      <c r="L226">
        <f>-$B$5*$B$12-IF($B$3,Tabelle2[[#This Row],[Fd]]*Tabelle2[[#This Row],[vy]]/Tabelle2[[#This Row],[v]],0)</f>
        <v>-14.715</v>
      </c>
      <c r="M226">
        <f t="shared" si="36"/>
        <v>-9.81</v>
      </c>
      <c r="N226">
        <f t="shared" si="37"/>
        <v>-0.19620000000000001</v>
      </c>
      <c r="O226">
        <f t="shared" si="38"/>
        <v>0.3704414879119558</v>
      </c>
      <c r="P226" s="1">
        <f t="shared" si="40"/>
        <v>52.336971990849527</v>
      </c>
      <c r="Q226" s="1">
        <f t="shared" si="41"/>
        <v>18.62017439559779</v>
      </c>
      <c r="R226">
        <f>SQRT(Tabelle2[[#This Row],[vx]]*Tabelle2[[#This Row],[vx]]+Tabelle2[[#This Row],[vy]]*Tabelle2[[#This Row],[vy]])</f>
        <v>55.55060334229902</v>
      </c>
      <c r="S226">
        <f t="shared" si="42"/>
        <v>233.42289507918994</v>
      </c>
      <c r="T226" s="1">
        <f t="shared" si="43"/>
        <v>182.32870058499273</v>
      </c>
    </row>
    <row r="227" spans="6:20" x14ac:dyDescent="0.35">
      <c r="F227" s="1">
        <f t="shared" si="39"/>
        <v>4.4799999999999924</v>
      </c>
      <c r="G227">
        <f>1/2*$B$8*$B$6*$B$7*(Tabelle2[[#This Row],[vx]]*Tabelle2[[#This Row],[vx]]+Tabelle2[[#This Row],[vy]]*Tabelle2[[#This Row],[vy]])/1000000</f>
        <v>5.4457953824994876</v>
      </c>
      <c r="H227">
        <f>IF($B$3,-Tabelle2[[#This Row],[Fd]]*Tabelle2[[#This Row],[vx]]/Tabelle2[[#This Row],[v]],0)</f>
        <v>0</v>
      </c>
      <c r="I227">
        <f t="shared" si="33"/>
        <v>0</v>
      </c>
      <c r="J227">
        <f t="shared" si="34"/>
        <v>0</v>
      </c>
      <c r="K227">
        <f t="shared" si="35"/>
        <v>1.0467394398169905</v>
      </c>
      <c r="L227">
        <f>-$B$5*$B$12-IF($B$3,Tabelle2[[#This Row],[Fd]]*Tabelle2[[#This Row],[vy]]/Tabelle2[[#This Row],[v]],0)</f>
        <v>-14.715</v>
      </c>
      <c r="M227">
        <f t="shared" si="36"/>
        <v>-9.81</v>
      </c>
      <c r="N227">
        <f t="shared" si="37"/>
        <v>-0.19620000000000001</v>
      </c>
      <c r="O227">
        <f t="shared" si="38"/>
        <v>0.36651748791195582</v>
      </c>
      <c r="P227" s="1">
        <f t="shared" si="40"/>
        <v>52.336971990849527</v>
      </c>
      <c r="Q227" s="1">
        <f t="shared" si="41"/>
        <v>18.423974395597789</v>
      </c>
      <c r="R227">
        <f>SQRT(Tabelle2[[#This Row],[vx]]*Tabelle2[[#This Row],[vx]]+Tabelle2[[#This Row],[vy]]*Tabelle2[[#This Row],[vy]])</f>
        <v>55.485146388025427</v>
      </c>
      <c r="S227">
        <f t="shared" si="42"/>
        <v>234.46963451900695</v>
      </c>
      <c r="T227" s="1">
        <f t="shared" si="43"/>
        <v>182.69914207290469</v>
      </c>
    </row>
    <row r="228" spans="6:20" x14ac:dyDescent="0.35">
      <c r="F228" s="1">
        <f t="shared" si="39"/>
        <v>4.499999999999992</v>
      </c>
      <c r="G228">
        <f>1/2*$B$8*$B$6*$B$7*(Tabelle2[[#This Row],[vx]]*Tabelle2[[#This Row],[vx]]+Tabelle2[[#This Row],[vy]]*Tabelle2[[#This Row],[vy]])/1000000</f>
        <v>5.433074959561182</v>
      </c>
      <c r="H228">
        <f>IF($B$3,-Tabelle2[[#This Row],[Fd]]*Tabelle2[[#This Row],[vx]]/Tabelle2[[#This Row],[v]],0)</f>
        <v>0</v>
      </c>
      <c r="I228">
        <f t="shared" si="33"/>
        <v>0</v>
      </c>
      <c r="J228">
        <f t="shared" si="34"/>
        <v>0</v>
      </c>
      <c r="K228">
        <f t="shared" si="35"/>
        <v>1.0467394398169905</v>
      </c>
      <c r="L228">
        <f>-$B$5*$B$12-IF($B$3,Tabelle2[[#This Row],[Fd]]*Tabelle2[[#This Row],[vy]]/Tabelle2[[#This Row],[v]],0)</f>
        <v>-14.715</v>
      </c>
      <c r="M228">
        <f t="shared" si="36"/>
        <v>-9.81</v>
      </c>
      <c r="N228">
        <f t="shared" si="37"/>
        <v>-0.19620000000000001</v>
      </c>
      <c r="O228">
        <f t="shared" si="38"/>
        <v>0.36259348791195578</v>
      </c>
      <c r="P228" s="1">
        <f t="shared" si="40"/>
        <v>52.336971990849527</v>
      </c>
      <c r="Q228" s="1">
        <f t="shared" si="41"/>
        <v>18.227774395597788</v>
      </c>
      <c r="R228">
        <f>SQRT(Tabelle2[[#This Row],[vx]]*Tabelle2[[#This Row],[vx]]+Tabelle2[[#This Row],[vy]]*Tabelle2[[#This Row],[vy]])</f>
        <v>55.420306716832393</v>
      </c>
      <c r="S228">
        <f t="shared" si="42"/>
        <v>235.51637395882395</v>
      </c>
      <c r="T228" s="1">
        <f t="shared" si="43"/>
        <v>183.06565956081664</v>
      </c>
    </row>
    <row r="229" spans="6:20" x14ac:dyDescent="0.35">
      <c r="F229" s="1">
        <f t="shared" si="39"/>
        <v>4.5199999999999916</v>
      </c>
      <c r="G229">
        <f>1/2*$B$8*$B$6*$B$7*(Tabelle2[[#This Row],[vx]]*Tabelle2[[#This Row],[vx]]+Tabelle2[[#This Row],[vy]]*Tabelle2[[#This Row],[vy]])/1000000</f>
        <v>5.4204907236842201</v>
      </c>
      <c r="H229">
        <f>IF($B$3,-Tabelle2[[#This Row],[Fd]]*Tabelle2[[#This Row],[vx]]/Tabelle2[[#This Row],[v]],0)</f>
        <v>0</v>
      </c>
      <c r="I229">
        <f t="shared" si="33"/>
        <v>0</v>
      </c>
      <c r="J229">
        <f t="shared" si="34"/>
        <v>0</v>
      </c>
      <c r="K229">
        <f t="shared" si="35"/>
        <v>1.0467394398169905</v>
      </c>
      <c r="L229">
        <f>-$B$5*$B$12-IF($B$3,Tabelle2[[#This Row],[Fd]]*Tabelle2[[#This Row],[vy]]/Tabelle2[[#This Row],[v]],0)</f>
        <v>-14.715</v>
      </c>
      <c r="M229">
        <f t="shared" si="36"/>
        <v>-9.81</v>
      </c>
      <c r="N229">
        <f t="shared" si="37"/>
        <v>-0.19620000000000001</v>
      </c>
      <c r="O229">
        <f t="shared" si="38"/>
        <v>0.35866948791195574</v>
      </c>
      <c r="P229" s="1">
        <f t="shared" si="40"/>
        <v>52.336971990849527</v>
      </c>
      <c r="Q229" s="1">
        <f t="shared" si="41"/>
        <v>18.031574395597787</v>
      </c>
      <c r="R229">
        <f>SQRT(Tabelle2[[#This Row],[vx]]*Tabelle2[[#This Row],[vx]]+Tabelle2[[#This Row],[vy]]*Tabelle2[[#This Row],[vy]])</f>
        <v>55.35608649782737</v>
      </c>
      <c r="S229">
        <f t="shared" si="42"/>
        <v>236.56311339864095</v>
      </c>
      <c r="T229" s="1">
        <f t="shared" si="43"/>
        <v>183.42825304872861</v>
      </c>
    </row>
    <row r="230" spans="6:20" x14ac:dyDescent="0.35">
      <c r="F230" s="1">
        <f t="shared" si="39"/>
        <v>4.5399999999999912</v>
      </c>
      <c r="G230">
        <f>1/2*$B$8*$B$6*$B$7*(Tabelle2[[#This Row],[vx]]*Tabelle2[[#This Row],[vx]]+Tabelle2[[#This Row],[vy]]*Tabelle2[[#This Row],[vy]])/1000000</f>
        <v>5.4080426748686019</v>
      </c>
      <c r="H230">
        <f>IF($B$3,-Tabelle2[[#This Row],[Fd]]*Tabelle2[[#This Row],[vx]]/Tabelle2[[#This Row],[v]],0)</f>
        <v>0</v>
      </c>
      <c r="I230">
        <f t="shared" si="33"/>
        <v>0</v>
      </c>
      <c r="J230">
        <f t="shared" si="34"/>
        <v>0</v>
      </c>
      <c r="K230">
        <f t="shared" si="35"/>
        <v>1.0467394398169905</v>
      </c>
      <c r="L230">
        <f>-$B$5*$B$12-IF($B$3,Tabelle2[[#This Row],[Fd]]*Tabelle2[[#This Row],[vy]]/Tabelle2[[#This Row],[v]],0)</f>
        <v>-14.715</v>
      </c>
      <c r="M230">
        <f t="shared" si="36"/>
        <v>-9.81</v>
      </c>
      <c r="N230">
        <f t="shared" si="37"/>
        <v>-0.19620000000000001</v>
      </c>
      <c r="O230">
        <f t="shared" si="38"/>
        <v>0.35474548791195576</v>
      </c>
      <c r="P230" s="1">
        <f t="shared" si="40"/>
        <v>52.336971990849527</v>
      </c>
      <c r="Q230" s="1">
        <f t="shared" si="41"/>
        <v>17.835374395597785</v>
      </c>
      <c r="R230">
        <f>SQRT(Tabelle2[[#This Row],[vx]]*Tabelle2[[#This Row],[vx]]+Tabelle2[[#This Row],[vy]]*Tabelle2[[#This Row],[vy]])</f>
        <v>55.292487889424116</v>
      </c>
      <c r="S230">
        <f t="shared" si="42"/>
        <v>237.60985283845795</v>
      </c>
      <c r="T230" s="1">
        <f t="shared" si="43"/>
        <v>183.78692253664056</v>
      </c>
    </row>
    <row r="231" spans="6:20" x14ac:dyDescent="0.35">
      <c r="F231" s="1">
        <f t="shared" si="39"/>
        <v>4.5599999999999907</v>
      </c>
      <c r="G231">
        <f>1/2*$B$8*$B$6*$B$7*(Tabelle2[[#This Row],[vx]]*Tabelle2[[#This Row],[vx]]+Tabelle2[[#This Row],[vy]]*Tabelle2[[#This Row],[vy]])/1000000</f>
        <v>5.39573081311433</v>
      </c>
      <c r="H231">
        <f>IF($B$3,-Tabelle2[[#This Row],[Fd]]*Tabelle2[[#This Row],[vx]]/Tabelle2[[#This Row],[v]],0)</f>
        <v>0</v>
      </c>
      <c r="I231">
        <f t="shared" si="33"/>
        <v>0</v>
      </c>
      <c r="J231">
        <f t="shared" si="34"/>
        <v>0</v>
      </c>
      <c r="K231">
        <f t="shared" si="35"/>
        <v>1.0467394398169905</v>
      </c>
      <c r="L231">
        <f>-$B$5*$B$12-IF($B$3,Tabelle2[[#This Row],[Fd]]*Tabelle2[[#This Row],[vy]]/Tabelle2[[#This Row],[v]],0)</f>
        <v>-14.715</v>
      </c>
      <c r="M231">
        <f t="shared" si="36"/>
        <v>-9.81</v>
      </c>
      <c r="N231">
        <f t="shared" si="37"/>
        <v>-0.19620000000000001</v>
      </c>
      <c r="O231">
        <f t="shared" si="38"/>
        <v>0.35082148791195572</v>
      </c>
      <c r="P231" s="1">
        <f t="shared" si="40"/>
        <v>52.336971990849527</v>
      </c>
      <c r="Q231" s="1">
        <f t="shared" si="41"/>
        <v>17.639174395597784</v>
      </c>
      <c r="R231">
        <f>SQRT(Tabelle2[[#This Row],[vx]]*Tabelle2[[#This Row],[vx]]+Tabelle2[[#This Row],[vy]]*Tabelle2[[#This Row],[vy]])</f>
        <v>55.22951303903811</v>
      </c>
      <c r="S231">
        <f t="shared" si="42"/>
        <v>238.65659227827496</v>
      </c>
      <c r="T231" s="1">
        <f t="shared" si="43"/>
        <v>184.14166802455253</v>
      </c>
    </row>
    <row r="232" spans="6:20" x14ac:dyDescent="0.35">
      <c r="F232" s="1">
        <f t="shared" si="39"/>
        <v>4.5799999999999903</v>
      </c>
      <c r="G232">
        <f>1/2*$B$8*$B$6*$B$7*(Tabelle2[[#This Row],[vx]]*Tabelle2[[#This Row],[vx]]+Tabelle2[[#This Row],[vy]]*Tabelle2[[#This Row],[vy]])/1000000</f>
        <v>5.3835551384214009</v>
      </c>
      <c r="H232">
        <f>IF($B$3,-Tabelle2[[#This Row],[Fd]]*Tabelle2[[#This Row],[vx]]/Tabelle2[[#This Row],[v]],0)</f>
        <v>0</v>
      </c>
      <c r="I232">
        <f t="shared" si="33"/>
        <v>0</v>
      </c>
      <c r="J232">
        <f t="shared" si="34"/>
        <v>0</v>
      </c>
      <c r="K232">
        <f t="shared" si="35"/>
        <v>1.0467394398169905</v>
      </c>
      <c r="L232">
        <f>-$B$5*$B$12-IF($B$3,Tabelle2[[#This Row],[Fd]]*Tabelle2[[#This Row],[vy]]/Tabelle2[[#This Row],[v]],0)</f>
        <v>-14.715</v>
      </c>
      <c r="M232">
        <f t="shared" si="36"/>
        <v>-9.81</v>
      </c>
      <c r="N232">
        <f t="shared" si="37"/>
        <v>-0.19620000000000001</v>
      </c>
      <c r="O232">
        <f t="shared" si="38"/>
        <v>0.34689748791195568</v>
      </c>
      <c r="P232" s="1">
        <f t="shared" si="40"/>
        <v>52.336971990849527</v>
      </c>
      <c r="Q232" s="1">
        <f t="shared" si="41"/>
        <v>17.442974395597783</v>
      </c>
      <c r="R232">
        <f>SQRT(Tabelle2[[#This Row],[vx]]*Tabelle2[[#This Row],[vx]]+Tabelle2[[#This Row],[vy]]*Tabelle2[[#This Row],[vy]])</f>
        <v>55.167164082780687</v>
      </c>
      <c r="S232">
        <f t="shared" si="42"/>
        <v>239.70333171809196</v>
      </c>
      <c r="T232" s="1">
        <f t="shared" si="43"/>
        <v>184.49248951246449</v>
      </c>
    </row>
    <row r="233" spans="6:20" x14ac:dyDescent="0.35">
      <c r="F233" s="1">
        <f t="shared" si="39"/>
        <v>4.5999999999999899</v>
      </c>
      <c r="G233">
        <f>1/2*$B$8*$B$6*$B$7*(Tabelle2[[#This Row],[vx]]*Tabelle2[[#This Row],[vx]]+Tabelle2[[#This Row],[vy]]*Tabelle2[[#This Row],[vy]])/1000000</f>
        <v>5.3715156507898154</v>
      </c>
      <c r="H233">
        <f>IF($B$3,-Tabelle2[[#This Row],[Fd]]*Tabelle2[[#This Row],[vx]]/Tabelle2[[#This Row],[v]],0)</f>
        <v>0</v>
      </c>
      <c r="I233">
        <f t="shared" si="33"/>
        <v>0</v>
      </c>
      <c r="J233">
        <f t="shared" si="34"/>
        <v>0</v>
      </c>
      <c r="K233">
        <f t="shared" si="35"/>
        <v>1.0467394398169905</v>
      </c>
      <c r="L233">
        <f>-$B$5*$B$12-IF($B$3,Tabelle2[[#This Row],[Fd]]*Tabelle2[[#This Row],[vy]]/Tabelle2[[#This Row],[v]],0)</f>
        <v>-14.715</v>
      </c>
      <c r="M233">
        <f t="shared" si="36"/>
        <v>-9.81</v>
      </c>
      <c r="N233">
        <f t="shared" si="37"/>
        <v>-0.19620000000000001</v>
      </c>
      <c r="O233">
        <f t="shared" si="38"/>
        <v>0.3429734879119557</v>
      </c>
      <c r="P233" s="1">
        <f t="shared" si="40"/>
        <v>52.336971990849527</v>
      </c>
      <c r="Q233" s="1">
        <f t="shared" si="41"/>
        <v>17.246774395597782</v>
      </c>
      <c r="R233">
        <f>SQRT(Tabelle2[[#This Row],[vx]]*Tabelle2[[#This Row],[vx]]+Tabelle2[[#This Row],[vy]]*Tabelle2[[#This Row],[vy]])</f>
        <v>55.105443145152321</v>
      </c>
      <c r="S233">
        <f t="shared" si="42"/>
        <v>240.75007115790896</v>
      </c>
      <c r="T233" s="1">
        <f t="shared" si="43"/>
        <v>184.83938700037643</v>
      </c>
    </row>
    <row r="234" spans="6:20" x14ac:dyDescent="0.35">
      <c r="F234" s="1">
        <f t="shared" si="39"/>
        <v>4.6199999999999894</v>
      </c>
      <c r="G234">
        <f>1/2*$B$8*$B$6*$B$7*(Tabelle2[[#This Row],[vx]]*Tabelle2[[#This Row],[vx]]+Tabelle2[[#This Row],[vy]]*Tabelle2[[#This Row],[vy]])/1000000</f>
        <v>5.3596123502195736</v>
      </c>
      <c r="H234">
        <f>IF($B$3,-Tabelle2[[#This Row],[Fd]]*Tabelle2[[#This Row],[vx]]/Tabelle2[[#This Row],[v]],0)</f>
        <v>0</v>
      </c>
      <c r="I234">
        <f t="shared" si="33"/>
        <v>0</v>
      </c>
      <c r="J234">
        <f t="shared" si="34"/>
        <v>0</v>
      </c>
      <c r="K234">
        <f t="shared" si="35"/>
        <v>1.0467394398169905</v>
      </c>
      <c r="L234">
        <f>-$B$5*$B$12-IF($B$3,Tabelle2[[#This Row],[Fd]]*Tabelle2[[#This Row],[vy]]/Tabelle2[[#This Row],[v]],0)</f>
        <v>-14.715</v>
      </c>
      <c r="M234">
        <f t="shared" si="36"/>
        <v>-9.81</v>
      </c>
      <c r="N234">
        <f t="shared" si="37"/>
        <v>-0.19620000000000001</v>
      </c>
      <c r="O234">
        <f t="shared" si="38"/>
        <v>0.33904948791195566</v>
      </c>
      <c r="P234" s="1">
        <f t="shared" si="40"/>
        <v>52.336971990849527</v>
      </c>
      <c r="Q234" s="1">
        <f t="shared" si="41"/>
        <v>17.050574395597781</v>
      </c>
      <c r="R234">
        <f>SQRT(Tabelle2[[#This Row],[vx]]*Tabelle2[[#This Row],[vx]]+Tabelle2[[#This Row],[vy]]*Tabelle2[[#This Row],[vy]])</f>
        <v>55.044352338734825</v>
      </c>
      <c r="S234">
        <f t="shared" si="42"/>
        <v>241.79681059772597</v>
      </c>
      <c r="T234" s="1">
        <f t="shared" si="43"/>
        <v>185.1823604882884</v>
      </c>
    </row>
    <row r="235" spans="6:20" x14ac:dyDescent="0.35">
      <c r="F235" s="1">
        <f t="shared" si="39"/>
        <v>4.639999999999989</v>
      </c>
      <c r="G235">
        <f>1/2*$B$8*$B$6*$B$7*(Tabelle2[[#This Row],[vx]]*Tabelle2[[#This Row],[vx]]+Tabelle2[[#This Row],[vy]]*Tabelle2[[#This Row],[vy]])/1000000</f>
        <v>5.3478452367106764</v>
      </c>
      <c r="H235">
        <f>IF($B$3,-Tabelle2[[#This Row],[Fd]]*Tabelle2[[#This Row],[vx]]/Tabelle2[[#This Row],[v]],0)</f>
        <v>0</v>
      </c>
      <c r="I235">
        <f t="shared" si="33"/>
        <v>0</v>
      </c>
      <c r="J235">
        <f t="shared" si="34"/>
        <v>0</v>
      </c>
      <c r="K235">
        <f t="shared" si="35"/>
        <v>1.0467394398169905</v>
      </c>
      <c r="L235">
        <f>-$B$5*$B$12-IF($B$3,Tabelle2[[#This Row],[Fd]]*Tabelle2[[#This Row],[vy]]/Tabelle2[[#This Row],[v]],0)</f>
        <v>-14.715</v>
      </c>
      <c r="M235">
        <f t="shared" si="36"/>
        <v>-9.81</v>
      </c>
      <c r="N235">
        <f t="shared" si="37"/>
        <v>-0.19620000000000001</v>
      </c>
      <c r="O235">
        <f t="shared" si="38"/>
        <v>0.33512548791195562</v>
      </c>
      <c r="P235" s="1">
        <f t="shared" si="40"/>
        <v>52.336971990849527</v>
      </c>
      <c r="Q235" s="1">
        <f t="shared" si="41"/>
        <v>16.85437439559778</v>
      </c>
      <c r="R235">
        <f>SQRT(Tabelle2[[#This Row],[vx]]*Tabelle2[[#This Row],[vx]]+Tabelle2[[#This Row],[vy]]*Tabelle2[[#This Row],[vy]])</f>
        <v>54.983893763882797</v>
      </c>
      <c r="S235">
        <f t="shared" si="42"/>
        <v>242.84355003754297</v>
      </c>
      <c r="T235" s="1">
        <f t="shared" si="43"/>
        <v>185.52140997620035</v>
      </c>
    </row>
    <row r="236" spans="6:20" x14ac:dyDescent="0.35">
      <c r="F236" s="1">
        <f t="shared" si="39"/>
        <v>4.6599999999999886</v>
      </c>
      <c r="G236">
        <f>1/2*$B$8*$B$6*$B$7*(Tabelle2[[#This Row],[vx]]*Tabelle2[[#This Row],[vx]]+Tabelle2[[#This Row],[vy]]*Tabelle2[[#This Row],[vy]])/1000000</f>
        <v>5.3362143102631237</v>
      </c>
      <c r="H236">
        <f>IF($B$3,-Tabelle2[[#This Row],[Fd]]*Tabelle2[[#This Row],[vx]]/Tabelle2[[#This Row],[v]],0)</f>
        <v>0</v>
      </c>
      <c r="I236">
        <f t="shared" si="33"/>
        <v>0</v>
      </c>
      <c r="J236">
        <f t="shared" si="34"/>
        <v>0</v>
      </c>
      <c r="K236">
        <f t="shared" si="35"/>
        <v>1.0467394398169905</v>
      </c>
      <c r="L236">
        <f>-$B$5*$B$12-IF($B$3,Tabelle2[[#This Row],[Fd]]*Tabelle2[[#This Row],[vy]]/Tabelle2[[#This Row],[v]],0)</f>
        <v>-14.715</v>
      </c>
      <c r="M236">
        <f t="shared" si="36"/>
        <v>-9.81</v>
      </c>
      <c r="N236">
        <f t="shared" si="37"/>
        <v>-0.19620000000000001</v>
      </c>
      <c r="O236">
        <f t="shared" si="38"/>
        <v>0.33120148791195564</v>
      </c>
      <c r="P236" s="1">
        <f t="shared" si="40"/>
        <v>52.336971990849527</v>
      </c>
      <c r="Q236" s="1">
        <f t="shared" si="41"/>
        <v>16.658174395597779</v>
      </c>
      <c r="R236">
        <f>SQRT(Tabelle2[[#This Row],[vx]]*Tabelle2[[#This Row],[vx]]+Tabelle2[[#This Row],[vy]]*Tabelle2[[#This Row],[vy]])</f>
        <v>54.924069508414227</v>
      </c>
      <c r="S236">
        <f t="shared" si="42"/>
        <v>243.89028947735997</v>
      </c>
      <c r="T236" s="1">
        <f t="shared" si="43"/>
        <v>185.85653546411231</v>
      </c>
    </row>
    <row r="237" spans="6:20" x14ac:dyDescent="0.35">
      <c r="F237" s="1">
        <f t="shared" si="39"/>
        <v>4.6799999999999882</v>
      </c>
      <c r="G237">
        <f>1/2*$B$8*$B$6*$B$7*(Tabelle2[[#This Row],[vx]]*Tabelle2[[#This Row],[vx]]+Tabelle2[[#This Row],[vy]]*Tabelle2[[#This Row],[vy]])/1000000</f>
        <v>5.3247195708769128</v>
      </c>
      <c r="H237">
        <f>IF($B$3,-Tabelle2[[#This Row],[Fd]]*Tabelle2[[#This Row],[vx]]/Tabelle2[[#This Row],[v]],0)</f>
        <v>0</v>
      </c>
      <c r="I237">
        <f t="shared" si="33"/>
        <v>0</v>
      </c>
      <c r="J237">
        <f t="shared" si="34"/>
        <v>0</v>
      </c>
      <c r="K237">
        <f t="shared" si="35"/>
        <v>1.0467394398169905</v>
      </c>
      <c r="L237">
        <f>-$B$5*$B$12-IF($B$3,Tabelle2[[#This Row],[Fd]]*Tabelle2[[#This Row],[vy]]/Tabelle2[[#This Row],[v]],0)</f>
        <v>-14.715</v>
      </c>
      <c r="M237">
        <f t="shared" si="36"/>
        <v>-9.81</v>
      </c>
      <c r="N237">
        <f t="shared" si="37"/>
        <v>-0.19620000000000001</v>
      </c>
      <c r="O237">
        <f t="shared" si="38"/>
        <v>0.3272774879119556</v>
      </c>
      <c r="P237" s="1">
        <f t="shared" si="40"/>
        <v>52.336971990849527</v>
      </c>
      <c r="Q237" s="1">
        <f t="shared" si="41"/>
        <v>16.461974395597778</v>
      </c>
      <c r="R237">
        <f>SQRT(Tabelle2[[#This Row],[vx]]*Tabelle2[[#This Row],[vx]]+Tabelle2[[#This Row],[vy]]*Tabelle2[[#This Row],[vy]])</f>
        <v>54.864881647300436</v>
      </c>
      <c r="S237">
        <f t="shared" si="42"/>
        <v>244.93702891717697</v>
      </c>
      <c r="T237" s="1">
        <f t="shared" si="43"/>
        <v>186.18773695202427</v>
      </c>
    </row>
    <row r="238" spans="6:20" x14ac:dyDescent="0.35">
      <c r="F238" s="1">
        <f t="shared" si="39"/>
        <v>4.6999999999999877</v>
      </c>
      <c r="G238">
        <f>1/2*$B$8*$B$6*$B$7*(Tabelle2[[#This Row],[vx]]*Tabelle2[[#This Row],[vx]]+Tabelle2[[#This Row],[vy]]*Tabelle2[[#This Row],[vy]])/1000000</f>
        <v>5.3133610185520483</v>
      </c>
      <c r="H238">
        <f>IF($B$3,-Tabelle2[[#This Row],[Fd]]*Tabelle2[[#This Row],[vx]]/Tabelle2[[#This Row],[v]],0)</f>
        <v>0</v>
      </c>
      <c r="I238">
        <f t="shared" si="33"/>
        <v>0</v>
      </c>
      <c r="J238">
        <f t="shared" si="34"/>
        <v>0</v>
      </c>
      <c r="K238">
        <f t="shared" si="35"/>
        <v>1.0467394398169905</v>
      </c>
      <c r="L238">
        <f>-$B$5*$B$12-IF($B$3,Tabelle2[[#This Row],[Fd]]*Tabelle2[[#This Row],[vy]]/Tabelle2[[#This Row],[v]],0)</f>
        <v>-14.715</v>
      </c>
      <c r="M238">
        <f t="shared" si="36"/>
        <v>-9.81</v>
      </c>
      <c r="N238">
        <f t="shared" si="37"/>
        <v>-0.19620000000000001</v>
      </c>
      <c r="O238">
        <f t="shared" si="38"/>
        <v>0.32335348791195556</v>
      </c>
      <c r="P238" s="1">
        <f t="shared" si="40"/>
        <v>52.336971990849527</v>
      </c>
      <c r="Q238" s="1">
        <f t="shared" si="41"/>
        <v>16.265774395597777</v>
      </c>
      <c r="R238">
        <f>SQRT(Tabelle2[[#This Row],[vx]]*Tabelle2[[#This Row],[vx]]+Tabelle2[[#This Row],[vy]]*Tabelle2[[#This Row],[vy]])</f>
        <v>54.80633224235546</v>
      </c>
      <c r="S238">
        <f t="shared" si="42"/>
        <v>245.98376835699398</v>
      </c>
      <c r="T238" s="1">
        <f t="shared" si="43"/>
        <v>186.51501443993621</v>
      </c>
    </row>
    <row r="239" spans="6:20" x14ac:dyDescent="0.35">
      <c r="F239" s="1">
        <f t="shared" si="39"/>
        <v>4.7199999999999873</v>
      </c>
      <c r="G239">
        <f>1/2*$B$8*$B$6*$B$7*(Tabelle2[[#This Row],[vx]]*Tabelle2[[#This Row],[vx]]+Tabelle2[[#This Row],[vy]]*Tabelle2[[#This Row],[vy]])/1000000</f>
        <v>5.3021386532885266</v>
      </c>
      <c r="H239">
        <f>IF($B$3,-Tabelle2[[#This Row],[Fd]]*Tabelle2[[#This Row],[vx]]/Tabelle2[[#This Row],[v]],0)</f>
        <v>0</v>
      </c>
      <c r="I239">
        <f t="shared" si="33"/>
        <v>0</v>
      </c>
      <c r="J239">
        <f t="shared" si="34"/>
        <v>0</v>
      </c>
      <c r="K239">
        <f t="shared" si="35"/>
        <v>1.0467394398169905</v>
      </c>
      <c r="L239">
        <f>-$B$5*$B$12-IF($B$3,Tabelle2[[#This Row],[Fd]]*Tabelle2[[#This Row],[vy]]/Tabelle2[[#This Row],[v]],0)</f>
        <v>-14.715</v>
      </c>
      <c r="M239">
        <f t="shared" si="36"/>
        <v>-9.81</v>
      </c>
      <c r="N239">
        <f t="shared" si="37"/>
        <v>-0.19620000000000001</v>
      </c>
      <c r="O239">
        <f t="shared" si="38"/>
        <v>0.31942948791195552</v>
      </c>
      <c r="P239" s="1">
        <f t="shared" si="40"/>
        <v>52.336971990849527</v>
      </c>
      <c r="Q239" s="1">
        <f t="shared" si="41"/>
        <v>16.069574395597776</v>
      </c>
      <c r="R239">
        <f>SQRT(Tabelle2[[#This Row],[vx]]*Tabelle2[[#This Row],[vx]]+Tabelle2[[#This Row],[vy]]*Tabelle2[[#This Row],[vy]])</f>
        <v>54.748423341924827</v>
      </c>
      <c r="S239">
        <f t="shared" si="42"/>
        <v>247.03050779681098</v>
      </c>
      <c r="T239" s="1">
        <f t="shared" si="43"/>
        <v>186.83836792784817</v>
      </c>
    </row>
    <row r="240" spans="6:20" x14ac:dyDescent="0.35">
      <c r="F240" s="1">
        <f t="shared" si="39"/>
        <v>4.7399999999999869</v>
      </c>
      <c r="G240">
        <f>1/2*$B$8*$B$6*$B$7*(Tabelle2[[#This Row],[vx]]*Tabelle2[[#This Row],[vx]]+Tabelle2[[#This Row],[vy]]*Tabelle2[[#This Row],[vy]])/1000000</f>
        <v>5.2910524750863495</v>
      </c>
      <c r="H240">
        <f>IF($B$3,-Tabelle2[[#This Row],[Fd]]*Tabelle2[[#This Row],[vx]]/Tabelle2[[#This Row],[v]],0)</f>
        <v>0</v>
      </c>
      <c r="I240">
        <f t="shared" si="33"/>
        <v>0</v>
      </c>
      <c r="J240">
        <f t="shared" si="34"/>
        <v>0</v>
      </c>
      <c r="K240">
        <f t="shared" si="35"/>
        <v>1.0467394398169905</v>
      </c>
      <c r="L240">
        <f>-$B$5*$B$12-IF($B$3,Tabelle2[[#This Row],[Fd]]*Tabelle2[[#This Row],[vy]]/Tabelle2[[#This Row],[v]],0)</f>
        <v>-14.715</v>
      </c>
      <c r="M240">
        <f t="shared" si="36"/>
        <v>-9.81</v>
      </c>
      <c r="N240">
        <f t="shared" si="37"/>
        <v>-0.19620000000000001</v>
      </c>
      <c r="O240">
        <f t="shared" si="38"/>
        <v>0.31550548791195554</v>
      </c>
      <c r="P240" s="1">
        <f t="shared" si="40"/>
        <v>52.336971990849527</v>
      </c>
      <c r="Q240" s="1">
        <f t="shared" si="41"/>
        <v>15.873374395597777</v>
      </c>
      <c r="R240">
        <f>SQRT(Tabelle2[[#This Row],[vx]]*Tabelle2[[#This Row],[vx]]+Tabelle2[[#This Row],[vy]]*Tabelle2[[#This Row],[vy]])</f>
        <v>54.691156980573986</v>
      </c>
      <c r="S240">
        <f t="shared" si="42"/>
        <v>248.07724723662798</v>
      </c>
      <c r="T240" s="1">
        <f t="shared" si="43"/>
        <v>187.15779741576011</v>
      </c>
    </row>
    <row r="241" spans="6:20" x14ac:dyDescent="0.35">
      <c r="F241" s="1">
        <f t="shared" si="39"/>
        <v>4.7599999999999865</v>
      </c>
      <c r="G241">
        <f>1/2*$B$8*$B$6*$B$7*(Tabelle2[[#This Row],[vx]]*Tabelle2[[#This Row],[vx]]+Tabelle2[[#This Row],[vy]]*Tabelle2[[#This Row],[vy]])/1000000</f>
        <v>5.280102483945516</v>
      </c>
      <c r="H241">
        <f>IF($B$3,-Tabelle2[[#This Row],[Fd]]*Tabelle2[[#This Row],[vx]]/Tabelle2[[#This Row],[v]],0)</f>
        <v>0</v>
      </c>
      <c r="I241">
        <f t="shared" si="33"/>
        <v>0</v>
      </c>
      <c r="J241">
        <f t="shared" si="34"/>
        <v>0</v>
      </c>
      <c r="K241">
        <f t="shared" si="35"/>
        <v>1.0467394398169905</v>
      </c>
      <c r="L241">
        <f>-$B$5*$B$12-IF($B$3,Tabelle2[[#This Row],[Fd]]*Tabelle2[[#This Row],[vy]]/Tabelle2[[#This Row],[v]],0)</f>
        <v>-14.715</v>
      </c>
      <c r="M241">
        <f t="shared" si="36"/>
        <v>-9.81</v>
      </c>
      <c r="N241">
        <f t="shared" si="37"/>
        <v>-0.19620000000000001</v>
      </c>
      <c r="O241">
        <f t="shared" si="38"/>
        <v>0.31158148791195556</v>
      </c>
      <c r="P241" s="1">
        <f t="shared" si="40"/>
        <v>52.336971990849527</v>
      </c>
      <c r="Q241" s="1">
        <f t="shared" si="41"/>
        <v>15.677174395597778</v>
      </c>
      <c r="R241">
        <f>SQRT(Tabelle2[[#This Row],[vx]]*Tabelle2[[#This Row],[vx]]+Tabelle2[[#This Row],[vy]]*Tabelle2[[#This Row],[vy]])</f>
        <v>54.634535178776382</v>
      </c>
      <c r="S241">
        <f t="shared" si="42"/>
        <v>249.12398667644499</v>
      </c>
      <c r="T241" s="1">
        <f t="shared" si="43"/>
        <v>187.47330290367208</v>
      </c>
    </row>
    <row r="242" spans="6:20" x14ac:dyDescent="0.35">
      <c r="F242" s="1">
        <f t="shared" si="39"/>
        <v>4.779999999999986</v>
      </c>
      <c r="G242">
        <f>1/2*$B$8*$B$6*$B$7*(Tabelle2[[#This Row],[vx]]*Tabelle2[[#This Row],[vx]]+Tabelle2[[#This Row],[vy]]*Tabelle2[[#This Row],[vy]])/1000000</f>
        <v>5.269288679866027</v>
      </c>
      <c r="H242">
        <f>IF($B$3,-Tabelle2[[#This Row],[Fd]]*Tabelle2[[#This Row],[vx]]/Tabelle2[[#This Row],[v]],0)</f>
        <v>0</v>
      </c>
      <c r="I242">
        <f t="shared" si="33"/>
        <v>0</v>
      </c>
      <c r="J242">
        <f t="shared" si="34"/>
        <v>0</v>
      </c>
      <c r="K242">
        <f t="shared" si="35"/>
        <v>1.0467394398169905</v>
      </c>
      <c r="L242">
        <f>-$B$5*$B$12-IF($B$3,Tabelle2[[#This Row],[Fd]]*Tabelle2[[#This Row],[vy]]/Tabelle2[[#This Row],[v]],0)</f>
        <v>-14.715</v>
      </c>
      <c r="M242">
        <f t="shared" si="36"/>
        <v>-9.81</v>
      </c>
      <c r="N242">
        <f t="shared" si="37"/>
        <v>-0.19620000000000001</v>
      </c>
      <c r="O242">
        <f t="shared" si="38"/>
        <v>0.30765748791195557</v>
      </c>
      <c r="P242" s="1">
        <f t="shared" si="40"/>
        <v>52.336971990849527</v>
      </c>
      <c r="Q242" s="1">
        <f t="shared" si="41"/>
        <v>15.480974395597778</v>
      </c>
      <c r="R242">
        <f>SQRT(Tabelle2[[#This Row],[vx]]*Tabelle2[[#This Row],[vx]]+Tabelle2[[#This Row],[vy]]*Tabelle2[[#This Row],[vy]])</f>
        <v>54.578559942601288</v>
      </c>
      <c r="S242">
        <f t="shared" si="42"/>
        <v>250.17072611626199</v>
      </c>
      <c r="T242" s="1">
        <f t="shared" si="43"/>
        <v>187.78488439158403</v>
      </c>
    </row>
    <row r="243" spans="6:20" x14ac:dyDescent="0.35">
      <c r="F243" s="1">
        <f t="shared" si="39"/>
        <v>4.7999999999999856</v>
      </c>
      <c r="G243">
        <f>1/2*$B$8*$B$6*$B$7*(Tabelle2[[#This Row],[vx]]*Tabelle2[[#This Row],[vx]]+Tabelle2[[#This Row],[vy]]*Tabelle2[[#This Row],[vy]])/1000000</f>
        <v>5.2586110628478817</v>
      </c>
      <c r="H243">
        <f>IF($B$3,-Tabelle2[[#This Row],[Fd]]*Tabelle2[[#This Row],[vx]]/Tabelle2[[#This Row],[v]],0)</f>
        <v>0</v>
      </c>
      <c r="I243">
        <f t="shared" si="33"/>
        <v>0</v>
      </c>
      <c r="J243">
        <f t="shared" si="34"/>
        <v>0</v>
      </c>
      <c r="K243">
        <f t="shared" si="35"/>
        <v>1.0467394398169905</v>
      </c>
      <c r="L243">
        <f>-$B$5*$B$12-IF($B$3,Tabelle2[[#This Row],[Fd]]*Tabelle2[[#This Row],[vy]]/Tabelle2[[#This Row],[v]],0)</f>
        <v>-14.715</v>
      </c>
      <c r="M243">
        <f t="shared" si="36"/>
        <v>-9.81</v>
      </c>
      <c r="N243">
        <f t="shared" si="37"/>
        <v>-0.19620000000000001</v>
      </c>
      <c r="O243">
        <f t="shared" si="38"/>
        <v>0.30373348791195559</v>
      </c>
      <c r="P243" s="1">
        <f t="shared" si="40"/>
        <v>52.336971990849527</v>
      </c>
      <c r="Q243" s="1">
        <f t="shared" si="41"/>
        <v>15.284774395597779</v>
      </c>
      <c r="R243">
        <f>SQRT(Tabelle2[[#This Row],[vx]]*Tabelle2[[#This Row],[vx]]+Tabelle2[[#This Row],[vy]]*Tabelle2[[#This Row],[vy]])</f>
        <v>54.52323326340148</v>
      </c>
      <c r="S243">
        <f t="shared" si="42"/>
        <v>251.21746555607899</v>
      </c>
      <c r="T243" s="1">
        <f t="shared" si="43"/>
        <v>188.092541879496</v>
      </c>
    </row>
    <row r="244" spans="6:20" x14ac:dyDescent="0.35">
      <c r="F244" s="1">
        <f t="shared" si="39"/>
        <v>4.8199999999999852</v>
      </c>
      <c r="G244">
        <f>1/2*$B$8*$B$6*$B$7*(Tabelle2[[#This Row],[vx]]*Tabelle2[[#This Row],[vx]]+Tabelle2[[#This Row],[vy]]*Tabelle2[[#This Row],[vy]])/1000000</f>
        <v>5.2480696328910801</v>
      </c>
      <c r="H244">
        <f>IF($B$3,-Tabelle2[[#This Row],[Fd]]*Tabelle2[[#This Row],[vx]]/Tabelle2[[#This Row],[v]],0)</f>
        <v>0</v>
      </c>
      <c r="I244">
        <f t="shared" si="33"/>
        <v>0</v>
      </c>
      <c r="J244">
        <f t="shared" si="34"/>
        <v>0</v>
      </c>
      <c r="K244">
        <f t="shared" si="35"/>
        <v>1.0467394398169905</v>
      </c>
      <c r="L244">
        <f>-$B$5*$B$12-IF($B$3,Tabelle2[[#This Row],[Fd]]*Tabelle2[[#This Row],[vy]]/Tabelle2[[#This Row],[v]],0)</f>
        <v>-14.715</v>
      </c>
      <c r="M244">
        <f t="shared" si="36"/>
        <v>-9.81</v>
      </c>
      <c r="N244">
        <f t="shared" si="37"/>
        <v>-0.19620000000000001</v>
      </c>
      <c r="O244">
        <f t="shared" si="38"/>
        <v>0.29980948791195561</v>
      </c>
      <c r="P244" s="1">
        <f t="shared" si="40"/>
        <v>52.336971990849527</v>
      </c>
      <c r="Q244" s="1">
        <f t="shared" si="41"/>
        <v>15.08857439559778</v>
      </c>
      <c r="R244">
        <f>SQRT(Tabelle2[[#This Row],[vx]]*Tabelle2[[#This Row],[vx]]+Tabelle2[[#This Row],[vy]]*Tabelle2[[#This Row],[vy]])</f>
        <v>54.468557117500886</v>
      </c>
      <c r="S244">
        <f t="shared" si="42"/>
        <v>252.26420499589599</v>
      </c>
      <c r="T244" s="1">
        <f t="shared" si="43"/>
        <v>188.39627536740795</v>
      </c>
    </row>
    <row r="245" spans="6:20" x14ac:dyDescent="0.35">
      <c r="F245" s="1">
        <f t="shared" si="39"/>
        <v>4.8399999999999848</v>
      </c>
      <c r="G245">
        <f>1/2*$B$8*$B$6*$B$7*(Tabelle2[[#This Row],[vx]]*Tabelle2[[#This Row],[vx]]+Tabelle2[[#This Row],[vy]]*Tabelle2[[#This Row],[vy]])/1000000</f>
        <v>5.2376643899956221</v>
      </c>
      <c r="H245">
        <f>IF($B$3,-Tabelle2[[#This Row],[Fd]]*Tabelle2[[#This Row],[vx]]/Tabelle2[[#This Row],[v]],0)</f>
        <v>0</v>
      </c>
      <c r="I245">
        <f t="shared" si="33"/>
        <v>0</v>
      </c>
      <c r="J245">
        <f t="shared" si="34"/>
        <v>0</v>
      </c>
      <c r="K245">
        <f t="shared" si="35"/>
        <v>1.0467394398169905</v>
      </c>
      <c r="L245">
        <f>-$B$5*$B$12-IF($B$3,Tabelle2[[#This Row],[Fd]]*Tabelle2[[#This Row],[vy]]/Tabelle2[[#This Row],[v]],0)</f>
        <v>-14.715</v>
      </c>
      <c r="M245">
        <f t="shared" si="36"/>
        <v>-9.81</v>
      </c>
      <c r="N245">
        <f t="shared" si="37"/>
        <v>-0.19620000000000001</v>
      </c>
      <c r="O245">
        <f t="shared" si="38"/>
        <v>0.29588548791195562</v>
      </c>
      <c r="P245" s="1">
        <f t="shared" si="40"/>
        <v>52.336971990849527</v>
      </c>
      <c r="Q245" s="1">
        <f t="shared" si="41"/>
        <v>14.892374395597781</v>
      </c>
      <c r="R245">
        <f>SQRT(Tabelle2[[#This Row],[vx]]*Tabelle2[[#This Row],[vx]]+Tabelle2[[#This Row],[vy]]*Tabelle2[[#This Row],[vy]])</f>
        <v>54.414533465882293</v>
      </c>
      <c r="S245">
        <f t="shared" si="42"/>
        <v>253.310944435713</v>
      </c>
      <c r="T245" s="1">
        <f t="shared" si="43"/>
        <v>188.6960848553199</v>
      </c>
    </row>
    <row r="246" spans="6:20" x14ac:dyDescent="0.35">
      <c r="F246" s="1">
        <f t="shared" si="39"/>
        <v>4.8599999999999843</v>
      </c>
      <c r="G246">
        <f>1/2*$B$8*$B$6*$B$7*(Tabelle2[[#This Row],[vx]]*Tabelle2[[#This Row],[vx]]+Tabelle2[[#This Row],[vy]]*Tabelle2[[#This Row],[vy]])/1000000</f>
        <v>5.2273953341615087</v>
      </c>
      <c r="H246">
        <f>IF($B$3,-Tabelle2[[#This Row],[Fd]]*Tabelle2[[#This Row],[vx]]/Tabelle2[[#This Row],[v]],0)</f>
        <v>0</v>
      </c>
      <c r="I246">
        <f t="shared" si="33"/>
        <v>0</v>
      </c>
      <c r="J246">
        <f t="shared" si="34"/>
        <v>0</v>
      </c>
      <c r="K246">
        <f t="shared" si="35"/>
        <v>1.0467394398169905</v>
      </c>
      <c r="L246">
        <f>-$B$5*$B$12-IF($B$3,Tabelle2[[#This Row],[Fd]]*Tabelle2[[#This Row],[vy]]/Tabelle2[[#This Row],[v]],0)</f>
        <v>-14.715</v>
      </c>
      <c r="M246">
        <f t="shared" si="36"/>
        <v>-9.81</v>
      </c>
      <c r="N246">
        <f t="shared" si="37"/>
        <v>-0.19620000000000001</v>
      </c>
      <c r="O246">
        <f t="shared" si="38"/>
        <v>0.29196148791195564</v>
      </c>
      <c r="P246" s="1">
        <f t="shared" si="40"/>
        <v>52.336971990849527</v>
      </c>
      <c r="Q246" s="1">
        <f t="shared" si="41"/>
        <v>14.696174395597781</v>
      </c>
      <c r="R246">
        <f>SQRT(Tabelle2[[#This Row],[vx]]*Tabelle2[[#This Row],[vx]]+Tabelle2[[#This Row],[vy]]*Tabelle2[[#This Row],[vy]])</f>
        <v>54.361164253875131</v>
      </c>
      <c r="S246">
        <f t="shared" si="42"/>
        <v>254.35768387553</v>
      </c>
      <c r="T246" s="1">
        <f t="shared" si="43"/>
        <v>188.99197034323186</v>
      </c>
    </row>
    <row r="247" spans="6:20" x14ac:dyDescent="0.35">
      <c r="F247" s="1">
        <f t="shared" si="39"/>
        <v>4.8799999999999839</v>
      </c>
      <c r="G247">
        <f>1/2*$B$8*$B$6*$B$7*(Tabelle2[[#This Row],[vx]]*Tabelle2[[#This Row],[vx]]+Tabelle2[[#This Row],[vy]]*Tabelle2[[#This Row],[vy]])/1000000</f>
        <v>5.2172624653887398</v>
      </c>
      <c r="H247">
        <f>IF($B$3,-Tabelle2[[#This Row],[Fd]]*Tabelle2[[#This Row],[vx]]/Tabelle2[[#This Row],[v]],0)</f>
        <v>0</v>
      </c>
      <c r="I247">
        <f t="shared" si="33"/>
        <v>0</v>
      </c>
      <c r="J247">
        <f t="shared" si="34"/>
        <v>0</v>
      </c>
      <c r="K247">
        <f t="shared" si="35"/>
        <v>1.0467394398169905</v>
      </c>
      <c r="L247">
        <f>-$B$5*$B$12-IF($B$3,Tabelle2[[#This Row],[Fd]]*Tabelle2[[#This Row],[vy]]/Tabelle2[[#This Row],[v]],0)</f>
        <v>-14.715</v>
      </c>
      <c r="M247">
        <f t="shared" si="36"/>
        <v>-9.81</v>
      </c>
      <c r="N247">
        <f t="shared" si="37"/>
        <v>-0.19620000000000001</v>
      </c>
      <c r="O247">
        <f t="shared" si="38"/>
        <v>0.28803748791195566</v>
      </c>
      <c r="P247" s="1">
        <f t="shared" si="40"/>
        <v>52.336971990849527</v>
      </c>
      <c r="Q247" s="1">
        <f t="shared" si="41"/>
        <v>14.499974395597782</v>
      </c>
      <c r="R247">
        <f>SQRT(Tabelle2[[#This Row],[vx]]*Tabelle2[[#This Row],[vx]]+Tabelle2[[#This Row],[vy]]*Tabelle2[[#This Row],[vy]])</f>
        <v>54.308451410843588</v>
      </c>
      <c r="S247">
        <f t="shared" si="42"/>
        <v>255.404423315347</v>
      </c>
      <c r="T247" s="1">
        <f t="shared" si="43"/>
        <v>189.2839318311438</v>
      </c>
    </row>
    <row r="248" spans="6:20" x14ac:dyDescent="0.35">
      <c r="F248" s="1">
        <f t="shared" si="39"/>
        <v>4.8999999999999835</v>
      </c>
      <c r="G248">
        <f>1/2*$B$8*$B$6*$B$7*(Tabelle2[[#This Row],[vx]]*Tabelle2[[#This Row],[vx]]+Tabelle2[[#This Row],[vy]]*Tabelle2[[#This Row],[vy]])/1000000</f>
        <v>5.2072657836773146</v>
      </c>
      <c r="H248">
        <f>IF($B$3,-Tabelle2[[#This Row],[Fd]]*Tabelle2[[#This Row],[vx]]/Tabelle2[[#This Row],[v]],0)</f>
        <v>0</v>
      </c>
      <c r="I248">
        <f t="shared" si="33"/>
        <v>0</v>
      </c>
      <c r="J248">
        <f t="shared" si="34"/>
        <v>0</v>
      </c>
      <c r="K248">
        <f t="shared" si="35"/>
        <v>1.0467394398169905</v>
      </c>
      <c r="L248">
        <f>-$B$5*$B$12-IF($B$3,Tabelle2[[#This Row],[Fd]]*Tabelle2[[#This Row],[vy]]/Tabelle2[[#This Row],[v]],0)</f>
        <v>-14.715</v>
      </c>
      <c r="M248">
        <f t="shared" si="36"/>
        <v>-9.81</v>
      </c>
      <c r="N248">
        <f t="shared" si="37"/>
        <v>-0.19620000000000001</v>
      </c>
      <c r="O248">
        <f t="shared" si="38"/>
        <v>0.28411348791195568</v>
      </c>
      <c r="P248" s="1">
        <f t="shared" si="40"/>
        <v>52.336971990849527</v>
      </c>
      <c r="Q248" s="1">
        <f t="shared" si="41"/>
        <v>14.303774395597783</v>
      </c>
      <c r="R248">
        <f>SQRT(Tabelle2[[#This Row],[vx]]*Tabelle2[[#This Row],[vx]]+Tabelle2[[#This Row],[vy]]*Tabelle2[[#This Row],[vy]])</f>
        <v>54.25639684987501</v>
      </c>
      <c r="S248">
        <f t="shared" si="42"/>
        <v>256.45116275516398</v>
      </c>
      <c r="T248" s="1">
        <f t="shared" si="43"/>
        <v>189.57196931905577</v>
      </c>
    </row>
    <row r="249" spans="6:20" x14ac:dyDescent="0.35">
      <c r="F249" s="1">
        <f t="shared" si="39"/>
        <v>4.9199999999999831</v>
      </c>
      <c r="G249">
        <f>1/2*$B$8*$B$6*$B$7*(Tabelle2[[#This Row],[vx]]*Tabelle2[[#This Row],[vx]]+Tabelle2[[#This Row],[vy]]*Tabelle2[[#This Row],[vy]])/1000000</f>
        <v>5.1974052890272331</v>
      </c>
      <c r="H249">
        <f>IF($B$3,-Tabelle2[[#This Row],[Fd]]*Tabelle2[[#This Row],[vx]]/Tabelle2[[#This Row],[v]],0)</f>
        <v>0</v>
      </c>
      <c r="I249">
        <f t="shared" si="33"/>
        <v>0</v>
      </c>
      <c r="J249">
        <f t="shared" si="34"/>
        <v>0</v>
      </c>
      <c r="K249">
        <f t="shared" si="35"/>
        <v>1.0467394398169905</v>
      </c>
      <c r="L249">
        <f>-$B$5*$B$12-IF($B$3,Tabelle2[[#This Row],[Fd]]*Tabelle2[[#This Row],[vy]]/Tabelle2[[#This Row],[v]],0)</f>
        <v>-14.715</v>
      </c>
      <c r="M249">
        <f t="shared" si="36"/>
        <v>-9.81</v>
      </c>
      <c r="N249">
        <f t="shared" si="37"/>
        <v>-0.19620000000000001</v>
      </c>
      <c r="O249">
        <f t="shared" si="38"/>
        <v>0.28018948791195569</v>
      </c>
      <c r="P249" s="1">
        <f t="shared" si="40"/>
        <v>52.336971990849527</v>
      </c>
      <c r="Q249" s="1">
        <f t="shared" si="41"/>
        <v>14.107574395597783</v>
      </c>
      <c r="R249">
        <f>SQRT(Tabelle2[[#This Row],[vx]]*Tabelle2[[#This Row],[vx]]+Tabelle2[[#This Row],[vy]]*Tabelle2[[#This Row],[vy]])</f>
        <v>54.205002467468759</v>
      </c>
      <c r="S249">
        <f t="shared" si="42"/>
        <v>257.49790219498095</v>
      </c>
      <c r="T249" s="1">
        <f t="shared" si="43"/>
        <v>189.85608280696772</v>
      </c>
    </row>
    <row r="250" spans="6:20" x14ac:dyDescent="0.35">
      <c r="F250" s="1">
        <f t="shared" si="39"/>
        <v>4.9399999999999826</v>
      </c>
      <c r="G250">
        <f>1/2*$B$8*$B$6*$B$7*(Tabelle2[[#This Row],[vx]]*Tabelle2[[#This Row],[vx]]+Tabelle2[[#This Row],[vy]]*Tabelle2[[#This Row],[vy]])/1000000</f>
        <v>5.1876809814384952</v>
      </c>
      <c r="H250">
        <f>IF($B$3,-Tabelle2[[#This Row],[Fd]]*Tabelle2[[#This Row],[vx]]/Tabelle2[[#This Row],[v]],0)</f>
        <v>0</v>
      </c>
      <c r="I250">
        <f t="shared" si="33"/>
        <v>0</v>
      </c>
      <c r="J250">
        <f t="shared" si="34"/>
        <v>0</v>
      </c>
      <c r="K250">
        <f t="shared" si="35"/>
        <v>1.0467394398169905</v>
      </c>
      <c r="L250">
        <f>-$B$5*$B$12-IF($B$3,Tabelle2[[#This Row],[Fd]]*Tabelle2[[#This Row],[vy]]/Tabelle2[[#This Row],[v]],0)</f>
        <v>-14.715</v>
      </c>
      <c r="M250">
        <f t="shared" si="36"/>
        <v>-9.81</v>
      </c>
      <c r="N250">
        <f t="shared" si="37"/>
        <v>-0.19620000000000001</v>
      </c>
      <c r="O250">
        <f t="shared" si="38"/>
        <v>0.27626548791195565</v>
      </c>
      <c r="P250" s="1">
        <f t="shared" si="40"/>
        <v>52.336971990849527</v>
      </c>
      <c r="Q250" s="1">
        <f t="shared" si="41"/>
        <v>13.911374395597784</v>
      </c>
      <c r="R250">
        <f>SQRT(Tabelle2[[#This Row],[vx]]*Tabelle2[[#This Row],[vx]]+Tabelle2[[#This Row],[vy]]*Tabelle2[[#This Row],[vy]])</f>
        <v>54.154270143225652</v>
      </c>
      <c r="S250">
        <f t="shared" si="42"/>
        <v>258.54464163479793</v>
      </c>
      <c r="T250" s="1">
        <f t="shared" si="43"/>
        <v>190.13627229487969</v>
      </c>
    </row>
    <row r="251" spans="6:20" x14ac:dyDescent="0.35">
      <c r="F251" s="1">
        <f t="shared" si="39"/>
        <v>4.9599999999999822</v>
      </c>
      <c r="G251">
        <f>1/2*$B$8*$B$6*$B$7*(Tabelle2[[#This Row],[vx]]*Tabelle2[[#This Row],[vx]]+Tabelle2[[#This Row],[vy]]*Tabelle2[[#This Row],[vy]])/1000000</f>
        <v>5.1780928609111019</v>
      </c>
      <c r="H251">
        <f>IF($B$3,-Tabelle2[[#This Row],[Fd]]*Tabelle2[[#This Row],[vx]]/Tabelle2[[#This Row],[v]],0)</f>
        <v>0</v>
      </c>
      <c r="I251">
        <f t="shared" si="33"/>
        <v>0</v>
      </c>
      <c r="J251">
        <f t="shared" si="34"/>
        <v>0</v>
      </c>
      <c r="K251">
        <f t="shared" si="35"/>
        <v>1.0467394398169905</v>
      </c>
      <c r="L251">
        <f>-$B$5*$B$12-IF($B$3,Tabelle2[[#This Row],[Fd]]*Tabelle2[[#This Row],[vy]]/Tabelle2[[#This Row],[v]],0)</f>
        <v>-14.715</v>
      </c>
      <c r="M251">
        <f t="shared" si="36"/>
        <v>-9.81</v>
      </c>
      <c r="N251">
        <f t="shared" si="37"/>
        <v>-0.19620000000000001</v>
      </c>
      <c r="O251">
        <f t="shared" si="38"/>
        <v>0.27234148791195567</v>
      </c>
      <c r="P251" s="1">
        <f t="shared" si="40"/>
        <v>52.336971990849527</v>
      </c>
      <c r="Q251" s="1">
        <f t="shared" si="41"/>
        <v>13.715174395597785</v>
      </c>
      <c r="R251">
        <f>SQRT(Tabelle2[[#This Row],[vx]]*Tabelle2[[#This Row],[vx]]+Tabelle2[[#This Row],[vy]]*Tabelle2[[#This Row],[vy]])</f>
        <v>54.10420173953802</v>
      </c>
      <c r="S251">
        <f t="shared" si="42"/>
        <v>259.5913810746149</v>
      </c>
      <c r="T251" s="1">
        <f t="shared" si="43"/>
        <v>190.41253778279165</v>
      </c>
    </row>
    <row r="252" spans="6:20" x14ac:dyDescent="0.35">
      <c r="F252" s="1">
        <f t="shared" si="39"/>
        <v>4.9799999999999818</v>
      </c>
      <c r="G252">
        <f>1/2*$B$8*$B$6*$B$7*(Tabelle2[[#This Row],[vx]]*Tabelle2[[#This Row],[vx]]+Tabelle2[[#This Row],[vy]]*Tabelle2[[#This Row],[vy]])/1000000</f>
        <v>5.1686409274450531</v>
      </c>
      <c r="H252">
        <f>IF($B$3,-Tabelle2[[#This Row],[Fd]]*Tabelle2[[#This Row],[vx]]/Tabelle2[[#This Row],[v]],0)</f>
        <v>0</v>
      </c>
      <c r="I252">
        <f t="shared" si="33"/>
        <v>0</v>
      </c>
      <c r="J252">
        <f t="shared" si="34"/>
        <v>0</v>
      </c>
      <c r="K252">
        <f t="shared" si="35"/>
        <v>1.0467394398169905</v>
      </c>
      <c r="L252">
        <f>-$B$5*$B$12-IF($B$3,Tabelle2[[#This Row],[Fd]]*Tabelle2[[#This Row],[vy]]/Tabelle2[[#This Row],[v]],0)</f>
        <v>-14.715</v>
      </c>
      <c r="M252">
        <f t="shared" si="36"/>
        <v>-9.81</v>
      </c>
      <c r="N252">
        <f t="shared" si="37"/>
        <v>-0.19620000000000001</v>
      </c>
      <c r="O252">
        <f t="shared" si="38"/>
        <v>0.26841748791195569</v>
      </c>
      <c r="P252" s="1">
        <f t="shared" si="40"/>
        <v>52.336971990849527</v>
      </c>
      <c r="Q252" s="1">
        <f t="shared" si="41"/>
        <v>13.518974395597786</v>
      </c>
      <c r="R252">
        <f>SQRT(Tabelle2[[#This Row],[vx]]*Tabelle2[[#This Row],[vx]]+Tabelle2[[#This Row],[vy]]*Tabelle2[[#This Row],[vy]])</f>
        <v>54.054799101280508</v>
      </c>
      <c r="S252">
        <f t="shared" si="42"/>
        <v>260.63812051443188</v>
      </c>
      <c r="T252" s="1">
        <f t="shared" si="43"/>
        <v>190.68487927070359</v>
      </c>
    </row>
    <row r="253" spans="6:20" x14ac:dyDescent="0.35">
      <c r="F253" s="1">
        <f t="shared" si="39"/>
        <v>4.9999999999999813</v>
      </c>
      <c r="G253">
        <f>1/2*$B$8*$B$6*$B$7*(Tabelle2[[#This Row],[vx]]*Tabelle2[[#This Row],[vx]]+Tabelle2[[#This Row],[vy]]*Tabelle2[[#This Row],[vy]])/1000000</f>
        <v>5.159325181040348</v>
      </c>
      <c r="H253">
        <f>IF($B$3,-Tabelle2[[#This Row],[Fd]]*Tabelle2[[#This Row],[vx]]/Tabelle2[[#This Row],[v]],0)</f>
        <v>0</v>
      </c>
      <c r="I253">
        <f t="shared" si="33"/>
        <v>0</v>
      </c>
      <c r="J253">
        <f t="shared" si="34"/>
        <v>0</v>
      </c>
      <c r="K253">
        <f t="shared" si="35"/>
        <v>1.0467394398169905</v>
      </c>
      <c r="L253">
        <f>-$B$5*$B$12-IF($B$3,Tabelle2[[#This Row],[Fd]]*Tabelle2[[#This Row],[vy]]/Tabelle2[[#This Row],[v]],0)</f>
        <v>-14.715</v>
      </c>
      <c r="M253">
        <f t="shared" si="36"/>
        <v>-9.81</v>
      </c>
      <c r="N253">
        <f t="shared" si="37"/>
        <v>-0.19620000000000001</v>
      </c>
      <c r="O253">
        <f t="shared" si="38"/>
        <v>0.2644934879119557</v>
      </c>
      <c r="P253" s="1">
        <f t="shared" si="40"/>
        <v>52.336971990849527</v>
      </c>
      <c r="Q253" s="1">
        <f t="shared" si="41"/>
        <v>13.322774395597786</v>
      </c>
      <c r="R253">
        <f>SQRT(Tabelle2[[#This Row],[vx]]*Tabelle2[[#This Row],[vx]]+Tabelle2[[#This Row],[vy]]*Tabelle2[[#This Row],[vy]])</f>
        <v>54.006064055501803</v>
      </c>
      <c r="S253">
        <f t="shared" si="42"/>
        <v>261.68485995424885</v>
      </c>
      <c r="T253" s="1">
        <f t="shared" si="43"/>
        <v>190.95329675861555</v>
      </c>
    </row>
    <row r="254" spans="6:20" x14ac:dyDescent="0.35">
      <c r="F254" s="1">
        <f t="shared" si="39"/>
        <v>5.0199999999999809</v>
      </c>
      <c r="G254">
        <f>1/2*$B$8*$B$6*$B$7*(Tabelle2[[#This Row],[vx]]*Tabelle2[[#This Row],[vx]]+Tabelle2[[#This Row],[vy]]*Tabelle2[[#This Row],[vy]])/1000000</f>
        <v>5.1501456216969856</v>
      </c>
      <c r="H254">
        <f>IF($B$3,-Tabelle2[[#This Row],[Fd]]*Tabelle2[[#This Row],[vx]]/Tabelle2[[#This Row],[v]],0)</f>
        <v>0</v>
      </c>
      <c r="I254">
        <f t="shared" si="33"/>
        <v>0</v>
      </c>
      <c r="J254">
        <f t="shared" si="34"/>
        <v>0</v>
      </c>
      <c r="K254">
        <f t="shared" si="35"/>
        <v>1.0467394398169905</v>
      </c>
      <c r="L254">
        <f>-$B$5*$B$12-IF($B$3,Tabelle2[[#This Row],[Fd]]*Tabelle2[[#This Row],[vy]]/Tabelle2[[#This Row],[v]],0)</f>
        <v>-14.715</v>
      </c>
      <c r="M254">
        <f t="shared" si="36"/>
        <v>-9.81</v>
      </c>
      <c r="N254">
        <f t="shared" si="37"/>
        <v>-0.19620000000000001</v>
      </c>
      <c r="O254">
        <f t="shared" si="38"/>
        <v>0.26056948791195572</v>
      </c>
      <c r="P254" s="1">
        <f t="shared" si="40"/>
        <v>52.336971990849527</v>
      </c>
      <c r="Q254" s="1">
        <f t="shared" si="41"/>
        <v>13.126574395597787</v>
      </c>
      <c r="R254">
        <f>SQRT(Tabelle2[[#This Row],[vx]]*Tabelle2[[#This Row],[vx]]+Tabelle2[[#This Row],[vy]]*Tabelle2[[#This Row],[vy]])</f>
        <v>53.957998411117245</v>
      </c>
      <c r="S254">
        <f t="shared" si="42"/>
        <v>262.73159939406582</v>
      </c>
      <c r="T254" s="1">
        <f t="shared" si="43"/>
        <v>191.2177902465275</v>
      </c>
    </row>
    <row r="255" spans="6:20" x14ac:dyDescent="0.35">
      <c r="F255" s="1">
        <f t="shared" si="39"/>
        <v>5.0399999999999805</v>
      </c>
      <c r="G255">
        <f>1/2*$B$8*$B$6*$B$7*(Tabelle2[[#This Row],[vx]]*Tabelle2[[#This Row],[vx]]+Tabelle2[[#This Row],[vy]]*Tabelle2[[#This Row],[vy]])/1000000</f>
        <v>5.1411022494149687</v>
      </c>
      <c r="H255">
        <f>IF($B$3,-Tabelle2[[#This Row],[Fd]]*Tabelle2[[#This Row],[vx]]/Tabelle2[[#This Row],[v]],0)</f>
        <v>0</v>
      </c>
      <c r="I255">
        <f t="shared" si="33"/>
        <v>0</v>
      </c>
      <c r="J255">
        <f t="shared" si="34"/>
        <v>0</v>
      </c>
      <c r="K255">
        <f t="shared" si="35"/>
        <v>1.0467394398169905</v>
      </c>
      <c r="L255">
        <f>-$B$5*$B$12-IF($B$3,Tabelle2[[#This Row],[Fd]]*Tabelle2[[#This Row],[vy]]/Tabelle2[[#This Row],[v]],0)</f>
        <v>-14.715</v>
      </c>
      <c r="M255">
        <f t="shared" si="36"/>
        <v>-9.81</v>
      </c>
      <c r="N255">
        <f t="shared" si="37"/>
        <v>-0.19620000000000001</v>
      </c>
      <c r="O255">
        <f t="shared" si="38"/>
        <v>0.25664548791195574</v>
      </c>
      <c r="P255" s="1">
        <f t="shared" si="40"/>
        <v>52.336971990849527</v>
      </c>
      <c r="Q255" s="1">
        <f t="shared" si="41"/>
        <v>12.930374395597788</v>
      </c>
      <c r="R255">
        <f>SQRT(Tabelle2[[#This Row],[vx]]*Tabelle2[[#This Row],[vx]]+Tabelle2[[#This Row],[vy]]*Tabelle2[[#This Row],[vy]])</f>
        <v>53.910603958602607</v>
      </c>
      <c r="S255">
        <f t="shared" si="42"/>
        <v>263.7783388338828</v>
      </c>
      <c r="T255" s="1">
        <f t="shared" si="43"/>
        <v>191.47835973443947</v>
      </c>
    </row>
    <row r="256" spans="6:20" x14ac:dyDescent="0.35">
      <c r="F256" s="1">
        <f t="shared" si="39"/>
        <v>5.0599999999999801</v>
      </c>
      <c r="G256">
        <f>1/2*$B$8*$B$6*$B$7*(Tabelle2[[#This Row],[vx]]*Tabelle2[[#This Row],[vx]]+Tabelle2[[#This Row],[vy]]*Tabelle2[[#This Row],[vy]])/1000000</f>
        <v>5.1321950641942937</v>
      </c>
      <c r="H256">
        <f>IF($B$3,-Tabelle2[[#This Row],[Fd]]*Tabelle2[[#This Row],[vx]]/Tabelle2[[#This Row],[v]],0)</f>
        <v>0</v>
      </c>
      <c r="I256">
        <f t="shared" si="33"/>
        <v>0</v>
      </c>
      <c r="J256">
        <f t="shared" si="34"/>
        <v>0</v>
      </c>
      <c r="K256">
        <f t="shared" si="35"/>
        <v>1.0467394398169905</v>
      </c>
      <c r="L256">
        <f>-$B$5*$B$12-IF($B$3,Tabelle2[[#This Row],[Fd]]*Tabelle2[[#This Row],[vy]]/Tabelle2[[#This Row],[v]],0)</f>
        <v>-14.715</v>
      </c>
      <c r="M256">
        <f t="shared" si="36"/>
        <v>-9.81</v>
      </c>
      <c r="N256">
        <f t="shared" si="37"/>
        <v>-0.19620000000000001</v>
      </c>
      <c r="O256">
        <f t="shared" si="38"/>
        <v>0.25272148791195576</v>
      </c>
      <c r="P256" s="1">
        <f t="shared" si="40"/>
        <v>52.336971990849527</v>
      </c>
      <c r="Q256" s="1">
        <f t="shared" si="41"/>
        <v>12.734174395597789</v>
      </c>
      <c r="R256">
        <f>SQRT(Tabelle2[[#This Row],[vx]]*Tabelle2[[#This Row],[vx]]+Tabelle2[[#This Row],[vy]]*Tabelle2[[#This Row],[vy]])</f>
        <v>53.86388246968896</v>
      </c>
      <c r="S256">
        <f t="shared" si="42"/>
        <v>264.82507827369977</v>
      </c>
      <c r="T256" s="1">
        <f t="shared" si="43"/>
        <v>191.73500522235142</v>
      </c>
    </row>
    <row r="257" spans="6:20" x14ac:dyDescent="0.35">
      <c r="F257" s="1">
        <f t="shared" si="39"/>
        <v>5.0799999999999796</v>
      </c>
      <c r="G257">
        <f>1/2*$B$8*$B$6*$B$7*(Tabelle2[[#This Row],[vx]]*Tabelle2[[#This Row],[vx]]+Tabelle2[[#This Row],[vy]]*Tabelle2[[#This Row],[vy]])/1000000</f>
        <v>5.123424066034965</v>
      </c>
      <c r="H257">
        <f>IF($B$3,-Tabelle2[[#This Row],[Fd]]*Tabelle2[[#This Row],[vx]]/Tabelle2[[#This Row],[v]],0)</f>
        <v>0</v>
      </c>
      <c r="I257">
        <f t="shared" si="33"/>
        <v>0</v>
      </c>
      <c r="J257">
        <f t="shared" si="34"/>
        <v>0</v>
      </c>
      <c r="K257">
        <f t="shared" si="35"/>
        <v>1.0467394398169905</v>
      </c>
      <c r="L257">
        <f>-$B$5*$B$12-IF($B$3,Tabelle2[[#This Row],[Fd]]*Tabelle2[[#This Row],[vy]]/Tabelle2[[#This Row],[v]],0)</f>
        <v>-14.715</v>
      </c>
      <c r="M257">
        <f t="shared" si="36"/>
        <v>-9.81</v>
      </c>
      <c r="N257">
        <f t="shared" si="37"/>
        <v>-0.19620000000000001</v>
      </c>
      <c r="O257">
        <f t="shared" si="38"/>
        <v>0.24879748791195577</v>
      </c>
      <c r="P257" s="1">
        <f t="shared" si="40"/>
        <v>52.336971990849527</v>
      </c>
      <c r="Q257" s="1">
        <f t="shared" si="41"/>
        <v>12.537974395597789</v>
      </c>
      <c r="R257">
        <f>SQRT(Tabelle2[[#This Row],[vx]]*Tabelle2[[#This Row],[vx]]+Tabelle2[[#This Row],[vy]]*Tabelle2[[#This Row],[vy]])</f>
        <v>53.81783569705896</v>
      </c>
      <c r="S257">
        <f t="shared" si="42"/>
        <v>265.87181771351675</v>
      </c>
      <c r="T257" s="1">
        <f t="shared" si="43"/>
        <v>191.98772671026339</v>
      </c>
    </row>
    <row r="258" spans="6:20" x14ac:dyDescent="0.35">
      <c r="F258" s="1">
        <f t="shared" si="39"/>
        <v>5.0999999999999792</v>
      </c>
      <c r="G258">
        <f>1/2*$B$8*$B$6*$B$7*(Tabelle2[[#This Row],[vx]]*Tabelle2[[#This Row],[vx]]+Tabelle2[[#This Row],[vy]]*Tabelle2[[#This Row],[vy]])/1000000</f>
        <v>5.1147892549369791</v>
      </c>
      <c r="H258">
        <f>IF($B$3,-Tabelle2[[#This Row],[Fd]]*Tabelle2[[#This Row],[vx]]/Tabelle2[[#This Row],[v]],0)</f>
        <v>0</v>
      </c>
      <c r="I258">
        <f t="shared" si="33"/>
        <v>0</v>
      </c>
      <c r="J258">
        <f t="shared" si="34"/>
        <v>0</v>
      </c>
      <c r="K258">
        <f t="shared" si="35"/>
        <v>1.0467394398169905</v>
      </c>
      <c r="L258">
        <f>-$B$5*$B$12-IF($B$3,Tabelle2[[#This Row],[Fd]]*Tabelle2[[#This Row],[vy]]/Tabelle2[[#This Row],[v]],0)</f>
        <v>-14.715</v>
      </c>
      <c r="M258">
        <f t="shared" si="36"/>
        <v>-9.81</v>
      </c>
      <c r="N258">
        <f t="shared" si="37"/>
        <v>-0.19620000000000001</v>
      </c>
      <c r="O258">
        <f t="shared" si="38"/>
        <v>0.24487348791195579</v>
      </c>
      <c r="P258" s="1">
        <f t="shared" si="40"/>
        <v>52.336971990849527</v>
      </c>
      <c r="Q258" s="1">
        <f t="shared" si="41"/>
        <v>12.34177439559779</v>
      </c>
      <c r="R258">
        <f>SQRT(Tabelle2[[#This Row],[vx]]*Tabelle2[[#This Row],[vx]]+Tabelle2[[#This Row],[vy]]*Tabelle2[[#This Row],[vy]])</f>
        <v>53.772465374044373</v>
      </c>
      <c r="S258">
        <f t="shared" si="42"/>
        <v>266.91855715333372</v>
      </c>
      <c r="T258" s="1">
        <f t="shared" si="43"/>
        <v>192.23652419817535</v>
      </c>
    </row>
    <row r="259" spans="6:20" x14ac:dyDescent="0.35">
      <c r="F259" s="1">
        <f t="shared" si="39"/>
        <v>5.1199999999999788</v>
      </c>
      <c r="G259">
        <f>1/2*$B$8*$B$6*$B$7*(Tabelle2[[#This Row],[vx]]*Tabelle2[[#This Row],[vx]]+Tabelle2[[#This Row],[vy]]*Tabelle2[[#This Row],[vy]])/1000000</f>
        <v>5.1062906309003377</v>
      </c>
      <c r="H259">
        <f>IF($B$3,-Tabelle2[[#This Row],[Fd]]*Tabelle2[[#This Row],[vx]]/Tabelle2[[#This Row],[v]],0)</f>
        <v>0</v>
      </c>
      <c r="I259">
        <f t="shared" ref="I259:I322" si="44">H259/$B$5</f>
        <v>0</v>
      </c>
      <c r="J259">
        <f t="shared" ref="J259:J322" si="45">I259*$B$13</f>
        <v>0</v>
      </c>
      <c r="K259">
        <f t="shared" ref="K259:K322" si="46">$B$13*(P259+J259/2)</f>
        <v>1.0467394398169905</v>
      </c>
      <c r="L259">
        <f>-$B$5*$B$12-IF($B$3,Tabelle2[[#This Row],[Fd]]*Tabelle2[[#This Row],[vy]]/Tabelle2[[#This Row],[v]],0)</f>
        <v>-14.715</v>
      </c>
      <c r="M259">
        <f t="shared" ref="M259:M322" si="47">L259/$B$5</f>
        <v>-9.81</v>
      </c>
      <c r="N259">
        <f t="shared" ref="N259:N322" si="48">M259*$B$13</f>
        <v>-0.19620000000000001</v>
      </c>
      <c r="O259">
        <f t="shared" ref="O259:O322" si="49">$B$13*(Q259+N259/2)</f>
        <v>0.24094948791195581</v>
      </c>
      <c r="P259" s="1">
        <f t="shared" si="40"/>
        <v>52.336971990849527</v>
      </c>
      <c r="Q259" s="1">
        <f t="shared" si="41"/>
        <v>12.145574395597791</v>
      </c>
      <c r="R259">
        <f>SQRT(Tabelle2[[#This Row],[vx]]*Tabelle2[[#This Row],[vx]]+Tabelle2[[#This Row],[vy]]*Tabelle2[[#This Row],[vy]])</f>
        <v>53.727773214325275</v>
      </c>
      <c r="S259">
        <f t="shared" si="42"/>
        <v>267.9652965931507</v>
      </c>
      <c r="T259" s="1">
        <f t="shared" si="43"/>
        <v>192.48139768608729</v>
      </c>
    </row>
    <row r="260" spans="6:20" x14ac:dyDescent="0.35">
      <c r="F260" s="1">
        <f t="shared" ref="F260:F323" si="50">F259+$B$13</f>
        <v>5.1399999999999784</v>
      </c>
      <c r="G260">
        <f>1/2*$B$8*$B$6*$B$7*(Tabelle2[[#This Row],[vx]]*Tabelle2[[#This Row],[vx]]+Tabelle2[[#This Row],[vy]]*Tabelle2[[#This Row],[vy]])/1000000</f>
        <v>5.09792819392504</v>
      </c>
      <c r="H260">
        <f>IF($B$3,-Tabelle2[[#This Row],[Fd]]*Tabelle2[[#This Row],[vx]]/Tabelle2[[#This Row],[v]],0)</f>
        <v>0</v>
      </c>
      <c r="I260">
        <f t="shared" si="44"/>
        <v>0</v>
      </c>
      <c r="J260">
        <f t="shared" si="45"/>
        <v>0</v>
      </c>
      <c r="K260">
        <f t="shared" si="46"/>
        <v>1.0467394398169905</v>
      </c>
      <c r="L260">
        <f>-$B$5*$B$12-IF($B$3,Tabelle2[[#This Row],[Fd]]*Tabelle2[[#This Row],[vy]]/Tabelle2[[#This Row],[v]],0)</f>
        <v>-14.715</v>
      </c>
      <c r="M260">
        <f t="shared" si="47"/>
        <v>-9.81</v>
      </c>
      <c r="N260">
        <f t="shared" si="48"/>
        <v>-0.19620000000000001</v>
      </c>
      <c r="O260">
        <f t="shared" si="49"/>
        <v>0.23702548791195582</v>
      </c>
      <c r="P260" s="1">
        <f t="shared" ref="P260:P323" si="51">P259+J259</f>
        <v>52.336971990849527</v>
      </c>
      <c r="Q260" s="1">
        <f t="shared" ref="Q260:Q323" si="52">Q259+N259</f>
        <v>11.949374395597792</v>
      </c>
      <c r="R260">
        <f>SQRT(Tabelle2[[#This Row],[vx]]*Tabelle2[[#This Row],[vx]]+Tabelle2[[#This Row],[vy]]*Tabelle2[[#This Row],[vy]])</f>
        <v>53.68376091163077</v>
      </c>
      <c r="S260">
        <f t="shared" ref="S260:S323" si="53">S259+K259</f>
        <v>269.01203603296767</v>
      </c>
      <c r="T260" s="1">
        <f t="shared" ref="T260:T323" si="54">T259+O259</f>
        <v>192.72234717399925</v>
      </c>
    </row>
    <row r="261" spans="6:20" x14ac:dyDescent="0.35">
      <c r="F261" s="1">
        <f t="shared" si="50"/>
        <v>5.1599999999999779</v>
      </c>
      <c r="G261">
        <f>1/2*$B$8*$B$6*$B$7*(Tabelle2[[#This Row],[vx]]*Tabelle2[[#This Row],[vx]]+Tabelle2[[#This Row],[vy]]*Tabelle2[[#This Row],[vy]])/1000000</f>
        <v>5.0897019440110869</v>
      </c>
      <c r="H261">
        <f>IF($B$3,-Tabelle2[[#This Row],[Fd]]*Tabelle2[[#This Row],[vx]]/Tabelle2[[#This Row],[v]],0)</f>
        <v>0</v>
      </c>
      <c r="I261">
        <f t="shared" si="44"/>
        <v>0</v>
      </c>
      <c r="J261">
        <f t="shared" si="45"/>
        <v>0</v>
      </c>
      <c r="K261">
        <f t="shared" si="46"/>
        <v>1.0467394398169905</v>
      </c>
      <c r="L261">
        <f>-$B$5*$B$12-IF($B$3,Tabelle2[[#This Row],[Fd]]*Tabelle2[[#This Row],[vy]]/Tabelle2[[#This Row],[v]],0)</f>
        <v>-14.715</v>
      </c>
      <c r="M261">
        <f t="shared" si="47"/>
        <v>-9.81</v>
      </c>
      <c r="N261">
        <f t="shared" si="48"/>
        <v>-0.19620000000000001</v>
      </c>
      <c r="O261">
        <f t="shared" si="49"/>
        <v>0.23310148791195584</v>
      </c>
      <c r="P261" s="1">
        <f t="shared" si="51"/>
        <v>52.336971990849527</v>
      </c>
      <c r="Q261" s="1">
        <f t="shared" si="52"/>
        <v>11.753174395597792</v>
      </c>
      <c r="R261">
        <f>SQRT(Tabelle2[[#This Row],[vx]]*Tabelle2[[#This Row],[vx]]+Tabelle2[[#This Row],[vy]]*Tabelle2[[#This Row],[vy]])</f>
        <v>53.640430139441492</v>
      </c>
      <c r="S261">
        <f t="shared" si="53"/>
        <v>270.05877547278465</v>
      </c>
      <c r="T261" s="1">
        <f t="shared" si="54"/>
        <v>192.9593726619112</v>
      </c>
    </row>
    <row r="262" spans="6:20" x14ac:dyDescent="0.35">
      <c r="F262" s="1">
        <f t="shared" si="50"/>
        <v>5.1799999999999775</v>
      </c>
      <c r="G262">
        <f>1/2*$B$8*$B$6*$B$7*(Tabelle2[[#This Row],[vx]]*Tabelle2[[#This Row],[vx]]+Tabelle2[[#This Row],[vy]]*Tabelle2[[#This Row],[vy]])/1000000</f>
        <v>5.0816118811584765</v>
      </c>
      <c r="H262">
        <f>IF($B$3,-Tabelle2[[#This Row],[Fd]]*Tabelle2[[#This Row],[vx]]/Tabelle2[[#This Row],[v]],0)</f>
        <v>0</v>
      </c>
      <c r="I262">
        <f t="shared" si="44"/>
        <v>0</v>
      </c>
      <c r="J262">
        <f t="shared" si="45"/>
        <v>0</v>
      </c>
      <c r="K262">
        <f t="shared" si="46"/>
        <v>1.0467394398169905</v>
      </c>
      <c r="L262">
        <f>-$B$5*$B$12-IF($B$3,Tabelle2[[#This Row],[Fd]]*Tabelle2[[#This Row],[vy]]/Tabelle2[[#This Row],[v]],0)</f>
        <v>-14.715</v>
      </c>
      <c r="M262">
        <f t="shared" si="47"/>
        <v>-9.81</v>
      </c>
      <c r="N262">
        <f t="shared" si="48"/>
        <v>-0.19620000000000001</v>
      </c>
      <c r="O262">
        <f t="shared" si="49"/>
        <v>0.22917748791195586</v>
      </c>
      <c r="P262" s="1">
        <f t="shared" si="51"/>
        <v>52.336971990849527</v>
      </c>
      <c r="Q262" s="1">
        <f t="shared" si="52"/>
        <v>11.556974395597793</v>
      </c>
      <c r="R262">
        <f>SQRT(Tabelle2[[#This Row],[vx]]*Tabelle2[[#This Row],[vx]]+Tabelle2[[#This Row],[vy]]*Tabelle2[[#This Row],[vy]])</f>
        <v>53.597782550693928</v>
      </c>
      <c r="S262">
        <f t="shared" si="53"/>
        <v>271.10551491260162</v>
      </c>
      <c r="T262" s="1">
        <f t="shared" si="54"/>
        <v>193.19247414982317</v>
      </c>
    </row>
    <row r="263" spans="6:20" x14ac:dyDescent="0.35">
      <c r="F263" s="1">
        <f t="shared" si="50"/>
        <v>5.1999999999999771</v>
      </c>
      <c r="G263">
        <f>1/2*$B$8*$B$6*$B$7*(Tabelle2[[#This Row],[vx]]*Tabelle2[[#This Row],[vx]]+Tabelle2[[#This Row],[vy]]*Tabelle2[[#This Row],[vy]])/1000000</f>
        <v>5.0736580053672107</v>
      </c>
      <c r="H263">
        <f>IF($B$3,-Tabelle2[[#This Row],[Fd]]*Tabelle2[[#This Row],[vx]]/Tabelle2[[#This Row],[v]],0)</f>
        <v>0</v>
      </c>
      <c r="I263">
        <f t="shared" si="44"/>
        <v>0</v>
      </c>
      <c r="J263">
        <f t="shared" si="45"/>
        <v>0</v>
      </c>
      <c r="K263">
        <f t="shared" si="46"/>
        <v>1.0467394398169905</v>
      </c>
      <c r="L263">
        <f>-$B$5*$B$12-IF($B$3,Tabelle2[[#This Row],[Fd]]*Tabelle2[[#This Row],[vy]]/Tabelle2[[#This Row],[v]],0)</f>
        <v>-14.715</v>
      </c>
      <c r="M263">
        <f t="shared" si="47"/>
        <v>-9.81</v>
      </c>
      <c r="N263">
        <f t="shared" si="48"/>
        <v>-0.19620000000000001</v>
      </c>
      <c r="O263">
        <f t="shared" si="49"/>
        <v>0.22525348791195587</v>
      </c>
      <c r="P263" s="1">
        <f t="shared" si="51"/>
        <v>52.336971990849527</v>
      </c>
      <c r="Q263" s="1">
        <f t="shared" si="52"/>
        <v>11.360774395597794</v>
      </c>
      <c r="R263">
        <f>SQRT(Tabelle2[[#This Row],[vx]]*Tabelle2[[#This Row],[vx]]+Tabelle2[[#This Row],[vy]]*Tabelle2[[#This Row],[vy]])</f>
        <v>53.555819777486725</v>
      </c>
      <c r="S263">
        <f t="shared" si="53"/>
        <v>272.15225435241859</v>
      </c>
      <c r="T263" s="1">
        <f t="shared" si="54"/>
        <v>193.42165163773512</v>
      </c>
    </row>
    <row r="264" spans="6:20" x14ac:dyDescent="0.35">
      <c r="F264" s="1">
        <f t="shared" si="50"/>
        <v>5.2199999999999767</v>
      </c>
      <c r="G264">
        <f>1/2*$B$8*$B$6*$B$7*(Tabelle2[[#This Row],[vx]]*Tabelle2[[#This Row],[vx]]+Tabelle2[[#This Row],[vy]]*Tabelle2[[#This Row],[vy]])/1000000</f>
        <v>5.0658403166372894</v>
      </c>
      <c r="H264">
        <f>IF($B$3,-Tabelle2[[#This Row],[Fd]]*Tabelle2[[#This Row],[vx]]/Tabelle2[[#This Row],[v]],0)</f>
        <v>0</v>
      </c>
      <c r="I264">
        <f t="shared" si="44"/>
        <v>0</v>
      </c>
      <c r="J264">
        <f t="shared" si="45"/>
        <v>0</v>
      </c>
      <c r="K264">
        <f t="shared" si="46"/>
        <v>1.0467394398169905</v>
      </c>
      <c r="L264">
        <f>-$B$5*$B$12-IF($B$3,Tabelle2[[#This Row],[Fd]]*Tabelle2[[#This Row],[vy]]/Tabelle2[[#This Row],[v]],0)</f>
        <v>-14.715</v>
      </c>
      <c r="M264">
        <f t="shared" si="47"/>
        <v>-9.81</v>
      </c>
      <c r="N264">
        <f t="shared" si="48"/>
        <v>-0.19620000000000001</v>
      </c>
      <c r="O264">
        <f t="shared" si="49"/>
        <v>0.22132948791195589</v>
      </c>
      <c r="P264" s="1">
        <f t="shared" si="51"/>
        <v>52.336971990849527</v>
      </c>
      <c r="Q264" s="1">
        <f t="shared" si="52"/>
        <v>11.164574395597795</v>
      </c>
      <c r="R264">
        <f>SQRT(Tabelle2[[#This Row],[vx]]*Tabelle2[[#This Row],[vx]]+Tabelle2[[#This Row],[vy]]*Tabelle2[[#This Row],[vy]])</f>
        <v>53.514543430789033</v>
      </c>
      <c r="S264">
        <f t="shared" si="53"/>
        <v>273.19899379223557</v>
      </c>
      <c r="T264" s="1">
        <f t="shared" si="54"/>
        <v>193.64690512564707</v>
      </c>
    </row>
    <row r="265" spans="6:20" x14ac:dyDescent="0.35">
      <c r="F265" s="1">
        <f t="shared" si="50"/>
        <v>5.2399999999999762</v>
      </c>
      <c r="G265">
        <f>1/2*$B$8*$B$6*$B$7*(Tabelle2[[#This Row],[vx]]*Tabelle2[[#This Row],[vx]]+Tabelle2[[#This Row],[vy]]*Tabelle2[[#This Row],[vy]])/1000000</f>
        <v>5.0581588149687118</v>
      </c>
      <c r="H265">
        <f>IF($B$3,-Tabelle2[[#This Row],[Fd]]*Tabelle2[[#This Row],[vx]]/Tabelle2[[#This Row],[v]],0)</f>
        <v>0</v>
      </c>
      <c r="I265">
        <f t="shared" si="44"/>
        <v>0</v>
      </c>
      <c r="J265">
        <f t="shared" si="45"/>
        <v>0</v>
      </c>
      <c r="K265">
        <f t="shared" si="46"/>
        <v>1.0467394398169905</v>
      </c>
      <c r="L265">
        <f>-$B$5*$B$12-IF($B$3,Tabelle2[[#This Row],[Fd]]*Tabelle2[[#This Row],[vy]]/Tabelle2[[#This Row],[v]],0)</f>
        <v>-14.715</v>
      </c>
      <c r="M265">
        <f t="shared" si="47"/>
        <v>-9.81</v>
      </c>
      <c r="N265">
        <f t="shared" si="48"/>
        <v>-0.19620000000000001</v>
      </c>
      <c r="O265">
        <f t="shared" si="49"/>
        <v>0.21740548791195591</v>
      </c>
      <c r="P265" s="1">
        <f t="shared" si="51"/>
        <v>52.336971990849527</v>
      </c>
      <c r="Q265" s="1">
        <f t="shared" si="52"/>
        <v>10.968374395597795</v>
      </c>
      <c r="R265">
        <f>SQRT(Tabelle2[[#This Row],[vx]]*Tabelle2[[#This Row],[vx]]+Tabelle2[[#This Row],[vy]]*Tabelle2[[#This Row],[vy]])</f>
        <v>53.473955100151073</v>
      </c>
      <c r="S265">
        <f t="shared" si="53"/>
        <v>274.24573323205254</v>
      </c>
      <c r="T265" s="1">
        <f t="shared" si="54"/>
        <v>193.86823461355903</v>
      </c>
    </row>
    <row r="266" spans="6:20" x14ac:dyDescent="0.35">
      <c r="F266" s="1">
        <f t="shared" si="50"/>
        <v>5.2599999999999758</v>
      </c>
      <c r="G266">
        <f>1/2*$B$8*$B$6*$B$7*(Tabelle2[[#This Row],[vx]]*Tabelle2[[#This Row],[vx]]+Tabelle2[[#This Row],[vy]]*Tabelle2[[#This Row],[vy]])/1000000</f>
        <v>5.0506135003614787</v>
      </c>
      <c r="H266">
        <f>IF($B$3,-Tabelle2[[#This Row],[Fd]]*Tabelle2[[#This Row],[vx]]/Tabelle2[[#This Row],[v]],0)</f>
        <v>0</v>
      </c>
      <c r="I266">
        <f t="shared" si="44"/>
        <v>0</v>
      </c>
      <c r="J266">
        <f t="shared" si="45"/>
        <v>0</v>
      </c>
      <c r="K266">
        <f t="shared" si="46"/>
        <v>1.0467394398169905</v>
      </c>
      <c r="L266">
        <f>-$B$5*$B$12-IF($B$3,Tabelle2[[#This Row],[Fd]]*Tabelle2[[#This Row],[vy]]/Tabelle2[[#This Row],[v]],0)</f>
        <v>-14.715</v>
      </c>
      <c r="M266">
        <f t="shared" si="47"/>
        <v>-9.81</v>
      </c>
      <c r="N266">
        <f t="shared" si="48"/>
        <v>-0.19620000000000001</v>
      </c>
      <c r="O266">
        <f t="shared" si="49"/>
        <v>0.21348148791195592</v>
      </c>
      <c r="P266" s="1">
        <f t="shared" si="51"/>
        <v>52.336971990849527</v>
      </c>
      <c r="Q266" s="1">
        <f t="shared" si="52"/>
        <v>10.772174395597796</v>
      </c>
      <c r="R266">
        <f>SQRT(Tabelle2[[#This Row],[vx]]*Tabelle2[[#This Row],[vx]]+Tabelle2[[#This Row],[vy]]*Tabelle2[[#This Row],[vy]])</f>
        <v>53.43405635341697</v>
      </c>
      <c r="S266">
        <f t="shared" si="53"/>
        <v>275.29247267186952</v>
      </c>
      <c r="T266" s="1">
        <f t="shared" si="54"/>
        <v>194.08564010147097</v>
      </c>
    </row>
    <row r="267" spans="6:20" x14ac:dyDescent="0.35">
      <c r="F267" s="1">
        <f t="shared" si="50"/>
        <v>5.2799999999999754</v>
      </c>
      <c r="G267">
        <f>1/2*$B$8*$B$6*$B$7*(Tabelle2[[#This Row],[vx]]*Tabelle2[[#This Row],[vx]]+Tabelle2[[#This Row],[vy]]*Tabelle2[[#This Row],[vy]])/1000000</f>
        <v>5.0432043728155884</v>
      </c>
      <c r="H267">
        <f>IF($B$3,-Tabelle2[[#This Row],[Fd]]*Tabelle2[[#This Row],[vx]]/Tabelle2[[#This Row],[v]],0)</f>
        <v>0</v>
      </c>
      <c r="I267">
        <f t="shared" si="44"/>
        <v>0</v>
      </c>
      <c r="J267">
        <f t="shared" si="45"/>
        <v>0</v>
      </c>
      <c r="K267">
        <f t="shared" si="46"/>
        <v>1.0467394398169905</v>
      </c>
      <c r="L267">
        <f>-$B$5*$B$12-IF($B$3,Tabelle2[[#This Row],[Fd]]*Tabelle2[[#This Row],[vy]]/Tabelle2[[#This Row],[v]],0)</f>
        <v>-14.715</v>
      </c>
      <c r="M267">
        <f t="shared" si="47"/>
        <v>-9.81</v>
      </c>
      <c r="N267">
        <f t="shared" si="48"/>
        <v>-0.19620000000000001</v>
      </c>
      <c r="O267">
        <f t="shared" si="49"/>
        <v>0.20955748791195594</v>
      </c>
      <c r="P267" s="1">
        <f t="shared" si="51"/>
        <v>52.336971990849527</v>
      </c>
      <c r="Q267" s="1">
        <f t="shared" si="52"/>
        <v>10.575974395597797</v>
      </c>
      <c r="R267">
        <f>SQRT(Tabelle2[[#This Row],[vx]]*Tabelle2[[#This Row],[vx]]+Tabelle2[[#This Row],[vy]]*Tabelle2[[#This Row],[vy]])</f>
        <v>53.394848736439997</v>
      </c>
      <c r="S267">
        <f t="shared" si="53"/>
        <v>276.33921211168649</v>
      </c>
      <c r="T267" s="1">
        <f t="shared" si="54"/>
        <v>194.29912158938293</v>
      </c>
    </row>
    <row r="268" spans="6:20" x14ac:dyDescent="0.35">
      <c r="F268" s="1">
        <f t="shared" si="50"/>
        <v>5.299999999999975</v>
      </c>
      <c r="G268">
        <f>1/2*$B$8*$B$6*$B$7*(Tabelle2[[#This Row],[vx]]*Tabelle2[[#This Row],[vx]]+Tabelle2[[#This Row],[vy]]*Tabelle2[[#This Row],[vy]])/1000000</f>
        <v>5.0359314323310436</v>
      </c>
      <c r="H268">
        <f>IF($B$3,-Tabelle2[[#This Row],[Fd]]*Tabelle2[[#This Row],[vx]]/Tabelle2[[#This Row],[v]],0)</f>
        <v>0</v>
      </c>
      <c r="I268">
        <f t="shared" si="44"/>
        <v>0</v>
      </c>
      <c r="J268">
        <f t="shared" si="45"/>
        <v>0</v>
      </c>
      <c r="K268">
        <f t="shared" si="46"/>
        <v>1.0467394398169905</v>
      </c>
      <c r="L268">
        <f>-$B$5*$B$12-IF($B$3,Tabelle2[[#This Row],[Fd]]*Tabelle2[[#This Row],[vy]]/Tabelle2[[#This Row],[v]],0)</f>
        <v>-14.715</v>
      </c>
      <c r="M268">
        <f t="shared" si="47"/>
        <v>-9.81</v>
      </c>
      <c r="N268">
        <f t="shared" si="48"/>
        <v>-0.19620000000000001</v>
      </c>
      <c r="O268">
        <f t="shared" si="49"/>
        <v>0.20563348791195593</v>
      </c>
      <c r="P268" s="1">
        <f t="shared" si="51"/>
        <v>52.336971990849527</v>
      </c>
      <c r="Q268" s="1">
        <f t="shared" si="52"/>
        <v>10.379774395597797</v>
      </c>
      <c r="R268">
        <f>SQRT(Tabelle2[[#This Row],[vx]]*Tabelle2[[#This Row],[vx]]+Tabelle2[[#This Row],[vy]]*Tabelle2[[#This Row],[vy]])</f>
        <v>53.356333772800355</v>
      </c>
      <c r="S268">
        <f t="shared" si="53"/>
        <v>277.38595155150347</v>
      </c>
      <c r="T268" s="1">
        <f t="shared" si="54"/>
        <v>194.50867907729489</v>
      </c>
    </row>
    <row r="269" spans="6:20" x14ac:dyDescent="0.35">
      <c r="F269" s="1">
        <f t="shared" si="50"/>
        <v>5.3199999999999745</v>
      </c>
      <c r="G269">
        <f>1/2*$B$8*$B$6*$B$7*(Tabelle2[[#This Row],[vx]]*Tabelle2[[#This Row],[vx]]+Tabelle2[[#This Row],[vy]]*Tabelle2[[#This Row],[vy]])/1000000</f>
        <v>5.0287946789078406</v>
      </c>
      <c r="H269">
        <f>IF($B$3,-Tabelle2[[#This Row],[Fd]]*Tabelle2[[#This Row],[vx]]/Tabelle2[[#This Row],[v]],0)</f>
        <v>0</v>
      </c>
      <c r="I269">
        <f t="shared" si="44"/>
        <v>0</v>
      </c>
      <c r="J269">
        <f t="shared" si="45"/>
        <v>0</v>
      </c>
      <c r="K269">
        <f t="shared" si="46"/>
        <v>1.0467394398169905</v>
      </c>
      <c r="L269">
        <f>-$B$5*$B$12-IF($B$3,Tabelle2[[#This Row],[Fd]]*Tabelle2[[#This Row],[vy]]/Tabelle2[[#This Row],[v]],0)</f>
        <v>-14.715</v>
      </c>
      <c r="M269">
        <f t="shared" si="47"/>
        <v>-9.81</v>
      </c>
      <c r="N269">
        <f t="shared" si="48"/>
        <v>-0.19620000000000001</v>
      </c>
      <c r="O269">
        <f t="shared" si="49"/>
        <v>0.20170948791195595</v>
      </c>
      <c r="P269" s="1">
        <f t="shared" si="51"/>
        <v>52.336971990849527</v>
      </c>
      <c r="Q269" s="1">
        <f t="shared" si="52"/>
        <v>10.183574395597798</v>
      </c>
      <c r="R269">
        <f>SQRT(Tabelle2[[#This Row],[vx]]*Tabelle2[[#This Row],[vx]]+Tabelle2[[#This Row],[vy]]*Tabelle2[[#This Row],[vy]])</f>
        <v>53.318512963525556</v>
      </c>
      <c r="S269">
        <f t="shared" si="53"/>
        <v>278.43269099132044</v>
      </c>
      <c r="T269" s="1">
        <f t="shared" si="54"/>
        <v>194.71431256520685</v>
      </c>
    </row>
    <row r="270" spans="6:20" x14ac:dyDescent="0.35">
      <c r="F270" s="1">
        <f t="shared" si="50"/>
        <v>5.3399999999999741</v>
      </c>
      <c r="G270">
        <f>1/2*$B$8*$B$6*$B$7*(Tabelle2[[#This Row],[vx]]*Tabelle2[[#This Row],[vx]]+Tabelle2[[#This Row],[vy]]*Tabelle2[[#This Row],[vy]])/1000000</f>
        <v>5.021794112545984</v>
      </c>
      <c r="H270">
        <f>IF($B$3,-Tabelle2[[#This Row],[Fd]]*Tabelle2[[#This Row],[vx]]/Tabelle2[[#This Row],[v]],0)</f>
        <v>0</v>
      </c>
      <c r="I270">
        <f t="shared" si="44"/>
        <v>0</v>
      </c>
      <c r="J270">
        <f t="shared" si="45"/>
        <v>0</v>
      </c>
      <c r="K270">
        <f t="shared" si="46"/>
        <v>1.0467394398169905</v>
      </c>
      <c r="L270">
        <f>-$B$5*$B$12-IF($B$3,Tabelle2[[#This Row],[Fd]]*Tabelle2[[#This Row],[vy]]/Tabelle2[[#This Row],[v]],0)</f>
        <v>-14.715</v>
      </c>
      <c r="M270">
        <f t="shared" si="47"/>
        <v>-9.81</v>
      </c>
      <c r="N270">
        <f t="shared" si="48"/>
        <v>-0.19620000000000001</v>
      </c>
      <c r="O270">
        <f t="shared" si="49"/>
        <v>0.19778548791195597</v>
      </c>
      <c r="P270" s="1">
        <f t="shared" si="51"/>
        <v>52.336971990849527</v>
      </c>
      <c r="Q270" s="1">
        <f t="shared" si="52"/>
        <v>9.9873743955977989</v>
      </c>
      <c r="R270">
        <f>SQRT(Tabelle2[[#This Row],[vx]]*Tabelle2[[#This Row],[vx]]+Tabelle2[[#This Row],[vy]]*Tabelle2[[#This Row],[vy]])</f>
        <v>53.28138778681361</v>
      </c>
      <c r="S270">
        <f t="shared" si="53"/>
        <v>279.47943043113742</v>
      </c>
      <c r="T270" s="1">
        <f t="shared" si="54"/>
        <v>194.91602205311881</v>
      </c>
    </row>
    <row r="271" spans="6:20" x14ac:dyDescent="0.35">
      <c r="F271" s="1">
        <f t="shared" si="50"/>
        <v>5.3599999999999737</v>
      </c>
      <c r="G271">
        <f>1/2*$B$8*$B$6*$B$7*(Tabelle2[[#This Row],[vx]]*Tabelle2[[#This Row],[vx]]+Tabelle2[[#This Row],[vy]]*Tabelle2[[#This Row],[vy]])/1000000</f>
        <v>5.0149297332454692</v>
      </c>
      <c r="H271">
        <f>IF($B$3,-Tabelle2[[#This Row],[Fd]]*Tabelle2[[#This Row],[vx]]/Tabelle2[[#This Row],[v]],0)</f>
        <v>0</v>
      </c>
      <c r="I271">
        <f t="shared" si="44"/>
        <v>0</v>
      </c>
      <c r="J271">
        <f t="shared" si="45"/>
        <v>0</v>
      </c>
      <c r="K271">
        <f t="shared" si="46"/>
        <v>1.0467394398169905</v>
      </c>
      <c r="L271">
        <f>-$B$5*$B$12-IF($B$3,Tabelle2[[#This Row],[Fd]]*Tabelle2[[#This Row],[vy]]/Tabelle2[[#This Row],[v]],0)</f>
        <v>-14.715</v>
      </c>
      <c r="M271">
        <f t="shared" si="47"/>
        <v>-9.81</v>
      </c>
      <c r="N271">
        <f t="shared" si="48"/>
        <v>-0.19620000000000001</v>
      </c>
      <c r="O271">
        <f t="shared" si="49"/>
        <v>0.19386148791195598</v>
      </c>
      <c r="P271" s="1">
        <f t="shared" si="51"/>
        <v>52.336971990849527</v>
      </c>
      <c r="Q271" s="1">
        <f t="shared" si="52"/>
        <v>9.7911743955977997</v>
      </c>
      <c r="R271">
        <f>SQRT(Tabelle2[[#This Row],[vx]]*Tabelle2[[#This Row],[vx]]+Tabelle2[[#This Row],[vy]]*Tabelle2[[#This Row],[vy]])</f>
        <v>53.244959697758979</v>
      </c>
      <c r="S271">
        <f t="shared" si="53"/>
        <v>280.52616987095439</v>
      </c>
      <c r="T271" s="1">
        <f t="shared" si="54"/>
        <v>195.11380754103075</v>
      </c>
    </row>
    <row r="272" spans="6:20" x14ac:dyDescent="0.35">
      <c r="F272" s="1">
        <f t="shared" si="50"/>
        <v>5.3799999999999732</v>
      </c>
      <c r="G272">
        <f>1/2*$B$8*$B$6*$B$7*(Tabelle2[[#This Row],[vx]]*Tabelle2[[#This Row],[vx]]+Tabelle2[[#This Row],[vy]]*Tabelle2[[#This Row],[vy]])/1000000</f>
        <v>5.0082015410062999</v>
      </c>
      <c r="H272">
        <f>IF($B$3,-Tabelle2[[#This Row],[Fd]]*Tabelle2[[#This Row],[vx]]/Tabelle2[[#This Row],[v]],0)</f>
        <v>0</v>
      </c>
      <c r="I272">
        <f t="shared" si="44"/>
        <v>0</v>
      </c>
      <c r="J272">
        <f t="shared" si="45"/>
        <v>0</v>
      </c>
      <c r="K272">
        <f t="shared" si="46"/>
        <v>1.0467394398169905</v>
      </c>
      <c r="L272">
        <f>-$B$5*$B$12-IF($B$3,Tabelle2[[#This Row],[Fd]]*Tabelle2[[#This Row],[vy]]/Tabelle2[[#This Row],[v]],0)</f>
        <v>-14.715</v>
      </c>
      <c r="M272">
        <f t="shared" si="47"/>
        <v>-9.81</v>
      </c>
      <c r="N272">
        <f t="shared" si="48"/>
        <v>-0.19620000000000001</v>
      </c>
      <c r="O272">
        <f t="shared" si="49"/>
        <v>0.189937487911956</v>
      </c>
      <c r="P272" s="1">
        <f t="shared" si="51"/>
        <v>52.336971990849527</v>
      </c>
      <c r="Q272" s="1">
        <f t="shared" si="52"/>
        <v>9.5949743955978004</v>
      </c>
      <c r="R272">
        <f>SQRT(Tabelle2[[#This Row],[vx]]*Tabelle2[[#This Row],[vx]]+Tabelle2[[#This Row],[vy]]*Tabelle2[[#This Row],[vy]])</f>
        <v>53.209230128081586</v>
      </c>
      <c r="S272">
        <f t="shared" si="53"/>
        <v>281.57290931077137</v>
      </c>
      <c r="T272" s="1">
        <f t="shared" si="54"/>
        <v>195.30766902894271</v>
      </c>
    </row>
    <row r="273" spans="6:20" x14ac:dyDescent="0.35">
      <c r="F273" s="1">
        <f t="shared" si="50"/>
        <v>5.3999999999999728</v>
      </c>
      <c r="G273">
        <f>1/2*$B$8*$B$6*$B$7*(Tabelle2[[#This Row],[vx]]*Tabelle2[[#This Row],[vx]]+Tabelle2[[#This Row],[vy]]*Tabelle2[[#This Row],[vy]])/1000000</f>
        <v>5.0016095358284742</v>
      </c>
      <c r="H273">
        <f>IF($B$3,-Tabelle2[[#This Row],[Fd]]*Tabelle2[[#This Row],[vx]]/Tabelle2[[#This Row],[v]],0)</f>
        <v>0</v>
      </c>
      <c r="I273">
        <f t="shared" si="44"/>
        <v>0</v>
      </c>
      <c r="J273">
        <f t="shared" si="45"/>
        <v>0</v>
      </c>
      <c r="K273">
        <f t="shared" si="46"/>
        <v>1.0467394398169905</v>
      </c>
      <c r="L273">
        <f>-$B$5*$B$12-IF($B$3,Tabelle2[[#This Row],[Fd]]*Tabelle2[[#This Row],[vy]]/Tabelle2[[#This Row],[v]],0)</f>
        <v>-14.715</v>
      </c>
      <c r="M273">
        <f t="shared" si="47"/>
        <v>-9.81</v>
      </c>
      <c r="N273">
        <f t="shared" si="48"/>
        <v>-0.19620000000000001</v>
      </c>
      <c r="O273">
        <f t="shared" si="49"/>
        <v>0.18601348791195602</v>
      </c>
      <c r="P273" s="1">
        <f t="shared" si="51"/>
        <v>52.336971990849527</v>
      </c>
      <c r="Q273" s="1">
        <f t="shared" si="52"/>
        <v>9.3987743955978011</v>
      </c>
      <c r="R273">
        <f>SQRT(Tabelle2[[#This Row],[vx]]*Tabelle2[[#This Row],[vx]]+Tabelle2[[#This Row],[vy]]*Tabelle2[[#This Row],[vy]])</f>
        <v>53.174200485858861</v>
      </c>
      <c r="S273">
        <f t="shared" si="53"/>
        <v>282.61964875058834</v>
      </c>
      <c r="T273" s="1">
        <f t="shared" si="54"/>
        <v>195.49760651685466</v>
      </c>
    </row>
    <row r="274" spans="6:20" x14ac:dyDescent="0.35">
      <c r="F274" s="1">
        <f t="shared" si="50"/>
        <v>5.4199999999999724</v>
      </c>
      <c r="G274">
        <f>1/2*$B$8*$B$6*$B$7*(Tabelle2[[#This Row],[vx]]*Tabelle2[[#This Row],[vx]]+Tabelle2[[#This Row],[vy]]*Tabelle2[[#This Row],[vy]])/1000000</f>
        <v>4.9951537177119913</v>
      </c>
      <c r="H274">
        <f>IF($B$3,-Tabelle2[[#This Row],[Fd]]*Tabelle2[[#This Row],[vx]]/Tabelle2[[#This Row],[v]],0)</f>
        <v>0</v>
      </c>
      <c r="I274">
        <f t="shared" si="44"/>
        <v>0</v>
      </c>
      <c r="J274">
        <f t="shared" si="45"/>
        <v>0</v>
      </c>
      <c r="K274">
        <f t="shared" si="46"/>
        <v>1.0467394398169905</v>
      </c>
      <c r="L274">
        <f>-$B$5*$B$12-IF($B$3,Tabelle2[[#This Row],[Fd]]*Tabelle2[[#This Row],[vy]]/Tabelle2[[#This Row],[v]],0)</f>
        <v>-14.715</v>
      </c>
      <c r="M274">
        <f t="shared" si="47"/>
        <v>-9.81</v>
      </c>
      <c r="N274">
        <f t="shared" si="48"/>
        <v>-0.19620000000000001</v>
      </c>
      <c r="O274">
        <f t="shared" si="49"/>
        <v>0.18208948791195603</v>
      </c>
      <c r="P274" s="1">
        <f t="shared" si="51"/>
        <v>52.336971990849527</v>
      </c>
      <c r="Q274" s="1">
        <f t="shared" si="52"/>
        <v>9.2025743955978019</v>
      </c>
      <c r="R274">
        <f>SQRT(Tabelle2[[#This Row],[vx]]*Tabelle2[[#This Row],[vx]]+Tabelle2[[#This Row],[vy]]*Tabelle2[[#This Row],[vy]])</f>
        <v>53.139872155260967</v>
      </c>
      <c r="S274">
        <f t="shared" si="53"/>
        <v>283.66638819040531</v>
      </c>
      <c r="T274" s="1">
        <f t="shared" si="54"/>
        <v>195.68362000476662</v>
      </c>
    </row>
    <row r="275" spans="6:20" x14ac:dyDescent="0.35">
      <c r="F275" s="1">
        <f t="shared" si="50"/>
        <v>5.439999999999972</v>
      </c>
      <c r="G275">
        <f>1/2*$B$8*$B$6*$B$7*(Tabelle2[[#This Row],[vx]]*Tabelle2[[#This Row],[vx]]+Tabelle2[[#This Row],[vy]]*Tabelle2[[#This Row],[vy]])/1000000</f>
        <v>4.9888340866568548</v>
      </c>
      <c r="H275">
        <f>IF($B$3,-Tabelle2[[#This Row],[Fd]]*Tabelle2[[#This Row],[vx]]/Tabelle2[[#This Row],[v]],0)</f>
        <v>0</v>
      </c>
      <c r="I275">
        <f t="shared" si="44"/>
        <v>0</v>
      </c>
      <c r="J275">
        <f t="shared" si="45"/>
        <v>0</v>
      </c>
      <c r="K275">
        <f t="shared" si="46"/>
        <v>1.0467394398169905</v>
      </c>
      <c r="L275">
        <f>-$B$5*$B$12-IF($B$3,Tabelle2[[#This Row],[Fd]]*Tabelle2[[#This Row],[vy]]/Tabelle2[[#This Row],[v]],0)</f>
        <v>-14.715</v>
      </c>
      <c r="M275">
        <f t="shared" si="47"/>
        <v>-9.81</v>
      </c>
      <c r="N275">
        <f t="shared" si="48"/>
        <v>-0.19620000000000001</v>
      </c>
      <c r="O275">
        <f t="shared" si="49"/>
        <v>0.17816548791195605</v>
      </c>
      <c r="P275" s="1">
        <f t="shared" si="51"/>
        <v>52.336971990849527</v>
      </c>
      <c r="Q275" s="1">
        <f t="shared" si="52"/>
        <v>9.0063743955978026</v>
      </c>
      <c r="R275">
        <f>SQRT(Tabelle2[[#This Row],[vx]]*Tabelle2[[#This Row],[vx]]+Tabelle2[[#This Row],[vy]]*Tabelle2[[#This Row],[vy]])</f>
        <v>53.106246496289373</v>
      </c>
      <c r="S275">
        <f t="shared" si="53"/>
        <v>284.71312763022229</v>
      </c>
      <c r="T275" s="1">
        <f t="shared" si="54"/>
        <v>195.86570949267858</v>
      </c>
    </row>
    <row r="276" spans="6:20" x14ac:dyDescent="0.35">
      <c r="F276" s="1">
        <f t="shared" si="50"/>
        <v>5.4599999999999715</v>
      </c>
      <c r="G276">
        <f>1/2*$B$8*$B$6*$B$7*(Tabelle2[[#This Row],[vx]]*Tabelle2[[#This Row],[vx]]+Tabelle2[[#This Row],[vy]]*Tabelle2[[#This Row],[vy]])/1000000</f>
        <v>4.982650642663061</v>
      </c>
      <c r="H276">
        <f>IF($B$3,-Tabelle2[[#This Row],[Fd]]*Tabelle2[[#This Row],[vx]]/Tabelle2[[#This Row],[v]],0)</f>
        <v>0</v>
      </c>
      <c r="I276">
        <f t="shared" si="44"/>
        <v>0</v>
      </c>
      <c r="J276">
        <f t="shared" si="45"/>
        <v>0</v>
      </c>
      <c r="K276">
        <f t="shared" si="46"/>
        <v>1.0467394398169905</v>
      </c>
      <c r="L276">
        <f>-$B$5*$B$12-IF($B$3,Tabelle2[[#This Row],[Fd]]*Tabelle2[[#This Row],[vy]]/Tabelle2[[#This Row],[v]],0)</f>
        <v>-14.715</v>
      </c>
      <c r="M276">
        <f t="shared" si="47"/>
        <v>-9.81</v>
      </c>
      <c r="N276">
        <f t="shared" si="48"/>
        <v>-0.19620000000000001</v>
      </c>
      <c r="O276">
        <f t="shared" si="49"/>
        <v>0.17424148791195607</v>
      </c>
      <c r="P276" s="1">
        <f t="shared" si="51"/>
        <v>52.336971990849527</v>
      </c>
      <c r="Q276" s="1">
        <f t="shared" si="52"/>
        <v>8.8101743955978034</v>
      </c>
      <c r="R276">
        <f>SQRT(Tabelle2[[#This Row],[vx]]*Tabelle2[[#This Row],[vx]]+Tabelle2[[#This Row],[vy]]*Tabelle2[[#This Row],[vy]])</f>
        <v>53.073324844518787</v>
      </c>
      <c r="S276">
        <f t="shared" si="53"/>
        <v>285.75986707003926</v>
      </c>
      <c r="T276" s="1">
        <f t="shared" si="54"/>
        <v>196.04387498059054</v>
      </c>
    </row>
    <row r="277" spans="6:20" x14ac:dyDescent="0.35">
      <c r="F277" s="1">
        <f t="shared" si="50"/>
        <v>5.4799999999999711</v>
      </c>
      <c r="G277">
        <f>1/2*$B$8*$B$6*$B$7*(Tabelle2[[#This Row],[vx]]*Tabelle2[[#This Row],[vx]]+Tabelle2[[#This Row],[vy]]*Tabelle2[[#This Row],[vy]])/1000000</f>
        <v>4.9766033857306109</v>
      </c>
      <c r="H277">
        <f>IF($B$3,-Tabelle2[[#This Row],[Fd]]*Tabelle2[[#This Row],[vx]]/Tabelle2[[#This Row],[v]],0)</f>
        <v>0</v>
      </c>
      <c r="I277">
        <f t="shared" si="44"/>
        <v>0</v>
      </c>
      <c r="J277">
        <f t="shared" si="45"/>
        <v>0</v>
      </c>
      <c r="K277">
        <f t="shared" si="46"/>
        <v>1.0467394398169905</v>
      </c>
      <c r="L277">
        <f>-$B$5*$B$12-IF($B$3,Tabelle2[[#This Row],[Fd]]*Tabelle2[[#This Row],[vy]]/Tabelle2[[#This Row],[v]],0)</f>
        <v>-14.715</v>
      </c>
      <c r="M277">
        <f t="shared" si="47"/>
        <v>-9.81</v>
      </c>
      <c r="N277">
        <f t="shared" si="48"/>
        <v>-0.19620000000000001</v>
      </c>
      <c r="O277">
        <f t="shared" si="49"/>
        <v>0.17031748791195608</v>
      </c>
      <c r="P277" s="1">
        <f t="shared" si="51"/>
        <v>52.336971990849527</v>
      </c>
      <c r="Q277" s="1">
        <f t="shared" si="52"/>
        <v>8.6139743955978041</v>
      </c>
      <c r="R277">
        <f>SQRT(Tabelle2[[#This Row],[vx]]*Tabelle2[[#This Row],[vx]]+Tabelle2[[#This Row],[vy]]*Tabelle2[[#This Row],[vy]])</f>
        <v>53.041108510842626</v>
      </c>
      <c r="S277">
        <f t="shared" si="53"/>
        <v>286.80660650985624</v>
      </c>
      <c r="T277" s="1">
        <f t="shared" si="54"/>
        <v>196.2181164685025</v>
      </c>
    </row>
    <row r="278" spans="6:20" x14ac:dyDescent="0.35">
      <c r="F278" s="1">
        <f t="shared" si="50"/>
        <v>5.4999999999999707</v>
      </c>
      <c r="G278">
        <f>1/2*$B$8*$B$6*$B$7*(Tabelle2[[#This Row],[vx]]*Tabelle2[[#This Row],[vx]]+Tabelle2[[#This Row],[vy]]*Tabelle2[[#This Row],[vy]])/1000000</f>
        <v>4.9706923158595053</v>
      </c>
      <c r="H278">
        <f>IF($B$3,-Tabelle2[[#This Row],[Fd]]*Tabelle2[[#This Row],[vx]]/Tabelle2[[#This Row],[v]],0)</f>
        <v>0</v>
      </c>
      <c r="I278">
        <f t="shared" si="44"/>
        <v>0</v>
      </c>
      <c r="J278">
        <f t="shared" si="45"/>
        <v>0</v>
      </c>
      <c r="K278">
        <f t="shared" si="46"/>
        <v>1.0467394398169905</v>
      </c>
      <c r="L278">
        <f>-$B$5*$B$12-IF($B$3,Tabelle2[[#This Row],[Fd]]*Tabelle2[[#This Row],[vy]]/Tabelle2[[#This Row],[v]],0)</f>
        <v>-14.715</v>
      </c>
      <c r="M278">
        <f t="shared" si="47"/>
        <v>-9.81</v>
      </c>
      <c r="N278">
        <f t="shared" si="48"/>
        <v>-0.19620000000000001</v>
      </c>
      <c r="O278">
        <f t="shared" si="49"/>
        <v>0.1663934879119561</v>
      </c>
      <c r="P278" s="1">
        <f t="shared" si="51"/>
        <v>52.336971990849527</v>
      </c>
      <c r="Q278" s="1">
        <f t="shared" si="52"/>
        <v>8.4177743955978048</v>
      </c>
      <c r="R278">
        <f>SQRT(Tabelle2[[#This Row],[vx]]*Tabelle2[[#This Row],[vx]]+Tabelle2[[#This Row],[vy]]*Tabelle2[[#This Row],[vy]])</f>
        <v>53.009598781222159</v>
      </c>
      <c r="S278">
        <f t="shared" si="53"/>
        <v>287.85334594967321</v>
      </c>
      <c r="T278" s="1">
        <f t="shared" si="54"/>
        <v>196.38843395641445</v>
      </c>
    </row>
    <row r="279" spans="6:20" x14ac:dyDescent="0.35">
      <c r="F279" s="1">
        <f t="shared" si="50"/>
        <v>5.5199999999999703</v>
      </c>
      <c r="G279">
        <f>1/2*$B$8*$B$6*$B$7*(Tabelle2[[#This Row],[vx]]*Tabelle2[[#This Row],[vx]]+Tabelle2[[#This Row],[vy]]*Tabelle2[[#This Row],[vy]])/1000000</f>
        <v>4.9649174330497434</v>
      </c>
      <c r="H279">
        <f>IF($B$3,-Tabelle2[[#This Row],[Fd]]*Tabelle2[[#This Row],[vx]]/Tabelle2[[#This Row],[v]],0)</f>
        <v>0</v>
      </c>
      <c r="I279">
        <f t="shared" si="44"/>
        <v>0</v>
      </c>
      <c r="J279">
        <f t="shared" si="45"/>
        <v>0</v>
      </c>
      <c r="K279">
        <f t="shared" si="46"/>
        <v>1.0467394398169905</v>
      </c>
      <c r="L279">
        <f>-$B$5*$B$12-IF($B$3,Tabelle2[[#This Row],[Fd]]*Tabelle2[[#This Row],[vy]]/Tabelle2[[#This Row],[v]],0)</f>
        <v>-14.715</v>
      </c>
      <c r="M279">
        <f t="shared" si="47"/>
        <v>-9.81</v>
      </c>
      <c r="N279">
        <f t="shared" si="48"/>
        <v>-0.19620000000000001</v>
      </c>
      <c r="O279">
        <f t="shared" si="49"/>
        <v>0.16246948791195612</v>
      </c>
      <c r="P279" s="1">
        <f t="shared" si="51"/>
        <v>52.336971990849527</v>
      </c>
      <c r="Q279" s="1">
        <f t="shared" si="52"/>
        <v>8.2215743955978056</v>
      </c>
      <c r="R279">
        <f>SQRT(Tabelle2[[#This Row],[vx]]*Tabelle2[[#This Row],[vx]]+Tabelle2[[#This Row],[vy]]*Tabelle2[[#This Row],[vy]])</f>
        <v>52.978796916439293</v>
      </c>
      <c r="S279">
        <f t="shared" si="53"/>
        <v>288.90008538949019</v>
      </c>
      <c r="T279" s="1">
        <f t="shared" si="54"/>
        <v>196.55482744432641</v>
      </c>
    </row>
    <row r="280" spans="6:20" x14ac:dyDescent="0.35">
      <c r="F280" s="1">
        <f t="shared" si="50"/>
        <v>5.5399999999999698</v>
      </c>
      <c r="G280">
        <f>1/2*$B$8*$B$6*$B$7*(Tabelle2[[#This Row],[vx]]*Tabelle2[[#This Row],[vx]]+Tabelle2[[#This Row],[vy]]*Tabelle2[[#This Row],[vy]])/1000000</f>
        <v>4.9592787373013252</v>
      </c>
      <c r="H280">
        <f>IF($B$3,-Tabelle2[[#This Row],[Fd]]*Tabelle2[[#This Row],[vx]]/Tabelle2[[#This Row],[v]],0)</f>
        <v>0</v>
      </c>
      <c r="I280">
        <f t="shared" si="44"/>
        <v>0</v>
      </c>
      <c r="J280">
        <f t="shared" si="45"/>
        <v>0</v>
      </c>
      <c r="K280">
        <f t="shared" si="46"/>
        <v>1.0467394398169905</v>
      </c>
      <c r="L280">
        <f>-$B$5*$B$12-IF($B$3,Tabelle2[[#This Row],[Fd]]*Tabelle2[[#This Row],[vy]]/Tabelle2[[#This Row],[v]],0)</f>
        <v>-14.715</v>
      </c>
      <c r="M280">
        <f t="shared" si="47"/>
        <v>-9.81</v>
      </c>
      <c r="N280">
        <f t="shared" si="48"/>
        <v>-0.19620000000000001</v>
      </c>
      <c r="O280">
        <f t="shared" si="49"/>
        <v>0.15854548791195613</v>
      </c>
      <c r="P280" s="1">
        <f t="shared" si="51"/>
        <v>52.336971990849527</v>
      </c>
      <c r="Q280" s="1">
        <f t="shared" si="52"/>
        <v>8.0253743955978063</v>
      </c>
      <c r="R280">
        <f>SQRT(Tabelle2[[#This Row],[vx]]*Tabelle2[[#This Row],[vx]]+Tabelle2[[#This Row],[vy]]*Tabelle2[[#This Row],[vy]])</f>
        <v>52.948704151853278</v>
      </c>
      <c r="S280">
        <f t="shared" si="53"/>
        <v>289.94682482930716</v>
      </c>
      <c r="T280" s="1">
        <f t="shared" si="54"/>
        <v>196.71729693223836</v>
      </c>
    </row>
    <row r="281" spans="6:20" x14ac:dyDescent="0.35">
      <c r="F281" s="1">
        <f t="shared" si="50"/>
        <v>5.5599999999999694</v>
      </c>
      <c r="G281">
        <f>1/2*$B$8*$B$6*$B$7*(Tabelle2[[#This Row],[vx]]*Tabelle2[[#This Row],[vx]]+Tabelle2[[#This Row],[vy]]*Tabelle2[[#This Row],[vy]])/1000000</f>
        <v>4.9537762286142515</v>
      </c>
      <c r="H281">
        <f>IF($B$3,-Tabelle2[[#This Row],[Fd]]*Tabelle2[[#This Row],[vx]]/Tabelle2[[#This Row],[v]],0)</f>
        <v>0</v>
      </c>
      <c r="I281">
        <f t="shared" si="44"/>
        <v>0</v>
      </c>
      <c r="J281">
        <f t="shared" si="45"/>
        <v>0</v>
      </c>
      <c r="K281">
        <f t="shared" si="46"/>
        <v>1.0467394398169905</v>
      </c>
      <c r="L281">
        <f>-$B$5*$B$12-IF($B$3,Tabelle2[[#This Row],[Fd]]*Tabelle2[[#This Row],[vy]]/Tabelle2[[#This Row],[v]],0)</f>
        <v>-14.715</v>
      </c>
      <c r="M281">
        <f t="shared" si="47"/>
        <v>-9.81</v>
      </c>
      <c r="N281">
        <f t="shared" si="48"/>
        <v>-0.19620000000000001</v>
      </c>
      <c r="O281">
        <f t="shared" si="49"/>
        <v>0.15462148791195612</v>
      </c>
      <c r="P281" s="1">
        <f t="shared" si="51"/>
        <v>52.336971990849527</v>
      </c>
      <c r="Q281" s="1">
        <f t="shared" si="52"/>
        <v>7.8291743955978061</v>
      </c>
      <c r="R281">
        <f>SQRT(Tabelle2[[#This Row],[vx]]*Tabelle2[[#This Row],[vx]]+Tabelle2[[#This Row],[vy]]*Tabelle2[[#This Row],[vy]])</f>
        <v>52.919321697161351</v>
      </c>
      <c r="S281">
        <f t="shared" si="53"/>
        <v>290.99356426912414</v>
      </c>
      <c r="T281" s="1">
        <f t="shared" si="54"/>
        <v>196.87584242015032</v>
      </c>
    </row>
    <row r="282" spans="6:20" x14ac:dyDescent="0.35">
      <c r="F282" s="1">
        <f t="shared" si="50"/>
        <v>5.579999999999969</v>
      </c>
      <c r="G282">
        <f>1/2*$B$8*$B$6*$B$7*(Tabelle2[[#This Row],[vx]]*Tabelle2[[#This Row],[vx]]+Tabelle2[[#This Row],[vy]]*Tabelle2[[#This Row],[vy]])/1000000</f>
        <v>4.9484099069885223</v>
      </c>
      <c r="H282">
        <f>IF($B$3,-Tabelle2[[#This Row],[Fd]]*Tabelle2[[#This Row],[vx]]/Tabelle2[[#This Row],[v]],0)</f>
        <v>0</v>
      </c>
      <c r="I282">
        <f t="shared" si="44"/>
        <v>0</v>
      </c>
      <c r="J282">
        <f t="shared" si="45"/>
        <v>0</v>
      </c>
      <c r="K282">
        <f t="shared" si="46"/>
        <v>1.0467394398169905</v>
      </c>
      <c r="L282">
        <f>-$B$5*$B$12-IF($B$3,Tabelle2[[#This Row],[Fd]]*Tabelle2[[#This Row],[vy]]/Tabelle2[[#This Row],[v]],0)</f>
        <v>-14.715</v>
      </c>
      <c r="M282">
        <f t="shared" si="47"/>
        <v>-9.81</v>
      </c>
      <c r="N282">
        <f t="shared" si="48"/>
        <v>-0.19620000000000001</v>
      </c>
      <c r="O282">
        <f t="shared" si="49"/>
        <v>0.15069748791195614</v>
      </c>
      <c r="P282" s="1">
        <f t="shared" si="51"/>
        <v>52.336971990849527</v>
      </c>
      <c r="Q282" s="1">
        <f t="shared" si="52"/>
        <v>7.632974395597806</v>
      </c>
      <c r="R282">
        <f>SQRT(Tabelle2[[#This Row],[vx]]*Tabelle2[[#This Row],[vx]]+Tabelle2[[#This Row],[vy]]*Tabelle2[[#This Row],[vy]])</f>
        <v>52.89065073616338</v>
      </c>
      <c r="S282">
        <f t="shared" si="53"/>
        <v>292.04030370894111</v>
      </c>
      <c r="T282" s="1">
        <f t="shared" si="54"/>
        <v>197.03046390806227</v>
      </c>
    </row>
    <row r="283" spans="6:20" x14ac:dyDescent="0.35">
      <c r="F283" s="1">
        <f t="shared" si="50"/>
        <v>5.5999999999999686</v>
      </c>
      <c r="G283">
        <f>1/2*$B$8*$B$6*$B$7*(Tabelle2[[#This Row],[vx]]*Tabelle2[[#This Row],[vx]]+Tabelle2[[#This Row],[vy]]*Tabelle2[[#This Row],[vy]])/1000000</f>
        <v>4.9431797724241351</v>
      </c>
      <c r="H283">
        <f>IF($B$3,-Tabelle2[[#This Row],[Fd]]*Tabelle2[[#This Row],[vx]]/Tabelle2[[#This Row],[v]],0)</f>
        <v>0</v>
      </c>
      <c r="I283">
        <f t="shared" si="44"/>
        <v>0</v>
      </c>
      <c r="J283">
        <f t="shared" si="45"/>
        <v>0</v>
      </c>
      <c r="K283">
        <f t="shared" si="46"/>
        <v>1.0467394398169905</v>
      </c>
      <c r="L283">
        <f>-$B$5*$B$12-IF($B$3,Tabelle2[[#This Row],[Fd]]*Tabelle2[[#This Row],[vy]]/Tabelle2[[#This Row],[v]],0)</f>
        <v>-14.715</v>
      </c>
      <c r="M283">
        <f t="shared" si="47"/>
        <v>-9.81</v>
      </c>
      <c r="N283">
        <f t="shared" si="48"/>
        <v>-0.19620000000000001</v>
      </c>
      <c r="O283">
        <f t="shared" si="49"/>
        <v>0.14677348791195613</v>
      </c>
      <c r="P283" s="1">
        <f t="shared" si="51"/>
        <v>52.336971990849527</v>
      </c>
      <c r="Q283" s="1">
        <f t="shared" si="52"/>
        <v>7.4367743955978058</v>
      </c>
      <c r="R283">
        <f>SQRT(Tabelle2[[#This Row],[vx]]*Tabelle2[[#This Row],[vx]]+Tabelle2[[#This Row],[vy]]*Tabelle2[[#This Row],[vy]])</f>
        <v>52.862692426530707</v>
      </c>
      <c r="S283">
        <f t="shared" si="53"/>
        <v>293.08704314875808</v>
      </c>
      <c r="T283" s="1">
        <f t="shared" si="54"/>
        <v>197.18116139597424</v>
      </c>
    </row>
    <row r="284" spans="6:20" x14ac:dyDescent="0.35">
      <c r="F284" s="1">
        <f t="shared" si="50"/>
        <v>5.6199999999999681</v>
      </c>
      <c r="G284">
        <f>1/2*$B$8*$B$6*$B$7*(Tabelle2[[#This Row],[vx]]*Tabelle2[[#This Row],[vx]]+Tabelle2[[#This Row],[vy]]*Tabelle2[[#This Row],[vy]])/1000000</f>
        <v>4.9380858249210942</v>
      </c>
      <c r="H284">
        <f>IF($B$3,-Tabelle2[[#This Row],[Fd]]*Tabelle2[[#This Row],[vx]]/Tabelle2[[#This Row],[v]],0)</f>
        <v>0</v>
      </c>
      <c r="I284">
        <f t="shared" si="44"/>
        <v>0</v>
      </c>
      <c r="J284">
        <f t="shared" si="45"/>
        <v>0</v>
      </c>
      <c r="K284">
        <f t="shared" si="46"/>
        <v>1.0467394398169905</v>
      </c>
      <c r="L284">
        <f>-$B$5*$B$12-IF($B$3,Tabelle2[[#This Row],[Fd]]*Tabelle2[[#This Row],[vy]]/Tabelle2[[#This Row],[v]],0)</f>
        <v>-14.715</v>
      </c>
      <c r="M284">
        <f t="shared" si="47"/>
        <v>-9.81</v>
      </c>
      <c r="N284">
        <f t="shared" si="48"/>
        <v>-0.19620000000000001</v>
      </c>
      <c r="O284">
        <f t="shared" si="49"/>
        <v>0.14284948791195612</v>
      </c>
      <c r="P284" s="1">
        <f t="shared" si="51"/>
        <v>52.336971990849527</v>
      </c>
      <c r="Q284" s="1">
        <f t="shared" si="52"/>
        <v>7.2405743955978057</v>
      </c>
      <c r="R284">
        <f>SQRT(Tabelle2[[#This Row],[vx]]*Tabelle2[[#This Row],[vx]]+Tabelle2[[#This Row],[vy]]*Tabelle2[[#This Row],[vy]])</f>
        <v>52.835447899579258</v>
      </c>
      <c r="S284">
        <f t="shared" si="53"/>
        <v>294.13378258857506</v>
      </c>
      <c r="T284" s="1">
        <f t="shared" si="54"/>
        <v>197.3279348838862</v>
      </c>
    </row>
    <row r="285" spans="6:20" x14ac:dyDescent="0.35">
      <c r="F285" s="1">
        <f t="shared" si="50"/>
        <v>5.6399999999999677</v>
      </c>
      <c r="G285">
        <f>1/2*$B$8*$B$6*$B$7*(Tabelle2[[#This Row],[vx]]*Tabelle2[[#This Row],[vx]]+Tabelle2[[#This Row],[vy]]*Tabelle2[[#This Row],[vy]])/1000000</f>
        <v>4.9331280644793951</v>
      </c>
      <c r="H285">
        <f>IF($B$3,-Tabelle2[[#This Row],[Fd]]*Tabelle2[[#This Row],[vx]]/Tabelle2[[#This Row],[v]],0)</f>
        <v>0</v>
      </c>
      <c r="I285">
        <f t="shared" si="44"/>
        <v>0</v>
      </c>
      <c r="J285">
        <f t="shared" si="45"/>
        <v>0</v>
      </c>
      <c r="K285">
        <f t="shared" si="46"/>
        <v>1.0467394398169905</v>
      </c>
      <c r="L285">
        <f>-$B$5*$B$12-IF($B$3,Tabelle2[[#This Row],[Fd]]*Tabelle2[[#This Row],[vy]]/Tabelle2[[#This Row],[v]],0)</f>
        <v>-14.715</v>
      </c>
      <c r="M285">
        <f t="shared" si="47"/>
        <v>-9.81</v>
      </c>
      <c r="N285">
        <f t="shared" si="48"/>
        <v>-0.19620000000000001</v>
      </c>
      <c r="O285">
        <f t="shared" si="49"/>
        <v>0.13892548791195611</v>
      </c>
      <c r="P285" s="1">
        <f t="shared" si="51"/>
        <v>52.336971990849527</v>
      </c>
      <c r="Q285" s="1">
        <f t="shared" si="52"/>
        <v>7.0443743955978055</v>
      </c>
      <c r="R285">
        <f>SQRT(Tabelle2[[#This Row],[vx]]*Tabelle2[[#This Row],[vx]]+Tabelle2[[#This Row],[vy]]*Tabelle2[[#This Row],[vy]])</f>
        <v>52.808918260046966</v>
      </c>
      <c r="S285">
        <f t="shared" si="53"/>
        <v>295.18052202839203</v>
      </c>
      <c r="T285" s="1">
        <f t="shared" si="54"/>
        <v>197.47078437179815</v>
      </c>
    </row>
    <row r="286" spans="6:20" x14ac:dyDescent="0.35">
      <c r="F286" s="1">
        <f t="shared" si="50"/>
        <v>5.6599999999999673</v>
      </c>
      <c r="G286">
        <f>1/2*$B$8*$B$6*$B$7*(Tabelle2[[#This Row],[vx]]*Tabelle2[[#This Row],[vx]]+Tabelle2[[#This Row],[vy]]*Tabelle2[[#This Row],[vy]])/1000000</f>
        <v>4.9283064910990415</v>
      </c>
      <c r="H286">
        <f>IF($B$3,-Tabelle2[[#This Row],[Fd]]*Tabelle2[[#This Row],[vx]]/Tabelle2[[#This Row],[v]],0)</f>
        <v>0</v>
      </c>
      <c r="I286">
        <f t="shared" si="44"/>
        <v>0</v>
      </c>
      <c r="J286">
        <f t="shared" si="45"/>
        <v>0</v>
      </c>
      <c r="K286">
        <f t="shared" si="46"/>
        <v>1.0467394398169905</v>
      </c>
      <c r="L286">
        <f>-$B$5*$B$12-IF($B$3,Tabelle2[[#This Row],[Fd]]*Tabelle2[[#This Row],[vy]]/Tabelle2[[#This Row],[v]],0)</f>
        <v>-14.715</v>
      </c>
      <c r="M286">
        <f t="shared" si="47"/>
        <v>-9.81</v>
      </c>
      <c r="N286">
        <f t="shared" si="48"/>
        <v>-0.19620000000000001</v>
      </c>
      <c r="O286">
        <f t="shared" si="49"/>
        <v>0.13500148791195613</v>
      </c>
      <c r="P286" s="1">
        <f t="shared" si="51"/>
        <v>52.336971990849527</v>
      </c>
      <c r="Q286" s="1">
        <f t="shared" si="52"/>
        <v>6.8481743955978054</v>
      </c>
      <c r="R286">
        <f>SQRT(Tabelle2[[#This Row],[vx]]*Tabelle2[[#This Row],[vx]]+Tabelle2[[#This Row],[vy]]*Tabelle2[[#This Row],[vy]])</f>
        <v>52.78310458587567</v>
      </c>
      <c r="S286">
        <f t="shared" si="53"/>
        <v>296.22726146820901</v>
      </c>
      <c r="T286" s="1">
        <f t="shared" si="54"/>
        <v>197.60970985971011</v>
      </c>
    </row>
    <row r="287" spans="6:20" x14ac:dyDescent="0.35">
      <c r="F287" s="1">
        <f t="shared" si="50"/>
        <v>5.6799999999999669</v>
      </c>
      <c r="G287">
        <f>1/2*$B$8*$B$6*$B$7*(Tabelle2[[#This Row],[vx]]*Tabelle2[[#This Row],[vx]]+Tabelle2[[#This Row],[vy]]*Tabelle2[[#This Row],[vy]])/1000000</f>
        <v>4.9236211047800316</v>
      </c>
      <c r="H287">
        <f>IF($B$3,-Tabelle2[[#This Row],[Fd]]*Tabelle2[[#This Row],[vx]]/Tabelle2[[#This Row],[v]],0)</f>
        <v>0</v>
      </c>
      <c r="I287">
        <f t="shared" si="44"/>
        <v>0</v>
      </c>
      <c r="J287">
        <f t="shared" si="45"/>
        <v>0</v>
      </c>
      <c r="K287">
        <f t="shared" si="46"/>
        <v>1.0467394398169905</v>
      </c>
      <c r="L287">
        <f>-$B$5*$B$12-IF($B$3,Tabelle2[[#This Row],[Fd]]*Tabelle2[[#This Row],[vy]]/Tabelle2[[#This Row],[v]],0)</f>
        <v>-14.715</v>
      </c>
      <c r="M287">
        <f t="shared" si="47"/>
        <v>-9.81</v>
      </c>
      <c r="N287">
        <f t="shared" si="48"/>
        <v>-0.19620000000000001</v>
      </c>
      <c r="O287">
        <f t="shared" si="49"/>
        <v>0.13107748791195611</v>
      </c>
      <c r="P287" s="1">
        <f t="shared" si="51"/>
        <v>52.336971990849527</v>
      </c>
      <c r="Q287" s="1">
        <f t="shared" si="52"/>
        <v>6.6519743955978052</v>
      </c>
      <c r="R287">
        <f>SQRT(Tabelle2[[#This Row],[vx]]*Tabelle2[[#This Row],[vx]]+Tabelle2[[#This Row],[vy]]*Tabelle2[[#This Row],[vy]])</f>
        <v>52.758007927997589</v>
      </c>
      <c r="S287">
        <f t="shared" si="53"/>
        <v>297.27400090802598</v>
      </c>
      <c r="T287" s="1">
        <f t="shared" si="54"/>
        <v>197.74471134762206</v>
      </c>
    </row>
    <row r="288" spans="6:20" x14ac:dyDescent="0.35">
      <c r="F288" s="1">
        <f t="shared" si="50"/>
        <v>5.6999999999999664</v>
      </c>
      <c r="G288">
        <f>1/2*$B$8*$B$6*$B$7*(Tabelle2[[#This Row],[vx]]*Tabelle2[[#This Row],[vx]]+Tabelle2[[#This Row],[vy]]*Tabelle2[[#This Row],[vy]])/1000000</f>
        <v>4.9190719055223653</v>
      </c>
      <c r="H288">
        <f>IF($B$3,-Tabelle2[[#This Row],[Fd]]*Tabelle2[[#This Row],[vx]]/Tabelle2[[#This Row],[v]],0)</f>
        <v>0</v>
      </c>
      <c r="I288">
        <f t="shared" si="44"/>
        <v>0</v>
      </c>
      <c r="J288">
        <f t="shared" si="45"/>
        <v>0</v>
      </c>
      <c r="K288">
        <f t="shared" si="46"/>
        <v>1.0467394398169905</v>
      </c>
      <c r="L288">
        <f>-$B$5*$B$12-IF($B$3,Tabelle2[[#This Row],[Fd]]*Tabelle2[[#This Row],[vy]]/Tabelle2[[#This Row],[v]],0)</f>
        <v>-14.715</v>
      </c>
      <c r="M288">
        <f t="shared" si="47"/>
        <v>-9.81</v>
      </c>
      <c r="N288">
        <f t="shared" si="48"/>
        <v>-0.19620000000000001</v>
      </c>
      <c r="O288">
        <f t="shared" si="49"/>
        <v>0.1271534879119561</v>
      </c>
      <c r="P288" s="1">
        <f t="shared" si="51"/>
        <v>52.336971990849527</v>
      </c>
      <c r="Q288" s="1">
        <f t="shared" si="52"/>
        <v>6.4557743955978051</v>
      </c>
      <c r="R288">
        <f>SQRT(Tabelle2[[#This Row],[vx]]*Tabelle2[[#This Row],[vx]]+Tabelle2[[#This Row],[vy]]*Tabelle2[[#This Row],[vy]])</f>
        <v>52.733629310126418</v>
      </c>
      <c r="S288">
        <f t="shared" si="53"/>
        <v>298.32074034784296</v>
      </c>
      <c r="T288" s="1">
        <f t="shared" si="54"/>
        <v>197.87578883553402</v>
      </c>
    </row>
    <row r="289" spans="6:20" x14ac:dyDescent="0.35">
      <c r="F289" s="1">
        <f t="shared" si="50"/>
        <v>5.719999999999966</v>
      </c>
      <c r="G289">
        <f>1/2*$B$8*$B$6*$B$7*(Tabelle2[[#This Row],[vx]]*Tabelle2[[#This Row],[vx]]+Tabelle2[[#This Row],[vy]]*Tabelle2[[#This Row],[vy]])/1000000</f>
        <v>4.9146588933260444</v>
      </c>
      <c r="H289">
        <f>IF($B$3,-Tabelle2[[#This Row],[Fd]]*Tabelle2[[#This Row],[vx]]/Tabelle2[[#This Row],[v]],0)</f>
        <v>0</v>
      </c>
      <c r="I289">
        <f t="shared" si="44"/>
        <v>0</v>
      </c>
      <c r="J289">
        <f t="shared" si="45"/>
        <v>0</v>
      </c>
      <c r="K289">
        <f t="shared" si="46"/>
        <v>1.0467394398169905</v>
      </c>
      <c r="L289">
        <f>-$B$5*$B$12-IF($B$3,Tabelle2[[#This Row],[Fd]]*Tabelle2[[#This Row],[vy]]/Tabelle2[[#This Row],[v]],0)</f>
        <v>-14.715</v>
      </c>
      <c r="M289">
        <f t="shared" si="47"/>
        <v>-9.81</v>
      </c>
      <c r="N289">
        <f t="shared" si="48"/>
        <v>-0.19620000000000001</v>
      </c>
      <c r="O289">
        <f t="shared" si="49"/>
        <v>0.12322948791195611</v>
      </c>
      <c r="P289" s="1">
        <f t="shared" si="51"/>
        <v>52.336971990849527</v>
      </c>
      <c r="Q289" s="1">
        <f t="shared" si="52"/>
        <v>6.2595743955978049</v>
      </c>
      <c r="R289">
        <f>SQRT(Tabelle2[[#This Row],[vx]]*Tabelle2[[#This Row],[vx]]+Tabelle2[[#This Row],[vy]]*Tabelle2[[#This Row],[vy]])</f>
        <v>52.709969728553169</v>
      </c>
      <c r="S289">
        <f t="shared" si="53"/>
        <v>299.36747978765993</v>
      </c>
      <c r="T289" s="1">
        <f t="shared" si="54"/>
        <v>198.00294232344598</v>
      </c>
    </row>
    <row r="290" spans="6:20" x14ac:dyDescent="0.35">
      <c r="F290" s="1">
        <f t="shared" si="50"/>
        <v>5.7399999999999656</v>
      </c>
      <c r="G290">
        <f>1/2*$B$8*$B$6*$B$7*(Tabelle2[[#This Row],[vx]]*Tabelle2[[#This Row],[vx]]+Tabelle2[[#This Row],[vy]]*Tabelle2[[#This Row],[vy]])/1000000</f>
        <v>4.9103820681910655</v>
      </c>
      <c r="H290">
        <f>IF($B$3,-Tabelle2[[#This Row],[Fd]]*Tabelle2[[#This Row],[vx]]/Tabelle2[[#This Row],[v]],0)</f>
        <v>0</v>
      </c>
      <c r="I290">
        <f t="shared" si="44"/>
        <v>0</v>
      </c>
      <c r="J290">
        <f t="shared" si="45"/>
        <v>0</v>
      </c>
      <c r="K290">
        <f t="shared" si="46"/>
        <v>1.0467394398169905</v>
      </c>
      <c r="L290">
        <f>-$B$5*$B$12-IF($B$3,Tabelle2[[#This Row],[Fd]]*Tabelle2[[#This Row],[vy]]/Tabelle2[[#This Row],[v]],0)</f>
        <v>-14.715</v>
      </c>
      <c r="M290">
        <f t="shared" si="47"/>
        <v>-9.81</v>
      </c>
      <c r="N290">
        <f t="shared" si="48"/>
        <v>-0.19620000000000001</v>
      </c>
      <c r="O290">
        <f t="shared" si="49"/>
        <v>0.11930548791195611</v>
      </c>
      <c r="P290" s="1">
        <f t="shared" si="51"/>
        <v>52.336971990849527</v>
      </c>
      <c r="Q290" s="1">
        <f t="shared" si="52"/>
        <v>6.0633743955978048</v>
      </c>
      <c r="R290">
        <f>SQRT(Tabelle2[[#This Row],[vx]]*Tabelle2[[#This Row],[vx]]+Tabelle2[[#This Row],[vy]]*Tabelle2[[#This Row],[vy]])</f>
        <v>52.687030151946871</v>
      </c>
      <c r="S290">
        <f t="shared" si="53"/>
        <v>300.41421922747691</v>
      </c>
      <c r="T290" s="1">
        <f t="shared" si="54"/>
        <v>198.12617181135792</v>
      </c>
    </row>
    <row r="291" spans="6:20" x14ac:dyDescent="0.35">
      <c r="F291" s="1">
        <f t="shared" si="50"/>
        <v>5.7599999999999651</v>
      </c>
      <c r="G291">
        <f>1/2*$B$8*$B$6*$B$7*(Tabelle2[[#This Row],[vx]]*Tabelle2[[#This Row],[vx]]+Tabelle2[[#This Row],[vy]]*Tabelle2[[#This Row],[vy]])/1000000</f>
        <v>4.906241430117432</v>
      </c>
      <c r="H291">
        <f>IF($B$3,-Tabelle2[[#This Row],[Fd]]*Tabelle2[[#This Row],[vx]]/Tabelle2[[#This Row],[v]],0)</f>
        <v>0</v>
      </c>
      <c r="I291">
        <f t="shared" si="44"/>
        <v>0</v>
      </c>
      <c r="J291">
        <f t="shared" si="45"/>
        <v>0</v>
      </c>
      <c r="K291">
        <f t="shared" si="46"/>
        <v>1.0467394398169905</v>
      </c>
      <c r="L291">
        <f>-$B$5*$B$12-IF($B$3,Tabelle2[[#This Row],[Fd]]*Tabelle2[[#This Row],[vy]]/Tabelle2[[#This Row],[v]],0)</f>
        <v>-14.715</v>
      </c>
      <c r="M291">
        <f t="shared" si="47"/>
        <v>-9.81</v>
      </c>
      <c r="N291">
        <f t="shared" si="48"/>
        <v>-0.19620000000000001</v>
      </c>
      <c r="O291">
        <f t="shared" si="49"/>
        <v>0.1153814879119561</v>
      </c>
      <c r="P291" s="1">
        <f t="shared" si="51"/>
        <v>52.336971990849527</v>
      </c>
      <c r="Q291" s="1">
        <f t="shared" si="52"/>
        <v>5.8671743955978046</v>
      </c>
      <c r="R291">
        <f>SQRT(Tabelle2[[#This Row],[vx]]*Tabelle2[[#This Row],[vx]]+Tabelle2[[#This Row],[vy]]*Tabelle2[[#This Row],[vy]])</f>
        <v>52.664811521160182</v>
      </c>
      <c r="S291">
        <f t="shared" si="53"/>
        <v>301.46095866729388</v>
      </c>
      <c r="T291" s="1">
        <f t="shared" si="54"/>
        <v>198.24547729926988</v>
      </c>
    </row>
    <row r="292" spans="6:20" x14ac:dyDescent="0.35">
      <c r="F292" s="1">
        <f t="shared" si="50"/>
        <v>5.7799999999999647</v>
      </c>
      <c r="G292">
        <f>1/2*$B$8*$B$6*$B$7*(Tabelle2[[#This Row],[vx]]*Tabelle2[[#This Row],[vx]]+Tabelle2[[#This Row],[vy]]*Tabelle2[[#This Row],[vy]])/1000000</f>
        <v>4.9022369791051421</v>
      </c>
      <c r="H292">
        <f>IF($B$3,-Tabelle2[[#This Row],[Fd]]*Tabelle2[[#This Row],[vx]]/Tabelle2[[#This Row],[v]],0)</f>
        <v>0</v>
      </c>
      <c r="I292">
        <f t="shared" si="44"/>
        <v>0</v>
      </c>
      <c r="J292">
        <f t="shared" si="45"/>
        <v>0</v>
      </c>
      <c r="K292">
        <f t="shared" si="46"/>
        <v>1.0467394398169905</v>
      </c>
      <c r="L292">
        <f>-$B$5*$B$12-IF($B$3,Tabelle2[[#This Row],[Fd]]*Tabelle2[[#This Row],[vy]]/Tabelle2[[#This Row],[v]],0)</f>
        <v>-14.715</v>
      </c>
      <c r="M292">
        <f t="shared" si="47"/>
        <v>-9.81</v>
      </c>
      <c r="N292">
        <f t="shared" si="48"/>
        <v>-0.19620000000000001</v>
      </c>
      <c r="O292">
        <f t="shared" si="49"/>
        <v>0.1114574879119561</v>
      </c>
      <c r="P292" s="1">
        <f t="shared" si="51"/>
        <v>52.336971990849527</v>
      </c>
      <c r="Q292" s="1">
        <f t="shared" si="52"/>
        <v>5.6709743955978045</v>
      </c>
      <c r="R292">
        <f>SQRT(Tabelle2[[#This Row],[vx]]*Tabelle2[[#This Row],[vx]]+Tabelle2[[#This Row],[vy]]*Tabelle2[[#This Row],[vy]])</f>
        <v>52.643314749040009</v>
      </c>
      <c r="S292">
        <f t="shared" si="53"/>
        <v>302.50769810711085</v>
      </c>
      <c r="T292" s="1">
        <f t="shared" si="54"/>
        <v>198.36085878718183</v>
      </c>
    </row>
    <row r="293" spans="6:20" x14ac:dyDescent="0.35">
      <c r="F293" s="1">
        <f t="shared" si="50"/>
        <v>5.7999999999999643</v>
      </c>
      <c r="G293">
        <f>1/2*$B$8*$B$6*$B$7*(Tabelle2[[#This Row],[vx]]*Tabelle2[[#This Row],[vx]]+Tabelle2[[#This Row],[vy]]*Tabelle2[[#This Row],[vy]])/1000000</f>
        <v>4.898368715154195</v>
      </c>
      <c r="H293">
        <f>IF($B$3,-Tabelle2[[#This Row],[Fd]]*Tabelle2[[#This Row],[vx]]/Tabelle2[[#This Row],[v]],0)</f>
        <v>0</v>
      </c>
      <c r="I293">
        <f t="shared" si="44"/>
        <v>0</v>
      </c>
      <c r="J293">
        <f t="shared" si="45"/>
        <v>0</v>
      </c>
      <c r="K293">
        <f t="shared" si="46"/>
        <v>1.0467394398169905</v>
      </c>
      <c r="L293">
        <f>-$B$5*$B$12-IF($B$3,Tabelle2[[#This Row],[Fd]]*Tabelle2[[#This Row],[vy]]/Tabelle2[[#This Row],[v]],0)</f>
        <v>-14.715</v>
      </c>
      <c r="M293">
        <f t="shared" si="47"/>
        <v>-9.81</v>
      </c>
      <c r="N293">
        <f t="shared" si="48"/>
        <v>-0.19620000000000001</v>
      </c>
      <c r="O293">
        <f t="shared" si="49"/>
        <v>0.10753348791195609</v>
      </c>
      <c r="P293" s="1">
        <f t="shared" si="51"/>
        <v>52.336971990849527</v>
      </c>
      <c r="Q293" s="1">
        <f t="shared" si="52"/>
        <v>5.4747743955978043</v>
      </c>
      <c r="R293">
        <f>SQRT(Tabelle2[[#This Row],[vx]]*Tabelle2[[#This Row],[vx]]+Tabelle2[[#This Row],[vy]]*Tabelle2[[#This Row],[vy]])</f>
        <v>52.622540720243272</v>
      </c>
      <c r="S293">
        <f t="shared" si="53"/>
        <v>303.55443754692783</v>
      </c>
      <c r="T293" s="1">
        <f t="shared" si="54"/>
        <v>198.47231627509379</v>
      </c>
    </row>
    <row r="294" spans="6:20" x14ac:dyDescent="0.35">
      <c r="F294" s="1">
        <f t="shared" si="50"/>
        <v>5.8199999999999639</v>
      </c>
      <c r="G294">
        <f>1/2*$B$8*$B$6*$B$7*(Tabelle2[[#This Row],[vx]]*Tabelle2[[#This Row],[vx]]+Tabelle2[[#This Row],[vy]]*Tabelle2[[#This Row],[vy]])/1000000</f>
        <v>4.8946366382645934</v>
      </c>
      <c r="H294">
        <f>IF($B$3,-Tabelle2[[#This Row],[Fd]]*Tabelle2[[#This Row],[vx]]/Tabelle2[[#This Row],[v]],0)</f>
        <v>0</v>
      </c>
      <c r="I294">
        <f t="shared" si="44"/>
        <v>0</v>
      </c>
      <c r="J294">
        <f t="shared" si="45"/>
        <v>0</v>
      </c>
      <c r="K294">
        <f t="shared" si="46"/>
        <v>1.0467394398169905</v>
      </c>
      <c r="L294">
        <f>-$B$5*$B$12-IF($B$3,Tabelle2[[#This Row],[Fd]]*Tabelle2[[#This Row],[vy]]/Tabelle2[[#This Row],[v]],0)</f>
        <v>-14.715</v>
      </c>
      <c r="M294">
        <f t="shared" si="47"/>
        <v>-9.81</v>
      </c>
      <c r="N294">
        <f t="shared" si="48"/>
        <v>-0.19620000000000001</v>
      </c>
      <c r="O294">
        <f t="shared" si="49"/>
        <v>0.10360948791195609</v>
      </c>
      <c r="P294" s="1">
        <f t="shared" si="51"/>
        <v>52.336971990849527</v>
      </c>
      <c r="Q294" s="1">
        <f t="shared" si="52"/>
        <v>5.2785743955978042</v>
      </c>
      <c r="R294">
        <f>SQRT(Tabelle2[[#This Row],[vx]]*Tabelle2[[#This Row],[vx]]+Tabelle2[[#This Row],[vy]]*Tabelle2[[#This Row],[vy]])</f>
        <v>52.602490291057784</v>
      </c>
      <c r="S294">
        <f t="shared" si="53"/>
        <v>304.6011769867448</v>
      </c>
      <c r="T294" s="1">
        <f t="shared" si="54"/>
        <v>198.57984976300574</v>
      </c>
    </row>
    <row r="295" spans="6:20" x14ac:dyDescent="0.35">
      <c r="F295" s="1">
        <f t="shared" si="50"/>
        <v>5.8399999999999634</v>
      </c>
      <c r="G295">
        <f>1/2*$B$8*$B$6*$B$7*(Tabelle2[[#This Row],[vx]]*Tabelle2[[#This Row],[vx]]+Tabelle2[[#This Row],[vy]]*Tabelle2[[#This Row],[vy]])/1000000</f>
        <v>4.8910407484363354</v>
      </c>
      <c r="H295">
        <f>IF($B$3,-Tabelle2[[#This Row],[Fd]]*Tabelle2[[#This Row],[vx]]/Tabelle2[[#This Row],[v]],0)</f>
        <v>0</v>
      </c>
      <c r="I295">
        <f t="shared" si="44"/>
        <v>0</v>
      </c>
      <c r="J295">
        <f t="shared" si="45"/>
        <v>0</v>
      </c>
      <c r="K295">
        <f t="shared" si="46"/>
        <v>1.0467394398169905</v>
      </c>
      <c r="L295">
        <f>-$B$5*$B$12-IF($B$3,Tabelle2[[#This Row],[Fd]]*Tabelle2[[#This Row],[vy]]/Tabelle2[[#This Row],[v]],0)</f>
        <v>-14.715</v>
      </c>
      <c r="M295">
        <f t="shared" si="47"/>
        <v>-9.81</v>
      </c>
      <c r="N295">
        <f t="shared" si="48"/>
        <v>-0.19620000000000001</v>
      </c>
      <c r="O295">
        <f t="shared" si="49"/>
        <v>9.9685487911956083E-2</v>
      </c>
      <c r="P295" s="1">
        <f t="shared" si="51"/>
        <v>52.336971990849527</v>
      </c>
      <c r="Q295" s="1">
        <f t="shared" si="52"/>
        <v>5.082374395597804</v>
      </c>
      <c r="R295">
        <f>SQRT(Tabelle2[[#This Row],[vx]]*Tabelle2[[#This Row],[vx]]+Tabelle2[[#This Row],[vy]]*Tabelle2[[#This Row],[vy]])</f>
        <v>52.583164289228506</v>
      </c>
      <c r="S295">
        <f t="shared" si="53"/>
        <v>305.64791642656178</v>
      </c>
      <c r="T295" s="1">
        <f t="shared" si="54"/>
        <v>198.68345925091771</v>
      </c>
    </row>
    <row r="296" spans="6:20" x14ac:dyDescent="0.35">
      <c r="F296" s="1">
        <f t="shared" si="50"/>
        <v>5.859999999999963</v>
      </c>
      <c r="G296">
        <f>1/2*$B$8*$B$6*$B$7*(Tabelle2[[#This Row],[vx]]*Tabelle2[[#This Row],[vx]]+Tabelle2[[#This Row],[vy]]*Tabelle2[[#This Row],[vy]])/1000000</f>
        <v>4.887581045669422</v>
      </c>
      <c r="H296">
        <f>IF($B$3,-Tabelle2[[#This Row],[Fd]]*Tabelle2[[#This Row],[vx]]/Tabelle2[[#This Row],[v]],0)</f>
        <v>0</v>
      </c>
      <c r="I296">
        <f t="shared" si="44"/>
        <v>0</v>
      </c>
      <c r="J296">
        <f t="shared" si="45"/>
        <v>0</v>
      </c>
      <c r="K296">
        <f t="shared" si="46"/>
        <v>1.0467394398169905</v>
      </c>
      <c r="L296">
        <f>-$B$5*$B$12-IF($B$3,Tabelle2[[#This Row],[Fd]]*Tabelle2[[#This Row],[vy]]/Tabelle2[[#This Row],[v]],0)</f>
        <v>-14.715</v>
      </c>
      <c r="M296">
        <f t="shared" si="47"/>
        <v>-9.81</v>
      </c>
      <c r="N296">
        <f t="shared" si="48"/>
        <v>-0.19620000000000001</v>
      </c>
      <c r="O296">
        <f t="shared" si="49"/>
        <v>9.5761487911956086E-2</v>
      </c>
      <c r="P296" s="1">
        <f t="shared" si="51"/>
        <v>52.336971990849527</v>
      </c>
      <c r="Q296" s="1">
        <f t="shared" si="52"/>
        <v>4.8861743955978039</v>
      </c>
      <c r="R296">
        <f>SQRT(Tabelle2[[#This Row],[vx]]*Tabelle2[[#This Row],[vx]]+Tabelle2[[#This Row],[vy]]*Tabelle2[[#This Row],[vy]])</f>
        <v>52.564563513789054</v>
      </c>
      <c r="S296">
        <f t="shared" si="53"/>
        <v>306.69465586637875</v>
      </c>
      <c r="T296" s="1">
        <f t="shared" si="54"/>
        <v>198.78314473882966</v>
      </c>
    </row>
    <row r="297" spans="6:20" x14ac:dyDescent="0.35">
      <c r="F297" s="1">
        <f t="shared" si="50"/>
        <v>5.8799999999999626</v>
      </c>
      <c r="G297">
        <f>1/2*$B$8*$B$6*$B$7*(Tabelle2[[#This Row],[vx]]*Tabelle2[[#This Row],[vx]]+Tabelle2[[#This Row],[vy]]*Tabelle2[[#This Row],[vy]])/1000000</f>
        <v>4.8842575299638513</v>
      </c>
      <c r="H297">
        <f>IF($B$3,-Tabelle2[[#This Row],[Fd]]*Tabelle2[[#This Row],[vx]]/Tabelle2[[#This Row],[v]],0)</f>
        <v>0</v>
      </c>
      <c r="I297">
        <f t="shared" si="44"/>
        <v>0</v>
      </c>
      <c r="J297">
        <f t="shared" si="45"/>
        <v>0</v>
      </c>
      <c r="K297">
        <f t="shared" si="46"/>
        <v>1.0467394398169905</v>
      </c>
      <c r="L297">
        <f>-$B$5*$B$12-IF($B$3,Tabelle2[[#This Row],[Fd]]*Tabelle2[[#This Row],[vy]]/Tabelle2[[#This Row],[v]],0)</f>
        <v>-14.715</v>
      </c>
      <c r="M297">
        <f t="shared" si="47"/>
        <v>-9.81</v>
      </c>
      <c r="N297">
        <f t="shared" si="48"/>
        <v>-0.19620000000000001</v>
      </c>
      <c r="O297">
        <f t="shared" si="49"/>
        <v>9.1837487911956089E-2</v>
      </c>
      <c r="P297" s="1">
        <f t="shared" si="51"/>
        <v>52.336971990849527</v>
      </c>
      <c r="Q297" s="1">
        <f t="shared" si="52"/>
        <v>4.6899743955978037</v>
      </c>
      <c r="R297">
        <f>SQRT(Tabelle2[[#This Row],[vx]]*Tabelle2[[#This Row],[vx]]+Tabelle2[[#This Row],[vy]]*Tabelle2[[#This Row],[vy]])</f>
        <v>52.546688734898709</v>
      </c>
      <c r="S297">
        <f t="shared" si="53"/>
        <v>307.74139530619573</v>
      </c>
      <c r="T297" s="1">
        <f t="shared" si="54"/>
        <v>198.87890622674161</v>
      </c>
    </row>
    <row r="298" spans="6:20" x14ac:dyDescent="0.35">
      <c r="F298" s="1">
        <f t="shared" si="50"/>
        <v>5.8999999999999622</v>
      </c>
      <c r="G298">
        <f>1/2*$B$8*$B$6*$B$7*(Tabelle2[[#This Row],[vx]]*Tabelle2[[#This Row],[vx]]+Tabelle2[[#This Row],[vy]]*Tabelle2[[#This Row],[vy]])/1000000</f>
        <v>4.8810702013196243</v>
      </c>
      <c r="H298">
        <f>IF($B$3,-Tabelle2[[#This Row],[Fd]]*Tabelle2[[#This Row],[vx]]/Tabelle2[[#This Row],[v]],0)</f>
        <v>0</v>
      </c>
      <c r="I298">
        <f t="shared" si="44"/>
        <v>0</v>
      </c>
      <c r="J298">
        <f t="shared" si="45"/>
        <v>0</v>
      </c>
      <c r="K298">
        <f t="shared" si="46"/>
        <v>1.0467394398169905</v>
      </c>
      <c r="L298">
        <f>-$B$5*$B$12-IF($B$3,Tabelle2[[#This Row],[Fd]]*Tabelle2[[#This Row],[vy]]/Tabelle2[[#This Row],[v]],0)</f>
        <v>-14.715</v>
      </c>
      <c r="M298">
        <f t="shared" si="47"/>
        <v>-9.81</v>
      </c>
      <c r="N298">
        <f t="shared" si="48"/>
        <v>-0.19620000000000001</v>
      </c>
      <c r="O298">
        <f t="shared" si="49"/>
        <v>8.7913487911956079E-2</v>
      </c>
      <c r="P298" s="1">
        <f t="shared" si="51"/>
        <v>52.336971990849527</v>
      </c>
      <c r="Q298" s="1">
        <f t="shared" si="52"/>
        <v>4.4937743955978036</v>
      </c>
      <c r="R298">
        <f>SQRT(Tabelle2[[#This Row],[vx]]*Tabelle2[[#This Row],[vx]]+Tabelle2[[#This Row],[vy]]*Tabelle2[[#This Row],[vy]])</f>
        <v>52.529540693684901</v>
      </c>
      <c r="S298">
        <f t="shared" si="53"/>
        <v>308.7881347460127</v>
      </c>
      <c r="T298" s="1">
        <f t="shared" si="54"/>
        <v>198.97074371465357</v>
      </c>
    </row>
    <row r="299" spans="6:20" x14ac:dyDescent="0.35">
      <c r="F299" s="1">
        <f t="shared" si="50"/>
        <v>5.9199999999999617</v>
      </c>
      <c r="G299">
        <f>1/2*$B$8*$B$6*$B$7*(Tabelle2[[#This Row],[vx]]*Tabelle2[[#This Row],[vx]]+Tabelle2[[#This Row],[vy]]*Tabelle2[[#This Row],[vy]])/1000000</f>
        <v>4.8780190597367428</v>
      </c>
      <c r="H299">
        <f>IF($B$3,-Tabelle2[[#This Row],[Fd]]*Tabelle2[[#This Row],[vx]]/Tabelle2[[#This Row],[v]],0)</f>
        <v>0</v>
      </c>
      <c r="I299">
        <f t="shared" si="44"/>
        <v>0</v>
      </c>
      <c r="J299">
        <f t="shared" si="45"/>
        <v>0</v>
      </c>
      <c r="K299">
        <f t="shared" si="46"/>
        <v>1.0467394398169905</v>
      </c>
      <c r="L299">
        <f>-$B$5*$B$12-IF($B$3,Tabelle2[[#This Row],[Fd]]*Tabelle2[[#This Row],[vy]]/Tabelle2[[#This Row],[v]],0)</f>
        <v>-14.715</v>
      </c>
      <c r="M299">
        <f t="shared" si="47"/>
        <v>-9.81</v>
      </c>
      <c r="N299">
        <f t="shared" si="48"/>
        <v>-0.19620000000000001</v>
      </c>
      <c r="O299">
        <f t="shared" si="49"/>
        <v>8.3989487911956082E-2</v>
      </c>
      <c r="P299" s="1">
        <f t="shared" si="51"/>
        <v>52.336971990849527</v>
      </c>
      <c r="Q299" s="1">
        <f t="shared" si="52"/>
        <v>4.2975743955978034</v>
      </c>
      <c r="R299">
        <f>SQRT(Tabelle2[[#This Row],[vx]]*Tabelle2[[#This Row],[vx]]+Tabelle2[[#This Row],[vy]]*Tabelle2[[#This Row],[vy]])</f>
        <v>52.5131201020913</v>
      </c>
      <c r="S299">
        <f t="shared" si="53"/>
        <v>309.83487418582968</v>
      </c>
      <c r="T299" s="1">
        <f t="shared" si="54"/>
        <v>199.05865720256551</v>
      </c>
    </row>
    <row r="300" spans="6:20" x14ac:dyDescent="0.35">
      <c r="F300" s="1">
        <f t="shared" si="50"/>
        <v>5.9399999999999613</v>
      </c>
      <c r="G300">
        <f>1/2*$B$8*$B$6*$B$7*(Tabelle2[[#This Row],[vx]]*Tabelle2[[#This Row],[vx]]+Tabelle2[[#This Row],[vy]]*Tabelle2[[#This Row],[vy]])/1000000</f>
        <v>4.8751041052152049</v>
      </c>
      <c r="H300">
        <f>IF($B$3,-Tabelle2[[#This Row],[Fd]]*Tabelle2[[#This Row],[vx]]/Tabelle2[[#This Row],[v]],0)</f>
        <v>0</v>
      </c>
      <c r="I300">
        <f t="shared" si="44"/>
        <v>0</v>
      </c>
      <c r="J300">
        <f t="shared" si="45"/>
        <v>0</v>
      </c>
      <c r="K300">
        <f t="shared" si="46"/>
        <v>1.0467394398169905</v>
      </c>
      <c r="L300">
        <f>-$B$5*$B$12-IF($B$3,Tabelle2[[#This Row],[Fd]]*Tabelle2[[#This Row],[vy]]/Tabelle2[[#This Row],[v]],0)</f>
        <v>-14.715</v>
      </c>
      <c r="M300">
        <f t="shared" si="47"/>
        <v>-9.81</v>
      </c>
      <c r="N300">
        <f t="shared" si="48"/>
        <v>-0.19620000000000001</v>
      </c>
      <c r="O300">
        <f t="shared" si="49"/>
        <v>8.0065487911956071E-2</v>
      </c>
      <c r="P300" s="1">
        <f t="shared" si="51"/>
        <v>52.336971990849527</v>
      </c>
      <c r="Q300" s="1">
        <f t="shared" si="52"/>
        <v>4.1013743955978033</v>
      </c>
      <c r="R300">
        <f>SQRT(Tabelle2[[#This Row],[vx]]*Tabelle2[[#This Row],[vx]]+Tabelle2[[#This Row],[vy]]*Tabelle2[[#This Row],[vy]])</f>
        <v>52.497427642731537</v>
      </c>
      <c r="S300">
        <f t="shared" si="53"/>
        <v>310.88161362564665</v>
      </c>
      <c r="T300" s="1">
        <f t="shared" si="54"/>
        <v>199.14264669047748</v>
      </c>
    </row>
    <row r="301" spans="6:20" x14ac:dyDescent="0.35">
      <c r="F301" s="1">
        <f t="shared" si="50"/>
        <v>5.9599999999999609</v>
      </c>
      <c r="G301">
        <f>1/2*$B$8*$B$6*$B$7*(Tabelle2[[#This Row],[vx]]*Tabelle2[[#This Row],[vx]]+Tabelle2[[#This Row],[vy]]*Tabelle2[[#This Row],[vy]])/1000000</f>
        <v>4.8723253377550106</v>
      </c>
      <c r="H301">
        <f>IF($B$3,-Tabelle2[[#This Row],[Fd]]*Tabelle2[[#This Row],[vx]]/Tabelle2[[#This Row],[v]],0)</f>
        <v>0</v>
      </c>
      <c r="I301">
        <f t="shared" si="44"/>
        <v>0</v>
      </c>
      <c r="J301">
        <f t="shared" si="45"/>
        <v>0</v>
      </c>
      <c r="K301">
        <f t="shared" si="46"/>
        <v>1.0467394398169905</v>
      </c>
      <c r="L301">
        <f>-$B$5*$B$12-IF($B$3,Tabelle2[[#This Row],[Fd]]*Tabelle2[[#This Row],[vy]]/Tabelle2[[#This Row],[v]],0)</f>
        <v>-14.715</v>
      </c>
      <c r="M301">
        <f t="shared" si="47"/>
        <v>-9.81</v>
      </c>
      <c r="N301">
        <f t="shared" si="48"/>
        <v>-0.19620000000000001</v>
      </c>
      <c r="O301">
        <f t="shared" si="49"/>
        <v>7.614148791195606E-2</v>
      </c>
      <c r="P301" s="1">
        <f t="shared" si="51"/>
        <v>52.336971990849527</v>
      </c>
      <c r="Q301" s="1">
        <f t="shared" si="52"/>
        <v>3.9051743955978031</v>
      </c>
      <c r="R301">
        <f>SQRT(Tabelle2[[#This Row],[vx]]*Tabelle2[[#This Row],[vx]]+Tabelle2[[#This Row],[vy]]*Tabelle2[[#This Row],[vy]])</f>
        <v>52.482463968748654</v>
      </c>
      <c r="S301">
        <f t="shared" si="53"/>
        <v>311.92835306546363</v>
      </c>
      <c r="T301" s="1">
        <f t="shared" si="54"/>
        <v>199.22271217838943</v>
      </c>
    </row>
    <row r="302" spans="6:20" x14ac:dyDescent="0.35">
      <c r="F302" s="1">
        <f t="shared" si="50"/>
        <v>5.9799999999999605</v>
      </c>
      <c r="G302">
        <f>1/2*$B$8*$B$6*$B$7*(Tabelle2[[#This Row],[vx]]*Tabelle2[[#This Row],[vx]]+Tabelle2[[#This Row],[vy]]*Tabelle2[[#This Row],[vy]])/1000000</f>
        <v>4.8696827573561601</v>
      </c>
      <c r="H302">
        <f>IF($B$3,-Tabelle2[[#This Row],[Fd]]*Tabelle2[[#This Row],[vx]]/Tabelle2[[#This Row],[v]],0)</f>
        <v>0</v>
      </c>
      <c r="I302">
        <f t="shared" si="44"/>
        <v>0</v>
      </c>
      <c r="J302">
        <f t="shared" si="45"/>
        <v>0</v>
      </c>
      <c r="K302">
        <f t="shared" si="46"/>
        <v>1.0467394398169905</v>
      </c>
      <c r="L302">
        <f>-$B$5*$B$12-IF($B$3,Tabelle2[[#This Row],[Fd]]*Tabelle2[[#This Row],[vy]]/Tabelle2[[#This Row],[v]],0)</f>
        <v>-14.715</v>
      </c>
      <c r="M302">
        <f t="shared" si="47"/>
        <v>-9.81</v>
      </c>
      <c r="N302">
        <f t="shared" si="48"/>
        <v>-0.19620000000000001</v>
      </c>
      <c r="O302">
        <f t="shared" si="49"/>
        <v>7.2217487911956063E-2</v>
      </c>
      <c r="P302" s="1">
        <f t="shared" si="51"/>
        <v>52.336971990849527</v>
      </c>
      <c r="Q302" s="1">
        <f t="shared" si="52"/>
        <v>3.708974395597803</v>
      </c>
      <c r="R302">
        <f>SQRT(Tabelle2[[#This Row],[vx]]*Tabelle2[[#This Row],[vx]]+Tabelle2[[#This Row],[vy]]*Tabelle2[[#This Row],[vy]])</f>
        <v>52.468229703680379</v>
      </c>
      <c r="S302">
        <f t="shared" si="53"/>
        <v>312.9750925052806</v>
      </c>
      <c r="T302" s="1">
        <f t="shared" si="54"/>
        <v>199.2988536663014</v>
      </c>
    </row>
    <row r="303" spans="6:20" x14ac:dyDescent="0.35">
      <c r="F303" s="1">
        <f t="shared" si="50"/>
        <v>5.99999999999996</v>
      </c>
      <c r="G303">
        <f>1/2*$B$8*$B$6*$B$7*(Tabelle2[[#This Row],[vx]]*Tabelle2[[#This Row],[vx]]+Tabelle2[[#This Row],[vy]]*Tabelle2[[#This Row],[vy]])/1000000</f>
        <v>4.8671763640186532</v>
      </c>
      <c r="H303">
        <f>IF($B$3,-Tabelle2[[#This Row],[Fd]]*Tabelle2[[#This Row],[vx]]/Tabelle2[[#This Row],[v]],0)</f>
        <v>0</v>
      </c>
      <c r="I303">
        <f t="shared" si="44"/>
        <v>0</v>
      </c>
      <c r="J303">
        <f t="shared" si="45"/>
        <v>0</v>
      </c>
      <c r="K303">
        <f t="shared" si="46"/>
        <v>1.0467394398169905</v>
      </c>
      <c r="L303">
        <f>-$B$5*$B$12-IF($B$3,Tabelle2[[#This Row],[Fd]]*Tabelle2[[#This Row],[vy]]/Tabelle2[[#This Row],[v]],0)</f>
        <v>-14.715</v>
      </c>
      <c r="M303">
        <f t="shared" si="47"/>
        <v>-9.81</v>
      </c>
      <c r="N303">
        <f t="shared" si="48"/>
        <v>-0.19620000000000001</v>
      </c>
      <c r="O303">
        <f t="shared" si="49"/>
        <v>6.8293487911956052E-2</v>
      </c>
      <c r="P303" s="1">
        <f t="shared" si="51"/>
        <v>52.336971990849527</v>
      </c>
      <c r="Q303" s="1">
        <f t="shared" si="52"/>
        <v>3.5127743955978028</v>
      </c>
      <c r="R303">
        <f>SQRT(Tabelle2[[#This Row],[vx]]*Tabelle2[[#This Row],[vx]]+Tabelle2[[#This Row],[vy]]*Tabelle2[[#This Row],[vy]])</f>
        <v>52.454725441330211</v>
      </c>
      <c r="S303">
        <f t="shared" si="53"/>
        <v>314.02183194509757</v>
      </c>
      <c r="T303" s="1">
        <f t="shared" si="54"/>
        <v>199.37107115421335</v>
      </c>
    </row>
    <row r="304" spans="6:20" x14ac:dyDescent="0.35">
      <c r="F304" s="1">
        <f t="shared" si="50"/>
        <v>6.0199999999999596</v>
      </c>
      <c r="G304">
        <f>1/2*$B$8*$B$6*$B$7*(Tabelle2[[#This Row],[vx]]*Tabelle2[[#This Row],[vx]]+Tabelle2[[#This Row],[vy]]*Tabelle2[[#This Row],[vy]])/1000000</f>
        <v>4.8648061577424917</v>
      </c>
      <c r="H304">
        <f>IF($B$3,-Tabelle2[[#This Row],[Fd]]*Tabelle2[[#This Row],[vx]]/Tabelle2[[#This Row],[v]],0)</f>
        <v>0</v>
      </c>
      <c r="I304">
        <f t="shared" si="44"/>
        <v>0</v>
      </c>
      <c r="J304">
        <f t="shared" si="45"/>
        <v>0</v>
      </c>
      <c r="K304">
        <f t="shared" si="46"/>
        <v>1.0467394398169905</v>
      </c>
      <c r="L304">
        <f>-$B$5*$B$12-IF($B$3,Tabelle2[[#This Row],[Fd]]*Tabelle2[[#This Row],[vy]]/Tabelle2[[#This Row],[v]],0)</f>
        <v>-14.715</v>
      </c>
      <c r="M304">
        <f t="shared" si="47"/>
        <v>-9.81</v>
      </c>
      <c r="N304">
        <f t="shared" si="48"/>
        <v>-0.19620000000000001</v>
      </c>
      <c r="O304">
        <f t="shared" si="49"/>
        <v>6.4369487911956055E-2</v>
      </c>
      <c r="P304" s="1">
        <f t="shared" si="51"/>
        <v>52.336971990849527</v>
      </c>
      <c r="Q304" s="1">
        <f t="shared" si="52"/>
        <v>3.3165743955978026</v>
      </c>
      <c r="R304">
        <f>SQRT(Tabelle2[[#This Row],[vx]]*Tabelle2[[#This Row],[vx]]+Tabelle2[[#This Row],[vy]]*Tabelle2[[#This Row],[vy]])</f>
        <v>52.441951745644467</v>
      </c>
      <c r="S304">
        <f t="shared" si="53"/>
        <v>315.06857138491455</v>
      </c>
      <c r="T304" s="1">
        <f t="shared" si="54"/>
        <v>199.4393646421253</v>
      </c>
    </row>
    <row r="305" spans="6:20" x14ac:dyDescent="0.35">
      <c r="F305" s="1">
        <f t="shared" si="50"/>
        <v>6.0399999999999592</v>
      </c>
      <c r="G305">
        <f>1/2*$B$8*$B$6*$B$7*(Tabelle2[[#This Row],[vx]]*Tabelle2[[#This Row],[vx]]+Tabelle2[[#This Row],[vy]]*Tabelle2[[#This Row],[vy]])/1000000</f>
        <v>4.8625721385276739</v>
      </c>
      <c r="H305">
        <f>IF($B$3,-Tabelle2[[#This Row],[Fd]]*Tabelle2[[#This Row],[vx]]/Tabelle2[[#This Row],[v]],0)</f>
        <v>0</v>
      </c>
      <c r="I305">
        <f t="shared" si="44"/>
        <v>0</v>
      </c>
      <c r="J305">
        <f t="shared" si="45"/>
        <v>0</v>
      </c>
      <c r="K305">
        <f t="shared" si="46"/>
        <v>1.0467394398169905</v>
      </c>
      <c r="L305">
        <f>-$B$5*$B$12-IF($B$3,Tabelle2[[#This Row],[Fd]]*Tabelle2[[#This Row],[vy]]/Tabelle2[[#This Row],[v]],0)</f>
        <v>-14.715</v>
      </c>
      <c r="M305">
        <f t="shared" si="47"/>
        <v>-9.81</v>
      </c>
      <c r="N305">
        <f t="shared" si="48"/>
        <v>-0.19620000000000001</v>
      </c>
      <c r="O305">
        <f t="shared" si="49"/>
        <v>6.0445487911956051E-2</v>
      </c>
      <c r="P305" s="1">
        <f t="shared" si="51"/>
        <v>52.336971990849527</v>
      </c>
      <c r="Q305" s="1">
        <f t="shared" si="52"/>
        <v>3.1203743955978025</v>
      </c>
      <c r="R305">
        <f>SQRT(Tabelle2[[#This Row],[vx]]*Tabelle2[[#This Row],[vx]]+Tabelle2[[#This Row],[vy]]*Tabelle2[[#This Row],[vy]])</f>
        <v>52.429909150595236</v>
      </c>
      <c r="S305">
        <f t="shared" si="53"/>
        <v>316.11531082473152</v>
      </c>
      <c r="T305" s="1">
        <f t="shared" si="54"/>
        <v>199.50373413003726</v>
      </c>
    </row>
    <row r="306" spans="6:20" x14ac:dyDescent="0.35">
      <c r="F306" s="1">
        <f t="shared" si="50"/>
        <v>6.0599999999999588</v>
      </c>
      <c r="G306">
        <f>1/2*$B$8*$B$6*$B$7*(Tabelle2[[#This Row],[vx]]*Tabelle2[[#This Row],[vx]]+Tabelle2[[#This Row],[vy]]*Tabelle2[[#This Row],[vy]])/1000000</f>
        <v>4.8604743063741997</v>
      </c>
      <c r="H306">
        <f>IF($B$3,-Tabelle2[[#This Row],[Fd]]*Tabelle2[[#This Row],[vx]]/Tabelle2[[#This Row],[v]],0)</f>
        <v>0</v>
      </c>
      <c r="I306">
        <f t="shared" si="44"/>
        <v>0</v>
      </c>
      <c r="J306">
        <f t="shared" si="45"/>
        <v>0</v>
      </c>
      <c r="K306">
        <f t="shared" si="46"/>
        <v>1.0467394398169905</v>
      </c>
      <c r="L306">
        <f>-$B$5*$B$12-IF($B$3,Tabelle2[[#This Row],[Fd]]*Tabelle2[[#This Row],[vy]]/Tabelle2[[#This Row],[v]],0)</f>
        <v>-14.715</v>
      </c>
      <c r="M306">
        <f t="shared" si="47"/>
        <v>-9.81</v>
      </c>
      <c r="N306">
        <f t="shared" si="48"/>
        <v>-0.19620000000000001</v>
      </c>
      <c r="O306">
        <f t="shared" si="49"/>
        <v>5.6521487911956048E-2</v>
      </c>
      <c r="P306" s="1">
        <f t="shared" si="51"/>
        <v>52.336971990849527</v>
      </c>
      <c r="Q306" s="1">
        <f t="shared" si="52"/>
        <v>2.9241743955978023</v>
      </c>
      <c r="R306">
        <f>SQRT(Tabelle2[[#This Row],[vx]]*Tabelle2[[#This Row],[vx]]+Tabelle2[[#This Row],[vy]]*Tabelle2[[#This Row],[vy]])</f>
        <v>52.418598160069457</v>
      </c>
      <c r="S306">
        <f t="shared" si="53"/>
        <v>317.1620502645485</v>
      </c>
      <c r="T306" s="1">
        <f t="shared" si="54"/>
        <v>199.56417961794921</v>
      </c>
    </row>
    <row r="307" spans="6:20" x14ac:dyDescent="0.35">
      <c r="F307" s="1">
        <f t="shared" si="50"/>
        <v>6.0799999999999583</v>
      </c>
      <c r="G307">
        <f>1/2*$B$8*$B$6*$B$7*(Tabelle2[[#This Row],[vx]]*Tabelle2[[#This Row],[vx]]+Tabelle2[[#This Row],[vy]]*Tabelle2[[#This Row],[vy]])/1000000</f>
        <v>4.8585126612820693</v>
      </c>
      <c r="H307">
        <f>IF($B$3,-Tabelle2[[#This Row],[Fd]]*Tabelle2[[#This Row],[vx]]/Tabelle2[[#This Row],[v]],0)</f>
        <v>0</v>
      </c>
      <c r="I307">
        <f t="shared" si="44"/>
        <v>0</v>
      </c>
      <c r="J307">
        <f t="shared" si="45"/>
        <v>0</v>
      </c>
      <c r="K307">
        <f t="shared" si="46"/>
        <v>1.0467394398169905</v>
      </c>
      <c r="L307">
        <f>-$B$5*$B$12-IF($B$3,Tabelle2[[#This Row],[Fd]]*Tabelle2[[#This Row],[vy]]/Tabelle2[[#This Row],[v]],0)</f>
        <v>-14.715</v>
      </c>
      <c r="M307">
        <f t="shared" si="47"/>
        <v>-9.81</v>
      </c>
      <c r="N307">
        <f t="shared" si="48"/>
        <v>-0.19620000000000001</v>
      </c>
      <c r="O307">
        <f t="shared" si="49"/>
        <v>5.2597487911956044E-2</v>
      </c>
      <c r="P307" s="1">
        <f t="shared" si="51"/>
        <v>52.336971990849527</v>
      </c>
      <c r="Q307" s="1">
        <f t="shared" si="52"/>
        <v>2.7279743955978022</v>
      </c>
      <c r="R307">
        <f>SQRT(Tabelle2[[#This Row],[vx]]*Tabelle2[[#This Row],[vx]]+Tabelle2[[#This Row],[vy]]*Tabelle2[[#This Row],[vy]])</f>
        <v>52.408019247764031</v>
      </c>
      <c r="S307">
        <f t="shared" si="53"/>
        <v>318.20878970436547</v>
      </c>
      <c r="T307" s="1">
        <f t="shared" si="54"/>
        <v>199.62070110586117</v>
      </c>
    </row>
    <row r="308" spans="6:20" x14ac:dyDescent="0.35">
      <c r="F308" s="1">
        <f t="shared" si="50"/>
        <v>6.0999999999999579</v>
      </c>
      <c r="G308">
        <f>1/2*$B$8*$B$6*$B$7*(Tabelle2[[#This Row],[vx]]*Tabelle2[[#This Row],[vx]]+Tabelle2[[#This Row],[vy]]*Tabelle2[[#This Row],[vy]])/1000000</f>
        <v>4.8566872032512833</v>
      </c>
      <c r="H308">
        <f>IF($B$3,-Tabelle2[[#This Row],[Fd]]*Tabelle2[[#This Row],[vx]]/Tabelle2[[#This Row],[v]],0)</f>
        <v>0</v>
      </c>
      <c r="I308">
        <f t="shared" si="44"/>
        <v>0</v>
      </c>
      <c r="J308">
        <f t="shared" si="45"/>
        <v>0</v>
      </c>
      <c r="K308">
        <f t="shared" si="46"/>
        <v>1.0467394398169905</v>
      </c>
      <c r="L308">
        <f>-$B$5*$B$12-IF($B$3,Tabelle2[[#This Row],[Fd]]*Tabelle2[[#This Row],[vy]]/Tabelle2[[#This Row],[v]],0)</f>
        <v>-14.715</v>
      </c>
      <c r="M308">
        <f t="shared" si="47"/>
        <v>-9.81</v>
      </c>
      <c r="N308">
        <f t="shared" si="48"/>
        <v>-0.19620000000000001</v>
      </c>
      <c r="O308">
        <f t="shared" si="49"/>
        <v>4.867348791195604E-2</v>
      </c>
      <c r="P308" s="1">
        <f t="shared" si="51"/>
        <v>52.336971990849527</v>
      </c>
      <c r="Q308" s="1">
        <f t="shared" si="52"/>
        <v>2.531774395597802</v>
      </c>
      <c r="R308">
        <f>SQRT(Tabelle2[[#This Row],[vx]]*Tabelle2[[#This Row],[vx]]+Tabelle2[[#This Row],[vy]]*Tabelle2[[#This Row],[vy]])</f>
        <v>52.398172857087033</v>
      </c>
      <c r="S308">
        <f t="shared" si="53"/>
        <v>319.25552914418245</v>
      </c>
      <c r="T308" s="1">
        <f t="shared" si="54"/>
        <v>199.67329859377313</v>
      </c>
    </row>
    <row r="309" spans="6:20" x14ac:dyDescent="0.35">
      <c r="F309" s="1">
        <f t="shared" si="50"/>
        <v>6.1199999999999575</v>
      </c>
      <c r="G309">
        <f>1/2*$B$8*$B$6*$B$7*(Tabelle2[[#This Row],[vx]]*Tabelle2[[#This Row],[vx]]+Tabelle2[[#This Row],[vy]]*Tabelle2[[#This Row],[vy]])/1000000</f>
        <v>4.8549979322818402</v>
      </c>
      <c r="H309">
        <f>IF($B$3,-Tabelle2[[#This Row],[Fd]]*Tabelle2[[#This Row],[vx]]/Tabelle2[[#This Row],[v]],0)</f>
        <v>0</v>
      </c>
      <c r="I309">
        <f t="shared" si="44"/>
        <v>0</v>
      </c>
      <c r="J309">
        <f t="shared" si="45"/>
        <v>0</v>
      </c>
      <c r="K309">
        <f t="shared" si="46"/>
        <v>1.0467394398169905</v>
      </c>
      <c r="L309">
        <f>-$B$5*$B$12-IF($B$3,Tabelle2[[#This Row],[Fd]]*Tabelle2[[#This Row],[vy]]/Tabelle2[[#This Row],[v]],0)</f>
        <v>-14.715</v>
      </c>
      <c r="M309">
        <f t="shared" si="47"/>
        <v>-9.81</v>
      </c>
      <c r="N309">
        <f t="shared" si="48"/>
        <v>-0.19620000000000001</v>
      </c>
      <c r="O309">
        <f t="shared" si="49"/>
        <v>4.4749487911956036E-2</v>
      </c>
      <c r="P309" s="1">
        <f t="shared" si="51"/>
        <v>52.336971990849527</v>
      </c>
      <c r="Q309" s="1">
        <f t="shared" si="52"/>
        <v>2.3355743955978019</v>
      </c>
      <c r="R309">
        <f>SQRT(Tabelle2[[#This Row],[vx]]*Tabelle2[[#This Row],[vx]]+Tabelle2[[#This Row],[vy]]*Tabelle2[[#This Row],[vy]])</f>
        <v>52.389059401065218</v>
      </c>
      <c r="S309">
        <f t="shared" si="53"/>
        <v>320.30226858399942</v>
      </c>
      <c r="T309" s="1">
        <f t="shared" si="54"/>
        <v>199.7219720816851</v>
      </c>
    </row>
    <row r="310" spans="6:20" x14ac:dyDescent="0.35">
      <c r="F310" s="1">
        <f t="shared" si="50"/>
        <v>6.139999999999957</v>
      </c>
      <c r="G310">
        <f>1/2*$B$8*$B$6*$B$7*(Tabelle2[[#This Row],[vx]]*Tabelle2[[#This Row],[vx]]+Tabelle2[[#This Row],[vy]]*Tabelle2[[#This Row],[vy]])/1000000</f>
        <v>4.8534448483737425</v>
      </c>
      <c r="H310">
        <f>IF($B$3,-Tabelle2[[#This Row],[Fd]]*Tabelle2[[#This Row],[vx]]/Tabelle2[[#This Row],[v]],0)</f>
        <v>0</v>
      </c>
      <c r="I310">
        <f t="shared" si="44"/>
        <v>0</v>
      </c>
      <c r="J310">
        <f t="shared" si="45"/>
        <v>0</v>
      </c>
      <c r="K310">
        <f t="shared" si="46"/>
        <v>1.0467394398169905</v>
      </c>
      <c r="L310">
        <f>-$B$5*$B$12-IF($B$3,Tabelle2[[#This Row],[Fd]]*Tabelle2[[#This Row],[vy]]/Tabelle2[[#This Row],[v]],0)</f>
        <v>-14.715</v>
      </c>
      <c r="M310">
        <f t="shared" si="47"/>
        <v>-9.81</v>
      </c>
      <c r="N310">
        <f t="shared" si="48"/>
        <v>-0.19620000000000001</v>
      </c>
      <c r="O310">
        <f t="shared" si="49"/>
        <v>4.0825487911956032E-2</v>
      </c>
      <c r="P310" s="1">
        <f t="shared" si="51"/>
        <v>52.336971990849527</v>
      </c>
      <c r="Q310" s="1">
        <f t="shared" si="52"/>
        <v>2.1393743955978017</v>
      </c>
      <c r="R310">
        <f>SQRT(Tabelle2[[#This Row],[vx]]*Tabelle2[[#This Row],[vx]]+Tabelle2[[#This Row],[vy]]*Tabelle2[[#This Row],[vy]])</f>
        <v>52.380679262257637</v>
      </c>
      <c r="S310">
        <f t="shared" si="53"/>
        <v>321.3490080238164</v>
      </c>
      <c r="T310" s="1">
        <f t="shared" si="54"/>
        <v>199.76672156959705</v>
      </c>
    </row>
    <row r="311" spans="6:20" x14ac:dyDescent="0.35">
      <c r="F311" s="1">
        <f t="shared" si="50"/>
        <v>6.1599999999999566</v>
      </c>
      <c r="G311">
        <f>1/2*$B$8*$B$6*$B$7*(Tabelle2[[#This Row],[vx]]*Tabelle2[[#This Row],[vx]]+Tabelle2[[#This Row],[vy]]*Tabelle2[[#This Row],[vy]])/1000000</f>
        <v>4.8520279515269884</v>
      </c>
      <c r="H311">
        <f>IF($B$3,-Tabelle2[[#This Row],[Fd]]*Tabelle2[[#This Row],[vx]]/Tabelle2[[#This Row],[v]],0)</f>
        <v>0</v>
      </c>
      <c r="I311">
        <f t="shared" si="44"/>
        <v>0</v>
      </c>
      <c r="J311">
        <f t="shared" si="45"/>
        <v>0</v>
      </c>
      <c r="K311">
        <f t="shared" si="46"/>
        <v>1.0467394398169905</v>
      </c>
      <c r="L311">
        <f>-$B$5*$B$12-IF($B$3,Tabelle2[[#This Row],[Fd]]*Tabelle2[[#This Row],[vy]]/Tabelle2[[#This Row],[v]],0)</f>
        <v>-14.715</v>
      </c>
      <c r="M311">
        <f t="shared" si="47"/>
        <v>-9.81</v>
      </c>
      <c r="N311">
        <f t="shared" si="48"/>
        <v>-0.19620000000000001</v>
      </c>
      <c r="O311">
        <f t="shared" si="49"/>
        <v>3.6901487911956035E-2</v>
      </c>
      <c r="P311" s="1">
        <f t="shared" si="51"/>
        <v>52.336971990849527</v>
      </c>
      <c r="Q311" s="1">
        <f t="shared" si="52"/>
        <v>1.9431743955978018</v>
      </c>
      <c r="R311">
        <f>SQRT(Tabelle2[[#This Row],[vx]]*Tabelle2[[#This Row],[vx]]+Tabelle2[[#This Row],[vy]]*Tabelle2[[#This Row],[vy]])</f>
        <v>52.373032792675609</v>
      </c>
      <c r="S311">
        <f t="shared" si="53"/>
        <v>322.39574746363337</v>
      </c>
      <c r="T311" s="1">
        <f t="shared" si="54"/>
        <v>199.807547057509</v>
      </c>
    </row>
    <row r="312" spans="6:20" x14ac:dyDescent="0.35">
      <c r="F312" s="1">
        <f t="shared" si="50"/>
        <v>6.1799999999999562</v>
      </c>
      <c r="G312">
        <f>1/2*$B$8*$B$6*$B$7*(Tabelle2[[#This Row],[vx]]*Tabelle2[[#This Row],[vx]]+Tabelle2[[#This Row],[vy]]*Tabelle2[[#This Row],[vy]])/1000000</f>
        <v>4.850747241741578</v>
      </c>
      <c r="H312">
        <f>IF($B$3,-Tabelle2[[#This Row],[Fd]]*Tabelle2[[#This Row],[vx]]/Tabelle2[[#This Row],[v]],0)</f>
        <v>0</v>
      </c>
      <c r="I312">
        <f t="shared" si="44"/>
        <v>0</v>
      </c>
      <c r="J312">
        <f t="shared" si="45"/>
        <v>0</v>
      </c>
      <c r="K312">
        <f t="shared" si="46"/>
        <v>1.0467394398169905</v>
      </c>
      <c r="L312">
        <f>-$B$5*$B$12-IF($B$3,Tabelle2[[#This Row],[Fd]]*Tabelle2[[#This Row],[vy]]/Tabelle2[[#This Row],[v]],0)</f>
        <v>-14.715</v>
      </c>
      <c r="M312">
        <f t="shared" si="47"/>
        <v>-9.81</v>
      </c>
      <c r="N312">
        <f t="shared" si="48"/>
        <v>-0.19620000000000001</v>
      </c>
      <c r="O312">
        <f t="shared" si="49"/>
        <v>3.2977487911956038E-2</v>
      </c>
      <c r="P312" s="1">
        <f t="shared" si="51"/>
        <v>52.336971990849527</v>
      </c>
      <c r="Q312" s="1">
        <f t="shared" si="52"/>
        <v>1.7469743955978019</v>
      </c>
      <c r="R312">
        <f>SQRT(Tabelle2[[#This Row],[vx]]*Tabelle2[[#This Row],[vx]]+Tabelle2[[#This Row],[vy]]*Tabelle2[[#This Row],[vy]])</f>
        <v>52.366120313708954</v>
      </c>
      <c r="S312">
        <f t="shared" si="53"/>
        <v>323.44248690345034</v>
      </c>
      <c r="T312" s="1">
        <f t="shared" si="54"/>
        <v>199.84444854542096</v>
      </c>
    </row>
    <row r="313" spans="6:20" x14ac:dyDescent="0.35">
      <c r="F313" s="1">
        <f t="shared" si="50"/>
        <v>6.1999999999999558</v>
      </c>
      <c r="G313">
        <f>1/2*$B$8*$B$6*$B$7*(Tabelle2[[#This Row],[vx]]*Tabelle2[[#This Row],[vx]]+Tabelle2[[#This Row],[vy]]*Tabelle2[[#This Row],[vy]])/1000000</f>
        <v>4.8496027190175113</v>
      </c>
      <c r="H313">
        <f>IF($B$3,-Tabelle2[[#This Row],[Fd]]*Tabelle2[[#This Row],[vx]]/Tabelle2[[#This Row],[v]],0)</f>
        <v>0</v>
      </c>
      <c r="I313">
        <f t="shared" si="44"/>
        <v>0</v>
      </c>
      <c r="J313">
        <f t="shared" si="45"/>
        <v>0</v>
      </c>
      <c r="K313">
        <f t="shared" si="46"/>
        <v>1.0467394398169905</v>
      </c>
      <c r="L313">
        <f>-$B$5*$B$12-IF($B$3,Tabelle2[[#This Row],[Fd]]*Tabelle2[[#This Row],[vy]]/Tabelle2[[#This Row],[v]],0)</f>
        <v>-14.715</v>
      </c>
      <c r="M313">
        <f t="shared" si="47"/>
        <v>-9.81</v>
      </c>
      <c r="N313">
        <f t="shared" si="48"/>
        <v>-0.19620000000000001</v>
      </c>
      <c r="O313">
        <f t="shared" si="49"/>
        <v>2.9053487911956038E-2</v>
      </c>
      <c r="P313" s="1">
        <f t="shared" si="51"/>
        <v>52.336971990849527</v>
      </c>
      <c r="Q313" s="1">
        <f t="shared" si="52"/>
        <v>1.5507743955978019</v>
      </c>
      <c r="R313">
        <f>SQRT(Tabelle2[[#This Row],[vx]]*Tabelle2[[#This Row],[vx]]+Tabelle2[[#This Row],[vy]]*Tabelle2[[#This Row],[vy]])</f>
        <v>52.359942116058619</v>
      </c>
      <c r="S313">
        <f t="shared" si="53"/>
        <v>324.48922634326732</v>
      </c>
      <c r="T313" s="1">
        <f t="shared" si="54"/>
        <v>199.87742603333291</v>
      </c>
    </row>
    <row r="314" spans="6:20" x14ac:dyDescent="0.35">
      <c r="F314" s="1">
        <f t="shared" si="50"/>
        <v>6.2199999999999553</v>
      </c>
      <c r="G314">
        <f>1/2*$B$8*$B$6*$B$7*(Tabelle2[[#This Row],[vx]]*Tabelle2[[#This Row],[vx]]+Tabelle2[[#This Row],[vy]]*Tabelle2[[#This Row],[vy]])/1000000</f>
        <v>4.84859438335479</v>
      </c>
      <c r="H314">
        <f>IF($B$3,-Tabelle2[[#This Row],[Fd]]*Tabelle2[[#This Row],[vx]]/Tabelle2[[#This Row],[v]],0)</f>
        <v>0</v>
      </c>
      <c r="I314">
        <f t="shared" si="44"/>
        <v>0</v>
      </c>
      <c r="J314">
        <f t="shared" si="45"/>
        <v>0</v>
      </c>
      <c r="K314">
        <f t="shared" si="46"/>
        <v>1.0467394398169905</v>
      </c>
      <c r="L314">
        <f>-$B$5*$B$12-IF($B$3,Tabelle2[[#This Row],[Fd]]*Tabelle2[[#This Row],[vy]]/Tabelle2[[#This Row],[v]],0)</f>
        <v>-14.715</v>
      </c>
      <c r="M314">
        <f t="shared" si="47"/>
        <v>-9.81</v>
      </c>
      <c r="N314">
        <f t="shared" si="48"/>
        <v>-0.19620000000000001</v>
      </c>
      <c r="O314">
        <f t="shared" si="49"/>
        <v>2.5129487911956041E-2</v>
      </c>
      <c r="P314" s="1">
        <f t="shared" si="51"/>
        <v>52.336971990849527</v>
      </c>
      <c r="Q314" s="1">
        <f t="shared" si="52"/>
        <v>1.354574395597802</v>
      </c>
      <c r="R314">
        <f>SQRT(Tabelle2[[#This Row],[vx]]*Tabelle2[[#This Row],[vx]]+Tabelle2[[#This Row],[vy]]*Tabelle2[[#This Row],[vy]])</f>
        <v>52.354498459675618</v>
      </c>
      <c r="S314">
        <f t="shared" si="53"/>
        <v>325.53596578308429</v>
      </c>
      <c r="T314" s="1">
        <f t="shared" si="54"/>
        <v>199.90647952124488</v>
      </c>
    </row>
    <row r="315" spans="6:20" x14ac:dyDescent="0.35">
      <c r="F315" s="1">
        <f t="shared" si="50"/>
        <v>6.2399999999999549</v>
      </c>
      <c r="G315">
        <f>1/2*$B$8*$B$6*$B$7*(Tabelle2[[#This Row],[vx]]*Tabelle2[[#This Row],[vx]]+Tabelle2[[#This Row],[vy]]*Tabelle2[[#This Row],[vy]])/1000000</f>
        <v>4.8477222347534115</v>
      </c>
      <c r="H315">
        <f>IF($B$3,-Tabelle2[[#This Row],[Fd]]*Tabelle2[[#This Row],[vx]]/Tabelle2[[#This Row],[v]],0)</f>
        <v>0</v>
      </c>
      <c r="I315">
        <f t="shared" si="44"/>
        <v>0</v>
      </c>
      <c r="J315">
        <f t="shared" si="45"/>
        <v>0</v>
      </c>
      <c r="K315">
        <f t="shared" si="46"/>
        <v>1.0467394398169905</v>
      </c>
      <c r="L315">
        <f>-$B$5*$B$12-IF($B$3,Tabelle2[[#This Row],[Fd]]*Tabelle2[[#This Row],[vy]]/Tabelle2[[#This Row],[v]],0)</f>
        <v>-14.715</v>
      </c>
      <c r="M315">
        <f t="shared" si="47"/>
        <v>-9.81</v>
      </c>
      <c r="N315">
        <f t="shared" si="48"/>
        <v>-0.19620000000000001</v>
      </c>
      <c r="O315">
        <f t="shared" si="49"/>
        <v>2.120548791195604E-2</v>
      </c>
      <c r="P315" s="1">
        <f t="shared" si="51"/>
        <v>52.336971990849527</v>
      </c>
      <c r="Q315" s="1">
        <f t="shared" si="52"/>
        <v>1.1583743955978021</v>
      </c>
      <c r="R315">
        <f>SQRT(Tabelle2[[#This Row],[vx]]*Tabelle2[[#This Row],[vx]]+Tabelle2[[#This Row],[vy]]*Tabelle2[[#This Row],[vy]])</f>
        <v>52.349789573706445</v>
      </c>
      <c r="S315">
        <f t="shared" si="53"/>
        <v>326.58270522290127</v>
      </c>
      <c r="T315" s="1">
        <f t="shared" si="54"/>
        <v>199.93160900915683</v>
      </c>
    </row>
    <row r="316" spans="6:20" x14ac:dyDescent="0.35">
      <c r="F316" s="1">
        <f t="shared" si="50"/>
        <v>6.2599999999999545</v>
      </c>
      <c r="G316">
        <f>1/2*$B$8*$B$6*$B$7*(Tabelle2[[#This Row],[vx]]*Tabelle2[[#This Row],[vx]]+Tabelle2[[#This Row],[vy]]*Tabelle2[[#This Row],[vy]])/1000000</f>
        <v>4.8469862732133766</v>
      </c>
      <c r="H316">
        <f>IF($B$3,-Tabelle2[[#This Row],[Fd]]*Tabelle2[[#This Row],[vx]]/Tabelle2[[#This Row],[v]],0)</f>
        <v>0</v>
      </c>
      <c r="I316">
        <f t="shared" si="44"/>
        <v>0</v>
      </c>
      <c r="J316">
        <f t="shared" si="45"/>
        <v>0</v>
      </c>
      <c r="K316">
        <f t="shared" si="46"/>
        <v>1.0467394398169905</v>
      </c>
      <c r="L316">
        <f>-$B$5*$B$12-IF($B$3,Tabelle2[[#This Row],[Fd]]*Tabelle2[[#This Row],[vy]]/Tabelle2[[#This Row],[v]],0)</f>
        <v>-14.715</v>
      </c>
      <c r="M316">
        <f t="shared" si="47"/>
        <v>-9.81</v>
      </c>
      <c r="N316">
        <f t="shared" si="48"/>
        <v>-0.19620000000000001</v>
      </c>
      <c r="O316">
        <f t="shared" si="49"/>
        <v>1.7281487911956044E-2</v>
      </c>
      <c r="P316" s="1">
        <f t="shared" si="51"/>
        <v>52.336971990849527</v>
      </c>
      <c r="Q316" s="1">
        <f t="shared" si="52"/>
        <v>0.96217439559780205</v>
      </c>
      <c r="R316">
        <f>SQRT(Tabelle2[[#This Row],[vx]]*Tabelle2[[#This Row],[vx]]+Tabelle2[[#This Row],[vy]]*Tabelle2[[#This Row],[vy]])</f>
        <v>52.345815656444898</v>
      </c>
      <c r="S316">
        <f t="shared" si="53"/>
        <v>327.62944466271824</v>
      </c>
      <c r="T316" s="1">
        <f t="shared" si="54"/>
        <v>199.95281449706877</v>
      </c>
    </row>
    <row r="317" spans="6:20" x14ac:dyDescent="0.35">
      <c r="F317" s="1">
        <f t="shared" si="50"/>
        <v>6.2799999999999541</v>
      </c>
      <c r="G317">
        <f>1/2*$B$8*$B$6*$B$7*(Tabelle2[[#This Row],[vx]]*Tabelle2[[#This Row],[vx]]+Tabelle2[[#This Row],[vy]]*Tabelle2[[#This Row],[vy]])/1000000</f>
        <v>4.8463864987346863</v>
      </c>
      <c r="H317">
        <f>IF($B$3,-Tabelle2[[#This Row],[Fd]]*Tabelle2[[#This Row],[vx]]/Tabelle2[[#This Row],[v]],0)</f>
        <v>0</v>
      </c>
      <c r="I317">
        <f t="shared" si="44"/>
        <v>0</v>
      </c>
      <c r="J317">
        <f t="shared" si="45"/>
        <v>0</v>
      </c>
      <c r="K317">
        <f t="shared" si="46"/>
        <v>1.0467394398169905</v>
      </c>
      <c r="L317">
        <f>-$B$5*$B$12-IF($B$3,Tabelle2[[#This Row],[Fd]]*Tabelle2[[#This Row],[vy]]/Tabelle2[[#This Row],[v]],0)</f>
        <v>-14.715</v>
      </c>
      <c r="M317">
        <f t="shared" si="47"/>
        <v>-9.81</v>
      </c>
      <c r="N317">
        <f t="shared" si="48"/>
        <v>-0.19620000000000001</v>
      </c>
      <c r="O317">
        <f t="shared" si="49"/>
        <v>1.3357487911956041E-2</v>
      </c>
      <c r="P317" s="1">
        <f t="shared" si="51"/>
        <v>52.336971990849527</v>
      </c>
      <c r="Q317" s="1">
        <f t="shared" si="52"/>
        <v>0.765974395597802</v>
      </c>
      <c r="R317">
        <f>SQRT(Tabelle2[[#This Row],[vx]]*Tabelle2[[#This Row],[vx]]+Tabelle2[[#This Row],[vy]]*Tabelle2[[#This Row],[vy]])</f>
        <v>52.342576875290341</v>
      </c>
      <c r="S317">
        <f t="shared" si="53"/>
        <v>328.67618410253522</v>
      </c>
      <c r="T317" s="1">
        <f t="shared" si="54"/>
        <v>199.97009598498073</v>
      </c>
    </row>
    <row r="318" spans="6:20" x14ac:dyDescent="0.35">
      <c r="F318" s="1">
        <f t="shared" si="50"/>
        <v>6.2999999999999536</v>
      </c>
      <c r="G318">
        <f>1/2*$B$8*$B$6*$B$7*(Tabelle2[[#This Row],[vx]]*Tabelle2[[#This Row],[vx]]+Tabelle2[[#This Row],[vy]]*Tabelle2[[#This Row],[vy]])/1000000</f>
        <v>4.8459229113173397</v>
      </c>
      <c r="H318">
        <f>IF($B$3,-Tabelle2[[#This Row],[Fd]]*Tabelle2[[#This Row],[vx]]/Tabelle2[[#This Row],[v]],0)</f>
        <v>0</v>
      </c>
      <c r="I318">
        <f t="shared" si="44"/>
        <v>0</v>
      </c>
      <c r="J318">
        <f t="shared" si="45"/>
        <v>0</v>
      </c>
      <c r="K318">
        <f t="shared" si="46"/>
        <v>1.0467394398169905</v>
      </c>
      <c r="L318">
        <f>-$B$5*$B$12-IF($B$3,Tabelle2[[#This Row],[Fd]]*Tabelle2[[#This Row],[vy]]/Tabelle2[[#This Row],[v]],0)</f>
        <v>-14.715</v>
      </c>
      <c r="M318">
        <f t="shared" si="47"/>
        <v>-9.81</v>
      </c>
      <c r="N318">
        <f t="shared" si="48"/>
        <v>-0.19620000000000001</v>
      </c>
      <c r="O318">
        <f t="shared" si="49"/>
        <v>9.4334879119560393E-3</v>
      </c>
      <c r="P318" s="1">
        <f t="shared" si="51"/>
        <v>52.336971990849527</v>
      </c>
      <c r="Q318" s="1">
        <f t="shared" si="52"/>
        <v>0.56977439559780196</v>
      </c>
      <c r="R318">
        <f>SQRT(Tabelle2[[#This Row],[vx]]*Tabelle2[[#This Row],[vx]]+Tabelle2[[#This Row],[vy]]*Tabelle2[[#This Row],[vy]])</f>
        <v>52.340073366712495</v>
      </c>
      <c r="S318">
        <f t="shared" si="53"/>
        <v>329.72292354235219</v>
      </c>
      <c r="T318" s="1">
        <f t="shared" si="54"/>
        <v>199.98345347289268</v>
      </c>
    </row>
    <row r="319" spans="6:20" x14ac:dyDescent="0.35">
      <c r="F319" s="1">
        <f t="shared" si="50"/>
        <v>6.3199999999999532</v>
      </c>
      <c r="G319">
        <f>1/2*$B$8*$B$6*$B$7*(Tabelle2[[#This Row],[vx]]*Tabelle2[[#This Row],[vx]]+Tabelle2[[#This Row],[vy]]*Tabelle2[[#This Row],[vy]])/1000000</f>
        <v>4.8455955109613376</v>
      </c>
      <c r="H319">
        <f>IF($B$3,-Tabelle2[[#This Row],[Fd]]*Tabelle2[[#This Row],[vx]]/Tabelle2[[#This Row],[v]],0)</f>
        <v>0</v>
      </c>
      <c r="I319">
        <f t="shared" si="44"/>
        <v>0</v>
      </c>
      <c r="J319">
        <f t="shared" si="45"/>
        <v>0</v>
      </c>
      <c r="K319">
        <f t="shared" si="46"/>
        <v>1.0467394398169905</v>
      </c>
      <c r="L319">
        <f>-$B$5*$B$12-IF($B$3,Tabelle2[[#This Row],[Fd]]*Tabelle2[[#This Row],[vy]]/Tabelle2[[#This Row],[v]],0)</f>
        <v>-14.715</v>
      </c>
      <c r="M319">
        <f t="shared" si="47"/>
        <v>-9.81</v>
      </c>
      <c r="N319">
        <f t="shared" si="48"/>
        <v>-0.19620000000000001</v>
      </c>
      <c r="O319">
        <f t="shared" si="49"/>
        <v>5.509487911956038E-3</v>
      </c>
      <c r="P319" s="1">
        <f t="shared" si="51"/>
        <v>52.336971990849527</v>
      </c>
      <c r="Q319" s="1">
        <f t="shared" si="52"/>
        <v>0.37357439559780192</v>
      </c>
      <c r="R319">
        <f>SQRT(Tabelle2[[#This Row],[vx]]*Tabelle2[[#This Row],[vx]]+Tabelle2[[#This Row],[vy]]*Tabelle2[[#This Row],[vy]])</f>
        <v>52.338305236222673</v>
      </c>
      <c r="S319">
        <f t="shared" si="53"/>
        <v>330.76966298216917</v>
      </c>
      <c r="T319" s="1">
        <f t="shared" si="54"/>
        <v>199.99288696080464</v>
      </c>
    </row>
    <row r="320" spans="6:20" x14ac:dyDescent="0.35">
      <c r="F320" s="1">
        <f t="shared" si="50"/>
        <v>6.3399999999999528</v>
      </c>
      <c r="G320">
        <f>1/2*$B$8*$B$6*$B$7*(Tabelle2[[#This Row],[vx]]*Tabelle2[[#This Row],[vx]]+Tabelle2[[#This Row],[vy]]*Tabelle2[[#This Row],[vy]])/1000000</f>
        <v>4.84540429766668</v>
      </c>
      <c r="H320">
        <f>IF($B$3,-Tabelle2[[#This Row],[Fd]]*Tabelle2[[#This Row],[vx]]/Tabelle2[[#This Row],[v]],0)</f>
        <v>0</v>
      </c>
      <c r="I320">
        <f t="shared" si="44"/>
        <v>0</v>
      </c>
      <c r="J320">
        <f t="shared" si="45"/>
        <v>0</v>
      </c>
      <c r="K320">
        <f t="shared" si="46"/>
        <v>1.0467394398169905</v>
      </c>
      <c r="L320">
        <f>-$B$5*$B$12-IF($B$3,Tabelle2[[#This Row],[Fd]]*Tabelle2[[#This Row],[vy]]/Tabelle2[[#This Row],[v]],0)</f>
        <v>-14.715</v>
      </c>
      <c r="M320">
        <f t="shared" si="47"/>
        <v>-9.81</v>
      </c>
      <c r="N320">
        <f t="shared" si="48"/>
        <v>-0.19620000000000001</v>
      </c>
      <c r="O320">
        <f t="shared" si="49"/>
        <v>1.585487911956038E-3</v>
      </c>
      <c r="P320" s="1">
        <f t="shared" si="51"/>
        <v>52.336971990849527</v>
      </c>
      <c r="Q320" s="1">
        <f t="shared" si="52"/>
        <v>0.17737439559780191</v>
      </c>
      <c r="R320">
        <f>SQRT(Tabelle2[[#This Row],[vx]]*Tabelle2[[#This Row],[vx]]+Tabelle2[[#This Row],[vy]]*Tabelle2[[#This Row],[vy]])</f>
        <v>52.337272558351586</v>
      </c>
      <c r="S320">
        <f t="shared" si="53"/>
        <v>331.81640242198614</v>
      </c>
      <c r="T320" s="1">
        <f t="shared" si="54"/>
        <v>199.99839644871659</v>
      </c>
    </row>
    <row r="321" spans="6:20" x14ac:dyDescent="0.35">
      <c r="F321" s="1">
        <f t="shared" si="50"/>
        <v>6.3599999999999524</v>
      </c>
      <c r="G321">
        <f>1/2*$B$8*$B$6*$B$7*(Tabelle2[[#This Row],[vx]]*Tabelle2[[#This Row],[vx]]+Tabelle2[[#This Row],[vy]]*Tabelle2[[#This Row],[vy]])/1000000</f>
        <v>4.8453492714333644</v>
      </c>
      <c r="H321">
        <f>IF($B$3,-Tabelle2[[#This Row],[Fd]]*Tabelle2[[#This Row],[vx]]/Tabelle2[[#This Row],[v]],0)</f>
        <v>0</v>
      </c>
      <c r="I321">
        <f t="shared" si="44"/>
        <v>0</v>
      </c>
      <c r="J321">
        <f t="shared" si="45"/>
        <v>0</v>
      </c>
      <c r="K321">
        <f t="shared" si="46"/>
        <v>1.0467394398169905</v>
      </c>
      <c r="L321">
        <f>-$B$5*$B$12-IF($B$3,Tabelle2[[#This Row],[Fd]]*Tabelle2[[#This Row],[vy]]/Tabelle2[[#This Row],[v]],0)</f>
        <v>-14.715</v>
      </c>
      <c r="M321">
        <f t="shared" si="47"/>
        <v>-9.81</v>
      </c>
      <c r="N321">
        <f t="shared" si="48"/>
        <v>-0.19620000000000001</v>
      </c>
      <c r="O321">
        <f t="shared" si="49"/>
        <v>-2.3385120880439624E-3</v>
      </c>
      <c r="P321" s="1">
        <f t="shared" si="51"/>
        <v>52.336971990849527</v>
      </c>
      <c r="Q321" s="1">
        <f t="shared" si="52"/>
        <v>-1.8825604402198104E-2</v>
      </c>
      <c r="R321">
        <f>SQRT(Tabelle2[[#This Row],[vx]]*Tabelle2[[#This Row],[vx]]+Tabelle2[[#This Row],[vy]]*Tabelle2[[#This Row],[vy]])</f>
        <v>52.336975376633575</v>
      </c>
      <c r="S321">
        <f t="shared" si="53"/>
        <v>332.86314186180311</v>
      </c>
      <c r="T321" s="1">
        <f t="shared" si="54"/>
        <v>199.99998193662856</v>
      </c>
    </row>
    <row r="322" spans="6:20" x14ac:dyDescent="0.35">
      <c r="F322" s="1">
        <f t="shared" si="50"/>
        <v>6.3799999999999519</v>
      </c>
      <c r="G322">
        <f>1/2*$B$8*$B$6*$B$7*(Tabelle2[[#This Row],[vx]]*Tabelle2[[#This Row],[vx]]+Tabelle2[[#This Row],[vy]]*Tabelle2[[#This Row],[vy]])/1000000</f>
        <v>4.8454304322613941</v>
      </c>
      <c r="H322">
        <f>IF($B$3,-Tabelle2[[#This Row],[Fd]]*Tabelle2[[#This Row],[vx]]/Tabelle2[[#This Row],[v]],0)</f>
        <v>0</v>
      </c>
      <c r="I322">
        <f t="shared" si="44"/>
        <v>0</v>
      </c>
      <c r="J322">
        <f t="shared" si="45"/>
        <v>0</v>
      </c>
      <c r="K322">
        <f t="shared" si="46"/>
        <v>1.0467394398169905</v>
      </c>
      <c r="L322">
        <f>-$B$5*$B$12-IF($B$3,Tabelle2[[#This Row],[Fd]]*Tabelle2[[#This Row],[vy]]/Tabelle2[[#This Row],[v]],0)</f>
        <v>-14.715</v>
      </c>
      <c r="M322">
        <f t="shared" si="47"/>
        <v>-9.81</v>
      </c>
      <c r="N322">
        <f t="shared" si="48"/>
        <v>-0.19620000000000001</v>
      </c>
      <c r="O322">
        <f t="shared" si="49"/>
        <v>-6.2625120880439623E-3</v>
      </c>
      <c r="P322" s="1">
        <f t="shared" si="51"/>
        <v>52.336971990849527</v>
      </c>
      <c r="Q322" s="1">
        <f t="shared" si="52"/>
        <v>-0.21502560440219812</v>
      </c>
      <c r="R322">
        <f>SQRT(Tabelle2[[#This Row],[vx]]*Tabelle2[[#This Row],[vx]]+Tabelle2[[#This Row],[vy]]*Tabelle2[[#This Row],[vy]])</f>
        <v>52.337413703597505</v>
      </c>
      <c r="S322">
        <f t="shared" si="53"/>
        <v>333.90988130162009</v>
      </c>
      <c r="T322" s="1">
        <f t="shared" si="54"/>
        <v>199.99764342454051</v>
      </c>
    </row>
    <row r="323" spans="6:20" x14ac:dyDescent="0.35">
      <c r="F323" s="1">
        <f t="shared" si="50"/>
        <v>6.3999999999999515</v>
      </c>
      <c r="G323">
        <f>1/2*$B$8*$B$6*$B$7*(Tabelle2[[#This Row],[vx]]*Tabelle2[[#This Row],[vx]]+Tabelle2[[#This Row],[vy]]*Tabelle2[[#This Row],[vy]])/1000000</f>
        <v>4.8456477801507676</v>
      </c>
      <c r="H323">
        <f>IF($B$3,-Tabelle2[[#This Row],[Fd]]*Tabelle2[[#This Row],[vx]]/Tabelle2[[#This Row],[v]],0)</f>
        <v>0</v>
      </c>
      <c r="I323">
        <f t="shared" ref="I323:I386" si="55">H323/$B$5</f>
        <v>0</v>
      </c>
      <c r="J323">
        <f t="shared" ref="J323:J386" si="56">I323*$B$13</f>
        <v>0</v>
      </c>
      <c r="K323">
        <f t="shared" ref="K323:K386" si="57">$B$13*(P323+J323/2)</f>
        <v>1.0467394398169905</v>
      </c>
      <c r="L323">
        <f>-$B$5*$B$12-IF($B$3,Tabelle2[[#This Row],[Fd]]*Tabelle2[[#This Row],[vy]]/Tabelle2[[#This Row],[v]],0)</f>
        <v>-14.715</v>
      </c>
      <c r="M323">
        <f t="shared" ref="M323:M386" si="58">L323/$B$5</f>
        <v>-9.81</v>
      </c>
      <c r="N323">
        <f t="shared" ref="N323:N386" si="59">M323*$B$13</f>
        <v>-0.19620000000000001</v>
      </c>
      <c r="O323">
        <f t="shared" ref="O323:O386" si="60">$B$13*(Q323+N323/2)</f>
        <v>-1.0186512088043963E-2</v>
      </c>
      <c r="P323" s="1">
        <f t="shared" si="51"/>
        <v>52.336971990849527</v>
      </c>
      <c r="Q323" s="1">
        <f t="shared" si="52"/>
        <v>-0.41122560440219813</v>
      </c>
      <c r="R323">
        <f>SQRT(Tabelle2[[#This Row],[vx]]*Tabelle2[[#This Row],[vx]]+Tabelle2[[#This Row],[vy]]*Tabelle2[[#This Row],[vy]])</f>
        <v>52.338587520764101</v>
      </c>
      <c r="S323">
        <f t="shared" si="53"/>
        <v>334.95662074143706</v>
      </c>
      <c r="T323" s="1">
        <f t="shared" si="54"/>
        <v>199.99138091245246</v>
      </c>
    </row>
    <row r="324" spans="6:20" x14ac:dyDescent="0.35">
      <c r="F324" s="1">
        <f t="shared" ref="F324:F387" si="61">F323+$B$13</f>
        <v>6.4199999999999511</v>
      </c>
      <c r="G324">
        <f>1/2*$B$8*$B$6*$B$7*(Tabelle2[[#This Row],[vx]]*Tabelle2[[#This Row],[vx]]+Tabelle2[[#This Row],[vy]]*Tabelle2[[#This Row],[vy]])/1000000</f>
        <v>4.8460013151014856</v>
      </c>
      <c r="H324">
        <f>IF($B$3,-Tabelle2[[#This Row],[Fd]]*Tabelle2[[#This Row],[vx]]/Tabelle2[[#This Row],[v]],0)</f>
        <v>0</v>
      </c>
      <c r="I324">
        <f t="shared" si="55"/>
        <v>0</v>
      </c>
      <c r="J324">
        <f t="shared" si="56"/>
        <v>0</v>
      </c>
      <c r="K324">
        <f t="shared" si="57"/>
        <v>1.0467394398169905</v>
      </c>
      <c r="L324">
        <f>-$B$5*$B$12-IF($B$3,Tabelle2[[#This Row],[Fd]]*Tabelle2[[#This Row],[vy]]/Tabelle2[[#This Row],[v]],0)</f>
        <v>-14.715</v>
      </c>
      <c r="M324">
        <f t="shared" si="58"/>
        <v>-9.81</v>
      </c>
      <c r="N324">
        <f t="shared" si="59"/>
        <v>-0.19620000000000001</v>
      </c>
      <c r="O324">
        <f t="shared" si="60"/>
        <v>-1.4110512088043963E-2</v>
      </c>
      <c r="P324" s="1">
        <f t="shared" ref="P324:P387" si="62">P323+J323</f>
        <v>52.336971990849527</v>
      </c>
      <c r="Q324" s="1">
        <f t="shared" ref="Q324:Q387" si="63">Q323+N323</f>
        <v>-0.60742560440219817</v>
      </c>
      <c r="R324">
        <f>SQRT(Tabelle2[[#This Row],[vx]]*Tabelle2[[#This Row],[vx]]+Tabelle2[[#This Row],[vy]]*Tabelle2[[#This Row],[vy]])</f>
        <v>52.340496778649808</v>
      </c>
      <c r="S324">
        <f t="shared" ref="S324:S387" si="64">S323+K323</f>
        <v>336.00336018125404</v>
      </c>
      <c r="T324" s="1">
        <f t="shared" ref="T324:T387" si="65">T323+O323</f>
        <v>199.98119440036442</v>
      </c>
    </row>
    <row r="325" spans="6:20" x14ac:dyDescent="0.35">
      <c r="F325" s="1">
        <f t="shared" si="61"/>
        <v>6.4399999999999507</v>
      </c>
      <c r="G325">
        <f>1/2*$B$8*$B$6*$B$7*(Tabelle2[[#This Row],[vx]]*Tabelle2[[#This Row],[vx]]+Tabelle2[[#This Row],[vy]]*Tabelle2[[#This Row],[vy]])/1000000</f>
        <v>4.8464910371135472</v>
      </c>
      <c r="H325">
        <f>IF($B$3,-Tabelle2[[#This Row],[Fd]]*Tabelle2[[#This Row],[vx]]/Tabelle2[[#This Row],[v]],0)</f>
        <v>0</v>
      </c>
      <c r="I325">
        <f t="shared" si="55"/>
        <v>0</v>
      </c>
      <c r="J325">
        <f t="shared" si="56"/>
        <v>0</v>
      </c>
      <c r="K325">
        <f t="shared" si="57"/>
        <v>1.0467394398169905</v>
      </c>
      <c r="L325">
        <f>-$B$5*$B$12-IF($B$3,Tabelle2[[#This Row],[Fd]]*Tabelle2[[#This Row],[vy]]/Tabelle2[[#This Row],[v]],0)</f>
        <v>-14.715</v>
      </c>
      <c r="M325">
        <f t="shared" si="58"/>
        <v>-9.81</v>
      </c>
      <c r="N325">
        <f t="shared" si="59"/>
        <v>-0.19620000000000001</v>
      </c>
      <c r="O325">
        <f t="shared" si="60"/>
        <v>-1.8034512088043964E-2</v>
      </c>
      <c r="P325" s="1">
        <f t="shared" si="62"/>
        <v>52.336971990849527</v>
      </c>
      <c r="Q325" s="1">
        <f t="shared" si="63"/>
        <v>-0.80362560440219821</v>
      </c>
      <c r="R325">
        <f>SQRT(Tabelle2[[#This Row],[vx]]*Tabelle2[[#This Row],[vx]]+Tabelle2[[#This Row],[vy]]*Tabelle2[[#This Row],[vy]])</f>
        <v>52.34314139677727</v>
      </c>
      <c r="S325">
        <f t="shared" si="64"/>
        <v>337.05009962107101</v>
      </c>
      <c r="T325" s="1">
        <f t="shared" si="65"/>
        <v>199.96708388827636</v>
      </c>
    </row>
    <row r="326" spans="6:20" x14ac:dyDescent="0.35">
      <c r="F326" s="1">
        <f t="shared" si="61"/>
        <v>6.4599999999999502</v>
      </c>
      <c r="G326">
        <f>1/2*$B$8*$B$6*$B$7*(Tabelle2[[#This Row],[vx]]*Tabelle2[[#This Row],[vx]]+Tabelle2[[#This Row],[vy]]*Tabelle2[[#This Row],[vy]])/1000000</f>
        <v>4.8471169461869525</v>
      </c>
      <c r="H326">
        <f>IF($B$3,-Tabelle2[[#This Row],[Fd]]*Tabelle2[[#This Row],[vx]]/Tabelle2[[#This Row],[v]],0)</f>
        <v>0</v>
      </c>
      <c r="I326">
        <f t="shared" si="55"/>
        <v>0</v>
      </c>
      <c r="J326">
        <f t="shared" si="56"/>
        <v>0</v>
      </c>
      <c r="K326">
        <f t="shared" si="57"/>
        <v>1.0467394398169905</v>
      </c>
      <c r="L326">
        <f>-$B$5*$B$12-IF($B$3,Tabelle2[[#This Row],[Fd]]*Tabelle2[[#This Row],[vy]]/Tabelle2[[#This Row],[v]],0)</f>
        <v>-14.715</v>
      </c>
      <c r="M326">
        <f t="shared" si="58"/>
        <v>-9.81</v>
      </c>
      <c r="N326">
        <f t="shared" si="59"/>
        <v>-0.19620000000000001</v>
      </c>
      <c r="O326">
        <f t="shared" si="60"/>
        <v>-2.1958512088043967E-2</v>
      </c>
      <c r="P326" s="1">
        <f t="shared" si="62"/>
        <v>52.336971990849527</v>
      </c>
      <c r="Q326" s="1">
        <f t="shared" si="63"/>
        <v>-0.99982560440219825</v>
      </c>
      <c r="R326">
        <f>SQRT(Tabelle2[[#This Row],[vx]]*Tabelle2[[#This Row],[vx]]+Tabelle2[[#This Row],[vy]]*Tabelle2[[#This Row],[vy]])</f>
        <v>52.34652126369226</v>
      </c>
      <c r="S326">
        <f t="shared" si="64"/>
        <v>338.09683906088799</v>
      </c>
      <c r="T326" s="1">
        <f t="shared" si="65"/>
        <v>199.94904937618833</v>
      </c>
    </row>
    <row r="327" spans="6:20" x14ac:dyDescent="0.35">
      <c r="F327" s="1">
        <f t="shared" si="61"/>
        <v>6.4799999999999498</v>
      </c>
      <c r="G327">
        <f>1/2*$B$8*$B$6*$B$7*(Tabelle2[[#This Row],[vx]]*Tabelle2[[#This Row],[vx]]+Tabelle2[[#This Row],[vy]]*Tabelle2[[#This Row],[vy]])/1000000</f>
        <v>4.8478790423217024</v>
      </c>
      <c r="H327">
        <f>IF($B$3,-Tabelle2[[#This Row],[Fd]]*Tabelle2[[#This Row],[vx]]/Tabelle2[[#This Row],[v]],0)</f>
        <v>0</v>
      </c>
      <c r="I327">
        <f t="shared" si="55"/>
        <v>0</v>
      </c>
      <c r="J327">
        <f t="shared" si="56"/>
        <v>0</v>
      </c>
      <c r="K327">
        <f t="shared" si="57"/>
        <v>1.0467394398169905</v>
      </c>
      <c r="L327">
        <f>-$B$5*$B$12-IF($B$3,Tabelle2[[#This Row],[Fd]]*Tabelle2[[#This Row],[vy]]/Tabelle2[[#This Row],[v]],0)</f>
        <v>-14.715</v>
      </c>
      <c r="M327">
        <f t="shared" si="58"/>
        <v>-9.81</v>
      </c>
      <c r="N327">
        <f t="shared" si="59"/>
        <v>-0.19620000000000001</v>
      </c>
      <c r="O327">
        <f t="shared" si="60"/>
        <v>-2.5882512088043964E-2</v>
      </c>
      <c r="P327" s="1">
        <f t="shared" si="62"/>
        <v>52.336971990849527</v>
      </c>
      <c r="Q327" s="1">
        <f t="shared" si="63"/>
        <v>-1.1960256044021982</v>
      </c>
      <c r="R327">
        <f>SQRT(Tabelle2[[#This Row],[vx]]*Tabelle2[[#This Row],[vx]]+Tabelle2[[#This Row],[vy]]*Tabelle2[[#This Row],[vy]])</f>
        <v>52.350636236987164</v>
      </c>
      <c r="S327">
        <f t="shared" si="64"/>
        <v>339.14357850070496</v>
      </c>
      <c r="T327" s="1">
        <f t="shared" si="65"/>
        <v>199.92709086410028</v>
      </c>
    </row>
    <row r="328" spans="6:20" x14ac:dyDescent="0.35">
      <c r="F328" s="1">
        <f t="shared" si="61"/>
        <v>6.4999999999999494</v>
      </c>
      <c r="G328">
        <f>1/2*$B$8*$B$6*$B$7*(Tabelle2[[#This Row],[vx]]*Tabelle2[[#This Row],[vx]]+Tabelle2[[#This Row],[vy]]*Tabelle2[[#This Row],[vy]])/1000000</f>
        <v>4.8487773255177959</v>
      </c>
      <c r="H328">
        <f>IF($B$3,-Tabelle2[[#This Row],[Fd]]*Tabelle2[[#This Row],[vx]]/Tabelle2[[#This Row],[v]],0)</f>
        <v>0</v>
      </c>
      <c r="I328">
        <f t="shared" si="55"/>
        <v>0</v>
      </c>
      <c r="J328">
        <f t="shared" si="56"/>
        <v>0</v>
      </c>
      <c r="K328">
        <f t="shared" si="57"/>
        <v>1.0467394398169905</v>
      </c>
      <c r="L328">
        <f>-$B$5*$B$12-IF($B$3,Tabelle2[[#This Row],[Fd]]*Tabelle2[[#This Row],[vy]]/Tabelle2[[#This Row],[v]],0)</f>
        <v>-14.715</v>
      </c>
      <c r="M328">
        <f t="shared" si="58"/>
        <v>-9.81</v>
      </c>
      <c r="N328">
        <f t="shared" si="59"/>
        <v>-0.19620000000000001</v>
      </c>
      <c r="O328">
        <f t="shared" si="60"/>
        <v>-2.9806512088043965E-2</v>
      </c>
      <c r="P328" s="1">
        <f t="shared" si="62"/>
        <v>52.336971990849527</v>
      </c>
      <c r="Q328" s="1">
        <f t="shared" si="63"/>
        <v>-1.3922256044021981</v>
      </c>
      <c r="R328">
        <f>SQRT(Tabelle2[[#This Row],[vx]]*Tabelle2[[#This Row],[vx]]+Tabelle2[[#This Row],[vy]]*Tabelle2[[#This Row],[vy]])</f>
        <v>52.355486143330964</v>
      </c>
      <c r="S328">
        <f t="shared" si="64"/>
        <v>340.19031794052194</v>
      </c>
      <c r="T328" s="1">
        <f t="shared" si="65"/>
        <v>199.90120835201225</v>
      </c>
    </row>
    <row r="329" spans="6:20" x14ac:dyDescent="0.35">
      <c r="F329" s="1">
        <f t="shared" si="61"/>
        <v>6.5199999999999489</v>
      </c>
      <c r="G329">
        <f>1/2*$B$8*$B$6*$B$7*(Tabelle2[[#This Row],[vx]]*Tabelle2[[#This Row],[vx]]+Tabelle2[[#This Row],[vy]]*Tabelle2[[#This Row],[vy]])/1000000</f>
        <v>4.8498117957752331</v>
      </c>
      <c r="H329">
        <f>IF($B$3,-Tabelle2[[#This Row],[Fd]]*Tabelle2[[#This Row],[vx]]/Tabelle2[[#This Row],[v]],0)</f>
        <v>0</v>
      </c>
      <c r="I329">
        <f t="shared" si="55"/>
        <v>0</v>
      </c>
      <c r="J329">
        <f t="shared" si="56"/>
        <v>0</v>
      </c>
      <c r="K329">
        <f t="shared" si="57"/>
        <v>1.0467394398169905</v>
      </c>
      <c r="L329">
        <f>-$B$5*$B$12-IF($B$3,Tabelle2[[#This Row],[Fd]]*Tabelle2[[#This Row],[vy]]/Tabelle2[[#This Row],[v]],0)</f>
        <v>-14.715</v>
      </c>
      <c r="M329">
        <f t="shared" si="58"/>
        <v>-9.81</v>
      </c>
      <c r="N329">
        <f t="shared" si="59"/>
        <v>-0.19620000000000001</v>
      </c>
      <c r="O329">
        <f t="shared" si="60"/>
        <v>-3.3730512088043965E-2</v>
      </c>
      <c r="P329" s="1">
        <f t="shared" si="62"/>
        <v>52.336971990849527</v>
      </c>
      <c r="Q329" s="1">
        <f t="shared" si="63"/>
        <v>-1.588425604402198</v>
      </c>
      <c r="R329">
        <f>SQRT(Tabelle2[[#This Row],[vx]]*Tabelle2[[#This Row],[vx]]+Tabelle2[[#This Row],[vy]]*Tabelle2[[#This Row],[vy]])</f>
        <v>52.361070778505741</v>
      </c>
      <c r="S329">
        <f t="shared" si="64"/>
        <v>341.23705738033891</v>
      </c>
      <c r="T329" s="1">
        <f t="shared" si="65"/>
        <v>199.8714018399242</v>
      </c>
    </row>
    <row r="330" spans="6:20" x14ac:dyDescent="0.35">
      <c r="F330" s="1">
        <f t="shared" si="61"/>
        <v>6.5399999999999485</v>
      </c>
      <c r="G330">
        <f>1/2*$B$8*$B$6*$B$7*(Tabelle2[[#This Row],[vx]]*Tabelle2[[#This Row],[vx]]+Tabelle2[[#This Row],[vy]]*Tabelle2[[#This Row],[vy]])/1000000</f>
        <v>4.8509824530940149</v>
      </c>
      <c r="H330">
        <f>IF($B$3,-Tabelle2[[#This Row],[Fd]]*Tabelle2[[#This Row],[vx]]/Tabelle2[[#This Row],[v]],0)</f>
        <v>0</v>
      </c>
      <c r="I330">
        <f t="shared" si="55"/>
        <v>0</v>
      </c>
      <c r="J330">
        <f t="shared" si="56"/>
        <v>0</v>
      </c>
      <c r="K330">
        <f t="shared" si="57"/>
        <v>1.0467394398169905</v>
      </c>
      <c r="L330">
        <f>-$B$5*$B$12-IF($B$3,Tabelle2[[#This Row],[Fd]]*Tabelle2[[#This Row],[vy]]/Tabelle2[[#This Row],[v]],0)</f>
        <v>-14.715</v>
      </c>
      <c r="M330">
        <f t="shared" si="58"/>
        <v>-9.81</v>
      </c>
      <c r="N330">
        <f t="shared" si="59"/>
        <v>-0.19620000000000001</v>
      </c>
      <c r="O330">
        <f t="shared" si="60"/>
        <v>-3.7654512088043962E-2</v>
      </c>
      <c r="P330" s="1">
        <f t="shared" si="62"/>
        <v>52.336971990849527</v>
      </c>
      <c r="Q330" s="1">
        <f t="shared" si="63"/>
        <v>-1.784625604402198</v>
      </c>
      <c r="R330">
        <f>SQRT(Tabelle2[[#This Row],[vx]]*Tabelle2[[#This Row],[vx]]+Tabelle2[[#This Row],[vy]]*Tabelle2[[#This Row],[vy]])</f>
        <v>52.367389907449613</v>
      </c>
      <c r="S330">
        <f t="shared" si="64"/>
        <v>342.28379682015589</v>
      </c>
      <c r="T330" s="1">
        <f t="shared" si="65"/>
        <v>199.83767132783615</v>
      </c>
    </row>
    <row r="331" spans="6:20" x14ac:dyDescent="0.35">
      <c r="F331" s="1">
        <f t="shared" si="61"/>
        <v>6.5599999999999481</v>
      </c>
      <c r="G331">
        <f>1/2*$B$8*$B$6*$B$7*(Tabelle2[[#This Row],[vx]]*Tabelle2[[#This Row],[vx]]+Tabelle2[[#This Row],[vy]]*Tabelle2[[#This Row],[vy]])/1000000</f>
        <v>4.8522892974741403</v>
      </c>
      <c r="H331">
        <f>IF($B$3,-Tabelle2[[#This Row],[Fd]]*Tabelle2[[#This Row],[vx]]/Tabelle2[[#This Row],[v]],0)</f>
        <v>0</v>
      </c>
      <c r="I331">
        <f t="shared" si="55"/>
        <v>0</v>
      </c>
      <c r="J331">
        <f t="shared" si="56"/>
        <v>0</v>
      </c>
      <c r="K331">
        <f t="shared" si="57"/>
        <v>1.0467394398169905</v>
      </c>
      <c r="L331">
        <f>-$B$5*$B$12-IF($B$3,Tabelle2[[#This Row],[Fd]]*Tabelle2[[#This Row],[vy]]/Tabelle2[[#This Row],[v]],0)</f>
        <v>-14.715</v>
      </c>
      <c r="M331">
        <f t="shared" si="58"/>
        <v>-9.81</v>
      </c>
      <c r="N331">
        <f t="shared" si="59"/>
        <v>-0.19620000000000001</v>
      </c>
      <c r="O331">
        <f t="shared" si="60"/>
        <v>-4.1578512088043959E-2</v>
      </c>
      <c r="P331" s="1">
        <f t="shared" si="62"/>
        <v>52.336971990849527</v>
      </c>
      <c r="Q331" s="1">
        <f t="shared" si="63"/>
        <v>-1.9808256044021979</v>
      </c>
      <c r="R331">
        <f>SQRT(Tabelle2[[#This Row],[vx]]*Tabelle2[[#This Row],[vx]]+Tabelle2[[#This Row],[vy]]*Tabelle2[[#This Row],[vy]])</f>
        <v>52.374443264306144</v>
      </c>
      <c r="S331">
        <f t="shared" si="64"/>
        <v>343.33053625997286</v>
      </c>
      <c r="T331" s="1">
        <f t="shared" si="65"/>
        <v>199.80001681574811</v>
      </c>
    </row>
    <row r="332" spans="6:20" x14ac:dyDescent="0.35">
      <c r="F332" s="1">
        <f t="shared" si="61"/>
        <v>6.5799999999999477</v>
      </c>
      <c r="G332">
        <f>1/2*$B$8*$B$6*$B$7*(Tabelle2[[#This Row],[vx]]*Tabelle2[[#This Row],[vx]]+Tabelle2[[#This Row],[vy]]*Tabelle2[[#This Row],[vy]])/1000000</f>
        <v>4.8537323289156094</v>
      </c>
      <c r="H332">
        <f>IF($B$3,-Tabelle2[[#This Row],[Fd]]*Tabelle2[[#This Row],[vx]]/Tabelle2[[#This Row],[v]],0)</f>
        <v>0</v>
      </c>
      <c r="I332">
        <f t="shared" si="55"/>
        <v>0</v>
      </c>
      <c r="J332">
        <f t="shared" si="56"/>
        <v>0</v>
      </c>
      <c r="K332">
        <f t="shared" si="57"/>
        <v>1.0467394398169905</v>
      </c>
      <c r="L332">
        <f>-$B$5*$B$12-IF($B$3,Tabelle2[[#This Row],[Fd]]*Tabelle2[[#This Row],[vy]]/Tabelle2[[#This Row],[v]],0)</f>
        <v>-14.715</v>
      </c>
      <c r="M332">
        <f t="shared" si="58"/>
        <v>-9.81</v>
      </c>
      <c r="N332">
        <f t="shared" si="59"/>
        <v>-0.19620000000000001</v>
      </c>
      <c r="O332">
        <f t="shared" si="60"/>
        <v>-4.5502512088043963E-2</v>
      </c>
      <c r="P332" s="1">
        <f t="shared" si="62"/>
        <v>52.336971990849527</v>
      </c>
      <c r="Q332" s="1">
        <f t="shared" si="63"/>
        <v>-2.1770256044021981</v>
      </c>
      <c r="R332">
        <f>SQRT(Tabelle2[[#This Row],[vx]]*Tabelle2[[#This Row],[vx]]+Tabelle2[[#This Row],[vy]]*Tabelle2[[#This Row],[vy]])</f>
        <v>52.382230552480202</v>
      </c>
      <c r="S332">
        <f t="shared" si="64"/>
        <v>344.37727569978983</v>
      </c>
      <c r="T332" s="1">
        <f t="shared" si="65"/>
        <v>199.75843830366006</v>
      </c>
    </row>
    <row r="333" spans="6:20" x14ac:dyDescent="0.35">
      <c r="F333" s="1">
        <f t="shared" si="61"/>
        <v>6.5999999999999472</v>
      </c>
      <c r="G333">
        <f>1/2*$B$8*$B$6*$B$7*(Tabelle2[[#This Row],[vx]]*Tabelle2[[#This Row],[vx]]+Tabelle2[[#This Row],[vy]]*Tabelle2[[#This Row],[vy]])/1000000</f>
        <v>4.8553115474184239</v>
      </c>
      <c r="H333">
        <f>IF($B$3,-Tabelle2[[#This Row],[Fd]]*Tabelle2[[#This Row],[vx]]/Tabelle2[[#This Row],[v]],0)</f>
        <v>0</v>
      </c>
      <c r="I333">
        <f t="shared" si="55"/>
        <v>0</v>
      </c>
      <c r="J333">
        <f t="shared" si="56"/>
        <v>0</v>
      </c>
      <c r="K333">
        <f t="shared" si="57"/>
        <v>1.0467394398169905</v>
      </c>
      <c r="L333">
        <f>-$B$5*$B$12-IF($B$3,Tabelle2[[#This Row],[Fd]]*Tabelle2[[#This Row],[vy]]/Tabelle2[[#This Row],[v]],0)</f>
        <v>-14.715</v>
      </c>
      <c r="M333">
        <f t="shared" si="58"/>
        <v>-9.81</v>
      </c>
      <c r="N333">
        <f t="shared" si="59"/>
        <v>-0.19620000000000001</v>
      </c>
      <c r="O333">
        <f t="shared" si="60"/>
        <v>-4.9426512088043967E-2</v>
      </c>
      <c r="P333" s="1">
        <f t="shared" si="62"/>
        <v>52.336971990849527</v>
      </c>
      <c r="Q333" s="1">
        <f t="shared" si="63"/>
        <v>-2.3732256044021982</v>
      </c>
      <c r="R333">
        <f>SQRT(Tabelle2[[#This Row],[vx]]*Tabelle2[[#This Row],[vx]]+Tabelle2[[#This Row],[vy]]*Tabelle2[[#This Row],[vy]])</f>
        <v>52.390751444700221</v>
      </c>
      <c r="S333">
        <f t="shared" si="64"/>
        <v>345.42401513960681</v>
      </c>
      <c r="T333" s="1">
        <f t="shared" si="65"/>
        <v>199.71293579157202</v>
      </c>
    </row>
    <row r="334" spans="6:20" x14ac:dyDescent="0.35">
      <c r="F334" s="1">
        <f t="shared" si="61"/>
        <v>6.6199999999999468</v>
      </c>
      <c r="G334">
        <f>1/2*$B$8*$B$6*$B$7*(Tabelle2[[#This Row],[vx]]*Tabelle2[[#This Row],[vx]]+Tabelle2[[#This Row],[vy]]*Tabelle2[[#This Row],[vy]])/1000000</f>
        <v>4.8570269529825811</v>
      </c>
      <c r="H334">
        <f>IF($B$3,-Tabelle2[[#This Row],[Fd]]*Tabelle2[[#This Row],[vx]]/Tabelle2[[#This Row],[v]],0)</f>
        <v>0</v>
      </c>
      <c r="I334">
        <f t="shared" si="55"/>
        <v>0</v>
      </c>
      <c r="J334">
        <f t="shared" si="56"/>
        <v>0</v>
      </c>
      <c r="K334">
        <f t="shared" si="57"/>
        <v>1.0467394398169905</v>
      </c>
      <c r="L334">
        <f>-$B$5*$B$12-IF($B$3,Tabelle2[[#This Row],[Fd]]*Tabelle2[[#This Row],[vy]]/Tabelle2[[#This Row],[v]],0)</f>
        <v>-14.715</v>
      </c>
      <c r="M334">
        <f t="shared" si="58"/>
        <v>-9.81</v>
      </c>
      <c r="N334">
        <f t="shared" si="59"/>
        <v>-0.19620000000000001</v>
      </c>
      <c r="O334">
        <f t="shared" si="60"/>
        <v>-5.3350512088043971E-2</v>
      </c>
      <c r="P334" s="1">
        <f t="shared" si="62"/>
        <v>52.336971990849527</v>
      </c>
      <c r="Q334" s="1">
        <f t="shared" si="63"/>
        <v>-2.5694256044021984</v>
      </c>
      <c r="R334">
        <f>SQRT(Tabelle2[[#This Row],[vx]]*Tabelle2[[#This Row],[vx]]+Tabelle2[[#This Row],[vy]]*Tabelle2[[#This Row],[vy]])</f>
        <v>52.400005583086781</v>
      </c>
      <c r="S334">
        <f t="shared" si="64"/>
        <v>346.47075457942378</v>
      </c>
      <c r="T334" s="1">
        <f t="shared" si="65"/>
        <v>199.66350927948397</v>
      </c>
    </row>
    <row r="335" spans="6:20" x14ac:dyDescent="0.35">
      <c r="F335" s="1">
        <f t="shared" si="61"/>
        <v>6.6399999999999464</v>
      </c>
      <c r="G335">
        <f>1/2*$B$8*$B$6*$B$7*(Tabelle2[[#This Row],[vx]]*Tabelle2[[#This Row],[vx]]+Tabelle2[[#This Row],[vy]]*Tabelle2[[#This Row],[vy]])/1000000</f>
        <v>4.8588785456080821</v>
      </c>
      <c r="H335">
        <f>IF($B$3,-Tabelle2[[#This Row],[Fd]]*Tabelle2[[#This Row],[vx]]/Tabelle2[[#This Row],[v]],0)</f>
        <v>0</v>
      </c>
      <c r="I335">
        <f t="shared" si="55"/>
        <v>0</v>
      </c>
      <c r="J335">
        <f t="shared" si="56"/>
        <v>0</v>
      </c>
      <c r="K335">
        <f t="shared" si="57"/>
        <v>1.0467394398169905</v>
      </c>
      <c r="L335">
        <f>-$B$5*$B$12-IF($B$3,Tabelle2[[#This Row],[Fd]]*Tabelle2[[#This Row],[vy]]/Tabelle2[[#This Row],[v]],0)</f>
        <v>-14.715</v>
      </c>
      <c r="M335">
        <f t="shared" si="58"/>
        <v>-9.81</v>
      </c>
      <c r="N335">
        <f t="shared" si="59"/>
        <v>-0.19620000000000001</v>
      </c>
      <c r="O335">
        <f t="shared" si="60"/>
        <v>-5.7274512088043975E-2</v>
      </c>
      <c r="P335" s="1">
        <f t="shared" si="62"/>
        <v>52.336971990849527</v>
      </c>
      <c r="Q335" s="1">
        <f t="shared" si="63"/>
        <v>-2.7656256044021985</v>
      </c>
      <c r="R335">
        <f>SQRT(Tabelle2[[#This Row],[vx]]*Tabelle2[[#This Row],[vx]]+Tabelle2[[#This Row],[vy]]*Tabelle2[[#This Row],[vy]])</f>
        <v>52.409992579227605</v>
      </c>
      <c r="S335">
        <f t="shared" si="64"/>
        <v>347.51749401924076</v>
      </c>
      <c r="T335" s="1">
        <f t="shared" si="65"/>
        <v>199.61015876739594</v>
      </c>
    </row>
    <row r="336" spans="6:20" x14ac:dyDescent="0.35">
      <c r="F336" s="1">
        <f t="shared" si="61"/>
        <v>6.659999999999946</v>
      </c>
      <c r="G336">
        <f>1/2*$B$8*$B$6*$B$7*(Tabelle2[[#This Row],[vx]]*Tabelle2[[#This Row],[vx]]+Tabelle2[[#This Row],[vy]]*Tabelle2[[#This Row],[vy]])/1000000</f>
        <v>4.8608663252949276</v>
      </c>
      <c r="H336">
        <f>IF($B$3,-Tabelle2[[#This Row],[Fd]]*Tabelle2[[#This Row],[vx]]/Tabelle2[[#This Row],[v]],0)</f>
        <v>0</v>
      </c>
      <c r="I336">
        <f t="shared" si="55"/>
        <v>0</v>
      </c>
      <c r="J336">
        <f t="shared" si="56"/>
        <v>0</v>
      </c>
      <c r="K336">
        <f t="shared" si="57"/>
        <v>1.0467394398169905</v>
      </c>
      <c r="L336">
        <f>-$B$5*$B$12-IF($B$3,Tabelle2[[#This Row],[Fd]]*Tabelle2[[#This Row],[vy]]/Tabelle2[[#This Row],[v]],0)</f>
        <v>-14.715</v>
      </c>
      <c r="M336">
        <f t="shared" si="58"/>
        <v>-9.81</v>
      </c>
      <c r="N336">
        <f t="shared" si="59"/>
        <v>-0.19620000000000001</v>
      </c>
      <c r="O336">
        <f t="shared" si="60"/>
        <v>-6.1198512088043978E-2</v>
      </c>
      <c r="P336" s="1">
        <f t="shared" si="62"/>
        <v>52.336971990849527</v>
      </c>
      <c r="Q336" s="1">
        <f t="shared" si="63"/>
        <v>-2.9618256044021987</v>
      </c>
      <c r="R336">
        <f>SQRT(Tabelle2[[#This Row],[vx]]*Tabelle2[[#This Row],[vx]]+Tabelle2[[#This Row],[vy]]*Tabelle2[[#This Row],[vy]])</f>
        <v>52.420712014258832</v>
      </c>
      <c r="S336">
        <f t="shared" si="64"/>
        <v>348.56423345905773</v>
      </c>
      <c r="T336" s="1">
        <f t="shared" si="65"/>
        <v>199.5528842553079</v>
      </c>
    </row>
    <row r="337" spans="6:20" x14ac:dyDescent="0.35">
      <c r="F337" s="1">
        <f t="shared" si="61"/>
        <v>6.6799999999999455</v>
      </c>
      <c r="G337">
        <f>1/2*$B$8*$B$6*$B$7*(Tabelle2[[#This Row],[vx]]*Tabelle2[[#This Row],[vx]]+Tabelle2[[#This Row],[vy]]*Tabelle2[[#This Row],[vy]])/1000000</f>
        <v>4.8629902920431167</v>
      </c>
      <c r="H337">
        <f>IF($B$3,-Tabelle2[[#This Row],[Fd]]*Tabelle2[[#This Row],[vx]]/Tabelle2[[#This Row],[v]],0)</f>
        <v>0</v>
      </c>
      <c r="I337">
        <f t="shared" si="55"/>
        <v>0</v>
      </c>
      <c r="J337">
        <f t="shared" si="56"/>
        <v>0</v>
      </c>
      <c r="K337">
        <f t="shared" si="57"/>
        <v>1.0467394398169905</v>
      </c>
      <c r="L337">
        <f>-$B$5*$B$12-IF($B$3,Tabelle2[[#This Row],[Fd]]*Tabelle2[[#This Row],[vy]]/Tabelle2[[#This Row],[v]],0)</f>
        <v>-14.715</v>
      </c>
      <c r="M337">
        <f t="shared" si="58"/>
        <v>-9.81</v>
      </c>
      <c r="N337">
        <f t="shared" si="59"/>
        <v>-0.19620000000000001</v>
      </c>
      <c r="O337">
        <f t="shared" si="60"/>
        <v>-6.5122512088043982E-2</v>
      </c>
      <c r="P337" s="1">
        <f t="shared" si="62"/>
        <v>52.336971990849527</v>
      </c>
      <c r="Q337" s="1">
        <f t="shared" si="63"/>
        <v>-3.1580256044021988</v>
      </c>
      <c r="R337">
        <f>SQRT(Tabelle2[[#This Row],[vx]]*Tabelle2[[#This Row],[vx]]+Tabelle2[[#This Row],[vy]]*Tabelle2[[#This Row],[vy]])</f>
        <v>52.4321634389525</v>
      </c>
      <c r="S337">
        <f t="shared" si="64"/>
        <v>349.61097289887471</v>
      </c>
      <c r="T337" s="1">
        <f t="shared" si="65"/>
        <v>199.49168574321985</v>
      </c>
    </row>
    <row r="338" spans="6:20" x14ac:dyDescent="0.35">
      <c r="F338" s="1">
        <f t="shared" si="61"/>
        <v>6.6999999999999451</v>
      </c>
      <c r="G338">
        <f>1/2*$B$8*$B$6*$B$7*(Tabelle2[[#This Row],[vx]]*Tabelle2[[#This Row],[vx]]+Tabelle2[[#This Row],[vy]]*Tabelle2[[#This Row],[vy]])/1000000</f>
        <v>4.8652504458526504</v>
      </c>
      <c r="H338">
        <f>IF($B$3,-Tabelle2[[#This Row],[Fd]]*Tabelle2[[#This Row],[vx]]/Tabelle2[[#This Row],[v]],0)</f>
        <v>0</v>
      </c>
      <c r="I338">
        <f t="shared" si="55"/>
        <v>0</v>
      </c>
      <c r="J338">
        <f t="shared" si="56"/>
        <v>0</v>
      </c>
      <c r="K338">
        <f t="shared" si="57"/>
        <v>1.0467394398169905</v>
      </c>
      <c r="L338">
        <f>-$B$5*$B$12-IF($B$3,Tabelle2[[#This Row],[Fd]]*Tabelle2[[#This Row],[vy]]/Tabelle2[[#This Row],[v]],0)</f>
        <v>-14.715</v>
      </c>
      <c r="M338">
        <f t="shared" si="58"/>
        <v>-9.81</v>
      </c>
      <c r="N338">
        <f t="shared" si="59"/>
        <v>-0.19620000000000001</v>
      </c>
      <c r="O338">
        <f t="shared" si="60"/>
        <v>-6.9046512088043979E-2</v>
      </c>
      <c r="P338" s="1">
        <f t="shared" si="62"/>
        <v>52.336971990849527</v>
      </c>
      <c r="Q338" s="1">
        <f t="shared" si="63"/>
        <v>-3.354225604402199</v>
      </c>
      <c r="R338">
        <f>SQRT(Tabelle2[[#This Row],[vx]]*Tabelle2[[#This Row],[vx]]+Tabelle2[[#This Row],[vy]]*Tabelle2[[#This Row],[vy]])</f>
        <v>52.444346373810355</v>
      </c>
      <c r="S338">
        <f t="shared" si="64"/>
        <v>350.65771233869168</v>
      </c>
      <c r="T338" s="1">
        <f t="shared" si="65"/>
        <v>199.42656323113181</v>
      </c>
    </row>
    <row r="339" spans="6:20" x14ac:dyDescent="0.35">
      <c r="F339" s="1">
        <f t="shared" si="61"/>
        <v>6.7199999999999447</v>
      </c>
      <c r="G339">
        <f>1/2*$B$8*$B$6*$B$7*(Tabelle2[[#This Row],[vx]]*Tabelle2[[#This Row],[vx]]+Tabelle2[[#This Row],[vy]]*Tabelle2[[#This Row],[vy]])/1000000</f>
        <v>4.8676467867235278</v>
      </c>
      <c r="H339">
        <f>IF($B$3,-Tabelle2[[#This Row],[Fd]]*Tabelle2[[#This Row],[vx]]/Tabelle2[[#This Row],[v]],0)</f>
        <v>0</v>
      </c>
      <c r="I339">
        <f t="shared" si="55"/>
        <v>0</v>
      </c>
      <c r="J339">
        <f t="shared" si="56"/>
        <v>0</v>
      </c>
      <c r="K339">
        <f t="shared" si="57"/>
        <v>1.0467394398169905</v>
      </c>
      <c r="L339">
        <f>-$B$5*$B$12-IF($B$3,Tabelle2[[#This Row],[Fd]]*Tabelle2[[#This Row],[vy]]/Tabelle2[[#This Row],[v]],0)</f>
        <v>-14.715</v>
      </c>
      <c r="M339">
        <f t="shared" si="58"/>
        <v>-9.81</v>
      </c>
      <c r="N339">
        <f t="shared" si="59"/>
        <v>-0.19620000000000001</v>
      </c>
      <c r="O339">
        <f t="shared" si="60"/>
        <v>-7.297051208804399E-2</v>
      </c>
      <c r="P339" s="1">
        <f t="shared" si="62"/>
        <v>52.336971990849527</v>
      </c>
      <c r="Q339" s="1">
        <f t="shared" si="63"/>
        <v>-3.5504256044021991</v>
      </c>
      <c r="R339">
        <f>SQRT(Tabelle2[[#This Row],[vx]]*Tabelle2[[#This Row],[vx]]+Tabelle2[[#This Row],[vy]]*Tabelle2[[#This Row],[vy]])</f>
        <v>52.457260309163715</v>
      </c>
      <c r="S339">
        <f t="shared" si="64"/>
        <v>351.70445177850866</v>
      </c>
      <c r="T339" s="1">
        <f t="shared" si="65"/>
        <v>199.35751671904376</v>
      </c>
    </row>
    <row r="340" spans="6:20" x14ac:dyDescent="0.35">
      <c r="F340" s="1">
        <f t="shared" si="61"/>
        <v>6.7399999999999443</v>
      </c>
      <c r="G340">
        <f>1/2*$B$8*$B$6*$B$7*(Tabelle2[[#This Row],[vx]]*Tabelle2[[#This Row],[vx]]+Tabelle2[[#This Row],[vy]]*Tabelle2[[#This Row],[vy]])/1000000</f>
        <v>4.8701793146557488</v>
      </c>
      <c r="H340">
        <f>IF($B$3,-Tabelle2[[#This Row],[Fd]]*Tabelle2[[#This Row],[vx]]/Tabelle2[[#This Row],[v]],0)</f>
        <v>0</v>
      </c>
      <c r="I340">
        <f t="shared" si="55"/>
        <v>0</v>
      </c>
      <c r="J340">
        <f t="shared" si="56"/>
        <v>0</v>
      </c>
      <c r="K340">
        <f t="shared" si="57"/>
        <v>1.0467394398169905</v>
      </c>
      <c r="L340">
        <f>-$B$5*$B$12-IF($B$3,Tabelle2[[#This Row],[Fd]]*Tabelle2[[#This Row],[vy]]/Tabelle2[[#This Row],[v]],0)</f>
        <v>-14.715</v>
      </c>
      <c r="M340">
        <f t="shared" si="58"/>
        <v>-9.81</v>
      </c>
      <c r="N340">
        <f t="shared" si="59"/>
        <v>-0.19620000000000001</v>
      </c>
      <c r="O340">
        <f t="shared" si="60"/>
        <v>-7.6894512088043987E-2</v>
      </c>
      <c r="P340" s="1">
        <f t="shared" si="62"/>
        <v>52.336971990849527</v>
      </c>
      <c r="Q340" s="1">
        <f t="shared" si="63"/>
        <v>-3.7466256044021993</v>
      </c>
      <c r="R340">
        <f>SQRT(Tabelle2[[#This Row],[vx]]*Tabelle2[[#This Row],[vx]]+Tabelle2[[#This Row],[vy]]*Tabelle2[[#This Row],[vy]])</f>
        <v>52.470904705279573</v>
      </c>
      <c r="S340">
        <f t="shared" si="64"/>
        <v>352.75119121832563</v>
      </c>
      <c r="T340" s="1">
        <f t="shared" si="65"/>
        <v>199.28454620695572</v>
      </c>
    </row>
    <row r="341" spans="6:20" x14ac:dyDescent="0.35">
      <c r="F341" s="1">
        <f t="shared" si="61"/>
        <v>6.7599999999999438</v>
      </c>
      <c r="G341">
        <f>1/2*$B$8*$B$6*$B$7*(Tabelle2[[#This Row],[vx]]*Tabelle2[[#This Row],[vx]]+Tabelle2[[#This Row],[vy]]*Tabelle2[[#This Row],[vy]])/1000000</f>
        <v>4.8728480296493144</v>
      </c>
      <c r="H341">
        <f>IF($B$3,-Tabelle2[[#This Row],[Fd]]*Tabelle2[[#This Row],[vx]]/Tabelle2[[#This Row],[v]],0)</f>
        <v>0</v>
      </c>
      <c r="I341">
        <f t="shared" si="55"/>
        <v>0</v>
      </c>
      <c r="J341">
        <f t="shared" si="56"/>
        <v>0</v>
      </c>
      <c r="K341">
        <f t="shared" si="57"/>
        <v>1.0467394398169905</v>
      </c>
      <c r="L341">
        <f>-$B$5*$B$12-IF($B$3,Tabelle2[[#This Row],[Fd]]*Tabelle2[[#This Row],[vy]]/Tabelle2[[#This Row],[v]],0)</f>
        <v>-14.715</v>
      </c>
      <c r="M341">
        <f t="shared" si="58"/>
        <v>-9.81</v>
      </c>
      <c r="N341">
        <f t="shared" si="59"/>
        <v>-0.19620000000000001</v>
      </c>
      <c r="O341">
        <f t="shared" si="60"/>
        <v>-8.0818512088043984E-2</v>
      </c>
      <c r="P341" s="1">
        <f t="shared" si="62"/>
        <v>52.336971990849527</v>
      </c>
      <c r="Q341" s="1">
        <f t="shared" si="63"/>
        <v>-3.9428256044021994</v>
      </c>
      <c r="R341">
        <f>SQRT(Tabelle2[[#This Row],[vx]]*Tabelle2[[#This Row],[vx]]+Tabelle2[[#This Row],[vy]]*Tabelle2[[#This Row],[vy]])</f>
        <v>52.485278992472715</v>
      </c>
      <c r="S341">
        <f t="shared" si="64"/>
        <v>353.7979306581426</v>
      </c>
      <c r="T341" s="1">
        <f t="shared" si="65"/>
        <v>199.20765169486768</v>
      </c>
    </row>
    <row r="342" spans="6:20" x14ac:dyDescent="0.35">
      <c r="F342" s="1">
        <f t="shared" si="61"/>
        <v>6.7799999999999434</v>
      </c>
      <c r="G342">
        <f>1/2*$B$8*$B$6*$B$7*(Tabelle2[[#This Row],[vx]]*Tabelle2[[#This Row],[vx]]+Tabelle2[[#This Row],[vy]]*Tabelle2[[#This Row],[vy]])/1000000</f>
        <v>4.8756529317042236</v>
      </c>
      <c r="H342">
        <f>IF($B$3,-Tabelle2[[#This Row],[Fd]]*Tabelle2[[#This Row],[vx]]/Tabelle2[[#This Row],[v]],0)</f>
        <v>0</v>
      </c>
      <c r="I342">
        <f t="shared" si="55"/>
        <v>0</v>
      </c>
      <c r="J342">
        <f t="shared" si="56"/>
        <v>0</v>
      </c>
      <c r="K342">
        <f t="shared" si="57"/>
        <v>1.0467394398169905</v>
      </c>
      <c r="L342">
        <f>-$B$5*$B$12-IF($B$3,Tabelle2[[#This Row],[Fd]]*Tabelle2[[#This Row],[vy]]/Tabelle2[[#This Row],[v]],0)</f>
        <v>-14.715</v>
      </c>
      <c r="M342">
        <f t="shared" si="58"/>
        <v>-9.81</v>
      </c>
      <c r="N342">
        <f t="shared" si="59"/>
        <v>-0.19620000000000001</v>
      </c>
      <c r="O342">
        <f t="shared" si="60"/>
        <v>-8.4742512088043981E-2</v>
      </c>
      <c r="P342" s="1">
        <f t="shared" si="62"/>
        <v>52.336971990849527</v>
      </c>
      <c r="Q342" s="1">
        <f t="shared" si="63"/>
        <v>-4.1390256044021996</v>
      </c>
      <c r="R342">
        <f>SQRT(Tabelle2[[#This Row],[vx]]*Tabelle2[[#This Row],[vx]]+Tabelle2[[#This Row],[vy]]*Tabelle2[[#This Row],[vy]])</f>
        <v>52.500382571223845</v>
      </c>
      <c r="S342">
        <f t="shared" si="64"/>
        <v>354.84467009795958</v>
      </c>
      <c r="T342" s="1">
        <f t="shared" si="65"/>
        <v>199.12683318277962</v>
      </c>
    </row>
    <row r="343" spans="6:20" x14ac:dyDescent="0.35">
      <c r="F343" s="1">
        <f t="shared" si="61"/>
        <v>6.799999999999943</v>
      </c>
      <c r="G343">
        <f>1/2*$B$8*$B$6*$B$7*(Tabelle2[[#This Row],[vx]]*Tabelle2[[#This Row],[vx]]+Tabelle2[[#This Row],[vy]]*Tabelle2[[#This Row],[vy]])/1000000</f>
        <v>4.8785940208204774</v>
      </c>
      <c r="H343">
        <f>IF($B$3,-Tabelle2[[#This Row],[Fd]]*Tabelle2[[#This Row],[vx]]/Tabelle2[[#This Row],[v]],0)</f>
        <v>0</v>
      </c>
      <c r="I343">
        <f t="shared" si="55"/>
        <v>0</v>
      </c>
      <c r="J343">
        <f t="shared" si="56"/>
        <v>0</v>
      </c>
      <c r="K343">
        <f t="shared" si="57"/>
        <v>1.0467394398169905</v>
      </c>
      <c r="L343">
        <f>-$B$5*$B$12-IF($B$3,Tabelle2[[#This Row],[Fd]]*Tabelle2[[#This Row],[vy]]/Tabelle2[[#This Row],[v]],0)</f>
        <v>-14.715</v>
      </c>
      <c r="M343">
        <f t="shared" si="58"/>
        <v>-9.81</v>
      </c>
      <c r="N343">
        <f t="shared" si="59"/>
        <v>-0.19620000000000001</v>
      </c>
      <c r="O343">
        <f t="shared" si="60"/>
        <v>-8.8666512088043992E-2</v>
      </c>
      <c r="P343" s="1">
        <f t="shared" si="62"/>
        <v>52.336971990849527</v>
      </c>
      <c r="Q343" s="1">
        <f t="shared" si="63"/>
        <v>-4.3352256044021997</v>
      </c>
      <c r="R343">
        <f>SQRT(Tabelle2[[#This Row],[vx]]*Tabelle2[[#This Row],[vx]]+Tabelle2[[#This Row],[vy]]*Tabelle2[[#This Row],[vy]])</f>
        <v>52.516214812303751</v>
      </c>
      <c r="S343">
        <f t="shared" si="64"/>
        <v>355.89140953777655</v>
      </c>
      <c r="T343" s="1">
        <f t="shared" si="65"/>
        <v>199.04209067069158</v>
      </c>
    </row>
    <row r="344" spans="6:20" x14ac:dyDescent="0.35">
      <c r="F344" s="1">
        <f t="shared" si="61"/>
        <v>6.8199999999999426</v>
      </c>
      <c r="G344">
        <f>1/2*$B$8*$B$6*$B$7*(Tabelle2[[#This Row],[vx]]*Tabelle2[[#This Row],[vx]]+Tabelle2[[#This Row],[vy]]*Tabelle2[[#This Row],[vy]])/1000000</f>
        <v>4.881671296998074</v>
      </c>
      <c r="H344">
        <f>IF($B$3,-Tabelle2[[#This Row],[Fd]]*Tabelle2[[#This Row],[vx]]/Tabelle2[[#This Row],[v]],0)</f>
        <v>0</v>
      </c>
      <c r="I344">
        <f t="shared" si="55"/>
        <v>0</v>
      </c>
      <c r="J344">
        <f t="shared" si="56"/>
        <v>0</v>
      </c>
      <c r="K344">
        <f t="shared" si="57"/>
        <v>1.0467394398169905</v>
      </c>
      <c r="L344">
        <f>-$B$5*$B$12-IF($B$3,Tabelle2[[#This Row],[Fd]]*Tabelle2[[#This Row],[vy]]/Tabelle2[[#This Row],[v]],0)</f>
        <v>-14.715</v>
      </c>
      <c r="M344">
        <f t="shared" si="58"/>
        <v>-9.81</v>
      </c>
      <c r="N344">
        <f t="shared" si="59"/>
        <v>-0.19620000000000001</v>
      </c>
      <c r="O344">
        <f t="shared" si="60"/>
        <v>-9.2590512088043989E-2</v>
      </c>
      <c r="P344" s="1">
        <f t="shared" si="62"/>
        <v>52.336971990849527</v>
      </c>
      <c r="Q344" s="1">
        <f t="shared" si="63"/>
        <v>-4.5314256044021999</v>
      </c>
      <c r="R344">
        <f>SQRT(Tabelle2[[#This Row],[vx]]*Tabelle2[[#This Row],[vx]]+Tabelle2[[#This Row],[vy]]*Tabelle2[[#This Row],[vy]])</f>
        <v>52.532775056903283</v>
      </c>
      <c r="S344">
        <f t="shared" si="64"/>
        <v>356.93814897759353</v>
      </c>
      <c r="T344" s="1">
        <f t="shared" si="65"/>
        <v>198.95342415860353</v>
      </c>
    </row>
    <row r="345" spans="6:20" x14ac:dyDescent="0.35">
      <c r="F345" s="1">
        <f t="shared" si="61"/>
        <v>6.8399999999999421</v>
      </c>
      <c r="G345">
        <f>1/2*$B$8*$B$6*$B$7*(Tabelle2[[#This Row],[vx]]*Tabelle2[[#This Row],[vx]]+Tabelle2[[#This Row],[vy]]*Tabelle2[[#This Row],[vy]])/1000000</f>
        <v>4.884884760237016</v>
      </c>
      <c r="H345">
        <f>IF($B$3,-Tabelle2[[#This Row],[Fd]]*Tabelle2[[#This Row],[vx]]/Tabelle2[[#This Row],[v]],0)</f>
        <v>0</v>
      </c>
      <c r="I345">
        <f t="shared" si="55"/>
        <v>0</v>
      </c>
      <c r="J345">
        <f t="shared" si="56"/>
        <v>0</v>
      </c>
      <c r="K345">
        <f t="shared" si="57"/>
        <v>1.0467394398169905</v>
      </c>
      <c r="L345">
        <f>-$B$5*$B$12-IF($B$3,Tabelle2[[#This Row],[Fd]]*Tabelle2[[#This Row],[vy]]/Tabelle2[[#This Row],[v]],0)</f>
        <v>-14.715</v>
      </c>
      <c r="M345">
        <f t="shared" si="58"/>
        <v>-9.81</v>
      </c>
      <c r="N345">
        <f t="shared" si="59"/>
        <v>-0.19620000000000001</v>
      </c>
      <c r="O345">
        <f t="shared" si="60"/>
        <v>-9.6514512088043999E-2</v>
      </c>
      <c r="P345" s="1">
        <f t="shared" si="62"/>
        <v>52.336971990849527</v>
      </c>
      <c r="Q345" s="1">
        <f t="shared" si="63"/>
        <v>-4.7276256044022</v>
      </c>
      <c r="R345">
        <f>SQRT(Tabelle2[[#This Row],[vx]]*Tabelle2[[#This Row],[vx]]+Tabelle2[[#This Row],[vy]]*Tabelle2[[#This Row],[vy]])</f>
        <v>52.550062616769232</v>
      </c>
      <c r="S345">
        <f t="shared" si="64"/>
        <v>357.9848884174105</v>
      </c>
      <c r="T345" s="1">
        <f t="shared" si="65"/>
        <v>198.86083364651549</v>
      </c>
    </row>
    <row r="346" spans="6:20" x14ac:dyDescent="0.35">
      <c r="F346" s="1">
        <f t="shared" si="61"/>
        <v>6.8599999999999417</v>
      </c>
      <c r="G346">
        <f>1/2*$B$8*$B$6*$B$7*(Tabelle2[[#This Row],[vx]]*Tabelle2[[#This Row],[vx]]+Tabelle2[[#This Row],[vy]]*Tabelle2[[#This Row],[vy]])/1000000</f>
        <v>4.8882344105373008</v>
      </c>
      <c r="H346">
        <f>IF($B$3,-Tabelle2[[#This Row],[Fd]]*Tabelle2[[#This Row],[vx]]/Tabelle2[[#This Row],[v]],0)</f>
        <v>0</v>
      </c>
      <c r="I346">
        <f t="shared" si="55"/>
        <v>0</v>
      </c>
      <c r="J346">
        <f t="shared" si="56"/>
        <v>0</v>
      </c>
      <c r="K346">
        <f t="shared" si="57"/>
        <v>1.0467394398169905</v>
      </c>
      <c r="L346">
        <f>-$B$5*$B$12-IF($B$3,Tabelle2[[#This Row],[Fd]]*Tabelle2[[#This Row],[vy]]/Tabelle2[[#This Row],[v]],0)</f>
        <v>-14.715</v>
      </c>
      <c r="M346">
        <f t="shared" si="58"/>
        <v>-9.81</v>
      </c>
      <c r="N346">
        <f t="shared" si="59"/>
        <v>-0.19620000000000001</v>
      </c>
      <c r="O346">
        <f t="shared" si="60"/>
        <v>-0.100438512088044</v>
      </c>
      <c r="P346" s="1">
        <f t="shared" si="62"/>
        <v>52.336971990849527</v>
      </c>
      <c r="Q346" s="1">
        <f t="shared" si="63"/>
        <v>-4.9238256044022002</v>
      </c>
      <c r="R346">
        <f>SQRT(Tabelle2[[#This Row],[vx]]*Tabelle2[[#This Row],[vx]]+Tabelle2[[#This Row],[vy]]*Tabelle2[[#This Row],[vy]])</f>
        <v>52.56807677434599</v>
      </c>
      <c r="S346">
        <f t="shared" si="64"/>
        <v>359.03162785722748</v>
      </c>
      <c r="T346" s="1">
        <f t="shared" si="65"/>
        <v>198.76431913442744</v>
      </c>
    </row>
    <row r="347" spans="6:20" x14ac:dyDescent="0.35">
      <c r="F347" s="1">
        <f t="shared" si="61"/>
        <v>6.8799999999999413</v>
      </c>
      <c r="G347">
        <f>1/2*$B$8*$B$6*$B$7*(Tabelle2[[#This Row],[vx]]*Tabelle2[[#This Row],[vx]]+Tabelle2[[#This Row],[vy]]*Tabelle2[[#This Row],[vy]])/1000000</f>
        <v>4.8917202478989301</v>
      </c>
      <c r="H347">
        <f>IF($B$3,-Tabelle2[[#This Row],[Fd]]*Tabelle2[[#This Row],[vx]]/Tabelle2[[#This Row],[v]],0)</f>
        <v>0</v>
      </c>
      <c r="I347">
        <f t="shared" si="55"/>
        <v>0</v>
      </c>
      <c r="J347">
        <f t="shared" si="56"/>
        <v>0</v>
      </c>
      <c r="K347">
        <f t="shared" si="57"/>
        <v>1.0467394398169905</v>
      </c>
      <c r="L347">
        <f>-$B$5*$B$12-IF($B$3,Tabelle2[[#This Row],[Fd]]*Tabelle2[[#This Row],[vy]]/Tabelle2[[#This Row],[v]],0)</f>
        <v>-14.715</v>
      </c>
      <c r="M347">
        <f t="shared" si="58"/>
        <v>-9.81</v>
      </c>
      <c r="N347">
        <f t="shared" si="59"/>
        <v>-0.19620000000000001</v>
      </c>
      <c r="O347">
        <f t="shared" si="60"/>
        <v>-0.10436251208804401</v>
      </c>
      <c r="P347" s="1">
        <f t="shared" si="62"/>
        <v>52.336971990849527</v>
      </c>
      <c r="Q347" s="1">
        <f t="shared" si="63"/>
        <v>-5.1200256044022003</v>
      </c>
      <c r="R347">
        <f>SQRT(Tabelle2[[#This Row],[vx]]*Tabelle2[[#This Row],[vx]]+Tabelle2[[#This Row],[vy]]*Tabelle2[[#This Row],[vy]])</f>
        <v>52.586816782922902</v>
      </c>
      <c r="S347">
        <f t="shared" si="64"/>
        <v>360.07836729704445</v>
      </c>
      <c r="T347" s="1">
        <f t="shared" si="65"/>
        <v>198.66388062233941</v>
      </c>
    </row>
    <row r="348" spans="6:20" x14ac:dyDescent="0.35">
      <c r="F348" s="1">
        <f t="shared" si="61"/>
        <v>6.8999999999999408</v>
      </c>
      <c r="G348">
        <f>1/2*$B$8*$B$6*$B$7*(Tabelle2[[#This Row],[vx]]*Tabelle2[[#This Row],[vx]]+Tabelle2[[#This Row],[vy]]*Tabelle2[[#This Row],[vy]])/1000000</f>
        <v>4.895342272321904</v>
      </c>
      <c r="H348">
        <f>IF($B$3,-Tabelle2[[#This Row],[Fd]]*Tabelle2[[#This Row],[vx]]/Tabelle2[[#This Row],[v]],0)</f>
        <v>0</v>
      </c>
      <c r="I348">
        <f t="shared" si="55"/>
        <v>0</v>
      </c>
      <c r="J348">
        <f t="shared" si="56"/>
        <v>0</v>
      </c>
      <c r="K348">
        <f t="shared" si="57"/>
        <v>1.0467394398169905</v>
      </c>
      <c r="L348">
        <f>-$B$5*$B$12-IF($B$3,Tabelle2[[#This Row],[Fd]]*Tabelle2[[#This Row],[vy]]/Tabelle2[[#This Row],[v]],0)</f>
        <v>-14.715</v>
      </c>
      <c r="M348">
        <f t="shared" si="58"/>
        <v>-9.81</v>
      </c>
      <c r="N348">
        <f t="shared" si="59"/>
        <v>-0.19620000000000001</v>
      </c>
      <c r="O348">
        <f t="shared" si="60"/>
        <v>-0.108286512088044</v>
      </c>
      <c r="P348" s="1">
        <f t="shared" si="62"/>
        <v>52.336971990849527</v>
      </c>
      <c r="Q348" s="1">
        <f t="shared" si="63"/>
        <v>-5.3162256044022005</v>
      </c>
      <c r="R348">
        <f>SQRT(Tabelle2[[#This Row],[vx]]*Tabelle2[[#This Row],[vx]]+Tabelle2[[#This Row],[vy]]*Tabelle2[[#This Row],[vy]])</f>
        <v>52.606281866787256</v>
      </c>
      <c r="S348">
        <f t="shared" si="64"/>
        <v>361.12510673686143</v>
      </c>
      <c r="T348" s="1">
        <f t="shared" si="65"/>
        <v>198.55951811025136</v>
      </c>
    </row>
    <row r="349" spans="6:20" x14ac:dyDescent="0.35">
      <c r="F349" s="1">
        <f t="shared" si="61"/>
        <v>6.9199999999999404</v>
      </c>
      <c r="G349">
        <f>1/2*$B$8*$B$6*$B$7*(Tabelle2[[#This Row],[vx]]*Tabelle2[[#This Row],[vx]]+Tabelle2[[#This Row],[vy]]*Tabelle2[[#This Row],[vy]])/1000000</f>
        <v>4.8991004838062207</v>
      </c>
      <c r="H349">
        <f>IF($B$3,-Tabelle2[[#This Row],[Fd]]*Tabelle2[[#This Row],[vx]]/Tabelle2[[#This Row],[v]],0)</f>
        <v>0</v>
      </c>
      <c r="I349">
        <f t="shared" si="55"/>
        <v>0</v>
      </c>
      <c r="J349">
        <f t="shared" si="56"/>
        <v>0</v>
      </c>
      <c r="K349">
        <f t="shared" si="57"/>
        <v>1.0467394398169905</v>
      </c>
      <c r="L349">
        <f>-$B$5*$B$12-IF($B$3,Tabelle2[[#This Row],[Fd]]*Tabelle2[[#This Row],[vy]]/Tabelle2[[#This Row],[v]],0)</f>
        <v>-14.715</v>
      </c>
      <c r="M349">
        <f t="shared" si="58"/>
        <v>-9.81</v>
      </c>
      <c r="N349">
        <f t="shared" si="59"/>
        <v>-0.19620000000000001</v>
      </c>
      <c r="O349">
        <f t="shared" si="60"/>
        <v>-0.112210512088044</v>
      </c>
      <c r="P349" s="1">
        <f t="shared" si="62"/>
        <v>52.336971990849527</v>
      </c>
      <c r="Q349" s="1">
        <f t="shared" si="63"/>
        <v>-5.5124256044022006</v>
      </c>
      <c r="R349">
        <f>SQRT(Tabelle2[[#This Row],[vx]]*Tabelle2[[#This Row],[vx]]+Tabelle2[[#This Row],[vy]]*Tabelle2[[#This Row],[vy]])</f>
        <v>52.626471221382843</v>
      </c>
      <c r="S349">
        <f t="shared" si="64"/>
        <v>362.1718461766784</v>
      </c>
      <c r="T349" s="1">
        <f t="shared" si="65"/>
        <v>198.4512315981633</v>
      </c>
    </row>
    <row r="350" spans="6:20" x14ac:dyDescent="0.35">
      <c r="F350" s="1">
        <f t="shared" si="61"/>
        <v>6.93999999999994</v>
      </c>
      <c r="G350">
        <f>1/2*$B$8*$B$6*$B$7*(Tabelle2[[#This Row],[vx]]*Tabelle2[[#This Row],[vx]]+Tabelle2[[#This Row],[vy]]*Tabelle2[[#This Row],[vy]])/1000000</f>
        <v>4.9029948823518819</v>
      </c>
      <c r="H350">
        <f>IF($B$3,-Tabelle2[[#This Row],[Fd]]*Tabelle2[[#This Row],[vx]]/Tabelle2[[#This Row],[v]],0)</f>
        <v>0</v>
      </c>
      <c r="I350">
        <f t="shared" si="55"/>
        <v>0</v>
      </c>
      <c r="J350">
        <f t="shared" si="56"/>
        <v>0</v>
      </c>
      <c r="K350">
        <f t="shared" si="57"/>
        <v>1.0467394398169905</v>
      </c>
      <c r="L350">
        <f>-$B$5*$B$12-IF($B$3,Tabelle2[[#This Row],[Fd]]*Tabelle2[[#This Row],[vy]]/Tabelle2[[#This Row],[v]],0)</f>
        <v>-14.715</v>
      </c>
      <c r="M350">
        <f t="shared" si="58"/>
        <v>-9.81</v>
      </c>
      <c r="N350">
        <f t="shared" si="59"/>
        <v>-0.19620000000000001</v>
      </c>
      <c r="O350">
        <f t="shared" si="60"/>
        <v>-0.11613451208804401</v>
      </c>
      <c r="P350" s="1">
        <f t="shared" si="62"/>
        <v>52.336971990849527</v>
      </c>
      <c r="Q350" s="1">
        <f t="shared" si="63"/>
        <v>-5.7086256044022008</v>
      </c>
      <c r="R350">
        <f>SQRT(Tabelle2[[#This Row],[vx]]*Tabelle2[[#This Row],[vx]]+Tabelle2[[#This Row],[vy]]*Tabelle2[[#This Row],[vy]])</f>
        <v>52.64738401347406</v>
      </c>
      <c r="S350">
        <f t="shared" si="64"/>
        <v>363.21858561649537</v>
      </c>
      <c r="T350" s="1">
        <f t="shared" si="65"/>
        <v>198.33902108607526</v>
      </c>
    </row>
    <row r="351" spans="6:20" x14ac:dyDescent="0.35">
      <c r="F351" s="1">
        <f t="shared" si="61"/>
        <v>6.9599999999999396</v>
      </c>
      <c r="G351">
        <f>1/2*$B$8*$B$6*$B$7*(Tabelle2[[#This Row],[vx]]*Tabelle2[[#This Row],[vx]]+Tabelle2[[#This Row],[vy]]*Tabelle2[[#This Row],[vy]])/1000000</f>
        <v>4.9070254679588867</v>
      </c>
      <c r="H351">
        <f>IF($B$3,-Tabelle2[[#This Row],[Fd]]*Tabelle2[[#This Row],[vx]]/Tabelle2[[#This Row],[v]],0)</f>
        <v>0</v>
      </c>
      <c r="I351">
        <f t="shared" si="55"/>
        <v>0</v>
      </c>
      <c r="J351">
        <f t="shared" si="56"/>
        <v>0</v>
      </c>
      <c r="K351">
        <f t="shared" si="57"/>
        <v>1.0467394398169905</v>
      </c>
      <c r="L351">
        <f>-$B$5*$B$12-IF($B$3,Tabelle2[[#This Row],[Fd]]*Tabelle2[[#This Row],[vy]]/Tabelle2[[#This Row],[v]],0)</f>
        <v>-14.715</v>
      </c>
      <c r="M351">
        <f t="shared" si="58"/>
        <v>-9.81</v>
      </c>
      <c r="N351">
        <f t="shared" si="59"/>
        <v>-0.19620000000000001</v>
      </c>
      <c r="O351">
        <f t="shared" si="60"/>
        <v>-0.12005851208804401</v>
      </c>
      <c r="P351" s="1">
        <f t="shared" si="62"/>
        <v>52.336971990849527</v>
      </c>
      <c r="Q351" s="1">
        <f t="shared" si="63"/>
        <v>-5.9048256044022009</v>
      </c>
      <c r="R351">
        <f>SQRT(Tabelle2[[#This Row],[vx]]*Tabelle2[[#This Row],[vx]]+Tabelle2[[#This Row],[vy]]*Tabelle2[[#This Row],[vy]])</f>
        <v>52.669019381315344</v>
      </c>
      <c r="S351">
        <f t="shared" si="64"/>
        <v>364.26532505631235</v>
      </c>
      <c r="T351" s="1">
        <f t="shared" si="65"/>
        <v>198.22288657398721</v>
      </c>
    </row>
    <row r="352" spans="6:20" x14ac:dyDescent="0.35">
      <c r="F352" s="1">
        <f t="shared" si="61"/>
        <v>6.9799999999999391</v>
      </c>
      <c r="G352">
        <f>1/2*$B$8*$B$6*$B$7*(Tabelle2[[#This Row],[vx]]*Tabelle2[[#This Row],[vx]]+Tabelle2[[#This Row],[vy]]*Tabelle2[[#This Row],[vy]])/1000000</f>
        <v>4.911192240627237</v>
      </c>
      <c r="H352">
        <f>IF($B$3,-Tabelle2[[#This Row],[Fd]]*Tabelle2[[#This Row],[vx]]/Tabelle2[[#This Row],[v]],0)</f>
        <v>0</v>
      </c>
      <c r="I352">
        <f t="shared" si="55"/>
        <v>0</v>
      </c>
      <c r="J352">
        <f t="shared" si="56"/>
        <v>0</v>
      </c>
      <c r="K352">
        <f t="shared" si="57"/>
        <v>1.0467394398169905</v>
      </c>
      <c r="L352">
        <f>-$B$5*$B$12-IF($B$3,Tabelle2[[#This Row],[Fd]]*Tabelle2[[#This Row],[vy]]/Tabelle2[[#This Row],[v]],0)</f>
        <v>-14.715</v>
      </c>
      <c r="M352">
        <f t="shared" si="58"/>
        <v>-9.81</v>
      </c>
      <c r="N352">
        <f t="shared" si="59"/>
        <v>-0.19620000000000001</v>
      </c>
      <c r="O352">
        <f t="shared" si="60"/>
        <v>-0.12398251208804402</v>
      </c>
      <c r="P352" s="1">
        <f t="shared" si="62"/>
        <v>52.336971990849527</v>
      </c>
      <c r="Q352" s="1">
        <f t="shared" si="63"/>
        <v>-6.1010256044022011</v>
      </c>
      <c r="R352">
        <f>SQRT(Tabelle2[[#This Row],[vx]]*Tabelle2[[#This Row],[vx]]+Tabelle2[[#This Row],[vy]]*Tabelle2[[#This Row],[vy]])</f>
        <v>52.691376434826026</v>
      </c>
      <c r="S352">
        <f t="shared" si="64"/>
        <v>365.31206449612932</v>
      </c>
      <c r="T352" s="1">
        <f t="shared" si="65"/>
        <v>198.10282806189917</v>
      </c>
    </row>
    <row r="353" spans="6:20" x14ac:dyDescent="0.35">
      <c r="F353" s="1">
        <f t="shared" si="61"/>
        <v>6.9999999999999387</v>
      </c>
      <c r="G353">
        <f>1/2*$B$8*$B$6*$B$7*(Tabelle2[[#This Row],[vx]]*Tabelle2[[#This Row],[vx]]+Tabelle2[[#This Row],[vy]]*Tabelle2[[#This Row],[vy]])/1000000</f>
        <v>4.9154952003569292</v>
      </c>
      <c r="H353">
        <f>IF($B$3,-Tabelle2[[#This Row],[Fd]]*Tabelle2[[#This Row],[vx]]/Tabelle2[[#This Row],[v]],0)</f>
        <v>0</v>
      </c>
      <c r="I353">
        <f t="shared" si="55"/>
        <v>0</v>
      </c>
      <c r="J353">
        <f t="shared" si="56"/>
        <v>0</v>
      </c>
      <c r="K353">
        <f t="shared" si="57"/>
        <v>1.0467394398169905</v>
      </c>
      <c r="L353">
        <f>-$B$5*$B$12-IF($B$3,Tabelle2[[#This Row],[Fd]]*Tabelle2[[#This Row],[vy]]/Tabelle2[[#This Row],[v]],0)</f>
        <v>-14.715</v>
      </c>
      <c r="M353">
        <f t="shared" si="58"/>
        <v>-9.81</v>
      </c>
      <c r="N353">
        <f t="shared" si="59"/>
        <v>-0.19620000000000001</v>
      </c>
      <c r="O353">
        <f t="shared" si="60"/>
        <v>-0.12790651208804402</v>
      </c>
      <c r="P353" s="1">
        <f t="shared" si="62"/>
        <v>52.336971990849527</v>
      </c>
      <c r="Q353" s="1">
        <f t="shared" si="63"/>
        <v>-6.2972256044022012</v>
      </c>
      <c r="R353">
        <f>SQRT(Tabelle2[[#This Row],[vx]]*Tabelle2[[#This Row],[vx]]+Tabelle2[[#This Row],[vy]]*Tabelle2[[#This Row],[vy]])</f>
        <v>52.714454255770363</v>
      </c>
      <c r="S353">
        <f t="shared" si="64"/>
        <v>366.3588039359463</v>
      </c>
      <c r="T353" s="1">
        <f t="shared" si="65"/>
        <v>197.97884554981113</v>
      </c>
    </row>
    <row r="354" spans="6:20" x14ac:dyDescent="0.35">
      <c r="F354" s="1">
        <f t="shared" si="61"/>
        <v>7.0199999999999383</v>
      </c>
      <c r="G354">
        <f>1/2*$B$8*$B$6*$B$7*(Tabelle2[[#This Row],[vx]]*Tabelle2[[#This Row],[vx]]+Tabelle2[[#This Row],[vy]]*Tabelle2[[#This Row],[vy]])/1000000</f>
        <v>4.9199343471479668</v>
      </c>
      <c r="H354">
        <f>IF($B$3,-Tabelle2[[#This Row],[Fd]]*Tabelle2[[#This Row],[vx]]/Tabelle2[[#This Row],[v]],0)</f>
        <v>0</v>
      </c>
      <c r="I354">
        <f t="shared" si="55"/>
        <v>0</v>
      </c>
      <c r="J354">
        <f t="shared" si="56"/>
        <v>0</v>
      </c>
      <c r="K354">
        <f t="shared" si="57"/>
        <v>1.0467394398169905</v>
      </c>
      <c r="L354">
        <f>-$B$5*$B$12-IF($B$3,Tabelle2[[#This Row],[Fd]]*Tabelle2[[#This Row],[vy]]/Tabelle2[[#This Row],[v]],0)</f>
        <v>-14.715</v>
      </c>
      <c r="M354">
        <f t="shared" si="58"/>
        <v>-9.81</v>
      </c>
      <c r="N354">
        <f t="shared" si="59"/>
        <v>-0.19620000000000001</v>
      </c>
      <c r="O354">
        <f t="shared" si="60"/>
        <v>-0.13183051208804403</v>
      </c>
      <c r="P354" s="1">
        <f t="shared" si="62"/>
        <v>52.336971990849527</v>
      </c>
      <c r="Q354" s="1">
        <f t="shared" si="63"/>
        <v>-6.4934256044022014</v>
      </c>
      <c r="R354">
        <f>SQRT(Tabelle2[[#This Row],[vx]]*Tabelle2[[#This Row],[vx]]+Tabelle2[[#This Row],[vy]]*Tabelle2[[#This Row],[vy]])</f>
        <v>52.73825189794286</v>
      </c>
      <c r="S354">
        <f t="shared" si="64"/>
        <v>367.40554337576327</v>
      </c>
      <c r="T354" s="1">
        <f t="shared" si="65"/>
        <v>197.85093903772309</v>
      </c>
    </row>
    <row r="355" spans="6:20" x14ac:dyDescent="0.35">
      <c r="F355" s="1">
        <f t="shared" si="61"/>
        <v>7.0399999999999379</v>
      </c>
      <c r="G355">
        <f>1/2*$B$8*$B$6*$B$7*(Tabelle2[[#This Row],[vx]]*Tabelle2[[#This Row],[vx]]+Tabelle2[[#This Row],[vy]]*Tabelle2[[#This Row],[vy]])/1000000</f>
        <v>4.9245096810003481</v>
      </c>
      <c r="H355">
        <f>IF($B$3,-Tabelle2[[#This Row],[Fd]]*Tabelle2[[#This Row],[vx]]/Tabelle2[[#This Row],[v]],0)</f>
        <v>0</v>
      </c>
      <c r="I355">
        <f t="shared" si="55"/>
        <v>0</v>
      </c>
      <c r="J355">
        <f t="shared" si="56"/>
        <v>0</v>
      </c>
      <c r="K355">
        <f t="shared" si="57"/>
        <v>1.0467394398169905</v>
      </c>
      <c r="L355">
        <f>-$B$5*$B$12-IF($B$3,Tabelle2[[#This Row],[Fd]]*Tabelle2[[#This Row],[vy]]/Tabelle2[[#This Row],[v]],0)</f>
        <v>-14.715</v>
      </c>
      <c r="M355">
        <f t="shared" si="58"/>
        <v>-9.81</v>
      </c>
      <c r="N355">
        <f t="shared" si="59"/>
        <v>-0.19620000000000001</v>
      </c>
      <c r="O355">
        <f t="shared" si="60"/>
        <v>-0.13575451208804404</v>
      </c>
      <c r="P355" s="1">
        <f t="shared" si="62"/>
        <v>52.336971990849527</v>
      </c>
      <c r="Q355" s="1">
        <f t="shared" si="63"/>
        <v>-6.6896256044022016</v>
      </c>
      <c r="R355">
        <f>SQRT(Tabelle2[[#This Row],[vx]]*Tabelle2[[#This Row],[vx]]+Tabelle2[[#This Row],[vy]]*Tabelle2[[#This Row],[vy]])</f>
        <v>52.762768387358534</v>
      </c>
      <c r="S355">
        <f t="shared" si="64"/>
        <v>368.45228281558025</v>
      </c>
      <c r="T355" s="1">
        <f t="shared" si="65"/>
        <v>197.71910852563505</v>
      </c>
    </row>
    <row r="356" spans="6:20" x14ac:dyDescent="0.35">
      <c r="F356" s="1">
        <f t="shared" si="61"/>
        <v>7.0599999999999374</v>
      </c>
      <c r="G356">
        <f>1/2*$B$8*$B$6*$B$7*(Tabelle2[[#This Row],[vx]]*Tabelle2[[#This Row],[vx]]+Tabelle2[[#This Row],[vy]]*Tabelle2[[#This Row],[vy]])/1000000</f>
        <v>4.9292212019140731</v>
      </c>
      <c r="H356">
        <f>IF($B$3,-Tabelle2[[#This Row],[Fd]]*Tabelle2[[#This Row],[vx]]/Tabelle2[[#This Row],[v]],0)</f>
        <v>0</v>
      </c>
      <c r="I356">
        <f t="shared" si="55"/>
        <v>0</v>
      </c>
      <c r="J356">
        <f t="shared" si="56"/>
        <v>0</v>
      </c>
      <c r="K356">
        <f t="shared" si="57"/>
        <v>1.0467394398169905</v>
      </c>
      <c r="L356">
        <f>-$B$5*$B$12-IF($B$3,Tabelle2[[#This Row],[Fd]]*Tabelle2[[#This Row],[vy]]/Tabelle2[[#This Row],[v]],0)</f>
        <v>-14.715</v>
      </c>
      <c r="M356">
        <f t="shared" si="58"/>
        <v>-9.81</v>
      </c>
      <c r="N356">
        <f t="shared" si="59"/>
        <v>-0.19620000000000001</v>
      </c>
      <c r="O356">
        <f t="shared" si="60"/>
        <v>-0.13967851208804402</v>
      </c>
      <c r="P356" s="1">
        <f t="shared" si="62"/>
        <v>52.336971990849527</v>
      </c>
      <c r="Q356" s="1">
        <f t="shared" si="63"/>
        <v>-6.8858256044022017</v>
      </c>
      <c r="R356">
        <f>SQRT(Tabelle2[[#This Row],[vx]]*Tabelle2[[#This Row],[vx]]+Tabelle2[[#This Row],[vy]]*Tabelle2[[#This Row],[vy]])</f>
        <v>52.788002722448297</v>
      </c>
      <c r="S356">
        <f t="shared" si="64"/>
        <v>369.49902225539722</v>
      </c>
      <c r="T356" s="1">
        <f t="shared" si="65"/>
        <v>197.58335401354699</v>
      </c>
    </row>
    <row r="357" spans="6:20" x14ac:dyDescent="0.35">
      <c r="F357" s="1">
        <f t="shared" si="61"/>
        <v>7.079999999999937</v>
      </c>
      <c r="G357">
        <f>1/2*$B$8*$B$6*$B$7*(Tabelle2[[#This Row],[vx]]*Tabelle2[[#This Row],[vx]]+Tabelle2[[#This Row],[vy]]*Tabelle2[[#This Row],[vy]])/1000000</f>
        <v>4.9340689098891417</v>
      </c>
      <c r="H357">
        <f>IF($B$3,-Tabelle2[[#This Row],[Fd]]*Tabelle2[[#This Row],[vx]]/Tabelle2[[#This Row],[v]],0)</f>
        <v>0</v>
      </c>
      <c r="I357">
        <f t="shared" si="55"/>
        <v>0</v>
      </c>
      <c r="J357">
        <f t="shared" si="56"/>
        <v>0</v>
      </c>
      <c r="K357">
        <f t="shared" si="57"/>
        <v>1.0467394398169905</v>
      </c>
      <c r="L357">
        <f>-$B$5*$B$12-IF($B$3,Tabelle2[[#This Row],[Fd]]*Tabelle2[[#This Row],[vy]]/Tabelle2[[#This Row],[v]],0)</f>
        <v>-14.715</v>
      </c>
      <c r="M357">
        <f t="shared" si="58"/>
        <v>-9.81</v>
      </c>
      <c r="N357">
        <f t="shared" si="59"/>
        <v>-0.19620000000000001</v>
      </c>
      <c r="O357">
        <f t="shared" si="60"/>
        <v>-0.14360251208804403</v>
      </c>
      <c r="P357" s="1">
        <f t="shared" si="62"/>
        <v>52.336971990849527</v>
      </c>
      <c r="Q357" s="1">
        <f t="shared" si="63"/>
        <v>-7.0820256044022019</v>
      </c>
      <c r="R357">
        <f>SQRT(Tabelle2[[#This Row],[vx]]*Tabelle2[[#This Row],[vx]]+Tabelle2[[#This Row],[vy]]*Tabelle2[[#This Row],[vy]])</f>
        <v>52.813953874259177</v>
      </c>
      <c r="S357">
        <f t="shared" si="64"/>
        <v>370.5457616952142</v>
      </c>
      <c r="T357" s="1">
        <f t="shared" si="65"/>
        <v>197.44367550145896</v>
      </c>
    </row>
    <row r="358" spans="6:20" x14ac:dyDescent="0.35">
      <c r="F358" s="1">
        <f t="shared" si="61"/>
        <v>7.0999999999999366</v>
      </c>
      <c r="G358">
        <f>1/2*$B$8*$B$6*$B$7*(Tabelle2[[#This Row],[vx]]*Tabelle2[[#This Row],[vx]]+Tabelle2[[#This Row],[vy]]*Tabelle2[[#This Row],[vy]])/1000000</f>
        <v>4.9390528049255558</v>
      </c>
      <c r="H358">
        <f>IF($B$3,-Tabelle2[[#This Row],[Fd]]*Tabelle2[[#This Row],[vx]]/Tabelle2[[#This Row],[v]],0)</f>
        <v>0</v>
      </c>
      <c r="I358">
        <f t="shared" si="55"/>
        <v>0</v>
      </c>
      <c r="J358">
        <f t="shared" si="56"/>
        <v>0</v>
      </c>
      <c r="K358">
        <f t="shared" si="57"/>
        <v>1.0467394398169905</v>
      </c>
      <c r="L358">
        <f>-$B$5*$B$12-IF($B$3,Tabelle2[[#This Row],[Fd]]*Tabelle2[[#This Row],[vy]]/Tabelle2[[#This Row],[v]],0)</f>
        <v>-14.715</v>
      </c>
      <c r="M358">
        <f t="shared" si="58"/>
        <v>-9.81</v>
      </c>
      <c r="N358">
        <f t="shared" si="59"/>
        <v>-0.19620000000000001</v>
      </c>
      <c r="O358">
        <f t="shared" si="60"/>
        <v>-0.14752651208804404</v>
      </c>
      <c r="P358" s="1">
        <f t="shared" si="62"/>
        <v>52.336971990849527</v>
      </c>
      <c r="Q358" s="1">
        <f t="shared" si="63"/>
        <v>-7.278225604402202</v>
      </c>
      <c r="R358">
        <f>SQRT(Tabelle2[[#This Row],[vx]]*Tabelle2[[#This Row],[vx]]+Tabelle2[[#This Row],[vy]]*Tabelle2[[#This Row],[vy]])</f>
        <v>52.840620786659422</v>
      </c>
      <c r="S358">
        <f t="shared" si="64"/>
        <v>371.59250113503117</v>
      </c>
      <c r="T358" s="1">
        <f t="shared" si="65"/>
        <v>197.3000729893709</v>
      </c>
    </row>
    <row r="359" spans="6:20" x14ac:dyDescent="0.35">
      <c r="F359" s="1">
        <f t="shared" si="61"/>
        <v>7.1199999999999362</v>
      </c>
      <c r="G359">
        <f>1/2*$B$8*$B$6*$B$7*(Tabelle2[[#This Row],[vx]]*Tabelle2[[#This Row],[vx]]+Tabelle2[[#This Row],[vy]]*Tabelle2[[#This Row],[vy]])/1000000</f>
        <v>4.9441728870233117</v>
      </c>
      <c r="H359">
        <f>IF($B$3,-Tabelle2[[#This Row],[Fd]]*Tabelle2[[#This Row],[vx]]/Tabelle2[[#This Row],[v]],0)</f>
        <v>0</v>
      </c>
      <c r="I359">
        <f t="shared" si="55"/>
        <v>0</v>
      </c>
      <c r="J359">
        <f t="shared" si="56"/>
        <v>0</v>
      </c>
      <c r="K359">
        <f t="shared" si="57"/>
        <v>1.0467394398169905</v>
      </c>
      <c r="L359">
        <f>-$B$5*$B$12-IF($B$3,Tabelle2[[#This Row],[Fd]]*Tabelle2[[#This Row],[vy]]/Tabelle2[[#This Row],[v]],0)</f>
        <v>-14.715</v>
      </c>
      <c r="M359">
        <f t="shared" si="58"/>
        <v>-9.81</v>
      </c>
      <c r="N359">
        <f t="shared" si="59"/>
        <v>-0.19620000000000001</v>
      </c>
      <c r="O359">
        <f t="shared" si="60"/>
        <v>-0.15145051208804403</v>
      </c>
      <c r="P359" s="1">
        <f t="shared" si="62"/>
        <v>52.336971990849527</v>
      </c>
      <c r="Q359" s="1">
        <f t="shared" si="63"/>
        <v>-7.4744256044022022</v>
      </c>
      <c r="R359">
        <f>SQRT(Tabelle2[[#This Row],[vx]]*Tabelle2[[#This Row],[vx]]+Tabelle2[[#This Row],[vy]]*Tabelle2[[#This Row],[vy]])</f>
        <v>52.868002376548247</v>
      </c>
      <c r="S359">
        <f t="shared" si="64"/>
        <v>372.63924057484815</v>
      </c>
      <c r="T359" s="1">
        <f t="shared" si="65"/>
        <v>197.15254647728287</v>
      </c>
    </row>
    <row r="360" spans="6:20" x14ac:dyDescent="0.35">
      <c r="F360" s="1">
        <f t="shared" si="61"/>
        <v>7.1399999999999357</v>
      </c>
      <c r="G360">
        <f>1/2*$B$8*$B$6*$B$7*(Tabelle2[[#This Row],[vx]]*Tabelle2[[#This Row],[vx]]+Tabelle2[[#This Row],[vy]]*Tabelle2[[#This Row],[vy]])/1000000</f>
        <v>4.949429156182414</v>
      </c>
      <c r="H360">
        <f>IF($B$3,-Tabelle2[[#This Row],[Fd]]*Tabelle2[[#This Row],[vx]]/Tabelle2[[#This Row],[v]],0)</f>
        <v>0</v>
      </c>
      <c r="I360">
        <f t="shared" si="55"/>
        <v>0</v>
      </c>
      <c r="J360">
        <f t="shared" si="56"/>
        <v>0</v>
      </c>
      <c r="K360">
        <f t="shared" si="57"/>
        <v>1.0467394398169905</v>
      </c>
      <c r="L360">
        <f>-$B$5*$B$12-IF($B$3,Tabelle2[[#This Row],[Fd]]*Tabelle2[[#This Row],[vy]]/Tabelle2[[#This Row],[v]],0)</f>
        <v>-14.715</v>
      </c>
      <c r="M360">
        <f t="shared" si="58"/>
        <v>-9.81</v>
      </c>
      <c r="N360">
        <f t="shared" si="59"/>
        <v>-0.19620000000000001</v>
      </c>
      <c r="O360">
        <f t="shared" si="60"/>
        <v>-0.15537451208804404</v>
      </c>
      <c r="P360" s="1">
        <f t="shared" si="62"/>
        <v>52.336971990849527</v>
      </c>
      <c r="Q360" s="1">
        <f t="shared" si="63"/>
        <v>-7.6706256044022023</v>
      </c>
      <c r="R360">
        <f>SQRT(Tabelle2[[#This Row],[vx]]*Tabelle2[[#This Row],[vx]]+Tabelle2[[#This Row],[vy]]*Tabelle2[[#This Row],[vy]])</f>
        <v>52.8960975340703</v>
      </c>
      <c r="S360">
        <f t="shared" si="64"/>
        <v>373.68598001466512</v>
      </c>
      <c r="T360" s="1">
        <f t="shared" si="65"/>
        <v>197.00109596519482</v>
      </c>
    </row>
    <row r="361" spans="6:20" x14ac:dyDescent="0.35">
      <c r="F361" s="1">
        <f t="shared" si="61"/>
        <v>7.1599999999999353</v>
      </c>
      <c r="G361">
        <f>1/2*$B$8*$B$6*$B$7*(Tabelle2[[#This Row],[vx]]*Tabelle2[[#This Row],[vx]]+Tabelle2[[#This Row],[vy]]*Tabelle2[[#This Row],[vy]])/1000000</f>
        <v>4.9548216124028581</v>
      </c>
      <c r="H361">
        <f>IF($B$3,-Tabelle2[[#This Row],[Fd]]*Tabelle2[[#This Row],[vx]]/Tabelle2[[#This Row],[v]],0)</f>
        <v>0</v>
      </c>
      <c r="I361">
        <f t="shared" si="55"/>
        <v>0</v>
      </c>
      <c r="J361">
        <f t="shared" si="56"/>
        <v>0</v>
      </c>
      <c r="K361">
        <f t="shared" si="57"/>
        <v>1.0467394398169905</v>
      </c>
      <c r="L361">
        <f>-$B$5*$B$12-IF($B$3,Tabelle2[[#This Row],[Fd]]*Tabelle2[[#This Row],[vy]]/Tabelle2[[#This Row],[v]],0)</f>
        <v>-14.715</v>
      </c>
      <c r="M361">
        <f t="shared" si="58"/>
        <v>-9.81</v>
      </c>
      <c r="N361">
        <f t="shared" si="59"/>
        <v>-0.19620000000000001</v>
      </c>
      <c r="O361">
        <f t="shared" si="60"/>
        <v>-0.15929851208804405</v>
      </c>
      <c r="P361" s="1">
        <f t="shared" si="62"/>
        <v>52.336971990849527</v>
      </c>
      <c r="Q361" s="1">
        <f t="shared" si="63"/>
        <v>-7.8668256044022025</v>
      </c>
      <c r="R361">
        <f>SQRT(Tabelle2[[#This Row],[vx]]*Tabelle2[[#This Row],[vx]]+Tabelle2[[#This Row],[vy]]*Tabelle2[[#This Row],[vy]])</f>
        <v>52.924905122834616</v>
      </c>
      <c r="S361">
        <f t="shared" si="64"/>
        <v>374.73271945448209</v>
      </c>
      <c r="T361" s="1">
        <f t="shared" si="65"/>
        <v>196.84572145310679</v>
      </c>
    </row>
    <row r="362" spans="6:20" x14ac:dyDescent="0.35">
      <c r="F362" s="1">
        <f t="shared" si="61"/>
        <v>7.1799999999999349</v>
      </c>
      <c r="G362">
        <f>1/2*$B$8*$B$6*$B$7*(Tabelle2[[#This Row],[vx]]*Tabelle2[[#This Row],[vx]]+Tabelle2[[#This Row],[vy]]*Tabelle2[[#This Row],[vy]])/1000000</f>
        <v>4.9603502556846477</v>
      </c>
      <c r="H362">
        <f>IF($B$3,-Tabelle2[[#This Row],[Fd]]*Tabelle2[[#This Row],[vx]]/Tabelle2[[#This Row],[v]],0)</f>
        <v>0</v>
      </c>
      <c r="I362">
        <f t="shared" si="55"/>
        <v>0</v>
      </c>
      <c r="J362">
        <f t="shared" si="56"/>
        <v>0</v>
      </c>
      <c r="K362">
        <f t="shared" si="57"/>
        <v>1.0467394398169905</v>
      </c>
      <c r="L362">
        <f>-$B$5*$B$12-IF($B$3,Tabelle2[[#This Row],[Fd]]*Tabelle2[[#This Row],[vy]]/Tabelle2[[#This Row],[v]],0)</f>
        <v>-14.715</v>
      </c>
      <c r="M362">
        <f t="shared" si="58"/>
        <v>-9.81</v>
      </c>
      <c r="N362">
        <f t="shared" si="59"/>
        <v>-0.19620000000000001</v>
      </c>
      <c r="O362">
        <f t="shared" si="60"/>
        <v>-0.16322251208804406</v>
      </c>
      <c r="P362" s="1">
        <f t="shared" si="62"/>
        <v>52.336971990849527</v>
      </c>
      <c r="Q362" s="1">
        <f t="shared" si="63"/>
        <v>-8.0630256044022026</v>
      </c>
      <c r="R362">
        <f>SQRT(Tabelle2[[#This Row],[vx]]*Tabelle2[[#This Row],[vx]]+Tabelle2[[#This Row],[vy]]*Tabelle2[[#This Row],[vy]])</f>
        <v>52.954423980137989</v>
      </c>
      <c r="S362">
        <f t="shared" si="64"/>
        <v>375.77945889429907</v>
      </c>
      <c r="T362" s="1">
        <f t="shared" si="65"/>
        <v>196.68642294101875</v>
      </c>
    </row>
    <row r="363" spans="6:20" x14ac:dyDescent="0.35">
      <c r="F363" s="1">
        <f t="shared" si="61"/>
        <v>7.1999999999999345</v>
      </c>
      <c r="G363">
        <f>1/2*$B$8*$B$6*$B$7*(Tabelle2[[#This Row],[vx]]*Tabelle2[[#This Row],[vx]]+Tabelle2[[#This Row],[vy]]*Tabelle2[[#This Row],[vy]])/1000000</f>
        <v>4.966015086027781</v>
      </c>
      <c r="H363">
        <f>IF($B$3,-Tabelle2[[#This Row],[Fd]]*Tabelle2[[#This Row],[vx]]/Tabelle2[[#This Row],[v]],0)</f>
        <v>0</v>
      </c>
      <c r="I363">
        <f t="shared" si="55"/>
        <v>0</v>
      </c>
      <c r="J363">
        <f t="shared" si="56"/>
        <v>0</v>
      </c>
      <c r="K363">
        <f t="shared" si="57"/>
        <v>1.0467394398169905</v>
      </c>
      <c r="L363">
        <f>-$B$5*$B$12-IF($B$3,Tabelle2[[#This Row],[Fd]]*Tabelle2[[#This Row],[vy]]/Tabelle2[[#This Row],[v]],0)</f>
        <v>-14.715</v>
      </c>
      <c r="M363">
        <f t="shared" si="58"/>
        <v>-9.81</v>
      </c>
      <c r="N363">
        <f t="shared" si="59"/>
        <v>-0.19620000000000001</v>
      </c>
      <c r="O363">
        <f t="shared" si="60"/>
        <v>-0.16714651208804404</v>
      </c>
      <c r="P363" s="1">
        <f t="shared" si="62"/>
        <v>52.336971990849527</v>
      </c>
      <c r="Q363" s="1">
        <f t="shared" si="63"/>
        <v>-8.2592256044022019</v>
      </c>
      <c r="R363">
        <f>SQRT(Tabelle2[[#This Row],[vx]]*Tabelle2[[#This Row],[vx]]+Tabelle2[[#This Row],[vy]]*Tabelle2[[#This Row],[vy]])</f>
        <v>52.984652917192733</v>
      </c>
      <c r="S363">
        <f t="shared" si="64"/>
        <v>376.82619833411604</v>
      </c>
      <c r="T363" s="1">
        <f t="shared" si="65"/>
        <v>196.52320042893069</v>
      </c>
    </row>
    <row r="364" spans="6:20" x14ac:dyDescent="0.35">
      <c r="F364" s="1">
        <f t="shared" si="61"/>
        <v>7.219999999999934</v>
      </c>
      <c r="G364">
        <f>1/2*$B$8*$B$6*$B$7*(Tabelle2[[#This Row],[vx]]*Tabelle2[[#This Row],[vx]]+Tabelle2[[#This Row],[vy]]*Tabelle2[[#This Row],[vy]])/1000000</f>
        <v>4.9718161034322579</v>
      </c>
      <c r="H364">
        <f>IF($B$3,-Tabelle2[[#This Row],[Fd]]*Tabelle2[[#This Row],[vx]]/Tabelle2[[#This Row],[v]],0)</f>
        <v>0</v>
      </c>
      <c r="I364">
        <f t="shared" si="55"/>
        <v>0</v>
      </c>
      <c r="J364">
        <f t="shared" si="56"/>
        <v>0</v>
      </c>
      <c r="K364">
        <f t="shared" si="57"/>
        <v>1.0467394398169905</v>
      </c>
      <c r="L364">
        <f>-$B$5*$B$12-IF($B$3,Tabelle2[[#This Row],[Fd]]*Tabelle2[[#This Row],[vy]]/Tabelle2[[#This Row],[v]],0)</f>
        <v>-14.715</v>
      </c>
      <c r="M364">
        <f t="shared" si="58"/>
        <v>-9.81</v>
      </c>
      <c r="N364">
        <f t="shared" si="59"/>
        <v>-0.19620000000000001</v>
      </c>
      <c r="O364">
        <f t="shared" si="60"/>
        <v>-0.17107051208804402</v>
      </c>
      <c r="P364" s="1">
        <f t="shared" si="62"/>
        <v>52.336971990849527</v>
      </c>
      <c r="Q364" s="1">
        <f t="shared" si="63"/>
        <v>-8.4554256044022011</v>
      </c>
      <c r="R364">
        <f>SQRT(Tabelle2[[#This Row],[vx]]*Tabelle2[[#This Row],[vx]]+Tabelle2[[#This Row],[vy]]*Tabelle2[[#This Row],[vy]])</f>
        <v>53.015590719358663</v>
      </c>
      <c r="S364">
        <f t="shared" si="64"/>
        <v>377.87293777393302</v>
      </c>
      <c r="T364" s="1">
        <f t="shared" si="65"/>
        <v>196.35605391684265</v>
      </c>
    </row>
    <row r="365" spans="6:20" x14ac:dyDescent="0.35">
      <c r="F365" s="1">
        <f t="shared" si="61"/>
        <v>7.2399999999999336</v>
      </c>
      <c r="G365">
        <f>1/2*$B$8*$B$6*$B$7*(Tabelle2[[#This Row],[vx]]*Tabelle2[[#This Row],[vx]]+Tabelle2[[#This Row],[vy]]*Tabelle2[[#This Row],[vy]])/1000000</f>
        <v>4.9777533078980793</v>
      </c>
      <c r="H365">
        <f>IF($B$3,-Tabelle2[[#This Row],[Fd]]*Tabelle2[[#This Row],[vx]]/Tabelle2[[#This Row],[v]],0)</f>
        <v>0</v>
      </c>
      <c r="I365">
        <f t="shared" si="55"/>
        <v>0</v>
      </c>
      <c r="J365">
        <f t="shared" si="56"/>
        <v>0</v>
      </c>
      <c r="K365">
        <f t="shared" si="57"/>
        <v>1.0467394398169905</v>
      </c>
      <c r="L365">
        <f>-$B$5*$B$12-IF($B$3,Tabelle2[[#This Row],[Fd]]*Tabelle2[[#This Row],[vy]]/Tabelle2[[#This Row],[v]],0)</f>
        <v>-14.715</v>
      </c>
      <c r="M365">
        <f t="shared" si="58"/>
        <v>-9.81</v>
      </c>
      <c r="N365">
        <f t="shared" si="59"/>
        <v>-0.19620000000000001</v>
      </c>
      <c r="O365">
        <f t="shared" si="60"/>
        <v>-0.17499451208804404</v>
      </c>
      <c r="P365" s="1">
        <f t="shared" si="62"/>
        <v>52.336971990849527</v>
      </c>
      <c r="Q365" s="1">
        <f t="shared" si="63"/>
        <v>-8.6516256044022004</v>
      </c>
      <c r="R365">
        <f>SQRT(Tabelle2[[#This Row],[vx]]*Tabelle2[[#This Row],[vx]]+Tabelle2[[#This Row],[vy]]*Tabelle2[[#This Row],[vy]])</f>
        <v>53.047236146379156</v>
      </c>
      <c r="S365">
        <f t="shared" si="64"/>
        <v>378.91967721374999</v>
      </c>
      <c r="T365" s="1">
        <f t="shared" si="65"/>
        <v>196.1849834047546</v>
      </c>
    </row>
    <row r="366" spans="6:20" x14ac:dyDescent="0.35">
      <c r="F366" s="1">
        <f t="shared" si="61"/>
        <v>7.2599999999999332</v>
      </c>
      <c r="G366">
        <f>1/2*$B$8*$B$6*$B$7*(Tabelle2[[#This Row],[vx]]*Tabelle2[[#This Row],[vx]]+Tabelle2[[#This Row],[vy]]*Tabelle2[[#This Row],[vy]])/1000000</f>
        <v>4.9838266994252436</v>
      </c>
      <c r="H366">
        <f>IF($B$3,-Tabelle2[[#This Row],[Fd]]*Tabelle2[[#This Row],[vx]]/Tabelle2[[#This Row],[v]],0)</f>
        <v>0</v>
      </c>
      <c r="I366">
        <f t="shared" si="55"/>
        <v>0</v>
      </c>
      <c r="J366">
        <f t="shared" si="56"/>
        <v>0</v>
      </c>
      <c r="K366">
        <f t="shared" si="57"/>
        <v>1.0467394398169905</v>
      </c>
      <c r="L366">
        <f>-$B$5*$B$12-IF($B$3,Tabelle2[[#This Row],[Fd]]*Tabelle2[[#This Row],[vy]]/Tabelle2[[#This Row],[v]],0)</f>
        <v>-14.715</v>
      </c>
      <c r="M366">
        <f t="shared" si="58"/>
        <v>-9.81</v>
      </c>
      <c r="N366">
        <f t="shared" si="59"/>
        <v>-0.19620000000000001</v>
      </c>
      <c r="O366">
        <f t="shared" si="60"/>
        <v>-0.17891851208804402</v>
      </c>
      <c r="P366" s="1">
        <f t="shared" si="62"/>
        <v>52.336971990849527</v>
      </c>
      <c r="Q366" s="1">
        <f t="shared" si="63"/>
        <v>-8.8478256044021997</v>
      </c>
      <c r="R366">
        <f>SQRT(Tabelle2[[#This Row],[vx]]*Tabelle2[[#This Row],[vx]]+Tabelle2[[#This Row],[vy]]*Tabelle2[[#This Row],[vy]])</f>
        <v>53.079587932621358</v>
      </c>
      <c r="S366">
        <f t="shared" si="64"/>
        <v>379.96641665356697</v>
      </c>
      <c r="T366" s="1">
        <f t="shared" si="65"/>
        <v>196.00998889266657</v>
      </c>
    </row>
    <row r="367" spans="6:20" x14ac:dyDescent="0.35">
      <c r="F367" s="1">
        <f t="shared" si="61"/>
        <v>7.2799999999999327</v>
      </c>
      <c r="G367">
        <f>1/2*$B$8*$B$6*$B$7*(Tabelle2[[#This Row],[vx]]*Tabelle2[[#This Row],[vx]]+Tabelle2[[#This Row],[vy]]*Tabelle2[[#This Row],[vy]])/1000000</f>
        <v>4.9900362780137524</v>
      </c>
      <c r="H367">
        <f>IF($B$3,-Tabelle2[[#This Row],[Fd]]*Tabelle2[[#This Row],[vx]]/Tabelle2[[#This Row],[v]],0)</f>
        <v>0</v>
      </c>
      <c r="I367">
        <f t="shared" si="55"/>
        <v>0</v>
      </c>
      <c r="J367">
        <f t="shared" si="56"/>
        <v>0</v>
      </c>
      <c r="K367">
        <f t="shared" si="57"/>
        <v>1.0467394398169905</v>
      </c>
      <c r="L367">
        <f>-$B$5*$B$12-IF($B$3,Tabelle2[[#This Row],[Fd]]*Tabelle2[[#This Row],[vy]]/Tabelle2[[#This Row],[v]],0)</f>
        <v>-14.715</v>
      </c>
      <c r="M367">
        <f t="shared" si="58"/>
        <v>-9.81</v>
      </c>
      <c r="N367">
        <f t="shared" si="59"/>
        <v>-0.19620000000000001</v>
      </c>
      <c r="O367">
        <f t="shared" si="60"/>
        <v>-0.182842512088044</v>
      </c>
      <c r="P367" s="1">
        <f t="shared" si="62"/>
        <v>52.336971990849527</v>
      </c>
      <c r="Q367" s="1">
        <f t="shared" si="63"/>
        <v>-9.0440256044021989</v>
      </c>
      <c r="R367">
        <f>SQRT(Tabelle2[[#This Row],[vx]]*Tabelle2[[#This Row],[vx]]+Tabelle2[[#This Row],[vy]]*Tabelle2[[#This Row],[vy]])</f>
        <v>53.112644787320185</v>
      </c>
      <c r="S367">
        <f t="shared" si="64"/>
        <v>381.01315609338394</v>
      </c>
      <c r="T367" s="1">
        <f t="shared" si="65"/>
        <v>195.83107038057852</v>
      </c>
    </row>
    <row r="368" spans="6:20" x14ac:dyDescent="0.35">
      <c r="F368" s="1">
        <f t="shared" si="61"/>
        <v>7.2999999999999323</v>
      </c>
      <c r="G368">
        <f>1/2*$B$8*$B$6*$B$7*(Tabelle2[[#This Row],[vx]]*Tabelle2[[#This Row],[vx]]+Tabelle2[[#This Row],[vy]]*Tabelle2[[#This Row],[vy]])/1000000</f>
        <v>4.9963820436636057</v>
      </c>
      <c r="H368">
        <f>IF($B$3,-Tabelle2[[#This Row],[Fd]]*Tabelle2[[#This Row],[vx]]/Tabelle2[[#This Row],[v]],0)</f>
        <v>0</v>
      </c>
      <c r="I368">
        <f t="shared" si="55"/>
        <v>0</v>
      </c>
      <c r="J368">
        <f t="shared" si="56"/>
        <v>0</v>
      </c>
      <c r="K368">
        <f t="shared" si="57"/>
        <v>1.0467394398169905</v>
      </c>
      <c r="L368">
        <f>-$B$5*$B$12-IF($B$3,Tabelle2[[#This Row],[Fd]]*Tabelle2[[#This Row],[vy]]/Tabelle2[[#This Row],[v]],0)</f>
        <v>-14.715</v>
      </c>
      <c r="M368">
        <f t="shared" si="58"/>
        <v>-9.81</v>
      </c>
      <c r="N368">
        <f t="shared" si="59"/>
        <v>-0.19620000000000001</v>
      </c>
      <c r="O368">
        <f t="shared" si="60"/>
        <v>-0.18676651208804398</v>
      </c>
      <c r="P368" s="1">
        <f t="shared" si="62"/>
        <v>52.336971990849527</v>
      </c>
      <c r="Q368" s="1">
        <f t="shared" si="63"/>
        <v>-9.2402256044021982</v>
      </c>
      <c r="R368">
        <f>SQRT(Tabelle2[[#This Row],[vx]]*Tabelle2[[#This Row],[vx]]+Tabelle2[[#This Row],[vy]]*Tabelle2[[#This Row],[vy]])</f>
        <v>53.14640539482626</v>
      </c>
      <c r="S368">
        <f t="shared" si="64"/>
        <v>382.05989553320092</v>
      </c>
      <c r="T368" s="1">
        <f t="shared" si="65"/>
        <v>195.64822786849047</v>
      </c>
    </row>
    <row r="369" spans="6:20" x14ac:dyDescent="0.35">
      <c r="F369" s="1">
        <f t="shared" si="61"/>
        <v>7.3199999999999319</v>
      </c>
      <c r="G369">
        <f>1/2*$B$8*$B$6*$B$7*(Tabelle2[[#This Row],[vx]]*Tabelle2[[#This Row],[vx]]+Tabelle2[[#This Row],[vy]]*Tabelle2[[#This Row],[vy]])/1000000</f>
        <v>5.0028639963748027</v>
      </c>
      <c r="H369">
        <f>IF($B$3,-Tabelle2[[#This Row],[Fd]]*Tabelle2[[#This Row],[vx]]/Tabelle2[[#This Row],[v]],0)</f>
        <v>0</v>
      </c>
      <c r="I369">
        <f t="shared" si="55"/>
        <v>0</v>
      </c>
      <c r="J369">
        <f t="shared" si="56"/>
        <v>0</v>
      </c>
      <c r="K369">
        <f t="shared" si="57"/>
        <v>1.0467394398169905</v>
      </c>
      <c r="L369">
        <f>-$B$5*$B$12-IF($B$3,Tabelle2[[#This Row],[Fd]]*Tabelle2[[#This Row],[vy]]/Tabelle2[[#This Row],[v]],0)</f>
        <v>-14.715</v>
      </c>
      <c r="M369">
        <f t="shared" si="58"/>
        <v>-9.81</v>
      </c>
      <c r="N369">
        <f t="shared" si="59"/>
        <v>-0.19620000000000001</v>
      </c>
      <c r="O369">
        <f t="shared" si="60"/>
        <v>-0.19069051208804397</v>
      </c>
      <c r="P369" s="1">
        <f t="shared" si="62"/>
        <v>52.336971990849527</v>
      </c>
      <c r="Q369" s="1">
        <f t="shared" si="63"/>
        <v>-9.4364256044021975</v>
      </c>
      <c r="R369">
        <f>SQRT(Tabelle2[[#This Row],[vx]]*Tabelle2[[#This Row],[vx]]+Tabelle2[[#This Row],[vy]]*Tabelle2[[#This Row],[vy]])</f>
        <v>53.180868414857471</v>
      </c>
      <c r="S369">
        <f t="shared" si="64"/>
        <v>383.10663497301789</v>
      </c>
      <c r="T369" s="1">
        <f t="shared" si="65"/>
        <v>195.46146135640242</v>
      </c>
    </row>
    <row r="370" spans="6:20" x14ac:dyDescent="0.35">
      <c r="F370" s="1">
        <f t="shared" si="61"/>
        <v>7.3399999999999315</v>
      </c>
      <c r="G370">
        <f>1/2*$B$8*$B$6*$B$7*(Tabelle2[[#This Row],[vx]]*Tabelle2[[#This Row],[vx]]+Tabelle2[[#This Row],[vy]]*Tabelle2[[#This Row],[vy]])/1000000</f>
        <v>5.0094821361473443</v>
      </c>
      <c r="H370">
        <f>IF($B$3,-Tabelle2[[#This Row],[Fd]]*Tabelle2[[#This Row],[vx]]/Tabelle2[[#This Row],[v]],0)</f>
        <v>0</v>
      </c>
      <c r="I370">
        <f t="shared" si="55"/>
        <v>0</v>
      </c>
      <c r="J370">
        <f t="shared" si="56"/>
        <v>0</v>
      </c>
      <c r="K370">
        <f t="shared" si="57"/>
        <v>1.0467394398169905</v>
      </c>
      <c r="L370">
        <f>-$B$5*$B$12-IF($B$3,Tabelle2[[#This Row],[Fd]]*Tabelle2[[#This Row],[vy]]/Tabelle2[[#This Row],[v]],0)</f>
        <v>-14.715</v>
      </c>
      <c r="M370">
        <f t="shared" si="58"/>
        <v>-9.81</v>
      </c>
      <c r="N370">
        <f t="shared" si="59"/>
        <v>-0.19620000000000001</v>
      </c>
      <c r="O370">
        <f t="shared" si="60"/>
        <v>-0.19461451208804395</v>
      </c>
      <c r="P370" s="1">
        <f t="shared" si="62"/>
        <v>52.336971990849527</v>
      </c>
      <c r="Q370" s="1">
        <f t="shared" si="63"/>
        <v>-9.6326256044021967</v>
      </c>
      <c r="R370">
        <f>SQRT(Tabelle2[[#This Row],[vx]]*Tabelle2[[#This Row],[vx]]+Tabelle2[[#This Row],[vy]]*Tabelle2[[#This Row],[vy]])</f>
        <v>53.216032482754223</v>
      </c>
      <c r="S370">
        <f t="shared" si="64"/>
        <v>384.15337441283486</v>
      </c>
      <c r="T370" s="1">
        <f t="shared" si="65"/>
        <v>195.27077084431437</v>
      </c>
    </row>
    <row r="371" spans="6:20" x14ac:dyDescent="0.35">
      <c r="F371" s="1">
        <f t="shared" si="61"/>
        <v>7.359999999999931</v>
      </c>
      <c r="G371">
        <f>1/2*$B$8*$B$6*$B$7*(Tabelle2[[#This Row],[vx]]*Tabelle2[[#This Row],[vx]]+Tabelle2[[#This Row],[vy]]*Tabelle2[[#This Row],[vy]])/1000000</f>
        <v>5.0162364629812286</v>
      </c>
      <c r="H371">
        <f>IF($B$3,-Tabelle2[[#This Row],[Fd]]*Tabelle2[[#This Row],[vx]]/Tabelle2[[#This Row],[v]],0)</f>
        <v>0</v>
      </c>
      <c r="I371">
        <f t="shared" si="55"/>
        <v>0</v>
      </c>
      <c r="J371">
        <f t="shared" si="56"/>
        <v>0</v>
      </c>
      <c r="K371">
        <f t="shared" si="57"/>
        <v>1.0467394398169905</v>
      </c>
      <c r="L371">
        <f>-$B$5*$B$12-IF($B$3,Tabelle2[[#This Row],[Fd]]*Tabelle2[[#This Row],[vy]]/Tabelle2[[#This Row],[v]],0)</f>
        <v>-14.715</v>
      </c>
      <c r="M371">
        <f t="shared" si="58"/>
        <v>-9.81</v>
      </c>
      <c r="N371">
        <f t="shared" si="59"/>
        <v>-0.19620000000000001</v>
      </c>
      <c r="O371">
        <f t="shared" si="60"/>
        <v>-0.19853851208804393</v>
      </c>
      <c r="P371" s="1">
        <f t="shared" si="62"/>
        <v>52.336971990849527</v>
      </c>
      <c r="Q371" s="1">
        <f t="shared" si="63"/>
        <v>-9.828825604402196</v>
      </c>
      <c r="R371">
        <f>SQRT(Tabelle2[[#This Row],[vx]]*Tabelle2[[#This Row],[vx]]+Tabelle2[[#This Row],[vy]]*Tabelle2[[#This Row],[vy]])</f>
        <v>53.251896209738106</v>
      </c>
      <c r="S371">
        <f t="shared" si="64"/>
        <v>385.20011385265184</v>
      </c>
      <c r="T371" s="1">
        <f t="shared" si="65"/>
        <v>195.07615633222633</v>
      </c>
    </row>
    <row r="372" spans="6:20" x14ac:dyDescent="0.35">
      <c r="F372" s="1">
        <f t="shared" si="61"/>
        <v>7.3799999999999306</v>
      </c>
      <c r="G372">
        <f>1/2*$B$8*$B$6*$B$7*(Tabelle2[[#This Row],[vx]]*Tabelle2[[#This Row],[vx]]+Tabelle2[[#This Row],[vy]]*Tabelle2[[#This Row],[vy]])/1000000</f>
        <v>5.0231269768764584</v>
      </c>
      <c r="H372">
        <f>IF($B$3,-Tabelle2[[#This Row],[Fd]]*Tabelle2[[#This Row],[vx]]/Tabelle2[[#This Row],[v]],0)</f>
        <v>0</v>
      </c>
      <c r="I372">
        <f t="shared" si="55"/>
        <v>0</v>
      </c>
      <c r="J372">
        <f t="shared" si="56"/>
        <v>0</v>
      </c>
      <c r="K372">
        <f t="shared" si="57"/>
        <v>1.0467394398169905</v>
      </c>
      <c r="L372">
        <f>-$B$5*$B$12-IF($B$3,Tabelle2[[#This Row],[Fd]]*Tabelle2[[#This Row],[vy]]/Tabelle2[[#This Row],[v]],0)</f>
        <v>-14.715</v>
      </c>
      <c r="M372">
        <f t="shared" si="58"/>
        <v>-9.81</v>
      </c>
      <c r="N372">
        <f t="shared" si="59"/>
        <v>-0.19620000000000001</v>
      </c>
      <c r="O372">
        <f t="shared" si="60"/>
        <v>-0.20246251208804392</v>
      </c>
      <c r="P372" s="1">
        <f t="shared" si="62"/>
        <v>52.336971990849527</v>
      </c>
      <c r="Q372" s="1">
        <f t="shared" si="63"/>
        <v>-10.025025604402195</v>
      </c>
      <c r="R372">
        <f>SQRT(Tabelle2[[#This Row],[vx]]*Tabelle2[[#This Row],[vx]]+Tabelle2[[#This Row],[vy]]*Tabelle2[[#This Row],[vy]])</f>
        <v>53.288458183174029</v>
      </c>
      <c r="S372">
        <f t="shared" si="64"/>
        <v>386.24685329246881</v>
      </c>
      <c r="T372" s="1">
        <f t="shared" si="65"/>
        <v>194.87761782013828</v>
      </c>
    </row>
    <row r="373" spans="6:20" x14ac:dyDescent="0.35">
      <c r="F373" s="1">
        <f t="shared" si="61"/>
        <v>7.3999999999999302</v>
      </c>
      <c r="G373">
        <f>1/2*$B$8*$B$6*$B$7*(Tabelle2[[#This Row],[vx]]*Tabelle2[[#This Row],[vx]]+Tabelle2[[#This Row],[vy]]*Tabelle2[[#This Row],[vy]])/1000000</f>
        <v>5.0301536778330309</v>
      </c>
      <c r="H373">
        <f>IF($B$3,-Tabelle2[[#This Row],[Fd]]*Tabelle2[[#This Row],[vx]]/Tabelle2[[#This Row],[v]],0)</f>
        <v>0</v>
      </c>
      <c r="I373">
        <f t="shared" si="55"/>
        <v>0</v>
      </c>
      <c r="J373">
        <f t="shared" si="56"/>
        <v>0</v>
      </c>
      <c r="K373">
        <f t="shared" si="57"/>
        <v>1.0467394398169905</v>
      </c>
      <c r="L373">
        <f>-$B$5*$B$12-IF($B$3,Tabelle2[[#This Row],[Fd]]*Tabelle2[[#This Row],[vy]]/Tabelle2[[#This Row],[v]],0)</f>
        <v>-14.715</v>
      </c>
      <c r="M373">
        <f t="shared" si="58"/>
        <v>-9.81</v>
      </c>
      <c r="N373">
        <f t="shared" si="59"/>
        <v>-0.19620000000000001</v>
      </c>
      <c r="O373">
        <f t="shared" si="60"/>
        <v>-0.2063865120880439</v>
      </c>
      <c r="P373" s="1">
        <f t="shared" si="62"/>
        <v>52.336971990849527</v>
      </c>
      <c r="Q373" s="1">
        <f t="shared" si="63"/>
        <v>-10.221225604402195</v>
      </c>
      <c r="R373">
        <f>SQRT(Tabelle2[[#This Row],[vx]]*Tabelle2[[#This Row],[vx]]+Tabelle2[[#This Row],[vy]]*Tabelle2[[#This Row],[vy]])</f>
        <v>53.325716966835571</v>
      </c>
      <c r="S373">
        <f t="shared" si="64"/>
        <v>387.29359273228579</v>
      </c>
      <c r="T373" s="1">
        <f t="shared" si="65"/>
        <v>194.67515530805025</v>
      </c>
    </row>
    <row r="374" spans="6:20" x14ac:dyDescent="0.35">
      <c r="F374" s="1">
        <f t="shared" si="61"/>
        <v>7.4199999999999298</v>
      </c>
      <c r="G374">
        <f>1/2*$B$8*$B$6*$B$7*(Tabelle2[[#This Row],[vx]]*Tabelle2[[#This Row],[vx]]+Tabelle2[[#This Row],[vy]]*Tabelle2[[#This Row],[vy]])/1000000</f>
        <v>5.037316565850948</v>
      </c>
      <c r="H374">
        <f>IF($B$3,-Tabelle2[[#This Row],[Fd]]*Tabelle2[[#This Row],[vx]]/Tabelle2[[#This Row],[v]],0)</f>
        <v>0</v>
      </c>
      <c r="I374">
        <f t="shared" si="55"/>
        <v>0</v>
      </c>
      <c r="J374">
        <f t="shared" si="56"/>
        <v>0</v>
      </c>
      <c r="K374">
        <f t="shared" si="57"/>
        <v>1.0467394398169905</v>
      </c>
      <c r="L374">
        <f>-$B$5*$B$12-IF($B$3,Tabelle2[[#This Row],[Fd]]*Tabelle2[[#This Row],[vy]]/Tabelle2[[#This Row],[v]],0)</f>
        <v>-14.715</v>
      </c>
      <c r="M374">
        <f t="shared" si="58"/>
        <v>-9.81</v>
      </c>
      <c r="N374">
        <f t="shared" si="59"/>
        <v>-0.19620000000000001</v>
      </c>
      <c r="O374">
        <f t="shared" si="60"/>
        <v>-0.21031051208804388</v>
      </c>
      <c r="P374" s="1">
        <f t="shared" si="62"/>
        <v>52.336971990849527</v>
      </c>
      <c r="Q374" s="1">
        <f t="shared" si="63"/>
        <v>-10.417425604402194</v>
      </c>
      <c r="R374">
        <f>SQRT(Tabelle2[[#This Row],[vx]]*Tabelle2[[#This Row],[vx]]+Tabelle2[[#This Row],[vy]]*Tabelle2[[#This Row],[vy]])</f>
        <v>53.363671101173523</v>
      </c>
      <c r="S374">
        <f t="shared" si="64"/>
        <v>388.34033217210276</v>
      </c>
      <c r="T374" s="1">
        <f t="shared" si="65"/>
        <v>194.46876879596221</v>
      </c>
    </row>
    <row r="375" spans="6:20" x14ac:dyDescent="0.35">
      <c r="F375" s="1">
        <f t="shared" si="61"/>
        <v>7.4399999999999293</v>
      </c>
      <c r="G375">
        <f>1/2*$B$8*$B$6*$B$7*(Tabelle2[[#This Row],[vx]]*Tabelle2[[#This Row],[vx]]+Tabelle2[[#This Row],[vy]]*Tabelle2[[#This Row],[vy]])/1000000</f>
        <v>5.0446156409302088</v>
      </c>
      <c r="H375">
        <f>IF($B$3,-Tabelle2[[#This Row],[Fd]]*Tabelle2[[#This Row],[vx]]/Tabelle2[[#This Row],[v]],0)</f>
        <v>0</v>
      </c>
      <c r="I375">
        <f t="shared" si="55"/>
        <v>0</v>
      </c>
      <c r="J375">
        <f t="shared" si="56"/>
        <v>0</v>
      </c>
      <c r="K375">
        <f t="shared" si="57"/>
        <v>1.0467394398169905</v>
      </c>
      <c r="L375">
        <f>-$B$5*$B$12-IF($B$3,Tabelle2[[#This Row],[Fd]]*Tabelle2[[#This Row],[vy]]/Tabelle2[[#This Row],[v]],0)</f>
        <v>-14.715</v>
      </c>
      <c r="M375">
        <f t="shared" si="58"/>
        <v>-9.81</v>
      </c>
      <c r="N375">
        <f t="shared" si="59"/>
        <v>-0.19620000000000001</v>
      </c>
      <c r="O375">
        <f t="shared" si="60"/>
        <v>-0.21423451208804387</v>
      </c>
      <c r="P375" s="1">
        <f t="shared" si="62"/>
        <v>52.336971990849527</v>
      </c>
      <c r="Q375" s="1">
        <f t="shared" si="63"/>
        <v>-10.613625604402193</v>
      </c>
      <c r="R375">
        <f>SQRT(Tabelle2[[#This Row],[vx]]*Tabelle2[[#This Row],[vx]]+Tabelle2[[#This Row],[vy]]*Tabelle2[[#This Row],[vy]])</f>
        <v>53.40231910358753</v>
      </c>
      <c r="S375">
        <f t="shared" si="64"/>
        <v>389.38707161191974</v>
      </c>
      <c r="T375" s="1">
        <f t="shared" si="65"/>
        <v>194.25845828387415</v>
      </c>
    </row>
    <row r="376" spans="6:20" x14ac:dyDescent="0.35">
      <c r="F376" s="1">
        <f t="shared" si="61"/>
        <v>7.4599999999999289</v>
      </c>
      <c r="G376">
        <f>1/2*$B$8*$B$6*$B$7*(Tabelle2[[#This Row],[vx]]*Tabelle2[[#This Row],[vx]]+Tabelle2[[#This Row],[vy]]*Tabelle2[[#This Row],[vy]])/1000000</f>
        <v>5.0520509030708132</v>
      </c>
      <c r="H376">
        <f>IF($B$3,-Tabelle2[[#This Row],[Fd]]*Tabelle2[[#This Row],[vx]]/Tabelle2[[#This Row],[v]],0)</f>
        <v>0</v>
      </c>
      <c r="I376">
        <f t="shared" si="55"/>
        <v>0</v>
      </c>
      <c r="J376">
        <f t="shared" si="56"/>
        <v>0</v>
      </c>
      <c r="K376">
        <f t="shared" si="57"/>
        <v>1.0467394398169905</v>
      </c>
      <c r="L376">
        <f>-$B$5*$B$12-IF($B$3,Tabelle2[[#This Row],[Fd]]*Tabelle2[[#This Row],[vy]]/Tabelle2[[#This Row],[v]],0)</f>
        <v>-14.715</v>
      </c>
      <c r="M376">
        <f t="shared" si="58"/>
        <v>-9.81</v>
      </c>
      <c r="N376">
        <f t="shared" si="59"/>
        <v>-0.19620000000000001</v>
      </c>
      <c r="O376">
        <f t="shared" si="60"/>
        <v>-0.21815851208804385</v>
      </c>
      <c r="P376" s="1">
        <f t="shared" si="62"/>
        <v>52.336971990849527</v>
      </c>
      <c r="Q376" s="1">
        <f t="shared" si="63"/>
        <v>-10.809825604402192</v>
      </c>
      <c r="R376">
        <f>SQRT(Tabelle2[[#This Row],[vx]]*Tabelle2[[#This Row],[vx]]+Tabelle2[[#This Row],[vy]]*Tabelle2[[#This Row],[vy]])</f>
        <v>53.441659468700607</v>
      </c>
      <c r="S376">
        <f t="shared" si="64"/>
        <v>390.43381105173671</v>
      </c>
      <c r="T376" s="1">
        <f t="shared" si="65"/>
        <v>194.04422377178611</v>
      </c>
    </row>
    <row r="377" spans="6:20" x14ac:dyDescent="0.35">
      <c r="F377" s="1">
        <f t="shared" si="61"/>
        <v>7.4799999999999285</v>
      </c>
      <c r="G377">
        <f>1/2*$B$8*$B$6*$B$7*(Tabelle2[[#This Row],[vx]]*Tabelle2[[#This Row],[vx]]+Tabelle2[[#This Row],[vy]]*Tabelle2[[#This Row],[vy]])/1000000</f>
        <v>5.059622352272763</v>
      </c>
      <c r="H377">
        <f>IF($B$3,-Tabelle2[[#This Row],[Fd]]*Tabelle2[[#This Row],[vx]]/Tabelle2[[#This Row],[v]],0)</f>
        <v>0</v>
      </c>
      <c r="I377">
        <f t="shared" si="55"/>
        <v>0</v>
      </c>
      <c r="J377">
        <f t="shared" si="56"/>
        <v>0</v>
      </c>
      <c r="K377">
        <f t="shared" si="57"/>
        <v>1.0467394398169905</v>
      </c>
      <c r="L377">
        <f>-$B$5*$B$12-IF($B$3,Tabelle2[[#This Row],[Fd]]*Tabelle2[[#This Row],[vy]]/Tabelle2[[#This Row],[v]],0)</f>
        <v>-14.715</v>
      </c>
      <c r="M377">
        <f t="shared" si="58"/>
        <v>-9.81</v>
      </c>
      <c r="N377">
        <f t="shared" si="59"/>
        <v>-0.19620000000000001</v>
      </c>
      <c r="O377">
        <f t="shared" si="60"/>
        <v>-0.22208251208804386</v>
      </c>
      <c r="P377" s="1">
        <f t="shared" si="62"/>
        <v>52.336971990849527</v>
      </c>
      <c r="Q377" s="1">
        <f t="shared" si="63"/>
        <v>-11.006025604402192</v>
      </c>
      <c r="R377">
        <f>SQRT(Tabelle2[[#This Row],[vx]]*Tabelle2[[#This Row],[vx]]+Tabelle2[[#This Row],[vy]]*Tabelle2[[#This Row],[vy]])</f>
        <v>53.481690668636539</v>
      </c>
      <c r="S377">
        <f t="shared" si="64"/>
        <v>391.48055049155369</v>
      </c>
      <c r="T377" s="1">
        <f t="shared" si="65"/>
        <v>193.82606525969805</v>
      </c>
    </row>
    <row r="378" spans="6:20" x14ac:dyDescent="0.35">
      <c r="F378" s="1">
        <f t="shared" si="61"/>
        <v>7.4999999999999281</v>
      </c>
      <c r="G378">
        <f>1/2*$B$8*$B$6*$B$7*(Tabelle2[[#This Row],[vx]]*Tabelle2[[#This Row],[vx]]+Tabelle2[[#This Row],[vy]]*Tabelle2[[#This Row],[vy]])/1000000</f>
        <v>5.0673299885360548</v>
      </c>
      <c r="H378">
        <f>IF($B$3,-Tabelle2[[#This Row],[Fd]]*Tabelle2[[#This Row],[vx]]/Tabelle2[[#This Row],[v]],0)</f>
        <v>0</v>
      </c>
      <c r="I378">
        <f t="shared" si="55"/>
        <v>0</v>
      </c>
      <c r="J378">
        <f t="shared" si="56"/>
        <v>0</v>
      </c>
      <c r="K378">
        <f t="shared" si="57"/>
        <v>1.0467394398169905</v>
      </c>
      <c r="L378">
        <f>-$B$5*$B$12-IF($B$3,Tabelle2[[#This Row],[Fd]]*Tabelle2[[#This Row],[vy]]/Tabelle2[[#This Row],[v]],0)</f>
        <v>-14.715</v>
      </c>
      <c r="M378">
        <f t="shared" si="58"/>
        <v>-9.81</v>
      </c>
      <c r="N378">
        <f t="shared" si="59"/>
        <v>-0.19620000000000001</v>
      </c>
      <c r="O378">
        <f t="shared" si="60"/>
        <v>-0.22600651208804384</v>
      </c>
      <c r="P378" s="1">
        <f t="shared" si="62"/>
        <v>52.336971990849527</v>
      </c>
      <c r="Q378" s="1">
        <f t="shared" si="63"/>
        <v>-11.202225604402191</v>
      </c>
      <c r="R378">
        <f>SQRT(Tabelle2[[#This Row],[vx]]*Tabelle2[[#This Row],[vx]]+Tabelle2[[#This Row],[vy]]*Tabelle2[[#This Row],[vy]])</f>
        <v>53.522411153299998</v>
      </c>
      <c r="S378">
        <f t="shared" si="64"/>
        <v>392.52728993137066</v>
      </c>
      <c r="T378" s="1">
        <f t="shared" si="65"/>
        <v>193.60398274761002</v>
      </c>
    </row>
    <row r="379" spans="6:20" x14ac:dyDescent="0.35">
      <c r="F379" s="1">
        <f t="shared" si="61"/>
        <v>7.5199999999999276</v>
      </c>
      <c r="G379">
        <f>1/2*$B$8*$B$6*$B$7*(Tabelle2[[#This Row],[vx]]*Tabelle2[[#This Row],[vx]]+Tabelle2[[#This Row],[vy]]*Tabelle2[[#This Row],[vy]])/1000000</f>
        <v>5.0751738118606919</v>
      </c>
      <c r="H379">
        <f>IF($B$3,-Tabelle2[[#This Row],[Fd]]*Tabelle2[[#This Row],[vx]]/Tabelle2[[#This Row],[v]],0)</f>
        <v>0</v>
      </c>
      <c r="I379">
        <f t="shared" si="55"/>
        <v>0</v>
      </c>
      <c r="J379">
        <f t="shared" si="56"/>
        <v>0</v>
      </c>
      <c r="K379">
        <f t="shared" si="57"/>
        <v>1.0467394398169905</v>
      </c>
      <c r="L379">
        <f>-$B$5*$B$12-IF($B$3,Tabelle2[[#This Row],[Fd]]*Tabelle2[[#This Row],[vy]]/Tabelle2[[#This Row],[v]],0)</f>
        <v>-14.715</v>
      </c>
      <c r="M379">
        <f t="shared" si="58"/>
        <v>-9.81</v>
      </c>
      <c r="N379">
        <f t="shared" si="59"/>
        <v>-0.19620000000000001</v>
      </c>
      <c r="O379">
        <f t="shared" si="60"/>
        <v>-0.22993051208804383</v>
      </c>
      <c r="P379" s="1">
        <f t="shared" si="62"/>
        <v>52.336971990849527</v>
      </c>
      <c r="Q379" s="1">
        <f t="shared" si="63"/>
        <v>-11.39842560440219</v>
      </c>
      <c r="R379">
        <f>SQRT(Tabelle2[[#This Row],[vx]]*Tabelle2[[#This Row],[vx]]+Tabelle2[[#This Row],[vy]]*Tabelle2[[#This Row],[vy]])</f>
        <v>53.563819350659259</v>
      </c>
      <c r="S379">
        <f t="shared" si="64"/>
        <v>393.57402937118763</v>
      </c>
      <c r="T379" s="1">
        <f t="shared" si="65"/>
        <v>193.37797623552197</v>
      </c>
    </row>
    <row r="380" spans="6:20" x14ac:dyDescent="0.35">
      <c r="F380" s="1">
        <f t="shared" si="61"/>
        <v>7.5399999999999272</v>
      </c>
      <c r="G380">
        <f>1/2*$B$8*$B$6*$B$7*(Tabelle2[[#This Row],[vx]]*Tabelle2[[#This Row],[vx]]+Tabelle2[[#This Row],[vy]]*Tabelle2[[#This Row],[vy]])/1000000</f>
        <v>5.0831538222466728</v>
      </c>
      <c r="H380">
        <f>IF($B$3,-Tabelle2[[#This Row],[Fd]]*Tabelle2[[#This Row],[vx]]/Tabelle2[[#This Row],[v]],0)</f>
        <v>0</v>
      </c>
      <c r="I380">
        <f t="shared" si="55"/>
        <v>0</v>
      </c>
      <c r="J380">
        <f t="shared" si="56"/>
        <v>0</v>
      </c>
      <c r="K380">
        <f t="shared" si="57"/>
        <v>1.0467394398169905</v>
      </c>
      <c r="L380">
        <f>-$B$5*$B$12-IF($B$3,Tabelle2[[#This Row],[Fd]]*Tabelle2[[#This Row],[vy]]/Tabelle2[[#This Row],[v]],0)</f>
        <v>-14.715</v>
      </c>
      <c r="M380">
        <f t="shared" si="58"/>
        <v>-9.81</v>
      </c>
      <c r="N380">
        <f t="shared" si="59"/>
        <v>-0.19620000000000001</v>
      </c>
      <c r="O380">
        <f t="shared" si="60"/>
        <v>-0.23385451208804381</v>
      </c>
      <c r="P380" s="1">
        <f t="shared" si="62"/>
        <v>52.336971990849527</v>
      </c>
      <c r="Q380" s="1">
        <f t="shared" si="63"/>
        <v>-11.594625604402189</v>
      </c>
      <c r="R380">
        <f>SQRT(Tabelle2[[#This Row],[vx]]*Tabelle2[[#This Row],[vx]]+Tabelle2[[#This Row],[vy]]*Tabelle2[[#This Row],[vy]])</f>
        <v>53.605913667031423</v>
      </c>
      <c r="S380">
        <f t="shared" si="64"/>
        <v>394.62076881100461</v>
      </c>
      <c r="T380" s="1">
        <f t="shared" si="65"/>
        <v>193.14804572343394</v>
      </c>
    </row>
    <row r="381" spans="6:20" x14ac:dyDescent="0.35">
      <c r="F381" s="1">
        <f t="shared" si="61"/>
        <v>7.5599999999999268</v>
      </c>
      <c r="G381">
        <f>1/2*$B$8*$B$6*$B$7*(Tabelle2[[#This Row],[vx]]*Tabelle2[[#This Row],[vx]]+Tabelle2[[#This Row],[vy]]*Tabelle2[[#This Row],[vy]])/1000000</f>
        <v>5.0912700196939973</v>
      </c>
      <c r="H381">
        <f>IF($B$3,-Tabelle2[[#This Row],[Fd]]*Tabelle2[[#This Row],[vx]]/Tabelle2[[#This Row],[v]],0)</f>
        <v>0</v>
      </c>
      <c r="I381">
        <f t="shared" si="55"/>
        <v>0</v>
      </c>
      <c r="J381">
        <f t="shared" si="56"/>
        <v>0</v>
      </c>
      <c r="K381">
        <f t="shared" si="57"/>
        <v>1.0467394398169905</v>
      </c>
      <c r="L381">
        <f>-$B$5*$B$12-IF($B$3,Tabelle2[[#This Row],[Fd]]*Tabelle2[[#This Row],[vy]]/Tabelle2[[#This Row],[v]],0)</f>
        <v>-14.715</v>
      </c>
      <c r="M381">
        <f t="shared" si="58"/>
        <v>-9.81</v>
      </c>
      <c r="N381">
        <f t="shared" si="59"/>
        <v>-0.19620000000000001</v>
      </c>
      <c r="O381">
        <f t="shared" si="60"/>
        <v>-0.23777851208804379</v>
      </c>
      <c r="P381" s="1">
        <f t="shared" si="62"/>
        <v>52.336971990849527</v>
      </c>
      <c r="Q381" s="1">
        <f t="shared" si="63"/>
        <v>-11.790825604402189</v>
      </c>
      <c r="R381">
        <f>SQRT(Tabelle2[[#This Row],[vx]]*Tabelle2[[#This Row],[vx]]+Tabelle2[[#This Row],[vy]]*Tabelle2[[#This Row],[vy]])</f>
        <v>53.648692487370035</v>
      </c>
      <c r="S381">
        <f t="shared" si="64"/>
        <v>395.66750825082158</v>
      </c>
      <c r="T381" s="1">
        <f t="shared" si="65"/>
        <v>192.91419121134589</v>
      </c>
    </row>
    <row r="382" spans="6:20" x14ac:dyDescent="0.35">
      <c r="F382" s="1">
        <f t="shared" si="61"/>
        <v>7.5799999999999264</v>
      </c>
      <c r="G382">
        <f>1/2*$B$8*$B$6*$B$7*(Tabelle2[[#This Row],[vx]]*Tabelle2[[#This Row],[vx]]+Tabelle2[[#This Row],[vy]]*Tabelle2[[#This Row],[vy]])/1000000</f>
        <v>5.0995224042026672</v>
      </c>
      <c r="H382">
        <f>IF($B$3,-Tabelle2[[#This Row],[Fd]]*Tabelle2[[#This Row],[vx]]/Tabelle2[[#This Row],[v]],0)</f>
        <v>0</v>
      </c>
      <c r="I382">
        <f t="shared" si="55"/>
        <v>0</v>
      </c>
      <c r="J382">
        <f t="shared" si="56"/>
        <v>0</v>
      </c>
      <c r="K382">
        <f t="shared" si="57"/>
        <v>1.0467394398169905</v>
      </c>
      <c r="L382">
        <f>-$B$5*$B$12-IF($B$3,Tabelle2[[#This Row],[Fd]]*Tabelle2[[#This Row],[vy]]/Tabelle2[[#This Row],[v]],0)</f>
        <v>-14.715</v>
      </c>
      <c r="M382">
        <f t="shared" si="58"/>
        <v>-9.81</v>
      </c>
      <c r="N382">
        <f t="shared" si="59"/>
        <v>-0.19620000000000001</v>
      </c>
      <c r="O382">
        <f t="shared" si="60"/>
        <v>-0.24170251208804377</v>
      </c>
      <c r="P382" s="1">
        <f t="shared" si="62"/>
        <v>52.336971990849527</v>
      </c>
      <c r="Q382" s="1">
        <f t="shared" si="63"/>
        <v>-11.987025604402188</v>
      </c>
      <c r="R382">
        <f>SQRT(Tabelle2[[#This Row],[vx]]*Tabelle2[[#This Row],[vx]]+Tabelle2[[#This Row],[vy]]*Tabelle2[[#This Row],[vy]])</f>
        <v>53.69215417555494</v>
      </c>
      <c r="S382">
        <f t="shared" si="64"/>
        <v>396.71424769063856</v>
      </c>
      <c r="T382" s="1">
        <f t="shared" si="65"/>
        <v>192.67641269925784</v>
      </c>
    </row>
    <row r="383" spans="6:20" x14ac:dyDescent="0.35">
      <c r="F383" s="1">
        <f t="shared" si="61"/>
        <v>7.5999999999999259</v>
      </c>
      <c r="G383">
        <f>1/2*$B$8*$B$6*$B$7*(Tabelle2[[#This Row],[vx]]*Tabelle2[[#This Row],[vx]]+Tabelle2[[#This Row],[vy]]*Tabelle2[[#This Row],[vy]])/1000000</f>
        <v>5.1079109757726799</v>
      </c>
      <c r="H383">
        <f>IF($B$3,-Tabelle2[[#This Row],[Fd]]*Tabelle2[[#This Row],[vx]]/Tabelle2[[#This Row],[v]],0)</f>
        <v>0</v>
      </c>
      <c r="I383">
        <f t="shared" si="55"/>
        <v>0</v>
      </c>
      <c r="J383">
        <f t="shared" si="56"/>
        <v>0</v>
      </c>
      <c r="K383">
        <f t="shared" si="57"/>
        <v>1.0467394398169905</v>
      </c>
      <c r="L383">
        <f>-$B$5*$B$12-IF($B$3,Tabelle2[[#This Row],[Fd]]*Tabelle2[[#This Row],[vy]]/Tabelle2[[#This Row],[v]],0)</f>
        <v>-14.715</v>
      </c>
      <c r="M383">
        <f t="shared" si="58"/>
        <v>-9.81</v>
      </c>
      <c r="N383">
        <f t="shared" si="59"/>
        <v>-0.19620000000000001</v>
      </c>
      <c r="O383">
        <f t="shared" si="60"/>
        <v>-0.24562651208804376</v>
      </c>
      <c r="P383" s="1">
        <f t="shared" si="62"/>
        <v>52.336971990849527</v>
      </c>
      <c r="Q383" s="1">
        <f t="shared" si="63"/>
        <v>-12.183225604402187</v>
      </c>
      <c r="R383">
        <f>SQRT(Tabelle2[[#This Row],[vx]]*Tabelle2[[#This Row],[vx]]+Tabelle2[[#This Row],[vy]]*Tabelle2[[#This Row],[vy]])</f>
        <v>53.736297074684337</v>
      </c>
      <c r="S383">
        <f t="shared" si="64"/>
        <v>397.76098713045553</v>
      </c>
      <c r="T383" s="1">
        <f t="shared" si="65"/>
        <v>192.4347101871698</v>
      </c>
    </row>
    <row r="384" spans="6:20" x14ac:dyDescent="0.35">
      <c r="F384" s="1">
        <f t="shared" si="61"/>
        <v>7.6199999999999255</v>
      </c>
      <c r="G384">
        <f>1/2*$B$8*$B$6*$B$7*(Tabelle2[[#This Row],[vx]]*Tabelle2[[#This Row],[vx]]+Tabelle2[[#This Row],[vy]]*Tabelle2[[#This Row],[vy]])/1000000</f>
        <v>5.1164357344040354</v>
      </c>
      <c r="H384">
        <f>IF($B$3,-Tabelle2[[#This Row],[Fd]]*Tabelle2[[#This Row],[vx]]/Tabelle2[[#This Row],[v]],0)</f>
        <v>0</v>
      </c>
      <c r="I384">
        <f t="shared" si="55"/>
        <v>0</v>
      </c>
      <c r="J384">
        <f t="shared" si="56"/>
        <v>0</v>
      </c>
      <c r="K384">
        <f t="shared" si="57"/>
        <v>1.0467394398169905</v>
      </c>
      <c r="L384">
        <f>-$B$5*$B$12-IF($B$3,Tabelle2[[#This Row],[Fd]]*Tabelle2[[#This Row],[vy]]/Tabelle2[[#This Row],[v]],0)</f>
        <v>-14.715</v>
      </c>
      <c r="M384">
        <f t="shared" si="58"/>
        <v>-9.81</v>
      </c>
      <c r="N384">
        <f t="shared" si="59"/>
        <v>-0.19620000000000001</v>
      </c>
      <c r="O384">
        <f t="shared" si="60"/>
        <v>-0.24955051208804374</v>
      </c>
      <c r="P384" s="1">
        <f t="shared" si="62"/>
        <v>52.336971990849527</v>
      </c>
      <c r="Q384" s="1">
        <f t="shared" si="63"/>
        <v>-12.379425604402186</v>
      </c>
      <c r="R384">
        <f>SQRT(Tabelle2[[#This Row],[vx]]*Tabelle2[[#This Row],[vx]]+Tabelle2[[#This Row],[vy]]*Tabelle2[[#This Row],[vy]])</f>
        <v>53.781119507368906</v>
      </c>
      <c r="S384">
        <f t="shared" si="64"/>
        <v>398.80772657027251</v>
      </c>
      <c r="T384" s="1">
        <f t="shared" si="65"/>
        <v>192.18908367508175</v>
      </c>
    </row>
    <row r="385" spans="6:20" x14ac:dyDescent="0.35">
      <c r="F385" s="1">
        <f t="shared" si="61"/>
        <v>7.6399999999999251</v>
      </c>
      <c r="G385">
        <f>1/2*$B$8*$B$6*$B$7*(Tabelle2[[#This Row],[vx]]*Tabelle2[[#This Row],[vx]]+Tabelle2[[#This Row],[vy]]*Tabelle2[[#This Row],[vy]])/1000000</f>
        <v>5.1250966800967372</v>
      </c>
      <c r="H385">
        <f>IF($B$3,-Tabelle2[[#This Row],[Fd]]*Tabelle2[[#This Row],[vx]]/Tabelle2[[#This Row],[v]],0)</f>
        <v>0</v>
      </c>
      <c r="I385">
        <f t="shared" si="55"/>
        <v>0</v>
      </c>
      <c r="J385">
        <f t="shared" si="56"/>
        <v>0</v>
      </c>
      <c r="K385">
        <f t="shared" si="57"/>
        <v>1.0467394398169905</v>
      </c>
      <c r="L385">
        <f>-$B$5*$B$12-IF($B$3,Tabelle2[[#This Row],[Fd]]*Tabelle2[[#This Row],[vy]]/Tabelle2[[#This Row],[v]],0)</f>
        <v>-14.715</v>
      </c>
      <c r="M385">
        <f t="shared" si="58"/>
        <v>-9.81</v>
      </c>
      <c r="N385">
        <f t="shared" si="59"/>
        <v>-0.19620000000000001</v>
      </c>
      <c r="O385">
        <f t="shared" si="60"/>
        <v>-0.25347451208804372</v>
      </c>
      <c r="P385" s="1">
        <f t="shared" si="62"/>
        <v>52.336971990849527</v>
      </c>
      <c r="Q385" s="1">
        <f t="shared" si="63"/>
        <v>-12.575625604402186</v>
      </c>
      <c r="R385">
        <f>SQRT(Tabelle2[[#This Row],[vx]]*Tabelle2[[#This Row],[vx]]+Tabelle2[[#This Row],[vy]]*Tabelle2[[#This Row],[vy]])</f>
        <v>53.826619776027769</v>
      </c>
      <c r="S385">
        <f t="shared" si="64"/>
        <v>399.85446601008948</v>
      </c>
      <c r="T385" s="1">
        <f t="shared" si="65"/>
        <v>191.93953316299371</v>
      </c>
    </row>
    <row r="386" spans="6:20" x14ac:dyDescent="0.35">
      <c r="F386" s="1">
        <f t="shared" si="61"/>
        <v>7.6599999999999246</v>
      </c>
      <c r="G386">
        <f>1/2*$B$8*$B$6*$B$7*(Tabelle2[[#This Row],[vx]]*Tabelle2[[#This Row],[vx]]+Tabelle2[[#This Row],[vy]]*Tabelle2[[#This Row],[vy]])/1000000</f>
        <v>5.1338938128507818</v>
      </c>
      <c r="H386">
        <f>IF($B$3,-Tabelle2[[#This Row],[Fd]]*Tabelle2[[#This Row],[vx]]/Tabelle2[[#This Row],[v]],0)</f>
        <v>0</v>
      </c>
      <c r="I386">
        <f t="shared" si="55"/>
        <v>0</v>
      </c>
      <c r="J386">
        <f t="shared" si="56"/>
        <v>0</v>
      </c>
      <c r="K386">
        <f t="shared" si="57"/>
        <v>1.0467394398169905</v>
      </c>
      <c r="L386">
        <f>-$B$5*$B$12-IF($B$3,Tabelle2[[#This Row],[Fd]]*Tabelle2[[#This Row],[vy]]/Tabelle2[[#This Row],[v]],0)</f>
        <v>-14.715</v>
      </c>
      <c r="M386">
        <f t="shared" si="58"/>
        <v>-9.81</v>
      </c>
      <c r="N386">
        <f t="shared" si="59"/>
        <v>-0.19620000000000001</v>
      </c>
      <c r="O386">
        <f t="shared" si="60"/>
        <v>-0.25739851208804371</v>
      </c>
      <c r="P386" s="1">
        <f t="shared" si="62"/>
        <v>52.336971990849527</v>
      </c>
      <c r="Q386" s="1">
        <f t="shared" si="63"/>
        <v>-12.771825604402185</v>
      </c>
      <c r="R386">
        <f>SQRT(Tabelle2[[#This Row],[vx]]*Tabelle2[[#This Row],[vx]]+Tabelle2[[#This Row],[vy]]*Tabelle2[[#This Row],[vy]])</f>
        <v>53.872796163186393</v>
      </c>
      <c r="S386">
        <f t="shared" si="64"/>
        <v>400.90120544990646</v>
      </c>
      <c r="T386" s="1">
        <f t="shared" si="65"/>
        <v>191.68605865090566</v>
      </c>
    </row>
    <row r="387" spans="6:20" x14ac:dyDescent="0.35">
      <c r="F387" s="1">
        <f t="shared" si="61"/>
        <v>7.6799999999999242</v>
      </c>
      <c r="G387">
        <f>1/2*$B$8*$B$6*$B$7*(Tabelle2[[#This Row],[vx]]*Tabelle2[[#This Row],[vx]]+Tabelle2[[#This Row],[vy]]*Tabelle2[[#This Row],[vy]])/1000000</f>
        <v>5.142827132666171</v>
      </c>
      <c r="H387">
        <f>IF($B$3,-Tabelle2[[#This Row],[Fd]]*Tabelle2[[#This Row],[vx]]/Tabelle2[[#This Row],[v]],0)</f>
        <v>0</v>
      </c>
      <c r="I387">
        <f t="shared" ref="I387:I450" si="66">H387/$B$5</f>
        <v>0</v>
      </c>
      <c r="J387">
        <f t="shared" ref="J387:J450" si="67">I387*$B$13</f>
        <v>0</v>
      </c>
      <c r="K387">
        <f t="shared" ref="K387:K450" si="68">$B$13*(P387+J387/2)</f>
        <v>1.0467394398169905</v>
      </c>
      <c r="L387">
        <f>-$B$5*$B$12-IF($B$3,Tabelle2[[#This Row],[Fd]]*Tabelle2[[#This Row],[vy]]/Tabelle2[[#This Row],[v]],0)</f>
        <v>-14.715</v>
      </c>
      <c r="M387">
        <f t="shared" ref="M387:M450" si="69">L387/$B$5</f>
        <v>-9.81</v>
      </c>
      <c r="N387">
        <f t="shared" ref="N387:N450" si="70">M387*$B$13</f>
        <v>-0.19620000000000001</v>
      </c>
      <c r="O387">
        <f t="shared" ref="O387:O450" si="71">$B$13*(Q387+N387/2)</f>
        <v>-0.26132251208804369</v>
      </c>
      <c r="P387" s="1">
        <f t="shared" si="62"/>
        <v>52.336971990849527</v>
      </c>
      <c r="Q387" s="1">
        <f t="shared" si="63"/>
        <v>-12.968025604402184</v>
      </c>
      <c r="R387">
        <f>SQRT(Tabelle2[[#This Row],[vx]]*Tabelle2[[#This Row],[vx]]+Tabelle2[[#This Row],[vy]]*Tabelle2[[#This Row],[vy]])</f>
        <v>53.919646931776164</v>
      </c>
      <c r="S387">
        <f t="shared" si="64"/>
        <v>401.94794488972343</v>
      </c>
      <c r="T387" s="1">
        <f t="shared" si="65"/>
        <v>191.42866013881763</v>
      </c>
    </row>
    <row r="388" spans="6:20" x14ac:dyDescent="0.35">
      <c r="F388" s="1">
        <f t="shared" ref="F388:F451" si="72">F387+$B$13</f>
        <v>7.6999999999999238</v>
      </c>
      <c r="G388">
        <f>1/2*$B$8*$B$6*$B$7*(Tabelle2[[#This Row],[vx]]*Tabelle2[[#This Row],[vx]]+Tabelle2[[#This Row],[vy]]*Tabelle2[[#This Row],[vy]])/1000000</f>
        <v>5.1518966395429029</v>
      </c>
      <c r="H388">
        <f>IF($B$3,-Tabelle2[[#This Row],[Fd]]*Tabelle2[[#This Row],[vx]]/Tabelle2[[#This Row],[v]],0)</f>
        <v>0</v>
      </c>
      <c r="I388">
        <f t="shared" si="66"/>
        <v>0</v>
      </c>
      <c r="J388">
        <f t="shared" si="67"/>
        <v>0</v>
      </c>
      <c r="K388">
        <f t="shared" si="68"/>
        <v>1.0467394398169905</v>
      </c>
      <c r="L388">
        <f>-$B$5*$B$12-IF($B$3,Tabelle2[[#This Row],[Fd]]*Tabelle2[[#This Row],[vy]]/Tabelle2[[#This Row],[v]],0)</f>
        <v>-14.715</v>
      </c>
      <c r="M388">
        <f t="shared" si="69"/>
        <v>-9.81</v>
      </c>
      <c r="N388">
        <f t="shared" si="70"/>
        <v>-0.19620000000000001</v>
      </c>
      <c r="O388">
        <f t="shared" si="71"/>
        <v>-0.26524651208804367</v>
      </c>
      <c r="P388" s="1">
        <f t="shared" ref="P388:P451" si="73">P387+J387</f>
        <v>52.336971990849527</v>
      </c>
      <c r="Q388" s="1">
        <f t="shared" ref="Q388:Q451" si="74">Q387+N387</f>
        <v>-13.164225604402183</v>
      </c>
      <c r="R388">
        <f>SQRT(Tabelle2[[#This Row],[vx]]*Tabelle2[[#This Row],[vx]]+Tabelle2[[#This Row],[vy]]*Tabelle2[[#This Row],[vy]])</f>
        <v>53.967170325435497</v>
      </c>
      <c r="S388">
        <f t="shared" ref="S388:S451" si="75">S387+K387</f>
        <v>402.99468432954041</v>
      </c>
      <c r="T388" s="1">
        <f t="shared" ref="T388:T451" si="76">T387+O387</f>
        <v>191.16733762672959</v>
      </c>
    </row>
    <row r="389" spans="6:20" x14ac:dyDescent="0.35">
      <c r="F389" s="1">
        <f t="shared" si="72"/>
        <v>7.7199999999999234</v>
      </c>
      <c r="G389">
        <f>1/2*$B$8*$B$6*$B$7*(Tabelle2[[#This Row],[vx]]*Tabelle2[[#This Row],[vx]]+Tabelle2[[#This Row],[vy]]*Tabelle2[[#This Row],[vy]])/1000000</f>
        <v>5.1611023334809794</v>
      </c>
      <c r="H389">
        <f>IF($B$3,-Tabelle2[[#This Row],[Fd]]*Tabelle2[[#This Row],[vx]]/Tabelle2[[#This Row],[v]],0)</f>
        <v>0</v>
      </c>
      <c r="I389">
        <f t="shared" si="66"/>
        <v>0</v>
      </c>
      <c r="J389">
        <f t="shared" si="67"/>
        <v>0</v>
      </c>
      <c r="K389">
        <f t="shared" si="68"/>
        <v>1.0467394398169905</v>
      </c>
      <c r="L389">
        <f>-$B$5*$B$12-IF($B$3,Tabelle2[[#This Row],[Fd]]*Tabelle2[[#This Row],[vy]]/Tabelle2[[#This Row],[v]],0)</f>
        <v>-14.715</v>
      </c>
      <c r="M389">
        <f t="shared" si="69"/>
        <v>-9.81</v>
      </c>
      <c r="N389">
        <f t="shared" si="70"/>
        <v>-0.19620000000000001</v>
      </c>
      <c r="O389">
        <f t="shared" si="71"/>
        <v>-0.26917051208804366</v>
      </c>
      <c r="P389" s="1">
        <f t="shared" si="73"/>
        <v>52.336971990849527</v>
      </c>
      <c r="Q389" s="1">
        <f t="shared" si="74"/>
        <v>-13.360425604402183</v>
      </c>
      <c r="R389">
        <f>SQRT(Tabelle2[[#This Row],[vx]]*Tabelle2[[#This Row],[vx]]+Tabelle2[[#This Row],[vy]]*Tabelle2[[#This Row],[vy]])</f>
        <v>54.015364568812579</v>
      </c>
      <c r="S389">
        <f t="shared" si="75"/>
        <v>404.04142376935738</v>
      </c>
      <c r="T389" s="1">
        <f t="shared" si="76"/>
        <v>190.90209111464154</v>
      </c>
    </row>
    <row r="390" spans="6:20" x14ac:dyDescent="0.35">
      <c r="F390" s="1">
        <f t="shared" si="72"/>
        <v>7.7399999999999229</v>
      </c>
      <c r="G390">
        <f>1/2*$B$8*$B$6*$B$7*(Tabelle2[[#This Row],[vx]]*Tabelle2[[#This Row],[vx]]+Tabelle2[[#This Row],[vy]]*Tabelle2[[#This Row],[vy]])/1000000</f>
        <v>5.1704442144804004</v>
      </c>
      <c r="H390">
        <f>IF($B$3,-Tabelle2[[#This Row],[Fd]]*Tabelle2[[#This Row],[vx]]/Tabelle2[[#This Row],[v]],0)</f>
        <v>0</v>
      </c>
      <c r="I390">
        <f t="shared" si="66"/>
        <v>0</v>
      </c>
      <c r="J390">
        <f t="shared" si="67"/>
        <v>0</v>
      </c>
      <c r="K390">
        <f t="shared" si="68"/>
        <v>1.0467394398169905</v>
      </c>
      <c r="L390">
        <f>-$B$5*$B$12-IF($B$3,Tabelle2[[#This Row],[Fd]]*Tabelle2[[#This Row],[vy]]/Tabelle2[[#This Row],[v]],0)</f>
        <v>-14.715</v>
      </c>
      <c r="M390">
        <f t="shared" si="69"/>
        <v>-9.81</v>
      </c>
      <c r="N390">
        <f t="shared" si="70"/>
        <v>-0.19620000000000001</v>
      </c>
      <c r="O390">
        <f t="shared" si="71"/>
        <v>-0.27309451208804364</v>
      </c>
      <c r="P390" s="1">
        <f t="shared" si="73"/>
        <v>52.336971990849527</v>
      </c>
      <c r="Q390" s="1">
        <f t="shared" si="74"/>
        <v>-13.556625604402182</v>
      </c>
      <c r="R390">
        <f>SQRT(Tabelle2[[#This Row],[vx]]*Tabelle2[[#This Row],[vx]]+Tabelle2[[#This Row],[vy]]*Tabelle2[[#This Row],[vy]])</f>
        <v>54.064227867869349</v>
      </c>
      <c r="S390">
        <f t="shared" si="75"/>
        <v>405.08816320917435</v>
      </c>
      <c r="T390" s="1">
        <f t="shared" si="76"/>
        <v>190.6329206025535</v>
      </c>
    </row>
    <row r="391" spans="6:20" x14ac:dyDescent="0.35">
      <c r="F391" s="1">
        <f t="shared" si="72"/>
        <v>7.7599999999999225</v>
      </c>
      <c r="G391">
        <f>1/2*$B$8*$B$6*$B$7*(Tabelle2[[#This Row],[vx]]*Tabelle2[[#This Row],[vx]]+Tabelle2[[#This Row],[vy]]*Tabelle2[[#This Row],[vy]])/1000000</f>
        <v>5.179922282541165</v>
      </c>
      <c r="H391">
        <f>IF($B$3,-Tabelle2[[#This Row],[Fd]]*Tabelle2[[#This Row],[vx]]/Tabelle2[[#This Row],[v]],0)</f>
        <v>0</v>
      </c>
      <c r="I391">
        <f t="shared" si="66"/>
        <v>0</v>
      </c>
      <c r="J391">
        <f t="shared" si="67"/>
        <v>0</v>
      </c>
      <c r="K391">
        <f t="shared" si="68"/>
        <v>1.0467394398169905</v>
      </c>
      <c r="L391">
        <f>-$B$5*$B$12-IF($B$3,Tabelle2[[#This Row],[Fd]]*Tabelle2[[#This Row],[vy]]/Tabelle2[[#This Row],[v]],0)</f>
        <v>-14.715</v>
      </c>
      <c r="M391">
        <f t="shared" si="69"/>
        <v>-9.81</v>
      </c>
      <c r="N391">
        <f t="shared" si="70"/>
        <v>-0.19620000000000001</v>
      </c>
      <c r="O391">
        <f t="shared" si="71"/>
        <v>-0.27701851208804362</v>
      </c>
      <c r="P391" s="1">
        <f t="shared" si="73"/>
        <v>52.336971990849527</v>
      </c>
      <c r="Q391" s="1">
        <f t="shared" si="74"/>
        <v>-13.752825604402181</v>
      </c>
      <c r="R391">
        <f>SQRT(Tabelle2[[#This Row],[vx]]*Tabelle2[[#This Row],[vx]]+Tabelle2[[#This Row],[vy]]*Tabelle2[[#This Row],[vy]])</f>
        <v>54.113758410186847</v>
      </c>
      <c r="S391">
        <f t="shared" si="75"/>
        <v>406.13490264899133</v>
      </c>
      <c r="T391" s="1">
        <f t="shared" si="76"/>
        <v>190.35982609046545</v>
      </c>
    </row>
    <row r="392" spans="6:20" x14ac:dyDescent="0.35">
      <c r="F392" s="1">
        <f t="shared" si="72"/>
        <v>7.7799999999999221</v>
      </c>
      <c r="G392">
        <f>1/2*$B$8*$B$6*$B$7*(Tabelle2[[#This Row],[vx]]*Tabelle2[[#This Row],[vx]]+Tabelle2[[#This Row],[vy]]*Tabelle2[[#This Row],[vy]])/1000000</f>
        <v>5.1895365376632734</v>
      </c>
      <c r="H392">
        <f>IF($B$3,-Tabelle2[[#This Row],[Fd]]*Tabelle2[[#This Row],[vx]]/Tabelle2[[#This Row],[v]],0)</f>
        <v>0</v>
      </c>
      <c r="I392">
        <f t="shared" si="66"/>
        <v>0</v>
      </c>
      <c r="J392">
        <f t="shared" si="67"/>
        <v>0</v>
      </c>
      <c r="K392">
        <f t="shared" si="68"/>
        <v>1.0467394398169905</v>
      </c>
      <c r="L392">
        <f>-$B$5*$B$12-IF($B$3,Tabelle2[[#This Row],[Fd]]*Tabelle2[[#This Row],[vy]]/Tabelle2[[#This Row],[v]],0)</f>
        <v>-14.715</v>
      </c>
      <c r="M392">
        <f t="shared" si="69"/>
        <v>-9.81</v>
      </c>
      <c r="N392">
        <f t="shared" si="70"/>
        <v>-0.19620000000000001</v>
      </c>
      <c r="O392">
        <f t="shared" si="71"/>
        <v>-0.28094251208804361</v>
      </c>
      <c r="P392" s="1">
        <f t="shared" si="73"/>
        <v>52.336971990849527</v>
      </c>
      <c r="Q392" s="1">
        <f t="shared" si="74"/>
        <v>-13.949025604402181</v>
      </c>
      <c r="R392">
        <f>SQRT(Tabelle2[[#This Row],[vx]]*Tabelle2[[#This Row],[vx]]+Tabelle2[[#This Row],[vy]]*Tabelle2[[#This Row],[vy]])</f>
        <v>54.163954365271699</v>
      </c>
      <c r="S392">
        <f t="shared" si="75"/>
        <v>407.1816420888083</v>
      </c>
      <c r="T392" s="1">
        <f t="shared" si="76"/>
        <v>190.08280757837741</v>
      </c>
    </row>
    <row r="393" spans="6:20" x14ac:dyDescent="0.35">
      <c r="F393" s="1">
        <f t="shared" si="72"/>
        <v>7.7999999999999217</v>
      </c>
      <c r="G393">
        <f>1/2*$B$8*$B$6*$B$7*(Tabelle2[[#This Row],[vx]]*Tabelle2[[#This Row],[vx]]+Tabelle2[[#This Row],[vy]]*Tabelle2[[#This Row],[vy]])/1000000</f>
        <v>5.1992869798467263</v>
      </c>
      <c r="H393">
        <f>IF($B$3,-Tabelle2[[#This Row],[Fd]]*Tabelle2[[#This Row],[vx]]/Tabelle2[[#This Row],[v]],0)</f>
        <v>0</v>
      </c>
      <c r="I393">
        <f t="shared" si="66"/>
        <v>0</v>
      </c>
      <c r="J393">
        <f t="shared" si="67"/>
        <v>0</v>
      </c>
      <c r="K393">
        <f t="shared" si="68"/>
        <v>1.0467394398169905</v>
      </c>
      <c r="L393">
        <f>-$B$5*$B$12-IF($B$3,Tabelle2[[#This Row],[Fd]]*Tabelle2[[#This Row],[vy]]/Tabelle2[[#This Row],[v]],0)</f>
        <v>-14.715</v>
      </c>
      <c r="M393">
        <f t="shared" si="69"/>
        <v>-9.81</v>
      </c>
      <c r="N393">
        <f t="shared" si="70"/>
        <v>-0.19620000000000001</v>
      </c>
      <c r="O393">
        <f t="shared" si="71"/>
        <v>-0.28486651208804359</v>
      </c>
      <c r="P393" s="1">
        <f t="shared" si="73"/>
        <v>52.336971990849527</v>
      </c>
      <c r="Q393" s="1">
        <f t="shared" si="74"/>
        <v>-14.14522560440218</v>
      </c>
      <c r="R393">
        <f>SQRT(Tabelle2[[#This Row],[vx]]*Tabelle2[[#This Row],[vx]]+Tabelle2[[#This Row],[vy]]*Tabelle2[[#This Row],[vy]])</f>
        <v>54.214813884863638</v>
      </c>
      <c r="S393">
        <f t="shared" si="75"/>
        <v>408.22838152862528</v>
      </c>
      <c r="T393" s="1">
        <f t="shared" si="76"/>
        <v>189.80186506628937</v>
      </c>
    </row>
    <row r="394" spans="6:20" x14ac:dyDescent="0.35">
      <c r="F394" s="1">
        <f t="shared" si="72"/>
        <v>7.8199999999999212</v>
      </c>
      <c r="G394">
        <f>1/2*$B$8*$B$6*$B$7*(Tabelle2[[#This Row],[vx]]*Tabelle2[[#This Row],[vx]]+Tabelle2[[#This Row],[vy]]*Tabelle2[[#This Row],[vy]])/1000000</f>
        <v>5.2091736090915228</v>
      </c>
      <c r="H394">
        <f>IF($B$3,-Tabelle2[[#This Row],[Fd]]*Tabelle2[[#This Row],[vx]]/Tabelle2[[#This Row],[v]],0)</f>
        <v>0</v>
      </c>
      <c r="I394">
        <f t="shared" si="66"/>
        <v>0</v>
      </c>
      <c r="J394">
        <f t="shared" si="67"/>
        <v>0</v>
      </c>
      <c r="K394">
        <f t="shared" si="68"/>
        <v>1.0467394398169905</v>
      </c>
      <c r="L394">
        <f>-$B$5*$B$12-IF($B$3,Tabelle2[[#This Row],[Fd]]*Tabelle2[[#This Row],[vy]]/Tabelle2[[#This Row],[v]],0)</f>
        <v>-14.715</v>
      </c>
      <c r="M394">
        <f t="shared" si="69"/>
        <v>-9.81</v>
      </c>
      <c r="N394">
        <f t="shared" si="70"/>
        <v>-0.19620000000000001</v>
      </c>
      <c r="O394">
        <f t="shared" si="71"/>
        <v>-0.28879051208804357</v>
      </c>
      <c r="P394" s="1">
        <f t="shared" si="73"/>
        <v>52.336971990849527</v>
      </c>
      <c r="Q394" s="1">
        <f t="shared" si="74"/>
        <v>-14.341425604402179</v>
      </c>
      <c r="R394">
        <f>SQRT(Tabelle2[[#This Row],[vx]]*Tabelle2[[#This Row],[vx]]+Tabelle2[[#This Row],[vy]]*Tabelle2[[#This Row],[vy]])</f>
        <v>54.266335103243982</v>
      </c>
      <c r="S394">
        <f t="shared" si="75"/>
        <v>409.27512096844225</v>
      </c>
      <c r="T394" s="1">
        <f t="shared" si="76"/>
        <v>189.51699855420134</v>
      </c>
    </row>
    <row r="395" spans="6:20" x14ac:dyDescent="0.35">
      <c r="F395" s="1">
        <f t="shared" si="72"/>
        <v>7.8399999999999208</v>
      </c>
      <c r="G395">
        <f>1/2*$B$8*$B$6*$B$7*(Tabelle2[[#This Row],[vx]]*Tabelle2[[#This Row],[vx]]+Tabelle2[[#This Row],[vy]]*Tabelle2[[#This Row],[vy]])/1000000</f>
        <v>5.219196425397663</v>
      </c>
      <c r="H395">
        <f>IF($B$3,-Tabelle2[[#This Row],[Fd]]*Tabelle2[[#This Row],[vx]]/Tabelle2[[#This Row],[v]],0)</f>
        <v>0</v>
      </c>
      <c r="I395">
        <f t="shared" si="66"/>
        <v>0</v>
      </c>
      <c r="J395">
        <f t="shared" si="67"/>
        <v>0</v>
      </c>
      <c r="K395">
        <f t="shared" si="68"/>
        <v>1.0467394398169905</v>
      </c>
      <c r="L395">
        <f>-$B$5*$B$12-IF($B$3,Tabelle2[[#This Row],[Fd]]*Tabelle2[[#This Row],[vy]]/Tabelle2[[#This Row],[v]],0)</f>
        <v>-14.715</v>
      </c>
      <c r="M395">
        <f t="shared" si="69"/>
        <v>-9.81</v>
      </c>
      <c r="N395">
        <f t="shared" si="70"/>
        <v>-0.19620000000000001</v>
      </c>
      <c r="O395">
        <f t="shared" si="71"/>
        <v>-0.29271451208804361</v>
      </c>
      <c r="P395" s="1">
        <f t="shared" si="73"/>
        <v>52.336971990849527</v>
      </c>
      <c r="Q395" s="1">
        <f t="shared" si="74"/>
        <v>-14.537625604402178</v>
      </c>
      <c r="R395">
        <f>SQRT(Tabelle2[[#This Row],[vx]]*Tabelle2[[#This Row],[vx]]+Tabelle2[[#This Row],[vy]]*Tabelle2[[#This Row],[vy]])</f>
        <v>54.318516137545011</v>
      </c>
      <c r="S395">
        <f t="shared" si="75"/>
        <v>410.32186040825923</v>
      </c>
      <c r="T395" s="1">
        <f t="shared" si="76"/>
        <v>189.22820804211329</v>
      </c>
    </row>
    <row r="396" spans="6:20" x14ac:dyDescent="0.35">
      <c r="F396" s="1">
        <f t="shared" si="72"/>
        <v>7.8599999999999204</v>
      </c>
      <c r="G396">
        <f>1/2*$B$8*$B$6*$B$7*(Tabelle2[[#This Row],[vx]]*Tabelle2[[#This Row],[vx]]+Tabelle2[[#This Row],[vy]]*Tabelle2[[#This Row],[vy]])/1000000</f>
        <v>5.2293554287651478</v>
      </c>
      <c r="H396">
        <f>IF($B$3,-Tabelle2[[#This Row],[Fd]]*Tabelle2[[#This Row],[vx]]/Tabelle2[[#This Row],[v]],0)</f>
        <v>0</v>
      </c>
      <c r="I396">
        <f t="shared" si="66"/>
        <v>0</v>
      </c>
      <c r="J396">
        <f t="shared" si="67"/>
        <v>0</v>
      </c>
      <c r="K396">
        <f t="shared" si="68"/>
        <v>1.0467394398169905</v>
      </c>
      <c r="L396">
        <f>-$B$5*$B$12-IF($B$3,Tabelle2[[#This Row],[Fd]]*Tabelle2[[#This Row],[vy]]/Tabelle2[[#This Row],[v]],0)</f>
        <v>-14.715</v>
      </c>
      <c r="M396">
        <f t="shared" si="69"/>
        <v>-9.81</v>
      </c>
      <c r="N396">
        <f t="shared" si="70"/>
        <v>-0.19620000000000001</v>
      </c>
      <c r="O396">
        <f t="shared" si="71"/>
        <v>-0.29663851208804359</v>
      </c>
      <c r="P396" s="1">
        <f t="shared" si="73"/>
        <v>52.336971990849527</v>
      </c>
      <c r="Q396" s="1">
        <f t="shared" si="74"/>
        <v>-14.733825604402178</v>
      </c>
      <c r="R396">
        <f>SQRT(Tabelle2[[#This Row],[vx]]*Tabelle2[[#This Row],[vx]]+Tabelle2[[#This Row],[vy]]*Tabelle2[[#This Row],[vy]])</f>
        <v>54.371355088059971</v>
      </c>
      <c r="S396">
        <f t="shared" si="75"/>
        <v>411.3685998480762</v>
      </c>
      <c r="T396" s="1">
        <f t="shared" si="76"/>
        <v>188.93549353002524</v>
      </c>
    </row>
    <row r="397" spans="6:20" x14ac:dyDescent="0.35">
      <c r="F397" s="1">
        <f t="shared" si="72"/>
        <v>7.87999999999992</v>
      </c>
      <c r="G397">
        <f>1/2*$B$8*$B$6*$B$7*(Tabelle2[[#This Row],[vx]]*Tabelle2[[#This Row],[vx]]+Tabelle2[[#This Row],[vy]]*Tabelle2[[#This Row],[vy]])/1000000</f>
        <v>5.2396506191939771</v>
      </c>
      <c r="H397">
        <f>IF($B$3,-Tabelle2[[#This Row],[Fd]]*Tabelle2[[#This Row],[vx]]/Tabelle2[[#This Row],[v]],0)</f>
        <v>0</v>
      </c>
      <c r="I397">
        <f t="shared" si="66"/>
        <v>0</v>
      </c>
      <c r="J397">
        <f t="shared" si="67"/>
        <v>0</v>
      </c>
      <c r="K397">
        <f t="shared" si="68"/>
        <v>1.0467394398169905</v>
      </c>
      <c r="L397">
        <f>-$B$5*$B$12-IF($B$3,Tabelle2[[#This Row],[Fd]]*Tabelle2[[#This Row],[vy]]/Tabelle2[[#This Row],[v]],0)</f>
        <v>-14.715</v>
      </c>
      <c r="M397">
        <f t="shared" si="69"/>
        <v>-9.81</v>
      </c>
      <c r="N397">
        <f t="shared" si="70"/>
        <v>-0.19620000000000001</v>
      </c>
      <c r="O397">
        <f t="shared" si="71"/>
        <v>-0.30056251208804358</v>
      </c>
      <c r="P397" s="1">
        <f t="shared" si="73"/>
        <v>52.336971990849527</v>
      </c>
      <c r="Q397" s="1">
        <f t="shared" si="74"/>
        <v>-14.930025604402177</v>
      </c>
      <c r="R397">
        <f>SQRT(Tabelle2[[#This Row],[vx]]*Tabelle2[[#This Row],[vx]]+Tabelle2[[#This Row],[vy]]*Tabelle2[[#This Row],[vy]])</f>
        <v>54.424850038553828</v>
      </c>
      <c r="S397">
        <f t="shared" si="75"/>
        <v>412.41533928789318</v>
      </c>
      <c r="T397" s="1">
        <f t="shared" si="76"/>
        <v>188.6388550179372</v>
      </c>
    </row>
    <row r="398" spans="6:20" x14ac:dyDescent="0.35">
      <c r="F398" s="1">
        <f t="shared" si="72"/>
        <v>7.8999999999999195</v>
      </c>
      <c r="G398">
        <f>1/2*$B$8*$B$6*$B$7*(Tabelle2[[#This Row],[vx]]*Tabelle2[[#This Row],[vx]]+Tabelle2[[#This Row],[vy]]*Tabelle2[[#This Row],[vy]])/1000000</f>
        <v>5.2500819966841501</v>
      </c>
      <c r="H398">
        <f>IF($B$3,-Tabelle2[[#This Row],[Fd]]*Tabelle2[[#This Row],[vx]]/Tabelle2[[#This Row],[v]],0)</f>
        <v>0</v>
      </c>
      <c r="I398">
        <f t="shared" si="66"/>
        <v>0</v>
      </c>
      <c r="J398">
        <f t="shared" si="67"/>
        <v>0</v>
      </c>
      <c r="K398">
        <f t="shared" si="68"/>
        <v>1.0467394398169905</v>
      </c>
      <c r="L398">
        <f>-$B$5*$B$12-IF($B$3,Tabelle2[[#This Row],[Fd]]*Tabelle2[[#This Row],[vy]]/Tabelle2[[#This Row],[v]],0)</f>
        <v>-14.715</v>
      </c>
      <c r="M398">
        <f t="shared" si="69"/>
        <v>-9.81</v>
      </c>
      <c r="N398">
        <f t="shared" si="70"/>
        <v>-0.19620000000000001</v>
      </c>
      <c r="O398">
        <f t="shared" si="71"/>
        <v>-0.30448651208804356</v>
      </c>
      <c r="P398" s="1">
        <f t="shared" si="73"/>
        <v>52.336971990849527</v>
      </c>
      <c r="Q398" s="1">
        <f t="shared" si="74"/>
        <v>-15.126225604402176</v>
      </c>
      <c r="R398">
        <f>SQRT(Tabelle2[[#This Row],[vx]]*Tabelle2[[#This Row],[vx]]+Tabelle2[[#This Row],[vy]]*Tabelle2[[#This Row],[vy]])</f>
        <v>54.478999056574452</v>
      </c>
      <c r="S398">
        <f t="shared" si="75"/>
        <v>413.46207872771015</v>
      </c>
      <c r="T398" s="1">
        <f t="shared" si="76"/>
        <v>188.33829250584915</v>
      </c>
    </row>
    <row r="399" spans="6:20" x14ac:dyDescent="0.35">
      <c r="F399" s="1">
        <f t="shared" si="72"/>
        <v>7.9199999999999191</v>
      </c>
      <c r="G399">
        <f>1/2*$B$8*$B$6*$B$7*(Tabelle2[[#This Row],[vx]]*Tabelle2[[#This Row],[vx]]+Tabelle2[[#This Row],[vy]]*Tabelle2[[#This Row],[vy]])/1000000</f>
        <v>5.260649561235665</v>
      </c>
      <c r="H399">
        <f>IF($B$3,-Tabelle2[[#This Row],[Fd]]*Tabelle2[[#This Row],[vx]]/Tabelle2[[#This Row],[v]],0)</f>
        <v>0</v>
      </c>
      <c r="I399">
        <f t="shared" si="66"/>
        <v>0</v>
      </c>
      <c r="J399">
        <f t="shared" si="67"/>
        <v>0</v>
      </c>
      <c r="K399">
        <f t="shared" si="68"/>
        <v>1.0467394398169905</v>
      </c>
      <c r="L399">
        <f>-$B$5*$B$12-IF($B$3,Tabelle2[[#This Row],[Fd]]*Tabelle2[[#This Row],[vy]]/Tabelle2[[#This Row],[v]],0)</f>
        <v>-14.715</v>
      </c>
      <c r="M399">
        <f t="shared" si="69"/>
        <v>-9.81</v>
      </c>
      <c r="N399">
        <f t="shared" si="70"/>
        <v>-0.19620000000000001</v>
      </c>
      <c r="O399">
        <f t="shared" si="71"/>
        <v>-0.30841051208804354</v>
      </c>
      <c r="P399" s="1">
        <f t="shared" si="73"/>
        <v>52.336971990849527</v>
      </c>
      <c r="Q399" s="1">
        <f t="shared" si="74"/>
        <v>-15.322425604402175</v>
      </c>
      <c r="R399">
        <f>SQRT(Tabelle2[[#This Row],[vx]]*Tabelle2[[#This Row],[vx]]+Tabelle2[[#This Row],[vy]]*Tabelle2[[#This Row],[vy]])</f>
        <v>54.5338001937643</v>
      </c>
      <c r="S399">
        <f t="shared" si="75"/>
        <v>414.50881816752712</v>
      </c>
      <c r="T399" s="1">
        <f t="shared" si="76"/>
        <v>188.03380599376112</v>
      </c>
    </row>
    <row r="400" spans="6:20" x14ac:dyDescent="0.35">
      <c r="F400" s="1">
        <f t="shared" si="72"/>
        <v>7.9399999999999187</v>
      </c>
      <c r="G400">
        <f>1/2*$B$8*$B$6*$B$7*(Tabelle2[[#This Row],[vx]]*Tabelle2[[#This Row],[vx]]+Tabelle2[[#This Row],[vy]]*Tabelle2[[#This Row],[vy]])/1000000</f>
        <v>5.2713533128485262</v>
      </c>
      <c r="H400">
        <f>IF($B$3,-Tabelle2[[#This Row],[Fd]]*Tabelle2[[#This Row],[vx]]/Tabelle2[[#This Row],[v]],0)</f>
        <v>0</v>
      </c>
      <c r="I400">
        <f t="shared" si="66"/>
        <v>0</v>
      </c>
      <c r="J400">
        <f t="shared" si="67"/>
        <v>0</v>
      </c>
      <c r="K400">
        <f t="shared" si="68"/>
        <v>1.0467394398169905</v>
      </c>
      <c r="L400">
        <f>-$B$5*$B$12-IF($B$3,Tabelle2[[#This Row],[Fd]]*Tabelle2[[#This Row],[vy]]/Tabelle2[[#This Row],[v]],0)</f>
        <v>-14.715</v>
      </c>
      <c r="M400">
        <f t="shared" si="69"/>
        <v>-9.81</v>
      </c>
      <c r="N400">
        <f t="shared" si="70"/>
        <v>-0.19620000000000001</v>
      </c>
      <c r="O400">
        <f t="shared" si="71"/>
        <v>-0.31233451208804353</v>
      </c>
      <c r="P400" s="1">
        <f t="shared" si="73"/>
        <v>52.336971990849527</v>
      </c>
      <c r="Q400" s="1">
        <f t="shared" si="74"/>
        <v>-15.518625604402175</v>
      </c>
      <c r="R400">
        <f>SQRT(Tabelle2[[#This Row],[vx]]*Tabelle2[[#This Row],[vx]]+Tabelle2[[#This Row],[vy]]*Tabelle2[[#This Row],[vy]])</f>
        <v>54.589251486172387</v>
      </c>
      <c r="S400">
        <f t="shared" si="75"/>
        <v>415.5555576073441</v>
      </c>
      <c r="T400" s="1">
        <f t="shared" si="76"/>
        <v>187.72539548167308</v>
      </c>
    </row>
    <row r="401" spans="6:20" x14ac:dyDescent="0.35">
      <c r="F401" s="1">
        <f t="shared" si="72"/>
        <v>7.9599999999999183</v>
      </c>
      <c r="G401">
        <f>1/2*$B$8*$B$6*$B$7*(Tabelle2[[#This Row],[vx]]*Tabelle2[[#This Row],[vx]]+Tabelle2[[#This Row],[vy]]*Tabelle2[[#This Row],[vy]])/1000000</f>
        <v>5.282193251522731</v>
      </c>
      <c r="H401">
        <f>IF($B$3,-Tabelle2[[#This Row],[Fd]]*Tabelle2[[#This Row],[vx]]/Tabelle2[[#This Row],[v]],0)</f>
        <v>0</v>
      </c>
      <c r="I401">
        <f t="shared" si="66"/>
        <v>0</v>
      </c>
      <c r="J401">
        <f t="shared" si="67"/>
        <v>0</v>
      </c>
      <c r="K401">
        <f t="shared" si="68"/>
        <v>1.0467394398169905</v>
      </c>
      <c r="L401">
        <f>-$B$5*$B$12-IF($B$3,Tabelle2[[#This Row],[Fd]]*Tabelle2[[#This Row],[vy]]/Tabelle2[[#This Row],[v]],0)</f>
        <v>-14.715</v>
      </c>
      <c r="M401">
        <f t="shared" si="69"/>
        <v>-9.81</v>
      </c>
      <c r="N401">
        <f t="shared" si="70"/>
        <v>-0.19620000000000001</v>
      </c>
      <c r="O401">
        <f t="shared" si="71"/>
        <v>-0.31625851208804351</v>
      </c>
      <c r="P401" s="1">
        <f t="shared" si="73"/>
        <v>52.336971990849527</v>
      </c>
      <c r="Q401" s="1">
        <f t="shared" si="74"/>
        <v>-15.714825604402174</v>
      </c>
      <c r="R401">
        <f>SQRT(Tabelle2[[#This Row],[vx]]*Tabelle2[[#This Row],[vx]]+Tabelle2[[#This Row],[vy]]*Tabelle2[[#This Row],[vy]])</f>
        <v>54.645350954566496</v>
      </c>
      <c r="S401">
        <f t="shared" si="75"/>
        <v>416.60229704716107</v>
      </c>
      <c r="T401" s="1">
        <f t="shared" si="76"/>
        <v>187.41306096958502</v>
      </c>
    </row>
    <row r="402" spans="6:20" x14ac:dyDescent="0.35">
      <c r="F402" s="1">
        <f t="shared" si="72"/>
        <v>7.9799999999999178</v>
      </c>
      <c r="G402">
        <f>1/2*$B$8*$B$6*$B$7*(Tabelle2[[#This Row],[vx]]*Tabelle2[[#This Row],[vx]]+Tabelle2[[#This Row],[vy]]*Tabelle2[[#This Row],[vy]])/1000000</f>
        <v>5.2931693772582795</v>
      </c>
      <c r="H402">
        <f>IF($B$3,-Tabelle2[[#This Row],[Fd]]*Tabelle2[[#This Row],[vx]]/Tabelle2[[#This Row],[v]],0)</f>
        <v>0</v>
      </c>
      <c r="I402">
        <f t="shared" si="66"/>
        <v>0</v>
      </c>
      <c r="J402">
        <f t="shared" si="67"/>
        <v>0</v>
      </c>
      <c r="K402">
        <f t="shared" si="68"/>
        <v>1.0467394398169905</v>
      </c>
      <c r="L402">
        <f>-$B$5*$B$12-IF($B$3,Tabelle2[[#This Row],[Fd]]*Tabelle2[[#This Row],[vy]]/Tabelle2[[#This Row],[v]],0)</f>
        <v>-14.715</v>
      </c>
      <c r="M402">
        <f t="shared" si="69"/>
        <v>-9.81</v>
      </c>
      <c r="N402">
        <f t="shared" si="70"/>
        <v>-0.19620000000000001</v>
      </c>
      <c r="O402">
        <f t="shared" si="71"/>
        <v>-0.32018251208804344</v>
      </c>
      <c r="P402" s="1">
        <f t="shared" si="73"/>
        <v>52.336971990849527</v>
      </c>
      <c r="Q402" s="1">
        <f t="shared" si="74"/>
        <v>-15.911025604402173</v>
      </c>
      <c r="R402">
        <f>SQRT(Tabelle2[[#This Row],[vx]]*Tabelle2[[#This Row],[vx]]+Tabelle2[[#This Row],[vy]]*Tabelle2[[#This Row],[vy]])</f>
        <v>54.702096604745499</v>
      </c>
      <c r="S402">
        <f t="shared" si="75"/>
        <v>417.64903648697805</v>
      </c>
      <c r="T402" s="1">
        <f t="shared" si="76"/>
        <v>187.09680245749698</v>
      </c>
    </row>
    <row r="403" spans="6:20" x14ac:dyDescent="0.35">
      <c r="F403" s="1">
        <f t="shared" si="72"/>
        <v>7.9999999999999174</v>
      </c>
      <c r="G403">
        <f>1/2*$B$8*$B$6*$B$7*(Tabelle2[[#This Row],[vx]]*Tabelle2[[#This Row],[vx]]+Tabelle2[[#This Row],[vy]]*Tabelle2[[#This Row],[vy]])/1000000</f>
        <v>5.3042816900551717</v>
      </c>
      <c r="H403">
        <f>IF($B$3,-Tabelle2[[#This Row],[Fd]]*Tabelle2[[#This Row],[vx]]/Tabelle2[[#This Row],[v]],0)</f>
        <v>0</v>
      </c>
      <c r="I403">
        <f t="shared" si="66"/>
        <v>0</v>
      </c>
      <c r="J403">
        <f t="shared" si="67"/>
        <v>0</v>
      </c>
      <c r="K403">
        <f t="shared" si="68"/>
        <v>1.0467394398169905</v>
      </c>
      <c r="L403">
        <f>-$B$5*$B$12-IF($B$3,Tabelle2[[#This Row],[Fd]]*Tabelle2[[#This Row],[vy]]/Tabelle2[[#This Row],[v]],0)</f>
        <v>-14.715</v>
      </c>
      <c r="M403">
        <f t="shared" si="69"/>
        <v>-9.81</v>
      </c>
      <c r="N403">
        <f t="shared" si="70"/>
        <v>-0.19620000000000001</v>
      </c>
      <c r="O403">
        <f t="shared" si="71"/>
        <v>-0.32410651208804347</v>
      </c>
      <c r="P403" s="1">
        <f t="shared" si="73"/>
        <v>52.336971990849527</v>
      </c>
      <c r="Q403" s="1">
        <f t="shared" si="74"/>
        <v>-16.107225604402174</v>
      </c>
      <c r="R403">
        <f>SQRT(Tabelle2[[#This Row],[vx]]*Tabelle2[[#This Row],[vx]]+Tabelle2[[#This Row],[vy]]*Tabelle2[[#This Row],[vy]])</f>
        <v>54.759486427851719</v>
      </c>
      <c r="S403">
        <f t="shared" si="75"/>
        <v>418.69577592679502</v>
      </c>
      <c r="T403" s="1">
        <f t="shared" si="76"/>
        <v>186.77661994540892</v>
      </c>
    </row>
    <row r="404" spans="6:20" x14ac:dyDescent="0.35">
      <c r="F404" s="1">
        <f t="shared" si="72"/>
        <v>8.0199999999999179</v>
      </c>
      <c r="G404">
        <f>1/2*$B$8*$B$6*$B$7*(Tabelle2[[#This Row],[vx]]*Tabelle2[[#This Row],[vx]]+Tabelle2[[#This Row],[vy]]*Tabelle2[[#This Row],[vy]])/1000000</f>
        <v>5.3155301899134084</v>
      </c>
      <c r="H404">
        <f>IF($B$3,-Tabelle2[[#This Row],[Fd]]*Tabelle2[[#This Row],[vx]]/Tabelle2[[#This Row],[v]],0)</f>
        <v>0</v>
      </c>
      <c r="I404">
        <f t="shared" si="66"/>
        <v>0</v>
      </c>
      <c r="J404">
        <f t="shared" si="67"/>
        <v>0</v>
      </c>
      <c r="K404">
        <f t="shared" si="68"/>
        <v>1.0467394398169905</v>
      </c>
      <c r="L404">
        <f>-$B$5*$B$12-IF($B$3,Tabelle2[[#This Row],[Fd]]*Tabelle2[[#This Row],[vy]]/Tabelle2[[#This Row],[v]],0)</f>
        <v>-14.715</v>
      </c>
      <c r="M404">
        <f t="shared" si="69"/>
        <v>-9.81</v>
      </c>
      <c r="N404">
        <f t="shared" si="70"/>
        <v>-0.19620000000000001</v>
      </c>
      <c r="O404">
        <f t="shared" si="71"/>
        <v>-0.32803051208804351</v>
      </c>
      <c r="P404" s="1">
        <f t="shared" si="73"/>
        <v>52.336971990849527</v>
      </c>
      <c r="Q404" s="1">
        <f t="shared" si="74"/>
        <v>-16.303425604402175</v>
      </c>
      <c r="R404">
        <f>SQRT(Tabelle2[[#This Row],[vx]]*Tabelle2[[#This Row],[vx]]+Tabelle2[[#This Row],[vy]]*Tabelle2[[#This Row],[vy]])</f>
        <v>54.817518400683227</v>
      </c>
      <c r="S404">
        <f t="shared" si="75"/>
        <v>419.742515366612</v>
      </c>
      <c r="T404" s="1">
        <f t="shared" si="76"/>
        <v>186.45251343332089</v>
      </c>
    </row>
    <row r="405" spans="6:20" x14ac:dyDescent="0.35">
      <c r="F405" s="1">
        <f t="shared" si="72"/>
        <v>8.0399999999999174</v>
      </c>
      <c r="G405">
        <f>1/2*$B$8*$B$6*$B$7*(Tabelle2[[#This Row],[vx]]*Tabelle2[[#This Row],[vx]]+Tabelle2[[#This Row],[vy]]*Tabelle2[[#This Row],[vy]])/1000000</f>
        <v>5.3269148768329897</v>
      </c>
      <c r="H405">
        <f>IF($B$3,-Tabelle2[[#This Row],[Fd]]*Tabelle2[[#This Row],[vx]]/Tabelle2[[#This Row],[v]],0)</f>
        <v>0</v>
      </c>
      <c r="I405">
        <f t="shared" si="66"/>
        <v>0</v>
      </c>
      <c r="J405">
        <f t="shared" si="67"/>
        <v>0</v>
      </c>
      <c r="K405">
        <f t="shared" si="68"/>
        <v>1.0467394398169905</v>
      </c>
      <c r="L405">
        <f>-$B$5*$B$12-IF($B$3,Tabelle2[[#This Row],[Fd]]*Tabelle2[[#This Row],[vy]]/Tabelle2[[#This Row],[v]],0)</f>
        <v>-14.715</v>
      </c>
      <c r="M405">
        <f t="shared" si="69"/>
        <v>-9.81</v>
      </c>
      <c r="N405">
        <f t="shared" si="70"/>
        <v>-0.19620000000000001</v>
      </c>
      <c r="O405">
        <f t="shared" si="71"/>
        <v>-0.3319545120880435</v>
      </c>
      <c r="P405" s="1">
        <f t="shared" si="73"/>
        <v>52.336971990849527</v>
      </c>
      <c r="Q405" s="1">
        <f t="shared" si="74"/>
        <v>-16.499625604402176</v>
      </c>
      <c r="R405">
        <f>SQRT(Tabelle2[[#This Row],[vx]]*Tabelle2[[#This Row],[vx]]+Tabelle2[[#This Row],[vy]]*Tabelle2[[#This Row],[vy]])</f>
        <v>54.876190486005967</v>
      </c>
      <c r="S405">
        <f t="shared" si="75"/>
        <v>420.78925480642897</v>
      </c>
      <c r="T405" s="1">
        <f t="shared" si="76"/>
        <v>186.12448292123284</v>
      </c>
    </row>
    <row r="406" spans="6:20" x14ac:dyDescent="0.35">
      <c r="F406" s="1">
        <f t="shared" si="72"/>
        <v>8.059999999999917</v>
      </c>
      <c r="G406">
        <f>1/2*$B$8*$B$6*$B$7*(Tabelle2[[#This Row],[vx]]*Tabelle2[[#This Row],[vx]]+Tabelle2[[#This Row],[vy]]*Tabelle2[[#This Row],[vy]])/1000000</f>
        <v>5.3384357508139146</v>
      </c>
      <c r="H406">
        <f>IF($B$3,-Tabelle2[[#This Row],[Fd]]*Tabelle2[[#This Row],[vx]]/Tabelle2[[#This Row],[v]],0)</f>
        <v>0</v>
      </c>
      <c r="I406">
        <f t="shared" si="66"/>
        <v>0</v>
      </c>
      <c r="J406">
        <f t="shared" si="67"/>
        <v>0</v>
      </c>
      <c r="K406">
        <f t="shared" si="68"/>
        <v>1.0467394398169905</v>
      </c>
      <c r="L406">
        <f>-$B$5*$B$12-IF($B$3,Tabelle2[[#This Row],[Fd]]*Tabelle2[[#This Row],[vy]]/Tabelle2[[#This Row],[v]],0)</f>
        <v>-14.715</v>
      </c>
      <c r="M406">
        <f t="shared" si="69"/>
        <v>-9.81</v>
      </c>
      <c r="N406">
        <f t="shared" si="70"/>
        <v>-0.19620000000000001</v>
      </c>
      <c r="O406">
        <f t="shared" si="71"/>
        <v>-0.33587851208804353</v>
      </c>
      <c r="P406" s="1">
        <f t="shared" si="73"/>
        <v>52.336971990849527</v>
      </c>
      <c r="Q406" s="1">
        <f t="shared" si="74"/>
        <v>-16.695825604402177</v>
      </c>
      <c r="R406">
        <f>SQRT(Tabelle2[[#This Row],[vx]]*Tabelle2[[#This Row],[vx]]+Tabelle2[[#This Row],[vy]]*Tabelle2[[#This Row],[vy]])</f>
        <v>54.935500632865619</v>
      </c>
      <c r="S406">
        <f t="shared" si="75"/>
        <v>421.83599424624595</v>
      </c>
      <c r="T406" s="1">
        <f t="shared" si="76"/>
        <v>185.79252840914481</v>
      </c>
    </row>
    <row r="407" spans="6:20" x14ac:dyDescent="0.35">
      <c r="F407" s="1">
        <f t="shared" si="72"/>
        <v>8.0799999999999166</v>
      </c>
      <c r="G407">
        <f>1/2*$B$8*$B$6*$B$7*(Tabelle2[[#This Row],[vx]]*Tabelle2[[#This Row],[vx]]+Tabelle2[[#This Row],[vy]]*Tabelle2[[#This Row],[vy]])/1000000</f>
        <v>5.3500928118561824</v>
      </c>
      <c r="H407">
        <f>IF($B$3,-Tabelle2[[#This Row],[Fd]]*Tabelle2[[#This Row],[vx]]/Tabelle2[[#This Row],[v]],0)</f>
        <v>0</v>
      </c>
      <c r="I407">
        <f t="shared" si="66"/>
        <v>0</v>
      </c>
      <c r="J407">
        <f t="shared" si="67"/>
        <v>0</v>
      </c>
      <c r="K407">
        <f t="shared" si="68"/>
        <v>1.0467394398169905</v>
      </c>
      <c r="L407">
        <f>-$B$5*$B$12-IF($B$3,Tabelle2[[#This Row],[Fd]]*Tabelle2[[#This Row],[vy]]/Tabelle2[[#This Row],[v]],0)</f>
        <v>-14.715</v>
      </c>
      <c r="M407">
        <f t="shared" si="69"/>
        <v>-9.81</v>
      </c>
      <c r="N407">
        <f t="shared" si="70"/>
        <v>-0.19620000000000001</v>
      </c>
      <c r="O407">
        <f t="shared" si="71"/>
        <v>-0.33980251208804357</v>
      </c>
      <c r="P407" s="1">
        <f t="shared" si="73"/>
        <v>52.336971990849527</v>
      </c>
      <c r="Q407" s="1">
        <f t="shared" si="74"/>
        <v>-16.892025604402178</v>
      </c>
      <c r="R407">
        <f>SQRT(Tabelle2[[#This Row],[vx]]*Tabelle2[[#This Row],[vx]]+Tabelle2[[#This Row],[vy]]*Tabelle2[[#This Row],[vy]])</f>
        <v>54.995446776899144</v>
      </c>
      <c r="S407">
        <f t="shared" si="75"/>
        <v>422.88273368606292</v>
      </c>
      <c r="T407" s="1">
        <f t="shared" si="76"/>
        <v>185.45664989705676</v>
      </c>
    </row>
    <row r="408" spans="6:20" x14ac:dyDescent="0.35">
      <c r="F408" s="1">
        <f t="shared" si="72"/>
        <v>8.0999999999999162</v>
      </c>
      <c r="G408">
        <f>1/2*$B$8*$B$6*$B$7*(Tabelle2[[#This Row],[vx]]*Tabelle2[[#This Row],[vx]]+Tabelle2[[#This Row],[vy]]*Tabelle2[[#This Row],[vy]])/1000000</f>
        <v>5.3618860599597955</v>
      </c>
      <c r="H408">
        <f>IF($B$3,-Tabelle2[[#This Row],[Fd]]*Tabelle2[[#This Row],[vx]]/Tabelle2[[#This Row],[v]],0)</f>
        <v>0</v>
      </c>
      <c r="I408">
        <f t="shared" si="66"/>
        <v>0</v>
      </c>
      <c r="J408">
        <f t="shared" si="67"/>
        <v>0</v>
      </c>
      <c r="K408">
        <f t="shared" si="68"/>
        <v>1.0467394398169905</v>
      </c>
      <c r="L408">
        <f>-$B$5*$B$12-IF($B$3,Tabelle2[[#This Row],[Fd]]*Tabelle2[[#This Row],[vy]]/Tabelle2[[#This Row],[v]],0)</f>
        <v>-14.715</v>
      </c>
      <c r="M408">
        <f t="shared" si="69"/>
        <v>-9.81</v>
      </c>
      <c r="N408">
        <f t="shared" si="70"/>
        <v>-0.19620000000000001</v>
      </c>
      <c r="O408">
        <f t="shared" si="71"/>
        <v>-0.34372651208804356</v>
      </c>
      <c r="P408" s="1">
        <f t="shared" si="73"/>
        <v>52.336971990849527</v>
      </c>
      <c r="Q408" s="1">
        <f t="shared" si="74"/>
        <v>-17.088225604402179</v>
      </c>
      <c r="R408">
        <f>SQRT(Tabelle2[[#This Row],[vx]]*Tabelle2[[#This Row],[vx]]+Tabelle2[[#This Row],[vy]]*Tabelle2[[#This Row],[vy]])</f>
        <v>55.056026840645828</v>
      </c>
      <c r="S408">
        <f t="shared" si="75"/>
        <v>423.92947312587989</v>
      </c>
      <c r="T408" s="1">
        <f t="shared" si="76"/>
        <v>185.11684738496871</v>
      </c>
    </row>
    <row r="409" spans="6:20" x14ac:dyDescent="0.35">
      <c r="F409" s="1">
        <f t="shared" si="72"/>
        <v>8.1199999999999157</v>
      </c>
      <c r="G409">
        <f>1/2*$B$8*$B$6*$B$7*(Tabelle2[[#This Row],[vx]]*Tabelle2[[#This Row],[vx]]+Tabelle2[[#This Row],[vy]]*Tabelle2[[#This Row],[vy]])/1000000</f>
        <v>5.3738154951247514</v>
      </c>
      <c r="H409">
        <f>IF($B$3,-Tabelle2[[#This Row],[Fd]]*Tabelle2[[#This Row],[vx]]/Tabelle2[[#This Row],[v]],0)</f>
        <v>0</v>
      </c>
      <c r="I409">
        <f t="shared" si="66"/>
        <v>0</v>
      </c>
      <c r="J409">
        <f t="shared" si="67"/>
        <v>0</v>
      </c>
      <c r="K409">
        <f t="shared" si="68"/>
        <v>1.0467394398169905</v>
      </c>
      <c r="L409">
        <f>-$B$5*$B$12-IF($B$3,Tabelle2[[#This Row],[Fd]]*Tabelle2[[#This Row],[vy]]/Tabelle2[[#This Row],[v]],0)</f>
        <v>-14.715</v>
      </c>
      <c r="M409">
        <f t="shared" si="69"/>
        <v>-9.81</v>
      </c>
      <c r="N409">
        <f t="shared" si="70"/>
        <v>-0.19620000000000001</v>
      </c>
      <c r="O409">
        <f t="shared" si="71"/>
        <v>-0.3476505120880436</v>
      </c>
      <c r="P409" s="1">
        <f t="shared" si="73"/>
        <v>52.336971990849527</v>
      </c>
      <c r="Q409" s="1">
        <f t="shared" si="74"/>
        <v>-17.28442560440218</v>
      </c>
      <c r="R409">
        <f>SQRT(Tabelle2[[#This Row],[vx]]*Tabelle2[[#This Row],[vx]]+Tabelle2[[#This Row],[vy]]*Tabelle2[[#This Row],[vy]])</f>
        <v>55.11723873385786</v>
      </c>
      <c r="S409">
        <f t="shared" si="75"/>
        <v>424.97621256569687</v>
      </c>
      <c r="T409" s="1">
        <f t="shared" si="76"/>
        <v>184.77312087288067</v>
      </c>
    </row>
    <row r="410" spans="6:20" x14ac:dyDescent="0.35">
      <c r="F410" s="1">
        <f t="shared" si="72"/>
        <v>8.1399999999999153</v>
      </c>
      <c r="G410">
        <f>1/2*$B$8*$B$6*$B$7*(Tabelle2[[#This Row],[vx]]*Tabelle2[[#This Row],[vx]]+Tabelle2[[#This Row],[vy]]*Tabelle2[[#This Row],[vy]])/1000000</f>
        <v>5.3858811173510528</v>
      </c>
      <c r="H410">
        <f>IF($B$3,-Tabelle2[[#This Row],[Fd]]*Tabelle2[[#This Row],[vx]]/Tabelle2[[#This Row],[v]],0)</f>
        <v>0</v>
      </c>
      <c r="I410">
        <f t="shared" si="66"/>
        <v>0</v>
      </c>
      <c r="J410">
        <f t="shared" si="67"/>
        <v>0</v>
      </c>
      <c r="K410">
        <f t="shared" si="68"/>
        <v>1.0467394398169905</v>
      </c>
      <c r="L410">
        <f>-$B$5*$B$12-IF($B$3,Tabelle2[[#This Row],[Fd]]*Tabelle2[[#This Row],[vy]]/Tabelle2[[#This Row],[v]],0)</f>
        <v>-14.715</v>
      </c>
      <c r="M410">
        <f t="shared" si="69"/>
        <v>-9.81</v>
      </c>
      <c r="N410">
        <f t="shared" si="70"/>
        <v>-0.19620000000000001</v>
      </c>
      <c r="O410">
        <f t="shared" si="71"/>
        <v>-0.35157451208804363</v>
      </c>
      <c r="P410" s="1">
        <f t="shared" si="73"/>
        <v>52.336971990849527</v>
      </c>
      <c r="Q410" s="1">
        <f t="shared" si="74"/>
        <v>-17.480625604402181</v>
      </c>
      <c r="R410">
        <f>SQRT(Tabelle2[[#This Row],[vx]]*Tabelle2[[#This Row],[vx]]+Tabelle2[[#This Row],[vy]]*Tabelle2[[#This Row],[vy]])</f>
        <v>55.179080353810257</v>
      </c>
      <c r="S410">
        <f t="shared" si="75"/>
        <v>426.02295200551384</v>
      </c>
      <c r="T410" s="1">
        <f t="shared" si="76"/>
        <v>184.42547036079262</v>
      </c>
    </row>
    <row r="411" spans="6:20" x14ac:dyDescent="0.35">
      <c r="F411" s="1">
        <f t="shared" si="72"/>
        <v>8.1599999999999149</v>
      </c>
      <c r="G411">
        <f>1/2*$B$8*$B$6*$B$7*(Tabelle2[[#This Row],[vx]]*Tabelle2[[#This Row],[vx]]+Tabelle2[[#This Row],[vy]]*Tabelle2[[#This Row],[vy]])/1000000</f>
        <v>5.398082926638696</v>
      </c>
      <c r="H411">
        <f>IF($B$3,-Tabelle2[[#This Row],[Fd]]*Tabelle2[[#This Row],[vx]]/Tabelle2[[#This Row],[v]],0)</f>
        <v>0</v>
      </c>
      <c r="I411">
        <f t="shared" si="66"/>
        <v>0</v>
      </c>
      <c r="J411">
        <f t="shared" si="67"/>
        <v>0</v>
      </c>
      <c r="K411">
        <f t="shared" si="68"/>
        <v>1.0467394398169905</v>
      </c>
      <c r="L411">
        <f>-$B$5*$B$12-IF($B$3,Tabelle2[[#This Row],[Fd]]*Tabelle2[[#This Row],[vy]]/Tabelle2[[#This Row],[v]],0)</f>
        <v>-14.715</v>
      </c>
      <c r="M411">
        <f t="shared" si="69"/>
        <v>-9.81</v>
      </c>
      <c r="N411">
        <f t="shared" si="70"/>
        <v>-0.19620000000000001</v>
      </c>
      <c r="O411">
        <f t="shared" si="71"/>
        <v>-0.35549851208804362</v>
      </c>
      <c r="P411" s="1">
        <f t="shared" si="73"/>
        <v>52.336971990849527</v>
      </c>
      <c r="Q411" s="1">
        <f t="shared" si="74"/>
        <v>-17.676825604402183</v>
      </c>
      <c r="R411">
        <f>SQRT(Tabelle2[[#This Row],[vx]]*Tabelle2[[#This Row],[vx]]+Tabelle2[[#This Row],[vy]]*Tabelle2[[#This Row],[vy]])</f>
        <v>55.241549585610073</v>
      </c>
      <c r="S411">
        <f t="shared" si="75"/>
        <v>427.06969144533082</v>
      </c>
      <c r="T411" s="1">
        <f t="shared" si="76"/>
        <v>184.07389584870458</v>
      </c>
    </row>
    <row r="412" spans="6:20" x14ac:dyDescent="0.35">
      <c r="F412" s="1">
        <f t="shared" si="72"/>
        <v>8.1799999999999145</v>
      </c>
      <c r="G412">
        <f>1/2*$B$8*$B$6*$B$7*(Tabelle2[[#This Row],[vx]]*Tabelle2[[#This Row],[vx]]+Tabelle2[[#This Row],[vy]]*Tabelle2[[#This Row],[vy]])/1000000</f>
        <v>5.4104209229876847</v>
      </c>
      <c r="H412">
        <f>IF($B$3,-Tabelle2[[#This Row],[Fd]]*Tabelle2[[#This Row],[vx]]/Tabelle2[[#This Row],[v]],0)</f>
        <v>0</v>
      </c>
      <c r="I412">
        <f t="shared" si="66"/>
        <v>0</v>
      </c>
      <c r="J412">
        <f t="shared" si="67"/>
        <v>0</v>
      </c>
      <c r="K412">
        <f t="shared" si="68"/>
        <v>1.0467394398169905</v>
      </c>
      <c r="L412">
        <f>-$B$5*$B$12-IF($B$3,Tabelle2[[#This Row],[Fd]]*Tabelle2[[#This Row],[vy]]/Tabelle2[[#This Row],[v]],0)</f>
        <v>-14.715</v>
      </c>
      <c r="M412">
        <f t="shared" si="69"/>
        <v>-9.81</v>
      </c>
      <c r="N412">
        <f t="shared" si="70"/>
        <v>-0.19620000000000001</v>
      </c>
      <c r="O412">
        <f t="shared" si="71"/>
        <v>-0.35942251208804366</v>
      </c>
      <c r="P412" s="1">
        <f t="shared" si="73"/>
        <v>52.336971990849527</v>
      </c>
      <c r="Q412" s="1">
        <f t="shared" si="74"/>
        <v>-17.873025604402184</v>
      </c>
      <c r="R412">
        <f>SQRT(Tabelle2[[#This Row],[vx]]*Tabelle2[[#This Row],[vx]]+Tabelle2[[#This Row],[vy]]*Tabelle2[[#This Row],[vy]])</f>
        <v>55.304644302504862</v>
      </c>
      <c r="S412">
        <f t="shared" si="75"/>
        <v>428.11643088514779</v>
      </c>
      <c r="T412" s="1">
        <f t="shared" si="76"/>
        <v>183.71839733661653</v>
      </c>
    </row>
    <row r="413" spans="6:20" x14ac:dyDescent="0.35">
      <c r="F413" s="1">
        <f t="shared" si="72"/>
        <v>8.199999999999914</v>
      </c>
      <c r="G413">
        <f>1/2*$B$8*$B$6*$B$7*(Tabelle2[[#This Row],[vx]]*Tabelle2[[#This Row],[vx]]+Tabelle2[[#This Row],[vy]]*Tabelle2[[#This Row],[vy]])/1000000</f>
        <v>5.422895106398018</v>
      </c>
      <c r="H413">
        <f>IF($B$3,-Tabelle2[[#This Row],[Fd]]*Tabelle2[[#This Row],[vx]]/Tabelle2[[#This Row],[v]],0)</f>
        <v>0</v>
      </c>
      <c r="I413">
        <f t="shared" si="66"/>
        <v>0</v>
      </c>
      <c r="J413">
        <f t="shared" si="67"/>
        <v>0</v>
      </c>
      <c r="K413">
        <f t="shared" si="68"/>
        <v>1.0467394398169905</v>
      </c>
      <c r="L413">
        <f>-$B$5*$B$12-IF($B$3,Tabelle2[[#This Row],[Fd]]*Tabelle2[[#This Row],[vy]]/Tabelle2[[#This Row],[v]],0)</f>
        <v>-14.715</v>
      </c>
      <c r="M413">
        <f t="shared" si="69"/>
        <v>-9.81</v>
      </c>
      <c r="N413">
        <f t="shared" si="70"/>
        <v>-0.19620000000000001</v>
      </c>
      <c r="O413">
        <f t="shared" si="71"/>
        <v>-0.36334651208804369</v>
      </c>
      <c r="P413" s="1">
        <f t="shared" si="73"/>
        <v>52.336971990849527</v>
      </c>
      <c r="Q413" s="1">
        <f t="shared" si="74"/>
        <v>-18.069225604402185</v>
      </c>
      <c r="R413">
        <f>SQRT(Tabelle2[[#This Row],[vx]]*Tabelle2[[#This Row],[vx]]+Tabelle2[[#This Row],[vy]]*Tabelle2[[#This Row],[vy]])</f>
        <v>55.368362366190233</v>
      </c>
      <c r="S413">
        <f t="shared" si="75"/>
        <v>429.16317032496477</v>
      </c>
      <c r="T413" s="1">
        <f t="shared" si="76"/>
        <v>183.3589748245285</v>
      </c>
    </row>
    <row r="414" spans="6:20" x14ac:dyDescent="0.35">
      <c r="F414" s="1">
        <f t="shared" si="72"/>
        <v>8.2199999999999136</v>
      </c>
      <c r="G414">
        <f>1/2*$B$8*$B$6*$B$7*(Tabelle2[[#This Row],[vx]]*Tabelle2[[#This Row],[vx]]+Tabelle2[[#This Row],[vy]]*Tabelle2[[#This Row],[vy]])/1000000</f>
        <v>5.435505476869694</v>
      </c>
      <c r="H414">
        <f>IF($B$3,-Tabelle2[[#This Row],[Fd]]*Tabelle2[[#This Row],[vx]]/Tabelle2[[#This Row],[v]],0)</f>
        <v>0</v>
      </c>
      <c r="I414">
        <f t="shared" si="66"/>
        <v>0</v>
      </c>
      <c r="J414">
        <f t="shared" si="67"/>
        <v>0</v>
      </c>
      <c r="K414">
        <f t="shared" si="68"/>
        <v>1.0467394398169905</v>
      </c>
      <c r="L414">
        <f>-$B$5*$B$12-IF($B$3,Tabelle2[[#This Row],[Fd]]*Tabelle2[[#This Row],[vy]]/Tabelle2[[#This Row],[v]],0)</f>
        <v>-14.715</v>
      </c>
      <c r="M414">
        <f t="shared" si="69"/>
        <v>-9.81</v>
      </c>
      <c r="N414">
        <f t="shared" si="70"/>
        <v>-0.19620000000000001</v>
      </c>
      <c r="O414">
        <f t="shared" si="71"/>
        <v>-0.36727051208804368</v>
      </c>
      <c r="P414" s="1">
        <f t="shared" si="73"/>
        <v>52.336971990849527</v>
      </c>
      <c r="Q414" s="1">
        <f t="shared" si="74"/>
        <v>-18.265425604402186</v>
      </c>
      <c r="R414">
        <f>SQRT(Tabelle2[[#This Row],[vx]]*Tabelle2[[#This Row],[vx]]+Tabelle2[[#This Row],[vy]]*Tabelle2[[#This Row],[vy]])</f>
        <v>55.432701627116451</v>
      </c>
      <c r="S414">
        <f t="shared" si="75"/>
        <v>430.20990976478174</v>
      </c>
      <c r="T414" s="1">
        <f t="shared" si="76"/>
        <v>182.99562831244046</v>
      </c>
    </row>
    <row r="415" spans="6:20" x14ac:dyDescent="0.35">
      <c r="F415" s="1">
        <f t="shared" si="72"/>
        <v>8.2399999999999132</v>
      </c>
      <c r="G415">
        <f>1/2*$B$8*$B$6*$B$7*(Tabelle2[[#This Row],[vx]]*Tabelle2[[#This Row],[vx]]+Tabelle2[[#This Row],[vy]]*Tabelle2[[#This Row],[vy]])/1000000</f>
        <v>5.4482520344027154</v>
      </c>
      <c r="H415">
        <f>IF($B$3,-Tabelle2[[#This Row],[Fd]]*Tabelle2[[#This Row],[vx]]/Tabelle2[[#This Row],[v]],0)</f>
        <v>0</v>
      </c>
      <c r="I415">
        <f t="shared" si="66"/>
        <v>0</v>
      </c>
      <c r="J415">
        <f t="shared" si="67"/>
        <v>0</v>
      </c>
      <c r="K415">
        <f t="shared" si="68"/>
        <v>1.0467394398169905</v>
      </c>
      <c r="L415">
        <f>-$B$5*$B$12-IF($B$3,Tabelle2[[#This Row],[Fd]]*Tabelle2[[#This Row],[vy]]/Tabelle2[[#This Row],[v]],0)</f>
        <v>-14.715</v>
      </c>
      <c r="M415">
        <f t="shared" si="69"/>
        <v>-9.81</v>
      </c>
      <c r="N415">
        <f t="shared" si="70"/>
        <v>-0.19620000000000001</v>
      </c>
      <c r="O415">
        <f t="shared" si="71"/>
        <v>-0.37119451208804372</v>
      </c>
      <c r="P415" s="1">
        <f t="shared" si="73"/>
        <v>52.336971990849527</v>
      </c>
      <c r="Q415" s="1">
        <f t="shared" si="74"/>
        <v>-18.461625604402187</v>
      </c>
      <c r="R415">
        <f>SQRT(Tabelle2[[#This Row],[vx]]*Tabelle2[[#This Row],[vx]]+Tabelle2[[#This Row],[vy]]*Tabelle2[[#This Row],[vy]])</f>
        <v>55.497659924794</v>
      </c>
      <c r="S415">
        <f t="shared" si="75"/>
        <v>431.25664920459872</v>
      </c>
      <c r="T415" s="1">
        <f t="shared" si="76"/>
        <v>182.6283578003524</v>
      </c>
    </row>
    <row r="416" spans="6:20" x14ac:dyDescent="0.35">
      <c r="F416" s="1">
        <f t="shared" si="72"/>
        <v>8.2599999999999127</v>
      </c>
      <c r="G416">
        <f>1/2*$B$8*$B$6*$B$7*(Tabelle2[[#This Row],[vx]]*Tabelle2[[#This Row],[vx]]+Tabelle2[[#This Row],[vy]]*Tabelle2[[#This Row],[vy]])/1000000</f>
        <v>5.4611347789970797</v>
      </c>
      <c r="H416">
        <f>IF($B$3,-Tabelle2[[#This Row],[Fd]]*Tabelle2[[#This Row],[vx]]/Tabelle2[[#This Row],[v]],0)</f>
        <v>0</v>
      </c>
      <c r="I416">
        <f t="shared" si="66"/>
        <v>0</v>
      </c>
      <c r="J416">
        <f t="shared" si="67"/>
        <v>0</v>
      </c>
      <c r="K416">
        <f t="shared" si="68"/>
        <v>1.0467394398169905</v>
      </c>
      <c r="L416">
        <f>-$B$5*$B$12-IF($B$3,Tabelle2[[#This Row],[Fd]]*Tabelle2[[#This Row],[vy]]/Tabelle2[[#This Row],[v]],0)</f>
        <v>-14.715</v>
      </c>
      <c r="M416">
        <f t="shared" si="69"/>
        <v>-9.81</v>
      </c>
      <c r="N416">
        <f t="shared" si="70"/>
        <v>-0.19620000000000001</v>
      </c>
      <c r="O416">
        <f t="shared" si="71"/>
        <v>-0.37511851208804375</v>
      </c>
      <c r="P416" s="1">
        <f t="shared" si="73"/>
        <v>52.336971990849527</v>
      </c>
      <c r="Q416" s="1">
        <f t="shared" si="74"/>
        <v>-18.657825604402188</v>
      </c>
      <c r="R416">
        <f>SQRT(Tabelle2[[#This Row],[vx]]*Tabelle2[[#This Row],[vx]]+Tabelle2[[#This Row],[vy]]*Tabelle2[[#This Row],[vy]])</f>
        <v>55.563235088098082</v>
      </c>
      <c r="S416">
        <f t="shared" si="75"/>
        <v>432.30338864441569</v>
      </c>
      <c r="T416" s="1">
        <f t="shared" si="76"/>
        <v>182.25716328826437</v>
      </c>
    </row>
    <row r="417" spans="6:20" x14ac:dyDescent="0.35">
      <c r="F417" s="1">
        <f t="shared" si="72"/>
        <v>8.2799999999999123</v>
      </c>
      <c r="G417">
        <f>1/2*$B$8*$B$6*$B$7*(Tabelle2[[#This Row],[vx]]*Tabelle2[[#This Row],[vx]]+Tabelle2[[#This Row],[vy]]*Tabelle2[[#This Row],[vy]])/1000000</f>
        <v>5.4741537106527884</v>
      </c>
      <c r="H417">
        <f>IF($B$3,-Tabelle2[[#This Row],[Fd]]*Tabelle2[[#This Row],[vx]]/Tabelle2[[#This Row],[v]],0)</f>
        <v>0</v>
      </c>
      <c r="I417">
        <f t="shared" si="66"/>
        <v>0</v>
      </c>
      <c r="J417">
        <f t="shared" si="67"/>
        <v>0</v>
      </c>
      <c r="K417">
        <f t="shared" si="68"/>
        <v>1.0467394398169905</v>
      </c>
      <c r="L417">
        <f>-$B$5*$B$12-IF($B$3,Tabelle2[[#This Row],[Fd]]*Tabelle2[[#This Row],[vy]]/Tabelle2[[#This Row],[v]],0)</f>
        <v>-14.715</v>
      </c>
      <c r="M417">
        <f t="shared" si="69"/>
        <v>-9.81</v>
      </c>
      <c r="N417">
        <f t="shared" si="70"/>
        <v>-0.19620000000000001</v>
      </c>
      <c r="O417">
        <f t="shared" si="71"/>
        <v>-0.37904251208804374</v>
      </c>
      <c r="P417" s="1">
        <f t="shared" si="73"/>
        <v>52.336971990849527</v>
      </c>
      <c r="Q417" s="1">
        <f t="shared" si="74"/>
        <v>-18.854025604402189</v>
      </c>
      <c r="R417">
        <f>SQRT(Tabelle2[[#This Row],[vx]]*Tabelle2[[#This Row],[vx]]+Tabelle2[[#This Row],[vy]]*Tabelle2[[#This Row],[vy]])</f>
        <v>55.629424935571834</v>
      </c>
      <c r="S417">
        <f t="shared" si="75"/>
        <v>433.35012808423267</v>
      </c>
      <c r="T417" s="1">
        <f t="shared" si="76"/>
        <v>181.88204477617631</v>
      </c>
    </row>
    <row r="418" spans="6:20" x14ac:dyDescent="0.35">
      <c r="F418" s="1">
        <f t="shared" si="72"/>
        <v>8.2999999999999119</v>
      </c>
      <c r="G418">
        <f>1/2*$B$8*$B$6*$B$7*(Tabelle2[[#This Row],[vx]]*Tabelle2[[#This Row],[vx]]+Tabelle2[[#This Row],[vy]]*Tabelle2[[#This Row],[vy]])/1000000</f>
        <v>5.48730882936984</v>
      </c>
      <c r="H418">
        <f>IF($B$3,-Tabelle2[[#This Row],[Fd]]*Tabelle2[[#This Row],[vx]]/Tabelle2[[#This Row],[v]],0)</f>
        <v>0</v>
      </c>
      <c r="I418">
        <f t="shared" si="66"/>
        <v>0</v>
      </c>
      <c r="J418">
        <f t="shared" si="67"/>
        <v>0</v>
      </c>
      <c r="K418">
        <f t="shared" si="68"/>
        <v>1.0467394398169905</v>
      </c>
      <c r="L418">
        <f>-$B$5*$B$12-IF($B$3,Tabelle2[[#This Row],[Fd]]*Tabelle2[[#This Row],[vy]]/Tabelle2[[#This Row],[v]],0)</f>
        <v>-14.715</v>
      </c>
      <c r="M418">
        <f t="shared" si="69"/>
        <v>-9.81</v>
      </c>
      <c r="N418">
        <f t="shared" si="70"/>
        <v>-0.19620000000000001</v>
      </c>
      <c r="O418">
        <f t="shared" si="71"/>
        <v>-0.38296651208804378</v>
      </c>
      <c r="P418" s="1">
        <f t="shared" si="73"/>
        <v>52.336971990849527</v>
      </c>
      <c r="Q418" s="1">
        <f t="shared" si="74"/>
        <v>-19.05022560440219</v>
      </c>
      <c r="R418">
        <f>SQRT(Tabelle2[[#This Row],[vx]]*Tabelle2[[#This Row],[vx]]+Tabelle2[[#This Row],[vy]]*Tabelle2[[#This Row],[vy]])</f>
        <v>55.696227275728369</v>
      </c>
      <c r="S418">
        <f t="shared" si="75"/>
        <v>434.39686752404964</v>
      </c>
      <c r="T418" s="1">
        <f t="shared" si="76"/>
        <v>181.50300226408828</v>
      </c>
    </row>
    <row r="419" spans="6:20" x14ac:dyDescent="0.35">
      <c r="F419" s="1">
        <f t="shared" si="72"/>
        <v>8.3199999999999115</v>
      </c>
      <c r="G419">
        <f>1/2*$B$8*$B$6*$B$7*(Tabelle2[[#This Row],[vx]]*Tabelle2[[#This Row],[vx]]+Tabelle2[[#This Row],[vy]]*Tabelle2[[#This Row],[vy]])/1000000</f>
        <v>5.5006001351482361</v>
      </c>
      <c r="H419">
        <f>IF($B$3,-Tabelle2[[#This Row],[Fd]]*Tabelle2[[#This Row],[vx]]/Tabelle2[[#This Row],[v]],0)</f>
        <v>0</v>
      </c>
      <c r="I419">
        <f t="shared" si="66"/>
        <v>0</v>
      </c>
      <c r="J419">
        <f t="shared" si="67"/>
        <v>0</v>
      </c>
      <c r="K419">
        <f t="shared" si="68"/>
        <v>1.0467394398169905</v>
      </c>
      <c r="L419">
        <f>-$B$5*$B$12-IF($B$3,Tabelle2[[#This Row],[Fd]]*Tabelle2[[#This Row],[vy]]/Tabelle2[[#This Row],[v]],0)</f>
        <v>-14.715</v>
      </c>
      <c r="M419">
        <f t="shared" si="69"/>
        <v>-9.81</v>
      </c>
      <c r="N419">
        <f t="shared" si="70"/>
        <v>-0.19620000000000001</v>
      </c>
      <c r="O419">
        <f t="shared" si="71"/>
        <v>-0.38689051208804381</v>
      </c>
      <c r="P419" s="1">
        <f t="shared" si="73"/>
        <v>52.336971990849527</v>
      </c>
      <c r="Q419" s="1">
        <f t="shared" si="74"/>
        <v>-19.246425604402191</v>
      </c>
      <c r="R419">
        <f>SQRT(Tabelle2[[#This Row],[vx]]*Tabelle2[[#This Row],[vx]]+Tabelle2[[#This Row],[vy]]*Tabelle2[[#This Row],[vy]])</f>
        <v>55.763639907351426</v>
      </c>
      <c r="S419">
        <f t="shared" si="75"/>
        <v>435.44360696386661</v>
      </c>
      <c r="T419" s="1">
        <f t="shared" si="76"/>
        <v>181.12003575200023</v>
      </c>
    </row>
    <row r="420" spans="6:20" x14ac:dyDescent="0.35">
      <c r="F420" s="1">
        <f t="shared" si="72"/>
        <v>8.339999999999911</v>
      </c>
      <c r="G420">
        <f>1/2*$B$8*$B$6*$B$7*(Tabelle2[[#This Row],[vx]]*Tabelle2[[#This Row],[vx]]+Tabelle2[[#This Row],[vy]]*Tabelle2[[#This Row],[vy]])/1000000</f>
        <v>5.5140276279879767</v>
      </c>
      <c r="H420">
        <f>IF($B$3,-Tabelle2[[#This Row],[Fd]]*Tabelle2[[#This Row],[vx]]/Tabelle2[[#This Row],[v]],0)</f>
        <v>0</v>
      </c>
      <c r="I420">
        <f t="shared" si="66"/>
        <v>0</v>
      </c>
      <c r="J420">
        <f t="shared" si="67"/>
        <v>0</v>
      </c>
      <c r="K420">
        <f t="shared" si="68"/>
        <v>1.0467394398169905</v>
      </c>
      <c r="L420">
        <f>-$B$5*$B$12-IF($B$3,Tabelle2[[#This Row],[Fd]]*Tabelle2[[#This Row],[vy]]/Tabelle2[[#This Row],[v]],0)</f>
        <v>-14.715</v>
      </c>
      <c r="M420">
        <f t="shared" si="69"/>
        <v>-9.81</v>
      </c>
      <c r="N420">
        <f t="shared" si="70"/>
        <v>-0.19620000000000001</v>
      </c>
      <c r="O420">
        <f t="shared" si="71"/>
        <v>-0.3908145120880438</v>
      </c>
      <c r="P420" s="1">
        <f t="shared" si="73"/>
        <v>52.336971990849527</v>
      </c>
      <c r="Q420" s="1">
        <f t="shared" si="74"/>
        <v>-19.442625604402192</v>
      </c>
      <c r="R420">
        <f>SQRT(Tabelle2[[#This Row],[vx]]*Tabelle2[[#This Row],[vx]]+Tabelle2[[#This Row],[vy]]*Tabelle2[[#This Row],[vy]])</f>
        <v>55.831660619794604</v>
      </c>
      <c r="S420">
        <f t="shared" si="75"/>
        <v>436.49034640368359</v>
      </c>
      <c r="T420" s="1">
        <f t="shared" si="76"/>
        <v>180.7331452399122</v>
      </c>
    </row>
    <row r="421" spans="6:20" x14ac:dyDescent="0.35">
      <c r="F421" s="1">
        <f t="shared" si="72"/>
        <v>8.3599999999999106</v>
      </c>
      <c r="G421">
        <f>1/2*$B$8*$B$6*$B$7*(Tabelle2[[#This Row],[vx]]*Tabelle2[[#This Row],[vx]]+Tabelle2[[#This Row],[vy]]*Tabelle2[[#This Row],[vy]])/1000000</f>
        <v>5.5275913078890611</v>
      </c>
      <c r="H421">
        <f>IF($B$3,-Tabelle2[[#This Row],[Fd]]*Tabelle2[[#This Row],[vx]]/Tabelle2[[#This Row],[v]],0)</f>
        <v>0</v>
      </c>
      <c r="I421">
        <f t="shared" si="66"/>
        <v>0</v>
      </c>
      <c r="J421">
        <f t="shared" si="67"/>
        <v>0</v>
      </c>
      <c r="K421">
        <f t="shared" si="68"/>
        <v>1.0467394398169905</v>
      </c>
      <c r="L421">
        <f>-$B$5*$B$12-IF($B$3,Tabelle2[[#This Row],[Fd]]*Tabelle2[[#This Row],[vy]]/Tabelle2[[#This Row],[v]],0)</f>
        <v>-14.715</v>
      </c>
      <c r="M421">
        <f t="shared" si="69"/>
        <v>-9.81</v>
      </c>
      <c r="N421">
        <f t="shared" si="70"/>
        <v>-0.19620000000000001</v>
      </c>
      <c r="O421">
        <f t="shared" si="71"/>
        <v>-0.39473851208804384</v>
      </c>
      <c r="P421" s="1">
        <f t="shared" si="73"/>
        <v>52.336971990849527</v>
      </c>
      <c r="Q421" s="1">
        <f t="shared" si="74"/>
        <v>-19.638825604402193</v>
      </c>
      <c r="R421">
        <f>SQRT(Tabelle2[[#This Row],[vx]]*Tabelle2[[#This Row],[vx]]+Tabelle2[[#This Row],[vy]]*Tabelle2[[#This Row],[vy]])</f>
        <v>55.900287193279169</v>
      </c>
      <c r="S421">
        <f t="shared" si="75"/>
        <v>437.53708584350056</v>
      </c>
      <c r="T421" s="1">
        <f t="shared" si="76"/>
        <v>180.34233072782416</v>
      </c>
    </row>
    <row r="422" spans="6:20" x14ac:dyDescent="0.35">
      <c r="F422" s="1">
        <f t="shared" si="72"/>
        <v>8.3799999999999102</v>
      </c>
      <c r="G422">
        <f>1/2*$B$8*$B$6*$B$7*(Tabelle2[[#This Row],[vx]]*Tabelle2[[#This Row],[vx]]+Tabelle2[[#This Row],[vy]]*Tabelle2[[#This Row],[vy]])/1000000</f>
        <v>5.5412911748514899</v>
      </c>
      <c r="H422">
        <f>IF($B$3,-Tabelle2[[#This Row],[Fd]]*Tabelle2[[#This Row],[vx]]/Tabelle2[[#This Row],[v]],0)</f>
        <v>0</v>
      </c>
      <c r="I422">
        <f t="shared" si="66"/>
        <v>0</v>
      </c>
      <c r="J422">
        <f t="shared" si="67"/>
        <v>0</v>
      </c>
      <c r="K422">
        <f t="shared" si="68"/>
        <v>1.0467394398169905</v>
      </c>
      <c r="L422">
        <f>-$B$5*$B$12-IF($B$3,Tabelle2[[#This Row],[Fd]]*Tabelle2[[#This Row],[vy]]/Tabelle2[[#This Row],[v]],0)</f>
        <v>-14.715</v>
      </c>
      <c r="M422">
        <f t="shared" si="69"/>
        <v>-9.81</v>
      </c>
      <c r="N422">
        <f t="shared" si="70"/>
        <v>-0.19620000000000001</v>
      </c>
      <c r="O422">
        <f t="shared" si="71"/>
        <v>-0.39866251208804387</v>
      </c>
      <c r="P422" s="1">
        <f t="shared" si="73"/>
        <v>52.336971990849527</v>
      </c>
      <c r="Q422" s="1">
        <f t="shared" si="74"/>
        <v>-19.835025604402194</v>
      </c>
      <c r="R422">
        <f>SQRT(Tabelle2[[#This Row],[vx]]*Tabelle2[[#This Row],[vx]]+Tabelle2[[#This Row],[vy]]*Tabelle2[[#This Row],[vy]])</f>
        <v>55.969517399190238</v>
      </c>
      <c r="S422">
        <f t="shared" si="75"/>
        <v>438.58382528331754</v>
      </c>
      <c r="T422" s="1">
        <f t="shared" si="76"/>
        <v>179.94759221573611</v>
      </c>
    </row>
    <row r="423" spans="6:20" x14ac:dyDescent="0.35">
      <c r="F423" s="1">
        <f t="shared" si="72"/>
        <v>8.3999999999999098</v>
      </c>
      <c r="G423">
        <f>1/2*$B$8*$B$6*$B$7*(Tabelle2[[#This Row],[vx]]*Tabelle2[[#This Row],[vx]]+Tabelle2[[#This Row],[vy]]*Tabelle2[[#This Row],[vy]])/1000000</f>
        <v>5.5551272288752616</v>
      </c>
      <c r="H423">
        <f>IF($B$3,-Tabelle2[[#This Row],[Fd]]*Tabelle2[[#This Row],[vx]]/Tabelle2[[#This Row],[v]],0)</f>
        <v>0</v>
      </c>
      <c r="I423">
        <f t="shared" si="66"/>
        <v>0</v>
      </c>
      <c r="J423">
        <f t="shared" si="67"/>
        <v>0</v>
      </c>
      <c r="K423">
        <f t="shared" si="68"/>
        <v>1.0467394398169905</v>
      </c>
      <c r="L423">
        <f>-$B$5*$B$12-IF($B$3,Tabelle2[[#This Row],[Fd]]*Tabelle2[[#This Row],[vy]]/Tabelle2[[#This Row],[v]],0)</f>
        <v>-14.715</v>
      </c>
      <c r="M423">
        <f t="shared" si="69"/>
        <v>-9.81</v>
      </c>
      <c r="N423">
        <f t="shared" si="70"/>
        <v>-0.19620000000000001</v>
      </c>
      <c r="O423">
        <f t="shared" si="71"/>
        <v>-0.40258651208804386</v>
      </c>
      <c r="P423" s="1">
        <f t="shared" si="73"/>
        <v>52.336971990849527</v>
      </c>
      <c r="Q423" s="1">
        <f t="shared" si="74"/>
        <v>-20.031225604402195</v>
      </c>
      <c r="R423">
        <f>SQRT(Tabelle2[[#This Row],[vx]]*Tabelle2[[#This Row],[vx]]+Tabelle2[[#This Row],[vy]]*Tabelle2[[#This Row],[vy]])</f>
        <v>56.039349000371388</v>
      </c>
      <c r="S423">
        <f t="shared" si="75"/>
        <v>439.63056472313451</v>
      </c>
      <c r="T423" s="1">
        <f t="shared" si="76"/>
        <v>179.54892970364807</v>
      </c>
    </row>
    <row r="424" spans="6:20" x14ac:dyDescent="0.35">
      <c r="F424" s="1">
        <f t="shared" si="72"/>
        <v>8.4199999999999093</v>
      </c>
      <c r="G424">
        <f>1/2*$B$8*$B$6*$B$7*(Tabelle2[[#This Row],[vx]]*Tabelle2[[#This Row],[vx]]+Tabelle2[[#This Row],[vy]]*Tabelle2[[#This Row],[vy]])/1000000</f>
        <v>5.5690994699603795</v>
      </c>
      <c r="H424">
        <f>IF($B$3,-Tabelle2[[#This Row],[Fd]]*Tabelle2[[#This Row],[vx]]/Tabelle2[[#This Row],[v]],0)</f>
        <v>0</v>
      </c>
      <c r="I424">
        <f t="shared" si="66"/>
        <v>0</v>
      </c>
      <c r="J424">
        <f t="shared" si="67"/>
        <v>0</v>
      </c>
      <c r="K424">
        <f t="shared" si="68"/>
        <v>1.0467394398169905</v>
      </c>
      <c r="L424">
        <f>-$B$5*$B$12-IF($B$3,Tabelle2[[#This Row],[Fd]]*Tabelle2[[#This Row],[vy]]/Tabelle2[[#This Row],[v]],0)</f>
        <v>-14.715</v>
      </c>
      <c r="M424">
        <f t="shared" si="69"/>
        <v>-9.81</v>
      </c>
      <c r="N424">
        <f t="shared" si="70"/>
        <v>-0.19620000000000001</v>
      </c>
      <c r="O424">
        <f t="shared" si="71"/>
        <v>-0.4065105120880439</v>
      </c>
      <c r="P424" s="1">
        <f t="shared" si="73"/>
        <v>52.336971990849527</v>
      </c>
      <c r="Q424" s="1">
        <f t="shared" si="74"/>
        <v>-20.227425604402196</v>
      </c>
      <c r="R424">
        <f>SQRT(Tabelle2[[#This Row],[vx]]*Tabelle2[[#This Row],[vx]]+Tabelle2[[#This Row],[vy]]*Tabelle2[[#This Row],[vy]])</f>
        <v>56.109779751417612</v>
      </c>
      <c r="S424">
        <f t="shared" si="75"/>
        <v>440.67730416295149</v>
      </c>
      <c r="T424" s="1">
        <f t="shared" si="76"/>
        <v>179.14634319156002</v>
      </c>
    </row>
    <row r="425" spans="6:20" x14ac:dyDescent="0.35">
      <c r="F425" s="1">
        <f t="shared" si="72"/>
        <v>8.4399999999999089</v>
      </c>
      <c r="G425">
        <f>1/2*$B$8*$B$6*$B$7*(Tabelle2[[#This Row],[vx]]*Tabelle2[[#This Row],[vx]]+Tabelle2[[#This Row],[vy]]*Tabelle2[[#This Row],[vy]])/1000000</f>
        <v>5.5832078981068394</v>
      </c>
      <c r="H425">
        <f>IF($B$3,-Tabelle2[[#This Row],[Fd]]*Tabelle2[[#This Row],[vx]]/Tabelle2[[#This Row],[v]],0)</f>
        <v>0</v>
      </c>
      <c r="I425">
        <f t="shared" si="66"/>
        <v>0</v>
      </c>
      <c r="J425">
        <f t="shared" si="67"/>
        <v>0</v>
      </c>
      <c r="K425">
        <f t="shared" si="68"/>
        <v>1.0467394398169905</v>
      </c>
      <c r="L425">
        <f>-$B$5*$B$12-IF($B$3,Tabelle2[[#This Row],[Fd]]*Tabelle2[[#This Row],[vy]]/Tabelle2[[#This Row],[v]],0)</f>
        <v>-14.715</v>
      </c>
      <c r="M425">
        <f t="shared" si="69"/>
        <v>-9.81</v>
      </c>
      <c r="N425">
        <f t="shared" si="70"/>
        <v>-0.19620000000000001</v>
      </c>
      <c r="O425">
        <f t="shared" si="71"/>
        <v>-0.41043451208804393</v>
      </c>
      <c r="P425" s="1">
        <f t="shared" si="73"/>
        <v>52.336971990849527</v>
      </c>
      <c r="Q425" s="1">
        <f t="shared" si="74"/>
        <v>-20.423625604402197</v>
      </c>
      <c r="R425">
        <f>SQRT(Tabelle2[[#This Row],[vx]]*Tabelle2[[#This Row],[vx]]+Tabelle2[[#This Row],[vy]]*Tabelle2[[#This Row],[vy]])</f>
        <v>56.180807398966429</v>
      </c>
      <c r="S425">
        <f t="shared" si="75"/>
        <v>441.72404360276846</v>
      </c>
      <c r="T425" s="1">
        <f t="shared" si="76"/>
        <v>178.73983267947199</v>
      </c>
    </row>
    <row r="426" spans="6:20" x14ac:dyDescent="0.35">
      <c r="F426" s="1">
        <f t="shared" si="72"/>
        <v>8.4599999999999085</v>
      </c>
      <c r="G426">
        <f>1/2*$B$8*$B$6*$B$7*(Tabelle2[[#This Row],[vx]]*Tabelle2[[#This Row],[vx]]+Tabelle2[[#This Row],[vy]]*Tabelle2[[#This Row],[vy]])/1000000</f>
        <v>5.5974525133146429</v>
      </c>
      <c r="H426">
        <f>IF($B$3,-Tabelle2[[#This Row],[Fd]]*Tabelle2[[#This Row],[vx]]/Tabelle2[[#This Row],[v]],0)</f>
        <v>0</v>
      </c>
      <c r="I426">
        <f t="shared" si="66"/>
        <v>0</v>
      </c>
      <c r="J426">
        <f t="shared" si="67"/>
        <v>0</v>
      </c>
      <c r="K426">
        <f t="shared" si="68"/>
        <v>1.0467394398169905</v>
      </c>
      <c r="L426">
        <f>-$B$5*$B$12-IF($B$3,Tabelle2[[#This Row],[Fd]]*Tabelle2[[#This Row],[vy]]/Tabelle2[[#This Row],[v]],0)</f>
        <v>-14.715</v>
      </c>
      <c r="M426">
        <f t="shared" si="69"/>
        <v>-9.81</v>
      </c>
      <c r="N426">
        <f t="shared" si="70"/>
        <v>-0.19620000000000001</v>
      </c>
      <c r="O426">
        <f t="shared" si="71"/>
        <v>-0.41435851208804397</v>
      </c>
      <c r="P426" s="1">
        <f t="shared" si="73"/>
        <v>52.336971990849527</v>
      </c>
      <c r="Q426" s="1">
        <f t="shared" si="74"/>
        <v>-20.619825604402198</v>
      </c>
      <c r="R426">
        <f>SQRT(Tabelle2[[#This Row],[vx]]*Tabelle2[[#This Row],[vx]]+Tabelle2[[#This Row],[vy]]*Tabelle2[[#This Row],[vy]])</f>
        <v>56.252429681987323</v>
      </c>
      <c r="S426">
        <f t="shared" si="75"/>
        <v>442.77078304258544</v>
      </c>
      <c r="T426" s="1">
        <f t="shared" si="76"/>
        <v>178.32939816738394</v>
      </c>
    </row>
    <row r="427" spans="6:20" x14ac:dyDescent="0.35">
      <c r="F427" s="1">
        <f t="shared" si="72"/>
        <v>8.4799999999999081</v>
      </c>
      <c r="G427">
        <f>1/2*$B$8*$B$6*$B$7*(Tabelle2[[#This Row],[vx]]*Tabelle2[[#This Row],[vx]]+Tabelle2[[#This Row],[vy]]*Tabelle2[[#This Row],[vy]])/1000000</f>
        <v>5.6118333155837918</v>
      </c>
      <c r="H427">
        <f>IF($B$3,-Tabelle2[[#This Row],[Fd]]*Tabelle2[[#This Row],[vx]]/Tabelle2[[#This Row],[v]],0)</f>
        <v>0</v>
      </c>
      <c r="I427">
        <f t="shared" si="66"/>
        <v>0</v>
      </c>
      <c r="J427">
        <f t="shared" si="67"/>
        <v>0</v>
      </c>
      <c r="K427">
        <f t="shared" si="68"/>
        <v>1.0467394398169905</v>
      </c>
      <c r="L427">
        <f>-$B$5*$B$12-IF($B$3,Tabelle2[[#This Row],[Fd]]*Tabelle2[[#This Row],[vy]]/Tabelle2[[#This Row],[v]],0)</f>
        <v>-14.715</v>
      </c>
      <c r="M427">
        <f t="shared" si="69"/>
        <v>-9.81</v>
      </c>
      <c r="N427">
        <f t="shared" si="70"/>
        <v>-0.19620000000000001</v>
      </c>
      <c r="O427">
        <f t="shared" si="71"/>
        <v>-0.41828251208804396</v>
      </c>
      <c r="P427" s="1">
        <f t="shared" si="73"/>
        <v>52.336971990849527</v>
      </c>
      <c r="Q427" s="1">
        <f t="shared" si="74"/>
        <v>-20.816025604402199</v>
      </c>
      <c r="R427">
        <f>SQRT(Tabelle2[[#This Row],[vx]]*Tabelle2[[#This Row],[vx]]+Tabelle2[[#This Row],[vy]]*Tabelle2[[#This Row],[vy]])</f>
        <v>56.324644332069205</v>
      </c>
      <c r="S427">
        <f t="shared" si="75"/>
        <v>443.81752248240241</v>
      </c>
      <c r="T427" s="1">
        <f t="shared" si="76"/>
        <v>177.91503965529589</v>
      </c>
    </row>
    <row r="428" spans="6:20" x14ac:dyDescent="0.35">
      <c r="F428" s="1">
        <f t="shared" si="72"/>
        <v>8.4999999999999076</v>
      </c>
      <c r="G428">
        <f>1/2*$B$8*$B$6*$B$7*(Tabelle2[[#This Row],[vx]]*Tabelle2[[#This Row],[vx]]+Tabelle2[[#This Row],[vy]]*Tabelle2[[#This Row],[vy]])/1000000</f>
        <v>5.6263503049142836</v>
      </c>
      <c r="H428">
        <f>IF($B$3,-Tabelle2[[#This Row],[Fd]]*Tabelle2[[#This Row],[vx]]/Tabelle2[[#This Row],[v]],0)</f>
        <v>0</v>
      </c>
      <c r="I428">
        <f t="shared" si="66"/>
        <v>0</v>
      </c>
      <c r="J428">
        <f t="shared" si="67"/>
        <v>0</v>
      </c>
      <c r="K428">
        <f t="shared" si="68"/>
        <v>1.0467394398169905</v>
      </c>
      <c r="L428">
        <f>-$B$5*$B$12-IF($B$3,Tabelle2[[#This Row],[Fd]]*Tabelle2[[#This Row],[vy]]/Tabelle2[[#This Row],[v]],0)</f>
        <v>-14.715</v>
      </c>
      <c r="M428">
        <f t="shared" si="69"/>
        <v>-9.81</v>
      </c>
      <c r="N428">
        <f t="shared" si="70"/>
        <v>-0.19620000000000001</v>
      </c>
      <c r="O428">
        <f t="shared" si="71"/>
        <v>-0.42220651208804399</v>
      </c>
      <c r="P428" s="1">
        <f t="shared" si="73"/>
        <v>52.336971990849527</v>
      </c>
      <c r="Q428" s="1">
        <f t="shared" si="74"/>
        <v>-21.0122256044022</v>
      </c>
      <c r="R428">
        <f>SQRT(Tabelle2[[#This Row],[vx]]*Tabelle2[[#This Row],[vx]]+Tabelle2[[#This Row],[vy]]*Tabelle2[[#This Row],[vy]])</f>
        <v>56.397449073706014</v>
      </c>
      <c r="S428">
        <f t="shared" si="75"/>
        <v>444.86426192221938</v>
      </c>
      <c r="T428" s="1">
        <f t="shared" si="76"/>
        <v>177.49675714320784</v>
      </c>
    </row>
    <row r="429" spans="6:20" x14ac:dyDescent="0.35">
      <c r="F429" s="1">
        <f t="shared" si="72"/>
        <v>8.5199999999999072</v>
      </c>
      <c r="G429">
        <f>1/2*$B$8*$B$6*$B$7*(Tabelle2[[#This Row],[vx]]*Tabelle2[[#This Row],[vx]]+Tabelle2[[#This Row],[vy]]*Tabelle2[[#This Row],[vy]])/1000000</f>
        <v>5.6410034813061207</v>
      </c>
      <c r="H429">
        <f>IF($B$3,-Tabelle2[[#This Row],[Fd]]*Tabelle2[[#This Row],[vx]]/Tabelle2[[#This Row],[v]],0)</f>
        <v>0</v>
      </c>
      <c r="I429">
        <f t="shared" si="66"/>
        <v>0</v>
      </c>
      <c r="J429">
        <f t="shared" si="67"/>
        <v>0</v>
      </c>
      <c r="K429">
        <f t="shared" si="68"/>
        <v>1.0467394398169905</v>
      </c>
      <c r="L429">
        <f>-$B$5*$B$12-IF($B$3,Tabelle2[[#This Row],[Fd]]*Tabelle2[[#This Row],[vy]]/Tabelle2[[#This Row],[v]],0)</f>
        <v>-14.715</v>
      </c>
      <c r="M429">
        <f t="shared" si="69"/>
        <v>-9.81</v>
      </c>
      <c r="N429">
        <f t="shared" si="70"/>
        <v>-0.19620000000000001</v>
      </c>
      <c r="O429">
        <f t="shared" si="71"/>
        <v>-0.42613051208804403</v>
      </c>
      <c r="P429" s="1">
        <f t="shared" si="73"/>
        <v>52.336971990849527</v>
      </c>
      <c r="Q429" s="1">
        <f t="shared" si="74"/>
        <v>-21.208425604402201</v>
      </c>
      <c r="R429">
        <f>SQRT(Tabelle2[[#This Row],[vx]]*Tabelle2[[#This Row],[vx]]+Tabelle2[[#This Row],[vy]]*Tabelle2[[#This Row],[vy]])</f>
        <v>56.470841624580295</v>
      </c>
      <c r="S429">
        <f t="shared" si="75"/>
        <v>445.91100136203636</v>
      </c>
      <c r="T429" s="1">
        <f t="shared" si="76"/>
        <v>177.07455063111979</v>
      </c>
    </row>
    <row r="430" spans="6:20" x14ac:dyDescent="0.35">
      <c r="F430" s="1">
        <f t="shared" si="72"/>
        <v>8.5399999999999068</v>
      </c>
      <c r="G430">
        <f>1/2*$B$8*$B$6*$B$7*(Tabelle2[[#This Row],[vx]]*Tabelle2[[#This Row],[vx]]+Tabelle2[[#This Row],[vy]]*Tabelle2[[#This Row],[vy]])/1000000</f>
        <v>5.6557928447593016</v>
      </c>
      <c r="H430">
        <f>IF($B$3,-Tabelle2[[#This Row],[Fd]]*Tabelle2[[#This Row],[vx]]/Tabelle2[[#This Row],[v]],0)</f>
        <v>0</v>
      </c>
      <c r="I430">
        <f t="shared" si="66"/>
        <v>0</v>
      </c>
      <c r="J430">
        <f t="shared" si="67"/>
        <v>0</v>
      </c>
      <c r="K430">
        <f t="shared" si="68"/>
        <v>1.0467394398169905</v>
      </c>
      <c r="L430">
        <f>-$B$5*$B$12-IF($B$3,Tabelle2[[#This Row],[Fd]]*Tabelle2[[#This Row],[vy]]/Tabelle2[[#This Row],[v]],0)</f>
        <v>-14.715</v>
      </c>
      <c r="M430">
        <f t="shared" si="69"/>
        <v>-9.81</v>
      </c>
      <c r="N430">
        <f t="shared" si="70"/>
        <v>-0.19620000000000001</v>
      </c>
      <c r="O430">
        <f t="shared" si="71"/>
        <v>-0.43005451208804402</v>
      </c>
      <c r="P430" s="1">
        <f t="shared" si="73"/>
        <v>52.336971990849527</v>
      </c>
      <c r="Q430" s="1">
        <f t="shared" si="74"/>
        <v>-21.404625604402202</v>
      </c>
      <c r="R430">
        <f>SQRT(Tabelle2[[#This Row],[vx]]*Tabelle2[[#This Row],[vx]]+Tabelle2[[#This Row],[vy]]*Tabelle2[[#This Row],[vy]])</f>
        <v>56.544819695844801</v>
      </c>
      <c r="S430">
        <f t="shared" si="75"/>
        <v>446.95774080185333</v>
      </c>
      <c r="T430" s="1">
        <f t="shared" si="76"/>
        <v>176.64842011903175</v>
      </c>
    </row>
    <row r="431" spans="6:20" x14ac:dyDescent="0.35">
      <c r="F431" s="1">
        <f t="shared" si="72"/>
        <v>8.5599999999999064</v>
      </c>
      <c r="G431">
        <f>1/2*$B$8*$B$6*$B$7*(Tabelle2[[#This Row],[vx]]*Tabelle2[[#This Row],[vx]]+Tabelle2[[#This Row],[vy]]*Tabelle2[[#This Row],[vy]])/1000000</f>
        <v>5.6707183952738243</v>
      </c>
      <c r="H431">
        <f>IF($B$3,-Tabelle2[[#This Row],[Fd]]*Tabelle2[[#This Row],[vx]]/Tabelle2[[#This Row],[v]],0)</f>
        <v>0</v>
      </c>
      <c r="I431">
        <f t="shared" si="66"/>
        <v>0</v>
      </c>
      <c r="J431">
        <f t="shared" si="67"/>
        <v>0</v>
      </c>
      <c r="K431">
        <f t="shared" si="68"/>
        <v>1.0467394398169905</v>
      </c>
      <c r="L431">
        <f>-$B$5*$B$12-IF($B$3,Tabelle2[[#This Row],[Fd]]*Tabelle2[[#This Row],[vy]]/Tabelle2[[#This Row],[v]],0)</f>
        <v>-14.715</v>
      </c>
      <c r="M431">
        <f t="shared" si="69"/>
        <v>-9.81</v>
      </c>
      <c r="N431">
        <f t="shared" si="70"/>
        <v>-0.19620000000000001</v>
      </c>
      <c r="O431">
        <f t="shared" si="71"/>
        <v>-0.43397851208804405</v>
      </c>
      <c r="P431" s="1">
        <f t="shared" si="73"/>
        <v>52.336971990849527</v>
      </c>
      <c r="Q431" s="1">
        <f t="shared" si="74"/>
        <v>-21.600825604402203</v>
      </c>
      <c r="R431">
        <f>SQRT(Tabelle2[[#This Row],[vx]]*Tabelle2[[#This Row],[vx]]+Tabelle2[[#This Row],[vy]]*Tabelle2[[#This Row],[vy]])</f>
        <v>56.619380992401936</v>
      </c>
      <c r="S431">
        <f t="shared" si="75"/>
        <v>448.00448024167031</v>
      </c>
      <c r="T431" s="1">
        <f t="shared" si="76"/>
        <v>176.21836560694371</v>
      </c>
    </row>
    <row r="432" spans="6:20" x14ac:dyDescent="0.35">
      <c r="F432" s="1">
        <f t="shared" si="72"/>
        <v>8.5799999999999059</v>
      </c>
      <c r="G432">
        <f>1/2*$B$8*$B$6*$B$7*(Tabelle2[[#This Row],[vx]]*Tabelle2[[#This Row],[vx]]+Tabelle2[[#This Row],[vy]]*Tabelle2[[#This Row],[vy]])/1000000</f>
        <v>5.6857801328496933</v>
      </c>
      <c r="H432">
        <f>IF($B$3,-Tabelle2[[#This Row],[Fd]]*Tabelle2[[#This Row],[vx]]/Tabelle2[[#This Row],[v]],0)</f>
        <v>0</v>
      </c>
      <c r="I432">
        <f t="shared" si="66"/>
        <v>0</v>
      </c>
      <c r="J432">
        <f t="shared" si="67"/>
        <v>0</v>
      </c>
      <c r="K432">
        <f t="shared" si="68"/>
        <v>1.0467394398169905</v>
      </c>
      <c r="L432">
        <f>-$B$5*$B$12-IF($B$3,Tabelle2[[#This Row],[Fd]]*Tabelle2[[#This Row],[vy]]/Tabelle2[[#This Row],[v]],0)</f>
        <v>-14.715</v>
      </c>
      <c r="M432">
        <f t="shared" si="69"/>
        <v>-9.81</v>
      </c>
      <c r="N432">
        <f t="shared" si="70"/>
        <v>-0.19620000000000001</v>
      </c>
      <c r="O432">
        <f t="shared" si="71"/>
        <v>-0.43790251208804409</v>
      </c>
      <c r="P432" s="1">
        <f t="shared" si="73"/>
        <v>52.336971990849527</v>
      </c>
      <c r="Q432" s="1">
        <f t="shared" si="74"/>
        <v>-21.797025604402204</v>
      </c>
      <c r="R432">
        <f>SQRT(Tabelle2[[#This Row],[vx]]*Tabelle2[[#This Row],[vx]]+Tabelle2[[#This Row],[vy]]*Tabelle2[[#This Row],[vy]])</f>
        <v>56.694523213181121</v>
      </c>
      <c r="S432">
        <f t="shared" si="75"/>
        <v>449.05121968148728</v>
      </c>
      <c r="T432" s="1">
        <f t="shared" si="76"/>
        <v>175.78438709485567</v>
      </c>
    </row>
    <row r="433" spans="6:20" x14ac:dyDescent="0.35">
      <c r="F433" s="1">
        <f t="shared" si="72"/>
        <v>8.5999999999999055</v>
      </c>
      <c r="G433">
        <f>1/2*$B$8*$B$6*$B$7*(Tabelle2[[#This Row],[vx]]*Tabelle2[[#This Row],[vx]]+Tabelle2[[#This Row],[vy]]*Tabelle2[[#This Row],[vy]])/1000000</f>
        <v>5.700978057486906</v>
      </c>
      <c r="H433">
        <f>IF($B$3,-Tabelle2[[#This Row],[Fd]]*Tabelle2[[#This Row],[vx]]/Tabelle2[[#This Row],[v]],0)</f>
        <v>0</v>
      </c>
      <c r="I433">
        <f t="shared" si="66"/>
        <v>0</v>
      </c>
      <c r="J433">
        <f t="shared" si="67"/>
        <v>0</v>
      </c>
      <c r="K433">
        <f t="shared" si="68"/>
        <v>1.0467394398169905</v>
      </c>
      <c r="L433">
        <f>-$B$5*$B$12-IF($B$3,Tabelle2[[#This Row],[Fd]]*Tabelle2[[#This Row],[vy]]/Tabelle2[[#This Row],[v]],0)</f>
        <v>-14.715</v>
      </c>
      <c r="M433">
        <f t="shared" si="69"/>
        <v>-9.81</v>
      </c>
      <c r="N433">
        <f t="shared" si="70"/>
        <v>-0.19620000000000001</v>
      </c>
      <c r="O433">
        <f t="shared" si="71"/>
        <v>-0.44182651208804408</v>
      </c>
      <c r="P433" s="1">
        <f t="shared" si="73"/>
        <v>52.336971990849527</v>
      </c>
      <c r="Q433" s="1">
        <f t="shared" si="74"/>
        <v>-21.993225604402205</v>
      </c>
      <c r="R433">
        <f>SQRT(Tabelle2[[#This Row],[vx]]*Tabelle2[[#This Row],[vx]]+Tabelle2[[#This Row],[vy]]*Tabelle2[[#This Row],[vy]])</f>
        <v>56.770244051413947</v>
      </c>
      <c r="S433">
        <f t="shared" si="75"/>
        <v>450.09795912130426</v>
      </c>
      <c r="T433" s="1">
        <f t="shared" si="76"/>
        <v>175.34648458276763</v>
      </c>
    </row>
    <row r="434" spans="6:20" x14ac:dyDescent="0.35">
      <c r="F434" s="1">
        <f t="shared" si="72"/>
        <v>8.6199999999999051</v>
      </c>
      <c r="G434">
        <f>1/2*$B$8*$B$6*$B$7*(Tabelle2[[#This Row],[vx]]*Tabelle2[[#This Row],[vx]]+Tabelle2[[#This Row],[vy]]*Tabelle2[[#This Row],[vy]])/1000000</f>
        <v>5.7163121691854615</v>
      </c>
      <c r="H434">
        <f>IF($B$3,-Tabelle2[[#This Row],[Fd]]*Tabelle2[[#This Row],[vx]]/Tabelle2[[#This Row],[v]],0)</f>
        <v>0</v>
      </c>
      <c r="I434">
        <f t="shared" si="66"/>
        <v>0</v>
      </c>
      <c r="J434">
        <f t="shared" si="67"/>
        <v>0</v>
      </c>
      <c r="K434">
        <f t="shared" si="68"/>
        <v>1.0467394398169905</v>
      </c>
      <c r="L434">
        <f>-$B$5*$B$12-IF($B$3,Tabelle2[[#This Row],[Fd]]*Tabelle2[[#This Row],[vy]]/Tabelle2[[#This Row],[v]],0)</f>
        <v>-14.715</v>
      </c>
      <c r="M434">
        <f t="shared" si="69"/>
        <v>-9.81</v>
      </c>
      <c r="N434">
        <f t="shared" si="70"/>
        <v>-0.19620000000000001</v>
      </c>
      <c r="O434">
        <f t="shared" si="71"/>
        <v>-0.44575051208804412</v>
      </c>
      <c r="P434" s="1">
        <f t="shared" si="73"/>
        <v>52.336971990849527</v>
      </c>
      <c r="Q434" s="1">
        <f t="shared" si="74"/>
        <v>-22.189425604402206</v>
      </c>
      <c r="R434">
        <f>SQRT(Tabelle2[[#This Row],[vx]]*Tabelle2[[#This Row],[vx]]+Tabelle2[[#This Row],[vy]]*Tabelle2[[#This Row],[vy]])</f>
        <v>56.846541194907083</v>
      </c>
      <c r="S434">
        <f t="shared" si="75"/>
        <v>451.14469856112123</v>
      </c>
      <c r="T434" s="1">
        <f t="shared" si="76"/>
        <v>174.90465807067957</v>
      </c>
    </row>
    <row r="435" spans="6:20" x14ac:dyDescent="0.35">
      <c r="F435" s="1">
        <f t="shared" si="72"/>
        <v>8.6399999999999046</v>
      </c>
      <c r="G435">
        <f>1/2*$B$8*$B$6*$B$7*(Tabelle2[[#This Row],[vx]]*Tabelle2[[#This Row],[vx]]+Tabelle2[[#This Row],[vy]]*Tabelle2[[#This Row],[vy]])/1000000</f>
        <v>5.7317824679453615</v>
      </c>
      <c r="H435">
        <f>IF($B$3,-Tabelle2[[#This Row],[Fd]]*Tabelle2[[#This Row],[vx]]/Tabelle2[[#This Row],[v]],0)</f>
        <v>0</v>
      </c>
      <c r="I435">
        <f t="shared" si="66"/>
        <v>0</v>
      </c>
      <c r="J435">
        <f t="shared" si="67"/>
        <v>0</v>
      </c>
      <c r="K435">
        <f t="shared" si="68"/>
        <v>1.0467394398169905</v>
      </c>
      <c r="L435">
        <f>-$B$5*$B$12-IF($B$3,Tabelle2[[#This Row],[Fd]]*Tabelle2[[#This Row],[vy]]/Tabelle2[[#This Row],[v]],0)</f>
        <v>-14.715</v>
      </c>
      <c r="M435">
        <f t="shared" si="69"/>
        <v>-9.81</v>
      </c>
      <c r="N435">
        <f t="shared" si="70"/>
        <v>-0.19620000000000001</v>
      </c>
      <c r="O435">
        <f t="shared" si="71"/>
        <v>-0.44967451208804415</v>
      </c>
      <c r="P435" s="1">
        <f t="shared" si="73"/>
        <v>52.336971990849527</v>
      </c>
      <c r="Q435" s="1">
        <f t="shared" si="74"/>
        <v>-22.385625604402208</v>
      </c>
      <c r="R435">
        <f>SQRT(Tabelle2[[#This Row],[vx]]*Tabelle2[[#This Row],[vx]]+Tabelle2[[#This Row],[vy]]*Tabelle2[[#This Row],[vy]])</f>
        <v>56.923412326312935</v>
      </c>
      <c r="S435">
        <f t="shared" si="75"/>
        <v>452.19143800093821</v>
      </c>
      <c r="T435" s="1">
        <f t="shared" si="76"/>
        <v>174.45890755859153</v>
      </c>
    </row>
    <row r="436" spans="6:20" x14ac:dyDescent="0.35">
      <c r="F436" s="1">
        <f t="shared" si="72"/>
        <v>8.6599999999999042</v>
      </c>
      <c r="G436">
        <f>1/2*$B$8*$B$6*$B$7*(Tabelle2[[#This Row],[vx]]*Tabelle2[[#This Row],[vx]]+Tabelle2[[#This Row],[vy]]*Tabelle2[[#This Row],[vy]])/1000000</f>
        <v>5.747388953766607</v>
      </c>
      <c r="H436">
        <f>IF($B$3,-Tabelle2[[#This Row],[Fd]]*Tabelle2[[#This Row],[vx]]/Tabelle2[[#This Row],[v]],0)</f>
        <v>0</v>
      </c>
      <c r="I436">
        <f t="shared" si="66"/>
        <v>0</v>
      </c>
      <c r="J436">
        <f t="shared" si="67"/>
        <v>0</v>
      </c>
      <c r="K436">
        <f t="shared" si="68"/>
        <v>1.0467394398169905</v>
      </c>
      <c r="L436">
        <f>-$B$5*$B$12-IF($B$3,Tabelle2[[#This Row],[Fd]]*Tabelle2[[#This Row],[vy]]/Tabelle2[[#This Row],[v]],0)</f>
        <v>-14.715</v>
      </c>
      <c r="M436">
        <f t="shared" si="69"/>
        <v>-9.81</v>
      </c>
      <c r="N436">
        <f t="shared" si="70"/>
        <v>-0.19620000000000001</v>
      </c>
      <c r="O436">
        <f t="shared" si="71"/>
        <v>-0.45359851208804414</v>
      </c>
      <c r="P436" s="1">
        <f t="shared" si="73"/>
        <v>52.336971990849527</v>
      </c>
      <c r="Q436" s="1">
        <f t="shared" si="74"/>
        <v>-22.581825604402209</v>
      </c>
      <c r="R436">
        <f>SQRT(Tabelle2[[#This Row],[vx]]*Tabelle2[[#This Row],[vx]]+Tabelle2[[#This Row],[vy]]*Tabelle2[[#This Row],[vy]])</f>
        <v>57.000855123397955</v>
      </c>
      <c r="S436">
        <f t="shared" si="75"/>
        <v>453.23817744075518</v>
      </c>
      <c r="T436" s="1">
        <f t="shared" si="76"/>
        <v>174.00923304650348</v>
      </c>
    </row>
    <row r="437" spans="6:20" x14ac:dyDescent="0.35">
      <c r="F437" s="1">
        <f t="shared" si="72"/>
        <v>8.6799999999999038</v>
      </c>
      <c r="G437">
        <f>1/2*$B$8*$B$6*$B$7*(Tabelle2[[#This Row],[vx]]*Tabelle2[[#This Row],[vx]]+Tabelle2[[#This Row],[vy]]*Tabelle2[[#This Row],[vy]])/1000000</f>
        <v>5.7631316266491943</v>
      </c>
      <c r="H437">
        <f>IF($B$3,-Tabelle2[[#This Row],[Fd]]*Tabelle2[[#This Row],[vx]]/Tabelle2[[#This Row],[v]],0)</f>
        <v>0</v>
      </c>
      <c r="I437">
        <f t="shared" si="66"/>
        <v>0</v>
      </c>
      <c r="J437">
        <f t="shared" si="67"/>
        <v>0</v>
      </c>
      <c r="K437">
        <f t="shared" si="68"/>
        <v>1.0467394398169905</v>
      </c>
      <c r="L437">
        <f>-$B$5*$B$12-IF($B$3,Tabelle2[[#This Row],[Fd]]*Tabelle2[[#This Row],[vy]]/Tabelle2[[#This Row],[v]],0)</f>
        <v>-14.715</v>
      </c>
      <c r="M437">
        <f t="shared" si="69"/>
        <v>-9.81</v>
      </c>
      <c r="N437">
        <f t="shared" si="70"/>
        <v>-0.19620000000000001</v>
      </c>
      <c r="O437">
        <f t="shared" si="71"/>
        <v>-0.45752251208804418</v>
      </c>
      <c r="P437" s="1">
        <f t="shared" si="73"/>
        <v>52.336971990849527</v>
      </c>
      <c r="Q437" s="1">
        <f t="shared" si="74"/>
        <v>-22.77802560440221</v>
      </c>
      <c r="R437">
        <f>SQRT(Tabelle2[[#This Row],[vx]]*Tabelle2[[#This Row],[vx]]+Tabelle2[[#This Row],[vy]]*Tabelle2[[#This Row],[vy]])</f>
        <v>57.078867259308595</v>
      </c>
      <c r="S437">
        <f t="shared" si="75"/>
        <v>454.28491688057215</v>
      </c>
      <c r="T437" s="1">
        <f t="shared" si="76"/>
        <v>173.55563453441545</v>
      </c>
    </row>
    <row r="438" spans="6:20" x14ac:dyDescent="0.35">
      <c r="F438" s="1">
        <f t="shared" si="72"/>
        <v>8.6999999999999034</v>
      </c>
      <c r="G438">
        <f>1/2*$B$8*$B$6*$B$7*(Tabelle2[[#This Row],[vx]]*Tabelle2[[#This Row],[vx]]+Tabelle2[[#This Row],[vy]]*Tabelle2[[#This Row],[vy]])/1000000</f>
        <v>5.7790104865931271</v>
      </c>
      <c r="H438">
        <f>IF($B$3,-Tabelle2[[#This Row],[Fd]]*Tabelle2[[#This Row],[vx]]/Tabelle2[[#This Row],[v]],0)</f>
        <v>0</v>
      </c>
      <c r="I438">
        <f t="shared" si="66"/>
        <v>0</v>
      </c>
      <c r="J438">
        <f t="shared" si="67"/>
        <v>0</v>
      </c>
      <c r="K438">
        <f t="shared" si="68"/>
        <v>1.0467394398169905</v>
      </c>
      <c r="L438">
        <f>-$B$5*$B$12-IF($B$3,Tabelle2[[#This Row],[Fd]]*Tabelle2[[#This Row],[vy]]/Tabelle2[[#This Row],[v]],0)</f>
        <v>-14.715</v>
      </c>
      <c r="M438">
        <f t="shared" si="69"/>
        <v>-9.81</v>
      </c>
      <c r="N438">
        <f t="shared" si="70"/>
        <v>-0.19620000000000001</v>
      </c>
      <c r="O438">
        <f t="shared" si="71"/>
        <v>-0.46144651208804421</v>
      </c>
      <c r="P438" s="1">
        <f t="shared" si="73"/>
        <v>52.336971990849527</v>
      </c>
      <c r="Q438" s="1">
        <f t="shared" si="74"/>
        <v>-22.974225604402211</v>
      </c>
      <c r="R438">
        <f>SQRT(Tabelle2[[#This Row],[vx]]*Tabelle2[[#This Row],[vx]]+Tabelle2[[#This Row],[vy]]*Tabelle2[[#This Row],[vy]])</f>
        <v>57.157446402834843</v>
      </c>
      <c r="S438">
        <f t="shared" si="75"/>
        <v>455.33165632038913</v>
      </c>
      <c r="T438" s="1">
        <f t="shared" si="76"/>
        <v>173.0981120223274</v>
      </c>
    </row>
    <row r="439" spans="6:20" x14ac:dyDescent="0.35">
      <c r="F439" s="1">
        <f t="shared" si="72"/>
        <v>8.7199999999999029</v>
      </c>
      <c r="G439">
        <f>1/2*$B$8*$B$6*$B$7*(Tabelle2[[#This Row],[vx]]*Tabelle2[[#This Row],[vx]]+Tabelle2[[#This Row],[vy]]*Tabelle2[[#This Row],[vy]])/1000000</f>
        <v>5.7950255335984036</v>
      </c>
      <c r="H439">
        <f>IF($B$3,-Tabelle2[[#This Row],[Fd]]*Tabelle2[[#This Row],[vx]]/Tabelle2[[#This Row],[v]],0)</f>
        <v>0</v>
      </c>
      <c r="I439">
        <f t="shared" si="66"/>
        <v>0</v>
      </c>
      <c r="J439">
        <f t="shared" si="67"/>
        <v>0</v>
      </c>
      <c r="K439">
        <f t="shared" si="68"/>
        <v>1.0467394398169905</v>
      </c>
      <c r="L439">
        <f>-$B$5*$B$12-IF($B$3,Tabelle2[[#This Row],[Fd]]*Tabelle2[[#This Row],[vy]]/Tabelle2[[#This Row],[v]],0)</f>
        <v>-14.715</v>
      </c>
      <c r="M439">
        <f t="shared" si="69"/>
        <v>-9.81</v>
      </c>
      <c r="N439">
        <f t="shared" si="70"/>
        <v>-0.19620000000000001</v>
      </c>
      <c r="O439">
        <f t="shared" si="71"/>
        <v>-0.4653705120880442</v>
      </c>
      <c r="P439" s="1">
        <f t="shared" si="73"/>
        <v>52.336971990849527</v>
      </c>
      <c r="Q439" s="1">
        <f t="shared" si="74"/>
        <v>-23.170425604402212</v>
      </c>
      <c r="R439">
        <f>SQRT(Tabelle2[[#This Row],[vx]]*Tabelle2[[#This Row],[vx]]+Tabelle2[[#This Row],[vy]]*Tabelle2[[#This Row],[vy]])</f>
        <v>57.236590218671353</v>
      </c>
      <c r="S439">
        <f t="shared" si="75"/>
        <v>456.3783957602061</v>
      </c>
      <c r="T439" s="1">
        <f t="shared" si="76"/>
        <v>172.63666551023937</v>
      </c>
    </row>
    <row r="440" spans="6:20" x14ac:dyDescent="0.35">
      <c r="F440" s="1">
        <f t="shared" si="72"/>
        <v>8.7399999999999025</v>
      </c>
      <c r="G440">
        <f>1/2*$B$8*$B$6*$B$7*(Tabelle2[[#This Row],[vx]]*Tabelle2[[#This Row],[vx]]+Tabelle2[[#This Row],[vy]]*Tabelle2[[#This Row],[vy]])/1000000</f>
        <v>5.8111767676650228</v>
      </c>
      <c r="H440">
        <f>IF($B$3,-Tabelle2[[#This Row],[Fd]]*Tabelle2[[#This Row],[vx]]/Tabelle2[[#This Row],[v]],0)</f>
        <v>0</v>
      </c>
      <c r="I440">
        <f t="shared" si="66"/>
        <v>0</v>
      </c>
      <c r="J440">
        <f t="shared" si="67"/>
        <v>0</v>
      </c>
      <c r="K440">
        <f t="shared" si="68"/>
        <v>1.0467394398169905</v>
      </c>
      <c r="L440">
        <f>-$B$5*$B$12-IF($B$3,Tabelle2[[#This Row],[Fd]]*Tabelle2[[#This Row],[vy]]/Tabelle2[[#This Row],[v]],0)</f>
        <v>-14.715</v>
      </c>
      <c r="M440">
        <f t="shared" si="69"/>
        <v>-9.81</v>
      </c>
      <c r="N440">
        <f t="shared" si="70"/>
        <v>-0.19620000000000001</v>
      </c>
      <c r="O440">
        <f t="shared" si="71"/>
        <v>-0.46929451208804424</v>
      </c>
      <c r="P440" s="1">
        <f t="shared" si="73"/>
        <v>52.336971990849527</v>
      </c>
      <c r="Q440" s="1">
        <f t="shared" si="74"/>
        <v>-23.366625604402213</v>
      </c>
      <c r="R440">
        <f>SQRT(Tabelle2[[#This Row],[vx]]*Tabelle2[[#This Row],[vx]]+Tabelle2[[#This Row],[vy]]*Tabelle2[[#This Row],[vy]])</f>
        <v>57.316296367676031</v>
      </c>
      <c r="S440">
        <f t="shared" si="75"/>
        <v>457.42513520002308</v>
      </c>
      <c r="T440" s="1">
        <f t="shared" si="76"/>
        <v>172.17129499815132</v>
      </c>
    </row>
    <row r="441" spans="6:20" x14ac:dyDescent="0.35">
      <c r="F441" s="1">
        <f t="shared" si="72"/>
        <v>8.7599999999999021</v>
      </c>
      <c r="G441">
        <f>1/2*$B$8*$B$6*$B$7*(Tabelle2[[#This Row],[vx]]*Tabelle2[[#This Row],[vx]]+Tabelle2[[#This Row],[vy]]*Tabelle2[[#This Row],[vy]])/1000000</f>
        <v>5.8274641887929866</v>
      </c>
      <c r="H441">
        <f>IF($B$3,-Tabelle2[[#This Row],[Fd]]*Tabelle2[[#This Row],[vx]]/Tabelle2[[#This Row],[v]],0)</f>
        <v>0</v>
      </c>
      <c r="I441">
        <f t="shared" si="66"/>
        <v>0</v>
      </c>
      <c r="J441">
        <f t="shared" si="67"/>
        <v>0</v>
      </c>
      <c r="K441">
        <f t="shared" si="68"/>
        <v>1.0467394398169905</v>
      </c>
      <c r="L441">
        <f>-$B$5*$B$12-IF($B$3,Tabelle2[[#This Row],[Fd]]*Tabelle2[[#This Row],[vy]]/Tabelle2[[#This Row],[v]],0)</f>
        <v>-14.715</v>
      </c>
      <c r="M441">
        <f t="shared" si="69"/>
        <v>-9.81</v>
      </c>
      <c r="N441">
        <f t="shared" si="70"/>
        <v>-0.19620000000000001</v>
      </c>
      <c r="O441">
        <f t="shared" si="71"/>
        <v>-0.47321851208804427</v>
      </c>
      <c r="P441" s="1">
        <f t="shared" si="73"/>
        <v>52.336971990849527</v>
      </c>
      <c r="Q441" s="1">
        <f t="shared" si="74"/>
        <v>-23.562825604402214</v>
      </c>
      <c r="R441">
        <f>SQRT(Tabelle2[[#This Row],[vx]]*Tabelle2[[#This Row],[vx]]+Tabelle2[[#This Row],[vy]]*Tabelle2[[#This Row],[vy]])</f>
        <v>57.396562507126156</v>
      </c>
      <c r="S441">
        <f t="shared" si="75"/>
        <v>458.47187463984005</v>
      </c>
      <c r="T441" s="1">
        <f t="shared" si="76"/>
        <v>171.70200048606327</v>
      </c>
    </row>
    <row r="442" spans="6:20" x14ac:dyDescent="0.35">
      <c r="F442" s="1">
        <f t="shared" si="72"/>
        <v>8.7799999999999017</v>
      </c>
      <c r="G442">
        <f>1/2*$B$8*$B$6*$B$7*(Tabelle2[[#This Row],[vx]]*Tabelle2[[#This Row],[vx]]+Tabelle2[[#This Row],[vy]]*Tabelle2[[#This Row],[vy]])/1000000</f>
        <v>5.8438877969822958</v>
      </c>
      <c r="H442">
        <f>IF($B$3,-Tabelle2[[#This Row],[Fd]]*Tabelle2[[#This Row],[vx]]/Tabelle2[[#This Row],[v]],0)</f>
        <v>0</v>
      </c>
      <c r="I442">
        <f t="shared" si="66"/>
        <v>0</v>
      </c>
      <c r="J442">
        <f t="shared" si="67"/>
        <v>0</v>
      </c>
      <c r="K442">
        <f t="shared" si="68"/>
        <v>1.0467394398169905</v>
      </c>
      <c r="L442">
        <f>-$B$5*$B$12-IF($B$3,Tabelle2[[#This Row],[Fd]]*Tabelle2[[#This Row],[vy]]/Tabelle2[[#This Row],[v]],0)</f>
        <v>-14.715</v>
      </c>
      <c r="M442">
        <f t="shared" si="69"/>
        <v>-9.81</v>
      </c>
      <c r="N442">
        <f t="shared" si="70"/>
        <v>-0.19620000000000001</v>
      </c>
      <c r="O442">
        <f t="shared" si="71"/>
        <v>-0.47714251208804426</v>
      </c>
      <c r="P442" s="1">
        <f t="shared" si="73"/>
        <v>52.336971990849527</v>
      </c>
      <c r="Q442" s="1">
        <f t="shared" si="74"/>
        <v>-23.759025604402215</v>
      </c>
      <c r="R442">
        <f>SQRT(Tabelle2[[#This Row],[vx]]*Tabelle2[[#This Row],[vx]]+Tabelle2[[#This Row],[vy]]*Tabelle2[[#This Row],[vy]])</f>
        <v>57.477386290971928</v>
      </c>
      <c r="S442">
        <f t="shared" si="75"/>
        <v>459.51861407965703</v>
      </c>
      <c r="T442" s="1">
        <f t="shared" si="76"/>
        <v>171.22878197397523</v>
      </c>
    </row>
    <row r="443" spans="6:20" x14ac:dyDescent="0.35">
      <c r="F443" s="1">
        <f t="shared" si="72"/>
        <v>8.7999999999999012</v>
      </c>
      <c r="G443">
        <f>1/2*$B$8*$B$6*$B$7*(Tabelle2[[#This Row],[vx]]*Tabelle2[[#This Row],[vx]]+Tabelle2[[#This Row],[vy]]*Tabelle2[[#This Row],[vy]])/1000000</f>
        <v>5.8604475922329478</v>
      </c>
      <c r="H443">
        <f>IF($B$3,-Tabelle2[[#This Row],[Fd]]*Tabelle2[[#This Row],[vx]]/Tabelle2[[#This Row],[v]],0)</f>
        <v>0</v>
      </c>
      <c r="I443">
        <f t="shared" si="66"/>
        <v>0</v>
      </c>
      <c r="J443">
        <f t="shared" si="67"/>
        <v>0</v>
      </c>
      <c r="K443">
        <f t="shared" si="68"/>
        <v>1.0467394398169905</v>
      </c>
      <c r="L443">
        <f>-$B$5*$B$12-IF($B$3,Tabelle2[[#This Row],[Fd]]*Tabelle2[[#This Row],[vy]]/Tabelle2[[#This Row],[v]],0)</f>
        <v>-14.715</v>
      </c>
      <c r="M443">
        <f t="shared" si="69"/>
        <v>-9.81</v>
      </c>
      <c r="N443">
        <f t="shared" si="70"/>
        <v>-0.19620000000000001</v>
      </c>
      <c r="O443">
        <f t="shared" si="71"/>
        <v>-0.4810665120880443</v>
      </c>
      <c r="P443" s="1">
        <f t="shared" si="73"/>
        <v>52.336971990849527</v>
      </c>
      <c r="Q443" s="1">
        <f t="shared" si="74"/>
        <v>-23.955225604402216</v>
      </c>
      <c r="R443">
        <f>SQRT(Tabelle2[[#This Row],[vx]]*Tabelle2[[#This Row],[vx]]+Tabelle2[[#This Row],[vy]]*Tabelle2[[#This Row],[vy]])</f>
        <v>57.558765370087428</v>
      </c>
      <c r="S443">
        <f t="shared" si="75"/>
        <v>460.565353519474</v>
      </c>
      <c r="T443" s="1">
        <f t="shared" si="76"/>
        <v>170.75163946188718</v>
      </c>
    </row>
    <row r="444" spans="6:20" x14ac:dyDescent="0.35">
      <c r="F444" s="1">
        <f t="shared" si="72"/>
        <v>8.8199999999999008</v>
      </c>
      <c r="G444">
        <f>1/2*$B$8*$B$6*$B$7*(Tabelle2[[#This Row],[vx]]*Tabelle2[[#This Row],[vx]]+Tabelle2[[#This Row],[vy]]*Tabelle2[[#This Row],[vy]])/1000000</f>
        <v>5.8771435745449443</v>
      </c>
      <c r="H444">
        <f>IF($B$3,-Tabelle2[[#This Row],[Fd]]*Tabelle2[[#This Row],[vx]]/Tabelle2[[#This Row],[v]],0)</f>
        <v>0</v>
      </c>
      <c r="I444">
        <f t="shared" si="66"/>
        <v>0</v>
      </c>
      <c r="J444">
        <f t="shared" si="67"/>
        <v>0</v>
      </c>
      <c r="K444">
        <f t="shared" si="68"/>
        <v>1.0467394398169905</v>
      </c>
      <c r="L444">
        <f>-$B$5*$B$12-IF($B$3,Tabelle2[[#This Row],[Fd]]*Tabelle2[[#This Row],[vy]]/Tabelle2[[#This Row],[v]],0)</f>
        <v>-14.715</v>
      </c>
      <c r="M444">
        <f t="shared" si="69"/>
        <v>-9.81</v>
      </c>
      <c r="N444">
        <f t="shared" si="70"/>
        <v>-0.19620000000000001</v>
      </c>
      <c r="O444">
        <f t="shared" si="71"/>
        <v>-0.48499051208804433</v>
      </c>
      <c r="P444" s="1">
        <f t="shared" si="73"/>
        <v>52.336971990849527</v>
      </c>
      <c r="Q444" s="1">
        <f t="shared" si="74"/>
        <v>-24.151425604402217</v>
      </c>
      <c r="R444">
        <f>SQRT(Tabelle2[[#This Row],[vx]]*Tabelle2[[#This Row],[vx]]+Tabelle2[[#This Row],[vy]]*Tabelle2[[#This Row],[vy]])</f>
        <v>57.640697392518966</v>
      </c>
      <c r="S444">
        <f t="shared" si="75"/>
        <v>461.61209295929098</v>
      </c>
      <c r="T444" s="1">
        <f t="shared" si="76"/>
        <v>170.27057294979915</v>
      </c>
    </row>
    <row r="445" spans="6:20" x14ac:dyDescent="0.35">
      <c r="F445" s="1">
        <f t="shared" si="72"/>
        <v>8.8399999999999004</v>
      </c>
      <c r="G445">
        <f>1/2*$B$8*$B$6*$B$7*(Tabelle2[[#This Row],[vx]]*Tabelle2[[#This Row],[vx]]+Tabelle2[[#This Row],[vy]]*Tabelle2[[#This Row],[vy]])/1000000</f>
        <v>5.8939757439182836</v>
      </c>
      <c r="H445">
        <f>IF($B$3,-Tabelle2[[#This Row],[Fd]]*Tabelle2[[#This Row],[vx]]/Tabelle2[[#This Row],[v]],0)</f>
        <v>0</v>
      </c>
      <c r="I445">
        <f t="shared" si="66"/>
        <v>0</v>
      </c>
      <c r="J445">
        <f t="shared" si="67"/>
        <v>0</v>
      </c>
      <c r="K445">
        <f t="shared" si="68"/>
        <v>1.0467394398169905</v>
      </c>
      <c r="L445">
        <f>-$B$5*$B$12-IF($B$3,Tabelle2[[#This Row],[Fd]]*Tabelle2[[#This Row],[vy]]/Tabelle2[[#This Row],[v]],0)</f>
        <v>-14.715</v>
      </c>
      <c r="M445">
        <f t="shared" si="69"/>
        <v>-9.81</v>
      </c>
      <c r="N445">
        <f t="shared" si="70"/>
        <v>-0.19620000000000001</v>
      </c>
      <c r="O445">
        <f t="shared" si="71"/>
        <v>-0.48891451208804432</v>
      </c>
      <c r="P445" s="1">
        <f t="shared" si="73"/>
        <v>52.336971990849527</v>
      </c>
      <c r="Q445" s="1">
        <f t="shared" si="74"/>
        <v>-24.347625604402218</v>
      </c>
      <c r="R445">
        <f>SQRT(Tabelle2[[#This Row],[vx]]*Tabelle2[[#This Row],[vx]]+Tabelle2[[#This Row],[vy]]*Tabelle2[[#This Row],[vy]])</f>
        <v>57.723180003730825</v>
      </c>
      <c r="S445">
        <f t="shared" si="75"/>
        <v>462.65883239910795</v>
      </c>
      <c r="T445" s="1">
        <f t="shared" si="76"/>
        <v>169.7855824377111</v>
      </c>
    </row>
    <row r="446" spans="6:20" x14ac:dyDescent="0.35">
      <c r="F446" s="1">
        <f t="shared" si="72"/>
        <v>8.8599999999999</v>
      </c>
      <c r="G446">
        <f>1/2*$B$8*$B$6*$B$7*(Tabelle2[[#This Row],[vx]]*Tabelle2[[#This Row],[vx]]+Tabelle2[[#This Row],[vy]]*Tabelle2[[#This Row],[vy]])/1000000</f>
        <v>5.9109441003529684</v>
      </c>
      <c r="H446">
        <f>IF($B$3,-Tabelle2[[#This Row],[Fd]]*Tabelle2[[#This Row],[vx]]/Tabelle2[[#This Row],[v]],0)</f>
        <v>0</v>
      </c>
      <c r="I446">
        <f t="shared" si="66"/>
        <v>0</v>
      </c>
      <c r="J446">
        <f t="shared" si="67"/>
        <v>0</v>
      </c>
      <c r="K446">
        <f t="shared" si="68"/>
        <v>1.0467394398169905</v>
      </c>
      <c r="L446">
        <f>-$B$5*$B$12-IF($B$3,Tabelle2[[#This Row],[Fd]]*Tabelle2[[#This Row],[vy]]/Tabelle2[[#This Row],[v]],0)</f>
        <v>-14.715</v>
      </c>
      <c r="M446">
        <f t="shared" si="69"/>
        <v>-9.81</v>
      </c>
      <c r="N446">
        <f t="shared" si="70"/>
        <v>-0.19620000000000001</v>
      </c>
      <c r="O446">
        <f t="shared" si="71"/>
        <v>-0.49283851208804436</v>
      </c>
      <c r="P446" s="1">
        <f t="shared" si="73"/>
        <v>52.336971990849527</v>
      </c>
      <c r="Q446" s="1">
        <f t="shared" si="74"/>
        <v>-24.543825604402219</v>
      </c>
      <c r="R446">
        <f>SQRT(Tabelle2[[#This Row],[vx]]*Tabelle2[[#This Row],[vx]]+Tabelle2[[#This Row],[vy]]*Tabelle2[[#This Row],[vy]])</f>
        <v>57.806210846848259</v>
      </c>
      <c r="S446">
        <f t="shared" si="75"/>
        <v>463.70557183892493</v>
      </c>
      <c r="T446" s="1">
        <f t="shared" si="76"/>
        <v>169.29666792562304</v>
      </c>
    </row>
    <row r="447" spans="6:20" x14ac:dyDescent="0.35">
      <c r="F447" s="1">
        <f t="shared" si="72"/>
        <v>8.8799999999998995</v>
      </c>
      <c r="G447">
        <f>1/2*$B$8*$B$6*$B$7*(Tabelle2[[#This Row],[vx]]*Tabelle2[[#This Row],[vx]]+Tabelle2[[#This Row],[vy]]*Tabelle2[[#This Row],[vy]])/1000000</f>
        <v>5.9280486438489968</v>
      </c>
      <c r="H447">
        <f>IF($B$3,-Tabelle2[[#This Row],[Fd]]*Tabelle2[[#This Row],[vx]]/Tabelle2[[#This Row],[v]],0)</f>
        <v>0</v>
      </c>
      <c r="I447">
        <f t="shared" si="66"/>
        <v>0</v>
      </c>
      <c r="J447">
        <f t="shared" si="67"/>
        <v>0</v>
      </c>
      <c r="K447">
        <f t="shared" si="68"/>
        <v>1.0467394398169905</v>
      </c>
      <c r="L447">
        <f>-$B$5*$B$12-IF($B$3,Tabelle2[[#This Row],[Fd]]*Tabelle2[[#This Row],[vy]]/Tabelle2[[#This Row],[v]],0)</f>
        <v>-14.715</v>
      </c>
      <c r="M447">
        <f t="shared" si="69"/>
        <v>-9.81</v>
      </c>
      <c r="N447">
        <f t="shared" si="70"/>
        <v>-0.19620000000000001</v>
      </c>
      <c r="O447">
        <f t="shared" si="71"/>
        <v>-0.49676251208804439</v>
      </c>
      <c r="P447" s="1">
        <f t="shared" si="73"/>
        <v>52.336971990849527</v>
      </c>
      <c r="Q447" s="1">
        <f t="shared" si="74"/>
        <v>-24.74002560440222</v>
      </c>
      <c r="R447">
        <f>SQRT(Tabelle2[[#This Row],[vx]]*Tabelle2[[#This Row],[vx]]+Tabelle2[[#This Row],[vy]]*Tabelle2[[#This Row],[vy]])</f>
        <v>57.889787562897872</v>
      </c>
      <c r="S447">
        <f t="shared" si="75"/>
        <v>464.7523112787419</v>
      </c>
      <c r="T447" s="1">
        <f t="shared" si="76"/>
        <v>168.803829413535</v>
      </c>
    </row>
    <row r="448" spans="6:20" x14ac:dyDescent="0.35">
      <c r="F448" s="1">
        <f t="shared" si="72"/>
        <v>8.8999999999998991</v>
      </c>
      <c r="G448">
        <f>1/2*$B$8*$B$6*$B$7*(Tabelle2[[#This Row],[vx]]*Tabelle2[[#This Row],[vx]]+Tabelle2[[#This Row],[vy]]*Tabelle2[[#This Row],[vy]])/1000000</f>
        <v>5.9452893744063688</v>
      </c>
      <c r="H448">
        <f>IF($B$3,-Tabelle2[[#This Row],[Fd]]*Tabelle2[[#This Row],[vx]]/Tabelle2[[#This Row],[v]],0)</f>
        <v>0</v>
      </c>
      <c r="I448">
        <f t="shared" si="66"/>
        <v>0</v>
      </c>
      <c r="J448">
        <f t="shared" si="67"/>
        <v>0</v>
      </c>
      <c r="K448">
        <f t="shared" si="68"/>
        <v>1.0467394398169905</v>
      </c>
      <c r="L448">
        <f>-$B$5*$B$12-IF($B$3,Tabelle2[[#This Row],[Fd]]*Tabelle2[[#This Row],[vy]]/Tabelle2[[#This Row],[v]],0)</f>
        <v>-14.715</v>
      </c>
      <c r="M448">
        <f t="shared" si="69"/>
        <v>-9.81</v>
      </c>
      <c r="N448">
        <f t="shared" si="70"/>
        <v>-0.19620000000000001</v>
      </c>
      <c r="O448">
        <f t="shared" si="71"/>
        <v>-0.50068651208804438</v>
      </c>
      <c r="P448" s="1">
        <f t="shared" si="73"/>
        <v>52.336971990849527</v>
      </c>
      <c r="Q448" s="1">
        <f t="shared" si="74"/>
        <v>-24.936225604402221</v>
      </c>
      <c r="R448">
        <f>SQRT(Tabelle2[[#This Row],[vx]]*Tabelle2[[#This Row],[vx]]+Tabelle2[[#This Row],[vy]]*Tabelle2[[#This Row],[vy]])</f>
        <v>57.973907791045214</v>
      </c>
      <c r="S448">
        <f t="shared" si="75"/>
        <v>465.79905071855887</v>
      </c>
      <c r="T448" s="1">
        <f t="shared" si="76"/>
        <v>168.30706690144694</v>
      </c>
    </row>
    <row r="449" spans="6:20" x14ac:dyDescent="0.35">
      <c r="F449" s="1">
        <f t="shared" si="72"/>
        <v>8.9199999999998987</v>
      </c>
      <c r="G449">
        <f>1/2*$B$8*$B$6*$B$7*(Tabelle2[[#This Row],[vx]]*Tabelle2[[#This Row],[vx]]+Tabelle2[[#This Row],[vy]]*Tabelle2[[#This Row],[vy]])/1000000</f>
        <v>5.9626662920250846</v>
      </c>
      <c r="H449">
        <f>IF($B$3,-Tabelle2[[#This Row],[Fd]]*Tabelle2[[#This Row],[vx]]/Tabelle2[[#This Row],[v]],0)</f>
        <v>0</v>
      </c>
      <c r="I449">
        <f t="shared" si="66"/>
        <v>0</v>
      </c>
      <c r="J449">
        <f t="shared" si="67"/>
        <v>0</v>
      </c>
      <c r="K449">
        <f t="shared" si="68"/>
        <v>1.0467394398169905</v>
      </c>
      <c r="L449">
        <f>-$B$5*$B$12-IF($B$3,Tabelle2[[#This Row],[Fd]]*Tabelle2[[#This Row],[vy]]/Tabelle2[[#This Row],[v]],0)</f>
        <v>-14.715</v>
      </c>
      <c r="M449">
        <f t="shared" si="69"/>
        <v>-9.81</v>
      </c>
      <c r="N449">
        <f t="shared" si="70"/>
        <v>-0.19620000000000001</v>
      </c>
      <c r="O449">
        <f t="shared" si="71"/>
        <v>-0.50461051208804442</v>
      </c>
      <c r="P449" s="1">
        <f t="shared" si="73"/>
        <v>52.336971990849527</v>
      </c>
      <c r="Q449" s="1">
        <f t="shared" si="74"/>
        <v>-25.132425604402222</v>
      </c>
      <c r="R449">
        <f>SQRT(Tabelle2[[#This Row],[vx]]*Tabelle2[[#This Row],[vx]]+Tabelle2[[#This Row],[vy]]*Tabelle2[[#This Row],[vy]])</f>
        <v>58.058569168829678</v>
      </c>
      <c r="S449">
        <f t="shared" si="75"/>
        <v>466.84579015837585</v>
      </c>
      <c r="T449" s="1">
        <f t="shared" si="76"/>
        <v>167.80638038935891</v>
      </c>
    </row>
    <row r="450" spans="6:20" x14ac:dyDescent="0.35">
      <c r="F450" s="1">
        <f t="shared" si="72"/>
        <v>8.9399999999998983</v>
      </c>
      <c r="G450">
        <f>1/2*$B$8*$B$6*$B$7*(Tabelle2[[#This Row],[vx]]*Tabelle2[[#This Row],[vx]]+Tabelle2[[#This Row],[vy]]*Tabelle2[[#This Row],[vy]])/1000000</f>
        <v>5.9801793967051449</v>
      </c>
      <c r="H450">
        <f>IF($B$3,-Tabelle2[[#This Row],[Fd]]*Tabelle2[[#This Row],[vx]]/Tabelle2[[#This Row],[v]],0)</f>
        <v>0</v>
      </c>
      <c r="I450">
        <f t="shared" si="66"/>
        <v>0</v>
      </c>
      <c r="J450">
        <f t="shared" si="67"/>
        <v>0</v>
      </c>
      <c r="K450">
        <f t="shared" si="68"/>
        <v>1.0467394398169905</v>
      </c>
      <c r="L450">
        <f>-$B$5*$B$12-IF($B$3,Tabelle2[[#This Row],[Fd]]*Tabelle2[[#This Row],[vy]]/Tabelle2[[#This Row],[v]],0)</f>
        <v>-14.715</v>
      </c>
      <c r="M450">
        <f t="shared" si="69"/>
        <v>-9.81</v>
      </c>
      <c r="N450">
        <f t="shared" si="70"/>
        <v>-0.19620000000000001</v>
      </c>
      <c r="O450">
        <f t="shared" si="71"/>
        <v>-0.50853451208804445</v>
      </c>
      <c r="P450" s="1">
        <f t="shared" si="73"/>
        <v>52.336971990849527</v>
      </c>
      <c r="Q450" s="1">
        <f t="shared" si="74"/>
        <v>-25.328625604402223</v>
      </c>
      <c r="R450">
        <f>SQRT(Tabelle2[[#This Row],[vx]]*Tabelle2[[#This Row],[vx]]+Tabelle2[[#This Row],[vy]]*Tabelle2[[#This Row],[vy]])</f>
        <v>58.143769332396637</v>
      </c>
      <c r="S450">
        <f t="shared" si="75"/>
        <v>467.89252959819282</v>
      </c>
      <c r="T450" s="1">
        <f t="shared" si="76"/>
        <v>167.30176987727086</v>
      </c>
    </row>
    <row r="451" spans="6:20" x14ac:dyDescent="0.35">
      <c r="F451" s="1">
        <f t="shared" si="72"/>
        <v>8.9599999999998978</v>
      </c>
      <c r="G451">
        <f>1/2*$B$8*$B$6*$B$7*(Tabelle2[[#This Row],[vx]]*Tabelle2[[#This Row],[vx]]+Tabelle2[[#This Row],[vy]]*Tabelle2[[#This Row],[vy]])/1000000</f>
        <v>5.9978286884465488</v>
      </c>
      <c r="H451">
        <f>IF($B$3,-Tabelle2[[#This Row],[Fd]]*Tabelle2[[#This Row],[vx]]/Tabelle2[[#This Row],[v]],0)</f>
        <v>0</v>
      </c>
      <c r="I451">
        <f t="shared" ref="I451:I514" si="77">H451/$B$5</f>
        <v>0</v>
      </c>
      <c r="J451">
        <f t="shared" ref="J451:J514" si="78">I451*$B$13</f>
        <v>0</v>
      </c>
      <c r="K451">
        <f t="shared" ref="K451:K514" si="79">$B$13*(P451+J451/2)</f>
        <v>1.0467394398169905</v>
      </c>
      <c r="L451">
        <f>-$B$5*$B$12-IF($B$3,Tabelle2[[#This Row],[Fd]]*Tabelle2[[#This Row],[vy]]/Tabelle2[[#This Row],[v]],0)</f>
        <v>-14.715</v>
      </c>
      <c r="M451">
        <f t="shared" ref="M451:M514" si="80">L451/$B$5</f>
        <v>-9.81</v>
      </c>
      <c r="N451">
        <f t="shared" ref="N451:N514" si="81">M451*$B$13</f>
        <v>-0.19620000000000001</v>
      </c>
      <c r="O451">
        <f t="shared" ref="O451:O514" si="82">$B$13*(Q451+N451/2)</f>
        <v>-0.51245851208804449</v>
      </c>
      <c r="P451" s="1">
        <f t="shared" si="73"/>
        <v>52.336971990849527</v>
      </c>
      <c r="Q451" s="1">
        <f t="shared" si="74"/>
        <v>-25.524825604402224</v>
      </c>
      <c r="R451">
        <f>SQRT(Tabelle2[[#This Row],[vx]]*Tabelle2[[#This Row],[vx]]+Tabelle2[[#This Row],[vy]]*Tabelle2[[#This Row],[vy]])</f>
        <v>58.229505916726744</v>
      </c>
      <c r="S451">
        <f t="shared" si="75"/>
        <v>468.9392690380098</v>
      </c>
      <c r="T451" s="1">
        <f t="shared" si="76"/>
        <v>166.79323536518282</v>
      </c>
    </row>
    <row r="452" spans="6:20" x14ac:dyDescent="0.35">
      <c r="F452" s="1">
        <f t="shared" ref="F452:F515" si="83">F451+$B$13</f>
        <v>8.9799999999998974</v>
      </c>
      <c r="G452">
        <f>1/2*$B$8*$B$6*$B$7*(Tabelle2[[#This Row],[vx]]*Tabelle2[[#This Row],[vx]]+Tabelle2[[#This Row],[vy]]*Tabelle2[[#This Row],[vy]])/1000000</f>
        <v>6.0156141672492964</v>
      </c>
      <c r="H452">
        <f>IF($B$3,-Tabelle2[[#This Row],[Fd]]*Tabelle2[[#This Row],[vx]]/Tabelle2[[#This Row],[v]],0)</f>
        <v>0</v>
      </c>
      <c r="I452">
        <f t="shared" si="77"/>
        <v>0</v>
      </c>
      <c r="J452">
        <f t="shared" si="78"/>
        <v>0</v>
      </c>
      <c r="K452">
        <f t="shared" si="79"/>
        <v>1.0467394398169905</v>
      </c>
      <c r="L452">
        <f>-$B$5*$B$12-IF($B$3,Tabelle2[[#This Row],[Fd]]*Tabelle2[[#This Row],[vy]]/Tabelle2[[#This Row],[v]],0)</f>
        <v>-14.715</v>
      </c>
      <c r="M452">
        <f t="shared" si="80"/>
        <v>-9.81</v>
      </c>
      <c r="N452">
        <f t="shared" si="81"/>
        <v>-0.19620000000000001</v>
      </c>
      <c r="O452">
        <f t="shared" si="82"/>
        <v>-0.51638251208804453</v>
      </c>
      <c r="P452" s="1">
        <f t="shared" ref="P452:P515" si="84">P451+J451</f>
        <v>52.336971990849527</v>
      </c>
      <c r="Q452" s="1">
        <f t="shared" ref="Q452:Q515" si="85">Q451+N451</f>
        <v>-25.721025604402225</v>
      </c>
      <c r="R452">
        <f>SQRT(Tabelle2[[#This Row],[vx]]*Tabelle2[[#This Row],[vx]]+Tabelle2[[#This Row],[vy]]*Tabelle2[[#This Row],[vy]])</f>
        <v>58.315776555862499</v>
      </c>
      <c r="S452">
        <f t="shared" ref="S452:S515" si="86">S451+K451</f>
        <v>469.98600847782677</v>
      </c>
      <c r="T452" s="1">
        <f t="shared" ref="T452:T515" si="87">T451+O451</f>
        <v>166.28077685309478</v>
      </c>
    </row>
    <row r="453" spans="6:20" x14ac:dyDescent="0.35">
      <c r="F453" s="1">
        <f t="shared" si="83"/>
        <v>8.999999999999897</v>
      </c>
      <c r="G453">
        <f>1/2*$B$8*$B$6*$B$7*(Tabelle2[[#This Row],[vx]]*Tabelle2[[#This Row],[vx]]+Tabelle2[[#This Row],[vy]]*Tabelle2[[#This Row],[vy]])/1000000</f>
        <v>6.0335358331133895</v>
      </c>
      <c r="H453">
        <f>IF($B$3,-Tabelle2[[#This Row],[Fd]]*Tabelle2[[#This Row],[vx]]/Tabelle2[[#This Row],[v]],0)</f>
        <v>0</v>
      </c>
      <c r="I453">
        <f t="shared" si="77"/>
        <v>0</v>
      </c>
      <c r="J453">
        <f t="shared" si="78"/>
        <v>0</v>
      </c>
      <c r="K453">
        <f t="shared" si="79"/>
        <v>1.0467394398169905</v>
      </c>
      <c r="L453">
        <f>-$B$5*$B$12-IF($B$3,Tabelle2[[#This Row],[Fd]]*Tabelle2[[#This Row],[vy]]/Tabelle2[[#This Row],[v]],0)</f>
        <v>-14.715</v>
      </c>
      <c r="M453">
        <f t="shared" si="80"/>
        <v>-9.81</v>
      </c>
      <c r="N453">
        <f t="shared" si="81"/>
        <v>-0.19620000000000001</v>
      </c>
      <c r="O453">
        <f t="shared" si="82"/>
        <v>-0.52030651208804446</v>
      </c>
      <c r="P453" s="1">
        <f t="shared" si="84"/>
        <v>52.336971990849527</v>
      </c>
      <c r="Q453" s="1">
        <f t="shared" si="85"/>
        <v>-25.917225604402226</v>
      </c>
      <c r="R453">
        <f>SQRT(Tabelle2[[#This Row],[vx]]*Tabelle2[[#This Row],[vx]]+Tabelle2[[#This Row],[vy]]*Tabelle2[[#This Row],[vy]])</f>
        <v>58.402578883131952</v>
      </c>
      <c r="S453">
        <f t="shared" si="86"/>
        <v>471.03274791764375</v>
      </c>
      <c r="T453" s="1">
        <f t="shared" si="87"/>
        <v>165.76439434100672</v>
      </c>
    </row>
    <row r="454" spans="6:20" x14ac:dyDescent="0.35">
      <c r="F454" s="1">
        <f t="shared" si="83"/>
        <v>9.0199999999998965</v>
      </c>
      <c r="G454">
        <f>1/2*$B$8*$B$6*$B$7*(Tabelle2[[#This Row],[vx]]*Tabelle2[[#This Row],[vx]]+Tabelle2[[#This Row],[vy]]*Tabelle2[[#This Row],[vy]])/1000000</f>
        <v>6.0515936860388244</v>
      </c>
      <c r="H454">
        <f>IF($B$3,-Tabelle2[[#This Row],[Fd]]*Tabelle2[[#This Row],[vx]]/Tabelle2[[#This Row],[v]],0)</f>
        <v>0</v>
      </c>
      <c r="I454">
        <f t="shared" si="77"/>
        <v>0</v>
      </c>
      <c r="J454">
        <f t="shared" si="78"/>
        <v>0</v>
      </c>
      <c r="K454">
        <f t="shared" si="79"/>
        <v>1.0467394398169905</v>
      </c>
      <c r="L454">
        <f>-$B$5*$B$12-IF($B$3,Tabelle2[[#This Row],[Fd]]*Tabelle2[[#This Row],[vy]]/Tabelle2[[#This Row],[v]],0)</f>
        <v>-14.715</v>
      </c>
      <c r="M454">
        <f t="shared" si="80"/>
        <v>-9.81</v>
      </c>
      <c r="N454">
        <f t="shared" si="81"/>
        <v>-0.19620000000000001</v>
      </c>
      <c r="O454">
        <f t="shared" si="82"/>
        <v>-0.5242305120880445</v>
      </c>
      <c r="P454" s="1">
        <f t="shared" si="84"/>
        <v>52.336971990849527</v>
      </c>
      <c r="Q454" s="1">
        <f t="shared" si="85"/>
        <v>-26.113425604402227</v>
      </c>
      <c r="R454">
        <f>SQRT(Tabelle2[[#This Row],[vx]]*Tabelle2[[#This Row],[vx]]+Tabelle2[[#This Row],[vy]]*Tabelle2[[#This Row],[vy]])</f>
        <v>58.489910531369574</v>
      </c>
      <c r="S454">
        <f t="shared" si="86"/>
        <v>472.07948735746072</v>
      </c>
      <c r="T454" s="1">
        <f t="shared" si="87"/>
        <v>165.24408782891868</v>
      </c>
    </row>
    <row r="455" spans="6:20" x14ac:dyDescent="0.35">
      <c r="F455" s="1">
        <f t="shared" si="83"/>
        <v>9.0399999999998961</v>
      </c>
      <c r="G455">
        <f>1/2*$B$8*$B$6*$B$7*(Tabelle2[[#This Row],[vx]]*Tabelle2[[#This Row],[vx]]+Tabelle2[[#This Row],[vy]]*Tabelle2[[#This Row],[vy]])/1000000</f>
        <v>6.0697877260256057</v>
      </c>
      <c r="H455">
        <f>IF($B$3,-Tabelle2[[#This Row],[Fd]]*Tabelle2[[#This Row],[vx]]/Tabelle2[[#This Row],[v]],0)</f>
        <v>0</v>
      </c>
      <c r="I455">
        <f t="shared" si="77"/>
        <v>0</v>
      </c>
      <c r="J455">
        <f t="shared" si="78"/>
        <v>0</v>
      </c>
      <c r="K455">
        <f t="shared" si="79"/>
        <v>1.0467394398169905</v>
      </c>
      <c r="L455">
        <f>-$B$5*$B$12-IF($B$3,Tabelle2[[#This Row],[Fd]]*Tabelle2[[#This Row],[vy]]/Tabelle2[[#This Row],[v]],0)</f>
        <v>-14.715</v>
      </c>
      <c r="M455">
        <f t="shared" si="80"/>
        <v>-9.81</v>
      </c>
      <c r="N455">
        <f t="shared" si="81"/>
        <v>-0.19620000000000001</v>
      </c>
      <c r="O455">
        <f t="shared" si="82"/>
        <v>-0.52815451208804454</v>
      </c>
      <c r="P455" s="1">
        <f t="shared" si="84"/>
        <v>52.336971990849527</v>
      </c>
      <c r="Q455" s="1">
        <f t="shared" si="85"/>
        <v>-26.309625604402228</v>
      </c>
      <c r="R455">
        <f>SQRT(Tabelle2[[#This Row],[vx]]*Tabelle2[[#This Row],[vx]]+Tabelle2[[#This Row],[vy]]*Tabelle2[[#This Row],[vy]])</f>
        <v>58.577769133134332</v>
      </c>
      <c r="S455">
        <f t="shared" si="86"/>
        <v>473.1262267972777</v>
      </c>
      <c r="T455" s="1">
        <f t="shared" si="87"/>
        <v>164.71985731683063</v>
      </c>
    </row>
    <row r="456" spans="6:20" x14ac:dyDescent="0.35">
      <c r="F456" s="1">
        <f t="shared" si="83"/>
        <v>9.0599999999998957</v>
      </c>
      <c r="G456">
        <f>1/2*$B$8*$B$6*$B$7*(Tabelle2[[#This Row],[vx]]*Tabelle2[[#This Row],[vx]]+Tabelle2[[#This Row],[vy]]*Tabelle2[[#This Row],[vy]])/1000000</f>
        <v>6.0881179530737288</v>
      </c>
      <c r="H456">
        <f>IF($B$3,-Tabelle2[[#This Row],[Fd]]*Tabelle2[[#This Row],[vx]]/Tabelle2[[#This Row],[v]],0)</f>
        <v>0</v>
      </c>
      <c r="I456">
        <f t="shared" si="77"/>
        <v>0</v>
      </c>
      <c r="J456">
        <f t="shared" si="78"/>
        <v>0</v>
      </c>
      <c r="K456">
        <f t="shared" si="79"/>
        <v>1.0467394398169905</v>
      </c>
      <c r="L456">
        <f>-$B$5*$B$12-IF($B$3,Tabelle2[[#This Row],[Fd]]*Tabelle2[[#This Row],[vy]]/Tabelle2[[#This Row],[v]],0)</f>
        <v>-14.715</v>
      </c>
      <c r="M456">
        <f t="shared" si="80"/>
        <v>-9.81</v>
      </c>
      <c r="N456">
        <f t="shared" si="81"/>
        <v>-0.19620000000000001</v>
      </c>
      <c r="O456">
        <f t="shared" si="82"/>
        <v>-0.53207851208804458</v>
      </c>
      <c r="P456" s="1">
        <f t="shared" si="84"/>
        <v>52.336971990849527</v>
      </c>
      <c r="Q456" s="1">
        <f t="shared" si="85"/>
        <v>-26.505825604402229</v>
      </c>
      <c r="R456">
        <f>SQRT(Tabelle2[[#This Row],[vx]]*Tabelle2[[#This Row],[vx]]+Tabelle2[[#This Row],[vy]]*Tabelle2[[#This Row],[vy]])</f>
        <v>58.666152320924816</v>
      </c>
      <c r="S456">
        <f t="shared" si="86"/>
        <v>474.17296623709467</v>
      </c>
      <c r="T456" s="1">
        <f t="shared" si="87"/>
        <v>164.19170280474259</v>
      </c>
    </row>
    <row r="457" spans="6:20" x14ac:dyDescent="0.35">
      <c r="F457" s="1">
        <f t="shared" si="83"/>
        <v>9.0799999999998953</v>
      </c>
      <c r="G457">
        <f>1/2*$B$8*$B$6*$B$7*(Tabelle2[[#This Row],[vx]]*Tabelle2[[#This Row],[vx]]+Tabelle2[[#This Row],[vy]]*Tabelle2[[#This Row],[vy]])/1000000</f>
        <v>6.1065843671831965</v>
      </c>
      <c r="H457">
        <f>IF($B$3,-Tabelle2[[#This Row],[Fd]]*Tabelle2[[#This Row],[vx]]/Tabelle2[[#This Row],[v]],0)</f>
        <v>0</v>
      </c>
      <c r="I457">
        <f t="shared" si="77"/>
        <v>0</v>
      </c>
      <c r="J457">
        <f t="shared" si="78"/>
        <v>0</v>
      </c>
      <c r="K457">
        <f t="shared" si="79"/>
        <v>1.0467394398169905</v>
      </c>
      <c r="L457">
        <f>-$B$5*$B$12-IF($B$3,Tabelle2[[#This Row],[Fd]]*Tabelle2[[#This Row],[vy]]/Tabelle2[[#This Row],[v]],0)</f>
        <v>-14.715</v>
      </c>
      <c r="M457">
        <f t="shared" si="80"/>
        <v>-9.81</v>
      </c>
      <c r="N457">
        <f t="shared" si="81"/>
        <v>-0.19620000000000001</v>
      </c>
      <c r="O457">
        <f t="shared" si="82"/>
        <v>-0.53600251208804461</v>
      </c>
      <c r="P457" s="1">
        <f t="shared" si="84"/>
        <v>52.336971990849527</v>
      </c>
      <c r="Q457" s="1">
        <f t="shared" si="85"/>
        <v>-26.70202560440223</v>
      </c>
      <c r="R457">
        <f>SQRT(Tabelle2[[#This Row],[vx]]*Tabelle2[[#This Row],[vx]]+Tabelle2[[#This Row],[vy]]*Tabelle2[[#This Row],[vy]])</f>
        <v>58.755057727391602</v>
      </c>
      <c r="S457">
        <f t="shared" si="86"/>
        <v>475.21970567691164</v>
      </c>
      <c r="T457" s="1">
        <f t="shared" si="87"/>
        <v>163.65962429265454</v>
      </c>
    </row>
    <row r="458" spans="6:20" x14ac:dyDescent="0.35">
      <c r="F458" s="1">
        <f t="shared" si="83"/>
        <v>9.0999999999998948</v>
      </c>
      <c r="G458">
        <f>1/2*$B$8*$B$6*$B$7*(Tabelle2[[#This Row],[vx]]*Tabelle2[[#This Row],[vx]]+Tabelle2[[#This Row],[vy]]*Tabelle2[[#This Row],[vy]])/1000000</f>
        <v>6.1251869683540088</v>
      </c>
      <c r="H458">
        <f>IF($B$3,-Tabelle2[[#This Row],[Fd]]*Tabelle2[[#This Row],[vx]]/Tabelle2[[#This Row],[v]],0)</f>
        <v>0</v>
      </c>
      <c r="I458">
        <f t="shared" si="77"/>
        <v>0</v>
      </c>
      <c r="J458">
        <f t="shared" si="78"/>
        <v>0</v>
      </c>
      <c r="K458">
        <f t="shared" si="79"/>
        <v>1.0467394398169905</v>
      </c>
      <c r="L458">
        <f>-$B$5*$B$12-IF($B$3,Tabelle2[[#This Row],[Fd]]*Tabelle2[[#This Row],[vy]]/Tabelle2[[#This Row],[v]],0)</f>
        <v>-14.715</v>
      </c>
      <c r="M458">
        <f t="shared" si="80"/>
        <v>-9.81</v>
      </c>
      <c r="N458">
        <f t="shared" si="81"/>
        <v>-0.19620000000000001</v>
      </c>
      <c r="O458">
        <f t="shared" si="82"/>
        <v>-0.53992651208804465</v>
      </c>
      <c r="P458" s="1">
        <f t="shared" si="84"/>
        <v>52.336971990849527</v>
      </c>
      <c r="Q458" s="1">
        <f t="shared" si="85"/>
        <v>-26.898225604402231</v>
      </c>
      <c r="R458">
        <f>SQRT(Tabelle2[[#This Row],[vx]]*Tabelle2[[#This Row],[vx]]+Tabelle2[[#This Row],[vy]]*Tabelle2[[#This Row],[vy]])</f>
        <v>58.844482985546634</v>
      </c>
      <c r="S458">
        <f t="shared" si="86"/>
        <v>476.26644511672862</v>
      </c>
      <c r="T458" s="1">
        <f t="shared" si="87"/>
        <v>163.12362178056651</v>
      </c>
    </row>
    <row r="459" spans="6:20" x14ac:dyDescent="0.35">
      <c r="F459" s="1">
        <f t="shared" si="83"/>
        <v>9.1199999999998944</v>
      </c>
      <c r="G459">
        <f>1/2*$B$8*$B$6*$B$7*(Tabelle2[[#This Row],[vx]]*Tabelle2[[#This Row],[vx]]+Tabelle2[[#This Row],[vy]]*Tabelle2[[#This Row],[vy]])/1000000</f>
        <v>6.1439257565861656</v>
      </c>
      <c r="H459">
        <f>IF($B$3,-Tabelle2[[#This Row],[Fd]]*Tabelle2[[#This Row],[vx]]/Tabelle2[[#This Row],[v]],0)</f>
        <v>0</v>
      </c>
      <c r="I459">
        <f t="shared" si="77"/>
        <v>0</v>
      </c>
      <c r="J459">
        <f t="shared" si="78"/>
        <v>0</v>
      </c>
      <c r="K459">
        <f t="shared" si="79"/>
        <v>1.0467394398169905</v>
      </c>
      <c r="L459">
        <f>-$B$5*$B$12-IF($B$3,Tabelle2[[#This Row],[Fd]]*Tabelle2[[#This Row],[vy]]/Tabelle2[[#This Row],[v]],0)</f>
        <v>-14.715</v>
      </c>
      <c r="M459">
        <f t="shared" si="80"/>
        <v>-9.81</v>
      </c>
      <c r="N459">
        <f t="shared" si="81"/>
        <v>-0.19620000000000001</v>
      </c>
      <c r="O459">
        <f t="shared" si="82"/>
        <v>-0.54385051208804469</v>
      </c>
      <c r="P459" s="1">
        <f t="shared" si="84"/>
        <v>52.336971990849527</v>
      </c>
      <c r="Q459" s="1">
        <f t="shared" si="85"/>
        <v>-27.094425604402232</v>
      </c>
      <c r="R459">
        <f>SQRT(Tabelle2[[#This Row],[vx]]*Tabelle2[[#This Row],[vx]]+Tabelle2[[#This Row],[vy]]*Tabelle2[[#This Row],[vy]])</f>
        <v>58.934425728969778</v>
      </c>
      <c r="S459">
        <f t="shared" si="86"/>
        <v>477.31318455654559</v>
      </c>
      <c r="T459" s="1">
        <f t="shared" si="87"/>
        <v>162.58369526847846</v>
      </c>
    </row>
    <row r="460" spans="6:20" x14ac:dyDescent="0.35">
      <c r="F460" s="1">
        <f t="shared" si="83"/>
        <v>9.139999999999894</v>
      </c>
      <c r="G460">
        <f>1/2*$B$8*$B$6*$B$7*(Tabelle2[[#This Row],[vx]]*Tabelle2[[#This Row],[vx]]+Tabelle2[[#This Row],[vy]]*Tabelle2[[#This Row],[vy]])/1000000</f>
        <v>6.1628007318796643</v>
      </c>
      <c r="H460">
        <f>IF($B$3,-Tabelle2[[#This Row],[Fd]]*Tabelle2[[#This Row],[vx]]/Tabelle2[[#This Row],[v]],0)</f>
        <v>0</v>
      </c>
      <c r="I460">
        <f t="shared" si="77"/>
        <v>0</v>
      </c>
      <c r="J460">
        <f t="shared" si="78"/>
        <v>0</v>
      </c>
      <c r="K460">
        <f t="shared" si="79"/>
        <v>1.0467394398169905</v>
      </c>
      <c r="L460">
        <f>-$B$5*$B$12-IF($B$3,Tabelle2[[#This Row],[Fd]]*Tabelle2[[#This Row],[vy]]/Tabelle2[[#This Row],[v]],0)</f>
        <v>-14.715</v>
      </c>
      <c r="M460">
        <f t="shared" si="80"/>
        <v>-9.81</v>
      </c>
      <c r="N460">
        <f t="shared" si="81"/>
        <v>-0.19620000000000001</v>
      </c>
      <c r="O460">
        <f t="shared" si="82"/>
        <v>-0.54777451208804462</v>
      </c>
      <c r="P460" s="1">
        <f t="shared" si="84"/>
        <v>52.336971990849527</v>
      </c>
      <c r="Q460" s="1">
        <f t="shared" si="85"/>
        <v>-27.290625604402234</v>
      </c>
      <c r="R460">
        <f>SQRT(Tabelle2[[#This Row],[vx]]*Tabelle2[[#This Row],[vx]]+Tabelle2[[#This Row],[vy]]*Tabelle2[[#This Row],[vy]])</f>
        <v>59.024883592012465</v>
      </c>
      <c r="S460">
        <f t="shared" si="86"/>
        <v>478.35992399636257</v>
      </c>
      <c r="T460" s="1">
        <f t="shared" si="87"/>
        <v>162.03984475639041</v>
      </c>
    </row>
    <row r="461" spans="6:20" x14ac:dyDescent="0.35">
      <c r="F461" s="1">
        <f t="shared" si="83"/>
        <v>9.1599999999998936</v>
      </c>
      <c r="G461">
        <f>1/2*$B$8*$B$6*$B$7*(Tabelle2[[#This Row],[vx]]*Tabelle2[[#This Row],[vx]]+Tabelle2[[#This Row],[vy]]*Tabelle2[[#This Row],[vy]])/1000000</f>
        <v>6.1818118942345093</v>
      </c>
      <c r="H461">
        <f>IF($B$3,-Tabelle2[[#This Row],[Fd]]*Tabelle2[[#This Row],[vx]]/Tabelle2[[#This Row],[v]],0)</f>
        <v>0</v>
      </c>
      <c r="I461">
        <f t="shared" si="77"/>
        <v>0</v>
      </c>
      <c r="J461">
        <f t="shared" si="78"/>
        <v>0</v>
      </c>
      <c r="K461">
        <f t="shared" si="79"/>
        <v>1.0467394398169905</v>
      </c>
      <c r="L461">
        <f>-$B$5*$B$12-IF($B$3,Tabelle2[[#This Row],[Fd]]*Tabelle2[[#This Row],[vy]]/Tabelle2[[#This Row],[v]],0)</f>
        <v>-14.715</v>
      </c>
      <c r="M461">
        <f t="shared" si="80"/>
        <v>-9.81</v>
      </c>
      <c r="N461">
        <f t="shared" si="81"/>
        <v>-0.19620000000000001</v>
      </c>
      <c r="O461">
        <f t="shared" si="82"/>
        <v>-0.55169851208804466</v>
      </c>
      <c r="P461" s="1">
        <f t="shared" si="84"/>
        <v>52.336971990849527</v>
      </c>
      <c r="Q461" s="1">
        <f t="shared" si="85"/>
        <v>-27.486825604402235</v>
      </c>
      <c r="R461">
        <f>SQRT(Tabelle2[[#This Row],[vx]]*Tabelle2[[#This Row],[vx]]+Tabelle2[[#This Row],[vy]]*Tabelle2[[#This Row],[vy]])</f>
        <v>59.115854209998439</v>
      </c>
      <c r="S461">
        <f t="shared" si="86"/>
        <v>479.40666343617954</v>
      </c>
      <c r="T461" s="1">
        <f t="shared" si="87"/>
        <v>161.49207024430237</v>
      </c>
    </row>
    <row r="462" spans="6:20" x14ac:dyDescent="0.35">
      <c r="F462" s="1">
        <f t="shared" si="83"/>
        <v>9.1799999999998931</v>
      </c>
      <c r="G462">
        <f>1/2*$B$8*$B$6*$B$7*(Tabelle2[[#This Row],[vx]]*Tabelle2[[#This Row],[vx]]+Tabelle2[[#This Row],[vy]]*Tabelle2[[#This Row],[vy]])/1000000</f>
        <v>6.2009592436506971</v>
      </c>
      <c r="H462">
        <f>IF($B$3,-Tabelle2[[#This Row],[Fd]]*Tabelle2[[#This Row],[vx]]/Tabelle2[[#This Row],[v]],0)</f>
        <v>0</v>
      </c>
      <c r="I462">
        <f t="shared" si="77"/>
        <v>0</v>
      </c>
      <c r="J462">
        <f t="shared" si="78"/>
        <v>0</v>
      </c>
      <c r="K462">
        <f t="shared" si="79"/>
        <v>1.0467394398169905</v>
      </c>
      <c r="L462">
        <f>-$B$5*$B$12-IF($B$3,Tabelle2[[#This Row],[Fd]]*Tabelle2[[#This Row],[vy]]/Tabelle2[[#This Row],[v]],0)</f>
        <v>-14.715</v>
      </c>
      <c r="M462">
        <f t="shared" si="80"/>
        <v>-9.81</v>
      </c>
      <c r="N462">
        <f t="shared" si="81"/>
        <v>-0.19620000000000001</v>
      </c>
      <c r="O462">
        <f t="shared" si="82"/>
        <v>-0.5556225120880447</v>
      </c>
      <c r="P462" s="1">
        <f t="shared" si="84"/>
        <v>52.336971990849527</v>
      </c>
      <c r="Q462" s="1">
        <f t="shared" si="85"/>
        <v>-27.683025604402236</v>
      </c>
      <c r="R462">
        <f>SQRT(Tabelle2[[#This Row],[vx]]*Tabelle2[[#This Row],[vx]]+Tabelle2[[#This Row],[vy]]*Tabelle2[[#This Row],[vy]])</f>
        <v>59.207335219421566</v>
      </c>
      <c r="S462">
        <f t="shared" si="86"/>
        <v>480.45340287599652</v>
      </c>
      <c r="T462" s="1">
        <f t="shared" si="87"/>
        <v>160.94037173221432</v>
      </c>
    </row>
    <row r="463" spans="6:20" x14ac:dyDescent="0.35">
      <c r="F463" s="1">
        <f t="shared" si="83"/>
        <v>9.1999999999998927</v>
      </c>
      <c r="G463">
        <f>1/2*$B$8*$B$6*$B$7*(Tabelle2[[#This Row],[vx]]*Tabelle2[[#This Row],[vx]]+Tabelle2[[#This Row],[vy]]*Tabelle2[[#This Row],[vy]])/1000000</f>
        <v>6.2202427801282285</v>
      </c>
      <c r="H463">
        <f>IF($B$3,-Tabelle2[[#This Row],[Fd]]*Tabelle2[[#This Row],[vx]]/Tabelle2[[#This Row],[v]],0)</f>
        <v>0</v>
      </c>
      <c r="I463">
        <f t="shared" si="77"/>
        <v>0</v>
      </c>
      <c r="J463">
        <f t="shared" si="78"/>
        <v>0</v>
      </c>
      <c r="K463">
        <f t="shared" si="79"/>
        <v>1.0467394398169905</v>
      </c>
      <c r="L463">
        <f>-$B$5*$B$12-IF($B$3,Tabelle2[[#This Row],[Fd]]*Tabelle2[[#This Row],[vy]]/Tabelle2[[#This Row],[v]],0)</f>
        <v>-14.715</v>
      </c>
      <c r="M463">
        <f t="shared" si="80"/>
        <v>-9.81</v>
      </c>
      <c r="N463">
        <f t="shared" si="81"/>
        <v>-0.19620000000000001</v>
      </c>
      <c r="O463">
        <f t="shared" si="82"/>
        <v>-0.55954651208804473</v>
      </c>
      <c r="P463" s="1">
        <f t="shared" si="84"/>
        <v>52.336971990849527</v>
      </c>
      <c r="Q463" s="1">
        <f t="shared" si="85"/>
        <v>-27.879225604402237</v>
      </c>
      <c r="R463">
        <f>SQRT(Tabelle2[[#This Row],[vx]]*Tabelle2[[#This Row],[vx]]+Tabelle2[[#This Row],[vy]]*Tabelle2[[#This Row],[vy]])</f>
        <v>59.299324258140793</v>
      </c>
      <c r="S463">
        <f t="shared" si="86"/>
        <v>481.50014231581349</v>
      </c>
      <c r="T463" s="1">
        <f t="shared" si="87"/>
        <v>160.38474922012628</v>
      </c>
    </row>
    <row r="464" spans="6:20" x14ac:dyDescent="0.35">
      <c r="F464" s="1">
        <f t="shared" si="83"/>
        <v>9.2199999999998923</v>
      </c>
      <c r="G464">
        <f>1/2*$B$8*$B$6*$B$7*(Tabelle2[[#This Row],[vx]]*Tabelle2[[#This Row],[vx]]+Tabelle2[[#This Row],[vy]]*Tabelle2[[#This Row],[vy]])/1000000</f>
        <v>6.2396625036671054</v>
      </c>
      <c r="H464">
        <f>IF($B$3,-Tabelle2[[#This Row],[Fd]]*Tabelle2[[#This Row],[vx]]/Tabelle2[[#This Row],[v]],0)</f>
        <v>0</v>
      </c>
      <c r="I464">
        <f t="shared" si="77"/>
        <v>0</v>
      </c>
      <c r="J464">
        <f t="shared" si="78"/>
        <v>0</v>
      </c>
      <c r="K464">
        <f t="shared" si="79"/>
        <v>1.0467394398169905</v>
      </c>
      <c r="L464">
        <f>-$B$5*$B$12-IF($B$3,Tabelle2[[#This Row],[Fd]]*Tabelle2[[#This Row],[vy]]/Tabelle2[[#This Row],[v]],0)</f>
        <v>-14.715</v>
      </c>
      <c r="M464">
        <f t="shared" si="80"/>
        <v>-9.81</v>
      </c>
      <c r="N464">
        <f t="shared" si="81"/>
        <v>-0.19620000000000001</v>
      </c>
      <c r="O464">
        <f t="shared" si="82"/>
        <v>-0.56347051208804477</v>
      </c>
      <c r="P464" s="1">
        <f t="shared" si="84"/>
        <v>52.336971990849527</v>
      </c>
      <c r="Q464" s="1">
        <f t="shared" si="85"/>
        <v>-28.075425604402238</v>
      </c>
      <c r="R464">
        <f>SQRT(Tabelle2[[#This Row],[vx]]*Tabelle2[[#This Row],[vx]]+Tabelle2[[#This Row],[vy]]*Tabelle2[[#This Row],[vy]])</f>
        <v>59.391818965572121</v>
      </c>
      <c r="S464">
        <f t="shared" si="86"/>
        <v>482.54688175563047</v>
      </c>
      <c r="T464" s="1">
        <f t="shared" si="87"/>
        <v>159.82520270803823</v>
      </c>
    </row>
    <row r="465" spans="6:20" x14ac:dyDescent="0.35">
      <c r="F465" s="1">
        <f t="shared" si="83"/>
        <v>9.2399999999998919</v>
      </c>
      <c r="G465">
        <f>1/2*$B$8*$B$6*$B$7*(Tabelle2[[#This Row],[vx]]*Tabelle2[[#This Row],[vx]]+Tabelle2[[#This Row],[vy]]*Tabelle2[[#This Row],[vy]])/1000000</f>
        <v>6.2592184142673242</v>
      </c>
      <c r="H465">
        <f>IF($B$3,-Tabelle2[[#This Row],[Fd]]*Tabelle2[[#This Row],[vx]]/Tabelle2[[#This Row],[v]],0)</f>
        <v>0</v>
      </c>
      <c r="I465">
        <f t="shared" si="77"/>
        <v>0</v>
      </c>
      <c r="J465">
        <f t="shared" si="78"/>
        <v>0</v>
      </c>
      <c r="K465">
        <f t="shared" si="79"/>
        <v>1.0467394398169905</v>
      </c>
      <c r="L465">
        <f>-$B$5*$B$12-IF($B$3,Tabelle2[[#This Row],[Fd]]*Tabelle2[[#This Row],[vy]]/Tabelle2[[#This Row],[v]],0)</f>
        <v>-14.715</v>
      </c>
      <c r="M465">
        <f t="shared" si="80"/>
        <v>-9.81</v>
      </c>
      <c r="N465">
        <f t="shared" si="81"/>
        <v>-0.19620000000000001</v>
      </c>
      <c r="O465">
        <f t="shared" si="82"/>
        <v>-0.56739451208804481</v>
      </c>
      <c r="P465" s="1">
        <f t="shared" si="84"/>
        <v>52.336971990849527</v>
      </c>
      <c r="Q465" s="1">
        <f t="shared" si="85"/>
        <v>-28.271625604402239</v>
      </c>
      <c r="R465">
        <f>SQRT(Tabelle2[[#This Row],[vx]]*Tabelle2[[#This Row],[vx]]+Tabelle2[[#This Row],[vy]]*Tabelle2[[#This Row],[vy]])</f>
        <v>59.484816982877739</v>
      </c>
      <c r="S465">
        <f t="shared" si="86"/>
        <v>483.59362119544744</v>
      </c>
      <c r="T465" s="1">
        <f t="shared" si="87"/>
        <v>159.2617321959502</v>
      </c>
    </row>
    <row r="466" spans="6:20" x14ac:dyDescent="0.35">
      <c r="F466" s="1">
        <f t="shared" si="83"/>
        <v>9.2599999999998914</v>
      </c>
      <c r="G466">
        <f>1/2*$B$8*$B$6*$B$7*(Tabelle2[[#This Row],[vx]]*Tabelle2[[#This Row],[vx]]+Tabelle2[[#This Row],[vy]]*Tabelle2[[#This Row],[vy]])/1000000</f>
        <v>6.2789105119288893</v>
      </c>
      <c r="H466">
        <f>IF($B$3,-Tabelle2[[#This Row],[Fd]]*Tabelle2[[#This Row],[vx]]/Tabelle2[[#This Row],[v]],0)</f>
        <v>0</v>
      </c>
      <c r="I466">
        <f t="shared" si="77"/>
        <v>0</v>
      </c>
      <c r="J466">
        <f t="shared" si="78"/>
        <v>0</v>
      </c>
      <c r="K466">
        <f t="shared" si="79"/>
        <v>1.0467394398169905</v>
      </c>
      <c r="L466">
        <f>-$B$5*$B$12-IF($B$3,Tabelle2[[#This Row],[Fd]]*Tabelle2[[#This Row],[vy]]/Tabelle2[[#This Row],[v]],0)</f>
        <v>-14.715</v>
      </c>
      <c r="M466">
        <f t="shared" si="80"/>
        <v>-9.81</v>
      </c>
      <c r="N466">
        <f t="shared" si="81"/>
        <v>-0.19620000000000001</v>
      </c>
      <c r="O466">
        <f t="shared" si="82"/>
        <v>-0.57131851208804474</v>
      </c>
      <c r="P466" s="1">
        <f t="shared" si="84"/>
        <v>52.336971990849527</v>
      </c>
      <c r="Q466" s="1">
        <f t="shared" si="85"/>
        <v>-28.46782560440224</v>
      </c>
      <c r="R466">
        <f>SQRT(Tabelle2[[#This Row],[vx]]*Tabelle2[[#This Row],[vx]]+Tabelle2[[#This Row],[vy]]*Tabelle2[[#This Row],[vy]])</f>
        <v>59.578315953152178</v>
      </c>
      <c r="S466">
        <f t="shared" si="86"/>
        <v>484.64036063526441</v>
      </c>
      <c r="T466" s="1">
        <f t="shared" si="87"/>
        <v>158.69433768386216</v>
      </c>
    </row>
    <row r="467" spans="6:20" x14ac:dyDescent="0.35">
      <c r="F467" s="1">
        <f t="shared" si="83"/>
        <v>9.279999999999891</v>
      </c>
      <c r="G467">
        <f>1/2*$B$8*$B$6*$B$7*(Tabelle2[[#This Row],[vx]]*Tabelle2[[#This Row],[vx]]+Tabelle2[[#This Row],[vy]]*Tabelle2[[#This Row],[vy]])/1000000</f>
        <v>6.2987387966517963</v>
      </c>
      <c r="H467">
        <f>IF($B$3,-Tabelle2[[#This Row],[Fd]]*Tabelle2[[#This Row],[vx]]/Tabelle2[[#This Row],[v]],0)</f>
        <v>0</v>
      </c>
      <c r="I467">
        <f t="shared" si="77"/>
        <v>0</v>
      </c>
      <c r="J467">
        <f t="shared" si="78"/>
        <v>0</v>
      </c>
      <c r="K467">
        <f t="shared" si="79"/>
        <v>1.0467394398169905</v>
      </c>
      <c r="L467">
        <f>-$B$5*$B$12-IF($B$3,Tabelle2[[#This Row],[Fd]]*Tabelle2[[#This Row],[vy]]/Tabelle2[[#This Row],[v]],0)</f>
        <v>-14.715</v>
      </c>
      <c r="M467">
        <f t="shared" si="80"/>
        <v>-9.81</v>
      </c>
      <c r="N467">
        <f t="shared" si="81"/>
        <v>-0.19620000000000001</v>
      </c>
      <c r="O467">
        <f t="shared" si="82"/>
        <v>-0.57524251208804478</v>
      </c>
      <c r="P467" s="1">
        <f t="shared" si="84"/>
        <v>52.336971990849527</v>
      </c>
      <c r="Q467" s="1">
        <f t="shared" si="85"/>
        <v>-28.664025604402241</v>
      </c>
      <c r="R467">
        <f>SQRT(Tabelle2[[#This Row],[vx]]*Tabelle2[[#This Row],[vx]]+Tabelle2[[#This Row],[vy]]*Tabelle2[[#This Row],[vy]])</f>
        <v>59.672313521605602</v>
      </c>
      <c r="S467">
        <f t="shared" si="86"/>
        <v>485.68710007508139</v>
      </c>
      <c r="T467" s="1">
        <f t="shared" si="87"/>
        <v>158.1230191717741</v>
      </c>
    </row>
    <row r="468" spans="6:20" x14ac:dyDescent="0.35">
      <c r="F468" s="1">
        <f t="shared" si="83"/>
        <v>9.2999999999998906</v>
      </c>
      <c r="G468">
        <f>1/2*$B$8*$B$6*$B$7*(Tabelle2[[#This Row],[vx]]*Tabelle2[[#This Row],[vx]]+Tabelle2[[#This Row],[vy]]*Tabelle2[[#This Row],[vy]])/1000000</f>
        <v>6.3187032684360478</v>
      </c>
      <c r="H468">
        <f>IF($B$3,-Tabelle2[[#This Row],[Fd]]*Tabelle2[[#This Row],[vx]]/Tabelle2[[#This Row],[v]],0)</f>
        <v>0</v>
      </c>
      <c r="I468">
        <f t="shared" si="77"/>
        <v>0</v>
      </c>
      <c r="J468">
        <f t="shared" si="78"/>
        <v>0</v>
      </c>
      <c r="K468">
        <f t="shared" si="79"/>
        <v>1.0467394398169905</v>
      </c>
      <c r="L468">
        <f>-$B$5*$B$12-IF($B$3,Tabelle2[[#This Row],[Fd]]*Tabelle2[[#This Row],[vy]]/Tabelle2[[#This Row],[v]],0)</f>
        <v>-14.715</v>
      </c>
      <c r="M468">
        <f t="shared" si="80"/>
        <v>-9.81</v>
      </c>
      <c r="N468">
        <f t="shared" si="81"/>
        <v>-0.19620000000000001</v>
      </c>
      <c r="O468">
        <f t="shared" si="82"/>
        <v>-0.57916651208804482</v>
      </c>
      <c r="P468" s="1">
        <f t="shared" si="84"/>
        <v>52.336971990849527</v>
      </c>
      <c r="Q468" s="1">
        <f t="shared" si="85"/>
        <v>-28.860225604402242</v>
      </c>
      <c r="R468">
        <f>SQRT(Tabelle2[[#This Row],[vx]]*Tabelle2[[#This Row],[vx]]+Tabelle2[[#This Row],[vy]]*Tabelle2[[#This Row],[vy]])</f>
        <v>59.766807335744161</v>
      </c>
      <c r="S468">
        <f t="shared" si="86"/>
        <v>486.73383951489836</v>
      </c>
      <c r="T468" s="1">
        <f t="shared" si="87"/>
        <v>157.54777665968606</v>
      </c>
    </row>
    <row r="469" spans="6:20" x14ac:dyDescent="0.35">
      <c r="F469" s="1">
        <f t="shared" si="83"/>
        <v>9.3199999999998902</v>
      </c>
      <c r="G469">
        <f>1/2*$B$8*$B$6*$B$7*(Tabelle2[[#This Row],[vx]]*Tabelle2[[#This Row],[vx]]+Tabelle2[[#This Row],[vy]]*Tabelle2[[#This Row],[vy]])/1000000</f>
        <v>6.3388039272816448</v>
      </c>
      <c r="H469">
        <f>IF($B$3,-Tabelle2[[#This Row],[Fd]]*Tabelle2[[#This Row],[vx]]/Tabelle2[[#This Row],[v]],0)</f>
        <v>0</v>
      </c>
      <c r="I469">
        <f t="shared" si="77"/>
        <v>0</v>
      </c>
      <c r="J469">
        <f t="shared" si="78"/>
        <v>0</v>
      </c>
      <c r="K469">
        <f t="shared" si="79"/>
        <v>1.0467394398169905</v>
      </c>
      <c r="L469">
        <f>-$B$5*$B$12-IF($B$3,Tabelle2[[#This Row],[Fd]]*Tabelle2[[#This Row],[vy]]/Tabelle2[[#This Row],[v]],0)</f>
        <v>-14.715</v>
      </c>
      <c r="M469">
        <f t="shared" si="80"/>
        <v>-9.81</v>
      </c>
      <c r="N469">
        <f t="shared" si="81"/>
        <v>-0.19620000000000001</v>
      </c>
      <c r="O469">
        <f t="shared" si="82"/>
        <v>-0.58309051208804485</v>
      </c>
      <c r="P469" s="1">
        <f t="shared" si="84"/>
        <v>52.336971990849527</v>
      </c>
      <c r="Q469" s="1">
        <f t="shared" si="85"/>
        <v>-29.056425604402243</v>
      </c>
      <c r="R469">
        <f>SQRT(Tabelle2[[#This Row],[vx]]*Tabelle2[[#This Row],[vx]]+Tabelle2[[#This Row],[vy]]*Tabelle2[[#This Row],[vy]])</f>
        <v>59.86179504554746</v>
      </c>
      <c r="S469">
        <f t="shared" si="86"/>
        <v>487.78057895471534</v>
      </c>
      <c r="T469" s="1">
        <f t="shared" si="87"/>
        <v>156.96861014759801</v>
      </c>
    </row>
    <row r="470" spans="6:20" x14ac:dyDescent="0.35">
      <c r="F470" s="1">
        <f t="shared" si="83"/>
        <v>9.3399999999998897</v>
      </c>
      <c r="G470">
        <f>1/2*$B$8*$B$6*$B$7*(Tabelle2[[#This Row],[vx]]*Tabelle2[[#This Row],[vx]]+Tabelle2[[#This Row],[vy]]*Tabelle2[[#This Row],[vy]])/1000000</f>
        <v>6.3590407731885836</v>
      </c>
      <c r="H470">
        <f>IF($B$3,-Tabelle2[[#This Row],[Fd]]*Tabelle2[[#This Row],[vx]]/Tabelle2[[#This Row],[v]],0)</f>
        <v>0</v>
      </c>
      <c r="I470">
        <f t="shared" si="77"/>
        <v>0</v>
      </c>
      <c r="J470">
        <f t="shared" si="78"/>
        <v>0</v>
      </c>
      <c r="K470">
        <f t="shared" si="79"/>
        <v>1.0467394398169905</v>
      </c>
      <c r="L470">
        <f>-$B$5*$B$12-IF($B$3,Tabelle2[[#This Row],[Fd]]*Tabelle2[[#This Row],[vy]]/Tabelle2[[#This Row],[v]],0)</f>
        <v>-14.715</v>
      </c>
      <c r="M470">
        <f t="shared" si="80"/>
        <v>-9.81</v>
      </c>
      <c r="N470">
        <f t="shared" si="81"/>
        <v>-0.19620000000000001</v>
      </c>
      <c r="O470">
        <f t="shared" si="82"/>
        <v>-0.58701451208804489</v>
      </c>
      <c r="P470" s="1">
        <f t="shared" si="84"/>
        <v>52.336971990849527</v>
      </c>
      <c r="Q470" s="1">
        <f t="shared" si="85"/>
        <v>-29.252625604402244</v>
      </c>
      <c r="R470">
        <f>SQRT(Tabelle2[[#This Row],[vx]]*Tabelle2[[#This Row],[vx]]+Tabelle2[[#This Row],[vy]]*Tabelle2[[#This Row],[vy]])</f>
        <v>59.957274303643068</v>
      </c>
      <c r="S470">
        <f t="shared" si="86"/>
        <v>488.82731839453231</v>
      </c>
      <c r="T470" s="1">
        <f t="shared" si="87"/>
        <v>156.38551963550998</v>
      </c>
    </row>
    <row r="471" spans="6:20" x14ac:dyDescent="0.35">
      <c r="F471" s="1">
        <f t="shared" si="83"/>
        <v>9.3599999999998893</v>
      </c>
      <c r="G471">
        <f>1/2*$B$8*$B$6*$B$7*(Tabelle2[[#This Row],[vx]]*Tabelle2[[#This Row],[vx]]+Tabelle2[[#This Row],[vy]]*Tabelle2[[#This Row],[vy]])/1000000</f>
        <v>6.3794138061568679</v>
      </c>
      <c r="H471">
        <f>IF($B$3,-Tabelle2[[#This Row],[Fd]]*Tabelle2[[#This Row],[vx]]/Tabelle2[[#This Row],[v]],0)</f>
        <v>0</v>
      </c>
      <c r="I471">
        <f t="shared" si="77"/>
        <v>0</v>
      </c>
      <c r="J471">
        <f t="shared" si="78"/>
        <v>0</v>
      </c>
      <c r="K471">
        <f t="shared" si="79"/>
        <v>1.0467394398169905</v>
      </c>
      <c r="L471">
        <f>-$B$5*$B$12-IF($B$3,Tabelle2[[#This Row],[Fd]]*Tabelle2[[#This Row],[vy]]/Tabelle2[[#This Row],[v]],0)</f>
        <v>-14.715</v>
      </c>
      <c r="M471">
        <f t="shared" si="80"/>
        <v>-9.81</v>
      </c>
      <c r="N471">
        <f t="shared" si="81"/>
        <v>-0.19620000000000001</v>
      </c>
      <c r="O471">
        <f t="shared" si="82"/>
        <v>-0.59093851208804493</v>
      </c>
      <c r="P471" s="1">
        <f t="shared" si="84"/>
        <v>52.336971990849527</v>
      </c>
      <c r="Q471" s="1">
        <f t="shared" si="85"/>
        <v>-29.448825604402245</v>
      </c>
      <c r="R471">
        <f>SQRT(Tabelle2[[#This Row],[vx]]*Tabelle2[[#This Row],[vx]]+Tabelle2[[#This Row],[vy]]*Tabelle2[[#This Row],[vy]])</f>
        <v>60.053242765478245</v>
      </c>
      <c r="S471">
        <f t="shared" si="86"/>
        <v>489.87405783434929</v>
      </c>
      <c r="T471" s="1">
        <f t="shared" si="87"/>
        <v>155.79850512342193</v>
      </c>
    </row>
    <row r="472" spans="6:20" x14ac:dyDescent="0.35">
      <c r="F472" s="1">
        <f t="shared" si="83"/>
        <v>9.3799999999998889</v>
      </c>
      <c r="G472">
        <f>1/2*$B$8*$B$6*$B$7*(Tabelle2[[#This Row],[vx]]*Tabelle2[[#This Row],[vx]]+Tabelle2[[#This Row],[vy]]*Tabelle2[[#This Row],[vy]])/1000000</f>
        <v>6.3999230261864959</v>
      </c>
      <c r="H472">
        <f>IF($B$3,-Tabelle2[[#This Row],[Fd]]*Tabelle2[[#This Row],[vx]]/Tabelle2[[#This Row],[v]],0)</f>
        <v>0</v>
      </c>
      <c r="I472">
        <f t="shared" si="77"/>
        <v>0</v>
      </c>
      <c r="J472">
        <f t="shared" si="78"/>
        <v>0</v>
      </c>
      <c r="K472">
        <f t="shared" si="79"/>
        <v>1.0467394398169905</v>
      </c>
      <c r="L472">
        <f>-$B$5*$B$12-IF($B$3,Tabelle2[[#This Row],[Fd]]*Tabelle2[[#This Row],[vy]]/Tabelle2[[#This Row],[v]],0)</f>
        <v>-14.715</v>
      </c>
      <c r="M472">
        <f t="shared" si="80"/>
        <v>-9.81</v>
      </c>
      <c r="N472">
        <f t="shared" si="81"/>
        <v>-0.19620000000000001</v>
      </c>
      <c r="O472">
        <f t="shared" si="82"/>
        <v>-0.59486251208804486</v>
      </c>
      <c r="P472" s="1">
        <f t="shared" si="84"/>
        <v>52.336971990849527</v>
      </c>
      <c r="Q472" s="1">
        <f t="shared" si="85"/>
        <v>-29.645025604402246</v>
      </c>
      <c r="R472">
        <f>SQRT(Tabelle2[[#This Row],[vx]]*Tabelle2[[#This Row],[vx]]+Tabelle2[[#This Row],[vy]]*Tabelle2[[#This Row],[vy]])</f>
        <v>60.149698089488631</v>
      </c>
      <c r="S472">
        <f t="shared" si="86"/>
        <v>490.92079727416626</v>
      </c>
      <c r="T472" s="1">
        <f t="shared" si="87"/>
        <v>155.20756661133387</v>
      </c>
    </row>
    <row r="473" spans="6:20" x14ac:dyDescent="0.35">
      <c r="F473" s="1">
        <f t="shared" si="83"/>
        <v>9.3999999999998884</v>
      </c>
      <c r="G473">
        <f>1/2*$B$8*$B$6*$B$7*(Tabelle2[[#This Row],[vx]]*Tabelle2[[#This Row],[vx]]+Tabelle2[[#This Row],[vy]]*Tabelle2[[#This Row],[vy]])/1000000</f>
        <v>6.4205684332774684</v>
      </c>
      <c r="H473">
        <f>IF($B$3,-Tabelle2[[#This Row],[Fd]]*Tabelle2[[#This Row],[vx]]/Tabelle2[[#This Row],[v]],0)</f>
        <v>0</v>
      </c>
      <c r="I473">
        <f t="shared" si="77"/>
        <v>0</v>
      </c>
      <c r="J473">
        <f t="shared" si="78"/>
        <v>0</v>
      </c>
      <c r="K473">
        <f t="shared" si="79"/>
        <v>1.0467394398169905</v>
      </c>
      <c r="L473">
        <f>-$B$5*$B$12-IF($B$3,Tabelle2[[#This Row],[Fd]]*Tabelle2[[#This Row],[vy]]/Tabelle2[[#This Row],[v]],0)</f>
        <v>-14.715</v>
      </c>
      <c r="M473">
        <f t="shared" si="80"/>
        <v>-9.81</v>
      </c>
      <c r="N473">
        <f t="shared" si="81"/>
        <v>-0.19620000000000001</v>
      </c>
      <c r="O473">
        <f t="shared" si="82"/>
        <v>-0.5987865120880449</v>
      </c>
      <c r="P473" s="1">
        <f t="shared" si="84"/>
        <v>52.336971990849527</v>
      </c>
      <c r="Q473" s="1">
        <f t="shared" si="85"/>
        <v>-29.841225604402247</v>
      </c>
      <c r="R473">
        <f>SQRT(Tabelle2[[#This Row],[vx]]*Tabelle2[[#This Row],[vx]]+Tabelle2[[#This Row],[vy]]*Tabelle2[[#This Row],[vy]])</f>
        <v>60.246637937264182</v>
      </c>
      <c r="S473">
        <f t="shared" si="86"/>
        <v>491.96753671398324</v>
      </c>
      <c r="T473" s="1">
        <f t="shared" si="87"/>
        <v>154.61270409924583</v>
      </c>
    </row>
    <row r="474" spans="6:20" x14ac:dyDescent="0.35">
      <c r="F474" s="1">
        <f t="shared" si="83"/>
        <v>9.419999999999888</v>
      </c>
      <c r="G474">
        <f>1/2*$B$8*$B$6*$B$7*(Tabelle2[[#This Row],[vx]]*Tabelle2[[#This Row],[vx]]+Tabelle2[[#This Row],[vy]]*Tabelle2[[#This Row],[vy]])/1000000</f>
        <v>6.4413500274297837</v>
      </c>
      <c r="H474">
        <f>IF($B$3,-Tabelle2[[#This Row],[Fd]]*Tabelle2[[#This Row],[vx]]/Tabelle2[[#This Row],[v]],0)</f>
        <v>0</v>
      </c>
      <c r="I474">
        <f t="shared" si="77"/>
        <v>0</v>
      </c>
      <c r="J474">
        <f t="shared" si="78"/>
        <v>0</v>
      </c>
      <c r="K474">
        <f t="shared" si="79"/>
        <v>1.0467394398169905</v>
      </c>
      <c r="L474">
        <f>-$B$5*$B$12-IF($B$3,Tabelle2[[#This Row],[Fd]]*Tabelle2[[#This Row],[vy]]/Tabelle2[[#This Row],[v]],0)</f>
        <v>-14.715</v>
      </c>
      <c r="M474">
        <f t="shared" si="80"/>
        <v>-9.81</v>
      </c>
      <c r="N474">
        <f t="shared" si="81"/>
        <v>-0.19620000000000001</v>
      </c>
      <c r="O474">
        <f t="shared" si="82"/>
        <v>-0.60271051208804494</v>
      </c>
      <c r="P474" s="1">
        <f t="shared" si="84"/>
        <v>52.336971990849527</v>
      </c>
      <c r="Q474" s="1">
        <f t="shared" si="85"/>
        <v>-30.037425604402248</v>
      </c>
      <c r="R474">
        <f>SQRT(Tabelle2[[#This Row],[vx]]*Tabelle2[[#This Row],[vx]]+Tabelle2[[#This Row],[vy]]*Tabelle2[[#This Row],[vy]])</f>
        <v>60.344059973712135</v>
      </c>
      <c r="S474">
        <f t="shared" si="86"/>
        <v>493.01427615380021</v>
      </c>
      <c r="T474" s="1">
        <f t="shared" si="87"/>
        <v>154.01391758715778</v>
      </c>
    </row>
    <row r="475" spans="6:20" x14ac:dyDescent="0.35">
      <c r="F475" s="1">
        <f t="shared" si="83"/>
        <v>9.4399999999998876</v>
      </c>
      <c r="G475">
        <f>1/2*$B$8*$B$6*$B$7*(Tabelle2[[#This Row],[vx]]*Tabelle2[[#This Row],[vx]]+Tabelle2[[#This Row],[vy]]*Tabelle2[[#This Row],[vy]])/1000000</f>
        <v>6.4622678086434435</v>
      </c>
      <c r="H475">
        <f>IF($B$3,-Tabelle2[[#This Row],[Fd]]*Tabelle2[[#This Row],[vx]]/Tabelle2[[#This Row],[v]],0)</f>
        <v>0</v>
      </c>
      <c r="I475">
        <f t="shared" si="77"/>
        <v>0</v>
      </c>
      <c r="J475">
        <f t="shared" si="78"/>
        <v>0</v>
      </c>
      <c r="K475">
        <f t="shared" si="79"/>
        <v>1.0467394398169905</v>
      </c>
      <c r="L475">
        <f>-$B$5*$B$12-IF($B$3,Tabelle2[[#This Row],[Fd]]*Tabelle2[[#This Row],[vy]]/Tabelle2[[#This Row],[v]],0)</f>
        <v>-14.715</v>
      </c>
      <c r="M475">
        <f t="shared" si="80"/>
        <v>-9.81</v>
      </c>
      <c r="N475">
        <f t="shared" si="81"/>
        <v>-0.19620000000000001</v>
      </c>
      <c r="O475">
        <f t="shared" si="82"/>
        <v>-0.60663451208804497</v>
      </c>
      <c r="P475" s="1">
        <f t="shared" si="84"/>
        <v>52.336971990849527</v>
      </c>
      <c r="Q475" s="1">
        <f t="shared" si="85"/>
        <v>-30.233625604402249</v>
      </c>
      <c r="R475">
        <f>SQRT(Tabelle2[[#This Row],[vx]]*Tabelle2[[#This Row],[vx]]+Tabelle2[[#This Row],[vy]]*Tabelle2[[#This Row],[vy]])</f>
        <v>60.441961867217174</v>
      </c>
      <c r="S475">
        <f t="shared" si="86"/>
        <v>494.06101559361719</v>
      </c>
      <c r="T475" s="1">
        <f t="shared" si="87"/>
        <v>153.41120707506974</v>
      </c>
    </row>
    <row r="476" spans="6:20" x14ac:dyDescent="0.35">
      <c r="F476" s="1">
        <f t="shared" si="83"/>
        <v>9.4599999999998872</v>
      </c>
      <c r="G476">
        <f>1/2*$B$8*$B$6*$B$7*(Tabelle2[[#This Row],[vx]]*Tabelle2[[#This Row],[vx]]+Tabelle2[[#This Row],[vy]]*Tabelle2[[#This Row],[vy]])/1000000</f>
        <v>6.483321776918447</v>
      </c>
      <c r="H476">
        <f>IF($B$3,-Tabelle2[[#This Row],[Fd]]*Tabelle2[[#This Row],[vx]]/Tabelle2[[#This Row],[v]],0)</f>
        <v>0</v>
      </c>
      <c r="I476">
        <f t="shared" si="77"/>
        <v>0</v>
      </c>
      <c r="J476">
        <f t="shared" si="78"/>
        <v>0</v>
      </c>
      <c r="K476">
        <f t="shared" si="79"/>
        <v>1.0467394398169905</v>
      </c>
      <c r="L476">
        <f>-$B$5*$B$12-IF($B$3,Tabelle2[[#This Row],[Fd]]*Tabelle2[[#This Row],[vy]]/Tabelle2[[#This Row],[v]],0)</f>
        <v>-14.715</v>
      </c>
      <c r="M476">
        <f t="shared" si="80"/>
        <v>-9.81</v>
      </c>
      <c r="N476">
        <f t="shared" si="81"/>
        <v>-0.19620000000000001</v>
      </c>
      <c r="O476">
        <f t="shared" si="82"/>
        <v>-0.61055851208804501</v>
      </c>
      <c r="P476" s="1">
        <f t="shared" si="84"/>
        <v>52.336971990849527</v>
      </c>
      <c r="Q476" s="1">
        <f t="shared" si="85"/>
        <v>-30.42982560440225</v>
      </c>
      <c r="R476">
        <f>SQRT(Tabelle2[[#This Row],[vx]]*Tabelle2[[#This Row],[vx]]+Tabelle2[[#This Row],[vy]]*Tabelle2[[#This Row],[vy]])</f>
        <v>60.540341289798675</v>
      </c>
      <c r="S476">
        <f t="shared" si="86"/>
        <v>495.10775503343416</v>
      </c>
      <c r="T476" s="1">
        <f t="shared" si="87"/>
        <v>152.80457256298169</v>
      </c>
    </row>
    <row r="477" spans="6:20" x14ac:dyDescent="0.35">
      <c r="F477" s="1">
        <f t="shared" si="83"/>
        <v>9.4799999999998867</v>
      </c>
      <c r="G477">
        <f>1/2*$B$8*$B$6*$B$7*(Tabelle2[[#This Row],[vx]]*Tabelle2[[#This Row],[vx]]+Tabelle2[[#This Row],[vy]]*Tabelle2[[#This Row],[vy]])/1000000</f>
        <v>6.5045119322547951</v>
      </c>
      <c r="H477">
        <f>IF($B$3,-Tabelle2[[#This Row],[Fd]]*Tabelle2[[#This Row],[vx]]/Tabelle2[[#This Row],[v]],0)</f>
        <v>0</v>
      </c>
      <c r="I477">
        <f t="shared" si="77"/>
        <v>0</v>
      </c>
      <c r="J477">
        <f t="shared" si="78"/>
        <v>0</v>
      </c>
      <c r="K477">
        <f t="shared" si="79"/>
        <v>1.0467394398169905</v>
      </c>
      <c r="L477">
        <f>-$B$5*$B$12-IF($B$3,Tabelle2[[#This Row],[Fd]]*Tabelle2[[#This Row],[vy]]/Tabelle2[[#This Row],[v]],0)</f>
        <v>-14.715</v>
      </c>
      <c r="M477">
        <f t="shared" si="80"/>
        <v>-9.81</v>
      </c>
      <c r="N477">
        <f t="shared" si="81"/>
        <v>-0.19620000000000001</v>
      </c>
      <c r="O477">
        <f t="shared" si="82"/>
        <v>-0.61448251208804505</v>
      </c>
      <c r="P477" s="1">
        <f t="shared" si="84"/>
        <v>52.336971990849527</v>
      </c>
      <c r="Q477" s="1">
        <f t="shared" si="85"/>
        <v>-30.626025604402251</v>
      </c>
      <c r="R477">
        <f>SQRT(Tabelle2[[#This Row],[vx]]*Tabelle2[[#This Row],[vx]]+Tabelle2[[#This Row],[vy]]*Tabelle2[[#This Row],[vy]])</f>
        <v>60.639195917265177</v>
      </c>
      <c r="S477">
        <f t="shared" si="86"/>
        <v>496.15449447325113</v>
      </c>
      <c r="T477" s="1">
        <f t="shared" si="87"/>
        <v>152.19401405089366</v>
      </c>
    </row>
    <row r="478" spans="6:20" x14ac:dyDescent="0.35">
      <c r="F478" s="1">
        <f t="shared" si="83"/>
        <v>9.4999999999998863</v>
      </c>
      <c r="G478">
        <f>1/2*$B$8*$B$6*$B$7*(Tabelle2[[#This Row],[vx]]*Tabelle2[[#This Row],[vx]]+Tabelle2[[#This Row],[vy]]*Tabelle2[[#This Row],[vy]])/1000000</f>
        <v>6.5258382746524868</v>
      </c>
      <c r="H478">
        <f>IF($B$3,-Tabelle2[[#This Row],[Fd]]*Tabelle2[[#This Row],[vx]]/Tabelle2[[#This Row],[v]],0)</f>
        <v>0</v>
      </c>
      <c r="I478">
        <f t="shared" si="77"/>
        <v>0</v>
      </c>
      <c r="J478">
        <f t="shared" si="78"/>
        <v>0</v>
      </c>
      <c r="K478">
        <f t="shared" si="79"/>
        <v>1.0467394398169905</v>
      </c>
      <c r="L478">
        <f>-$B$5*$B$12-IF($B$3,Tabelle2[[#This Row],[Fd]]*Tabelle2[[#This Row],[vy]]/Tabelle2[[#This Row],[v]],0)</f>
        <v>-14.715</v>
      </c>
      <c r="M478">
        <f t="shared" si="80"/>
        <v>-9.81</v>
      </c>
      <c r="N478">
        <f t="shared" si="81"/>
        <v>-0.19620000000000001</v>
      </c>
      <c r="O478">
        <f t="shared" si="82"/>
        <v>-0.61840651208804498</v>
      </c>
      <c r="P478" s="1">
        <f t="shared" si="84"/>
        <v>52.336971990849527</v>
      </c>
      <c r="Q478" s="1">
        <f t="shared" si="85"/>
        <v>-30.822225604402252</v>
      </c>
      <c r="R478">
        <f>SQRT(Tabelle2[[#This Row],[vx]]*Tabelle2[[#This Row],[vx]]+Tabelle2[[#This Row],[vy]]*Tabelle2[[#This Row],[vy]])</f>
        <v>60.738523429365962</v>
      </c>
      <c r="S478">
        <f t="shared" si="86"/>
        <v>497.20123391306811</v>
      </c>
      <c r="T478" s="1">
        <f t="shared" si="87"/>
        <v>151.57953153880561</v>
      </c>
    </row>
    <row r="479" spans="6:20" x14ac:dyDescent="0.35">
      <c r="F479" s="1">
        <f t="shared" si="83"/>
        <v>9.5199999999998859</v>
      </c>
      <c r="G479">
        <f>1/2*$B$8*$B$6*$B$7*(Tabelle2[[#This Row],[vx]]*Tabelle2[[#This Row],[vx]]+Tabelle2[[#This Row],[vy]]*Tabelle2[[#This Row],[vy]])/1000000</f>
        <v>6.547300804111523</v>
      </c>
      <c r="H479">
        <f>IF($B$3,-Tabelle2[[#This Row],[Fd]]*Tabelle2[[#This Row],[vx]]/Tabelle2[[#This Row],[v]],0)</f>
        <v>0</v>
      </c>
      <c r="I479">
        <f t="shared" si="77"/>
        <v>0</v>
      </c>
      <c r="J479">
        <f t="shared" si="78"/>
        <v>0</v>
      </c>
      <c r="K479">
        <f t="shared" si="79"/>
        <v>1.0467394398169905</v>
      </c>
      <c r="L479">
        <f>-$B$5*$B$12-IF($B$3,Tabelle2[[#This Row],[Fd]]*Tabelle2[[#This Row],[vy]]/Tabelle2[[#This Row],[v]],0)</f>
        <v>-14.715</v>
      </c>
      <c r="M479">
        <f t="shared" si="80"/>
        <v>-9.81</v>
      </c>
      <c r="N479">
        <f t="shared" si="81"/>
        <v>-0.19620000000000001</v>
      </c>
      <c r="O479">
        <f t="shared" si="82"/>
        <v>-0.62233051208804502</v>
      </c>
      <c r="P479" s="1">
        <f t="shared" si="84"/>
        <v>52.336971990849527</v>
      </c>
      <c r="Q479" s="1">
        <f t="shared" si="85"/>
        <v>-31.018425604402253</v>
      </c>
      <c r="R479">
        <f>SQRT(Tabelle2[[#This Row],[vx]]*Tabelle2[[#This Row],[vx]]+Tabelle2[[#This Row],[vy]]*Tabelle2[[#This Row],[vy]])</f>
        <v>60.83832150993981</v>
      </c>
      <c r="S479">
        <f t="shared" si="86"/>
        <v>498.24797335288508</v>
      </c>
      <c r="T479" s="1">
        <f t="shared" si="87"/>
        <v>150.96112502671755</v>
      </c>
    </row>
    <row r="480" spans="6:20" x14ac:dyDescent="0.35">
      <c r="F480" s="1">
        <f t="shared" si="83"/>
        <v>9.5399999999998855</v>
      </c>
      <c r="G480">
        <f>1/2*$B$8*$B$6*$B$7*(Tabelle2[[#This Row],[vx]]*Tabelle2[[#This Row],[vx]]+Tabelle2[[#This Row],[vy]]*Tabelle2[[#This Row],[vy]])/1000000</f>
        <v>6.568899520631903</v>
      </c>
      <c r="H480">
        <f>IF($B$3,-Tabelle2[[#This Row],[Fd]]*Tabelle2[[#This Row],[vx]]/Tabelle2[[#This Row],[v]],0)</f>
        <v>0</v>
      </c>
      <c r="I480">
        <f t="shared" si="77"/>
        <v>0</v>
      </c>
      <c r="J480">
        <f t="shared" si="78"/>
        <v>0</v>
      </c>
      <c r="K480">
        <f t="shared" si="79"/>
        <v>1.0467394398169905</v>
      </c>
      <c r="L480">
        <f>-$B$5*$B$12-IF($B$3,Tabelle2[[#This Row],[Fd]]*Tabelle2[[#This Row],[vy]]/Tabelle2[[#This Row],[v]],0)</f>
        <v>-14.715</v>
      </c>
      <c r="M480">
        <f t="shared" si="80"/>
        <v>-9.81</v>
      </c>
      <c r="N480">
        <f t="shared" si="81"/>
        <v>-0.19620000000000001</v>
      </c>
      <c r="O480">
        <f t="shared" si="82"/>
        <v>-0.62625451208804506</v>
      </c>
      <c r="P480" s="1">
        <f t="shared" si="84"/>
        <v>52.336971990849527</v>
      </c>
      <c r="Q480" s="1">
        <f t="shared" si="85"/>
        <v>-31.214625604402254</v>
      </c>
      <c r="R480">
        <f>SQRT(Tabelle2[[#This Row],[vx]]*Tabelle2[[#This Row],[vx]]+Tabelle2[[#This Row],[vy]]*Tabelle2[[#This Row],[vy]])</f>
        <v>60.938587847061015</v>
      </c>
      <c r="S480">
        <f t="shared" si="86"/>
        <v>499.29471279270206</v>
      </c>
      <c r="T480" s="1">
        <f t="shared" si="87"/>
        <v>150.33879451462951</v>
      </c>
    </row>
    <row r="481" spans="6:20" x14ac:dyDescent="0.35">
      <c r="F481" s="1">
        <f t="shared" si="83"/>
        <v>9.559999999999885</v>
      </c>
      <c r="G481">
        <f>1/2*$B$8*$B$6*$B$7*(Tabelle2[[#This Row],[vx]]*Tabelle2[[#This Row],[vx]]+Tabelle2[[#This Row],[vy]]*Tabelle2[[#This Row],[vy]])/1000000</f>
        <v>6.5906344242136266</v>
      </c>
      <c r="H481">
        <f>IF($B$3,-Tabelle2[[#This Row],[Fd]]*Tabelle2[[#This Row],[vx]]/Tabelle2[[#This Row],[v]],0)</f>
        <v>0</v>
      </c>
      <c r="I481">
        <f t="shared" si="77"/>
        <v>0</v>
      </c>
      <c r="J481">
        <f t="shared" si="78"/>
        <v>0</v>
      </c>
      <c r="K481">
        <f t="shared" si="79"/>
        <v>1.0467394398169905</v>
      </c>
      <c r="L481">
        <f>-$B$5*$B$12-IF($B$3,Tabelle2[[#This Row],[Fd]]*Tabelle2[[#This Row],[vy]]/Tabelle2[[#This Row],[v]],0)</f>
        <v>-14.715</v>
      </c>
      <c r="M481">
        <f t="shared" si="80"/>
        <v>-9.81</v>
      </c>
      <c r="N481">
        <f t="shared" si="81"/>
        <v>-0.19620000000000001</v>
      </c>
      <c r="O481">
        <f t="shared" si="82"/>
        <v>-0.6301785120880451</v>
      </c>
      <c r="P481" s="1">
        <f t="shared" si="84"/>
        <v>52.336971990849527</v>
      </c>
      <c r="Q481" s="1">
        <f t="shared" si="85"/>
        <v>-31.410825604402255</v>
      </c>
      <c r="R481">
        <f>SQRT(Tabelle2[[#This Row],[vx]]*Tabelle2[[#This Row],[vx]]+Tabelle2[[#This Row],[vy]]*Tabelle2[[#This Row],[vy]])</f>
        <v>61.039320133182514</v>
      </c>
      <c r="S481">
        <f t="shared" si="86"/>
        <v>500.34145223251903</v>
      </c>
      <c r="T481" s="1">
        <f t="shared" si="87"/>
        <v>149.71254000254146</v>
      </c>
    </row>
    <row r="482" spans="6:20" x14ac:dyDescent="0.35">
      <c r="F482" s="1">
        <f t="shared" si="83"/>
        <v>9.5799999999998846</v>
      </c>
      <c r="G482">
        <f>1/2*$B$8*$B$6*$B$7*(Tabelle2[[#This Row],[vx]]*Tabelle2[[#This Row],[vx]]+Tabelle2[[#This Row],[vy]]*Tabelle2[[#This Row],[vy]])/1000000</f>
        <v>6.6125055148566929</v>
      </c>
      <c r="H482">
        <f>IF($B$3,-Tabelle2[[#This Row],[Fd]]*Tabelle2[[#This Row],[vx]]/Tabelle2[[#This Row],[v]],0)</f>
        <v>0</v>
      </c>
      <c r="I482">
        <f t="shared" si="77"/>
        <v>0</v>
      </c>
      <c r="J482">
        <f t="shared" si="78"/>
        <v>0</v>
      </c>
      <c r="K482">
        <f t="shared" si="79"/>
        <v>1.0467394398169905</v>
      </c>
      <c r="L482">
        <f>-$B$5*$B$12-IF($B$3,Tabelle2[[#This Row],[Fd]]*Tabelle2[[#This Row],[vy]]/Tabelle2[[#This Row],[v]],0)</f>
        <v>-14.715</v>
      </c>
      <c r="M482">
        <f t="shared" si="80"/>
        <v>-9.81</v>
      </c>
      <c r="N482">
        <f t="shared" si="81"/>
        <v>-0.19620000000000001</v>
      </c>
      <c r="O482">
        <f t="shared" si="82"/>
        <v>-0.63410251208804513</v>
      </c>
      <c r="P482" s="1">
        <f t="shared" si="84"/>
        <v>52.336971990849527</v>
      </c>
      <c r="Q482" s="1">
        <f t="shared" si="85"/>
        <v>-31.607025604402256</v>
      </c>
      <c r="R482">
        <f>SQRT(Tabelle2[[#This Row],[vx]]*Tabelle2[[#This Row],[vx]]+Tabelle2[[#This Row],[vy]]*Tabelle2[[#This Row],[vy]])</f>
        <v>61.14051606527628</v>
      </c>
      <c r="S482">
        <f t="shared" si="86"/>
        <v>501.38819167233601</v>
      </c>
      <c r="T482" s="1">
        <f t="shared" si="87"/>
        <v>149.08236149045342</v>
      </c>
    </row>
    <row r="483" spans="6:20" x14ac:dyDescent="0.35">
      <c r="F483" s="1">
        <f t="shared" si="83"/>
        <v>9.5999999999998842</v>
      </c>
      <c r="G483">
        <f>1/2*$B$8*$B$6*$B$7*(Tabelle2[[#This Row],[vx]]*Tabelle2[[#This Row],[vx]]+Tabelle2[[#This Row],[vy]]*Tabelle2[[#This Row],[vy]])/1000000</f>
        <v>6.6345127925611056</v>
      </c>
      <c r="H483">
        <f>IF($B$3,-Tabelle2[[#This Row],[Fd]]*Tabelle2[[#This Row],[vx]]/Tabelle2[[#This Row],[v]],0)</f>
        <v>0</v>
      </c>
      <c r="I483">
        <f t="shared" si="77"/>
        <v>0</v>
      </c>
      <c r="J483">
        <f t="shared" si="78"/>
        <v>0</v>
      </c>
      <c r="K483">
        <f t="shared" si="79"/>
        <v>1.0467394398169905</v>
      </c>
      <c r="L483">
        <f>-$B$5*$B$12-IF($B$3,Tabelle2[[#This Row],[Fd]]*Tabelle2[[#This Row],[vy]]/Tabelle2[[#This Row],[v]],0)</f>
        <v>-14.715</v>
      </c>
      <c r="M483">
        <f t="shared" si="80"/>
        <v>-9.81</v>
      </c>
      <c r="N483">
        <f t="shared" si="81"/>
        <v>-0.19620000000000001</v>
      </c>
      <c r="O483">
        <f t="shared" si="82"/>
        <v>-0.63802651208804517</v>
      </c>
      <c r="P483" s="1">
        <f t="shared" si="84"/>
        <v>52.336971990849527</v>
      </c>
      <c r="Q483" s="1">
        <f t="shared" si="85"/>
        <v>-31.803225604402257</v>
      </c>
      <c r="R483">
        <f>SQRT(Tabelle2[[#This Row],[vx]]*Tabelle2[[#This Row],[vx]]+Tabelle2[[#This Row],[vy]]*Tabelle2[[#This Row],[vy]])</f>
        <v>61.242173344970986</v>
      </c>
      <c r="S483">
        <f t="shared" si="86"/>
        <v>502.43493111215298</v>
      </c>
      <c r="T483" s="1">
        <f t="shared" si="87"/>
        <v>148.44825897836537</v>
      </c>
    </row>
    <row r="484" spans="6:20" x14ac:dyDescent="0.35">
      <c r="F484" s="1">
        <f t="shared" si="83"/>
        <v>9.6199999999998838</v>
      </c>
      <c r="G484">
        <f>1/2*$B$8*$B$6*$B$7*(Tabelle2[[#This Row],[vx]]*Tabelle2[[#This Row],[vx]]+Tabelle2[[#This Row],[vy]]*Tabelle2[[#This Row],[vy]])/1000000</f>
        <v>6.6566562573268619</v>
      </c>
      <c r="H484">
        <f>IF($B$3,-Tabelle2[[#This Row],[Fd]]*Tabelle2[[#This Row],[vx]]/Tabelle2[[#This Row],[v]],0)</f>
        <v>0</v>
      </c>
      <c r="I484">
        <f t="shared" si="77"/>
        <v>0</v>
      </c>
      <c r="J484">
        <f t="shared" si="78"/>
        <v>0</v>
      </c>
      <c r="K484">
        <f t="shared" si="79"/>
        <v>1.0467394398169905</v>
      </c>
      <c r="L484">
        <f>-$B$5*$B$12-IF($B$3,Tabelle2[[#This Row],[Fd]]*Tabelle2[[#This Row],[vy]]/Tabelle2[[#This Row],[v]],0)</f>
        <v>-14.715</v>
      </c>
      <c r="M484">
        <f t="shared" si="80"/>
        <v>-9.81</v>
      </c>
      <c r="N484">
        <f t="shared" si="81"/>
        <v>-0.19620000000000001</v>
      </c>
      <c r="O484">
        <f t="shared" si="82"/>
        <v>-0.64195051208804521</v>
      </c>
      <c r="P484" s="1">
        <f t="shared" si="84"/>
        <v>52.336971990849527</v>
      </c>
      <c r="Q484" s="1">
        <f t="shared" si="85"/>
        <v>-31.999425604402258</v>
      </c>
      <c r="R484">
        <f>SQRT(Tabelle2[[#This Row],[vx]]*Tabelle2[[#This Row],[vx]]+Tabelle2[[#This Row],[vy]]*Tabelle2[[#This Row],[vy]])</f>
        <v>61.34428967868682</v>
      </c>
      <c r="S484">
        <f t="shared" si="86"/>
        <v>503.48167055196996</v>
      </c>
      <c r="T484" s="1">
        <f t="shared" si="87"/>
        <v>147.81023246627734</v>
      </c>
    </row>
    <row r="485" spans="6:20" x14ac:dyDescent="0.35">
      <c r="F485" s="1">
        <f t="shared" si="83"/>
        <v>9.6399999999998833</v>
      </c>
      <c r="G485">
        <f>1/2*$B$8*$B$6*$B$7*(Tabelle2[[#This Row],[vx]]*Tabelle2[[#This Row],[vx]]+Tabelle2[[#This Row],[vy]]*Tabelle2[[#This Row],[vy]])/1000000</f>
        <v>6.678935909153962</v>
      </c>
      <c r="H485">
        <f>IF($B$3,-Tabelle2[[#This Row],[Fd]]*Tabelle2[[#This Row],[vx]]/Tabelle2[[#This Row],[v]],0)</f>
        <v>0</v>
      </c>
      <c r="I485">
        <f t="shared" si="77"/>
        <v>0</v>
      </c>
      <c r="J485">
        <f t="shared" si="78"/>
        <v>0</v>
      </c>
      <c r="K485">
        <f t="shared" si="79"/>
        <v>1.0467394398169905</v>
      </c>
      <c r="L485">
        <f>-$B$5*$B$12-IF($B$3,Tabelle2[[#This Row],[Fd]]*Tabelle2[[#This Row],[vy]]/Tabelle2[[#This Row],[v]],0)</f>
        <v>-14.715</v>
      </c>
      <c r="M485">
        <f t="shared" si="80"/>
        <v>-9.81</v>
      </c>
      <c r="N485">
        <f t="shared" si="81"/>
        <v>-0.19620000000000001</v>
      </c>
      <c r="O485">
        <f t="shared" si="82"/>
        <v>-0.64587451208804525</v>
      </c>
      <c r="P485" s="1">
        <f t="shared" si="84"/>
        <v>52.336971990849527</v>
      </c>
      <c r="Q485" s="1">
        <f t="shared" si="85"/>
        <v>-32.19562560440226</v>
      </c>
      <c r="R485">
        <f>SQRT(Tabelle2[[#This Row],[vx]]*Tabelle2[[#This Row],[vx]]+Tabelle2[[#This Row],[vy]]*Tabelle2[[#This Row],[vy]])</f>
        <v>61.44686277776767</v>
      </c>
      <c r="S485">
        <f t="shared" si="86"/>
        <v>504.52840999178693</v>
      </c>
      <c r="T485" s="1">
        <f t="shared" si="87"/>
        <v>147.1682819541893</v>
      </c>
    </row>
    <row r="486" spans="6:20" x14ac:dyDescent="0.35">
      <c r="F486" s="1">
        <f t="shared" si="83"/>
        <v>9.6599999999998829</v>
      </c>
      <c r="G486">
        <f>1/2*$B$8*$B$6*$B$7*(Tabelle2[[#This Row],[vx]]*Tabelle2[[#This Row],[vx]]+Tabelle2[[#This Row],[vy]]*Tabelle2[[#This Row],[vy]])/1000000</f>
        <v>6.7013517480424039</v>
      </c>
      <c r="H486">
        <f>IF($B$3,-Tabelle2[[#This Row],[Fd]]*Tabelle2[[#This Row],[vx]]/Tabelle2[[#This Row],[v]],0)</f>
        <v>0</v>
      </c>
      <c r="I486">
        <f t="shared" si="77"/>
        <v>0</v>
      </c>
      <c r="J486">
        <f t="shared" si="78"/>
        <v>0</v>
      </c>
      <c r="K486">
        <f t="shared" si="79"/>
        <v>1.0467394398169905</v>
      </c>
      <c r="L486">
        <f>-$B$5*$B$12-IF($B$3,Tabelle2[[#This Row],[Fd]]*Tabelle2[[#This Row],[vy]]/Tabelle2[[#This Row],[v]],0)</f>
        <v>-14.715</v>
      </c>
      <c r="M486">
        <f t="shared" si="80"/>
        <v>-9.81</v>
      </c>
      <c r="N486">
        <f t="shared" si="81"/>
        <v>-0.19620000000000001</v>
      </c>
      <c r="O486">
        <f t="shared" si="82"/>
        <v>-0.64979851208804518</v>
      </c>
      <c r="P486" s="1">
        <f t="shared" si="84"/>
        <v>52.336971990849527</v>
      </c>
      <c r="Q486" s="1">
        <f t="shared" si="85"/>
        <v>-32.391825604402257</v>
      </c>
      <c r="R486">
        <f>SQRT(Tabelle2[[#This Row],[vx]]*Tabelle2[[#This Row],[vx]]+Tabelle2[[#This Row],[vy]]*Tabelle2[[#This Row],[vy]])</f>
        <v>61.549890358610526</v>
      </c>
      <c r="S486">
        <f t="shared" si="86"/>
        <v>505.5751494316039</v>
      </c>
      <c r="T486" s="1">
        <f t="shared" si="87"/>
        <v>146.52240744210124</v>
      </c>
    </row>
    <row r="487" spans="6:20" x14ac:dyDescent="0.35">
      <c r="F487" s="1">
        <f t="shared" si="83"/>
        <v>9.6799999999998825</v>
      </c>
      <c r="G487">
        <f>1/2*$B$8*$B$6*$B$7*(Tabelle2[[#This Row],[vx]]*Tabelle2[[#This Row],[vx]]+Tabelle2[[#This Row],[vy]]*Tabelle2[[#This Row],[vy]])/1000000</f>
        <v>6.7239037739921912</v>
      </c>
      <c r="H487">
        <f>IF($B$3,-Tabelle2[[#This Row],[Fd]]*Tabelle2[[#This Row],[vx]]/Tabelle2[[#This Row],[v]],0)</f>
        <v>0</v>
      </c>
      <c r="I487">
        <f t="shared" si="77"/>
        <v>0</v>
      </c>
      <c r="J487">
        <f t="shared" si="78"/>
        <v>0</v>
      </c>
      <c r="K487">
        <f t="shared" si="79"/>
        <v>1.0467394398169905</v>
      </c>
      <c r="L487">
        <f>-$B$5*$B$12-IF($B$3,Tabelle2[[#This Row],[Fd]]*Tabelle2[[#This Row],[vy]]/Tabelle2[[#This Row],[v]],0)</f>
        <v>-14.715</v>
      </c>
      <c r="M487">
        <f t="shared" si="80"/>
        <v>-9.81</v>
      </c>
      <c r="N487">
        <f t="shared" si="81"/>
        <v>-0.19620000000000001</v>
      </c>
      <c r="O487">
        <f t="shared" si="82"/>
        <v>-0.6537225120880451</v>
      </c>
      <c r="P487" s="1">
        <f t="shared" si="84"/>
        <v>52.336971990849527</v>
      </c>
      <c r="Q487" s="1">
        <f t="shared" si="85"/>
        <v>-32.588025604402254</v>
      </c>
      <c r="R487">
        <f>SQRT(Tabelle2[[#This Row],[vx]]*Tabelle2[[#This Row],[vx]]+Tabelle2[[#This Row],[vy]]*Tabelle2[[#This Row],[vy]])</f>
        <v>61.653370142792234</v>
      </c>
      <c r="S487">
        <f t="shared" si="86"/>
        <v>506.62188887142088</v>
      </c>
      <c r="T487" s="1">
        <f t="shared" si="87"/>
        <v>145.8726089300132</v>
      </c>
    </row>
    <row r="488" spans="6:20" x14ac:dyDescent="0.35">
      <c r="F488" s="1">
        <f t="shared" si="83"/>
        <v>9.699999999999882</v>
      </c>
      <c r="G488">
        <f>1/2*$B$8*$B$6*$B$7*(Tabelle2[[#This Row],[vx]]*Tabelle2[[#This Row],[vx]]+Tabelle2[[#This Row],[vy]]*Tabelle2[[#This Row],[vy]])/1000000</f>
        <v>6.7465919870033231</v>
      </c>
      <c r="H488">
        <f>IF($B$3,-Tabelle2[[#This Row],[Fd]]*Tabelle2[[#This Row],[vx]]/Tabelle2[[#This Row],[v]],0)</f>
        <v>0</v>
      </c>
      <c r="I488">
        <f t="shared" si="77"/>
        <v>0</v>
      </c>
      <c r="J488">
        <f t="shared" si="78"/>
        <v>0</v>
      </c>
      <c r="K488">
        <f t="shared" si="79"/>
        <v>1.0467394398169905</v>
      </c>
      <c r="L488">
        <f>-$B$5*$B$12-IF($B$3,Tabelle2[[#This Row],[Fd]]*Tabelle2[[#This Row],[vy]]/Tabelle2[[#This Row],[v]],0)</f>
        <v>-14.715</v>
      </c>
      <c r="M488">
        <f t="shared" si="80"/>
        <v>-9.81</v>
      </c>
      <c r="N488">
        <f t="shared" si="81"/>
        <v>-0.19620000000000001</v>
      </c>
      <c r="O488">
        <f t="shared" si="82"/>
        <v>-0.65764651208804514</v>
      </c>
      <c r="P488" s="1">
        <f t="shared" si="84"/>
        <v>52.336971990849527</v>
      </c>
      <c r="Q488" s="1">
        <f t="shared" si="85"/>
        <v>-32.784225604402252</v>
      </c>
      <c r="R488">
        <f>SQRT(Tabelle2[[#This Row],[vx]]*Tabelle2[[#This Row],[vx]]+Tabelle2[[#This Row],[vy]]*Tabelle2[[#This Row],[vy]])</f>
        <v>61.757299857193495</v>
      </c>
      <c r="S488">
        <f t="shared" si="86"/>
        <v>507.66862831123785</v>
      </c>
      <c r="T488" s="1">
        <f t="shared" si="87"/>
        <v>145.21888641792515</v>
      </c>
    </row>
    <row r="489" spans="6:20" x14ac:dyDescent="0.35">
      <c r="F489" s="1">
        <f t="shared" si="83"/>
        <v>9.7199999999998816</v>
      </c>
      <c r="G489">
        <f>1/2*$B$8*$B$6*$B$7*(Tabelle2[[#This Row],[vx]]*Tabelle2[[#This Row],[vx]]+Tabelle2[[#This Row],[vy]]*Tabelle2[[#This Row],[vy]])/1000000</f>
        <v>6.7694163870757977</v>
      </c>
      <c r="H489">
        <f>IF($B$3,-Tabelle2[[#This Row],[Fd]]*Tabelle2[[#This Row],[vx]]/Tabelle2[[#This Row],[v]],0)</f>
        <v>0</v>
      </c>
      <c r="I489">
        <f t="shared" si="77"/>
        <v>0</v>
      </c>
      <c r="J489">
        <f t="shared" si="78"/>
        <v>0</v>
      </c>
      <c r="K489">
        <f t="shared" si="79"/>
        <v>1.0467394398169905</v>
      </c>
      <c r="L489">
        <f>-$B$5*$B$12-IF($B$3,Tabelle2[[#This Row],[Fd]]*Tabelle2[[#This Row],[vy]]/Tabelle2[[#This Row],[v]],0)</f>
        <v>-14.715</v>
      </c>
      <c r="M489">
        <f t="shared" si="80"/>
        <v>-9.81</v>
      </c>
      <c r="N489">
        <f t="shared" si="81"/>
        <v>-0.19620000000000001</v>
      </c>
      <c r="O489">
        <f t="shared" si="82"/>
        <v>-0.66157051208804507</v>
      </c>
      <c r="P489" s="1">
        <f t="shared" si="84"/>
        <v>52.336971990849527</v>
      </c>
      <c r="Q489" s="1">
        <f t="shared" si="85"/>
        <v>-32.980425604402249</v>
      </c>
      <c r="R489">
        <f>SQRT(Tabelle2[[#This Row],[vx]]*Tabelle2[[#This Row],[vx]]+Tabelle2[[#This Row],[vy]]*Tabelle2[[#This Row],[vy]])</f>
        <v>61.861677234120307</v>
      </c>
      <c r="S489">
        <f t="shared" si="86"/>
        <v>508.71536775105483</v>
      </c>
      <c r="T489" s="1">
        <f t="shared" si="87"/>
        <v>144.56123990583711</v>
      </c>
    </row>
    <row r="490" spans="6:20" x14ac:dyDescent="0.35">
      <c r="F490" s="1">
        <f t="shared" si="83"/>
        <v>9.7399999999998812</v>
      </c>
      <c r="G490">
        <f>1/2*$B$8*$B$6*$B$7*(Tabelle2[[#This Row],[vx]]*Tabelle2[[#This Row],[vx]]+Tabelle2[[#This Row],[vy]]*Tabelle2[[#This Row],[vy]])/1000000</f>
        <v>6.7923769742096169</v>
      </c>
      <c r="H490">
        <f>IF($B$3,-Tabelle2[[#This Row],[Fd]]*Tabelle2[[#This Row],[vx]]/Tabelle2[[#This Row],[v]],0)</f>
        <v>0</v>
      </c>
      <c r="I490">
        <f t="shared" si="77"/>
        <v>0</v>
      </c>
      <c r="J490">
        <f t="shared" si="78"/>
        <v>0</v>
      </c>
      <c r="K490">
        <f t="shared" si="79"/>
        <v>1.0467394398169905</v>
      </c>
      <c r="L490">
        <f>-$B$5*$B$12-IF($B$3,Tabelle2[[#This Row],[Fd]]*Tabelle2[[#This Row],[vy]]/Tabelle2[[#This Row],[v]],0)</f>
        <v>-14.715</v>
      </c>
      <c r="M490">
        <f t="shared" si="80"/>
        <v>-9.81</v>
      </c>
      <c r="N490">
        <f t="shared" si="81"/>
        <v>-0.19620000000000001</v>
      </c>
      <c r="O490">
        <f t="shared" si="82"/>
        <v>-0.665494512088045</v>
      </c>
      <c r="P490" s="1">
        <f t="shared" si="84"/>
        <v>52.336971990849527</v>
      </c>
      <c r="Q490" s="1">
        <f t="shared" si="85"/>
        <v>-33.176625604402247</v>
      </c>
      <c r="R490">
        <f>SQRT(Tabelle2[[#This Row],[vx]]*Tabelle2[[#This Row],[vx]]+Tabelle2[[#This Row],[vy]]*Tabelle2[[#This Row],[vy]])</f>
        <v>61.966500011422674</v>
      </c>
      <c r="S490">
        <f t="shared" si="86"/>
        <v>509.7621071908718</v>
      </c>
      <c r="T490" s="1">
        <f t="shared" si="87"/>
        <v>143.89966939374906</v>
      </c>
    </row>
    <row r="491" spans="6:20" x14ac:dyDescent="0.35">
      <c r="F491" s="1">
        <f t="shared" si="83"/>
        <v>9.7599999999998808</v>
      </c>
      <c r="G491">
        <f>1/2*$B$8*$B$6*$B$7*(Tabelle2[[#This Row],[vx]]*Tabelle2[[#This Row],[vx]]+Tabelle2[[#This Row],[vy]]*Tabelle2[[#This Row],[vy]])/1000000</f>
        <v>6.8154737484047807</v>
      </c>
      <c r="H491">
        <f>IF($B$3,-Tabelle2[[#This Row],[Fd]]*Tabelle2[[#This Row],[vx]]/Tabelle2[[#This Row],[v]],0)</f>
        <v>0</v>
      </c>
      <c r="I491">
        <f t="shared" si="77"/>
        <v>0</v>
      </c>
      <c r="J491">
        <f t="shared" si="78"/>
        <v>0</v>
      </c>
      <c r="K491">
        <f t="shared" si="79"/>
        <v>1.0467394398169905</v>
      </c>
      <c r="L491">
        <f>-$B$5*$B$12-IF($B$3,Tabelle2[[#This Row],[Fd]]*Tabelle2[[#This Row],[vy]]/Tabelle2[[#This Row],[v]],0)</f>
        <v>-14.715</v>
      </c>
      <c r="M491">
        <f t="shared" si="80"/>
        <v>-9.81</v>
      </c>
      <c r="N491">
        <f t="shared" si="81"/>
        <v>-0.19620000000000001</v>
      </c>
      <c r="O491">
        <f t="shared" si="82"/>
        <v>-0.66941851208804493</v>
      </c>
      <c r="P491" s="1">
        <f t="shared" si="84"/>
        <v>52.336971990849527</v>
      </c>
      <c r="Q491" s="1">
        <f t="shared" si="85"/>
        <v>-33.372825604402244</v>
      </c>
      <c r="R491">
        <f>SQRT(Tabelle2[[#This Row],[vx]]*Tabelle2[[#This Row],[vx]]+Tabelle2[[#This Row],[vy]]*Tabelle2[[#This Row],[vy]])</f>
        <v>62.071765932610724</v>
      </c>
      <c r="S491">
        <f t="shared" si="86"/>
        <v>510.80884663068878</v>
      </c>
      <c r="T491" s="1">
        <f t="shared" si="87"/>
        <v>143.23417488166103</v>
      </c>
    </row>
    <row r="492" spans="6:20" x14ac:dyDescent="0.35">
      <c r="F492" s="1">
        <f t="shared" si="83"/>
        <v>9.7799999999998803</v>
      </c>
      <c r="G492">
        <f>1/2*$B$8*$B$6*$B$7*(Tabelle2[[#This Row],[vx]]*Tabelle2[[#This Row],[vx]]+Tabelle2[[#This Row],[vy]]*Tabelle2[[#This Row],[vy]])/1000000</f>
        <v>6.8387067096612881</v>
      </c>
      <c r="H492">
        <f>IF($B$3,-Tabelle2[[#This Row],[Fd]]*Tabelle2[[#This Row],[vx]]/Tabelle2[[#This Row],[v]],0)</f>
        <v>0</v>
      </c>
      <c r="I492">
        <f t="shared" si="77"/>
        <v>0</v>
      </c>
      <c r="J492">
        <f t="shared" si="78"/>
        <v>0</v>
      </c>
      <c r="K492">
        <f t="shared" si="79"/>
        <v>1.0467394398169905</v>
      </c>
      <c r="L492">
        <f>-$B$5*$B$12-IF($B$3,Tabelle2[[#This Row],[Fd]]*Tabelle2[[#This Row],[vy]]/Tabelle2[[#This Row],[v]],0)</f>
        <v>-14.715</v>
      </c>
      <c r="M492">
        <f t="shared" si="80"/>
        <v>-9.81</v>
      </c>
      <c r="N492">
        <f t="shared" si="81"/>
        <v>-0.19620000000000001</v>
      </c>
      <c r="O492">
        <f t="shared" si="82"/>
        <v>-0.67334251208804485</v>
      </c>
      <c r="P492" s="1">
        <f t="shared" si="84"/>
        <v>52.336971990849527</v>
      </c>
      <c r="Q492" s="1">
        <f t="shared" si="85"/>
        <v>-33.569025604402242</v>
      </c>
      <c r="R492">
        <f>SQRT(Tabelle2[[#This Row],[vx]]*Tabelle2[[#This Row],[vx]]+Tabelle2[[#This Row],[vy]]*Tabelle2[[#This Row],[vy]])</f>
        <v>62.177472746968263</v>
      </c>
      <c r="S492">
        <f t="shared" si="86"/>
        <v>511.85558607050575</v>
      </c>
      <c r="T492" s="1">
        <f t="shared" si="87"/>
        <v>142.56475636957299</v>
      </c>
    </row>
    <row r="493" spans="6:20" x14ac:dyDescent="0.35">
      <c r="F493" s="1">
        <f t="shared" si="83"/>
        <v>9.7999999999998799</v>
      </c>
      <c r="G493">
        <f>1/2*$B$8*$B$6*$B$7*(Tabelle2[[#This Row],[vx]]*Tabelle2[[#This Row],[vx]]+Tabelle2[[#This Row],[vy]]*Tabelle2[[#This Row],[vy]])/1000000</f>
        <v>6.8620758579791392</v>
      </c>
      <c r="H493">
        <f>IF($B$3,-Tabelle2[[#This Row],[Fd]]*Tabelle2[[#This Row],[vx]]/Tabelle2[[#This Row],[v]],0)</f>
        <v>0</v>
      </c>
      <c r="I493">
        <f t="shared" si="77"/>
        <v>0</v>
      </c>
      <c r="J493">
        <f t="shared" si="78"/>
        <v>0</v>
      </c>
      <c r="K493">
        <f t="shared" si="79"/>
        <v>1.0467394398169905</v>
      </c>
      <c r="L493">
        <f>-$B$5*$B$12-IF($B$3,Tabelle2[[#This Row],[Fd]]*Tabelle2[[#This Row],[vy]]/Tabelle2[[#This Row],[v]],0)</f>
        <v>-14.715</v>
      </c>
      <c r="M493">
        <f t="shared" si="80"/>
        <v>-9.81</v>
      </c>
      <c r="N493">
        <f t="shared" si="81"/>
        <v>-0.19620000000000001</v>
      </c>
      <c r="O493">
        <f t="shared" si="82"/>
        <v>-0.67726651208804489</v>
      </c>
      <c r="P493" s="1">
        <f t="shared" si="84"/>
        <v>52.336971990849527</v>
      </c>
      <c r="Q493" s="1">
        <f t="shared" si="85"/>
        <v>-33.765225604402239</v>
      </c>
      <c r="R493">
        <f>SQRT(Tabelle2[[#This Row],[vx]]*Tabelle2[[#This Row],[vx]]+Tabelle2[[#This Row],[vy]]*Tabelle2[[#This Row],[vy]])</f>
        <v>62.283618209663672</v>
      </c>
      <c r="S493">
        <f t="shared" si="86"/>
        <v>512.90232551032273</v>
      </c>
      <c r="T493" s="1">
        <f t="shared" si="87"/>
        <v>141.89141385748493</v>
      </c>
    </row>
    <row r="494" spans="6:20" x14ac:dyDescent="0.35">
      <c r="F494" s="1">
        <f t="shared" si="83"/>
        <v>9.8199999999998795</v>
      </c>
      <c r="G494">
        <f>1/2*$B$8*$B$6*$B$7*(Tabelle2[[#This Row],[vx]]*Tabelle2[[#This Row],[vx]]+Tabelle2[[#This Row],[vy]]*Tabelle2[[#This Row],[vy]])/1000000</f>
        <v>6.885581193358334</v>
      </c>
      <c r="H494">
        <f>IF($B$3,-Tabelle2[[#This Row],[Fd]]*Tabelle2[[#This Row],[vx]]/Tabelle2[[#This Row],[v]],0)</f>
        <v>0</v>
      </c>
      <c r="I494">
        <f t="shared" si="77"/>
        <v>0</v>
      </c>
      <c r="J494">
        <f t="shared" si="78"/>
        <v>0</v>
      </c>
      <c r="K494">
        <f t="shared" si="79"/>
        <v>1.0467394398169905</v>
      </c>
      <c r="L494">
        <f>-$B$5*$B$12-IF($B$3,Tabelle2[[#This Row],[Fd]]*Tabelle2[[#This Row],[vy]]/Tabelle2[[#This Row],[v]],0)</f>
        <v>-14.715</v>
      </c>
      <c r="M494">
        <f t="shared" si="80"/>
        <v>-9.81</v>
      </c>
      <c r="N494">
        <f t="shared" si="81"/>
        <v>-0.19620000000000001</v>
      </c>
      <c r="O494">
        <f t="shared" si="82"/>
        <v>-0.68119051208804482</v>
      </c>
      <c r="P494" s="1">
        <f t="shared" si="84"/>
        <v>52.336971990849527</v>
      </c>
      <c r="Q494" s="1">
        <f t="shared" si="85"/>
        <v>-33.961425604402237</v>
      </c>
      <c r="R494">
        <f>SQRT(Tabelle2[[#This Row],[vx]]*Tabelle2[[#This Row],[vx]]+Tabelle2[[#This Row],[vy]]*Tabelle2[[#This Row],[vy]])</f>
        <v>62.390200081858332</v>
      </c>
      <c r="S494">
        <f t="shared" si="86"/>
        <v>513.9490649501397</v>
      </c>
      <c r="T494" s="1">
        <f t="shared" si="87"/>
        <v>141.2141473453969</v>
      </c>
    </row>
    <row r="495" spans="6:20" x14ac:dyDescent="0.35">
      <c r="F495" s="1">
        <f t="shared" si="83"/>
        <v>9.8399999999998791</v>
      </c>
      <c r="G495">
        <f>1/2*$B$8*$B$6*$B$7*(Tabelle2[[#This Row],[vx]]*Tabelle2[[#This Row],[vx]]+Tabelle2[[#This Row],[vy]]*Tabelle2[[#This Row],[vy]])/1000000</f>
        <v>6.9092227157988733</v>
      </c>
      <c r="H495">
        <f>IF($B$3,-Tabelle2[[#This Row],[Fd]]*Tabelle2[[#This Row],[vx]]/Tabelle2[[#This Row],[v]],0)</f>
        <v>0</v>
      </c>
      <c r="I495">
        <f t="shared" si="77"/>
        <v>0</v>
      </c>
      <c r="J495">
        <f t="shared" si="78"/>
        <v>0</v>
      </c>
      <c r="K495">
        <f t="shared" si="79"/>
        <v>1.0467394398169905</v>
      </c>
      <c r="L495">
        <f>-$B$5*$B$12-IF($B$3,Tabelle2[[#This Row],[Fd]]*Tabelle2[[#This Row],[vy]]/Tabelle2[[#This Row],[v]],0)</f>
        <v>-14.715</v>
      </c>
      <c r="M495">
        <f t="shared" si="80"/>
        <v>-9.81</v>
      </c>
      <c r="N495">
        <f t="shared" si="81"/>
        <v>-0.19620000000000001</v>
      </c>
      <c r="O495">
        <f t="shared" si="82"/>
        <v>-0.68511451208804475</v>
      </c>
      <c r="P495" s="1">
        <f t="shared" si="84"/>
        <v>52.336971990849527</v>
      </c>
      <c r="Q495" s="1">
        <f t="shared" si="85"/>
        <v>-34.157625604402234</v>
      </c>
      <c r="R495">
        <f>SQRT(Tabelle2[[#This Row],[vx]]*Tabelle2[[#This Row],[vx]]+Tabelle2[[#This Row],[vy]]*Tabelle2[[#This Row],[vy]])</f>
        <v>62.49721613081244</v>
      </c>
      <c r="S495">
        <f t="shared" si="86"/>
        <v>514.99580438995667</v>
      </c>
      <c r="T495" s="1">
        <f t="shared" si="87"/>
        <v>140.53295683330884</v>
      </c>
    </row>
    <row r="496" spans="6:20" x14ac:dyDescent="0.35">
      <c r="F496" s="1">
        <f t="shared" si="83"/>
        <v>9.8599999999998786</v>
      </c>
      <c r="G496">
        <f>1/2*$B$8*$B$6*$B$7*(Tabelle2[[#This Row],[vx]]*Tabelle2[[#This Row],[vx]]+Tabelle2[[#This Row],[vy]]*Tabelle2[[#This Row],[vy]])/1000000</f>
        <v>6.9330004253007562</v>
      </c>
      <c r="H496">
        <f>IF($B$3,-Tabelle2[[#This Row],[Fd]]*Tabelle2[[#This Row],[vx]]/Tabelle2[[#This Row],[v]],0)</f>
        <v>0</v>
      </c>
      <c r="I496">
        <f t="shared" si="77"/>
        <v>0</v>
      </c>
      <c r="J496">
        <f t="shared" si="78"/>
        <v>0</v>
      </c>
      <c r="K496">
        <f t="shared" si="79"/>
        <v>1.0467394398169905</v>
      </c>
      <c r="L496">
        <f>-$B$5*$B$12-IF($B$3,Tabelle2[[#This Row],[Fd]]*Tabelle2[[#This Row],[vy]]/Tabelle2[[#This Row],[v]],0)</f>
        <v>-14.715</v>
      </c>
      <c r="M496">
        <f t="shared" si="80"/>
        <v>-9.81</v>
      </c>
      <c r="N496">
        <f t="shared" si="81"/>
        <v>-0.19620000000000001</v>
      </c>
      <c r="O496">
        <f t="shared" si="82"/>
        <v>-0.68903851208804467</v>
      </c>
      <c r="P496" s="1">
        <f t="shared" si="84"/>
        <v>52.336971990849527</v>
      </c>
      <c r="Q496" s="1">
        <f t="shared" si="85"/>
        <v>-34.353825604402232</v>
      </c>
      <c r="R496">
        <f>SQRT(Tabelle2[[#This Row],[vx]]*Tabelle2[[#This Row],[vx]]+Tabelle2[[#This Row],[vy]]*Tabelle2[[#This Row],[vy]])</f>
        <v>62.60466412998835</v>
      </c>
      <c r="S496">
        <f t="shared" si="86"/>
        <v>516.04254382977365</v>
      </c>
      <c r="T496" s="1">
        <f t="shared" si="87"/>
        <v>139.84784232122081</v>
      </c>
    </row>
    <row r="497" spans="6:20" x14ac:dyDescent="0.35">
      <c r="F497" s="1">
        <f t="shared" si="83"/>
        <v>9.8799999999998782</v>
      </c>
      <c r="G497">
        <f>1/2*$B$8*$B$6*$B$7*(Tabelle2[[#This Row],[vx]]*Tabelle2[[#This Row],[vx]]+Tabelle2[[#This Row],[vy]]*Tabelle2[[#This Row],[vy]])/1000000</f>
        <v>6.9569143218639837</v>
      </c>
      <c r="H497">
        <f>IF($B$3,-Tabelle2[[#This Row],[Fd]]*Tabelle2[[#This Row],[vx]]/Tabelle2[[#This Row],[v]],0)</f>
        <v>0</v>
      </c>
      <c r="I497">
        <f t="shared" si="77"/>
        <v>0</v>
      </c>
      <c r="J497">
        <f t="shared" si="78"/>
        <v>0</v>
      </c>
      <c r="K497">
        <f t="shared" si="79"/>
        <v>1.0467394398169905</v>
      </c>
      <c r="L497">
        <f>-$B$5*$B$12-IF($B$3,Tabelle2[[#This Row],[Fd]]*Tabelle2[[#This Row],[vy]]/Tabelle2[[#This Row],[v]],0)</f>
        <v>-14.715</v>
      </c>
      <c r="M497">
        <f t="shared" si="80"/>
        <v>-9.81</v>
      </c>
      <c r="N497">
        <f t="shared" si="81"/>
        <v>-0.19620000000000001</v>
      </c>
      <c r="O497">
        <f t="shared" si="82"/>
        <v>-0.6929625120880446</v>
      </c>
      <c r="P497" s="1">
        <f t="shared" si="84"/>
        <v>52.336971990849527</v>
      </c>
      <c r="Q497" s="1">
        <f t="shared" si="85"/>
        <v>-34.550025604402229</v>
      </c>
      <c r="R497">
        <f>SQRT(Tabelle2[[#This Row],[vx]]*Tabelle2[[#This Row],[vx]]+Tabelle2[[#This Row],[vy]]*Tabelle2[[#This Row],[vy]])</f>
        <v>62.712541859151408</v>
      </c>
      <c r="S497">
        <f t="shared" si="86"/>
        <v>517.08928326959062</v>
      </c>
      <c r="T497" s="1">
        <f t="shared" si="87"/>
        <v>139.15880380913276</v>
      </c>
    </row>
    <row r="498" spans="6:20" x14ac:dyDescent="0.35">
      <c r="F498" s="1">
        <f t="shared" si="83"/>
        <v>9.8999999999998778</v>
      </c>
      <c r="G498">
        <f>1/2*$B$8*$B$6*$B$7*(Tabelle2[[#This Row],[vx]]*Tabelle2[[#This Row],[vx]]+Tabelle2[[#This Row],[vy]]*Tabelle2[[#This Row],[vy]])/1000000</f>
        <v>6.9809644054885549</v>
      </c>
      <c r="H498">
        <f>IF($B$3,-Tabelle2[[#This Row],[Fd]]*Tabelle2[[#This Row],[vx]]/Tabelle2[[#This Row],[v]],0)</f>
        <v>0</v>
      </c>
      <c r="I498">
        <f t="shared" si="77"/>
        <v>0</v>
      </c>
      <c r="J498">
        <f t="shared" si="78"/>
        <v>0</v>
      </c>
      <c r="K498">
        <f t="shared" si="79"/>
        <v>1.0467394398169905</v>
      </c>
      <c r="L498">
        <f>-$B$5*$B$12-IF($B$3,Tabelle2[[#This Row],[Fd]]*Tabelle2[[#This Row],[vy]]/Tabelle2[[#This Row],[v]],0)</f>
        <v>-14.715</v>
      </c>
      <c r="M498">
        <f t="shared" si="80"/>
        <v>-9.81</v>
      </c>
      <c r="N498">
        <f t="shared" si="81"/>
        <v>-0.19620000000000001</v>
      </c>
      <c r="O498">
        <f t="shared" si="82"/>
        <v>-0.69688651208804464</v>
      </c>
      <c r="P498" s="1">
        <f t="shared" si="84"/>
        <v>52.336971990849527</v>
      </c>
      <c r="Q498" s="1">
        <f t="shared" si="85"/>
        <v>-34.746225604402227</v>
      </c>
      <c r="R498">
        <f>SQRT(Tabelle2[[#This Row],[vx]]*Tabelle2[[#This Row],[vx]]+Tabelle2[[#This Row],[vy]]*Tabelle2[[#This Row],[vy]])</f>
        <v>62.820847104468314</v>
      </c>
      <c r="S498">
        <f t="shared" si="86"/>
        <v>518.1360227094076</v>
      </c>
      <c r="T498" s="1">
        <f t="shared" si="87"/>
        <v>138.4658412970447</v>
      </c>
    </row>
    <row r="499" spans="6:20" x14ac:dyDescent="0.35">
      <c r="F499" s="1">
        <f t="shared" si="83"/>
        <v>9.9199999999998774</v>
      </c>
      <c r="G499">
        <f>1/2*$B$8*$B$6*$B$7*(Tabelle2[[#This Row],[vx]]*Tabelle2[[#This Row],[vx]]+Tabelle2[[#This Row],[vy]]*Tabelle2[[#This Row],[vy]])/1000000</f>
        <v>7.0051506761744688</v>
      </c>
      <c r="H499">
        <f>IF($B$3,-Tabelle2[[#This Row],[Fd]]*Tabelle2[[#This Row],[vx]]/Tabelle2[[#This Row],[v]],0)</f>
        <v>0</v>
      </c>
      <c r="I499">
        <f t="shared" si="77"/>
        <v>0</v>
      </c>
      <c r="J499">
        <f t="shared" si="78"/>
        <v>0</v>
      </c>
      <c r="K499">
        <f t="shared" si="79"/>
        <v>1.0467394398169905</v>
      </c>
      <c r="L499">
        <f>-$B$5*$B$12-IF($B$3,Tabelle2[[#This Row],[Fd]]*Tabelle2[[#This Row],[vy]]/Tabelle2[[#This Row],[v]],0)</f>
        <v>-14.715</v>
      </c>
      <c r="M499">
        <f t="shared" si="80"/>
        <v>-9.81</v>
      </c>
      <c r="N499">
        <f t="shared" si="81"/>
        <v>-0.19620000000000001</v>
      </c>
      <c r="O499">
        <f t="shared" si="82"/>
        <v>-0.70081051208804457</v>
      </c>
      <c r="P499" s="1">
        <f t="shared" si="84"/>
        <v>52.336971990849527</v>
      </c>
      <c r="Q499" s="1">
        <f t="shared" si="85"/>
        <v>-34.942425604402224</v>
      </c>
      <c r="R499">
        <f>SQRT(Tabelle2[[#This Row],[vx]]*Tabelle2[[#This Row],[vx]]+Tabelle2[[#This Row],[vy]]*Tabelle2[[#This Row],[vy]])</f>
        <v>62.929577658603044</v>
      </c>
      <c r="S499">
        <f t="shared" si="86"/>
        <v>519.18276214922457</v>
      </c>
      <c r="T499" s="1">
        <f t="shared" si="87"/>
        <v>137.76895478495666</v>
      </c>
    </row>
    <row r="500" spans="6:20" x14ac:dyDescent="0.35">
      <c r="F500" s="1">
        <f t="shared" si="83"/>
        <v>9.9399999999998769</v>
      </c>
      <c r="G500">
        <f>1/2*$B$8*$B$6*$B$7*(Tabelle2[[#This Row],[vx]]*Tabelle2[[#This Row],[vx]]+Tabelle2[[#This Row],[vy]]*Tabelle2[[#This Row],[vy]])/1000000</f>
        <v>7.0294731339217291</v>
      </c>
      <c r="H500">
        <f>IF($B$3,-Tabelle2[[#This Row],[Fd]]*Tabelle2[[#This Row],[vx]]/Tabelle2[[#This Row],[v]],0)</f>
        <v>0</v>
      </c>
      <c r="I500">
        <f t="shared" si="77"/>
        <v>0</v>
      </c>
      <c r="J500">
        <f t="shared" si="78"/>
        <v>0</v>
      </c>
      <c r="K500">
        <f t="shared" si="79"/>
        <v>1.0467394398169905</v>
      </c>
      <c r="L500">
        <f>-$B$5*$B$12-IF($B$3,Tabelle2[[#This Row],[Fd]]*Tabelle2[[#This Row],[vy]]/Tabelle2[[#This Row],[v]],0)</f>
        <v>-14.715</v>
      </c>
      <c r="M500">
        <f t="shared" si="80"/>
        <v>-9.81</v>
      </c>
      <c r="N500">
        <f t="shared" si="81"/>
        <v>-0.19620000000000001</v>
      </c>
      <c r="O500">
        <f t="shared" si="82"/>
        <v>-0.7047345120880445</v>
      </c>
      <c r="P500" s="1">
        <f t="shared" si="84"/>
        <v>52.336971990849527</v>
      </c>
      <c r="Q500" s="1">
        <f t="shared" si="85"/>
        <v>-35.138625604402222</v>
      </c>
      <c r="R500">
        <f>SQRT(Tabelle2[[#This Row],[vx]]*Tabelle2[[#This Row],[vx]]+Tabelle2[[#This Row],[vy]]*Tabelle2[[#This Row],[vy]])</f>
        <v>63.038731320810378</v>
      </c>
      <c r="S500">
        <f t="shared" si="86"/>
        <v>520.22950158904155</v>
      </c>
      <c r="T500" s="1">
        <f t="shared" si="87"/>
        <v>137.06814427286861</v>
      </c>
    </row>
    <row r="501" spans="6:20" x14ac:dyDescent="0.35">
      <c r="F501" s="1">
        <f t="shared" si="83"/>
        <v>9.9599999999998765</v>
      </c>
      <c r="G501">
        <f>1/2*$B$8*$B$6*$B$7*(Tabelle2[[#This Row],[vx]]*Tabelle2[[#This Row],[vx]]+Tabelle2[[#This Row],[vy]]*Tabelle2[[#This Row],[vy]])/1000000</f>
        <v>7.0539317787303322</v>
      </c>
      <c r="H501">
        <f>IF($B$3,-Tabelle2[[#This Row],[Fd]]*Tabelle2[[#This Row],[vx]]/Tabelle2[[#This Row],[v]],0)</f>
        <v>0</v>
      </c>
      <c r="I501">
        <f t="shared" si="77"/>
        <v>0</v>
      </c>
      <c r="J501">
        <f t="shared" si="78"/>
        <v>0</v>
      </c>
      <c r="K501">
        <f t="shared" si="79"/>
        <v>1.0467394398169905</v>
      </c>
      <c r="L501">
        <f>-$B$5*$B$12-IF($B$3,Tabelle2[[#This Row],[Fd]]*Tabelle2[[#This Row],[vy]]/Tabelle2[[#This Row],[v]],0)</f>
        <v>-14.715</v>
      </c>
      <c r="M501">
        <f t="shared" si="80"/>
        <v>-9.81</v>
      </c>
      <c r="N501">
        <f t="shared" si="81"/>
        <v>-0.19620000000000001</v>
      </c>
      <c r="O501">
        <f t="shared" si="82"/>
        <v>-0.70865851208804442</v>
      </c>
      <c r="P501" s="1">
        <f t="shared" si="84"/>
        <v>52.336971990849527</v>
      </c>
      <c r="Q501" s="1">
        <f t="shared" si="85"/>
        <v>-35.334825604402219</v>
      </c>
      <c r="R501">
        <f>SQRT(Tabelle2[[#This Row],[vx]]*Tabelle2[[#This Row],[vx]]+Tabelle2[[#This Row],[vy]]*Tabelle2[[#This Row],[vy]])</f>
        <v>63.14830589702693</v>
      </c>
      <c r="S501">
        <f t="shared" si="86"/>
        <v>521.27624102885852</v>
      </c>
      <c r="T501" s="1">
        <f t="shared" si="87"/>
        <v>136.36340976078057</v>
      </c>
    </row>
    <row r="502" spans="6:20" x14ac:dyDescent="0.35">
      <c r="F502" s="1">
        <f t="shared" si="83"/>
        <v>9.9799999999998761</v>
      </c>
      <c r="G502">
        <f>1/2*$B$8*$B$6*$B$7*(Tabelle2[[#This Row],[vx]]*Tabelle2[[#This Row],[vx]]+Tabelle2[[#This Row],[vy]]*Tabelle2[[#This Row],[vy]])/1000000</f>
        <v>7.0785266106002798</v>
      </c>
      <c r="H502">
        <f>IF($B$3,-Tabelle2[[#This Row],[Fd]]*Tabelle2[[#This Row],[vx]]/Tabelle2[[#This Row],[v]],0)</f>
        <v>0</v>
      </c>
      <c r="I502">
        <f t="shared" si="77"/>
        <v>0</v>
      </c>
      <c r="J502">
        <f t="shared" si="78"/>
        <v>0</v>
      </c>
      <c r="K502">
        <f t="shared" si="79"/>
        <v>1.0467394398169905</v>
      </c>
      <c r="L502">
        <f>-$B$5*$B$12-IF($B$3,Tabelle2[[#This Row],[Fd]]*Tabelle2[[#This Row],[vy]]/Tabelle2[[#This Row],[v]],0)</f>
        <v>-14.715</v>
      </c>
      <c r="M502">
        <f t="shared" si="80"/>
        <v>-9.81</v>
      </c>
      <c r="N502">
        <f t="shared" si="81"/>
        <v>-0.19620000000000001</v>
      </c>
      <c r="O502">
        <f t="shared" si="82"/>
        <v>-0.71258251208804435</v>
      </c>
      <c r="P502" s="1">
        <f t="shared" si="84"/>
        <v>52.336971990849527</v>
      </c>
      <c r="Q502" s="1">
        <f t="shared" si="85"/>
        <v>-35.531025604402217</v>
      </c>
      <c r="R502">
        <f>SQRT(Tabelle2[[#This Row],[vx]]*Tabelle2[[#This Row],[vx]]+Tabelle2[[#This Row],[vy]]*Tabelle2[[#This Row],[vy]])</f>
        <v>63.25829919995995</v>
      </c>
      <c r="S502">
        <f t="shared" si="86"/>
        <v>522.3229804686755</v>
      </c>
      <c r="T502" s="1">
        <f t="shared" si="87"/>
        <v>135.65475124869252</v>
      </c>
    </row>
    <row r="503" spans="6:20" x14ac:dyDescent="0.35">
      <c r="F503" s="1">
        <f t="shared" si="83"/>
        <v>9.9999999999998757</v>
      </c>
      <c r="G503">
        <f>1/2*$B$8*$B$6*$B$7*(Tabelle2[[#This Row],[vx]]*Tabelle2[[#This Row],[vx]]+Tabelle2[[#This Row],[vy]]*Tabelle2[[#This Row],[vy]])/1000000</f>
        <v>7.1032576295315701</v>
      </c>
      <c r="H503">
        <f>IF($B$3,-Tabelle2[[#This Row],[Fd]]*Tabelle2[[#This Row],[vx]]/Tabelle2[[#This Row],[v]],0)</f>
        <v>0</v>
      </c>
      <c r="I503">
        <f t="shared" si="77"/>
        <v>0</v>
      </c>
      <c r="J503">
        <f t="shared" si="78"/>
        <v>0</v>
      </c>
      <c r="K503">
        <f t="shared" si="79"/>
        <v>1.0467394398169905</v>
      </c>
      <c r="L503">
        <f>-$B$5*$B$12-IF($B$3,Tabelle2[[#This Row],[Fd]]*Tabelle2[[#This Row],[vy]]/Tabelle2[[#This Row],[v]],0)</f>
        <v>-14.715</v>
      </c>
      <c r="M503">
        <f t="shared" si="80"/>
        <v>-9.81</v>
      </c>
      <c r="N503">
        <f t="shared" si="81"/>
        <v>-0.19620000000000001</v>
      </c>
      <c r="O503">
        <f t="shared" si="82"/>
        <v>-0.71650651208804439</v>
      </c>
      <c r="P503" s="1">
        <f t="shared" si="84"/>
        <v>52.336971990849527</v>
      </c>
      <c r="Q503" s="1">
        <f t="shared" si="85"/>
        <v>-35.727225604402214</v>
      </c>
      <c r="R503">
        <f>SQRT(Tabelle2[[#This Row],[vx]]*Tabelle2[[#This Row],[vx]]+Tabelle2[[#This Row],[vy]]*Tabelle2[[#This Row],[vy]])</f>
        <v>63.368709049173638</v>
      </c>
      <c r="S503">
        <f t="shared" si="86"/>
        <v>523.36971990849247</v>
      </c>
      <c r="T503" s="1">
        <f t="shared" si="87"/>
        <v>134.94216873660449</v>
      </c>
    </row>
    <row r="504" spans="6:20" x14ac:dyDescent="0.35">
      <c r="F504" s="1">
        <f t="shared" si="83"/>
        <v>10.019999999999875</v>
      </c>
      <c r="G504">
        <f>1/2*$B$8*$B$6*$B$7*(Tabelle2[[#This Row],[vx]]*Tabelle2[[#This Row],[vx]]+Tabelle2[[#This Row],[vy]]*Tabelle2[[#This Row],[vy]])/1000000</f>
        <v>7.1281248355242042</v>
      </c>
      <c r="H504">
        <f>IF($B$3,-Tabelle2[[#This Row],[Fd]]*Tabelle2[[#This Row],[vx]]/Tabelle2[[#This Row],[v]],0)</f>
        <v>0</v>
      </c>
      <c r="I504">
        <f t="shared" si="77"/>
        <v>0</v>
      </c>
      <c r="J504">
        <f t="shared" si="78"/>
        <v>0</v>
      </c>
      <c r="K504">
        <f t="shared" si="79"/>
        <v>1.0467394398169905</v>
      </c>
      <c r="L504">
        <f>-$B$5*$B$12-IF($B$3,Tabelle2[[#This Row],[Fd]]*Tabelle2[[#This Row],[vy]]/Tabelle2[[#This Row],[v]],0)</f>
        <v>-14.715</v>
      </c>
      <c r="M504">
        <f t="shared" si="80"/>
        <v>-9.81</v>
      </c>
      <c r="N504">
        <f t="shared" si="81"/>
        <v>-0.19620000000000001</v>
      </c>
      <c r="O504">
        <f t="shared" si="82"/>
        <v>-0.72043051208804432</v>
      </c>
      <c r="P504" s="1">
        <f t="shared" si="84"/>
        <v>52.336971990849527</v>
      </c>
      <c r="Q504" s="1">
        <f t="shared" si="85"/>
        <v>-35.923425604402212</v>
      </c>
      <c r="R504">
        <f>SQRT(Tabelle2[[#This Row],[vx]]*Tabelle2[[#This Row],[vx]]+Tabelle2[[#This Row],[vy]]*Tabelle2[[#This Row],[vy]])</f>
        <v>63.479533271173217</v>
      </c>
      <c r="S504">
        <f t="shared" si="86"/>
        <v>524.41645934830944</v>
      </c>
      <c r="T504" s="1">
        <f t="shared" si="87"/>
        <v>134.22566222451644</v>
      </c>
    </row>
    <row r="505" spans="6:20" x14ac:dyDescent="0.35">
      <c r="F505" s="1">
        <f t="shared" si="83"/>
        <v>10.039999999999875</v>
      </c>
      <c r="G505">
        <f>1/2*$B$8*$B$6*$B$7*(Tabelle2[[#This Row],[vx]]*Tabelle2[[#This Row],[vx]]+Tabelle2[[#This Row],[vy]]*Tabelle2[[#This Row],[vy]])/1000000</f>
        <v>7.1531282285781828</v>
      </c>
      <c r="H505">
        <f>IF($B$3,-Tabelle2[[#This Row],[Fd]]*Tabelle2[[#This Row],[vx]]/Tabelle2[[#This Row],[v]],0)</f>
        <v>0</v>
      </c>
      <c r="I505">
        <f t="shared" si="77"/>
        <v>0</v>
      </c>
      <c r="J505">
        <f t="shared" si="78"/>
        <v>0</v>
      </c>
      <c r="K505">
        <f t="shared" si="79"/>
        <v>1.0467394398169905</v>
      </c>
      <c r="L505">
        <f>-$B$5*$B$12-IF($B$3,Tabelle2[[#This Row],[Fd]]*Tabelle2[[#This Row],[vy]]/Tabelle2[[#This Row],[v]],0)</f>
        <v>-14.715</v>
      </c>
      <c r="M505">
        <f t="shared" si="80"/>
        <v>-9.81</v>
      </c>
      <c r="N505">
        <f t="shared" si="81"/>
        <v>-0.19620000000000001</v>
      </c>
      <c r="O505">
        <f t="shared" si="82"/>
        <v>-0.72435451208804424</v>
      </c>
      <c r="P505" s="1">
        <f t="shared" si="84"/>
        <v>52.336971990849527</v>
      </c>
      <c r="Q505" s="1">
        <f t="shared" si="85"/>
        <v>-36.119625604402209</v>
      </c>
      <c r="R505">
        <f>SQRT(Tabelle2[[#This Row],[vx]]*Tabelle2[[#This Row],[vx]]+Tabelle2[[#This Row],[vy]]*Tabelle2[[#This Row],[vy]])</f>
        <v>63.590769699486692</v>
      </c>
      <c r="S505">
        <f t="shared" si="86"/>
        <v>525.46319878812642</v>
      </c>
      <c r="T505" s="1">
        <f t="shared" si="87"/>
        <v>133.50523171242838</v>
      </c>
    </row>
    <row r="506" spans="6:20" x14ac:dyDescent="0.35">
      <c r="F506" s="1">
        <f t="shared" si="83"/>
        <v>10.059999999999874</v>
      </c>
      <c r="G506">
        <f>1/2*$B$8*$B$6*$B$7*(Tabelle2[[#This Row],[vx]]*Tabelle2[[#This Row],[vx]]+Tabelle2[[#This Row],[vy]]*Tabelle2[[#This Row],[vy]])/1000000</f>
        <v>7.1782678086935068</v>
      </c>
      <c r="H506">
        <f>IF($B$3,-Tabelle2[[#This Row],[Fd]]*Tabelle2[[#This Row],[vx]]/Tabelle2[[#This Row],[v]],0)</f>
        <v>0</v>
      </c>
      <c r="I506">
        <f t="shared" si="77"/>
        <v>0</v>
      </c>
      <c r="J506">
        <f t="shared" si="78"/>
        <v>0</v>
      </c>
      <c r="K506">
        <f t="shared" si="79"/>
        <v>1.0467394398169905</v>
      </c>
      <c r="L506">
        <f>-$B$5*$B$12-IF($B$3,Tabelle2[[#This Row],[Fd]]*Tabelle2[[#This Row],[vy]]/Tabelle2[[#This Row],[v]],0)</f>
        <v>-14.715</v>
      </c>
      <c r="M506">
        <f t="shared" si="80"/>
        <v>-9.81</v>
      </c>
      <c r="N506">
        <f t="shared" si="81"/>
        <v>-0.19620000000000001</v>
      </c>
      <c r="O506">
        <f t="shared" si="82"/>
        <v>-0.72827851208804417</v>
      </c>
      <c r="P506" s="1">
        <f t="shared" si="84"/>
        <v>52.336971990849527</v>
      </c>
      <c r="Q506" s="1">
        <f t="shared" si="85"/>
        <v>-36.315825604402207</v>
      </c>
      <c r="R506">
        <f>SQRT(Tabelle2[[#This Row],[vx]]*Tabelle2[[#This Row],[vx]]+Tabelle2[[#This Row],[vy]]*Tabelle2[[#This Row],[vy]])</f>
        <v>63.702416174744286</v>
      </c>
      <c r="S506">
        <f t="shared" si="86"/>
        <v>526.50993822794339</v>
      </c>
      <c r="T506" s="1">
        <f t="shared" si="87"/>
        <v>132.78087720034034</v>
      </c>
    </row>
    <row r="507" spans="6:20" x14ac:dyDescent="0.35">
      <c r="F507" s="1">
        <f t="shared" si="83"/>
        <v>10.079999999999874</v>
      </c>
      <c r="G507">
        <f>1/2*$B$8*$B$6*$B$7*(Tabelle2[[#This Row],[vx]]*Tabelle2[[#This Row],[vx]]+Tabelle2[[#This Row],[vy]]*Tabelle2[[#This Row],[vy]])/1000000</f>
        <v>7.2035435758701736</v>
      </c>
      <c r="H507">
        <f>IF($B$3,-Tabelle2[[#This Row],[Fd]]*Tabelle2[[#This Row],[vx]]/Tabelle2[[#This Row],[v]],0)</f>
        <v>0</v>
      </c>
      <c r="I507">
        <f t="shared" si="77"/>
        <v>0</v>
      </c>
      <c r="J507">
        <f t="shared" si="78"/>
        <v>0</v>
      </c>
      <c r="K507">
        <f t="shared" si="79"/>
        <v>1.0467394398169905</v>
      </c>
      <c r="L507">
        <f>-$B$5*$B$12-IF($B$3,Tabelle2[[#This Row],[Fd]]*Tabelle2[[#This Row],[vy]]/Tabelle2[[#This Row],[v]],0)</f>
        <v>-14.715</v>
      </c>
      <c r="M507">
        <f t="shared" si="80"/>
        <v>-9.81</v>
      </c>
      <c r="N507">
        <f t="shared" si="81"/>
        <v>-0.19620000000000001</v>
      </c>
      <c r="O507">
        <f t="shared" si="82"/>
        <v>-0.7322025120880441</v>
      </c>
      <c r="P507" s="1">
        <f t="shared" si="84"/>
        <v>52.336971990849527</v>
      </c>
      <c r="Q507" s="1">
        <f t="shared" si="85"/>
        <v>-36.512025604402204</v>
      </c>
      <c r="R507">
        <f>SQRT(Tabelle2[[#This Row],[vx]]*Tabelle2[[#This Row],[vx]]+Tabelle2[[#This Row],[vy]]*Tabelle2[[#This Row],[vy]])</f>
        <v>63.814470544755679</v>
      </c>
      <c r="S507">
        <f t="shared" si="86"/>
        <v>527.55667766776037</v>
      </c>
      <c r="T507" s="1">
        <f t="shared" si="87"/>
        <v>132.05259868825229</v>
      </c>
    </row>
    <row r="508" spans="6:20" x14ac:dyDescent="0.35">
      <c r="F508" s="1">
        <f t="shared" si="83"/>
        <v>10.099999999999874</v>
      </c>
      <c r="G508">
        <f>1/2*$B$8*$B$6*$B$7*(Tabelle2[[#This Row],[vx]]*Tabelle2[[#This Row],[vx]]+Tabelle2[[#This Row],[vy]]*Tabelle2[[#This Row],[vy]])/1000000</f>
        <v>7.2289555301081849</v>
      </c>
      <c r="H508">
        <f>IF($B$3,-Tabelle2[[#This Row],[Fd]]*Tabelle2[[#This Row],[vx]]/Tabelle2[[#This Row],[v]],0)</f>
        <v>0</v>
      </c>
      <c r="I508">
        <f t="shared" si="77"/>
        <v>0</v>
      </c>
      <c r="J508">
        <f t="shared" si="78"/>
        <v>0</v>
      </c>
      <c r="K508">
        <f t="shared" si="79"/>
        <v>1.0467394398169905</v>
      </c>
      <c r="L508">
        <f>-$B$5*$B$12-IF($B$3,Tabelle2[[#This Row],[Fd]]*Tabelle2[[#This Row],[vy]]/Tabelle2[[#This Row],[v]],0)</f>
        <v>-14.715</v>
      </c>
      <c r="M508">
        <f t="shared" si="80"/>
        <v>-9.81</v>
      </c>
      <c r="N508">
        <f t="shared" si="81"/>
        <v>-0.19620000000000001</v>
      </c>
      <c r="O508">
        <f t="shared" si="82"/>
        <v>-0.73612651208804414</v>
      </c>
      <c r="P508" s="1">
        <f t="shared" si="84"/>
        <v>52.336971990849527</v>
      </c>
      <c r="Q508" s="1">
        <f t="shared" si="85"/>
        <v>-36.708225604402202</v>
      </c>
      <c r="R508">
        <f>SQRT(Tabelle2[[#This Row],[vx]]*Tabelle2[[#This Row],[vx]]+Tabelle2[[#This Row],[vy]]*Tabelle2[[#This Row],[vy]])</f>
        <v>63.926930664584994</v>
      </c>
      <c r="S508">
        <f t="shared" si="86"/>
        <v>528.60341710757734</v>
      </c>
      <c r="T508" s="1">
        <f t="shared" si="87"/>
        <v>131.32039617616425</v>
      </c>
    </row>
    <row r="509" spans="6:20" x14ac:dyDescent="0.35">
      <c r="F509" s="1">
        <f t="shared" si="83"/>
        <v>10.119999999999873</v>
      </c>
      <c r="G509">
        <f>1/2*$B$8*$B$6*$B$7*(Tabelle2[[#This Row],[vx]]*Tabelle2[[#This Row],[vx]]+Tabelle2[[#This Row],[vy]]*Tabelle2[[#This Row],[vy]])/1000000</f>
        <v>7.2545036714075399</v>
      </c>
      <c r="H509">
        <f>IF($B$3,-Tabelle2[[#This Row],[Fd]]*Tabelle2[[#This Row],[vx]]/Tabelle2[[#This Row],[v]],0)</f>
        <v>0</v>
      </c>
      <c r="I509">
        <f t="shared" si="77"/>
        <v>0</v>
      </c>
      <c r="J509">
        <f t="shared" si="78"/>
        <v>0</v>
      </c>
      <c r="K509">
        <f t="shared" si="79"/>
        <v>1.0467394398169905</v>
      </c>
      <c r="L509">
        <f>-$B$5*$B$12-IF($B$3,Tabelle2[[#This Row],[Fd]]*Tabelle2[[#This Row],[vy]]/Tabelle2[[#This Row],[v]],0)</f>
        <v>-14.715</v>
      </c>
      <c r="M509">
        <f t="shared" si="80"/>
        <v>-9.81</v>
      </c>
      <c r="N509">
        <f t="shared" si="81"/>
        <v>-0.19620000000000001</v>
      </c>
      <c r="O509">
        <f t="shared" si="82"/>
        <v>-0.74005051208804407</v>
      </c>
      <c r="P509" s="1">
        <f t="shared" si="84"/>
        <v>52.336971990849527</v>
      </c>
      <c r="Q509" s="1">
        <f t="shared" si="85"/>
        <v>-36.904425604402199</v>
      </c>
      <c r="R509">
        <f>SQRT(Tabelle2[[#This Row],[vx]]*Tabelle2[[#This Row],[vx]]+Tabelle2[[#This Row],[vy]]*Tabelle2[[#This Row],[vy]])</f>
        <v>64.039794396623606</v>
      </c>
      <c r="S509">
        <f t="shared" si="86"/>
        <v>529.65015654739432</v>
      </c>
      <c r="T509" s="1">
        <f t="shared" si="87"/>
        <v>130.5842696640762</v>
      </c>
    </row>
    <row r="510" spans="6:20" x14ac:dyDescent="0.35">
      <c r="F510" s="1">
        <f t="shared" si="83"/>
        <v>10.139999999999873</v>
      </c>
      <c r="G510">
        <f>1/2*$B$8*$B$6*$B$7*(Tabelle2[[#This Row],[vx]]*Tabelle2[[#This Row],[vx]]+Tabelle2[[#This Row],[vy]]*Tabelle2[[#This Row],[vy]])/1000000</f>
        <v>7.2801879997682386</v>
      </c>
      <c r="H510">
        <f>IF($B$3,-Tabelle2[[#This Row],[Fd]]*Tabelle2[[#This Row],[vx]]/Tabelle2[[#This Row],[v]],0)</f>
        <v>0</v>
      </c>
      <c r="I510">
        <f t="shared" si="77"/>
        <v>0</v>
      </c>
      <c r="J510">
        <f t="shared" si="78"/>
        <v>0</v>
      </c>
      <c r="K510">
        <f t="shared" si="79"/>
        <v>1.0467394398169905</v>
      </c>
      <c r="L510">
        <f>-$B$5*$B$12-IF($B$3,Tabelle2[[#This Row],[Fd]]*Tabelle2[[#This Row],[vy]]/Tabelle2[[#This Row],[v]],0)</f>
        <v>-14.715</v>
      </c>
      <c r="M510">
        <f t="shared" si="80"/>
        <v>-9.81</v>
      </c>
      <c r="N510">
        <f t="shared" si="81"/>
        <v>-0.19620000000000001</v>
      </c>
      <c r="O510">
        <f t="shared" si="82"/>
        <v>-0.74397451208804399</v>
      </c>
      <c r="P510" s="1">
        <f t="shared" si="84"/>
        <v>52.336971990849527</v>
      </c>
      <c r="Q510" s="1">
        <f t="shared" si="85"/>
        <v>-37.100625604402197</v>
      </c>
      <c r="R510">
        <f>SQRT(Tabelle2[[#This Row],[vx]]*Tabelle2[[#This Row],[vx]]+Tabelle2[[#This Row],[vy]]*Tabelle2[[#This Row],[vy]])</f>
        <v>64.153059610660748</v>
      </c>
      <c r="S510">
        <f t="shared" si="86"/>
        <v>530.69689598721129</v>
      </c>
      <c r="T510" s="1">
        <f t="shared" si="87"/>
        <v>129.84421915198817</v>
      </c>
    </row>
    <row r="511" spans="6:20" x14ac:dyDescent="0.35">
      <c r="F511" s="1">
        <f t="shared" si="83"/>
        <v>10.159999999999872</v>
      </c>
      <c r="G511">
        <f>1/2*$B$8*$B$6*$B$7*(Tabelle2[[#This Row],[vx]]*Tabelle2[[#This Row],[vx]]+Tabelle2[[#This Row],[vy]]*Tabelle2[[#This Row],[vy]])/1000000</f>
        <v>7.3060085151902818</v>
      </c>
      <c r="H511">
        <f>IF($B$3,-Tabelle2[[#This Row],[Fd]]*Tabelle2[[#This Row],[vx]]/Tabelle2[[#This Row],[v]],0)</f>
        <v>0</v>
      </c>
      <c r="I511">
        <f t="shared" si="77"/>
        <v>0</v>
      </c>
      <c r="J511">
        <f t="shared" si="78"/>
        <v>0</v>
      </c>
      <c r="K511">
        <f t="shared" si="79"/>
        <v>1.0467394398169905</v>
      </c>
      <c r="L511">
        <f>-$B$5*$B$12-IF($B$3,Tabelle2[[#This Row],[Fd]]*Tabelle2[[#This Row],[vy]]/Tabelle2[[#This Row],[v]],0)</f>
        <v>-14.715</v>
      </c>
      <c r="M511">
        <f t="shared" si="80"/>
        <v>-9.81</v>
      </c>
      <c r="N511">
        <f t="shared" si="81"/>
        <v>-0.19620000000000001</v>
      </c>
      <c r="O511">
        <f t="shared" si="82"/>
        <v>-0.74789851208804392</v>
      </c>
      <c r="P511" s="1">
        <f t="shared" si="84"/>
        <v>52.336971990849527</v>
      </c>
      <c r="Q511" s="1">
        <f t="shared" si="85"/>
        <v>-37.296825604402194</v>
      </c>
      <c r="R511">
        <f>SQRT(Tabelle2[[#This Row],[vx]]*Tabelle2[[#This Row],[vx]]+Tabelle2[[#This Row],[vy]]*Tabelle2[[#This Row],[vy]])</f>
        <v>64.266724183951993</v>
      </c>
      <c r="S511">
        <f t="shared" si="86"/>
        <v>531.74363542702827</v>
      </c>
      <c r="T511" s="1">
        <f t="shared" si="87"/>
        <v>129.10024463990013</v>
      </c>
    </row>
    <row r="512" spans="6:20" x14ac:dyDescent="0.35">
      <c r="F512" s="1">
        <f t="shared" si="83"/>
        <v>10.179999999999872</v>
      </c>
      <c r="G512">
        <f>1/2*$B$8*$B$6*$B$7*(Tabelle2[[#This Row],[vx]]*Tabelle2[[#This Row],[vx]]+Tabelle2[[#This Row],[vy]]*Tabelle2[[#This Row],[vy]])/1000000</f>
        <v>7.3319652176736687</v>
      </c>
      <c r="H512">
        <f>IF($B$3,-Tabelle2[[#This Row],[Fd]]*Tabelle2[[#This Row],[vx]]/Tabelle2[[#This Row],[v]],0)</f>
        <v>0</v>
      </c>
      <c r="I512">
        <f t="shared" si="77"/>
        <v>0</v>
      </c>
      <c r="J512">
        <f t="shared" si="78"/>
        <v>0</v>
      </c>
      <c r="K512">
        <f t="shared" si="79"/>
        <v>1.0467394398169905</v>
      </c>
      <c r="L512">
        <f>-$B$5*$B$12-IF($B$3,Tabelle2[[#This Row],[Fd]]*Tabelle2[[#This Row],[vy]]/Tabelle2[[#This Row],[v]],0)</f>
        <v>-14.715</v>
      </c>
      <c r="M512">
        <f t="shared" si="80"/>
        <v>-9.81</v>
      </c>
      <c r="N512">
        <f t="shared" si="81"/>
        <v>-0.19620000000000001</v>
      </c>
      <c r="O512">
        <f t="shared" si="82"/>
        <v>-0.75182251208804385</v>
      </c>
      <c r="P512" s="1">
        <f t="shared" si="84"/>
        <v>52.336971990849527</v>
      </c>
      <c r="Q512" s="1">
        <f t="shared" si="85"/>
        <v>-37.493025604402192</v>
      </c>
      <c r="R512">
        <f>SQRT(Tabelle2[[#This Row],[vx]]*Tabelle2[[#This Row],[vx]]+Tabelle2[[#This Row],[vy]]*Tabelle2[[#This Row],[vy]])</f>
        <v>64.380786001285557</v>
      </c>
      <c r="S512">
        <f t="shared" si="86"/>
        <v>532.79037486684524</v>
      </c>
      <c r="T512" s="1">
        <f t="shared" si="87"/>
        <v>128.35234612781207</v>
      </c>
    </row>
    <row r="513" spans="6:20" x14ac:dyDescent="0.35">
      <c r="F513" s="1">
        <f t="shared" si="83"/>
        <v>10.199999999999871</v>
      </c>
      <c r="G513">
        <f>1/2*$B$8*$B$6*$B$7*(Tabelle2[[#This Row],[vx]]*Tabelle2[[#This Row],[vx]]+Tabelle2[[#This Row],[vy]]*Tabelle2[[#This Row],[vy]])/1000000</f>
        <v>7.3580581072183993</v>
      </c>
      <c r="H513">
        <f>IF($B$3,-Tabelle2[[#This Row],[Fd]]*Tabelle2[[#This Row],[vx]]/Tabelle2[[#This Row],[v]],0)</f>
        <v>0</v>
      </c>
      <c r="I513">
        <f t="shared" si="77"/>
        <v>0</v>
      </c>
      <c r="J513">
        <f t="shared" si="78"/>
        <v>0</v>
      </c>
      <c r="K513">
        <f t="shared" si="79"/>
        <v>1.0467394398169905</v>
      </c>
      <c r="L513">
        <f>-$B$5*$B$12-IF($B$3,Tabelle2[[#This Row],[Fd]]*Tabelle2[[#This Row],[vy]]/Tabelle2[[#This Row],[v]],0)</f>
        <v>-14.715</v>
      </c>
      <c r="M513">
        <f t="shared" si="80"/>
        <v>-9.81</v>
      </c>
      <c r="N513">
        <f t="shared" si="81"/>
        <v>-0.19620000000000001</v>
      </c>
      <c r="O513">
        <f t="shared" si="82"/>
        <v>-0.75574651208804389</v>
      </c>
      <c r="P513" s="1">
        <f t="shared" si="84"/>
        <v>52.336971990849527</v>
      </c>
      <c r="Q513" s="1">
        <f t="shared" si="85"/>
        <v>-37.689225604402189</v>
      </c>
      <c r="R513">
        <f>SQRT(Tabelle2[[#This Row],[vx]]*Tabelle2[[#This Row],[vx]]+Tabelle2[[#This Row],[vy]]*Tabelle2[[#This Row],[vy]])</f>
        <v>64.495242955046649</v>
      </c>
      <c r="S513">
        <f t="shared" si="86"/>
        <v>533.83711430666222</v>
      </c>
      <c r="T513" s="1">
        <f t="shared" si="87"/>
        <v>127.60052361572403</v>
      </c>
    </row>
    <row r="514" spans="6:20" x14ac:dyDescent="0.35">
      <c r="F514" s="1">
        <f t="shared" si="83"/>
        <v>10.219999999999871</v>
      </c>
      <c r="G514">
        <f>1/2*$B$8*$B$6*$B$7*(Tabelle2[[#This Row],[vx]]*Tabelle2[[#This Row],[vx]]+Tabelle2[[#This Row],[vy]]*Tabelle2[[#This Row],[vy]])/1000000</f>
        <v>7.3842871838244752</v>
      </c>
      <c r="H514">
        <f>IF($B$3,-Tabelle2[[#This Row],[Fd]]*Tabelle2[[#This Row],[vx]]/Tabelle2[[#This Row],[v]],0)</f>
        <v>0</v>
      </c>
      <c r="I514">
        <f t="shared" si="77"/>
        <v>0</v>
      </c>
      <c r="J514">
        <f t="shared" si="78"/>
        <v>0</v>
      </c>
      <c r="K514">
        <f t="shared" si="79"/>
        <v>1.0467394398169905</v>
      </c>
      <c r="L514">
        <f>-$B$5*$B$12-IF($B$3,Tabelle2[[#This Row],[Fd]]*Tabelle2[[#This Row],[vy]]/Tabelle2[[#This Row],[v]],0)</f>
        <v>-14.715</v>
      </c>
      <c r="M514">
        <f t="shared" si="80"/>
        <v>-9.81</v>
      </c>
      <c r="N514">
        <f t="shared" si="81"/>
        <v>-0.19620000000000001</v>
      </c>
      <c r="O514">
        <f t="shared" si="82"/>
        <v>-0.75967051208804381</v>
      </c>
      <c r="P514" s="1">
        <f t="shared" si="84"/>
        <v>52.336971990849527</v>
      </c>
      <c r="Q514" s="1">
        <f t="shared" si="85"/>
        <v>-37.885425604402187</v>
      </c>
      <c r="R514">
        <f>SQRT(Tabelle2[[#This Row],[vx]]*Tabelle2[[#This Row],[vx]]+Tabelle2[[#This Row],[vy]]*Tabelle2[[#This Row],[vy]])</f>
        <v>64.610092945279547</v>
      </c>
      <c r="S514">
        <f t="shared" si="86"/>
        <v>534.88385374647919</v>
      </c>
      <c r="T514" s="1">
        <f t="shared" si="87"/>
        <v>126.84477710363599</v>
      </c>
    </row>
    <row r="515" spans="6:20" x14ac:dyDescent="0.35">
      <c r="F515" s="1">
        <f t="shared" si="83"/>
        <v>10.239999999999871</v>
      </c>
      <c r="G515">
        <f>1/2*$B$8*$B$6*$B$7*(Tabelle2[[#This Row],[vx]]*Tabelle2[[#This Row],[vx]]+Tabelle2[[#This Row],[vy]]*Tabelle2[[#This Row],[vy]])/1000000</f>
        <v>7.4106524474918922</v>
      </c>
      <c r="H515">
        <f>IF($B$3,-Tabelle2[[#This Row],[Fd]]*Tabelle2[[#This Row],[vx]]/Tabelle2[[#This Row],[v]],0)</f>
        <v>0</v>
      </c>
      <c r="I515">
        <f t="shared" ref="I515:I578" si="88">H515/$B$5</f>
        <v>0</v>
      </c>
      <c r="J515">
        <f t="shared" ref="J515:J578" si="89">I515*$B$13</f>
        <v>0</v>
      </c>
      <c r="K515">
        <f t="shared" ref="K515:K578" si="90">$B$13*(P515+J515/2)</f>
        <v>1.0467394398169905</v>
      </c>
      <c r="L515">
        <f>-$B$5*$B$12-IF($B$3,Tabelle2[[#This Row],[Fd]]*Tabelle2[[#This Row],[vy]]/Tabelle2[[#This Row],[v]],0)</f>
        <v>-14.715</v>
      </c>
      <c r="M515">
        <f t="shared" ref="M515:M578" si="91">L515/$B$5</f>
        <v>-9.81</v>
      </c>
      <c r="N515">
        <f t="shared" ref="N515:N578" si="92">M515*$B$13</f>
        <v>-0.19620000000000001</v>
      </c>
      <c r="O515">
        <f t="shared" ref="O515:O578" si="93">$B$13*(Q515+N515/2)</f>
        <v>-0.76359451208804374</v>
      </c>
      <c r="P515" s="1">
        <f t="shared" si="84"/>
        <v>52.336971990849527</v>
      </c>
      <c r="Q515" s="1">
        <f t="shared" si="85"/>
        <v>-38.081625604402184</v>
      </c>
      <c r="R515">
        <f>SQRT(Tabelle2[[#This Row],[vx]]*Tabelle2[[#This Row],[vx]]+Tabelle2[[#This Row],[vy]]*Tabelle2[[#This Row],[vy]])</f>
        <v>64.725333879747794</v>
      </c>
      <c r="S515">
        <f t="shared" si="86"/>
        <v>535.93059318629616</v>
      </c>
      <c r="T515" s="1">
        <f t="shared" si="87"/>
        <v>126.08510659154794</v>
      </c>
    </row>
    <row r="516" spans="6:20" x14ac:dyDescent="0.35">
      <c r="F516" s="1">
        <f t="shared" ref="F516:F579" si="94">F515+$B$13</f>
        <v>10.25999999999987</v>
      </c>
      <c r="G516">
        <f>1/2*$B$8*$B$6*$B$7*(Tabelle2[[#This Row],[vx]]*Tabelle2[[#This Row],[vx]]+Tabelle2[[#This Row],[vy]]*Tabelle2[[#This Row],[vy]])/1000000</f>
        <v>7.4371538982206555</v>
      </c>
      <c r="H516">
        <f>IF($B$3,-Tabelle2[[#This Row],[Fd]]*Tabelle2[[#This Row],[vx]]/Tabelle2[[#This Row],[v]],0)</f>
        <v>0</v>
      </c>
      <c r="I516">
        <f t="shared" si="88"/>
        <v>0</v>
      </c>
      <c r="J516">
        <f t="shared" si="89"/>
        <v>0</v>
      </c>
      <c r="K516">
        <f t="shared" si="90"/>
        <v>1.0467394398169905</v>
      </c>
      <c r="L516">
        <f>-$B$5*$B$12-IF($B$3,Tabelle2[[#This Row],[Fd]]*Tabelle2[[#This Row],[vy]]/Tabelle2[[#This Row],[v]],0)</f>
        <v>-14.715</v>
      </c>
      <c r="M516">
        <f t="shared" si="91"/>
        <v>-9.81</v>
      </c>
      <c r="N516">
        <f t="shared" si="92"/>
        <v>-0.19620000000000001</v>
      </c>
      <c r="O516">
        <f t="shared" si="93"/>
        <v>-0.76751851208804367</v>
      </c>
      <c r="P516" s="1">
        <f t="shared" ref="P516:P579" si="95">P515+J515</f>
        <v>52.336971990849527</v>
      </c>
      <c r="Q516" s="1">
        <f t="shared" ref="Q516:Q579" si="96">Q515+N515</f>
        <v>-38.277825604402182</v>
      </c>
      <c r="R516">
        <f>SQRT(Tabelle2[[#This Row],[vx]]*Tabelle2[[#This Row],[vx]]+Tabelle2[[#This Row],[vy]]*Tabelle2[[#This Row],[vy]])</f>
        <v>64.840963673992349</v>
      </c>
      <c r="S516">
        <f t="shared" ref="S516:S579" si="97">S515+K515</f>
        <v>536.97733262611314</v>
      </c>
      <c r="T516" s="1">
        <f t="shared" ref="T516:T579" si="98">T515+O515</f>
        <v>125.32151207945989</v>
      </c>
    </row>
    <row r="517" spans="6:20" x14ac:dyDescent="0.35">
      <c r="F517" s="1">
        <f t="shared" si="94"/>
        <v>10.27999999999987</v>
      </c>
      <c r="G517">
        <f>1/2*$B$8*$B$6*$B$7*(Tabelle2[[#This Row],[vx]]*Tabelle2[[#This Row],[vx]]+Tabelle2[[#This Row],[vy]]*Tabelle2[[#This Row],[vy]])/1000000</f>
        <v>7.4637915360107616</v>
      </c>
      <c r="H517">
        <f>IF($B$3,-Tabelle2[[#This Row],[Fd]]*Tabelle2[[#This Row],[vx]]/Tabelle2[[#This Row],[v]],0)</f>
        <v>0</v>
      </c>
      <c r="I517">
        <f t="shared" si="88"/>
        <v>0</v>
      </c>
      <c r="J517">
        <f t="shared" si="89"/>
        <v>0</v>
      </c>
      <c r="K517">
        <f t="shared" si="90"/>
        <v>1.0467394398169905</v>
      </c>
      <c r="L517">
        <f>-$B$5*$B$12-IF($B$3,Tabelle2[[#This Row],[Fd]]*Tabelle2[[#This Row],[vy]]/Tabelle2[[#This Row],[v]],0)</f>
        <v>-14.715</v>
      </c>
      <c r="M517">
        <f t="shared" si="91"/>
        <v>-9.81</v>
      </c>
      <c r="N517">
        <f t="shared" si="92"/>
        <v>-0.19620000000000001</v>
      </c>
      <c r="O517">
        <f t="shared" si="93"/>
        <v>-0.7714425120880436</v>
      </c>
      <c r="P517" s="1">
        <f t="shared" si="95"/>
        <v>52.336971990849527</v>
      </c>
      <c r="Q517" s="1">
        <f t="shared" si="96"/>
        <v>-38.474025604402179</v>
      </c>
      <c r="R517">
        <f>SQRT(Tabelle2[[#This Row],[vx]]*Tabelle2[[#This Row],[vx]]+Tabelle2[[#This Row],[vy]]*Tabelle2[[#This Row],[vy]])</f>
        <v>64.95698025138762</v>
      </c>
      <c r="S517">
        <f t="shared" si="97"/>
        <v>538.02407206593011</v>
      </c>
      <c r="T517" s="1">
        <f t="shared" si="98"/>
        <v>124.55399356737185</v>
      </c>
    </row>
    <row r="518" spans="6:20" x14ac:dyDescent="0.35">
      <c r="F518" s="1">
        <f t="shared" si="94"/>
        <v>10.299999999999869</v>
      </c>
      <c r="G518">
        <f>1/2*$B$8*$B$6*$B$7*(Tabelle2[[#This Row],[vx]]*Tabelle2[[#This Row],[vx]]+Tabelle2[[#This Row],[vy]]*Tabelle2[[#This Row],[vy]])/1000000</f>
        <v>7.4905653608622131</v>
      </c>
      <c r="H518">
        <f>IF($B$3,-Tabelle2[[#This Row],[Fd]]*Tabelle2[[#This Row],[vx]]/Tabelle2[[#This Row],[v]],0)</f>
        <v>0</v>
      </c>
      <c r="I518">
        <f t="shared" si="88"/>
        <v>0</v>
      </c>
      <c r="J518">
        <f t="shared" si="89"/>
        <v>0</v>
      </c>
      <c r="K518">
        <f t="shared" si="90"/>
        <v>1.0467394398169905</v>
      </c>
      <c r="L518">
        <f>-$B$5*$B$12-IF($B$3,Tabelle2[[#This Row],[Fd]]*Tabelle2[[#This Row],[vy]]/Tabelle2[[#This Row],[v]],0)</f>
        <v>-14.715</v>
      </c>
      <c r="M518">
        <f t="shared" si="91"/>
        <v>-9.81</v>
      </c>
      <c r="N518">
        <f t="shared" si="92"/>
        <v>-0.19620000000000001</v>
      </c>
      <c r="O518">
        <f t="shared" si="93"/>
        <v>-0.77536651208804364</v>
      </c>
      <c r="P518" s="1">
        <f t="shared" si="95"/>
        <v>52.336971990849527</v>
      </c>
      <c r="Q518" s="1">
        <f t="shared" si="96"/>
        <v>-38.670225604402177</v>
      </c>
      <c r="R518">
        <f>SQRT(Tabelle2[[#This Row],[vx]]*Tabelle2[[#This Row],[vx]]+Tabelle2[[#This Row],[vy]]*Tabelle2[[#This Row],[vy]])</f>
        <v>65.073381543195751</v>
      </c>
      <c r="S518">
        <f t="shared" si="97"/>
        <v>539.07081150574709</v>
      </c>
      <c r="T518" s="1">
        <f t="shared" si="98"/>
        <v>123.7825510552838</v>
      </c>
    </row>
    <row r="519" spans="6:20" x14ac:dyDescent="0.35">
      <c r="F519" s="1">
        <f t="shared" si="94"/>
        <v>10.319999999999869</v>
      </c>
      <c r="G519">
        <f>1/2*$B$8*$B$6*$B$7*(Tabelle2[[#This Row],[vx]]*Tabelle2[[#This Row],[vx]]+Tabelle2[[#This Row],[vy]]*Tabelle2[[#This Row],[vy]])/1000000</f>
        <v>7.5174753727750092</v>
      </c>
      <c r="H519">
        <f>IF($B$3,-Tabelle2[[#This Row],[Fd]]*Tabelle2[[#This Row],[vx]]/Tabelle2[[#This Row],[v]],0)</f>
        <v>0</v>
      </c>
      <c r="I519">
        <f t="shared" si="88"/>
        <v>0</v>
      </c>
      <c r="J519">
        <f t="shared" si="89"/>
        <v>0</v>
      </c>
      <c r="K519">
        <f t="shared" si="90"/>
        <v>1.0467394398169905</v>
      </c>
      <c r="L519">
        <f>-$B$5*$B$12-IF($B$3,Tabelle2[[#This Row],[Fd]]*Tabelle2[[#This Row],[vy]]/Tabelle2[[#This Row],[v]],0)</f>
        <v>-14.715</v>
      </c>
      <c r="M519">
        <f t="shared" si="91"/>
        <v>-9.81</v>
      </c>
      <c r="N519">
        <f t="shared" si="92"/>
        <v>-0.19620000000000001</v>
      </c>
      <c r="O519">
        <f t="shared" si="93"/>
        <v>-0.77929051208804356</v>
      </c>
      <c r="P519" s="1">
        <f t="shared" si="95"/>
        <v>52.336971990849527</v>
      </c>
      <c r="Q519" s="1">
        <f t="shared" si="96"/>
        <v>-38.866425604402174</v>
      </c>
      <c r="R519">
        <f>SQRT(Tabelle2[[#This Row],[vx]]*Tabelle2[[#This Row],[vx]]+Tabelle2[[#This Row],[vy]]*Tabelle2[[#This Row],[vy]])</f>
        <v>65.190165488618732</v>
      </c>
      <c r="S519">
        <f t="shared" si="97"/>
        <v>540.11755094556406</v>
      </c>
      <c r="T519" s="1">
        <f t="shared" si="98"/>
        <v>123.00718454319576</v>
      </c>
    </row>
    <row r="520" spans="6:20" x14ac:dyDescent="0.35">
      <c r="F520" s="1">
        <f t="shared" si="94"/>
        <v>10.339999999999868</v>
      </c>
      <c r="G520">
        <f>1/2*$B$8*$B$6*$B$7*(Tabelle2[[#This Row],[vx]]*Tabelle2[[#This Row],[vx]]+Tabelle2[[#This Row],[vy]]*Tabelle2[[#This Row],[vy]])/1000000</f>
        <v>7.5445215717491463</v>
      </c>
      <c r="H520">
        <f>IF($B$3,-Tabelle2[[#This Row],[Fd]]*Tabelle2[[#This Row],[vx]]/Tabelle2[[#This Row],[v]],0)</f>
        <v>0</v>
      </c>
      <c r="I520">
        <f t="shared" si="88"/>
        <v>0</v>
      </c>
      <c r="J520">
        <f t="shared" si="89"/>
        <v>0</v>
      </c>
      <c r="K520">
        <f t="shared" si="90"/>
        <v>1.0467394398169905</v>
      </c>
      <c r="L520">
        <f>-$B$5*$B$12-IF($B$3,Tabelle2[[#This Row],[Fd]]*Tabelle2[[#This Row],[vy]]/Tabelle2[[#This Row],[v]],0)</f>
        <v>-14.715</v>
      </c>
      <c r="M520">
        <f t="shared" si="91"/>
        <v>-9.81</v>
      </c>
      <c r="N520">
        <f t="shared" si="92"/>
        <v>-0.19620000000000001</v>
      </c>
      <c r="O520">
        <f t="shared" si="93"/>
        <v>-0.78321451208804349</v>
      </c>
      <c r="P520" s="1">
        <f t="shared" si="95"/>
        <v>52.336971990849527</v>
      </c>
      <c r="Q520" s="1">
        <f t="shared" si="96"/>
        <v>-39.062625604402172</v>
      </c>
      <c r="R520">
        <f>SQRT(Tabelle2[[#This Row],[vx]]*Tabelle2[[#This Row],[vx]]+Tabelle2[[#This Row],[vy]]*Tabelle2[[#This Row],[vy]])</f>
        <v>65.307330034848803</v>
      </c>
      <c r="S520">
        <f t="shared" si="97"/>
        <v>541.16429038538104</v>
      </c>
      <c r="T520" s="1">
        <f t="shared" si="98"/>
        <v>122.22789403110772</v>
      </c>
    </row>
    <row r="521" spans="6:20" x14ac:dyDescent="0.35">
      <c r="F521" s="1">
        <f t="shared" si="94"/>
        <v>10.359999999999868</v>
      </c>
      <c r="G521">
        <f>1/2*$B$8*$B$6*$B$7*(Tabelle2[[#This Row],[vx]]*Tabelle2[[#This Row],[vx]]+Tabelle2[[#This Row],[vy]]*Tabelle2[[#This Row],[vy]])/1000000</f>
        <v>7.5717039577846288</v>
      </c>
      <c r="H521">
        <f>IF($B$3,-Tabelle2[[#This Row],[Fd]]*Tabelle2[[#This Row],[vx]]/Tabelle2[[#This Row],[v]],0)</f>
        <v>0</v>
      </c>
      <c r="I521">
        <f t="shared" si="88"/>
        <v>0</v>
      </c>
      <c r="J521">
        <f t="shared" si="89"/>
        <v>0</v>
      </c>
      <c r="K521">
        <f t="shared" si="90"/>
        <v>1.0467394398169905</v>
      </c>
      <c r="L521">
        <f>-$B$5*$B$12-IF($B$3,Tabelle2[[#This Row],[Fd]]*Tabelle2[[#This Row],[vy]]/Tabelle2[[#This Row],[v]],0)</f>
        <v>-14.715</v>
      </c>
      <c r="M521">
        <f t="shared" si="91"/>
        <v>-9.81</v>
      </c>
      <c r="N521">
        <f t="shared" si="92"/>
        <v>-0.19620000000000001</v>
      </c>
      <c r="O521">
        <f t="shared" si="93"/>
        <v>-0.78713851208804342</v>
      </c>
      <c r="P521" s="1">
        <f t="shared" si="95"/>
        <v>52.336971990849527</v>
      </c>
      <c r="Q521" s="1">
        <f t="shared" si="96"/>
        <v>-39.258825604402169</v>
      </c>
      <c r="R521">
        <f>SQRT(Tabelle2[[#This Row],[vx]]*Tabelle2[[#This Row],[vx]]+Tabelle2[[#This Row],[vy]]*Tabelle2[[#This Row],[vy]])</f>
        <v>65.424873137116819</v>
      </c>
      <c r="S521">
        <f t="shared" si="97"/>
        <v>542.21102982519801</v>
      </c>
      <c r="T521" s="1">
        <f t="shared" si="98"/>
        <v>121.44467951901969</v>
      </c>
    </row>
    <row r="522" spans="6:20" x14ac:dyDescent="0.35">
      <c r="F522" s="1">
        <f t="shared" si="94"/>
        <v>10.379999999999868</v>
      </c>
      <c r="G522">
        <f>1/2*$B$8*$B$6*$B$7*(Tabelle2[[#This Row],[vx]]*Tabelle2[[#This Row],[vx]]+Tabelle2[[#This Row],[vy]]*Tabelle2[[#This Row],[vy]])/1000000</f>
        <v>7.5990225308814559</v>
      </c>
      <c r="H522">
        <f>IF($B$3,-Tabelle2[[#This Row],[Fd]]*Tabelle2[[#This Row],[vx]]/Tabelle2[[#This Row],[v]],0)</f>
        <v>0</v>
      </c>
      <c r="I522">
        <f t="shared" si="88"/>
        <v>0</v>
      </c>
      <c r="J522">
        <f t="shared" si="89"/>
        <v>0</v>
      </c>
      <c r="K522">
        <f t="shared" si="90"/>
        <v>1.0467394398169905</v>
      </c>
      <c r="L522">
        <f>-$B$5*$B$12-IF($B$3,Tabelle2[[#This Row],[Fd]]*Tabelle2[[#This Row],[vy]]/Tabelle2[[#This Row],[v]],0)</f>
        <v>-14.715</v>
      </c>
      <c r="M522">
        <f t="shared" si="91"/>
        <v>-9.81</v>
      </c>
      <c r="N522">
        <f t="shared" si="92"/>
        <v>-0.19620000000000001</v>
      </c>
      <c r="O522">
        <f t="shared" si="93"/>
        <v>-0.79106251208804335</v>
      </c>
      <c r="P522" s="1">
        <f t="shared" si="95"/>
        <v>52.336971990849527</v>
      </c>
      <c r="Q522" s="1">
        <f t="shared" si="96"/>
        <v>-39.455025604402167</v>
      </c>
      <c r="R522">
        <f>SQRT(Tabelle2[[#This Row],[vx]]*Tabelle2[[#This Row],[vx]]+Tabelle2[[#This Row],[vy]]*Tabelle2[[#This Row],[vy]])</f>
        <v>65.542792758738912</v>
      </c>
      <c r="S522">
        <f t="shared" si="97"/>
        <v>543.25776926501499</v>
      </c>
      <c r="T522" s="1">
        <f t="shared" si="98"/>
        <v>120.65754100693164</v>
      </c>
    </row>
    <row r="523" spans="6:20" x14ac:dyDescent="0.35">
      <c r="F523" s="1">
        <f t="shared" si="94"/>
        <v>10.399999999999867</v>
      </c>
      <c r="G523">
        <f>1/2*$B$8*$B$6*$B$7*(Tabelle2[[#This Row],[vx]]*Tabelle2[[#This Row],[vx]]+Tabelle2[[#This Row],[vy]]*Tabelle2[[#This Row],[vy]])/1000000</f>
        <v>7.6264772910396275</v>
      </c>
      <c r="H523">
        <f>IF($B$3,-Tabelle2[[#This Row],[Fd]]*Tabelle2[[#This Row],[vx]]/Tabelle2[[#This Row],[v]],0)</f>
        <v>0</v>
      </c>
      <c r="I523">
        <f t="shared" si="88"/>
        <v>0</v>
      </c>
      <c r="J523">
        <f t="shared" si="89"/>
        <v>0</v>
      </c>
      <c r="K523">
        <f t="shared" si="90"/>
        <v>1.0467394398169905</v>
      </c>
      <c r="L523">
        <f>-$B$5*$B$12-IF($B$3,Tabelle2[[#This Row],[Fd]]*Tabelle2[[#This Row],[vy]]/Tabelle2[[#This Row],[v]],0)</f>
        <v>-14.715</v>
      </c>
      <c r="M523">
        <f t="shared" si="91"/>
        <v>-9.81</v>
      </c>
      <c r="N523">
        <f t="shared" si="92"/>
        <v>-0.19620000000000001</v>
      </c>
      <c r="O523">
        <f t="shared" si="93"/>
        <v>-0.79498651208804338</v>
      </c>
      <c r="P523" s="1">
        <f t="shared" si="95"/>
        <v>52.336971990849527</v>
      </c>
      <c r="Q523" s="1">
        <f t="shared" si="96"/>
        <v>-39.651225604402164</v>
      </c>
      <c r="R523">
        <f>SQRT(Tabelle2[[#This Row],[vx]]*Tabelle2[[#This Row],[vx]]+Tabelle2[[#This Row],[vy]]*Tabelle2[[#This Row],[vy]])</f>
        <v>65.661086871161103</v>
      </c>
      <c r="S523">
        <f t="shared" si="97"/>
        <v>544.30450870483196</v>
      </c>
      <c r="T523" s="1">
        <f t="shared" si="98"/>
        <v>119.86647849484359</v>
      </c>
    </row>
    <row r="524" spans="6:20" x14ac:dyDescent="0.35">
      <c r="F524" s="1">
        <f t="shared" si="94"/>
        <v>10.419999999999867</v>
      </c>
      <c r="G524">
        <f>1/2*$B$8*$B$6*$B$7*(Tabelle2[[#This Row],[vx]]*Tabelle2[[#This Row],[vx]]+Tabelle2[[#This Row],[vy]]*Tabelle2[[#This Row],[vy]])/1000000</f>
        <v>7.6540682382591418</v>
      </c>
      <c r="H524">
        <f>IF($B$3,-Tabelle2[[#This Row],[Fd]]*Tabelle2[[#This Row],[vx]]/Tabelle2[[#This Row],[v]],0)</f>
        <v>0</v>
      </c>
      <c r="I524">
        <f t="shared" si="88"/>
        <v>0</v>
      </c>
      <c r="J524">
        <f t="shared" si="89"/>
        <v>0</v>
      </c>
      <c r="K524">
        <f t="shared" si="90"/>
        <v>1.0467394398169905</v>
      </c>
      <c r="L524">
        <f>-$B$5*$B$12-IF($B$3,Tabelle2[[#This Row],[Fd]]*Tabelle2[[#This Row],[vy]]/Tabelle2[[#This Row],[v]],0)</f>
        <v>-14.715</v>
      </c>
      <c r="M524">
        <f t="shared" si="91"/>
        <v>-9.81</v>
      </c>
      <c r="N524">
        <f t="shared" si="92"/>
        <v>-0.19620000000000001</v>
      </c>
      <c r="O524">
        <f t="shared" si="93"/>
        <v>-0.79891051208804331</v>
      </c>
      <c r="P524" s="1">
        <f t="shared" si="95"/>
        <v>52.336971990849527</v>
      </c>
      <c r="Q524" s="1">
        <f t="shared" si="96"/>
        <v>-39.847425604402162</v>
      </c>
      <c r="R524">
        <f>SQRT(Tabelle2[[#This Row],[vx]]*Tabelle2[[#This Row],[vx]]+Tabelle2[[#This Row],[vy]]*Tabelle2[[#This Row],[vy]])</f>
        <v>65.779753454002346</v>
      </c>
      <c r="S524">
        <f t="shared" si="97"/>
        <v>545.35124814464893</v>
      </c>
      <c r="T524" s="1">
        <f t="shared" si="98"/>
        <v>119.07149198275555</v>
      </c>
    </row>
    <row r="525" spans="6:20" x14ac:dyDescent="0.35">
      <c r="F525" s="1">
        <f t="shared" si="94"/>
        <v>10.439999999999866</v>
      </c>
      <c r="G525">
        <f>1/2*$B$8*$B$6*$B$7*(Tabelle2[[#This Row],[vx]]*Tabelle2[[#This Row],[vx]]+Tabelle2[[#This Row],[vy]]*Tabelle2[[#This Row],[vy]])/1000000</f>
        <v>7.6817953725400008</v>
      </c>
      <c r="H525">
        <f>IF($B$3,-Tabelle2[[#This Row],[Fd]]*Tabelle2[[#This Row],[vx]]/Tabelle2[[#This Row],[v]],0)</f>
        <v>0</v>
      </c>
      <c r="I525">
        <f t="shared" si="88"/>
        <v>0</v>
      </c>
      <c r="J525">
        <f t="shared" si="89"/>
        <v>0</v>
      </c>
      <c r="K525">
        <f t="shared" si="90"/>
        <v>1.0467394398169905</v>
      </c>
      <c r="L525">
        <f>-$B$5*$B$12-IF($B$3,Tabelle2[[#This Row],[Fd]]*Tabelle2[[#This Row],[vy]]/Tabelle2[[#This Row],[v]],0)</f>
        <v>-14.715</v>
      </c>
      <c r="M525">
        <f t="shared" si="91"/>
        <v>-9.81</v>
      </c>
      <c r="N525">
        <f t="shared" si="92"/>
        <v>-0.19620000000000001</v>
      </c>
      <c r="O525">
        <f t="shared" si="93"/>
        <v>-0.80283451208804324</v>
      </c>
      <c r="P525" s="1">
        <f t="shared" si="95"/>
        <v>52.336971990849527</v>
      </c>
      <c r="Q525" s="1">
        <f t="shared" si="96"/>
        <v>-40.043625604402159</v>
      </c>
      <c r="R525">
        <f>SQRT(Tabelle2[[#This Row],[vx]]*Tabelle2[[#This Row],[vx]]+Tabelle2[[#This Row],[vy]]*Tabelle2[[#This Row],[vy]])</f>
        <v>65.898790495095582</v>
      </c>
      <c r="S525">
        <f t="shared" si="97"/>
        <v>546.39798758446591</v>
      </c>
      <c r="T525" s="1">
        <f t="shared" si="98"/>
        <v>118.2725814706675</v>
      </c>
    </row>
    <row r="526" spans="6:20" x14ac:dyDescent="0.35">
      <c r="F526" s="1">
        <f t="shared" si="94"/>
        <v>10.459999999999866</v>
      </c>
      <c r="G526">
        <f>1/2*$B$8*$B$6*$B$7*(Tabelle2[[#This Row],[vx]]*Tabelle2[[#This Row],[vx]]+Tabelle2[[#This Row],[vy]]*Tabelle2[[#This Row],[vy]])/1000000</f>
        <v>7.7096586938822025</v>
      </c>
      <c r="H526">
        <f>IF($B$3,-Tabelle2[[#This Row],[Fd]]*Tabelle2[[#This Row],[vx]]/Tabelle2[[#This Row],[v]],0)</f>
        <v>0</v>
      </c>
      <c r="I526">
        <f t="shared" si="88"/>
        <v>0</v>
      </c>
      <c r="J526">
        <f t="shared" si="89"/>
        <v>0</v>
      </c>
      <c r="K526">
        <f t="shared" si="90"/>
        <v>1.0467394398169905</v>
      </c>
      <c r="L526">
        <f>-$B$5*$B$12-IF($B$3,Tabelle2[[#This Row],[Fd]]*Tabelle2[[#This Row],[vy]]/Tabelle2[[#This Row],[v]],0)</f>
        <v>-14.715</v>
      </c>
      <c r="M526">
        <f t="shared" si="91"/>
        <v>-9.81</v>
      </c>
      <c r="N526">
        <f t="shared" si="92"/>
        <v>-0.19620000000000001</v>
      </c>
      <c r="O526">
        <f t="shared" si="93"/>
        <v>-0.80675851208804317</v>
      </c>
      <c r="P526" s="1">
        <f t="shared" si="95"/>
        <v>52.336971990849527</v>
      </c>
      <c r="Q526" s="1">
        <f t="shared" si="96"/>
        <v>-40.239825604402157</v>
      </c>
      <c r="R526">
        <f>SQRT(Tabelle2[[#This Row],[vx]]*Tabelle2[[#This Row],[vx]]+Tabelle2[[#This Row],[vy]]*Tabelle2[[#This Row],[vy]])</f>
        <v>66.018195990527246</v>
      </c>
      <c r="S526">
        <f t="shared" si="97"/>
        <v>547.44472702428288</v>
      </c>
      <c r="T526" s="1">
        <f t="shared" si="98"/>
        <v>117.46974695857946</v>
      </c>
    </row>
    <row r="527" spans="6:20" x14ac:dyDescent="0.35">
      <c r="F527" s="1">
        <f t="shared" si="94"/>
        <v>10.479999999999865</v>
      </c>
      <c r="G527">
        <f>1/2*$B$8*$B$6*$B$7*(Tabelle2[[#This Row],[vx]]*Tabelle2[[#This Row],[vx]]+Tabelle2[[#This Row],[vy]]*Tabelle2[[#This Row],[vy]])/1000000</f>
        <v>7.7376582022857496</v>
      </c>
      <c r="H527">
        <f>IF($B$3,-Tabelle2[[#This Row],[Fd]]*Tabelle2[[#This Row],[vx]]/Tabelle2[[#This Row],[v]],0)</f>
        <v>0</v>
      </c>
      <c r="I527">
        <f t="shared" si="88"/>
        <v>0</v>
      </c>
      <c r="J527">
        <f t="shared" si="89"/>
        <v>0</v>
      </c>
      <c r="K527">
        <f t="shared" si="90"/>
        <v>1.0467394398169905</v>
      </c>
      <c r="L527">
        <f>-$B$5*$B$12-IF($B$3,Tabelle2[[#This Row],[Fd]]*Tabelle2[[#This Row],[vy]]/Tabelle2[[#This Row],[v]],0)</f>
        <v>-14.715</v>
      </c>
      <c r="M527">
        <f t="shared" si="91"/>
        <v>-9.81</v>
      </c>
      <c r="N527">
        <f t="shared" si="92"/>
        <v>-0.19620000000000001</v>
      </c>
      <c r="O527">
        <f t="shared" si="93"/>
        <v>-0.81068251208804309</v>
      </c>
      <c r="P527" s="1">
        <f t="shared" si="95"/>
        <v>52.336971990849527</v>
      </c>
      <c r="Q527" s="1">
        <f t="shared" si="96"/>
        <v>-40.436025604402154</v>
      </c>
      <c r="R527">
        <f>SQRT(Tabelle2[[#This Row],[vx]]*Tabelle2[[#This Row],[vx]]+Tabelle2[[#This Row],[vy]]*Tabelle2[[#This Row],[vy]])</f>
        <v>66.137967944674827</v>
      </c>
      <c r="S527">
        <f t="shared" si="97"/>
        <v>548.49146646409986</v>
      </c>
      <c r="T527" s="1">
        <f t="shared" si="98"/>
        <v>116.66298844649143</v>
      </c>
    </row>
    <row r="528" spans="6:20" x14ac:dyDescent="0.35">
      <c r="F528" s="1">
        <f t="shared" si="94"/>
        <v>10.499999999999865</v>
      </c>
      <c r="G528">
        <f>1/2*$B$8*$B$6*$B$7*(Tabelle2[[#This Row],[vx]]*Tabelle2[[#This Row],[vx]]+Tabelle2[[#This Row],[vy]]*Tabelle2[[#This Row],[vy]])/1000000</f>
        <v>7.7657938977506404</v>
      </c>
      <c r="H528">
        <f>IF($B$3,-Tabelle2[[#This Row],[Fd]]*Tabelle2[[#This Row],[vx]]/Tabelle2[[#This Row],[v]],0)</f>
        <v>0</v>
      </c>
      <c r="I528">
        <f t="shared" si="88"/>
        <v>0</v>
      </c>
      <c r="J528">
        <f t="shared" si="89"/>
        <v>0</v>
      </c>
      <c r="K528">
        <f t="shared" si="90"/>
        <v>1.0467394398169905</v>
      </c>
      <c r="L528">
        <f>-$B$5*$B$12-IF($B$3,Tabelle2[[#This Row],[Fd]]*Tabelle2[[#This Row],[vy]]/Tabelle2[[#This Row],[v]],0)</f>
        <v>-14.715</v>
      </c>
      <c r="M528">
        <f t="shared" si="91"/>
        <v>-9.81</v>
      </c>
      <c r="N528">
        <f t="shared" si="92"/>
        <v>-0.19620000000000001</v>
      </c>
      <c r="O528">
        <f t="shared" si="93"/>
        <v>-0.81460651208804313</v>
      </c>
      <c r="P528" s="1">
        <f t="shared" si="95"/>
        <v>52.336971990849527</v>
      </c>
      <c r="Q528" s="1">
        <f t="shared" si="96"/>
        <v>-40.632225604402151</v>
      </c>
      <c r="R528">
        <f>SQRT(Tabelle2[[#This Row],[vx]]*Tabelle2[[#This Row],[vx]]+Tabelle2[[#This Row],[vy]]*Tabelle2[[#This Row],[vy]])</f>
        <v>66.258104370242904</v>
      </c>
      <c r="S528">
        <f t="shared" si="97"/>
        <v>549.53820590391683</v>
      </c>
      <c r="T528" s="1">
        <f t="shared" si="98"/>
        <v>115.85230593440338</v>
      </c>
    </row>
    <row r="529" spans="6:20" x14ac:dyDescent="0.35">
      <c r="F529" s="1">
        <f t="shared" si="94"/>
        <v>10.519999999999865</v>
      </c>
      <c r="G529">
        <f>1/2*$B$8*$B$6*$B$7*(Tabelle2[[#This Row],[vx]]*Tabelle2[[#This Row],[vx]]+Tabelle2[[#This Row],[vy]]*Tabelle2[[#This Row],[vy]])/1000000</f>
        <v>7.7940657802768749</v>
      </c>
      <c r="H529">
        <f>IF($B$3,-Tabelle2[[#This Row],[Fd]]*Tabelle2[[#This Row],[vx]]/Tabelle2[[#This Row],[v]],0)</f>
        <v>0</v>
      </c>
      <c r="I529">
        <f t="shared" si="88"/>
        <v>0</v>
      </c>
      <c r="J529">
        <f t="shared" si="89"/>
        <v>0</v>
      </c>
      <c r="K529">
        <f t="shared" si="90"/>
        <v>1.0467394398169905</v>
      </c>
      <c r="L529">
        <f>-$B$5*$B$12-IF($B$3,Tabelle2[[#This Row],[Fd]]*Tabelle2[[#This Row],[vy]]/Tabelle2[[#This Row],[v]],0)</f>
        <v>-14.715</v>
      </c>
      <c r="M529">
        <f t="shared" si="91"/>
        <v>-9.81</v>
      </c>
      <c r="N529">
        <f t="shared" si="92"/>
        <v>-0.19620000000000001</v>
      </c>
      <c r="O529">
        <f t="shared" si="93"/>
        <v>-0.81853051208804306</v>
      </c>
      <c r="P529" s="1">
        <f t="shared" si="95"/>
        <v>52.336971990849527</v>
      </c>
      <c r="Q529" s="1">
        <f t="shared" si="96"/>
        <v>-40.828425604402149</v>
      </c>
      <c r="R529">
        <f>SQRT(Tabelle2[[#This Row],[vx]]*Tabelle2[[#This Row],[vx]]+Tabelle2[[#This Row],[vy]]*Tabelle2[[#This Row],[vy]])</f>
        <v>66.378603288297413</v>
      </c>
      <c r="S529">
        <f t="shared" si="97"/>
        <v>550.58494534373381</v>
      </c>
      <c r="T529" s="1">
        <f t="shared" si="98"/>
        <v>115.03769942231533</v>
      </c>
    </row>
    <row r="530" spans="6:20" x14ac:dyDescent="0.35">
      <c r="F530" s="1">
        <f t="shared" si="94"/>
        <v>10.539999999999864</v>
      </c>
      <c r="G530">
        <f>1/2*$B$8*$B$6*$B$7*(Tabelle2[[#This Row],[vx]]*Tabelle2[[#This Row],[vx]]+Tabelle2[[#This Row],[vy]]*Tabelle2[[#This Row],[vy]])/1000000</f>
        <v>7.822473849864453</v>
      </c>
      <c r="H530">
        <f>IF($B$3,-Tabelle2[[#This Row],[Fd]]*Tabelle2[[#This Row],[vx]]/Tabelle2[[#This Row],[v]],0)</f>
        <v>0</v>
      </c>
      <c r="I530">
        <f t="shared" si="88"/>
        <v>0</v>
      </c>
      <c r="J530">
        <f t="shared" si="89"/>
        <v>0</v>
      </c>
      <c r="K530">
        <f t="shared" si="90"/>
        <v>1.0467394398169905</v>
      </c>
      <c r="L530">
        <f>-$B$5*$B$12-IF($B$3,Tabelle2[[#This Row],[Fd]]*Tabelle2[[#This Row],[vy]]/Tabelle2[[#This Row],[v]],0)</f>
        <v>-14.715</v>
      </c>
      <c r="M530">
        <f t="shared" si="91"/>
        <v>-9.81</v>
      </c>
      <c r="N530">
        <f t="shared" si="92"/>
        <v>-0.19620000000000001</v>
      </c>
      <c r="O530">
        <f t="shared" si="93"/>
        <v>-0.82245451208804299</v>
      </c>
      <c r="P530" s="1">
        <f t="shared" si="95"/>
        <v>52.336971990849527</v>
      </c>
      <c r="Q530" s="1">
        <f t="shared" si="96"/>
        <v>-41.024625604402146</v>
      </c>
      <c r="R530">
        <f>SQRT(Tabelle2[[#This Row],[vx]]*Tabelle2[[#This Row],[vx]]+Tabelle2[[#This Row],[vy]]*Tabelle2[[#This Row],[vy]])</f>
        <v>66.499462728298312</v>
      </c>
      <c r="S530">
        <f t="shared" si="97"/>
        <v>551.63168478355078</v>
      </c>
      <c r="T530" s="1">
        <f t="shared" si="98"/>
        <v>114.21916891022728</v>
      </c>
    </row>
    <row r="531" spans="6:20" x14ac:dyDescent="0.35">
      <c r="F531" s="1">
        <f t="shared" si="94"/>
        <v>10.559999999999864</v>
      </c>
      <c r="G531">
        <f>1/2*$B$8*$B$6*$B$7*(Tabelle2[[#This Row],[vx]]*Tabelle2[[#This Row],[vx]]+Tabelle2[[#This Row],[vy]]*Tabelle2[[#This Row],[vy]])/1000000</f>
        <v>7.8510181065133766</v>
      </c>
      <c r="H531">
        <f>IF($B$3,-Tabelle2[[#This Row],[Fd]]*Tabelle2[[#This Row],[vx]]/Tabelle2[[#This Row],[v]],0)</f>
        <v>0</v>
      </c>
      <c r="I531">
        <f t="shared" si="88"/>
        <v>0</v>
      </c>
      <c r="J531">
        <f t="shared" si="89"/>
        <v>0</v>
      </c>
      <c r="K531">
        <f t="shared" si="90"/>
        <v>1.0467394398169905</v>
      </c>
      <c r="L531">
        <f>-$B$5*$B$12-IF($B$3,Tabelle2[[#This Row],[Fd]]*Tabelle2[[#This Row],[vy]]/Tabelle2[[#This Row],[v]],0)</f>
        <v>-14.715</v>
      </c>
      <c r="M531">
        <f t="shared" si="91"/>
        <v>-9.81</v>
      </c>
      <c r="N531">
        <f t="shared" si="92"/>
        <v>-0.19620000000000001</v>
      </c>
      <c r="O531">
        <f t="shared" si="93"/>
        <v>-0.82637851208804292</v>
      </c>
      <c r="P531" s="1">
        <f t="shared" si="95"/>
        <v>52.336971990849527</v>
      </c>
      <c r="Q531" s="1">
        <f t="shared" si="96"/>
        <v>-41.220825604402144</v>
      </c>
      <c r="R531">
        <f>SQRT(Tabelle2[[#This Row],[vx]]*Tabelle2[[#This Row],[vx]]+Tabelle2[[#This Row],[vy]]*Tabelle2[[#This Row],[vy]])</f>
        <v>66.620680728130537</v>
      </c>
      <c r="S531">
        <f t="shared" si="97"/>
        <v>552.67842422336776</v>
      </c>
      <c r="T531" s="1">
        <f t="shared" si="98"/>
        <v>113.39671439813924</v>
      </c>
    </row>
    <row r="532" spans="6:20" x14ac:dyDescent="0.35">
      <c r="F532" s="1">
        <f t="shared" si="94"/>
        <v>10.579999999999863</v>
      </c>
      <c r="G532">
        <f>1/2*$B$8*$B$6*$B$7*(Tabelle2[[#This Row],[vx]]*Tabelle2[[#This Row],[vx]]+Tabelle2[[#This Row],[vy]]*Tabelle2[[#This Row],[vy]])/1000000</f>
        <v>7.879698550223643</v>
      </c>
      <c r="H532">
        <f>IF($B$3,-Tabelle2[[#This Row],[Fd]]*Tabelle2[[#This Row],[vx]]/Tabelle2[[#This Row],[v]],0)</f>
        <v>0</v>
      </c>
      <c r="I532">
        <f t="shared" si="88"/>
        <v>0</v>
      </c>
      <c r="J532">
        <f t="shared" si="89"/>
        <v>0</v>
      </c>
      <c r="K532">
        <f t="shared" si="90"/>
        <v>1.0467394398169905</v>
      </c>
      <c r="L532">
        <f>-$B$5*$B$12-IF($B$3,Tabelle2[[#This Row],[Fd]]*Tabelle2[[#This Row],[vy]]/Tabelle2[[#This Row],[v]],0)</f>
        <v>-14.715</v>
      </c>
      <c r="M532">
        <f t="shared" si="91"/>
        <v>-9.81</v>
      </c>
      <c r="N532">
        <f t="shared" si="92"/>
        <v>-0.19620000000000001</v>
      </c>
      <c r="O532">
        <f t="shared" si="93"/>
        <v>-0.83030251208804284</v>
      </c>
      <c r="P532" s="1">
        <f t="shared" si="95"/>
        <v>52.336971990849527</v>
      </c>
      <c r="Q532" s="1">
        <f t="shared" si="96"/>
        <v>-41.417025604402141</v>
      </c>
      <c r="R532">
        <f>SQRT(Tabelle2[[#This Row],[vx]]*Tabelle2[[#This Row],[vx]]+Tabelle2[[#This Row],[vy]]*Tabelle2[[#This Row],[vy]])</f>
        <v>66.742255334133489</v>
      </c>
      <c r="S532">
        <f t="shared" si="97"/>
        <v>553.72516366318473</v>
      </c>
      <c r="T532" s="1">
        <f t="shared" si="98"/>
        <v>112.5703358860512</v>
      </c>
    </row>
    <row r="533" spans="6:20" x14ac:dyDescent="0.35">
      <c r="F533" s="1">
        <f t="shared" si="94"/>
        <v>10.599999999999863</v>
      </c>
      <c r="G533">
        <f>1/2*$B$8*$B$6*$B$7*(Tabelle2[[#This Row],[vx]]*Tabelle2[[#This Row],[vx]]+Tabelle2[[#This Row],[vy]]*Tabelle2[[#This Row],[vy]])/1000000</f>
        <v>7.9085151809952539</v>
      </c>
      <c r="H533">
        <f>IF($B$3,-Tabelle2[[#This Row],[Fd]]*Tabelle2[[#This Row],[vx]]/Tabelle2[[#This Row],[v]],0)</f>
        <v>0</v>
      </c>
      <c r="I533">
        <f t="shared" si="88"/>
        <v>0</v>
      </c>
      <c r="J533">
        <f t="shared" si="89"/>
        <v>0</v>
      </c>
      <c r="K533">
        <f t="shared" si="90"/>
        <v>1.0467394398169905</v>
      </c>
      <c r="L533">
        <f>-$B$5*$B$12-IF($B$3,Tabelle2[[#This Row],[Fd]]*Tabelle2[[#This Row],[vy]]/Tabelle2[[#This Row],[v]],0)</f>
        <v>-14.715</v>
      </c>
      <c r="M533">
        <f t="shared" si="91"/>
        <v>-9.81</v>
      </c>
      <c r="N533">
        <f t="shared" si="92"/>
        <v>-0.19620000000000001</v>
      </c>
      <c r="O533">
        <f t="shared" si="93"/>
        <v>-0.83422651208804288</v>
      </c>
      <c r="P533" s="1">
        <f t="shared" si="95"/>
        <v>52.336971990849527</v>
      </c>
      <c r="Q533" s="1">
        <f t="shared" si="96"/>
        <v>-41.613225604402139</v>
      </c>
      <c r="R533">
        <f>SQRT(Tabelle2[[#This Row],[vx]]*Tabelle2[[#This Row],[vx]]+Tabelle2[[#This Row],[vy]]*Tabelle2[[#This Row],[vy]])</f>
        <v>66.864184601128855</v>
      </c>
      <c r="S533">
        <f t="shared" si="97"/>
        <v>554.7719031030017</v>
      </c>
      <c r="T533" s="1">
        <f t="shared" si="98"/>
        <v>111.74003337396316</v>
      </c>
    </row>
    <row r="534" spans="6:20" x14ac:dyDescent="0.35">
      <c r="F534" s="1">
        <f t="shared" si="94"/>
        <v>10.619999999999862</v>
      </c>
      <c r="G534">
        <f>1/2*$B$8*$B$6*$B$7*(Tabelle2[[#This Row],[vx]]*Tabelle2[[#This Row],[vx]]+Tabelle2[[#This Row],[vy]]*Tabelle2[[#This Row],[vy]])/1000000</f>
        <v>7.9374679988282075</v>
      </c>
      <c r="H534">
        <f>IF($B$3,-Tabelle2[[#This Row],[Fd]]*Tabelle2[[#This Row],[vx]]/Tabelle2[[#This Row],[v]],0)</f>
        <v>0</v>
      </c>
      <c r="I534">
        <f t="shared" si="88"/>
        <v>0</v>
      </c>
      <c r="J534">
        <f t="shared" si="89"/>
        <v>0</v>
      </c>
      <c r="K534">
        <f t="shared" si="90"/>
        <v>1.0467394398169905</v>
      </c>
      <c r="L534">
        <f>-$B$5*$B$12-IF($B$3,Tabelle2[[#This Row],[Fd]]*Tabelle2[[#This Row],[vy]]/Tabelle2[[#This Row],[v]],0)</f>
        <v>-14.715</v>
      </c>
      <c r="M534">
        <f t="shared" si="91"/>
        <v>-9.81</v>
      </c>
      <c r="N534">
        <f t="shared" si="92"/>
        <v>-0.19620000000000001</v>
      </c>
      <c r="O534">
        <f t="shared" si="93"/>
        <v>-0.83815051208804281</v>
      </c>
      <c r="P534" s="1">
        <f t="shared" si="95"/>
        <v>52.336971990849527</v>
      </c>
      <c r="Q534" s="1">
        <f t="shared" si="96"/>
        <v>-41.809425604402136</v>
      </c>
      <c r="R534">
        <f>SQRT(Tabelle2[[#This Row],[vx]]*Tabelle2[[#This Row],[vx]]+Tabelle2[[#This Row],[vy]]*Tabelle2[[#This Row],[vy]])</f>
        <v>66.986466592446902</v>
      </c>
      <c r="S534">
        <f t="shared" si="97"/>
        <v>555.81864254281868</v>
      </c>
      <c r="T534" s="1">
        <f t="shared" si="98"/>
        <v>110.90580686187512</v>
      </c>
    </row>
    <row r="535" spans="6:20" x14ac:dyDescent="0.35">
      <c r="F535" s="1">
        <f t="shared" si="94"/>
        <v>10.639999999999862</v>
      </c>
      <c r="G535">
        <f>1/2*$B$8*$B$6*$B$7*(Tabelle2[[#This Row],[vx]]*Tabelle2[[#This Row],[vx]]+Tabelle2[[#This Row],[vy]]*Tabelle2[[#This Row],[vy]])/1000000</f>
        <v>7.9665570037225057</v>
      </c>
      <c r="H535">
        <f>IF($B$3,-Tabelle2[[#This Row],[Fd]]*Tabelle2[[#This Row],[vx]]/Tabelle2[[#This Row],[v]],0)</f>
        <v>0</v>
      </c>
      <c r="I535">
        <f t="shared" si="88"/>
        <v>0</v>
      </c>
      <c r="J535">
        <f t="shared" si="89"/>
        <v>0</v>
      </c>
      <c r="K535">
        <f t="shared" si="90"/>
        <v>1.0467394398169905</v>
      </c>
      <c r="L535">
        <f>-$B$5*$B$12-IF($B$3,Tabelle2[[#This Row],[Fd]]*Tabelle2[[#This Row],[vy]]/Tabelle2[[#This Row],[v]],0)</f>
        <v>-14.715</v>
      </c>
      <c r="M535">
        <f t="shared" si="91"/>
        <v>-9.81</v>
      </c>
      <c r="N535">
        <f t="shared" si="92"/>
        <v>-0.19620000000000001</v>
      </c>
      <c r="O535">
        <f t="shared" si="93"/>
        <v>-0.84207451208804274</v>
      </c>
      <c r="P535" s="1">
        <f t="shared" si="95"/>
        <v>52.336971990849527</v>
      </c>
      <c r="Q535" s="1">
        <f t="shared" si="96"/>
        <v>-42.005625604402134</v>
      </c>
      <c r="R535">
        <f>SQRT(Tabelle2[[#This Row],[vx]]*Tabelle2[[#This Row],[vx]]+Tabelle2[[#This Row],[vy]]*Tabelle2[[#This Row],[vy]])</f>
        <v>67.109099379951246</v>
      </c>
      <c r="S535">
        <f t="shared" si="97"/>
        <v>556.86538198263565</v>
      </c>
      <c r="T535" s="1">
        <f t="shared" si="98"/>
        <v>110.06765634978707</v>
      </c>
    </row>
    <row r="536" spans="6:20" x14ac:dyDescent="0.35">
      <c r="F536" s="1">
        <f t="shared" si="94"/>
        <v>10.659999999999862</v>
      </c>
      <c r="G536">
        <f>1/2*$B$8*$B$6*$B$7*(Tabelle2[[#This Row],[vx]]*Tabelle2[[#This Row],[vx]]+Tabelle2[[#This Row],[vy]]*Tabelle2[[#This Row],[vy]])/1000000</f>
        <v>7.9957821956781485</v>
      </c>
      <c r="H536">
        <f>IF($B$3,-Tabelle2[[#This Row],[Fd]]*Tabelle2[[#This Row],[vx]]/Tabelle2[[#This Row],[v]],0)</f>
        <v>0</v>
      </c>
      <c r="I536">
        <f t="shared" si="88"/>
        <v>0</v>
      </c>
      <c r="J536">
        <f t="shared" si="89"/>
        <v>0</v>
      </c>
      <c r="K536">
        <f t="shared" si="90"/>
        <v>1.0467394398169905</v>
      </c>
      <c r="L536">
        <f>-$B$5*$B$12-IF($B$3,Tabelle2[[#This Row],[Fd]]*Tabelle2[[#This Row],[vy]]/Tabelle2[[#This Row],[v]],0)</f>
        <v>-14.715</v>
      </c>
      <c r="M536">
        <f t="shared" si="91"/>
        <v>-9.81</v>
      </c>
      <c r="N536">
        <f t="shared" si="92"/>
        <v>-0.19620000000000001</v>
      </c>
      <c r="O536">
        <f t="shared" si="93"/>
        <v>-0.84599851208804266</v>
      </c>
      <c r="P536" s="1">
        <f t="shared" si="95"/>
        <v>52.336971990849527</v>
      </c>
      <c r="Q536" s="1">
        <f t="shared" si="96"/>
        <v>-42.201825604402131</v>
      </c>
      <c r="R536">
        <f>SQRT(Tabelle2[[#This Row],[vx]]*Tabelle2[[#This Row],[vx]]+Tabelle2[[#This Row],[vy]]*Tabelle2[[#This Row],[vy]])</f>
        <v>67.232081044062141</v>
      </c>
      <c r="S536">
        <f t="shared" si="97"/>
        <v>557.91212142245263</v>
      </c>
      <c r="T536" s="1">
        <f t="shared" si="98"/>
        <v>109.22558183769902</v>
      </c>
    </row>
    <row r="537" spans="6:20" x14ac:dyDescent="0.35">
      <c r="F537" s="1">
        <f t="shared" si="94"/>
        <v>10.679999999999861</v>
      </c>
      <c r="G537">
        <f>1/2*$B$8*$B$6*$B$7*(Tabelle2[[#This Row],[vx]]*Tabelle2[[#This Row],[vx]]+Tabelle2[[#This Row],[vy]]*Tabelle2[[#This Row],[vy]])/1000000</f>
        <v>8.0251435746951341</v>
      </c>
      <c r="H537">
        <f>IF($B$3,-Tabelle2[[#This Row],[Fd]]*Tabelle2[[#This Row],[vx]]/Tabelle2[[#This Row],[v]],0)</f>
        <v>0</v>
      </c>
      <c r="I537">
        <f t="shared" si="88"/>
        <v>0</v>
      </c>
      <c r="J537">
        <f t="shared" si="89"/>
        <v>0</v>
      </c>
      <c r="K537">
        <f t="shared" si="90"/>
        <v>1.0467394398169905</v>
      </c>
      <c r="L537">
        <f>-$B$5*$B$12-IF($B$3,Tabelle2[[#This Row],[Fd]]*Tabelle2[[#This Row],[vy]]/Tabelle2[[#This Row],[v]],0)</f>
        <v>-14.715</v>
      </c>
      <c r="M537">
        <f t="shared" si="91"/>
        <v>-9.81</v>
      </c>
      <c r="N537">
        <f t="shared" si="92"/>
        <v>-0.19620000000000001</v>
      </c>
      <c r="O537">
        <f t="shared" si="93"/>
        <v>-0.84992251208804259</v>
      </c>
      <c r="P537" s="1">
        <f t="shared" si="95"/>
        <v>52.336971990849527</v>
      </c>
      <c r="Q537" s="1">
        <f t="shared" si="96"/>
        <v>-42.398025604402129</v>
      </c>
      <c r="R537">
        <f>SQRT(Tabelle2[[#This Row],[vx]]*Tabelle2[[#This Row],[vx]]+Tabelle2[[#This Row],[vy]]*Tabelle2[[#This Row],[vy]])</f>
        <v>67.355409673778283</v>
      </c>
      <c r="S537">
        <f t="shared" si="97"/>
        <v>558.9588608622696</v>
      </c>
      <c r="T537" s="1">
        <f t="shared" si="98"/>
        <v>108.37958332561098</v>
      </c>
    </row>
    <row r="538" spans="6:20" x14ac:dyDescent="0.35">
      <c r="F538" s="1">
        <f t="shared" si="94"/>
        <v>10.699999999999861</v>
      </c>
      <c r="G538">
        <f>1/2*$B$8*$B$6*$B$7*(Tabelle2[[#This Row],[vx]]*Tabelle2[[#This Row],[vx]]+Tabelle2[[#This Row],[vy]]*Tabelle2[[#This Row],[vy]])/1000000</f>
        <v>8.0546411407734642</v>
      </c>
      <c r="H538">
        <f>IF($B$3,-Tabelle2[[#This Row],[Fd]]*Tabelle2[[#This Row],[vx]]/Tabelle2[[#This Row],[v]],0)</f>
        <v>0</v>
      </c>
      <c r="I538">
        <f t="shared" si="88"/>
        <v>0</v>
      </c>
      <c r="J538">
        <f t="shared" si="89"/>
        <v>0</v>
      </c>
      <c r="K538">
        <f t="shared" si="90"/>
        <v>1.0467394398169905</v>
      </c>
      <c r="L538">
        <f>-$B$5*$B$12-IF($B$3,Tabelle2[[#This Row],[Fd]]*Tabelle2[[#This Row],[vy]]/Tabelle2[[#This Row],[v]],0)</f>
        <v>-14.715</v>
      </c>
      <c r="M538">
        <f t="shared" si="91"/>
        <v>-9.81</v>
      </c>
      <c r="N538">
        <f t="shared" si="92"/>
        <v>-0.19620000000000001</v>
      </c>
      <c r="O538">
        <f t="shared" si="93"/>
        <v>-0.85384651208804263</v>
      </c>
      <c r="P538" s="1">
        <f t="shared" si="95"/>
        <v>52.336971990849527</v>
      </c>
      <c r="Q538" s="1">
        <f t="shared" si="96"/>
        <v>-42.594225604402126</v>
      </c>
      <c r="R538">
        <f>SQRT(Tabelle2[[#This Row],[vx]]*Tabelle2[[#This Row],[vx]]+Tabelle2[[#This Row],[vy]]*Tabelle2[[#This Row],[vy]])</f>
        <v>67.479083366697225</v>
      </c>
      <c r="S538">
        <f t="shared" si="97"/>
        <v>560.00560030208658</v>
      </c>
      <c r="T538" s="1">
        <f t="shared" si="98"/>
        <v>107.52966081352294</v>
      </c>
    </row>
    <row r="539" spans="6:20" x14ac:dyDescent="0.35">
      <c r="F539" s="1">
        <f t="shared" si="94"/>
        <v>10.71999999999986</v>
      </c>
      <c r="G539">
        <f>1/2*$B$8*$B$6*$B$7*(Tabelle2[[#This Row],[vx]]*Tabelle2[[#This Row],[vx]]+Tabelle2[[#This Row],[vy]]*Tabelle2[[#This Row],[vy]])/1000000</f>
        <v>8.0842748939131397</v>
      </c>
      <c r="H539">
        <f>IF($B$3,-Tabelle2[[#This Row],[Fd]]*Tabelle2[[#This Row],[vx]]/Tabelle2[[#This Row],[v]],0)</f>
        <v>0</v>
      </c>
      <c r="I539">
        <f t="shared" si="88"/>
        <v>0</v>
      </c>
      <c r="J539">
        <f t="shared" si="89"/>
        <v>0</v>
      </c>
      <c r="K539">
        <f t="shared" si="90"/>
        <v>1.0467394398169905</v>
      </c>
      <c r="L539">
        <f>-$B$5*$B$12-IF($B$3,Tabelle2[[#This Row],[Fd]]*Tabelle2[[#This Row],[vy]]/Tabelle2[[#This Row],[v]],0)</f>
        <v>-14.715</v>
      </c>
      <c r="M539">
        <f t="shared" si="91"/>
        <v>-9.81</v>
      </c>
      <c r="N539">
        <f t="shared" si="92"/>
        <v>-0.19620000000000001</v>
      </c>
      <c r="O539">
        <f t="shared" si="93"/>
        <v>-0.85777051208804256</v>
      </c>
      <c r="P539" s="1">
        <f t="shared" si="95"/>
        <v>52.336971990849527</v>
      </c>
      <c r="Q539" s="1">
        <f t="shared" si="96"/>
        <v>-42.790425604402124</v>
      </c>
      <c r="R539">
        <f>SQRT(Tabelle2[[#This Row],[vx]]*Tabelle2[[#This Row],[vx]]+Tabelle2[[#This Row],[vy]]*Tabelle2[[#This Row],[vy]])</f>
        <v>67.603100229034169</v>
      </c>
      <c r="S539">
        <f t="shared" si="97"/>
        <v>561.05233974190355</v>
      </c>
      <c r="T539" s="1">
        <f t="shared" si="98"/>
        <v>106.6758143014349</v>
      </c>
    </row>
    <row r="540" spans="6:20" x14ac:dyDescent="0.35">
      <c r="F540" s="1">
        <f t="shared" si="94"/>
        <v>10.73999999999986</v>
      </c>
      <c r="G540">
        <f>1/2*$B$8*$B$6*$B$7*(Tabelle2[[#This Row],[vx]]*Tabelle2[[#This Row],[vx]]+Tabelle2[[#This Row],[vy]]*Tabelle2[[#This Row],[vy]])/1000000</f>
        <v>8.1140448341141589</v>
      </c>
      <c r="H540">
        <f>IF($B$3,-Tabelle2[[#This Row],[Fd]]*Tabelle2[[#This Row],[vx]]/Tabelle2[[#This Row],[v]],0)</f>
        <v>0</v>
      </c>
      <c r="I540">
        <f t="shared" si="88"/>
        <v>0</v>
      </c>
      <c r="J540">
        <f t="shared" si="89"/>
        <v>0</v>
      </c>
      <c r="K540">
        <f t="shared" si="90"/>
        <v>1.0467394398169905</v>
      </c>
      <c r="L540">
        <f>-$B$5*$B$12-IF($B$3,Tabelle2[[#This Row],[Fd]]*Tabelle2[[#This Row],[vy]]/Tabelle2[[#This Row],[v]],0)</f>
        <v>-14.715</v>
      </c>
      <c r="M540">
        <f t="shared" si="91"/>
        <v>-9.81</v>
      </c>
      <c r="N540">
        <f t="shared" si="92"/>
        <v>-0.19620000000000001</v>
      </c>
      <c r="O540">
        <f t="shared" si="93"/>
        <v>-0.86169451208804249</v>
      </c>
      <c r="P540" s="1">
        <f t="shared" si="95"/>
        <v>52.336971990849527</v>
      </c>
      <c r="Q540" s="1">
        <f t="shared" si="96"/>
        <v>-42.986625604402121</v>
      </c>
      <c r="R540">
        <f>SQRT(Tabelle2[[#This Row],[vx]]*Tabelle2[[#This Row],[vx]]+Tabelle2[[#This Row],[vy]]*Tabelle2[[#This Row],[vy]])</f>
        <v>67.727458375639699</v>
      </c>
      <c r="S540">
        <f t="shared" si="97"/>
        <v>562.09907918172053</v>
      </c>
      <c r="T540" s="1">
        <f t="shared" si="98"/>
        <v>105.81804378934686</v>
      </c>
    </row>
    <row r="541" spans="6:20" x14ac:dyDescent="0.35">
      <c r="F541" s="1">
        <f t="shared" si="94"/>
        <v>10.759999999999859</v>
      </c>
      <c r="G541">
        <f>1/2*$B$8*$B$6*$B$7*(Tabelle2[[#This Row],[vx]]*Tabelle2[[#This Row],[vx]]+Tabelle2[[#This Row],[vy]]*Tabelle2[[#This Row],[vy]])/1000000</f>
        <v>8.14395096137652</v>
      </c>
      <c r="H541">
        <f>IF($B$3,-Tabelle2[[#This Row],[Fd]]*Tabelle2[[#This Row],[vx]]/Tabelle2[[#This Row],[v]],0)</f>
        <v>0</v>
      </c>
      <c r="I541">
        <f t="shared" si="88"/>
        <v>0</v>
      </c>
      <c r="J541">
        <f t="shared" si="89"/>
        <v>0</v>
      </c>
      <c r="K541">
        <f t="shared" si="90"/>
        <v>1.0467394398169905</v>
      </c>
      <c r="L541">
        <f>-$B$5*$B$12-IF($B$3,Tabelle2[[#This Row],[Fd]]*Tabelle2[[#This Row],[vy]]/Tabelle2[[#This Row],[v]],0)</f>
        <v>-14.715</v>
      </c>
      <c r="M541">
        <f t="shared" si="91"/>
        <v>-9.81</v>
      </c>
      <c r="N541">
        <f t="shared" si="92"/>
        <v>-0.19620000000000001</v>
      </c>
      <c r="O541">
        <f t="shared" si="93"/>
        <v>-0.86561851208804241</v>
      </c>
      <c r="P541" s="1">
        <f t="shared" si="95"/>
        <v>52.336971990849527</v>
      </c>
      <c r="Q541" s="1">
        <f t="shared" si="96"/>
        <v>-43.182825604402119</v>
      </c>
      <c r="R541">
        <f>SQRT(Tabelle2[[#This Row],[vx]]*Tabelle2[[#This Row],[vx]]+Tabelle2[[#This Row],[vy]]*Tabelle2[[#This Row],[vy]])</f>
        <v>67.852155930015769</v>
      </c>
      <c r="S541">
        <f t="shared" si="97"/>
        <v>563.1458186215375</v>
      </c>
      <c r="T541" s="1">
        <f t="shared" si="98"/>
        <v>104.95634927725882</v>
      </c>
    </row>
    <row r="542" spans="6:20" x14ac:dyDescent="0.35">
      <c r="F542" s="1">
        <f t="shared" si="94"/>
        <v>10.779999999999859</v>
      </c>
      <c r="G542">
        <f>1/2*$B$8*$B$6*$B$7*(Tabelle2[[#This Row],[vx]]*Tabelle2[[#This Row],[vx]]+Tabelle2[[#This Row],[vy]]*Tabelle2[[#This Row],[vy]])/1000000</f>
        <v>8.1739932757002265</v>
      </c>
      <c r="H542">
        <f>IF($B$3,-Tabelle2[[#This Row],[Fd]]*Tabelle2[[#This Row],[vx]]/Tabelle2[[#This Row],[v]],0)</f>
        <v>0</v>
      </c>
      <c r="I542">
        <f t="shared" si="88"/>
        <v>0</v>
      </c>
      <c r="J542">
        <f t="shared" si="89"/>
        <v>0</v>
      </c>
      <c r="K542">
        <f t="shared" si="90"/>
        <v>1.0467394398169905</v>
      </c>
      <c r="L542">
        <f>-$B$5*$B$12-IF($B$3,Tabelle2[[#This Row],[Fd]]*Tabelle2[[#This Row],[vy]]/Tabelle2[[#This Row],[v]],0)</f>
        <v>-14.715</v>
      </c>
      <c r="M542">
        <f t="shared" si="91"/>
        <v>-9.81</v>
      </c>
      <c r="N542">
        <f t="shared" si="92"/>
        <v>-0.19620000000000001</v>
      </c>
      <c r="O542">
        <f t="shared" si="93"/>
        <v>-0.86954251208804234</v>
      </c>
      <c r="P542" s="1">
        <f t="shared" si="95"/>
        <v>52.336971990849527</v>
      </c>
      <c r="Q542" s="1">
        <f t="shared" si="96"/>
        <v>-43.379025604402116</v>
      </c>
      <c r="R542">
        <f>SQRT(Tabelle2[[#This Row],[vx]]*Tabelle2[[#This Row],[vx]]+Tabelle2[[#This Row],[vy]]*Tabelle2[[#This Row],[vy]])</f>
        <v>67.977191024330665</v>
      </c>
      <c r="S542">
        <f t="shared" si="97"/>
        <v>564.19255806135448</v>
      </c>
      <c r="T542" s="1">
        <f t="shared" si="98"/>
        <v>104.09073076517078</v>
      </c>
    </row>
    <row r="543" spans="6:20" x14ac:dyDescent="0.35">
      <c r="F543" s="1">
        <f t="shared" si="94"/>
        <v>10.799999999999859</v>
      </c>
      <c r="G543">
        <f>1/2*$B$8*$B$6*$B$7*(Tabelle2[[#This Row],[vx]]*Tabelle2[[#This Row],[vx]]+Tabelle2[[#This Row],[vy]]*Tabelle2[[#This Row],[vy]])/1000000</f>
        <v>8.2041717770852784</v>
      </c>
      <c r="H543">
        <f>IF($B$3,-Tabelle2[[#This Row],[Fd]]*Tabelle2[[#This Row],[vx]]/Tabelle2[[#This Row],[v]],0)</f>
        <v>0</v>
      </c>
      <c r="I543">
        <f t="shared" si="88"/>
        <v>0</v>
      </c>
      <c r="J543">
        <f t="shared" si="89"/>
        <v>0</v>
      </c>
      <c r="K543">
        <f t="shared" si="90"/>
        <v>1.0467394398169905</v>
      </c>
      <c r="L543">
        <f>-$B$5*$B$12-IF($B$3,Tabelle2[[#This Row],[Fd]]*Tabelle2[[#This Row],[vy]]/Tabelle2[[#This Row],[v]],0)</f>
        <v>-14.715</v>
      </c>
      <c r="M543">
        <f t="shared" si="91"/>
        <v>-9.81</v>
      </c>
      <c r="N543">
        <f t="shared" si="92"/>
        <v>-0.19620000000000001</v>
      </c>
      <c r="O543">
        <f t="shared" si="93"/>
        <v>-0.87346651208804238</v>
      </c>
      <c r="P543" s="1">
        <f t="shared" si="95"/>
        <v>52.336971990849527</v>
      </c>
      <c r="Q543" s="1">
        <f t="shared" si="96"/>
        <v>-43.575225604402114</v>
      </c>
      <c r="R543">
        <f>SQRT(Tabelle2[[#This Row],[vx]]*Tabelle2[[#This Row],[vx]]+Tabelle2[[#This Row],[vy]]*Tabelle2[[#This Row],[vy]])</f>
        <v>68.102561799432408</v>
      </c>
      <c r="S543">
        <f t="shared" si="97"/>
        <v>565.23929750117145</v>
      </c>
      <c r="T543" s="1">
        <f t="shared" si="98"/>
        <v>103.22118825308273</v>
      </c>
    </row>
    <row r="544" spans="6:20" x14ac:dyDescent="0.35">
      <c r="F544" s="1">
        <f t="shared" si="94"/>
        <v>10.819999999999858</v>
      </c>
      <c r="G544">
        <f>1/2*$B$8*$B$6*$B$7*(Tabelle2[[#This Row],[vx]]*Tabelle2[[#This Row],[vx]]+Tabelle2[[#This Row],[vy]]*Tabelle2[[#This Row],[vy]])/1000000</f>
        <v>8.2344864655316723</v>
      </c>
      <c r="H544">
        <f>IF($B$3,-Tabelle2[[#This Row],[Fd]]*Tabelle2[[#This Row],[vx]]/Tabelle2[[#This Row],[v]],0)</f>
        <v>0</v>
      </c>
      <c r="I544">
        <f t="shared" si="88"/>
        <v>0</v>
      </c>
      <c r="J544">
        <f t="shared" si="89"/>
        <v>0</v>
      </c>
      <c r="K544">
        <f t="shared" si="90"/>
        <v>1.0467394398169905</v>
      </c>
      <c r="L544">
        <f>-$B$5*$B$12-IF($B$3,Tabelle2[[#This Row],[Fd]]*Tabelle2[[#This Row],[vy]]/Tabelle2[[#This Row],[v]],0)</f>
        <v>-14.715</v>
      </c>
      <c r="M544">
        <f t="shared" si="91"/>
        <v>-9.81</v>
      </c>
      <c r="N544">
        <f t="shared" si="92"/>
        <v>-0.19620000000000001</v>
      </c>
      <c r="O544">
        <f t="shared" si="93"/>
        <v>-0.87739051208804231</v>
      </c>
      <c r="P544" s="1">
        <f t="shared" si="95"/>
        <v>52.336971990849527</v>
      </c>
      <c r="Q544" s="1">
        <f t="shared" si="96"/>
        <v>-43.771425604402111</v>
      </c>
      <c r="R544">
        <f>SQRT(Tabelle2[[#This Row],[vx]]*Tabelle2[[#This Row],[vx]]+Tabelle2[[#This Row],[vy]]*Tabelle2[[#This Row],[vy]])</f>
        <v>68.228266404860946</v>
      </c>
      <c r="S544">
        <f t="shared" si="97"/>
        <v>566.28603694098842</v>
      </c>
      <c r="T544" s="1">
        <f t="shared" si="98"/>
        <v>102.34772174099469</v>
      </c>
    </row>
    <row r="545" spans="6:20" x14ac:dyDescent="0.35">
      <c r="F545" s="1">
        <f t="shared" si="94"/>
        <v>10.839999999999858</v>
      </c>
      <c r="G545">
        <f>1/2*$B$8*$B$6*$B$7*(Tabelle2[[#This Row],[vx]]*Tabelle2[[#This Row],[vx]]+Tabelle2[[#This Row],[vy]]*Tabelle2[[#This Row],[vy]])/1000000</f>
        <v>8.2649373410394098</v>
      </c>
      <c r="H545">
        <f>IF($B$3,-Tabelle2[[#This Row],[Fd]]*Tabelle2[[#This Row],[vx]]/Tabelle2[[#This Row],[v]],0)</f>
        <v>0</v>
      </c>
      <c r="I545">
        <f t="shared" si="88"/>
        <v>0</v>
      </c>
      <c r="J545">
        <f t="shared" si="89"/>
        <v>0</v>
      </c>
      <c r="K545">
        <f t="shared" si="90"/>
        <v>1.0467394398169905</v>
      </c>
      <c r="L545">
        <f>-$B$5*$B$12-IF($B$3,Tabelle2[[#This Row],[Fd]]*Tabelle2[[#This Row],[vy]]/Tabelle2[[#This Row],[v]],0)</f>
        <v>-14.715</v>
      </c>
      <c r="M545">
        <f t="shared" si="91"/>
        <v>-9.81</v>
      </c>
      <c r="N545">
        <f t="shared" si="92"/>
        <v>-0.19620000000000001</v>
      </c>
      <c r="O545">
        <f t="shared" si="93"/>
        <v>-0.88131451208804223</v>
      </c>
      <c r="P545" s="1">
        <f t="shared" si="95"/>
        <v>52.336971990849527</v>
      </c>
      <c r="Q545" s="1">
        <f t="shared" si="96"/>
        <v>-43.967625604402109</v>
      </c>
      <c r="R545">
        <f>SQRT(Tabelle2[[#This Row],[vx]]*Tabelle2[[#This Row],[vx]]+Tabelle2[[#This Row],[vy]]*Tabelle2[[#This Row],[vy]])</f>
        <v>68.35430299885914</v>
      </c>
      <c r="S545">
        <f t="shared" si="97"/>
        <v>567.3327763808054</v>
      </c>
      <c r="T545" s="1">
        <f t="shared" si="98"/>
        <v>101.47033122890664</v>
      </c>
    </row>
    <row r="546" spans="6:20" x14ac:dyDescent="0.35">
      <c r="F546" s="1">
        <f t="shared" si="94"/>
        <v>10.859999999999857</v>
      </c>
      <c r="G546">
        <f>1/2*$B$8*$B$6*$B$7*(Tabelle2[[#This Row],[vx]]*Tabelle2[[#This Row],[vx]]+Tabelle2[[#This Row],[vy]]*Tabelle2[[#This Row],[vy]])/1000000</f>
        <v>8.2955244036084927</v>
      </c>
      <c r="H546">
        <f>IF($B$3,-Tabelle2[[#This Row],[Fd]]*Tabelle2[[#This Row],[vx]]/Tabelle2[[#This Row],[v]],0)</f>
        <v>0</v>
      </c>
      <c r="I546">
        <f t="shared" si="88"/>
        <v>0</v>
      </c>
      <c r="J546">
        <f t="shared" si="89"/>
        <v>0</v>
      </c>
      <c r="K546">
        <f t="shared" si="90"/>
        <v>1.0467394398169905</v>
      </c>
      <c r="L546">
        <f>-$B$5*$B$12-IF($B$3,Tabelle2[[#This Row],[Fd]]*Tabelle2[[#This Row],[vy]]/Tabelle2[[#This Row],[v]],0)</f>
        <v>-14.715</v>
      </c>
      <c r="M546">
        <f t="shared" si="91"/>
        <v>-9.81</v>
      </c>
      <c r="N546">
        <f t="shared" si="92"/>
        <v>-0.19620000000000001</v>
      </c>
      <c r="O546">
        <f t="shared" si="93"/>
        <v>-0.88523851208804216</v>
      </c>
      <c r="P546" s="1">
        <f t="shared" si="95"/>
        <v>52.336971990849527</v>
      </c>
      <c r="Q546" s="1">
        <f t="shared" si="96"/>
        <v>-44.163825604402106</v>
      </c>
      <c r="R546">
        <f>SQRT(Tabelle2[[#This Row],[vx]]*Tabelle2[[#This Row],[vx]]+Tabelle2[[#This Row],[vy]]*Tabelle2[[#This Row],[vy]])</f>
        <v>68.480669748382368</v>
      </c>
      <c r="S546">
        <f t="shared" si="97"/>
        <v>568.37951582062237</v>
      </c>
      <c r="T546" s="1">
        <f t="shared" si="98"/>
        <v>100.58901671681861</v>
      </c>
    </row>
    <row r="547" spans="6:20" x14ac:dyDescent="0.35">
      <c r="F547" s="1">
        <f t="shared" si="94"/>
        <v>10.879999999999857</v>
      </c>
      <c r="G547">
        <f>1/2*$B$8*$B$6*$B$7*(Tabelle2[[#This Row],[vx]]*Tabelle2[[#This Row],[vx]]+Tabelle2[[#This Row],[vy]]*Tabelle2[[#This Row],[vy]])/1000000</f>
        <v>8.3262476532389194</v>
      </c>
      <c r="H547">
        <f>IF($B$3,-Tabelle2[[#This Row],[Fd]]*Tabelle2[[#This Row],[vx]]/Tabelle2[[#This Row],[v]],0)</f>
        <v>0</v>
      </c>
      <c r="I547">
        <f t="shared" si="88"/>
        <v>0</v>
      </c>
      <c r="J547">
        <f t="shared" si="89"/>
        <v>0</v>
      </c>
      <c r="K547">
        <f t="shared" si="90"/>
        <v>1.0467394398169905</v>
      </c>
      <c r="L547">
        <f>-$B$5*$B$12-IF($B$3,Tabelle2[[#This Row],[Fd]]*Tabelle2[[#This Row],[vy]]/Tabelle2[[#This Row],[v]],0)</f>
        <v>-14.715</v>
      </c>
      <c r="M547">
        <f t="shared" si="91"/>
        <v>-9.81</v>
      </c>
      <c r="N547">
        <f t="shared" si="92"/>
        <v>-0.19620000000000001</v>
      </c>
      <c r="O547">
        <f t="shared" si="93"/>
        <v>-0.88916251208804209</v>
      </c>
      <c r="P547" s="1">
        <f t="shared" si="95"/>
        <v>52.336971990849527</v>
      </c>
      <c r="Q547" s="1">
        <f t="shared" si="96"/>
        <v>-44.360025604402104</v>
      </c>
      <c r="R547">
        <f>SQRT(Tabelle2[[#This Row],[vx]]*Tabelle2[[#This Row],[vx]]+Tabelle2[[#This Row],[vy]]*Tabelle2[[#This Row],[vy]])</f>
        <v>68.607364829106928</v>
      </c>
      <c r="S547">
        <f t="shared" si="97"/>
        <v>569.42625526043935</v>
      </c>
      <c r="T547" s="1">
        <f t="shared" si="98"/>
        <v>99.703778204730568</v>
      </c>
    </row>
    <row r="548" spans="6:20" x14ac:dyDescent="0.35">
      <c r="F548" s="1">
        <f t="shared" si="94"/>
        <v>10.899999999999856</v>
      </c>
      <c r="G548">
        <f>1/2*$B$8*$B$6*$B$7*(Tabelle2[[#This Row],[vx]]*Tabelle2[[#This Row],[vx]]+Tabelle2[[#This Row],[vy]]*Tabelle2[[#This Row],[vy]])/1000000</f>
        <v>8.3571070899306896</v>
      </c>
      <c r="H548">
        <f>IF($B$3,-Tabelle2[[#This Row],[Fd]]*Tabelle2[[#This Row],[vx]]/Tabelle2[[#This Row],[v]],0)</f>
        <v>0</v>
      </c>
      <c r="I548">
        <f t="shared" si="88"/>
        <v>0</v>
      </c>
      <c r="J548">
        <f t="shared" si="89"/>
        <v>0</v>
      </c>
      <c r="K548">
        <f t="shared" si="90"/>
        <v>1.0467394398169905</v>
      </c>
      <c r="L548">
        <f>-$B$5*$B$12-IF($B$3,Tabelle2[[#This Row],[Fd]]*Tabelle2[[#This Row],[vy]]/Tabelle2[[#This Row],[v]],0)</f>
        <v>-14.715</v>
      </c>
      <c r="M548">
        <f t="shared" si="91"/>
        <v>-9.81</v>
      </c>
      <c r="N548">
        <f t="shared" si="92"/>
        <v>-0.19620000000000001</v>
      </c>
      <c r="O548">
        <f t="shared" si="93"/>
        <v>-0.89308651208804213</v>
      </c>
      <c r="P548" s="1">
        <f t="shared" si="95"/>
        <v>52.336971990849527</v>
      </c>
      <c r="Q548" s="1">
        <f t="shared" si="96"/>
        <v>-44.556225604402101</v>
      </c>
      <c r="R548">
        <f>SQRT(Tabelle2[[#This Row],[vx]]*Tabelle2[[#This Row],[vx]]+Tabelle2[[#This Row],[vy]]*Tabelle2[[#This Row],[vy]])</f>
        <v>68.73438642543735</v>
      </c>
      <c r="S548">
        <f t="shared" si="97"/>
        <v>570.47299470025632</v>
      </c>
      <c r="T548" s="1">
        <f t="shared" si="98"/>
        <v>98.814615692642519</v>
      </c>
    </row>
    <row r="549" spans="6:20" x14ac:dyDescent="0.35">
      <c r="F549" s="1">
        <f t="shared" si="94"/>
        <v>10.919999999999856</v>
      </c>
      <c r="G549">
        <f>1/2*$B$8*$B$6*$B$7*(Tabelle2[[#This Row],[vx]]*Tabelle2[[#This Row],[vx]]+Tabelle2[[#This Row],[vy]]*Tabelle2[[#This Row],[vy]])/1000000</f>
        <v>8.3881027136838053</v>
      </c>
      <c r="H549">
        <f>IF($B$3,-Tabelle2[[#This Row],[Fd]]*Tabelle2[[#This Row],[vx]]/Tabelle2[[#This Row],[v]],0)</f>
        <v>0</v>
      </c>
      <c r="I549">
        <f t="shared" si="88"/>
        <v>0</v>
      </c>
      <c r="J549">
        <f t="shared" si="89"/>
        <v>0</v>
      </c>
      <c r="K549">
        <f t="shared" si="90"/>
        <v>1.0467394398169905</v>
      </c>
      <c r="L549">
        <f>-$B$5*$B$12-IF($B$3,Tabelle2[[#This Row],[Fd]]*Tabelle2[[#This Row],[vy]]/Tabelle2[[#This Row],[v]],0)</f>
        <v>-14.715</v>
      </c>
      <c r="M549">
        <f t="shared" si="91"/>
        <v>-9.81</v>
      </c>
      <c r="N549">
        <f t="shared" si="92"/>
        <v>-0.19620000000000001</v>
      </c>
      <c r="O549">
        <f t="shared" si="93"/>
        <v>-0.89701051208804206</v>
      </c>
      <c r="P549" s="1">
        <f t="shared" si="95"/>
        <v>52.336971990849527</v>
      </c>
      <c r="Q549" s="1">
        <f t="shared" si="96"/>
        <v>-44.752425604402099</v>
      </c>
      <c r="R549">
        <f>SQRT(Tabelle2[[#This Row],[vx]]*Tabelle2[[#This Row],[vx]]+Tabelle2[[#This Row],[vy]]*Tabelle2[[#This Row],[vy]])</f>
        <v>68.86173273051233</v>
      </c>
      <c r="S549">
        <f t="shared" si="97"/>
        <v>571.5197341400733</v>
      </c>
      <c r="T549" s="1">
        <f t="shared" si="98"/>
        <v>97.921529180554472</v>
      </c>
    </row>
    <row r="550" spans="6:20" x14ac:dyDescent="0.35">
      <c r="F550" s="1">
        <f t="shared" si="94"/>
        <v>10.939999999999856</v>
      </c>
      <c r="G550">
        <f>1/2*$B$8*$B$6*$B$7*(Tabelle2[[#This Row],[vx]]*Tabelle2[[#This Row],[vx]]+Tabelle2[[#This Row],[vy]]*Tabelle2[[#This Row],[vy]])/1000000</f>
        <v>8.4192345244982612</v>
      </c>
      <c r="H550">
        <f>IF($B$3,-Tabelle2[[#This Row],[Fd]]*Tabelle2[[#This Row],[vx]]/Tabelle2[[#This Row],[v]],0)</f>
        <v>0</v>
      </c>
      <c r="I550">
        <f t="shared" si="88"/>
        <v>0</v>
      </c>
      <c r="J550">
        <f t="shared" si="89"/>
        <v>0</v>
      </c>
      <c r="K550">
        <f t="shared" si="90"/>
        <v>1.0467394398169905</v>
      </c>
      <c r="L550">
        <f>-$B$5*$B$12-IF($B$3,Tabelle2[[#This Row],[Fd]]*Tabelle2[[#This Row],[vy]]/Tabelle2[[#This Row],[v]],0)</f>
        <v>-14.715</v>
      </c>
      <c r="M550">
        <f t="shared" si="91"/>
        <v>-9.81</v>
      </c>
      <c r="N550">
        <f t="shared" si="92"/>
        <v>-0.19620000000000001</v>
      </c>
      <c r="O550">
        <f t="shared" si="93"/>
        <v>-0.90093451208804198</v>
      </c>
      <c r="P550" s="1">
        <f t="shared" si="95"/>
        <v>52.336971990849527</v>
      </c>
      <c r="Q550" s="1">
        <f t="shared" si="96"/>
        <v>-44.948625604402096</v>
      </c>
      <c r="R550">
        <f>SQRT(Tabelle2[[#This Row],[vx]]*Tabelle2[[#This Row],[vx]]+Tabelle2[[#This Row],[vy]]*Tabelle2[[#This Row],[vy]])</f>
        <v>68.989401946209682</v>
      </c>
      <c r="S550">
        <f t="shared" si="97"/>
        <v>572.56647357989027</v>
      </c>
      <c r="T550" s="1">
        <f t="shared" si="98"/>
        <v>97.024518668466428</v>
      </c>
    </row>
    <row r="551" spans="6:20" x14ac:dyDescent="0.35">
      <c r="F551" s="1">
        <f t="shared" si="94"/>
        <v>10.959999999999855</v>
      </c>
      <c r="G551">
        <f>1/2*$B$8*$B$6*$B$7*(Tabelle2[[#This Row],[vx]]*Tabelle2[[#This Row],[vx]]+Tabelle2[[#This Row],[vy]]*Tabelle2[[#This Row],[vy]])/1000000</f>
        <v>8.450502522374066</v>
      </c>
      <c r="H551">
        <f>IF($B$3,-Tabelle2[[#This Row],[Fd]]*Tabelle2[[#This Row],[vx]]/Tabelle2[[#This Row],[v]],0)</f>
        <v>0</v>
      </c>
      <c r="I551">
        <f t="shared" si="88"/>
        <v>0</v>
      </c>
      <c r="J551">
        <f t="shared" si="89"/>
        <v>0</v>
      </c>
      <c r="K551">
        <f t="shared" si="90"/>
        <v>1.0467394398169905</v>
      </c>
      <c r="L551">
        <f>-$B$5*$B$12-IF($B$3,Tabelle2[[#This Row],[Fd]]*Tabelle2[[#This Row],[vy]]/Tabelle2[[#This Row],[v]],0)</f>
        <v>-14.715</v>
      </c>
      <c r="M551">
        <f t="shared" si="91"/>
        <v>-9.81</v>
      </c>
      <c r="N551">
        <f t="shared" si="92"/>
        <v>-0.19620000000000001</v>
      </c>
      <c r="O551">
        <f t="shared" si="93"/>
        <v>-0.90485851208804191</v>
      </c>
      <c r="P551" s="1">
        <f t="shared" si="95"/>
        <v>52.336971990849527</v>
      </c>
      <c r="Q551" s="1">
        <f t="shared" si="96"/>
        <v>-45.144825604402094</v>
      </c>
      <c r="R551">
        <f>SQRT(Tabelle2[[#This Row],[vx]]*Tabelle2[[#This Row],[vx]]+Tabelle2[[#This Row],[vy]]*Tabelle2[[#This Row],[vy]])</f>
        <v>69.117392283150025</v>
      </c>
      <c r="S551">
        <f t="shared" si="97"/>
        <v>573.61321301970725</v>
      </c>
      <c r="T551" s="1">
        <f t="shared" si="98"/>
        <v>96.123584156378385</v>
      </c>
    </row>
    <row r="552" spans="6:20" x14ac:dyDescent="0.35">
      <c r="F552" s="1">
        <f t="shared" si="94"/>
        <v>10.979999999999855</v>
      </c>
      <c r="G552">
        <f>1/2*$B$8*$B$6*$B$7*(Tabelle2[[#This Row],[vx]]*Tabelle2[[#This Row],[vx]]+Tabelle2[[#This Row],[vy]]*Tabelle2[[#This Row],[vy]])/1000000</f>
        <v>8.4819067073112091</v>
      </c>
      <c r="H552">
        <f>IF($B$3,-Tabelle2[[#This Row],[Fd]]*Tabelle2[[#This Row],[vx]]/Tabelle2[[#This Row],[v]],0)</f>
        <v>0</v>
      </c>
      <c r="I552">
        <f t="shared" si="88"/>
        <v>0</v>
      </c>
      <c r="J552">
        <f t="shared" si="89"/>
        <v>0</v>
      </c>
      <c r="K552">
        <f t="shared" si="90"/>
        <v>1.0467394398169905</v>
      </c>
      <c r="L552">
        <f>-$B$5*$B$12-IF($B$3,Tabelle2[[#This Row],[Fd]]*Tabelle2[[#This Row],[vy]]/Tabelle2[[#This Row],[v]],0)</f>
        <v>-14.715</v>
      </c>
      <c r="M552">
        <f t="shared" si="91"/>
        <v>-9.81</v>
      </c>
      <c r="N552">
        <f t="shared" si="92"/>
        <v>-0.19620000000000001</v>
      </c>
      <c r="O552">
        <f t="shared" si="93"/>
        <v>-0.90878251208804184</v>
      </c>
      <c r="P552" s="1">
        <f t="shared" si="95"/>
        <v>52.336971990849527</v>
      </c>
      <c r="Q552" s="1">
        <f t="shared" si="96"/>
        <v>-45.341025604402091</v>
      </c>
      <c r="R552">
        <f>SQRT(Tabelle2[[#This Row],[vx]]*Tabelle2[[#This Row],[vx]]+Tabelle2[[#This Row],[vy]]*Tabelle2[[#This Row],[vy]])</f>
        <v>69.245701960699435</v>
      </c>
      <c r="S552">
        <f t="shared" si="97"/>
        <v>574.65995245952422</v>
      </c>
      <c r="T552" s="1">
        <f t="shared" si="98"/>
        <v>95.218725644290345</v>
      </c>
    </row>
    <row r="553" spans="6:20" x14ac:dyDescent="0.35">
      <c r="F553" s="1">
        <f t="shared" si="94"/>
        <v>10.999999999999854</v>
      </c>
      <c r="G553">
        <f>1/2*$B$8*$B$6*$B$7*(Tabelle2[[#This Row],[vx]]*Tabelle2[[#This Row],[vx]]+Tabelle2[[#This Row],[vy]]*Tabelle2[[#This Row],[vy]])/1000000</f>
        <v>8.5134470793096995</v>
      </c>
      <c r="H553">
        <f>IF($B$3,-Tabelle2[[#This Row],[Fd]]*Tabelle2[[#This Row],[vx]]/Tabelle2[[#This Row],[v]],0)</f>
        <v>0</v>
      </c>
      <c r="I553">
        <f t="shared" si="88"/>
        <v>0</v>
      </c>
      <c r="J553">
        <f t="shared" si="89"/>
        <v>0</v>
      </c>
      <c r="K553">
        <f t="shared" si="90"/>
        <v>1.0467394398169905</v>
      </c>
      <c r="L553">
        <f>-$B$5*$B$12-IF($B$3,Tabelle2[[#This Row],[Fd]]*Tabelle2[[#This Row],[vy]]/Tabelle2[[#This Row],[v]],0)</f>
        <v>-14.715</v>
      </c>
      <c r="M553">
        <f t="shared" si="91"/>
        <v>-9.81</v>
      </c>
      <c r="N553">
        <f t="shared" si="92"/>
        <v>-0.19620000000000001</v>
      </c>
      <c r="O553">
        <f t="shared" si="93"/>
        <v>-0.91270651208804188</v>
      </c>
      <c r="P553" s="1">
        <f t="shared" si="95"/>
        <v>52.336971990849527</v>
      </c>
      <c r="Q553" s="1">
        <f t="shared" si="96"/>
        <v>-45.537225604402089</v>
      </c>
      <c r="R553">
        <f>SQRT(Tabelle2[[#This Row],[vx]]*Tabelle2[[#This Row],[vx]]+Tabelle2[[#This Row],[vy]]*Tabelle2[[#This Row],[vy]])</f>
        <v>69.374329206970941</v>
      </c>
      <c r="S553">
        <f t="shared" si="97"/>
        <v>575.70669189934119</v>
      </c>
      <c r="T553" s="1">
        <f t="shared" si="98"/>
        <v>94.309943132202307</v>
      </c>
    </row>
    <row r="554" spans="6:20" x14ac:dyDescent="0.35">
      <c r="F554" s="1">
        <f t="shared" si="94"/>
        <v>11.019999999999854</v>
      </c>
      <c r="G554">
        <f>1/2*$B$8*$B$6*$B$7*(Tabelle2[[#This Row],[vx]]*Tabelle2[[#This Row],[vx]]+Tabelle2[[#This Row],[vy]]*Tabelle2[[#This Row],[vy]])/1000000</f>
        <v>8.5451236383695335</v>
      </c>
      <c r="H554">
        <f>IF($B$3,-Tabelle2[[#This Row],[Fd]]*Tabelle2[[#This Row],[vx]]/Tabelle2[[#This Row],[v]],0)</f>
        <v>0</v>
      </c>
      <c r="I554">
        <f t="shared" si="88"/>
        <v>0</v>
      </c>
      <c r="J554">
        <f t="shared" si="89"/>
        <v>0</v>
      </c>
      <c r="K554">
        <f t="shared" si="90"/>
        <v>1.0467394398169905</v>
      </c>
      <c r="L554">
        <f>-$B$5*$B$12-IF($B$3,Tabelle2[[#This Row],[Fd]]*Tabelle2[[#This Row],[vy]]/Tabelle2[[#This Row],[v]],0)</f>
        <v>-14.715</v>
      </c>
      <c r="M554">
        <f t="shared" si="91"/>
        <v>-9.81</v>
      </c>
      <c r="N554">
        <f t="shared" si="92"/>
        <v>-0.19620000000000001</v>
      </c>
      <c r="O554">
        <f t="shared" si="93"/>
        <v>-0.9166305120880418</v>
      </c>
      <c r="P554" s="1">
        <f t="shared" si="95"/>
        <v>52.336971990849527</v>
      </c>
      <c r="Q554" s="1">
        <f t="shared" si="96"/>
        <v>-45.733425604402086</v>
      </c>
      <c r="R554">
        <f>SQRT(Tabelle2[[#This Row],[vx]]*Tabelle2[[#This Row],[vx]]+Tabelle2[[#This Row],[vy]]*Tabelle2[[#This Row],[vy]])</f>
        <v>69.503272258824964</v>
      </c>
      <c r="S554">
        <f t="shared" si="97"/>
        <v>576.75343133915817</v>
      </c>
      <c r="T554" s="1">
        <f t="shared" si="98"/>
        <v>93.397236620114271</v>
      </c>
    </row>
    <row r="555" spans="6:20" x14ac:dyDescent="0.35">
      <c r="F555" s="1">
        <f t="shared" si="94"/>
        <v>11.039999999999853</v>
      </c>
      <c r="G555">
        <f>1/2*$B$8*$B$6*$B$7*(Tabelle2[[#This Row],[vx]]*Tabelle2[[#This Row],[vx]]+Tabelle2[[#This Row],[vy]]*Tabelle2[[#This Row],[vy]])/1000000</f>
        <v>8.5769363844907112</v>
      </c>
      <c r="H555">
        <f>IF($B$3,-Tabelle2[[#This Row],[Fd]]*Tabelle2[[#This Row],[vx]]/Tabelle2[[#This Row],[v]],0)</f>
        <v>0</v>
      </c>
      <c r="I555">
        <f t="shared" si="88"/>
        <v>0</v>
      </c>
      <c r="J555">
        <f t="shared" si="89"/>
        <v>0</v>
      </c>
      <c r="K555">
        <f t="shared" si="90"/>
        <v>1.0467394398169905</v>
      </c>
      <c r="L555">
        <f>-$B$5*$B$12-IF($B$3,Tabelle2[[#This Row],[Fd]]*Tabelle2[[#This Row],[vy]]/Tabelle2[[#This Row],[v]],0)</f>
        <v>-14.715</v>
      </c>
      <c r="M555">
        <f t="shared" si="91"/>
        <v>-9.81</v>
      </c>
      <c r="N555">
        <f t="shared" si="92"/>
        <v>-0.19620000000000001</v>
      </c>
      <c r="O555">
        <f t="shared" si="93"/>
        <v>-0.92055451208804173</v>
      </c>
      <c r="P555" s="1">
        <f t="shared" si="95"/>
        <v>52.336971990849527</v>
      </c>
      <c r="Q555" s="1">
        <f t="shared" si="96"/>
        <v>-45.929625604402084</v>
      </c>
      <c r="R555">
        <f>SQRT(Tabelle2[[#This Row],[vx]]*Tabelle2[[#This Row],[vx]]+Tabelle2[[#This Row],[vy]]*Tabelle2[[#This Row],[vy]])</f>
        <v>69.632529361868762</v>
      </c>
      <c r="S555">
        <f t="shared" si="97"/>
        <v>577.80017077897514</v>
      </c>
      <c r="T555" s="1">
        <f t="shared" si="98"/>
        <v>92.480606108026223</v>
      </c>
    </row>
    <row r="556" spans="6:20" x14ac:dyDescent="0.35">
      <c r="F556" s="1">
        <f t="shared" si="94"/>
        <v>11.059999999999853</v>
      </c>
      <c r="G556">
        <f>1/2*$B$8*$B$6*$B$7*(Tabelle2[[#This Row],[vx]]*Tabelle2[[#This Row],[vx]]+Tabelle2[[#This Row],[vy]]*Tabelle2[[#This Row],[vy]])/1000000</f>
        <v>8.6088853176732361</v>
      </c>
      <c r="H556">
        <f>IF($B$3,-Tabelle2[[#This Row],[Fd]]*Tabelle2[[#This Row],[vx]]/Tabelle2[[#This Row],[v]],0)</f>
        <v>0</v>
      </c>
      <c r="I556">
        <f t="shared" si="88"/>
        <v>0</v>
      </c>
      <c r="J556">
        <f t="shared" si="89"/>
        <v>0</v>
      </c>
      <c r="K556">
        <f t="shared" si="90"/>
        <v>1.0467394398169905</v>
      </c>
      <c r="L556">
        <f>-$B$5*$B$12-IF($B$3,Tabelle2[[#This Row],[Fd]]*Tabelle2[[#This Row],[vy]]/Tabelle2[[#This Row],[v]],0)</f>
        <v>-14.715</v>
      </c>
      <c r="M556">
        <f t="shared" si="91"/>
        <v>-9.81</v>
      </c>
      <c r="N556">
        <f t="shared" si="92"/>
        <v>-0.19620000000000001</v>
      </c>
      <c r="O556">
        <f t="shared" si="93"/>
        <v>-0.92447851208804166</v>
      </c>
      <c r="P556" s="1">
        <f t="shared" si="95"/>
        <v>52.336971990849527</v>
      </c>
      <c r="Q556" s="1">
        <f t="shared" si="96"/>
        <v>-46.125825604402081</v>
      </c>
      <c r="R556">
        <f>SQRT(Tabelle2[[#This Row],[vx]]*Tabelle2[[#This Row],[vx]]+Tabelle2[[#This Row],[vy]]*Tabelle2[[#This Row],[vy]])</f>
        <v>69.762098770454742</v>
      </c>
      <c r="S556">
        <f t="shared" si="97"/>
        <v>578.84691021879212</v>
      </c>
      <c r="T556" s="1">
        <f t="shared" si="98"/>
        <v>91.560051595938177</v>
      </c>
    </row>
    <row r="557" spans="6:20" x14ac:dyDescent="0.35">
      <c r="F557" s="1">
        <f t="shared" si="94"/>
        <v>11.079999999999853</v>
      </c>
      <c r="G557">
        <f>1/2*$B$8*$B$6*$B$7*(Tabelle2[[#This Row],[vx]]*Tabelle2[[#This Row],[vx]]+Tabelle2[[#This Row],[vy]]*Tabelle2[[#This Row],[vy]])/1000000</f>
        <v>8.6409704379171028</v>
      </c>
      <c r="H557">
        <f>IF($B$3,-Tabelle2[[#This Row],[Fd]]*Tabelle2[[#This Row],[vx]]/Tabelle2[[#This Row],[v]],0)</f>
        <v>0</v>
      </c>
      <c r="I557">
        <f t="shared" si="88"/>
        <v>0</v>
      </c>
      <c r="J557">
        <f t="shared" si="89"/>
        <v>0</v>
      </c>
      <c r="K557">
        <f t="shared" si="90"/>
        <v>1.0467394398169905</v>
      </c>
      <c r="L557">
        <f>-$B$5*$B$12-IF($B$3,Tabelle2[[#This Row],[Fd]]*Tabelle2[[#This Row],[vy]]/Tabelle2[[#This Row],[v]],0)</f>
        <v>-14.715</v>
      </c>
      <c r="M557">
        <f t="shared" si="91"/>
        <v>-9.81</v>
      </c>
      <c r="N557">
        <f t="shared" si="92"/>
        <v>-0.19620000000000001</v>
      </c>
      <c r="O557">
        <f t="shared" si="93"/>
        <v>-0.92840251208804159</v>
      </c>
      <c r="P557" s="1">
        <f t="shared" si="95"/>
        <v>52.336971990849527</v>
      </c>
      <c r="Q557" s="1">
        <f t="shared" si="96"/>
        <v>-46.322025604402079</v>
      </c>
      <c r="R557">
        <f>SQRT(Tabelle2[[#This Row],[vx]]*Tabelle2[[#This Row],[vx]]+Tabelle2[[#This Row],[vy]]*Tabelle2[[#This Row],[vy]])</f>
        <v>69.891978747677825</v>
      </c>
      <c r="S557">
        <f t="shared" si="97"/>
        <v>579.89364965860909</v>
      </c>
      <c r="T557" s="1">
        <f t="shared" si="98"/>
        <v>90.635573083850133</v>
      </c>
    </row>
    <row r="558" spans="6:20" x14ac:dyDescent="0.35">
      <c r="F558" s="1">
        <f t="shared" si="94"/>
        <v>11.099999999999852</v>
      </c>
      <c r="G558">
        <f>1/2*$B$8*$B$6*$B$7*(Tabelle2[[#This Row],[vx]]*Tabelle2[[#This Row],[vx]]+Tabelle2[[#This Row],[vy]]*Tabelle2[[#This Row],[vy]])/1000000</f>
        <v>8.6731917452223115</v>
      </c>
      <c r="H558">
        <f>IF($B$3,-Tabelle2[[#This Row],[Fd]]*Tabelle2[[#This Row],[vx]]/Tabelle2[[#This Row],[v]],0)</f>
        <v>0</v>
      </c>
      <c r="I558">
        <f t="shared" si="88"/>
        <v>0</v>
      </c>
      <c r="J558">
        <f t="shared" si="89"/>
        <v>0</v>
      </c>
      <c r="K558">
        <f t="shared" si="90"/>
        <v>1.0467394398169905</v>
      </c>
      <c r="L558">
        <f>-$B$5*$B$12-IF($B$3,Tabelle2[[#This Row],[Fd]]*Tabelle2[[#This Row],[vy]]/Tabelle2[[#This Row],[v]],0)</f>
        <v>-14.715</v>
      </c>
      <c r="M558">
        <f t="shared" si="91"/>
        <v>-9.81</v>
      </c>
      <c r="N558">
        <f t="shared" si="92"/>
        <v>-0.19620000000000001</v>
      </c>
      <c r="O558">
        <f t="shared" si="93"/>
        <v>-0.93232651208804163</v>
      </c>
      <c r="P558" s="1">
        <f t="shared" si="95"/>
        <v>52.336971990849527</v>
      </c>
      <c r="Q558" s="1">
        <f t="shared" si="96"/>
        <v>-46.518225604402076</v>
      </c>
      <c r="R558">
        <f>SQRT(Tabelle2[[#This Row],[vx]]*Tabelle2[[#This Row],[vx]]+Tabelle2[[#This Row],[vy]]*Tabelle2[[#This Row],[vy]])</f>
        <v>70.022167565371873</v>
      </c>
      <c r="S558">
        <f t="shared" si="97"/>
        <v>580.94038909842607</v>
      </c>
      <c r="T558" s="1">
        <f t="shared" si="98"/>
        <v>89.707170571762092</v>
      </c>
    </row>
    <row r="559" spans="6:20" x14ac:dyDescent="0.35">
      <c r="F559" s="1">
        <f t="shared" si="94"/>
        <v>11.119999999999852</v>
      </c>
      <c r="G559">
        <f>1/2*$B$8*$B$6*$B$7*(Tabelle2[[#This Row],[vx]]*Tabelle2[[#This Row],[vx]]+Tabelle2[[#This Row],[vy]]*Tabelle2[[#This Row],[vy]])/1000000</f>
        <v>8.7055492395888656</v>
      </c>
      <c r="H559">
        <f>IF($B$3,-Tabelle2[[#This Row],[Fd]]*Tabelle2[[#This Row],[vx]]/Tabelle2[[#This Row],[v]],0)</f>
        <v>0</v>
      </c>
      <c r="I559">
        <f t="shared" si="88"/>
        <v>0</v>
      </c>
      <c r="J559">
        <f t="shared" si="89"/>
        <v>0</v>
      </c>
      <c r="K559">
        <f t="shared" si="90"/>
        <v>1.0467394398169905</v>
      </c>
      <c r="L559">
        <f>-$B$5*$B$12-IF($B$3,Tabelle2[[#This Row],[Fd]]*Tabelle2[[#This Row],[vy]]/Tabelle2[[#This Row],[v]],0)</f>
        <v>-14.715</v>
      </c>
      <c r="M559">
        <f t="shared" si="91"/>
        <v>-9.81</v>
      </c>
      <c r="N559">
        <f t="shared" si="92"/>
        <v>-0.19620000000000001</v>
      </c>
      <c r="O559">
        <f t="shared" si="93"/>
        <v>-0.93625051208804155</v>
      </c>
      <c r="P559" s="1">
        <f t="shared" si="95"/>
        <v>52.336971990849527</v>
      </c>
      <c r="Q559" s="1">
        <f t="shared" si="96"/>
        <v>-46.714425604402074</v>
      </c>
      <c r="R559">
        <f>SQRT(Tabelle2[[#This Row],[vx]]*Tabelle2[[#This Row],[vx]]+Tabelle2[[#This Row],[vy]]*Tabelle2[[#This Row],[vy]])</f>
        <v>70.152663504104993</v>
      </c>
      <c r="S559">
        <f t="shared" si="97"/>
        <v>581.98712853824304</v>
      </c>
      <c r="T559" s="1">
        <f t="shared" si="98"/>
        <v>88.774844059674052</v>
      </c>
    </row>
    <row r="560" spans="6:20" x14ac:dyDescent="0.35">
      <c r="F560" s="1">
        <f t="shared" si="94"/>
        <v>11.139999999999851</v>
      </c>
      <c r="G560">
        <f>1/2*$B$8*$B$6*$B$7*(Tabelle2[[#This Row],[vx]]*Tabelle2[[#This Row],[vx]]+Tabelle2[[#This Row],[vy]]*Tabelle2[[#This Row],[vy]])/1000000</f>
        <v>8.7380429210167634</v>
      </c>
      <c r="H560">
        <f>IF($B$3,-Tabelle2[[#This Row],[Fd]]*Tabelle2[[#This Row],[vx]]/Tabelle2[[#This Row],[v]],0)</f>
        <v>0</v>
      </c>
      <c r="I560">
        <f t="shared" si="88"/>
        <v>0</v>
      </c>
      <c r="J560">
        <f t="shared" si="89"/>
        <v>0</v>
      </c>
      <c r="K560">
        <f t="shared" si="90"/>
        <v>1.0467394398169905</v>
      </c>
      <c r="L560">
        <f>-$B$5*$B$12-IF($B$3,Tabelle2[[#This Row],[Fd]]*Tabelle2[[#This Row],[vy]]/Tabelle2[[#This Row],[v]],0)</f>
        <v>-14.715</v>
      </c>
      <c r="M560">
        <f t="shared" si="91"/>
        <v>-9.81</v>
      </c>
      <c r="N560">
        <f t="shared" si="92"/>
        <v>-0.19620000000000001</v>
      </c>
      <c r="O560">
        <f t="shared" si="93"/>
        <v>-0.94017451208804148</v>
      </c>
      <c r="P560" s="1">
        <f t="shared" si="95"/>
        <v>52.336971990849527</v>
      </c>
      <c r="Q560" s="1">
        <f t="shared" si="96"/>
        <v>-46.910625604402071</v>
      </c>
      <c r="R560">
        <f>SQRT(Tabelle2[[#This Row],[vx]]*Tabelle2[[#This Row],[vx]]+Tabelle2[[#This Row],[vy]]*Tabelle2[[#This Row],[vy]])</f>
        <v>70.283464853174053</v>
      </c>
      <c r="S560">
        <f t="shared" si="97"/>
        <v>583.03386797806002</v>
      </c>
      <c r="T560" s="1">
        <f t="shared" si="98"/>
        <v>87.838593547586015</v>
      </c>
    </row>
    <row r="561" spans="6:20" x14ac:dyDescent="0.35">
      <c r="F561" s="1">
        <f t="shared" si="94"/>
        <v>11.159999999999851</v>
      </c>
      <c r="G561">
        <f>1/2*$B$8*$B$6*$B$7*(Tabelle2[[#This Row],[vx]]*Tabelle2[[#This Row],[vx]]+Tabelle2[[#This Row],[vy]]*Tabelle2[[#This Row],[vy]])/1000000</f>
        <v>8.7706727895060066</v>
      </c>
      <c r="H561">
        <f>IF($B$3,-Tabelle2[[#This Row],[Fd]]*Tabelle2[[#This Row],[vx]]/Tabelle2[[#This Row],[v]],0)</f>
        <v>0</v>
      </c>
      <c r="I561">
        <f t="shared" si="88"/>
        <v>0</v>
      </c>
      <c r="J561">
        <f t="shared" si="89"/>
        <v>0</v>
      </c>
      <c r="K561">
        <f t="shared" si="90"/>
        <v>1.0467394398169905</v>
      </c>
      <c r="L561">
        <f>-$B$5*$B$12-IF($B$3,Tabelle2[[#This Row],[Fd]]*Tabelle2[[#This Row],[vy]]/Tabelle2[[#This Row],[v]],0)</f>
        <v>-14.715</v>
      </c>
      <c r="M561">
        <f t="shared" si="91"/>
        <v>-9.81</v>
      </c>
      <c r="N561">
        <f t="shared" si="92"/>
        <v>-0.19620000000000001</v>
      </c>
      <c r="O561">
        <f t="shared" si="93"/>
        <v>-0.94409851208804141</v>
      </c>
      <c r="P561" s="1">
        <f t="shared" si="95"/>
        <v>52.336971990849527</v>
      </c>
      <c r="Q561" s="1">
        <f t="shared" si="96"/>
        <v>-47.106825604402069</v>
      </c>
      <c r="R561">
        <f>SQRT(Tabelle2[[#This Row],[vx]]*Tabelle2[[#This Row],[vx]]+Tabelle2[[#This Row],[vy]]*Tabelle2[[#This Row],[vy]])</f>
        <v>70.414569910598175</v>
      </c>
      <c r="S561">
        <f t="shared" si="97"/>
        <v>584.08060741787699</v>
      </c>
      <c r="T561" s="1">
        <f t="shared" si="98"/>
        <v>86.89841903549798</v>
      </c>
    </row>
    <row r="562" spans="6:20" x14ac:dyDescent="0.35">
      <c r="F562" s="1">
        <f t="shared" si="94"/>
        <v>11.179999999999851</v>
      </c>
      <c r="G562">
        <f>1/2*$B$8*$B$6*$B$7*(Tabelle2[[#This Row],[vx]]*Tabelle2[[#This Row],[vx]]+Tabelle2[[#This Row],[vy]]*Tabelle2[[#This Row],[vy]])/1000000</f>
        <v>8.8034388450565917</v>
      </c>
      <c r="H562">
        <f>IF($B$3,-Tabelle2[[#This Row],[Fd]]*Tabelle2[[#This Row],[vx]]/Tabelle2[[#This Row],[v]],0)</f>
        <v>0</v>
      </c>
      <c r="I562">
        <f t="shared" si="88"/>
        <v>0</v>
      </c>
      <c r="J562">
        <f t="shared" si="89"/>
        <v>0</v>
      </c>
      <c r="K562">
        <f t="shared" si="90"/>
        <v>1.0467394398169905</v>
      </c>
      <c r="L562">
        <f>-$B$5*$B$12-IF($B$3,Tabelle2[[#This Row],[Fd]]*Tabelle2[[#This Row],[vy]]/Tabelle2[[#This Row],[v]],0)</f>
        <v>-14.715</v>
      </c>
      <c r="M562">
        <f t="shared" si="91"/>
        <v>-9.81</v>
      </c>
      <c r="N562">
        <f t="shared" si="92"/>
        <v>-0.19620000000000001</v>
      </c>
      <c r="O562">
        <f t="shared" si="93"/>
        <v>-0.94802251208804134</v>
      </c>
      <c r="P562" s="1">
        <f t="shared" si="95"/>
        <v>52.336971990849527</v>
      </c>
      <c r="Q562" s="1">
        <f t="shared" si="96"/>
        <v>-47.303025604402066</v>
      </c>
      <c r="R562">
        <f>SQRT(Tabelle2[[#This Row],[vx]]*Tabelle2[[#This Row],[vx]]+Tabelle2[[#This Row],[vy]]*Tabelle2[[#This Row],[vy]])</f>
        <v>70.545976983111416</v>
      </c>
      <c r="S562">
        <f t="shared" si="97"/>
        <v>585.12734685769396</v>
      </c>
      <c r="T562" s="1">
        <f t="shared" si="98"/>
        <v>85.954320523409933</v>
      </c>
    </row>
    <row r="563" spans="6:20" x14ac:dyDescent="0.35">
      <c r="F563" s="1">
        <f t="shared" si="94"/>
        <v>11.19999999999985</v>
      </c>
      <c r="G563">
        <f>1/2*$B$8*$B$6*$B$7*(Tabelle2[[#This Row],[vx]]*Tabelle2[[#This Row],[vx]]+Tabelle2[[#This Row],[vy]]*Tabelle2[[#This Row],[vy]])/1000000</f>
        <v>8.8363410876685204</v>
      </c>
      <c r="H563">
        <f>IF($B$3,-Tabelle2[[#This Row],[Fd]]*Tabelle2[[#This Row],[vx]]/Tabelle2[[#This Row],[v]],0)</f>
        <v>0</v>
      </c>
      <c r="I563">
        <f t="shared" si="88"/>
        <v>0</v>
      </c>
      <c r="J563">
        <f t="shared" si="89"/>
        <v>0</v>
      </c>
      <c r="K563">
        <f t="shared" si="90"/>
        <v>1.0467394398169905</v>
      </c>
      <c r="L563">
        <f>-$B$5*$B$12-IF($B$3,Tabelle2[[#This Row],[Fd]]*Tabelle2[[#This Row],[vy]]/Tabelle2[[#This Row],[v]],0)</f>
        <v>-14.715</v>
      </c>
      <c r="M563">
        <f t="shared" si="91"/>
        <v>-9.81</v>
      </c>
      <c r="N563">
        <f t="shared" si="92"/>
        <v>-0.19620000000000001</v>
      </c>
      <c r="O563">
        <f t="shared" si="93"/>
        <v>-0.95194651208804137</v>
      </c>
      <c r="P563" s="1">
        <f t="shared" si="95"/>
        <v>52.336971990849527</v>
      </c>
      <c r="Q563" s="1">
        <f t="shared" si="96"/>
        <v>-47.499225604402064</v>
      </c>
      <c r="R563">
        <f>SQRT(Tabelle2[[#This Row],[vx]]*Tabelle2[[#This Row],[vx]]+Tabelle2[[#This Row],[vy]]*Tabelle2[[#This Row],[vy]])</f>
        <v>70.677684386154397</v>
      </c>
      <c r="S563">
        <f t="shared" si="97"/>
        <v>586.17408629751094</v>
      </c>
      <c r="T563" s="1">
        <f t="shared" si="98"/>
        <v>85.006298011321888</v>
      </c>
    </row>
    <row r="564" spans="6:20" x14ac:dyDescent="0.35">
      <c r="F564" s="1">
        <f t="shared" si="94"/>
        <v>11.21999999999985</v>
      </c>
      <c r="G564">
        <f>1/2*$B$8*$B$6*$B$7*(Tabelle2[[#This Row],[vx]]*Tabelle2[[#This Row],[vx]]+Tabelle2[[#This Row],[vy]]*Tabelle2[[#This Row],[vy]])/1000000</f>
        <v>8.8693795173417946</v>
      </c>
      <c r="H564">
        <f>IF($B$3,-Tabelle2[[#This Row],[Fd]]*Tabelle2[[#This Row],[vx]]/Tabelle2[[#This Row],[v]],0)</f>
        <v>0</v>
      </c>
      <c r="I564">
        <f t="shared" si="88"/>
        <v>0</v>
      </c>
      <c r="J564">
        <f t="shared" si="89"/>
        <v>0</v>
      </c>
      <c r="K564">
        <f t="shared" si="90"/>
        <v>1.0467394398169905</v>
      </c>
      <c r="L564">
        <f>-$B$5*$B$12-IF($B$3,Tabelle2[[#This Row],[Fd]]*Tabelle2[[#This Row],[vy]]/Tabelle2[[#This Row],[v]],0)</f>
        <v>-14.715</v>
      </c>
      <c r="M564">
        <f t="shared" si="91"/>
        <v>-9.81</v>
      </c>
      <c r="N564">
        <f t="shared" si="92"/>
        <v>-0.19620000000000001</v>
      </c>
      <c r="O564">
        <f t="shared" si="93"/>
        <v>-0.9558705120880413</v>
      </c>
      <c r="P564" s="1">
        <f t="shared" si="95"/>
        <v>52.336971990849527</v>
      </c>
      <c r="Q564" s="1">
        <f t="shared" si="96"/>
        <v>-47.695425604402061</v>
      </c>
      <c r="R564">
        <f>SQRT(Tabelle2[[#This Row],[vx]]*Tabelle2[[#This Row],[vx]]+Tabelle2[[#This Row],[vy]]*Tabelle2[[#This Row],[vy]])</f>
        <v>70.809690443865236</v>
      </c>
      <c r="S564">
        <f t="shared" si="97"/>
        <v>587.22082573732791</v>
      </c>
      <c r="T564" s="1">
        <f t="shared" si="98"/>
        <v>84.054351499233846</v>
      </c>
    </row>
    <row r="565" spans="6:20" x14ac:dyDescent="0.35">
      <c r="F565" s="1">
        <f t="shared" si="94"/>
        <v>11.239999999999849</v>
      </c>
      <c r="G565">
        <f>1/2*$B$8*$B$6*$B$7*(Tabelle2[[#This Row],[vx]]*Tabelle2[[#This Row],[vx]]+Tabelle2[[#This Row],[vy]]*Tabelle2[[#This Row],[vy]])/1000000</f>
        <v>8.9025541340764125</v>
      </c>
      <c r="H565">
        <f>IF($B$3,-Tabelle2[[#This Row],[Fd]]*Tabelle2[[#This Row],[vx]]/Tabelle2[[#This Row],[v]],0)</f>
        <v>0</v>
      </c>
      <c r="I565">
        <f t="shared" si="88"/>
        <v>0</v>
      </c>
      <c r="J565">
        <f t="shared" si="89"/>
        <v>0</v>
      </c>
      <c r="K565">
        <f t="shared" si="90"/>
        <v>1.0467394398169905</v>
      </c>
      <c r="L565">
        <f>-$B$5*$B$12-IF($B$3,Tabelle2[[#This Row],[Fd]]*Tabelle2[[#This Row],[vy]]/Tabelle2[[#This Row],[v]],0)</f>
        <v>-14.715</v>
      </c>
      <c r="M565">
        <f t="shared" si="91"/>
        <v>-9.81</v>
      </c>
      <c r="N565">
        <f t="shared" si="92"/>
        <v>-0.19620000000000001</v>
      </c>
      <c r="O565">
        <f t="shared" si="93"/>
        <v>-0.95979451208804123</v>
      </c>
      <c r="P565" s="1">
        <f t="shared" si="95"/>
        <v>52.336971990849527</v>
      </c>
      <c r="Q565" s="1">
        <f t="shared" si="96"/>
        <v>-47.891625604402059</v>
      </c>
      <c r="R565">
        <f>SQRT(Tabelle2[[#This Row],[vx]]*Tabelle2[[#This Row],[vx]]+Tabelle2[[#This Row],[vy]]*Tabelle2[[#This Row],[vy]])</f>
        <v>70.941993489069546</v>
      </c>
      <c r="S565">
        <f t="shared" si="97"/>
        <v>588.26756517714489</v>
      </c>
      <c r="T565" s="1">
        <f t="shared" si="98"/>
        <v>83.098480987145805</v>
      </c>
    </row>
    <row r="566" spans="6:20" x14ac:dyDescent="0.35">
      <c r="F566" s="1">
        <f t="shared" si="94"/>
        <v>11.259999999999849</v>
      </c>
      <c r="G566">
        <f>1/2*$B$8*$B$6*$B$7*(Tabelle2[[#This Row],[vx]]*Tabelle2[[#This Row],[vx]]+Tabelle2[[#This Row],[vy]]*Tabelle2[[#This Row],[vy]])/1000000</f>
        <v>8.9358649378723758</v>
      </c>
      <c r="H566">
        <f>IF($B$3,-Tabelle2[[#This Row],[Fd]]*Tabelle2[[#This Row],[vx]]/Tabelle2[[#This Row],[v]],0)</f>
        <v>0</v>
      </c>
      <c r="I566">
        <f t="shared" si="88"/>
        <v>0</v>
      </c>
      <c r="J566">
        <f t="shared" si="89"/>
        <v>0</v>
      </c>
      <c r="K566">
        <f t="shared" si="90"/>
        <v>1.0467394398169905</v>
      </c>
      <c r="L566">
        <f>-$B$5*$B$12-IF($B$3,Tabelle2[[#This Row],[Fd]]*Tabelle2[[#This Row],[vy]]/Tabelle2[[#This Row],[v]],0)</f>
        <v>-14.715</v>
      </c>
      <c r="M566">
        <f t="shared" si="91"/>
        <v>-9.81</v>
      </c>
      <c r="N566">
        <f t="shared" si="92"/>
        <v>-0.19620000000000001</v>
      </c>
      <c r="O566">
        <f t="shared" si="93"/>
        <v>-0.96371851208804116</v>
      </c>
      <c r="P566" s="1">
        <f t="shared" si="95"/>
        <v>52.336971990849527</v>
      </c>
      <c r="Q566" s="1">
        <f t="shared" si="96"/>
        <v>-48.087825604402056</v>
      </c>
      <c r="R566">
        <f>SQRT(Tabelle2[[#This Row],[vx]]*Tabelle2[[#This Row],[vx]]+Tabelle2[[#This Row],[vy]]*Tabelle2[[#This Row],[vy]])</f>
        <v>71.074591863269632</v>
      </c>
      <c r="S566">
        <f t="shared" si="97"/>
        <v>589.31430461696186</v>
      </c>
      <c r="T566" s="1">
        <f t="shared" si="98"/>
        <v>82.138686475057767</v>
      </c>
    </row>
    <row r="567" spans="6:20" x14ac:dyDescent="0.35">
      <c r="F567" s="1">
        <f t="shared" si="94"/>
        <v>11.279999999999848</v>
      </c>
      <c r="G567">
        <f>1/2*$B$8*$B$6*$B$7*(Tabelle2[[#This Row],[vx]]*Tabelle2[[#This Row],[vx]]+Tabelle2[[#This Row],[vy]]*Tabelle2[[#This Row],[vy]])/1000000</f>
        <v>8.969311928729681</v>
      </c>
      <c r="H567">
        <f>IF($B$3,-Tabelle2[[#This Row],[Fd]]*Tabelle2[[#This Row],[vx]]/Tabelle2[[#This Row],[v]],0)</f>
        <v>0</v>
      </c>
      <c r="I567">
        <f t="shared" si="88"/>
        <v>0</v>
      </c>
      <c r="J567">
        <f t="shared" si="89"/>
        <v>0</v>
      </c>
      <c r="K567">
        <f t="shared" si="90"/>
        <v>1.0467394398169905</v>
      </c>
      <c r="L567">
        <f>-$B$5*$B$12-IF($B$3,Tabelle2[[#This Row],[Fd]]*Tabelle2[[#This Row],[vy]]/Tabelle2[[#This Row],[v]],0)</f>
        <v>-14.715</v>
      </c>
      <c r="M567">
        <f t="shared" si="91"/>
        <v>-9.81</v>
      </c>
      <c r="N567">
        <f t="shared" si="92"/>
        <v>-0.19620000000000001</v>
      </c>
      <c r="O567">
        <f t="shared" si="93"/>
        <v>-0.96764251208804108</v>
      </c>
      <c r="P567" s="1">
        <f t="shared" si="95"/>
        <v>52.336971990849527</v>
      </c>
      <c r="Q567" s="1">
        <f t="shared" si="96"/>
        <v>-48.284025604402053</v>
      </c>
      <c r="R567">
        <f>SQRT(Tabelle2[[#This Row],[vx]]*Tabelle2[[#This Row],[vx]]+Tabelle2[[#This Row],[vy]]*Tabelle2[[#This Row],[vy]])</f>
        <v>71.20748391663281</v>
      </c>
      <c r="S567">
        <f t="shared" si="97"/>
        <v>590.36104405677884</v>
      </c>
      <c r="T567" s="1">
        <f t="shared" si="98"/>
        <v>81.174967962969731</v>
      </c>
    </row>
    <row r="568" spans="6:20" x14ac:dyDescent="0.35">
      <c r="F568" s="1">
        <f t="shared" si="94"/>
        <v>11.299999999999848</v>
      </c>
      <c r="G568">
        <f>1/2*$B$8*$B$6*$B$7*(Tabelle2[[#This Row],[vx]]*Tabelle2[[#This Row],[vx]]+Tabelle2[[#This Row],[vy]]*Tabelle2[[#This Row],[vy]])/1000000</f>
        <v>9.0028951066483316</v>
      </c>
      <c r="H568">
        <f>IF($B$3,-Tabelle2[[#This Row],[Fd]]*Tabelle2[[#This Row],[vx]]/Tabelle2[[#This Row],[v]],0)</f>
        <v>0</v>
      </c>
      <c r="I568">
        <f t="shared" si="88"/>
        <v>0</v>
      </c>
      <c r="J568">
        <f t="shared" si="89"/>
        <v>0</v>
      </c>
      <c r="K568">
        <f t="shared" si="90"/>
        <v>1.0467394398169905</v>
      </c>
      <c r="L568">
        <f>-$B$5*$B$12-IF($B$3,Tabelle2[[#This Row],[Fd]]*Tabelle2[[#This Row],[vy]]/Tabelle2[[#This Row],[v]],0)</f>
        <v>-14.715</v>
      </c>
      <c r="M568">
        <f t="shared" si="91"/>
        <v>-9.81</v>
      </c>
      <c r="N568">
        <f t="shared" si="92"/>
        <v>-0.19620000000000001</v>
      </c>
      <c r="O568">
        <f t="shared" si="93"/>
        <v>-0.97156651208804112</v>
      </c>
      <c r="P568" s="1">
        <f t="shared" si="95"/>
        <v>52.336971990849527</v>
      </c>
      <c r="Q568" s="1">
        <f t="shared" si="96"/>
        <v>-48.480225604402051</v>
      </c>
      <c r="R568">
        <f>SQRT(Tabelle2[[#This Row],[vx]]*Tabelle2[[#This Row],[vx]]+Tabelle2[[#This Row],[vy]]*Tabelle2[[#This Row],[vy]])</f>
        <v>71.340668007979062</v>
      </c>
      <c r="S568">
        <f t="shared" si="97"/>
        <v>591.40778349659581</v>
      </c>
      <c r="T568" s="1">
        <f t="shared" si="98"/>
        <v>80.207325450881683</v>
      </c>
    </row>
    <row r="569" spans="6:20" x14ac:dyDescent="0.35">
      <c r="F569" s="1">
        <f t="shared" si="94"/>
        <v>11.319999999999848</v>
      </c>
      <c r="G569">
        <f>1/2*$B$8*$B$6*$B$7*(Tabelle2[[#This Row],[vx]]*Tabelle2[[#This Row],[vx]]+Tabelle2[[#This Row],[vy]]*Tabelle2[[#This Row],[vy]])/1000000</f>
        <v>9.0366144716283259</v>
      </c>
      <c r="H569">
        <f>IF($B$3,-Tabelle2[[#This Row],[Fd]]*Tabelle2[[#This Row],[vx]]/Tabelle2[[#This Row],[v]],0)</f>
        <v>0</v>
      </c>
      <c r="I569">
        <f t="shared" si="88"/>
        <v>0</v>
      </c>
      <c r="J569">
        <f t="shared" si="89"/>
        <v>0</v>
      </c>
      <c r="K569">
        <f t="shared" si="90"/>
        <v>1.0467394398169905</v>
      </c>
      <c r="L569">
        <f>-$B$5*$B$12-IF($B$3,Tabelle2[[#This Row],[Fd]]*Tabelle2[[#This Row],[vy]]/Tabelle2[[#This Row],[v]],0)</f>
        <v>-14.715</v>
      </c>
      <c r="M569">
        <f t="shared" si="91"/>
        <v>-9.81</v>
      </c>
      <c r="N569">
        <f t="shared" si="92"/>
        <v>-0.19620000000000001</v>
      </c>
      <c r="O569">
        <f t="shared" si="93"/>
        <v>-0.97549051208804105</v>
      </c>
      <c r="P569" s="1">
        <f t="shared" si="95"/>
        <v>52.336971990849527</v>
      </c>
      <c r="Q569" s="1">
        <f t="shared" si="96"/>
        <v>-48.676425604402048</v>
      </c>
      <c r="R569">
        <f>SQRT(Tabelle2[[#This Row],[vx]]*Tabelle2[[#This Row],[vx]]+Tabelle2[[#This Row],[vy]]*Tabelle2[[#This Row],[vy]])</f>
        <v>71.474142504767798</v>
      </c>
      <c r="S569">
        <f t="shared" si="97"/>
        <v>592.45452293641279</v>
      </c>
      <c r="T569" s="1">
        <f t="shared" si="98"/>
        <v>79.235758938793637</v>
      </c>
    </row>
    <row r="570" spans="6:20" x14ac:dyDescent="0.35">
      <c r="F570" s="1">
        <f t="shared" si="94"/>
        <v>11.339999999999847</v>
      </c>
      <c r="G570">
        <f>1/2*$B$8*$B$6*$B$7*(Tabelle2[[#This Row],[vx]]*Tabelle2[[#This Row],[vx]]+Tabelle2[[#This Row],[vy]]*Tabelle2[[#This Row],[vy]])/1000000</f>
        <v>9.0704700236696638</v>
      </c>
      <c r="H570">
        <f>IF($B$3,-Tabelle2[[#This Row],[Fd]]*Tabelle2[[#This Row],[vx]]/Tabelle2[[#This Row],[v]],0)</f>
        <v>0</v>
      </c>
      <c r="I570">
        <f t="shared" si="88"/>
        <v>0</v>
      </c>
      <c r="J570">
        <f t="shared" si="89"/>
        <v>0</v>
      </c>
      <c r="K570">
        <f t="shared" si="90"/>
        <v>1.0467394398169905</v>
      </c>
      <c r="L570">
        <f>-$B$5*$B$12-IF($B$3,Tabelle2[[#This Row],[Fd]]*Tabelle2[[#This Row],[vy]]/Tabelle2[[#This Row],[v]],0)</f>
        <v>-14.715</v>
      </c>
      <c r="M570">
        <f t="shared" si="91"/>
        <v>-9.81</v>
      </c>
      <c r="N570">
        <f t="shared" si="92"/>
        <v>-0.19620000000000001</v>
      </c>
      <c r="O570">
        <f t="shared" si="93"/>
        <v>-0.97941451208804098</v>
      </c>
      <c r="P570" s="1">
        <f t="shared" si="95"/>
        <v>52.336971990849527</v>
      </c>
      <c r="Q570" s="1">
        <f t="shared" si="96"/>
        <v>-48.872625604402046</v>
      </c>
      <c r="R570">
        <f>SQRT(Tabelle2[[#This Row],[vx]]*Tabelle2[[#This Row],[vx]]+Tabelle2[[#This Row],[vy]]*Tabelle2[[#This Row],[vy]])</f>
        <v>71.607905783083908</v>
      </c>
      <c r="S570">
        <f t="shared" si="97"/>
        <v>593.50126237622976</v>
      </c>
      <c r="T570" s="1">
        <f t="shared" si="98"/>
        <v>78.260268426705593</v>
      </c>
    </row>
    <row r="571" spans="6:20" x14ac:dyDescent="0.35">
      <c r="F571" s="1">
        <f t="shared" si="94"/>
        <v>11.359999999999847</v>
      </c>
      <c r="G571">
        <f>1/2*$B$8*$B$6*$B$7*(Tabelle2[[#This Row],[vx]]*Tabelle2[[#This Row],[vx]]+Tabelle2[[#This Row],[vy]]*Tabelle2[[#This Row],[vy]])/1000000</f>
        <v>9.1044617627723436</v>
      </c>
      <c r="H571">
        <f>IF($B$3,-Tabelle2[[#This Row],[Fd]]*Tabelle2[[#This Row],[vx]]/Tabelle2[[#This Row],[v]],0)</f>
        <v>0</v>
      </c>
      <c r="I571">
        <f t="shared" si="88"/>
        <v>0</v>
      </c>
      <c r="J571">
        <f t="shared" si="89"/>
        <v>0</v>
      </c>
      <c r="K571">
        <f t="shared" si="90"/>
        <v>1.0467394398169905</v>
      </c>
      <c r="L571">
        <f>-$B$5*$B$12-IF($B$3,Tabelle2[[#This Row],[Fd]]*Tabelle2[[#This Row],[vy]]/Tabelle2[[#This Row],[v]],0)</f>
        <v>-14.715</v>
      </c>
      <c r="M571">
        <f t="shared" si="91"/>
        <v>-9.81</v>
      </c>
      <c r="N571">
        <f t="shared" si="92"/>
        <v>-0.19620000000000001</v>
      </c>
      <c r="O571">
        <f t="shared" si="93"/>
        <v>-0.98333851208804091</v>
      </c>
      <c r="P571" s="1">
        <f t="shared" si="95"/>
        <v>52.336971990849527</v>
      </c>
      <c r="Q571" s="1">
        <f t="shared" si="96"/>
        <v>-49.068825604402043</v>
      </c>
      <c r="R571">
        <f>SQRT(Tabelle2[[#This Row],[vx]]*Tabelle2[[#This Row],[vx]]+Tabelle2[[#This Row],[vy]]*Tabelle2[[#This Row],[vy]])</f>
        <v>71.741956227623092</v>
      </c>
      <c r="S571">
        <f t="shared" si="97"/>
        <v>594.54800181604674</v>
      </c>
      <c r="T571" s="1">
        <f t="shared" si="98"/>
        <v>77.280853914617552</v>
      </c>
    </row>
    <row r="572" spans="6:20" x14ac:dyDescent="0.35">
      <c r="F572" s="1">
        <f t="shared" si="94"/>
        <v>11.379999999999846</v>
      </c>
      <c r="G572">
        <f>1/2*$B$8*$B$6*$B$7*(Tabelle2[[#This Row],[vx]]*Tabelle2[[#This Row],[vx]]+Tabelle2[[#This Row],[vy]]*Tabelle2[[#This Row],[vy]])/1000000</f>
        <v>9.1385896889363689</v>
      </c>
      <c r="H572">
        <f>IF($B$3,-Tabelle2[[#This Row],[Fd]]*Tabelle2[[#This Row],[vx]]/Tabelle2[[#This Row],[v]],0)</f>
        <v>0</v>
      </c>
      <c r="I572">
        <f t="shared" si="88"/>
        <v>0</v>
      </c>
      <c r="J572">
        <f t="shared" si="89"/>
        <v>0</v>
      </c>
      <c r="K572">
        <f t="shared" si="90"/>
        <v>1.0467394398169905</v>
      </c>
      <c r="L572">
        <f>-$B$5*$B$12-IF($B$3,Tabelle2[[#This Row],[Fd]]*Tabelle2[[#This Row],[vy]]/Tabelle2[[#This Row],[v]],0)</f>
        <v>-14.715</v>
      </c>
      <c r="M572">
        <f t="shared" si="91"/>
        <v>-9.81</v>
      </c>
      <c r="N572">
        <f t="shared" si="92"/>
        <v>-0.19620000000000001</v>
      </c>
      <c r="O572">
        <f t="shared" si="93"/>
        <v>-0.98726251208804083</v>
      </c>
      <c r="P572" s="1">
        <f t="shared" si="95"/>
        <v>52.336971990849527</v>
      </c>
      <c r="Q572" s="1">
        <f t="shared" si="96"/>
        <v>-49.265025604402041</v>
      </c>
      <c r="R572">
        <f>SQRT(Tabelle2[[#This Row],[vx]]*Tabelle2[[#This Row],[vx]]+Tabelle2[[#This Row],[vy]]*Tabelle2[[#This Row],[vy]])</f>
        <v>71.876292231676473</v>
      </c>
      <c r="S572">
        <f t="shared" si="97"/>
        <v>595.59474125586371</v>
      </c>
      <c r="T572" s="1">
        <f t="shared" si="98"/>
        <v>76.297515402529513</v>
      </c>
    </row>
    <row r="573" spans="6:20" x14ac:dyDescent="0.35">
      <c r="F573" s="1">
        <f t="shared" si="94"/>
        <v>11.399999999999846</v>
      </c>
      <c r="G573">
        <f>1/2*$B$8*$B$6*$B$7*(Tabelle2[[#This Row],[vx]]*Tabelle2[[#This Row],[vx]]+Tabelle2[[#This Row],[vy]]*Tabelle2[[#This Row],[vy]])/1000000</f>
        <v>9.1728538021617396</v>
      </c>
      <c r="H573">
        <f>IF($B$3,-Tabelle2[[#This Row],[Fd]]*Tabelle2[[#This Row],[vx]]/Tabelle2[[#This Row],[v]],0)</f>
        <v>0</v>
      </c>
      <c r="I573">
        <f t="shared" si="88"/>
        <v>0</v>
      </c>
      <c r="J573">
        <f t="shared" si="89"/>
        <v>0</v>
      </c>
      <c r="K573">
        <f t="shared" si="90"/>
        <v>1.0467394398169905</v>
      </c>
      <c r="L573">
        <f>-$B$5*$B$12-IF($B$3,Tabelle2[[#This Row],[Fd]]*Tabelle2[[#This Row],[vy]]/Tabelle2[[#This Row],[v]],0)</f>
        <v>-14.715</v>
      </c>
      <c r="M573">
        <f t="shared" si="91"/>
        <v>-9.81</v>
      </c>
      <c r="N573">
        <f t="shared" si="92"/>
        <v>-0.19620000000000001</v>
      </c>
      <c r="O573">
        <f t="shared" si="93"/>
        <v>-0.99118651208804087</v>
      </c>
      <c r="P573" s="1">
        <f t="shared" si="95"/>
        <v>52.336971990849527</v>
      </c>
      <c r="Q573" s="1">
        <f t="shared" si="96"/>
        <v>-49.461225604402038</v>
      </c>
      <c r="R573">
        <f>SQRT(Tabelle2[[#This Row],[vx]]*Tabelle2[[#This Row],[vx]]+Tabelle2[[#This Row],[vy]]*Tabelle2[[#This Row],[vy]])</f>
        <v>72.010912197114422</v>
      </c>
      <c r="S573">
        <f t="shared" si="97"/>
        <v>596.64148069568068</v>
      </c>
      <c r="T573" s="1">
        <f t="shared" si="98"/>
        <v>75.310252890441475</v>
      </c>
    </row>
    <row r="574" spans="6:20" x14ac:dyDescent="0.35">
      <c r="F574" s="1">
        <f t="shared" si="94"/>
        <v>11.419999999999845</v>
      </c>
      <c r="G574">
        <f>1/2*$B$8*$B$6*$B$7*(Tabelle2[[#This Row],[vx]]*Tabelle2[[#This Row],[vx]]+Tabelle2[[#This Row],[vy]]*Tabelle2[[#This Row],[vy]])/1000000</f>
        <v>9.207254102448454</v>
      </c>
      <c r="H574">
        <f>IF($B$3,-Tabelle2[[#This Row],[Fd]]*Tabelle2[[#This Row],[vx]]/Tabelle2[[#This Row],[v]],0)</f>
        <v>0</v>
      </c>
      <c r="I574">
        <f t="shared" si="88"/>
        <v>0</v>
      </c>
      <c r="J574">
        <f t="shared" si="89"/>
        <v>0</v>
      </c>
      <c r="K574">
        <f t="shared" si="90"/>
        <v>1.0467394398169905</v>
      </c>
      <c r="L574">
        <f>-$B$5*$B$12-IF($B$3,Tabelle2[[#This Row],[Fd]]*Tabelle2[[#This Row],[vy]]/Tabelle2[[#This Row],[v]],0)</f>
        <v>-14.715</v>
      </c>
      <c r="M574">
        <f t="shared" si="91"/>
        <v>-9.81</v>
      </c>
      <c r="N574">
        <f t="shared" si="92"/>
        <v>-0.19620000000000001</v>
      </c>
      <c r="O574">
        <f t="shared" si="93"/>
        <v>-0.9951105120880408</v>
      </c>
      <c r="P574" s="1">
        <f t="shared" si="95"/>
        <v>52.336971990849527</v>
      </c>
      <c r="Q574" s="1">
        <f t="shared" si="96"/>
        <v>-49.657425604402036</v>
      </c>
      <c r="R574">
        <f>SQRT(Tabelle2[[#This Row],[vx]]*Tabelle2[[#This Row],[vx]]+Tabelle2[[#This Row],[vy]]*Tabelle2[[#This Row],[vy]])</f>
        <v>72.145814534369833</v>
      </c>
      <c r="S574">
        <f t="shared" si="97"/>
        <v>597.68822013549766</v>
      </c>
      <c r="T574" s="1">
        <f t="shared" si="98"/>
        <v>74.31906637835344</v>
      </c>
    </row>
    <row r="575" spans="6:20" x14ac:dyDescent="0.35">
      <c r="F575" s="1">
        <f t="shared" si="94"/>
        <v>11.439999999999845</v>
      </c>
      <c r="G575">
        <f>1/2*$B$8*$B$6*$B$7*(Tabelle2[[#This Row],[vx]]*Tabelle2[[#This Row],[vx]]+Tabelle2[[#This Row],[vy]]*Tabelle2[[#This Row],[vy]])/1000000</f>
        <v>9.2417905897965138</v>
      </c>
      <c r="H575">
        <f>IF($B$3,-Tabelle2[[#This Row],[Fd]]*Tabelle2[[#This Row],[vx]]/Tabelle2[[#This Row],[v]],0)</f>
        <v>0</v>
      </c>
      <c r="I575">
        <f t="shared" si="88"/>
        <v>0</v>
      </c>
      <c r="J575">
        <f t="shared" si="89"/>
        <v>0</v>
      </c>
      <c r="K575">
        <f t="shared" si="90"/>
        <v>1.0467394398169905</v>
      </c>
      <c r="L575">
        <f>-$B$5*$B$12-IF($B$3,Tabelle2[[#This Row],[Fd]]*Tabelle2[[#This Row],[vy]]/Tabelle2[[#This Row],[v]],0)</f>
        <v>-14.715</v>
      </c>
      <c r="M575">
        <f t="shared" si="91"/>
        <v>-9.81</v>
      </c>
      <c r="N575">
        <f t="shared" si="92"/>
        <v>-0.19620000000000001</v>
      </c>
      <c r="O575">
        <f t="shared" si="93"/>
        <v>-0.99903451208804073</v>
      </c>
      <c r="P575" s="1">
        <f t="shared" si="95"/>
        <v>52.336971990849527</v>
      </c>
      <c r="Q575" s="1">
        <f t="shared" si="96"/>
        <v>-49.853625604402033</v>
      </c>
      <c r="R575">
        <f>SQRT(Tabelle2[[#This Row],[vx]]*Tabelle2[[#This Row],[vx]]+Tabelle2[[#This Row],[vy]]*Tabelle2[[#This Row],[vy]])</f>
        <v>72.280997662420646</v>
      </c>
      <c r="S575">
        <f t="shared" si="97"/>
        <v>598.73495957531463</v>
      </c>
      <c r="T575" s="1">
        <f t="shared" si="98"/>
        <v>73.323955866265393</v>
      </c>
    </row>
    <row r="576" spans="6:20" x14ac:dyDescent="0.35">
      <c r="F576" s="1">
        <f t="shared" si="94"/>
        <v>11.459999999999845</v>
      </c>
      <c r="G576">
        <f>1/2*$B$8*$B$6*$B$7*(Tabelle2[[#This Row],[vx]]*Tabelle2[[#This Row],[vx]]+Tabelle2[[#This Row],[vy]]*Tabelle2[[#This Row],[vy]])/1000000</f>
        <v>9.2764632642059155</v>
      </c>
      <c r="H576">
        <f>IF($B$3,-Tabelle2[[#This Row],[Fd]]*Tabelle2[[#This Row],[vx]]/Tabelle2[[#This Row],[v]],0)</f>
        <v>0</v>
      </c>
      <c r="I576">
        <f t="shared" si="88"/>
        <v>0</v>
      </c>
      <c r="J576">
        <f t="shared" si="89"/>
        <v>0</v>
      </c>
      <c r="K576">
        <f t="shared" si="90"/>
        <v>1.0467394398169905</v>
      </c>
      <c r="L576">
        <f>-$B$5*$B$12-IF($B$3,Tabelle2[[#This Row],[Fd]]*Tabelle2[[#This Row],[vy]]/Tabelle2[[#This Row],[v]],0)</f>
        <v>-14.715</v>
      </c>
      <c r="M576">
        <f t="shared" si="91"/>
        <v>-9.81</v>
      </c>
      <c r="N576">
        <f t="shared" si="92"/>
        <v>-0.19620000000000001</v>
      </c>
      <c r="O576">
        <f t="shared" si="93"/>
        <v>-1.0029585120880407</v>
      </c>
      <c r="P576" s="1">
        <f t="shared" si="95"/>
        <v>52.336971990849527</v>
      </c>
      <c r="Q576" s="1">
        <f t="shared" si="96"/>
        <v>-50.049825604402031</v>
      </c>
      <c r="R576">
        <f>SQRT(Tabelle2[[#This Row],[vx]]*Tabelle2[[#This Row],[vx]]+Tabelle2[[#This Row],[vy]]*Tabelle2[[#This Row],[vy]])</f>
        <v>72.416460008771665</v>
      </c>
      <c r="S576">
        <f t="shared" si="97"/>
        <v>599.78169901513161</v>
      </c>
      <c r="T576" s="1">
        <f t="shared" si="98"/>
        <v>72.324921354177349</v>
      </c>
    </row>
    <row r="577" spans="6:20" x14ac:dyDescent="0.35">
      <c r="F577" s="1">
        <f t="shared" si="94"/>
        <v>11.479999999999844</v>
      </c>
      <c r="G577">
        <f>1/2*$B$8*$B$6*$B$7*(Tabelle2[[#This Row],[vx]]*Tabelle2[[#This Row],[vx]]+Tabelle2[[#This Row],[vy]]*Tabelle2[[#This Row],[vy]])/1000000</f>
        <v>9.3112721256766608</v>
      </c>
      <c r="H577">
        <f>IF($B$3,-Tabelle2[[#This Row],[Fd]]*Tabelle2[[#This Row],[vx]]/Tabelle2[[#This Row],[v]],0)</f>
        <v>0</v>
      </c>
      <c r="I577">
        <f t="shared" si="88"/>
        <v>0</v>
      </c>
      <c r="J577">
        <f t="shared" si="89"/>
        <v>0</v>
      </c>
      <c r="K577">
        <f t="shared" si="90"/>
        <v>1.0467394398169905</v>
      </c>
      <c r="L577">
        <f>-$B$5*$B$12-IF($B$3,Tabelle2[[#This Row],[Fd]]*Tabelle2[[#This Row],[vy]]/Tabelle2[[#This Row],[v]],0)</f>
        <v>-14.715</v>
      </c>
      <c r="M577">
        <f t="shared" si="91"/>
        <v>-9.81</v>
      </c>
      <c r="N577">
        <f t="shared" si="92"/>
        <v>-0.19620000000000001</v>
      </c>
      <c r="O577">
        <f t="shared" si="93"/>
        <v>-1.0068825120880407</v>
      </c>
      <c r="P577" s="1">
        <f t="shared" si="95"/>
        <v>52.336971990849527</v>
      </c>
      <c r="Q577" s="1">
        <f t="shared" si="96"/>
        <v>-50.246025604402028</v>
      </c>
      <c r="R577">
        <f>SQRT(Tabelle2[[#This Row],[vx]]*Tabelle2[[#This Row],[vx]]+Tabelle2[[#This Row],[vy]]*Tabelle2[[#This Row],[vy]])</f>
        <v>72.552200009435907</v>
      </c>
      <c r="S577">
        <f t="shared" si="97"/>
        <v>600.82843845494858</v>
      </c>
      <c r="T577" s="1">
        <f t="shared" si="98"/>
        <v>71.321962842089306</v>
      </c>
    </row>
    <row r="578" spans="6:20" x14ac:dyDescent="0.35">
      <c r="F578" s="1">
        <f t="shared" si="94"/>
        <v>11.499999999999844</v>
      </c>
      <c r="G578">
        <f>1/2*$B$8*$B$6*$B$7*(Tabelle2[[#This Row],[vx]]*Tabelle2[[#This Row],[vx]]+Tabelle2[[#This Row],[vy]]*Tabelle2[[#This Row],[vy]])/1000000</f>
        <v>9.3462171742087516</v>
      </c>
      <c r="H578">
        <f>IF($B$3,-Tabelle2[[#This Row],[Fd]]*Tabelle2[[#This Row],[vx]]/Tabelle2[[#This Row],[v]],0)</f>
        <v>0</v>
      </c>
      <c r="I578">
        <f t="shared" si="88"/>
        <v>0</v>
      </c>
      <c r="J578">
        <f t="shared" si="89"/>
        <v>0</v>
      </c>
      <c r="K578">
        <f t="shared" si="90"/>
        <v>1.0467394398169905</v>
      </c>
      <c r="L578">
        <f>-$B$5*$B$12-IF($B$3,Tabelle2[[#This Row],[Fd]]*Tabelle2[[#This Row],[vy]]/Tabelle2[[#This Row],[v]],0)</f>
        <v>-14.715</v>
      </c>
      <c r="M578">
        <f t="shared" si="91"/>
        <v>-9.81</v>
      </c>
      <c r="N578">
        <f t="shared" si="92"/>
        <v>-0.19620000000000001</v>
      </c>
      <c r="O578">
        <f t="shared" si="93"/>
        <v>-1.0108065120880405</v>
      </c>
      <c r="P578" s="1">
        <f t="shared" si="95"/>
        <v>52.336971990849527</v>
      </c>
      <c r="Q578" s="1">
        <f t="shared" si="96"/>
        <v>-50.442225604402026</v>
      </c>
      <c r="R578">
        <f>SQRT(Tabelle2[[#This Row],[vx]]*Tabelle2[[#This Row],[vx]]+Tabelle2[[#This Row],[vy]]*Tabelle2[[#This Row],[vy]])</f>
        <v>72.688216108915199</v>
      </c>
      <c r="S578">
        <f t="shared" si="97"/>
        <v>601.87517789476556</v>
      </c>
      <c r="T578" s="1">
        <f t="shared" si="98"/>
        <v>70.315080330001265</v>
      </c>
    </row>
    <row r="579" spans="6:20" x14ac:dyDescent="0.35">
      <c r="F579" s="1">
        <f t="shared" si="94"/>
        <v>11.519999999999843</v>
      </c>
      <c r="G579">
        <f>1/2*$B$8*$B$6*$B$7*(Tabelle2[[#This Row],[vx]]*Tabelle2[[#This Row],[vx]]+Tabelle2[[#This Row],[vy]]*Tabelle2[[#This Row],[vy]])/1000000</f>
        <v>9.3812984098021861</v>
      </c>
      <c r="H579">
        <f>IF($B$3,-Tabelle2[[#This Row],[Fd]]*Tabelle2[[#This Row],[vx]]/Tabelle2[[#This Row],[v]],0)</f>
        <v>0</v>
      </c>
      <c r="I579">
        <f t="shared" ref="I579:I642" si="99">H579/$B$5</f>
        <v>0</v>
      </c>
      <c r="J579">
        <f t="shared" ref="J579:J642" si="100">I579*$B$13</f>
        <v>0</v>
      </c>
      <c r="K579">
        <f t="shared" ref="K579:K642" si="101">$B$13*(P579+J579/2)</f>
        <v>1.0467394398169905</v>
      </c>
      <c r="L579">
        <f>-$B$5*$B$12-IF($B$3,Tabelle2[[#This Row],[Fd]]*Tabelle2[[#This Row],[vy]]/Tabelle2[[#This Row],[v]],0)</f>
        <v>-14.715</v>
      </c>
      <c r="M579">
        <f t="shared" ref="M579:M642" si="102">L579/$B$5</f>
        <v>-9.81</v>
      </c>
      <c r="N579">
        <f t="shared" ref="N579:N642" si="103">M579*$B$13</f>
        <v>-0.19620000000000001</v>
      </c>
      <c r="O579">
        <f t="shared" ref="O579:O642" si="104">$B$13*(Q579+N579/2)</f>
        <v>-1.0147305120880405</v>
      </c>
      <c r="P579" s="1">
        <f t="shared" si="95"/>
        <v>52.336971990849527</v>
      </c>
      <c r="Q579" s="1">
        <f t="shared" si="96"/>
        <v>-50.638425604402023</v>
      </c>
      <c r="R579">
        <f>SQRT(Tabelle2[[#This Row],[vx]]*Tabelle2[[#This Row],[vx]]+Tabelle2[[#This Row],[vy]]*Tabelle2[[#This Row],[vy]])</f>
        <v>72.824506760180157</v>
      </c>
      <c r="S579">
        <f t="shared" si="97"/>
        <v>602.92191733458253</v>
      </c>
      <c r="T579" s="1">
        <f t="shared" si="98"/>
        <v>69.304273817913227</v>
      </c>
    </row>
    <row r="580" spans="6:20" x14ac:dyDescent="0.35">
      <c r="F580" s="1">
        <f t="shared" ref="F580:F643" si="105">F579+$B$13</f>
        <v>11.539999999999843</v>
      </c>
      <c r="G580">
        <f>1/2*$B$8*$B$6*$B$7*(Tabelle2[[#This Row],[vx]]*Tabelle2[[#This Row],[vx]]+Tabelle2[[#This Row],[vy]]*Tabelle2[[#This Row],[vy]])/1000000</f>
        <v>9.4165158324569624</v>
      </c>
      <c r="H580">
        <f>IF($B$3,-Tabelle2[[#This Row],[Fd]]*Tabelle2[[#This Row],[vx]]/Tabelle2[[#This Row],[v]],0)</f>
        <v>0</v>
      </c>
      <c r="I580">
        <f t="shared" si="99"/>
        <v>0</v>
      </c>
      <c r="J580">
        <f t="shared" si="100"/>
        <v>0</v>
      </c>
      <c r="K580">
        <f t="shared" si="101"/>
        <v>1.0467394398169905</v>
      </c>
      <c r="L580">
        <f>-$B$5*$B$12-IF($B$3,Tabelle2[[#This Row],[Fd]]*Tabelle2[[#This Row],[vy]]/Tabelle2[[#This Row],[v]],0)</f>
        <v>-14.715</v>
      </c>
      <c r="M580">
        <f t="shared" si="102"/>
        <v>-9.81</v>
      </c>
      <c r="N580">
        <f t="shared" si="103"/>
        <v>-0.19620000000000001</v>
      </c>
      <c r="O580">
        <f t="shared" si="104"/>
        <v>-1.0186545120880406</v>
      </c>
      <c r="P580" s="1">
        <f t="shared" ref="P580:P643" si="106">P579+J579</f>
        <v>52.336971990849527</v>
      </c>
      <c r="Q580" s="1">
        <f t="shared" ref="Q580:Q643" si="107">Q579+N579</f>
        <v>-50.834625604402021</v>
      </c>
      <c r="R580">
        <f>SQRT(Tabelle2[[#This Row],[vx]]*Tabelle2[[#This Row],[vx]]+Tabelle2[[#This Row],[vy]]*Tabelle2[[#This Row],[vy]])</f>
        <v>72.961070424649705</v>
      </c>
      <c r="S580">
        <f t="shared" ref="S580:S643" si="108">S579+K579</f>
        <v>603.96865677439951</v>
      </c>
      <c r="T580" s="1">
        <f t="shared" ref="T580:T643" si="109">T579+O579</f>
        <v>68.289543305825191</v>
      </c>
    </row>
    <row r="581" spans="6:20" x14ac:dyDescent="0.35">
      <c r="F581" s="1">
        <f t="shared" si="105"/>
        <v>11.559999999999842</v>
      </c>
      <c r="G581">
        <f>1/2*$B$8*$B$6*$B$7*(Tabelle2[[#This Row],[vx]]*Tabelle2[[#This Row],[vx]]+Tabelle2[[#This Row],[vy]]*Tabelle2[[#This Row],[vy]])/1000000</f>
        <v>9.4518694421730824</v>
      </c>
      <c r="H581">
        <f>IF($B$3,-Tabelle2[[#This Row],[Fd]]*Tabelle2[[#This Row],[vx]]/Tabelle2[[#This Row],[v]],0)</f>
        <v>0</v>
      </c>
      <c r="I581">
        <f t="shared" si="99"/>
        <v>0</v>
      </c>
      <c r="J581">
        <f t="shared" si="100"/>
        <v>0</v>
      </c>
      <c r="K581">
        <f t="shared" si="101"/>
        <v>1.0467394398169905</v>
      </c>
      <c r="L581">
        <f>-$B$5*$B$12-IF($B$3,Tabelle2[[#This Row],[Fd]]*Tabelle2[[#This Row],[vy]]/Tabelle2[[#This Row],[v]],0)</f>
        <v>-14.715</v>
      </c>
      <c r="M581">
        <f t="shared" si="102"/>
        <v>-9.81</v>
      </c>
      <c r="N581">
        <f t="shared" si="103"/>
        <v>-0.19620000000000001</v>
      </c>
      <c r="O581">
        <f t="shared" si="104"/>
        <v>-1.0225785120880404</v>
      </c>
      <c r="P581" s="1">
        <f t="shared" si="106"/>
        <v>52.336971990849527</v>
      </c>
      <c r="Q581" s="1">
        <f t="shared" si="107"/>
        <v>-51.030825604402018</v>
      </c>
      <c r="R581">
        <f>SQRT(Tabelle2[[#This Row],[vx]]*Tabelle2[[#This Row],[vx]]+Tabelle2[[#This Row],[vy]]*Tabelle2[[#This Row],[vy]])</f>
        <v>73.09790557216985</v>
      </c>
      <c r="S581">
        <f t="shared" si="108"/>
        <v>605.01539621421648</v>
      </c>
      <c r="T581" s="1">
        <f t="shared" si="109"/>
        <v>67.270888793737157</v>
      </c>
    </row>
    <row r="582" spans="6:20" x14ac:dyDescent="0.35">
      <c r="F582" s="1">
        <f t="shared" si="105"/>
        <v>11.579999999999842</v>
      </c>
      <c r="G582">
        <f>1/2*$B$8*$B$6*$B$7*(Tabelle2[[#This Row],[vx]]*Tabelle2[[#This Row],[vx]]+Tabelle2[[#This Row],[vy]]*Tabelle2[[#This Row],[vy]])/1000000</f>
        <v>9.4873592389505479</v>
      </c>
      <c r="H582">
        <f>IF($B$3,-Tabelle2[[#This Row],[Fd]]*Tabelle2[[#This Row],[vx]]/Tabelle2[[#This Row],[v]],0)</f>
        <v>0</v>
      </c>
      <c r="I582">
        <f t="shared" si="99"/>
        <v>0</v>
      </c>
      <c r="J582">
        <f t="shared" si="100"/>
        <v>0</v>
      </c>
      <c r="K582">
        <f t="shared" si="101"/>
        <v>1.0467394398169905</v>
      </c>
      <c r="L582">
        <f>-$B$5*$B$12-IF($B$3,Tabelle2[[#This Row],[Fd]]*Tabelle2[[#This Row],[vy]]/Tabelle2[[#This Row],[v]],0)</f>
        <v>-14.715</v>
      </c>
      <c r="M582">
        <f t="shared" si="102"/>
        <v>-9.81</v>
      </c>
      <c r="N582">
        <f t="shared" si="103"/>
        <v>-0.19620000000000001</v>
      </c>
      <c r="O582">
        <f t="shared" si="104"/>
        <v>-1.0265025120880404</v>
      </c>
      <c r="P582" s="1">
        <f t="shared" si="106"/>
        <v>52.336971990849527</v>
      </c>
      <c r="Q582" s="1">
        <f t="shared" si="107"/>
        <v>-51.227025604402016</v>
      </c>
      <c r="R582">
        <f>SQRT(Tabelle2[[#This Row],[vx]]*Tabelle2[[#This Row],[vx]]+Tabelle2[[#This Row],[vy]]*Tabelle2[[#This Row],[vy]])</f>
        <v>73.235010680992104</v>
      </c>
      <c r="S582">
        <f t="shared" si="108"/>
        <v>606.06213565403345</v>
      </c>
      <c r="T582" s="1">
        <f t="shared" si="109"/>
        <v>66.248310281649111</v>
      </c>
    </row>
    <row r="583" spans="6:20" x14ac:dyDescent="0.35">
      <c r="F583" s="1">
        <f t="shared" si="105"/>
        <v>11.599999999999842</v>
      </c>
      <c r="G583">
        <f>1/2*$B$8*$B$6*$B$7*(Tabelle2[[#This Row],[vx]]*Tabelle2[[#This Row],[vx]]+Tabelle2[[#This Row],[vy]]*Tabelle2[[#This Row],[vy]])/1000000</f>
        <v>9.5229852227893588</v>
      </c>
      <c r="H583">
        <f>IF($B$3,-Tabelle2[[#This Row],[Fd]]*Tabelle2[[#This Row],[vx]]/Tabelle2[[#This Row],[v]],0)</f>
        <v>0</v>
      </c>
      <c r="I583">
        <f t="shared" si="99"/>
        <v>0</v>
      </c>
      <c r="J583">
        <f t="shared" si="100"/>
        <v>0</v>
      </c>
      <c r="K583">
        <f t="shared" si="101"/>
        <v>1.0467394398169905</v>
      </c>
      <c r="L583">
        <f>-$B$5*$B$12-IF($B$3,Tabelle2[[#This Row],[Fd]]*Tabelle2[[#This Row],[vy]]/Tabelle2[[#This Row],[v]],0)</f>
        <v>-14.715</v>
      </c>
      <c r="M583">
        <f t="shared" si="102"/>
        <v>-9.81</v>
      </c>
      <c r="N583">
        <f t="shared" si="103"/>
        <v>-0.19620000000000001</v>
      </c>
      <c r="O583">
        <f t="shared" si="104"/>
        <v>-1.0304265120880403</v>
      </c>
      <c r="P583" s="1">
        <f t="shared" si="106"/>
        <v>52.336971990849527</v>
      </c>
      <c r="Q583" s="1">
        <f t="shared" si="107"/>
        <v>-51.423225604402013</v>
      </c>
      <c r="R583">
        <f>SQRT(Tabelle2[[#This Row],[vx]]*Tabelle2[[#This Row],[vx]]+Tabelle2[[#This Row],[vy]]*Tabelle2[[#This Row],[vy]])</f>
        <v>73.372384237751163</v>
      </c>
      <c r="S583">
        <f t="shared" si="108"/>
        <v>607.10887509385043</v>
      </c>
      <c r="T583" s="1">
        <f t="shared" si="109"/>
        <v>65.221807769561067</v>
      </c>
    </row>
    <row r="584" spans="6:20" x14ac:dyDescent="0.35">
      <c r="F584" s="1">
        <f t="shared" si="105"/>
        <v>11.619999999999841</v>
      </c>
      <c r="G584">
        <f>1/2*$B$8*$B$6*$B$7*(Tabelle2[[#This Row],[vx]]*Tabelle2[[#This Row],[vx]]+Tabelle2[[#This Row],[vy]]*Tabelle2[[#This Row],[vy]])/1000000</f>
        <v>9.5587473936895115</v>
      </c>
      <c r="H584">
        <f>IF($B$3,-Tabelle2[[#This Row],[Fd]]*Tabelle2[[#This Row],[vx]]/Tabelle2[[#This Row],[v]],0)</f>
        <v>0</v>
      </c>
      <c r="I584">
        <f t="shared" si="99"/>
        <v>0</v>
      </c>
      <c r="J584">
        <f t="shared" si="100"/>
        <v>0</v>
      </c>
      <c r="K584">
        <f t="shared" si="101"/>
        <v>1.0467394398169905</v>
      </c>
      <c r="L584">
        <f>-$B$5*$B$12-IF($B$3,Tabelle2[[#This Row],[Fd]]*Tabelle2[[#This Row],[vy]]/Tabelle2[[#This Row],[v]],0)</f>
        <v>-14.715</v>
      </c>
      <c r="M584">
        <f t="shared" si="102"/>
        <v>-9.81</v>
      </c>
      <c r="N584">
        <f t="shared" si="103"/>
        <v>-0.19620000000000001</v>
      </c>
      <c r="O584">
        <f t="shared" si="104"/>
        <v>-1.0343505120880403</v>
      </c>
      <c r="P584" s="1">
        <f t="shared" si="106"/>
        <v>52.336971990849527</v>
      </c>
      <c r="Q584" s="1">
        <f t="shared" si="107"/>
        <v>-51.619425604402011</v>
      </c>
      <c r="R584">
        <f>SQRT(Tabelle2[[#This Row],[vx]]*Tabelle2[[#This Row],[vx]]+Tabelle2[[#This Row],[vy]]*Tabelle2[[#This Row],[vy]])</f>
        <v>73.51002473744218</v>
      </c>
      <c r="S584">
        <f t="shared" si="108"/>
        <v>608.1556145336674</v>
      </c>
      <c r="T584" s="1">
        <f t="shared" si="109"/>
        <v>64.191381257473026</v>
      </c>
    </row>
    <row r="585" spans="6:20" x14ac:dyDescent="0.35">
      <c r="F585" s="1">
        <f t="shared" si="105"/>
        <v>11.639999999999841</v>
      </c>
      <c r="G585">
        <f>1/2*$B$8*$B$6*$B$7*(Tabelle2[[#This Row],[vx]]*Tabelle2[[#This Row],[vx]]+Tabelle2[[#This Row],[vy]]*Tabelle2[[#This Row],[vy]])/1000000</f>
        <v>9.5946457516510115</v>
      </c>
      <c r="H585">
        <f>IF($B$3,-Tabelle2[[#This Row],[Fd]]*Tabelle2[[#This Row],[vx]]/Tabelle2[[#This Row],[v]],0)</f>
        <v>0</v>
      </c>
      <c r="I585">
        <f t="shared" si="99"/>
        <v>0</v>
      </c>
      <c r="J585">
        <f t="shared" si="100"/>
        <v>0</v>
      </c>
      <c r="K585">
        <f t="shared" si="101"/>
        <v>1.0467394398169905</v>
      </c>
      <c r="L585">
        <f>-$B$5*$B$12-IF($B$3,Tabelle2[[#This Row],[Fd]]*Tabelle2[[#This Row],[vy]]/Tabelle2[[#This Row],[v]],0)</f>
        <v>-14.715</v>
      </c>
      <c r="M585">
        <f t="shared" si="102"/>
        <v>-9.81</v>
      </c>
      <c r="N585">
        <f t="shared" si="103"/>
        <v>-0.19620000000000001</v>
      </c>
      <c r="O585">
        <f t="shared" si="104"/>
        <v>-1.0382745120880403</v>
      </c>
      <c r="P585" s="1">
        <f t="shared" si="106"/>
        <v>52.336971990849527</v>
      </c>
      <c r="Q585" s="1">
        <f t="shared" si="107"/>
        <v>-51.815625604402008</v>
      </c>
      <c r="R585">
        <f>SQRT(Tabelle2[[#This Row],[vx]]*Tabelle2[[#This Row],[vx]]+Tabelle2[[#This Row],[vy]]*Tabelle2[[#This Row],[vy]])</f>
        <v>73.647930683397547</v>
      </c>
      <c r="S585">
        <f t="shared" si="108"/>
        <v>609.20235397348438</v>
      </c>
      <c r="T585" s="1">
        <f t="shared" si="109"/>
        <v>63.157030745384986</v>
      </c>
    </row>
    <row r="586" spans="6:20" x14ac:dyDescent="0.35">
      <c r="F586" s="1">
        <f t="shared" si="105"/>
        <v>11.65999999999984</v>
      </c>
      <c r="G586">
        <f>1/2*$B$8*$B$6*$B$7*(Tabelle2[[#This Row],[vx]]*Tabelle2[[#This Row],[vx]]+Tabelle2[[#This Row],[vy]]*Tabelle2[[#This Row],[vy]])/1000000</f>
        <v>9.6306802966738534</v>
      </c>
      <c r="H586">
        <f>IF($B$3,-Tabelle2[[#This Row],[Fd]]*Tabelle2[[#This Row],[vx]]/Tabelle2[[#This Row],[v]],0)</f>
        <v>0</v>
      </c>
      <c r="I586">
        <f t="shared" si="99"/>
        <v>0</v>
      </c>
      <c r="J586">
        <f t="shared" si="100"/>
        <v>0</v>
      </c>
      <c r="K586">
        <f t="shared" si="101"/>
        <v>1.0467394398169905</v>
      </c>
      <c r="L586">
        <f>-$B$5*$B$12-IF($B$3,Tabelle2[[#This Row],[Fd]]*Tabelle2[[#This Row],[vy]]/Tabelle2[[#This Row],[v]],0)</f>
        <v>-14.715</v>
      </c>
      <c r="M586">
        <f t="shared" si="102"/>
        <v>-9.81</v>
      </c>
      <c r="N586">
        <f t="shared" si="103"/>
        <v>-0.19620000000000001</v>
      </c>
      <c r="O586">
        <f t="shared" si="104"/>
        <v>-1.0421985120880402</v>
      </c>
      <c r="P586" s="1">
        <f t="shared" si="106"/>
        <v>52.336971990849527</v>
      </c>
      <c r="Q586" s="1">
        <f t="shared" si="107"/>
        <v>-52.011825604402006</v>
      </c>
      <c r="R586">
        <f>SQRT(Tabelle2[[#This Row],[vx]]*Tabelle2[[#This Row],[vx]]+Tabelle2[[#This Row],[vy]]*Tabelle2[[#This Row],[vy]])</f>
        <v>73.786100587263022</v>
      </c>
      <c r="S586">
        <f t="shared" si="108"/>
        <v>610.24909341330135</v>
      </c>
      <c r="T586" s="1">
        <f t="shared" si="109"/>
        <v>62.118756233296949</v>
      </c>
    </row>
    <row r="587" spans="6:20" x14ac:dyDescent="0.35">
      <c r="F587" s="1">
        <f t="shared" si="105"/>
        <v>11.67999999999984</v>
      </c>
      <c r="G587">
        <f>1/2*$B$8*$B$6*$B$7*(Tabelle2[[#This Row],[vx]]*Tabelle2[[#This Row],[vx]]+Tabelle2[[#This Row],[vy]]*Tabelle2[[#This Row],[vy]])/1000000</f>
        <v>9.6668510287580371</v>
      </c>
      <c r="H587">
        <f>IF($B$3,-Tabelle2[[#This Row],[Fd]]*Tabelle2[[#This Row],[vx]]/Tabelle2[[#This Row],[v]],0)</f>
        <v>0</v>
      </c>
      <c r="I587">
        <f t="shared" si="99"/>
        <v>0</v>
      </c>
      <c r="J587">
        <f t="shared" si="100"/>
        <v>0</v>
      </c>
      <c r="K587">
        <f t="shared" si="101"/>
        <v>1.0467394398169905</v>
      </c>
      <c r="L587">
        <f>-$B$5*$B$12-IF($B$3,Tabelle2[[#This Row],[Fd]]*Tabelle2[[#This Row],[vy]]/Tabelle2[[#This Row],[v]],0)</f>
        <v>-14.715</v>
      </c>
      <c r="M587">
        <f t="shared" si="102"/>
        <v>-9.81</v>
      </c>
      <c r="N587">
        <f t="shared" si="103"/>
        <v>-0.19620000000000001</v>
      </c>
      <c r="O587">
        <f t="shared" si="104"/>
        <v>-1.0461225120880402</v>
      </c>
      <c r="P587" s="1">
        <f t="shared" si="106"/>
        <v>52.336971990849527</v>
      </c>
      <c r="Q587" s="1">
        <f t="shared" si="107"/>
        <v>-52.208025604402003</v>
      </c>
      <c r="R587">
        <f>SQRT(Tabelle2[[#This Row],[vx]]*Tabelle2[[#This Row],[vx]]+Tabelle2[[#This Row],[vy]]*Tabelle2[[#This Row],[vy]])</f>
        <v>73.924532968973594</v>
      </c>
      <c r="S587">
        <f t="shared" si="108"/>
        <v>611.29583285311833</v>
      </c>
      <c r="T587" s="1">
        <f t="shared" si="109"/>
        <v>61.076557721208907</v>
      </c>
    </row>
    <row r="588" spans="6:20" x14ac:dyDescent="0.35">
      <c r="F588" s="1">
        <f t="shared" si="105"/>
        <v>11.699999999999839</v>
      </c>
      <c r="G588">
        <f>1/2*$B$8*$B$6*$B$7*(Tabelle2[[#This Row],[vx]]*Tabelle2[[#This Row],[vx]]+Tabelle2[[#This Row],[vy]]*Tabelle2[[#This Row],[vy]])/1000000</f>
        <v>9.7031579479035681</v>
      </c>
      <c r="H588">
        <f>IF($B$3,-Tabelle2[[#This Row],[Fd]]*Tabelle2[[#This Row],[vx]]/Tabelle2[[#This Row],[v]],0)</f>
        <v>0</v>
      </c>
      <c r="I588">
        <f t="shared" si="99"/>
        <v>0</v>
      </c>
      <c r="J588">
        <f t="shared" si="100"/>
        <v>0</v>
      </c>
      <c r="K588">
        <f t="shared" si="101"/>
        <v>1.0467394398169905</v>
      </c>
      <c r="L588">
        <f>-$B$5*$B$12-IF($B$3,Tabelle2[[#This Row],[Fd]]*Tabelle2[[#This Row],[vy]]/Tabelle2[[#This Row],[v]],0)</f>
        <v>-14.715</v>
      </c>
      <c r="M588">
        <f t="shared" si="102"/>
        <v>-9.81</v>
      </c>
      <c r="N588">
        <f t="shared" si="103"/>
        <v>-0.19620000000000001</v>
      </c>
      <c r="O588">
        <f t="shared" si="104"/>
        <v>-1.05004651208804</v>
      </c>
      <c r="P588" s="1">
        <f t="shared" si="106"/>
        <v>52.336971990849527</v>
      </c>
      <c r="Q588" s="1">
        <f t="shared" si="107"/>
        <v>-52.404225604402001</v>
      </c>
      <c r="R588">
        <f>SQRT(Tabelle2[[#This Row],[vx]]*Tabelle2[[#This Row],[vx]]+Tabelle2[[#This Row],[vy]]*Tabelle2[[#This Row],[vy]])</f>
        <v>74.063226356728677</v>
      </c>
      <c r="S588">
        <f t="shared" si="108"/>
        <v>612.3425722929353</v>
      </c>
      <c r="T588" s="1">
        <f t="shared" si="109"/>
        <v>60.030435209120867</v>
      </c>
    </row>
    <row r="589" spans="6:20" x14ac:dyDescent="0.35">
      <c r="F589" s="1">
        <f t="shared" si="105"/>
        <v>11.719999999999839</v>
      </c>
      <c r="G589">
        <f>1/2*$B$8*$B$6*$B$7*(Tabelle2[[#This Row],[vx]]*Tabelle2[[#This Row],[vx]]+Tabelle2[[#This Row],[vy]]*Tabelle2[[#This Row],[vy]])/1000000</f>
        <v>9.739601054110441</v>
      </c>
      <c r="H589">
        <f>IF($B$3,-Tabelle2[[#This Row],[Fd]]*Tabelle2[[#This Row],[vx]]/Tabelle2[[#This Row],[v]],0)</f>
        <v>0</v>
      </c>
      <c r="I589">
        <f t="shared" si="99"/>
        <v>0</v>
      </c>
      <c r="J589">
        <f t="shared" si="100"/>
        <v>0</v>
      </c>
      <c r="K589">
        <f t="shared" si="101"/>
        <v>1.0467394398169905</v>
      </c>
      <c r="L589">
        <f>-$B$5*$B$12-IF($B$3,Tabelle2[[#This Row],[Fd]]*Tabelle2[[#This Row],[vy]]/Tabelle2[[#This Row],[v]],0)</f>
        <v>-14.715</v>
      </c>
      <c r="M589">
        <f t="shared" si="102"/>
        <v>-9.81</v>
      </c>
      <c r="N589">
        <f t="shared" si="103"/>
        <v>-0.19620000000000001</v>
      </c>
      <c r="O589">
        <f t="shared" si="104"/>
        <v>-1.05397051208804</v>
      </c>
      <c r="P589" s="1">
        <f t="shared" si="106"/>
        <v>52.336971990849527</v>
      </c>
      <c r="Q589" s="1">
        <f t="shared" si="107"/>
        <v>-52.600425604401998</v>
      </c>
      <c r="R589">
        <f>SQRT(Tabelle2[[#This Row],[vx]]*Tabelle2[[#This Row],[vx]]+Tabelle2[[#This Row],[vy]]*Tabelle2[[#This Row],[vy]])</f>
        <v>74.202179286967024</v>
      </c>
      <c r="S589">
        <f t="shared" si="108"/>
        <v>613.38931173275228</v>
      </c>
      <c r="T589" s="1">
        <f t="shared" si="109"/>
        <v>58.980388697032829</v>
      </c>
    </row>
    <row r="590" spans="6:20" x14ac:dyDescent="0.35">
      <c r="F590" s="1">
        <f t="shared" si="105"/>
        <v>11.739999999999839</v>
      </c>
      <c r="G590">
        <f>1/2*$B$8*$B$6*$B$7*(Tabelle2[[#This Row],[vx]]*Tabelle2[[#This Row],[vx]]+Tabelle2[[#This Row],[vy]]*Tabelle2[[#This Row],[vy]])/1000000</f>
        <v>9.7761803473786593</v>
      </c>
      <c r="H590">
        <f>IF($B$3,-Tabelle2[[#This Row],[Fd]]*Tabelle2[[#This Row],[vx]]/Tabelle2[[#This Row],[v]],0)</f>
        <v>0</v>
      </c>
      <c r="I590">
        <f t="shared" si="99"/>
        <v>0</v>
      </c>
      <c r="J590">
        <f t="shared" si="100"/>
        <v>0</v>
      </c>
      <c r="K590">
        <f t="shared" si="101"/>
        <v>1.0467394398169905</v>
      </c>
      <c r="L590">
        <f>-$B$5*$B$12-IF($B$3,Tabelle2[[#This Row],[Fd]]*Tabelle2[[#This Row],[vy]]/Tabelle2[[#This Row],[v]],0)</f>
        <v>-14.715</v>
      </c>
      <c r="M590">
        <f t="shared" si="102"/>
        <v>-9.81</v>
      </c>
      <c r="N590">
        <f t="shared" si="103"/>
        <v>-0.19620000000000001</v>
      </c>
      <c r="O590">
        <f t="shared" si="104"/>
        <v>-1.0578945120880401</v>
      </c>
      <c r="P590" s="1">
        <f t="shared" si="106"/>
        <v>52.336971990849527</v>
      </c>
      <c r="Q590" s="1">
        <f t="shared" si="107"/>
        <v>-52.796625604401996</v>
      </c>
      <c r="R590">
        <f>SQRT(Tabelle2[[#This Row],[vx]]*Tabelle2[[#This Row],[vx]]+Tabelle2[[#This Row],[vy]]*Tabelle2[[#This Row],[vy]])</f>
        <v>74.34139030434099</v>
      </c>
      <c r="S590">
        <f t="shared" si="108"/>
        <v>614.43605117256925</v>
      </c>
      <c r="T590" s="1">
        <f t="shared" si="109"/>
        <v>57.926418184944787</v>
      </c>
    </row>
    <row r="591" spans="6:20" x14ac:dyDescent="0.35">
      <c r="F591" s="1">
        <f t="shared" si="105"/>
        <v>11.759999999999838</v>
      </c>
      <c r="G591">
        <f>1/2*$B$8*$B$6*$B$7*(Tabelle2[[#This Row],[vx]]*Tabelle2[[#This Row],[vx]]+Tabelle2[[#This Row],[vy]]*Tabelle2[[#This Row],[vy]])/1000000</f>
        <v>9.8128958277082212</v>
      </c>
      <c r="H591">
        <f>IF($B$3,-Tabelle2[[#This Row],[Fd]]*Tabelle2[[#This Row],[vx]]/Tabelle2[[#This Row],[v]],0)</f>
        <v>0</v>
      </c>
      <c r="I591">
        <f t="shared" si="99"/>
        <v>0</v>
      </c>
      <c r="J591">
        <f t="shared" si="100"/>
        <v>0</v>
      </c>
      <c r="K591">
        <f t="shared" si="101"/>
        <v>1.0467394398169905</v>
      </c>
      <c r="L591">
        <f>-$B$5*$B$12-IF($B$3,Tabelle2[[#This Row],[Fd]]*Tabelle2[[#This Row],[vy]]/Tabelle2[[#This Row],[v]],0)</f>
        <v>-14.715</v>
      </c>
      <c r="M591">
        <f t="shared" si="102"/>
        <v>-9.81</v>
      </c>
      <c r="N591">
        <f t="shared" si="103"/>
        <v>-0.19620000000000001</v>
      </c>
      <c r="O591">
        <f t="shared" si="104"/>
        <v>-1.0618185120880399</v>
      </c>
      <c r="P591" s="1">
        <f t="shared" si="106"/>
        <v>52.336971990849527</v>
      </c>
      <c r="Q591" s="1">
        <f t="shared" si="107"/>
        <v>-52.992825604401993</v>
      </c>
      <c r="R591">
        <f>SQRT(Tabelle2[[#This Row],[vx]]*Tabelle2[[#This Row],[vx]]+Tabelle2[[#This Row],[vy]]*Tabelle2[[#This Row],[vy]])</f>
        <v>74.480857961690617</v>
      </c>
      <c r="S591">
        <f t="shared" si="108"/>
        <v>615.48279061238622</v>
      </c>
      <c r="T591" s="1">
        <f t="shared" si="109"/>
        <v>56.868523672856746</v>
      </c>
    </row>
    <row r="592" spans="6:20" x14ac:dyDescent="0.35">
      <c r="F592" s="1">
        <f t="shared" si="105"/>
        <v>11.779999999999838</v>
      </c>
      <c r="G592">
        <f>1/2*$B$8*$B$6*$B$7*(Tabelle2[[#This Row],[vx]]*Tabelle2[[#This Row],[vx]]+Tabelle2[[#This Row],[vy]]*Tabelle2[[#This Row],[vy]])/1000000</f>
        <v>9.8497474950991251</v>
      </c>
      <c r="H592">
        <f>IF($B$3,-Tabelle2[[#This Row],[Fd]]*Tabelle2[[#This Row],[vx]]/Tabelle2[[#This Row],[v]],0)</f>
        <v>0</v>
      </c>
      <c r="I592">
        <f t="shared" si="99"/>
        <v>0</v>
      </c>
      <c r="J592">
        <f t="shared" si="100"/>
        <v>0</v>
      </c>
      <c r="K592">
        <f t="shared" si="101"/>
        <v>1.0467394398169905</v>
      </c>
      <c r="L592">
        <f>-$B$5*$B$12-IF($B$3,Tabelle2[[#This Row],[Fd]]*Tabelle2[[#This Row],[vy]]/Tabelle2[[#This Row],[v]],0)</f>
        <v>-14.715</v>
      </c>
      <c r="M592">
        <f t="shared" si="102"/>
        <v>-9.81</v>
      </c>
      <c r="N592">
        <f t="shared" si="103"/>
        <v>-0.19620000000000001</v>
      </c>
      <c r="O592">
        <f t="shared" si="104"/>
        <v>-1.0657425120880399</v>
      </c>
      <c r="P592" s="1">
        <f t="shared" si="106"/>
        <v>52.336971990849527</v>
      </c>
      <c r="Q592" s="1">
        <f t="shared" si="107"/>
        <v>-53.189025604401991</v>
      </c>
      <c r="R592">
        <f>SQRT(Tabelle2[[#This Row],[vx]]*Tabelle2[[#This Row],[vx]]+Tabelle2[[#This Row],[vy]]*Tabelle2[[#This Row],[vy]])</f>
        <v>74.620580820017054</v>
      </c>
      <c r="S592">
        <f t="shared" si="108"/>
        <v>616.5295300522032</v>
      </c>
      <c r="T592" s="1">
        <f t="shared" si="109"/>
        <v>55.806705160768708</v>
      </c>
    </row>
    <row r="593" spans="6:20" x14ac:dyDescent="0.35">
      <c r="F593" s="1">
        <f t="shared" si="105"/>
        <v>11.799999999999837</v>
      </c>
      <c r="G593">
        <f>1/2*$B$8*$B$6*$B$7*(Tabelle2[[#This Row],[vx]]*Tabelle2[[#This Row],[vx]]+Tabelle2[[#This Row],[vy]]*Tabelle2[[#This Row],[vy]])/1000000</f>
        <v>9.8867353495513761</v>
      </c>
      <c r="H593">
        <f>IF($B$3,-Tabelle2[[#This Row],[Fd]]*Tabelle2[[#This Row],[vx]]/Tabelle2[[#This Row],[v]],0)</f>
        <v>0</v>
      </c>
      <c r="I593">
        <f t="shared" si="99"/>
        <v>0</v>
      </c>
      <c r="J593">
        <f t="shared" si="100"/>
        <v>0</v>
      </c>
      <c r="K593">
        <f t="shared" si="101"/>
        <v>1.0467394398169905</v>
      </c>
      <c r="L593">
        <f>-$B$5*$B$12-IF($B$3,Tabelle2[[#This Row],[Fd]]*Tabelle2[[#This Row],[vy]]/Tabelle2[[#This Row],[v]],0)</f>
        <v>-14.715</v>
      </c>
      <c r="M593">
        <f t="shared" si="102"/>
        <v>-9.81</v>
      </c>
      <c r="N593">
        <f t="shared" si="103"/>
        <v>-0.19620000000000001</v>
      </c>
      <c r="O593">
        <f t="shared" si="104"/>
        <v>-1.0696665120880398</v>
      </c>
      <c r="P593" s="1">
        <f t="shared" si="106"/>
        <v>52.336971990849527</v>
      </c>
      <c r="Q593" s="1">
        <f t="shared" si="107"/>
        <v>-53.385225604401988</v>
      </c>
      <c r="R593">
        <f>SQRT(Tabelle2[[#This Row],[vx]]*Tabelle2[[#This Row],[vx]]+Tabelle2[[#This Row],[vy]]*Tabelle2[[#This Row],[vy]])</f>
        <v>74.760557448455842</v>
      </c>
      <c r="S593">
        <f t="shared" si="108"/>
        <v>617.57626949202017</v>
      </c>
      <c r="T593" s="1">
        <f t="shared" si="109"/>
        <v>54.740962648680664</v>
      </c>
    </row>
    <row r="594" spans="6:20" x14ac:dyDescent="0.35">
      <c r="F594" s="1">
        <f t="shared" si="105"/>
        <v>11.819999999999837</v>
      </c>
      <c r="G594">
        <f>1/2*$B$8*$B$6*$B$7*(Tabelle2[[#This Row],[vx]]*Tabelle2[[#This Row],[vx]]+Tabelle2[[#This Row],[vy]]*Tabelle2[[#This Row],[vy]])/1000000</f>
        <v>9.9238593910649691</v>
      </c>
      <c r="H594">
        <f>IF($B$3,-Tabelle2[[#This Row],[Fd]]*Tabelle2[[#This Row],[vx]]/Tabelle2[[#This Row],[v]],0)</f>
        <v>0</v>
      </c>
      <c r="I594">
        <f t="shared" si="99"/>
        <v>0</v>
      </c>
      <c r="J594">
        <f t="shared" si="100"/>
        <v>0</v>
      </c>
      <c r="K594">
        <f t="shared" si="101"/>
        <v>1.0467394398169905</v>
      </c>
      <c r="L594">
        <f>-$B$5*$B$12-IF($B$3,Tabelle2[[#This Row],[Fd]]*Tabelle2[[#This Row],[vy]]/Tabelle2[[#This Row],[v]],0)</f>
        <v>-14.715</v>
      </c>
      <c r="M594">
        <f t="shared" si="102"/>
        <v>-9.81</v>
      </c>
      <c r="N594">
        <f t="shared" si="103"/>
        <v>-0.19620000000000001</v>
      </c>
      <c r="O594">
        <f t="shared" si="104"/>
        <v>-1.0735905120880398</v>
      </c>
      <c r="P594" s="1">
        <f t="shared" si="106"/>
        <v>52.336971990849527</v>
      </c>
      <c r="Q594" s="1">
        <f t="shared" si="107"/>
        <v>-53.581425604401986</v>
      </c>
      <c r="R594">
        <f>SQRT(Tabelle2[[#This Row],[vx]]*Tabelle2[[#This Row],[vx]]+Tabelle2[[#This Row],[vy]]*Tabelle2[[#This Row],[vy]])</f>
        <v>74.900786424249461</v>
      </c>
      <c r="S594">
        <f t="shared" si="108"/>
        <v>618.62300893183715</v>
      </c>
      <c r="T594" s="1">
        <f t="shared" si="109"/>
        <v>53.671296136592623</v>
      </c>
    </row>
    <row r="595" spans="6:20" x14ac:dyDescent="0.35">
      <c r="F595" s="1">
        <f t="shared" si="105"/>
        <v>11.839999999999836</v>
      </c>
      <c r="G595">
        <f>1/2*$B$8*$B$6*$B$7*(Tabelle2[[#This Row],[vx]]*Tabelle2[[#This Row],[vx]]+Tabelle2[[#This Row],[vy]]*Tabelle2[[#This Row],[vy]])/1000000</f>
        <v>9.9611196196399074</v>
      </c>
      <c r="H595">
        <f>IF($B$3,-Tabelle2[[#This Row],[Fd]]*Tabelle2[[#This Row],[vx]]/Tabelle2[[#This Row],[v]],0)</f>
        <v>0</v>
      </c>
      <c r="I595">
        <f t="shared" si="99"/>
        <v>0</v>
      </c>
      <c r="J595">
        <f t="shared" si="100"/>
        <v>0</v>
      </c>
      <c r="K595">
        <f t="shared" si="101"/>
        <v>1.0467394398169905</v>
      </c>
      <c r="L595">
        <f>-$B$5*$B$12-IF($B$3,Tabelle2[[#This Row],[Fd]]*Tabelle2[[#This Row],[vy]]/Tabelle2[[#This Row],[v]],0)</f>
        <v>-14.715</v>
      </c>
      <c r="M595">
        <f t="shared" si="102"/>
        <v>-9.81</v>
      </c>
      <c r="N595">
        <f t="shared" si="103"/>
        <v>-0.19620000000000001</v>
      </c>
      <c r="O595">
        <f t="shared" si="104"/>
        <v>-1.0775145120880398</v>
      </c>
      <c r="P595" s="1">
        <f t="shared" si="106"/>
        <v>52.336971990849527</v>
      </c>
      <c r="Q595" s="1">
        <f t="shared" si="107"/>
        <v>-53.777625604401983</v>
      </c>
      <c r="R595">
        <f>SQRT(Tabelle2[[#This Row],[vx]]*Tabelle2[[#This Row],[vx]]+Tabelle2[[#This Row],[vy]]*Tabelle2[[#This Row],[vy]])</f>
        <v>75.041266332719886</v>
      </c>
      <c r="S595">
        <f t="shared" si="108"/>
        <v>619.66974837165412</v>
      </c>
      <c r="T595" s="1">
        <f t="shared" si="109"/>
        <v>52.597705624504584</v>
      </c>
    </row>
    <row r="596" spans="6:20" x14ac:dyDescent="0.35">
      <c r="F596" s="1">
        <f t="shared" si="105"/>
        <v>11.859999999999836</v>
      </c>
      <c r="G596">
        <f>1/2*$B$8*$B$6*$B$7*(Tabelle2[[#This Row],[vx]]*Tabelle2[[#This Row],[vx]]+Tabelle2[[#This Row],[vy]]*Tabelle2[[#This Row],[vy]])/1000000</f>
        <v>9.9985160352761877</v>
      </c>
      <c r="H596">
        <f>IF($B$3,-Tabelle2[[#This Row],[Fd]]*Tabelle2[[#This Row],[vx]]/Tabelle2[[#This Row],[v]],0)</f>
        <v>0</v>
      </c>
      <c r="I596">
        <f t="shared" si="99"/>
        <v>0</v>
      </c>
      <c r="J596">
        <f t="shared" si="100"/>
        <v>0</v>
      </c>
      <c r="K596">
        <f t="shared" si="101"/>
        <v>1.0467394398169905</v>
      </c>
      <c r="L596">
        <f>-$B$5*$B$12-IF($B$3,Tabelle2[[#This Row],[Fd]]*Tabelle2[[#This Row],[vy]]/Tabelle2[[#This Row],[v]],0)</f>
        <v>-14.715</v>
      </c>
      <c r="M596">
        <f t="shared" si="102"/>
        <v>-9.81</v>
      </c>
      <c r="N596">
        <f t="shared" si="103"/>
        <v>-0.19620000000000001</v>
      </c>
      <c r="O596">
        <f t="shared" si="104"/>
        <v>-1.0814385120880396</v>
      </c>
      <c r="P596" s="1">
        <f t="shared" si="106"/>
        <v>52.336971990849527</v>
      </c>
      <c r="Q596" s="1">
        <f t="shared" si="107"/>
        <v>-53.973825604401981</v>
      </c>
      <c r="R596">
        <f>SQRT(Tabelle2[[#This Row],[vx]]*Tabelle2[[#This Row],[vx]]+Tabelle2[[#This Row],[vy]]*Tabelle2[[#This Row],[vy]])</f>
        <v>75.18199576724048</v>
      </c>
      <c r="S596">
        <f t="shared" si="108"/>
        <v>620.7164878114711</v>
      </c>
      <c r="T596" s="1">
        <f t="shared" si="109"/>
        <v>51.520191112416548</v>
      </c>
    </row>
    <row r="597" spans="6:20" x14ac:dyDescent="0.35">
      <c r="F597" s="1">
        <f t="shared" si="105"/>
        <v>11.879999999999836</v>
      </c>
      <c r="G597">
        <f>1/2*$B$8*$B$6*$B$7*(Tabelle2[[#This Row],[vx]]*Tabelle2[[#This Row],[vx]]+Tabelle2[[#This Row],[vy]]*Tabelle2[[#This Row],[vy]])/1000000</f>
        <v>10.036048637973815</v>
      </c>
      <c r="H597">
        <f>IF($B$3,-Tabelle2[[#This Row],[Fd]]*Tabelle2[[#This Row],[vx]]/Tabelle2[[#This Row],[v]],0)</f>
        <v>0</v>
      </c>
      <c r="I597">
        <f t="shared" si="99"/>
        <v>0</v>
      </c>
      <c r="J597">
        <f t="shared" si="100"/>
        <v>0</v>
      </c>
      <c r="K597">
        <f t="shared" si="101"/>
        <v>1.0467394398169905</v>
      </c>
      <c r="L597">
        <f>-$B$5*$B$12-IF($B$3,Tabelle2[[#This Row],[Fd]]*Tabelle2[[#This Row],[vy]]/Tabelle2[[#This Row],[v]],0)</f>
        <v>-14.715</v>
      </c>
      <c r="M597">
        <f t="shared" si="102"/>
        <v>-9.81</v>
      </c>
      <c r="N597">
        <f t="shared" si="103"/>
        <v>-0.19620000000000001</v>
      </c>
      <c r="O597">
        <f t="shared" si="104"/>
        <v>-1.0853625120880397</v>
      </c>
      <c r="P597" s="1">
        <f t="shared" si="106"/>
        <v>52.336971990849527</v>
      </c>
      <c r="Q597" s="1">
        <f t="shared" si="107"/>
        <v>-54.170025604401978</v>
      </c>
      <c r="R597">
        <f>SQRT(Tabelle2[[#This Row],[vx]]*Tabelle2[[#This Row],[vx]]+Tabelle2[[#This Row],[vy]]*Tabelle2[[#This Row],[vy]])</f>
        <v>75.322973329207699</v>
      </c>
      <c r="S597">
        <f t="shared" si="108"/>
        <v>621.76322725128807</v>
      </c>
      <c r="T597" s="1">
        <f t="shared" si="109"/>
        <v>50.438752600328506</v>
      </c>
    </row>
    <row r="598" spans="6:20" x14ac:dyDescent="0.35">
      <c r="F598" s="1">
        <f t="shared" si="105"/>
        <v>11.899999999999835</v>
      </c>
      <c r="G598">
        <f>1/2*$B$8*$B$6*$B$7*(Tabelle2[[#This Row],[vx]]*Tabelle2[[#This Row],[vx]]+Tabelle2[[#This Row],[vy]]*Tabelle2[[#This Row],[vy]])/1000000</f>
        <v>10.073717427732785</v>
      </c>
      <c r="H598">
        <f>IF($B$3,-Tabelle2[[#This Row],[Fd]]*Tabelle2[[#This Row],[vx]]/Tabelle2[[#This Row],[v]],0)</f>
        <v>0</v>
      </c>
      <c r="I598">
        <f t="shared" si="99"/>
        <v>0</v>
      </c>
      <c r="J598">
        <f t="shared" si="100"/>
        <v>0</v>
      </c>
      <c r="K598">
        <f t="shared" si="101"/>
        <v>1.0467394398169905</v>
      </c>
      <c r="L598">
        <f>-$B$5*$B$12-IF($B$3,Tabelle2[[#This Row],[Fd]]*Tabelle2[[#This Row],[vy]]/Tabelle2[[#This Row],[v]],0)</f>
        <v>-14.715</v>
      </c>
      <c r="M598">
        <f t="shared" si="102"/>
        <v>-9.81</v>
      </c>
      <c r="N598">
        <f t="shared" si="103"/>
        <v>-0.19620000000000001</v>
      </c>
      <c r="O598">
        <f t="shared" si="104"/>
        <v>-1.0892865120880395</v>
      </c>
      <c r="P598" s="1">
        <f t="shared" si="106"/>
        <v>52.336971990849527</v>
      </c>
      <c r="Q598" s="1">
        <f t="shared" si="107"/>
        <v>-54.366225604401976</v>
      </c>
      <c r="R598">
        <f>SQRT(Tabelle2[[#This Row],[vx]]*Tabelle2[[#This Row],[vx]]+Tabelle2[[#This Row],[vy]]*Tabelle2[[#This Row],[vy]])</f>
        <v>75.464197628012329</v>
      </c>
      <c r="S598">
        <f t="shared" si="108"/>
        <v>622.80996669110505</v>
      </c>
      <c r="T598" s="1">
        <f t="shared" si="109"/>
        <v>49.353390088240467</v>
      </c>
    </row>
    <row r="599" spans="6:20" x14ac:dyDescent="0.35">
      <c r="F599" s="1">
        <f t="shared" si="105"/>
        <v>11.919999999999835</v>
      </c>
      <c r="G599">
        <f>1/2*$B$8*$B$6*$B$7*(Tabelle2[[#This Row],[vx]]*Tabelle2[[#This Row],[vx]]+Tabelle2[[#This Row],[vy]]*Tabelle2[[#This Row],[vy]])/1000000</f>
        <v>10.111522404553098</v>
      </c>
      <c r="H599">
        <f>IF($B$3,-Tabelle2[[#This Row],[Fd]]*Tabelle2[[#This Row],[vx]]/Tabelle2[[#This Row],[v]],0)</f>
        <v>0</v>
      </c>
      <c r="I599">
        <f t="shared" si="99"/>
        <v>0</v>
      </c>
      <c r="J599">
        <f t="shared" si="100"/>
        <v>0</v>
      </c>
      <c r="K599">
        <f t="shared" si="101"/>
        <v>1.0467394398169905</v>
      </c>
      <c r="L599">
        <f>-$B$5*$B$12-IF($B$3,Tabelle2[[#This Row],[Fd]]*Tabelle2[[#This Row],[vy]]/Tabelle2[[#This Row],[v]],0)</f>
        <v>-14.715</v>
      </c>
      <c r="M599">
        <f t="shared" si="102"/>
        <v>-9.81</v>
      </c>
      <c r="N599">
        <f t="shared" si="103"/>
        <v>-0.19620000000000001</v>
      </c>
      <c r="O599">
        <f t="shared" si="104"/>
        <v>-1.0932105120880395</v>
      </c>
      <c r="P599" s="1">
        <f t="shared" si="106"/>
        <v>52.336971990849527</v>
      </c>
      <c r="Q599" s="1">
        <f t="shared" si="107"/>
        <v>-54.562425604401973</v>
      </c>
      <c r="R599">
        <f>SQRT(Tabelle2[[#This Row],[vx]]*Tabelle2[[#This Row],[vx]]+Tabelle2[[#This Row],[vy]]*Tabelle2[[#This Row],[vy]])</f>
        <v>75.60566728101054</v>
      </c>
      <c r="S599">
        <f t="shared" si="108"/>
        <v>623.85670613092202</v>
      </c>
      <c r="T599" s="1">
        <f t="shared" si="109"/>
        <v>48.264103576152429</v>
      </c>
    </row>
    <row r="600" spans="6:20" x14ac:dyDescent="0.35">
      <c r="F600" s="1">
        <f t="shared" si="105"/>
        <v>11.939999999999834</v>
      </c>
      <c r="G600">
        <f>1/2*$B$8*$B$6*$B$7*(Tabelle2[[#This Row],[vx]]*Tabelle2[[#This Row],[vx]]+Tabelle2[[#This Row],[vy]]*Tabelle2[[#This Row],[vy]])/1000000</f>
        <v>10.149463568434754</v>
      </c>
      <c r="H600">
        <f>IF($B$3,-Tabelle2[[#This Row],[Fd]]*Tabelle2[[#This Row],[vx]]/Tabelle2[[#This Row],[v]],0)</f>
        <v>0</v>
      </c>
      <c r="I600">
        <f t="shared" si="99"/>
        <v>0</v>
      </c>
      <c r="J600">
        <f t="shared" si="100"/>
        <v>0</v>
      </c>
      <c r="K600">
        <f t="shared" si="101"/>
        <v>1.0467394398169905</v>
      </c>
      <c r="L600">
        <f>-$B$5*$B$12-IF($B$3,Tabelle2[[#This Row],[Fd]]*Tabelle2[[#This Row],[vy]]/Tabelle2[[#This Row],[v]],0)</f>
        <v>-14.715</v>
      </c>
      <c r="M600">
        <f t="shared" si="102"/>
        <v>-9.81</v>
      </c>
      <c r="N600">
        <f t="shared" si="103"/>
        <v>-0.19620000000000001</v>
      </c>
      <c r="O600">
        <f t="shared" si="104"/>
        <v>-1.0971345120880396</v>
      </c>
      <c r="P600" s="1">
        <f t="shared" si="106"/>
        <v>52.336971990849527</v>
      </c>
      <c r="Q600" s="1">
        <f t="shared" si="107"/>
        <v>-54.758625604401971</v>
      </c>
      <c r="R600">
        <f>SQRT(Tabelle2[[#This Row],[vx]]*Tabelle2[[#This Row],[vx]]+Tabelle2[[#This Row],[vy]]*Tabelle2[[#This Row],[vy]])</f>
        <v>75.747380913494524</v>
      </c>
      <c r="S600">
        <f t="shared" si="108"/>
        <v>624.903445570739</v>
      </c>
      <c r="T600" s="1">
        <f t="shared" si="109"/>
        <v>47.170893064064387</v>
      </c>
    </row>
    <row r="601" spans="6:20" x14ac:dyDescent="0.35">
      <c r="F601" s="1">
        <f t="shared" si="105"/>
        <v>11.959999999999834</v>
      </c>
      <c r="G601">
        <f>1/2*$B$8*$B$6*$B$7*(Tabelle2[[#This Row],[vx]]*Tabelle2[[#This Row],[vx]]+Tabelle2[[#This Row],[vy]]*Tabelle2[[#This Row],[vy]])/1000000</f>
        <v>10.187540919377755</v>
      </c>
      <c r="H601">
        <f>IF($B$3,-Tabelle2[[#This Row],[Fd]]*Tabelle2[[#This Row],[vx]]/Tabelle2[[#This Row],[v]],0)</f>
        <v>0</v>
      </c>
      <c r="I601">
        <f t="shared" si="99"/>
        <v>0</v>
      </c>
      <c r="J601">
        <f t="shared" si="100"/>
        <v>0</v>
      </c>
      <c r="K601">
        <f t="shared" si="101"/>
        <v>1.0467394398169905</v>
      </c>
      <c r="L601">
        <f>-$B$5*$B$12-IF($B$3,Tabelle2[[#This Row],[Fd]]*Tabelle2[[#This Row],[vy]]/Tabelle2[[#This Row],[v]],0)</f>
        <v>-14.715</v>
      </c>
      <c r="M601">
        <f t="shared" si="102"/>
        <v>-9.81</v>
      </c>
      <c r="N601">
        <f t="shared" si="103"/>
        <v>-0.19620000000000001</v>
      </c>
      <c r="O601">
        <f t="shared" si="104"/>
        <v>-1.1010585120880394</v>
      </c>
      <c r="P601" s="1">
        <f t="shared" si="106"/>
        <v>52.336971990849527</v>
      </c>
      <c r="Q601" s="1">
        <f t="shared" si="107"/>
        <v>-54.954825604401968</v>
      </c>
      <c r="R601">
        <f>SQRT(Tabelle2[[#This Row],[vx]]*Tabelle2[[#This Row],[vx]]+Tabelle2[[#This Row],[vy]]*Tabelle2[[#This Row],[vy]])</f>
        <v>75.889337158662826</v>
      </c>
      <c r="S601">
        <f t="shared" si="108"/>
        <v>625.95018501055597</v>
      </c>
      <c r="T601" s="1">
        <f t="shared" si="109"/>
        <v>46.073758551976347</v>
      </c>
    </row>
    <row r="602" spans="6:20" x14ac:dyDescent="0.35">
      <c r="F602" s="1">
        <f t="shared" si="105"/>
        <v>11.979999999999833</v>
      </c>
      <c r="G602">
        <f>1/2*$B$8*$B$6*$B$7*(Tabelle2[[#This Row],[vx]]*Tabelle2[[#This Row],[vx]]+Tabelle2[[#This Row],[vy]]*Tabelle2[[#This Row],[vy]])/1000000</f>
        <v>10.225754457382102</v>
      </c>
      <c r="H602">
        <f>IF($B$3,-Tabelle2[[#This Row],[Fd]]*Tabelle2[[#This Row],[vx]]/Tabelle2[[#This Row],[v]],0)</f>
        <v>0</v>
      </c>
      <c r="I602">
        <f t="shared" si="99"/>
        <v>0</v>
      </c>
      <c r="J602">
        <f t="shared" si="100"/>
        <v>0</v>
      </c>
      <c r="K602">
        <f t="shared" si="101"/>
        <v>1.0467394398169905</v>
      </c>
      <c r="L602">
        <f>-$B$5*$B$12-IF($B$3,Tabelle2[[#This Row],[Fd]]*Tabelle2[[#This Row],[vy]]/Tabelle2[[#This Row],[v]],0)</f>
        <v>-14.715</v>
      </c>
      <c r="M602">
        <f t="shared" si="102"/>
        <v>-9.81</v>
      </c>
      <c r="N602">
        <f t="shared" si="103"/>
        <v>-0.19620000000000001</v>
      </c>
      <c r="O602">
        <f t="shared" si="104"/>
        <v>-1.1049825120880394</v>
      </c>
      <c r="P602" s="1">
        <f t="shared" si="106"/>
        <v>52.336971990849527</v>
      </c>
      <c r="Q602" s="1">
        <f t="shared" si="107"/>
        <v>-55.151025604401966</v>
      </c>
      <c r="R602">
        <f>SQRT(Tabelle2[[#This Row],[vx]]*Tabelle2[[#This Row],[vx]]+Tabelle2[[#This Row],[vy]]*Tabelle2[[#This Row],[vy]])</f>
        <v>76.031534657590399</v>
      </c>
      <c r="S602">
        <f t="shared" si="108"/>
        <v>626.99692445037294</v>
      </c>
      <c r="T602" s="1">
        <f t="shared" si="109"/>
        <v>44.972700039888309</v>
      </c>
    </row>
    <row r="603" spans="6:20" x14ac:dyDescent="0.35">
      <c r="F603" s="1">
        <f t="shared" si="105"/>
        <v>11.999999999999833</v>
      </c>
      <c r="G603">
        <f>1/2*$B$8*$B$6*$B$7*(Tabelle2[[#This Row],[vx]]*Tabelle2[[#This Row],[vx]]+Tabelle2[[#This Row],[vy]]*Tabelle2[[#This Row],[vy]])/1000000</f>
        <v>10.264104182447792</v>
      </c>
      <c r="H603">
        <f>IF($B$3,-Tabelle2[[#This Row],[Fd]]*Tabelle2[[#This Row],[vx]]/Tabelle2[[#This Row],[v]],0)</f>
        <v>0</v>
      </c>
      <c r="I603">
        <f t="shared" si="99"/>
        <v>0</v>
      </c>
      <c r="J603">
        <f t="shared" si="100"/>
        <v>0</v>
      </c>
      <c r="K603">
        <f t="shared" si="101"/>
        <v>1.0467394398169905</v>
      </c>
      <c r="L603">
        <f>-$B$5*$B$12-IF($B$3,Tabelle2[[#This Row],[Fd]]*Tabelle2[[#This Row],[vy]]/Tabelle2[[#This Row],[v]],0)</f>
        <v>-14.715</v>
      </c>
      <c r="M603">
        <f t="shared" si="102"/>
        <v>-9.81</v>
      </c>
      <c r="N603">
        <f t="shared" si="103"/>
        <v>-0.19620000000000001</v>
      </c>
      <c r="O603">
        <f t="shared" si="104"/>
        <v>-1.1089065120880393</v>
      </c>
      <c r="P603" s="1">
        <f t="shared" si="106"/>
        <v>52.336971990849527</v>
      </c>
      <c r="Q603" s="1">
        <f t="shared" si="107"/>
        <v>-55.347225604401963</v>
      </c>
      <c r="R603">
        <f>SQRT(Tabelle2[[#This Row],[vx]]*Tabelle2[[#This Row],[vx]]+Tabelle2[[#This Row],[vy]]*Tabelle2[[#This Row],[vy]])</f>
        <v>76.173972059198391</v>
      </c>
      <c r="S603">
        <f t="shared" si="108"/>
        <v>628.04366389018992</v>
      </c>
      <c r="T603" s="1">
        <f t="shared" si="109"/>
        <v>43.867717527800266</v>
      </c>
    </row>
    <row r="604" spans="6:20" x14ac:dyDescent="0.35">
      <c r="F604" s="1">
        <f t="shared" si="105"/>
        <v>12.019999999999833</v>
      </c>
      <c r="G604">
        <f>1/2*$B$8*$B$6*$B$7*(Tabelle2[[#This Row],[vx]]*Tabelle2[[#This Row],[vx]]+Tabelle2[[#This Row],[vy]]*Tabelle2[[#This Row],[vy]])/1000000</f>
        <v>10.302590094574825</v>
      </c>
      <c r="H604">
        <f>IF($B$3,-Tabelle2[[#This Row],[Fd]]*Tabelle2[[#This Row],[vx]]/Tabelle2[[#This Row],[v]],0)</f>
        <v>0</v>
      </c>
      <c r="I604">
        <f t="shared" si="99"/>
        <v>0</v>
      </c>
      <c r="J604">
        <f t="shared" si="100"/>
        <v>0</v>
      </c>
      <c r="K604">
        <f t="shared" si="101"/>
        <v>1.0467394398169905</v>
      </c>
      <c r="L604">
        <f>-$B$5*$B$12-IF($B$3,Tabelle2[[#This Row],[Fd]]*Tabelle2[[#This Row],[vy]]/Tabelle2[[#This Row],[v]],0)</f>
        <v>-14.715</v>
      </c>
      <c r="M604">
        <f t="shared" si="102"/>
        <v>-9.81</v>
      </c>
      <c r="N604">
        <f t="shared" si="103"/>
        <v>-0.19620000000000001</v>
      </c>
      <c r="O604">
        <f t="shared" si="104"/>
        <v>-1.1128305120880393</v>
      </c>
      <c r="P604" s="1">
        <f t="shared" si="106"/>
        <v>52.336971990849527</v>
      </c>
      <c r="Q604" s="1">
        <f t="shared" si="107"/>
        <v>-55.543425604401961</v>
      </c>
      <c r="R604">
        <f>SQRT(Tabelle2[[#This Row],[vx]]*Tabelle2[[#This Row],[vx]]+Tabelle2[[#This Row],[vy]]*Tabelle2[[#This Row],[vy]])</f>
        <v>76.316648020223624</v>
      </c>
      <c r="S604">
        <f t="shared" si="108"/>
        <v>629.09040333000689</v>
      </c>
      <c r="T604" s="1">
        <f t="shared" si="109"/>
        <v>42.758811015712226</v>
      </c>
    </row>
    <row r="605" spans="6:20" x14ac:dyDescent="0.35">
      <c r="F605" s="1">
        <f t="shared" si="105"/>
        <v>12.039999999999832</v>
      </c>
      <c r="G605">
        <f>1/2*$B$8*$B$6*$B$7*(Tabelle2[[#This Row],[vx]]*Tabelle2[[#This Row],[vx]]+Tabelle2[[#This Row],[vy]]*Tabelle2[[#This Row],[vy]])/1000000</f>
        <v>10.341212193763202</v>
      </c>
      <c r="H605">
        <f>IF($B$3,-Tabelle2[[#This Row],[Fd]]*Tabelle2[[#This Row],[vx]]/Tabelle2[[#This Row],[v]],0)</f>
        <v>0</v>
      </c>
      <c r="I605">
        <f t="shared" si="99"/>
        <v>0</v>
      </c>
      <c r="J605">
        <f t="shared" si="100"/>
        <v>0</v>
      </c>
      <c r="K605">
        <f t="shared" si="101"/>
        <v>1.0467394398169905</v>
      </c>
      <c r="L605">
        <f>-$B$5*$B$12-IF($B$3,Tabelle2[[#This Row],[Fd]]*Tabelle2[[#This Row],[vy]]/Tabelle2[[#This Row],[v]],0)</f>
        <v>-14.715</v>
      </c>
      <c r="M605">
        <f t="shared" si="102"/>
        <v>-9.81</v>
      </c>
      <c r="N605">
        <f t="shared" si="103"/>
        <v>-0.19620000000000001</v>
      </c>
      <c r="O605">
        <f t="shared" si="104"/>
        <v>-1.1167545120880393</v>
      </c>
      <c r="P605" s="1">
        <f t="shared" si="106"/>
        <v>52.336971990849527</v>
      </c>
      <c r="Q605" s="1">
        <f t="shared" si="107"/>
        <v>-55.739625604401958</v>
      </c>
      <c r="R605">
        <f>SQRT(Tabelle2[[#This Row],[vx]]*Tabelle2[[#This Row],[vx]]+Tabelle2[[#This Row],[vy]]*Tabelle2[[#This Row],[vy]])</f>
        <v>76.459561205187867</v>
      </c>
      <c r="S605">
        <f t="shared" si="108"/>
        <v>630.13714276982387</v>
      </c>
      <c r="T605" s="1">
        <f t="shared" si="109"/>
        <v>41.645980503624187</v>
      </c>
    </row>
    <row r="606" spans="6:20" x14ac:dyDescent="0.35">
      <c r="F606" s="1">
        <f t="shared" si="105"/>
        <v>12.059999999999832</v>
      </c>
      <c r="G606">
        <f>1/2*$B$8*$B$6*$B$7*(Tabelle2[[#This Row],[vx]]*Tabelle2[[#This Row],[vx]]+Tabelle2[[#This Row],[vy]]*Tabelle2[[#This Row],[vy]])/1000000</f>
        <v>10.379970480012924</v>
      </c>
      <c r="H606">
        <f>IF($B$3,-Tabelle2[[#This Row],[Fd]]*Tabelle2[[#This Row],[vx]]/Tabelle2[[#This Row],[v]],0)</f>
        <v>0</v>
      </c>
      <c r="I606">
        <f t="shared" si="99"/>
        <v>0</v>
      </c>
      <c r="J606">
        <f t="shared" si="100"/>
        <v>0</v>
      </c>
      <c r="K606">
        <f t="shared" si="101"/>
        <v>1.0467394398169905</v>
      </c>
      <c r="L606">
        <f>-$B$5*$B$12-IF($B$3,Tabelle2[[#This Row],[Fd]]*Tabelle2[[#This Row],[vy]]/Tabelle2[[#This Row],[v]],0)</f>
        <v>-14.715</v>
      </c>
      <c r="M606">
        <f t="shared" si="102"/>
        <v>-9.81</v>
      </c>
      <c r="N606">
        <f t="shared" si="103"/>
        <v>-0.19620000000000001</v>
      </c>
      <c r="O606">
        <f t="shared" si="104"/>
        <v>-1.1206785120880391</v>
      </c>
      <c r="P606" s="1">
        <f t="shared" si="106"/>
        <v>52.336971990849527</v>
      </c>
      <c r="Q606" s="1">
        <f t="shared" si="107"/>
        <v>-55.935825604401956</v>
      </c>
      <c r="R606">
        <f>SQRT(Tabelle2[[#This Row],[vx]]*Tabelle2[[#This Row],[vx]]+Tabelle2[[#This Row],[vy]]*Tabelle2[[#This Row],[vy]])</f>
        <v>76.602710286366744</v>
      </c>
      <c r="S606">
        <f t="shared" si="108"/>
        <v>631.18388220964084</v>
      </c>
      <c r="T606" s="1">
        <f t="shared" si="109"/>
        <v>40.529225991536151</v>
      </c>
    </row>
    <row r="607" spans="6:20" x14ac:dyDescent="0.35">
      <c r="F607" s="1">
        <f t="shared" si="105"/>
        <v>12.079999999999831</v>
      </c>
      <c r="G607">
        <f>1/2*$B$8*$B$6*$B$7*(Tabelle2[[#This Row],[vx]]*Tabelle2[[#This Row],[vx]]+Tabelle2[[#This Row],[vy]]*Tabelle2[[#This Row],[vy]])/1000000</f>
        <v>10.418864953323988</v>
      </c>
      <c r="H607">
        <f>IF($B$3,-Tabelle2[[#This Row],[Fd]]*Tabelle2[[#This Row],[vx]]/Tabelle2[[#This Row],[v]],0)</f>
        <v>0</v>
      </c>
      <c r="I607">
        <f t="shared" si="99"/>
        <v>0</v>
      </c>
      <c r="J607">
        <f t="shared" si="100"/>
        <v>0</v>
      </c>
      <c r="K607">
        <f t="shared" si="101"/>
        <v>1.0467394398169905</v>
      </c>
      <c r="L607">
        <f>-$B$5*$B$12-IF($B$3,Tabelle2[[#This Row],[Fd]]*Tabelle2[[#This Row],[vy]]/Tabelle2[[#This Row],[v]],0)</f>
        <v>-14.715</v>
      </c>
      <c r="M607">
        <f t="shared" si="102"/>
        <v>-9.81</v>
      </c>
      <c r="N607">
        <f t="shared" si="103"/>
        <v>-0.19620000000000001</v>
      </c>
      <c r="O607">
        <f t="shared" si="104"/>
        <v>-1.1246025120880392</v>
      </c>
      <c r="P607" s="1">
        <f t="shared" si="106"/>
        <v>52.336971990849527</v>
      </c>
      <c r="Q607" s="1">
        <f t="shared" si="107"/>
        <v>-56.132025604401953</v>
      </c>
      <c r="R607">
        <f>SQRT(Tabelle2[[#This Row],[vx]]*Tabelle2[[#This Row],[vx]]+Tabelle2[[#This Row],[vy]]*Tabelle2[[#This Row],[vy]])</f>
        <v>76.746093943758495</v>
      </c>
      <c r="S607">
        <f t="shared" si="108"/>
        <v>632.23062164945782</v>
      </c>
      <c r="T607" s="1">
        <f t="shared" si="109"/>
        <v>39.40854747944811</v>
      </c>
    </row>
    <row r="608" spans="6:20" x14ac:dyDescent="0.35">
      <c r="F608" s="1">
        <f t="shared" si="105"/>
        <v>12.099999999999831</v>
      </c>
      <c r="G608">
        <f>1/2*$B$8*$B$6*$B$7*(Tabelle2[[#This Row],[vx]]*Tabelle2[[#This Row],[vx]]+Tabelle2[[#This Row],[vy]]*Tabelle2[[#This Row],[vy]])/1000000</f>
        <v>10.457895613696396</v>
      </c>
      <c r="H608">
        <f>IF($B$3,-Tabelle2[[#This Row],[Fd]]*Tabelle2[[#This Row],[vx]]/Tabelle2[[#This Row],[v]],0)</f>
        <v>0</v>
      </c>
      <c r="I608">
        <f t="shared" si="99"/>
        <v>0</v>
      </c>
      <c r="J608">
        <f t="shared" si="100"/>
        <v>0</v>
      </c>
      <c r="K608">
        <f t="shared" si="101"/>
        <v>1.0467394398169905</v>
      </c>
      <c r="L608">
        <f>-$B$5*$B$12-IF($B$3,Tabelle2[[#This Row],[Fd]]*Tabelle2[[#This Row],[vy]]/Tabelle2[[#This Row],[v]],0)</f>
        <v>-14.715</v>
      </c>
      <c r="M608">
        <f t="shared" si="102"/>
        <v>-9.81</v>
      </c>
      <c r="N608">
        <f t="shared" si="103"/>
        <v>-0.19620000000000001</v>
      </c>
      <c r="O608">
        <f t="shared" si="104"/>
        <v>-1.128526512088039</v>
      </c>
      <c r="P608" s="1">
        <f t="shared" si="106"/>
        <v>52.336971990849527</v>
      </c>
      <c r="Q608" s="1">
        <f t="shared" si="107"/>
        <v>-56.32822560440195</v>
      </c>
      <c r="R608">
        <f>SQRT(Tabelle2[[#This Row],[vx]]*Tabelle2[[#This Row],[vx]]+Tabelle2[[#This Row],[vy]]*Tabelle2[[#This Row],[vy]])</f>
        <v>76.889710865052493</v>
      </c>
      <c r="S608">
        <f t="shared" si="108"/>
        <v>633.27736108927479</v>
      </c>
      <c r="T608" s="1">
        <f t="shared" si="109"/>
        <v>38.283944967360071</v>
      </c>
    </row>
    <row r="609" spans="6:20" x14ac:dyDescent="0.35">
      <c r="F609" s="1">
        <f t="shared" si="105"/>
        <v>12.11999999999983</v>
      </c>
      <c r="G609">
        <f>1/2*$B$8*$B$6*$B$7*(Tabelle2[[#This Row],[vx]]*Tabelle2[[#This Row],[vx]]+Tabelle2[[#This Row],[vy]]*Tabelle2[[#This Row],[vy]])/1000000</f>
        <v>10.497062461130152</v>
      </c>
      <c r="H609">
        <f>IF($B$3,-Tabelle2[[#This Row],[Fd]]*Tabelle2[[#This Row],[vx]]/Tabelle2[[#This Row],[v]],0)</f>
        <v>0</v>
      </c>
      <c r="I609">
        <f t="shared" si="99"/>
        <v>0</v>
      </c>
      <c r="J609">
        <f t="shared" si="100"/>
        <v>0</v>
      </c>
      <c r="K609">
        <f t="shared" si="101"/>
        <v>1.0467394398169905</v>
      </c>
      <c r="L609">
        <f>-$B$5*$B$12-IF($B$3,Tabelle2[[#This Row],[Fd]]*Tabelle2[[#This Row],[vy]]/Tabelle2[[#This Row],[v]],0)</f>
        <v>-14.715</v>
      </c>
      <c r="M609">
        <f t="shared" si="102"/>
        <v>-9.81</v>
      </c>
      <c r="N609">
        <f t="shared" si="103"/>
        <v>-0.19620000000000001</v>
      </c>
      <c r="O609">
        <f t="shared" si="104"/>
        <v>-1.132450512088039</v>
      </c>
      <c r="P609" s="1">
        <f t="shared" si="106"/>
        <v>52.336971990849527</v>
      </c>
      <c r="Q609" s="1">
        <f t="shared" si="107"/>
        <v>-56.524425604401948</v>
      </c>
      <c r="R609">
        <f>SQRT(Tabelle2[[#This Row],[vx]]*Tabelle2[[#This Row],[vx]]+Tabelle2[[#This Row],[vy]]*Tabelle2[[#This Row],[vy]])</f>
        <v>77.033559745597486</v>
      </c>
      <c r="S609">
        <f t="shared" si="108"/>
        <v>634.32410052909177</v>
      </c>
      <c r="T609" s="1">
        <f t="shared" si="109"/>
        <v>37.155418455272034</v>
      </c>
    </row>
    <row r="610" spans="6:20" x14ac:dyDescent="0.35">
      <c r="F610" s="1">
        <f t="shared" si="105"/>
        <v>12.13999999999983</v>
      </c>
      <c r="G610">
        <f>1/2*$B$8*$B$6*$B$7*(Tabelle2[[#This Row],[vx]]*Tabelle2[[#This Row],[vx]]+Tabelle2[[#This Row],[vy]]*Tabelle2[[#This Row],[vy]])/1000000</f>
        <v>10.536365495625249</v>
      </c>
      <c r="H610">
        <f>IF($B$3,-Tabelle2[[#This Row],[Fd]]*Tabelle2[[#This Row],[vx]]/Tabelle2[[#This Row],[v]],0)</f>
        <v>0</v>
      </c>
      <c r="I610">
        <f t="shared" si="99"/>
        <v>0</v>
      </c>
      <c r="J610">
        <f t="shared" si="100"/>
        <v>0</v>
      </c>
      <c r="K610">
        <f t="shared" si="101"/>
        <v>1.0467394398169905</v>
      </c>
      <c r="L610">
        <f>-$B$5*$B$12-IF($B$3,Tabelle2[[#This Row],[Fd]]*Tabelle2[[#This Row],[vy]]/Tabelle2[[#This Row],[v]],0)</f>
        <v>-14.715</v>
      </c>
      <c r="M610">
        <f t="shared" si="102"/>
        <v>-9.81</v>
      </c>
      <c r="N610">
        <f t="shared" si="103"/>
        <v>-0.19620000000000001</v>
      </c>
      <c r="O610">
        <f t="shared" si="104"/>
        <v>-1.1363745120880391</v>
      </c>
      <c r="P610" s="1">
        <f t="shared" si="106"/>
        <v>52.336971990849527</v>
      </c>
      <c r="Q610" s="1">
        <f t="shared" si="107"/>
        <v>-56.720625604401945</v>
      </c>
      <c r="R610">
        <f>SQRT(Tabelle2[[#This Row],[vx]]*Tabelle2[[#This Row],[vx]]+Tabelle2[[#This Row],[vy]]*Tabelle2[[#This Row],[vy]])</f>
        <v>77.177639288369704</v>
      </c>
      <c r="S610">
        <f t="shared" si="108"/>
        <v>635.37083996890874</v>
      </c>
      <c r="T610" s="1">
        <f t="shared" si="109"/>
        <v>36.022967943183993</v>
      </c>
    </row>
    <row r="611" spans="6:20" x14ac:dyDescent="0.35">
      <c r="F611" s="1">
        <f t="shared" si="105"/>
        <v>12.15999999999983</v>
      </c>
      <c r="G611">
        <f>1/2*$B$8*$B$6*$B$7*(Tabelle2[[#This Row],[vx]]*Tabelle2[[#This Row],[vx]]+Tabelle2[[#This Row],[vy]]*Tabelle2[[#This Row],[vy]])/1000000</f>
        <v>10.57580471718169</v>
      </c>
      <c r="H611">
        <f>IF($B$3,-Tabelle2[[#This Row],[Fd]]*Tabelle2[[#This Row],[vx]]/Tabelle2[[#This Row],[v]],0)</f>
        <v>0</v>
      </c>
      <c r="I611">
        <f t="shared" si="99"/>
        <v>0</v>
      </c>
      <c r="J611">
        <f t="shared" si="100"/>
        <v>0</v>
      </c>
      <c r="K611">
        <f t="shared" si="101"/>
        <v>1.0467394398169905</v>
      </c>
      <c r="L611">
        <f>-$B$5*$B$12-IF($B$3,Tabelle2[[#This Row],[Fd]]*Tabelle2[[#This Row],[vy]]/Tabelle2[[#This Row],[v]],0)</f>
        <v>-14.715</v>
      </c>
      <c r="M611">
        <f t="shared" si="102"/>
        <v>-9.81</v>
      </c>
      <c r="N611">
        <f t="shared" si="103"/>
        <v>-0.19620000000000001</v>
      </c>
      <c r="O611">
        <f t="shared" si="104"/>
        <v>-1.1402985120880389</v>
      </c>
      <c r="P611" s="1">
        <f t="shared" si="106"/>
        <v>52.336971990849527</v>
      </c>
      <c r="Q611" s="1">
        <f t="shared" si="107"/>
        <v>-56.916825604401943</v>
      </c>
      <c r="R611">
        <f>SQRT(Tabelle2[[#This Row],[vx]]*Tabelle2[[#This Row],[vx]]+Tabelle2[[#This Row],[vy]]*Tabelle2[[#This Row],[vy]])</f>
        <v>77.321948203940593</v>
      </c>
      <c r="S611">
        <f t="shared" si="108"/>
        <v>636.41757940872571</v>
      </c>
      <c r="T611" s="1">
        <f t="shared" si="109"/>
        <v>34.886593431095953</v>
      </c>
    </row>
    <row r="612" spans="6:20" x14ac:dyDescent="0.35">
      <c r="F612" s="1">
        <f t="shared" si="105"/>
        <v>12.179999999999829</v>
      </c>
      <c r="G612">
        <f>1/2*$B$8*$B$6*$B$7*(Tabelle2[[#This Row],[vx]]*Tabelle2[[#This Row],[vx]]+Tabelle2[[#This Row],[vy]]*Tabelle2[[#This Row],[vy]])/1000000</f>
        <v>10.615380125799476</v>
      </c>
      <c r="H612">
        <f>IF($B$3,-Tabelle2[[#This Row],[Fd]]*Tabelle2[[#This Row],[vx]]/Tabelle2[[#This Row],[v]],0)</f>
        <v>0</v>
      </c>
      <c r="I612">
        <f t="shared" si="99"/>
        <v>0</v>
      </c>
      <c r="J612">
        <f t="shared" si="100"/>
        <v>0</v>
      </c>
      <c r="K612">
        <f t="shared" si="101"/>
        <v>1.0467394398169905</v>
      </c>
      <c r="L612">
        <f>-$B$5*$B$12-IF($B$3,Tabelle2[[#This Row],[Fd]]*Tabelle2[[#This Row],[vy]]/Tabelle2[[#This Row],[v]],0)</f>
        <v>-14.715</v>
      </c>
      <c r="M612">
        <f t="shared" si="102"/>
        <v>-9.81</v>
      </c>
      <c r="N612">
        <f t="shared" si="103"/>
        <v>-0.19620000000000001</v>
      </c>
      <c r="O612">
        <f t="shared" si="104"/>
        <v>-1.1442225120880389</v>
      </c>
      <c r="P612" s="1">
        <f t="shared" si="106"/>
        <v>52.336971990849527</v>
      </c>
      <c r="Q612" s="1">
        <f t="shared" si="107"/>
        <v>-57.11302560440194</v>
      </c>
      <c r="R612">
        <f>SQRT(Tabelle2[[#This Row],[vx]]*Tabelle2[[#This Row],[vx]]+Tabelle2[[#This Row],[vy]]*Tabelle2[[#This Row],[vy]])</f>
        <v>77.466485210444645</v>
      </c>
      <c r="S612">
        <f t="shared" si="108"/>
        <v>637.46431884854269</v>
      </c>
      <c r="T612" s="1">
        <f t="shared" si="109"/>
        <v>33.746294919007916</v>
      </c>
    </row>
    <row r="613" spans="6:20" x14ac:dyDescent="0.35">
      <c r="F613" s="1">
        <f t="shared" si="105"/>
        <v>12.199999999999829</v>
      </c>
      <c r="G613">
        <f>1/2*$B$8*$B$6*$B$7*(Tabelle2[[#This Row],[vx]]*Tabelle2[[#This Row],[vx]]+Tabelle2[[#This Row],[vy]]*Tabelle2[[#This Row],[vy]])/1000000</f>
        <v>10.655091721478605</v>
      </c>
      <c r="H613">
        <f>IF($B$3,-Tabelle2[[#This Row],[Fd]]*Tabelle2[[#This Row],[vx]]/Tabelle2[[#This Row],[v]],0)</f>
        <v>0</v>
      </c>
      <c r="I613">
        <f t="shared" si="99"/>
        <v>0</v>
      </c>
      <c r="J613">
        <f t="shared" si="100"/>
        <v>0</v>
      </c>
      <c r="K613">
        <f t="shared" si="101"/>
        <v>1.0467394398169905</v>
      </c>
      <c r="L613">
        <f>-$B$5*$B$12-IF($B$3,Tabelle2[[#This Row],[Fd]]*Tabelle2[[#This Row],[vy]]/Tabelle2[[#This Row],[v]],0)</f>
        <v>-14.715</v>
      </c>
      <c r="M613">
        <f t="shared" si="102"/>
        <v>-9.81</v>
      </c>
      <c r="N613">
        <f t="shared" si="103"/>
        <v>-0.19620000000000001</v>
      </c>
      <c r="O613">
        <f t="shared" si="104"/>
        <v>-1.1481465120880388</v>
      </c>
      <c r="P613" s="1">
        <f t="shared" si="106"/>
        <v>52.336971990849527</v>
      </c>
      <c r="Q613" s="1">
        <f t="shared" si="107"/>
        <v>-57.309225604401938</v>
      </c>
      <c r="R613">
        <f>SQRT(Tabelle2[[#This Row],[vx]]*Tabelle2[[#This Row],[vx]]+Tabelle2[[#This Row],[vy]]*Tabelle2[[#This Row],[vy]])</f>
        <v>77.611249033546727</v>
      </c>
      <c r="S613">
        <f t="shared" si="108"/>
        <v>638.51105828835966</v>
      </c>
      <c r="T613" s="1">
        <f t="shared" si="109"/>
        <v>32.602072406919874</v>
      </c>
    </row>
    <row r="614" spans="6:20" x14ac:dyDescent="0.35">
      <c r="F614" s="1">
        <f t="shared" si="105"/>
        <v>12.219999999999828</v>
      </c>
      <c r="G614">
        <f>1/2*$B$8*$B$6*$B$7*(Tabelle2[[#This Row],[vx]]*Tabelle2[[#This Row],[vx]]+Tabelle2[[#This Row],[vy]]*Tabelle2[[#This Row],[vy]])/1000000</f>
        <v>10.694939504219077</v>
      </c>
      <c r="H614">
        <f>IF($B$3,-Tabelle2[[#This Row],[Fd]]*Tabelle2[[#This Row],[vx]]/Tabelle2[[#This Row],[v]],0)</f>
        <v>0</v>
      </c>
      <c r="I614">
        <f t="shared" si="99"/>
        <v>0</v>
      </c>
      <c r="J614">
        <f t="shared" si="100"/>
        <v>0</v>
      </c>
      <c r="K614">
        <f t="shared" si="101"/>
        <v>1.0467394398169905</v>
      </c>
      <c r="L614">
        <f>-$B$5*$B$12-IF($B$3,Tabelle2[[#This Row],[Fd]]*Tabelle2[[#This Row],[vy]]/Tabelle2[[#This Row],[v]],0)</f>
        <v>-14.715</v>
      </c>
      <c r="M614">
        <f t="shared" si="102"/>
        <v>-9.81</v>
      </c>
      <c r="N614">
        <f t="shared" si="103"/>
        <v>-0.19620000000000001</v>
      </c>
      <c r="O614">
        <f t="shared" si="104"/>
        <v>-1.1520705120880388</v>
      </c>
      <c r="P614" s="1">
        <f t="shared" si="106"/>
        <v>52.336971990849527</v>
      </c>
      <c r="Q614" s="1">
        <f t="shared" si="107"/>
        <v>-57.505425604401935</v>
      </c>
      <c r="R614">
        <f>SQRT(Tabelle2[[#This Row],[vx]]*Tabelle2[[#This Row],[vx]]+Tabelle2[[#This Row],[vy]]*Tabelle2[[#This Row],[vy]])</f>
        <v>77.756238406409381</v>
      </c>
      <c r="S614">
        <f t="shared" si="108"/>
        <v>639.55779772817664</v>
      </c>
      <c r="T614" s="1">
        <f t="shared" si="109"/>
        <v>31.453925894831833</v>
      </c>
    </row>
    <row r="615" spans="6:20" x14ac:dyDescent="0.35">
      <c r="F615" s="1">
        <f t="shared" si="105"/>
        <v>12.239999999999828</v>
      </c>
      <c r="G615">
        <f>1/2*$B$8*$B$6*$B$7*(Tabelle2[[#This Row],[vx]]*Tabelle2[[#This Row],[vx]]+Tabelle2[[#This Row],[vy]]*Tabelle2[[#This Row],[vy]])/1000000</f>
        <v>10.734923474020892</v>
      </c>
      <c r="H615">
        <f>IF($B$3,-Tabelle2[[#This Row],[Fd]]*Tabelle2[[#This Row],[vx]]/Tabelle2[[#This Row],[v]],0)</f>
        <v>0</v>
      </c>
      <c r="I615">
        <f t="shared" si="99"/>
        <v>0</v>
      </c>
      <c r="J615">
        <f t="shared" si="100"/>
        <v>0</v>
      </c>
      <c r="K615">
        <f t="shared" si="101"/>
        <v>1.0467394398169905</v>
      </c>
      <c r="L615">
        <f>-$B$5*$B$12-IF($B$3,Tabelle2[[#This Row],[Fd]]*Tabelle2[[#This Row],[vy]]/Tabelle2[[#This Row],[v]],0)</f>
        <v>-14.715</v>
      </c>
      <c r="M615">
        <f t="shared" si="102"/>
        <v>-9.81</v>
      </c>
      <c r="N615">
        <f t="shared" si="103"/>
        <v>-0.19620000000000001</v>
      </c>
      <c r="O615">
        <f t="shared" si="104"/>
        <v>-1.1559945120880388</v>
      </c>
      <c r="P615" s="1">
        <f t="shared" si="106"/>
        <v>52.336971990849527</v>
      </c>
      <c r="Q615" s="1">
        <f t="shared" si="107"/>
        <v>-57.701625604401933</v>
      </c>
      <c r="R615">
        <f>SQRT(Tabelle2[[#This Row],[vx]]*Tabelle2[[#This Row],[vx]]+Tabelle2[[#This Row],[vy]]*Tabelle2[[#This Row],[vy]])</f>
        <v>77.901452069660039</v>
      </c>
      <c r="S615">
        <f t="shared" si="108"/>
        <v>640.60453716799361</v>
      </c>
      <c r="T615" s="1">
        <f t="shared" si="109"/>
        <v>30.301855382743796</v>
      </c>
    </row>
    <row r="616" spans="6:20" x14ac:dyDescent="0.35">
      <c r="F616" s="1">
        <f t="shared" si="105"/>
        <v>12.259999999999827</v>
      </c>
      <c r="G616">
        <f>1/2*$B$8*$B$6*$B$7*(Tabelle2[[#This Row],[vx]]*Tabelle2[[#This Row],[vx]]+Tabelle2[[#This Row],[vy]]*Tabelle2[[#This Row],[vy]])/1000000</f>
        <v>10.775043630884054</v>
      </c>
      <c r="H616">
        <f>IF($B$3,-Tabelle2[[#This Row],[Fd]]*Tabelle2[[#This Row],[vx]]/Tabelle2[[#This Row],[v]],0)</f>
        <v>0</v>
      </c>
      <c r="I616">
        <f t="shared" si="99"/>
        <v>0</v>
      </c>
      <c r="J616">
        <f t="shared" si="100"/>
        <v>0</v>
      </c>
      <c r="K616">
        <f t="shared" si="101"/>
        <v>1.0467394398169905</v>
      </c>
      <c r="L616">
        <f>-$B$5*$B$12-IF($B$3,Tabelle2[[#This Row],[Fd]]*Tabelle2[[#This Row],[vy]]/Tabelle2[[#This Row],[v]],0)</f>
        <v>-14.715</v>
      </c>
      <c r="M616">
        <f t="shared" si="102"/>
        <v>-9.81</v>
      </c>
      <c r="N616">
        <f t="shared" si="103"/>
        <v>-0.19620000000000001</v>
      </c>
      <c r="O616">
        <f t="shared" si="104"/>
        <v>-1.1599185120880386</v>
      </c>
      <c r="P616" s="1">
        <f t="shared" si="106"/>
        <v>52.336971990849527</v>
      </c>
      <c r="Q616" s="1">
        <f t="shared" si="107"/>
        <v>-57.89782560440193</v>
      </c>
      <c r="R616">
        <f>SQRT(Tabelle2[[#This Row],[vx]]*Tabelle2[[#This Row],[vx]]+Tabelle2[[#This Row],[vy]]*Tabelle2[[#This Row],[vy]])</f>
        <v>78.046888771357871</v>
      </c>
      <c r="S616">
        <f t="shared" si="108"/>
        <v>641.65127660781059</v>
      </c>
      <c r="T616" s="1">
        <f t="shared" si="109"/>
        <v>29.145860870655756</v>
      </c>
    </row>
    <row r="617" spans="6:20" x14ac:dyDescent="0.35">
      <c r="F617" s="1">
        <f t="shared" si="105"/>
        <v>12.279999999999827</v>
      </c>
      <c r="G617">
        <f>1/2*$B$8*$B$6*$B$7*(Tabelle2[[#This Row],[vx]]*Tabelle2[[#This Row],[vx]]+Tabelle2[[#This Row],[vy]]*Tabelle2[[#This Row],[vy]])/1000000</f>
        <v>10.815299974808561</v>
      </c>
      <c r="H617">
        <f>IF($B$3,-Tabelle2[[#This Row],[Fd]]*Tabelle2[[#This Row],[vx]]/Tabelle2[[#This Row],[v]],0)</f>
        <v>0</v>
      </c>
      <c r="I617">
        <f t="shared" si="99"/>
        <v>0</v>
      </c>
      <c r="J617">
        <f t="shared" si="100"/>
        <v>0</v>
      </c>
      <c r="K617">
        <f t="shared" si="101"/>
        <v>1.0467394398169905</v>
      </c>
      <c r="L617">
        <f>-$B$5*$B$12-IF($B$3,Tabelle2[[#This Row],[Fd]]*Tabelle2[[#This Row],[vy]]/Tabelle2[[#This Row],[v]],0)</f>
        <v>-14.715</v>
      </c>
      <c r="M617">
        <f t="shared" si="102"/>
        <v>-9.81</v>
      </c>
      <c r="N617">
        <f t="shared" si="103"/>
        <v>-0.19620000000000001</v>
      </c>
      <c r="O617">
        <f t="shared" si="104"/>
        <v>-1.1638425120880387</v>
      </c>
      <c r="P617" s="1">
        <f t="shared" si="106"/>
        <v>52.336971990849527</v>
      </c>
      <c r="Q617" s="1">
        <f t="shared" si="107"/>
        <v>-58.094025604401928</v>
      </c>
      <c r="R617">
        <f>SQRT(Tabelle2[[#This Row],[vx]]*Tabelle2[[#This Row],[vx]]+Tabelle2[[#This Row],[vy]]*Tabelle2[[#This Row],[vy]])</f>
        <v>78.192547266960645</v>
      </c>
      <c r="S617">
        <f t="shared" si="108"/>
        <v>642.69801604762756</v>
      </c>
      <c r="T617" s="1">
        <f t="shared" si="109"/>
        <v>27.985942358567719</v>
      </c>
    </row>
    <row r="618" spans="6:20" x14ac:dyDescent="0.35">
      <c r="F618" s="1">
        <f t="shared" si="105"/>
        <v>12.299999999999827</v>
      </c>
      <c r="G618">
        <f>1/2*$B$8*$B$6*$B$7*(Tabelle2[[#This Row],[vx]]*Tabelle2[[#This Row],[vx]]+Tabelle2[[#This Row],[vy]]*Tabelle2[[#This Row],[vy]])/1000000</f>
        <v>10.85569250579441</v>
      </c>
      <c r="H618">
        <f>IF($B$3,-Tabelle2[[#This Row],[Fd]]*Tabelle2[[#This Row],[vx]]/Tabelle2[[#This Row],[v]],0)</f>
        <v>0</v>
      </c>
      <c r="I618">
        <f t="shared" si="99"/>
        <v>0</v>
      </c>
      <c r="J618">
        <f t="shared" si="100"/>
        <v>0</v>
      </c>
      <c r="K618">
        <f t="shared" si="101"/>
        <v>1.0467394398169905</v>
      </c>
      <c r="L618">
        <f>-$B$5*$B$12-IF($B$3,Tabelle2[[#This Row],[Fd]]*Tabelle2[[#This Row],[vy]]/Tabelle2[[#This Row],[v]],0)</f>
        <v>-14.715</v>
      </c>
      <c r="M618">
        <f t="shared" si="102"/>
        <v>-9.81</v>
      </c>
      <c r="N618">
        <f t="shared" si="103"/>
        <v>-0.19620000000000001</v>
      </c>
      <c r="O618">
        <f t="shared" si="104"/>
        <v>-1.1677665120880385</v>
      </c>
      <c r="P618" s="1">
        <f t="shared" si="106"/>
        <v>52.336971990849527</v>
      </c>
      <c r="Q618" s="1">
        <f t="shared" si="107"/>
        <v>-58.290225604401925</v>
      </c>
      <c r="R618">
        <f>SQRT(Tabelle2[[#This Row],[vx]]*Tabelle2[[#This Row],[vx]]+Tabelle2[[#This Row],[vy]]*Tabelle2[[#This Row],[vy]])</f>
        <v>78.338426319291358</v>
      </c>
      <c r="S618">
        <f t="shared" si="108"/>
        <v>643.74475548744454</v>
      </c>
      <c r="T618" s="1">
        <f t="shared" si="109"/>
        <v>26.822099846479681</v>
      </c>
    </row>
    <row r="619" spans="6:20" x14ac:dyDescent="0.35">
      <c r="F619" s="1">
        <f t="shared" si="105"/>
        <v>12.319999999999826</v>
      </c>
      <c r="G619">
        <f>1/2*$B$8*$B$6*$B$7*(Tabelle2[[#This Row],[vx]]*Tabelle2[[#This Row],[vx]]+Tabelle2[[#This Row],[vy]]*Tabelle2[[#This Row],[vy]])/1000000</f>
        <v>10.896221223841602</v>
      </c>
      <c r="H619">
        <f>IF($B$3,-Tabelle2[[#This Row],[Fd]]*Tabelle2[[#This Row],[vx]]/Tabelle2[[#This Row],[v]],0)</f>
        <v>0</v>
      </c>
      <c r="I619">
        <f t="shared" si="99"/>
        <v>0</v>
      </c>
      <c r="J619">
        <f t="shared" si="100"/>
        <v>0</v>
      </c>
      <c r="K619">
        <f t="shared" si="101"/>
        <v>1.0467394398169905</v>
      </c>
      <c r="L619">
        <f>-$B$5*$B$12-IF($B$3,Tabelle2[[#This Row],[Fd]]*Tabelle2[[#This Row],[vy]]/Tabelle2[[#This Row],[v]],0)</f>
        <v>-14.715</v>
      </c>
      <c r="M619">
        <f t="shared" si="102"/>
        <v>-9.81</v>
      </c>
      <c r="N619">
        <f t="shared" si="103"/>
        <v>-0.19620000000000001</v>
      </c>
      <c r="O619">
        <f t="shared" si="104"/>
        <v>-1.1716905120880385</v>
      </c>
      <c r="P619" s="1">
        <f t="shared" si="106"/>
        <v>52.336971990849527</v>
      </c>
      <c r="Q619" s="1">
        <f t="shared" si="107"/>
        <v>-58.486425604401923</v>
      </c>
      <c r="R619">
        <f>SQRT(Tabelle2[[#This Row],[vx]]*Tabelle2[[#This Row],[vx]]+Tabelle2[[#This Row],[vy]]*Tabelle2[[#This Row],[vy]])</f>
        <v>78.484524698504785</v>
      </c>
      <c r="S619">
        <f t="shared" si="108"/>
        <v>644.79149492726151</v>
      </c>
      <c r="T619" s="1">
        <f t="shared" si="109"/>
        <v>25.654333334391641</v>
      </c>
    </row>
    <row r="620" spans="6:20" x14ac:dyDescent="0.35">
      <c r="F620" s="1">
        <f t="shared" si="105"/>
        <v>12.339999999999826</v>
      </c>
      <c r="G620">
        <f>1/2*$B$8*$B$6*$B$7*(Tabelle2[[#This Row],[vx]]*Tabelle2[[#This Row],[vx]]+Tabelle2[[#This Row],[vy]]*Tabelle2[[#This Row],[vy]])/1000000</f>
        <v>10.936886128950139</v>
      </c>
      <c r="H620">
        <f>IF($B$3,-Tabelle2[[#This Row],[Fd]]*Tabelle2[[#This Row],[vx]]/Tabelle2[[#This Row],[v]],0)</f>
        <v>0</v>
      </c>
      <c r="I620">
        <f t="shared" si="99"/>
        <v>0</v>
      </c>
      <c r="J620">
        <f t="shared" si="100"/>
        <v>0</v>
      </c>
      <c r="K620">
        <f t="shared" si="101"/>
        <v>1.0467394398169905</v>
      </c>
      <c r="L620">
        <f>-$B$5*$B$12-IF($B$3,Tabelle2[[#This Row],[Fd]]*Tabelle2[[#This Row],[vy]]/Tabelle2[[#This Row],[v]],0)</f>
        <v>-14.715</v>
      </c>
      <c r="M620">
        <f t="shared" si="102"/>
        <v>-9.81</v>
      </c>
      <c r="N620">
        <f t="shared" si="103"/>
        <v>-0.19620000000000001</v>
      </c>
      <c r="O620">
        <f t="shared" si="104"/>
        <v>-1.1756145120880386</v>
      </c>
      <c r="P620" s="1">
        <f t="shared" si="106"/>
        <v>52.336971990849527</v>
      </c>
      <c r="Q620" s="1">
        <f t="shared" si="107"/>
        <v>-58.68262560440192</v>
      </c>
      <c r="R620">
        <f>SQRT(Tabelle2[[#This Row],[vx]]*Tabelle2[[#This Row],[vx]]+Tabelle2[[#This Row],[vy]]*Tabelle2[[#This Row],[vy]])</f>
        <v>78.630841182053842</v>
      </c>
      <c r="S620">
        <f t="shared" si="108"/>
        <v>645.83823436707848</v>
      </c>
      <c r="T620" s="1">
        <f t="shared" si="109"/>
        <v>24.482642822303603</v>
      </c>
    </row>
    <row r="621" spans="6:20" x14ac:dyDescent="0.35">
      <c r="F621" s="1">
        <f t="shared" si="105"/>
        <v>12.359999999999825</v>
      </c>
      <c r="G621">
        <f>1/2*$B$8*$B$6*$B$7*(Tabelle2[[#This Row],[vx]]*Tabelle2[[#This Row],[vx]]+Tabelle2[[#This Row],[vy]]*Tabelle2[[#This Row],[vy]])/1000000</f>
        <v>10.977687221120021</v>
      </c>
      <c r="H621">
        <f>IF($B$3,-Tabelle2[[#This Row],[Fd]]*Tabelle2[[#This Row],[vx]]/Tabelle2[[#This Row],[v]],0)</f>
        <v>0</v>
      </c>
      <c r="I621">
        <f t="shared" si="99"/>
        <v>0</v>
      </c>
      <c r="J621">
        <f t="shared" si="100"/>
        <v>0</v>
      </c>
      <c r="K621">
        <f t="shared" si="101"/>
        <v>1.0467394398169905</v>
      </c>
      <c r="L621">
        <f>-$B$5*$B$12-IF($B$3,Tabelle2[[#This Row],[Fd]]*Tabelle2[[#This Row],[vy]]/Tabelle2[[#This Row],[v]],0)</f>
        <v>-14.715</v>
      </c>
      <c r="M621">
        <f t="shared" si="102"/>
        <v>-9.81</v>
      </c>
      <c r="N621">
        <f t="shared" si="103"/>
        <v>-0.19620000000000001</v>
      </c>
      <c r="O621">
        <f t="shared" si="104"/>
        <v>-1.1795385120880384</v>
      </c>
      <c r="P621" s="1">
        <f t="shared" si="106"/>
        <v>52.336971990849527</v>
      </c>
      <c r="Q621" s="1">
        <f t="shared" si="107"/>
        <v>-58.878825604401918</v>
      </c>
      <c r="R621">
        <f>SQRT(Tabelle2[[#This Row],[vx]]*Tabelle2[[#This Row],[vx]]+Tabelle2[[#This Row],[vy]]*Tabelle2[[#This Row],[vy]])</f>
        <v>78.777374554655879</v>
      </c>
      <c r="S621">
        <f t="shared" si="108"/>
        <v>646.88497380689546</v>
      </c>
      <c r="T621" s="1">
        <f t="shared" si="109"/>
        <v>23.307028310215564</v>
      </c>
    </row>
    <row r="622" spans="6:20" x14ac:dyDescent="0.35">
      <c r="F622" s="1">
        <f t="shared" si="105"/>
        <v>12.379999999999825</v>
      </c>
      <c r="G622">
        <f>1/2*$B$8*$B$6*$B$7*(Tabelle2[[#This Row],[vx]]*Tabelle2[[#This Row],[vx]]+Tabelle2[[#This Row],[vy]]*Tabelle2[[#This Row],[vy]])/1000000</f>
        <v>11.018624500351246</v>
      </c>
      <c r="H622">
        <f>IF($B$3,-Tabelle2[[#This Row],[Fd]]*Tabelle2[[#This Row],[vx]]/Tabelle2[[#This Row],[v]],0)</f>
        <v>0</v>
      </c>
      <c r="I622">
        <f t="shared" si="99"/>
        <v>0</v>
      </c>
      <c r="J622">
        <f t="shared" si="100"/>
        <v>0</v>
      </c>
      <c r="K622">
        <f t="shared" si="101"/>
        <v>1.0467394398169905</v>
      </c>
      <c r="L622">
        <f>-$B$5*$B$12-IF($B$3,Tabelle2[[#This Row],[Fd]]*Tabelle2[[#This Row],[vy]]/Tabelle2[[#This Row],[v]],0)</f>
        <v>-14.715</v>
      </c>
      <c r="M622">
        <f t="shared" si="102"/>
        <v>-9.81</v>
      </c>
      <c r="N622">
        <f t="shared" si="103"/>
        <v>-0.19620000000000001</v>
      </c>
      <c r="O622">
        <f t="shared" si="104"/>
        <v>-1.1834625120880384</v>
      </c>
      <c r="P622" s="1">
        <f t="shared" si="106"/>
        <v>52.336971990849527</v>
      </c>
      <c r="Q622" s="1">
        <f t="shared" si="107"/>
        <v>-59.075025604401915</v>
      </c>
      <c r="R622">
        <f>SQRT(Tabelle2[[#This Row],[vx]]*Tabelle2[[#This Row],[vx]]+Tabelle2[[#This Row],[vy]]*Tabelle2[[#This Row],[vy]])</f>
        <v>78.924123608258768</v>
      </c>
      <c r="S622">
        <f t="shared" si="108"/>
        <v>647.93171324671243</v>
      </c>
      <c r="T622" s="1">
        <f t="shared" si="109"/>
        <v>22.127489798127527</v>
      </c>
    </row>
    <row r="623" spans="6:20" x14ac:dyDescent="0.35">
      <c r="F623" s="1">
        <f t="shared" si="105"/>
        <v>12.399999999999824</v>
      </c>
      <c r="G623">
        <f>1/2*$B$8*$B$6*$B$7*(Tabelle2[[#This Row],[vx]]*Tabelle2[[#This Row],[vx]]+Tabelle2[[#This Row],[vy]]*Tabelle2[[#This Row],[vy]])/1000000</f>
        <v>11.059697966643816</v>
      </c>
      <c r="H623">
        <f>IF($B$3,-Tabelle2[[#This Row],[Fd]]*Tabelle2[[#This Row],[vx]]/Tabelle2[[#This Row],[v]],0)</f>
        <v>0</v>
      </c>
      <c r="I623">
        <f t="shared" si="99"/>
        <v>0</v>
      </c>
      <c r="J623">
        <f t="shared" si="100"/>
        <v>0</v>
      </c>
      <c r="K623">
        <f t="shared" si="101"/>
        <v>1.0467394398169905</v>
      </c>
      <c r="L623">
        <f>-$B$5*$B$12-IF($B$3,Tabelle2[[#This Row],[Fd]]*Tabelle2[[#This Row],[vy]]/Tabelle2[[#This Row],[v]],0)</f>
        <v>-14.715</v>
      </c>
      <c r="M623">
        <f t="shared" si="102"/>
        <v>-9.81</v>
      </c>
      <c r="N623">
        <f t="shared" si="103"/>
        <v>-0.19620000000000001</v>
      </c>
      <c r="O623">
        <f t="shared" si="104"/>
        <v>-1.1873865120880382</v>
      </c>
      <c r="P623" s="1">
        <f t="shared" si="106"/>
        <v>52.336971990849527</v>
      </c>
      <c r="Q623" s="1">
        <f t="shared" si="107"/>
        <v>-59.271225604401913</v>
      </c>
      <c r="R623">
        <f>SQRT(Tabelle2[[#This Row],[vx]]*Tabelle2[[#This Row],[vx]]+Tabelle2[[#This Row],[vy]]*Tabelle2[[#This Row],[vy]])</f>
        <v>79.071087142007073</v>
      </c>
      <c r="S623">
        <f t="shared" si="108"/>
        <v>648.97845268652941</v>
      </c>
      <c r="T623" s="1">
        <f t="shared" si="109"/>
        <v>20.944027286039489</v>
      </c>
    </row>
    <row r="624" spans="6:20" x14ac:dyDescent="0.35">
      <c r="F624" s="1">
        <f t="shared" si="105"/>
        <v>12.419999999999824</v>
      </c>
      <c r="G624">
        <f>1/2*$B$8*$B$6*$B$7*(Tabelle2[[#This Row],[vx]]*Tabelle2[[#This Row],[vx]]+Tabelle2[[#This Row],[vy]]*Tabelle2[[#This Row],[vy]])/1000000</f>
        <v>11.100907619997731</v>
      </c>
      <c r="H624">
        <f>IF($B$3,-Tabelle2[[#This Row],[Fd]]*Tabelle2[[#This Row],[vx]]/Tabelle2[[#This Row],[v]],0)</f>
        <v>0</v>
      </c>
      <c r="I624">
        <f t="shared" si="99"/>
        <v>0</v>
      </c>
      <c r="J624">
        <f t="shared" si="100"/>
        <v>0</v>
      </c>
      <c r="K624">
        <f t="shared" si="101"/>
        <v>1.0467394398169905</v>
      </c>
      <c r="L624">
        <f>-$B$5*$B$12-IF($B$3,Tabelle2[[#This Row],[Fd]]*Tabelle2[[#This Row],[vy]]/Tabelle2[[#This Row],[v]],0)</f>
        <v>-14.715</v>
      </c>
      <c r="M624">
        <f t="shared" si="102"/>
        <v>-9.81</v>
      </c>
      <c r="N624">
        <f t="shared" si="103"/>
        <v>-0.19620000000000001</v>
      </c>
      <c r="O624">
        <f t="shared" si="104"/>
        <v>-1.1913105120880383</v>
      </c>
      <c r="P624" s="1">
        <f t="shared" si="106"/>
        <v>52.336971990849527</v>
      </c>
      <c r="Q624" s="1">
        <f t="shared" si="107"/>
        <v>-59.46742560440191</v>
      </c>
      <c r="R624">
        <f>SQRT(Tabelle2[[#This Row],[vx]]*Tabelle2[[#This Row],[vx]]+Tabelle2[[#This Row],[vy]]*Tabelle2[[#This Row],[vy]])</f>
        <v>79.218263962207885</v>
      </c>
      <c r="S624">
        <f t="shared" si="108"/>
        <v>650.02519212634638</v>
      </c>
      <c r="T624" s="1">
        <f t="shared" si="109"/>
        <v>19.75664077395145</v>
      </c>
    </row>
    <row r="625" spans="6:20" x14ac:dyDescent="0.35">
      <c r="F625" s="1">
        <f t="shared" si="105"/>
        <v>12.439999999999824</v>
      </c>
      <c r="G625">
        <f>1/2*$B$8*$B$6*$B$7*(Tabelle2[[#This Row],[vx]]*Tabelle2[[#This Row],[vx]]+Tabelle2[[#This Row],[vy]]*Tabelle2[[#This Row],[vy]])/1000000</f>
        <v>11.142253460412986</v>
      </c>
      <c r="H625">
        <f>IF($B$3,-Tabelle2[[#This Row],[Fd]]*Tabelle2[[#This Row],[vx]]/Tabelle2[[#This Row],[v]],0)</f>
        <v>0</v>
      </c>
      <c r="I625">
        <f t="shared" si="99"/>
        <v>0</v>
      </c>
      <c r="J625">
        <f t="shared" si="100"/>
        <v>0</v>
      </c>
      <c r="K625">
        <f t="shared" si="101"/>
        <v>1.0467394398169905</v>
      </c>
      <c r="L625">
        <f>-$B$5*$B$12-IF($B$3,Tabelle2[[#This Row],[Fd]]*Tabelle2[[#This Row],[vy]]/Tabelle2[[#This Row],[v]],0)</f>
        <v>-14.715</v>
      </c>
      <c r="M625">
        <f t="shared" si="102"/>
        <v>-9.81</v>
      </c>
      <c r="N625">
        <f t="shared" si="103"/>
        <v>-0.19620000000000001</v>
      </c>
      <c r="O625">
        <f t="shared" si="104"/>
        <v>-1.1952345120880383</v>
      </c>
      <c r="P625" s="1">
        <f t="shared" si="106"/>
        <v>52.336971990849527</v>
      </c>
      <c r="Q625" s="1">
        <f t="shared" si="107"/>
        <v>-59.663625604401908</v>
      </c>
      <c r="R625">
        <f>SQRT(Tabelle2[[#This Row],[vx]]*Tabelle2[[#This Row],[vx]]+Tabelle2[[#This Row],[vy]]*Tabelle2[[#This Row],[vy]])</f>
        <v>79.3656528822967</v>
      </c>
      <c r="S625">
        <f t="shared" si="108"/>
        <v>651.07193156616336</v>
      </c>
      <c r="T625" s="1">
        <f t="shared" si="109"/>
        <v>18.565330261863412</v>
      </c>
    </row>
    <row r="626" spans="6:20" x14ac:dyDescent="0.35">
      <c r="F626" s="1">
        <f t="shared" si="105"/>
        <v>12.459999999999823</v>
      </c>
      <c r="G626">
        <f>1/2*$B$8*$B$6*$B$7*(Tabelle2[[#This Row],[vx]]*Tabelle2[[#This Row],[vx]]+Tabelle2[[#This Row],[vy]]*Tabelle2[[#This Row],[vy]])/1000000</f>
        <v>11.183735487889585</v>
      </c>
      <c r="H626">
        <f>IF($B$3,-Tabelle2[[#This Row],[Fd]]*Tabelle2[[#This Row],[vx]]/Tabelle2[[#This Row],[v]],0)</f>
        <v>0</v>
      </c>
      <c r="I626">
        <f t="shared" si="99"/>
        <v>0</v>
      </c>
      <c r="J626">
        <f t="shared" si="100"/>
        <v>0</v>
      </c>
      <c r="K626">
        <f t="shared" si="101"/>
        <v>1.0467394398169905</v>
      </c>
      <c r="L626">
        <f>-$B$5*$B$12-IF($B$3,Tabelle2[[#This Row],[Fd]]*Tabelle2[[#This Row],[vy]]/Tabelle2[[#This Row],[v]],0)</f>
        <v>-14.715</v>
      </c>
      <c r="M626">
        <f t="shared" si="102"/>
        <v>-9.81</v>
      </c>
      <c r="N626">
        <f t="shared" si="103"/>
        <v>-0.19620000000000001</v>
      </c>
      <c r="O626">
        <f t="shared" si="104"/>
        <v>-1.1991585120880381</v>
      </c>
      <c r="P626" s="1">
        <f t="shared" si="106"/>
        <v>52.336971990849527</v>
      </c>
      <c r="Q626" s="1">
        <f t="shared" si="107"/>
        <v>-59.859825604401905</v>
      </c>
      <c r="R626">
        <f>SQRT(Tabelle2[[#This Row],[vx]]*Tabelle2[[#This Row],[vx]]+Tabelle2[[#This Row],[vy]]*Tabelle2[[#This Row],[vy]])</f>
        <v>79.513252722803244</v>
      </c>
      <c r="S626">
        <f t="shared" si="108"/>
        <v>652.11867100598033</v>
      </c>
      <c r="T626" s="1">
        <f t="shared" si="109"/>
        <v>17.370095749775373</v>
      </c>
    </row>
    <row r="627" spans="6:20" x14ac:dyDescent="0.35">
      <c r="F627" s="1">
        <f t="shared" si="105"/>
        <v>12.479999999999823</v>
      </c>
      <c r="G627">
        <f>1/2*$B$8*$B$6*$B$7*(Tabelle2[[#This Row],[vx]]*Tabelle2[[#This Row],[vx]]+Tabelle2[[#This Row],[vy]]*Tabelle2[[#This Row],[vy]])/1000000</f>
        <v>11.225353702427533</v>
      </c>
      <c r="H627">
        <f>IF($B$3,-Tabelle2[[#This Row],[Fd]]*Tabelle2[[#This Row],[vx]]/Tabelle2[[#This Row],[v]],0)</f>
        <v>0</v>
      </c>
      <c r="I627">
        <f t="shared" si="99"/>
        <v>0</v>
      </c>
      <c r="J627">
        <f t="shared" si="100"/>
        <v>0</v>
      </c>
      <c r="K627">
        <f t="shared" si="101"/>
        <v>1.0467394398169905</v>
      </c>
      <c r="L627">
        <f>-$B$5*$B$12-IF($B$3,Tabelle2[[#This Row],[Fd]]*Tabelle2[[#This Row],[vy]]/Tabelle2[[#This Row],[v]],0)</f>
        <v>-14.715</v>
      </c>
      <c r="M627">
        <f t="shared" si="102"/>
        <v>-9.81</v>
      </c>
      <c r="N627">
        <f t="shared" si="103"/>
        <v>-0.19620000000000001</v>
      </c>
      <c r="O627">
        <f t="shared" si="104"/>
        <v>-1.2030825120880382</v>
      </c>
      <c r="P627" s="1">
        <f t="shared" si="106"/>
        <v>52.336971990849527</v>
      </c>
      <c r="Q627" s="1">
        <f t="shared" si="107"/>
        <v>-60.056025604401903</v>
      </c>
      <c r="R627">
        <f>SQRT(Tabelle2[[#This Row],[vx]]*Tabelle2[[#This Row],[vx]]+Tabelle2[[#This Row],[vy]]*Tabelle2[[#This Row],[vy]])</f>
        <v>79.661062311317096</v>
      </c>
      <c r="S627">
        <f t="shared" si="108"/>
        <v>653.16541044579731</v>
      </c>
      <c r="T627" s="1">
        <f t="shared" si="109"/>
        <v>16.170937237687337</v>
      </c>
    </row>
    <row r="628" spans="6:20" x14ac:dyDescent="0.35">
      <c r="F628" s="1">
        <f t="shared" si="105"/>
        <v>12.499999999999822</v>
      </c>
      <c r="G628">
        <f>1/2*$B$8*$B$6*$B$7*(Tabelle2[[#This Row],[vx]]*Tabelle2[[#This Row],[vx]]+Tabelle2[[#This Row],[vy]]*Tabelle2[[#This Row],[vy]])/1000000</f>
        <v>11.267108104026823</v>
      </c>
      <c r="H628">
        <f>IF($B$3,-Tabelle2[[#This Row],[Fd]]*Tabelle2[[#This Row],[vx]]/Tabelle2[[#This Row],[v]],0)</f>
        <v>0</v>
      </c>
      <c r="I628">
        <f t="shared" si="99"/>
        <v>0</v>
      </c>
      <c r="J628">
        <f t="shared" si="100"/>
        <v>0</v>
      </c>
      <c r="K628">
        <f t="shared" si="101"/>
        <v>1.0467394398169905</v>
      </c>
      <c r="L628">
        <f>-$B$5*$B$12-IF($B$3,Tabelle2[[#This Row],[Fd]]*Tabelle2[[#This Row],[vy]]/Tabelle2[[#This Row],[v]],0)</f>
        <v>-14.715</v>
      </c>
      <c r="M628">
        <f t="shared" si="102"/>
        <v>-9.81</v>
      </c>
      <c r="N628">
        <f t="shared" si="103"/>
        <v>-0.19620000000000001</v>
      </c>
      <c r="O628">
        <f t="shared" si="104"/>
        <v>-1.207006512088038</v>
      </c>
      <c r="P628" s="1">
        <f t="shared" si="106"/>
        <v>52.336971990849527</v>
      </c>
      <c r="Q628" s="1">
        <f t="shared" si="107"/>
        <v>-60.2522256044019</v>
      </c>
      <c r="R628">
        <f>SQRT(Tabelle2[[#This Row],[vx]]*Tabelle2[[#This Row],[vx]]+Tabelle2[[#This Row],[vy]]*Tabelle2[[#This Row],[vy]])</f>
        <v>79.809080482453325</v>
      </c>
      <c r="S628">
        <f t="shared" si="108"/>
        <v>654.21214988561428</v>
      </c>
      <c r="T628" s="1">
        <f t="shared" si="109"/>
        <v>14.967854725599299</v>
      </c>
    </row>
    <row r="629" spans="6:20" x14ac:dyDescent="0.35">
      <c r="F629" s="1">
        <f t="shared" si="105"/>
        <v>12.519999999999822</v>
      </c>
      <c r="G629">
        <f>1/2*$B$8*$B$6*$B$7*(Tabelle2[[#This Row],[vx]]*Tabelle2[[#This Row],[vx]]+Tabelle2[[#This Row],[vy]]*Tabelle2[[#This Row],[vy]])/1000000</f>
        <v>11.308998692687453</v>
      </c>
      <c r="H629">
        <f>IF($B$3,-Tabelle2[[#This Row],[Fd]]*Tabelle2[[#This Row],[vx]]/Tabelle2[[#This Row],[v]],0)</f>
        <v>0</v>
      </c>
      <c r="I629">
        <f t="shared" si="99"/>
        <v>0</v>
      </c>
      <c r="J629">
        <f t="shared" si="100"/>
        <v>0</v>
      </c>
      <c r="K629">
        <f t="shared" si="101"/>
        <v>1.0467394398169905</v>
      </c>
      <c r="L629">
        <f>-$B$5*$B$12-IF($B$3,Tabelle2[[#This Row],[Fd]]*Tabelle2[[#This Row],[vy]]/Tabelle2[[#This Row],[v]],0)</f>
        <v>-14.715</v>
      </c>
      <c r="M629">
        <f t="shared" si="102"/>
        <v>-9.81</v>
      </c>
      <c r="N629">
        <f t="shared" si="103"/>
        <v>-0.19620000000000001</v>
      </c>
      <c r="O629">
        <f t="shared" si="104"/>
        <v>-1.210930512088038</v>
      </c>
      <c r="P629" s="1">
        <f t="shared" si="106"/>
        <v>52.336971990849527</v>
      </c>
      <c r="Q629" s="1">
        <f t="shared" si="107"/>
        <v>-60.448425604401898</v>
      </c>
      <c r="R629">
        <f>SQRT(Tabelle2[[#This Row],[vx]]*Tabelle2[[#This Row],[vx]]+Tabelle2[[#This Row],[vy]]*Tabelle2[[#This Row],[vy]])</f>
        <v>79.957306077818046</v>
      </c>
      <c r="S629">
        <f t="shared" si="108"/>
        <v>655.25888932543126</v>
      </c>
      <c r="T629" s="1">
        <f t="shared" si="109"/>
        <v>13.760848213511261</v>
      </c>
    </row>
    <row r="630" spans="6:20" x14ac:dyDescent="0.35">
      <c r="F630" s="1">
        <f t="shared" si="105"/>
        <v>12.539999999999822</v>
      </c>
      <c r="G630">
        <f>1/2*$B$8*$B$6*$B$7*(Tabelle2[[#This Row],[vx]]*Tabelle2[[#This Row],[vx]]+Tabelle2[[#This Row],[vy]]*Tabelle2[[#This Row],[vy]])/1000000</f>
        <v>11.35102546840943</v>
      </c>
      <c r="H630">
        <f>IF($B$3,-Tabelle2[[#This Row],[Fd]]*Tabelle2[[#This Row],[vx]]/Tabelle2[[#This Row],[v]],0)</f>
        <v>0</v>
      </c>
      <c r="I630">
        <f t="shared" si="99"/>
        <v>0</v>
      </c>
      <c r="J630">
        <f t="shared" si="100"/>
        <v>0</v>
      </c>
      <c r="K630">
        <f t="shared" si="101"/>
        <v>1.0467394398169905</v>
      </c>
      <c r="L630">
        <f>-$B$5*$B$12-IF($B$3,Tabelle2[[#This Row],[Fd]]*Tabelle2[[#This Row],[vy]]/Tabelle2[[#This Row],[v]],0)</f>
        <v>-14.715</v>
      </c>
      <c r="M630">
        <f t="shared" si="102"/>
        <v>-9.81</v>
      </c>
      <c r="N630">
        <f t="shared" si="103"/>
        <v>-0.19620000000000001</v>
      </c>
      <c r="O630">
        <f t="shared" si="104"/>
        <v>-1.2148545120880381</v>
      </c>
      <c r="P630" s="1">
        <f t="shared" si="106"/>
        <v>52.336971990849527</v>
      </c>
      <c r="Q630" s="1">
        <f t="shared" si="107"/>
        <v>-60.644625604401895</v>
      </c>
      <c r="R630">
        <f>SQRT(Tabelle2[[#This Row],[vx]]*Tabelle2[[#This Row],[vx]]+Tabelle2[[#This Row],[vy]]*Tabelle2[[#This Row],[vy]])</f>
        <v>80.105737945973914</v>
      </c>
      <c r="S630">
        <f t="shared" si="108"/>
        <v>656.30562876524823</v>
      </c>
      <c r="T630" s="1">
        <f t="shared" si="109"/>
        <v>12.549917701423222</v>
      </c>
    </row>
    <row r="631" spans="6:20" x14ac:dyDescent="0.35">
      <c r="F631" s="1">
        <f t="shared" si="105"/>
        <v>12.559999999999821</v>
      </c>
      <c r="G631">
        <f>1/2*$B$8*$B$6*$B$7*(Tabelle2[[#This Row],[vx]]*Tabelle2[[#This Row],[vx]]+Tabelle2[[#This Row],[vy]]*Tabelle2[[#This Row],[vy]])/1000000</f>
        <v>11.393188431192751</v>
      </c>
      <c r="H631">
        <f>IF($B$3,-Tabelle2[[#This Row],[Fd]]*Tabelle2[[#This Row],[vx]]/Tabelle2[[#This Row],[v]],0)</f>
        <v>0</v>
      </c>
      <c r="I631">
        <f t="shared" si="99"/>
        <v>0</v>
      </c>
      <c r="J631">
        <f t="shared" si="100"/>
        <v>0</v>
      </c>
      <c r="K631">
        <f t="shared" si="101"/>
        <v>1.0467394398169905</v>
      </c>
      <c r="L631">
        <f>-$B$5*$B$12-IF($B$3,Tabelle2[[#This Row],[Fd]]*Tabelle2[[#This Row],[vy]]/Tabelle2[[#This Row],[v]],0)</f>
        <v>-14.715</v>
      </c>
      <c r="M631">
        <f t="shared" si="102"/>
        <v>-9.81</v>
      </c>
      <c r="N631">
        <f t="shared" si="103"/>
        <v>-0.19620000000000001</v>
      </c>
      <c r="O631">
        <f t="shared" si="104"/>
        <v>-1.2187785120880379</v>
      </c>
      <c r="P631" s="1">
        <f t="shared" si="106"/>
        <v>52.336971990849527</v>
      </c>
      <c r="Q631" s="1">
        <f t="shared" si="107"/>
        <v>-60.840825604401893</v>
      </c>
      <c r="R631">
        <f>SQRT(Tabelle2[[#This Row],[vx]]*Tabelle2[[#This Row],[vx]]+Tabelle2[[#This Row],[vy]]*Tabelle2[[#This Row],[vy]])</f>
        <v>80.254374942405562</v>
      </c>
      <c r="S631">
        <f t="shared" si="108"/>
        <v>657.3523682050652</v>
      </c>
      <c r="T631" s="1">
        <f t="shared" si="109"/>
        <v>11.335063189335184</v>
      </c>
    </row>
    <row r="632" spans="6:20" x14ac:dyDescent="0.35">
      <c r="F632" s="1">
        <f t="shared" si="105"/>
        <v>12.579999999999821</v>
      </c>
      <c r="G632">
        <f>1/2*$B$8*$B$6*$B$7*(Tabelle2[[#This Row],[vx]]*Tabelle2[[#This Row],[vx]]+Tabelle2[[#This Row],[vy]]*Tabelle2[[#This Row],[vy]])/1000000</f>
        <v>11.435487581037417</v>
      </c>
      <c r="H632">
        <f>IF($B$3,-Tabelle2[[#This Row],[Fd]]*Tabelle2[[#This Row],[vx]]/Tabelle2[[#This Row],[v]],0)</f>
        <v>0</v>
      </c>
      <c r="I632">
        <f t="shared" si="99"/>
        <v>0</v>
      </c>
      <c r="J632">
        <f t="shared" si="100"/>
        <v>0</v>
      </c>
      <c r="K632">
        <f t="shared" si="101"/>
        <v>1.0467394398169905</v>
      </c>
      <c r="L632">
        <f>-$B$5*$B$12-IF($B$3,Tabelle2[[#This Row],[Fd]]*Tabelle2[[#This Row],[vy]]/Tabelle2[[#This Row],[v]],0)</f>
        <v>-14.715</v>
      </c>
      <c r="M632">
        <f t="shared" si="102"/>
        <v>-9.81</v>
      </c>
      <c r="N632">
        <f t="shared" si="103"/>
        <v>-0.19620000000000001</v>
      </c>
      <c r="O632">
        <f t="shared" si="104"/>
        <v>-1.2227025120880379</v>
      </c>
      <c r="P632" s="1">
        <f t="shared" si="106"/>
        <v>52.336971990849527</v>
      </c>
      <c r="Q632" s="1">
        <f t="shared" si="107"/>
        <v>-61.03702560440189</v>
      </c>
      <c r="R632">
        <f>SQRT(Tabelle2[[#This Row],[vx]]*Tabelle2[[#This Row],[vx]]+Tabelle2[[#This Row],[vy]]*Tabelle2[[#This Row],[vy]])</f>
        <v>80.403215929484929</v>
      </c>
      <c r="S632">
        <f t="shared" si="108"/>
        <v>658.39910764488218</v>
      </c>
      <c r="T632" s="1">
        <f t="shared" si="109"/>
        <v>10.116284677247146</v>
      </c>
    </row>
    <row r="633" spans="6:20" x14ac:dyDescent="0.35">
      <c r="F633" s="1">
        <f t="shared" si="105"/>
        <v>12.59999999999982</v>
      </c>
      <c r="G633">
        <f>1/2*$B$8*$B$6*$B$7*(Tabelle2[[#This Row],[vx]]*Tabelle2[[#This Row],[vx]]+Tabelle2[[#This Row],[vy]]*Tabelle2[[#This Row],[vy]])/1000000</f>
        <v>11.477922917943427</v>
      </c>
      <c r="H633">
        <f>IF($B$3,-Tabelle2[[#This Row],[Fd]]*Tabelle2[[#This Row],[vx]]/Tabelle2[[#This Row],[v]],0)</f>
        <v>0</v>
      </c>
      <c r="I633">
        <f t="shared" si="99"/>
        <v>0</v>
      </c>
      <c r="J633">
        <f t="shared" si="100"/>
        <v>0</v>
      </c>
      <c r="K633">
        <f t="shared" si="101"/>
        <v>1.0467394398169905</v>
      </c>
      <c r="L633">
        <f>-$B$5*$B$12-IF($B$3,Tabelle2[[#This Row],[Fd]]*Tabelle2[[#This Row],[vy]]/Tabelle2[[#This Row],[v]],0)</f>
        <v>-14.715</v>
      </c>
      <c r="M633">
        <f t="shared" si="102"/>
        <v>-9.81</v>
      </c>
      <c r="N633">
        <f t="shared" si="103"/>
        <v>-0.19620000000000001</v>
      </c>
      <c r="O633">
        <f t="shared" si="104"/>
        <v>-1.2266265120880377</v>
      </c>
      <c r="P633" s="1">
        <f t="shared" si="106"/>
        <v>52.336971990849527</v>
      </c>
      <c r="Q633" s="1">
        <f t="shared" si="107"/>
        <v>-61.233225604401888</v>
      </c>
      <c r="R633">
        <f>SQRT(Tabelle2[[#This Row],[vx]]*Tabelle2[[#This Row],[vx]]+Tabelle2[[#This Row],[vy]]*Tabelle2[[#This Row],[vy]])</f>
        <v>80.552259776436728</v>
      </c>
      <c r="S633">
        <f t="shared" si="108"/>
        <v>659.44584708469915</v>
      </c>
      <c r="T633" s="1">
        <f t="shared" si="109"/>
        <v>8.893582165159108</v>
      </c>
    </row>
    <row r="634" spans="6:20" x14ac:dyDescent="0.35">
      <c r="F634" s="1">
        <f t="shared" si="105"/>
        <v>12.61999999999982</v>
      </c>
      <c r="G634">
        <f>1/2*$B$8*$B$6*$B$7*(Tabelle2[[#This Row],[vx]]*Tabelle2[[#This Row],[vx]]+Tabelle2[[#This Row],[vy]]*Tabelle2[[#This Row],[vy]])/1000000</f>
        <v>11.520494441910779</v>
      </c>
      <c r="H634">
        <f>IF($B$3,-Tabelle2[[#This Row],[Fd]]*Tabelle2[[#This Row],[vx]]/Tabelle2[[#This Row],[v]],0)</f>
        <v>0</v>
      </c>
      <c r="I634">
        <f t="shared" si="99"/>
        <v>0</v>
      </c>
      <c r="J634">
        <f t="shared" si="100"/>
        <v>0</v>
      </c>
      <c r="K634">
        <f t="shared" si="101"/>
        <v>1.0467394398169905</v>
      </c>
      <c r="L634">
        <f>-$B$5*$B$12-IF($B$3,Tabelle2[[#This Row],[Fd]]*Tabelle2[[#This Row],[vy]]/Tabelle2[[#This Row],[v]],0)</f>
        <v>-14.715</v>
      </c>
      <c r="M634">
        <f t="shared" si="102"/>
        <v>-9.81</v>
      </c>
      <c r="N634">
        <f t="shared" si="103"/>
        <v>-0.19620000000000001</v>
      </c>
      <c r="O634">
        <f t="shared" si="104"/>
        <v>-1.2305505120880378</v>
      </c>
      <c r="P634" s="1">
        <f t="shared" si="106"/>
        <v>52.336971990849527</v>
      </c>
      <c r="Q634" s="1">
        <f t="shared" si="107"/>
        <v>-61.429425604401885</v>
      </c>
      <c r="R634">
        <f>SQRT(Tabelle2[[#This Row],[vx]]*Tabelle2[[#This Row],[vx]]+Tabelle2[[#This Row],[vy]]*Tabelle2[[#This Row],[vy]])</f>
        <v>80.701505359303638</v>
      </c>
      <c r="S634">
        <f t="shared" si="108"/>
        <v>660.49258652451613</v>
      </c>
      <c r="T634" s="1">
        <f t="shared" si="109"/>
        <v>7.6669556530710707</v>
      </c>
    </row>
    <row r="635" spans="6:20" x14ac:dyDescent="0.35">
      <c r="F635" s="1">
        <f t="shared" si="105"/>
        <v>12.639999999999819</v>
      </c>
      <c r="G635">
        <f>1/2*$B$8*$B$6*$B$7*(Tabelle2[[#This Row],[vx]]*Tabelle2[[#This Row],[vx]]+Tabelle2[[#This Row],[vy]]*Tabelle2[[#This Row],[vy]])/1000000</f>
        <v>11.563202152939475</v>
      </c>
      <c r="H635">
        <f>IF($B$3,-Tabelle2[[#This Row],[Fd]]*Tabelle2[[#This Row],[vx]]/Tabelle2[[#This Row],[v]],0)</f>
        <v>0</v>
      </c>
      <c r="I635">
        <f t="shared" si="99"/>
        <v>0</v>
      </c>
      <c r="J635">
        <f t="shared" si="100"/>
        <v>0</v>
      </c>
      <c r="K635">
        <f t="shared" si="101"/>
        <v>1.0467394398169905</v>
      </c>
      <c r="L635">
        <f>-$B$5*$B$12-IF($B$3,Tabelle2[[#This Row],[Fd]]*Tabelle2[[#This Row],[vy]]/Tabelle2[[#This Row],[v]],0)</f>
        <v>-14.715</v>
      </c>
      <c r="M635">
        <f t="shared" si="102"/>
        <v>-9.81</v>
      </c>
      <c r="N635">
        <f t="shared" si="103"/>
        <v>-0.19620000000000001</v>
      </c>
      <c r="O635">
        <f t="shared" si="104"/>
        <v>-1.2344745120880378</v>
      </c>
      <c r="P635" s="1">
        <f t="shared" si="106"/>
        <v>52.336971990849527</v>
      </c>
      <c r="Q635" s="1">
        <f t="shared" si="107"/>
        <v>-61.625625604401883</v>
      </c>
      <c r="R635">
        <f>SQRT(Tabelle2[[#This Row],[vx]]*Tabelle2[[#This Row],[vx]]+Tabelle2[[#This Row],[vy]]*Tabelle2[[#This Row],[vy]])</f>
        <v>80.850951560911639</v>
      </c>
      <c r="S635">
        <f t="shared" si="108"/>
        <v>661.5393259643331</v>
      </c>
      <c r="T635" s="1">
        <f t="shared" si="109"/>
        <v>6.436405140983033</v>
      </c>
    </row>
    <row r="636" spans="6:20" x14ac:dyDescent="0.35">
      <c r="F636" s="1">
        <f t="shared" si="105"/>
        <v>12.659999999999819</v>
      </c>
      <c r="G636">
        <f>1/2*$B$8*$B$6*$B$7*(Tabelle2[[#This Row],[vx]]*Tabelle2[[#This Row],[vx]]+Tabelle2[[#This Row],[vy]]*Tabelle2[[#This Row],[vy]])/1000000</f>
        <v>11.606046051029518</v>
      </c>
      <c r="H636">
        <f>IF($B$3,-Tabelle2[[#This Row],[Fd]]*Tabelle2[[#This Row],[vx]]/Tabelle2[[#This Row],[v]],0)</f>
        <v>0</v>
      </c>
      <c r="I636">
        <f t="shared" si="99"/>
        <v>0</v>
      </c>
      <c r="J636">
        <f t="shared" si="100"/>
        <v>0</v>
      </c>
      <c r="K636">
        <f t="shared" si="101"/>
        <v>1.0467394398169905</v>
      </c>
      <c r="L636">
        <f>-$B$5*$B$12-IF($B$3,Tabelle2[[#This Row],[Fd]]*Tabelle2[[#This Row],[vy]]/Tabelle2[[#This Row],[v]],0)</f>
        <v>-14.715</v>
      </c>
      <c r="M636">
        <f t="shared" si="102"/>
        <v>-9.81</v>
      </c>
      <c r="N636">
        <f t="shared" si="103"/>
        <v>-0.19620000000000001</v>
      </c>
      <c r="O636">
        <f t="shared" si="104"/>
        <v>-1.2383985120880376</v>
      </c>
      <c r="P636" s="1">
        <f t="shared" si="106"/>
        <v>52.336971990849527</v>
      </c>
      <c r="Q636" s="1">
        <f t="shared" si="107"/>
        <v>-61.82182560440188</v>
      </c>
      <c r="R636">
        <f>SQRT(Tabelle2[[#This Row],[vx]]*Tabelle2[[#This Row],[vx]]+Tabelle2[[#This Row],[vy]]*Tabelle2[[#This Row],[vy]])</f>
        <v>81.000597270835286</v>
      </c>
      <c r="S636">
        <f t="shared" si="108"/>
        <v>662.58606540415008</v>
      </c>
      <c r="T636" s="1">
        <f t="shared" si="109"/>
        <v>5.2019306288949956</v>
      </c>
    </row>
    <row r="637" spans="6:20" x14ac:dyDescent="0.35">
      <c r="F637" s="1">
        <f t="shared" si="105"/>
        <v>12.679999999999819</v>
      </c>
      <c r="G637">
        <f>1/2*$B$8*$B$6*$B$7*(Tabelle2[[#This Row],[vx]]*Tabelle2[[#This Row],[vx]]+Tabelle2[[#This Row],[vy]]*Tabelle2[[#This Row],[vy]])/1000000</f>
        <v>11.649026136180902</v>
      </c>
      <c r="H637">
        <f>IF($B$3,-Tabelle2[[#This Row],[Fd]]*Tabelle2[[#This Row],[vx]]/Tabelle2[[#This Row],[v]],0)</f>
        <v>0</v>
      </c>
      <c r="I637">
        <f t="shared" si="99"/>
        <v>0</v>
      </c>
      <c r="J637">
        <f t="shared" si="100"/>
        <v>0</v>
      </c>
      <c r="K637">
        <f t="shared" si="101"/>
        <v>1.0467394398169905</v>
      </c>
      <c r="L637">
        <f>-$B$5*$B$12-IF($B$3,Tabelle2[[#This Row],[Fd]]*Tabelle2[[#This Row],[vy]]/Tabelle2[[#This Row],[v]],0)</f>
        <v>-14.715</v>
      </c>
      <c r="M637">
        <f t="shared" si="102"/>
        <v>-9.81</v>
      </c>
      <c r="N637">
        <f t="shared" si="103"/>
        <v>-0.19620000000000001</v>
      </c>
      <c r="O637">
        <f t="shared" si="104"/>
        <v>-1.2423225120880377</v>
      </c>
      <c r="P637" s="1">
        <f t="shared" si="106"/>
        <v>52.336971990849527</v>
      </c>
      <c r="Q637" s="1">
        <f t="shared" si="107"/>
        <v>-62.018025604401878</v>
      </c>
      <c r="R637">
        <f>SQRT(Tabelle2[[#This Row],[vx]]*Tabelle2[[#This Row],[vx]]+Tabelle2[[#This Row],[vy]]*Tabelle2[[#This Row],[vy]])</f>
        <v>81.150441385362868</v>
      </c>
      <c r="S637">
        <f t="shared" si="108"/>
        <v>663.63280484396705</v>
      </c>
      <c r="T637" s="1">
        <f t="shared" si="109"/>
        <v>3.9635321168069577</v>
      </c>
    </row>
    <row r="638" spans="6:20" x14ac:dyDescent="0.35">
      <c r="F638" s="1">
        <f t="shared" si="105"/>
        <v>12.699999999999818</v>
      </c>
      <c r="G638">
        <f>1/2*$B$8*$B$6*$B$7*(Tabelle2[[#This Row],[vx]]*Tabelle2[[#This Row],[vx]]+Tabelle2[[#This Row],[vy]]*Tabelle2[[#This Row],[vy]])/1000000</f>
        <v>11.692142408393631</v>
      </c>
      <c r="H638">
        <f>IF($B$3,-Tabelle2[[#This Row],[Fd]]*Tabelle2[[#This Row],[vx]]/Tabelle2[[#This Row],[v]],0)</f>
        <v>0</v>
      </c>
      <c r="I638">
        <f t="shared" si="99"/>
        <v>0</v>
      </c>
      <c r="J638">
        <f t="shared" si="100"/>
        <v>0</v>
      </c>
      <c r="K638">
        <f t="shared" si="101"/>
        <v>1.0467394398169905</v>
      </c>
      <c r="L638">
        <f>-$B$5*$B$12-IF($B$3,Tabelle2[[#This Row],[Fd]]*Tabelle2[[#This Row],[vy]]/Tabelle2[[#This Row],[v]],0)</f>
        <v>-14.715</v>
      </c>
      <c r="M638">
        <f t="shared" si="102"/>
        <v>-9.81</v>
      </c>
      <c r="N638">
        <f t="shared" si="103"/>
        <v>-0.19620000000000001</v>
      </c>
      <c r="O638">
        <f t="shared" si="104"/>
        <v>-1.2462465120880375</v>
      </c>
      <c r="P638" s="1">
        <f t="shared" si="106"/>
        <v>52.336971990849527</v>
      </c>
      <c r="Q638" s="1">
        <f t="shared" si="107"/>
        <v>-62.214225604401875</v>
      </c>
      <c r="R638">
        <f>SQRT(Tabelle2[[#This Row],[vx]]*Tabelle2[[#This Row],[vx]]+Tabelle2[[#This Row],[vy]]*Tabelle2[[#This Row],[vy]])</f>
        <v>81.300482807461748</v>
      </c>
      <c r="S638">
        <f t="shared" si="108"/>
        <v>664.67954428378403</v>
      </c>
      <c r="T638" s="1">
        <f t="shared" si="109"/>
        <v>2.7212096047189203</v>
      </c>
    </row>
    <row r="639" spans="6:20" x14ac:dyDescent="0.35">
      <c r="F639" s="1">
        <f t="shared" si="105"/>
        <v>12.719999999999818</v>
      </c>
      <c r="G639">
        <f>1/2*$B$8*$B$6*$B$7*(Tabelle2[[#This Row],[vx]]*Tabelle2[[#This Row],[vx]]+Tabelle2[[#This Row],[vy]]*Tabelle2[[#This Row],[vy]])/1000000</f>
        <v>11.735394867667702</v>
      </c>
      <c r="H639">
        <f>IF($B$3,-Tabelle2[[#This Row],[Fd]]*Tabelle2[[#This Row],[vx]]/Tabelle2[[#This Row],[v]],0)</f>
        <v>0</v>
      </c>
      <c r="I639">
        <f t="shared" si="99"/>
        <v>0</v>
      </c>
      <c r="J639">
        <f t="shared" si="100"/>
        <v>0</v>
      </c>
      <c r="K639">
        <f t="shared" si="101"/>
        <v>1.0467394398169905</v>
      </c>
      <c r="L639">
        <f>-$B$5*$B$12-IF($B$3,Tabelle2[[#This Row],[Fd]]*Tabelle2[[#This Row],[vy]]/Tabelle2[[#This Row],[v]],0)</f>
        <v>-14.715</v>
      </c>
      <c r="M639">
        <f t="shared" si="102"/>
        <v>-9.81</v>
      </c>
      <c r="N639">
        <f t="shared" si="103"/>
        <v>-0.19620000000000001</v>
      </c>
      <c r="O639">
        <f t="shared" si="104"/>
        <v>-1.2501705120880375</v>
      </c>
      <c r="P639" s="1">
        <f t="shared" si="106"/>
        <v>52.336971990849527</v>
      </c>
      <c r="Q639" s="1">
        <f t="shared" si="107"/>
        <v>-62.410425604401873</v>
      </c>
      <c r="R639">
        <f>SQRT(Tabelle2[[#This Row],[vx]]*Tabelle2[[#This Row],[vx]]+Tabelle2[[#This Row],[vy]]*Tabelle2[[#This Row],[vy]])</f>
        <v>81.450720446743432</v>
      </c>
      <c r="S639">
        <f t="shared" si="108"/>
        <v>665.726283723601</v>
      </c>
      <c r="T639" s="1">
        <f t="shared" si="109"/>
        <v>1.4749630926308828</v>
      </c>
    </row>
    <row r="640" spans="6:20" x14ac:dyDescent="0.35">
      <c r="F640" s="1">
        <f t="shared" si="105"/>
        <v>12.739999999999817</v>
      </c>
      <c r="G640">
        <f>1/2*$B$8*$B$6*$B$7*(Tabelle2[[#This Row],[vx]]*Tabelle2[[#This Row],[vx]]+Tabelle2[[#This Row],[vy]]*Tabelle2[[#This Row],[vy]])/1000000</f>
        <v>11.77878351400312</v>
      </c>
      <c r="H640">
        <f>IF($B$3,-Tabelle2[[#This Row],[Fd]]*Tabelle2[[#This Row],[vx]]/Tabelle2[[#This Row],[v]],0)</f>
        <v>0</v>
      </c>
      <c r="I640">
        <f t="shared" si="99"/>
        <v>0</v>
      </c>
      <c r="J640">
        <f t="shared" si="100"/>
        <v>0</v>
      </c>
      <c r="K640">
        <f t="shared" si="101"/>
        <v>1.0467394398169905</v>
      </c>
      <c r="L640">
        <f>-$B$5*$B$12-IF($B$3,Tabelle2[[#This Row],[Fd]]*Tabelle2[[#This Row],[vy]]/Tabelle2[[#This Row],[v]],0)</f>
        <v>-14.715</v>
      </c>
      <c r="M640">
        <f t="shared" si="102"/>
        <v>-9.81</v>
      </c>
      <c r="N640">
        <f t="shared" si="103"/>
        <v>-0.19620000000000001</v>
      </c>
      <c r="O640">
        <f t="shared" si="104"/>
        <v>-1.2540945120880376</v>
      </c>
      <c r="P640" s="1">
        <f t="shared" si="106"/>
        <v>52.336971990849527</v>
      </c>
      <c r="Q640" s="1">
        <f t="shared" si="107"/>
        <v>-62.60662560440187</v>
      </c>
      <c r="R640">
        <f>SQRT(Tabelle2[[#This Row],[vx]]*Tabelle2[[#This Row],[vx]]+Tabelle2[[#This Row],[vy]]*Tabelle2[[#This Row],[vy]])</f>
        <v>81.601153219428923</v>
      </c>
      <c r="S640">
        <f t="shared" si="108"/>
        <v>666.77302316341797</v>
      </c>
      <c r="T640" s="1">
        <f t="shared" si="109"/>
        <v>0.22479258054284523</v>
      </c>
    </row>
    <row r="641" spans="6:20" x14ac:dyDescent="0.35">
      <c r="F641" s="1">
        <f t="shared" si="105"/>
        <v>12.759999999999817</v>
      </c>
      <c r="G641">
        <f>1/2*$B$8*$B$6*$B$7*(Tabelle2[[#This Row],[vx]]*Tabelle2[[#This Row],[vx]]+Tabelle2[[#This Row],[vy]]*Tabelle2[[#This Row],[vy]])/1000000</f>
        <v>11.822308347399881</v>
      </c>
      <c r="H641">
        <f>IF($B$3,-Tabelle2[[#This Row],[Fd]]*Tabelle2[[#This Row],[vx]]/Tabelle2[[#This Row],[v]],0)</f>
        <v>0</v>
      </c>
      <c r="I641">
        <f t="shared" si="99"/>
        <v>0</v>
      </c>
      <c r="J641">
        <f t="shared" si="100"/>
        <v>0</v>
      </c>
      <c r="K641">
        <f t="shared" si="101"/>
        <v>1.0467394398169905</v>
      </c>
      <c r="L641">
        <f>-$B$5*$B$12-IF($B$3,Tabelle2[[#This Row],[Fd]]*Tabelle2[[#This Row],[vy]]/Tabelle2[[#This Row],[v]],0)</f>
        <v>-14.715</v>
      </c>
      <c r="M641">
        <f t="shared" si="102"/>
        <v>-9.81</v>
      </c>
      <c r="N641">
        <f t="shared" si="103"/>
        <v>-0.19620000000000001</v>
      </c>
      <c r="O641">
        <f t="shared" si="104"/>
        <v>-1.2580185120880374</v>
      </c>
      <c r="P641" s="1">
        <f t="shared" si="106"/>
        <v>52.336971990849527</v>
      </c>
      <c r="Q641" s="1">
        <f t="shared" si="107"/>
        <v>-62.802825604401868</v>
      </c>
      <c r="R641">
        <f>SQRT(Tabelle2[[#This Row],[vx]]*Tabelle2[[#This Row],[vx]]+Tabelle2[[#This Row],[vy]]*Tabelle2[[#This Row],[vy]])</f>
        <v>81.751780048313819</v>
      </c>
      <c r="S641">
        <f t="shared" si="108"/>
        <v>667.81976260323495</v>
      </c>
      <c r="T641" s="1">
        <f t="shared" si="109"/>
        <v>-1.0293019315451923</v>
      </c>
    </row>
    <row r="642" spans="6:20" x14ac:dyDescent="0.35">
      <c r="F642" s="1">
        <f t="shared" si="105"/>
        <v>12.779999999999816</v>
      </c>
      <c r="G642">
        <f>1/2*$B$8*$B$6*$B$7*(Tabelle2[[#This Row],[vx]]*Tabelle2[[#This Row],[vx]]+Tabelle2[[#This Row],[vy]]*Tabelle2[[#This Row],[vy]])/1000000</f>
        <v>11.865969367857986</v>
      </c>
      <c r="H642">
        <f>IF($B$3,-Tabelle2[[#This Row],[Fd]]*Tabelle2[[#This Row],[vx]]/Tabelle2[[#This Row],[v]],0)</f>
        <v>0</v>
      </c>
      <c r="I642">
        <f t="shared" si="99"/>
        <v>0</v>
      </c>
      <c r="J642">
        <f t="shared" si="100"/>
        <v>0</v>
      </c>
      <c r="K642">
        <f t="shared" si="101"/>
        <v>1.0467394398169905</v>
      </c>
      <c r="L642">
        <f>-$B$5*$B$12-IF($B$3,Tabelle2[[#This Row],[Fd]]*Tabelle2[[#This Row],[vy]]/Tabelle2[[#This Row],[v]],0)</f>
        <v>-14.715</v>
      </c>
      <c r="M642">
        <f t="shared" si="102"/>
        <v>-9.81</v>
      </c>
      <c r="N642">
        <f t="shared" si="103"/>
        <v>-0.19620000000000001</v>
      </c>
      <c r="O642">
        <f t="shared" si="104"/>
        <v>-1.2619425120880374</v>
      </c>
      <c r="P642" s="1">
        <f t="shared" si="106"/>
        <v>52.336971990849527</v>
      </c>
      <c r="Q642" s="1">
        <f t="shared" si="107"/>
        <v>-62.999025604401865</v>
      </c>
      <c r="R642">
        <f>SQRT(Tabelle2[[#This Row],[vx]]*Tabelle2[[#This Row],[vx]]+Tabelle2[[#This Row],[vy]]*Tabelle2[[#This Row],[vy]])</f>
        <v>81.902599862733595</v>
      </c>
      <c r="S642">
        <f t="shared" si="108"/>
        <v>668.86650204305192</v>
      </c>
      <c r="T642" s="1">
        <f t="shared" si="109"/>
        <v>-2.2873204436332299</v>
      </c>
    </row>
    <row r="643" spans="6:20" x14ac:dyDescent="0.35">
      <c r="F643" s="1">
        <f t="shared" si="105"/>
        <v>12.799999999999816</v>
      </c>
      <c r="G643">
        <f>1/2*$B$8*$B$6*$B$7*(Tabelle2[[#This Row],[vx]]*Tabelle2[[#This Row],[vx]]+Tabelle2[[#This Row],[vy]]*Tabelle2[[#This Row],[vy]])/1000000</f>
        <v>11.909766575377434</v>
      </c>
      <c r="H643">
        <f>IF($B$3,-Tabelle2[[#This Row],[Fd]]*Tabelle2[[#This Row],[vx]]/Tabelle2[[#This Row],[v]],0)</f>
        <v>0</v>
      </c>
      <c r="I643">
        <f t="shared" ref="I643:I706" si="110">H643/$B$5</f>
        <v>0</v>
      </c>
      <c r="J643">
        <f t="shared" ref="J643:J706" si="111">I643*$B$13</f>
        <v>0</v>
      </c>
      <c r="K643">
        <f t="shared" ref="K643:K706" si="112">$B$13*(P643+J643/2)</f>
        <v>1.0467394398169905</v>
      </c>
      <c r="L643">
        <f>-$B$5*$B$12-IF($B$3,Tabelle2[[#This Row],[Fd]]*Tabelle2[[#This Row],[vy]]/Tabelle2[[#This Row],[v]],0)</f>
        <v>-14.715</v>
      </c>
      <c r="M643">
        <f t="shared" ref="M643:M706" si="113">L643/$B$5</f>
        <v>-9.81</v>
      </c>
      <c r="N643">
        <f t="shared" ref="N643:N706" si="114">M643*$B$13</f>
        <v>-0.19620000000000001</v>
      </c>
      <c r="O643">
        <f t="shared" ref="O643:O706" si="115">$B$13*(Q643+N643/2)</f>
        <v>-1.2658665120880372</v>
      </c>
      <c r="P643" s="1">
        <f t="shared" si="106"/>
        <v>52.336971990849527</v>
      </c>
      <c r="Q643" s="1">
        <f t="shared" si="107"/>
        <v>-63.195225604401863</v>
      </c>
      <c r="R643">
        <f>SQRT(Tabelle2[[#This Row],[vx]]*Tabelle2[[#This Row],[vx]]+Tabelle2[[#This Row],[vy]]*Tabelle2[[#This Row],[vy]])</f>
        <v>82.053611598528775</v>
      </c>
      <c r="S643">
        <f t="shared" si="108"/>
        <v>669.9132414828689</v>
      </c>
      <c r="T643" s="1">
        <f t="shared" si="109"/>
        <v>-3.5492629557212672</v>
      </c>
    </row>
    <row r="644" spans="6:20" x14ac:dyDescent="0.35">
      <c r="F644" s="1">
        <f t="shared" ref="F644:F707" si="116">F643+$B$13</f>
        <v>12.819999999999816</v>
      </c>
      <c r="G644">
        <f>1/2*$B$8*$B$6*$B$7*(Tabelle2[[#This Row],[vx]]*Tabelle2[[#This Row],[vx]]+Tabelle2[[#This Row],[vy]]*Tabelle2[[#This Row],[vy]])/1000000</f>
        <v>11.953699969958228</v>
      </c>
      <c r="H644">
        <f>IF($B$3,-Tabelle2[[#This Row],[Fd]]*Tabelle2[[#This Row],[vx]]/Tabelle2[[#This Row],[v]],0)</f>
        <v>0</v>
      </c>
      <c r="I644">
        <f t="shared" si="110"/>
        <v>0</v>
      </c>
      <c r="J644">
        <f t="shared" si="111"/>
        <v>0</v>
      </c>
      <c r="K644">
        <f t="shared" si="112"/>
        <v>1.0467394398169905</v>
      </c>
      <c r="L644">
        <f>-$B$5*$B$12-IF($B$3,Tabelle2[[#This Row],[Fd]]*Tabelle2[[#This Row],[vy]]/Tabelle2[[#This Row],[v]],0)</f>
        <v>-14.715</v>
      </c>
      <c r="M644">
        <f t="shared" si="113"/>
        <v>-9.81</v>
      </c>
      <c r="N644">
        <f t="shared" si="114"/>
        <v>-0.19620000000000001</v>
      </c>
      <c r="O644">
        <f t="shared" si="115"/>
        <v>-1.2697905120880373</v>
      </c>
      <c r="P644" s="1">
        <f t="shared" ref="P644:P707" si="117">P643+J643</f>
        <v>52.336971990849527</v>
      </c>
      <c r="Q644" s="1">
        <f t="shared" ref="Q644:Q707" si="118">Q643+N643</f>
        <v>-63.39142560440186</v>
      </c>
      <c r="R644">
        <f>SQRT(Tabelle2[[#This Row],[vx]]*Tabelle2[[#This Row],[vx]]+Tabelle2[[#This Row],[vy]]*Tabelle2[[#This Row],[vy]])</f>
        <v>82.204814198010226</v>
      </c>
      <c r="S644">
        <f t="shared" ref="S644:S707" si="119">S643+K643</f>
        <v>670.95998092268587</v>
      </c>
      <c r="T644" s="1">
        <f t="shared" ref="T644:T707" si="120">T643+O643</f>
        <v>-4.8151294678093048</v>
      </c>
    </row>
    <row r="645" spans="6:20" x14ac:dyDescent="0.35">
      <c r="F645" s="1">
        <f t="shared" si="116"/>
        <v>12.839999999999815</v>
      </c>
      <c r="G645">
        <f>1/2*$B$8*$B$6*$B$7*(Tabelle2[[#This Row],[vx]]*Tabelle2[[#This Row],[vx]]+Tabelle2[[#This Row],[vy]]*Tabelle2[[#This Row],[vy]])/1000000</f>
        <v>11.997769551600365</v>
      </c>
      <c r="H645">
        <f>IF($B$3,-Tabelle2[[#This Row],[Fd]]*Tabelle2[[#This Row],[vx]]/Tabelle2[[#This Row],[v]],0)</f>
        <v>0</v>
      </c>
      <c r="I645">
        <f t="shared" si="110"/>
        <v>0</v>
      </c>
      <c r="J645">
        <f t="shared" si="111"/>
        <v>0</v>
      </c>
      <c r="K645">
        <f t="shared" si="112"/>
        <v>1.0467394398169905</v>
      </c>
      <c r="L645">
        <f>-$B$5*$B$12-IF($B$3,Tabelle2[[#This Row],[Fd]]*Tabelle2[[#This Row],[vy]]/Tabelle2[[#This Row],[v]],0)</f>
        <v>-14.715</v>
      </c>
      <c r="M645">
        <f t="shared" si="113"/>
        <v>-9.81</v>
      </c>
      <c r="N645">
        <f t="shared" si="114"/>
        <v>-0.19620000000000001</v>
      </c>
      <c r="O645">
        <f t="shared" si="115"/>
        <v>-1.2737145120880373</v>
      </c>
      <c r="P645" s="1">
        <f t="shared" si="117"/>
        <v>52.336971990849527</v>
      </c>
      <c r="Q645" s="1">
        <f t="shared" si="118"/>
        <v>-63.587625604401858</v>
      </c>
      <c r="R645">
        <f>SQRT(Tabelle2[[#This Row],[vx]]*Tabelle2[[#This Row],[vx]]+Tabelle2[[#This Row],[vy]]*Tabelle2[[#This Row],[vy]])</f>
        <v>82.356206609924371</v>
      </c>
      <c r="S645">
        <f t="shared" si="119"/>
        <v>672.00672036250285</v>
      </c>
      <c r="T645" s="1">
        <f t="shared" si="120"/>
        <v>-6.0849199798973421</v>
      </c>
    </row>
    <row r="646" spans="6:20" x14ac:dyDescent="0.35">
      <c r="F646" s="1">
        <f t="shared" si="116"/>
        <v>12.859999999999815</v>
      </c>
      <c r="G646">
        <f>1/2*$B$8*$B$6*$B$7*(Tabelle2[[#This Row],[vx]]*Tabelle2[[#This Row],[vx]]+Tabelle2[[#This Row],[vy]]*Tabelle2[[#This Row],[vy]])/1000000</f>
        <v>12.041975320303845</v>
      </c>
      <c r="H646">
        <f>IF($B$3,-Tabelle2[[#This Row],[Fd]]*Tabelle2[[#This Row],[vx]]/Tabelle2[[#This Row],[v]],0)</f>
        <v>0</v>
      </c>
      <c r="I646">
        <f t="shared" si="110"/>
        <v>0</v>
      </c>
      <c r="J646">
        <f t="shared" si="111"/>
        <v>0</v>
      </c>
      <c r="K646">
        <f t="shared" si="112"/>
        <v>1.0467394398169905</v>
      </c>
      <c r="L646">
        <f>-$B$5*$B$12-IF($B$3,Tabelle2[[#This Row],[Fd]]*Tabelle2[[#This Row],[vy]]/Tabelle2[[#This Row],[v]],0)</f>
        <v>-14.715</v>
      </c>
      <c r="M646">
        <f t="shared" si="113"/>
        <v>-9.81</v>
      </c>
      <c r="N646">
        <f t="shared" si="114"/>
        <v>-0.19620000000000001</v>
      </c>
      <c r="O646">
        <f t="shared" si="115"/>
        <v>-1.2776385120880371</v>
      </c>
      <c r="P646" s="1">
        <f t="shared" si="117"/>
        <v>52.336971990849527</v>
      </c>
      <c r="Q646" s="1">
        <f t="shared" si="118"/>
        <v>-63.783825604401855</v>
      </c>
      <c r="R646">
        <f>SQRT(Tabelle2[[#This Row],[vx]]*Tabelle2[[#This Row],[vx]]+Tabelle2[[#This Row],[vy]]*Tabelle2[[#This Row],[vy]])</f>
        <v>82.507787789418501</v>
      </c>
      <c r="S646">
        <f t="shared" si="119"/>
        <v>673.05345980231982</v>
      </c>
      <c r="T646" s="1">
        <f t="shared" si="120"/>
        <v>-7.358634491985379</v>
      </c>
    </row>
    <row r="647" spans="6:20" x14ac:dyDescent="0.35">
      <c r="F647" s="1">
        <f t="shared" si="116"/>
        <v>12.879999999999814</v>
      </c>
      <c r="G647">
        <f>1/2*$B$8*$B$6*$B$7*(Tabelle2[[#This Row],[vx]]*Tabelle2[[#This Row],[vx]]+Tabelle2[[#This Row],[vy]]*Tabelle2[[#This Row],[vy]])/1000000</f>
        <v>12.086317276068669</v>
      </c>
      <c r="H647">
        <f>IF($B$3,-Tabelle2[[#This Row],[Fd]]*Tabelle2[[#This Row],[vx]]/Tabelle2[[#This Row],[v]],0)</f>
        <v>0</v>
      </c>
      <c r="I647">
        <f t="shared" si="110"/>
        <v>0</v>
      </c>
      <c r="J647">
        <f t="shared" si="111"/>
        <v>0</v>
      </c>
      <c r="K647">
        <f t="shared" si="112"/>
        <v>1.0467394398169905</v>
      </c>
      <c r="L647">
        <f>-$B$5*$B$12-IF($B$3,Tabelle2[[#This Row],[Fd]]*Tabelle2[[#This Row],[vy]]/Tabelle2[[#This Row],[v]],0)</f>
        <v>-14.715</v>
      </c>
      <c r="M647">
        <f t="shared" si="113"/>
        <v>-9.81</v>
      </c>
      <c r="N647">
        <f t="shared" si="114"/>
        <v>-0.19620000000000001</v>
      </c>
      <c r="O647">
        <f t="shared" si="115"/>
        <v>-1.281562512088037</v>
      </c>
      <c r="P647" s="1">
        <f t="shared" si="117"/>
        <v>52.336971990849527</v>
      </c>
      <c r="Q647" s="1">
        <f t="shared" si="118"/>
        <v>-63.980025604401852</v>
      </c>
      <c r="R647">
        <f>SQRT(Tabelle2[[#This Row],[vx]]*Tabelle2[[#This Row],[vx]]+Tabelle2[[#This Row],[vy]]*Tabelle2[[#This Row],[vy]])</f>
        <v>82.659556698006099</v>
      </c>
      <c r="S647">
        <f t="shared" si="119"/>
        <v>674.1001992421368</v>
      </c>
      <c r="T647" s="1">
        <f t="shared" si="120"/>
        <v>-8.6362730040734164</v>
      </c>
    </row>
    <row r="648" spans="6:20" x14ac:dyDescent="0.35">
      <c r="F648" s="1">
        <f t="shared" si="116"/>
        <v>12.899999999999814</v>
      </c>
      <c r="G648">
        <f>1/2*$B$8*$B$6*$B$7*(Tabelle2[[#This Row],[vx]]*Tabelle2[[#This Row],[vx]]+Tabelle2[[#This Row],[vy]]*Tabelle2[[#This Row],[vy]])/1000000</f>
        <v>12.130795418894838</v>
      </c>
      <c r="H648">
        <f>IF($B$3,-Tabelle2[[#This Row],[Fd]]*Tabelle2[[#This Row],[vx]]/Tabelle2[[#This Row],[v]],0)</f>
        <v>0</v>
      </c>
      <c r="I648">
        <f t="shared" si="110"/>
        <v>0</v>
      </c>
      <c r="J648">
        <f t="shared" si="111"/>
        <v>0</v>
      </c>
      <c r="K648">
        <f t="shared" si="112"/>
        <v>1.0467394398169905</v>
      </c>
      <c r="L648">
        <f>-$B$5*$B$12-IF($B$3,Tabelle2[[#This Row],[Fd]]*Tabelle2[[#This Row],[vy]]/Tabelle2[[#This Row],[v]],0)</f>
        <v>-14.715</v>
      </c>
      <c r="M648">
        <f t="shared" si="113"/>
        <v>-9.81</v>
      </c>
      <c r="N648">
        <f t="shared" si="114"/>
        <v>-0.19620000000000001</v>
      </c>
      <c r="O648">
        <f t="shared" si="115"/>
        <v>-1.285486512088037</v>
      </c>
      <c r="P648" s="1">
        <f t="shared" si="117"/>
        <v>52.336971990849527</v>
      </c>
      <c r="Q648" s="1">
        <f t="shared" si="118"/>
        <v>-64.17622560440185</v>
      </c>
      <c r="R648">
        <f>SQRT(Tabelle2[[#This Row],[vx]]*Tabelle2[[#This Row],[vx]]+Tabelle2[[#This Row],[vy]]*Tabelle2[[#This Row],[vy]])</f>
        <v>82.811512303532112</v>
      </c>
      <c r="S648">
        <f t="shared" si="119"/>
        <v>675.14693868195377</v>
      </c>
      <c r="T648" s="1">
        <f t="shared" si="120"/>
        <v>-9.9178355161614533</v>
      </c>
    </row>
    <row r="649" spans="6:20" x14ac:dyDescent="0.35">
      <c r="F649" s="1">
        <f t="shared" si="116"/>
        <v>12.919999999999813</v>
      </c>
      <c r="G649">
        <f>1/2*$B$8*$B$6*$B$7*(Tabelle2[[#This Row],[vx]]*Tabelle2[[#This Row],[vx]]+Tabelle2[[#This Row],[vy]]*Tabelle2[[#This Row],[vy]])/1000000</f>
        <v>12.175409748782352</v>
      </c>
      <c r="H649">
        <f>IF($B$3,-Tabelle2[[#This Row],[Fd]]*Tabelle2[[#This Row],[vx]]/Tabelle2[[#This Row],[v]],0)</f>
        <v>0</v>
      </c>
      <c r="I649">
        <f t="shared" si="110"/>
        <v>0</v>
      </c>
      <c r="J649">
        <f t="shared" si="111"/>
        <v>0</v>
      </c>
      <c r="K649">
        <f t="shared" si="112"/>
        <v>1.0467394398169905</v>
      </c>
      <c r="L649">
        <f>-$B$5*$B$12-IF($B$3,Tabelle2[[#This Row],[Fd]]*Tabelle2[[#This Row],[vy]]/Tabelle2[[#This Row],[v]],0)</f>
        <v>-14.715</v>
      </c>
      <c r="M649">
        <f t="shared" si="113"/>
        <v>-9.81</v>
      </c>
      <c r="N649">
        <f t="shared" si="114"/>
        <v>-0.19620000000000001</v>
      </c>
      <c r="O649">
        <f t="shared" si="115"/>
        <v>-1.2894105120880373</v>
      </c>
      <c r="P649" s="1">
        <f t="shared" si="117"/>
        <v>52.336971990849527</v>
      </c>
      <c r="Q649" s="1">
        <f t="shared" si="118"/>
        <v>-64.372425604401855</v>
      </c>
      <c r="R649">
        <f>SQRT(Tabelle2[[#This Row],[vx]]*Tabelle2[[#This Row],[vx]]+Tabelle2[[#This Row],[vy]]*Tabelle2[[#This Row],[vy]])</f>
        <v>82.963653580138441</v>
      </c>
      <c r="S649">
        <f t="shared" si="119"/>
        <v>676.19367812177074</v>
      </c>
      <c r="T649" s="1">
        <f t="shared" si="120"/>
        <v>-11.20332202824949</v>
      </c>
    </row>
    <row r="650" spans="6:20" x14ac:dyDescent="0.35">
      <c r="F650" s="1">
        <f t="shared" si="116"/>
        <v>12.939999999999813</v>
      </c>
      <c r="G650">
        <f>1/2*$B$8*$B$6*$B$7*(Tabelle2[[#This Row],[vx]]*Tabelle2[[#This Row],[vx]]+Tabelle2[[#This Row],[vy]]*Tabelle2[[#This Row],[vy]])/1000000</f>
        <v>12.220160265731209</v>
      </c>
      <c r="H650">
        <f>IF($B$3,-Tabelle2[[#This Row],[Fd]]*Tabelle2[[#This Row],[vx]]/Tabelle2[[#This Row],[v]],0)</f>
        <v>0</v>
      </c>
      <c r="I650">
        <f t="shared" si="110"/>
        <v>0</v>
      </c>
      <c r="J650">
        <f t="shared" si="111"/>
        <v>0</v>
      </c>
      <c r="K650">
        <f t="shared" si="112"/>
        <v>1.0467394398169905</v>
      </c>
      <c r="L650">
        <f>-$B$5*$B$12-IF($B$3,Tabelle2[[#This Row],[Fd]]*Tabelle2[[#This Row],[vy]]/Tabelle2[[#This Row],[v]],0)</f>
        <v>-14.715</v>
      </c>
      <c r="M650">
        <f t="shared" si="113"/>
        <v>-9.81</v>
      </c>
      <c r="N650">
        <f t="shared" si="114"/>
        <v>-0.19620000000000001</v>
      </c>
      <c r="O650">
        <f t="shared" si="115"/>
        <v>-1.2933345120880373</v>
      </c>
      <c r="P650" s="1">
        <f t="shared" si="117"/>
        <v>52.336971990849527</v>
      </c>
      <c r="Q650" s="1">
        <f t="shared" si="118"/>
        <v>-64.568625604401859</v>
      </c>
      <c r="R650">
        <f>SQRT(Tabelle2[[#This Row],[vx]]*Tabelle2[[#This Row],[vx]]+Tabelle2[[#This Row],[vy]]*Tabelle2[[#This Row],[vy]])</f>
        <v>83.115979508229259</v>
      </c>
      <c r="S650">
        <f t="shared" si="119"/>
        <v>677.24041756158772</v>
      </c>
      <c r="T650" s="1">
        <f t="shared" si="120"/>
        <v>-12.492732540337528</v>
      </c>
    </row>
    <row r="651" spans="6:20" x14ac:dyDescent="0.35">
      <c r="F651" s="1">
        <f t="shared" si="116"/>
        <v>12.959999999999813</v>
      </c>
      <c r="G651">
        <f>1/2*$B$8*$B$6*$B$7*(Tabelle2[[#This Row],[vx]]*Tabelle2[[#This Row],[vx]]+Tabelle2[[#This Row],[vy]]*Tabelle2[[#This Row],[vy]])/1000000</f>
        <v>12.265046969741411</v>
      </c>
      <c r="H651">
        <f>IF($B$3,-Tabelle2[[#This Row],[Fd]]*Tabelle2[[#This Row],[vx]]/Tabelle2[[#This Row],[v]],0)</f>
        <v>0</v>
      </c>
      <c r="I651">
        <f t="shared" si="110"/>
        <v>0</v>
      </c>
      <c r="J651">
        <f t="shared" si="111"/>
        <v>0</v>
      </c>
      <c r="K651">
        <f t="shared" si="112"/>
        <v>1.0467394398169905</v>
      </c>
      <c r="L651">
        <f>-$B$5*$B$12-IF($B$3,Tabelle2[[#This Row],[Fd]]*Tabelle2[[#This Row],[vy]]/Tabelle2[[#This Row],[v]],0)</f>
        <v>-14.715</v>
      </c>
      <c r="M651">
        <f t="shared" si="113"/>
        <v>-9.81</v>
      </c>
      <c r="N651">
        <f t="shared" si="114"/>
        <v>-0.19620000000000001</v>
      </c>
      <c r="O651">
        <f t="shared" si="115"/>
        <v>-1.2972585120880373</v>
      </c>
      <c r="P651" s="1">
        <f t="shared" si="117"/>
        <v>52.336971990849527</v>
      </c>
      <c r="Q651" s="1">
        <f t="shared" si="118"/>
        <v>-64.764825604401864</v>
      </c>
      <c r="R651">
        <f>SQRT(Tabelle2[[#This Row],[vx]]*Tabelle2[[#This Row],[vx]]+Tabelle2[[#This Row],[vy]]*Tabelle2[[#This Row],[vy]])</f>
        <v>83.268489074436516</v>
      </c>
      <c r="S651">
        <f t="shared" si="119"/>
        <v>678.28715700140469</v>
      </c>
      <c r="T651" s="1">
        <f t="shared" si="120"/>
        <v>-13.786067052425565</v>
      </c>
    </row>
    <row r="652" spans="6:20" x14ac:dyDescent="0.35">
      <c r="F652" s="1">
        <f t="shared" si="116"/>
        <v>12.979999999999812</v>
      </c>
      <c r="G652">
        <f>1/2*$B$8*$B$6*$B$7*(Tabelle2[[#This Row],[vx]]*Tabelle2[[#This Row],[vx]]+Tabelle2[[#This Row],[vy]]*Tabelle2[[#This Row],[vy]])/1000000</f>
        <v>12.310069860812961</v>
      </c>
      <c r="H652">
        <f>IF($B$3,-Tabelle2[[#This Row],[Fd]]*Tabelle2[[#This Row],[vx]]/Tabelle2[[#This Row],[v]],0)</f>
        <v>0</v>
      </c>
      <c r="I652">
        <f t="shared" si="110"/>
        <v>0</v>
      </c>
      <c r="J652">
        <f t="shared" si="111"/>
        <v>0</v>
      </c>
      <c r="K652">
        <f t="shared" si="112"/>
        <v>1.0467394398169905</v>
      </c>
      <c r="L652">
        <f>-$B$5*$B$12-IF($B$3,Tabelle2[[#This Row],[Fd]]*Tabelle2[[#This Row],[vy]]/Tabelle2[[#This Row],[v]],0)</f>
        <v>-14.715</v>
      </c>
      <c r="M652">
        <f t="shared" si="113"/>
        <v>-9.81</v>
      </c>
      <c r="N652">
        <f t="shared" si="114"/>
        <v>-0.19620000000000001</v>
      </c>
      <c r="O652">
        <f t="shared" si="115"/>
        <v>-1.3011825120880374</v>
      </c>
      <c r="P652" s="1">
        <f t="shared" si="117"/>
        <v>52.336971990849527</v>
      </c>
      <c r="Q652" s="1">
        <f t="shared" si="118"/>
        <v>-64.961025604401868</v>
      </c>
      <c r="R652">
        <f>SQRT(Tabelle2[[#This Row],[vx]]*Tabelle2[[#This Row],[vx]]+Tabelle2[[#This Row],[vy]]*Tabelle2[[#This Row],[vy]])</f>
        <v>83.421181271585482</v>
      </c>
      <c r="S652">
        <f t="shared" si="119"/>
        <v>679.33389644122167</v>
      </c>
      <c r="T652" s="1">
        <f t="shared" si="120"/>
        <v>-15.083325564513602</v>
      </c>
    </row>
    <row r="653" spans="6:20" x14ac:dyDescent="0.35">
      <c r="F653" s="1">
        <f t="shared" si="116"/>
        <v>12.999999999999812</v>
      </c>
      <c r="G653">
        <f>1/2*$B$8*$B$6*$B$7*(Tabelle2[[#This Row],[vx]]*Tabelle2[[#This Row],[vx]]+Tabelle2[[#This Row],[vy]]*Tabelle2[[#This Row],[vy]])/1000000</f>
        <v>12.355228938945851</v>
      </c>
      <c r="H653">
        <f>IF($B$3,-Tabelle2[[#This Row],[Fd]]*Tabelle2[[#This Row],[vx]]/Tabelle2[[#This Row],[v]],0)</f>
        <v>0</v>
      </c>
      <c r="I653">
        <f t="shared" si="110"/>
        <v>0</v>
      </c>
      <c r="J653">
        <f t="shared" si="111"/>
        <v>0</v>
      </c>
      <c r="K653">
        <f t="shared" si="112"/>
        <v>1.0467394398169905</v>
      </c>
      <c r="L653">
        <f>-$B$5*$B$12-IF($B$3,Tabelle2[[#This Row],[Fd]]*Tabelle2[[#This Row],[vy]]/Tabelle2[[#This Row],[v]],0)</f>
        <v>-14.715</v>
      </c>
      <c r="M653">
        <f t="shared" si="113"/>
        <v>-9.81</v>
      </c>
      <c r="N653">
        <f t="shared" si="114"/>
        <v>-0.19620000000000001</v>
      </c>
      <c r="O653">
        <f t="shared" si="115"/>
        <v>-1.3051065120880376</v>
      </c>
      <c r="P653" s="1">
        <f t="shared" si="117"/>
        <v>52.336971990849527</v>
      </c>
      <c r="Q653" s="1">
        <f t="shared" si="118"/>
        <v>-65.157225604401873</v>
      </c>
      <c r="R653">
        <f>SQRT(Tabelle2[[#This Row],[vx]]*Tabelle2[[#This Row],[vx]]+Tabelle2[[#This Row],[vy]]*Tabelle2[[#This Row],[vy]])</f>
        <v>83.574055098660196</v>
      </c>
      <c r="S653">
        <f t="shared" si="119"/>
        <v>680.38063588103864</v>
      </c>
      <c r="T653" s="1">
        <f t="shared" si="120"/>
        <v>-16.384508076601641</v>
      </c>
    </row>
    <row r="654" spans="6:20" x14ac:dyDescent="0.35">
      <c r="F654" s="1">
        <f t="shared" si="116"/>
        <v>13.019999999999811</v>
      </c>
      <c r="G654">
        <f>1/2*$B$8*$B$6*$B$7*(Tabelle2[[#This Row],[vx]]*Tabelle2[[#This Row],[vx]]+Tabelle2[[#This Row],[vy]]*Tabelle2[[#This Row],[vy]])/1000000</f>
        <v>12.400524204140083</v>
      </c>
      <c r="H654">
        <f>IF($B$3,-Tabelle2[[#This Row],[Fd]]*Tabelle2[[#This Row],[vx]]/Tabelle2[[#This Row],[v]],0)</f>
        <v>0</v>
      </c>
      <c r="I654">
        <f t="shared" si="110"/>
        <v>0</v>
      </c>
      <c r="J654">
        <f t="shared" si="111"/>
        <v>0</v>
      </c>
      <c r="K654">
        <f t="shared" si="112"/>
        <v>1.0467394398169905</v>
      </c>
      <c r="L654">
        <f>-$B$5*$B$12-IF($B$3,Tabelle2[[#This Row],[Fd]]*Tabelle2[[#This Row],[vy]]/Tabelle2[[#This Row],[v]],0)</f>
        <v>-14.715</v>
      </c>
      <c r="M654">
        <f t="shared" si="113"/>
        <v>-9.81</v>
      </c>
      <c r="N654">
        <f t="shared" si="114"/>
        <v>-0.19620000000000001</v>
      </c>
      <c r="O654">
        <f t="shared" si="115"/>
        <v>-1.3090305120880377</v>
      </c>
      <c r="P654" s="1">
        <f t="shared" si="117"/>
        <v>52.336971990849527</v>
      </c>
      <c r="Q654" s="1">
        <f t="shared" si="118"/>
        <v>-65.353425604401878</v>
      </c>
      <c r="R654">
        <f>SQRT(Tabelle2[[#This Row],[vx]]*Tabelle2[[#This Row],[vx]]+Tabelle2[[#This Row],[vy]]*Tabelle2[[#This Row],[vy]])</f>
        <v>83.72710956076925</v>
      </c>
      <c r="S654">
        <f t="shared" si="119"/>
        <v>681.42737532085562</v>
      </c>
      <c r="T654" s="1">
        <f t="shared" si="120"/>
        <v>-17.689614588689679</v>
      </c>
    </row>
    <row r="655" spans="6:20" x14ac:dyDescent="0.35">
      <c r="F655" s="1">
        <f t="shared" si="116"/>
        <v>13.039999999999811</v>
      </c>
      <c r="G655">
        <f>1/2*$B$8*$B$6*$B$7*(Tabelle2[[#This Row],[vx]]*Tabelle2[[#This Row],[vx]]+Tabelle2[[#This Row],[vy]]*Tabelle2[[#This Row],[vy]])/1000000</f>
        <v>12.445955656395663</v>
      </c>
      <c r="H655">
        <f>IF($B$3,-Tabelle2[[#This Row],[Fd]]*Tabelle2[[#This Row],[vx]]/Tabelle2[[#This Row],[v]],0)</f>
        <v>0</v>
      </c>
      <c r="I655">
        <f t="shared" si="110"/>
        <v>0</v>
      </c>
      <c r="J655">
        <f t="shared" si="111"/>
        <v>0</v>
      </c>
      <c r="K655">
        <f t="shared" si="112"/>
        <v>1.0467394398169905</v>
      </c>
      <c r="L655">
        <f>-$B$5*$B$12-IF($B$3,Tabelle2[[#This Row],[Fd]]*Tabelle2[[#This Row],[vy]]/Tabelle2[[#This Row],[v]],0)</f>
        <v>-14.715</v>
      </c>
      <c r="M655">
        <f t="shared" si="113"/>
        <v>-9.81</v>
      </c>
      <c r="N655">
        <f t="shared" si="114"/>
        <v>-0.19620000000000001</v>
      </c>
      <c r="O655">
        <f t="shared" si="115"/>
        <v>-1.3129545120880377</v>
      </c>
      <c r="P655" s="1">
        <f t="shared" si="117"/>
        <v>52.336971990849527</v>
      </c>
      <c r="Q655" s="1">
        <f t="shared" si="118"/>
        <v>-65.549625604401882</v>
      </c>
      <c r="R655">
        <f>SQRT(Tabelle2[[#This Row],[vx]]*Tabelle2[[#This Row],[vx]]+Tabelle2[[#This Row],[vy]]*Tabelle2[[#This Row],[vy]])</f>
        <v>83.88034366911134</v>
      </c>
      <c r="S655">
        <f t="shared" si="119"/>
        <v>682.47411476067259</v>
      </c>
      <c r="T655" s="1">
        <f t="shared" si="120"/>
        <v>-18.998645100777715</v>
      </c>
    </row>
    <row r="656" spans="6:20" x14ac:dyDescent="0.35">
      <c r="F656" s="1">
        <f t="shared" si="116"/>
        <v>13.05999999999981</v>
      </c>
      <c r="G656">
        <f>1/2*$B$8*$B$6*$B$7*(Tabelle2[[#This Row],[vx]]*Tabelle2[[#This Row],[vx]]+Tabelle2[[#This Row],[vy]]*Tabelle2[[#This Row],[vy]])/1000000</f>
        <v>12.491523295712584</v>
      </c>
      <c r="H656">
        <f>IF($B$3,-Tabelle2[[#This Row],[Fd]]*Tabelle2[[#This Row],[vx]]/Tabelle2[[#This Row],[v]],0)</f>
        <v>0</v>
      </c>
      <c r="I656">
        <f t="shared" si="110"/>
        <v>0</v>
      </c>
      <c r="J656">
        <f t="shared" si="111"/>
        <v>0</v>
      </c>
      <c r="K656">
        <f t="shared" si="112"/>
        <v>1.0467394398169905</v>
      </c>
      <c r="L656">
        <f>-$B$5*$B$12-IF($B$3,Tabelle2[[#This Row],[Fd]]*Tabelle2[[#This Row],[vy]]/Tabelle2[[#This Row],[v]],0)</f>
        <v>-14.715</v>
      </c>
      <c r="M656">
        <f t="shared" si="113"/>
        <v>-9.81</v>
      </c>
      <c r="N656">
        <f t="shared" si="114"/>
        <v>-0.19620000000000001</v>
      </c>
      <c r="O656">
        <f t="shared" si="115"/>
        <v>-1.3168785120880377</v>
      </c>
      <c r="P656" s="1">
        <f t="shared" si="117"/>
        <v>52.336971990849527</v>
      </c>
      <c r="Q656" s="1">
        <f t="shared" si="118"/>
        <v>-65.745825604401887</v>
      </c>
      <c r="R656">
        <f>SQRT(Tabelle2[[#This Row],[vx]]*Tabelle2[[#This Row],[vx]]+Tabelle2[[#This Row],[vy]]*Tabelle2[[#This Row],[vy]])</f>
        <v>84.033756440941005</v>
      </c>
      <c r="S656">
        <f t="shared" si="119"/>
        <v>683.52085420048957</v>
      </c>
      <c r="T656" s="1">
        <f t="shared" si="120"/>
        <v>-20.311599612865752</v>
      </c>
    </row>
    <row r="657" spans="6:20" x14ac:dyDescent="0.35">
      <c r="F657" s="1">
        <f t="shared" si="116"/>
        <v>13.07999999999981</v>
      </c>
      <c r="G657">
        <f>1/2*$B$8*$B$6*$B$7*(Tabelle2[[#This Row],[vx]]*Tabelle2[[#This Row],[vx]]+Tabelle2[[#This Row],[vy]]*Tabelle2[[#This Row],[vy]])/1000000</f>
        <v>12.537227122090851</v>
      </c>
      <c r="H657">
        <f>IF($B$3,-Tabelle2[[#This Row],[Fd]]*Tabelle2[[#This Row],[vx]]/Tabelle2[[#This Row],[v]],0)</f>
        <v>0</v>
      </c>
      <c r="I657">
        <f t="shared" si="110"/>
        <v>0</v>
      </c>
      <c r="J657">
        <f t="shared" si="111"/>
        <v>0</v>
      </c>
      <c r="K657">
        <f t="shared" si="112"/>
        <v>1.0467394398169905</v>
      </c>
      <c r="L657">
        <f>-$B$5*$B$12-IF($B$3,Tabelle2[[#This Row],[Fd]]*Tabelle2[[#This Row],[vy]]/Tabelle2[[#This Row],[v]],0)</f>
        <v>-14.715</v>
      </c>
      <c r="M657">
        <f t="shared" si="113"/>
        <v>-9.81</v>
      </c>
      <c r="N657">
        <f t="shared" si="114"/>
        <v>-0.19620000000000001</v>
      </c>
      <c r="O657">
        <f t="shared" si="115"/>
        <v>-1.320802512088038</v>
      </c>
      <c r="P657" s="1">
        <f t="shared" si="117"/>
        <v>52.336971990849527</v>
      </c>
      <c r="Q657" s="1">
        <f t="shared" si="118"/>
        <v>-65.942025604401891</v>
      </c>
      <c r="R657">
        <f>SQRT(Tabelle2[[#This Row],[vx]]*Tabelle2[[#This Row],[vx]]+Tabelle2[[#This Row],[vy]]*Tabelle2[[#This Row],[vy]])</f>
        <v>84.187346899534504</v>
      </c>
      <c r="S657">
        <f t="shared" si="119"/>
        <v>684.56759364030654</v>
      </c>
      <c r="T657" s="1">
        <f t="shared" si="120"/>
        <v>-21.628478124953791</v>
      </c>
    </row>
    <row r="658" spans="6:20" x14ac:dyDescent="0.35">
      <c r="F658" s="1">
        <f t="shared" si="116"/>
        <v>13.09999999999981</v>
      </c>
      <c r="G658">
        <f>1/2*$B$8*$B$6*$B$7*(Tabelle2[[#This Row],[vx]]*Tabelle2[[#This Row],[vx]]+Tabelle2[[#This Row],[vy]]*Tabelle2[[#This Row],[vy]])/1000000</f>
        <v>12.583067135530461</v>
      </c>
      <c r="H658">
        <f>IF($B$3,-Tabelle2[[#This Row],[Fd]]*Tabelle2[[#This Row],[vx]]/Tabelle2[[#This Row],[v]],0)</f>
        <v>0</v>
      </c>
      <c r="I658">
        <f t="shared" si="110"/>
        <v>0</v>
      </c>
      <c r="J658">
        <f t="shared" si="111"/>
        <v>0</v>
      </c>
      <c r="K658">
        <f t="shared" si="112"/>
        <v>1.0467394398169905</v>
      </c>
      <c r="L658">
        <f>-$B$5*$B$12-IF($B$3,Tabelle2[[#This Row],[Fd]]*Tabelle2[[#This Row],[vy]]/Tabelle2[[#This Row],[v]],0)</f>
        <v>-14.715</v>
      </c>
      <c r="M658">
        <f t="shared" si="113"/>
        <v>-9.81</v>
      </c>
      <c r="N658">
        <f t="shared" si="114"/>
        <v>-0.19620000000000001</v>
      </c>
      <c r="O658">
        <f t="shared" si="115"/>
        <v>-1.324726512088038</v>
      </c>
      <c r="P658" s="1">
        <f t="shared" si="117"/>
        <v>52.336971990849527</v>
      </c>
      <c r="Q658" s="1">
        <f t="shared" si="118"/>
        <v>-66.138225604401896</v>
      </c>
      <c r="R658">
        <f>SQRT(Tabelle2[[#This Row],[vx]]*Tabelle2[[#This Row],[vx]]+Tabelle2[[#This Row],[vy]]*Tabelle2[[#This Row],[vy]])</f>
        <v>84.341114074155612</v>
      </c>
      <c r="S658">
        <f t="shared" si="119"/>
        <v>685.61433308012352</v>
      </c>
      <c r="T658" s="1">
        <f t="shared" si="120"/>
        <v>-22.949280637041827</v>
      </c>
    </row>
    <row r="659" spans="6:20" x14ac:dyDescent="0.35">
      <c r="F659" s="1">
        <f t="shared" si="116"/>
        <v>13.119999999999809</v>
      </c>
      <c r="G659">
        <f>1/2*$B$8*$B$6*$B$7*(Tabelle2[[#This Row],[vx]]*Tabelle2[[#This Row],[vx]]+Tabelle2[[#This Row],[vy]]*Tabelle2[[#This Row],[vy]])/1000000</f>
        <v>12.629043336031417</v>
      </c>
      <c r="H659">
        <f>IF($B$3,-Tabelle2[[#This Row],[Fd]]*Tabelle2[[#This Row],[vx]]/Tabelle2[[#This Row],[v]],0)</f>
        <v>0</v>
      </c>
      <c r="I659">
        <f t="shared" si="110"/>
        <v>0</v>
      </c>
      <c r="J659">
        <f t="shared" si="111"/>
        <v>0</v>
      </c>
      <c r="K659">
        <f t="shared" si="112"/>
        <v>1.0467394398169905</v>
      </c>
      <c r="L659">
        <f>-$B$5*$B$12-IF($B$3,Tabelle2[[#This Row],[Fd]]*Tabelle2[[#This Row],[vy]]/Tabelle2[[#This Row],[v]],0)</f>
        <v>-14.715</v>
      </c>
      <c r="M659">
        <f t="shared" si="113"/>
        <v>-9.81</v>
      </c>
      <c r="N659">
        <f t="shared" si="114"/>
        <v>-0.19620000000000001</v>
      </c>
      <c r="O659">
        <f t="shared" si="115"/>
        <v>-1.3286505120880381</v>
      </c>
      <c r="P659" s="1">
        <f t="shared" si="117"/>
        <v>52.336971990849527</v>
      </c>
      <c r="Q659" s="1">
        <f t="shared" si="118"/>
        <v>-66.334425604401901</v>
      </c>
      <c r="R659">
        <f>SQRT(Tabelle2[[#This Row],[vx]]*Tabelle2[[#This Row],[vx]]+Tabelle2[[#This Row],[vy]]*Tabelle2[[#This Row],[vy]])</f>
        <v>84.495057000021603</v>
      </c>
      <c r="S659">
        <f t="shared" si="119"/>
        <v>686.66107251994049</v>
      </c>
      <c r="T659" s="1">
        <f t="shared" si="120"/>
        <v>-24.274007149129865</v>
      </c>
    </row>
    <row r="660" spans="6:20" x14ac:dyDescent="0.35">
      <c r="F660" s="1">
        <f t="shared" si="116"/>
        <v>13.139999999999809</v>
      </c>
      <c r="G660">
        <f>1/2*$B$8*$B$6*$B$7*(Tabelle2[[#This Row],[vx]]*Tabelle2[[#This Row],[vx]]+Tabelle2[[#This Row],[vy]]*Tabelle2[[#This Row],[vy]])/1000000</f>
        <v>12.675155723593713</v>
      </c>
      <c r="H660">
        <f>IF($B$3,-Tabelle2[[#This Row],[Fd]]*Tabelle2[[#This Row],[vx]]/Tabelle2[[#This Row],[v]],0)</f>
        <v>0</v>
      </c>
      <c r="I660">
        <f t="shared" si="110"/>
        <v>0</v>
      </c>
      <c r="J660">
        <f t="shared" si="111"/>
        <v>0</v>
      </c>
      <c r="K660">
        <f t="shared" si="112"/>
        <v>1.0467394398169905</v>
      </c>
      <c r="L660">
        <f>-$B$5*$B$12-IF($B$3,Tabelle2[[#This Row],[Fd]]*Tabelle2[[#This Row],[vy]]/Tabelle2[[#This Row],[v]],0)</f>
        <v>-14.715</v>
      </c>
      <c r="M660">
        <f t="shared" si="113"/>
        <v>-9.81</v>
      </c>
      <c r="N660">
        <f t="shared" si="114"/>
        <v>-0.19620000000000001</v>
      </c>
      <c r="O660">
        <f t="shared" si="115"/>
        <v>-1.3325745120880381</v>
      </c>
      <c r="P660" s="1">
        <f t="shared" si="117"/>
        <v>52.336971990849527</v>
      </c>
      <c r="Q660" s="1">
        <f t="shared" si="118"/>
        <v>-66.530625604401905</v>
      </c>
      <c r="R660">
        <f>SQRT(Tabelle2[[#This Row],[vx]]*Tabelle2[[#This Row],[vx]]+Tabelle2[[#This Row],[vy]]*Tabelle2[[#This Row],[vy]])</f>
        <v>84.649174718269208</v>
      </c>
      <c r="S660">
        <f t="shared" si="119"/>
        <v>687.70781195975746</v>
      </c>
      <c r="T660" s="1">
        <f t="shared" si="120"/>
        <v>-25.602657661217904</v>
      </c>
    </row>
    <row r="661" spans="6:20" x14ac:dyDescent="0.35">
      <c r="F661" s="1">
        <f t="shared" si="116"/>
        <v>13.159999999999808</v>
      </c>
      <c r="G661">
        <f>1/2*$B$8*$B$6*$B$7*(Tabelle2[[#This Row],[vx]]*Tabelle2[[#This Row],[vx]]+Tabelle2[[#This Row],[vy]]*Tabelle2[[#This Row],[vy]])/1000000</f>
        <v>12.721404298217356</v>
      </c>
      <c r="H661">
        <f>IF($B$3,-Tabelle2[[#This Row],[Fd]]*Tabelle2[[#This Row],[vx]]/Tabelle2[[#This Row],[v]],0)</f>
        <v>0</v>
      </c>
      <c r="I661">
        <f t="shared" si="110"/>
        <v>0</v>
      </c>
      <c r="J661">
        <f t="shared" si="111"/>
        <v>0</v>
      </c>
      <c r="K661">
        <f t="shared" si="112"/>
        <v>1.0467394398169905</v>
      </c>
      <c r="L661">
        <f>-$B$5*$B$12-IF($B$3,Tabelle2[[#This Row],[Fd]]*Tabelle2[[#This Row],[vy]]/Tabelle2[[#This Row],[v]],0)</f>
        <v>-14.715</v>
      </c>
      <c r="M661">
        <f t="shared" si="113"/>
        <v>-9.81</v>
      </c>
      <c r="N661">
        <f t="shared" si="114"/>
        <v>-0.19620000000000001</v>
      </c>
      <c r="O661">
        <f t="shared" si="115"/>
        <v>-1.3364985120880382</v>
      </c>
      <c r="P661" s="1">
        <f t="shared" si="117"/>
        <v>52.336971990849527</v>
      </c>
      <c r="Q661" s="1">
        <f t="shared" si="118"/>
        <v>-66.72682560440191</v>
      </c>
      <c r="R661">
        <f>SQRT(Tabelle2[[#This Row],[vx]]*Tabelle2[[#This Row],[vx]]+Tabelle2[[#This Row],[vy]]*Tabelle2[[#This Row],[vy]])</f>
        <v>84.803466275920783</v>
      </c>
      <c r="S661">
        <f t="shared" si="119"/>
        <v>688.75455139957444</v>
      </c>
      <c r="T661" s="1">
        <f t="shared" si="120"/>
        <v>-26.935232173305941</v>
      </c>
    </row>
    <row r="662" spans="6:20" x14ac:dyDescent="0.35">
      <c r="F662" s="1">
        <f t="shared" si="116"/>
        <v>13.179999999999808</v>
      </c>
      <c r="G662">
        <f>1/2*$B$8*$B$6*$B$7*(Tabelle2[[#This Row],[vx]]*Tabelle2[[#This Row],[vx]]+Tabelle2[[#This Row],[vy]]*Tabelle2[[#This Row],[vy]])/1000000</f>
        <v>12.767789059902341</v>
      </c>
      <c r="H662">
        <f>IF($B$3,-Tabelle2[[#This Row],[Fd]]*Tabelle2[[#This Row],[vx]]/Tabelle2[[#This Row],[v]],0)</f>
        <v>0</v>
      </c>
      <c r="I662">
        <f t="shared" si="110"/>
        <v>0</v>
      </c>
      <c r="J662">
        <f t="shared" si="111"/>
        <v>0</v>
      </c>
      <c r="K662">
        <f t="shared" si="112"/>
        <v>1.0467394398169905</v>
      </c>
      <c r="L662">
        <f>-$B$5*$B$12-IF($B$3,Tabelle2[[#This Row],[Fd]]*Tabelle2[[#This Row],[vy]]/Tabelle2[[#This Row],[v]],0)</f>
        <v>-14.715</v>
      </c>
      <c r="M662">
        <f t="shared" si="113"/>
        <v>-9.81</v>
      </c>
      <c r="N662">
        <f t="shared" si="114"/>
        <v>-0.19620000000000001</v>
      </c>
      <c r="O662">
        <f t="shared" si="115"/>
        <v>-1.3404225120880384</v>
      </c>
      <c r="P662" s="1">
        <f t="shared" si="117"/>
        <v>52.336971990849527</v>
      </c>
      <c r="Q662" s="1">
        <f t="shared" si="118"/>
        <v>-66.923025604401914</v>
      </c>
      <c r="R662">
        <f>SQRT(Tabelle2[[#This Row],[vx]]*Tabelle2[[#This Row],[vx]]+Tabelle2[[#This Row],[vy]]*Tabelle2[[#This Row],[vy]])</f>
        <v>84.957930725850446</v>
      </c>
      <c r="S662">
        <f t="shared" si="119"/>
        <v>689.80129083939141</v>
      </c>
      <c r="T662" s="1">
        <f t="shared" si="120"/>
        <v>-28.27173068539398</v>
      </c>
    </row>
    <row r="663" spans="6:20" x14ac:dyDescent="0.35">
      <c r="F663" s="1">
        <f t="shared" si="116"/>
        <v>13.199999999999807</v>
      </c>
      <c r="G663">
        <f>1/2*$B$8*$B$6*$B$7*(Tabelle2[[#This Row],[vx]]*Tabelle2[[#This Row],[vx]]+Tabelle2[[#This Row],[vy]]*Tabelle2[[#This Row],[vy]])/1000000</f>
        <v>12.814310008648672</v>
      </c>
      <c r="H663">
        <f>IF($B$3,-Tabelle2[[#This Row],[Fd]]*Tabelle2[[#This Row],[vx]]/Tabelle2[[#This Row],[v]],0)</f>
        <v>0</v>
      </c>
      <c r="I663">
        <f t="shared" si="110"/>
        <v>0</v>
      </c>
      <c r="J663">
        <f t="shared" si="111"/>
        <v>0</v>
      </c>
      <c r="K663">
        <f t="shared" si="112"/>
        <v>1.0467394398169905</v>
      </c>
      <c r="L663">
        <f>-$B$5*$B$12-IF($B$3,Tabelle2[[#This Row],[Fd]]*Tabelle2[[#This Row],[vy]]/Tabelle2[[#This Row],[v]],0)</f>
        <v>-14.715</v>
      </c>
      <c r="M663">
        <f t="shared" si="113"/>
        <v>-9.81</v>
      </c>
      <c r="N663">
        <f t="shared" si="114"/>
        <v>-0.19620000000000001</v>
      </c>
      <c r="O663">
        <f t="shared" si="115"/>
        <v>-1.3443465120880385</v>
      </c>
      <c r="P663" s="1">
        <f t="shared" si="117"/>
        <v>52.336971990849527</v>
      </c>
      <c r="Q663" s="1">
        <f t="shared" si="118"/>
        <v>-67.119225604401919</v>
      </c>
      <c r="R663">
        <f>SQRT(Tabelle2[[#This Row],[vx]]*Tabelle2[[#This Row],[vx]]+Tabelle2[[#This Row],[vy]]*Tabelle2[[#This Row],[vy]])</f>
        <v>85.112567126750264</v>
      </c>
      <c r="S663">
        <f t="shared" si="119"/>
        <v>690.84803027920839</v>
      </c>
      <c r="T663" s="1">
        <f t="shared" si="120"/>
        <v>-29.612153197482019</v>
      </c>
    </row>
    <row r="664" spans="6:20" x14ac:dyDescent="0.35">
      <c r="F664" s="1">
        <f t="shared" si="116"/>
        <v>13.219999999999807</v>
      </c>
      <c r="G664">
        <f>1/2*$B$8*$B$6*$B$7*(Tabelle2[[#This Row],[vx]]*Tabelle2[[#This Row],[vx]]+Tabelle2[[#This Row],[vy]]*Tabelle2[[#This Row],[vy]])/1000000</f>
        <v>12.860967144456348</v>
      </c>
      <c r="H664">
        <f>IF($B$3,-Tabelle2[[#This Row],[Fd]]*Tabelle2[[#This Row],[vx]]/Tabelle2[[#This Row],[v]],0)</f>
        <v>0</v>
      </c>
      <c r="I664">
        <f t="shared" si="110"/>
        <v>0</v>
      </c>
      <c r="J664">
        <f t="shared" si="111"/>
        <v>0</v>
      </c>
      <c r="K664">
        <f t="shared" si="112"/>
        <v>1.0467394398169905</v>
      </c>
      <c r="L664">
        <f>-$B$5*$B$12-IF($B$3,Tabelle2[[#This Row],[Fd]]*Tabelle2[[#This Row],[vy]]/Tabelle2[[#This Row],[v]],0)</f>
        <v>-14.715</v>
      </c>
      <c r="M664">
        <f t="shared" si="113"/>
        <v>-9.81</v>
      </c>
      <c r="N664">
        <f t="shared" si="114"/>
        <v>-0.19620000000000001</v>
      </c>
      <c r="O664">
        <f t="shared" si="115"/>
        <v>-1.3482705120880385</v>
      </c>
      <c r="P664" s="1">
        <f t="shared" si="117"/>
        <v>52.336971990849527</v>
      </c>
      <c r="Q664" s="1">
        <f t="shared" si="118"/>
        <v>-67.315425604401923</v>
      </c>
      <c r="R664">
        <f>SQRT(Tabelle2[[#This Row],[vx]]*Tabelle2[[#This Row],[vx]]+Tabelle2[[#This Row],[vy]]*Tabelle2[[#This Row],[vy]])</f>
        <v>85.267374543096722</v>
      </c>
      <c r="S664">
        <f t="shared" si="119"/>
        <v>691.89476971902536</v>
      </c>
      <c r="T664" s="1">
        <f t="shared" si="120"/>
        <v>-30.956499709570057</v>
      </c>
    </row>
    <row r="665" spans="6:20" x14ac:dyDescent="0.35">
      <c r="F665" s="1">
        <f t="shared" si="116"/>
        <v>13.239999999999807</v>
      </c>
      <c r="G665">
        <f>1/2*$B$8*$B$6*$B$7*(Tabelle2[[#This Row],[vx]]*Tabelle2[[#This Row],[vx]]+Tabelle2[[#This Row],[vy]]*Tabelle2[[#This Row],[vy]])/1000000</f>
        <v>12.907760467325366</v>
      </c>
      <c r="H665">
        <f>IF($B$3,-Tabelle2[[#This Row],[Fd]]*Tabelle2[[#This Row],[vx]]/Tabelle2[[#This Row],[v]],0)</f>
        <v>0</v>
      </c>
      <c r="I665">
        <f t="shared" si="110"/>
        <v>0</v>
      </c>
      <c r="J665">
        <f t="shared" si="111"/>
        <v>0</v>
      </c>
      <c r="K665">
        <f t="shared" si="112"/>
        <v>1.0467394398169905</v>
      </c>
      <c r="L665">
        <f>-$B$5*$B$12-IF($B$3,Tabelle2[[#This Row],[Fd]]*Tabelle2[[#This Row],[vy]]/Tabelle2[[#This Row],[v]],0)</f>
        <v>-14.715</v>
      </c>
      <c r="M665">
        <f t="shared" si="113"/>
        <v>-9.81</v>
      </c>
      <c r="N665">
        <f t="shared" si="114"/>
        <v>-0.19620000000000001</v>
      </c>
      <c r="O665">
        <f t="shared" si="115"/>
        <v>-1.3521945120880385</v>
      </c>
      <c r="P665" s="1">
        <f t="shared" si="117"/>
        <v>52.336971990849527</v>
      </c>
      <c r="Q665" s="1">
        <f t="shared" si="118"/>
        <v>-67.511625604401928</v>
      </c>
      <c r="R665">
        <f>SQRT(Tabelle2[[#This Row],[vx]]*Tabelle2[[#This Row],[vx]]+Tabelle2[[#This Row],[vy]]*Tabelle2[[#This Row],[vy]])</f>
        <v>85.422352045117009</v>
      </c>
      <c r="S665">
        <f t="shared" si="119"/>
        <v>692.94150915884234</v>
      </c>
      <c r="T665" s="1">
        <f t="shared" si="120"/>
        <v>-32.304770221658096</v>
      </c>
    </row>
    <row r="666" spans="6:20" x14ac:dyDescent="0.35">
      <c r="F666" s="1">
        <f t="shared" si="116"/>
        <v>13.259999999999806</v>
      </c>
      <c r="G666">
        <f>1/2*$B$8*$B$6*$B$7*(Tabelle2[[#This Row],[vx]]*Tabelle2[[#This Row],[vx]]+Tabelle2[[#This Row],[vy]]*Tabelle2[[#This Row],[vy]])/1000000</f>
        <v>12.954689977255725</v>
      </c>
      <c r="H666">
        <f>IF($B$3,-Tabelle2[[#This Row],[Fd]]*Tabelle2[[#This Row],[vx]]/Tabelle2[[#This Row],[v]],0)</f>
        <v>0</v>
      </c>
      <c r="I666">
        <f t="shared" si="110"/>
        <v>0</v>
      </c>
      <c r="J666">
        <f t="shared" si="111"/>
        <v>0</v>
      </c>
      <c r="K666">
        <f t="shared" si="112"/>
        <v>1.0467394398169905</v>
      </c>
      <c r="L666">
        <f>-$B$5*$B$12-IF($B$3,Tabelle2[[#This Row],[Fd]]*Tabelle2[[#This Row],[vy]]/Tabelle2[[#This Row],[v]],0)</f>
        <v>-14.715</v>
      </c>
      <c r="M666">
        <f t="shared" si="113"/>
        <v>-9.81</v>
      </c>
      <c r="N666">
        <f t="shared" si="114"/>
        <v>-0.19620000000000001</v>
      </c>
      <c r="O666">
        <f t="shared" si="115"/>
        <v>-1.3561185120880388</v>
      </c>
      <c r="P666" s="1">
        <f t="shared" si="117"/>
        <v>52.336971990849527</v>
      </c>
      <c r="Q666" s="1">
        <f t="shared" si="118"/>
        <v>-67.707825604401933</v>
      </c>
      <c r="R666">
        <f>SQRT(Tabelle2[[#This Row],[vx]]*Tabelle2[[#This Row],[vx]]+Tabelle2[[#This Row],[vy]]*Tabelle2[[#This Row],[vy]])</f>
        <v>85.577498708755641</v>
      </c>
      <c r="S666">
        <f t="shared" si="119"/>
        <v>693.98824859865931</v>
      </c>
      <c r="T666" s="1">
        <f t="shared" si="120"/>
        <v>-33.656964733746136</v>
      </c>
    </row>
    <row r="667" spans="6:20" x14ac:dyDescent="0.35">
      <c r="F667" s="1">
        <f t="shared" si="116"/>
        <v>13.279999999999806</v>
      </c>
      <c r="G667">
        <f>1/2*$B$8*$B$6*$B$7*(Tabelle2[[#This Row],[vx]]*Tabelle2[[#This Row],[vx]]+Tabelle2[[#This Row],[vy]]*Tabelle2[[#This Row],[vy]])/1000000</f>
        <v>13.001755674247434</v>
      </c>
      <c r="H667">
        <f>IF($B$3,-Tabelle2[[#This Row],[Fd]]*Tabelle2[[#This Row],[vx]]/Tabelle2[[#This Row],[v]],0)</f>
        <v>0</v>
      </c>
      <c r="I667">
        <f t="shared" si="110"/>
        <v>0</v>
      </c>
      <c r="J667">
        <f t="shared" si="111"/>
        <v>0</v>
      </c>
      <c r="K667">
        <f t="shared" si="112"/>
        <v>1.0467394398169905</v>
      </c>
      <c r="L667">
        <f>-$B$5*$B$12-IF($B$3,Tabelle2[[#This Row],[Fd]]*Tabelle2[[#This Row],[vy]]/Tabelle2[[#This Row],[v]],0)</f>
        <v>-14.715</v>
      </c>
      <c r="M667">
        <f t="shared" si="113"/>
        <v>-9.81</v>
      </c>
      <c r="N667">
        <f t="shared" si="114"/>
        <v>-0.19620000000000001</v>
      </c>
      <c r="O667">
        <f t="shared" si="115"/>
        <v>-1.3600425120880388</v>
      </c>
      <c r="P667" s="1">
        <f t="shared" si="117"/>
        <v>52.336971990849527</v>
      </c>
      <c r="Q667" s="1">
        <f t="shared" si="118"/>
        <v>-67.904025604401937</v>
      </c>
      <c r="R667">
        <f>SQRT(Tabelle2[[#This Row],[vx]]*Tabelle2[[#This Row],[vx]]+Tabelle2[[#This Row],[vy]]*Tabelle2[[#This Row],[vy]])</f>
        <v>85.732813615641021</v>
      </c>
      <c r="S667">
        <f t="shared" si="119"/>
        <v>695.03498803847629</v>
      </c>
      <c r="T667" s="1">
        <f t="shared" si="120"/>
        <v>-35.013083245834174</v>
      </c>
    </row>
    <row r="668" spans="6:20" x14ac:dyDescent="0.35">
      <c r="F668" s="1">
        <f t="shared" si="116"/>
        <v>13.299999999999805</v>
      </c>
      <c r="G668">
        <f>1/2*$B$8*$B$6*$B$7*(Tabelle2[[#This Row],[vx]]*Tabelle2[[#This Row],[vx]]+Tabelle2[[#This Row],[vy]]*Tabelle2[[#This Row],[vy]])/1000000</f>
        <v>13.048957558300485</v>
      </c>
      <c r="H668">
        <f>IF($B$3,-Tabelle2[[#This Row],[Fd]]*Tabelle2[[#This Row],[vx]]/Tabelle2[[#This Row],[v]],0)</f>
        <v>0</v>
      </c>
      <c r="I668">
        <f t="shared" si="110"/>
        <v>0</v>
      </c>
      <c r="J668">
        <f t="shared" si="111"/>
        <v>0</v>
      </c>
      <c r="K668">
        <f t="shared" si="112"/>
        <v>1.0467394398169905</v>
      </c>
      <c r="L668">
        <f>-$B$5*$B$12-IF($B$3,Tabelle2[[#This Row],[Fd]]*Tabelle2[[#This Row],[vy]]/Tabelle2[[#This Row],[v]],0)</f>
        <v>-14.715</v>
      </c>
      <c r="M668">
        <f t="shared" si="113"/>
        <v>-9.81</v>
      </c>
      <c r="N668">
        <f t="shared" si="114"/>
        <v>-0.19620000000000001</v>
      </c>
      <c r="O668">
        <f t="shared" si="115"/>
        <v>-1.3639665120880389</v>
      </c>
      <c r="P668" s="1">
        <f t="shared" si="117"/>
        <v>52.336971990849527</v>
      </c>
      <c r="Q668" s="1">
        <f t="shared" si="118"/>
        <v>-68.100225604401942</v>
      </c>
      <c r="R668">
        <f>SQRT(Tabelle2[[#This Row],[vx]]*Tabelle2[[#This Row],[vx]]+Tabelle2[[#This Row],[vy]]*Tabelle2[[#This Row],[vy]])</f>
        <v>85.888295853052114</v>
      </c>
      <c r="S668">
        <f t="shared" si="119"/>
        <v>696.08172747829326</v>
      </c>
      <c r="T668" s="1">
        <f t="shared" si="120"/>
        <v>-36.37312575792221</v>
      </c>
    </row>
    <row r="669" spans="6:20" x14ac:dyDescent="0.35">
      <c r="F669" s="1">
        <f t="shared" si="116"/>
        <v>13.319999999999805</v>
      </c>
      <c r="G669">
        <f>1/2*$B$8*$B$6*$B$7*(Tabelle2[[#This Row],[vx]]*Tabelle2[[#This Row],[vx]]+Tabelle2[[#This Row],[vy]]*Tabelle2[[#This Row],[vy]])/1000000</f>
        <v>13.096295629414879</v>
      </c>
      <c r="H669">
        <f>IF($B$3,-Tabelle2[[#This Row],[Fd]]*Tabelle2[[#This Row],[vx]]/Tabelle2[[#This Row],[v]],0)</f>
        <v>0</v>
      </c>
      <c r="I669">
        <f t="shared" si="110"/>
        <v>0</v>
      </c>
      <c r="J669">
        <f t="shared" si="111"/>
        <v>0</v>
      </c>
      <c r="K669">
        <f t="shared" si="112"/>
        <v>1.0467394398169905</v>
      </c>
      <c r="L669">
        <f>-$B$5*$B$12-IF($B$3,Tabelle2[[#This Row],[Fd]]*Tabelle2[[#This Row],[vy]]/Tabelle2[[#This Row],[v]],0)</f>
        <v>-14.715</v>
      </c>
      <c r="M669">
        <f t="shared" si="113"/>
        <v>-9.81</v>
      </c>
      <c r="N669">
        <f t="shared" si="114"/>
        <v>-0.19620000000000001</v>
      </c>
      <c r="O669">
        <f t="shared" si="115"/>
        <v>-1.3678905120880389</v>
      </c>
      <c r="P669" s="1">
        <f t="shared" si="117"/>
        <v>52.336971990849527</v>
      </c>
      <c r="Q669" s="1">
        <f t="shared" si="118"/>
        <v>-68.296425604401946</v>
      </c>
      <c r="R669">
        <f>SQRT(Tabelle2[[#This Row],[vx]]*Tabelle2[[#This Row],[vx]]+Tabelle2[[#This Row],[vy]]*Tabelle2[[#This Row],[vy]])</f>
        <v>86.043944513885336</v>
      </c>
      <c r="S669">
        <f t="shared" si="119"/>
        <v>697.12846691811023</v>
      </c>
      <c r="T669" s="1">
        <f t="shared" si="120"/>
        <v>-37.737092270010251</v>
      </c>
    </row>
    <row r="670" spans="6:20" x14ac:dyDescent="0.35">
      <c r="F670" s="1">
        <f t="shared" si="116"/>
        <v>13.339999999999804</v>
      </c>
      <c r="G670">
        <f>1/2*$B$8*$B$6*$B$7*(Tabelle2[[#This Row],[vx]]*Tabelle2[[#This Row],[vx]]+Tabelle2[[#This Row],[vy]]*Tabelle2[[#This Row],[vy]])/1000000</f>
        <v>13.143769887590615</v>
      </c>
      <c r="H670">
        <f>IF($B$3,-Tabelle2[[#This Row],[Fd]]*Tabelle2[[#This Row],[vx]]/Tabelle2[[#This Row],[v]],0)</f>
        <v>0</v>
      </c>
      <c r="I670">
        <f t="shared" si="110"/>
        <v>0</v>
      </c>
      <c r="J670">
        <f t="shared" si="111"/>
        <v>0</v>
      </c>
      <c r="K670">
        <f t="shared" si="112"/>
        <v>1.0467394398169905</v>
      </c>
      <c r="L670">
        <f>-$B$5*$B$12-IF($B$3,Tabelle2[[#This Row],[Fd]]*Tabelle2[[#This Row],[vy]]/Tabelle2[[#This Row],[v]],0)</f>
        <v>-14.715</v>
      </c>
      <c r="M670">
        <f t="shared" si="113"/>
        <v>-9.81</v>
      </c>
      <c r="N670">
        <f t="shared" si="114"/>
        <v>-0.19620000000000001</v>
      </c>
      <c r="O670">
        <f t="shared" si="115"/>
        <v>-1.3718145120880392</v>
      </c>
      <c r="P670" s="1">
        <f t="shared" si="117"/>
        <v>52.336971990849527</v>
      </c>
      <c r="Q670" s="1">
        <f t="shared" si="118"/>
        <v>-68.492625604401951</v>
      </c>
      <c r="R670">
        <f>SQRT(Tabelle2[[#This Row],[vx]]*Tabelle2[[#This Row],[vx]]+Tabelle2[[#This Row],[vy]]*Tabelle2[[#This Row],[vy]])</f>
        <v>86.199758696621331</v>
      </c>
      <c r="S670">
        <f t="shared" si="119"/>
        <v>698.17520635792721</v>
      </c>
      <c r="T670" s="1">
        <f t="shared" si="120"/>
        <v>-39.10498278209829</v>
      </c>
    </row>
    <row r="671" spans="6:20" x14ac:dyDescent="0.35">
      <c r="F671" s="1">
        <f t="shared" si="116"/>
        <v>13.359999999999804</v>
      </c>
      <c r="G671">
        <f>1/2*$B$8*$B$6*$B$7*(Tabelle2[[#This Row],[vx]]*Tabelle2[[#This Row],[vx]]+Tabelle2[[#This Row],[vy]]*Tabelle2[[#This Row],[vy]])/1000000</f>
        <v>13.191380332827698</v>
      </c>
      <c r="H671">
        <f>IF($B$3,-Tabelle2[[#This Row],[Fd]]*Tabelle2[[#This Row],[vx]]/Tabelle2[[#This Row],[v]],0)</f>
        <v>0</v>
      </c>
      <c r="I671">
        <f t="shared" si="110"/>
        <v>0</v>
      </c>
      <c r="J671">
        <f t="shared" si="111"/>
        <v>0</v>
      </c>
      <c r="K671">
        <f t="shared" si="112"/>
        <v>1.0467394398169905</v>
      </c>
      <c r="L671">
        <f>-$B$5*$B$12-IF($B$3,Tabelle2[[#This Row],[Fd]]*Tabelle2[[#This Row],[vy]]/Tabelle2[[#This Row],[v]],0)</f>
        <v>-14.715</v>
      </c>
      <c r="M671">
        <f t="shared" si="113"/>
        <v>-9.81</v>
      </c>
      <c r="N671">
        <f t="shared" si="114"/>
        <v>-0.19620000000000001</v>
      </c>
      <c r="O671">
        <f t="shared" si="115"/>
        <v>-1.3757385120880392</v>
      </c>
      <c r="P671" s="1">
        <f t="shared" si="117"/>
        <v>52.336971990849527</v>
      </c>
      <c r="Q671" s="1">
        <f t="shared" si="118"/>
        <v>-68.688825604401956</v>
      </c>
      <c r="R671">
        <f>SQRT(Tabelle2[[#This Row],[vx]]*Tabelle2[[#This Row],[vx]]+Tabelle2[[#This Row],[vy]]*Tabelle2[[#This Row],[vy]])</f>
        <v>86.355737505292112</v>
      </c>
      <c r="S671">
        <f t="shared" si="119"/>
        <v>699.22194579774418</v>
      </c>
      <c r="T671" s="1">
        <f t="shared" si="120"/>
        <v>-40.476797294186326</v>
      </c>
    </row>
    <row r="672" spans="6:20" x14ac:dyDescent="0.35">
      <c r="F672" s="1">
        <f t="shared" si="116"/>
        <v>13.379999999999804</v>
      </c>
      <c r="G672">
        <f>1/2*$B$8*$B$6*$B$7*(Tabelle2[[#This Row],[vx]]*Tabelle2[[#This Row],[vx]]+Tabelle2[[#This Row],[vy]]*Tabelle2[[#This Row],[vy]])/1000000</f>
        <v>13.239126965126125</v>
      </c>
      <c r="H672">
        <f>IF($B$3,-Tabelle2[[#This Row],[Fd]]*Tabelle2[[#This Row],[vx]]/Tabelle2[[#This Row],[v]],0)</f>
        <v>0</v>
      </c>
      <c r="I672">
        <f t="shared" si="110"/>
        <v>0</v>
      </c>
      <c r="J672">
        <f t="shared" si="111"/>
        <v>0</v>
      </c>
      <c r="K672">
        <f t="shared" si="112"/>
        <v>1.0467394398169905</v>
      </c>
      <c r="L672">
        <f>-$B$5*$B$12-IF($B$3,Tabelle2[[#This Row],[Fd]]*Tabelle2[[#This Row],[vy]]/Tabelle2[[#This Row],[v]],0)</f>
        <v>-14.715</v>
      </c>
      <c r="M672">
        <f t="shared" si="113"/>
        <v>-9.81</v>
      </c>
      <c r="N672">
        <f t="shared" si="114"/>
        <v>-0.19620000000000001</v>
      </c>
      <c r="O672">
        <f t="shared" si="115"/>
        <v>-1.3796625120880393</v>
      </c>
      <c r="P672" s="1">
        <f t="shared" si="117"/>
        <v>52.336971990849527</v>
      </c>
      <c r="Q672" s="1">
        <f t="shared" si="118"/>
        <v>-68.88502560440196</v>
      </c>
      <c r="R672">
        <f>SQRT(Tabelle2[[#This Row],[vx]]*Tabelle2[[#This Row],[vx]]+Tabelle2[[#This Row],[vy]]*Tabelle2[[#This Row],[vy]])</f>
        <v>86.511880049448024</v>
      </c>
      <c r="S672">
        <f t="shared" si="119"/>
        <v>700.26868523756116</v>
      </c>
      <c r="T672" s="1">
        <f t="shared" si="120"/>
        <v>-41.852535806274368</v>
      </c>
    </row>
    <row r="673" spans="6:20" x14ac:dyDescent="0.35">
      <c r="F673" s="1">
        <f t="shared" si="116"/>
        <v>13.399999999999803</v>
      </c>
      <c r="G673">
        <f>1/2*$B$8*$B$6*$B$7*(Tabelle2[[#This Row],[vx]]*Tabelle2[[#This Row],[vx]]+Tabelle2[[#This Row],[vy]]*Tabelle2[[#This Row],[vy]])/1000000</f>
        <v>13.287009784485891</v>
      </c>
      <c r="H673">
        <f>IF($B$3,-Tabelle2[[#This Row],[Fd]]*Tabelle2[[#This Row],[vx]]/Tabelle2[[#This Row],[v]],0)</f>
        <v>0</v>
      </c>
      <c r="I673">
        <f t="shared" si="110"/>
        <v>0</v>
      </c>
      <c r="J673">
        <f t="shared" si="111"/>
        <v>0</v>
      </c>
      <c r="K673">
        <f t="shared" si="112"/>
        <v>1.0467394398169905</v>
      </c>
      <c r="L673">
        <f>-$B$5*$B$12-IF($B$3,Tabelle2[[#This Row],[Fd]]*Tabelle2[[#This Row],[vy]]/Tabelle2[[#This Row],[v]],0)</f>
        <v>-14.715</v>
      </c>
      <c r="M673">
        <f t="shared" si="113"/>
        <v>-9.81</v>
      </c>
      <c r="N673">
        <f t="shared" si="114"/>
        <v>-0.19620000000000001</v>
      </c>
      <c r="O673">
        <f t="shared" si="115"/>
        <v>-1.3835865120880393</v>
      </c>
      <c r="P673" s="1">
        <f t="shared" si="117"/>
        <v>52.336971990849527</v>
      </c>
      <c r="Q673" s="1">
        <f t="shared" si="118"/>
        <v>-69.081225604401965</v>
      </c>
      <c r="R673">
        <f>SQRT(Tabelle2[[#This Row],[vx]]*Tabelle2[[#This Row],[vx]]+Tabelle2[[#This Row],[vy]]*Tabelle2[[#This Row],[vy]])</f>
        <v>86.668185444125044</v>
      </c>
      <c r="S673">
        <f t="shared" si="119"/>
        <v>701.31542467737813</v>
      </c>
      <c r="T673" s="1">
        <f t="shared" si="120"/>
        <v>-43.232198318362407</v>
      </c>
    </row>
    <row r="674" spans="6:20" x14ac:dyDescent="0.35">
      <c r="F674" s="1">
        <f t="shared" si="116"/>
        <v>13.419999999999803</v>
      </c>
      <c r="G674">
        <f>1/2*$B$8*$B$6*$B$7*(Tabelle2[[#This Row],[vx]]*Tabelle2[[#This Row],[vx]]+Tabelle2[[#This Row],[vy]]*Tabelle2[[#This Row],[vy]])/1000000</f>
        <v>13.335028790907009</v>
      </c>
      <c r="H674">
        <f>IF($B$3,-Tabelle2[[#This Row],[Fd]]*Tabelle2[[#This Row],[vx]]/Tabelle2[[#This Row],[v]],0)</f>
        <v>0</v>
      </c>
      <c r="I674">
        <f t="shared" si="110"/>
        <v>0</v>
      </c>
      <c r="J674">
        <f t="shared" si="111"/>
        <v>0</v>
      </c>
      <c r="K674">
        <f t="shared" si="112"/>
        <v>1.0467394398169905</v>
      </c>
      <c r="L674">
        <f>-$B$5*$B$12-IF($B$3,Tabelle2[[#This Row],[Fd]]*Tabelle2[[#This Row],[vy]]/Tabelle2[[#This Row],[v]],0)</f>
        <v>-14.715</v>
      </c>
      <c r="M674">
        <f t="shared" si="113"/>
        <v>-9.81</v>
      </c>
      <c r="N674">
        <f t="shared" si="114"/>
        <v>-0.19620000000000001</v>
      </c>
      <c r="O674">
        <f t="shared" si="115"/>
        <v>-1.3875105120880395</v>
      </c>
      <c r="P674" s="1">
        <f t="shared" si="117"/>
        <v>52.336971990849527</v>
      </c>
      <c r="Q674" s="1">
        <f t="shared" si="118"/>
        <v>-69.277425604401969</v>
      </c>
      <c r="R674">
        <f>SQRT(Tabelle2[[#This Row],[vx]]*Tabelle2[[#This Row],[vx]]+Tabelle2[[#This Row],[vy]]*Tabelle2[[#This Row],[vy]])</f>
        <v>86.824652809812136</v>
      </c>
      <c r="S674">
        <f t="shared" si="119"/>
        <v>702.36216411719511</v>
      </c>
      <c r="T674" s="1">
        <f t="shared" si="120"/>
        <v>-44.615784830450444</v>
      </c>
    </row>
    <row r="675" spans="6:20" x14ac:dyDescent="0.35">
      <c r="F675" s="1">
        <f t="shared" si="116"/>
        <v>13.439999999999802</v>
      </c>
      <c r="G675">
        <f>1/2*$B$8*$B$6*$B$7*(Tabelle2[[#This Row],[vx]]*Tabelle2[[#This Row],[vx]]+Tabelle2[[#This Row],[vy]]*Tabelle2[[#This Row],[vy]])/1000000</f>
        <v>13.383183984389465</v>
      </c>
      <c r="H675">
        <f>IF($B$3,-Tabelle2[[#This Row],[Fd]]*Tabelle2[[#This Row],[vx]]/Tabelle2[[#This Row],[v]],0)</f>
        <v>0</v>
      </c>
      <c r="I675">
        <f t="shared" si="110"/>
        <v>0</v>
      </c>
      <c r="J675">
        <f t="shared" si="111"/>
        <v>0</v>
      </c>
      <c r="K675">
        <f t="shared" si="112"/>
        <v>1.0467394398169905</v>
      </c>
      <c r="L675">
        <f>-$B$5*$B$12-IF($B$3,Tabelle2[[#This Row],[Fd]]*Tabelle2[[#This Row],[vy]]/Tabelle2[[#This Row],[v]],0)</f>
        <v>-14.715</v>
      </c>
      <c r="M675">
        <f t="shared" si="113"/>
        <v>-9.81</v>
      </c>
      <c r="N675">
        <f t="shared" si="114"/>
        <v>-0.19620000000000001</v>
      </c>
      <c r="O675">
        <f t="shared" si="115"/>
        <v>-1.3914345120880396</v>
      </c>
      <c r="P675" s="1">
        <f t="shared" si="117"/>
        <v>52.336971990849527</v>
      </c>
      <c r="Q675" s="1">
        <f t="shared" si="118"/>
        <v>-69.473625604401974</v>
      </c>
      <c r="R675">
        <f>SQRT(Tabelle2[[#This Row],[vx]]*Tabelle2[[#This Row],[vx]]+Tabelle2[[#This Row],[vy]]*Tabelle2[[#This Row],[vy]])</f>
        <v>86.981281272418514</v>
      </c>
      <c r="S675">
        <f t="shared" si="119"/>
        <v>703.40890355701208</v>
      </c>
      <c r="T675" s="1">
        <f t="shared" si="120"/>
        <v>-46.003295342538486</v>
      </c>
    </row>
    <row r="676" spans="6:20" x14ac:dyDescent="0.35">
      <c r="F676" s="1">
        <f t="shared" si="116"/>
        <v>13.459999999999802</v>
      </c>
      <c r="G676">
        <f>1/2*$B$8*$B$6*$B$7*(Tabelle2[[#This Row],[vx]]*Tabelle2[[#This Row],[vx]]+Tabelle2[[#This Row],[vy]]*Tabelle2[[#This Row],[vy]])/1000000</f>
        <v>13.431475364933267</v>
      </c>
      <c r="H676">
        <f>IF($B$3,-Tabelle2[[#This Row],[Fd]]*Tabelle2[[#This Row],[vx]]/Tabelle2[[#This Row],[v]],0)</f>
        <v>0</v>
      </c>
      <c r="I676">
        <f t="shared" si="110"/>
        <v>0</v>
      </c>
      <c r="J676">
        <f t="shared" si="111"/>
        <v>0</v>
      </c>
      <c r="K676">
        <f t="shared" si="112"/>
        <v>1.0467394398169905</v>
      </c>
      <c r="L676">
        <f>-$B$5*$B$12-IF($B$3,Tabelle2[[#This Row],[Fd]]*Tabelle2[[#This Row],[vy]]/Tabelle2[[#This Row],[v]],0)</f>
        <v>-14.715</v>
      </c>
      <c r="M676">
        <f t="shared" si="113"/>
        <v>-9.81</v>
      </c>
      <c r="N676">
        <f t="shared" si="114"/>
        <v>-0.19620000000000001</v>
      </c>
      <c r="O676">
        <f t="shared" si="115"/>
        <v>-1.3953585120880396</v>
      </c>
      <c r="P676" s="1">
        <f t="shared" si="117"/>
        <v>52.336971990849527</v>
      </c>
      <c r="Q676" s="1">
        <f t="shared" si="118"/>
        <v>-69.669825604401979</v>
      </c>
      <c r="R676">
        <f>SQRT(Tabelle2[[#This Row],[vx]]*Tabelle2[[#This Row],[vx]]+Tabelle2[[#This Row],[vy]]*Tabelle2[[#This Row],[vy]])</f>
        <v>87.138069963241392</v>
      </c>
      <c r="S676">
        <f t="shared" si="119"/>
        <v>704.45564299682906</v>
      </c>
      <c r="T676" s="1">
        <f t="shared" si="120"/>
        <v>-47.394729854626526</v>
      </c>
    </row>
    <row r="677" spans="6:20" x14ac:dyDescent="0.35">
      <c r="F677" s="1">
        <f t="shared" si="116"/>
        <v>13.479999999999801</v>
      </c>
      <c r="G677">
        <f>1/2*$B$8*$B$6*$B$7*(Tabelle2[[#This Row],[vx]]*Tabelle2[[#This Row],[vx]]+Tabelle2[[#This Row],[vy]]*Tabelle2[[#This Row],[vy]])/1000000</f>
        <v>13.479902932538414</v>
      </c>
      <c r="H677">
        <f>IF($B$3,-Tabelle2[[#This Row],[Fd]]*Tabelle2[[#This Row],[vx]]/Tabelle2[[#This Row],[v]],0)</f>
        <v>0</v>
      </c>
      <c r="I677">
        <f t="shared" si="110"/>
        <v>0</v>
      </c>
      <c r="J677">
        <f t="shared" si="111"/>
        <v>0</v>
      </c>
      <c r="K677">
        <f t="shared" si="112"/>
        <v>1.0467394398169905</v>
      </c>
      <c r="L677">
        <f>-$B$5*$B$12-IF($B$3,Tabelle2[[#This Row],[Fd]]*Tabelle2[[#This Row],[vy]]/Tabelle2[[#This Row],[v]],0)</f>
        <v>-14.715</v>
      </c>
      <c r="M677">
        <f t="shared" si="113"/>
        <v>-9.81</v>
      </c>
      <c r="N677">
        <f t="shared" si="114"/>
        <v>-0.19620000000000001</v>
      </c>
      <c r="O677">
        <f t="shared" si="115"/>
        <v>-1.3992825120880397</v>
      </c>
      <c r="P677" s="1">
        <f t="shared" si="117"/>
        <v>52.336971990849527</v>
      </c>
      <c r="Q677" s="1">
        <f t="shared" si="118"/>
        <v>-69.866025604401983</v>
      </c>
      <c r="R677">
        <f>SQRT(Tabelle2[[#This Row],[vx]]*Tabelle2[[#This Row],[vx]]+Tabelle2[[#This Row],[vy]]*Tabelle2[[#This Row],[vy]])</f>
        <v>87.295018018933476</v>
      </c>
      <c r="S677">
        <f t="shared" si="119"/>
        <v>705.50238243664603</v>
      </c>
      <c r="T677" s="1">
        <f t="shared" si="120"/>
        <v>-48.790088366714564</v>
      </c>
    </row>
    <row r="678" spans="6:20" x14ac:dyDescent="0.35">
      <c r="F678" s="1">
        <f t="shared" si="116"/>
        <v>13.499999999999801</v>
      </c>
      <c r="G678">
        <f>1/2*$B$8*$B$6*$B$7*(Tabelle2[[#This Row],[vx]]*Tabelle2[[#This Row],[vx]]+Tabelle2[[#This Row],[vy]]*Tabelle2[[#This Row],[vy]])/1000000</f>
        <v>13.528466687204903</v>
      </c>
      <c r="H678">
        <f>IF($B$3,-Tabelle2[[#This Row],[Fd]]*Tabelle2[[#This Row],[vx]]/Tabelle2[[#This Row],[v]],0)</f>
        <v>0</v>
      </c>
      <c r="I678">
        <f t="shared" si="110"/>
        <v>0</v>
      </c>
      <c r="J678">
        <f t="shared" si="111"/>
        <v>0</v>
      </c>
      <c r="K678">
        <f t="shared" si="112"/>
        <v>1.0467394398169905</v>
      </c>
      <c r="L678">
        <f>-$B$5*$B$12-IF($B$3,Tabelle2[[#This Row],[Fd]]*Tabelle2[[#This Row],[vy]]/Tabelle2[[#This Row],[v]],0)</f>
        <v>-14.715</v>
      </c>
      <c r="M678">
        <f t="shared" si="113"/>
        <v>-9.81</v>
      </c>
      <c r="N678">
        <f t="shared" si="114"/>
        <v>-0.19620000000000001</v>
      </c>
      <c r="O678">
        <f t="shared" si="115"/>
        <v>-1.4032065120880399</v>
      </c>
      <c r="P678" s="1">
        <f t="shared" si="117"/>
        <v>52.336971990849527</v>
      </c>
      <c r="Q678" s="1">
        <f t="shared" si="118"/>
        <v>-70.062225604401988</v>
      </c>
      <c r="R678">
        <f>SQRT(Tabelle2[[#This Row],[vx]]*Tabelle2[[#This Row],[vx]]+Tabelle2[[#This Row],[vy]]*Tabelle2[[#This Row],[vy]])</f>
        <v>87.452124581470798</v>
      </c>
      <c r="S678">
        <f t="shared" si="119"/>
        <v>706.549121876463</v>
      </c>
      <c r="T678" s="1">
        <f t="shared" si="120"/>
        <v>-50.189370878802606</v>
      </c>
    </row>
    <row r="679" spans="6:20" x14ac:dyDescent="0.35">
      <c r="F679" s="1">
        <f t="shared" si="116"/>
        <v>13.519999999999801</v>
      </c>
      <c r="G679">
        <f>1/2*$B$8*$B$6*$B$7*(Tabelle2[[#This Row],[vx]]*Tabelle2[[#This Row],[vx]]+Tabelle2[[#This Row],[vy]]*Tabelle2[[#This Row],[vy]])/1000000</f>
        <v>13.577166628932737</v>
      </c>
      <c r="H679">
        <f>IF($B$3,-Tabelle2[[#This Row],[Fd]]*Tabelle2[[#This Row],[vx]]/Tabelle2[[#This Row],[v]],0)</f>
        <v>0</v>
      </c>
      <c r="I679">
        <f t="shared" si="110"/>
        <v>0</v>
      </c>
      <c r="J679">
        <f t="shared" si="111"/>
        <v>0</v>
      </c>
      <c r="K679">
        <f t="shared" si="112"/>
        <v>1.0467394398169905</v>
      </c>
      <c r="L679">
        <f>-$B$5*$B$12-IF($B$3,Tabelle2[[#This Row],[Fd]]*Tabelle2[[#This Row],[vy]]/Tabelle2[[#This Row],[v]],0)</f>
        <v>-14.715</v>
      </c>
      <c r="M679">
        <f t="shared" si="113"/>
        <v>-9.81</v>
      </c>
      <c r="N679">
        <f t="shared" si="114"/>
        <v>-0.19620000000000001</v>
      </c>
      <c r="O679">
        <f t="shared" si="115"/>
        <v>-1.40713051208804</v>
      </c>
      <c r="P679" s="1">
        <f t="shared" si="117"/>
        <v>52.336971990849527</v>
      </c>
      <c r="Q679" s="1">
        <f t="shared" si="118"/>
        <v>-70.258425604401992</v>
      </c>
      <c r="R679">
        <f>SQRT(Tabelle2[[#This Row],[vx]]*Tabelle2[[#This Row],[vx]]+Tabelle2[[#This Row],[vy]]*Tabelle2[[#This Row],[vy]])</f>
        <v>87.609388798120577</v>
      </c>
      <c r="S679">
        <f t="shared" si="119"/>
        <v>707.59586131627998</v>
      </c>
      <c r="T679" s="1">
        <f t="shared" si="120"/>
        <v>-51.592577390890646</v>
      </c>
    </row>
    <row r="680" spans="6:20" x14ac:dyDescent="0.35">
      <c r="F680" s="1">
        <f t="shared" si="116"/>
        <v>13.5399999999998</v>
      </c>
      <c r="G680">
        <f>1/2*$B$8*$B$6*$B$7*(Tabelle2[[#This Row],[vx]]*Tabelle2[[#This Row],[vx]]+Tabelle2[[#This Row],[vy]]*Tabelle2[[#This Row],[vy]])/1000000</f>
        <v>13.626002757721915</v>
      </c>
      <c r="H680">
        <f>IF($B$3,-Tabelle2[[#This Row],[Fd]]*Tabelle2[[#This Row],[vx]]/Tabelle2[[#This Row],[v]],0)</f>
        <v>0</v>
      </c>
      <c r="I680">
        <f t="shared" si="110"/>
        <v>0</v>
      </c>
      <c r="J680">
        <f t="shared" si="111"/>
        <v>0</v>
      </c>
      <c r="K680">
        <f t="shared" si="112"/>
        <v>1.0467394398169905</v>
      </c>
      <c r="L680">
        <f>-$B$5*$B$12-IF($B$3,Tabelle2[[#This Row],[Fd]]*Tabelle2[[#This Row],[vy]]/Tabelle2[[#This Row],[v]],0)</f>
        <v>-14.715</v>
      </c>
      <c r="M680">
        <f t="shared" si="113"/>
        <v>-9.81</v>
      </c>
      <c r="N680">
        <f t="shared" si="114"/>
        <v>-0.19620000000000001</v>
      </c>
      <c r="O680">
        <f t="shared" si="115"/>
        <v>-1.41105451208804</v>
      </c>
      <c r="P680" s="1">
        <f t="shared" si="117"/>
        <v>52.336971990849527</v>
      </c>
      <c r="Q680" s="1">
        <f t="shared" si="118"/>
        <v>-70.454625604401997</v>
      </c>
      <c r="R680">
        <f>SQRT(Tabelle2[[#This Row],[vx]]*Tabelle2[[#This Row],[vx]]+Tabelle2[[#This Row],[vy]]*Tabelle2[[#This Row],[vy]])</f>
        <v>87.766809821409282</v>
      </c>
      <c r="S680">
        <f t="shared" si="119"/>
        <v>708.64260075609695</v>
      </c>
      <c r="T680" s="1">
        <f t="shared" si="120"/>
        <v>-52.999707902978685</v>
      </c>
    </row>
    <row r="681" spans="6:20" x14ac:dyDescent="0.35">
      <c r="F681" s="1">
        <f t="shared" si="116"/>
        <v>13.5599999999998</v>
      </c>
      <c r="G681">
        <f>1/2*$B$8*$B$6*$B$7*(Tabelle2[[#This Row],[vx]]*Tabelle2[[#This Row],[vx]]+Tabelle2[[#This Row],[vy]]*Tabelle2[[#This Row],[vy]])/1000000</f>
        <v>13.674975073572439</v>
      </c>
      <c r="H681">
        <f>IF($B$3,-Tabelle2[[#This Row],[Fd]]*Tabelle2[[#This Row],[vx]]/Tabelle2[[#This Row],[v]],0)</f>
        <v>0</v>
      </c>
      <c r="I681">
        <f t="shared" si="110"/>
        <v>0</v>
      </c>
      <c r="J681">
        <f t="shared" si="111"/>
        <v>0</v>
      </c>
      <c r="K681">
        <f t="shared" si="112"/>
        <v>1.0467394398169905</v>
      </c>
      <c r="L681">
        <f>-$B$5*$B$12-IF($B$3,Tabelle2[[#This Row],[Fd]]*Tabelle2[[#This Row],[vy]]/Tabelle2[[#This Row],[v]],0)</f>
        <v>-14.715</v>
      </c>
      <c r="M681">
        <f t="shared" si="113"/>
        <v>-9.81</v>
      </c>
      <c r="N681">
        <f t="shared" si="114"/>
        <v>-0.19620000000000001</v>
      </c>
      <c r="O681">
        <f t="shared" si="115"/>
        <v>-1.41497851208804</v>
      </c>
      <c r="P681" s="1">
        <f t="shared" si="117"/>
        <v>52.336971990849527</v>
      </c>
      <c r="Q681" s="1">
        <f t="shared" si="118"/>
        <v>-70.650825604402002</v>
      </c>
      <c r="R681">
        <f>SQRT(Tabelle2[[#This Row],[vx]]*Tabelle2[[#This Row],[vx]]+Tabelle2[[#This Row],[vy]]*Tabelle2[[#This Row],[vy]])</f>
        <v>87.924386809090649</v>
      </c>
      <c r="S681">
        <f t="shared" si="119"/>
        <v>709.68934019591393</v>
      </c>
      <c r="T681" s="1">
        <f t="shared" si="120"/>
        <v>-54.410762415066728</v>
      </c>
    </row>
    <row r="682" spans="6:20" x14ac:dyDescent="0.35">
      <c r="F682" s="1">
        <f t="shared" si="116"/>
        <v>13.579999999999799</v>
      </c>
      <c r="G682">
        <f>1/2*$B$8*$B$6*$B$7*(Tabelle2[[#This Row],[vx]]*Tabelle2[[#This Row],[vx]]+Tabelle2[[#This Row],[vy]]*Tabelle2[[#This Row],[vy]])/1000000</f>
        <v>13.724083576484304</v>
      </c>
      <c r="H682">
        <f>IF($B$3,-Tabelle2[[#This Row],[Fd]]*Tabelle2[[#This Row],[vx]]/Tabelle2[[#This Row],[v]],0)</f>
        <v>0</v>
      </c>
      <c r="I682">
        <f t="shared" si="110"/>
        <v>0</v>
      </c>
      <c r="J682">
        <f t="shared" si="111"/>
        <v>0</v>
      </c>
      <c r="K682">
        <f t="shared" si="112"/>
        <v>1.0467394398169905</v>
      </c>
      <c r="L682">
        <f>-$B$5*$B$12-IF($B$3,Tabelle2[[#This Row],[Fd]]*Tabelle2[[#This Row],[vy]]/Tabelle2[[#This Row],[v]],0)</f>
        <v>-14.715</v>
      </c>
      <c r="M682">
        <f t="shared" si="113"/>
        <v>-9.81</v>
      </c>
      <c r="N682">
        <f t="shared" si="114"/>
        <v>-0.19620000000000001</v>
      </c>
      <c r="O682">
        <f t="shared" si="115"/>
        <v>-1.4189025120880403</v>
      </c>
      <c r="P682" s="1">
        <f t="shared" si="117"/>
        <v>52.336971990849527</v>
      </c>
      <c r="Q682" s="1">
        <f t="shared" si="118"/>
        <v>-70.847025604402006</v>
      </c>
      <c r="R682">
        <f>SQRT(Tabelle2[[#This Row],[vx]]*Tabelle2[[#This Row],[vx]]+Tabelle2[[#This Row],[vy]]*Tabelle2[[#This Row],[vy]])</f>
        <v>88.082118924113999</v>
      </c>
      <c r="S682">
        <f t="shared" si="119"/>
        <v>710.7360796357309</v>
      </c>
      <c r="T682" s="1">
        <f t="shared" si="120"/>
        <v>-55.825740927154769</v>
      </c>
    </row>
    <row r="683" spans="6:20" x14ac:dyDescent="0.35">
      <c r="F683" s="1">
        <f t="shared" si="116"/>
        <v>13.599999999999799</v>
      </c>
      <c r="G683">
        <f>1/2*$B$8*$B$6*$B$7*(Tabelle2[[#This Row],[vx]]*Tabelle2[[#This Row],[vx]]+Tabelle2[[#This Row],[vy]]*Tabelle2[[#This Row],[vy]])/1000000</f>
        <v>13.773328266457515</v>
      </c>
      <c r="H683">
        <f>IF($B$3,-Tabelle2[[#This Row],[Fd]]*Tabelle2[[#This Row],[vx]]/Tabelle2[[#This Row],[v]],0)</f>
        <v>0</v>
      </c>
      <c r="I683">
        <f t="shared" si="110"/>
        <v>0</v>
      </c>
      <c r="J683">
        <f t="shared" si="111"/>
        <v>0</v>
      </c>
      <c r="K683">
        <f t="shared" si="112"/>
        <v>1.0467394398169905</v>
      </c>
      <c r="L683">
        <f>-$B$5*$B$12-IF($B$3,Tabelle2[[#This Row],[Fd]]*Tabelle2[[#This Row],[vy]]/Tabelle2[[#This Row],[v]],0)</f>
        <v>-14.715</v>
      </c>
      <c r="M683">
        <f t="shared" si="113"/>
        <v>-9.81</v>
      </c>
      <c r="N683">
        <f t="shared" si="114"/>
        <v>-0.19620000000000001</v>
      </c>
      <c r="O683">
        <f t="shared" si="115"/>
        <v>-1.4228265120880403</v>
      </c>
      <c r="P683" s="1">
        <f t="shared" si="117"/>
        <v>52.336971990849527</v>
      </c>
      <c r="Q683" s="1">
        <f t="shared" si="118"/>
        <v>-71.043225604402011</v>
      </c>
      <c r="R683">
        <f>SQRT(Tabelle2[[#This Row],[vx]]*Tabelle2[[#This Row],[vx]]+Tabelle2[[#This Row],[vy]]*Tabelle2[[#This Row],[vy]])</f>
        <v>88.240005334592595</v>
      </c>
      <c r="S683">
        <f t="shared" si="119"/>
        <v>711.78281907554788</v>
      </c>
      <c r="T683" s="1">
        <f t="shared" si="120"/>
        <v>-57.244643439242807</v>
      </c>
    </row>
    <row r="684" spans="6:20" x14ac:dyDescent="0.35">
      <c r="F684" s="1">
        <f t="shared" si="116"/>
        <v>13.619999999999798</v>
      </c>
      <c r="G684">
        <f>1/2*$B$8*$B$6*$B$7*(Tabelle2[[#This Row],[vx]]*Tabelle2[[#This Row],[vx]]+Tabelle2[[#This Row],[vy]]*Tabelle2[[#This Row],[vy]])/1000000</f>
        <v>13.822709143492069</v>
      </c>
      <c r="H684">
        <f>IF($B$3,-Tabelle2[[#This Row],[Fd]]*Tabelle2[[#This Row],[vx]]/Tabelle2[[#This Row],[v]],0)</f>
        <v>0</v>
      </c>
      <c r="I684">
        <f t="shared" si="110"/>
        <v>0</v>
      </c>
      <c r="J684">
        <f t="shared" si="111"/>
        <v>0</v>
      </c>
      <c r="K684">
        <f t="shared" si="112"/>
        <v>1.0467394398169905</v>
      </c>
      <c r="L684">
        <f>-$B$5*$B$12-IF($B$3,Tabelle2[[#This Row],[Fd]]*Tabelle2[[#This Row],[vy]]/Tabelle2[[#This Row],[v]],0)</f>
        <v>-14.715</v>
      </c>
      <c r="M684">
        <f t="shared" si="113"/>
        <v>-9.81</v>
      </c>
      <c r="N684">
        <f t="shared" si="114"/>
        <v>-0.19620000000000001</v>
      </c>
      <c r="O684">
        <f t="shared" si="115"/>
        <v>-1.4267505120880404</v>
      </c>
      <c r="P684" s="1">
        <f t="shared" si="117"/>
        <v>52.336971990849527</v>
      </c>
      <c r="Q684" s="1">
        <f t="shared" si="118"/>
        <v>-71.239425604402015</v>
      </c>
      <c r="R684">
        <f>SQRT(Tabelle2[[#This Row],[vx]]*Tabelle2[[#This Row],[vx]]+Tabelle2[[#This Row],[vy]]*Tabelle2[[#This Row],[vy]])</f>
        <v>88.398045213772107</v>
      </c>
      <c r="S684">
        <f t="shared" si="119"/>
        <v>712.82955851536485</v>
      </c>
      <c r="T684" s="1">
        <f t="shared" si="120"/>
        <v>-58.667469951330851</v>
      </c>
    </row>
    <row r="685" spans="6:20" x14ac:dyDescent="0.35">
      <c r="F685" s="1">
        <f t="shared" si="116"/>
        <v>13.639999999999798</v>
      </c>
      <c r="G685">
        <f>1/2*$B$8*$B$6*$B$7*(Tabelle2[[#This Row],[vx]]*Tabelle2[[#This Row],[vx]]+Tabelle2[[#This Row],[vy]]*Tabelle2[[#This Row],[vy]])/1000000</f>
        <v>13.872226207587969</v>
      </c>
      <c r="H685">
        <f>IF($B$3,-Tabelle2[[#This Row],[Fd]]*Tabelle2[[#This Row],[vx]]/Tabelle2[[#This Row],[v]],0)</f>
        <v>0</v>
      </c>
      <c r="I685">
        <f t="shared" si="110"/>
        <v>0</v>
      </c>
      <c r="J685">
        <f t="shared" si="111"/>
        <v>0</v>
      </c>
      <c r="K685">
        <f t="shared" si="112"/>
        <v>1.0467394398169905</v>
      </c>
      <c r="L685">
        <f>-$B$5*$B$12-IF($B$3,Tabelle2[[#This Row],[Fd]]*Tabelle2[[#This Row],[vy]]/Tabelle2[[#This Row],[v]],0)</f>
        <v>-14.715</v>
      </c>
      <c r="M685">
        <f t="shared" si="113"/>
        <v>-9.81</v>
      </c>
      <c r="N685">
        <f t="shared" si="114"/>
        <v>-0.19620000000000001</v>
      </c>
      <c r="O685">
        <f t="shared" si="115"/>
        <v>-1.4306745120880404</v>
      </c>
      <c r="P685" s="1">
        <f t="shared" si="117"/>
        <v>52.336971990849527</v>
      </c>
      <c r="Q685" s="1">
        <f t="shared" si="118"/>
        <v>-71.43562560440202</v>
      </c>
      <c r="R685">
        <f>SQRT(Tabelle2[[#This Row],[vx]]*Tabelle2[[#This Row],[vx]]+Tabelle2[[#This Row],[vy]]*Tabelle2[[#This Row],[vy]])</f>
        <v>88.556237739999247</v>
      </c>
      <c r="S685">
        <f t="shared" si="119"/>
        <v>713.87629795518183</v>
      </c>
      <c r="T685" s="1">
        <f t="shared" si="120"/>
        <v>-60.094220463418893</v>
      </c>
    </row>
    <row r="686" spans="6:20" x14ac:dyDescent="0.35">
      <c r="F686" s="1">
        <f t="shared" si="116"/>
        <v>13.659999999999798</v>
      </c>
      <c r="G686">
        <f>1/2*$B$8*$B$6*$B$7*(Tabelle2[[#This Row],[vx]]*Tabelle2[[#This Row],[vx]]+Tabelle2[[#This Row],[vy]]*Tabelle2[[#This Row],[vy]])/1000000</f>
        <v>13.921879458745209</v>
      </c>
      <c r="H686">
        <f>IF($B$3,-Tabelle2[[#This Row],[Fd]]*Tabelle2[[#This Row],[vx]]/Tabelle2[[#This Row],[v]],0)</f>
        <v>0</v>
      </c>
      <c r="I686">
        <f t="shared" si="110"/>
        <v>0</v>
      </c>
      <c r="J686">
        <f t="shared" si="111"/>
        <v>0</v>
      </c>
      <c r="K686">
        <f t="shared" si="112"/>
        <v>1.0467394398169905</v>
      </c>
      <c r="L686">
        <f>-$B$5*$B$12-IF($B$3,Tabelle2[[#This Row],[Fd]]*Tabelle2[[#This Row],[vy]]/Tabelle2[[#This Row],[v]],0)</f>
        <v>-14.715</v>
      </c>
      <c r="M686">
        <f t="shared" si="113"/>
        <v>-9.81</v>
      </c>
      <c r="N686">
        <f t="shared" si="114"/>
        <v>-0.19620000000000001</v>
      </c>
      <c r="O686">
        <f t="shared" si="115"/>
        <v>-1.4345985120880405</v>
      </c>
      <c r="P686" s="1">
        <f t="shared" si="117"/>
        <v>52.336971990849527</v>
      </c>
      <c r="Q686" s="1">
        <f t="shared" si="118"/>
        <v>-71.631825604402025</v>
      </c>
      <c r="R686">
        <f>SQRT(Tabelle2[[#This Row],[vx]]*Tabelle2[[#This Row],[vx]]+Tabelle2[[#This Row],[vy]]*Tabelle2[[#This Row],[vy]])</f>
        <v>88.714582096690464</v>
      </c>
      <c r="S686">
        <f t="shared" si="119"/>
        <v>714.9230373949988</v>
      </c>
      <c r="T686" s="1">
        <f t="shared" si="120"/>
        <v>-61.524894975506932</v>
      </c>
    </row>
    <row r="687" spans="6:20" x14ac:dyDescent="0.35">
      <c r="F687" s="1">
        <f t="shared" si="116"/>
        <v>13.679999999999797</v>
      </c>
      <c r="G687">
        <f>1/2*$B$8*$B$6*$B$7*(Tabelle2[[#This Row],[vx]]*Tabelle2[[#This Row],[vx]]+Tabelle2[[#This Row],[vy]]*Tabelle2[[#This Row],[vy]])/1000000</f>
        <v>13.971668896963795</v>
      </c>
      <c r="H687">
        <f>IF($B$3,-Tabelle2[[#This Row],[Fd]]*Tabelle2[[#This Row],[vx]]/Tabelle2[[#This Row],[v]],0)</f>
        <v>0</v>
      </c>
      <c r="I687">
        <f t="shared" si="110"/>
        <v>0</v>
      </c>
      <c r="J687">
        <f t="shared" si="111"/>
        <v>0</v>
      </c>
      <c r="K687">
        <f t="shared" si="112"/>
        <v>1.0467394398169905</v>
      </c>
      <c r="L687">
        <f>-$B$5*$B$12-IF($B$3,Tabelle2[[#This Row],[Fd]]*Tabelle2[[#This Row],[vy]]/Tabelle2[[#This Row],[v]],0)</f>
        <v>-14.715</v>
      </c>
      <c r="M687">
        <f t="shared" si="113"/>
        <v>-9.81</v>
      </c>
      <c r="N687">
        <f t="shared" si="114"/>
        <v>-0.19620000000000001</v>
      </c>
      <c r="O687">
        <f t="shared" si="115"/>
        <v>-1.4385225120880407</v>
      </c>
      <c r="P687" s="1">
        <f t="shared" si="117"/>
        <v>52.336971990849527</v>
      </c>
      <c r="Q687" s="1">
        <f t="shared" si="118"/>
        <v>-71.828025604402029</v>
      </c>
      <c r="R687">
        <f>SQRT(Tabelle2[[#This Row],[vx]]*Tabelle2[[#This Row],[vx]]+Tabelle2[[#This Row],[vy]]*Tabelle2[[#This Row],[vy]])</f>
        <v>88.87307747230092</v>
      </c>
      <c r="S687">
        <f t="shared" si="119"/>
        <v>715.96977683481578</v>
      </c>
      <c r="T687" s="1">
        <f t="shared" si="120"/>
        <v>-62.959493487594969</v>
      </c>
    </row>
    <row r="688" spans="6:20" x14ac:dyDescent="0.35">
      <c r="F688" s="1">
        <f t="shared" si="116"/>
        <v>13.699999999999797</v>
      </c>
      <c r="G688">
        <f>1/2*$B$8*$B$6*$B$7*(Tabelle2[[#This Row],[vx]]*Tabelle2[[#This Row],[vx]]+Tabelle2[[#This Row],[vy]]*Tabelle2[[#This Row],[vy]])/1000000</f>
        <v>14.021594522243728</v>
      </c>
      <c r="H688">
        <f>IF($B$3,-Tabelle2[[#This Row],[Fd]]*Tabelle2[[#This Row],[vx]]/Tabelle2[[#This Row],[v]],0)</f>
        <v>0</v>
      </c>
      <c r="I688">
        <f t="shared" si="110"/>
        <v>0</v>
      </c>
      <c r="J688">
        <f t="shared" si="111"/>
        <v>0</v>
      </c>
      <c r="K688">
        <f t="shared" si="112"/>
        <v>1.0467394398169905</v>
      </c>
      <c r="L688">
        <f>-$B$5*$B$12-IF($B$3,Tabelle2[[#This Row],[Fd]]*Tabelle2[[#This Row],[vy]]/Tabelle2[[#This Row],[v]],0)</f>
        <v>-14.715</v>
      </c>
      <c r="M688">
        <f t="shared" si="113"/>
        <v>-9.81</v>
      </c>
      <c r="N688">
        <f t="shared" si="114"/>
        <v>-0.19620000000000001</v>
      </c>
      <c r="O688">
        <f t="shared" si="115"/>
        <v>-1.4424465120880408</v>
      </c>
      <c r="P688" s="1">
        <f t="shared" si="117"/>
        <v>52.336971990849527</v>
      </c>
      <c r="Q688" s="1">
        <f t="shared" si="118"/>
        <v>-72.024225604402034</v>
      </c>
      <c r="R688">
        <f>SQRT(Tabelle2[[#This Row],[vx]]*Tabelle2[[#This Row],[vx]]+Tabelle2[[#This Row],[vy]]*Tabelle2[[#This Row],[vy]])</f>
        <v>89.031723060293345</v>
      </c>
      <c r="S688">
        <f t="shared" si="119"/>
        <v>717.01651627463275</v>
      </c>
      <c r="T688" s="1">
        <f t="shared" si="120"/>
        <v>-64.398015999683011</v>
      </c>
    </row>
    <row r="689" spans="6:20" x14ac:dyDescent="0.35">
      <c r="F689" s="1">
        <f t="shared" si="116"/>
        <v>13.719999999999796</v>
      </c>
      <c r="G689">
        <f>1/2*$B$8*$B$6*$B$7*(Tabelle2[[#This Row],[vx]]*Tabelle2[[#This Row],[vx]]+Tabelle2[[#This Row],[vy]]*Tabelle2[[#This Row],[vy]])/1000000</f>
        <v>14.071656334585001</v>
      </c>
      <c r="H689">
        <f>IF($B$3,-Tabelle2[[#This Row],[Fd]]*Tabelle2[[#This Row],[vx]]/Tabelle2[[#This Row],[v]],0)</f>
        <v>0</v>
      </c>
      <c r="I689">
        <f t="shared" si="110"/>
        <v>0</v>
      </c>
      <c r="J689">
        <f t="shared" si="111"/>
        <v>0</v>
      </c>
      <c r="K689">
        <f t="shared" si="112"/>
        <v>1.0467394398169905</v>
      </c>
      <c r="L689">
        <f>-$B$5*$B$12-IF($B$3,Tabelle2[[#This Row],[Fd]]*Tabelle2[[#This Row],[vy]]/Tabelle2[[#This Row],[v]],0)</f>
        <v>-14.715</v>
      </c>
      <c r="M689">
        <f t="shared" si="113"/>
        <v>-9.81</v>
      </c>
      <c r="N689">
        <f t="shared" si="114"/>
        <v>-0.19620000000000001</v>
      </c>
      <c r="O689">
        <f t="shared" si="115"/>
        <v>-1.4463705120880408</v>
      </c>
      <c r="P689" s="1">
        <f t="shared" si="117"/>
        <v>52.336971990849527</v>
      </c>
      <c r="Q689" s="1">
        <f t="shared" si="118"/>
        <v>-72.220425604402038</v>
      </c>
      <c r="R689">
        <f>SQRT(Tabelle2[[#This Row],[vx]]*Tabelle2[[#This Row],[vx]]+Tabelle2[[#This Row],[vy]]*Tabelle2[[#This Row],[vy]])</f>
        <v>89.190518059107248</v>
      </c>
      <c r="S689">
        <f t="shared" si="119"/>
        <v>718.06325571444972</v>
      </c>
      <c r="T689" s="1">
        <f t="shared" si="120"/>
        <v>-65.840462511771051</v>
      </c>
    </row>
    <row r="690" spans="6:20" x14ac:dyDescent="0.35">
      <c r="F690" s="1">
        <f t="shared" si="116"/>
        <v>13.739999999999796</v>
      </c>
      <c r="G690">
        <f>1/2*$B$8*$B$6*$B$7*(Tabelle2[[#This Row],[vx]]*Tabelle2[[#This Row],[vx]]+Tabelle2[[#This Row],[vy]]*Tabelle2[[#This Row],[vy]])/1000000</f>
        <v>14.121854333987617</v>
      </c>
      <c r="H690">
        <f>IF($B$3,-Tabelle2[[#This Row],[Fd]]*Tabelle2[[#This Row],[vx]]/Tabelle2[[#This Row],[v]],0)</f>
        <v>0</v>
      </c>
      <c r="I690">
        <f t="shared" si="110"/>
        <v>0</v>
      </c>
      <c r="J690">
        <f t="shared" si="111"/>
        <v>0</v>
      </c>
      <c r="K690">
        <f t="shared" si="112"/>
        <v>1.0467394398169905</v>
      </c>
      <c r="L690">
        <f>-$B$5*$B$12-IF($B$3,Tabelle2[[#This Row],[Fd]]*Tabelle2[[#This Row],[vy]]/Tabelle2[[#This Row],[v]],0)</f>
        <v>-14.715</v>
      </c>
      <c r="M690">
        <f t="shared" si="113"/>
        <v>-9.81</v>
      </c>
      <c r="N690">
        <f t="shared" si="114"/>
        <v>-0.19620000000000001</v>
      </c>
      <c r="O690">
        <f t="shared" si="115"/>
        <v>-1.4502945120880408</v>
      </c>
      <c r="P690" s="1">
        <f t="shared" si="117"/>
        <v>52.336971990849527</v>
      </c>
      <c r="Q690" s="1">
        <f t="shared" si="118"/>
        <v>-72.416625604402043</v>
      </c>
      <c r="R690">
        <f>SQRT(Tabelle2[[#This Row],[vx]]*Tabelle2[[#This Row],[vx]]+Tabelle2[[#This Row],[vy]]*Tabelle2[[#This Row],[vy]])</f>
        <v>89.349461672128186</v>
      </c>
      <c r="S690">
        <f t="shared" si="119"/>
        <v>719.1099951542667</v>
      </c>
      <c r="T690" s="1">
        <f t="shared" si="120"/>
        <v>-67.286833023859089</v>
      </c>
    </row>
    <row r="691" spans="6:20" x14ac:dyDescent="0.35">
      <c r="F691" s="1">
        <f t="shared" si="116"/>
        <v>13.759999999999796</v>
      </c>
      <c r="G691">
        <f>1/2*$B$8*$B$6*$B$7*(Tabelle2[[#This Row],[vx]]*Tabelle2[[#This Row],[vx]]+Tabelle2[[#This Row],[vy]]*Tabelle2[[#This Row],[vy]])/1000000</f>
        <v>14.172188520451579</v>
      </c>
      <c r="H691">
        <f>IF($B$3,-Tabelle2[[#This Row],[Fd]]*Tabelle2[[#This Row],[vx]]/Tabelle2[[#This Row],[v]],0)</f>
        <v>0</v>
      </c>
      <c r="I691">
        <f t="shared" si="110"/>
        <v>0</v>
      </c>
      <c r="J691">
        <f t="shared" si="111"/>
        <v>0</v>
      </c>
      <c r="K691">
        <f t="shared" si="112"/>
        <v>1.0467394398169905</v>
      </c>
      <c r="L691">
        <f>-$B$5*$B$12-IF($B$3,Tabelle2[[#This Row],[Fd]]*Tabelle2[[#This Row],[vy]]/Tabelle2[[#This Row],[v]],0)</f>
        <v>-14.715</v>
      </c>
      <c r="M691">
        <f t="shared" si="113"/>
        <v>-9.81</v>
      </c>
      <c r="N691">
        <f t="shared" si="114"/>
        <v>-0.19620000000000001</v>
      </c>
      <c r="O691">
        <f t="shared" si="115"/>
        <v>-1.4542185120880411</v>
      </c>
      <c r="P691" s="1">
        <f t="shared" si="117"/>
        <v>52.336971990849527</v>
      </c>
      <c r="Q691" s="1">
        <f t="shared" si="118"/>
        <v>-72.612825604402047</v>
      </c>
      <c r="R691">
        <f>SQRT(Tabelle2[[#This Row],[vx]]*Tabelle2[[#This Row],[vx]]+Tabelle2[[#This Row],[vy]]*Tabelle2[[#This Row],[vy]])</f>
        <v>89.508553107657107</v>
      </c>
      <c r="S691">
        <f t="shared" si="119"/>
        <v>720.15673459408367</v>
      </c>
      <c r="T691" s="1">
        <f t="shared" si="120"/>
        <v>-68.737127535947124</v>
      </c>
    </row>
    <row r="692" spans="6:20" x14ac:dyDescent="0.35">
      <c r="F692" s="1">
        <f t="shared" si="116"/>
        <v>13.779999999999795</v>
      </c>
      <c r="G692">
        <f>1/2*$B$8*$B$6*$B$7*(Tabelle2[[#This Row],[vx]]*Tabelle2[[#This Row],[vx]]+Tabelle2[[#This Row],[vy]]*Tabelle2[[#This Row],[vy]])/1000000</f>
        <v>14.222658893976886</v>
      </c>
      <c r="H692">
        <f>IF($B$3,-Tabelle2[[#This Row],[Fd]]*Tabelle2[[#This Row],[vx]]/Tabelle2[[#This Row],[v]],0)</f>
        <v>0</v>
      </c>
      <c r="I692">
        <f t="shared" si="110"/>
        <v>0</v>
      </c>
      <c r="J692">
        <f t="shared" si="111"/>
        <v>0</v>
      </c>
      <c r="K692">
        <f t="shared" si="112"/>
        <v>1.0467394398169905</v>
      </c>
      <c r="L692">
        <f>-$B$5*$B$12-IF($B$3,Tabelle2[[#This Row],[Fd]]*Tabelle2[[#This Row],[vy]]/Tabelle2[[#This Row],[v]],0)</f>
        <v>-14.715</v>
      </c>
      <c r="M692">
        <f t="shared" si="113"/>
        <v>-9.81</v>
      </c>
      <c r="N692">
        <f t="shared" si="114"/>
        <v>-0.19620000000000001</v>
      </c>
      <c r="O692">
        <f t="shared" si="115"/>
        <v>-1.4581425120880411</v>
      </c>
      <c r="P692" s="1">
        <f t="shared" si="117"/>
        <v>52.336971990849527</v>
      </c>
      <c r="Q692" s="1">
        <f t="shared" si="118"/>
        <v>-72.809025604402052</v>
      </c>
      <c r="R692">
        <f>SQRT(Tabelle2[[#This Row],[vx]]*Tabelle2[[#This Row],[vx]]+Tabelle2[[#This Row],[vy]]*Tabelle2[[#This Row],[vy]])</f>
        <v>89.667791578879886</v>
      </c>
      <c r="S692">
        <f t="shared" si="119"/>
        <v>721.20347403390065</v>
      </c>
      <c r="T692" s="1">
        <f t="shared" si="120"/>
        <v>-70.191346048035172</v>
      </c>
    </row>
    <row r="693" spans="6:20" x14ac:dyDescent="0.35">
      <c r="F693" s="1">
        <f t="shared" si="116"/>
        <v>13.799999999999795</v>
      </c>
      <c r="G693">
        <f>1/2*$B$8*$B$6*$B$7*(Tabelle2[[#This Row],[vx]]*Tabelle2[[#This Row],[vx]]+Tabelle2[[#This Row],[vy]]*Tabelle2[[#This Row],[vy]])/1000000</f>
        <v>14.273265454563536</v>
      </c>
      <c r="H693">
        <f>IF($B$3,-Tabelle2[[#This Row],[Fd]]*Tabelle2[[#This Row],[vx]]/Tabelle2[[#This Row],[v]],0)</f>
        <v>0</v>
      </c>
      <c r="I693">
        <f t="shared" si="110"/>
        <v>0</v>
      </c>
      <c r="J693">
        <f t="shared" si="111"/>
        <v>0</v>
      </c>
      <c r="K693">
        <f t="shared" si="112"/>
        <v>1.0467394398169905</v>
      </c>
      <c r="L693">
        <f>-$B$5*$B$12-IF($B$3,Tabelle2[[#This Row],[Fd]]*Tabelle2[[#This Row],[vy]]/Tabelle2[[#This Row],[v]],0)</f>
        <v>-14.715</v>
      </c>
      <c r="M693">
        <f t="shared" si="113"/>
        <v>-9.81</v>
      </c>
      <c r="N693">
        <f t="shared" si="114"/>
        <v>-0.19620000000000001</v>
      </c>
      <c r="O693">
        <f t="shared" si="115"/>
        <v>-1.4620665120880412</v>
      </c>
      <c r="P693" s="1">
        <f t="shared" si="117"/>
        <v>52.336971990849527</v>
      </c>
      <c r="Q693" s="1">
        <f t="shared" si="118"/>
        <v>-73.005225604402057</v>
      </c>
      <c r="R693">
        <f>SQRT(Tabelle2[[#This Row],[vx]]*Tabelle2[[#This Row],[vx]]+Tabelle2[[#This Row],[vy]]*Tabelle2[[#This Row],[vy]])</f>
        <v>89.827176303836964</v>
      </c>
      <c r="S693">
        <f t="shared" si="119"/>
        <v>722.25021347371762</v>
      </c>
      <c r="T693" s="1">
        <f t="shared" si="120"/>
        <v>-71.649488560123217</v>
      </c>
    </row>
    <row r="694" spans="6:20" x14ac:dyDescent="0.35">
      <c r="F694" s="1">
        <f t="shared" si="116"/>
        <v>13.819999999999794</v>
      </c>
      <c r="G694">
        <f>1/2*$B$8*$B$6*$B$7*(Tabelle2[[#This Row],[vx]]*Tabelle2[[#This Row],[vx]]+Tabelle2[[#This Row],[vy]]*Tabelle2[[#This Row],[vy]])/1000000</f>
        <v>14.324008202211528</v>
      </c>
      <c r="H694">
        <f>IF($B$3,-Tabelle2[[#This Row],[Fd]]*Tabelle2[[#This Row],[vx]]/Tabelle2[[#This Row],[v]],0)</f>
        <v>0</v>
      </c>
      <c r="I694">
        <f t="shared" si="110"/>
        <v>0</v>
      </c>
      <c r="J694">
        <f t="shared" si="111"/>
        <v>0</v>
      </c>
      <c r="K694">
        <f t="shared" si="112"/>
        <v>1.0467394398169905</v>
      </c>
      <c r="L694">
        <f>-$B$5*$B$12-IF($B$3,Tabelle2[[#This Row],[Fd]]*Tabelle2[[#This Row],[vy]]/Tabelle2[[#This Row],[v]],0)</f>
        <v>-14.715</v>
      </c>
      <c r="M694">
        <f t="shared" si="113"/>
        <v>-9.81</v>
      </c>
      <c r="N694">
        <f t="shared" si="114"/>
        <v>-0.19620000000000001</v>
      </c>
      <c r="O694">
        <f t="shared" si="115"/>
        <v>-1.4659905120880412</v>
      </c>
      <c r="P694" s="1">
        <f t="shared" si="117"/>
        <v>52.336971990849527</v>
      </c>
      <c r="Q694" s="1">
        <f t="shared" si="118"/>
        <v>-73.201425604402061</v>
      </c>
      <c r="R694">
        <f>SQRT(Tabelle2[[#This Row],[vx]]*Tabelle2[[#This Row],[vx]]+Tabelle2[[#This Row],[vy]]*Tabelle2[[#This Row],[vy]])</f>
        <v>89.986706505393215</v>
      </c>
      <c r="S694">
        <f t="shared" si="119"/>
        <v>723.2969529135346</v>
      </c>
      <c r="T694" s="1">
        <f t="shared" si="120"/>
        <v>-73.11155507221126</v>
      </c>
    </row>
    <row r="695" spans="6:20" x14ac:dyDescent="0.35">
      <c r="F695" s="1">
        <f t="shared" si="116"/>
        <v>13.839999999999794</v>
      </c>
      <c r="G695">
        <f>1/2*$B$8*$B$6*$B$7*(Tabelle2[[#This Row],[vx]]*Tabelle2[[#This Row],[vx]]+Tabelle2[[#This Row],[vy]]*Tabelle2[[#This Row],[vy]])/1000000</f>
        <v>14.374887136920867</v>
      </c>
      <c r="H695">
        <f>IF($B$3,-Tabelle2[[#This Row],[Fd]]*Tabelle2[[#This Row],[vx]]/Tabelle2[[#This Row],[v]],0)</f>
        <v>0</v>
      </c>
      <c r="I695">
        <f t="shared" si="110"/>
        <v>0</v>
      </c>
      <c r="J695">
        <f t="shared" si="111"/>
        <v>0</v>
      </c>
      <c r="K695">
        <f t="shared" si="112"/>
        <v>1.0467394398169905</v>
      </c>
      <c r="L695">
        <f>-$B$5*$B$12-IF($B$3,Tabelle2[[#This Row],[Fd]]*Tabelle2[[#This Row],[vy]]/Tabelle2[[#This Row],[v]],0)</f>
        <v>-14.715</v>
      </c>
      <c r="M695">
        <f t="shared" si="113"/>
        <v>-9.81</v>
      </c>
      <c r="N695">
        <f t="shared" si="114"/>
        <v>-0.19620000000000001</v>
      </c>
      <c r="O695">
        <f t="shared" si="115"/>
        <v>-1.4699145120880415</v>
      </c>
      <c r="P695" s="1">
        <f t="shared" si="117"/>
        <v>52.336971990849527</v>
      </c>
      <c r="Q695" s="1">
        <f t="shared" si="118"/>
        <v>-73.397625604402066</v>
      </c>
      <c r="R695">
        <f>SQRT(Tabelle2[[#This Row],[vx]]*Tabelle2[[#This Row],[vx]]+Tabelle2[[#This Row],[vy]]*Tabelle2[[#This Row],[vy]])</f>
        <v>90.14638141120777</v>
      </c>
      <c r="S695">
        <f t="shared" si="119"/>
        <v>724.34369235335157</v>
      </c>
      <c r="T695" s="1">
        <f t="shared" si="120"/>
        <v>-74.577545584299301</v>
      </c>
    </row>
    <row r="696" spans="6:20" x14ac:dyDescent="0.35">
      <c r="F696" s="1">
        <f t="shared" si="116"/>
        <v>13.859999999999793</v>
      </c>
      <c r="G696">
        <f>1/2*$B$8*$B$6*$B$7*(Tabelle2[[#This Row],[vx]]*Tabelle2[[#This Row],[vx]]+Tabelle2[[#This Row],[vy]]*Tabelle2[[#This Row],[vy]])/1000000</f>
        <v>14.425902258691549</v>
      </c>
      <c r="H696">
        <f>IF($B$3,-Tabelle2[[#This Row],[Fd]]*Tabelle2[[#This Row],[vx]]/Tabelle2[[#This Row],[v]],0)</f>
        <v>0</v>
      </c>
      <c r="I696">
        <f t="shared" si="110"/>
        <v>0</v>
      </c>
      <c r="J696">
        <f t="shared" si="111"/>
        <v>0</v>
      </c>
      <c r="K696">
        <f t="shared" si="112"/>
        <v>1.0467394398169905</v>
      </c>
      <c r="L696">
        <f>-$B$5*$B$12-IF($B$3,Tabelle2[[#This Row],[Fd]]*Tabelle2[[#This Row],[vy]]/Tabelle2[[#This Row],[v]],0)</f>
        <v>-14.715</v>
      </c>
      <c r="M696">
        <f t="shared" si="113"/>
        <v>-9.81</v>
      </c>
      <c r="N696">
        <f t="shared" si="114"/>
        <v>-0.19620000000000001</v>
      </c>
      <c r="O696">
        <f t="shared" si="115"/>
        <v>-1.4738385120880415</v>
      </c>
      <c r="P696" s="1">
        <f t="shared" si="117"/>
        <v>52.336971990849527</v>
      </c>
      <c r="Q696" s="1">
        <f t="shared" si="118"/>
        <v>-73.59382560440207</v>
      </c>
      <c r="R696">
        <f>SQRT(Tabelle2[[#This Row],[vx]]*Tabelle2[[#This Row],[vx]]+Tabelle2[[#This Row],[vy]]*Tabelle2[[#This Row],[vy]])</f>
        <v>90.306200253704134</v>
      </c>
      <c r="S696">
        <f t="shared" si="119"/>
        <v>725.39043179316855</v>
      </c>
      <c r="T696" s="1">
        <f t="shared" si="120"/>
        <v>-76.04746009638734</v>
      </c>
    </row>
    <row r="697" spans="6:20" x14ac:dyDescent="0.35">
      <c r="F697" s="1">
        <f t="shared" si="116"/>
        <v>13.879999999999793</v>
      </c>
      <c r="G697">
        <f>1/2*$B$8*$B$6*$B$7*(Tabelle2[[#This Row],[vx]]*Tabelle2[[#This Row],[vx]]+Tabelle2[[#This Row],[vy]]*Tabelle2[[#This Row],[vy]])/1000000</f>
        <v>14.477053567523576</v>
      </c>
      <c r="H697">
        <f>IF($B$3,-Tabelle2[[#This Row],[Fd]]*Tabelle2[[#This Row],[vx]]/Tabelle2[[#This Row],[v]],0)</f>
        <v>0</v>
      </c>
      <c r="I697">
        <f t="shared" si="110"/>
        <v>0</v>
      </c>
      <c r="J697">
        <f t="shared" si="111"/>
        <v>0</v>
      </c>
      <c r="K697">
        <f t="shared" si="112"/>
        <v>1.0467394398169905</v>
      </c>
      <c r="L697">
        <f>-$B$5*$B$12-IF($B$3,Tabelle2[[#This Row],[Fd]]*Tabelle2[[#This Row],[vy]]/Tabelle2[[#This Row],[v]],0)</f>
        <v>-14.715</v>
      </c>
      <c r="M697">
        <f t="shared" si="113"/>
        <v>-9.81</v>
      </c>
      <c r="N697">
        <f t="shared" si="114"/>
        <v>-0.19620000000000001</v>
      </c>
      <c r="O697">
        <f t="shared" si="115"/>
        <v>-1.4777625120880415</v>
      </c>
      <c r="P697" s="1">
        <f t="shared" si="117"/>
        <v>52.336971990849527</v>
      </c>
      <c r="Q697" s="1">
        <f t="shared" si="118"/>
        <v>-73.790025604402075</v>
      </c>
      <c r="R697">
        <f>SQRT(Tabelle2[[#This Row],[vx]]*Tabelle2[[#This Row],[vx]]+Tabelle2[[#This Row],[vy]]*Tabelle2[[#This Row],[vy]])</f>
        <v>90.4661622700404</v>
      </c>
      <c r="S697">
        <f t="shared" si="119"/>
        <v>726.43717123298552</v>
      </c>
      <c r="T697" s="1">
        <f t="shared" si="120"/>
        <v>-77.521298608475377</v>
      </c>
    </row>
    <row r="698" spans="6:20" x14ac:dyDescent="0.35">
      <c r="F698" s="1">
        <f t="shared" si="116"/>
        <v>13.899999999999793</v>
      </c>
      <c r="G698">
        <f>1/2*$B$8*$B$6*$B$7*(Tabelle2[[#This Row],[vx]]*Tabelle2[[#This Row],[vx]]+Tabelle2[[#This Row],[vy]]*Tabelle2[[#This Row],[vy]])/1000000</f>
        <v>14.528341063416947</v>
      </c>
      <c r="H698">
        <f>IF($B$3,-Tabelle2[[#This Row],[Fd]]*Tabelle2[[#This Row],[vx]]/Tabelle2[[#This Row],[v]],0)</f>
        <v>0</v>
      </c>
      <c r="I698">
        <f t="shared" si="110"/>
        <v>0</v>
      </c>
      <c r="J698">
        <f t="shared" si="111"/>
        <v>0</v>
      </c>
      <c r="K698">
        <f t="shared" si="112"/>
        <v>1.0467394398169905</v>
      </c>
      <c r="L698">
        <f>-$B$5*$B$12-IF($B$3,Tabelle2[[#This Row],[Fd]]*Tabelle2[[#This Row],[vy]]/Tabelle2[[#This Row],[v]],0)</f>
        <v>-14.715</v>
      </c>
      <c r="M698">
        <f t="shared" si="113"/>
        <v>-9.81</v>
      </c>
      <c r="N698">
        <f t="shared" si="114"/>
        <v>-0.19620000000000001</v>
      </c>
      <c r="O698">
        <f t="shared" si="115"/>
        <v>-1.4816865120880416</v>
      </c>
      <c r="P698" s="1">
        <f t="shared" si="117"/>
        <v>52.336971990849527</v>
      </c>
      <c r="Q698" s="1">
        <f t="shared" si="118"/>
        <v>-73.98622560440208</v>
      </c>
      <c r="R698">
        <f>SQRT(Tabelle2[[#This Row],[vx]]*Tabelle2[[#This Row],[vx]]+Tabelle2[[#This Row],[vy]]*Tabelle2[[#This Row],[vy]])</f>
        <v>90.626266702079533</v>
      </c>
      <c r="S698">
        <f t="shared" si="119"/>
        <v>727.48391067280249</v>
      </c>
      <c r="T698" s="1">
        <f t="shared" si="120"/>
        <v>-78.999061120563425</v>
      </c>
    </row>
    <row r="699" spans="6:20" x14ac:dyDescent="0.35">
      <c r="F699" s="1">
        <f t="shared" si="116"/>
        <v>13.919999999999792</v>
      </c>
      <c r="G699">
        <f>1/2*$B$8*$B$6*$B$7*(Tabelle2[[#This Row],[vx]]*Tabelle2[[#This Row],[vx]]+Tabelle2[[#This Row],[vy]]*Tabelle2[[#This Row],[vy]])/1000000</f>
        <v>14.579764746371659</v>
      </c>
      <c r="H699">
        <f>IF($B$3,-Tabelle2[[#This Row],[Fd]]*Tabelle2[[#This Row],[vx]]/Tabelle2[[#This Row],[v]],0)</f>
        <v>0</v>
      </c>
      <c r="I699">
        <f t="shared" si="110"/>
        <v>0</v>
      </c>
      <c r="J699">
        <f t="shared" si="111"/>
        <v>0</v>
      </c>
      <c r="K699">
        <f t="shared" si="112"/>
        <v>1.0467394398169905</v>
      </c>
      <c r="L699">
        <f>-$B$5*$B$12-IF($B$3,Tabelle2[[#This Row],[Fd]]*Tabelle2[[#This Row],[vy]]/Tabelle2[[#This Row],[v]],0)</f>
        <v>-14.715</v>
      </c>
      <c r="M699">
        <f t="shared" si="113"/>
        <v>-9.81</v>
      </c>
      <c r="N699">
        <f t="shared" si="114"/>
        <v>-0.19620000000000001</v>
      </c>
      <c r="O699">
        <f t="shared" si="115"/>
        <v>-1.4856105120880418</v>
      </c>
      <c r="P699" s="1">
        <f t="shared" si="117"/>
        <v>52.336971990849527</v>
      </c>
      <c r="Q699" s="1">
        <f t="shared" si="118"/>
        <v>-74.182425604402084</v>
      </c>
      <c r="R699">
        <f>SQRT(Tabelle2[[#This Row],[vx]]*Tabelle2[[#This Row],[vx]]+Tabelle2[[#This Row],[vy]]*Tabelle2[[#This Row],[vy]])</f>
        <v>90.786512796359887</v>
      </c>
      <c r="S699">
        <f t="shared" si="119"/>
        <v>728.53065011261947</v>
      </c>
      <c r="T699" s="1">
        <f t="shared" si="120"/>
        <v>-80.480747632651472</v>
      </c>
    </row>
    <row r="700" spans="6:20" x14ac:dyDescent="0.35">
      <c r="F700" s="1">
        <f t="shared" si="116"/>
        <v>13.939999999999792</v>
      </c>
      <c r="G700">
        <f>1/2*$B$8*$B$6*$B$7*(Tabelle2[[#This Row],[vx]]*Tabelle2[[#This Row],[vx]]+Tabelle2[[#This Row],[vy]]*Tabelle2[[#This Row],[vy]])/1000000</f>
        <v>14.631324616387719</v>
      </c>
      <c r="H700">
        <f>IF($B$3,-Tabelle2[[#This Row],[Fd]]*Tabelle2[[#This Row],[vx]]/Tabelle2[[#This Row],[v]],0)</f>
        <v>0</v>
      </c>
      <c r="I700">
        <f t="shared" si="110"/>
        <v>0</v>
      </c>
      <c r="J700">
        <f t="shared" si="111"/>
        <v>0</v>
      </c>
      <c r="K700">
        <f t="shared" si="112"/>
        <v>1.0467394398169905</v>
      </c>
      <c r="L700">
        <f>-$B$5*$B$12-IF($B$3,Tabelle2[[#This Row],[Fd]]*Tabelle2[[#This Row],[vy]]/Tabelle2[[#This Row],[v]],0)</f>
        <v>-14.715</v>
      </c>
      <c r="M700">
        <f t="shared" si="113"/>
        <v>-9.81</v>
      </c>
      <c r="N700">
        <f t="shared" si="114"/>
        <v>-0.19620000000000001</v>
      </c>
      <c r="O700">
        <f t="shared" si="115"/>
        <v>-1.4895345120880419</v>
      </c>
      <c r="P700" s="1">
        <f t="shared" si="117"/>
        <v>52.336971990849527</v>
      </c>
      <c r="Q700" s="1">
        <f t="shared" si="118"/>
        <v>-74.378625604402089</v>
      </c>
      <c r="R700">
        <f>SQRT(Tabelle2[[#This Row],[vx]]*Tabelle2[[#This Row],[vx]]+Tabelle2[[#This Row],[vy]]*Tabelle2[[#This Row],[vy]])</f>
        <v>90.946899804065808</v>
      </c>
      <c r="S700">
        <f t="shared" si="119"/>
        <v>729.57738955243644</v>
      </c>
      <c r="T700" s="1">
        <f t="shared" si="120"/>
        <v>-81.966358144739516</v>
      </c>
    </row>
    <row r="701" spans="6:20" x14ac:dyDescent="0.35">
      <c r="F701" s="1">
        <f t="shared" si="116"/>
        <v>13.959999999999791</v>
      </c>
      <c r="G701">
        <f>1/2*$B$8*$B$6*$B$7*(Tabelle2[[#This Row],[vx]]*Tabelle2[[#This Row],[vx]]+Tabelle2[[#This Row],[vy]]*Tabelle2[[#This Row],[vy]])/1000000</f>
        <v>14.683020673465119</v>
      </c>
      <c r="H701">
        <f>IF($B$3,-Tabelle2[[#This Row],[Fd]]*Tabelle2[[#This Row],[vx]]/Tabelle2[[#This Row],[v]],0)</f>
        <v>0</v>
      </c>
      <c r="I701">
        <f t="shared" si="110"/>
        <v>0</v>
      </c>
      <c r="J701">
        <f t="shared" si="111"/>
        <v>0</v>
      </c>
      <c r="K701">
        <f t="shared" si="112"/>
        <v>1.0467394398169905</v>
      </c>
      <c r="L701">
        <f>-$B$5*$B$12-IF($B$3,Tabelle2[[#This Row],[Fd]]*Tabelle2[[#This Row],[vy]]/Tabelle2[[#This Row],[v]],0)</f>
        <v>-14.715</v>
      </c>
      <c r="M701">
        <f t="shared" si="113"/>
        <v>-9.81</v>
      </c>
      <c r="N701">
        <f t="shared" si="114"/>
        <v>-0.19620000000000001</v>
      </c>
      <c r="O701">
        <f t="shared" si="115"/>
        <v>-1.4934585120880419</v>
      </c>
      <c r="P701" s="1">
        <f t="shared" si="117"/>
        <v>52.336971990849527</v>
      </c>
      <c r="Q701" s="1">
        <f t="shared" si="118"/>
        <v>-74.574825604402093</v>
      </c>
      <c r="R701">
        <f>SQRT(Tabelle2[[#This Row],[vx]]*Tabelle2[[#This Row],[vx]]+Tabelle2[[#This Row],[vy]]*Tabelle2[[#This Row],[vy]])</f>
        <v>91.107426980998397</v>
      </c>
      <c r="S701">
        <f t="shared" si="119"/>
        <v>730.62412899225342</v>
      </c>
      <c r="T701" s="1">
        <f t="shared" si="120"/>
        <v>-83.455892656827558</v>
      </c>
    </row>
    <row r="702" spans="6:20" x14ac:dyDescent="0.35">
      <c r="F702" s="1">
        <f t="shared" si="116"/>
        <v>13.979999999999791</v>
      </c>
      <c r="G702">
        <f>1/2*$B$8*$B$6*$B$7*(Tabelle2[[#This Row],[vx]]*Tabelle2[[#This Row],[vx]]+Tabelle2[[#This Row],[vy]]*Tabelle2[[#This Row],[vy]])/1000000</f>
        <v>14.734852917603867</v>
      </c>
      <c r="H702">
        <f>IF($B$3,-Tabelle2[[#This Row],[Fd]]*Tabelle2[[#This Row],[vx]]/Tabelle2[[#This Row],[v]],0)</f>
        <v>0</v>
      </c>
      <c r="I702">
        <f t="shared" si="110"/>
        <v>0</v>
      </c>
      <c r="J702">
        <f t="shared" si="111"/>
        <v>0</v>
      </c>
      <c r="K702">
        <f t="shared" si="112"/>
        <v>1.0467394398169905</v>
      </c>
      <c r="L702">
        <f>-$B$5*$B$12-IF($B$3,Tabelle2[[#This Row],[Fd]]*Tabelle2[[#This Row],[vy]]/Tabelle2[[#This Row],[v]],0)</f>
        <v>-14.715</v>
      </c>
      <c r="M702">
        <f t="shared" si="113"/>
        <v>-9.81</v>
      </c>
      <c r="N702">
        <f t="shared" si="114"/>
        <v>-0.19620000000000001</v>
      </c>
      <c r="O702">
        <f t="shared" si="115"/>
        <v>-1.497382512088042</v>
      </c>
      <c r="P702" s="1">
        <f t="shared" si="117"/>
        <v>52.336971990849527</v>
      </c>
      <c r="Q702" s="1">
        <f t="shared" si="118"/>
        <v>-74.771025604402098</v>
      </c>
      <c r="R702">
        <f>SQRT(Tabelle2[[#This Row],[vx]]*Tabelle2[[#This Row],[vx]]+Tabelle2[[#This Row],[vy]]*Tabelle2[[#This Row],[vy]])</f>
        <v>91.26809358754636</v>
      </c>
      <c r="S702">
        <f t="shared" si="119"/>
        <v>731.67086843207039</v>
      </c>
      <c r="T702" s="1">
        <f t="shared" si="120"/>
        <v>-84.949351168915598</v>
      </c>
    </row>
    <row r="703" spans="6:20" x14ac:dyDescent="0.35">
      <c r="F703" s="1">
        <f t="shared" si="116"/>
        <v>13.99999999999979</v>
      </c>
      <c r="G703">
        <f>1/2*$B$8*$B$6*$B$7*(Tabelle2[[#This Row],[vx]]*Tabelle2[[#This Row],[vx]]+Tabelle2[[#This Row],[vy]]*Tabelle2[[#This Row],[vy]])/1000000</f>
        <v>14.786821348803954</v>
      </c>
      <c r="H703">
        <f>IF($B$3,-Tabelle2[[#This Row],[Fd]]*Tabelle2[[#This Row],[vx]]/Tabelle2[[#This Row],[v]],0)</f>
        <v>0</v>
      </c>
      <c r="I703">
        <f t="shared" si="110"/>
        <v>0</v>
      </c>
      <c r="J703">
        <f t="shared" si="111"/>
        <v>0</v>
      </c>
      <c r="K703">
        <f t="shared" si="112"/>
        <v>1.0467394398169905</v>
      </c>
      <c r="L703">
        <f>-$B$5*$B$12-IF($B$3,Tabelle2[[#This Row],[Fd]]*Tabelle2[[#This Row],[vy]]/Tabelle2[[#This Row],[v]],0)</f>
        <v>-14.715</v>
      </c>
      <c r="M703">
        <f t="shared" si="113"/>
        <v>-9.81</v>
      </c>
      <c r="N703">
        <f t="shared" si="114"/>
        <v>-0.19620000000000001</v>
      </c>
      <c r="O703">
        <f t="shared" si="115"/>
        <v>-1.5013065120880422</v>
      </c>
      <c r="P703" s="1">
        <f t="shared" si="117"/>
        <v>52.336971990849527</v>
      </c>
      <c r="Q703" s="1">
        <f t="shared" si="118"/>
        <v>-74.967225604402103</v>
      </c>
      <c r="R703">
        <f>SQRT(Tabelle2[[#This Row],[vx]]*Tabelle2[[#This Row],[vx]]+Tabelle2[[#This Row],[vy]]*Tabelle2[[#This Row],[vy]])</f>
        <v>91.42889888865713</v>
      </c>
      <c r="S703">
        <f t="shared" si="119"/>
        <v>732.71760787188737</v>
      </c>
      <c r="T703" s="1">
        <f t="shared" si="120"/>
        <v>-86.446733681003636</v>
      </c>
    </row>
    <row r="704" spans="6:20" x14ac:dyDescent="0.35">
      <c r="F704" s="1">
        <f t="shared" si="116"/>
        <v>14.01999999999979</v>
      </c>
      <c r="G704">
        <f>1/2*$B$8*$B$6*$B$7*(Tabelle2[[#This Row],[vx]]*Tabelle2[[#This Row],[vx]]+Tabelle2[[#This Row],[vy]]*Tabelle2[[#This Row],[vy]])/1000000</f>
        <v>14.838925967065391</v>
      </c>
      <c r="H704">
        <f>IF($B$3,-Tabelle2[[#This Row],[Fd]]*Tabelle2[[#This Row],[vx]]/Tabelle2[[#This Row],[v]],0)</f>
        <v>0</v>
      </c>
      <c r="I704">
        <f t="shared" si="110"/>
        <v>0</v>
      </c>
      <c r="J704">
        <f t="shared" si="111"/>
        <v>0</v>
      </c>
      <c r="K704">
        <f t="shared" si="112"/>
        <v>1.0467394398169905</v>
      </c>
      <c r="L704">
        <f>-$B$5*$B$12-IF($B$3,Tabelle2[[#This Row],[Fd]]*Tabelle2[[#This Row],[vy]]/Tabelle2[[#This Row],[v]],0)</f>
        <v>-14.715</v>
      </c>
      <c r="M704">
        <f t="shared" si="113"/>
        <v>-9.81</v>
      </c>
      <c r="N704">
        <f t="shared" si="114"/>
        <v>-0.19620000000000001</v>
      </c>
      <c r="O704">
        <f t="shared" si="115"/>
        <v>-1.5052305120880423</v>
      </c>
      <c r="P704" s="1">
        <f t="shared" si="117"/>
        <v>52.336971990849527</v>
      </c>
      <c r="Q704" s="1">
        <f t="shared" si="118"/>
        <v>-75.163425604402107</v>
      </c>
      <c r="R704">
        <f>SQRT(Tabelle2[[#This Row],[vx]]*Tabelle2[[#This Row],[vx]]+Tabelle2[[#This Row],[vy]]*Tabelle2[[#This Row],[vy]])</f>
        <v>91.589842153807965</v>
      </c>
      <c r="S704">
        <f t="shared" si="119"/>
        <v>733.76434731170434</v>
      </c>
      <c r="T704" s="1">
        <f t="shared" si="120"/>
        <v>-87.948040193091671</v>
      </c>
    </row>
    <row r="705" spans="6:20" x14ac:dyDescent="0.35">
      <c r="F705" s="1">
        <f t="shared" si="116"/>
        <v>14.03999999999979</v>
      </c>
      <c r="G705">
        <f>1/2*$B$8*$B$6*$B$7*(Tabelle2[[#This Row],[vx]]*Tabelle2[[#This Row],[vx]]+Tabelle2[[#This Row],[vy]]*Tabelle2[[#This Row],[vy]])/1000000</f>
        <v>14.891166772388168</v>
      </c>
      <c r="H705">
        <f>IF($B$3,-Tabelle2[[#This Row],[Fd]]*Tabelle2[[#This Row],[vx]]/Tabelle2[[#This Row],[v]],0)</f>
        <v>0</v>
      </c>
      <c r="I705">
        <f t="shared" si="110"/>
        <v>0</v>
      </c>
      <c r="J705">
        <f t="shared" si="111"/>
        <v>0</v>
      </c>
      <c r="K705">
        <f t="shared" si="112"/>
        <v>1.0467394398169905</v>
      </c>
      <c r="L705">
        <f>-$B$5*$B$12-IF($B$3,Tabelle2[[#This Row],[Fd]]*Tabelle2[[#This Row],[vy]]/Tabelle2[[#This Row],[v]],0)</f>
        <v>-14.715</v>
      </c>
      <c r="M705">
        <f t="shared" si="113"/>
        <v>-9.81</v>
      </c>
      <c r="N705">
        <f t="shared" si="114"/>
        <v>-0.19620000000000001</v>
      </c>
      <c r="O705">
        <f t="shared" si="115"/>
        <v>-1.5091545120880423</v>
      </c>
      <c r="P705" s="1">
        <f t="shared" si="117"/>
        <v>52.336971990849527</v>
      </c>
      <c r="Q705" s="1">
        <f t="shared" si="118"/>
        <v>-75.359625604402112</v>
      </c>
      <c r="R705">
        <f>SQRT(Tabelle2[[#This Row],[vx]]*Tabelle2[[#This Row],[vx]]+Tabelle2[[#This Row],[vy]]*Tabelle2[[#This Row],[vy]])</f>
        <v>91.750922656977281</v>
      </c>
      <c r="S705">
        <f t="shared" si="119"/>
        <v>734.81108675152132</v>
      </c>
      <c r="T705" s="1">
        <f t="shared" si="120"/>
        <v>-89.453270705179719</v>
      </c>
    </row>
    <row r="706" spans="6:20" x14ac:dyDescent="0.35">
      <c r="F706" s="1">
        <f t="shared" si="116"/>
        <v>14.059999999999789</v>
      </c>
      <c r="G706">
        <f>1/2*$B$8*$B$6*$B$7*(Tabelle2[[#This Row],[vx]]*Tabelle2[[#This Row],[vx]]+Tabelle2[[#This Row],[vy]]*Tabelle2[[#This Row],[vy]])/1000000</f>
        <v>14.94354376477229</v>
      </c>
      <c r="H706">
        <f>IF($B$3,-Tabelle2[[#This Row],[Fd]]*Tabelle2[[#This Row],[vx]]/Tabelle2[[#This Row],[v]],0)</f>
        <v>0</v>
      </c>
      <c r="I706">
        <f t="shared" si="110"/>
        <v>0</v>
      </c>
      <c r="J706">
        <f t="shared" si="111"/>
        <v>0</v>
      </c>
      <c r="K706">
        <f t="shared" si="112"/>
        <v>1.0467394398169905</v>
      </c>
      <c r="L706">
        <f>-$B$5*$B$12-IF($B$3,Tabelle2[[#This Row],[Fd]]*Tabelle2[[#This Row],[vy]]/Tabelle2[[#This Row],[v]],0)</f>
        <v>-14.715</v>
      </c>
      <c r="M706">
        <f t="shared" si="113"/>
        <v>-9.81</v>
      </c>
      <c r="N706">
        <f t="shared" si="114"/>
        <v>-0.19620000000000001</v>
      </c>
      <c r="O706">
        <f t="shared" si="115"/>
        <v>-1.5130785120880423</v>
      </c>
      <c r="P706" s="1">
        <f t="shared" si="117"/>
        <v>52.336971990849527</v>
      </c>
      <c r="Q706" s="1">
        <f t="shared" si="118"/>
        <v>-75.555825604402116</v>
      </c>
      <c r="R706">
        <f>SQRT(Tabelle2[[#This Row],[vx]]*Tabelle2[[#This Row],[vx]]+Tabelle2[[#This Row],[vy]]*Tabelle2[[#This Row],[vy]])</f>
        <v>91.912139676616135</v>
      </c>
      <c r="S706">
        <f t="shared" si="119"/>
        <v>735.85782619133829</v>
      </c>
      <c r="T706" s="1">
        <f t="shared" si="120"/>
        <v>-90.962425217267764</v>
      </c>
    </row>
    <row r="707" spans="6:20" x14ac:dyDescent="0.35">
      <c r="F707" s="1">
        <f t="shared" si="116"/>
        <v>14.079999999999789</v>
      </c>
      <c r="G707">
        <f>1/2*$B$8*$B$6*$B$7*(Tabelle2[[#This Row],[vx]]*Tabelle2[[#This Row],[vx]]+Tabelle2[[#This Row],[vy]]*Tabelle2[[#This Row],[vy]])/1000000</f>
        <v>14.996056944217754</v>
      </c>
      <c r="H707">
        <f>IF($B$3,-Tabelle2[[#This Row],[Fd]]*Tabelle2[[#This Row],[vx]]/Tabelle2[[#This Row],[v]],0)</f>
        <v>0</v>
      </c>
      <c r="I707">
        <f t="shared" ref="I707:I770" si="121">H707/$B$5</f>
        <v>0</v>
      </c>
      <c r="J707">
        <f t="shared" ref="J707:J770" si="122">I707*$B$13</f>
        <v>0</v>
      </c>
      <c r="K707">
        <f t="shared" ref="K707:K770" si="123">$B$13*(P707+J707/2)</f>
        <v>1.0467394398169905</v>
      </c>
      <c r="L707">
        <f>-$B$5*$B$12-IF($B$3,Tabelle2[[#This Row],[Fd]]*Tabelle2[[#This Row],[vy]]/Tabelle2[[#This Row],[v]],0)</f>
        <v>-14.715</v>
      </c>
      <c r="M707">
        <f t="shared" ref="M707:M770" si="124">L707/$B$5</f>
        <v>-9.81</v>
      </c>
      <c r="N707">
        <f t="shared" ref="N707:N770" si="125">M707*$B$13</f>
        <v>-0.19620000000000001</v>
      </c>
      <c r="O707">
        <f t="shared" ref="O707:O770" si="126">$B$13*(Q707+N707/2)</f>
        <v>-1.5170025120880426</v>
      </c>
      <c r="P707" s="1">
        <f t="shared" si="117"/>
        <v>52.336971990849527</v>
      </c>
      <c r="Q707" s="1">
        <f t="shared" si="118"/>
        <v>-75.752025604402121</v>
      </c>
      <c r="R707">
        <f>SQRT(Tabelle2[[#This Row],[vx]]*Tabelle2[[#This Row],[vx]]+Tabelle2[[#This Row],[vy]]*Tabelle2[[#This Row],[vy]])</f>
        <v>92.073492495619831</v>
      </c>
      <c r="S707">
        <f t="shared" si="119"/>
        <v>736.90456563115526</v>
      </c>
      <c r="T707" s="1">
        <f t="shared" si="120"/>
        <v>-92.475503729355808</v>
      </c>
    </row>
    <row r="708" spans="6:20" x14ac:dyDescent="0.35">
      <c r="F708" s="1">
        <f t="shared" ref="F708:F771" si="127">F707+$B$13</f>
        <v>14.099999999999788</v>
      </c>
      <c r="G708">
        <f>1/2*$B$8*$B$6*$B$7*(Tabelle2[[#This Row],[vx]]*Tabelle2[[#This Row],[vx]]+Tabelle2[[#This Row],[vy]]*Tabelle2[[#This Row],[vy]])/1000000</f>
        <v>15.048706310724564</v>
      </c>
      <c r="H708">
        <f>IF($B$3,-Tabelle2[[#This Row],[Fd]]*Tabelle2[[#This Row],[vx]]/Tabelle2[[#This Row],[v]],0)</f>
        <v>0</v>
      </c>
      <c r="I708">
        <f t="shared" si="121"/>
        <v>0</v>
      </c>
      <c r="J708">
        <f t="shared" si="122"/>
        <v>0</v>
      </c>
      <c r="K708">
        <f t="shared" si="123"/>
        <v>1.0467394398169905</v>
      </c>
      <c r="L708">
        <f>-$B$5*$B$12-IF($B$3,Tabelle2[[#This Row],[Fd]]*Tabelle2[[#This Row],[vy]]/Tabelle2[[#This Row],[v]],0)</f>
        <v>-14.715</v>
      </c>
      <c r="M708">
        <f t="shared" si="124"/>
        <v>-9.81</v>
      </c>
      <c r="N708">
        <f t="shared" si="125"/>
        <v>-0.19620000000000001</v>
      </c>
      <c r="O708">
        <f t="shared" si="126"/>
        <v>-1.5209265120880426</v>
      </c>
      <c r="P708" s="1">
        <f t="shared" ref="P708:P771" si="128">P707+J707</f>
        <v>52.336971990849527</v>
      </c>
      <c r="Q708" s="1">
        <f t="shared" ref="Q708:Q771" si="129">Q707+N707</f>
        <v>-75.948225604402126</v>
      </c>
      <c r="R708">
        <f>SQRT(Tabelle2[[#This Row],[vx]]*Tabelle2[[#This Row],[vx]]+Tabelle2[[#This Row],[vy]]*Tabelle2[[#This Row],[vy]])</f>
        <v>92.234980401299651</v>
      </c>
      <c r="S708">
        <f t="shared" ref="S708:S771" si="130">S707+K707</f>
        <v>737.95130507097224</v>
      </c>
      <c r="T708" s="1">
        <f t="shared" ref="T708:T771" si="131">T707+O707</f>
        <v>-93.992506241443849</v>
      </c>
    </row>
    <row r="709" spans="6:20" x14ac:dyDescent="0.35">
      <c r="F709" s="1">
        <f t="shared" si="127"/>
        <v>14.119999999999788</v>
      </c>
      <c r="G709">
        <f>1/2*$B$8*$B$6*$B$7*(Tabelle2[[#This Row],[vx]]*Tabelle2[[#This Row],[vx]]+Tabelle2[[#This Row],[vy]]*Tabelle2[[#This Row],[vy]])/1000000</f>
        <v>15.101491864292719</v>
      </c>
      <c r="H709">
        <f>IF($B$3,-Tabelle2[[#This Row],[Fd]]*Tabelle2[[#This Row],[vx]]/Tabelle2[[#This Row],[v]],0)</f>
        <v>0</v>
      </c>
      <c r="I709">
        <f t="shared" si="121"/>
        <v>0</v>
      </c>
      <c r="J709">
        <f t="shared" si="122"/>
        <v>0</v>
      </c>
      <c r="K709">
        <f t="shared" si="123"/>
        <v>1.0467394398169905</v>
      </c>
      <c r="L709">
        <f>-$B$5*$B$12-IF($B$3,Tabelle2[[#This Row],[Fd]]*Tabelle2[[#This Row],[vy]]/Tabelle2[[#This Row],[v]],0)</f>
        <v>-14.715</v>
      </c>
      <c r="M709">
        <f t="shared" si="124"/>
        <v>-9.81</v>
      </c>
      <c r="N709">
        <f t="shared" si="125"/>
        <v>-0.19620000000000001</v>
      </c>
      <c r="O709">
        <f t="shared" si="126"/>
        <v>-1.5248505120880427</v>
      </c>
      <c r="P709" s="1">
        <f t="shared" si="128"/>
        <v>52.336971990849527</v>
      </c>
      <c r="Q709" s="1">
        <f t="shared" si="129"/>
        <v>-76.14442560440213</v>
      </c>
      <c r="R709">
        <f>SQRT(Tabelle2[[#This Row],[vx]]*Tabelle2[[#This Row],[vx]]+Tabelle2[[#This Row],[vy]]*Tabelle2[[#This Row],[vy]])</f>
        <v>92.396602685354708</v>
      </c>
      <c r="S709">
        <f t="shared" si="130"/>
        <v>738.99804451078921</v>
      </c>
      <c r="T709" s="1">
        <f t="shared" si="131"/>
        <v>-95.513432753531887</v>
      </c>
    </row>
    <row r="710" spans="6:20" x14ac:dyDescent="0.35">
      <c r="F710" s="1">
        <f t="shared" si="127"/>
        <v>14.139999999999787</v>
      </c>
      <c r="G710">
        <f>1/2*$B$8*$B$6*$B$7*(Tabelle2[[#This Row],[vx]]*Tabelle2[[#This Row],[vx]]+Tabelle2[[#This Row],[vy]]*Tabelle2[[#This Row],[vy]])/1000000</f>
        <v>15.154413604922217</v>
      </c>
      <c r="H710">
        <f>IF($B$3,-Tabelle2[[#This Row],[Fd]]*Tabelle2[[#This Row],[vx]]/Tabelle2[[#This Row],[v]],0)</f>
        <v>0</v>
      </c>
      <c r="I710">
        <f t="shared" si="121"/>
        <v>0</v>
      </c>
      <c r="J710">
        <f t="shared" si="122"/>
        <v>0</v>
      </c>
      <c r="K710">
        <f t="shared" si="123"/>
        <v>1.0467394398169905</v>
      </c>
      <c r="L710">
        <f>-$B$5*$B$12-IF($B$3,Tabelle2[[#This Row],[Fd]]*Tabelle2[[#This Row],[vy]]/Tabelle2[[#This Row],[v]],0)</f>
        <v>-14.715</v>
      </c>
      <c r="M710">
        <f t="shared" si="124"/>
        <v>-9.81</v>
      </c>
      <c r="N710">
        <f t="shared" si="125"/>
        <v>-0.19620000000000001</v>
      </c>
      <c r="O710">
        <f t="shared" si="126"/>
        <v>-1.5287745120880427</v>
      </c>
      <c r="P710" s="1">
        <f t="shared" si="128"/>
        <v>52.336971990849527</v>
      </c>
      <c r="Q710" s="1">
        <f t="shared" si="129"/>
        <v>-76.340625604402135</v>
      </c>
      <c r="R710">
        <f>SQRT(Tabelle2[[#This Row],[vx]]*Tabelle2[[#This Row],[vx]]+Tabelle2[[#This Row],[vy]]*Tabelle2[[#This Row],[vy]])</f>
        <v>92.558358643844088</v>
      </c>
      <c r="S710">
        <f t="shared" si="130"/>
        <v>740.04478395060619</v>
      </c>
      <c r="T710" s="1">
        <f t="shared" si="131"/>
        <v>-97.038283265619924</v>
      </c>
    </row>
    <row r="711" spans="6:20" x14ac:dyDescent="0.35">
      <c r="F711" s="1">
        <f t="shared" si="127"/>
        <v>14.159999999999787</v>
      </c>
      <c r="G711">
        <f>1/2*$B$8*$B$6*$B$7*(Tabelle2[[#This Row],[vx]]*Tabelle2[[#This Row],[vx]]+Tabelle2[[#This Row],[vy]]*Tabelle2[[#This Row],[vy]])/1000000</f>
        <v>15.207471532613058</v>
      </c>
      <c r="H711">
        <f>IF($B$3,-Tabelle2[[#This Row],[Fd]]*Tabelle2[[#This Row],[vx]]/Tabelle2[[#This Row],[v]],0)</f>
        <v>0</v>
      </c>
      <c r="I711">
        <f t="shared" si="121"/>
        <v>0</v>
      </c>
      <c r="J711">
        <f t="shared" si="122"/>
        <v>0</v>
      </c>
      <c r="K711">
        <f t="shared" si="123"/>
        <v>1.0467394398169905</v>
      </c>
      <c r="L711">
        <f>-$B$5*$B$12-IF($B$3,Tabelle2[[#This Row],[Fd]]*Tabelle2[[#This Row],[vy]]/Tabelle2[[#This Row],[v]],0)</f>
        <v>-14.715</v>
      </c>
      <c r="M711">
        <f t="shared" si="124"/>
        <v>-9.81</v>
      </c>
      <c r="N711">
        <f t="shared" si="125"/>
        <v>-0.19620000000000001</v>
      </c>
      <c r="O711">
        <f t="shared" si="126"/>
        <v>-1.532698512088043</v>
      </c>
      <c r="P711" s="1">
        <f t="shared" si="128"/>
        <v>52.336971990849527</v>
      </c>
      <c r="Q711" s="1">
        <f t="shared" si="129"/>
        <v>-76.536825604402139</v>
      </c>
      <c r="R711">
        <f>SQRT(Tabelle2[[#This Row],[vx]]*Tabelle2[[#This Row],[vx]]+Tabelle2[[#This Row],[vy]]*Tabelle2[[#This Row],[vy]])</f>
        <v>92.720247577158858</v>
      </c>
      <c r="S711">
        <f t="shared" si="130"/>
        <v>741.09152339042316</v>
      </c>
      <c r="T711" s="1">
        <f t="shared" si="131"/>
        <v>-98.567057777707973</v>
      </c>
    </row>
    <row r="712" spans="6:20" x14ac:dyDescent="0.35">
      <c r="F712" s="1">
        <f t="shared" si="127"/>
        <v>14.179999999999787</v>
      </c>
      <c r="G712">
        <f>1/2*$B$8*$B$6*$B$7*(Tabelle2[[#This Row],[vx]]*Tabelle2[[#This Row],[vx]]+Tabelle2[[#This Row],[vy]]*Tabelle2[[#This Row],[vy]])/1000000</f>
        <v>15.260665647365245</v>
      </c>
      <c r="H712">
        <f>IF($B$3,-Tabelle2[[#This Row],[Fd]]*Tabelle2[[#This Row],[vx]]/Tabelle2[[#This Row],[v]],0)</f>
        <v>0</v>
      </c>
      <c r="I712">
        <f t="shared" si="121"/>
        <v>0</v>
      </c>
      <c r="J712">
        <f t="shared" si="122"/>
        <v>0</v>
      </c>
      <c r="K712">
        <f t="shared" si="123"/>
        <v>1.0467394398169905</v>
      </c>
      <c r="L712">
        <f>-$B$5*$B$12-IF($B$3,Tabelle2[[#This Row],[Fd]]*Tabelle2[[#This Row],[vy]]/Tabelle2[[#This Row],[v]],0)</f>
        <v>-14.715</v>
      </c>
      <c r="M712">
        <f t="shared" si="124"/>
        <v>-9.81</v>
      </c>
      <c r="N712">
        <f t="shared" si="125"/>
        <v>-0.19620000000000001</v>
      </c>
      <c r="O712">
        <f t="shared" si="126"/>
        <v>-1.536622512088043</v>
      </c>
      <c r="P712" s="1">
        <f t="shared" si="128"/>
        <v>52.336971990849527</v>
      </c>
      <c r="Q712" s="1">
        <f t="shared" si="129"/>
        <v>-76.733025604402144</v>
      </c>
      <c r="R712">
        <f>SQRT(Tabelle2[[#This Row],[vx]]*Tabelle2[[#This Row],[vx]]+Tabelle2[[#This Row],[vy]]*Tabelle2[[#This Row],[vy]])</f>
        <v>92.882268789994598</v>
      </c>
      <c r="S712">
        <f t="shared" si="130"/>
        <v>742.13826283024014</v>
      </c>
      <c r="T712" s="1">
        <f t="shared" si="131"/>
        <v>-100.09975628979602</v>
      </c>
    </row>
    <row r="713" spans="6:20" x14ac:dyDescent="0.35">
      <c r="F713" s="1">
        <f t="shared" si="127"/>
        <v>14.199999999999786</v>
      </c>
      <c r="G713">
        <f>1/2*$B$8*$B$6*$B$7*(Tabelle2[[#This Row],[vx]]*Tabelle2[[#This Row],[vx]]+Tabelle2[[#This Row],[vy]]*Tabelle2[[#This Row],[vy]])/1000000</f>
        <v>15.313995949178775</v>
      </c>
      <c r="H713">
        <f>IF($B$3,-Tabelle2[[#This Row],[Fd]]*Tabelle2[[#This Row],[vx]]/Tabelle2[[#This Row],[v]],0)</f>
        <v>0</v>
      </c>
      <c r="I713">
        <f t="shared" si="121"/>
        <v>0</v>
      </c>
      <c r="J713">
        <f t="shared" si="122"/>
        <v>0</v>
      </c>
      <c r="K713">
        <f t="shared" si="123"/>
        <v>1.0467394398169905</v>
      </c>
      <c r="L713">
        <f>-$B$5*$B$12-IF($B$3,Tabelle2[[#This Row],[Fd]]*Tabelle2[[#This Row],[vy]]/Tabelle2[[#This Row],[v]],0)</f>
        <v>-14.715</v>
      </c>
      <c r="M713">
        <f t="shared" si="124"/>
        <v>-9.81</v>
      </c>
      <c r="N713">
        <f t="shared" si="125"/>
        <v>-0.19620000000000001</v>
      </c>
      <c r="O713">
        <f t="shared" si="126"/>
        <v>-1.5405465120880431</v>
      </c>
      <c r="P713" s="1">
        <f t="shared" si="128"/>
        <v>52.336971990849527</v>
      </c>
      <c r="Q713" s="1">
        <f t="shared" si="129"/>
        <v>-76.929225604402149</v>
      </c>
      <c r="R713">
        <f>SQRT(Tabelle2[[#This Row],[vx]]*Tabelle2[[#This Row],[vx]]+Tabelle2[[#This Row],[vy]]*Tabelle2[[#This Row],[vy]])</f>
        <v>93.044421591323641</v>
      </c>
      <c r="S713">
        <f t="shared" si="130"/>
        <v>743.18500227005711</v>
      </c>
      <c r="T713" s="1">
        <f t="shared" si="131"/>
        <v>-101.63637880188406</v>
      </c>
    </row>
    <row r="714" spans="6:20" x14ac:dyDescent="0.35">
      <c r="F714" s="1">
        <f t="shared" si="127"/>
        <v>14.219999999999786</v>
      </c>
      <c r="G714">
        <f>1/2*$B$8*$B$6*$B$7*(Tabelle2[[#This Row],[vx]]*Tabelle2[[#This Row],[vx]]+Tabelle2[[#This Row],[vy]]*Tabelle2[[#This Row],[vy]])/1000000</f>
        <v>15.367462438053648</v>
      </c>
      <c r="H714">
        <f>IF($B$3,-Tabelle2[[#This Row],[Fd]]*Tabelle2[[#This Row],[vx]]/Tabelle2[[#This Row],[v]],0)</f>
        <v>0</v>
      </c>
      <c r="I714">
        <f t="shared" si="121"/>
        <v>0</v>
      </c>
      <c r="J714">
        <f t="shared" si="122"/>
        <v>0</v>
      </c>
      <c r="K714">
        <f t="shared" si="123"/>
        <v>1.0467394398169905</v>
      </c>
      <c r="L714">
        <f>-$B$5*$B$12-IF($B$3,Tabelle2[[#This Row],[Fd]]*Tabelle2[[#This Row],[vy]]/Tabelle2[[#This Row],[v]],0)</f>
        <v>-14.715</v>
      </c>
      <c r="M714">
        <f t="shared" si="124"/>
        <v>-9.81</v>
      </c>
      <c r="N714">
        <f t="shared" si="125"/>
        <v>-0.19620000000000001</v>
      </c>
      <c r="O714">
        <f t="shared" si="126"/>
        <v>-1.5444705120880431</v>
      </c>
      <c r="P714" s="1">
        <f t="shared" si="128"/>
        <v>52.336971990849527</v>
      </c>
      <c r="Q714" s="1">
        <f t="shared" si="129"/>
        <v>-77.125425604402153</v>
      </c>
      <c r="R714">
        <f>SQRT(Tabelle2[[#This Row],[vx]]*Tabelle2[[#This Row],[vx]]+Tabelle2[[#This Row],[vy]]*Tabelle2[[#This Row],[vy]])</f>
        <v>93.20670529436785</v>
      </c>
      <c r="S714">
        <f t="shared" si="130"/>
        <v>744.23174170987409</v>
      </c>
      <c r="T714" s="1">
        <f t="shared" si="131"/>
        <v>-103.17692531397211</v>
      </c>
    </row>
    <row r="715" spans="6:20" x14ac:dyDescent="0.35">
      <c r="F715" s="1">
        <f t="shared" si="127"/>
        <v>14.239999999999785</v>
      </c>
      <c r="G715">
        <f>1/2*$B$8*$B$6*$B$7*(Tabelle2[[#This Row],[vx]]*Tabelle2[[#This Row],[vx]]+Tabelle2[[#This Row],[vy]]*Tabelle2[[#This Row],[vy]])/1000000</f>
        <v>15.421065113989865</v>
      </c>
      <c r="H715">
        <f>IF($B$3,-Tabelle2[[#This Row],[Fd]]*Tabelle2[[#This Row],[vx]]/Tabelle2[[#This Row],[v]],0)</f>
        <v>0</v>
      </c>
      <c r="I715">
        <f t="shared" si="121"/>
        <v>0</v>
      </c>
      <c r="J715">
        <f t="shared" si="122"/>
        <v>0</v>
      </c>
      <c r="K715">
        <f t="shared" si="123"/>
        <v>1.0467394398169905</v>
      </c>
      <c r="L715">
        <f>-$B$5*$B$12-IF($B$3,Tabelle2[[#This Row],[Fd]]*Tabelle2[[#This Row],[vy]]/Tabelle2[[#This Row],[v]],0)</f>
        <v>-14.715</v>
      </c>
      <c r="M715">
        <f t="shared" si="124"/>
        <v>-9.81</v>
      </c>
      <c r="N715">
        <f t="shared" si="125"/>
        <v>-0.19620000000000001</v>
      </c>
      <c r="O715">
        <f t="shared" si="126"/>
        <v>-1.5483945120880431</v>
      </c>
      <c r="P715" s="1">
        <f t="shared" si="128"/>
        <v>52.336971990849527</v>
      </c>
      <c r="Q715" s="1">
        <f t="shared" si="129"/>
        <v>-77.321625604402158</v>
      </c>
      <c r="R715">
        <f>SQRT(Tabelle2[[#This Row],[vx]]*Tabelle2[[#This Row],[vx]]+Tabelle2[[#This Row],[vy]]*Tabelle2[[#This Row],[vy]])</f>
        <v>93.369119216571306</v>
      </c>
      <c r="S715">
        <f t="shared" si="130"/>
        <v>745.27848114969106</v>
      </c>
      <c r="T715" s="1">
        <f t="shared" si="131"/>
        <v>-104.72139582606015</v>
      </c>
    </row>
    <row r="716" spans="6:20" x14ac:dyDescent="0.35">
      <c r="F716" s="1">
        <f t="shared" si="127"/>
        <v>14.259999999999785</v>
      </c>
      <c r="G716">
        <f>1/2*$B$8*$B$6*$B$7*(Tabelle2[[#This Row],[vx]]*Tabelle2[[#This Row],[vx]]+Tabelle2[[#This Row],[vy]]*Tabelle2[[#This Row],[vy]])/1000000</f>
        <v>15.474803976987431</v>
      </c>
      <c r="H716">
        <f>IF($B$3,-Tabelle2[[#This Row],[Fd]]*Tabelle2[[#This Row],[vx]]/Tabelle2[[#This Row],[v]],0)</f>
        <v>0</v>
      </c>
      <c r="I716">
        <f t="shared" si="121"/>
        <v>0</v>
      </c>
      <c r="J716">
        <f t="shared" si="122"/>
        <v>0</v>
      </c>
      <c r="K716">
        <f t="shared" si="123"/>
        <v>1.0467394398169905</v>
      </c>
      <c r="L716">
        <f>-$B$5*$B$12-IF($B$3,Tabelle2[[#This Row],[Fd]]*Tabelle2[[#This Row],[vy]]/Tabelle2[[#This Row],[v]],0)</f>
        <v>-14.715</v>
      </c>
      <c r="M716">
        <f t="shared" si="124"/>
        <v>-9.81</v>
      </c>
      <c r="N716">
        <f t="shared" si="125"/>
        <v>-0.19620000000000001</v>
      </c>
      <c r="O716">
        <f t="shared" si="126"/>
        <v>-1.5523185120880434</v>
      </c>
      <c r="P716" s="1">
        <f t="shared" si="128"/>
        <v>52.336971990849527</v>
      </c>
      <c r="Q716" s="1">
        <f t="shared" si="129"/>
        <v>-77.517825604402162</v>
      </c>
      <c r="R716">
        <f>SQRT(Tabelle2[[#This Row],[vx]]*Tabelle2[[#This Row],[vx]]+Tabelle2[[#This Row],[vy]]*Tabelle2[[#This Row],[vy]])</f>
        <v>93.531662679573259</v>
      </c>
      <c r="S716">
        <f t="shared" si="130"/>
        <v>746.32522058950804</v>
      </c>
      <c r="T716" s="1">
        <f t="shared" si="131"/>
        <v>-106.26979033814818</v>
      </c>
    </row>
    <row r="717" spans="6:20" x14ac:dyDescent="0.35">
      <c r="F717" s="1">
        <f t="shared" si="127"/>
        <v>14.279999999999784</v>
      </c>
      <c r="G717">
        <f>1/2*$B$8*$B$6*$B$7*(Tabelle2[[#This Row],[vx]]*Tabelle2[[#This Row],[vx]]+Tabelle2[[#This Row],[vy]]*Tabelle2[[#This Row],[vy]])/1000000</f>
        <v>15.528679027046334</v>
      </c>
      <c r="H717">
        <f>IF($B$3,-Tabelle2[[#This Row],[Fd]]*Tabelle2[[#This Row],[vx]]/Tabelle2[[#This Row],[v]],0)</f>
        <v>0</v>
      </c>
      <c r="I717">
        <f t="shared" si="121"/>
        <v>0</v>
      </c>
      <c r="J717">
        <f t="shared" si="122"/>
        <v>0</v>
      </c>
      <c r="K717">
        <f t="shared" si="123"/>
        <v>1.0467394398169905</v>
      </c>
      <c r="L717">
        <f>-$B$5*$B$12-IF($B$3,Tabelle2[[#This Row],[Fd]]*Tabelle2[[#This Row],[vy]]/Tabelle2[[#This Row],[v]],0)</f>
        <v>-14.715</v>
      </c>
      <c r="M717">
        <f t="shared" si="124"/>
        <v>-9.81</v>
      </c>
      <c r="N717">
        <f t="shared" si="125"/>
        <v>-0.19620000000000001</v>
      </c>
      <c r="O717">
        <f t="shared" si="126"/>
        <v>-1.5562425120880434</v>
      </c>
      <c r="P717" s="1">
        <f t="shared" si="128"/>
        <v>52.336971990849527</v>
      </c>
      <c r="Q717" s="1">
        <f t="shared" si="129"/>
        <v>-77.714025604402167</v>
      </c>
      <c r="R717">
        <f>SQRT(Tabelle2[[#This Row],[vx]]*Tabelle2[[#This Row],[vx]]+Tabelle2[[#This Row],[vy]]*Tabelle2[[#This Row],[vy]])</f>
        <v>93.694335009181017</v>
      </c>
      <c r="S717">
        <f t="shared" si="130"/>
        <v>747.37196002932501</v>
      </c>
      <c r="T717" s="1">
        <f t="shared" si="131"/>
        <v>-107.82210885023623</v>
      </c>
    </row>
    <row r="718" spans="6:20" x14ac:dyDescent="0.35">
      <c r="F718" s="1">
        <f t="shared" si="127"/>
        <v>14.299999999999784</v>
      </c>
      <c r="G718">
        <f>1/2*$B$8*$B$6*$B$7*(Tabelle2[[#This Row],[vx]]*Tabelle2[[#This Row],[vx]]+Tabelle2[[#This Row],[vy]]*Tabelle2[[#This Row],[vy]])/1000000</f>
        <v>15.582690264166585</v>
      </c>
      <c r="H718">
        <f>IF($B$3,-Tabelle2[[#This Row],[Fd]]*Tabelle2[[#This Row],[vx]]/Tabelle2[[#This Row],[v]],0)</f>
        <v>0</v>
      </c>
      <c r="I718">
        <f t="shared" si="121"/>
        <v>0</v>
      </c>
      <c r="J718">
        <f t="shared" si="122"/>
        <v>0</v>
      </c>
      <c r="K718">
        <f t="shared" si="123"/>
        <v>1.0467394398169905</v>
      </c>
      <c r="L718">
        <f>-$B$5*$B$12-IF($B$3,Tabelle2[[#This Row],[Fd]]*Tabelle2[[#This Row],[vy]]/Tabelle2[[#This Row],[v]],0)</f>
        <v>-14.715</v>
      </c>
      <c r="M718">
        <f t="shared" si="124"/>
        <v>-9.81</v>
      </c>
      <c r="N718">
        <f t="shared" si="125"/>
        <v>-0.19620000000000001</v>
      </c>
      <c r="O718">
        <f t="shared" si="126"/>
        <v>-1.5601665120880435</v>
      </c>
      <c r="P718" s="1">
        <f t="shared" si="128"/>
        <v>52.336971990849527</v>
      </c>
      <c r="Q718" s="1">
        <f t="shared" si="129"/>
        <v>-77.910225604402171</v>
      </c>
      <c r="R718">
        <f>SQRT(Tabelle2[[#This Row],[vx]]*Tabelle2[[#This Row],[vx]]+Tabelle2[[#This Row],[vy]]*Tabelle2[[#This Row],[vy]])</f>
        <v>93.857135535343346</v>
      </c>
      <c r="S718">
        <f t="shared" si="130"/>
        <v>748.41869946914198</v>
      </c>
      <c r="T718" s="1">
        <f t="shared" si="131"/>
        <v>-109.37835136232428</v>
      </c>
    </row>
    <row r="719" spans="6:20" x14ac:dyDescent="0.35">
      <c r="F719" s="1">
        <f t="shared" si="127"/>
        <v>14.319999999999784</v>
      </c>
      <c r="G719">
        <f>1/2*$B$8*$B$6*$B$7*(Tabelle2[[#This Row],[vx]]*Tabelle2[[#This Row],[vx]]+Tabelle2[[#This Row],[vy]]*Tabelle2[[#This Row],[vy]])/1000000</f>
        <v>15.636837688348178</v>
      </c>
      <c r="H719">
        <f>IF($B$3,-Tabelle2[[#This Row],[Fd]]*Tabelle2[[#This Row],[vx]]/Tabelle2[[#This Row],[v]],0)</f>
        <v>0</v>
      </c>
      <c r="I719">
        <f t="shared" si="121"/>
        <v>0</v>
      </c>
      <c r="J719">
        <f t="shared" si="122"/>
        <v>0</v>
      </c>
      <c r="K719">
        <f t="shared" si="123"/>
        <v>1.0467394398169905</v>
      </c>
      <c r="L719">
        <f>-$B$5*$B$12-IF($B$3,Tabelle2[[#This Row],[Fd]]*Tabelle2[[#This Row],[vy]]/Tabelle2[[#This Row],[v]],0)</f>
        <v>-14.715</v>
      </c>
      <c r="M719">
        <f t="shared" si="124"/>
        <v>-9.81</v>
      </c>
      <c r="N719">
        <f t="shared" si="125"/>
        <v>-0.19620000000000001</v>
      </c>
      <c r="O719">
        <f t="shared" si="126"/>
        <v>-1.5640905120880435</v>
      </c>
      <c r="P719" s="1">
        <f t="shared" si="128"/>
        <v>52.336971990849527</v>
      </c>
      <c r="Q719" s="1">
        <f t="shared" si="129"/>
        <v>-78.106425604402176</v>
      </c>
      <c r="R719">
        <f>SQRT(Tabelle2[[#This Row],[vx]]*Tabelle2[[#This Row],[vx]]+Tabelle2[[#This Row],[vy]]*Tabelle2[[#This Row],[vy]])</f>
        <v>94.020063592123677</v>
      </c>
      <c r="S719">
        <f t="shared" si="130"/>
        <v>749.46543890895896</v>
      </c>
      <c r="T719" s="1">
        <f t="shared" si="131"/>
        <v>-110.93851787441233</v>
      </c>
    </row>
    <row r="720" spans="6:20" x14ac:dyDescent="0.35">
      <c r="F720" s="1">
        <f t="shared" si="127"/>
        <v>14.339999999999783</v>
      </c>
      <c r="G720">
        <f>1/2*$B$8*$B$6*$B$7*(Tabelle2[[#This Row],[vx]]*Tabelle2[[#This Row],[vx]]+Tabelle2[[#This Row],[vy]]*Tabelle2[[#This Row],[vy]])/1000000</f>
        <v>15.691121299591117</v>
      </c>
      <c r="H720">
        <f>IF($B$3,-Tabelle2[[#This Row],[Fd]]*Tabelle2[[#This Row],[vx]]/Tabelle2[[#This Row],[v]],0)</f>
        <v>0</v>
      </c>
      <c r="I720">
        <f t="shared" si="121"/>
        <v>0</v>
      </c>
      <c r="J720">
        <f t="shared" si="122"/>
        <v>0</v>
      </c>
      <c r="K720">
        <f t="shared" si="123"/>
        <v>1.0467394398169905</v>
      </c>
      <c r="L720">
        <f>-$B$5*$B$12-IF($B$3,Tabelle2[[#This Row],[Fd]]*Tabelle2[[#This Row],[vy]]/Tabelle2[[#This Row],[v]],0)</f>
        <v>-14.715</v>
      </c>
      <c r="M720">
        <f t="shared" si="124"/>
        <v>-9.81</v>
      </c>
      <c r="N720">
        <f t="shared" si="125"/>
        <v>-0.19620000000000001</v>
      </c>
      <c r="O720">
        <f t="shared" si="126"/>
        <v>-1.5680145120880438</v>
      </c>
      <c r="P720" s="1">
        <f t="shared" si="128"/>
        <v>52.336971990849527</v>
      </c>
      <c r="Q720" s="1">
        <f t="shared" si="129"/>
        <v>-78.302625604402181</v>
      </c>
      <c r="R720">
        <f>SQRT(Tabelle2[[#This Row],[vx]]*Tabelle2[[#This Row],[vx]]+Tabelle2[[#This Row],[vy]]*Tabelle2[[#This Row],[vy]])</f>
        <v>94.183118517673577</v>
      </c>
      <c r="S720">
        <f t="shared" si="130"/>
        <v>750.51217834877593</v>
      </c>
      <c r="T720" s="1">
        <f t="shared" si="131"/>
        <v>-112.50260838650037</v>
      </c>
    </row>
    <row r="721" spans="6:20" x14ac:dyDescent="0.35">
      <c r="F721" s="1">
        <f t="shared" si="127"/>
        <v>14.359999999999783</v>
      </c>
      <c r="G721">
        <f>1/2*$B$8*$B$6*$B$7*(Tabelle2[[#This Row],[vx]]*Tabelle2[[#This Row],[vx]]+Tabelle2[[#This Row],[vy]]*Tabelle2[[#This Row],[vy]])/1000000</f>
        <v>15.7455410978954</v>
      </c>
      <c r="H721">
        <f>IF($B$3,-Tabelle2[[#This Row],[Fd]]*Tabelle2[[#This Row],[vx]]/Tabelle2[[#This Row],[v]],0)</f>
        <v>0</v>
      </c>
      <c r="I721">
        <f t="shared" si="121"/>
        <v>0</v>
      </c>
      <c r="J721">
        <f t="shared" si="122"/>
        <v>0</v>
      </c>
      <c r="K721">
        <f t="shared" si="123"/>
        <v>1.0467394398169905</v>
      </c>
      <c r="L721">
        <f>-$B$5*$B$12-IF($B$3,Tabelle2[[#This Row],[Fd]]*Tabelle2[[#This Row],[vy]]/Tabelle2[[#This Row],[v]],0)</f>
        <v>-14.715</v>
      </c>
      <c r="M721">
        <f t="shared" si="124"/>
        <v>-9.81</v>
      </c>
      <c r="N721">
        <f t="shared" si="125"/>
        <v>-0.19620000000000001</v>
      </c>
      <c r="O721">
        <f t="shared" si="126"/>
        <v>-1.5719385120880438</v>
      </c>
      <c r="P721" s="1">
        <f t="shared" si="128"/>
        <v>52.336971990849527</v>
      </c>
      <c r="Q721" s="1">
        <f t="shared" si="129"/>
        <v>-78.498825604402185</v>
      </c>
      <c r="R721">
        <f>SQRT(Tabelle2[[#This Row],[vx]]*Tabelle2[[#This Row],[vx]]+Tabelle2[[#This Row],[vy]]*Tabelle2[[#This Row],[vy]])</f>
        <v>94.346299654206447</v>
      </c>
      <c r="S721">
        <f t="shared" si="130"/>
        <v>751.55891778859291</v>
      </c>
      <c r="T721" s="1">
        <f t="shared" si="131"/>
        <v>-114.07062289858841</v>
      </c>
    </row>
    <row r="722" spans="6:20" x14ac:dyDescent="0.35">
      <c r="F722" s="1">
        <f t="shared" si="127"/>
        <v>14.379999999999782</v>
      </c>
      <c r="G722">
        <f>1/2*$B$8*$B$6*$B$7*(Tabelle2[[#This Row],[vx]]*Tabelle2[[#This Row],[vx]]+Tabelle2[[#This Row],[vy]]*Tabelle2[[#This Row],[vy]])/1000000</f>
        <v>15.800097083261022</v>
      </c>
      <c r="H722">
        <f>IF($B$3,-Tabelle2[[#This Row],[Fd]]*Tabelle2[[#This Row],[vx]]/Tabelle2[[#This Row],[v]],0)</f>
        <v>0</v>
      </c>
      <c r="I722">
        <f t="shared" si="121"/>
        <v>0</v>
      </c>
      <c r="J722">
        <f t="shared" si="122"/>
        <v>0</v>
      </c>
      <c r="K722">
        <f t="shared" si="123"/>
        <v>1.0467394398169905</v>
      </c>
      <c r="L722">
        <f>-$B$5*$B$12-IF($B$3,Tabelle2[[#This Row],[Fd]]*Tabelle2[[#This Row],[vy]]/Tabelle2[[#This Row],[v]],0)</f>
        <v>-14.715</v>
      </c>
      <c r="M722">
        <f t="shared" si="124"/>
        <v>-9.81</v>
      </c>
      <c r="N722">
        <f t="shared" si="125"/>
        <v>-0.19620000000000001</v>
      </c>
      <c r="O722">
        <f t="shared" si="126"/>
        <v>-1.5758625120880438</v>
      </c>
      <c r="P722" s="1">
        <f t="shared" si="128"/>
        <v>52.336971990849527</v>
      </c>
      <c r="Q722" s="1">
        <f t="shared" si="129"/>
        <v>-78.69502560440219</v>
      </c>
      <c r="R722">
        <f>SQRT(Tabelle2[[#This Row],[vx]]*Tabelle2[[#This Row],[vx]]+Tabelle2[[#This Row],[vy]]*Tabelle2[[#This Row],[vy]])</f>
        <v>94.509606347971229</v>
      </c>
      <c r="S722">
        <f t="shared" si="130"/>
        <v>752.60565722840988</v>
      </c>
      <c r="T722" s="1">
        <f t="shared" si="131"/>
        <v>-115.64256141067645</v>
      </c>
    </row>
    <row r="723" spans="6:20" x14ac:dyDescent="0.35">
      <c r="F723" s="1">
        <f t="shared" si="127"/>
        <v>14.399999999999782</v>
      </c>
      <c r="G723">
        <f>1/2*$B$8*$B$6*$B$7*(Tabelle2[[#This Row],[vx]]*Tabelle2[[#This Row],[vx]]+Tabelle2[[#This Row],[vy]]*Tabelle2[[#This Row],[vy]])/1000000</f>
        <v>15.854789255687994</v>
      </c>
      <c r="H723">
        <f>IF($B$3,-Tabelle2[[#This Row],[Fd]]*Tabelle2[[#This Row],[vx]]/Tabelle2[[#This Row],[v]],0)</f>
        <v>0</v>
      </c>
      <c r="I723">
        <f t="shared" si="121"/>
        <v>0</v>
      </c>
      <c r="J723">
        <f t="shared" si="122"/>
        <v>0</v>
      </c>
      <c r="K723">
        <f t="shared" si="123"/>
        <v>1.0467394398169905</v>
      </c>
      <c r="L723">
        <f>-$B$5*$B$12-IF($B$3,Tabelle2[[#This Row],[Fd]]*Tabelle2[[#This Row],[vy]]/Tabelle2[[#This Row],[v]],0)</f>
        <v>-14.715</v>
      </c>
      <c r="M723">
        <f t="shared" si="124"/>
        <v>-9.81</v>
      </c>
      <c r="N723">
        <f t="shared" si="125"/>
        <v>-0.19620000000000001</v>
      </c>
      <c r="O723">
        <f t="shared" si="126"/>
        <v>-1.5797865120880439</v>
      </c>
      <c r="P723" s="1">
        <f t="shared" si="128"/>
        <v>52.336971990849527</v>
      </c>
      <c r="Q723" s="1">
        <f t="shared" si="129"/>
        <v>-78.891225604402194</v>
      </c>
      <c r="R723">
        <f>SQRT(Tabelle2[[#This Row],[vx]]*Tabelle2[[#This Row],[vx]]+Tabelle2[[#This Row],[vy]]*Tabelle2[[#This Row],[vy]])</f>
        <v>94.673037949226341</v>
      </c>
      <c r="S723">
        <f t="shared" si="130"/>
        <v>753.65239666822686</v>
      </c>
      <c r="T723" s="1">
        <f t="shared" si="131"/>
        <v>-117.21842392276449</v>
      </c>
    </row>
    <row r="724" spans="6:20" x14ac:dyDescent="0.35">
      <c r="F724" s="1">
        <f t="shared" si="127"/>
        <v>14.419999999999781</v>
      </c>
      <c r="G724">
        <f>1/2*$B$8*$B$6*$B$7*(Tabelle2[[#This Row],[vx]]*Tabelle2[[#This Row],[vx]]+Tabelle2[[#This Row],[vy]]*Tabelle2[[#This Row],[vy]])/1000000</f>
        <v>15.909617615176307</v>
      </c>
      <c r="H724">
        <f>IF($B$3,-Tabelle2[[#This Row],[Fd]]*Tabelle2[[#This Row],[vx]]/Tabelle2[[#This Row],[v]],0)</f>
        <v>0</v>
      </c>
      <c r="I724">
        <f t="shared" si="121"/>
        <v>0</v>
      </c>
      <c r="J724">
        <f t="shared" si="122"/>
        <v>0</v>
      </c>
      <c r="K724">
        <f t="shared" si="123"/>
        <v>1.0467394398169905</v>
      </c>
      <c r="L724">
        <f>-$B$5*$B$12-IF($B$3,Tabelle2[[#This Row],[Fd]]*Tabelle2[[#This Row],[vy]]/Tabelle2[[#This Row],[v]],0)</f>
        <v>-14.715</v>
      </c>
      <c r="M724">
        <f t="shared" si="124"/>
        <v>-9.81</v>
      </c>
      <c r="N724">
        <f t="shared" si="125"/>
        <v>-0.19620000000000001</v>
      </c>
      <c r="O724">
        <f t="shared" si="126"/>
        <v>-1.5837105120880441</v>
      </c>
      <c r="P724" s="1">
        <f t="shared" si="128"/>
        <v>52.336971990849527</v>
      </c>
      <c r="Q724" s="1">
        <f t="shared" si="129"/>
        <v>-79.087425604402199</v>
      </c>
      <c r="R724">
        <f>SQRT(Tabelle2[[#This Row],[vx]]*Tabelle2[[#This Row],[vx]]+Tabelle2[[#This Row],[vy]]*Tabelle2[[#This Row],[vy]])</f>
        <v>94.836593812213749</v>
      </c>
      <c r="S724">
        <f t="shared" si="130"/>
        <v>754.69913610804383</v>
      </c>
      <c r="T724" s="1">
        <f t="shared" si="131"/>
        <v>-118.79821043485254</v>
      </c>
    </row>
    <row r="725" spans="6:20" x14ac:dyDescent="0.35">
      <c r="F725" s="1">
        <f t="shared" si="127"/>
        <v>14.439999999999781</v>
      </c>
      <c r="G725">
        <f>1/2*$B$8*$B$6*$B$7*(Tabelle2[[#This Row],[vx]]*Tabelle2[[#This Row],[vx]]+Tabelle2[[#This Row],[vy]]*Tabelle2[[#This Row],[vy]])/1000000</f>
        <v>15.964582161725966</v>
      </c>
      <c r="H725">
        <f>IF($B$3,-Tabelle2[[#This Row],[Fd]]*Tabelle2[[#This Row],[vx]]/Tabelle2[[#This Row],[v]],0)</f>
        <v>0</v>
      </c>
      <c r="I725">
        <f t="shared" si="121"/>
        <v>0</v>
      </c>
      <c r="J725">
        <f t="shared" si="122"/>
        <v>0</v>
      </c>
      <c r="K725">
        <f t="shared" si="123"/>
        <v>1.0467394398169905</v>
      </c>
      <c r="L725">
        <f>-$B$5*$B$12-IF($B$3,Tabelle2[[#This Row],[Fd]]*Tabelle2[[#This Row],[vy]]/Tabelle2[[#This Row],[v]],0)</f>
        <v>-14.715</v>
      </c>
      <c r="M725">
        <f t="shared" si="124"/>
        <v>-9.81</v>
      </c>
      <c r="N725">
        <f t="shared" si="125"/>
        <v>-0.19620000000000001</v>
      </c>
      <c r="O725">
        <f t="shared" si="126"/>
        <v>-1.5876345120880442</v>
      </c>
      <c r="P725" s="1">
        <f t="shared" si="128"/>
        <v>52.336971990849527</v>
      </c>
      <c r="Q725" s="1">
        <f t="shared" si="129"/>
        <v>-79.283625604402204</v>
      </c>
      <c r="R725">
        <f>SQRT(Tabelle2[[#This Row],[vx]]*Tabelle2[[#This Row],[vx]]+Tabelle2[[#This Row],[vy]]*Tabelle2[[#This Row],[vy]])</f>
        <v>95.000273295133155</v>
      </c>
      <c r="S725">
        <f t="shared" si="130"/>
        <v>755.74587554786081</v>
      </c>
      <c r="T725" s="1">
        <f t="shared" si="131"/>
        <v>-120.38192094694058</v>
      </c>
    </row>
    <row r="726" spans="6:20" x14ac:dyDescent="0.35">
      <c r="F726" s="1">
        <f t="shared" si="127"/>
        <v>14.459999999999781</v>
      </c>
      <c r="G726">
        <f>1/2*$B$8*$B$6*$B$7*(Tabelle2[[#This Row],[vx]]*Tabelle2[[#This Row],[vx]]+Tabelle2[[#This Row],[vy]]*Tabelle2[[#This Row],[vy]])/1000000</f>
        <v>16.019682895336967</v>
      </c>
      <c r="H726">
        <f>IF($B$3,-Tabelle2[[#This Row],[Fd]]*Tabelle2[[#This Row],[vx]]/Tabelle2[[#This Row],[v]],0)</f>
        <v>0</v>
      </c>
      <c r="I726">
        <f t="shared" si="121"/>
        <v>0</v>
      </c>
      <c r="J726">
        <f t="shared" si="122"/>
        <v>0</v>
      </c>
      <c r="K726">
        <f t="shared" si="123"/>
        <v>1.0467394398169905</v>
      </c>
      <c r="L726">
        <f>-$B$5*$B$12-IF($B$3,Tabelle2[[#This Row],[Fd]]*Tabelle2[[#This Row],[vy]]/Tabelle2[[#This Row],[v]],0)</f>
        <v>-14.715</v>
      </c>
      <c r="M726">
        <f t="shared" si="124"/>
        <v>-9.81</v>
      </c>
      <c r="N726">
        <f t="shared" si="125"/>
        <v>-0.19620000000000001</v>
      </c>
      <c r="O726">
        <f t="shared" si="126"/>
        <v>-1.5915585120880442</v>
      </c>
      <c r="P726" s="1">
        <f t="shared" si="128"/>
        <v>52.336971990849527</v>
      </c>
      <c r="Q726" s="1">
        <f t="shared" si="129"/>
        <v>-79.479825604402208</v>
      </c>
      <c r="R726">
        <f>SQRT(Tabelle2[[#This Row],[vx]]*Tabelle2[[#This Row],[vx]]+Tabelle2[[#This Row],[vy]]*Tabelle2[[#This Row],[vy]])</f>
        <v>95.164075760116305</v>
      </c>
      <c r="S726">
        <f t="shared" si="130"/>
        <v>756.79261498767778</v>
      </c>
      <c r="T726" s="1">
        <f t="shared" si="131"/>
        <v>-121.96955545902863</v>
      </c>
    </row>
    <row r="727" spans="6:20" x14ac:dyDescent="0.35">
      <c r="F727" s="1">
        <f t="shared" si="127"/>
        <v>14.47999999999978</v>
      </c>
      <c r="G727">
        <f>1/2*$B$8*$B$6*$B$7*(Tabelle2[[#This Row],[vx]]*Tabelle2[[#This Row],[vx]]+Tabelle2[[#This Row],[vy]]*Tabelle2[[#This Row],[vy]])/1000000</f>
        <v>16.074919816009309</v>
      </c>
      <c r="H727">
        <f>IF($B$3,-Tabelle2[[#This Row],[Fd]]*Tabelle2[[#This Row],[vx]]/Tabelle2[[#This Row],[v]],0)</f>
        <v>0</v>
      </c>
      <c r="I727">
        <f t="shared" si="121"/>
        <v>0</v>
      </c>
      <c r="J727">
        <f t="shared" si="122"/>
        <v>0</v>
      </c>
      <c r="K727">
        <f t="shared" si="123"/>
        <v>1.0467394398169905</v>
      </c>
      <c r="L727">
        <f>-$B$5*$B$12-IF($B$3,Tabelle2[[#This Row],[Fd]]*Tabelle2[[#This Row],[vy]]/Tabelle2[[#This Row],[v]],0)</f>
        <v>-14.715</v>
      </c>
      <c r="M727">
        <f t="shared" si="124"/>
        <v>-9.81</v>
      </c>
      <c r="N727">
        <f t="shared" si="125"/>
        <v>-0.19620000000000001</v>
      </c>
      <c r="O727">
        <f t="shared" si="126"/>
        <v>-1.5954825120880443</v>
      </c>
      <c r="P727" s="1">
        <f t="shared" si="128"/>
        <v>52.336971990849527</v>
      </c>
      <c r="Q727" s="1">
        <f t="shared" si="129"/>
        <v>-79.676025604402213</v>
      </c>
      <c r="R727">
        <f>SQRT(Tabelle2[[#This Row],[vx]]*Tabelle2[[#This Row],[vx]]+Tabelle2[[#This Row],[vy]]*Tabelle2[[#This Row],[vy]])</f>
        <v>95.328000573201592</v>
      </c>
      <c r="S727">
        <f t="shared" si="130"/>
        <v>757.83935442749475</v>
      </c>
      <c r="T727" s="1">
        <f t="shared" si="131"/>
        <v>-123.56111397111667</v>
      </c>
    </row>
    <row r="728" spans="6:20" x14ac:dyDescent="0.35">
      <c r="F728" s="1">
        <f t="shared" si="127"/>
        <v>14.49999999999978</v>
      </c>
      <c r="G728">
        <f>1/2*$B$8*$B$6*$B$7*(Tabelle2[[#This Row],[vx]]*Tabelle2[[#This Row],[vx]]+Tabelle2[[#This Row],[vy]]*Tabelle2[[#This Row],[vy]])/1000000</f>
        <v>16.130292923743003</v>
      </c>
      <c r="H728">
        <f>IF($B$3,-Tabelle2[[#This Row],[Fd]]*Tabelle2[[#This Row],[vx]]/Tabelle2[[#This Row],[v]],0)</f>
        <v>0</v>
      </c>
      <c r="I728">
        <f t="shared" si="121"/>
        <v>0</v>
      </c>
      <c r="J728">
        <f t="shared" si="122"/>
        <v>0</v>
      </c>
      <c r="K728">
        <f t="shared" si="123"/>
        <v>1.0467394398169905</v>
      </c>
      <c r="L728">
        <f>-$B$5*$B$12-IF($B$3,Tabelle2[[#This Row],[Fd]]*Tabelle2[[#This Row],[vy]]/Tabelle2[[#This Row],[v]],0)</f>
        <v>-14.715</v>
      </c>
      <c r="M728">
        <f t="shared" si="124"/>
        <v>-9.81</v>
      </c>
      <c r="N728">
        <f t="shared" si="125"/>
        <v>-0.19620000000000001</v>
      </c>
      <c r="O728">
        <f t="shared" si="126"/>
        <v>-1.5994065120880445</v>
      </c>
      <c r="P728" s="1">
        <f t="shared" si="128"/>
        <v>52.336971990849527</v>
      </c>
      <c r="Q728" s="1">
        <f t="shared" si="129"/>
        <v>-79.872225604402217</v>
      </c>
      <c r="R728">
        <f>SQRT(Tabelle2[[#This Row],[vx]]*Tabelle2[[#This Row],[vx]]+Tabelle2[[#This Row],[vy]]*Tabelle2[[#This Row],[vy]])</f>
        <v>95.492047104308597</v>
      </c>
      <c r="S728">
        <f t="shared" si="130"/>
        <v>758.88609386731173</v>
      </c>
      <c r="T728" s="1">
        <f t="shared" si="131"/>
        <v>-125.15659648320471</v>
      </c>
    </row>
    <row r="729" spans="6:20" x14ac:dyDescent="0.35">
      <c r="F729" s="1">
        <f t="shared" si="127"/>
        <v>14.519999999999779</v>
      </c>
      <c r="G729">
        <f>1/2*$B$8*$B$6*$B$7*(Tabelle2[[#This Row],[vx]]*Tabelle2[[#This Row],[vx]]+Tabelle2[[#This Row],[vy]]*Tabelle2[[#This Row],[vy]])/1000000</f>
        <v>16.18580221853804</v>
      </c>
      <c r="H729">
        <f>IF($B$3,-Tabelle2[[#This Row],[Fd]]*Tabelle2[[#This Row],[vx]]/Tabelle2[[#This Row],[v]],0)</f>
        <v>0</v>
      </c>
      <c r="I729">
        <f t="shared" si="121"/>
        <v>0</v>
      </c>
      <c r="J729">
        <f t="shared" si="122"/>
        <v>0</v>
      </c>
      <c r="K729">
        <f t="shared" si="123"/>
        <v>1.0467394398169905</v>
      </c>
      <c r="L729">
        <f>-$B$5*$B$12-IF($B$3,Tabelle2[[#This Row],[Fd]]*Tabelle2[[#This Row],[vy]]/Tabelle2[[#This Row],[v]],0)</f>
        <v>-14.715</v>
      </c>
      <c r="M729">
        <f t="shared" si="124"/>
        <v>-9.81</v>
      </c>
      <c r="N729">
        <f t="shared" si="125"/>
        <v>-0.19620000000000001</v>
      </c>
      <c r="O729">
        <f t="shared" si="126"/>
        <v>-1.6033305120880446</v>
      </c>
      <c r="P729" s="1">
        <f t="shared" si="128"/>
        <v>52.336971990849527</v>
      </c>
      <c r="Q729" s="1">
        <f t="shared" si="129"/>
        <v>-80.068425604402222</v>
      </c>
      <c r="R729">
        <f>SQRT(Tabelle2[[#This Row],[vx]]*Tabelle2[[#This Row],[vx]]+Tabelle2[[#This Row],[vy]]*Tabelle2[[#This Row],[vy]])</f>
        <v>95.656214727212898</v>
      </c>
      <c r="S729">
        <f t="shared" si="130"/>
        <v>759.9328333071287</v>
      </c>
      <c r="T729" s="1">
        <f t="shared" si="131"/>
        <v>-126.75600299529275</v>
      </c>
    </row>
    <row r="730" spans="6:20" x14ac:dyDescent="0.35">
      <c r="F730" s="1">
        <f t="shared" si="127"/>
        <v>14.539999999999779</v>
      </c>
      <c r="G730">
        <f>1/2*$B$8*$B$6*$B$7*(Tabelle2[[#This Row],[vx]]*Tabelle2[[#This Row],[vx]]+Tabelle2[[#This Row],[vy]]*Tabelle2[[#This Row],[vy]])/1000000</f>
        <v>16.241447700394414</v>
      </c>
      <c r="H730">
        <f>IF($B$3,-Tabelle2[[#This Row],[Fd]]*Tabelle2[[#This Row],[vx]]/Tabelle2[[#This Row],[v]],0)</f>
        <v>0</v>
      </c>
      <c r="I730">
        <f t="shared" si="121"/>
        <v>0</v>
      </c>
      <c r="J730">
        <f t="shared" si="122"/>
        <v>0</v>
      </c>
      <c r="K730">
        <f t="shared" si="123"/>
        <v>1.0467394398169905</v>
      </c>
      <c r="L730">
        <f>-$B$5*$B$12-IF($B$3,Tabelle2[[#This Row],[Fd]]*Tabelle2[[#This Row],[vy]]/Tabelle2[[#This Row],[v]],0)</f>
        <v>-14.715</v>
      </c>
      <c r="M730">
        <f t="shared" si="124"/>
        <v>-9.81</v>
      </c>
      <c r="N730">
        <f t="shared" si="125"/>
        <v>-0.19620000000000001</v>
      </c>
      <c r="O730">
        <f t="shared" si="126"/>
        <v>-1.6072545120880446</v>
      </c>
      <c r="P730" s="1">
        <f t="shared" si="128"/>
        <v>52.336971990849527</v>
      </c>
      <c r="Q730" s="1">
        <f t="shared" si="129"/>
        <v>-80.264625604402227</v>
      </c>
      <c r="R730">
        <f>SQRT(Tabelle2[[#This Row],[vx]]*Tabelle2[[#This Row],[vx]]+Tabelle2[[#This Row],[vy]]*Tabelle2[[#This Row],[vy]])</f>
        <v>95.820502819520982</v>
      </c>
      <c r="S730">
        <f t="shared" si="130"/>
        <v>760.97957274694568</v>
      </c>
      <c r="T730" s="1">
        <f t="shared" si="131"/>
        <v>-128.3593335073808</v>
      </c>
    </row>
    <row r="731" spans="6:20" x14ac:dyDescent="0.35">
      <c r="F731" s="1">
        <f t="shared" si="127"/>
        <v>14.559999999999778</v>
      </c>
      <c r="G731">
        <f>1/2*$B$8*$B$6*$B$7*(Tabelle2[[#This Row],[vx]]*Tabelle2[[#This Row],[vx]]+Tabelle2[[#This Row],[vy]]*Tabelle2[[#This Row],[vy]])/1000000</f>
        <v>16.297229369312138</v>
      </c>
      <c r="H731">
        <f>IF($B$3,-Tabelle2[[#This Row],[Fd]]*Tabelle2[[#This Row],[vx]]/Tabelle2[[#This Row],[v]],0)</f>
        <v>0</v>
      </c>
      <c r="I731">
        <f t="shared" si="121"/>
        <v>0</v>
      </c>
      <c r="J731">
        <f t="shared" si="122"/>
        <v>0</v>
      </c>
      <c r="K731">
        <f t="shared" si="123"/>
        <v>1.0467394398169905</v>
      </c>
      <c r="L731">
        <f>-$B$5*$B$12-IF($B$3,Tabelle2[[#This Row],[Fd]]*Tabelle2[[#This Row],[vy]]/Tabelle2[[#This Row],[v]],0)</f>
        <v>-14.715</v>
      </c>
      <c r="M731">
        <f t="shared" si="124"/>
        <v>-9.81</v>
      </c>
      <c r="N731">
        <f t="shared" si="125"/>
        <v>-0.19620000000000001</v>
      </c>
      <c r="O731">
        <f t="shared" si="126"/>
        <v>-1.6111785120880446</v>
      </c>
      <c r="P731" s="1">
        <f t="shared" si="128"/>
        <v>52.336971990849527</v>
      </c>
      <c r="Q731" s="1">
        <f t="shared" si="129"/>
        <v>-80.460825604402231</v>
      </c>
      <c r="R731">
        <f>SQRT(Tabelle2[[#This Row],[vx]]*Tabelle2[[#This Row],[vx]]+Tabelle2[[#This Row],[vy]]*Tabelle2[[#This Row],[vy]])</f>
        <v>95.984910762645384</v>
      </c>
      <c r="S731">
        <f t="shared" si="130"/>
        <v>762.02631218676265</v>
      </c>
      <c r="T731" s="1">
        <f t="shared" si="131"/>
        <v>-129.96658801946884</v>
      </c>
    </row>
    <row r="732" spans="6:20" x14ac:dyDescent="0.35">
      <c r="F732" s="1">
        <f t="shared" si="127"/>
        <v>14.579999999999778</v>
      </c>
      <c r="G732">
        <f>1/2*$B$8*$B$6*$B$7*(Tabelle2[[#This Row],[vx]]*Tabelle2[[#This Row],[vx]]+Tabelle2[[#This Row],[vy]]*Tabelle2[[#This Row],[vy]])/1000000</f>
        <v>16.353147225291202</v>
      </c>
      <c r="H732">
        <f>IF($B$3,-Tabelle2[[#This Row],[Fd]]*Tabelle2[[#This Row],[vx]]/Tabelle2[[#This Row],[v]],0)</f>
        <v>0</v>
      </c>
      <c r="I732">
        <f t="shared" si="121"/>
        <v>0</v>
      </c>
      <c r="J732">
        <f t="shared" si="122"/>
        <v>0</v>
      </c>
      <c r="K732">
        <f t="shared" si="123"/>
        <v>1.0467394398169905</v>
      </c>
      <c r="L732">
        <f>-$B$5*$B$12-IF($B$3,Tabelle2[[#This Row],[Fd]]*Tabelle2[[#This Row],[vy]]/Tabelle2[[#This Row],[v]],0)</f>
        <v>-14.715</v>
      </c>
      <c r="M732">
        <f t="shared" si="124"/>
        <v>-9.81</v>
      </c>
      <c r="N732">
        <f t="shared" si="125"/>
        <v>-0.19620000000000001</v>
      </c>
      <c r="O732">
        <f t="shared" si="126"/>
        <v>-1.6151025120880449</v>
      </c>
      <c r="P732" s="1">
        <f t="shared" si="128"/>
        <v>52.336971990849527</v>
      </c>
      <c r="Q732" s="1">
        <f t="shared" si="129"/>
        <v>-80.657025604402236</v>
      </c>
      <c r="R732">
        <f>SQRT(Tabelle2[[#This Row],[vx]]*Tabelle2[[#This Row],[vx]]+Tabelle2[[#This Row],[vy]]*Tabelle2[[#This Row],[vy]])</f>
        <v>96.149437941779809</v>
      </c>
      <c r="S732">
        <f t="shared" si="130"/>
        <v>763.07305162657963</v>
      </c>
      <c r="T732" s="1">
        <f t="shared" si="131"/>
        <v>-131.57776653155688</v>
      </c>
    </row>
    <row r="733" spans="6:20" x14ac:dyDescent="0.35">
      <c r="F733" s="1">
        <f t="shared" si="127"/>
        <v>14.599999999999778</v>
      </c>
      <c r="G733">
        <f>1/2*$B$8*$B$6*$B$7*(Tabelle2[[#This Row],[vx]]*Tabelle2[[#This Row],[vx]]+Tabelle2[[#This Row],[vy]]*Tabelle2[[#This Row],[vy]])/1000000</f>
        <v>16.409201268331611</v>
      </c>
      <c r="H733">
        <f>IF($B$3,-Tabelle2[[#This Row],[Fd]]*Tabelle2[[#This Row],[vx]]/Tabelle2[[#This Row],[v]],0)</f>
        <v>0</v>
      </c>
      <c r="I733">
        <f t="shared" si="121"/>
        <v>0</v>
      </c>
      <c r="J733">
        <f t="shared" si="122"/>
        <v>0</v>
      </c>
      <c r="K733">
        <f t="shared" si="123"/>
        <v>1.0467394398169905</v>
      </c>
      <c r="L733">
        <f>-$B$5*$B$12-IF($B$3,Tabelle2[[#This Row],[Fd]]*Tabelle2[[#This Row],[vy]]/Tabelle2[[#This Row],[v]],0)</f>
        <v>-14.715</v>
      </c>
      <c r="M733">
        <f t="shared" si="124"/>
        <v>-9.81</v>
      </c>
      <c r="N733">
        <f t="shared" si="125"/>
        <v>-0.19620000000000001</v>
      </c>
      <c r="O733">
        <f t="shared" si="126"/>
        <v>-1.6190265120880449</v>
      </c>
      <c r="P733" s="1">
        <f t="shared" si="128"/>
        <v>52.336971990849527</v>
      </c>
      <c r="Q733" s="1">
        <f t="shared" si="129"/>
        <v>-80.85322560440224</v>
      </c>
      <c r="R733">
        <f>SQRT(Tabelle2[[#This Row],[vx]]*Tabelle2[[#This Row],[vx]]+Tabelle2[[#This Row],[vy]]*Tabelle2[[#This Row],[vy]])</f>
        <v>96.314083745874541</v>
      </c>
      <c r="S733">
        <f t="shared" si="130"/>
        <v>764.1197910663966</v>
      </c>
      <c r="T733" s="1">
        <f t="shared" si="131"/>
        <v>-133.19286904364492</v>
      </c>
    </row>
    <row r="734" spans="6:20" x14ac:dyDescent="0.35">
      <c r="F734" s="1">
        <f t="shared" si="127"/>
        <v>14.619999999999777</v>
      </c>
      <c r="G734">
        <f>1/2*$B$8*$B$6*$B$7*(Tabelle2[[#This Row],[vx]]*Tabelle2[[#This Row],[vx]]+Tabelle2[[#This Row],[vy]]*Tabelle2[[#This Row],[vy]])/1000000</f>
        <v>16.465391498433366</v>
      </c>
      <c r="H734">
        <f>IF($B$3,-Tabelle2[[#This Row],[Fd]]*Tabelle2[[#This Row],[vx]]/Tabelle2[[#This Row],[v]],0)</f>
        <v>0</v>
      </c>
      <c r="I734">
        <f t="shared" si="121"/>
        <v>0</v>
      </c>
      <c r="J734">
        <f t="shared" si="122"/>
        <v>0</v>
      </c>
      <c r="K734">
        <f t="shared" si="123"/>
        <v>1.0467394398169905</v>
      </c>
      <c r="L734">
        <f>-$B$5*$B$12-IF($B$3,Tabelle2[[#This Row],[Fd]]*Tabelle2[[#This Row],[vy]]/Tabelle2[[#This Row],[v]],0)</f>
        <v>-14.715</v>
      </c>
      <c r="M734">
        <f t="shared" si="124"/>
        <v>-9.81</v>
      </c>
      <c r="N734">
        <f t="shared" si="125"/>
        <v>-0.19620000000000001</v>
      </c>
      <c r="O734">
        <f t="shared" si="126"/>
        <v>-1.622950512088045</v>
      </c>
      <c r="P734" s="1">
        <f t="shared" si="128"/>
        <v>52.336971990849527</v>
      </c>
      <c r="Q734" s="1">
        <f t="shared" si="129"/>
        <v>-81.049425604402245</v>
      </c>
      <c r="R734">
        <f>SQRT(Tabelle2[[#This Row],[vx]]*Tabelle2[[#This Row],[vx]]+Tabelle2[[#This Row],[vy]]*Tabelle2[[#This Row],[vy]])</f>
        <v>96.47884756761195</v>
      </c>
      <c r="S734">
        <f t="shared" si="130"/>
        <v>765.16653050621358</v>
      </c>
      <c r="T734" s="1">
        <f t="shared" si="131"/>
        <v>-134.81189555573297</v>
      </c>
    </row>
    <row r="735" spans="6:20" x14ac:dyDescent="0.35">
      <c r="F735" s="1">
        <f t="shared" si="127"/>
        <v>14.639999999999777</v>
      </c>
      <c r="G735">
        <f>1/2*$B$8*$B$6*$B$7*(Tabelle2[[#This Row],[vx]]*Tabelle2[[#This Row],[vx]]+Tabelle2[[#This Row],[vy]]*Tabelle2[[#This Row],[vy]])/1000000</f>
        <v>16.521717915596462</v>
      </c>
      <c r="H735">
        <f>IF($B$3,-Tabelle2[[#This Row],[Fd]]*Tabelle2[[#This Row],[vx]]/Tabelle2[[#This Row],[v]],0)</f>
        <v>0</v>
      </c>
      <c r="I735">
        <f t="shared" si="121"/>
        <v>0</v>
      </c>
      <c r="J735">
        <f t="shared" si="122"/>
        <v>0</v>
      </c>
      <c r="K735">
        <f t="shared" si="123"/>
        <v>1.0467394398169905</v>
      </c>
      <c r="L735">
        <f>-$B$5*$B$12-IF($B$3,Tabelle2[[#This Row],[Fd]]*Tabelle2[[#This Row],[vy]]/Tabelle2[[#This Row],[v]],0)</f>
        <v>-14.715</v>
      </c>
      <c r="M735">
        <f t="shared" si="124"/>
        <v>-9.81</v>
      </c>
      <c r="N735">
        <f t="shared" si="125"/>
        <v>-0.19620000000000001</v>
      </c>
      <c r="O735">
        <f t="shared" si="126"/>
        <v>-1.626874512088045</v>
      </c>
      <c r="P735" s="1">
        <f t="shared" si="128"/>
        <v>52.336971990849527</v>
      </c>
      <c r="Q735" s="1">
        <f t="shared" si="129"/>
        <v>-81.24562560440225</v>
      </c>
      <c r="R735">
        <f>SQRT(Tabelle2[[#This Row],[vx]]*Tabelle2[[#This Row],[vx]]+Tabelle2[[#This Row],[vy]]*Tabelle2[[#This Row],[vy]])</f>
        <v>96.643728803382118</v>
      </c>
      <c r="S735">
        <f t="shared" si="130"/>
        <v>766.21326994603055</v>
      </c>
      <c r="T735" s="1">
        <f t="shared" si="131"/>
        <v>-136.43484606782101</v>
      </c>
    </row>
    <row r="736" spans="6:20" x14ac:dyDescent="0.35">
      <c r="F736" s="1">
        <f t="shared" si="127"/>
        <v>14.659999999999776</v>
      </c>
      <c r="G736">
        <f>1/2*$B$8*$B$6*$B$7*(Tabelle2[[#This Row],[vx]]*Tabelle2[[#This Row],[vx]]+Tabelle2[[#This Row],[vy]]*Tabelle2[[#This Row],[vy]])/1000000</f>
        <v>16.578180519820908</v>
      </c>
      <c r="H736">
        <f>IF($B$3,-Tabelle2[[#This Row],[Fd]]*Tabelle2[[#This Row],[vx]]/Tabelle2[[#This Row],[v]],0)</f>
        <v>0</v>
      </c>
      <c r="I736">
        <f t="shared" si="121"/>
        <v>0</v>
      </c>
      <c r="J736">
        <f t="shared" si="122"/>
        <v>0</v>
      </c>
      <c r="K736">
        <f t="shared" si="123"/>
        <v>1.0467394398169905</v>
      </c>
      <c r="L736">
        <f>-$B$5*$B$12-IF($B$3,Tabelle2[[#This Row],[Fd]]*Tabelle2[[#This Row],[vy]]/Tabelle2[[#This Row],[v]],0)</f>
        <v>-14.715</v>
      </c>
      <c r="M736">
        <f t="shared" si="124"/>
        <v>-9.81</v>
      </c>
      <c r="N736">
        <f t="shared" si="125"/>
        <v>-0.19620000000000001</v>
      </c>
      <c r="O736">
        <f t="shared" si="126"/>
        <v>-1.6307985120880453</v>
      </c>
      <c r="P736" s="1">
        <f t="shared" si="128"/>
        <v>52.336971990849527</v>
      </c>
      <c r="Q736" s="1">
        <f t="shared" si="129"/>
        <v>-81.441825604402254</v>
      </c>
      <c r="R736">
        <f>SQRT(Tabelle2[[#This Row],[vx]]*Tabelle2[[#This Row],[vx]]+Tabelle2[[#This Row],[vy]]*Tabelle2[[#This Row],[vy]])</f>
        <v>96.808726853258634</v>
      </c>
      <c r="S736">
        <f t="shared" si="130"/>
        <v>767.26000938584752</v>
      </c>
      <c r="T736" s="1">
        <f t="shared" si="131"/>
        <v>-138.06172057990906</v>
      </c>
    </row>
    <row r="737" spans="6:20" x14ac:dyDescent="0.35">
      <c r="F737" s="1">
        <f t="shared" si="127"/>
        <v>14.679999999999776</v>
      </c>
      <c r="G737">
        <f>1/2*$B$8*$B$6*$B$7*(Tabelle2[[#This Row],[vx]]*Tabelle2[[#This Row],[vx]]+Tabelle2[[#This Row],[vy]]*Tabelle2[[#This Row],[vy]])/1000000</f>
        <v>16.634779311106691</v>
      </c>
      <c r="H737">
        <f>IF($B$3,-Tabelle2[[#This Row],[Fd]]*Tabelle2[[#This Row],[vx]]/Tabelle2[[#This Row],[v]],0)</f>
        <v>0</v>
      </c>
      <c r="I737">
        <f t="shared" si="121"/>
        <v>0</v>
      </c>
      <c r="J737">
        <f t="shared" si="122"/>
        <v>0</v>
      </c>
      <c r="K737">
        <f t="shared" si="123"/>
        <v>1.0467394398169905</v>
      </c>
      <c r="L737">
        <f>-$B$5*$B$12-IF($B$3,Tabelle2[[#This Row],[Fd]]*Tabelle2[[#This Row],[vy]]/Tabelle2[[#This Row],[v]],0)</f>
        <v>-14.715</v>
      </c>
      <c r="M737">
        <f t="shared" si="124"/>
        <v>-9.81</v>
      </c>
      <c r="N737">
        <f t="shared" si="125"/>
        <v>-0.19620000000000001</v>
      </c>
      <c r="O737">
        <f t="shared" si="126"/>
        <v>-1.6347225120880453</v>
      </c>
      <c r="P737" s="1">
        <f t="shared" si="128"/>
        <v>52.336971990849527</v>
      </c>
      <c r="Q737" s="1">
        <f t="shared" si="129"/>
        <v>-81.638025604402259</v>
      </c>
      <c r="R737">
        <f>SQRT(Tabelle2[[#This Row],[vx]]*Tabelle2[[#This Row],[vx]]+Tabelle2[[#This Row],[vy]]*Tabelle2[[#This Row],[vy]])</f>
        <v>96.973841120974512</v>
      </c>
      <c r="S737">
        <f t="shared" si="130"/>
        <v>768.3067488256645</v>
      </c>
      <c r="T737" s="1">
        <f t="shared" si="131"/>
        <v>-139.6925190919971</v>
      </c>
    </row>
    <row r="738" spans="6:20" x14ac:dyDescent="0.35">
      <c r="F738" s="1">
        <f t="shared" si="127"/>
        <v>14.699999999999775</v>
      </c>
      <c r="G738">
        <f>1/2*$B$8*$B$6*$B$7*(Tabelle2[[#This Row],[vx]]*Tabelle2[[#This Row],[vx]]+Tabelle2[[#This Row],[vy]]*Tabelle2[[#This Row],[vy]])/1000000</f>
        <v>16.691514289453821</v>
      </c>
      <c r="H738">
        <f>IF($B$3,-Tabelle2[[#This Row],[Fd]]*Tabelle2[[#This Row],[vx]]/Tabelle2[[#This Row],[v]],0)</f>
        <v>0</v>
      </c>
      <c r="I738">
        <f t="shared" si="121"/>
        <v>0</v>
      </c>
      <c r="J738">
        <f t="shared" si="122"/>
        <v>0</v>
      </c>
      <c r="K738">
        <f t="shared" si="123"/>
        <v>1.0467394398169905</v>
      </c>
      <c r="L738">
        <f>-$B$5*$B$12-IF($B$3,Tabelle2[[#This Row],[Fd]]*Tabelle2[[#This Row],[vy]]/Tabelle2[[#This Row],[v]],0)</f>
        <v>-14.715</v>
      </c>
      <c r="M738">
        <f t="shared" si="124"/>
        <v>-9.81</v>
      </c>
      <c r="N738">
        <f t="shared" si="125"/>
        <v>-0.19620000000000001</v>
      </c>
      <c r="O738">
        <f t="shared" si="126"/>
        <v>-1.6386465120880453</v>
      </c>
      <c r="P738" s="1">
        <f t="shared" si="128"/>
        <v>52.336971990849527</v>
      </c>
      <c r="Q738" s="1">
        <f t="shared" si="129"/>
        <v>-81.834225604402263</v>
      </c>
      <c r="R738">
        <f>SQRT(Tabelle2[[#This Row],[vx]]*Tabelle2[[#This Row],[vx]]+Tabelle2[[#This Row],[vy]]*Tabelle2[[#This Row],[vy]])</f>
        <v>97.139071013898288</v>
      </c>
      <c r="S738">
        <f t="shared" si="130"/>
        <v>769.35348826548147</v>
      </c>
      <c r="T738" s="1">
        <f t="shared" si="131"/>
        <v>-141.32724160408515</v>
      </c>
    </row>
    <row r="739" spans="6:20" x14ac:dyDescent="0.35">
      <c r="F739" s="1">
        <f t="shared" si="127"/>
        <v>14.719999999999775</v>
      </c>
      <c r="G739">
        <f>1/2*$B$8*$B$6*$B$7*(Tabelle2[[#This Row],[vx]]*Tabelle2[[#This Row],[vx]]+Tabelle2[[#This Row],[vy]]*Tabelle2[[#This Row],[vy]])/1000000</f>
        <v>16.748385454862294</v>
      </c>
      <c r="H739">
        <f>IF($B$3,-Tabelle2[[#This Row],[Fd]]*Tabelle2[[#This Row],[vx]]/Tabelle2[[#This Row],[v]],0)</f>
        <v>0</v>
      </c>
      <c r="I739">
        <f t="shared" si="121"/>
        <v>0</v>
      </c>
      <c r="J739">
        <f t="shared" si="122"/>
        <v>0</v>
      </c>
      <c r="K739">
        <f t="shared" si="123"/>
        <v>1.0467394398169905</v>
      </c>
      <c r="L739">
        <f>-$B$5*$B$12-IF($B$3,Tabelle2[[#This Row],[Fd]]*Tabelle2[[#This Row],[vy]]/Tabelle2[[#This Row],[v]],0)</f>
        <v>-14.715</v>
      </c>
      <c r="M739">
        <f t="shared" si="124"/>
        <v>-9.81</v>
      </c>
      <c r="N739">
        <f t="shared" si="125"/>
        <v>-0.19620000000000001</v>
      </c>
      <c r="O739">
        <f t="shared" si="126"/>
        <v>-1.6425705120880454</v>
      </c>
      <c r="P739" s="1">
        <f t="shared" si="128"/>
        <v>52.336971990849527</v>
      </c>
      <c r="Q739" s="1">
        <f t="shared" si="129"/>
        <v>-82.030425604402268</v>
      </c>
      <c r="R739">
        <f>SQRT(Tabelle2[[#This Row],[vx]]*Tabelle2[[#This Row],[vx]]+Tabelle2[[#This Row],[vy]]*Tabelle2[[#This Row],[vy]])</f>
        <v>97.304415943010227</v>
      </c>
      <c r="S739">
        <f t="shared" si="130"/>
        <v>770.40022770529845</v>
      </c>
      <c r="T739" s="1">
        <f t="shared" si="131"/>
        <v>-142.9658881161732</v>
      </c>
    </row>
    <row r="740" spans="6:20" x14ac:dyDescent="0.35">
      <c r="F740" s="1">
        <f t="shared" si="127"/>
        <v>14.739999999999775</v>
      </c>
      <c r="G740">
        <f>1/2*$B$8*$B$6*$B$7*(Tabelle2[[#This Row],[vx]]*Tabelle2[[#This Row],[vx]]+Tabelle2[[#This Row],[vy]]*Tabelle2[[#This Row],[vy]])/1000000</f>
        <v>16.805392807332112</v>
      </c>
      <c r="H740">
        <f>IF($B$3,-Tabelle2[[#This Row],[Fd]]*Tabelle2[[#This Row],[vx]]/Tabelle2[[#This Row],[v]],0)</f>
        <v>0</v>
      </c>
      <c r="I740">
        <f t="shared" si="121"/>
        <v>0</v>
      </c>
      <c r="J740">
        <f t="shared" si="122"/>
        <v>0</v>
      </c>
      <c r="K740">
        <f t="shared" si="123"/>
        <v>1.0467394398169905</v>
      </c>
      <c r="L740">
        <f>-$B$5*$B$12-IF($B$3,Tabelle2[[#This Row],[Fd]]*Tabelle2[[#This Row],[vy]]/Tabelle2[[#This Row],[v]],0)</f>
        <v>-14.715</v>
      </c>
      <c r="M740">
        <f t="shared" si="124"/>
        <v>-9.81</v>
      </c>
      <c r="N740">
        <f t="shared" si="125"/>
        <v>-0.19620000000000001</v>
      </c>
      <c r="O740">
        <f t="shared" si="126"/>
        <v>-1.6464945120880454</v>
      </c>
      <c r="P740" s="1">
        <f t="shared" si="128"/>
        <v>52.336971990849527</v>
      </c>
      <c r="Q740" s="1">
        <f t="shared" si="129"/>
        <v>-82.226625604402273</v>
      </c>
      <c r="R740">
        <f>SQRT(Tabelle2[[#This Row],[vx]]*Tabelle2[[#This Row],[vx]]+Tabelle2[[#This Row],[vy]]*Tabelle2[[#This Row],[vy]])</f>
        <v>97.469875322878664</v>
      </c>
      <c r="S740">
        <f t="shared" si="130"/>
        <v>771.44696714511542</v>
      </c>
      <c r="T740" s="1">
        <f t="shared" si="131"/>
        <v>-144.60845862826125</v>
      </c>
    </row>
    <row r="741" spans="6:20" x14ac:dyDescent="0.35">
      <c r="F741" s="1">
        <f t="shared" si="127"/>
        <v>14.759999999999774</v>
      </c>
      <c r="G741">
        <f>1/2*$B$8*$B$6*$B$7*(Tabelle2[[#This Row],[vx]]*Tabelle2[[#This Row],[vx]]+Tabelle2[[#This Row],[vy]]*Tabelle2[[#This Row],[vy]])/1000000</f>
        <v>16.862536346863273</v>
      </c>
      <c r="H741">
        <f>IF($B$3,-Tabelle2[[#This Row],[Fd]]*Tabelle2[[#This Row],[vx]]/Tabelle2[[#This Row],[v]],0)</f>
        <v>0</v>
      </c>
      <c r="I741">
        <f t="shared" si="121"/>
        <v>0</v>
      </c>
      <c r="J741">
        <f t="shared" si="122"/>
        <v>0</v>
      </c>
      <c r="K741">
        <f t="shared" si="123"/>
        <v>1.0467394398169905</v>
      </c>
      <c r="L741">
        <f>-$B$5*$B$12-IF($B$3,Tabelle2[[#This Row],[Fd]]*Tabelle2[[#This Row],[vy]]/Tabelle2[[#This Row],[v]],0)</f>
        <v>-14.715</v>
      </c>
      <c r="M741">
        <f t="shared" si="124"/>
        <v>-9.81</v>
      </c>
      <c r="N741">
        <f t="shared" si="125"/>
        <v>-0.19620000000000001</v>
      </c>
      <c r="O741">
        <f t="shared" si="126"/>
        <v>-1.6504185120880457</v>
      </c>
      <c r="P741" s="1">
        <f t="shared" si="128"/>
        <v>52.336971990849527</v>
      </c>
      <c r="Q741" s="1">
        <f t="shared" si="129"/>
        <v>-82.422825604402277</v>
      </c>
      <c r="R741">
        <f>SQRT(Tabelle2[[#This Row],[vx]]*Tabelle2[[#This Row],[vx]]+Tabelle2[[#This Row],[vy]]*Tabelle2[[#This Row],[vy]])</f>
        <v>97.635448571636516</v>
      </c>
      <c r="S741">
        <f t="shared" si="130"/>
        <v>772.4937065849324</v>
      </c>
      <c r="T741" s="1">
        <f t="shared" si="131"/>
        <v>-146.2549531403493</v>
      </c>
    </row>
    <row r="742" spans="6:20" x14ac:dyDescent="0.35">
      <c r="F742" s="1">
        <f t="shared" si="127"/>
        <v>14.779999999999774</v>
      </c>
      <c r="G742">
        <f>1/2*$B$8*$B$6*$B$7*(Tabelle2[[#This Row],[vx]]*Tabelle2[[#This Row],[vx]]+Tabelle2[[#This Row],[vy]]*Tabelle2[[#This Row],[vy]])/1000000</f>
        <v>16.919816073455781</v>
      </c>
      <c r="H742">
        <f>IF($B$3,-Tabelle2[[#This Row],[Fd]]*Tabelle2[[#This Row],[vx]]/Tabelle2[[#This Row],[v]],0)</f>
        <v>0</v>
      </c>
      <c r="I742">
        <f t="shared" si="121"/>
        <v>0</v>
      </c>
      <c r="J742">
        <f t="shared" si="122"/>
        <v>0</v>
      </c>
      <c r="K742">
        <f t="shared" si="123"/>
        <v>1.0467394398169905</v>
      </c>
      <c r="L742">
        <f>-$B$5*$B$12-IF($B$3,Tabelle2[[#This Row],[Fd]]*Tabelle2[[#This Row],[vy]]/Tabelle2[[#This Row],[v]],0)</f>
        <v>-14.715</v>
      </c>
      <c r="M742">
        <f t="shared" si="124"/>
        <v>-9.81</v>
      </c>
      <c r="N742">
        <f t="shared" si="125"/>
        <v>-0.19620000000000001</v>
      </c>
      <c r="O742">
        <f t="shared" si="126"/>
        <v>-1.6543425120880457</v>
      </c>
      <c r="P742" s="1">
        <f t="shared" si="128"/>
        <v>52.336971990849527</v>
      </c>
      <c r="Q742" s="1">
        <f t="shared" si="129"/>
        <v>-82.619025604402282</v>
      </c>
      <c r="R742">
        <f>SQRT(Tabelle2[[#This Row],[vx]]*Tabelle2[[#This Row],[vx]]+Tabelle2[[#This Row],[vy]]*Tabelle2[[#This Row],[vy]])</f>
        <v>97.801135110957929</v>
      </c>
      <c r="S742">
        <f t="shared" si="130"/>
        <v>773.54044602474937</v>
      </c>
      <c r="T742" s="1">
        <f t="shared" si="131"/>
        <v>-147.90537165243734</v>
      </c>
    </row>
    <row r="743" spans="6:20" x14ac:dyDescent="0.35">
      <c r="F743" s="1">
        <f t="shared" si="127"/>
        <v>14.799999999999773</v>
      </c>
      <c r="G743">
        <f>1/2*$B$8*$B$6*$B$7*(Tabelle2[[#This Row],[vx]]*Tabelle2[[#This Row],[vx]]+Tabelle2[[#This Row],[vy]]*Tabelle2[[#This Row],[vy]])/1000000</f>
        <v>16.977231987109633</v>
      </c>
      <c r="H743">
        <f>IF($B$3,-Tabelle2[[#This Row],[Fd]]*Tabelle2[[#This Row],[vx]]/Tabelle2[[#This Row],[v]],0)</f>
        <v>0</v>
      </c>
      <c r="I743">
        <f t="shared" si="121"/>
        <v>0</v>
      </c>
      <c r="J743">
        <f t="shared" si="122"/>
        <v>0</v>
      </c>
      <c r="K743">
        <f t="shared" si="123"/>
        <v>1.0467394398169905</v>
      </c>
      <c r="L743">
        <f>-$B$5*$B$12-IF($B$3,Tabelle2[[#This Row],[Fd]]*Tabelle2[[#This Row],[vy]]/Tabelle2[[#This Row],[v]],0)</f>
        <v>-14.715</v>
      </c>
      <c r="M743">
        <f t="shared" si="124"/>
        <v>-9.81</v>
      </c>
      <c r="N743">
        <f t="shared" si="125"/>
        <v>-0.19620000000000001</v>
      </c>
      <c r="O743">
        <f t="shared" si="126"/>
        <v>-1.6582665120880458</v>
      </c>
      <c r="P743" s="1">
        <f t="shared" si="128"/>
        <v>52.336971990849527</v>
      </c>
      <c r="Q743" s="1">
        <f t="shared" si="129"/>
        <v>-82.815225604402286</v>
      </c>
      <c r="R743">
        <f>SQRT(Tabelle2[[#This Row],[vx]]*Tabelle2[[#This Row],[vx]]+Tabelle2[[#This Row],[vy]]*Tabelle2[[#This Row],[vy]])</f>
        <v>97.966934366035034</v>
      </c>
      <c r="S743">
        <f t="shared" si="130"/>
        <v>774.58718546456635</v>
      </c>
      <c r="T743" s="1">
        <f t="shared" si="131"/>
        <v>-149.55971416452539</v>
      </c>
    </row>
    <row r="744" spans="6:20" x14ac:dyDescent="0.35">
      <c r="F744" s="1">
        <f t="shared" si="127"/>
        <v>14.819999999999773</v>
      </c>
      <c r="G744">
        <f>1/2*$B$8*$B$6*$B$7*(Tabelle2[[#This Row],[vx]]*Tabelle2[[#This Row],[vx]]+Tabelle2[[#This Row],[vy]]*Tabelle2[[#This Row],[vy]])/1000000</f>
        <v>17.034784087824821</v>
      </c>
      <c r="H744">
        <f>IF($B$3,-Tabelle2[[#This Row],[Fd]]*Tabelle2[[#This Row],[vx]]/Tabelle2[[#This Row],[v]],0)</f>
        <v>0</v>
      </c>
      <c r="I744">
        <f t="shared" si="121"/>
        <v>0</v>
      </c>
      <c r="J744">
        <f t="shared" si="122"/>
        <v>0</v>
      </c>
      <c r="K744">
        <f t="shared" si="123"/>
        <v>1.0467394398169905</v>
      </c>
      <c r="L744">
        <f>-$B$5*$B$12-IF($B$3,Tabelle2[[#This Row],[Fd]]*Tabelle2[[#This Row],[vy]]/Tabelle2[[#This Row],[v]],0)</f>
        <v>-14.715</v>
      </c>
      <c r="M744">
        <f t="shared" si="124"/>
        <v>-9.81</v>
      </c>
      <c r="N744">
        <f t="shared" si="125"/>
        <v>-0.19620000000000001</v>
      </c>
      <c r="O744">
        <f t="shared" si="126"/>
        <v>-1.6621905120880458</v>
      </c>
      <c r="P744" s="1">
        <f t="shared" si="128"/>
        <v>52.336971990849527</v>
      </c>
      <c r="Q744" s="1">
        <f t="shared" si="129"/>
        <v>-83.011425604402291</v>
      </c>
      <c r="R744">
        <f>SQRT(Tabelle2[[#This Row],[vx]]*Tabelle2[[#This Row],[vx]]+Tabelle2[[#This Row],[vy]]*Tabelle2[[#This Row],[vy]])</f>
        <v>98.13284576555489</v>
      </c>
      <c r="S744">
        <f t="shared" si="130"/>
        <v>775.63392490438332</v>
      </c>
      <c r="T744" s="1">
        <f t="shared" si="131"/>
        <v>-151.21798067661342</v>
      </c>
    </row>
    <row r="745" spans="6:20" x14ac:dyDescent="0.35">
      <c r="F745" s="1">
        <f t="shared" si="127"/>
        <v>14.839999999999772</v>
      </c>
      <c r="G745">
        <f>1/2*$B$8*$B$6*$B$7*(Tabelle2[[#This Row],[vx]]*Tabelle2[[#This Row],[vx]]+Tabelle2[[#This Row],[vy]]*Tabelle2[[#This Row],[vy]])/1000000</f>
        <v>17.092472375601357</v>
      </c>
      <c r="H745">
        <f>IF($B$3,-Tabelle2[[#This Row],[Fd]]*Tabelle2[[#This Row],[vx]]/Tabelle2[[#This Row],[v]],0)</f>
        <v>0</v>
      </c>
      <c r="I745">
        <f t="shared" si="121"/>
        <v>0</v>
      </c>
      <c r="J745">
        <f t="shared" si="122"/>
        <v>0</v>
      </c>
      <c r="K745">
        <f t="shared" si="123"/>
        <v>1.0467394398169905</v>
      </c>
      <c r="L745">
        <f>-$B$5*$B$12-IF($B$3,Tabelle2[[#This Row],[Fd]]*Tabelle2[[#This Row],[vy]]/Tabelle2[[#This Row],[v]],0)</f>
        <v>-14.715</v>
      </c>
      <c r="M745">
        <f t="shared" si="124"/>
        <v>-9.81</v>
      </c>
      <c r="N745">
        <f t="shared" si="125"/>
        <v>-0.19620000000000001</v>
      </c>
      <c r="O745">
        <f t="shared" si="126"/>
        <v>-1.6661145120880461</v>
      </c>
      <c r="P745" s="1">
        <f t="shared" si="128"/>
        <v>52.336971990849527</v>
      </c>
      <c r="Q745" s="1">
        <f t="shared" si="129"/>
        <v>-83.207625604402295</v>
      </c>
      <c r="R745">
        <f>SQRT(Tabelle2[[#This Row],[vx]]*Tabelle2[[#This Row],[vx]]+Tabelle2[[#This Row],[vy]]*Tabelle2[[#This Row],[vy]])</f>
        <v>98.298868741676529</v>
      </c>
      <c r="S745">
        <f t="shared" si="130"/>
        <v>776.6806643442003</v>
      </c>
      <c r="T745" s="1">
        <f t="shared" si="131"/>
        <v>-152.88017118870147</v>
      </c>
    </row>
    <row r="746" spans="6:20" x14ac:dyDescent="0.35">
      <c r="F746" s="1">
        <f t="shared" si="127"/>
        <v>14.859999999999772</v>
      </c>
      <c r="G746">
        <f>1/2*$B$8*$B$6*$B$7*(Tabelle2[[#This Row],[vx]]*Tabelle2[[#This Row],[vx]]+Tabelle2[[#This Row],[vy]]*Tabelle2[[#This Row],[vy]])/1000000</f>
        <v>17.150296850439243</v>
      </c>
      <c r="H746">
        <f>IF($B$3,-Tabelle2[[#This Row],[Fd]]*Tabelle2[[#This Row],[vx]]/Tabelle2[[#This Row],[v]],0)</f>
        <v>0</v>
      </c>
      <c r="I746">
        <f t="shared" si="121"/>
        <v>0</v>
      </c>
      <c r="J746">
        <f t="shared" si="122"/>
        <v>0</v>
      </c>
      <c r="K746">
        <f t="shared" si="123"/>
        <v>1.0467394398169905</v>
      </c>
      <c r="L746">
        <f>-$B$5*$B$12-IF($B$3,Tabelle2[[#This Row],[Fd]]*Tabelle2[[#This Row],[vy]]/Tabelle2[[#This Row],[v]],0)</f>
        <v>-14.715</v>
      </c>
      <c r="M746">
        <f t="shared" si="124"/>
        <v>-9.81</v>
      </c>
      <c r="N746">
        <f t="shared" si="125"/>
        <v>-0.19620000000000001</v>
      </c>
      <c r="O746">
        <f t="shared" si="126"/>
        <v>-1.6700385120880461</v>
      </c>
      <c r="P746" s="1">
        <f t="shared" si="128"/>
        <v>52.336971990849527</v>
      </c>
      <c r="Q746" s="1">
        <f t="shared" si="129"/>
        <v>-83.4038256044023</v>
      </c>
      <c r="R746">
        <f>SQRT(Tabelle2[[#This Row],[vx]]*Tabelle2[[#This Row],[vx]]+Tabelle2[[#This Row],[vy]]*Tabelle2[[#This Row],[vy]])</f>
        <v>98.465002730008194</v>
      </c>
      <c r="S746">
        <f t="shared" si="130"/>
        <v>777.72740378401727</v>
      </c>
      <c r="T746" s="1">
        <f t="shared" si="131"/>
        <v>-154.54628570078953</v>
      </c>
    </row>
    <row r="747" spans="6:20" x14ac:dyDescent="0.35">
      <c r="F747" s="1">
        <f t="shared" si="127"/>
        <v>14.879999999999772</v>
      </c>
      <c r="G747">
        <f>1/2*$B$8*$B$6*$B$7*(Tabelle2[[#This Row],[vx]]*Tabelle2[[#This Row],[vx]]+Tabelle2[[#This Row],[vy]]*Tabelle2[[#This Row],[vy]])/1000000</f>
        <v>17.20825751233847</v>
      </c>
      <c r="H747">
        <f>IF($B$3,-Tabelle2[[#This Row],[Fd]]*Tabelle2[[#This Row],[vx]]/Tabelle2[[#This Row],[v]],0)</f>
        <v>0</v>
      </c>
      <c r="I747">
        <f t="shared" si="121"/>
        <v>0</v>
      </c>
      <c r="J747">
        <f t="shared" si="122"/>
        <v>0</v>
      </c>
      <c r="K747">
        <f t="shared" si="123"/>
        <v>1.0467394398169905</v>
      </c>
      <c r="L747">
        <f>-$B$5*$B$12-IF($B$3,Tabelle2[[#This Row],[Fd]]*Tabelle2[[#This Row],[vy]]/Tabelle2[[#This Row],[v]],0)</f>
        <v>-14.715</v>
      </c>
      <c r="M747">
        <f t="shared" si="124"/>
        <v>-9.81</v>
      </c>
      <c r="N747">
        <f t="shared" si="125"/>
        <v>-0.19620000000000001</v>
      </c>
      <c r="O747">
        <f t="shared" si="126"/>
        <v>-1.6739625120880461</v>
      </c>
      <c r="P747" s="1">
        <f t="shared" si="128"/>
        <v>52.336971990849527</v>
      </c>
      <c r="Q747" s="1">
        <f t="shared" si="129"/>
        <v>-83.600025604402305</v>
      </c>
      <c r="R747">
        <f>SQRT(Tabelle2[[#This Row],[vx]]*Tabelle2[[#This Row],[vx]]+Tabelle2[[#This Row],[vy]]*Tabelle2[[#This Row],[vy]])</f>
        <v>98.631247169584597</v>
      </c>
      <c r="S747">
        <f t="shared" si="130"/>
        <v>778.77414322383424</v>
      </c>
      <c r="T747" s="1">
        <f t="shared" si="131"/>
        <v>-156.21632421287757</v>
      </c>
    </row>
    <row r="748" spans="6:20" x14ac:dyDescent="0.35">
      <c r="F748" s="1">
        <f t="shared" si="127"/>
        <v>14.899999999999771</v>
      </c>
      <c r="G748">
        <f>1/2*$B$8*$B$6*$B$7*(Tabelle2[[#This Row],[vx]]*Tabelle2[[#This Row],[vx]]+Tabelle2[[#This Row],[vy]]*Tabelle2[[#This Row],[vy]])/1000000</f>
        <v>17.266354361299037</v>
      </c>
      <c r="H748">
        <f>IF($B$3,-Tabelle2[[#This Row],[Fd]]*Tabelle2[[#This Row],[vx]]/Tabelle2[[#This Row],[v]],0)</f>
        <v>0</v>
      </c>
      <c r="I748">
        <f t="shared" si="121"/>
        <v>0</v>
      </c>
      <c r="J748">
        <f t="shared" si="122"/>
        <v>0</v>
      </c>
      <c r="K748">
        <f t="shared" si="123"/>
        <v>1.0467394398169905</v>
      </c>
      <c r="L748">
        <f>-$B$5*$B$12-IF($B$3,Tabelle2[[#This Row],[Fd]]*Tabelle2[[#This Row],[vy]]/Tabelle2[[#This Row],[v]],0)</f>
        <v>-14.715</v>
      </c>
      <c r="M748">
        <f t="shared" si="124"/>
        <v>-9.81</v>
      </c>
      <c r="N748">
        <f t="shared" si="125"/>
        <v>-0.19620000000000001</v>
      </c>
      <c r="O748">
        <f t="shared" si="126"/>
        <v>-1.6778865120880462</v>
      </c>
      <c r="P748" s="1">
        <f t="shared" si="128"/>
        <v>52.336971990849527</v>
      </c>
      <c r="Q748" s="1">
        <f t="shared" si="129"/>
        <v>-83.796225604402309</v>
      </c>
      <c r="R748">
        <f>SQRT(Tabelle2[[#This Row],[vx]]*Tabelle2[[#This Row],[vx]]+Tabelle2[[#This Row],[vy]]*Tabelle2[[#This Row],[vy]])</f>
        <v>98.797601502844472</v>
      </c>
      <c r="S748">
        <f t="shared" si="130"/>
        <v>779.82088266365122</v>
      </c>
      <c r="T748" s="1">
        <f t="shared" si="131"/>
        <v>-157.89028672496562</v>
      </c>
    </row>
    <row r="749" spans="6:20" x14ac:dyDescent="0.35">
      <c r="F749" s="1">
        <f t="shared" si="127"/>
        <v>14.919999999999771</v>
      </c>
      <c r="G749">
        <f>1/2*$B$8*$B$6*$B$7*(Tabelle2[[#This Row],[vx]]*Tabelle2[[#This Row],[vx]]+Tabelle2[[#This Row],[vy]]*Tabelle2[[#This Row],[vy]])/1000000</f>
        <v>17.324587397320951</v>
      </c>
      <c r="H749">
        <f>IF($B$3,-Tabelle2[[#This Row],[Fd]]*Tabelle2[[#This Row],[vx]]/Tabelle2[[#This Row],[v]],0)</f>
        <v>0</v>
      </c>
      <c r="I749">
        <f t="shared" si="121"/>
        <v>0</v>
      </c>
      <c r="J749">
        <f t="shared" si="122"/>
        <v>0</v>
      </c>
      <c r="K749">
        <f t="shared" si="123"/>
        <v>1.0467394398169905</v>
      </c>
      <c r="L749">
        <f>-$B$5*$B$12-IF($B$3,Tabelle2[[#This Row],[Fd]]*Tabelle2[[#This Row],[vy]]/Tabelle2[[#This Row],[v]],0)</f>
        <v>-14.715</v>
      </c>
      <c r="M749">
        <f t="shared" si="124"/>
        <v>-9.81</v>
      </c>
      <c r="N749">
        <f t="shared" si="125"/>
        <v>-0.19620000000000001</v>
      </c>
      <c r="O749">
        <f t="shared" si="126"/>
        <v>-1.6818105120880464</v>
      </c>
      <c r="P749" s="1">
        <f t="shared" si="128"/>
        <v>52.336971990849527</v>
      </c>
      <c r="Q749" s="1">
        <f t="shared" si="129"/>
        <v>-83.992425604402314</v>
      </c>
      <c r="R749">
        <f>SQRT(Tabelle2[[#This Row],[vx]]*Tabelle2[[#This Row],[vx]]+Tabelle2[[#This Row],[vy]]*Tabelle2[[#This Row],[vy]])</f>
        <v>98.964065175608184</v>
      </c>
      <c r="S749">
        <f t="shared" si="130"/>
        <v>780.86762210346819</v>
      </c>
      <c r="T749" s="1">
        <f t="shared" si="131"/>
        <v>-159.56817323705366</v>
      </c>
    </row>
    <row r="750" spans="6:20" x14ac:dyDescent="0.35">
      <c r="F750" s="1">
        <f t="shared" si="127"/>
        <v>14.93999999999977</v>
      </c>
      <c r="G750">
        <f>1/2*$B$8*$B$6*$B$7*(Tabelle2[[#This Row],[vx]]*Tabelle2[[#This Row],[vx]]+Tabelle2[[#This Row],[vy]]*Tabelle2[[#This Row],[vy]])/1000000</f>
        <v>17.382956620404212</v>
      </c>
      <c r="H750">
        <f>IF($B$3,-Tabelle2[[#This Row],[Fd]]*Tabelle2[[#This Row],[vx]]/Tabelle2[[#This Row],[v]],0)</f>
        <v>0</v>
      </c>
      <c r="I750">
        <f t="shared" si="121"/>
        <v>0</v>
      </c>
      <c r="J750">
        <f t="shared" si="122"/>
        <v>0</v>
      </c>
      <c r="K750">
        <f t="shared" si="123"/>
        <v>1.0467394398169905</v>
      </c>
      <c r="L750">
        <f>-$B$5*$B$12-IF($B$3,Tabelle2[[#This Row],[Fd]]*Tabelle2[[#This Row],[vy]]/Tabelle2[[#This Row],[v]],0)</f>
        <v>-14.715</v>
      </c>
      <c r="M750">
        <f t="shared" si="124"/>
        <v>-9.81</v>
      </c>
      <c r="N750">
        <f t="shared" si="125"/>
        <v>-0.19620000000000001</v>
      </c>
      <c r="O750">
        <f t="shared" si="126"/>
        <v>-1.6857345120880465</v>
      </c>
      <c r="P750" s="1">
        <f t="shared" si="128"/>
        <v>52.336971990849527</v>
      </c>
      <c r="Q750" s="1">
        <f t="shared" si="129"/>
        <v>-84.188625604402318</v>
      </c>
      <c r="R750">
        <f>SQRT(Tabelle2[[#This Row],[vx]]*Tabelle2[[#This Row],[vx]]+Tabelle2[[#This Row],[vy]]*Tabelle2[[#This Row],[vy]])</f>
        <v>99.130637637055443</v>
      </c>
      <c r="S750">
        <f t="shared" si="130"/>
        <v>781.91436154328517</v>
      </c>
      <c r="T750" s="1">
        <f t="shared" si="131"/>
        <v>-161.24998374914171</v>
      </c>
    </row>
    <row r="751" spans="6:20" x14ac:dyDescent="0.35">
      <c r="F751" s="1">
        <f t="shared" si="127"/>
        <v>14.95999999999977</v>
      </c>
      <c r="G751">
        <f>1/2*$B$8*$B$6*$B$7*(Tabelle2[[#This Row],[vx]]*Tabelle2[[#This Row],[vx]]+Tabelle2[[#This Row],[vy]]*Tabelle2[[#This Row],[vy]])/1000000</f>
        <v>17.441462030548809</v>
      </c>
      <c r="H751">
        <f>IF($B$3,-Tabelle2[[#This Row],[Fd]]*Tabelle2[[#This Row],[vx]]/Tabelle2[[#This Row],[v]],0)</f>
        <v>0</v>
      </c>
      <c r="I751">
        <f t="shared" si="121"/>
        <v>0</v>
      </c>
      <c r="J751">
        <f t="shared" si="122"/>
        <v>0</v>
      </c>
      <c r="K751">
        <f t="shared" si="123"/>
        <v>1.0467394398169905</v>
      </c>
      <c r="L751">
        <f>-$B$5*$B$12-IF($B$3,Tabelle2[[#This Row],[Fd]]*Tabelle2[[#This Row],[vy]]/Tabelle2[[#This Row],[v]],0)</f>
        <v>-14.715</v>
      </c>
      <c r="M751">
        <f t="shared" si="124"/>
        <v>-9.81</v>
      </c>
      <c r="N751">
        <f t="shared" si="125"/>
        <v>-0.19620000000000001</v>
      </c>
      <c r="O751">
        <f t="shared" si="126"/>
        <v>-1.6896585120880465</v>
      </c>
      <c r="P751" s="1">
        <f t="shared" si="128"/>
        <v>52.336971990849527</v>
      </c>
      <c r="Q751" s="1">
        <f t="shared" si="129"/>
        <v>-84.384825604402323</v>
      </c>
      <c r="R751">
        <f>SQRT(Tabelle2[[#This Row],[vx]]*Tabelle2[[#This Row],[vx]]+Tabelle2[[#This Row],[vy]]*Tabelle2[[#This Row],[vy]])</f>
        <v>99.29731833970321</v>
      </c>
      <c r="S751">
        <f t="shared" si="130"/>
        <v>782.96110098310214</v>
      </c>
      <c r="T751" s="1">
        <f t="shared" si="131"/>
        <v>-162.93571826122974</v>
      </c>
    </row>
    <row r="752" spans="6:20" x14ac:dyDescent="0.35">
      <c r="F752" s="1">
        <f t="shared" si="127"/>
        <v>14.979999999999769</v>
      </c>
      <c r="G752">
        <f>1/2*$B$8*$B$6*$B$7*(Tabelle2[[#This Row],[vx]]*Tabelle2[[#This Row],[vx]]+Tabelle2[[#This Row],[vy]]*Tabelle2[[#This Row],[vy]])/1000000</f>
        <v>17.500103627754758</v>
      </c>
      <c r="H752">
        <f>IF($B$3,-Tabelle2[[#This Row],[Fd]]*Tabelle2[[#This Row],[vx]]/Tabelle2[[#This Row],[v]],0)</f>
        <v>0</v>
      </c>
      <c r="I752">
        <f t="shared" si="121"/>
        <v>0</v>
      </c>
      <c r="J752">
        <f t="shared" si="122"/>
        <v>0</v>
      </c>
      <c r="K752">
        <f t="shared" si="123"/>
        <v>1.0467394398169905</v>
      </c>
      <c r="L752">
        <f>-$B$5*$B$12-IF($B$3,Tabelle2[[#This Row],[Fd]]*Tabelle2[[#This Row],[vy]]/Tabelle2[[#This Row],[v]],0)</f>
        <v>-14.715</v>
      </c>
      <c r="M752">
        <f t="shared" si="124"/>
        <v>-9.81</v>
      </c>
      <c r="N752">
        <f t="shared" si="125"/>
        <v>-0.19620000000000001</v>
      </c>
      <c r="O752">
        <f t="shared" si="126"/>
        <v>-1.6935825120880466</v>
      </c>
      <c r="P752" s="1">
        <f t="shared" si="128"/>
        <v>52.336971990849527</v>
      </c>
      <c r="Q752" s="1">
        <f t="shared" si="129"/>
        <v>-84.581025604402328</v>
      </c>
      <c r="R752">
        <f>SQRT(Tabelle2[[#This Row],[vx]]*Tabelle2[[#This Row],[vx]]+Tabelle2[[#This Row],[vy]]*Tabelle2[[#This Row],[vy]])</f>
        <v>99.46410673938378</v>
      </c>
      <c r="S752">
        <f t="shared" si="130"/>
        <v>784.00784042291912</v>
      </c>
      <c r="T752" s="1">
        <f t="shared" si="131"/>
        <v>-164.62537677331778</v>
      </c>
    </row>
    <row r="753" spans="6:20" x14ac:dyDescent="0.35">
      <c r="F753" s="1">
        <f t="shared" si="127"/>
        <v>14.999999999999769</v>
      </c>
      <c r="G753">
        <f>1/2*$B$8*$B$6*$B$7*(Tabelle2[[#This Row],[vx]]*Tabelle2[[#This Row],[vx]]+Tabelle2[[#This Row],[vy]]*Tabelle2[[#This Row],[vy]])/1000000</f>
        <v>17.558881412022046</v>
      </c>
      <c r="H753">
        <f>IF($B$3,-Tabelle2[[#This Row],[Fd]]*Tabelle2[[#This Row],[vx]]/Tabelle2[[#This Row],[v]],0)</f>
        <v>0</v>
      </c>
      <c r="I753">
        <f t="shared" si="121"/>
        <v>0</v>
      </c>
      <c r="J753">
        <f t="shared" si="122"/>
        <v>0</v>
      </c>
      <c r="K753">
        <f t="shared" si="123"/>
        <v>1.0467394398169905</v>
      </c>
      <c r="L753">
        <f>-$B$5*$B$12-IF($B$3,Tabelle2[[#This Row],[Fd]]*Tabelle2[[#This Row],[vy]]/Tabelle2[[#This Row],[v]],0)</f>
        <v>-14.715</v>
      </c>
      <c r="M753">
        <f t="shared" si="124"/>
        <v>-9.81</v>
      </c>
      <c r="N753">
        <f t="shared" si="125"/>
        <v>-0.19620000000000001</v>
      </c>
      <c r="O753">
        <f t="shared" si="126"/>
        <v>-1.6975065120880468</v>
      </c>
      <c r="P753" s="1">
        <f t="shared" si="128"/>
        <v>52.336971990849527</v>
      </c>
      <c r="Q753" s="1">
        <f t="shared" si="129"/>
        <v>-84.777225604402332</v>
      </c>
      <c r="R753">
        <f>SQRT(Tabelle2[[#This Row],[vx]]*Tabelle2[[#This Row],[vx]]+Tabelle2[[#This Row],[vy]]*Tabelle2[[#This Row],[vy]])</f>
        <v>99.631002295222842</v>
      </c>
      <c r="S753">
        <f t="shared" si="130"/>
        <v>785.05457986273609</v>
      </c>
      <c r="T753" s="1">
        <f t="shared" si="131"/>
        <v>-166.31895928540584</v>
      </c>
    </row>
    <row r="754" spans="6:20" x14ac:dyDescent="0.35">
      <c r="F754" s="1">
        <f t="shared" si="127"/>
        <v>15.019999999999769</v>
      </c>
      <c r="G754">
        <f>1/2*$B$8*$B$6*$B$7*(Tabelle2[[#This Row],[vx]]*Tabelle2[[#This Row],[vx]]+Tabelle2[[#This Row],[vy]]*Tabelle2[[#This Row],[vy]])/1000000</f>
        <v>17.617795383350678</v>
      </c>
      <c r="H754">
        <f>IF($B$3,-Tabelle2[[#This Row],[Fd]]*Tabelle2[[#This Row],[vx]]/Tabelle2[[#This Row],[v]],0)</f>
        <v>0</v>
      </c>
      <c r="I754">
        <f t="shared" si="121"/>
        <v>0</v>
      </c>
      <c r="J754">
        <f t="shared" si="122"/>
        <v>0</v>
      </c>
      <c r="K754">
        <f t="shared" si="123"/>
        <v>1.0467394398169905</v>
      </c>
      <c r="L754">
        <f>-$B$5*$B$12-IF($B$3,Tabelle2[[#This Row],[Fd]]*Tabelle2[[#This Row],[vy]]/Tabelle2[[#This Row],[v]],0)</f>
        <v>-14.715</v>
      </c>
      <c r="M754">
        <f t="shared" si="124"/>
        <v>-9.81</v>
      </c>
      <c r="N754">
        <f t="shared" si="125"/>
        <v>-0.19620000000000001</v>
      </c>
      <c r="O754">
        <f t="shared" si="126"/>
        <v>-1.7014305120880469</v>
      </c>
      <c r="P754" s="1">
        <f t="shared" si="128"/>
        <v>52.336971990849527</v>
      </c>
      <c r="Q754" s="1">
        <f t="shared" si="129"/>
        <v>-84.973425604402337</v>
      </c>
      <c r="R754">
        <f>SQRT(Tabelle2[[#This Row],[vx]]*Tabelle2[[#This Row],[vx]]+Tabelle2[[#This Row],[vy]]*Tabelle2[[#This Row],[vy]])</f>
        <v>99.798004469617851</v>
      </c>
      <c r="S754">
        <f t="shared" si="130"/>
        <v>786.10131930255307</v>
      </c>
      <c r="T754" s="1">
        <f t="shared" si="131"/>
        <v>-168.01646579749388</v>
      </c>
    </row>
    <row r="755" spans="6:20" x14ac:dyDescent="0.35">
      <c r="F755" s="1">
        <f t="shared" si="127"/>
        <v>15.039999999999768</v>
      </c>
      <c r="G755">
        <f>1/2*$B$8*$B$6*$B$7*(Tabelle2[[#This Row],[vx]]*Tabelle2[[#This Row],[vx]]+Tabelle2[[#This Row],[vy]]*Tabelle2[[#This Row],[vy]])/1000000</f>
        <v>17.676845541740661</v>
      </c>
      <c r="H755">
        <f>IF($B$3,-Tabelle2[[#This Row],[Fd]]*Tabelle2[[#This Row],[vx]]/Tabelle2[[#This Row],[v]],0)</f>
        <v>0</v>
      </c>
      <c r="I755">
        <f t="shared" si="121"/>
        <v>0</v>
      </c>
      <c r="J755">
        <f t="shared" si="122"/>
        <v>0</v>
      </c>
      <c r="K755">
        <f t="shared" si="123"/>
        <v>1.0467394398169905</v>
      </c>
      <c r="L755">
        <f>-$B$5*$B$12-IF($B$3,Tabelle2[[#This Row],[Fd]]*Tabelle2[[#This Row],[vy]]/Tabelle2[[#This Row],[v]],0)</f>
        <v>-14.715</v>
      </c>
      <c r="M755">
        <f t="shared" si="124"/>
        <v>-9.81</v>
      </c>
      <c r="N755">
        <f t="shared" si="125"/>
        <v>-0.19620000000000001</v>
      </c>
      <c r="O755">
        <f t="shared" si="126"/>
        <v>-1.7053545120880469</v>
      </c>
      <c r="P755" s="1">
        <f t="shared" si="128"/>
        <v>52.336971990849527</v>
      </c>
      <c r="Q755" s="1">
        <f t="shared" si="129"/>
        <v>-85.169625604402341</v>
      </c>
      <c r="R755">
        <f>SQRT(Tabelle2[[#This Row],[vx]]*Tabelle2[[#This Row],[vx]]+Tabelle2[[#This Row],[vy]]*Tabelle2[[#This Row],[vy]])</f>
        <v>99.965112728216511</v>
      </c>
      <c r="S755">
        <f t="shared" si="130"/>
        <v>787.14805874237004</v>
      </c>
      <c r="T755" s="1">
        <f t="shared" si="131"/>
        <v>-169.71789630958193</v>
      </c>
    </row>
    <row r="756" spans="6:20" x14ac:dyDescent="0.35">
      <c r="F756" s="1">
        <f t="shared" si="127"/>
        <v>15.059999999999768</v>
      </c>
      <c r="G756">
        <f>1/2*$B$8*$B$6*$B$7*(Tabelle2[[#This Row],[vx]]*Tabelle2[[#This Row],[vx]]+Tabelle2[[#This Row],[vy]]*Tabelle2[[#This Row],[vy]])/1000000</f>
        <v>17.736031887191981</v>
      </c>
      <c r="H756">
        <f>IF($B$3,-Tabelle2[[#This Row],[Fd]]*Tabelle2[[#This Row],[vx]]/Tabelle2[[#This Row],[v]],0)</f>
        <v>0</v>
      </c>
      <c r="I756">
        <f t="shared" si="121"/>
        <v>0</v>
      </c>
      <c r="J756">
        <f t="shared" si="122"/>
        <v>0</v>
      </c>
      <c r="K756">
        <f t="shared" si="123"/>
        <v>1.0467394398169905</v>
      </c>
      <c r="L756">
        <f>-$B$5*$B$12-IF($B$3,Tabelle2[[#This Row],[Fd]]*Tabelle2[[#This Row],[vy]]/Tabelle2[[#This Row],[v]],0)</f>
        <v>-14.715</v>
      </c>
      <c r="M756">
        <f t="shared" si="124"/>
        <v>-9.81</v>
      </c>
      <c r="N756">
        <f t="shared" si="125"/>
        <v>-0.19620000000000001</v>
      </c>
      <c r="O756">
        <f t="shared" si="126"/>
        <v>-1.7092785120880469</v>
      </c>
      <c r="P756" s="1">
        <f t="shared" si="128"/>
        <v>52.336971990849527</v>
      </c>
      <c r="Q756" s="1">
        <f t="shared" si="129"/>
        <v>-85.365825604402346</v>
      </c>
      <c r="R756">
        <f>SQRT(Tabelle2[[#This Row],[vx]]*Tabelle2[[#This Row],[vx]]+Tabelle2[[#This Row],[vy]]*Tabelle2[[#This Row],[vy]])</f>
        <v>100.13232653989522</v>
      </c>
      <c r="S756">
        <f t="shared" si="130"/>
        <v>788.19479818218701</v>
      </c>
      <c r="T756" s="1">
        <f t="shared" si="131"/>
        <v>-171.42325082166997</v>
      </c>
    </row>
    <row r="757" spans="6:20" x14ac:dyDescent="0.35">
      <c r="F757" s="1">
        <f t="shared" si="127"/>
        <v>15.079999999999767</v>
      </c>
      <c r="G757">
        <f>1/2*$B$8*$B$6*$B$7*(Tabelle2[[#This Row],[vx]]*Tabelle2[[#This Row],[vx]]+Tabelle2[[#This Row],[vy]]*Tabelle2[[#This Row],[vy]])/1000000</f>
        <v>17.795354419704648</v>
      </c>
      <c r="H757">
        <f>IF($B$3,-Tabelle2[[#This Row],[Fd]]*Tabelle2[[#This Row],[vx]]/Tabelle2[[#This Row],[v]],0)</f>
        <v>0</v>
      </c>
      <c r="I757">
        <f t="shared" si="121"/>
        <v>0</v>
      </c>
      <c r="J757">
        <f t="shared" si="122"/>
        <v>0</v>
      </c>
      <c r="K757">
        <f t="shared" si="123"/>
        <v>1.0467394398169905</v>
      </c>
      <c r="L757">
        <f>-$B$5*$B$12-IF($B$3,Tabelle2[[#This Row],[Fd]]*Tabelle2[[#This Row],[vy]]/Tabelle2[[#This Row],[v]],0)</f>
        <v>-14.715</v>
      </c>
      <c r="M757">
        <f t="shared" si="124"/>
        <v>-9.81</v>
      </c>
      <c r="N757">
        <f t="shared" si="125"/>
        <v>-0.19620000000000001</v>
      </c>
      <c r="O757">
        <f t="shared" si="126"/>
        <v>-1.7132025120880472</v>
      </c>
      <c r="P757" s="1">
        <f t="shared" si="128"/>
        <v>52.336971990849527</v>
      </c>
      <c r="Q757" s="1">
        <f t="shared" si="129"/>
        <v>-85.562025604402351</v>
      </c>
      <c r="R757">
        <f>SQRT(Tabelle2[[#This Row],[vx]]*Tabelle2[[#This Row],[vx]]+Tabelle2[[#This Row],[vy]]*Tabelle2[[#This Row],[vy]])</f>
        <v>100.29964537673786</v>
      </c>
      <c r="S757">
        <f t="shared" si="130"/>
        <v>789.24153762200399</v>
      </c>
      <c r="T757" s="1">
        <f t="shared" si="131"/>
        <v>-173.13252933375801</v>
      </c>
    </row>
    <row r="758" spans="6:20" x14ac:dyDescent="0.35">
      <c r="F758" s="1">
        <f t="shared" si="127"/>
        <v>15.099999999999767</v>
      </c>
      <c r="G758">
        <f>1/2*$B$8*$B$6*$B$7*(Tabelle2[[#This Row],[vx]]*Tabelle2[[#This Row],[vx]]+Tabelle2[[#This Row],[vy]]*Tabelle2[[#This Row],[vy]])/1000000</f>
        <v>17.854813139278658</v>
      </c>
      <c r="H758">
        <f>IF($B$3,-Tabelle2[[#This Row],[Fd]]*Tabelle2[[#This Row],[vx]]/Tabelle2[[#This Row],[v]],0)</f>
        <v>0</v>
      </c>
      <c r="I758">
        <f t="shared" si="121"/>
        <v>0</v>
      </c>
      <c r="J758">
        <f t="shared" si="122"/>
        <v>0</v>
      </c>
      <c r="K758">
        <f t="shared" si="123"/>
        <v>1.0467394398169905</v>
      </c>
      <c r="L758">
        <f>-$B$5*$B$12-IF($B$3,Tabelle2[[#This Row],[Fd]]*Tabelle2[[#This Row],[vy]]/Tabelle2[[#This Row],[v]],0)</f>
        <v>-14.715</v>
      </c>
      <c r="M758">
        <f t="shared" si="124"/>
        <v>-9.81</v>
      </c>
      <c r="N758">
        <f t="shared" si="125"/>
        <v>-0.19620000000000001</v>
      </c>
      <c r="O758">
        <f t="shared" si="126"/>
        <v>-1.7171265120880472</v>
      </c>
      <c r="P758" s="1">
        <f t="shared" si="128"/>
        <v>52.336971990849527</v>
      </c>
      <c r="Q758" s="1">
        <f t="shared" si="129"/>
        <v>-85.758225604402355</v>
      </c>
      <c r="R758">
        <f>SQRT(Tabelle2[[#This Row],[vx]]*Tabelle2[[#This Row],[vx]]+Tabelle2[[#This Row],[vy]]*Tabelle2[[#This Row],[vy]])</f>
        <v>100.46706871401464</v>
      </c>
      <c r="S758">
        <f t="shared" si="130"/>
        <v>790.28827706182096</v>
      </c>
      <c r="T758" s="1">
        <f t="shared" si="131"/>
        <v>-174.84573184584607</v>
      </c>
    </row>
    <row r="759" spans="6:20" x14ac:dyDescent="0.35">
      <c r="F759" s="1">
        <f t="shared" si="127"/>
        <v>15.119999999999767</v>
      </c>
      <c r="G759">
        <f>1/2*$B$8*$B$6*$B$7*(Tabelle2[[#This Row],[vx]]*Tabelle2[[#This Row],[vx]]+Tabelle2[[#This Row],[vy]]*Tabelle2[[#This Row],[vy]])/1000000</f>
        <v>17.914408045914008</v>
      </c>
      <c r="H759">
        <f>IF($B$3,-Tabelle2[[#This Row],[Fd]]*Tabelle2[[#This Row],[vx]]/Tabelle2[[#This Row],[v]],0)</f>
        <v>0</v>
      </c>
      <c r="I759">
        <f t="shared" si="121"/>
        <v>0</v>
      </c>
      <c r="J759">
        <f t="shared" si="122"/>
        <v>0</v>
      </c>
      <c r="K759">
        <f t="shared" si="123"/>
        <v>1.0467394398169905</v>
      </c>
      <c r="L759">
        <f>-$B$5*$B$12-IF($B$3,Tabelle2[[#This Row],[Fd]]*Tabelle2[[#This Row],[vy]]/Tabelle2[[#This Row],[v]],0)</f>
        <v>-14.715</v>
      </c>
      <c r="M759">
        <f t="shared" si="124"/>
        <v>-9.81</v>
      </c>
      <c r="N759">
        <f t="shared" si="125"/>
        <v>-0.19620000000000001</v>
      </c>
      <c r="O759">
        <f t="shared" si="126"/>
        <v>-1.7210505120880473</v>
      </c>
      <c r="P759" s="1">
        <f t="shared" si="128"/>
        <v>52.336971990849527</v>
      </c>
      <c r="Q759" s="1">
        <f t="shared" si="129"/>
        <v>-85.95442560440236</v>
      </c>
      <c r="R759">
        <f>SQRT(Tabelle2[[#This Row],[vx]]*Tabelle2[[#This Row],[vx]]+Tabelle2[[#This Row],[vy]]*Tabelle2[[#This Row],[vy]])</f>
        <v>100.63459603016106</v>
      </c>
      <c r="S759">
        <f t="shared" si="130"/>
        <v>791.33501650163794</v>
      </c>
      <c r="T759" s="1">
        <f t="shared" si="131"/>
        <v>-176.56285835793412</v>
      </c>
    </row>
    <row r="760" spans="6:20" x14ac:dyDescent="0.35">
      <c r="F760" s="1">
        <f t="shared" si="127"/>
        <v>15.139999999999766</v>
      </c>
      <c r="G760">
        <f>1/2*$B$8*$B$6*$B$7*(Tabelle2[[#This Row],[vx]]*Tabelle2[[#This Row],[vx]]+Tabelle2[[#This Row],[vy]]*Tabelle2[[#This Row],[vy]])/1000000</f>
        <v>17.974139139610703</v>
      </c>
      <c r="H760">
        <f>IF($B$3,-Tabelle2[[#This Row],[Fd]]*Tabelle2[[#This Row],[vx]]/Tabelle2[[#This Row],[v]],0)</f>
        <v>0</v>
      </c>
      <c r="I760">
        <f t="shared" si="121"/>
        <v>0</v>
      </c>
      <c r="J760">
        <f t="shared" si="122"/>
        <v>0</v>
      </c>
      <c r="K760">
        <f t="shared" si="123"/>
        <v>1.0467394398169905</v>
      </c>
      <c r="L760">
        <f>-$B$5*$B$12-IF($B$3,Tabelle2[[#This Row],[Fd]]*Tabelle2[[#This Row],[vy]]/Tabelle2[[#This Row],[v]],0)</f>
        <v>-14.715</v>
      </c>
      <c r="M760">
        <f t="shared" si="124"/>
        <v>-9.81</v>
      </c>
      <c r="N760">
        <f t="shared" si="125"/>
        <v>-0.19620000000000001</v>
      </c>
      <c r="O760">
        <f t="shared" si="126"/>
        <v>-1.7249745120880473</v>
      </c>
      <c r="P760" s="1">
        <f t="shared" si="128"/>
        <v>52.336971990849527</v>
      </c>
      <c r="Q760" s="1">
        <f t="shared" si="129"/>
        <v>-86.150625604402364</v>
      </c>
      <c r="R760">
        <f>SQRT(Tabelle2[[#This Row],[vx]]*Tabelle2[[#This Row],[vx]]+Tabelle2[[#This Row],[vy]]*Tabelle2[[#This Row],[vy]])</f>
        <v>100.80222680675698</v>
      </c>
      <c r="S760">
        <f t="shared" si="130"/>
        <v>792.38175594145491</v>
      </c>
      <c r="T760" s="1">
        <f t="shared" si="131"/>
        <v>-178.28390887002217</v>
      </c>
    </row>
    <row r="761" spans="6:20" x14ac:dyDescent="0.35">
      <c r="F761" s="1">
        <f t="shared" si="127"/>
        <v>15.159999999999766</v>
      </c>
      <c r="G761">
        <f>1/2*$B$8*$B$6*$B$7*(Tabelle2[[#This Row],[vx]]*Tabelle2[[#This Row],[vx]]+Tabelle2[[#This Row],[vy]]*Tabelle2[[#This Row],[vy]])/1000000</f>
        <v>18.034006420368751</v>
      </c>
      <c r="H761">
        <f>IF($B$3,-Tabelle2[[#This Row],[Fd]]*Tabelle2[[#This Row],[vx]]/Tabelle2[[#This Row],[v]],0)</f>
        <v>0</v>
      </c>
      <c r="I761">
        <f t="shared" si="121"/>
        <v>0</v>
      </c>
      <c r="J761">
        <f t="shared" si="122"/>
        <v>0</v>
      </c>
      <c r="K761">
        <f t="shared" si="123"/>
        <v>1.0467394398169905</v>
      </c>
      <c r="L761">
        <f>-$B$5*$B$12-IF($B$3,Tabelle2[[#This Row],[Fd]]*Tabelle2[[#This Row],[vy]]/Tabelle2[[#This Row],[v]],0)</f>
        <v>-14.715</v>
      </c>
      <c r="M761">
        <f t="shared" si="124"/>
        <v>-9.81</v>
      </c>
      <c r="N761">
        <f t="shared" si="125"/>
        <v>-0.19620000000000001</v>
      </c>
      <c r="O761">
        <f t="shared" si="126"/>
        <v>-1.7288985120880476</v>
      </c>
      <c r="P761" s="1">
        <f t="shared" si="128"/>
        <v>52.336971990849527</v>
      </c>
      <c r="Q761" s="1">
        <f t="shared" si="129"/>
        <v>-86.346825604402369</v>
      </c>
      <c r="R761">
        <f>SQRT(Tabelle2[[#This Row],[vx]]*Tabelle2[[#This Row],[vx]]+Tabelle2[[#This Row],[vy]]*Tabelle2[[#This Row],[vy]])</f>
        <v>100.96996052850592</v>
      </c>
      <c r="S761">
        <f t="shared" si="130"/>
        <v>793.42849538127189</v>
      </c>
      <c r="T761" s="1">
        <f t="shared" si="131"/>
        <v>-180.00888338211021</v>
      </c>
    </row>
    <row r="762" spans="6:20" x14ac:dyDescent="0.35">
      <c r="F762" s="1">
        <f t="shared" si="127"/>
        <v>15.179999999999765</v>
      </c>
      <c r="G762">
        <f>1/2*$B$8*$B$6*$B$7*(Tabelle2[[#This Row],[vx]]*Tabelle2[[#This Row],[vx]]+Tabelle2[[#This Row],[vy]]*Tabelle2[[#This Row],[vy]])/1000000</f>
        <v>18.094009888188133</v>
      </c>
      <c r="H762">
        <f>IF($B$3,-Tabelle2[[#This Row],[Fd]]*Tabelle2[[#This Row],[vx]]/Tabelle2[[#This Row],[v]],0)</f>
        <v>0</v>
      </c>
      <c r="I762">
        <f t="shared" si="121"/>
        <v>0</v>
      </c>
      <c r="J762">
        <f t="shared" si="122"/>
        <v>0</v>
      </c>
      <c r="K762">
        <f t="shared" si="123"/>
        <v>1.0467394398169905</v>
      </c>
      <c r="L762">
        <f>-$B$5*$B$12-IF($B$3,Tabelle2[[#This Row],[Fd]]*Tabelle2[[#This Row],[vy]]/Tabelle2[[#This Row],[v]],0)</f>
        <v>-14.715</v>
      </c>
      <c r="M762">
        <f t="shared" si="124"/>
        <v>-9.81</v>
      </c>
      <c r="N762">
        <f t="shared" si="125"/>
        <v>-0.19620000000000001</v>
      </c>
      <c r="O762">
        <f t="shared" si="126"/>
        <v>-1.7328225120880476</v>
      </c>
      <c r="P762" s="1">
        <f t="shared" si="128"/>
        <v>52.336971990849527</v>
      </c>
      <c r="Q762" s="1">
        <f t="shared" si="129"/>
        <v>-86.543025604402374</v>
      </c>
      <c r="R762">
        <f>SQRT(Tabelle2[[#This Row],[vx]]*Tabelle2[[#This Row],[vx]]+Tabelle2[[#This Row],[vy]]*Tabelle2[[#This Row],[vy]])</f>
        <v>101.13779668321439</v>
      </c>
      <c r="S762">
        <f t="shared" si="130"/>
        <v>794.47523482108886</v>
      </c>
      <c r="T762" s="1">
        <f t="shared" si="131"/>
        <v>-181.73778189419826</v>
      </c>
    </row>
    <row r="763" spans="6:20" x14ac:dyDescent="0.35">
      <c r="F763" s="1">
        <f t="shared" si="127"/>
        <v>15.199999999999765</v>
      </c>
      <c r="G763">
        <f>1/2*$B$8*$B$6*$B$7*(Tabelle2[[#This Row],[vx]]*Tabelle2[[#This Row],[vx]]+Tabelle2[[#This Row],[vy]]*Tabelle2[[#This Row],[vy]])/1000000</f>
        <v>18.154149543068865</v>
      </c>
      <c r="H763">
        <f>IF($B$3,-Tabelle2[[#This Row],[Fd]]*Tabelle2[[#This Row],[vx]]/Tabelle2[[#This Row],[v]],0)</f>
        <v>0</v>
      </c>
      <c r="I763">
        <f t="shared" si="121"/>
        <v>0</v>
      </c>
      <c r="J763">
        <f t="shared" si="122"/>
        <v>0</v>
      </c>
      <c r="K763">
        <f t="shared" si="123"/>
        <v>1.0467394398169905</v>
      </c>
      <c r="L763">
        <f>-$B$5*$B$12-IF($B$3,Tabelle2[[#This Row],[Fd]]*Tabelle2[[#This Row],[vy]]/Tabelle2[[#This Row],[v]],0)</f>
        <v>-14.715</v>
      </c>
      <c r="M763">
        <f t="shared" si="124"/>
        <v>-9.81</v>
      </c>
      <c r="N763">
        <f t="shared" si="125"/>
        <v>-0.19620000000000001</v>
      </c>
      <c r="O763">
        <f t="shared" si="126"/>
        <v>-1.7367465120880476</v>
      </c>
      <c r="P763" s="1">
        <f t="shared" si="128"/>
        <v>52.336971990849527</v>
      </c>
      <c r="Q763" s="1">
        <f t="shared" si="129"/>
        <v>-86.739225604402378</v>
      </c>
      <c r="R763">
        <f>SQRT(Tabelle2[[#This Row],[vx]]*Tabelle2[[#This Row],[vx]]+Tabelle2[[#This Row],[vy]]*Tabelle2[[#This Row],[vy]])</f>
        <v>101.30573476177142</v>
      </c>
      <c r="S763">
        <f t="shared" si="130"/>
        <v>795.52197426090584</v>
      </c>
      <c r="T763" s="1">
        <f t="shared" si="131"/>
        <v>-183.4706044062863</v>
      </c>
    </row>
    <row r="764" spans="6:20" x14ac:dyDescent="0.35">
      <c r="F764" s="1">
        <f t="shared" si="127"/>
        <v>15.219999999999764</v>
      </c>
      <c r="G764">
        <f>1/2*$B$8*$B$6*$B$7*(Tabelle2[[#This Row],[vx]]*Tabelle2[[#This Row],[vx]]+Tabelle2[[#This Row],[vy]]*Tabelle2[[#This Row],[vy]])/1000000</f>
        <v>18.214425385010941</v>
      </c>
      <c r="H764">
        <f>IF($B$3,-Tabelle2[[#This Row],[Fd]]*Tabelle2[[#This Row],[vx]]/Tabelle2[[#This Row],[v]],0)</f>
        <v>0</v>
      </c>
      <c r="I764">
        <f t="shared" si="121"/>
        <v>0</v>
      </c>
      <c r="J764">
        <f t="shared" si="122"/>
        <v>0</v>
      </c>
      <c r="K764">
        <f t="shared" si="123"/>
        <v>1.0467394398169905</v>
      </c>
      <c r="L764">
        <f>-$B$5*$B$12-IF($B$3,Tabelle2[[#This Row],[Fd]]*Tabelle2[[#This Row],[vy]]/Tabelle2[[#This Row],[v]],0)</f>
        <v>-14.715</v>
      </c>
      <c r="M764">
        <f t="shared" si="124"/>
        <v>-9.81</v>
      </c>
      <c r="N764">
        <f t="shared" si="125"/>
        <v>-0.19620000000000001</v>
      </c>
      <c r="O764">
        <f t="shared" si="126"/>
        <v>-1.7406705120880477</v>
      </c>
      <c r="P764" s="1">
        <f t="shared" si="128"/>
        <v>52.336971990849527</v>
      </c>
      <c r="Q764" s="1">
        <f t="shared" si="129"/>
        <v>-86.935425604402383</v>
      </c>
      <c r="R764">
        <f>SQRT(Tabelle2[[#This Row],[vx]]*Tabelle2[[#This Row],[vx]]+Tabelle2[[#This Row],[vy]]*Tabelle2[[#This Row],[vy]])</f>
        <v>101.47377425812815</v>
      </c>
      <c r="S764">
        <f t="shared" si="130"/>
        <v>796.56871370072281</v>
      </c>
      <c r="T764" s="1">
        <f t="shared" si="131"/>
        <v>-185.20735091837435</v>
      </c>
    </row>
    <row r="765" spans="6:20" x14ac:dyDescent="0.35">
      <c r="F765" s="1">
        <f t="shared" si="127"/>
        <v>15.239999999999764</v>
      </c>
      <c r="G765">
        <f>1/2*$B$8*$B$6*$B$7*(Tabelle2[[#This Row],[vx]]*Tabelle2[[#This Row],[vx]]+Tabelle2[[#This Row],[vy]]*Tabelle2[[#This Row],[vy]])/1000000</f>
        <v>18.274837414014353</v>
      </c>
      <c r="H765">
        <f>IF($B$3,-Tabelle2[[#This Row],[Fd]]*Tabelle2[[#This Row],[vx]]/Tabelle2[[#This Row],[v]],0)</f>
        <v>0</v>
      </c>
      <c r="I765">
        <f t="shared" si="121"/>
        <v>0</v>
      </c>
      <c r="J765">
        <f t="shared" si="122"/>
        <v>0</v>
      </c>
      <c r="K765">
        <f t="shared" si="123"/>
        <v>1.0467394398169905</v>
      </c>
      <c r="L765">
        <f>-$B$5*$B$12-IF($B$3,Tabelle2[[#This Row],[Fd]]*Tabelle2[[#This Row],[vy]]/Tabelle2[[#This Row],[v]],0)</f>
        <v>-14.715</v>
      </c>
      <c r="M765">
        <f t="shared" si="124"/>
        <v>-9.81</v>
      </c>
      <c r="N765">
        <f t="shared" si="125"/>
        <v>-0.19620000000000001</v>
      </c>
      <c r="O765">
        <f t="shared" si="126"/>
        <v>-1.7445945120880477</v>
      </c>
      <c r="P765" s="1">
        <f t="shared" si="128"/>
        <v>52.336971990849527</v>
      </c>
      <c r="Q765" s="1">
        <f t="shared" si="129"/>
        <v>-87.131625604402387</v>
      </c>
      <c r="R765">
        <f>SQRT(Tabelle2[[#This Row],[vx]]*Tabelle2[[#This Row],[vx]]+Tabelle2[[#This Row],[vy]]*Tabelle2[[#This Row],[vy]])</f>
        <v>101.64191466927764</v>
      </c>
      <c r="S765">
        <f t="shared" si="130"/>
        <v>797.61545314053978</v>
      </c>
      <c r="T765" s="1">
        <f t="shared" si="131"/>
        <v>-186.9480214304624</v>
      </c>
    </row>
    <row r="766" spans="6:20" x14ac:dyDescent="0.35">
      <c r="F766" s="1">
        <f t="shared" si="127"/>
        <v>15.259999999999764</v>
      </c>
      <c r="G766">
        <f>1/2*$B$8*$B$6*$B$7*(Tabelle2[[#This Row],[vx]]*Tabelle2[[#This Row],[vx]]+Tabelle2[[#This Row],[vy]]*Tabelle2[[#This Row],[vy]])/1000000</f>
        <v>18.335385630079116</v>
      </c>
      <c r="H766">
        <f>IF($B$3,-Tabelle2[[#This Row],[Fd]]*Tabelle2[[#This Row],[vx]]/Tabelle2[[#This Row],[v]],0)</f>
        <v>0</v>
      </c>
      <c r="I766">
        <f t="shared" si="121"/>
        <v>0</v>
      </c>
      <c r="J766">
        <f t="shared" si="122"/>
        <v>0</v>
      </c>
      <c r="K766">
        <f t="shared" si="123"/>
        <v>1.0467394398169905</v>
      </c>
      <c r="L766">
        <f>-$B$5*$B$12-IF($B$3,Tabelle2[[#This Row],[Fd]]*Tabelle2[[#This Row],[vy]]/Tabelle2[[#This Row],[v]],0)</f>
        <v>-14.715</v>
      </c>
      <c r="M766">
        <f t="shared" si="124"/>
        <v>-9.81</v>
      </c>
      <c r="N766">
        <f t="shared" si="125"/>
        <v>-0.19620000000000001</v>
      </c>
      <c r="O766">
        <f t="shared" si="126"/>
        <v>-1.748518512088048</v>
      </c>
      <c r="P766" s="1">
        <f t="shared" si="128"/>
        <v>52.336971990849527</v>
      </c>
      <c r="Q766" s="1">
        <f t="shared" si="129"/>
        <v>-87.327825604402392</v>
      </c>
      <c r="R766">
        <f>SQRT(Tabelle2[[#This Row],[vx]]*Tabelle2[[#This Row],[vx]]+Tabelle2[[#This Row],[vy]]*Tabelle2[[#This Row],[vy]])</f>
        <v>101.81015549523478</v>
      </c>
      <c r="S766">
        <f t="shared" si="130"/>
        <v>798.66219258035676</v>
      </c>
      <c r="T766" s="1">
        <f t="shared" si="131"/>
        <v>-188.69261594255045</v>
      </c>
    </row>
    <row r="767" spans="6:20" x14ac:dyDescent="0.35">
      <c r="F767" s="1">
        <f t="shared" si="127"/>
        <v>15.279999999999763</v>
      </c>
      <c r="G767">
        <f>1/2*$B$8*$B$6*$B$7*(Tabelle2[[#This Row],[vx]]*Tabelle2[[#This Row],[vx]]+Tabelle2[[#This Row],[vy]]*Tabelle2[[#This Row],[vy]])/1000000</f>
        <v>18.396070033205223</v>
      </c>
      <c r="H767">
        <f>IF($B$3,-Tabelle2[[#This Row],[Fd]]*Tabelle2[[#This Row],[vx]]/Tabelle2[[#This Row],[v]],0)</f>
        <v>0</v>
      </c>
      <c r="I767">
        <f t="shared" si="121"/>
        <v>0</v>
      </c>
      <c r="J767">
        <f t="shared" si="122"/>
        <v>0</v>
      </c>
      <c r="K767">
        <f t="shared" si="123"/>
        <v>1.0467394398169905</v>
      </c>
      <c r="L767">
        <f>-$B$5*$B$12-IF($B$3,Tabelle2[[#This Row],[Fd]]*Tabelle2[[#This Row],[vy]]/Tabelle2[[#This Row],[v]],0)</f>
        <v>-14.715</v>
      </c>
      <c r="M767">
        <f t="shared" si="124"/>
        <v>-9.81</v>
      </c>
      <c r="N767">
        <f t="shared" si="125"/>
        <v>-0.19620000000000001</v>
      </c>
      <c r="O767">
        <f t="shared" si="126"/>
        <v>-1.752442512088048</v>
      </c>
      <c r="P767" s="1">
        <f t="shared" si="128"/>
        <v>52.336971990849527</v>
      </c>
      <c r="Q767" s="1">
        <f t="shared" si="129"/>
        <v>-87.524025604402397</v>
      </c>
      <c r="R767">
        <f>SQRT(Tabelle2[[#This Row],[vx]]*Tabelle2[[#This Row],[vx]]+Tabelle2[[#This Row],[vy]]*Tabelle2[[#This Row],[vy]])</f>
        <v>101.97849623901627</v>
      </c>
      <c r="S767">
        <f t="shared" si="130"/>
        <v>799.70893202017373</v>
      </c>
      <c r="T767" s="1">
        <f t="shared" si="131"/>
        <v>-190.4411344546385</v>
      </c>
    </row>
    <row r="768" spans="6:20" x14ac:dyDescent="0.35">
      <c r="F768" s="1">
        <f t="shared" si="127"/>
        <v>15.299999999999763</v>
      </c>
      <c r="G768">
        <f>1/2*$B$8*$B$6*$B$7*(Tabelle2[[#This Row],[vx]]*Tabelle2[[#This Row],[vx]]+Tabelle2[[#This Row],[vy]]*Tabelle2[[#This Row],[vy]])/1000000</f>
        <v>18.45689062339267</v>
      </c>
      <c r="H768">
        <f>IF($B$3,-Tabelle2[[#This Row],[Fd]]*Tabelle2[[#This Row],[vx]]/Tabelle2[[#This Row],[v]],0)</f>
        <v>0</v>
      </c>
      <c r="I768">
        <f t="shared" si="121"/>
        <v>0</v>
      </c>
      <c r="J768">
        <f t="shared" si="122"/>
        <v>0</v>
      </c>
      <c r="K768">
        <f t="shared" si="123"/>
        <v>1.0467394398169905</v>
      </c>
      <c r="L768">
        <f>-$B$5*$B$12-IF($B$3,Tabelle2[[#This Row],[Fd]]*Tabelle2[[#This Row],[vy]]/Tabelle2[[#This Row],[v]],0)</f>
        <v>-14.715</v>
      </c>
      <c r="M768">
        <f t="shared" si="124"/>
        <v>-9.81</v>
      </c>
      <c r="N768">
        <f t="shared" si="125"/>
        <v>-0.19620000000000001</v>
      </c>
      <c r="O768">
        <f t="shared" si="126"/>
        <v>-1.7563665120880481</v>
      </c>
      <c r="P768" s="1">
        <f t="shared" si="128"/>
        <v>52.336971990849527</v>
      </c>
      <c r="Q768" s="1">
        <f t="shared" si="129"/>
        <v>-87.720225604402401</v>
      </c>
      <c r="R768">
        <f>SQRT(Tabelle2[[#This Row],[vx]]*Tabelle2[[#This Row],[vx]]+Tabelle2[[#This Row],[vy]]*Tabelle2[[#This Row],[vy]])</f>
        <v>102.14693640662074</v>
      </c>
      <c r="S768">
        <f t="shared" si="130"/>
        <v>800.75567145999071</v>
      </c>
      <c r="T768" s="1">
        <f t="shared" si="131"/>
        <v>-192.19357696672654</v>
      </c>
    </row>
    <row r="769" spans="6:20" x14ac:dyDescent="0.35">
      <c r="F769" s="1">
        <f t="shared" si="127"/>
        <v>15.319999999999762</v>
      </c>
      <c r="G769">
        <f>1/2*$B$8*$B$6*$B$7*(Tabelle2[[#This Row],[vx]]*Tabelle2[[#This Row],[vx]]+Tabelle2[[#This Row],[vy]]*Tabelle2[[#This Row],[vy]])/1000000</f>
        <v>18.517847400641465</v>
      </c>
      <c r="H769">
        <f>IF($B$3,-Tabelle2[[#This Row],[Fd]]*Tabelle2[[#This Row],[vx]]/Tabelle2[[#This Row],[v]],0)</f>
        <v>0</v>
      </c>
      <c r="I769">
        <f t="shared" si="121"/>
        <v>0</v>
      </c>
      <c r="J769">
        <f t="shared" si="122"/>
        <v>0</v>
      </c>
      <c r="K769">
        <f t="shared" si="123"/>
        <v>1.0467394398169905</v>
      </c>
      <c r="L769">
        <f>-$B$5*$B$12-IF($B$3,Tabelle2[[#This Row],[Fd]]*Tabelle2[[#This Row],[vy]]/Tabelle2[[#This Row],[v]],0)</f>
        <v>-14.715</v>
      </c>
      <c r="M769">
        <f t="shared" si="124"/>
        <v>-9.81</v>
      </c>
      <c r="N769">
        <f t="shared" si="125"/>
        <v>-0.19620000000000001</v>
      </c>
      <c r="O769">
        <f t="shared" si="126"/>
        <v>-1.7602905120880481</v>
      </c>
      <c r="P769" s="1">
        <f t="shared" si="128"/>
        <v>52.336971990849527</v>
      </c>
      <c r="Q769" s="1">
        <f t="shared" si="129"/>
        <v>-87.916425604402406</v>
      </c>
      <c r="R769">
        <f>SQRT(Tabelle2[[#This Row],[vx]]*Tabelle2[[#This Row],[vx]]+Tabelle2[[#This Row],[vy]]*Tabelle2[[#This Row],[vy]])</f>
        <v>102.31547550700915</v>
      </c>
      <c r="S769">
        <f t="shared" si="130"/>
        <v>801.80241089980768</v>
      </c>
      <c r="T769" s="1">
        <f t="shared" si="131"/>
        <v>-193.94994347881459</v>
      </c>
    </row>
    <row r="770" spans="6:20" x14ac:dyDescent="0.35">
      <c r="F770" s="1">
        <f t="shared" si="127"/>
        <v>15.339999999999762</v>
      </c>
      <c r="G770">
        <f>1/2*$B$8*$B$6*$B$7*(Tabelle2[[#This Row],[vx]]*Tabelle2[[#This Row],[vx]]+Tabelle2[[#This Row],[vy]]*Tabelle2[[#This Row],[vy]])/1000000</f>
        <v>18.578940364951603</v>
      </c>
      <c r="H770">
        <f>IF($B$3,-Tabelle2[[#This Row],[Fd]]*Tabelle2[[#This Row],[vx]]/Tabelle2[[#This Row],[v]],0)</f>
        <v>0</v>
      </c>
      <c r="I770">
        <f t="shared" si="121"/>
        <v>0</v>
      </c>
      <c r="J770">
        <f t="shared" si="122"/>
        <v>0</v>
      </c>
      <c r="K770">
        <f t="shared" si="123"/>
        <v>1.0467394398169905</v>
      </c>
      <c r="L770">
        <f>-$B$5*$B$12-IF($B$3,Tabelle2[[#This Row],[Fd]]*Tabelle2[[#This Row],[vy]]/Tabelle2[[#This Row],[v]],0)</f>
        <v>-14.715</v>
      </c>
      <c r="M770">
        <f t="shared" si="124"/>
        <v>-9.81</v>
      </c>
      <c r="N770">
        <f t="shared" si="125"/>
        <v>-0.19620000000000001</v>
      </c>
      <c r="O770">
        <f t="shared" si="126"/>
        <v>-1.7642145120880484</v>
      </c>
      <c r="P770" s="1">
        <f t="shared" si="128"/>
        <v>52.336971990849527</v>
      </c>
      <c r="Q770" s="1">
        <f t="shared" si="129"/>
        <v>-88.11262560440241</v>
      </c>
      <c r="R770">
        <f>SQRT(Tabelle2[[#This Row],[vx]]*Tabelle2[[#This Row],[vx]]+Tabelle2[[#This Row],[vy]]*Tabelle2[[#This Row],[vy]])</f>
        <v>102.48411305208509</v>
      </c>
      <c r="S770">
        <f t="shared" si="130"/>
        <v>802.84915033962466</v>
      </c>
      <c r="T770" s="1">
        <f t="shared" si="131"/>
        <v>-195.71023399090265</v>
      </c>
    </row>
    <row r="771" spans="6:20" x14ac:dyDescent="0.35">
      <c r="F771" s="1">
        <f t="shared" si="127"/>
        <v>15.359999999999761</v>
      </c>
      <c r="G771">
        <f>1/2*$B$8*$B$6*$B$7*(Tabelle2[[#This Row],[vx]]*Tabelle2[[#This Row],[vx]]+Tabelle2[[#This Row],[vy]]*Tabelle2[[#This Row],[vy]])/1000000</f>
        <v>18.640169516323081</v>
      </c>
      <c r="H771">
        <f>IF($B$3,-Tabelle2[[#This Row],[Fd]]*Tabelle2[[#This Row],[vx]]/Tabelle2[[#This Row],[v]],0)</f>
        <v>0</v>
      </c>
      <c r="I771">
        <f t="shared" ref="I771:I834" si="132">H771/$B$5</f>
        <v>0</v>
      </c>
      <c r="J771">
        <f t="shared" ref="J771:J834" si="133">I771*$B$13</f>
        <v>0</v>
      </c>
      <c r="K771">
        <f t="shared" ref="K771:K834" si="134">$B$13*(P771+J771/2)</f>
        <v>1.0467394398169905</v>
      </c>
      <c r="L771">
        <f>-$B$5*$B$12-IF($B$3,Tabelle2[[#This Row],[Fd]]*Tabelle2[[#This Row],[vy]]/Tabelle2[[#This Row],[v]],0)</f>
        <v>-14.715</v>
      </c>
      <c r="M771">
        <f t="shared" ref="M771:M834" si="135">L771/$B$5</f>
        <v>-9.81</v>
      </c>
      <c r="N771">
        <f t="shared" ref="N771:N834" si="136">M771*$B$13</f>
        <v>-0.19620000000000001</v>
      </c>
      <c r="O771">
        <f t="shared" ref="O771:O834" si="137">$B$13*(Q771+N771/2)</f>
        <v>-1.7681385120880484</v>
      </c>
      <c r="P771" s="1">
        <f t="shared" si="128"/>
        <v>52.336971990849527</v>
      </c>
      <c r="Q771" s="1">
        <f t="shared" si="129"/>
        <v>-88.308825604402415</v>
      </c>
      <c r="R771">
        <f>SQRT(Tabelle2[[#This Row],[vx]]*Tabelle2[[#This Row],[vx]]+Tabelle2[[#This Row],[vy]]*Tabelle2[[#This Row],[vy]])</f>
        <v>102.65284855667537</v>
      </c>
      <c r="S771">
        <f t="shared" si="130"/>
        <v>803.89588977944163</v>
      </c>
      <c r="T771" s="1">
        <f t="shared" si="131"/>
        <v>-197.4744485029907</v>
      </c>
    </row>
    <row r="772" spans="6:20" x14ac:dyDescent="0.35">
      <c r="F772" s="1">
        <f t="shared" ref="F772:F835" si="138">F771+$B$13</f>
        <v>15.379999999999761</v>
      </c>
      <c r="G772">
        <f>1/2*$B$8*$B$6*$B$7*(Tabelle2[[#This Row],[vx]]*Tabelle2[[#This Row],[vx]]+Tabelle2[[#This Row],[vy]]*Tabelle2[[#This Row],[vy]])/1000000</f>
        <v>18.701534854755909</v>
      </c>
      <c r="H772">
        <f>IF($B$3,-Tabelle2[[#This Row],[Fd]]*Tabelle2[[#This Row],[vx]]/Tabelle2[[#This Row],[v]],0)</f>
        <v>0</v>
      </c>
      <c r="I772">
        <f t="shared" si="132"/>
        <v>0</v>
      </c>
      <c r="J772">
        <f t="shared" si="133"/>
        <v>0</v>
      </c>
      <c r="K772">
        <f t="shared" si="134"/>
        <v>1.0467394398169905</v>
      </c>
      <c r="L772">
        <f>-$B$5*$B$12-IF($B$3,Tabelle2[[#This Row],[Fd]]*Tabelle2[[#This Row],[vy]]/Tabelle2[[#This Row],[v]],0)</f>
        <v>-14.715</v>
      </c>
      <c r="M772">
        <f t="shared" si="135"/>
        <v>-9.81</v>
      </c>
      <c r="N772">
        <f t="shared" si="136"/>
        <v>-0.19620000000000001</v>
      </c>
      <c r="O772">
        <f t="shared" si="137"/>
        <v>-1.7720625120880484</v>
      </c>
      <c r="P772" s="1">
        <f t="shared" ref="P772:P835" si="139">P771+J771</f>
        <v>52.336971990849527</v>
      </c>
      <c r="Q772" s="1">
        <f t="shared" ref="Q772:Q835" si="140">Q771+N771</f>
        <v>-88.50502560440242</v>
      </c>
      <c r="R772">
        <f>SQRT(Tabelle2[[#This Row],[vx]]*Tabelle2[[#This Row],[vx]]+Tabelle2[[#This Row],[vy]]*Tabelle2[[#This Row],[vy]])</f>
        <v>102.82168153851062</v>
      </c>
      <c r="S772">
        <f t="shared" ref="S772:S835" si="141">S771+K771</f>
        <v>804.94262921925861</v>
      </c>
      <c r="T772" s="1">
        <f t="shared" ref="T772:T835" si="142">T771+O771</f>
        <v>-199.24258701507875</v>
      </c>
    </row>
    <row r="773" spans="6:20" x14ac:dyDescent="0.35">
      <c r="F773" s="1">
        <f t="shared" si="138"/>
        <v>15.399999999999761</v>
      </c>
      <c r="G773">
        <f>1/2*$B$8*$B$6*$B$7*(Tabelle2[[#This Row],[vx]]*Tabelle2[[#This Row],[vx]]+Tabelle2[[#This Row],[vy]]*Tabelle2[[#This Row],[vy]])/1000000</f>
        <v>18.763036380250078</v>
      </c>
      <c r="H773">
        <f>IF($B$3,-Tabelle2[[#This Row],[Fd]]*Tabelle2[[#This Row],[vx]]/Tabelle2[[#This Row],[v]],0)</f>
        <v>0</v>
      </c>
      <c r="I773">
        <f t="shared" si="132"/>
        <v>0</v>
      </c>
      <c r="J773">
        <f t="shared" si="133"/>
        <v>0</v>
      </c>
      <c r="K773">
        <f t="shared" si="134"/>
        <v>1.0467394398169905</v>
      </c>
      <c r="L773">
        <f>-$B$5*$B$12-IF($B$3,Tabelle2[[#This Row],[Fd]]*Tabelle2[[#This Row],[vy]]/Tabelle2[[#This Row],[v]],0)</f>
        <v>-14.715</v>
      </c>
      <c r="M773">
        <f t="shared" si="135"/>
        <v>-9.81</v>
      </c>
      <c r="N773">
        <f t="shared" si="136"/>
        <v>-0.19620000000000001</v>
      </c>
      <c r="O773">
        <f t="shared" si="137"/>
        <v>-1.7759865120880485</v>
      </c>
      <c r="P773" s="1">
        <f t="shared" si="139"/>
        <v>52.336971990849527</v>
      </c>
      <c r="Q773" s="1">
        <f t="shared" si="140"/>
        <v>-88.701225604402424</v>
      </c>
      <c r="R773">
        <f>SQRT(Tabelle2[[#This Row],[vx]]*Tabelle2[[#This Row],[vx]]+Tabelle2[[#This Row],[vy]]*Tabelle2[[#This Row],[vy]])</f>
        <v>102.99061151820618</v>
      </c>
      <c r="S773">
        <f t="shared" si="141"/>
        <v>805.98936865907558</v>
      </c>
      <c r="T773" s="1">
        <f t="shared" si="142"/>
        <v>-201.0146495271668</v>
      </c>
    </row>
    <row r="774" spans="6:20" x14ac:dyDescent="0.35">
      <c r="F774" s="1">
        <f t="shared" si="138"/>
        <v>15.41999999999976</v>
      </c>
      <c r="G774">
        <f>1/2*$B$8*$B$6*$B$7*(Tabelle2[[#This Row],[vx]]*Tabelle2[[#This Row],[vx]]+Tabelle2[[#This Row],[vy]]*Tabelle2[[#This Row],[vy]])/1000000</f>
        <v>18.824674092805594</v>
      </c>
      <c r="H774">
        <f>IF($B$3,-Tabelle2[[#This Row],[Fd]]*Tabelle2[[#This Row],[vx]]/Tabelle2[[#This Row],[v]],0)</f>
        <v>0</v>
      </c>
      <c r="I774">
        <f t="shared" si="132"/>
        <v>0</v>
      </c>
      <c r="J774">
        <f t="shared" si="133"/>
        <v>0</v>
      </c>
      <c r="K774">
        <f t="shared" si="134"/>
        <v>1.0467394398169905</v>
      </c>
      <c r="L774">
        <f>-$B$5*$B$12-IF($B$3,Tabelle2[[#This Row],[Fd]]*Tabelle2[[#This Row],[vy]]/Tabelle2[[#This Row],[v]],0)</f>
        <v>-14.715</v>
      </c>
      <c r="M774">
        <f t="shared" si="135"/>
        <v>-9.81</v>
      </c>
      <c r="N774">
        <f t="shared" si="136"/>
        <v>-0.19620000000000001</v>
      </c>
      <c r="O774">
        <f t="shared" si="137"/>
        <v>-1.7799105120880487</v>
      </c>
      <c r="P774" s="1">
        <f t="shared" si="139"/>
        <v>52.336971990849527</v>
      </c>
      <c r="Q774" s="1">
        <f t="shared" si="140"/>
        <v>-88.897425604402429</v>
      </c>
      <c r="R774">
        <f>SQRT(Tabelle2[[#This Row],[vx]]*Tabelle2[[#This Row],[vx]]+Tabelle2[[#This Row],[vy]]*Tabelle2[[#This Row],[vy]])</f>
        <v>103.15963801924293</v>
      </c>
      <c r="S774">
        <f t="shared" si="141"/>
        <v>807.03610809889256</v>
      </c>
      <c r="T774" s="1">
        <f t="shared" si="142"/>
        <v>-202.79063603925485</v>
      </c>
    </row>
    <row r="775" spans="6:20" x14ac:dyDescent="0.35">
      <c r="F775" s="1">
        <f t="shared" si="138"/>
        <v>15.43999999999976</v>
      </c>
      <c r="G775">
        <f>1/2*$B$8*$B$6*$B$7*(Tabelle2[[#This Row],[vx]]*Tabelle2[[#This Row],[vx]]+Tabelle2[[#This Row],[vy]]*Tabelle2[[#This Row],[vy]])/1000000</f>
        <v>18.88644799242245</v>
      </c>
      <c r="H775">
        <f>IF($B$3,-Tabelle2[[#This Row],[Fd]]*Tabelle2[[#This Row],[vx]]/Tabelle2[[#This Row],[v]],0)</f>
        <v>0</v>
      </c>
      <c r="I775">
        <f t="shared" si="132"/>
        <v>0</v>
      </c>
      <c r="J775">
        <f t="shared" si="133"/>
        <v>0</v>
      </c>
      <c r="K775">
        <f t="shared" si="134"/>
        <v>1.0467394398169905</v>
      </c>
      <c r="L775">
        <f>-$B$5*$B$12-IF($B$3,Tabelle2[[#This Row],[Fd]]*Tabelle2[[#This Row],[vy]]/Tabelle2[[#This Row],[v]],0)</f>
        <v>-14.715</v>
      </c>
      <c r="M775">
        <f t="shared" si="135"/>
        <v>-9.81</v>
      </c>
      <c r="N775">
        <f t="shared" si="136"/>
        <v>-0.19620000000000001</v>
      </c>
      <c r="O775">
        <f t="shared" si="137"/>
        <v>-1.7838345120880488</v>
      </c>
      <c r="P775" s="1">
        <f t="shared" si="139"/>
        <v>52.336971990849527</v>
      </c>
      <c r="Q775" s="1">
        <f t="shared" si="140"/>
        <v>-89.093625604402433</v>
      </c>
      <c r="R775">
        <f>SQRT(Tabelle2[[#This Row],[vx]]*Tabelle2[[#This Row],[vx]]+Tabelle2[[#This Row],[vy]]*Tabelle2[[#This Row],[vy]])</f>
        <v>103.32876056794836</v>
      </c>
      <c r="S775">
        <f t="shared" si="141"/>
        <v>808.08284753870953</v>
      </c>
      <c r="T775" s="1">
        <f t="shared" si="142"/>
        <v>-204.57054655134289</v>
      </c>
    </row>
    <row r="776" spans="6:20" x14ac:dyDescent="0.35">
      <c r="F776" s="1">
        <f t="shared" si="138"/>
        <v>15.459999999999759</v>
      </c>
      <c r="G776">
        <f>1/2*$B$8*$B$6*$B$7*(Tabelle2[[#This Row],[vx]]*Tabelle2[[#This Row],[vx]]+Tabelle2[[#This Row],[vy]]*Tabelle2[[#This Row],[vy]])/1000000</f>
        <v>18.94835807910065</v>
      </c>
      <c r="H776">
        <f>IF($B$3,-Tabelle2[[#This Row],[Fd]]*Tabelle2[[#This Row],[vx]]/Tabelle2[[#This Row],[v]],0)</f>
        <v>0</v>
      </c>
      <c r="I776">
        <f t="shared" si="132"/>
        <v>0</v>
      </c>
      <c r="J776">
        <f t="shared" si="133"/>
        <v>0</v>
      </c>
      <c r="K776">
        <f t="shared" si="134"/>
        <v>1.0467394398169905</v>
      </c>
      <c r="L776">
        <f>-$B$5*$B$12-IF($B$3,Tabelle2[[#This Row],[Fd]]*Tabelle2[[#This Row],[vy]]/Tabelle2[[#This Row],[v]],0)</f>
        <v>-14.715</v>
      </c>
      <c r="M776">
        <f t="shared" si="135"/>
        <v>-9.81</v>
      </c>
      <c r="N776">
        <f t="shared" si="136"/>
        <v>-0.19620000000000001</v>
      </c>
      <c r="O776">
        <f t="shared" si="137"/>
        <v>-1.7877585120880488</v>
      </c>
      <c r="P776" s="1">
        <f t="shared" si="139"/>
        <v>52.336971990849527</v>
      </c>
      <c r="Q776" s="1">
        <f t="shared" si="140"/>
        <v>-89.289825604402438</v>
      </c>
      <c r="R776">
        <f>SQRT(Tabelle2[[#This Row],[vx]]*Tabelle2[[#This Row],[vx]]+Tabelle2[[#This Row],[vy]]*Tabelle2[[#This Row],[vy]])</f>
        <v>103.49797869347772</v>
      </c>
      <c r="S776">
        <f t="shared" si="141"/>
        <v>809.1295869785265</v>
      </c>
      <c r="T776" s="1">
        <f t="shared" si="142"/>
        <v>-206.35438106343094</v>
      </c>
    </row>
    <row r="777" spans="6:20" x14ac:dyDescent="0.35">
      <c r="F777" s="1">
        <f t="shared" si="138"/>
        <v>15.479999999999759</v>
      </c>
      <c r="G777">
        <f>1/2*$B$8*$B$6*$B$7*(Tabelle2[[#This Row],[vx]]*Tabelle2[[#This Row],[vx]]+Tabelle2[[#This Row],[vy]]*Tabelle2[[#This Row],[vy]])/1000000</f>
        <v>19.010404352840197</v>
      </c>
      <c r="H777">
        <f>IF($B$3,-Tabelle2[[#This Row],[Fd]]*Tabelle2[[#This Row],[vx]]/Tabelle2[[#This Row],[v]],0)</f>
        <v>0</v>
      </c>
      <c r="I777">
        <f t="shared" si="132"/>
        <v>0</v>
      </c>
      <c r="J777">
        <f t="shared" si="133"/>
        <v>0</v>
      </c>
      <c r="K777">
        <f t="shared" si="134"/>
        <v>1.0467394398169905</v>
      </c>
      <c r="L777">
        <f>-$B$5*$B$12-IF($B$3,Tabelle2[[#This Row],[Fd]]*Tabelle2[[#This Row],[vy]]/Tabelle2[[#This Row],[v]],0)</f>
        <v>-14.715</v>
      </c>
      <c r="M777">
        <f t="shared" si="135"/>
        <v>-9.81</v>
      </c>
      <c r="N777">
        <f t="shared" si="136"/>
        <v>-0.19620000000000001</v>
      </c>
      <c r="O777">
        <f t="shared" si="137"/>
        <v>-1.7916825120880489</v>
      </c>
      <c r="P777" s="1">
        <f t="shared" si="139"/>
        <v>52.336971990849527</v>
      </c>
      <c r="Q777" s="1">
        <f t="shared" si="140"/>
        <v>-89.486025604402442</v>
      </c>
      <c r="R777">
        <f>SQRT(Tabelle2[[#This Row],[vx]]*Tabelle2[[#This Row],[vx]]+Tabelle2[[#This Row],[vy]]*Tabelle2[[#This Row],[vy]])</f>
        <v>103.66729192779532</v>
      </c>
      <c r="S777">
        <f t="shared" si="141"/>
        <v>810.17632641834348</v>
      </c>
      <c r="T777" s="1">
        <f t="shared" si="142"/>
        <v>-208.142139575519</v>
      </c>
    </row>
    <row r="778" spans="6:20" x14ac:dyDescent="0.35">
      <c r="F778" s="1">
        <f t="shared" si="138"/>
        <v>15.499999999999758</v>
      </c>
      <c r="G778">
        <f>1/2*$B$8*$B$6*$B$7*(Tabelle2[[#This Row],[vx]]*Tabelle2[[#This Row],[vx]]+Tabelle2[[#This Row],[vy]]*Tabelle2[[#This Row],[vy]])/1000000</f>
        <v>19.072586813641085</v>
      </c>
      <c r="H778">
        <f>IF($B$3,-Tabelle2[[#This Row],[Fd]]*Tabelle2[[#This Row],[vx]]/Tabelle2[[#This Row],[v]],0)</f>
        <v>0</v>
      </c>
      <c r="I778">
        <f t="shared" si="132"/>
        <v>0</v>
      </c>
      <c r="J778">
        <f t="shared" si="133"/>
        <v>0</v>
      </c>
      <c r="K778">
        <f t="shared" si="134"/>
        <v>1.0467394398169905</v>
      </c>
      <c r="L778">
        <f>-$B$5*$B$12-IF($B$3,Tabelle2[[#This Row],[Fd]]*Tabelle2[[#This Row],[vy]]/Tabelle2[[#This Row],[v]],0)</f>
        <v>-14.715</v>
      </c>
      <c r="M778">
        <f t="shared" si="135"/>
        <v>-9.81</v>
      </c>
      <c r="N778">
        <f t="shared" si="136"/>
        <v>-0.19620000000000001</v>
      </c>
      <c r="O778">
        <f t="shared" si="137"/>
        <v>-1.7956065120880491</v>
      </c>
      <c r="P778" s="1">
        <f t="shared" si="139"/>
        <v>52.336971990849527</v>
      </c>
      <c r="Q778" s="1">
        <f t="shared" si="140"/>
        <v>-89.682225604402447</v>
      </c>
      <c r="R778">
        <f>SQRT(Tabelle2[[#This Row],[vx]]*Tabelle2[[#This Row],[vx]]+Tabelle2[[#This Row],[vy]]*Tabelle2[[#This Row],[vy]])</f>
        <v>103.83669980565593</v>
      </c>
      <c r="S778">
        <f t="shared" si="141"/>
        <v>811.22306585816045</v>
      </c>
      <c r="T778" s="1">
        <f t="shared" si="142"/>
        <v>-209.93382208760704</v>
      </c>
    </row>
    <row r="779" spans="6:20" x14ac:dyDescent="0.35">
      <c r="F779" s="1">
        <f t="shared" si="138"/>
        <v>15.519999999999758</v>
      </c>
      <c r="G779">
        <f>1/2*$B$8*$B$6*$B$7*(Tabelle2[[#This Row],[vx]]*Tabelle2[[#This Row],[vx]]+Tabelle2[[#This Row],[vy]]*Tabelle2[[#This Row],[vy]])/1000000</f>
        <v>19.134905461503319</v>
      </c>
      <c r="H779">
        <f>IF($B$3,-Tabelle2[[#This Row],[Fd]]*Tabelle2[[#This Row],[vx]]/Tabelle2[[#This Row],[v]],0)</f>
        <v>0</v>
      </c>
      <c r="I779">
        <f t="shared" si="132"/>
        <v>0</v>
      </c>
      <c r="J779">
        <f t="shared" si="133"/>
        <v>0</v>
      </c>
      <c r="K779">
        <f t="shared" si="134"/>
        <v>1.0467394398169905</v>
      </c>
      <c r="L779">
        <f>-$B$5*$B$12-IF($B$3,Tabelle2[[#This Row],[Fd]]*Tabelle2[[#This Row],[vy]]/Tabelle2[[#This Row],[v]],0)</f>
        <v>-14.715</v>
      </c>
      <c r="M779">
        <f t="shared" si="135"/>
        <v>-9.81</v>
      </c>
      <c r="N779">
        <f t="shared" si="136"/>
        <v>-0.19620000000000001</v>
      </c>
      <c r="O779">
        <f t="shared" si="137"/>
        <v>-1.7995305120880492</v>
      </c>
      <c r="P779" s="1">
        <f t="shared" si="139"/>
        <v>52.336971990849527</v>
      </c>
      <c r="Q779" s="1">
        <f t="shared" si="140"/>
        <v>-89.878425604402452</v>
      </c>
      <c r="R779">
        <f>SQRT(Tabelle2[[#This Row],[vx]]*Tabelle2[[#This Row],[vx]]+Tabelle2[[#This Row],[vy]]*Tabelle2[[#This Row],[vy]])</f>
        <v>104.0062018645863</v>
      </c>
      <c r="S779">
        <f t="shared" si="141"/>
        <v>812.26980529797743</v>
      </c>
      <c r="T779" s="1">
        <f t="shared" si="142"/>
        <v>-211.7294285996951</v>
      </c>
    </row>
    <row r="780" spans="6:20" x14ac:dyDescent="0.35">
      <c r="F780" s="1">
        <f t="shared" si="138"/>
        <v>15.539999999999758</v>
      </c>
      <c r="G780">
        <f>1/2*$B$8*$B$6*$B$7*(Tabelle2[[#This Row],[vx]]*Tabelle2[[#This Row],[vx]]+Tabelle2[[#This Row],[vy]]*Tabelle2[[#This Row],[vy]])/1000000</f>
        <v>19.197360296426897</v>
      </c>
      <c r="H780">
        <f>IF($B$3,-Tabelle2[[#This Row],[Fd]]*Tabelle2[[#This Row],[vx]]/Tabelle2[[#This Row],[v]],0)</f>
        <v>0</v>
      </c>
      <c r="I780">
        <f t="shared" si="132"/>
        <v>0</v>
      </c>
      <c r="J780">
        <f t="shared" si="133"/>
        <v>0</v>
      </c>
      <c r="K780">
        <f t="shared" si="134"/>
        <v>1.0467394398169905</v>
      </c>
      <c r="L780">
        <f>-$B$5*$B$12-IF($B$3,Tabelle2[[#This Row],[Fd]]*Tabelle2[[#This Row],[vy]]/Tabelle2[[#This Row],[v]],0)</f>
        <v>-14.715</v>
      </c>
      <c r="M780">
        <f t="shared" si="135"/>
        <v>-9.81</v>
      </c>
      <c r="N780">
        <f t="shared" si="136"/>
        <v>-0.19620000000000001</v>
      </c>
      <c r="O780">
        <f t="shared" si="137"/>
        <v>-1.8034545120880492</v>
      </c>
      <c r="P780" s="1">
        <f t="shared" si="139"/>
        <v>52.336971990849527</v>
      </c>
      <c r="Q780" s="1">
        <f t="shared" si="140"/>
        <v>-90.074625604402456</v>
      </c>
      <c r="R780">
        <f>SQRT(Tabelle2[[#This Row],[vx]]*Tabelle2[[#This Row],[vx]]+Tabelle2[[#This Row],[vy]]*Tabelle2[[#This Row],[vy]])</f>
        <v>104.17579764486683</v>
      </c>
      <c r="S780">
        <f t="shared" si="141"/>
        <v>813.3165447377944</v>
      </c>
      <c r="T780" s="1">
        <f t="shared" si="142"/>
        <v>-213.52895911178314</v>
      </c>
    </row>
    <row r="781" spans="6:20" x14ac:dyDescent="0.35">
      <c r="F781" s="1">
        <f t="shared" si="138"/>
        <v>15.559999999999757</v>
      </c>
      <c r="G781">
        <f>1/2*$B$8*$B$6*$B$7*(Tabelle2[[#This Row],[vx]]*Tabelle2[[#This Row],[vx]]+Tabelle2[[#This Row],[vy]]*Tabelle2[[#This Row],[vy]])/1000000</f>
        <v>19.259951318411819</v>
      </c>
      <c r="H781">
        <f>IF($B$3,-Tabelle2[[#This Row],[Fd]]*Tabelle2[[#This Row],[vx]]/Tabelle2[[#This Row],[v]],0)</f>
        <v>0</v>
      </c>
      <c r="I781">
        <f t="shared" si="132"/>
        <v>0</v>
      </c>
      <c r="J781">
        <f t="shared" si="133"/>
        <v>0</v>
      </c>
      <c r="K781">
        <f t="shared" si="134"/>
        <v>1.0467394398169905</v>
      </c>
      <c r="L781">
        <f>-$B$5*$B$12-IF($B$3,Tabelle2[[#This Row],[Fd]]*Tabelle2[[#This Row],[vy]]/Tabelle2[[#This Row],[v]],0)</f>
        <v>-14.715</v>
      </c>
      <c r="M781">
        <f t="shared" si="135"/>
        <v>-9.81</v>
      </c>
      <c r="N781">
        <f t="shared" si="136"/>
        <v>-0.19620000000000001</v>
      </c>
      <c r="O781">
        <f t="shared" si="137"/>
        <v>-1.8073785120880492</v>
      </c>
      <c r="P781" s="1">
        <f t="shared" si="139"/>
        <v>52.336971990849527</v>
      </c>
      <c r="Q781" s="1">
        <f t="shared" si="140"/>
        <v>-90.270825604402461</v>
      </c>
      <c r="R781">
        <f>SQRT(Tabelle2[[#This Row],[vx]]*Tabelle2[[#This Row],[vx]]+Tabelle2[[#This Row],[vy]]*Tabelle2[[#This Row],[vy]])</f>
        <v>104.34548668951336</v>
      </c>
      <c r="S781">
        <f t="shared" si="141"/>
        <v>814.36328417761138</v>
      </c>
      <c r="T781" s="1">
        <f t="shared" si="142"/>
        <v>-215.33241362387119</v>
      </c>
    </row>
    <row r="782" spans="6:20" x14ac:dyDescent="0.35">
      <c r="F782" s="1">
        <f t="shared" si="138"/>
        <v>15.579999999999757</v>
      </c>
      <c r="G782">
        <f>1/2*$B$8*$B$6*$B$7*(Tabelle2[[#This Row],[vx]]*Tabelle2[[#This Row],[vx]]+Tabelle2[[#This Row],[vy]]*Tabelle2[[#This Row],[vy]])/1000000</f>
        <v>19.322678527458084</v>
      </c>
      <c r="H782">
        <f>IF($B$3,-Tabelle2[[#This Row],[Fd]]*Tabelle2[[#This Row],[vx]]/Tabelle2[[#This Row],[v]],0)</f>
        <v>0</v>
      </c>
      <c r="I782">
        <f t="shared" si="132"/>
        <v>0</v>
      </c>
      <c r="J782">
        <f t="shared" si="133"/>
        <v>0</v>
      </c>
      <c r="K782">
        <f t="shared" si="134"/>
        <v>1.0467394398169905</v>
      </c>
      <c r="L782">
        <f>-$B$5*$B$12-IF($B$3,Tabelle2[[#This Row],[Fd]]*Tabelle2[[#This Row],[vy]]/Tabelle2[[#This Row],[v]],0)</f>
        <v>-14.715</v>
      </c>
      <c r="M782">
        <f t="shared" si="135"/>
        <v>-9.81</v>
      </c>
      <c r="N782">
        <f t="shared" si="136"/>
        <v>-0.19620000000000001</v>
      </c>
      <c r="O782">
        <f t="shared" si="137"/>
        <v>-1.8113025120880495</v>
      </c>
      <c r="P782" s="1">
        <f t="shared" si="139"/>
        <v>52.336971990849527</v>
      </c>
      <c r="Q782" s="1">
        <f t="shared" si="140"/>
        <v>-90.467025604402465</v>
      </c>
      <c r="R782">
        <f>SQRT(Tabelle2[[#This Row],[vx]]*Tabelle2[[#This Row],[vx]]+Tabelle2[[#This Row],[vy]]*Tabelle2[[#This Row],[vy]])</f>
        <v>104.51526854425902</v>
      </c>
      <c r="S782">
        <f t="shared" si="141"/>
        <v>815.41002361742835</v>
      </c>
      <c r="T782" s="1">
        <f t="shared" si="142"/>
        <v>-217.13979213595923</v>
      </c>
    </row>
    <row r="783" spans="6:20" x14ac:dyDescent="0.35">
      <c r="F783" s="1">
        <f t="shared" si="138"/>
        <v>15.599999999999756</v>
      </c>
      <c r="G783">
        <f>1/2*$B$8*$B$6*$B$7*(Tabelle2[[#This Row],[vx]]*Tabelle2[[#This Row],[vx]]+Tabelle2[[#This Row],[vy]]*Tabelle2[[#This Row],[vy]])/1000000</f>
        <v>19.38554192356569</v>
      </c>
      <c r="H783">
        <f>IF($B$3,-Tabelle2[[#This Row],[Fd]]*Tabelle2[[#This Row],[vx]]/Tabelle2[[#This Row],[v]],0)</f>
        <v>0</v>
      </c>
      <c r="I783">
        <f t="shared" si="132"/>
        <v>0</v>
      </c>
      <c r="J783">
        <f t="shared" si="133"/>
        <v>0</v>
      </c>
      <c r="K783">
        <f t="shared" si="134"/>
        <v>1.0467394398169905</v>
      </c>
      <c r="L783">
        <f>-$B$5*$B$12-IF($B$3,Tabelle2[[#This Row],[Fd]]*Tabelle2[[#This Row],[vy]]/Tabelle2[[#This Row],[v]],0)</f>
        <v>-14.715</v>
      </c>
      <c r="M783">
        <f t="shared" si="135"/>
        <v>-9.81</v>
      </c>
      <c r="N783">
        <f t="shared" si="136"/>
        <v>-0.19620000000000001</v>
      </c>
      <c r="O783">
        <f t="shared" si="137"/>
        <v>-1.8152265120880495</v>
      </c>
      <c r="P783" s="1">
        <f t="shared" si="139"/>
        <v>52.336971990849527</v>
      </c>
      <c r="Q783" s="1">
        <f t="shared" si="140"/>
        <v>-90.66322560440247</v>
      </c>
      <c r="R783">
        <f>SQRT(Tabelle2[[#This Row],[vx]]*Tabelle2[[#This Row],[vx]]+Tabelle2[[#This Row],[vy]]*Tabelle2[[#This Row],[vy]])</f>
        <v>104.68514275753625</v>
      </c>
      <c r="S783">
        <f t="shared" si="141"/>
        <v>816.45676305724533</v>
      </c>
      <c r="T783" s="1">
        <f t="shared" si="142"/>
        <v>-218.95109464804727</v>
      </c>
    </row>
    <row r="784" spans="6:20" x14ac:dyDescent="0.35">
      <c r="F784" s="1">
        <f t="shared" si="138"/>
        <v>15.619999999999756</v>
      </c>
      <c r="G784">
        <f>1/2*$B$8*$B$6*$B$7*(Tabelle2[[#This Row],[vx]]*Tabelle2[[#This Row],[vx]]+Tabelle2[[#This Row],[vy]]*Tabelle2[[#This Row],[vy]])/1000000</f>
        <v>19.448541506734646</v>
      </c>
      <c r="H784">
        <f>IF($B$3,-Tabelle2[[#This Row],[Fd]]*Tabelle2[[#This Row],[vx]]/Tabelle2[[#This Row],[v]],0)</f>
        <v>0</v>
      </c>
      <c r="I784">
        <f t="shared" si="132"/>
        <v>0</v>
      </c>
      <c r="J784">
        <f t="shared" si="133"/>
        <v>0</v>
      </c>
      <c r="K784">
        <f t="shared" si="134"/>
        <v>1.0467394398169905</v>
      </c>
      <c r="L784">
        <f>-$B$5*$B$12-IF($B$3,Tabelle2[[#This Row],[Fd]]*Tabelle2[[#This Row],[vy]]/Tabelle2[[#This Row],[v]],0)</f>
        <v>-14.715</v>
      </c>
      <c r="M784">
        <f t="shared" si="135"/>
        <v>-9.81</v>
      </c>
      <c r="N784">
        <f t="shared" si="136"/>
        <v>-0.19620000000000001</v>
      </c>
      <c r="O784">
        <f t="shared" si="137"/>
        <v>-1.8191505120880496</v>
      </c>
      <c r="P784" s="1">
        <f t="shared" si="139"/>
        <v>52.336971990849527</v>
      </c>
      <c r="Q784" s="1">
        <f t="shared" si="140"/>
        <v>-90.859425604402475</v>
      </c>
      <c r="R784">
        <f>SQRT(Tabelle2[[#This Row],[vx]]*Tabelle2[[#This Row],[vx]]+Tabelle2[[#This Row],[vy]]*Tabelle2[[#This Row],[vy]])</f>
        <v>104.85510888045901</v>
      </c>
      <c r="S784">
        <f t="shared" si="141"/>
        <v>817.5035024970623</v>
      </c>
      <c r="T784" s="1">
        <f t="shared" si="142"/>
        <v>-220.76632116013533</v>
      </c>
    </row>
    <row r="785" spans="6:20" x14ac:dyDescent="0.35">
      <c r="F785" s="1">
        <f t="shared" si="138"/>
        <v>15.639999999999755</v>
      </c>
      <c r="G785">
        <f>1/2*$B$8*$B$6*$B$7*(Tabelle2[[#This Row],[vx]]*Tabelle2[[#This Row],[vx]]+Tabelle2[[#This Row],[vy]]*Tabelle2[[#This Row],[vy]])/1000000</f>
        <v>19.511677276964942</v>
      </c>
      <c r="H785">
        <f>IF($B$3,-Tabelle2[[#This Row],[Fd]]*Tabelle2[[#This Row],[vx]]/Tabelle2[[#This Row],[v]],0)</f>
        <v>0</v>
      </c>
      <c r="I785">
        <f t="shared" si="132"/>
        <v>0</v>
      </c>
      <c r="J785">
        <f t="shared" si="133"/>
        <v>0</v>
      </c>
      <c r="K785">
        <f t="shared" si="134"/>
        <v>1.0467394398169905</v>
      </c>
      <c r="L785">
        <f>-$B$5*$B$12-IF($B$3,Tabelle2[[#This Row],[Fd]]*Tabelle2[[#This Row],[vy]]/Tabelle2[[#This Row],[v]],0)</f>
        <v>-14.715</v>
      </c>
      <c r="M785">
        <f t="shared" si="135"/>
        <v>-9.81</v>
      </c>
      <c r="N785">
        <f t="shared" si="136"/>
        <v>-0.19620000000000001</v>
      </c>
      <c r="O785">
        <f t="shared" si="137"/>
        <v>-1.8230745120880496</v>
      </c>
      <c r="P785" s="1">
        <f t="shared" si="139"/>
        <v>52.336971990849527</v>
      </c>
      <c r="Q785" s="1">
        <f t="shared" si="140"/>
        <v>-91.055625604402479</v>
      </c>
      <c r="R785">
        <f>SQRT(Tabelle2[[#This Row],[vx]]*Tabelle2[[#This Row],[vx]]+Tabelle2[[#This Row],[vy]]*Tabelle2[[#This Row],[vy]])</f>
        <v>105.02516646680492</v>
      </c>
      <c r="S785">
        <f t="shared" si="141"/>
        <v>818.55024193687927</v>
      </c>
      <c r="T785" s="1">
        <f t="shared" si="142"/>
        <v>-222.58547167222338</v>
      </c>
    </row>
    <row r="786" spans="6:20" x14ac:dyDescent="0.35">
      <c r="F786" s="1">
        <f t="shared" si="138"/>
        <v>15.659999999999755</v>
      </c>
      <c r="G786">
        <f>1/2*$B$8*$B$6*$B$7*(Tabelle2[[#This Row],[vx]]*Tabelle2[[#This Row],[vx]]+Tabelle2[[#This Row],[vy]]*Tabelle2[[#This Row],[vy]])/1000000</f>
        <v>19.574949234256586</v>
      </c>
      <c r="H786">
        <f>IF($B$3,-Tabelle2[[#This Row],[Fd]]*Tabelle2[[#This Row],[vx]]/Tabelle2[[#This Row],[v]],0)</f>
        <v>0</v>
      </c>
      <c r="I786">
        <f t="shared" si="132"/>
        <v>0</v>
      </c>
      <c r="J786">
        <f t="shared" si="133"/>
        <v>0</v>
      </c>
      <c r="K786">
        <f t="shared" si="134"/>
        <v>1.0467394398169905</v>
      </c>
      <c r="L786">
        <f>-$B$5*$B$12-IF($B$3,Tabelle2[[#This Row],[Fd]]*Tabelle2[[#This Row],[vy]]/Tabelle2[[#This Row],[v]],0)</f>
        <v>-14.715</v>
      </c>
      <c r="M786">
        <f t="shared" si="135"/>
        <v>-9.81</v>
      </c>
      <c r="N786">
        <f t="shared" si="136"/>
        <v>-0.19620000000000001</v>
      </c>
      <c r="O786">
        <f t="shared" si="137"/>
        <v>-1.8269985120880499</v>
      </c>
      <c r="P786" s="1">
        <f t="shared" si="139"/>
        <v>52.336971990849527</v>
      </c>
      <c r="Q786" s="1">
        <f t="shared" si="140"/>
        <v>-91.251825604402484</v>
      </c>
      <c r="R786">
        <f>SQRT(Tabelle2[[#This Row],[vx]]*Tabelle2[[#This Row],[vx]]+Tabelle2[[#This Row],[vy]]*Tabelle2[[#This Row],[vy]])</f>
        <v>105.19531507299767</v>
      </c>
      <c r="S786">
        <f t="shared" si="141"/>
        <v>819.59698137669625</v>
      </c>
      <c r="T786" s="1">
        <f t="shared" si="142"/>
        <v>-224.40854618431143</v>
      </c>
    </row>
    <row r="787" spans="6:20" x14ac:dyDescent="0.35">
      <c r="F787" s="1">
        <f t="shared" si="138"/>
        <v>15.679999999999755</v>
      </c>
      <c r="G787">
        <f>1/2*$B$8*$B$6*$B$7*(Tabelle2[[#This Row],[vx]]*Tabelle2[[#This Row],[vx]]+Tabelle2[[#This Row],[vy]]*Tabelle2[[#This Row],[vy]])/1000000</f>
        <v>19.638357378609573</v>
      </c>
      <c r="H787">
        <f>IF($B$3,-Tabelle2[[#This Row],[Fd]]*Tabelle2[[#This Row],[vx]]/Tabelle2[[#This Row],[v]],0)</f>
        <v>0</v>
      </c>
      <c r="I787">
        <f t="shared" si="132"/>
        <v>0</v>
      </c>
      <c r="J787">
        <f t="shared" si="133"/>
        <v>0</v>
      </c>
      <c r="K787">
        <f t="shared" si="134"/>
        <v>1.0467394398169905</v>
      </c>
      <c r="L787">
        <f>-$B$5*$B$12-IF($B$3,Tabelle2[[#This Row],[Fd]]*Tabelle2[[#This Row],[vy]]/Tabelle2[[#This Row],[v]],0)</f>
        <v>-14.715</v>
      </c>
      <c r="M787">
        <f t="shared" si="135"/>
        <v>-9.81</v>
      </c>
      <c r="N787">
        <f t="shared" si="136"/>
        <v>-0.19620000000000001</v>
      </c>
      <c r="O787">
        <f t="shared" si="137"/>
        <v>-1.8309225120880499</v>
      </c>
      <c r="P787" s="1">
        <f t="shared" si="139"/>
        <v>52.336971990849527</v>
      </c>
      <c r="Q787" s="1">
        <f t="shared" si="140"/>
        <v>-91.448025604402488</v>
      </c>
      <c r="R787">
        <f>SQRT(Tabelle2[[#This Row],[vx]]*Tabelle2[[#This Row],[vx]]+Tabelle2[[#This Row],[vy]]*Tabelle2[[#This Row],[vy]])</f>
        <v>105.36555425808959</v>
      </c>
      <c r="S787">
        <f t="shared" si="141"/>
        <v>820.64372081651322</v>
      </c>
      <c r="T787" s="1">
        <f t="shared" si="142"/>
        <v>-226.23554469639947</v>
      </c>
    </row>
    <row r="788" spans="6:20" x14ac:dyDescent="0.35">
      <c r="F788" s="1">
        <f t="shared" si="138"/>
        <v>15.699999999999754</v>
      </c>
      <c r="G788">
        <f>1/2*$B$8*$B$6*$B$7*(Tabelle2[[#This Row],[vx]]*Tabelle2[[#This Row],[vx]]+Tabelle2[[#This Row],[vy]]*Tabelle2[[#This Row],[vy]])/1000000</f>
        <v>19.701901710023897</v>
      </c>
      <c r="H788">
        <f>IF($B$3,-Tabelle2[[#This Row],[Fd]]*Tabelle2[[#This Row],[vx]]/Tabelle2[[#This Row],[v]],0)</f>
        <v>0</v>
      </c>
      <c r="I788">
        <f t="shared" si="132"/>
        <v>0</v>
      </c>
      <c r="J788">
        <f t="shared" si="133"/>
        <v>0</v>
      </c>
      <c r="K788">
        <f t="shared" si="134"/>
        <v>1.0467394398169905</v>
      </c>
      <c r="L788">
        <f>-$B$5*$B$12-IF($B$3,Tabelle2[[#This Row],[Fd]]*Tabelle2[[#This Row],[vy]]/Tabelle2[[#This Row],[v]],0)</f>
        <v>-14.715</v>
      </c>
      <c r="M788">
        <f t="shared" si="135"/>
        <v>-9.81</v>
      </c>
      <c r="N788">
        <f t="shared" si="136"/>
        <v>-0.19620000000000001</v>
      </c>
      <c r="O788">
        <f t="shared" si="137"/>
        <v>-1.8348465120880499</v>
      </c>
      <c r="P788" s="1">
        <f t="shared" si="139"/>
        <v>52.336971990849527</v>
      </c>
      <c r="Q788" s="1">
        <f t="shared" si="140"/>
        <v>-91.644225604402493</v>
      </c>
      <c r="R788">
        <f>SQRT(Tabelle2[[#This Row],[vx]]*Tabelle2[[#This Row],[vx]]+Tabelle2[[#This Row],[vy]]*Tabelle2[[#This Row],[vy]])</f>
        <v>105.53588358374411</v>
      </c>
      <c r="S788">
        <f t="shared" si="141"/>
        <v>821.6904602563302</v>
      </c>
      <c r="T788" s="1">
        <f t="shared" si="142"/>
        <v>-228.06646720848752</v>
      </c>
    </row>
    <row r="789" spans="6:20" x14ac:dyDescent="0.35">
      <c r="F789" s="1">
        <f t="shared" si="138"/>
        <v>15.719999999999754</v>
      </c>
      <c r="G789">
        <f>1/2*$B$8*$B$6*$B$7*(Tabelle2[[#This Row],[vx]]*Tabelle2[[#This Row],[vx]]+Tabelle2[[#This Row],[vy]]*Tabelle2[[#This Row],[vy]])/1000000</f>
        <v>19.765582228499571</v>
      </c>
      <c r="H789">
        <f>IF($B$3,-Tabelle2[[#This Row],[Fd]]*Tabelle2[[#This Row],[vx]]/Tabelle2[[#This Row],[v]],0)</f>
        <v>0</v>
      </c>
      <c r="I789">
        <f t="shared" si="132"/>
        <v>0</v>
      </c>
      <c r="J789">
        <f t="shared" si="133"/>
        <v>0</v>
      </c>
      <c r="K789">
        <f t="shared" si="134"/>
        <v>1.0467394398169905</v>
      </c>
      <c r="L789">
        <f>-$B$5*$B$12-IF($B$3,Tabelle2[[#This Row],[Fd]]*Tabelle2[[#This Row],[vy]]/Tabelle2[[#This Row],[v]],0)</f>
        <v>-14.715</v>
      </c>
      <c r="M789">
        <f t="shared" si="135"/>
        <v>-9.81</v>
      </c>
      <c r="N789">
        <f t="shared" si="136"/>
        <v>-0.19620000000000001</v>
      </c>
      <c r="O789">
        <f t="shared" si="137"/>
        <v>-1.83877051208805</v>
      </c>
      <c r="P789" s="1">
        <f t="shared" si="139"/>
        <v>52.336971990849527</v>
      </c>
      <c r="Q789" s="1">
        <f t="shared" si="140"/>
        <v>-91.840425604402498</v>
      </c>
      <c r="R789">
        <f>SQRT(Tabelle2[[#This Row],[vx]]*Tabelle2[[#This Row],[vx]]+Tabelle2[[#This Row],[vy]]*Tabelle2[[#This Row],[vy]])</f>
        <v>105.7063026142186</v>
      </c>
      <c r="S789">
        <f t="shared" si="141"/>
        <v>822.73719969614717</v>
      </c>
      <c r="T789" s="1">
        <f t="shared" si="142"/>
        <v>-229.90131372057559</v>
      </c>
    </row>
    <row r="790" spans="6:20" x14ac:dyDescent="0.35">
      <c r="F790" s="1">
        <f t="shared" si="138"/>
        <v>15.739999999999753</v>
      </c>
      <c r="G790">
        <f>1/2*$B$8*$B$6*$B$7*(Tabelle2[[#This Row],[vx]]*Tabelle2[[#This Row],[vx]]+Tabelle2[[#This Row],[vy]]*Tabelle2[[#This Row],[vy]])/1000000</f>
        <v>19.829398934036593</v>
      </c>
      <c r="H790">
        <f>IF($B$3,-Tabelle2[[#This Row],[Fd]]*Tabelle2[[#This Row],[vx]]/Tabelle2[[#This Row],[v]],0)</f>
        <v>0</v>
      </c>
      <c r="I790">
        <f t="shared" si="132"/>
        <v>0</v>
      </c>
      <c r="J790">
        <f t="shared" si="133"/>
        <v>0</v>
      </c>
      <c r="K790">
        <f t="shared" si="134"/>
        <v>1.0467394398169905</v>
      </c>
      <c r="L790">
        <f>-$B$5*$B$12-IF($B$3,Tabelle2[[#This Row],[Fd]]*Tabelle2[[#This Row],[vy]]/Tabelle2[[#This Row],[v]],0)</f>
        <v>-14.715</v>
      </c>
      <c r="M790">
        <f t="shared" si="135"/>
        <v>-9.81</v>
      </c>
      <c r="N790">
        <f t="shared" si="136"/>
        <v>-0.19620000000000001</v>
      </c>
      <c r="O790">
        <f t="shared" si="137"/>
        <v>-1.84269451208805</v>
      </c>
      <c r="P790" s="1">
        <f t="shared" si="139"/>
        <v>52.336971990849527</v>
      </c>
      <c r="Q790" s="1">
        <f t="shared" si="140"/>
        <v>-92.036625604402502</v>
      </c>
      <c r="R790">
        <f>SQRT(Tabelle2[[#This Row],[vx]]*Tabelle2[[#This Row],[vx]]+Tabelle2[[#This Row],[vy]]*Tabelle2[[#This Row],[vy]])</f>
        <v>105.87681091634715</v>
      </c>
      <c r="S790">
        <f t="shared" si="141"/>
        <v>823.78393913596415</v>
      </c>
      <c r="T790" s="1">
        <f t="shared" si="142"/>
        <v>-231.74008423266363</v>
      </c>
    </row>
    <row r="791" spans="6:20" x14ac:dyDescent="0.35">
      <c r="F791" s="1">
        <f t="shared" si="138"/>
        <v>15.759999999999753</v>
      </c>
      <c r="G791">
        <f>1/2*$B$8*$B$6*$B$7*(Tabelle2[[#This Row],[vx]]*Tabelle2[[#This Row],[vx]]+Tabelle2[[#This Row],[vy]]*Tabelle2[[#This Row],[vy]])/1000000</f>
        <v>19.893351826634952</v>
      </c>
      <c r="H791">
        <f>IF($B$3,-Tabelle2[[#This Row],[Fd]]*Tabelle2[[#This Row],[vx]]/Tabelle2[[#This Row],[v]],0)</f>
        <v>0</v>
      </c>
      <c r="I791">
        <f t="shared" si="132"/>
        <v>0</v>
      </c>
      <c r="J791">
        <f t="shared" si="133"/>
        <v>0</v>
      </c>
      <c r="K791">
        <f t="shared" si="134"/>
        <v>1.0467394398169905</v>
      </c>
      <c r="L791">
        <f>-$B$5*$B$12-IF($B$3,Tabelle2[[#This Row],[Fd]]*Tabelle2[[#This Row],[vy]]/Tabelle2[[#This Row],[v]],0)</f>
        <v>-14.715</v>
      </c>
      <c r="M791">
        <f t="shared" si="135"/>
        <v>-9.81</v>
      </c>
      <c r="N791">
        <f t="shared" si="136"/>
        <v>-0.19620000000000001</v>
      </c>
      <c r="O791">
        <f t="shared" si="137"/>
        <v>-1.8466185120880503</v>
      </c>
      <c r="P791" s="1">
        <f t="shared" si="139"/>
        <v>52.336971990849527</v>
      </c>
      <c r="Q791" s="1">
        <f t="shared" si="140"/>
        <v>-92.232825604402507</v>
      </c>
      <c r="R791">
        <f>SQRT(Tabelle2[[#This Row],[vx]]*Tabelle2[[#This Row],[vx]]+Tabelle2[[#This Row],[vy]]*Tabelle2[[#This Row],[vy]])</f>
        <v>106.04740805952352</v>
      </c>
      <c r="S791">
        <f t="shared" si="141"/>
        <v>824.83067857578112</v>
      </c>
      <c r="T791" s="1">
        <f t="shared" si="142"/>
        <v>-233.58277874475169</v>
      </c>
    </row>
    <row r="792" spans="6:20" x14ac:dyDescent="0.35">
      <c r="F792" s="1">
        <f t="shared" si="138"/>
        <v>15.779999999999752</v>
      </c>
      <c r="G792">
        <f>1/2*$B$8*$B$6*$B$7*(Tabelle2[[#This Row],[vx]]*Tabelle2[[#This Row],[vx]]+Tabelle2[[#This Row],[vy]]*Tabelle2[[#This Row],[vy]])/1000000</f>
        <v>19.957440906294657</v>
      </c>
      <c r="H792">
        <f>IF($B$3,-Tabelle2[[#This Row],[Fd]]*Tabelle2[[#This Row],[vx]]/Tabelle2[[#This Row],[v]],0)</f>
        <v>0</v>
      </c>
      <c r="I792">
        <f t="shared" si="132"/>
        <v>0</v>
      </c>
      <c r="J792">
        <f t="shared" si="133"/>
        <v>0</v>
      </c>
      <c r="K792">
        <f t="shared" si="134"/>
        <v>1.0467394398169905</v>
      </c>
      <c r="L792">
        <f>-$B$5*$B$12-IF($B$3,Tabelle2[[#This Row],[Fd]]*Tabelle2[[#This Row],[vy]]/Tabelle2[[#This Row],[v]],0)</f>
        <v>-14.715</v>
      </c>
      <c r="M792">
        <f t="shared" si="135"/>
        <v>-9.81</v>
      </c>
      <c r="N792">
        <f t="shared" si="136"/>
        <v>-0.19620000000000001</v>
      </c>
      <c r="O792">
        <f t="shared" si="137"/>
        <v>-1.8505425120880503</v>
      </c>
      <c r="P792" s="1">
        <f t="shared" si="139"/>
        <v>52.336971990849527</v>
      </c>
      <c r="Q792" s="1">
        <f t="shared" si="140"/>
        <v>-92.429025604402511</v>
      </c>
      <c r="R792">
        <f>SQRT(Tabelle2[[#This Row],[vx]]*Tabelle2[[#This Row],[vx]]+Tabelle2[[#This Row],[vy]]*Tabelle2[[#This Row],[vy]])</f>
        <v>106.21809361568425</v>
      </c>
      <c r="S792">
        <f t="shared" si="141"/>
        <v>825.8774180155981</v>
      </c>
      <c r="T792" s="1">
        <f t="shared" si="142"/>
        <v>-235.42939725683974</v>
      </c>
    </row>
    <row r="793" spans="6:20" x14ac:dyDescent="0.35">
      <c r="F793" s="1">
        <f t="shared" si="138"/>
        <v>15.799999999999752</v>
      </c>
      <c r="G793">
        <f>1/2*$B$8*$B$6*$B$7*(Tabelle2[[#This Row],[vx]]*Tabelle2[[#This Row],[vx]]+Tabelle2[[#This Row],[vy]]*Tabelle2[[#This Row],[vy]])/1000000</f>
        <v>20.02166617301571</v>
      </c>
      <c r="H793">
        <f>IF($B$3,-Tabelle2[[#This Row],[Fd]]*Tabelle2[[#This Row],[vx]]/Tabelle2[[#This Row],[v]],0)</f>
        <v>0</v>
      </c>
      <c r="I793">
        <f t="shared" si="132"/>
        <v>0</v>
      </c>
      <c r="J793">
        <f t="shared" si="133"/>
        <v>0</v>
      </c>
      <c r="K793">
        <f t="shared" si="134"/>
        <v>1.0467394398169905</v>
      </c>
      <c r="L793">
        <f>-$B$5*$B$12-IF($B$3,Tabelle2[[#This Row],[Fd]]*Tabelle2[[#This Row],[vy]]/Tabelle2[[#This Row],[v]],0)</f>
        <v>-14.715</v>
      </c>
      <c r="M793">
        <f t="shared" si="135"/>
        <v>-9.81</v>
      </c>
      <c r="N793">
        <f t="shared" si="136"/>
        <v>-0.19620000000000001</v>
      </c>
      <c r="O793">
        <f t="shared" si="137"/>
        <v>-1.8544665120880504</v>
      </c>
      <c r="P793" s="1">
        <f t="shared" si="139"/>
        <v>52.336971990849527</v>
      </c>
      <c r="Q793" s="1">
        <f t="shared" si="140"/>
        <v>-92.625225604402516</v>
      </c>
      <c r="R793">
        <f>SQRT(Tabelle2[[#This Row],[vx]]*Tabelle2[[#This Row],[vx]]+Tabelle2[[#This Row],[vy]]*Tabelle2[[#This Row],[vy]])</f>
        <v>106.38886715929178</v>
      </c>
      <c r="S793">
        <f t="shared" si="141"/>
        <v>826.92415745541507</v>
      </c>
      <c r="T793" s="1">
        <f t="shared" si="142"/>
        <v>-237.27993976892779</v>
      </c>
    </row>
    <row r="794" spans="6:20" x14ac:dyDescent="0.35">
      <c r="F794" s="1">
        <f t="shared" si="138"/>
        <v>15.819999999999752</v>
      </c>
      <c r="G794">
        <f>1/2*$B$8*$B$6*$B$7*(Tabelle2[[#This Row],[vx]]*Tabelle2[[#This Row],[vx]]+Tabelle2[[#This Row],[vy]]*Tabelle2[[#This Row],[vy]])/1000000</f>
        <v>20.086027626798099</v>
      </c>
      <c r="H794">
        <f>IF($B$3,-Tabelle2[[#This Row],[Fd]]*Tabelle2[[#This Row],[vx]]/Tabelle2[[#This Row],[v]],0)</f>
        <v>0</v>
      </c>
      <c r="I794">
        <f t="shared" si="132"/>
        <v>0</v>
      </c>
      <c r="J794">
        <f t="shared" si="133"/>
        <v>0</v>
      </c>
      <c r="K794">
        <f t="shared" si="134"/>
        <v>1.0467394398169905</v>
      </c>
      <c r="L794">
        <f>-$B$5*$B$12-IF($B$3,Tabelle2[[#This Row],[Fd]]*Tabelle2[[#This Row],[vy]]/Tabelle2[[#This Row],[v]],0)</f>
        <v>-14.715</v>
      </c>
      <c r="M794">
        <f t="shared" si="135"/>
        <v>-9.81</v>
      </c>
      <c r="N794">
        <f t="shared" si="136"/>
        <v>-0.19620000000000001</v>
      </c>
      <c r="O794">
        <f t="shared" si="137"/>
        <v>-1.8583905120880504</v>
      </c>
      <c r="P794" s="1">
        <f t="shared" si="139"/>
        <v>52.336971990849527</v>
      </c>
      <c r="Q794" s="1">
        <f t="shared" si="140"/>
        <v>-92.821425604402521</v>
      </c>
      <c r="R794">
        <f>SQRT(Tabelle2[[#This Row],[vx]]*Tabelle2[[#This Row],[vx]]+Tabelle2[[#This Row],[vy]]*Tabelle2[[#This Row],[vy]])</f>
        <v>106.55972826731775</v>
      </c>
      <c r="S794">
        <f t="shared" si="141"/>
        <v>827.97089689523204</v>
      </c>
      <c r="T794" s="1">
        <f t="shared" si="142"/>
        <v>-239.13440628101583</v>
      </c>
    </row>
    <row r="795" spans="6:20" x14ac:dyDescent="0.35">
      <c r="F795" s="1">
        <f t="shared" si="138"/>
        <v>15.839999999999751</v>
      </c>
      <c r="G795">
        <f>1/2*$B$8*$B$6*$B$7*(Tabelle2[[#This Row],[vx]]*Tabelle2[[#This Row],[vx]]+Tabelle2[[#This Row],[vy]]*Tabelle2[[#This Row],[vy]])/1000000</f>
        <v>20.150525267641839</v>
      </c>
      <c r="H795">
        <f>IF($B$3,-Tabelle2[[#This Row],[Fd]]*Tabelle2[[#This Row],[vx]]/Tabelle2[[#This Row],[v]],0)</f>
        <v>0</v>
      </c>
      <c r="I795">
        <f t="shared" si="132"/>
        <v>0</v>
      </c>
      <c r="J795">
        <f t="shared" si="133"/>
        <v>0</v>
      </c>
      <c r="K795">
        <f t="shared" si="134"/>
        <v>1.0467394398169905</v>
      </c>
      <c r="L795">
        <f>-$B$5*$B$12-IF($B$3,Tabelle2[[#This Row],[Fd]]*Tabelle2[[#This Row],[vy]]/Tabelle2[[#This Row],[v]],0)</f>
        <v>-14.715</v>
      </c>
      <c r="M795">
        <f t="shared" si="135"/>
        <v>-9.81</v>
      </c>
      <c r="N795">
        <f t="shared" si="136"/>
        <v>-0.19620000000000001</v>
      </c>
      <c r="O795">
        <f t="shared" si="137"/>
        <v>-1.8623145120880507</v>
      </c>
      <c r="P795" s="1">
        <f t="shared" si="139"/>
        <v>52.336971990849527</v>
      </c>
      <c r="Q795" s="1">
        <f t="shared" si="140"/>
        <v>-93.017625604402525</v>
      </c>
      <c r="R795">
        <f>SQRT(Tabelle2[[#This Row],[vx]]*Tabelle2[[#This Row],[vx]]+Tabelle2[[#This Row],[vy]]*Tabelle2[[#This Row],[vy]])</f>
        <v>106.73067651922651</v>
      </c>
      <c r="S795">
        <f t="shared" si="141"/>
        <v>829.01763633504902</v>
      </c>
      <c r="T795" s="1">
        <f t="shared" si="142"/>
        <v>-240.99279679310388</v>
      </c>
    </row>
    <row r="796" spans="6:20" x14ac:dyDescent="0.35">
      <c r="F796" s="1">
        <f t="shared" si="138"/>
        <v>15.859999999999751</v>
      </c>
      <c r="G796">
        <f>1/2*$B$8*$B$6*$B$7*(Tabelle2[[#This Row],[vx]]*Tabelle2[[#This Row],[vx]]+Tabelle2[[#This Row],[vy]]*Tabelle2[[#This Row],[vy]])/1000000</f>
        <v>20.21515909554692</v>
      </c>
      <c r="H796">
        <f>IF($B$3,-Tabelle2[[#This Row],[Fd]]*Tabelle2[[#This Row],[vx]]/Tabelle2[[#This Row],[v]],0)</f>
        <v>0</v>
      </c>
      <c r="I796">
        <f t="shared" si="132"/>
        <v>0</v>
      </c>
      <c r="J796">
        <f t="shared" si="133"/>
        <v>0</v>
      </c>
      <c r="K796">
        <f t="shared" si="134"/>
        <v>1.0467394398169905</v>
      </c>
      <c r="L796">
        <f>-$B$5*$B$12-IF($B$3,Tabelle2[[#This Row],[Fd]]*Tabelle2[[#This Row],[vy]]/Tabelle2[[#This Row],[v]],0)</f>
        <v>-14.715</v>
      </c>
      <c r="M796">
        <f t="shared" si="135"/>
        <v>-9.81</v>
      </c>
      <c r="N796">
        <f t="shared" si="136"/>
        <v>-0.19620000000000001</v>
      </c>
      <c r="O796">
        <f t="shared" si="137"/>
        <v>-1.8662385120880507</v>
      </c>
      <c r="P796" s="1">
        <f t="shared" si="139"/>
        <v>52.336971990849527</v>
      </c>
      <c r="Q796" s="1">
        <f t="shared" si="140"/>
        <v>-93.21382560440253</v>
      </c>
      <c r="R796">
        <f>SQRT(Tabelle2[[#This Row],[vx]]*Tabelle2[[#This Row],[vx]]+Tabelle2[[#This Row],[vy]]*Tabelle2[[#This Row],[vy]])</f>
        <v>106.90171149695844</v>
      </c>
      <c r="S796">
        <f t="shared" si="141"/>
        <v>830.06437577486599</v>
      </c>
      <c r="T796" s="1">
        <f t="shared" si="142"/>
        <v>-242.85511130519194</v>
      </c>
    </row>
    <row r="797" spans="6:20" x14ac:dyDescent="0.35">
      <c r="F797" s="1">
        <f t="shared" si="138"/>
        <v>15.87999999999975</v>
      </c>
      <c r="G797">
        <f>1/2*$B$8*$B$6*$B$7*(Tabelle2[[#This Row],[vx]]*Tabelle2[[#This Row],[vx]]+Tabelle2[[#This Row],[vy]]*Tabelle2[[#This Row],[vy]])/1000000</f>
        <v>20.279929110513343</v>
      </c>
      <c r="H797">
        <f>IF($B$3,-Tabelle2[[#This Row],[Fd]]*Tabelle2[[#This Row],[vx]]/Tabelle2[[#This Row],[v]],0)</f>
        <v>0</v>
      </c>
      <c r="I797">
        <f t="shared" si="132"/>
        <v>0</v>
      </c>
      <c r="J797">
        <f t="shared" si="133"/>
        <v>0</v>
      </c>
      <c r="K797">
        <f t="shared" si="134"/>
        <v>1.0467394398169905</v>
      </c>
      <c r="L797">
        <f>-$B$5*$B$12-IF($B$3,Tabelle2[[#This Row],[Fd]]*Tabelle2[[#This Row],[vy]]/Tabelle2[[#This Row],[v]],0)</f>
        <v>-14.715</v>
      </c>
      <c r="M797">
        <f t="shared" si="135"/>
        <v>-9.81</v>
      </c>
      <c r="N797">
        <f t="shared" si="136"/>
        <v>-0.19620000000000001</v>
      </c>
      <c r="O797">
        <f t="shared" si="137"/>
        <v>-1.8701625120880507</v>
      </c>
      <c r="P797" s="1">
        <f t="shared" si="139"/>
        <v>52.336971990849527</v>
      </c>
      <c r="Q797" s="1">
        <f t="shared" si="140"/>
        <v>-93.410025604402534</v>
      </c>
      <c r="R797">
        <f>SQRT(Tabelle2[[#This Row],[vx]]*Tabelle2[[#This Row],[vx]]+Tabelle2[[#This Row],[vy]]*Tabelle2[[#This Row],[vy]])</f>
        <v>107.07283278491376</v>
      </c>
      <c r="S797">
        <f t="shared" si="141"/>
        <v>831.11111521468297</v>
      </c>
      <c r="T797" s="1">
        <f t="shared" si="142"/>
        <v>-244.72134981727999</v>
      </c>
    </row>
    <row r="798" spans="6:20" x14ac:dyDescent="0.35">
      <c r="F798" s="1">
        <f t="shared" si="138"/>
        <v>15.89999999999975</v>
      </c>
      <c r="G798">
        <f>1/2*$B$8*$B$6*$B$7*(Tabelle2[[#This Row],[vx]]*Tabelle2[[#This Row],[vx]]+Tabelle2[[#This Row],[vy]]*Tabelle2[[#This Row],[vy]])/1000000</f>
        <v>20.344835312541111</v>
      </c>
      <c r="H798">
        <f>IF($B$3,-Tabelle2[[#This Row],[Fd]]*Tabelle2[[#This Row],[vx]]/Tabelle2[[#This Row],[v]],0)</f>
        <v>0</v>
      </c>
      <c r="I798">
        <f t="shared" si="132"/>
        <v>0</v>
      </c>
      <c r="J798">
        <f t="shared" si="133"/>
        <v>0</v>
      </c>
      <c r="K798">
        <f t="shared" si="134"/>
        <v>1.0467394398169905</v>
      </c>
      <c r="L798">
        <f>-$B$5*$B$12-IF($B$3,Tabelle2[[#This Row],[Fd]]*Tabelle2[[#This Row],[vy]]/Tabelle2[[#This Row],[v]],0)</f>
        <v>-14.715</v>
      </c>
      <c r="M798">
        <f t="shared" si="135"/>
        <v>-9.81</v>
      </c>
      <c r="N798">
        <f t="shared" si="136"/>
        <v>-0.19620000000000001</v>
      </c>
      <c r="O798">
        <f t="shared" si="137"/>
        <v>-1.8740865120880508</v>
      </c>
      <c r="P798" s="1">
        <f t="shared" si="139"/>
        <v>52.336971990849527</v>
      </c>
      <c r="Q798" s="1">
        <f t="shared" si="140"/>
        <v>-93.606225604402539</v>
      </c>
      <c r="R798">
        <f>SQRT(Tabelle2[[#This Row],[vx]]*Tabelle2[[#This Row],[vx]]+Tabelle2[[#This Row],[vy]]*Tabelle2[[#This Row],[vy]])</f>
        <v>107.2440399699362</v>
      </c>
      <c r="S798">
        <f t="shared" si="141"/>
        <v>832.15785465449994</v>
      </c>
      <c r="T798" s="1">
        <f t="shared" si="142"/>
        <v>-246.59151232936804</v>
      </c>
    </row>
    <row r="799" spans="6:20" x14ac:dyDescent="0.35">
      <c r="F799" s="1">
        <f t="shared" si="138"/>
        <v>15.919999999999749</v>
      </c>
      <c r="G799">
        <f>1/2*$B$8*$B$6*$B$7*(Tabelle2[[#This Row],[vx]]*Tabelle2[[#This Row],[vx]]+Tabelle2[[#This Row],[vy]]*Tabelle2[[#This Row],[vy]])/1000000</f>
        <v>20.409877701630226</v>
      </c>
      <c r="H799">
        <f>IF($B$3,-Tabelle2[[#This Row],[Fd]]*Tabelle2[[#This Row],[vx]]/Tabelle2[[#This Row],[v]],0)</f>
        <v>0</v>
      </c>
      <c r="I799">
        <f t="shared" si="132"/>
        <v>0</v>
      </c>
      <c r="J799">
        <f t="shared" si="133"/>
        <v>0</v>
      </c>
      <c r="K799">
        <f t="shared" si="134"/>
        <v>1.0467394398169905</v>
      </c>
      <c r="L799">
        <f>-$B$5*$B$12-IF($B$3,Tabelle2[[#This Row],[Fd]]*Tabelle2[[#This Row],[vy]]/Tabelle2[[#This Row],[v]],0)</f>
        <v>-14.715</v>
      </c>
      <c r="M799">
        <f t="shared" si="135"/>
        <v>-9.81</v>
      </c>
      <c r="N799">
        <f t="shared" si="136"/>
        <v>-0.19620000000000001</v>
      </c>
      <c r="O799">
        <f t="shared" si="137"/>
        <v>-1.878010512088051</v>
      </c>
      <c r="P799" s="1">
        <f t="shared" si="139"/>
        <v>52.336971990849527</v>
      </c>
      <c r="Q799" s="1">
        <f t="shared" si="140"/>
        <v>-93.802425604402544</v>
      </c>
      <c r="R799">
        <f>SQRT(Tabelle2[[#This Row],[vx]]*Tabelle2[[#This Row],[vx]]+Tabelle2[[#This Row],[vy]]*Tabelle2[[#This Row],[vy]])</f>
        <v>107.4153326412968</v>
      </c>
      <c r="S799">
        <f t="shared" si="141"/>
        <v>833.20459409431692</v>
      </c>
      <c r="T799" s="1">
        <f t="shared" si="142"/>
        <v>-248.46559884145609</v>
      </c>
    </row>
    <row r="800" spans="6:20" x14ac:dyDescent="0.35">
      <c r="F800" s="1">
        <f t="shared" si="138"/>
        <v>15.939999999999749</v>
      </c>
      <c r="G800">
        <f>1/2*$B$8*$B$6*$B$7*(Tabelle2[[#This Row],[vx]]*Tabelle2[[#This Row],[vx]]+Tabelle2[[#This Row],[vy]]*Tabelle2[[#This Row],[vy]])/1000000</f>
        <v>20.475056277780684</v>
      </c>
      <c r="H800">
        <f>IF($B$3,-Tabelle2[[#This Row],[Fd]]*Tabelle2[[#This Row],[vx]]/Tabelle2[[#This Row],[v]],0)</f>
        <v>0</v>
      </c>
      <c r="I800">
        <f t="shared" si="132"/>
        <v>0</v>
      </c>
      <c r="J800">
        <f t="shared" si="133"/>
        <v>0</v>
      </c>
      <c r="K800">
        <f t="shared" si="134"/>
        <v>1.0467394398169905</v>
      </c>
      <c r="L800">
        <f>-$B$5*$B$12-IF($B$3,Tabelle2[[#This Row],[Fd]]*Tabelle2[[#This Row],[vy]]/Tabelle2[[#This Row],[v]],0)</f>
        <v>-14.715</v>
      </c>
      <c r="M800">
        <f t="shared" si="135"/>
        <v>-9.81</v>
      </c>
      <c r="N800">
        <f t="shared" si="136"/>
        <v>-0.19620000000000001</v>
      </c>
      <c r="O800">
        <f t="shared" si="137"/>
        <v>-1.8819345120880511</v>
      </c>
      <c r="P800" s="1">
        <f t="shared" si="139"/>
        <v>52.336971990849527</v>
      </c>
      <c r="Q800" s="1">
        <f t="shared" si="140"/>
        <v>-93.998625604402548</v>
      </c>
      <c r="R800">
        <f>SQRT(Tabelle2[[#This Row],[vx]]*Tabelle2[[#This Row],[vx]]+Tabelle2[[#This Row],[vy]]*Tabelle2[[#This Row],[vy]])</f>
        <v>107.58671039067795</v>
      </c>
      <c r="S800">
        <f t="shared" si="141"/>
        <v>834.25133353413389</v>
      </c>
      <c r="T800" s="1">
        <f t="shared" si="142"/>
        <v>-250.34360935354414</v>
      </c>
    </row>
    <row r="801" spans="6:20" x14ac:dyDescent="0.35">
      <c r="F801" s="1">
        <f t="shared" si="138"/>
        <v>15.959999999999749</v>
      </c>
      <c r="G801">
        <f>1/2*$B$8*$B$6*$B$7*(Tabelle2[[#This Row],[vx]]*Tabelle2[[#This Row],[vx]]+Tabelle2[[#This Row],[vy]]*Tabelle2[[#This Row],[vy]])/1000000</f>
        <v>20.540371040992486</v>
      </c>
      <c r="H801">
        <f>IF($B$3,-Tabelle2[[#This Row],[Fd]]*Tabelle2[[#This Row],[vx]]/Tabelle2[[#This Row],[v]],0)</f>
        <v>0</v>
      </c>
      <c r="I801">
        <f t="shared" si="132"/>
        <v>0</v>
      </c>
      <c r="J801">
        <f t="shared" si="133"/>
        <v>0</v>
      </c>
      <c r="K801">
        <f t="shared" si="134"/>
        <v>1.0467394398169905</v>
      </c>
      <c r="L801">
        <f>-$B$5*$B$12-IF($B$3,Tabelle2[[#This Row],[Fd]]*Tabelle2[[#This Row],[vy]]/Tabelle2[[#This Row],[v]],0)</f>
        <v>-14.715</v>
      </c>
      <c r="M801">
        <f t="shared" si="135"/>
        <v>-9.81</v>
      </c>
      <c r="N801">
        <f t="shared" si="136"/>
        <v>-0.19620000000000001</v>
      </c>
      <c r="O801">
        <f t="shared" si="137"/>
        <v>-1.8858585120880511</v>
      </c>
      <c r="P801" s="1">
        <f t="shared" si="139"/>
        <v>52.336971990849527</v>
      </c>
      <c r="Q801" s="1">
        <f t="shared" si="140"/>
        <v>-94.194825604402553</v>
      </c>
      <c r="R801">
        <f>SQRT(Tabelle2[[#This Row],[vx]]*Tabelle2[[#This Row],[vx]]+Tabelle2[[#This Row],[vy]]*Tabelle2[[#This Row],[vy]])</f>
        <v>107.7581728121574</v>
      </c>
      <c r="S801">
        <f t="shared" si="141"/>
        <v>835.29807297395087</v>
      </c>
      <c r="T801" s="1">
        <f t="shared" si="142"/>
        <v>-252.22554386563218</v>
      </c>
    </row>
    <row r="802" spans="6:20" x14ac:dyDescent="0.35">
      <c r="F802" s="1">
        <f t="shared" si="138"/>
        <v>15.979999999999748</v>
      </c>
      <c r="G802">
        <f>1/2*$B$8*$B$6*$B$7*(Tabelle2[[#This Row],[vx]]*Tabelle2[[#This Row],[vx]]+Tabelle2[[#This Row],[vy]]*Tabelle2[[#This Row],[vy]])/1000000</f>
        <v>20.605821991265632</v>
      </c>
      <c r="H802">
        <f>IF($B$3,-Tabelle2[[#This Row],[Fd]]*Tabelle2[[#This Row],[vx]]/Tabelle2[[#This Row],[v]],0)</f>
        <v>0</v>
      </c>
      <c r="I802">
        <f t="shared" si="132"/>
        <v>0</v>
      </c>
      <c r="J802">
        <f t="shared" si="133"/>
        <v>0</v>
      </c>
      <c r="K802">
        <f t="shared" si="134"/>
        <v>1.0467394398169905</v>
      </c>
      <c r="L802">
        <f>-$B$5*$B$12-IF($B$3,Tabelle2[[#This Row],[Fd]]*Tabelle2[[#This Row],[vy]]/Tabelle2[[#This Row],[v]],0)</f>
        <v>-14.715</v>
      </c>
      <c r="M802">
        <f t="shared" si="135"/>
        <v>-9.81</v>
      </c>
      <c r="N802">
        <f t="shared" si="136"/>
        <v>-0.19620000000000001</v>
      </c>
      <c r="O802">
        <f t="shared" si="137"/>
        <v>-1.8897825120880511</v>
      </c>
      <c r="P802" s="1">
        <f t="shared" si="139"/>
        <v>52.336971990849527</v>
      </c>
      <c r="Q802" s="1">
        <f t="shared" si="140"/>
        <v>-94.391025604402557</v>
      </c>
      <c r="R802">
        <f>SQRT(Tabelle2[[#This Row],[vx]]*Tabelle2[[#This Row],[vx]]+Tabelle2[[#This Row],[vy]]*Tabelle2[[#This Row],[vy]])</f>
        <v>107.92971950219247</v>
      </c>
      <c r="S802">
        <f t="shared" si="141"/>
        <v>836.34481241376784</v>
      </c>
      <c r="T802" s="1">
        <f t="shared" si="142"/>
        <v>-254.11140237772022</v>
      </c>
    </row>
    <row r="803" spans="6:20" x14ac:dyDescent="0.35">
      <c r="F803" s="1">
        <f t="shared" si="138"/>
        <v>15.999999999999748</v>
      </c>
      <c r="G803">
        <f>1/2*$B$8*$B$6*$B$7*(Tabelle2[[#This Row],[vx]]*Tabelle2[[#This Row],[vx]]+Tabelle2[[#This Row],[vy]]*Tabelle2[[#This Row],[vy]])/1000000</f>
        <v>20.671409128600121</v>
      </c>
      <c r="H803">
        <f>IF($B$3,-Tabelle2[[#This Row],[Fd]]*Tabelle2[[#This Row],[vx]]/Tabelle2[[#This Row],[v]],0)</f>
        <v>0</v>
      </c>
      <c r="I803">
        <f t="shared" si="132"/>
        <v>0</v>
      </c>
      <c r="J803">
        <f t="shared" si="133"/>
        <v>0</v>
      </c>
      <c r="K803">
        <f t="shared" si="134"/>
        <v>1.0467394398169905</v>
      </c>
      <c r="L803">
        <f>-$B$5*$B$12-IF($B$3,Tabelle2[[#This Row],[Fd]]*Tabelle2[[#This Row],[vy]]/Tabelle2[[#This Row],[v]],0)</f>
        <v>-14.715</v>
      </c>
      <c r="M803">
        <f t="shared" si="135"/>
        <v>-9.81</v>
      </c>
      <c r="N803">
        <f t="shared" si="136"/>
        <v>-0.19620000000000001</v>
      </c>
      <c r="O803">
        <f t="shared" si="137"/>
        <v>-1.8937065120880514</v>
      </c>
      <c r="P803" s="1">
        <f t="shared" si="139"/>
        <v>52.336971990849527</v>
      </c>
      <c r="Q803" s="1">
        <f t="shared" si="140"/>
        <v>-94.587225604402562</v>
      </c>
      <c r="R803">
        <f>SQRT(Tabelle2[[#This Row],[vx]]*Tabelle2[[#This Row],[vx]]+Tabelle2[[#This Row],[vy]]*Tabelle2[[#This Row],[vy]])</f>
        <v>108.10135005960433</v>
      </c>
      <c r="S803">
        <f t="shared" si="141"/>
        <v>837.39155185358482</v>
      </c>
      <c r="T803" s="1">
        <f t="shared" si="142"/>
        <v>-256.00118488980826</v>
      </c>
    </row>
    <row r="804" spans="6:20" x14ac:dyDescent="0.35">
      <c r="F804" s="1">
        <f t="shared" si="138"/>
        <v>16.019999999999747</v>
      </c>
      <c r="G804">
        <f>1/2*$B$8*$B$6*$B$7*(Tabelle2[[#This Row],[vx]]*Tabelle2[[#This Row],[vx]]+Tabelle2[[#This Row],[vy]]*Tabelle2[[#This Row],[vy]])/1000000</f>
        <v>20.737132452995954</v>
      </c>
      <c r="H804">
        <f>IF($B$3,-Tabelle2[[#This Row],[Fd]]*Tabelle2[[#This Row],[vx]]/Tabelle2[[#This Row],[v]],0)</f>
        <v>0</v>
      </c>
      <c r="I804">
        <f t="shared" si="132"/>
        <v>0</v>
      </c>
      <c r="J804">
        <f t="shared" si="133"/>
        <v>0</v>
      </c>
      <c r="K804">
        <f t="shared" si="134"/>
        <v>1.0467394398169905</v>
      </c>
      <c r="L804">
        <f>-$B$5*$B$12-IF($B$3,Tabelle2[[#This Row],[Fd]]*Tabelle2[[#This Row],[vy]]/Tabelle2[[#This Row],[v]],0)</f>
        <v>-14.715</v>
      </c>
      <c r="M804">
        <f t="shared" si="135"/>
        <v>-9.81</v>
      </c>
      <c r="N804">
        <f t="shared" si="136"/>
        <v>-0.19620000000000001</v>
      </c>
      <c r="O804">
        <f t="shared" si="137"/>
        <v>-1.8976305120880514</v>
      </c>
      <c r="P804" s="1">
        <f t="shared" si="139"/>
        <v>52.336971990849527</v>
      </c>
      <c r="Q804" s="1">
        <f t="shared" si="140"/>
        <v>-94.783425604402566</v>
      </c>
      <c r="R804">
        <f>SQRT(Tabelle2[[#This Row],[vx]]*Tabelle2[[#This Row],[vx]]+Tabelle2[[#This Row],[vy]]*Tabelle2[[#This Row],[vy]])</f>
        <v>108.27306408556231</v>
      </c>
      <c r="S804">
        <f t="shared" si="141"/>
        <v>838.43829129340179</v>
      </c>
      <c r="T804" s="1">
        <f t="shared" si="142"/>
        <v>-257.8948914018963</v>
      </c>
    </row>
    <row r="805" spans="6:20" x14ac:dyDescent="0.35">
      <c r="F805" s="1">
        <f t="shared" si="138"/>
        <v>16.039999999999747</v>
      </c>
      <c r="G805">
        <f>1/2*$B$8*$B$6*$B$7*(Tabelle2[[#This Row],[vx]]*Tabelle2[[#This Row],[vx]]+Tabelle2[[#This Row],[vy]]*Tabelle2[[#This Row],[vy]])/1000000</f>
        <v>20.802991964453131</v>
      </c>
      <c r="H805">
        <f>IF($B$3,-Tabelle2[[#This Row],[Fd]]*Tabelle2[[#This Row],[vx]]/Tabelle2[[#This Row],[v]],0)</f>
        <v>0</v>
      </c>
      <c r="I805">
        <f t="shared" si="132"/>
        <v>0</v>
      </c>
      <c r="J805">
        <f t="shared" si="133"/>
        <v>0</v>
      </c>
      <c r="K805">
        <f t="shared" si="134"/>
        <v>1.0467394398169905</v>
      </c>
      <c r="L805">
        <f>-$B$5*$B$12-IF($B$3,Tabelle2[[#This Row],[Fd]]*Tabelle2[[#This Row],[vy]]/Tabelle2[[#This Row],[v]],0)</f>
        <v>-14.715</v>
      </c>
      <c r="M805">
        <f t="shared" si="135"/>
        <v>-9.81</v>
      </c>
      <c r="N805">
        <f t="shared" si="136"/>
        <v>-0.19620000000000001</v>
      </c>
      <c r="O805">
        <f t="shared" si="137"/>
        <v>-1.9015545120880515</v>
      </c>
      <c r="P805" s="1">
        <f t="shared" si="139"/>
        <v>52.336971990849527</v>
      </c>
      <c r="Q805" s="1">
        <f t="shared" si="140"/>
        <v>-94.979625604402571</v>
      </c>
      <c r="R805">
        <f>SQRT(Tabelle2[[#This Row],[vx]]*Tabelle2[[#This Row],[vx]]+Tabelle2[[#This Row],[vy]]*Tabelle2[[#This Row],[vy]])</f>
        <v>108.44486118356853</v>
      </c>
      <c r="S805">
        <f t="shared" si="141"/>
        <v>839.48503073321876</v>
      </c>
      <c r="T805" s="1">
        <f t="shared" si="142"/>
        <v>-259.79252191398433</v>
      </c>
    </row>
    <row r="806" spans="6:20" x14ac:dyDescent="0.35">
      <c r="F806" s="1">
        <f t="shared" si="138"/>
        <v>16.059999999999746</v>
      </c>
      <c r="G806">
        <f>1/2*$B$8*$B$6*$B$7*(Tabelle2[[#This Row],[vx]]*Tabelle2[[#This Row],[vx]]+Tabelle2[[#This Row],[vy]]*Tabelle2[[#This Row],[vy]])/1000000</f>
        <v>20.868987662971652</v>
      </c>
      <c r="H806">
        <f>IF($B$3,-Tabelle2[[#This Row],[Fd]]*Tabelle2[[#This Row],[vx]]/Tabelle2[[#This Row],[v]],0)</f>
        <v>0</v>
      </c>
      <c r="I806">
        <f t="shared" si="132"/>
        <v>0</v>
      </c>
      <c r="J806">
        <f t="shared" si="133"/>
        <v>0</v>
      </c>
      <c r="K806">
        <f t="shared" si="134"/>
        <v>1.0467394398169905</v>
      </c>
      <c r="L806">
        <f>-$B$5*$B$12-IF($B$3,Tabelle2[[#This Row],[Fd]]*Tabelle2[[#This Row],[vy]]/Tabelle2[[#This Row],[v]],0)</f>
        <v>-14.715</v>
      </c>
      <c r="M806">
        <f t="shared" si="135"/>
        <v>-9.81</v>
      </c>
      <c r="N806">
        <f t="shared" si="136"/>
        <v>-0.19620000000000001</v>
      </c>
      <c r="O806">
        <f t="shared" si="137"/>
        <v>-1.9054785120880515</v>
      </c>
      <c r="P806" s="1">
        <f t="shared" si="139"/>
        <v>52.336971990849527</v>
      </c>
      <c r="Q806" s="1">
        <f t="shared" si="140"/>
        <v>-95.175825604402576</v>
      </c>
      <c r="R806">
        <f>SQRT(Tabelle2[[#This Row],[vx]]*Tabelle2[[#This Row],[vx]]+Tabelle2[[#This Row],[vy]]*Tabelle2[[#This Row],[vy]])</f>
        <v>108.61674095944244</v>
      </c>
      <c r="S806">
        <f t="shared" si="141"/>
        <v>840.53177017303574</v>
      </c>
      <c r="T806" s="1">
        <f t="shared" si="142"/>
        <v>-261.6940764260724</v>
      </c>
    </row>
    <row r="807" spans="6:20" x14ac:dyDescent="0.35">
      <c r="F807" s="1">
        <f t="shared" si="138"/>
        <v>16.079999999999746</v>
      </c>
      <c r="G807">
        <f>1/2*$B$8*$B$6*$B$7*(Tabelle2[[#This Row],[vx]]*Tabelle2[[#This Row],[vx]]+Tabelle2[[#This Row],[vy]]*Tabelle2[[#This Row],[vy]])/1000000</f>
        <v>20.935119548551519</v>
      </c>
      <c r="H807">
        <f>IF($B$3,-Tabelle2[[#This Row],[Fd]]*Tabelle2[[#This Row],[vx]]/Tabelle2[[#This Row],[v]],0)</f>
        <v>0</v>
      </c>
      <c r="I807">
        <f t="shared" si="132"/>
        <v>0</v>
      </c>
      <c r="J807">
        <f t="shared" si="133"/>
        <v>0</v>
      </c>
      <c r="K807">
        <f t="shared" si="134"/>
        <v>1.0467394398169905</v>
      </c>
      <c r="L807">
        <f>-$B$5*$B$12-IF($B$3,Tabelle2[[#This Row],[Fd]]*Tabelle2[[#This Row],[vy]]/Tabelle2[[#This Row],[v]],0)</f>
        <v>-14.715</v>
      </c>
      <c r="M807">
        <f t="shared" si="135"/>
        <v>-9.81</v>
      </c>
      <c r="N807">
        <f t="shared" si="136"/>
        <v>-0.19620000000000001</v>
      </c>
      <c r="O807">
        <f t="shared" si="137"/>
        <v>-1.9094025120880518</v>
      </c>
      <c r="P807" s="1">
        <f t="shared" si="139"/>
        <v>52.336971990849527</v>
      </c>
      <c r="Q807" s="1">
        <f t="shared" si="140"/>
        <v>-95.37202560440258</v>
      </c>
      <c r="R807">
        <f>SQRT(Tabelle2[[#This Row],[vx]]*Tabelle2[[#This Row],[vx]]+Tabelle2[[#This Row],[vy]]*Tabelle2[[#This Row],[vy]])</f>
        <v>108.78870302130542</v>
      </c>
      <c r="S807">
        <f t="shared" si="141"/>
        <v>841.57850961285271</v>
      </c>
      <c r="T807" s="1">
        <f t="shared" si="142"/>
        <v>-263.59955493816045</v>
      </c>
    </row>
    <row r="808" spans="6:20" x14ac:dyDescent="0.35">
      <c r="F808" s="1">
        <f t="shared" si="138"/>
        <v>16.099999999999746</v>
      </c>
      <c r="G808">
        <f>1/2*$B$8*$B$6*$B$7*(Tabelle2[[#This Row],[vx]]*Tabelle2[[#This Row],[vx]]+Tabelle2[[#This Row],[vy]]*Tabelle2[[#This Row],[vy]])/1000000</f>
        <v>21.001387621192727</v>
      </c>
      <c r="H808">
        <f>IF($B$3,-Tabelle2[[#This Row],[Fd]]*Tabelle2[[#This Row],[vx]]/Tabelle2[[#This Row],[v]],0)</f>
        <v>0</v>
      </c>
      <c r="I808">
        <f t="shared" si="132"/>
        <v>0</v>
      </c>
      <c r="J808">
        <f t="shared" si="133"/>
        <v>0</v>
      </c>
      <c r="K808">
        <f t="shared" si="134"/>
        <v>1.0467394398169905</v>
      </c>
      <c r="L808">
        <f>-$B$5*$B$12-IF($B$3,Tabelle2[[#This Row],[Fd]]*Tabelle2[[#This Row],[vy]]/Tabelle2[[#This Row],[v]],0)</f>
        <v>-14.715</v>
      </c>
      <c r="M808">
        <f t="shared" si="135"/>
        <v>-9.81</v>
      </c>
      <c r="N808">
        <f t="shared" si="136"/>
        <v>-0.19620000000000001</v>
      </c>
      <c r="O808">
        <f t="shared" si="137"/>
        <v>-1.9133265120880518</v>
      </c>
      <c r="P808" s="1">
        <f t="shared" si="139"/>
        <v>52.336971990849527</v>
      </c>
      <c r="Q808" s="1">
        <f t="shared" si="140"/>
        <v>-95.568225604402585</v>
      </c>
      <c r="R808">
        <f>SQRT(Tabelle2[[#This Row],[vx]]*Tabelle2[[#This Row],[vx]]+Tabelle2[[#This Row],[vy]]*Tabelle2[[#This Row],[vy]])</f>
        <v>108.9607469795658</v>
      </c>
      <c r="S808">
        <f t="shared" si="141"/>
        <v>842.62524905266969</v>
      </c>
      <c r="T808" s="1">
        <f t="shared" si="142"/>
        <v>-265.50895745024849</v>
      </c>
    </row>
    <row r="809" spans="6:20" x14ac:dyDescent="0.35">
      <c r="F809" s="1">
        <f t="shared" si="138"/>
        <v>16.119999999999745</v>
      </c>
      <c r="G809">
        <f>1/2*$B$8*$B$6*$B$7*(Tabelle2[[#This Row],[vx]]*Tabelle2[[#This Row],[vx]]+Tabelle2[[#This Row],[vy]]*Tabelle2[[#This Row],[vy]])/1000000</f>
        <v>21.067791880895278</v>
      </c>
      <c r="H809">
        <f>IF($B$3,-Tabelle2[[#This Row],[Fd]]*Tabelle2[[#This Row],[vx]]/Tabelle2[[#This Row],[v]],0)</f>
        <v>0</v>
      </c>
      <c r="I809">
        <f t="shared" si="132"/>
        <v>0</v>
      </c>
      <c r="J809">
        <f t="shared" si="133"/>
        <v>0</v>
      </c>
      <c r="K809">
        <f t="shared" si="134"/>
        <v>1.0467394398169905</v>
      </c>
      <c r="L809">
        <f>-$B$5*$B$12-IF($B$3,Tabelle2[[#This Row],[Fd]]*Tabelle2[[#This Row],[vy]]/Tabelle2[[#This Row],[v]],0)</f>
        <v>-14.715</v>
      </c>
      <c r="M809">
        <f t="shared" si="135"/>
        <v>-9.81</v>
      </c>
      <c r="N809">
        <f t="shared" si="136"/>
        <v>-0.19620000000000001</v>
      </c>
      <c r="O809">
        <f t="shared" si="137"/>
        <v>-1.9172505120880519</v>
      </c>
      <c r="P809" s="1">
        <f t="shared" si="139"/>
        <v>52.336971990849527</v>
      </c>
      <c r="Q809" s="1">
        <f t="shared" si="140"/>
        <v>-95.764425604402589</v>
      </c>
      <c r="R809">
        <f>SQRT(Tabelle2[[#This Row],[vx]]*Tabelle2[[#This Row],[vx]]+Tabelle2[[#This Row],[vy]]*Tabelle2[[#This Row],[vy]])</f>
        <v>109.13287244690358</v>
      </c>
      <c r="S809">
        <f t="shared" si="141"/>
        <v>843.67198849248666</v>
      </c>
      <c r="T809" s="1">
        <f t="shared" si="142"/>
        <v>-267.42228396233656</v>
      </c>
    </row>
    <row r="810" spans="6:20" x14ac:dyDescent="0.35">
      <c r="F810" s="1">
        <f t="shared" si="138"/>
        <v>16.139999999999745</v>
      </c>
      <c r="G810">
        <f>1/2*$B$8*$B$6*$B$7*(Tabelle2[[#This Row],[vx]]*Tabelle2[[#This Row],[vx]]+Tabelle2[[#This Row],[vy]]*Tabelle2[[#This Row],[vy]])/1000000</f>
        <v>21.134332327659177</v>
      </c>
      <c r="H810">
        <f>IF($B$3,-Tabelle2[[#This Row],[Fd]]*Tabelle2[[#This Row],[vx]]/Tabelle2[[#This Row],[v]],0)</f>
        <v>0</v>
      </c>
      <c r="I810">
        <f t="shared" si="132"/>
        <v>0</v>
      </c>
      <c r="J810">
        <f t="shared" si="133"/>
        <v>0</v>
      </c>
      <c r="K810">
        <f t="shared" si="134"/>
        <v>1.0467394398169905</v>
      </c>
      <c r="L810">
        <f>-$B$5*$B$12-IF($B$3,Tabelle2[[#This Row],[Fd]]*Tabelle2[[#This Row],[vy]]/Tabelle2[[#This Row],[v]],0)</f>
        <v>-14.715</v>
      </c>
      <c r="M810">
        <f t="shared" si="135"/>
        <v>-9.81</v>
      </c>
      <c r="N810">
        <f t="shared" si="136"/>
        <v>-0.19620000000000001</v>
      </c>
      <c r="O810">
        <f t="shared" si="137"/>
        <v>-1.9211745120880519</v>
      </c>
      <c r="P810" s="1">
        <f t="shared" si="139"/>
        <v>52.336971990849527</v>
      </c>
      <c r="Q810" s="1">
        <f t="shared" si="140"/>
        <v>-95.960625604402594</v>
      </c>
      <c r="R810">
        <f>SQRT(Tabelle2[[#This Row],[vx]]*Tabelle2[[#This Row],[vx]]+Tabelle2[[#This Row],[vy]]*Tabelle2[[#This Row],[vy]])</f>
        <v>109.30507903825556</v>
      </c>
      <c r="S810">
        <f t="shared" si="141"/>
        <v>844.71872793230364</v>
      </c>
      <c r="T810" s="1">
        <f t="shared" si="142"/>
        <v>-269.33953447442462</v>
      </c>
    </row>
    <row r="811" spans="6:20" x14ac:dyDescent="0.35">
      <c r="F811" s="1">
        <f t="shared" si="138"/>
        <v>16.159999999999744</v>
      </c>
      <c r="G811">
        <f>1/2*$B$8*$B$6*$B$7*(Tabelle2[[#This Row],[vx]]*Tabelle2[[#This Row],[vx]]+Tabelle2[[#This Row],[vy]]*Tabelle2[[#This Row],[vy]])/1000000</f>
        <v>21.201008961484423</v>
      </c>
      <c r="H811">
        <f>IF($B$3,-Tabelle2[[#This Row],[Fd]]*Tabelle2[[#This Row],[vx]]/Tabelle2[[#This Row],[v]],0)</f>
        <v>0</v>
      </c>
      <c r="I811">
        <f t="shared" si="132"/>
        <v>0</v>
      </c>
      <c r="J811">
        <f t="shared" si="133"/>
        <v>0</v>
      </c>
      <c r="K811">
        <f t="shared" si="134"/>
        <v>1.0467394398169905</v>
      </c>
      <c r="L811">
        <f>-$B$5*$B$12-IF($B$3,Tabelle2[[#This Row],[Fd]]*Tabelle2[[#This Row],[vy]]/Tabelle2[[#This Row],[v]],0)</f>
        <v>-14.715</v>
      </c>
      <c r="M811">
        <f t="shared" si="135"/>
        <v>-9.81</v>
      </c>
      <c r="N811">
        <f t="shared" si="136"/>
        <v>-0.19620000000000001</v>
      </c>
      <c r="O811">
        <f t="shared" si="137"/>
        <v>-1.9250985120880522</v>
      </c>
      <c r="P811" s="1">
        <f t="shared" si="139"/>
        <v>52.336971990849527</v>
      </c>
      <c r="Q811" s="1">
        <f t="shared" si="140"/>
        <v>-96.156825604402599</v>
      </c>
      <c r="R811">
        <f>SQRT(Tabelle2[[#This Row],[vx]]*Tabelle2[[#This Row],[vx]]+Tabelle2[[#This Row],[vy]]*Tabelle2[[#This Row],[vy]])</f>
        <v>109.47736637080042</v>
      </c>
      <c r="S811">
        <f t="shared" si="141"/>
        <v>845.76546737212061</v>
      </c>
      <c r="T811" s="1">
        <f t="shared" si="142"/>
        <v>-271.26070898651267</v>
      </c>
    </row>
    <row r="812" spans="6:20" x14ac:dyDescent="0.35">
      <c r="F812" s="1">
        <f t="shared" si="138"/>
        <v>16.179999999999744</v>
      </c>
      <c r="G812">
        <f>1/2*$B$8*$B$6*$B$7*(Tabelle2[[#This Row],[vx]]*Tabelle2[[#This Row],[vx]]+Tabelle2[[#This Row],[vy]]*Tabelle2[[#This Row],[vy]])/1000000</f>
        <v>21.267821782371009</v>
      </c>
      <c r="H812">
        <f>IF($B$3,-Tabelle2[[#This Row],[Fd]]*Tabelle2[[#This Row],[vx]]/Tabelle2[[#This Row],[v]],0)</f>
        <v>0</v>
      </c>
      <c r="I812">
        <f t="shared" si="132"/>
        <v>0</v>
      </c>
      <c r="J812">
        <f t="shared" si="133"/>
        <v>0</v>
      </c>
      <c r="K812">
        <f t="shared" si="134"/>
        <v>1.0467394398169905</v>
      </c>
      <c r="L812">
        <f>-$B$5*$B$12-IF($B$3,Tabelle2[[#This Row],[Fd]]*Tabelle2[[#This Row],[vy]]/Tabelle2[[#This Row],[v]],0)</f>
        <v>-14.715</v>
      </c>
      <c r="M812">
        <f t="shared" si="135"/>
        <v>-9.81</v>
      </c>
      <c r="N812">
        <f t="shared" si="136"/>
        <v>-0.19620000000000001</v>
      </c>
      <c r="O812">
        <f t="shared" si="137"/>
        <v>-1.9290225120880522</v>
      </c>
      <c r="P812" s="1">
        <f t="shared" si="139"/>
        <v>52.336971990849527</v>
      </c>
      <c r="Q812" s="1">
        <f t="shared" si="140"/>
        <v>-96.353025604402603</v>
      </c>
      <c r="R812">
        <f>SQRT(Tabelle2[[#This Row],[vx]]*Tabelle2[[#This Row],[vx]]+Tabelle2[[#This Row],[vy]]*Tabelle2[[#This Row],[vy]])</f>
        <v>109.64973406394395</v>
      </c>
      <c r="S812">
        <f t="shared" si="141"/>
        <v>846.81220681193759</v>
      </c>
      <c r="T812" s="1">
        <f t="shared" si="142"/>
        <v>-273.1858074986007</v>
      </c>
    </row>
    <row r="813" spans="6:20" x14ac:dyDescent="0.35">
      <c r="F813" s="1">
        <f t="shared" si="138"/>
        <v>16.199999999999743</v>
      </c>
      <c r="G813">
        <f>1/2*$B$8*$B$6*$B$7*(Tabelle2[[#This Row],[vx]]*Tabelle2[[#This Row],[vx]]+Tabelle2[[#This Row],[vy]]*Tabelle2[[#This Row],[vy]])/1000000</f>
        <v>21.334770790318931</v>
      </c>
      <c r="H813">
        <f>IF($B$3,-Tabelle2[[#This Row],[Fd]]*Tabelle2[[#This Row],[vx]]/Tabelle2[[#This Row],[v]],0)</f>
        <v>0</v>
      </c>
      <c r="I813">
        <f t="shared" si="132"/>
        <v>0</v>
      </c>
      <c r="J813">
        <f t="shared" si="133"/>
        <v>0</v>
      </c>
      <c r="K813">
        <f t="shared" si="134"/>
        <v>1.0467394398169905</v>
      </c>
      <c r="L813">
        <f>-$B$5*$B$12-IF($B$3,Tabelle2[[#This Row],[Fd]]*Tabelle2[[#This Row],[vy]]/Tabelle2[[#This Row],[v]],0)</f>
        <v>-14.715</v>
      </c>
      <c r="M813">
        <f t="shared" si="135"/>
        <v>-9.81</v>
      </c>
      <c r="N813">
        <f t="shared" si="136"/>
        <v>-0.19620000000000001</v>
      </c>
      <c r="O813">
        <f t="shared" si="137"/>
        <v>-1.9329465120880522</v>
      </c>
      <c r="P813" s="1">
        <f t="shared" si="139"/>
        <v>52.336971990849527</v>
      </c>
      <c r="Q813" s="1">
        <f t="shared" si="140"/>
        <v>-96.549225604402608</v>
      </c>
      <c r="R813">
        <f>SQRT(Tabelle2[[#This Row],[vx]]*Tabelle2[[#This Row],[vx]]+Tabelle2[[#This Row],[vy]]*Tabelle2[[#This Row],[vy]])</f>
        <v>109.82218173930437</v>
      </c>
      <c r="S813">
        <f t="shared" si="141"/>
        <v>847.85894625175456</v>
      </c>
      <c r="T813" s="1">
        <f t="shared" si="142"/>
        <v>-275.11483001068876</v>
      </c>
    </row>
    <row r="814" spans="6:20" x14ac:dyDescent="0.35">
      <c r="F814" s="1">
        <f t="shared" si="138"/>
        <v>16.219999999999743</v>
      </c>
      <c r="G814">
        <f>1/2*$B$8*$B$6*$B$7*(Tabelle2[[#This Row],[vx]]*Tabelle2[[#This Row],[vx]]+Tabelle2[[#This Row],[vy]]*Tabelle2[[#This Row],[vy]])/1000000</f>
        <v>21.401855985328208</v>
      </c>
      <c r="H814">
        <f>IF($B$3,-Tabelle2[[#This Row],[Fd]]*Tabelle2[[#This Row],[vx]]/Tabelle2[[#This Row],[v]],0)</f>
        <v>0</v>
      </c>
      <c r="I814">
        <f t="shared" si="132"/>
        <v>0</v>
      </c>
      <c r="J814">
        <f t="shared" si="133"/>
        <v>0</v>
      </c>
      <c r="K814">
        <f t="shared" si="134"/>
        <v>1.0467394398169905</v>
      </c>
      <c r="L814">
        <f>-$B$5*$B$12-IF($B$3,Tabelle2[[#This Row],[Fd]]*Tabelle2[[#This Row],[vy]]/Tabelle2[[#This Row],[v]],0)</f>
        <v>-14.715</v>
      </c>
      <c r="M814">
        <f t="shared" si="135"/>
        <v>-9.81</v>
      </c>
      <c r="N814">
        <f t="shared" si="136"/>
        <v>-0.19620000000000001</v>
      </c>
      <c r="O814">
        <f t="shared" si="137"/>
        <v>-1.9368705120880523</v>
      </c>
      <c r="P814" s="1">
        <f t="shared" si="139"/>
        <v>52.336971990849527</v>
      </c>
      <c r="Q814" s="1">
        <f t="shared" si="140"/>
        <v>-96.745425604402612</v>
      </c>
      <c r="R814">
        <f>SQRT(Tabelle2[[#This Row],[vx]]*Tabelle2[[#This Row],[vx]]+Tabelle2[[#This Row],[vy]]*Tabelle2[[#This Row],[vy]])</f>
        <v>109.99470902069775</v>
      </c>
      <c r="S814">
        <f t="shared" si="141"/>
        <v>848.90568569157153</v>
      </c>
      <c r="T814" s="1">
        <f t="shared" si="142"/>
        <v>-277.04777652277681</v>
      </c>
    </row>
    <row r="815" spans="6:20" x14ac:dyDescent="0.35">
      <c r="F815" s="1">
        <f t="shared" si="138"/>
        <v>16.239999999999743</v>
      </c>
      <c r="G815">
        <f>1/2*$B$8*$B$6*$B$7*(Tabelle2[[#This Row],[vx]]*Tabelle2[[#This Row],[vx]]+Tabelle2[[#This Row],[vy]]*Tabelle2[[#This Row],[vy]])/1000000</f>
        <v>21.469077367398825</v>
      </c>
      <c r="H815">
        <f>IF($B$3,-Tabelle2[[#This Row],[Fd]]*Tabelle2[[#This Row],[vx]]/Tabelle2[[#This Row],[v]],0)</f>
        <v>0</v>
      </c>
      <c r="I815">
        <f t="shared" si="132"/>
        <v>0</v>
      </c>
      <c r="J815">
        <f t="shared" si="133"/>
        <v>0</v>
      </c>
      <c r="K815">
        <f t="shared" si="134"/>
        <v>1.0467394398169905</v>
      </c>
      <c r="L815">
        <f>-$B$5*$B$12-IF($B$3,Tabelle2[[#This Row],[Fd]]*Tabelle2[[#This Row],[vy]]/Tabelle2[[#This Row],[v]],0)</f>
        <v>-14.715</v>
      </c>
      <c r="M815">
        <f t="shared" si="135"/>
        <v>-9.81</v>
      </c>
      <c r="N815">
        <f t="shared" si="136"/>
        <v>-0.19620000000000001</v>
      </c>
      <c r="O815">
        <f t="shared" si="137"/>
        <v>-1.9407945120880525</v>
      </c>
      <c r="P815" s="1">
        <f t="shared" si="139"/>
        <v>52.336971990849527</v>
      </c>
      <c r="Q815" s="1">
        <f t="shared" si="140"/>
        <v>-96.941625604402617</v>
      </c>
      <c r="R815">
        <f>SQRT(Tabelle2[[#This Row],[vx]]*Tabelle2[[#This Row],[vx]]+Tabelle2[[#This Row],[vy]]*Tabelle2[[#This Row],[vy]])</f>
        <v>110.16731553412353</v>
      </c>
      <c r="S815">
        <f t="shared" si="141"/>
        <v>849.95242513138851</v>
      </c>
      <c r="T815" s="1">
        <f t="shared" si="142"/>
        <v>-278.98464703486485</v>
      </c>
    </row>
    <row r="816" spans="6:20" x14ac:dyDescent="0.35">
      <c r="F816" s="1">
        <f t="shared" si="138"/>
        <v>16.259999999999742</v>
      </c>
      <c r="G816">
        <f>1/2*$B$8*$B$6*$B$7*(Tabelle2[[#This Row],[vx]]*Tabelle2[[#This Row],[vx]]+Tabelle2[[#This Row],[vy]]*Tabelle2[[#This Row],[vy]])/1000000</f>
        <v>21.536434936530789</v>
      </c>
      <c r="H816">
        <f>IF($B$3,-Tabelle2[[#This Row],[Fd]]*Tabelle2[[#This Row],[vx]]/Tabelle2[[#This Row],[v]],0)</f>
        <v>0</v>
      </c>
      <c r="I816">
        <f t="shared" si="132"/>
        <v>0</v>
      </c>
      <c r="J816">
        <f t="shared" si="133"/>
        <v>0</v>
      </c>
      <c r="K816">
        <f t="shared" si="134"/>
        <v>1.0467394398169905</v>
      </c>
      <c r="L816">
        <f>-$B$5*$B$12-IF($B$3,Tabelle2[[#This Row],[Fd]]*Tabelle2[[#This Row],[vy]]/Tabelle2[[#This Row],[v]],0)</f>
        <v>-14.715</v>
      </c>
      <c r="M816">
        <f t="shared" si="135"/>
        <v>-9.81</v>
      </c>
      <c r="N816">
        <f t="shared" si="136"/>
        <v>-0.19620000000000001</v>
      </c>
      <c r="O816">
        <f t="shared" si="137"/>
        <v>-1.9447185120880526</v>
      </c>
      <c r="P816" s="1">
        <f t="shared" si="139"/>
        <v>52.336971990849527</v>
      </c>
      <c r="Q816" s="1">
        <f t="shared" si="140"/>
        <v>-97.137825604402622</v>
      </c>
      <c r="R816">
        <f>SQRT(Tabelle2[[#This Row],[vx]]*Tabelle2[[#This Row],[vx]]+Tabelle2[[#This Row],[vy]]*Tabelle2[[#This Row],[vy]])</f>
        <v>110.34000090775015</v>
      </c>
      <c r="S816">
        <f t="shared" si="141"/>
        <v>850.99916457120548</v>
      </c>
      <c r="T816" s="1">
        <f t="shared" si="142"/>
        <v>-280.92544154695292</v>
      </c>
    </row>
    <row r="817" spans="6:20" x14ac:dyDescent="0.35">
      <c r="F817" s="1">
        <f t="shared" si="138"/>
        <v>16.279999999999742</v>
      </c>
      <c r="G817">
        <f>1/2*$B$8*$B$6*$B$7*(Tabelle2[[#This Row],[vx]]*Tabelle2[[#This Row],[vx]]+Tabelle2[[#This Row],[vy]]*Tabelle2[[#This Row],[vy]])/1000000</f>
        <v>21.603928692724089</v>
      </c>
      <c r="H817">
        <f>IF($B$3,-Tabelle2[[#This Row],[Fd]]*Tabelle2[[#This Row],[vx]]/Tabelle2[[#This Row],[v]],0)</f>
        <v>0</v>
      </c>
      <c r="I817">
        <f t="shared" si="132"/>
        <v>0</v>
      </c>
      <c r="J817">
        <f t="shared" si="133"/>
        <v>0</v>
      </c>
      <c r="K817">
        <f t="shared" si="134"/>
        <v>1.0467394398169905</v>
      </c>
      <c r="L817">
        <f>-$B$5*$B$12-IF($B$3,Tabelle2[[#This Row],[Fd]]*Tabelle2[[#This Row],[vy]]/Tabelle2[[#This Row],[v]],0)</f>
        <v>-14.715</v>
      </c>
      <c r="M817">
        <f t="shared" si="135"/>
        <v>-9.81</v>
      </c>
      <c r="N817">
        <f t="shared" si="136"/>
        <v>-0.19620000000000001</v>
      </c>
      <c r="O817">
        <f t="shared" si="137"/>
        <v>-1.9486425120880526</v>
      </c>
      <c r="P817" s="1">
        <f t="shared" si="139"/>
        <v>52.336971990849527</v>
      </c>
      <c r="Q817" s="1">
        <f t="shared" si="140"/>
        <v>-97.334025604402626</v>
      </c>
      <c r="R817">
        <f>SQRT(Tabelle2[[#This Row],[vx]]*Tabelle2[[#This Row],[vx]]+Tabelle2[[#This Row],[vy]]*Tabelle2[[#This Row],[vy]])</f>
        <v>110.51276477190078</v>
      </c>
      <c r="S817">
        <f t="shared" si="141"/>
        <v>852.04590401102246</v>
      </c>
      <c r="T817" s="1">
        <f t="shared" si="142"/>
        <v>-282.87016005904098</v>
      </c>
    </row>
    <row r="818" spans="6:20" x14ac:dyDescent="0.35">
      <c r="F818" s="1">
        <f t="shared" si="138"/>
        <v>16.299999999999741</v>
      </c>
      <c r="G818">
        <f>1/2*$B$8*$B$6*$B$7*(Tabelle2[[#This Row],[vx]]*Tabelle2[[#This Row],[vx]]+Tabelle2[[#This Row],[vy]]*Tabelle2[[#This Row],[vy]])/1000000</f>
        <v>21.671558635978741</v>
      </c>
      <c r="H818">
        <f>IF($B$3,-Tabelle2[[#This Row],[Fd]]*Tabelle2[[#This Row],[vx]]/Tabelle2[[#This Row],[v]],0)</f>
        <v>0</v>
      </c>
      <c r="I818">
        <f t="shared" si="132"/>
        <v>0</v>
      </c>
      <c r="J818">
        <f t="shared" si="133"/>
        <v>0</v>
      </c>
      <c r="K818">
        <f t="shared" si="134"/>
        <v>1.0467394398169905</v>
      </c>
      <c r="L818">
        <f>-$B$5*$B$12-IF($B$3,Tabelle2[[#This Row],[Fd]]*Tabelle2[[#This Row],[vy]]/Tabelle2[[#This Row],[v]],0)</f>
        <v>-14.715</v>
      </c>
      <c r="M818">
        <f t="shared" si="135"/>
        <v>-9.81</v>
      </c>
      <c r="N818">
        <f t="shared" si="136"/>
        <v>-0.19620000000000001</v>
      </c>
      <c r="O818">
        <f t="shared" si="137"/>
        <v>-1.9525665120880527</v>
      </c>
      <c r="P818" s="1">
        <f t="shared" si="139"/>
        <v>52.336971990849527</v>
      </c>
      <c r="Q818" s="1">
        <f t="shared" si="140"/>
        <v>-97.530225604402631</v>
      </c>
      <c r="R818">
        <f>SQRT(Tabelle2[[#This Row],[vx]]*Tabelle2[[#This Row],[vx]]+Tabelle2[[#This Row],[vy]]*Tabelle2[[#This Row],[vy]])</f>
        <v>110.68560675903909</v>
      </c>
      <c r="S818">
        <f t="shared" si="141"/>
        <v>853.09264345083943</v>
      </c>
      <c r="T818" s="1">
        <f t="shared" si="142"/>
        <v>-284.81880257112903</v>
      </c>
    </row>
    <row r="819" spans="6:20" x14ac:dyDescent="0.35">
      <c r="F819" s="1">
        <f t="shared" si="138"/>
        <v>16.319999999999741</v>
      </c>
      <c r="G819">
        <f>1/2*$B$8*$B$6*$B$7*(Tabelle2[[#This Row],[vx]]*Tabelle2[[#This Row],[vx]]+Tabelle2[[#This Row],[vy]]*Tabelle2[[#This Row],[vy]])/1000000</f>
        <v>21.739324766294732</v>
      </c>
      <c r="H819">
        <f>IF($B$3,-Tabelle2[[#This Row],[Fd]]*Tabelle2[[#This Row],[vx]]/Tabelle2[[#This Row],[v]],0)</f>
        <v>0</v>
      </c>
      <c r="I819">
        <f t="shared" si="132"/>
        <v>0</v>
      </c>
      <c r="J819">
        <f t="shared" si="133"/>
        <v>0</v>
      </c>
      <c r="K819">
        <f t="shared" si="134"/>
        <v>1.0467394398169905</v>
      </c>
      <c r="L819">
        <f>-$B$5*$B$12-IF($B$3,Tabelle2[[#This Row],[Fd]]*Tabelle2[[#This Row],[vy]]/Tabelle2[[#This Row],[v]],0)</f>
        <v>-14.715</v>
      </c>
      <c r="M819">
        <f t="shared" si="135"/>
        <v>-9.81</v>
      </c>
      <c r="N819">
        <f t="shared" si="136"/>
        <v>-0.19620000000000001</v>
      </c>
      <c r="O819">
        <f t="shared" si="137"/>
        <v>-1.9564905120880527</v>
      </c>
      <c r="P819" s="1">
        <f t="shared" si="139"/>
        <v>52.336971990849527</v>
      </c>
      <c r="Q819" s="1">
        <f t="shared" si="140"/>
        <v>-97.726425604402635</v>
      </c>
      <c r="R819">
        <f>SQRT(Tabelle2[[#This Row],[vx]]*Tabelle2[[#This Row],[vx]]+Tabelle2[[#This Row],[vy]]*Tabelle2[[#This Row],[vy]])</f>
        <v>110.85852650375527</v>
      </c>
      <c r="S819">
        <f t="shared" si="141"/>
        <v>854.13938289065641</v>
      </c>
      <c r="T819" s="1">
        <f t="shared" si="142"/>
        <v>-286.77136908321705</v>
      </c>
    </row>
    <row r="820" spans="6:20" x14ac:dyDescent="0.35">
      <c r="F820" s="1">
        <f t="shared" si="138"/>
        <v>16.339999999999741</v>
      </c>
      <c r="G820">
        <f>1/2*$B$8*$B$6*$B$7*(Tabelle2[[#This Row],[vx]]*Tabelle2[[#This Row],[vx]]+Tabelle2[[#This Row],[vy]]*Tabelle2[[#This Row],[vy]])/1000000</f>
        <v>21.807227083672068</v>
      </c>
      <c r="H820">
        <f>IF($B$3,-Tabelle2[[#This Row],[Fd]]*Tabelle2[[#This Row],[vx]]/Tabelle2[[#This Row],[v]],0)</f>
        <v>0</v>
      </c>
      <c r="I820">
        <f t="shared" si="132"/>
        <v>0</v>
      </c>
      <c r="J820">
        <f t="shared" si="133"/>
        <v>0</v>
      </c>
      <c r="K820">
        <f t="shared" si="134"/>
        <v>1.0467394398169905</v>
      </c>
      <c r="L820">
        <f>-$B$5*$B$12-IF($B$3,Tabelle2[[#This Row],[Fd]]*Tabelle2[[#This Row],[vy]]/Tabelle2[[#This Row],[v]],0)</f>
        <v>-14.715</v>
      </c>
      <c r="M820">
        <f t="shared" si="135"/>
        <v>-9.81</v>
      </c>
      <c r="N820">
        <f t="shared" si="136"/>
        <v>-0.19620000000000001</v>
      </c>
      <c r="O820">
        <f t="shared" si="137"/>
        <v>-1.960414512088053</v>
      </c>
      <c r="P820" s="1">
        <f t="shared" si="139"/>
        <v>52.336971990849527</v>
      </c>
      <c r="Q820" s="1">
        <f t="shared" si="140"/>
        <v>-97.92262560440264</v>
      </c>
      <c r="R820">
        <f>SQRT(Tabelle2[[#This Row],[vx]]*Tabelle2[[#This Row],[vx]]+Tabelle2[[#This Row],[vy]]*Tabelle2[[#This Row],[vy]])</f>
        <v>111.03152364275192</v>
      </c>
      <c r="S820">
        <f t="shared" si="141"/>
        <v>855.18612233047338</v>
      </c>
      <c r="T820" s="1">
        <f t="shared" si="142"/>
        <v>-288.72785959530512</v>
      </c>
    </row>
    <row r="821" spans="6:20" x14ac:dyDescent="0.35">
      <c r="F821" s="1">
        <f t="shared" si="138"/>
        <v>16.35999999999974</v>
      </c>
      <c r="G821">
        <f>1/2*$B$8*$B$6*$B$7*(Tabelle2[[#This Row],[vx]]*Tabelle2[[#This Row],[vx]]+Tabelle2[[#This Row],[vy]]*Tabelle2[[#This Row],[vy]])/1000000</f>
        <v>21.875265588110754</v>
      </c>
      <c r="H821">
        <f>IF($B$3,-Tabelle2[[#This Row],[Fd]]*Tabelle2[[#This Row],[vx]]/Tabelle2[[#This Row],[v]],0)</f>
        <v>0</v>
      </c>
      <c r="I821">
        <f t="shared" si="132"/>
        <v>0</v>
      </c>
      <c r="J821">
        <f t="shared" si="133"/>
        <v>0</v>
      </c>
      <c r="K821">
        <f t="shared" si="134"/>
        <v>1.0467394398169905</v>
      </c>
      <c r="L821">
        <f>-$B$5*$B$12-IF($B$3,Tabelle2[[#This Row],[Fd]]*Tabelle2[[#This Row],[vy]]/Tabelle2[[#This Row],[v]],0)</f>
        <v>-14.715</v>
      </c>
      <c r="M821">
        <f t="shared" si="135"/>
        <v>-9.81</v>
      </c>
      <c r="N821">
        <f t="shared" si="136"/>
        <v>-0.19620000000000001</v>
      </c>
      <c r="O821">
        <f t="shared" si="137"/>
        <v>-1.964338512088053</v>
      </c>
      <c r="P821" s="1">
        <f t="shared" si="139"/>
        <v>52.336971990849527</v>
      </c>
      <c r="Q821" s="1">
        <f t="shared" si="140"/>
        <v>-98.118825604402645</v>
      </c>
      <c r="R821">
        <f>SQRT(Tabelle2[[#This Row],[vx]]*Tabelle2[[#This Row],[vx]]+Tabelle2[[#This Row],[vy]]*Tabelle2[[#This Row],[vy]])</f>
        <v>111.20459781483025</v>
      </c>
      <c r="S821">
        <f t="shared" si="141"/>
        <v>856.23286177029036</v>
      </c>
      <c r="T821" s="1">
        <f t="shared" si="142"/>
        <v>-290.68827410739317</v>
      </c>
    </row>
    <row r="822" spans="6:20" x14ac:dyDescent="0.35">
      <c r="F822" s="1">
        <f t="shared" si="138"/>
        <v>16.37999999999974</v>
      </c>
      <c r="G822">
        <f>1/2*$B$8*$B$6*$B$7*(Tabelle2[[#This Row],[vx]]*Tabelle2[[#This Row],[vx]]+Tabelle2[[#This Row],[vy]]*Tabelle2[[#This Row],[vy]])/1000000</f>
        <v>21.94344027961078</v>
      </c>
      <c r="H822">
        <f>IF($B$3,-Tabelle2[[#This Row],[Fd]]*Tabelle2[[#This Row],[vx]]/Tabelle2[[#This Row],[v]],0)</f>
        <v>0</v>
      </c>
      <c r="I822">
        <f t="shared" si="132"/>
        <v>0</v>
      </c>
      <c r="J822">
        <f t="shared" si="133"/>
        <v>0</v>
      </c>
      <c r="K822">
        <f t="shared" si="134"/>
        <v>1.0467394398169905</v>
      </c>
      <c r="L822">
        <f>-$B$5*$B$12-IF($B$3,Tabelle2[[#This Row],[Fd]]*Tabelle2[[#This Row],[vy]]/Tabelle2[[#This Row],[v]],0)</f>
        <v>-14.715</v>
      </c>
      <c r="M822">
        <f t="shared" si="135"/>
        <v>-9.81</v>
      </c>
      <c r="N822">
        <f t="shared" si="136"/>
        <v>-0.19620000000000001</v>
      </c>
      <c r="O822">
        <f t="shared" si="137"/>
        <v>-1.968262512088053</v>
      </c>
      <c r="P822" s="1">
        <f t="shared" si="139"/>
        <v>52.336971990849527</v>
      </c>
      <c r="Q822" s="1">
        <f t="shared" si="140"/>
        <v>-98.315025604402649</v>
      </c>
      <c r="R822">
        <f>SQRT(Tabelle2[[#This Row],[vx]]*Tabelle2[[#This Row],[vx]]+Tabelle2[[#This Row],[vy]]*Tabelle2[[#This Row],[vy]])</f>
        <v>111.37774866087622</v>
      </c>
      <c r="S822">
        <f t="shared" si="141"/>
        <v>857.27960121010733</v>
      </c>
      <c r="T822" s="1">
        <f t="shared" si="142"/>
        <v>-292.6526126194812</v>
      </c>
    </row>
    <row r="823" spans="6:20" x14ac:dyDescent="0.35">
      <c r="F823" s="1">
        <f t="shared" si="138"/>
        <v>16.399999999999739</v>
      </c>
      <c r="G823">
        <f>1/2*$B$8*$B$6*$B$7*(Tabelle2[[#This Row],[vx]]*Tabelle2[[#This Row],[vx]]+Tabelle2[[#This Row],[vy]]*Tabelle2[[#This Row],[vy]])/1000000</f>
        <v>22.011751158172149</v>
      </c>
      <c r="H823">
        <f>IF($B$3,-Tabelle2[[#This Row],[Fd]]*Tabelle2[[#This Row],[vx]]/Tabelle2[[#This Row],[v]],0)</f>
        <v>0</v>
      </c>
      <c r="I823">
        <f t="shared" si="132"/>
        <v>0</v>
      </c>
      <c r="J823">
        <f t="shared" si="133"/>
        <v>0</v>
      </c>
      <c r="K823">
        <f t="shared" si="134"/>
        <v>1.0467394398169905</v>
      </c>
      <c r="L823">
        <f>-$B$5*$B$12-IF($B$3,Tabelle2[[#This Row],[Fd]]*Tabelle2[[#This Row],[vy]]/Tabelle2[[#This Row],[v]],0)</f>
        <v>-14.715</v>
      </c>
      <c r="M823">
        <f t="shared" si="135"/>
        <v>-9.81</v>
      </c>
      <c r="N823">
        <f t="shared" si="136"/>
        <v>-0.19620000000000001</v>
      </c>
      <c r="O823">
        <f t="shared" si="137"/>
        <v>-1.9721865120880531</v>
      </c>
      <c r="P823" s="1">
        <f t="shared" si="139"/>
        <v>52.336971990849527</v>
      </c>
      <c r="Q823" s="1">
        <f t="shared" si="140"/>
        <v>-98.511225604402654</v>
      </c>
      <c r="R823">
        <f>SQRT(Tabelle2[[#This Row],[vx]]*Tabelle2[[#This Row],[vx]]+Tabelle2[[#This Row],[vy]]*Tabelle2[[#This Row],[vy]])</f>
        <v>111.55097582384694</v>
      </c>
      <c r="S823">
        <f t="shared" si="141"/>
        <v>858.3263406499243</v>
      </c>
      <c r="T823" s="1">
        <f t="shared" si="142"/>
        <v>-294.62087513156928</v>
      </c>
    </row>
    <row r="824" spans="6:20" x14ac:dyDescent="0.35">
      <c r="F824" s="1">
        <f t="shared" si="138"/>
        <v>16.419999999999739</v>
      </c>
      <c r="G824">
        <f>1/2*$B$8*$B$6*$B$7*(Tabelle2[[#This Row],[vx]]*Tabelle2[[#This Row],[vx]]+Tabelle2[[#This Row],[vy]]*Tabelle2[[#This Row],[vy]])/1000000</f>
        <v>22.080198223794859</v>
      </c>
      <c r="H824">
        <f>IF($B$3,-Tabelle2[[#This Row],[Fd]]*Tabelle2[[#This Row],[vx]]/Tabelle2[[#This Row],[v]],0)</f>
        <v>0</v>
      </c>
      <c r="I824">
        <f t="shared" si="132"/>
        <v>0</v>
      </c>
      <c r="J824">
        <f t="shared" si="133"/>
        <v>0</v>
      </c>
      <c r="K824">
        <f t="shared" si="134"/>
        <v>1.0467394398169905</v>
      </c>
      <c r="L824">
        <f>-$B$5*$B$12-IF($B$3,Tabelle2[[#This Row],[Fd]]*Tabelle2[[#This Row],[vy]]/Tabelle2[[#This Row],[v]],0)</f>
        <v>-14.715</v>
      </c>
      <c r="M824">
        <f t="shared" si="135"/>
        <v>-9.81</v>
      </c>
      <c r="N824">
        <f t="shared" si="136"/>
        <v>-0.19620000000000001</v>
      </c>
      <c r="O824">
        <f t="shared" si="137"/>
        <v>-1.9761105120880533</v>
      </c>
      <c r="P824" s="1">
        <f t="shared" si="139"/>
        <v>52.336971990849527</v>
      </c>
      <c r="Q824" s="1">
        <f t="shared" si="140"/>
        <v>-98.707425604402658</v>
      </c>
      <c r="R824">
        <f>SQRT(Tabelle2[[#This Row],[vx]]*Tabelle2[[#This Row],[vx]]+Tabelle2[[#This Row],[vy]]*Tabelle2[[#This Row],[vy]])</f>
        <v>111.72427894875693</v>
      </c>
      <c r="S824">
        <f t="shared" si="141"/>
        <v>859.37308008974128</v>
      </c>
      <c r="T824" s="1">
        <f t="shared" si="142"/>
        <v>-296.59306164365734</v>
      </c>
    </row>
    <row r="825" spans="6:20" x14ac:dyDescent="0.35">
      <c r="F825" s="1">
        <f t="shared" si="138"/>
        <v>16.439999999999738</v>
      </c>
      <c r="G825">
        <f>1/2*$B$8*$B$6*$B$7*(Tabelle2[[#This Row],[vx]]*Tabelle2[[#This Row],[vx]]+Tabelle2[[#This Row],[vy]]*Tabelle2[[#This Row],[vy]])/1000000</f>
        <v>22.14878147647892</v>
      </c>
      <c r="H825">
        <f>IF($B$3,-Tabelle2[[#This Row],[Fd]]*Tabelle2[[#This Row],[vx]]/Tabelle2[[#This Row],[v]],0)</f>
        <v>0</v>
      </c>
      <c r="I825">
        <f t="shared" si="132"/>
        <v>0</v>
      </c>
      <c r="J825">
        <f t="shared" si="133"/>
        <v>0</v>
      </c>
      <c r="K825">
        <f t="shared" si="134"/>
        <v>1.0467394398169905</v>
      </c>
      <c r="L825">
        <f>-$B$5*$B$12-IF($B$3,Tabelle2[[#This Row],[Fd]]*Tabelle2[[#This Row],[vy]]/Tabelle2[[#This Row],[v]],0)</f>
        <v>-14.715</v>
      </c>
      <c r="M825">
        <f t="shared" si="135"/>
        <v>-9.81</v>
      </c>
      <c r="N825">
        <f t="shared" si="136"/>
        <v>-0.19620000000000001</v>
      </c>
      <c r="O825">
        <f t="shared" si="137"/>
        <v>-1.9800345120880534</v>
      </c>
      <c r="P825" s="1">
        <f t="shared" si="139"/>
        <v>52.336971990849527</v>
      </c>
      <c r="Q825" s="1">
        <f t="shared" si="140"/>
        <v>-98.903625604402663</v>
      </c>
      <c r="R825">
        <f>SQRT(Tabelle2[[#This Row],[vx]]*Tabelle2[[#This Row],[vx]]+Tabelle2[[#This Row],[vy]]*Tabelle2[[#This Row],[vy]])</f>
        <v>111.89765768266476</v>
      </c>
      <c r="S825">
        <f t="shared" si="141"/>
        <v>860.41981952955825</v>
      </c>
      <c r="T825" s="1">
        <f t="shared" si="142"/>
        <v>-298.56917215574538</v>
      </c>
    </row>
    <row r="826" spans="6:20" x14ac:dyDescent="0.35">
      <c r="F826" s="1">
        <f t="shared" si="138"/>
        <v>16.459999999999738</v>
      </c>
      <c r="G826">
        <f>1/2*$B$8*$B$6*$B$7*(Tabelle2[[#This Row],[vx]]*Tabelle2[[#This Row],[vx]]+Tabelle2[[#This Row],[vy]]*Tabelle2[[#This Row],[vy]])/1000000</f>
        <v>22.217500916224321</v>
      </c>
      <c r="H826">
        <f>IF($B$3,-Tabelle2[[#This Row],[Fd]]*Tabelle2[[#This Row],[vx]]/Tabelle2[[#This Row],[v]],0)</f>
        <v>0</v>
      </c>
      <c r="I826">
        <f t="shared" si="132"/>
        <v>0</v>
      </c>
      <c r="J826">
        <f t="shared" si="133"/>
        <v>0</v>
      </c>
      <c r="K826">
        <f t="shared" si="134"/>
        <v>1.0467394398169905</v>
      </c>
      <c r="L826">
        <f>-$B$5*$B$12-IF($B$3,Tabelle2[[#This Row],[Fd]]*Tabelle2[[#This Row],[vy]]/Tabelle2[[#This Row],[v]],0)</f>
        <v>-14.715</v>
      </c>
      <c r="M826">
        <f t="shared" si="135"/>
        <v>-9.81</v>
      </c>
      <c r="N826">
        <f t="shared" si="136"/>
        <v>-0.19620000000000001</v>
      </c>
      <c r="O826">
        <f t="shared" si="137"/>
        <v>-1.9839585120880534</v>
      </c>
      <c r="P826" s="1">
        <f t="shared" si="139"/>
        <v>52.336971990849527</v>
      </c>
      <c r="Q826" s="1">
        <f t="shared" si="140"/>
        <v>-99.099825604402668</v>
      </c>
      <c r="R826">
        <f>SQRT(Tabelle2[[#This Row],[vx]]*Tabelle2[[#This Row],[vx]]+Tabelle2[[#This Row],[vy]]*Tabelle2[[#This Row],[vy]])</f>
        <v>112.07111167465945</v>
      </c>
      <c r="S826">
        <f t="shared" si="141"/>
        <v>861.46655896937523</v>
      </c>
      <c r="T826" s="1">
        <f t="shared" si="142"/>
        <v>-300.5492066678334</v>
      </c>
    </row>
    <row r="827" spans="6:20" x14ac:dyDescent="0.35">
      <c r="F827" s="1">
        <f t="shared" si="138"/>
        <v>16.479999999999738</v>
      </c>
      <c r="G827">
        <f>1/2*$B$8*$B$6*$B$7*(Tabelle2[[#This Row],[vx]]*Tabelle2[[#This Row],[vx]]+Tabelle2[[#This Row],[vy]]*Tabelle2[[#This Row],[vy]])/1000000</f>
        <v>22.286356543031062</v>
      </c>
      <c r="H827">
        <f>IF($B$3,-Tabelle2[[#This Row],[Fd]]*Tabelle2[[#This Row],[vx]]/Tabelle2[[#This Row],[v]],0)</f>
        <v>0</v>
      </c>
      <c r="I827">
        <f t="shared" si="132"/>
        <v>0</v>
      </c>
      <c r="J827">
        <f t="shared" si="133"/>
        <v>0</v>
      </c>
      <c r="K827">
        <f t="shared" si="134"/>
        <v>1.0467394398169905</v>
      </c>
      <c r="L827">
        <f>-$B$5*$B$12-IF($B$3,Tabelle2[[#This Row],[Fd]]*Tabelle2[[#This Row],[vy]]/Tabelle2[[#This Row],[v]],0)</f>
        <v>-14.715</v>
      </c>
      <c r="M827">
        <f t="shared" si="135"/>
        <v>-9.81</v>
      </c>
      <c r="N827">
        <f t="shared" si="136"/>
        <v>-0.19620000000000001</v>
      </c>
      <c r="O827">
        <f t="shared" si="137"/>
        <v>-1.9878825120880534</v>
      </c>
      <c r="P827" s="1">
        <f t="shared" si="139"/>
        <v>52.336971990849527</v>
      </c>
      <c r="Q827" s="1">
        <f t="shared" si="140"/>
        <v>-99.296025604402672</v>
      </c>
      <c r="R827">
        <f>SQRT(Tabelle2[[#This Row],[vx]]*Tabelle2[[#This Row],[vx]]+Tabelle2[[#This Row],[vy]]*Tabelle2[[#This Row],[vy]])</f>
        <v>112.24464057584736</v>
      </c>
      <c r="S827">
        <f t="shared" si="141"/>
        <v>862.5132984091922</v>
      </c>
      <c r="T827" s="1">
        <f t="shared" si="142"/>
        <v>-302.53316517992147</v>
      </c>
    </row>
    <row r="828" spans="6:20" x14ac:dyDescent="0.35">
      <c r="F828" s="1">
        <f t="shared" si="138"/>
        <v>16.499999999999737</v>
      </c>
      <c r="G828">
        <f>1/2*$B$8*$B$6*$B$7*(Tabelle2[[#This Row],[vx]]*Tabelle2[[#This Row],[vx]]+Tabelle2[[#This Row],[vy]]*Tabelle2[[#This Row],[vy]])/1000000</f>
        <v>22.355348356899153</v>
      </c>
      <c r="H828">
        <f>IF($B$3,-Tabelle2[[#This Row],[Fd]]*Tabelle2[[#This Row],[vx]]/Tabelle2[[#This Row],[v]],0)</f>
        <v>0</v>
      </c>
      <c r="I828">
        <f t="shared" si="132"/>
        <v>0</v>
      </c>
      <c r="J828">
        <f t="shared" si="133"/>
        <v>0</v>
      </c>
      <c r="K828">
        <f t="shared" si="134"/>
        <v>1.0467394398169905</v>
      </c>
      <c r="L828">
        <f>-$B$5*$B$12-IF($B$3,Tabelle2[[#This Row],[Fd]]*Tabelle2[[#This Row],[vy]]/Tabelle2[[#This Row],[v]],0)</f>
        <v>-14.715</v>
      </c>
      <c r="M828">
        <f t="shared" si="135"/>
        <v>-9.81</v>
      </c>
      <c r="N828">
        <f t="shared" si="136"/>
        <v>-0.19620000000000001</v>
      </c>
      <c r="O828">
        <f t="shared" si="137"/>
        <v>-1.9918065120880537</v>
      </c>
      <c r="P828" s="1">
        <f t="shared" si="139"/>
        <v>52.336971990849527</v>
      </c>
      <c r="Q828" s="1">
        <f t="shared" si="140"/>
        <v>-99.492225604402677</v>
      </c>
      <c r="R828">
        <f>SQRT(Tabelle2[[#This Row],[vx]]*Tabelle2[[#This Row],[vx]]+Tabelle2[[#This Row],[vy]]*Tabelle2[[#This Row],[vy]])</f>
        <v>112.41824403933877</v>
      </c>
      <c r="S828">
        <f t="shared" si="141"/>
        <v>863.56003784900918</v>
      </c>
      <c r="T828" s="1">
        <f t="shared" si="142"/>
        <v>-304.52104769200952</v>
      </c>
    </row>
    <row r="829" spans="6:20" x14ac:dyDescent="0.35">
      <c r="F829" s="1">
        <f t="shared" si="138"/>
        <v>16.519999999999737</v>
      </c>
      <c r="G829">
        <f>1/2*$B$8*$B$6*$B$7*(Tabelle2[[#This Row],[vx]]*Tabelle2[[#This Row],[vx]]+Tabelle2[[#This Row],[vy]]*Tabelle2[[#This Row],[vy]])/1000000</f>
        <v>22.424476357828588</v>
      </c>
      <c r="H829">
        <f>IF($B$3,-Tabelle2[[#This Row],[Fd]]*Tabelle2[[#This Row],[vx]]/Tabelle2[[#This Row],[v]],0)</f>
        <v>0</v>
      </c>
      <c r="I829">
        <f t="shared" si="132"/>
        <v>0</v>
      </c>
      <c r="J829">
        <f t="shared" si="133"/>
        <v>0</v>
      </c>
      <c r="K829">
        <f t="shared" si="134"/>
        <v>1.0467394398169905</v>
      </c>
      <c r="L829">
        <f>-$B$5*$B$12-IF($B$3,Tabelle2[[#This Row],[Fd]]*Tabelle2[[#This Row],[vy]]/Tabelle2[[#This Row],[v]],0)</f>
        <v>-14.715</v>
      </c>
      <c r="M829">
        <f t="shared" si="135"/>
        <v>-9.81</v>
      </c>
      <c r="N829">
        <f t="shared" si="136"/>
        <v>-0.19620000000000001</v>
      </c>
      <c r="O829">
        <f t="shared" si="137"/>
        <v>-1.9957305120880537</v>
      </c>
      <c r="P829" s="1">
        <f t="shared" si="139"/>
        <v>52.336971990849527</v>
      </c>
      <c r="Q829" s="1">
        <f t="shared" si="140"/>
        <v>-99.688425604402681</v>
      </c>
      <c r="R829">
        <f>SQRT(Tabelle2[[#This Row],[vx]]*Tabelle2[[#This Row],[vx]]+Tabelle2[[#This Row],[vy]]*Tabelle2[[#This Row],[vy]])</f>
        <v>112.59192172023486</v>
      </c>
      <c r="S829">
        <f t="shared" si="141"/>
        <v>864.60677728882615</v>
      </c>
      <c r="T829" s="1">
        <f t="shared" si="142"/>
        <v>-306.51285420409755</v>
      </c>
    </row>
    <row r="830" spans="6:20" x14ac:dyDescent="0.35">
      <c r="F830" s="1">
        <f t="shared" si="138"/>
        <v>16.539999999999736</v>
      </c>
      <c r="G830">
        <f>1/2*$B$8*$B$6*$B$7*(Tabelle2[[#This Row],[vx]]*Tabelle2[[#This Row],[vx]]+Tabelle2[[#This Row],[vy]]*Tabelle2[[#This Row],[vy]])/1000000</f>
        <v>22.493740545819364</v>
      </c>
      <c r="H830">
        <f>IF($B$3,-Tabelle2[[#This Row],[Fd]]*Tabelle2[[#This Row],[vx]]/Tabelle2[[#This Row],[v]],0)</f>
        <v>0</v>
      </c>
      <c r="I830">
        <f t="shared" si="132"/>
        <v>0</v>
      </c>
      <c r="J830">
        <f t="shared" si="133"/>
        <v>0</v>
      </c>
      <c r="K830">
        <f t="shared" si="134"/>
        <v>1.0467394398169905</v>
      </c>
      <c r="L830">
        <f>-$B$5*$B$12-IF($B$3,Tabelle2[[#This Row],[Fd]]*Tabelle2[[#This Row],[vy]]/Tabelle2[[#This Row],[v]],0)</f>
        <v>-14.715</v>
      </c>
      <c r="M830">
        <f t="shared" si="135"/>
        <v>-9.81</v>
      </c>
      <c r="N830">
        <f t="shared" si="136"/>
        <v>-0.19620000000000001</v>
      </c>
      <c r="O830">
        <f t="shared" si="137"/>
        <v>-1.9996545120880538</v>
      </c>
      <c r="P830" s="1">
        <f t="shared" si="139"/>
        <v>52.336971990849527</v>
      </c>
      <c r="Q830" s="1">
        <f t="shared" si="140"/>
        <v>-99.884625604402686</v>
      </c>
      <c r="R830">
        <f>SQRT(Tabelle2[[#This Row],[vx]]*Tabelle2[[#This Row],[vx]]+Tabelle2[[#This Row],[vy]]*Tabelle2[[#This Row],[vy]])</f>
        <v>112.76567327561462</v>
      </c>
      <c r="S830">
        <f t="shared" si="141"/>
        <v>865.65351672864313</v>
      </c>
      <c r="T830" s="1">
        <f t="shared" si="142"/>
        <v>-308.50858471618562</v>
      </c>
    </row>
    <row r="831" spans="6:20" x14ac:dyDescent="0.35">
      <c r="F831" s="1">
        <f t="shared" si="138"/>
        <v>16.559999999999736</v>
      </c>
      <c r="G831">
        <f>1/2*$B$8*$B$6*$B$7*(Tabelle2[[#This Row],[vx]]*Tabelle2[[#This Row],[vx]]+Tabelle2[[#This Row],[vy]]*Tabelle2[[#This Row],[vy]])/1000000</f>
        <v>22.563140920871486</v>
      </c>
      <c r="H831">
        <f>IF($B$3,-Tabelle2[[#This Row],[Fd]]*Tabelle2[[#This Row],[vx]]/Tabelle2[[#This Row],[v]],0)</f>
        <v>0</v>
      </c>
      <c r="I831">
        <f t="shared" si="132"/>
        <v>0</v>
      </c>
      <c r="J831">
        <f t="shared" si="133"/>
        <v>0</v>
      </c>
      <c r="K831">
        <f t="shared" si="134"/>
        <v>1.0467394398169905</v>
      </c>
      <c r="L831">
        <f>-$B$5*$B$12-IF($B$3,Tabelle2[[#This Row],[Fd]]*Tabelle2[[#This Row],[vy]]/Tabelle2[[#This Row],[v]],0)</f>
        <v>-14.715</v>
      </c>
      <c r="M831">
        <f t="shared" si="135"/>
        <v>-9.81</v>
      </c>
      <c r="N831">
        <f t="shared" si="136"/>
        <v>-0.19620000000000001</v>
      </c>
      <c r="O831">
        <f t="shared" si="137"/>
        <v>-2.0035785120880538</v>
      </c>
      <c r="P831" s="1">
        <f t="shared" si="139"/>
        <v>52.336971990849527</v>
      </c>
      <c r="Q831" s="1">
        <f t="shared" si="140"/>
        <v>-100.08082560440269</v>
      </c>
      <c r="R831">
        <f>SQRT(Tabelle2[[#This Row],[vx]]*Tabelle2[[#This Row],[vx]]+Tabelle2[[#This Row],[vy]]*Tabelle2[[#This Row],[vy]])</f>
        <v>112.93949836452184</v>
      </c>
      <c r="S831">
        <f t="shared" si="141"/>
        <v>866.7002561684601</v>
      </c>
      <c r="T831" s="1">
        <f t="shared" si="142"/>
        <v>-310.50823922827368</v>
      </c>
    </row>
    <row r="832" spans="6:20" x14ac:dyDescent="0.35">
      <c r="F832" s="1">
        <f t="shared" si="138"/>
        <v>16.579999999999735</v>
      </c>
      <c r="G832">
        <f>1/2*$B$8*$B$6*$B$7*(Tabelle2[[#This Row],[vx]]*Tabelle2[[#This Row],[vx]]+Tabelle2[[#This Row],[vy]]*Tabelle2[[#This Row],[vy]])/1000000</f>
        <v>22.632677482984949</v>
      </c>
      <c r="H832">
        <f>IF($B$3,-Tabelle2[[#This Row],[Fd]]*Tabelle2[[#This Row],[vx]]/Tabelle2[[#This Row],[v]],0)</f>
        <v>0</v>
      </c>
      <c r="I832">
        <f t="shared" si="132"/>
        <v>0</v>
      </c>
      <c r="J832">
        <f t="shared" si="133"/>
        <v>0</v>
      </c>
      <c r="K832">
        <f t="shared" si="134"/>
        <v>1.0467394398169905</v>
      </c>
      <c r="L832">
        <f>-$B$5*$B$12-IF($B$3,Tabelle2[[#This Row],[Fd]]*Tabelle2[[#This Row],[vy]]/Tabelle2[[#This Row],[v]],0)</f>
        <v>-14.715</v>
      </c>
      <c r="M832">
        <f t="shared" si="135"/>
        <v>-9.81</v>
      </c>
      <c r="N832">
        <f t="shared" si="136"/>
        <v>-0.19620000000000001</v>
      </c>
      <c r="O832">
        <f t="shared" si="137"/>
        <v>-2.0075025120880539</v>
      </c>
      <c r="P832" s="1">
        <f t="shared" si="139"/>
        <v>52.336971990849527</v>
      </c>
      <c r="Q832" s="1">
        <f t="shared" si="140"/>
        <v>-100.2770256044027</v>
      </c>
      <c r="R832">
        <f>SQRT(Tabelle2[[#This Row],[vx]]*Tabelle2[[#This Row],[vx]]+Tabelle2[[#This Row],[vy]]*Tabelle2[[#This Row],[vy]])</f>
        <v>113.11339664795237</v>
      </c>
      <c r="S832">
        <f t="shared" si="141"/>
        <v>867.74699560827708</v>
      </c>
      <c r="T832" s="1">
        <f t="shared" si="142"/>
        <v>-312.51181774036172</v>
      </c>
    </row>
    <row r="833" spans="6:20" x14ac:dyDescent="0.35">
      <c r="F833" s="1">
        <f t="shared" si="138"/>
        <v>16.599999999999735</v>
      </c>
      <c r="G833">
        <f>1/2*$B$8*$B$6*$B$7*(Tabelle2[[#This Row],[vx]]*Tabelle2[[#This Row],[vx]]+Tabelle2[[#This Row],[vy]]*Tabelle2[[#This Row],[vy]])/1000000</f>
        <v>22.702350232159759</v>
      </c>
      <c r="H833">
        <f>IF($B$3,-Tabelle2[[#This Row],[Fd]]*Tabelle2[[#This Row],[vx]]/Tabelle2[[#This Row],[v]],0)</f>
        <v>0</v>
      </c>
      <c r="I833">
        <f t="shared" si="132"/>
        <v>0</v>
      </c>
      <c r="J833">
        <f t="shared" si="133"/>
        <v>0</v>
      </c>
      <c r="K833">
        <f t="shared" si="134"/>
        <v>1.0467394398169905</v>
      </c>
      <c r="L833">
        <f>-$B$5*$B$12-IF($B$3,Tabelle2[[#This Row],[Fd]]*Tabelle2[[#This Row],[vy]]/Tabelle2[[#This Row],[v]],0)</f>
        <v>-14.715</v>
      </c>
      <c r="M833">
        <f t="shared" si="135"/>
        <v>-9.81</v>
      </c>
      <c r="N833">
        <f t="shared" si="136"/>
        <v>-0.19620000000000001</v>
      </c>
      <c r="O833">
        <f t="shared" si="137"/>
        <v>-2.0114265120880539</v>
      </c>
      <c r="P833" s="1">
        <f t="shared" si="139"/>
        <v>52.336971990849527</v>
      </c>
      <c r="Q833" s="1">
        <f t="shared" si="140"/>
        <v>-100.4732256044027</v>
      </c>
      <c r="R833">
        <f>SQRT(Tabelle2[[#This Row],[vx]]*Tabelle2[[#This Row],[vx]]+Tabelle2[[#This Row],[vy]]*Tabelle2[[#This Row],[vy]])</f>
        <v>113.28736778884118</v>
      </c>
      <c r="S833">
        <f t="shared" si="141"/>
        <v>868.79373504809405</v>
      </c>
      <c r="T833" s="1">
        <f t="shared" si="142"/>
        <v>-314.5193202524498</v>
      </c>
    </row>
    <row r="834" spans="6:20" x14ac:dyDescent="0.35">
      <c r="F834" s="1">
        <f t="shared" si="138"/>
        <v>16.619999999999735</v>
      </c>
      <c r="G834">
        <f>1/2*$B$8*$B$6*$B$7*(Tabelle2[[#This Row],[vx]]*Tabelle2[[#This Row],[vx]]+Tabelle2[[#This Row],[vy]]*Tabelle2[[#This Row],[vy]])/1000000</f>
        <v>22.772159168395913</v>
      </c>
      <c r="H834">
        <f>IF($B$3,-Tabelle2[[#This Row],[Fd]]*Tabelle2[[#This Row],[vx]]/Tabelle2[[#This Row],[v]],0)</f>
        <v>0</v>
      </c>
      <c r="I834">
        <f t="shared" si="132"/>
        <v>0</v>
      </c>
      <c r="J834">
        <f t="shared" si="133"/>
        <v>0</v>
      </c>
      <c r="K834">
        <f t="shared" si="134"/>
        <v>1.0467394398169905</v>
      </c>
      <c r="L834">
        <f>-$B$5*$B$12-IF($B$3,Tabelle2[[#This Row],[Fd]]*Tabelle2[[#This Row],[vy]]/Tabelle2[[#This Row],[v]],0)</f>
        <v>-14.715</v>
      </c>
      <c r="M834">
        <f t="shared" si="135"/>
        <v>-9.81</v>
      </c>
      <c r="N834">
        <f t="shared" si="136"/>
        <v>-0.19620000000000001</v>
      </c>
      <c r="O834">
        <f t="shared" si="137"/>
        <v>-2.0153505120880544</v>
      </c>
      <c r="P834" s="1">
        <f t="shared" si="139"/>
        <v>52.336971990849527</v>
      </c>
      <c r="Q834" s="1">
        <f t="shared" si="140"/>
        <v>-100.6694256044027</v>
      </c>
      <c r="R834">
        <f>SQRT(Tabelle2[[#This Row],[vx]]*Tabelle2[[#This Row],[vx]]+Tabelle2[[#This Row],[vy]]*Tabelle2[[#This Row],[vy]])</f>
        <v>113.4614114520498</v>
      </c>
      <c r="S834">
        <f t="shared" si="141"/>
        <v>869.84047448791102</v>
      </c>
      <c r="T834" s="1">
        <f t="shared" si="142"/>
        <v>-316.53074676453787</v>
      </c>
    </row>
    <row r="835" spans="6:20" x14ac:dyDescent="0.35">
      <c r="F835" s="1">
        <f t="shared" si="138"/>
        <v>16.639999999999734</v>
      </c>
      <c r="G835">
        <f>1/2*$B$8*$B$6*$B$7*(Tabelle2[[#This Row],[vx]]*Tabelle2[[#This Row],[vx]]+Tabelle2[[#This Row],[vy]]*Tabelle2[[#This Row],[vy]])/1000000</f>
        <v>22.842104291693413</v>
      </c>
      <c r="H835">
        <f>IF($B$3,-Tabelle2[[#This Row],[Fd]]*Tabelle2[[#This Row],[vx]]/Tabelle2[[#This Row],[v]],0)</f>
        <v>0</v>
      </c>
      <c r="I835">
        <f t="shared" ref="I835:I898" si="143">H835/$B$5</f>
        <v>0</v>
      </c>
      <c r="J835">
        <f t="shared" ref="J835:J898" si="144">I835*$B$13</f>
        <v>0</v>
      </c>
      <c r="K835">
        <f t="shared" ref="K835:K898" si="145">$B$13*(P835+J835/2)</f>
        <v>1.0467394398169905</v>
      </c>
      <c r="L835">
        <f>-$B$5*$B$12-IF($B$3,Tabelle2[[#This Row],[Fd]]*Tabelle2[[#This Row],[vy]]/Tabelle2[[#This Row],[v]],0)</f>
        <v>-14.715</v>
      </c>
      <c r="M835">
        <f t="shared" ref="M835:M898" si="146">L835/$B$5</f>
        <v>-9.81</v>
      </c>
      <c r="N835">
        <f t="shared" ref="N835:N898" si="147">M835*$B$13</f>
        <v>-0.19620000000000001</v>
      </c>
      <c r="O835">
        <f t="shared" ref="O835:O898" si="148">$B$13*(Q835+N835/2)</f>
        <v>-2.0192745120880544</v>
      </c>
      <c r="P835" s="1">
        <f t="shared" si="139"/>
        <v>52.336971990849527</v>
      </c>
      <c r="Q835" s="1">
        <f t="shared" si="140"/>
        <v>-100.86562560440271</v>
      </c>
      <c r="R835">
        <f>SQRT(Tabelle2[[#This Row],[vx]]*Tabelle2[[#This Row],[vx]]+Tabelle2[[#This Row],[vy]]*Tabelle2[[#This Row],[vy]])</f>
        <v>113.63552730435367</v>
      </c>
      <c r="S835">
        <f t="shared" si="141"/>
        <v>870.887213927728</v>
      </c>
      <c r="T835" s="1">
        <f t="shared" si="142"/>
        <v>-318.54609727662591</v>
      </c>
    </row>
    <row r="836" spans="6:20" x14ac:dyDescent="0.35">
      <c r="F836" s="1">
        <f t="shared" ref="F836:F899" si="149">F835+$B$13</f>
        <v>16.659999999999734</v>
      </c>
      <c r="G836">
        <f>1/2*$B$8*$B$6*$B$7*(Tabelle2[[#This Row],[vx]]*Tabelle2[[#This Row],[vx]]+Tabelle2[[#This Row],[vy]]*Tabelle2[[#This Row],[vy]])/1000000</f>
        <v>22.912185602052251</v>
      </c>
      <c r="H836">
        <f>IF($B$3,-Tabelle2[[#This Row],[Fd]]*Tabelle2[[#This Row],[vx]]/Tabelle2[[#This Row],[v]],0)</f>
        <v>0</v>
      </c>
      <c r="I836">
        <f t="shared" si="143"/>
        <v>0</v>
      </c>
      <c r="J836">
        <f t="shared" si="144"/>
        <v>0</v>
      </c>
      <c r="K836">
        <f t="shared" si="145"/>
        <v>1.0467394398169905</v>
      </c>
      <c r="L836">
        <f>-$B$5*$B$12-IF($B$3,Tabelle2[[#This Row],[Fd]]*Tabelle2[[#This Row],[vy]]/Tabelle2[[#This Row],[v]],0)</f>
        <v>-14.715</v>
      </c>
      <c r="M836">
        <f t="shared" si="146"/>
        <v>-9.81</v>
      </c>
      <c r="N836">
        <f t="shared" si="147"/>
        <v>-0.19620000000000001</v>
      </c>
      <c r="O836">
        <f t="shared" si="148"/>
        <v>-2.0231985120880545</v>
      </c>
      <c r="P836" s="1">
        <f t="shared" ref="P836:P899" si="150">P835+J835</f>
        <v>52.336971990849527</v>
      </c>
      <c r="Q836" s="1">
        <f t="shared" ref="Q836:Q899" si="151">Q835+N835</f>
        <v>-101.06182560440271</v>
      </c>
      <c r="R836">
        <f>SQRT(Tabelle2[[#This Row],[vx]]*Tabelle2[[#This Row],[vx]]+Tabelle2[[#This Row],[vy]]*Tabelle2[[#This Row],[vy]])</f>
        <v>113.80971501442957</v>
      </c>
      <c r="S836">
        <f t="shared" ref="S836:S899" si="152">S835+K835</f>
        <v>871.93395336754497</v>
      </c>
      <c r="T836" s="1">
        <f t="shared" ref="T836:T899" si="153">T835+O835</f>
        <v>-320.56537178871395</v>
      </c>
    </row>
    <row r="837" spans="6:20" x14ac:dyDescent="0.35">
      <c r="F837" s="1">
        <f t="shared" si="149"/>
        <v>16.679999999999733</v>
      </c>
      <c r="G837">
        <f>1/2*$B$8*$B$6*$B$7*(Tabelle2[[#This Row],[vx]]*Tabelle2[[#This Row],[vx]]+Tabelle2[[#This Row],[vy]]*Tabelle2[[#This Row],[vy]])/1000000</f>
        <v>22.982403099472435</v>
      </c>
      <c r="H837">
        <f>IF($B$3,-Tabelle2[[#This Row],[Fd]]*Tabelle2[[#This Row],[vx]]/Tabelle2[[#This Row],[v]],0)</f>
        <v>0</v>
      </c>
      <c r="I837">
        <f t="shared" si="143"/>
        <v>0</v>
      </c>
      <c r="J837">
        <f t="shared" si="144"/>
        <v>0</v>
      </c>
      <c r="K837">
        <f t="shared" si="145"/>
        <v>1.0467394398169905</v>
      </c>
      <c r="L837">
        <f>-$B$5*$B$12-IF($B$3,Tabelle2[[#This Row],[Fd]]*Tabelle2[[#This Row],[vy]]/Tabelle2[[#This Row],[v]],0)</f>
        <v>-14.715</v>
      </c>
      <c r="M837">
        <f t="shared" si="146"/>
        <v>-9.81</v>
      </c>
      <c r="N837">
        <f t="shared" si="147"/>
        <v>-0.19620000000000001</v>
      </c>
      <c r="O837">
        <f t="shared" si="148"/>
        <v>-2.0271225120880545</v>
      </c>
      <c r="P837" s="1">
        <f t="shared" si="150"/>
        <v>52.336971990849527</v>
      </c>
      <c r="Q837" s="1">
        <f t="shared" si="151"/>
        <v>-101.25802560440272</v>
      </c>
      <c r="R837">
        <f>SQRT(Tabelle2[[#This Row],[vx]]*Tabelle2[[#This Row],[vx]]+Tabelle2[[#This Row],[vy]]*Tabelle2[[#This Row],[vy]])</f>
        <v>113.9839742528433</v>
      </c>
      <c r="S837">
        <f t="shared" si="152"/>
        <v>872.98069280736195</v>
      </c>
      <c r="T837" s="1">
        <f t="shared" si="153"/>
        <v>-322.58857030080202</v>
      </c>
    </row>
    <row r="838" spans="6:20" x14ac:dyDescent="0.35">
      <c r="F838" s="1">
        <f t="shared" si="149"/>
        <v>16.699999999999733</v>
      </c>
      <c r="G838">
        <f>1/2*$B$8*$B$6*$B$7*(Tabelle2[[#This Row],[vx]]*Tabelle2[[#This Row],[vx]]+Tabelle2[[#This Row],[vy]]*Tabelle2[[#This Row],[vy]])/1000000</f>
        <v>23.052756783953964</v>
      </c>
      <c r="H838">
        <f>IF($B$3,-Tabelle2[[#This Row],[Fd]]*Tabelle2[[#This Row],[vx]]/Tabelle2[[#This Row],[v]],0)</f>
        <v>0</v>
      </c>
      <c r="I838">
        <f t="shared" si="143"/>
        <v>0</v>
      </c>
      <c r="J838">
        <f t="shared" si="144"/>
        <v>0</v>
      </c>
      <c r="K838">
        <f t="shared" si="145"/>
        <v>1.0467394398169905</v>
      </c>
      <c r="L838">
        <f>-$B$5*$B$12-IF($B$3,Tabelle2[[#This Row],[Fd]]*Tabelle2[[#This Row],[vy]]/Tabelle2[[#This Row],[v]],0)</f>
        <v>-14.715</v>
      </c>
      <c r="M838">
        <f t="shared" si="146"/>
        <v>-9.81</v>
      </c>
      <c r="N838">
        <f t="shared" si="147"/>
        <v>-0.19620000000000001</v>
      </c>
      <c r="O838">
        <f t="shared" si="148"/>
        <v>-2.0310465120880545</v>
      </c>
      <c r="P838" s="1">
        <f t="shared" si="150"/>
        <v>52.336971990849527</v>
      </c>
      <c r="Q838" s="1">
        <f t="shared" si="151"/>
        <v>-101.45422560440272</v>
      </c>
      <c r="R838">
        <f>SQRT(Tabelle2[[#This Row],[vx]]*Tabelle2[[#This Row],[vx]]+Tabelle2[[#This Row],[vy]]*Tabelle2[[#This Row],[vy]])</f>
        <v>114.15830469203725</v>
      </c>
      <c r="S838">
        <f t="shared" si="152"/>
        <v>874.02743224717892</v>
      </c>
      <c r="T838" s="1">
        <f t="shared" si="153"/>
        <v>-324.61569281289007</v>
      </c>
    </row>
    <row r="839" spans="6:20" x14ac:dyDescent="0.35">
      <c r="F839" s="1">
        <f t="shared" si="149"/>
        <v>16.719999999999732</v>
      </c>
      <c r="G839">
        <f>1/2*$B$8*$B$6*$B$7*(Tabelle2[[#This Row],[vx]]*Tabelle2[[#This Row],[vx]]+Tabelle2[[#This Row],[vy]]*Tabelle2[[#This Row],[vy]])/1000000</f>
        <v>23.123246655496835</v>
      </c>
      <c r="H839">
        <f>IF($B$3,-Tabelle2[[#This Row],[Fd]]*Tabelle2[[#This Row],[vx]]/Tabelle2[[#This Row],[v]],0)</f>
        <v>0</v>
      </c>
      <c r="I839">
        <f t="shared" si="143"/>
        <v>0</v>
      </c>
      <c r="J839">
        <f t="shared" si="144"/>
        <v>0</v>
      </c>
      <c r="K839">
        <f t="shared" si="145"/>
        <v>1.0467394398169905</v>
      </c>
      <c r="L839">
        <f>-$B$5*$B$12-IF($B$3,Tabelle2[[#This Row],[Fd]]*Tabelle2[[#This Row],[vy]]/Tabelle2[[#This Row],[v]],0)</f>
        <v>-14.715</v>
      </c>
      <c r="M839">
        <f t="shared" si="146"/>
        <v>-9.81</v>
      </c>
      <c r="N839">
        <f t="shared" si="147"/>
        <v>-0.19620000000000001</v>
      </c>
      <c r="O839">
        <f t="shared" si="148"/>
        <v>-2.0349705120880546</v>
      </c>
      <c r="P839" s="1">
        <f t="shared" si="150"/>
        <v>52.336971990849527</v>
      </c>
      <c r="Q839" s="1">
        <f t="shared" si="151"/>
        <v>-101.65042560440273</v>
      </c>
      <c r="R839">
        <f>SQRT(Tabelle2[[#This Row],[vx]]*Tabelle2[[#This Row],[vx]]+Tabelle2[[#This Row],[vy]]*Tabelle2[[#This Row],[vy]])</f>
        <v>114.33270600631816</v>
      </c>
      <c r="S839">
        <f t="shared" si="152"/>
        <v>875.0741716869959</v>
      </c>
      <c r="T839" s="1">
        <f t="shared" si="153"/>
        <v>-326.64673932497811</v>
      </c>
    </row>
    <row r="840" spans="6:20" x14ac:dyDescent="0.35">
      <c r="F840" s="1">
        <f t="shared" si="149"/>
        <v>16.739999999999732</v>
      </c>
      <c r="G840">
        <f>1/2*$B$8*$B$6*$B$7*(Tabelle2[[#This Row],[vx]]*Tabelle2[[#This Row],[vx]]+Tabelle2[[#This Row],[vy]]*Tabelle2[[#This Row],[vy]])/1000000</f>
        <v>23.193872714101058</v>
      </c>
      <c r="H840">
        <f>IF($B$3,-Tabelle2[[#This Row],[Fd]]*Tabelle2[[#This Row],[vx]]/Tabelle2[[#This Row],[v]],0)</f>
        <v>0</v>
      </c>
      <c r="I840">
        <f t="shared" si="143"/>
        <v>0</v>
      </c>
      <c r="J840">
        <f t="shared" si="144"/>
        <v>0</v>
      </c>
      <c r="K840">
        <f t="shared" si="145"/>
        <v>1.0467394398169905</v>
      </c>
      <c r="L840">
        <f>-$B$5*$B$12-IF($B$3,Tabelle2[[#This Row],[Fd]]*Tabelle2[[#This Row],[vy]]/Tabelle2[[#This Row],[v]],0)</f>
        <v>-14.715</v>
      </c>
      <c r="M840">
        <f t="shared" si="146"/>
        <v>-9.81</v>
      </c>
      <c r="N840">
        <f t="shared" si="147"/>
        <v>-0.19620000000000001</v>
      </c>
      <c r="O840">
        <f t="shared" si="148"/>
        <v>-2.0388945120880546</v>
      </c>
      <c r="P840" s="1">
        <f t="shared" si="150"/>
        <v>52.336971990849527</v>
      </c>
      <c r="Q840" s="1">
        <f t="shared" si="151"/>
        <v>-101.84662560440273</v>
      </c>
      <c r="R840">
        <f>SQRT(Tabelle2[[#This Row],[vx]]*Tabelle2[[#This Row],[vx]]+Tabelle2[[#This Row],[vy]]*Tabelle2[[#This Row],[vy]])</f>
        <v>114.507177871845</v>
      </c>
      <c r="S840">
        <f t="shared" si="152"/>
        <v>876.12091112681287</v>
      </c>
      <c r="T840" s="1">
        <f t="shared" si="153"/>
        <v>-328.68170983706619</v>
      </c>
    </row>
    <row r="841" spans="6:20" x14ac:dyDescent="0.35">
      <c r="F841" s="1">
        <f t="shared" si="149"/>
        <v>16.759999999999732</v>
      </c>
      <c r="G841">
        <f>1/2*$B$8*$B$6*$B$7*(Tabelle2[[#This Row],[vx]]*Tabelle2[[#This Row],[vx]]+Tabelle2[[#This Row],[vy]]*Tabelle2[[#This Row],[vy]])/1000000</f>
        <v>23.264634959766614</v>
      </c>
      <c r="H841">
        <f>IF($B$3,-Tabelle2[[#This Row],[Fd]]*Tabelle2[[#This Row],[vx]]/Tabelle2[[#This Row],[v]],0)</f>
        <v>0</v>
      </c>
      <c r="I841">
        <f t="shared" si="143"/>
        <v>0</v>
      </c>
      <c r="J841">
        <f t="shared" si="144"/>
        <v>0</v>
      </c>
      <c r="K841">
        <f t="shared" si="145"/>
        <v>1.0467394398169905</v>
      </c>
      <c r="L841">
        <f>-$B$5*$B$12-IF($B$3,Tabelle2[[#This Row],[Fd]]*Tabelle2[[#This Row],[vy]]/Tabelle2[[#This Row],[v]],0)</f>
        <v>-14.715</v>
      </c>
      <c r="M841">
        <f t="shared" si="146"/>
        <v>-9.81</v>
      </c>
      <c r="N841">
        <f t="shared" si="147"/>
        <v>-0.19620000000000001</v>
      </c>
      <c r="O841">
        <f t="shared" si="148"/>
        <v>-2.0428185120880546</v>
      </c>
      <c r="P841" s="1">
        <f t="shared" si="150"/>
        <v>52.336971990849527</v>
      </c>
      <c r="Q841" s="1">
        <f t="shared" si="151"/>
        <v>-102.04282560440274</v>
      </c>
      <c r="R841">
        <f>SQRT(Tabelle2[[#This Row],[vx]]*Tabelle2[[#This Row],[vx]]+Tabelle2[[#This Row],[vy]]*Tabelle2[[#This Row],[vy]])</f>
        <v>114.68171996661682</v>
      </c>
      <c r="S841">
        <f t="shared" si="152"/>
        <v>877.16765056662985</v>
      </c>
      <c r="T841" s="1">
        <f t="shared" si="153"/>
        <v>-330.72060434915426</v>
      </c>
    </row>
    <row r="842" spans="6:20" x14ac:dyDescent="0.35">
      <c r="F842" s="1">
        <f t="shared" si="149"/>
        <v>16.779999999999731</v>
      </c>
      <c r="G842">
        <f>1/2*$B$8*$B$6*$B$7*(Tabelle2[[#This Row],[vx]]*Tabelle2[[#This Row],[vx]]+Tabelle2[[#This Row],[vy]]*Tabelle2[[#This Row],[vy]])/1000000</f>
        <v>23.33553339249352</v>
      </c>
      <c r="H842">
        <f>IF($B$3,-Tabelle2[[#This Row],[Fd]]*Tabelle2[[#This Row],[vx]]/Tabelle2[[#This Row],[v]],0)</f>
        <v>0</v>
      </c>
      <c r="I842">
        <f t="shared" si="143"/>
        <v>0</v>
      </c>
      <c r="J842">
        <f t="shared" si="144"/>
        <v>0</v>
      </c>
      <c r="K842">
        <f t="shared" si="145"/>
        <v>1.0467394398169905</v>
      </c>
      <c r="L842">
        <f>-$B$5*$B$12-IF($B$3,Tabelle2[[#This Row],[Fd]]*Tabelle2[[#This Row],[vy]]/Tabelle2[[#This Row],[v]],0)</f>
        <v>-14.715</v>
      </c>
      <c r="M842">
        <f t="shared" si="146"/>
        <v>-9.81</v>
      </c>
      <c r="N842">
        <f t="shared" si="147"/>
        <v>-0.19620000000000001</v>
      </c>
      <c r="O842">
        <f t="shared" si="148"/>
        <v>-2.0467425120880547</v>
      </c>
      <c r="P842" s="1">
        <f t="shared" si="150"/>
        <v>52.336971990849527</v>
      </c>
      <c r="Q842" s="1">
        <f t="shared" si="151"/>
        <v>-102.23902560440274</v>
      </c>
      <c r="R842">
        <f>SQRT(Tabelle2[[#This Row],[vx]]*Tabelle2[[#This Row],[vx]]+Tabelle2[[#This Row],[vy]]*Tabelle2[[#This Row],[vy]])</f>
        <v>114.85633197046076</v>
      </c>
      <c r="S842">
        <f t="shared" si="152"/>
        <v>878.21439000644682</v>
      </c>
      <c r="T842" s="1">
        <f t="shared" si="153"/>
        <v>-332.7634228612423</v>
      </c>
    </row>
    <row r="843" spans="6:20" x14ac:dyDescent="0.35">
      <c r="F843" s="1">
        <f t="shared" si="149"/>
        <v>16.799999999999731</v>
      </c>
      <c r="G843">
        <f>1/2*$B$8*$B$6*$B$7*(Tabelle2[[#This Row],[vx]]*Tabelle2[[#This Row],[vx]]+Tabelle2[[#This Row],[vy]]*Tabelle2[[#This Row],[vy]])/1000000</f>
        <v>23.40656801228177</v>
      </c>
      <c r="H843">
        <f>IF($B$3,-Tabelle2[[#This Row],[Fd]]*Tabelle2[[#This Row],[vx]]/Tabelle2[[#This Row],[v]],0)</f>
        <v>0</v>
      </c>
      <c r="I843">
        <f t="shared" si="143"/>
        <v>0</v>
      </c>
      <c r="J843">
        <f t="shared" si="144"/>
        <v>0</v>
      </c>
      <c r="K843">
        <f t="shared" si="145"/>
        <v>1.0467394398169905</v>
      </c>
      <c r="L843">
        <f>-$B$5*$B$12-IF($B$3,Tabelle2[[#This Row],[Fd]]*Tabelle2[[#This Row],[vy]]/Tabelle2[[#This Row],[v]],0)</f>
        <v>-14.715</v>
      </c>
      <c r="M843">
        <f t="shared" si="146"/>
        <v>-9.81</v>
      </c>
      <c r="N843">
        <f t="shared" si="147"/>
        <v>-0.19620000000000001</v>
      </c>
      <c r="O843">
        <f t="shared" si="148"/>
        <v>-2.0506665120880552</v>
      </c>
      <c r="P843" s="1">
        <f t="shared" si="150"/>
        <v>52.336971990849527</v>
      </c>
      <c r="Q843" s="1">
        <f t="shared" si="151"/>
        <v>-102.43522560440275</v>
      </c>
      <c r="R843">
        <f>SQRT(Tabelle2[[#This Row],[vx]]*Tabelle2[[#This Row],[vx]]+Tabelle2[[#This Row],[vy]]*Tabelle2[[#This Row],[vy]])</f>
        <v>115.03101356502017</v>
      </c>
      <c r="S843">
        <f t="shared" si="152"/>
        <v>879.26112944626379</v>
      </c>
      <c r="T843" s="1">
        <f t="shared" si="153"/>
        <v>-334.81016537333034</v>
      </c>
    </row>
    <row r="844" spans="6:20" x14ac:dyDescent="0.35">
      <c r="F844" s="1">
        <f t="shared" si="149"/>
        <v>16.81999999999973</v>
      </c>
      <c r="G844">
        <f>1/2*$B$8*$B$6*$B$7*(Tabelle2[[#This Row],[vx]]*Tabelle2[[#This Row],[vx]]+Tabelle2[[#This Row],[vy]]*Tabelle2[[#This Row],[vy]])/1000000</f>
        <v>23.477738819131364</v>
      </c>
      <c r="H844">
        <f>IF($B$3,-Tabelle2[[#This Row],[Fd]]*Tabelle2[[#This Row],[vx]]/Tabelle2[[#This Row],[v]],0)</f>
        <v>0</v>
      </c>
      <c r="I844">
        <f t="shared" si="143"/>
        <v>0</v>
      </c>
      <c r="J844">
        <f t="shared" si="144"/>
        <v>0</v>
      </c>
      <c r="K844">
        <f t="shared" si="145"/>
        <v>1.0467394398169905</v>
      </c>
      <c r="L844">
        <f>-$B$5*$B$12-IF($B$3,Tabelle2[[#This Row],[Fd]]*Tabelle2[[#This Row],[vy]]/Tabelle2[[#This Row],[v]],0)</f>
        <v>-14.715</v>
      </c>
      <c r="M844">
        <f t="shared" si="146"/>
        <v>-9.81</v>
      </c>
      <c r="N844">
        <f t="shared" si="147"/>
        <v>-0.19620000000000001</v>
      </c>
      <c r="O844">
        <f t="shared" si="148"/>
        <v>-2.0545905120880552</v>
      </c>
      <c r="P844" s="1">
        <f t="shared" si="150"/>
        <v>52.336971990849527</v>
      </c>
      <c r="Q844" s="1">
        <f t="shared" si="151"/>
        <v>-102.63142560440275</v>
      </c>
      <c r="R844">
        <f>SQRT(Tabelle2[[#This Row],[vx]]*Tabelle2[[#This Row],[vx]]+Tabelle2[[#This Row],[vy]]*Tabelle2[[#This Row],[vy]])</f>
        <v>115.20576443374274</v>
      </c>
      <c r="S844">
        <f t="shared" si="152"/>
        <v>880.30786888608077</v>
      </c>
      <c r="T844" s="1">
        <f t="shared" si="153"/>
        <v>-336.86083188541841</v>
      </c>
    </row>
    <row r="845" spans="6:20" x14ac:dyDescent="0.35">
      <c r="F845" s="1">
        <f t="shared" si="149"/>
        <v>16.83999999999973</v>
      </c>
      <c r="G845">
        <f>1/2*$B$8*$B$6*$B$7*(Tabelle2[[#This Row],[vx]]*Tabelle2[[#This Row],[vx]]+Tabelle2[[#This Row],[vy]]*Tabelle2[[#This Row],[vy]])/1000000</f>
        <v>23.549045813042301</v>
      </c>
      <c r="H845">
        <f>IF($B$3,-Tabelle2[[#This Row],[Fd]]*Tabelle2[[#This Row],[vx]]/Tabelle2[[#This Row],[v]],0)</f>
        <v>0</v>
      </c>
      <c r="I845">
        <f t="shared" si="143"/>
        <v>0</v>
      </c>
      <c r="J845">
        <f t="shared" si="144"/>
        <v>0</v>
      </c>
      <c r="K845">
        <f t="shared" si="145"/>
        <v>1.0467394398169905</v>
      </c>
      <c r="L845">
        <f>-$B$5*$B$12-IF($B$3,Tabelle2[[#This Row],[Fd]]*Tabelle2[[#This Row],[vy]]/Tabelle2[[#This Row],[v]],0)</f>
        <v>-14.715</v>
      </c>
      <c r="M845">
        <f t="shared" si="146"/>
        <v>-9.81</v>
      </c>
      <c r="N845">
        <f t="shared" si="147"/>
        <v>-0.19620000000000001</v>
      </c>
      <c r="O845">
        <f t="shared" si="148"/>
        <v>-2.0585145120880552</v>
      </c>
      <c r="P845" s="1">
        <f t="shared" si="150"/>
        <v>52.336971990849527</v>
      </c>
      <c r="Q845" s="1">
        <f t="shared" si="151"/>
        <v>-102.82762560440275</v>
      </c>
      <c r="R845">
        <f>SQRT(Tabelle2[[#This Row],[vx]]*Tabelle2[[#This Row],[vx]]+Tabelle2[[#This Row],[vy]]*Tabelle2[[#This Row],[vy]])</f>
        <v>115.38058426186873</v>
      </c>
      <c r="S845">
        <f t="shared" si="152"/>
        <v>881.35460832589774</v>
      </c>
      <c r="T845" s="1">
        <f t="shared" si="153"/>
        <v>-338.91542239750646</v>
      </c>
    </row>
    <row r="846" spans="6:20" x14ac:dyDescent="0.35">
      <c r="F846" s="1">
        <f t="shared" si="149"/>
        <v>16.859999999999729</v>
      </c>
      <c r="G846">
        <f>1/2*$B$8*$B$6*$B$7*(Tabelle2[[#This Row],[vx]]*Tabelle2[[#This Row],[vx]]+Tabelle2[[#This Row],[vy]]*Tabelle2[[#This Row],[vy]])/1000000</f>
        <v>23.620488994014583</v>
      </c>
      <c r="H846">
        <f>IF($B$3,-Tabelle2[[#This Row],[Fd]]*Tabelle2[[#This Row],[vx]]/Tabelle2[[#This Row],[v]],0)</f>
        <v>0</v>
      </c>
      <c r="I846">
        <f t="shared" si="143"/>
        <v>0</v>
      </c>
      <c r="J846">
        <f t="shared" si="144"/>
        <v>0</v>
      </c>
      <c r="K846">
        <f t="shared" si="145"/>
        <v>1.0467394398169905</v>
      </c>
      <c r="L846">
        <f>-$B$5*$B$12-IF($B$3,Tabelle2[[#This Row],[Fd]]*Tabelle2[[#This Row],[vy]]/Tabelle2[[#This Row],[v]],0)</f>
        <v>-14.715</v>
      </c>
      <c r="M846">
        <f t="shared" si="146"/>
        <v>-9.81</v>
      </c>
      <c r="N846">
        <f t="shared" si="147"/>
        <v>-0.19620000000000001</v>
      </c>
      <c r="O846">
        <f t="shared" si="148"/>
        <v>-2.0624385120880553</v>
      </c>
      <c r="P846" s="1">
        <f t="shared" si="150"/>
        <v>52.336971990849527</v>
      </c>
      <c r="Q846" s="1">
        <f t="shared" si="151"/>
        <v>-103.02382560440276</v>
      </c>
      <c r="R846">
        <f>SQRT(Tabelle2[[#This Row],[vx]]*Tabelle2[[#This Row],[vx]]+Tabelle2[[#This Row],[vy]]*Tabelle2[[#This Row],[vy]])</f>
        <v>115.55547273641938</v>
      </c>
      <c r="S846">
        <f t="shared" si="152"/>
        <v>882.40134776571472</v>
      </c>
      <c r="T846" s="1">
        <f t="shared" si="153"/>
        <v>-340.9739369095945</v>
      </c>
    </row>
    <row r="847" spans="6:20" x14ac:dyDescent="0.35">
      <c r="F847" s="1">
        <f t="shared" si="149"/>
        <v>16.879999999999729</v>
      </c>
      <c r="G847">
        <f>1/2*$B$8*$B$6*$B$7*(Tabelle2[[#This Row],[vx]]*Tabelle2[[#This Row],[vx]]+Tabelle2[[#This Row],[vy]]*Tabelle2[[#This Row],[vy]])/1000000</f>
        <v>23.692068362048204</v>
      </c>
      <c r="H847">
        <f>IF($B$3,-Tabelle2[[#This Row],[Fd]]*Tabelle2[[#This Row],[vx]]/Tabelle2[[#This Row],[v]],0)</f>
        <v>0</v>
      </c>
      <c r="I847">
        <f t="shared" si="143"/>
        <v>0</v>
      </c>
      <c r="J847">
        <f t="shared" si="144"/>
        <v>0</v>
      </c>
      <c r="K847">
        <f t="shared" si="145"/>
        <v>1.0467394398169905</v>
      </c>
      <c r="L847">
        <f>-$B$5*$B$12-IF($B$3,Tabelle2[[#This Row],[Fd]]*Tabelle2[[#This Row],[vy]]/Tabelle2[[#This Row],[v]],0)</f>
        <v>-14.715</v>
      </c>
      <c r="M847">
        <f t="shared" si="146"/>
        <v>-9.81</v>
      </c>
      <c r="N847">
        <f t="shared" si="147"/>
        <v>-0.19620000000000001</v>
      </c>
      <c r="O847">
        <f t="shared" si="148"/>
        <v>-2.0663625120880553</v>
      </c>
      <c r="P847" s="1">
        <f t="shared" si="150"/>
        <v>52.336971990849527</v>
      </c>
      <c r="Q847" s="1">
        <f t="shared" si="151"/>
        <v>-103.22002560440276</v>
      </c>
      <c r="R847">
        <f>SQRT(Tabelle2[[#This Row],[vx]]*Tabelle2[[#This Row],[vx]]+Tabelle2[[#This Row],[vy]]*Tabelle2[[#This Row],[vy]])</f>
        <v>115.73042954618516</v>
      </c>
      <c r="S847">
        <f t="shared" si="152"/>
        <v>883.44808720553169</v>
      </c>
      <c r="T847" s="1">
        <f t="shared" si="153"/>
        <v>-343.03637542168258</v>
      </c>
    </row>
    <row r="848" spans="6:20" x14ac:dyDescent="0.35">
      <c r="F848" s="1">
        <f t="shared" si="149"/>
        <v>16.899999999999729</v>
      </c>
      <c r="G848">
        <f>1/2*$B$8*$B$6*$B$7*(Tabelle2[[#This Row],[vx]]*Tabelle2[[#This Row],[vx]]+Tabelle2[[#This Row],[vy]]*Tabelle2[[#This Row],[vy]])/1000000</f>
        <v>23.763783917143172</v>
      </c>
      <c r="H848">
        <f>IF($B$3,-Tabelle2[[#This Row],[Fd]]*Tabelle2[[#This Row],[vx]]/Tabelle2[[#This Row],[v]],0)</f>
        <v>0</v>
      </c>
      <c r="I848">
        <f t="shared" si="143"/>
        <v>0</v>
      </c>
      <c r="J848">
        <f t="shared" si="144"/>
        <v>0</v>
      </c>
      <c r="K848">
        <f t="shared" si="145"/>
        <v>1.0467394398169905</v>
      </c>
      <c r="L848">
        <f>-$B$5*$B$12-IF($B$3,Tabelle2[[#This Row],[Fd]]*Tabelle2[[#This Row],[vy]]/Tabelle2[[#This Row],[v]],0)</f>
        <v>-14.715</v>
      </c>
      <c r="M848">
        <f t="shared" si="146"/>
        <v>-9.81</v>
      </c>
      <c r="N848">
        <f t="shared" si="147"/>
        <v>-0.19620000000000001</v>
      </c>
      <c r="O848">
        <f t="shared" si="148"/>
        <v>-2.0702865120880554</v>
      </c>
      <c r="P848" s="1">
        <f t="shared" si="150"/>
        <v>52.336971990849527</v>
      </c>
      <c r="Q848" s="1">
        <f t="shared" si="151"/>
        <v>-103.41622560440277</v>
      </c>
      <c r="R848">
        <f>SQRT(Tabelle2[[#This Row],[vx]]*Tabelle2[[#This Row],[vx]]+Tabelle2[[#This Row],[vy]]*Tabelle2[[#This Row],[vy]])</f>
        <v>115.90545438171449</v>
      </c>
      <c r="S848">
        <f t="shared" si="152"/>
        <v>884.49482664534867</v>
      </c>
      <c r="T848" s="1">
        <f t="shared" si="153"/>
        <v>-345.10273793377064</v>
      </c>
    </row>
    <row r="849" spans="6:20" x14ac:dyDescent="0.35">
      <c r="F849" s="1">
        <f t="shared" si="149"/>
        <v>16.919999999999728</v>
      </c>
      <c r="G849">
        <f>1/2*$B$8*$B$6*$B$7*(Tabelle2[[#This Row],[vx]]*Tabelle2[[#This Row],[vx]]+Tabelle2[[#This Row],[vy]]*Tabelle2[[#This Row],[vy]])/1000000</f>
        <v>23.835635659299488</v>
      </c>
      <c r="H849">
        <f>IF($B$3,-Tabelle2[[#This Row],[Fd]]*Tabelle2[[#This Row],[vx]]/Tabelle2[[#This Row],[v]],0)</f>
        <v>0</v>
      </c>
      <c r="I849">
        <f t="shared" si="143"/>
        <v>0</v>
      </c>
      <c r="J849">
        <f t="shared" si="144"/>
        <v>0</v>
      </c>
      <c r="K849">
        <f t="shared" si="145"/>
        <v>1.0467394398169905</v>
      </c>
      <c r="L849">
        <f>-$B$5*$B$12-IF($B$3,Tabelle2[[#This Row],[Fd]]*Tabelle2[[#This Row],[vy]]/Tabelle2[[#This Row],[v]],0)</f>
        <v>-14.715</v>
      </c>
      <c r="M849">
        <f t="shared" si="146"/>
        <v>-9.81</v>
      </c>
      <c r="N849">
        <f t="shared" si="147"/>
        <v>-0.19620000000000001</v>
      </c>
      <c r="O849">
        <f t="shared" si="148"/>
        <v>-2.0742105120880554</v>
      </c>
      <c r="P849" s="1">
        <f t="shared" si="150"/>
        <v>52.336971990849527</v>
      </c>
      <c r="Q849" s="1">
        <f t="shared" si="151"/>
        <v>-103.61242560440277</v>
      </c>
      <c r="R849">
        <f>SQRT(Tabelle2[[#This Row],[vx]]*Tabelle2[[#This Row],[vx]]+Tabelle2[[#This Row],[vy]]*Tabelle2[[#This Row],[vy]])</f>
        <v>116.08054693530207</v>
      </c>
      <c r="S849">
        <f t="shared" si="152"/>
        <v>885.54156608516564</v>
      </c>
      <c r="T849" s="1">
        <f t="shared" si="153"/>
        <v>-347.17302444585869</v>
      </c>
    </row>
    <row r="850" spans="6:20" x14ac:dyDescent="0.35">
      <c r="F850" s="1">
        <f t="shared" si="149"/>
        <v>16.939999999999728</v>
      </c>
      <c r="G850">
        <f>1/2*$B$8*$B$6*$B$7*(Tabelle2[[#This Row],[vx]]*Tabelle2[[#This Row],[vx]]+Tabelle2[[#This Row],[vy]]*Tabelle2[[#This Row],[vy]])/1000000</f>
        <v>23.907623588517147</v>
      </c>
      <c r="H850">
        <f>IF($B$3,-Tabelle2[[#This Row],[Fd]]*Tabelle2[[#This Row],[vx]]/Tabelle2[[#This Row],[v]],0)</f>
        <v>0</v>
      </c>
      <c r="I850">
        <f t="shared" si="143"/>
        <v>0</v>
      </c>
      <c r="J850">
        <f t="shared" si="144"/>
        <v>0</v>
      </c>
      <c r="K850">
        <f t="shared" si="145"/>
        <v>1.0467394398169905</v>
      </c>
      <c r="L850">
        <f>-$B$5*$B$12-IF($B$3,Tabelle2[[#This Row],[Fd]]*Tabelle2[[#This Row],[vy]]/Tabelle2[[#This Row],[v]],0)</f>
        <v>-14.715</v>
      </c>
      <c r="M850">
        <f t="shared" si="146"/>
        <v>-9.81</v>
      </c>
      <c r="N850">
        <f t="shared" si="147"/>
        <v>-0.19620000000000001</v>
      </c>
      <c r="O850">
        <f t="shared" si="148"/>
        <v>-2.0781345120880554</v>
      </c>
      <c r="P850" s="1">
        <f t="shared" si="150"/>
        <v>52.336971990849527</v>
      </c>
      <c r="Q850" s="1">
        <f t="shared" si="151"/>
        <v>-103.80862560440278</v>
      </c>
      <c r="R850">
        <f>SQRT(Tabelle2[[#This Row],[vx]]*Tabelle2[[#This Row],[vx]]+Tabelle2[[#This Row],[vy]]*Tabelle2[[#This Row],[vy]])</f>
        <v>116.25570690097771</v>
      </c>
      <c r="S850">
        <f t="shared" si="152"/>
        <v>886.58830552498262</v>
      </c>
      <c r="T850" s="1">
        <f t="shared" si="153"/>
        <v>-349.24723495794672</v>
      </c>
    </row>
    <row r="851" spans="6:20" x14ac:dyDescent="0.35">
      <c r="F851" s="1">
        <f t="shared" si="149"/>
        <v>16.959999999999727</v>
      </c>
      <c r="G851">
        <f>1/2*$B$8*$B$6*$B$7*(Tabelle2[[#This Row],[vx]]*Tabelle2[[#This Row],[vx]]+Tabelle2[[#This Row],[vy]]*Tabelle2[[#This Row],[vy]])/1000000</f>
        <v>23.979747704796146</v>
      </c>
      <c r="H851">
        <f>IF($B$3,-Tabelle2[[#This Row],[Fd]]*Tabelle2[[#This Row],[vx]]/Tabelle2[[#This Row],[v]],0)</f>
        <v>0</v>
      </c>
      <c r="I851">
        <f t="shared" si="143"/>
        <v>0</v>
      </c>
      <c r="J851">
        <f t="shared" si="144"/>
        <v>0</v>
      </c>
      <c r="K851">
        <f t="shared" si="145"/>
        <v>1.0467394398169905</v>
      </c>
      <c r="L851">
        <f>-$B$5*$B$12-IF($B$3,Tabelle2[[#This Row],[Fd]]*Tabelle2[[#This Row],[vy]]/Tabelle2[[#This Row],[v]],0)</f>
        <v>-14.715</v>
      </c>
      <c r="M851">
        <f t="shared" si="146"/>
        <v>-9.81</v>
      </c>
      <c r="N851">
        <f t="shared" si="147"/>
        <v>-0.19620000000000001</v>
      </c>
      <c r="O851">
        <f t="shared" si="148"/>
        <v>-2.0820585120880559</v>
      </c>
      <c r="P851" s="1">
        <f t="shared" si="150"/>
        <v>52.336971990849527</v>
      </c>
      <c r="Q851" s="1">
        <f t="shared" si="151"/>
        <v>-104.00482560440278</v>
      </c>
      <c r="R851">
        <f>SQRT(Tabelle2[[#This Row],[vx]]*Tabelle2[[#This Row],[vx]]+Tabelle2[[#This Row],[vy]]*Tabelle2[[#This Row],[vy]])</f>
        <v>116.43093397449496</v>
      </c>
      <c r="S851">
        <f t="shared" si="152"/>
        <v>887.63504496479959</v>
      </c>
      <c r="T851" s="1">
        <f t="shared" si="153"/>
        <v>-351.32536947003479</v>
      </c>
    </row>
    <row r="852" spans="6:20" x14ac:dyDescent="0.35">
      <c r="F852" s="1">
        <f t="shared" si="149"/>
        <v>16.979999999999727</v>
      </c>
      <c r="G852">
        <f>1/2*$B$8*$B$6*$B$7*(Tabelle2[[#This Row],[vx]]*Tabelle2[[#This Row],[vx]]+Tabelle2[[#This Row],[vy]]*Tabelle2[[#This Row],[vy]])/1000000</f>
        <v>24.052008008136493</v>
      </c>
      <c r="H852">
        <f>IF($B$3,-Tabelle2[[#This Row],[Fd]]*Tabelle2[[#This Row],[vx]]/Tabelle2[[#This Row],[v]],0)</f>
        <v>0</v>
      </c>
      <c r="I852">
        <f t="shared" si="143"/>
        <v>0</v>
      </c>
      <c r="J852">
        <f t="shared" si="144"/>
        <v>0</v>
      </c>
      <c r="K852">
        <f t="shared" si="145"/>
        <v>1.0467394398169905</v>
      </c>
      <c r="L852">
        <f>-$B$5*$B$12-IF($B$3,Tabelle2[[#This Row],[Fd]]*Tabelle2[[#This Row],[vy]]/Tabelle2[[#This Row],[v]],0)</f>
        <v>-14.715</v>
      </c>
      <c r="M852">
        <f t="shared" si="146"/>
        <v>-9.81</v>
      </c>
      <c r="N852">
        <f t="shared" si="147"/>
        <v>-0.19620000000000001</v>
      </c>
      <c r="O852">
        <f t="shared" si="148"/>
        <v>-2.085982512088056</v>
      </c>
      <c r="P852" s="1">
        <f t="shared" si="150"/>
        <v>52.336971990849527</v>
      </c>
      <c r="Q852" s="1">
        <f t="shared" si="151"/>
        <v>-104.20102560440279</v>
      </c>
      <c r="R852">
        <f>SQRT(Tabelle2[[#This Row],[vx]]*Tabelle2[[#This Row],[vx]]+Tabelle2[[#This Row],[vy]]*Tabelle2[[#This Row],[vy]])</f>
        <v>116.60622785331996</v>
      </c>
      <c r="S852">
        <f t="shared" si="152"/>
        <v>888.68178440461656</v>
      </c>
      <c r="T852" s="1">
        <f t="shared" si="153"/>
        <v>-353.40742798212284</v>
      </c>
    </row>
    <row r="853" spans="6:20" x14ac:dyDescent="0.35">
      <c r="F853" s="1">
        <f t="shared" si="149"/>
        <v>16.999999999999726</v>
      </c>
      <c r="G853">
        <f>1/2*$B$8*$B$6*$B$7*(Tabelle2[[#This Row],[vx]]*Tabelle2[[#This Row],[vx]]+Tabelle2[[#This Row],[vy]]*Tabelle2[[#This Row],[vy]])/1000000</f>
        <v>24.12440449853818</v>
      </c>
      <c r="H853">
        <f>IF($B$3,-Tabelle2[[#This Row],[Fd]]*Tabelle2[[#This Row],[vx]]/Tabelle2[[#This Row],[v]],0)</f>
        <v>0</v>
      </c>
      <c r="I853">
        <f t="shared" si="143"/>
        <v>0</v>
      </c>
      <c r="J853">
        <f t="shared" si="144"/>
        <v>0</v>
      </c>
      <c r="K853">
        <f t="shared" si="145"/>
        <v>1.0467394398169905</v>
      </c>
      <c r="L853">
        <f>-$B$5*$B$12-IF($B$3,Tabelle2[[#This Row],[Fd]]*Tabelle2[[#This Row],[vy]]/Tabelle2[[#This Row],[v]],0)</f>
        <v>-14.715</v>
      </c>
      <c r="M853">
        <f t="shared" si="146"/>
        <v>-9.81</v>
      </c>
      <c r="N853">
        <f t="shared" si="147"/>
        <v>-0.19620000000000001</v>
      </c>
      <c r="O853">
        <f t="shared" si="148"/>
        <v>-2.089906512088056</v>
      </c>
      <c r="P853" s="1">
        <f t="shared" si="150"/>
        <v>52.336971990849527</v>
      </c>
      <c r="Q853" s="1">
        <f t="shared" si="151"/>
        <v>-104.39722560440279</v>
      </c>
      <c r="R853">
        <f>SQRT(Tabelle2[[#This Row],[vx]]*Tabelle2[[#This Row],[vx]]+Tabelle2[[#This Row],[vy]]*Tabelle2[[#This Row],[vy]])</f>
        <v>116.78158823662034</v>
      </c>
      <c r="S853">
        <f t="shared" si="152"/>
        <v>889.72852384443354</v>
      </c>
      <c r="T853" s="1">
        <f t="shared" si="153"/>
        <v>-355.49341049421088</v>
      </c>
    </row>
    <row r="854" spans="6:20" x14ac:dyDescent="0.35">
      <c r="F854" s="1">
        <f t="shared" si="149"/>
        <v>17.019999999999726</v>
      </c>
      <c r="G854">
        <f>1/2*$B$8*$B$6*$B$7*(Tabelle2[[#This Row],[vx]]*Tabelle2[[#This Row],[vx]]+Tabelle2[[#This Row],[vy]]*Tabelle2[[#This Row],[vy]])/1000000</f>
        <v>24.196937176001214</v>
      </c>
      <c r="H854">
        <f>IF($B$3,-Tabelle2[[#This Row],[Fd]]*Tabelle2[[#This Row],[vx]]/Tabelle2[[#This Row],[v]],0)</f>
        <v>0</v>
      </c>
      <c r="I854">
        <f t="shared" si="143"/>
        <v>0</v>
      </c>
      <c r="J854">
        <f t="shared" si="144"/>
        <v>0</v>
      </c>
      <c r="K854">
        <f t="shared" si="145"/>
        <v>1.0467394398169905</v>
      </c>
      <c r="L854">
        <f>-$B$5*$B$12-IF($B$3,Tabelle2[[#This Row],[Fd]]*Tabelle2[[#This Row],[vy]]/Tabelle2[[#This Row],[v]],0)</f>
        <v>-14.715</v>
      </c>
      <c r="M854">
        <f t="shared" si="146"/>
        <v>-9.81</v>
      </c>
      <c r="N854">
        <f t="shared" si="147"/>
        <v>-0.19620000000000001</v>
      </c>
      <c r="O854">
        <f t="shared" si="148"/>
        <v>-2.093830512088056</v>
      </c>
      <c r="P854" s="1">
        <f t="shared" si="150"/>
        <v>52.336971990849527</v>
      </c>
      <c r="Q854" s="1">
        <f t="shared" si="151"/>
        <v>-104.5934256044028</v>
      </c>
      <c r="R854">
        <f>SQRT(Tabelle2[[#This Row],[vx]]*Tabelle2[[#This Row],[vx]]+Tabelle2[[#This Row],[vy]]*Tabelle2[[#This Row],[vy]])</f>
        <v>116.95701482525411</v>
      </c>
      <c r="S854">
        <f t="shared" si="152"/>
        <v>890.77526328425051</v>
      </c>
      <c r="T854" s="1">
        <f t="shared" si="153"/>
        <v>-357.58331700629896</v>
      </c>
    </row>
    <row r="855" spans="6:20" x14ac:dyDescent="0.35">
      <c r="F855" s="1">
        <f t="shared" si="149"/>
        <v>17.039999999999726</v>
      </c>
      <c r="G855">
        <f>1/2*$B$8*$B$6*$B$7*(Tabelle2[[#This Row],[vx]]*Tabelle2[[#This Row],[vx]]+Tabelle2[[#This Row],[vy]]*Tabelle2[[#This Row],[vy]])/1000000</f>
        <v>24.269606040525588</v>
      </c>
      <c r="H855">
        <f>IF($B$3,-Tabelle2[[#This Row],[Fd]]*Tabelle2[[#This Row],[vx]]/Tabelle2[[#This Row],[v]],0)</f>
        <v>0</v>
      </c>
      <c r="I855">
        <f t="shared" si="143"/>
        <v>0</v>
      </c>
      <c r="J855">
        <f t="shared" si="144"/>
        <v>0</v>
      </c>
      <c r="K855">
        <f t="shared" si="145"/>
        <v>1.0467394398169905</v>
      </c>
      <c r="L855">
        <f>-$B$5*$B$12-IF($B$3,Tabelle2[[#This Row],[Fd]]*Tabelle2[[#This Row],[vy]]/Tabelle2[[#This Row],[v]],0)</f>
        <v>-14.715</v>
      </c>
      <c r="M855">
        <f t="shared" si="146"/>
        <v>-9.81</v>
      </c>
      <c r="N855">
        <f t="shared" si="147"/>
        <v>-0.19620000000000001</v>
      </c>
      <c r="O855">
        <f t="shared" si="148"/>
        <v>-2.0977545120880561</v>
      </c>
      <c r="P855" s="1">
        <f t="shared" si="150"/>
        <v>52.336971990849527</v>
      </c>
      <c r="Q855" s="1">
        <f t="shared" si="151"/>
        <v>-104.7896256044028</v>
      </c>
      <c r="R855">
        <f>SQRT(Tabelle2[[#This Row],[vx]]*Tabelle2[[#This Row],[vx]]+Tabelle2[[#This Row],[vy]]*Tabelle2[[#This Row],[vy]])</f>
        <v>117.13250732175879</v>
      </c>
      <c r="S855">
        <f t="shared" si="152"/>
        <v>891.82200272406749</v>
      </c>
      <c r="T855" s="1">
        <f t="shared" si="153"/>
        <v>-359.67714751838702</v>
      </c>
    </row>
    <row r="856" spans="6:20" x14ac:dyDescent="0.35">
      <c r="F856" s="1">
        <f t="shared" si="149"/>
        <v>17.059999999999725</v>
      </c>
      <c r="G856">
        <f>1/2*$B$8*$B$6*$B$7*(Tabelle2[[#This Row],[vx]]*Tabelle2[[#This Row],[vx]]+Tabelle2[[#This Row],[vy]]*Tabelle2[[#This Row],[vy]])/1000000</f>
        <v>24.342411092111313</v>
      </c>
      <c r="H856">
        <f>IF($B$3,-Tabelle2[[#This Row],[Fd]]*Tabelle2[[#This Row],[vx]]/Tabelle2[[#This Row],[v]],0)</f>
        <v>0</v>
      </c>
      <c r="I856">
        <f t="shared" si="143"/>
        <v>0</v>
      </c>
      <c r="J856">
        <f t="shared" si="144"/>
        <v>0</v>
      </c>
      <c r="K856">
        <f t="shared" si="145"/>
        <v>1.0467394398169905</v>
      </c>
      <c r="L856">
        <f>-$B$5*$B$12-IF($B$3,Tabelle2[[#This Row],[Fd]]*Tabelle2[[#This Row],[vy]]/Tabelle2[[#This Row],[v]],0)</f>
        <v>-14.715</v>
      </c>
      <c r="M856">
        <f t="shared" si="146"/>
        <v>-9.81</v>
      </c>
      <c r="N856">
        <f t="shared" si="147"/>
        <v>-0.19620000000000001</v>
      </c>
      <c r="O856">
        <f t="shared" si="148"/>
        <v>-2.1016785120880561</v>
      </c>
      <c r="P856" s="1">
        <f t="shared" si="150"/>
        <v>52.336971990849527</v>
      </c>
      <c r="Q856" s="1">
        <f t="shared" si="151"/>
        <v>-104.98582560440281</v>
      </c>
      <c r="R856">
        <f>SQRT(Tabelle2[[#This Row],[vx]]*Tabelle2[[#This Row],[vx]]+Tabelle2[[#This Row],[vy]]*Tabelle2[[#This Row],[vy]])</f>
        <v>117.30806543034049</v>
      </c>
      <c r="S856">
        <f t="shared" si="152"/>
        <v>892.86874216388446</v>
      </c>
      <c r="T856" s="1">
        <f t="shared" si="153"/>
        <v>-361.77490203047506</v>
      </c>
    </row>
    <row r="857" spans="6:20" x14ac:dyDescent="0.35">
      <c r="F857" s="1">
        <f t="shared" si="149"/>
        <v>17.079999999999725</v>
      </c>
      <c r="G857">
        <f>1/2*$B$8*$B$6*$B$7*(Tabelle2[[#This Row],[vx]]*Tabelle2[[#This Row],[vx]]+Tabelle2[[#This Row],[vy]]*Tabelle2[[#This Row],[vy]])/1000000</f>
        <v>24.415352330758378</v>
      </c>
      <c r="H857">
        <f>IF($B$3,-Tabelle2[[#This Row],[Fd]]*Tabelle2[[#This Row],[vx]]/Tabelle2[[#This Row],[v]],0)</f>
        <v>0</v>
      </c>
      <c r="I857">
        <f t="shared" si="143"/>
        <v>0</v>
      </c>
      <c r="J857">
        <f t="shared" si="144"/>
        <v>0</v>
      </c>
      <c r="K857">
        <f t="shared" si="145"/>
        <v>1.0467394398169905</v>
      </c>
      <c r="L857">
        <f>-$B$5*$B$12-IF($B$3,Tabelle2[[#This Row],[Fd]]*Tabelle2[[#This Row],[vy]]/Tabelle2[[#This Row],[v]],0)</f>
        <v>-14.715</v>
      </c>
      <c r="M857">
        <f t="shared" si="146"/>
        <v>-9.81</v>
      </c>
      <c r="N857">
        <f t="shared" si="147"/>
        <v>-0.19620000000000001</v>
      </c>
      <c r="O857">
        <f t="shared" si="148"/>
        <v>-2.1056025120880562</v>
      </c>
      <c r="P857" s="1">
        <f t="shared" si="150"/>
        <v>52.336971990849527</v>
      </c>
      <c r="Q857" s="1">
        <f t="shared" si="151"/>
        <v>-105.18202560440281</v>
      </c>
      <c r="R857">
        <f>SQRT(Tabelle2[[#This Row],[vx]]*Tabelle2[[#This Row],[vx]]+Tabelle2[[#This Row],[vy]]*Tabelle2[[#This Row],[vy]])</f>
        <v>117.48368885686308</v>
      </c>
      <c r="S857">
        <f t="shared" si="152"/>
        <v>893.91548160370144</v>
      </c>
      <c r="T857" s="1">
        <f t="shared" si="153"/>
        <v>-363.87658054256309</v>
      </c>
    </row>
    <row r="858" spans="6:20" x14ac:dyDescent="0.35">
      <c r="F858" s="1">
        <f t="shared" si="149"/>
        <v>17.099999999999724</v>
      </c>
      <c r="G858">
        <f>1/2*$B$8*$B$6*$B$7*(Tabelle2[[#This Row],[vx]]*Tabelle2[[#This Row],[vx]]+Tabelle2[[#This Row],[vy]]*Tabelle2[[#This Row],[vy]])/1000000</f>
        <v>24.488429756466783</v>
      </c>
      <c r="H858">
        <f>IF($B$3,-Tabelle2[[#This Row],[Fd]]*Tabelle2[[#This Row],[vx]]/Tabelle2[[#This Row],[v]],0)</f>
        <v>0</v>
      </c>
      <c r="I858">
        <f t="shared" si="143"/>
        <v>0</v>
      </c>
      <c r="J858">
        <f t="shared" si="144"/>
        <v>0</v>
      </c>
      <c r="K858">
        <f t="shared" si="145"/>
        <v>1.0467394398169905</v>
      </c>
      <c r="L858">
        <f>-$B$5*$B$12-IF($B$3,Tabelle2[[#This Row],[Fd]]*Tabelle2[[#This Row],[vy]]/Tabelle2[[#This Row],[v]],0)</f>
        <v>-14.715</v>
      </c>
      <c r="M858">
        <f t="shared" si="146"/>
        <v>-9.81</v>
      </c>
      <c r="N858">
        <f t="shared" si="147"/>
        <v>-0.19620000000000001</v>
      </c>
      <c r="O858">
        <f t="shared" si="148"/>
        <v>-2.1095265120880562</v>
      </c>
      <c r="P858" s="1">
        <f t="shared" si="150"/>
        <v>52.336971990849527</v>
      </c>
      <c r="Q858" s="1">
        <f t="shared" si="151"/>
        <v>-105.37822560440281</v>
      </c>
      <c r="R858">
        <f>SQRT(Tabelle2[[#This Row],[vx]]*Tabelle2[[#This Row],[vx]]+Tabelle2[[#This Row],[vy]]*Tabelle2[[#This Row],[vy]])</f>
        <v>117.65937730883749</v>
      </c>
      <c r="S858">
        <f t="shared" si="152"/>
        <v>894.96222104351841</v>
      </c>
      <c r="T858" s="1">
        <f t="shared" si="153"/>
        <v>-365.98218305465116</v>
      </c>
    </row>
    <row r="859" spans="6:20" x14ac:dyDescent="0.35">
      <c r="F859" s="1">
        <f t="shared" si="149"/>
        <v>17.119999999999724</v>
      </c>
      <c r="G859">
        <f>1/2*$B$8*$B$6*$B$7*(Tabelle2[[#This Row],[vx]]*Tabelle2[[#This Row],[vx]]+Tabelle2[[#This Row],[vy]]*Tabelle2[[#This Row],[vy]])/1000000</f>
        <v>24.561643369236535</v>
      </c>
      <c r="H859">
        <f>IF($B$3,-Tabelle2[[#This Row],[Fd]]*Tabelle2[[#This Row],[vx]]/Tabelle2[[#This Row],[v]],0)</f>
        <v>0</v>
      </c>
      <c r="I859">
        <f t="shared" si="143"/>
        <v>0</v>
      </c>
      <c r="J859">
        <f t="shared" si="144"/>
        <v>0</v>
      </c>
      <c r="K859">
        <f t="shared" si="145"/>
        <v>1.0467394398169905</v>
      </c>
      <c r="L859">
        <f>-$B$5*$B$12-IF($B$3,Tabelle2[[#This Row],[Fd]]*Tabelle2[[#This Row],[vy]]/Tabelle2[[#This Row],[v]],0)</f>
        <v>-14.715</v>
      </c>
      <c r="M859">
        <f t="shared" si="146"/>
        <v>-9.81</v>
      </c>
      <c r="N859">
        <f t="shared" si="147"/>
        <v>-0.19620000000000001</v>
      </c>
      <c r="O859">
        <f t="shared" si="148"/>
        <v>-2.1134505120880567</v>
      </c>
      <c r="P859" s="1">
        <f t="shared" si="150"/>
        <v>52.336971990849527</v>
      </c>
      <c r="Q859" s="1">
        <f t="shared" si="151"/>
        <v>-105.57442560440282</v>
      </c>
      <c r="R859">
        <f>SQRT(Tabelle2[[#This Row],[vx]]*Tabelle2[[#This Row],[vx]]+Tabelle2[[#This Row],[vy]]*Tabelle2[[#This Row],[vy]])</f>
        <v>117.83513049541105</v>
      </c>
      <c r="S859">
        <f t="shared" si="152"/>
        <v>896.00896048333539</v>
      </c>
      <c r="T859" s="1">
        <f t="shared" si="153"/>
        <v>-368.09170956673921</v>
      </c>
    </row>
    <row r="860" spans="6:20" x14ac:dyDescent="0.35">
      <c r="F860" s="1">
        <f t="shared" si="149"/>
        <v>17.139999999999723</v>
      </c>
      <c r="G860">
        <f>1/2*$B$8*$B$6*$B$7*(Tabelle2[[#This Row],[vx]]*Tabelle2[[#This Row],[vx]]+Tabelle2[[#This Row],[vy]]*Tabelle2[[#This Row],[vy]])/1000000</f>
        <v>24.634993169067638</v>
      </c>
      <c r="H860">
        <f>IF($B$3,-Tabelle2[[#This Row],[Fd]]*Tabelle2[[#This Row],[vx]]/Tabelle2[[#This Row],[v]],0)</f>
        <v>0</v>
      </c>
      <c r="I860">
        <f t="shared" si="143"/>
        <v>0</v>
      </c>
      <c r="J860">
        <f t="shared" si="144"/>
        <v>0</v>
      </c>
      <c r="K860">
        <f t="shared" si="145"/>
        <v>1.0467394398169905</v>
      </c>
      <c r="L860">
        <f>-$B$5*$B$12-IF($B$3,Tabelle2[[#This Row],[Fd]]*Tabelle2[[#This Row],[vy]]/Tabelle2[[#This Row],[v]],0)</f>
        <v>-14.715</v>
      </c>
      <c r="M860">
        <f t="shared" si="146"/>
        <v>-9.81</v>
      </c>
      <c r="N860">
        <f t="shared" si="147"/>
        <v>-0.19620000000000001</v>
      </c>
      <c r="O860">
        <f t="shared" si="148"/>
        <v>-2.1173745120880567</v>
      </c>
      <c r="P860" s="1">
        <f t="shared" si="150"/>
        <v>52.336971990849527</v>
      </c>
      <c r="Q860" s="1">
        <f t="shared" si="151"/>
        <v>-105.77062560440282</v>
      </c>
      <c r="R860">
        <f>SQRT(Tabelle2[[#This Row],[vx]]*Tabelle2[[#This Row],[vx]]+Tabelle2[[#This Row],[vy]]*Tabelle2[[#This Row],[vy]])</f>
        <v>118.0109481273569</v>
      </c>
      <c r="S860">
        <f t="shared" si="152"/>
        <v>897.05569992315236</v>
      </c>
      <c r="T860" s="1">
        <f t="shared" si="153"/>
        <v>-370.20516007882725</v>
      </c>
    </row>
    <row r="861" spans="6:20" x14ac:dyDescent="0.35">
      <c r="F861" s="1">
        <f t="shared" si="149"/>
        <v>17.159999999999723</v>
      </c>
      <c r="G861">
        <f>1/2*$B$8*$B$6*$B$7*(Tabelle2[[#This Row],[vx]]*Tabelle2[[#This Row],[vx]]+Tabelle2[[#This Row],[vy]]*Tabelle2[[#This Row],[vy]])/1000000</f>
        <v>24.708479155960081</v>
      </c>
      <c r="H861">
        <f>IF($B$3,-Tabelle2[[#This Row],[Fd]]*Tabelle2[[#This Row],[vx]]/Tabelle2[[#This Row],[v]],0)</f>
        <v>0</v>
      </c>
      <c r="I861">
        <f t="shared" si="143"/>
        <v>0</v>
      </c>
      <c r="J861">
        <f t="shared" si="144"/>
        <v>0</v>
      </c>
      <c r="K861">
        <f t="shared" si="145"/>
        <v>1.0467394398169905</v>
      </c>
      <c r="L861">
        <f>-$B$5*$B$12-IF($B$3,Tabelle2[[#This Row],[Fd]]*Tabelle2[[#This Row],[vy]]/Tabelle2[[#This Row],[v]],0)</f>
        <v>-14.715</v>
      </c>
      <c r="M861">
        <f t="shared" si="146"/>
        <v>-9.81</v>
      </c>
      <c r="N861">
        <f t="shared" si="147"/>
        <v>-0.19620000000000001</v>
      </c>
      <c r="O861">
        <f t="shared" si="148"/>
        <v>-2.1212985120880568</v>
      </c>
      <c r="P861" s="1">
        <f t="shared" si="150"/>
        <v>52.336971990849527</v>
      </c>
      <c r="Q861" s="1">
        <f t="shared" si="151"/>
        <v>-105.96682560440283</v>
      </c>
      <c r="R861">
        <f>SQRT(Tabelle2[[#This Row],[vx]]*Tabelle2[[#This Row],[vx]]+Tabelle2[[#This Row],[vy]]*Tabelle2[[#This Row],[vy]])</f>
        <v>118.18682991706348</v>
      </c>
      <c r="S861">
        <f t="shared" si="152"/>
        <v>898.10243936296933</v>
      </c>
      <c r="T861" s="1">
        <f t="shared" si="153"/>
        <v>-372.32253459091532</v>
      </c>
    </row>
    <row r="862" spans="6:20" x14ac:dyDescent="0.35">
      <c r="F862" s="1">
        <f t="shared" si="149"/>
        <v>17.179999999999723</v>
      </c>
      <c r="G862">
        <f>1/2*$B$8*$B$6*$B$7*(Tabelle2[[#This Row],[vx]]*Tabelle2[[#This Row],[vx]]+Tabelle2[[#This Row],[vy]]*Tabelle2[[#This Row],[vy]])/1000000</f>
        <v>24.782101329913861</v>
      </c>
      <c r="H862">
        <f>IF($B$3,-Tabelle2[[#This Row],[Fd]]*Tabelle2[[#This Row],[vx]]/Tabelle2[[#This Row],[v]],0)</f>
        <v>0</v>
      </c>
      <c r="I862">
        <f t="shared" si="143"/>
        <v>0</v>
      </c>
      <c r="J862">
        <f t="shared" si="144"/>
        <v>0</v>
      </c>
      <c r="K862">
        <f t="shared" si="145"/>
        <v>1.0467394398169905</v>
      </c>
      <c r="L862">
        <f>-$B$5*$B$12-IF($B$3,Tabelle2[[#This Row],[Fd]]*Tabelle2[[#This Row],[vy]]/Tabelle2[[#This Row],[v]],0)</f>
        <v>-14.715</v>
      </c>
      <c r="M862">
        <f t="shared" si="146"/>
        <v>-9.81</v>
      </c>
      <c r="N862">
        <f t="shared" si="147"/>
        <v>-0.19620000000000001</v>
      </c>
      <c r="O862">
        <f t="shared" si="148"/>
        <v>-2.1252225120880568</v>
      </c>
      <c r="P862" s="1">
        <f t="shared" si="150"/>
        <v>52.336971990849527</v>
      </c>
      <c r="Q862" s="1">
        <f t="shared" si="151"/>
        <v>-106.16302560440283</v>
      </c>
      <c r="R862">
        <f>SQRT(Tabelle2[[#This Row],[vx]]*Tabelle2[[#This Row],[vx]]+Tabelle2[[#This Row],[vy]]*Tabelle2[[#This Row],[vy]])</f>
        <v>118.36277557852409</v>
      </c>
      <c r="S862">
        <f t="shared" si="152"/>
        <v>899.14917880278631</v>
      </c>
      <c r="T862" s="1">
        <f t="shared" si="153"/>
        <v>-374.44383310300339</v>
      </c>
    </row>
    <row r="863" spans="6:20" x14ac:dyDescent="0.35">
      <c r="F863" s="1">
        <f t="shared" si="149"/>
        <v>17.199999999999722</v>
      </c>
      <c r="G863">
        <f>1/2*$B$8*$B$6*$B$7*(Tabelle2[[#This Row],[vx]]*Tabelle2[[#This Row],[vx]]+Tabelle2[[#This Row],[vy]]*Tabelle2[[#This Row],[vy]])/1000000</f>
        <v>24.855859690928991</v>
      </c>
      <c r="H863">
        <f>IF($B$3,-Tabelle2[[#This Row],[Fd]]*Tabelle2[[#This Row],[vx]]/Tabelle2[[#This Row],[v]],0)</f>
        <v>0</v>
      </c>
      <c r="I863">
        <f t="shared" si="143"/>
        <v>0</v>
      </c>
      <c r="J863">
        <f t="shared" si="144"/>
        <v>0</v>
      </c>
      <c r="K863">
        <f t="shared" si="145"/>
        <v>1.0467394398169905</v>
      </c>
      <c r="L863">
        <f>-$B$5*$B$12-IF($B$3,Tabelle2[[#This Row],[Fd]]*Tabelle2[[#This Row],[vy]]/Tabelle2[[#This Row],[v]],0)</f>
        <v>-14.715</v>
      </c>
      <c r="M863">
        <f t="shared" si="146"/>
        <v>-9.81</v>
      </c>
      <c r="N863">
        <f t="shared" si="147"/>
        <v>-0.19620000000000001</v>
      </c>
      <c r="O863">
        <f t="shared" si="148"/>
        <v>-2.1291465120880568</v>
      </c>
      <c r="P863" s="1">
        <f t="shared" si="150"/>
        <v>52.336971990849527</v>
      </c>
      <c r="Q863" s="1">
        <f t="shared" si="151"/>
        <v>-106.35922560440284</v>
      </c>
      <c r="R863">
        <f>SQRT(Tabelle2[[#This Row],[vx]]*Tabelle2[[#This Row],[vx]]+Tabelle2[[#This Row],[vy]]*Tabelle2[[#This Row],[vy]])</f>
        <v>118.53878482732657</v>
      </c>
      <c r="S863">
        <f t="shared" si="152"/>
        <v>900.19591824260328</v>
      </c>
      <c r="T863" s="1">
        <f t="shared" si="153"/>
        <v>-376.56905561509143</v>
      </c>
    </row>
    <row r="864" spans="6:20" x14ac:dyDescent="0.35">
      <c r="F864" s="1">
        <f t="shared" si="149"/>
        <v>17.219999999999722</v>
      </c>
      <c r="G864">
        <f>1/2*$B$8*$B$6*$B$7*(Tabelle2[[#This Row],[vx]]*Tabelle2[[#This Row],[vx]]+Tabelle2[[#This Row],[vy]]*Tabelle2[[#This Row],[vy]])/1000000</f>
        <v>24.929754239005465</v>
      </c>
      <c r="H864">
        <f>IF($B$3,-Tabelle2[[#This Row],[Fd]]*Tabelle2[[#This Row],[vx]]/Tabelle2[[#This Row],[v]],0)</f>
        <v>0</v>
      </c>
      <c r="I864">
        <f t="shared" si="143"/>
        <v>0</v>
      </c>
      <c r="J864">
        <f t="shared" si="144"/>
        <v>0</v>
      </c>
      <c r="K864">
        <f t="shared" si="145"/>
        <v>1.0467394398169905</v>
      </c>
      <c r="L864">
        <f>-$B$5*$B$12-IF($B$3,Tabelle2[[#This Row],[Fd]]*Tabelle2[[#This Row],[vy]]/Tabelle2[[#This Row],[v]],0)</f>
        <v>-14.715</v>
      </c>
      <c r="M864">
        <f t="shared" si="146"/>
        <v>-9.81</v>
      </c>
      <c r="N864">
        <f t="shared" si="147"/>
        <v>-0.19620000000000001</v>
      </c>
      <c r="O864">
        <f t="shared" si="148"/>
        <v>-2.1330705120880569</v>
      </c>
      <c r="P864" s="1">
        <f t="shared" si="150"/>
        <v>52.336971990849527</v>
      </c>
      <c r="Q864" s="1">
        <f t="shared" si="151"/>
        <v>-106.55542560440284</v>
      </c>
      <c r="R864">
        <f>SQRT(Tabelle2[[#This Row],[vx]]*Tabelle2[[#This Row],[vx]]+Tabelle2[[#This Row],[vy]]*Tabelle2[[#This Row],[vy]])</f>
        <v>118.71485738064295</v>
      </c>
      <c r="S864">
        <f t="shared" si="152"/>
        <v>901.24265768242026</v>
      </c>
      <c r="T864" s="1">
        <f t="shared" si="153"/>
        <v>-378.69820212717951</v>
      </c>
    </row>
    <row r="865" spans="6:20" x14ac:dyDescent="0.35">
      <c r="F865" s="1">
        <f t="shared" si="149"/>
        <v>17.239999999999721</v>
      </c>
      <c r="G865">
        <f>1/2*$B$8*$B$6*$B$7*(Tabelle2[[#This Row],[vx]]*Tabelle2[[#This Row],[vx]]+Tabelle2[[#This Row],[vy]]*Tabelle2[[#This Row],[vy]])/1000000</f>
        <v>25.003784974143283</v>
      </c>
      <c r="H865">
        <f>IF($B$3,-Tabelle2[[#This Row],[Fd]]*Tabelle2[[#This Row],[vx]]/Tabelle2[[#This Row],[v]],0)</f>
        <v>0</v>
      </c>
      <c r="I865">
        <f t="shared" si="143"/>
        <v>0</v>
      </c>
      <c r="J865">
        <f t="shared" si="144"/>
        <v>0</v>
      </c>
      <c r="K865">
        <f t="shared" si="145"/>
        <v>1.0467394398169905</v>
      </c>
      <c r="L865">
        <f>-$B$5*$B$12-IF($B$3,Tabelle2[[#This Row],[Fd]]*Tabelle2[[#This Row],[vy]]/Tabelle2[[#This Row],[v]],0)</f>
        <v>-14.715</v>
      </c>
      <c r="M865">
        <f t="shared" si="146"/>
        <v>-9.81</v>
      </c>
      <c r="N865">
        <f t="shared" si="147"/>
        <v>-0.19620000000000001</v>
      </c>
      <c r="O865">
        <f t="shared" si="148"/>
        <v>-2.1369945120880569</v>
      </c>
      <c r="P865" s="1">
        <f t="shared" si="150"/>
        <v>52.336971990849527</v>
      </c>
      <c r="Q865" s="1">
        <f t="shared" si="151"/>
        <v>-106.75162560440285</v>
      </c>
      <c r="R865">
        <f>SQRT(Tabelle2[[#This Row],[vx]]*Tabelle2[[#This Row],[vx]]+Tabelle2[[#This Row],[vy]]*Tabelle2[[#This Row],[vy]])</f>
        <v>118.89099295721928</v>
      </c>
      <c r="S865">
        <f t="shared" si="152"/>
        <v>902.28939712223723</v>
      </c>
      <c r="T865" s="1">
        <f t="shared" si="153"/>
        <v>-380.83127263926758</v>
      </c>
    </row>
    <row r="866" spans="6:20" x14ac:dyDescent="0.35">
      <c r="F866" s="1">
        <f t="shared" si="149"/>
        <v>17.259999999999721</v>
      </c>
      <c r="G866">
        <f>1/2*$B$8*$B$6*$B$7*(Tabelle2[[#This Row],[vx]]*Tabelle2[[#This Row],[vx]]+Tabelle2[[#This Row],[vy]]*Tabelle2[[#This Row],[vy]])/1000000</f>
        <v>25.077951896342441</v>
      </c>
      <c r="H866">
        <f>IF($B$3,-Tabelle2[[#This Row],[Fd]]*Tabelle2[[#This Row],[vx]]/Tabelle2[[#This Row],[v]],0)</f>
        <v>0</v>
      </c>
      <c r="I866">
        <f t="shared" si="143"/>
        <v>0</v>
      </c>
      <c r="J866">
        <f t="shared" si="144"/>
        <v>0</v>
      </c>
      <c r="K866">
        <f t="shared" si="145"/>
        <v>1.0467394398169905</v>
      </c>
      <c r="L866">
        <f>-$B$5*$B$12-IF($B$3,Tabelle2[[#This Row],[Fd]]*Tabelle2[[#This Row],[vy]]/Tabelle2[[#This Row],[v]],0)</f>
        <v>-14.715</v>
      </c>
      <c r="M866">
        <f t="shared" si="146"/>
        <v>-9.81</v>
      </c>
      <c r="N866">
        <f t="shared" si="147"/>
        <v>-0.19620000000000001</v>
      </c>
      <c r="O866">
        <f t="shared" si="148"/>
        <v>-2.1409185120880569</v>
      </c>
      <c r="P866" s="1">
        <f t="shared" si="150"/>
        <v>52.336971990849527</v>
      </c>
      <c r="Q866" s="1">
        <f t="shared" si="151"/>
        <v>-106.94782560440285</v>
      </c>
      <c r="R866">
        <f>SQRT(Tabelle2[[#This Row],[vx]]*Tabelle2[[#This Row],[vx]]+Tabelle2[[#This Row],[vy]]*Tabelle2[[#This Row],[vy]])</f>
        <v>119.06719127736545</v>
      </c>
      <c r="S866">
        <f t="shared" si="152"/>
        <v>903.33613656205421</v>
      </c>
      <c r="T866" s="1">
        <f t="shared" si="153"/>
        <v>-382.96826715135563</v>
      </c>
    </row>
    <row r="867" spans="6:20" x14ac:dyDescent="0.35">
      <c r="F867" s="1">
        <f t="shared" si="149"/>
        <v>17.27999999999972</v>
      </c>
      <c r="G867">
        <f>1/2*$B$8*$B$6*$B$7*(Tabelle2[[#This Row],[vx]]*Tabelle2[[#This Row],[vx]]+Tabelle2[[#This Row],[vy]]*Tabelle2[[#This Row],[vy]])/1000000</f>
        <v>25.152255005602946</v>
      </c>
      <c r="H867">
        <f>IF($B$3,-Tabelle2[[#This Row],[Fd]]*Tabelle2[[#This Row],[vx]]/Tabelle2[[#This Row],[v]],0)</f>
        <v>0</v>
      </c>
      <c r="I867">
        <f t="shared" si="143"/>
        <v>0</v>
      </c>
      <c r="J867">
        <f t="shared" si="144"/>
        <v>0</v>
      </c>
      <c r="K867">
        <f t="shared" si="145"/>
        <v>1.0467394398169905</v>
      </c>
      <c r="L867">
        <f>-$B$5*$B$12-IF($B$3,Tabelle2[[#This Row],[Fd]]*Tabelle2[[#This Row],[vy]]/Tabelle2[[#This Row],[v]],0)</f>
        <v>-14.715</v>
      </c>
      <c r="M867">
        <f t="shared" si="146"/>
        <v>-9.81</v>
      </c>
      <c r="N867">
        <f t="shared" si="147"/>
        <v>-0.19620000000000001</v>
      </c>
      <c r="O867">
        <f t="shared" si="148"/>
        <v>-2.1448425120880574</v>
      </c>
      <c r="P867" s="1">
        <f t="shared" si="150"/>
        <v>52.336971990849527</v>
      </c>
      <c r="Q867" s="1">
        <f t="shared" si="151"/>
        <v>-107.14402560440286</v>
      </c>
      <c r="R867">
        <f>SQRT(Tabelle2[[#This Row],[vx]]*Tabelle2[[#This Row],[vx]]+Tabelle2[[#This Row],[vy]]*Tabelle2[[#This Row],[vy]])</f>
        <v>119.24345206294517</v>
      </c>
      <c r="S867">
        <f t="shared" si="152"/>
        <v>904.38287600187118</v>
      </c>
      <c r="T867" s="1">
        <f t="shared" si="153"/>
        <v>-385.10918566344367</v>
      </c>
    </row>
    <row r="868" spans="6:20" x14ac:dyDescent="0.35">
      <c r="F868" s="1">
        <f t="shared" si="149"/>
        <v>17.29999999999972</v>
      </c>
      <c r="G868">
        <f>1/2*$B$8*$B$6*$B$7*(Tabelle2[[#This Row],[vx]]*Tabelle2[[#This Row],[vx]]+Tabelle2[[#This Row],[vy]]*Tabelle2[[#This Row],[vy]])/1000000</f>
        <v>25.226694301924795</v>
      </c>
      <c r="H868">
        <f>IF($B$3,-Tabelle2[[#This Row],[Fd]]*Tabelle2[[#This Row],[vx]]/Tabelle2[[#This Row],[v]],0)</f>
        <v>0</v>
      </c>
      <c r="I868">
        <f t="shared" si="143"/>
        <v>0</v>
      </c>
      <c r="J868">
        <f t="shared" si="144"/>
        <v>0</v>
      </c>
      <c r="K868">
        <f t="shared" si="145"/>
        <v>1.0467394398169905</v>
      </c>
      <c r="L868">
        <f>-$B$5*$B$12-IF($B$3,Tabelle2[[#This Row],[Fd]]*Tabelle2[[#This Row],[vy]]/Tabelle2[[#This Row],[v]],0)</f>
        <v>-14.715</v>
      </c>
      <c r="M868">
        <f t="shared" si="146"/>
        <v>-9.81</v>
      </c>
      <c r="N868">
        <f t="shared" si="147"/>
        <v>-0.19620000000000001</v>
      </c>
      <c r="O868">
        <f t="shared" si="148"/>
        <v>-2.1487665120880575</v>
      </c>
      <c r="P868" s="1">
        <f t="shared" si="150"/>
        <v>52.336971990849527</v>
      </c>
      <c r="Q868" s="1">
        <f t="shared" si="151"/>
        <v>-107.34022560440286</v>
      </c>
      <c r="R868">
        <f>SQRT(Tabelle2[[#This Row],[vx]]*Tabelle2[[#This Row],[vx]]+Tabelle2[[#This Row],[vy]]*Tabelle2[[#This Row],[vy]])</f>
        <v>119.41977503736587</v>
      </c>
      <c r="S868">
        <f t="shared" si="152"/>
        <v>905.42961544168816</v>
      </c>
      <c r="T868" s="1">
        <f t="shared" si="153"/>
        <v>-387.25402817553174</v>
      </c>
    </row>
    <row r="869" spans="6:20" x14ac:dyDescent="0.35">
      <c r="F869" s="1">
        <f t="shared" si="149"/>
        <v>17.31999999999972</v>
      </c>
      <c r="G869">
        <f>1/2*$B$8*$B$6*$B$7*(Tabelle2[[#This Row],[vx]]*Tabelle2[[#This Row],[vx]]+Tabelle2[[#This Row],[vy]]*Tabelle2[[#This Row],[vy]])/1000000</f>
        <v>25.301269785307987</v>
      </c>
      <c r="H869">
        <f>IF($B$3,-Tabelle2[[#This Row],[Fd]]*Tabelle2[[#This Row],[vx]]/Tabelle2[[#This Row],[v]],0)</f>
        <v>0</v>
      </c>
      <c r="I869">
        <f t="shared" si="143"/>
        <v>0</v>
      </c>
      <c r="J869">
        <f t="shared" si="144"/>
        <v>0</v>
      </c>
      <c r="K869">
        <f t="shared" si="145"/>
        <v>1.0467394398169905</v>
      </c>
      <c r="L869">
        <f>-$B$5*$B$12-IF($B$3,Tabelle2[[#This Row],[Fd]]*Tabelle2[[#This Row],[vy]]/Tabelle2[[#This Row],[v]],0)</f>
        <v>-14.715</v>
      </c>
      <c r="M869">
        <f t="shared" si="146"/>
        <v>-9.81</v>
      </c>
      <c r="N869">
        <f t="shared" si="147"/>
        <v>-0.19620000000000001</v>
      </c>
      <c r="O869">
        <f t="shared" si="148"/>
        <v>-2.1526905120880575</v>
      </c>
      <c r="P869" s="1">
        <f t="shared" si="150"/>
        <v>52.336971990849527</v>
      </c>
      <c r="Q869" s="1">
        <f t="shared" si="151"/>
        <v>-107.53642560440287</v>
      </c>
      <c r="R869">
        <f>SQRT(Tabelle2[[#This Row],[vx]]*Tabelle2[[#This Row],[vx]]+Tabelle2[[#This Row],[vy]]*Tabelle2[[#This Row],[vy]])</f>
        <v>119.59615992556884</v>
      </c>
      <c r="S869">
        <f t="shared" si="152"/>
        <v>906.47635488150513</v>
      </c>
      <c r="T869" s="1">
        <f t="shared" si="153"/>
        <v>-389.4027946876198</v>
      </c>
    </row>
    <row r="870" spans="6:20" x14ac:dyDescent="0.35">
      <c r="F870" s="1">
        <f t="shared" si="149"/>
        <v>17.339999999999719</v>
      </c>
      <c r="G870">
        <f>1/2*$B$8*$B$6*$B$7*(Tabelle2[[#This Row],[vx]]*Tabelle2[[#This Row],[vx]]+Tabelle2[[#This Row],[vy]]*Tabelle2[[#This Row],[vy]])/1000000</f>
        <v>25.375981455752527</v>
      </c>
      <c r="H870">
        <f>IF($B$3,-Tabelle2[[#This Row],[Fd]]*Tabelle2[[#This Row],[vx]]/Tabelle2[[#This Row],[v]],0)</f>
        <v>0</v>
      </c>
      <c r="I870">
        <f t="shared" si="143"/>
        <v>0</v>
      </c>
      <c r="J870">
        <f t="shared" si="144"/>
        <v>0</v>
      </c>
      <c r="K870">
        <f t="shared" si="145"/>
        <v>1.0467394398169905</v>
      </c>
      <c r="L870">
        <f>-$B$5*$B$12-IF($B$3,Tabelle2[[#This Row],[Fd]]*Tabelle2[[#This Row],[vy]]/Tabelle2[[#This Row],[v]],0)</f>
        <v>-14.715</v>
      </c>
      <c r="M870">
        <f t="shared" si="146"/>
        <v>-9.81</v>
      </c>
      <c r="N870">
        <f t="shared" si="147"/>
        <v>-0.19620000000000001</v>
      </c>
      <c r="O870">
        <f t="shared" si="148"/>
        <v>-2.1566145120880575</v>
      </c>
      <c r="P870" s="1">
        <f t="shared" si="150"/>
        <v>52.336971990849527</v>
      </c>
      <c r="Q870" s="1">
        <f t="shared" si="151"/>
        <v>-107.73262560440287</v>
      </c>
      <c r="R870">
        <f>SQRT(Tabelle2[[#This Row],[vx]]*Tabelle2[[#This Row],[vx]]+Tabelle2[[#This Row],[vy]]*Tabelle2[[#This Row],[vy]])</f>
        <v>119.7726064540194</v>
      </c>
      <c r="S870">
        <f t="shared" si="152"/>
        <v>907.52309432132211</v>
      </c>
      <c r="T870" s="1">
        <f t="shared" si="153"/>
        <v>-391.55548519970785</v>
      </c>
    </row>
    <row r="871" spans="6:20" x14ac:dyDescent="0.35">
      <c r="F871" s="1">
        <f t="shared" si="149"/>
        <v>17.359999999999719</v>
      </c>
      <c r="G871">
        <f>1/2*$B$8*$B$6*$B$7*(Tabelle2[[#This Row],[vx]]*Tabelle2[[#This Row],[vx]]+Tabelle2[[#This Row],[vy]]*Tabelle2[[#This Row],[vy]])/1000000</f>
        <v>25.450829313258406</v>
      </c>
      <c r="H871">
        <f>IF($B$3,-Tabelle2[[#This Row],[Fd]]*Tabelle2[[#This Row],[vx]]/Tabelle2[[#This Row],[v]],0)</f>
        <v>0</v>
      </c>
      <c r="I871">
        <f t="shared" si="143"/>
        <v>0</v>
      </c>
      <c r="J871">
        <f t="shared" si="144"/>
        <v>0</v>
      </c>
      <c r="K871">
        <f t="shared" si="145"/>
        <v>1.0467394398169905</v>
      </c>
      <c r="L871">
        <f>-$B$5*$B$12-IF($B$3,Tabelle2[[#This Row],[Fd]]*Tabelle2[[#This Row],[vy]]/Tabelle2[[#This Row],[v]],0)</f>
        <v>-14.715</v>
      </c>
      <c r="M871">
        <f t="shared" si="146"/>
        <v>-9.81</v>
      </c>
      <c r="N871">
        <f t="shared" si="147"/>
        <v>-0.19620000000000001</v>
      </c>
      <c r="O871">
        <f t="shared" si="148"/>
        <v>-2.1605385120880576</v>
      </c>
      <c r="P871" s="1">
        <f t="shared" si="150"/>
        <v>52.336971990849527</v>
      </c>
      <c r="Q871" s="1">
        <f t="shared" si="151"/>
        <v>-107.92882560440287</v>
      </c>
      <c r="R871">
        <f>SQRT(Tabelle2[[#This Row],[vx]]*Tabelle2[[#This Row],[vx]]+Tabelle2[[#This Row],[vy]]*Tabelle2[[#This Row],[vy]])</f>
        <v>119.94911435069696</v>
      </c>
      <c r="S871">
        <f t="shared" si="152"/>
        <v>908.56983376113908</v>
      </c>
      <c r="T871" s="1">
        <f t="shared" si="153"/>
        <v>-393.71209971179593</v>
      </c>
    </row>
    <row r="872" spans="6:20" x14ac:dyDescent="0.35">
      <c r="F872" s="1">
        <f t="shared" si="149"/>
        <v>17.379999999999718</v>
      </c>
      <c r="G872">
        <f>1/2*$B$8*$B$6*$B$7*(Tabelle2[[#This Row],[vx]]*Tabelle2[[#This Row],[vx]]+Tabelle2[[#This Row],[vy]]*Tabelle2[[#This Row],[vy]])/1000000</f>
        <v>25.525813357825633</v>
      </c>
      <c r="H872">
        <f>IF($B$3,-Tabelle2[[#This Row],[Fd]]*Tabelle2[[#This Row],[vx]]/Tabelle2[[#This Row],[v]],0)</f>
        <v>0</v>
      </c>
      <c r="I872">
        <f t="shared" si="143"/>
        <v>0</v>
      </c>
      <c r="J872">
        <f t="shared" si="144"/>
        <v>0</v>
      </c>
      <c r="K872">
        <f t="shared" si="145"/>
        <v>1.0467394398169905</v>
      </c>
      <c r="L872">
        <f>-$B$5*$B$12-IF($B$3,Tabelle2[[#This Row],[Fd]]*Tabelle2[[#This Row],[vy]]/Tabelle2[[#This Row],[v]],0)</f>
        <v>-14.715</v>
      </c>
      <c r="M872">
        <f t="shared" si="146"/>
        <v>-9.81</v>
      </c>
      <c r="N872">
        <f t="shared" si="147"/>
        <v>-0.19620000000000001</v>
      </c>
      <c r="O872">
        <f t="shared" si="148"/>
        <v>-2.1644625120880576</v>
      </c>
      <c r="P872" s="1">
        <f t="shared" si="150"/>
        <v>52.336971990849527</v>
      </c>
      <c r="Q872" s="1">
        <f t="shared" si="151"/>
        <v>-108.12502560440288</v>
      </c>
      <c r="R872">
        <f>SQRT(Tabelle2[[#This Row],[vx]]*Tabelle2[[#This Row],[vx]]+Tabelle2[[#This Row],[vy]]*Tabelle2[[#This Row],[vy]])</f>
        <v>120.12568334508548</v>
      </c>
      <c r="S872">
        <f t="shared" si="152"/>
        <v>909.61657320095605</v>
      </c>
      <c r="T872" s="1">
        <f t="shared" si="153"/>
        <v>-395.872638223884</v>
      </c>
    </row>
    <row r="873" spans="6:20" x14ac:dyDescent="0.35">
      <c r="F873" s="1">
        <f t="shared" si="149"/>
        <v>17.399999999999718</v>
      </c>
      <c r="G873">
        <f>1/2*$B$8*$B$6*$B$7*(Tabelle2[[#This Row],[vx]]*Tabelle2[[#This Row],[vx]]+Tabelle2[[#This Row],[vy]]*Tabelle2[[#This Row],[vy]])/1000000</f>
        <v>25.600933589454201</v>
      </c>
      <c r="H873">
        <f>IF($B$3,-Tabelle2[[#This Row],[Fd]]*Tabelle2[[#This Row],[vx]]/Tabelle2[[#This Row],[v]],0)</f>
        <v>0</v>
      </c>
      <c r="I873">
        <f t="shared" si="143"/>
        <v>0</v>
      </c>
      <c r="J873">
        <f t="shared" si="144"/>
        <v>0</v>
      </c>
      <c r="K873">
        <f t="shared" si="145"/>
        <v>1.0467394398169905</v>
      </c>
      <c r="L873">
        <f>-$B$5*$B$12-IF($B$3,Tabelle2[[#This Row],[Fd]]*Tabelle2[[#This Row],[vy]]/Tabelle2[[#This Row],[v]],0)</f>
        <v>-14.715</v>
      </c>
      <c r="M873">
        <f t="shared" si="146"/>
        <v>-9.81</v>
      </c>
      <c r="N873">
        <f t="shared" si="147"/>
        <v>-0.19620000000000001</v>
      </c>
      <c r="O873">
        <f t="shared" si="148"/>
        <v>-2.1683865120880577</v>
      </c>
      <c r="P873" s="1">
        <f t="shared" si="150"/>
        <v>52.336971990849527</v>
      </c>
      <c r="Q873" s="1">
        <f t="shared" si="151"/>
        <v>-108.32122560440288</v>
      </c>
      <c r="R873">
        <f>SQRT(Tabelle2[[#This Row],[vx]]*Tabelle2[[#This Row],[vx]]+Tabelle2[[#This Row],[vy]]*Tabelle2[[#This Row],[vy]])</f>
        <v>120.30231316816362</v>
      </c>
      <c r="S873">
        <f t="shared" si="152"/>
        <v>910.66331264077303</v>
      </c>
      <c r="T873" s="1">
        <f t="shared" si="153"/>
        <v>-398.03710073597205</v>
      </c>
    </row>
    <row r="874" spans="6:20" x14ac:dyDescent="0.35">
      <c r="F874" s="1">
        <f t="shared" si="149"/>
        <v>17.419999999999717</v>
      </c>
      <c r="G874">
        <f>1/2*$B$8*$B$6*$B$7*(Tabelle2[[#This Row],[vx]]*Tabelle2[[#This Row],[vx]]+Tabelle2[[#This Row],[vy]]*Tabelle2[[#This Row],[vy]])/1000000</f>
        <v>25.676190008144115</v>
      </c>
      <c r="H874">
        <f>IF($B$3,-Tabelle2[[#This Row],[Fd]]*Tabelle2[[#This Row],[vx]]/Tabelle2[[#This Row],[v]],0)</f>
        <v>0</v>
      </c>
      <c r="I874">
        <f t="shared" si="143"/>
        <v>0</v>
      </c>
      <c r="J874">
        <f t="shared" si="144"/>
        <v>0</v>
      </c>
      <c r="K874">
        <f t="shared" si="145"/>
        <v>1.0467394398169905</v>
      </c>
      <c r="L874">
        <f>-$B$5*$B$12-IF($B$3,Tabelle2[[#This Row],[Fd]]*Tabelle2[[#This Row],[vy]]/Tabelle2[[#This Row],[v]],0)</f>
        <v>-14.715</v>
      </c>
      <c r="M874">
        <f t="shared" si="146"/>
        <v>-9.81</v>
      </c>
      <c r="N874">
        <f t="shared" si="147"/>
        <v>-0.19620000000000001</v>
      </c>
      <c r="O874">
        <f t="shared" si="148"/>
        <v>-2.1723105120880577</v>
      </c>
      <c r="P874" s="1">
        <f t="shared" si="150"/>
        <v>52.336971990849527</v>
      </c>
      <c r="Q874" s="1">
        <f t="shared" si="151"/>
        <v>-108.51742560440289</v>
      </c>
      <c r="R874">
        <f>SQRT(Tabelle2[[#This Row],[vx]]*Tabelle2[[#This Row],[vx]]+Tabelle2[[#This Row],[vy]]*Tabelle2[[#This Row],[vy]])</f>
        <v>120.47900355239531</v>
      </c>
      <c r="S874">
        <f t="shared" si="152"/>
        <v>911.71005208059</v>
      </c>
      <c r="T874" s="1">
        <f t="shared" si="153"/>
        <v>-400.20548724806008</v>
      </c>
    </row>
    <row r="875" spans="6:20" x14ac:dyDescent="0.35">
      <c r="F875" s="1">
        <f t="shared" si="149"/>
        <v>17.439999999999717</v>
      </c>
      <c r="G875">
        <f>1/2*$B$8*$B$6*$B$7*(Tabelle2[[#This Row],[vx]]*Tabelle2[[#This Row],[vx]]+Tabelle2[[#This Row],[vy]]*Tabelle2[[#This Row],[vy]])/1000000</f>
        <v>25.751582613895373</v>
      </c>
      <c r="H875">
        <f>IF($B$3,-Tabelle2[[#This Row],[Fd]]*Tabelle2[[#This Row],[vx]]/Tabelle2[[#This Row],[v]],0)</f>
        <v>0</v>
      </c>
      <c r="I875">
        <f t="shared" si="143"/>
        <v>0</v>
      </c>
      <c r="J875">
        <f t="shared" si="144"/>
        <v>0</v>
      </c>
      <c r="K875">
        <f t="shared" si="145"/>
        <v>1.0467394398169905</v>
      </c>
      <c r="L875">
        <f>-$B$5*$B$12-IF($B$3,Tabelle2[[#This Row],[Fd]]*Tabelle2[[#This Row],[vy]]/Tabelle2[[#This Row],[v]],0)</f>
        <v>-14.715</v>
      </c>
      <c r="M875">
        <f t="shared" si="146"/>
        <v>-9.81</v>
      </c>
      <c r="N875">
        <f t="shared" si="147"/>
        <v>-0.19620000000000001</v>
      </c>
      <c r="O875">
        <f t="shared" si="148"/>
        <v>-2.1762345120880577</v>
      </c>
      <c r="P875" s="1">
        <f t="shared" si="150"/>
        <v>52.336971990849527</v>
      </c>
      <c r="Q875" s="1">
        <f t="shared" si="151"/>
        <v>-108.71362560440289</v>
      </c>
      <c r="R875">
        <f>SQRT(Tabelle2[[#This Row],[vx]]*Tabelle2[[#This Row],[vx]]+Tabelle2[[#This Row],[vy]]*Tabelle2[[#This Row],[vy]])</f>
        <v>120.65575423172014</v>
      </c>
      <c r="S875">
        <f t="shared" si="152"/>
        <v>912.75679152040698</v>
      </c>
      <c r="T875" s="1">
        <f t="shared" si="153"/>
        <v>-402.37779776014816</v>
      </c>
    </row>
    <row r="876" spans="6:20" x14ac:dyDescent="0.35">
      <c r="F876" s="1">
        <f t="shared" si="149"/>
        <v>17.459999999999717</v>
      </c>
      <c r="G876">
        <f>1/2*$B$8*$B$6*$B$7*(Tabelle2[[#This Row],[vx]]*Tabelle2[[#This Row],[vx]]+Tabelle2[[#This Row],[vy]]*Tabelle2[[#This Row],[vy]])/1000000</f>
        <v>25.827111406707971</v>
      </c>
      <c r="H876">
        <f>IF($B$3,-Tabelle2[[#This Row],[Fd]]*Tabelle2[[#This Row],[vx]]/Tabelle2[[#This Row],[v]],0)</f>
        <v>0</v>
      </c>
      <c r="I876">
        <f t="shared" si="143"/>
        <v>0</v>
      </c>
      <c r="J876">
        <f t="shared" si="144"/>
        <v>0</v>
      </c>
      <c r="K876">
        <f t="shared" si="145"/>
        <v>1.0467394398169905</v>
      </c>
      <c r="L876">
        <f>-$B$5*$B$12-IF($B$3,Tabelle2[[#This Row],[Fd]]*Tabelle2[[#This Row],[vy]]/Tabelle2[[#This Row],[v]],0)</f>
        <v>-14.715</v>
      </c>
      <c r="M876">
        <f t="shared" si="146"/>
        <v>-9.81</v>
      </c>
      <c r="N876">
        <f t="shared" si="147"/>
        <v>-0.19620000000000001</v>
      </c>
      <c r="O876">
        <f t="shared" si="148"/>
        <v>-2.1801585120880582</v>
      </c>
      <c r="P876" s="1">
        <f t="shared" si="150"/>
        <v>52.336971990849527</v>
      </c>
      <c r="Q876" s="1">
        <f t="shared" si="151"/>
        <v>-108.9098256044029</v>
      </c>
      <c r="R876">
        <f>SQRT(Tabelle2[[#This Row],[vx]]*Tabelle2[[#This Row],[vx]]+Tabelle2[[#This Row],[vy]]*Tabelle2[[#This Row],[vy]])</f>
        <v>120.83256494154389</v>
      </c>
      <c r="S876">
        <f t="shared" si="152"/>
        <v>913.80353096022395</v>
      </c>
      <c r="T876" s="1">
        <f t="shared" si="153"/>
        <v>-404.55403227223621</v>
      </c>
    </row>
    <row r="877" spans="6:20" x14ac:dyDescent="0.35">
      <c r="F877" s="1">
        <f t="shared" si="149"/>
        <v>17.479999999999716</v>
      </c>
      <c r="G877">
        <f>1/2*$B$8*$B$6*$B$7*(Tabelle2[[#This Row],[vx]]*Tabelle2[[#This Row],[vx]]+Tabelle2[[#This Row],[vy]]*Tabelle2[[#This Row],[vy]])/1000000</f>
        <v>25.902776386581916</v>
      </c>
      <c r="H877">
        <f>IF($B$3,-Tabelle2[[#This Row],[Fd]]*Tabelle2[[#This Row],[vx]]/Tabelle2[[#This Row],[v]],0)</f>
        <v>0</v>
      </c>
      <c r="I877">
        <f t="shared" si="143"/>
        <v>0</v>
      </c>
      <c r="J877">
        <f t="shared" si="144"/>
        <v>0</v>
      </c>
      <c r="K877">
        <f t="shared" si="145"/>
        <v>1.0467394398169905</v>
      </c>
      <c r="L877">
        <f>-$B$5*$B$12-IF($B$3,Tabelle2[[#This Row],[Fd]]*Tabelle2[[#This Row],[vy]]/Tabelle2[[#This Row],[v]],0)</f>
        <v>-14.715</v>
      </c>
      <c r="M877">
        <f t="shared" si="146"/>
        <v>-9.81</v>
      </c>
      <c r="N877">
        <f t="shared" si="147"/>
        <v>-0.19620000000000001</v>
      </c>
      <c r="O877">
        <f t="shared" si="148"/>
        <v>-2.1840825120880583</v>
      </c>
      <c r="P877" s="1">
        <f t="shared" si="150"/>
        <v>52.336971990849527</v>
      </c>
      <c r="Q877" s="1">
        <f t="shared" si="151"/>
        <v>-109.1060256044029</v>
      </c>
      <c r="R877">
        <f>SQRT(Tabelle2[[#This Row],[vx]]*Tabelle2[[#This Row],[vx]]+Tabelle2[[#This Row],[vy]]*Tabelle2[[#This Row],[vy]])</f>
        <v>121.00943541872918</v>
      </c>
      <c r="S877">
        <f t="shared" si="152"/>
        <v>914.85027040004093</v>
      </c>
      <c r="T877" s="1">
        <f t="shared" si="153"/>
        <v>-406.73419078432426</v>
      </c>
    </row>
    <row r="878" spans="6:20" x14ac:dyDescent="0.35">
      <c r="F878" s="1">
        <f t="shared" si="149"/>
        <v>17.499999999999716</v>
      </c>
      <c r="G878">
        <f>1/2*$B$8*$B$6*$B$7*(Tabelle2[[#This Row],[vx]]*Tabelle2[[#This Row],[vx]]+Tabelle2[[#This Row],[vy]]*Tabelle2[[#This Row],[vy]])/1000000</f>
        <v>25.978577553517209</v>
      </c>
      <c r="H878">
        <f>IF($B$3,-Tabelle2[[#This Row],[Fd]]*Tabelle2[[#This Row],[vx]]/Tabelle2[[#This Row],[v]],0)</f>
        <v>0</v>
      </c>
      <c r="I878">
        <f t="shared" si="143"/>
        <v>0</v>
      </c>
      <c r="J878">
        <f t="shared" si="144"/>
        <v>0</v>
      </c>
      <c r="K878">
        <f t="shared" si="145"/>
        <v>1.0467394398169905</v>
      </c>
      <c r="L878">
        <f>-$B$5*$B$12-IF($B$3,Tabelle2[[#This Row],[Fd]]*Tabelle2[[#This Row],[vy]]/Tabelle2[[#This Row],[v]],0)</f>
        <v>-14.715</v>
      </c>
      <c r="M878">
        <f t="shared" si="146"/>
        <v>-9.81</v>
      </c>
      <c r="N878">
        <f t="shared" si="147"/>
        <v>-0.19620000000000001</v>
      </c>
      <c r="O878">
        <f t="shared" si="148"/>
        <v>-2.1880065120880583</v>
      </c>
      <c r="P878" s="1">
        <f t="shared" si="150"/>
        <v>52.336971990849527</v>
      </c>
      <c r="Q878" s="1">
        <f t="shared" si="151"/>
        <v>-109.30222560440291</v>
      </c>
      <c r="R878">
        <f>SQRT(Tabelle2[[#This Row],[vx]]*Tabelle2[[#This Row],[vx]]+Tabelle2[[#This Row],[vy]]*Tabelle2[[#This Row],[vy]])</f>
        <v>121.18636540158616</v>
      </c>
      <c r="S878">
        <f t="shared" si="152"/>
        <v>915.8970098398579</v>
      </c>
      <c r="T878" s="1">
        <f t="shared" si="153"/>
        <v>-408.91827329641234</v>
      </c>
    </row>
    <row r="879" spans="6:20" x14ac:dyDescent="0.35">
      <c r="F879" s="1">
        <f t="shared" si="149"/>
        <v>17.519999999999715</v>
      </c>
      <c r="G879">
        <f>1/2*$B$8*$B$6*$B$7*(Tabelle2[[#This Row],[vx]]*Tabelle2[[#This Row],[vx]]+Tabelle2[[#This Row],[vy]]*Tabelle2[[#This Row],[vy]])/1000000</f>
        <v>26.054514907513838</v>
      </c>
      <c r="H879">
        <f>IF($B$3,-Tabelle2[[#This Row],[Fd]]*Tabelle2[[#This Row],[vx]]/Tabelle2[[#This Row],[v]],0)</f>
        <v>0</v>
      </c>
      <c r="I879">
        <f t="shared" si="143"/>
        <v>0</v>
      </c>
      <c r="J879">
        <f t="shared" si="144"/>
        <v>0</v>
      </c>
      <c r="K879">
        <f t="shared" si="145"/>
        <v>1.0467394398169905</v>
      </c>
      <c r="L879">
        <f>-$B$5*$B$12-IF($B$3,Tabelle2[[#This Row],[Fd]]*Tabelle2[[#This Row],[vy]]/Tabelle2[[#This Row],[v]],0)</f>
        <v>-14.715</v>
      </c>
      <c r="M879">
        <f t="shared" si="146"/>
        <v>-9.81</v>
      </c>
      <c r="N879">
        <f t="shared" si="147"/>
        <v>-0.19620000000000001</v>
      </c>
      <c r="O879">
        <f t="shared" si="148"/>
        <v>-2.1919305120880583</v>
      </c>
      <c r="P879" s="1">
        <f t="shared" si="150"/>
        <v>52.336971990849527</v>
      </c>
      <c r="Q879" s="1">
        <f t="shared" si="151"/>
        <v>-109.49842560440291</v>
      </c>
      <c r="R879">
        <f>SQRT(Tabelle2[[#This Row],[vx]]*Tabelle2[[#This Row],[vx]]+Tabelle2[[#This Row],[vy]]*Tabelle2[[#This Row],[vy]])</f>
        <v>121.36335462986315</v>
      </c>
      <c r="S879">
        <f t="shared" si="152"/>
        <v>916.94374927967488</v>
      </c>
      <c r="T879" s="1">
        <f t="shared" si="153"/>
        <v>-411.1062798085004</v>
      </c>
    </row>
    <row r="880" spans="6:20" x14ac:dyDescent="0.35">
      <c r="F880" s="1">
        <f t="shared" si="149"/>
        <v>17.539999999999715</v>
      </c>
      <c r="G880">
        <f>1/2*$B$8*$B$6*$B$7*(Tabelle2[[#This Row],[vx]]*Tabelle2[[#This Row],[vx]]+Tabelle2[[#This Row],[vy]]*Tabelle2[[#This Row],[vy]])/1000000</f>
        <v>26.130588448571817</v>
      </c>
      <c r="H880">
        <f>IF($B$3,-Tabelle2[[#This Row],[Fd]]*Tabelle2[[#This Row],[vx]]/Tabelle2[[#This Row],[v]],0)</f>
        <v>0</v>
      </c>
      <c r="I880">
        <f t="shared" si="143"/>
        <v>0</v>
      </c>
      <c r="J880">
        <f t="shared" si="144"/>
        <v>0</v>
      </c>
      <c r="K880">
        <f t="shared" si="145"/>
        <v>1.0467394398169905</v>
      </c>
      <c r="L880">
        <f>-$B$5*$B$12-IF($B$3,Tabelle2[[#This Row],[Fd]]*Tabelle2[[#This Row],[vy]]/Tabelle2[[#This Row],[v]],0)</f>
        <v>-14.715</v>
      </c>
      <c r="M880">
        <f t="shared" si="146"/>
        <v>-9.81</v>
      </c>
      <c r="N880">
        <f t="shared" si="147"/>
        <v>-0.19620000000000001</v>
      </c>
      <c r="O880">
        <f t="shared" si="148"/>
        <v>-2.1958545120880584</v>
      </c>
      <c r="P880" s="1">
        <f t="shared" si="150"/>
        <v>52.336971990849527</v>
      </c>
      <c r="Q880" s="1">
        <f t="shared" si="151"/>
        <v>-109.69462560440292</v>
      </c>
      <c r="R880">
        <f>SQRT(Tabelle2[[#This Row],[vx]]*Tabelle2[[#This Row],[vx]]+Tabelle2[[#This Row],[vy]]*Tabelle2[[#This Row],[vy]])</f>
        <v>121.54040284473759</v>
      </c>
      <c r="S880">
        <f t="shared" si="152"/>
        <v>917.99048871949185</v>
      </c>
      <c r="T880" s="1">
        <f t="shared" si="153"/>
        <v>-413.29821032058845</v>
      </c>
    </row>
    <row r="881" spans="6:20" x14ac:dyDescent="0.35">
      <c r="F881" s="1">
        <f t="shared" si="149"/>
        <v>17.559999999999715</v>
      </c>
      <c r="G881">
        <f>1/2*$B$8*$B$6*$B$7*(Tabelle2[[#This Row],[vx]]*Tabelle2[[#This Row],[vx]]+Tabelle2[[#This Row],[vy]]*Tabelle2[[#This Row],[vy]])/1000000</f>
        <v>26.206798176691137</v>
      </c>
      <c r="H881">
        <f>IF($B$3,-Tabelle2[[#This Row],[Fd]]*Tabelle2[[#This Row],[vx]]/Tabelle2[[#This Row],[v]],0)</f>
        <v>0</v>
      </c>
      <c r="I881">
        <f t="shared" si="143"/>
        <v>0</v>
      </c>
      <c r="J881">
        <f t="shared" si="144"/>
        <v>0</v>
      </c>
      <c r="K881">
        <f t="shared" si="145"/>
        <v>1.0467394398169905</v>
      </c>
      <c r="L881">
        <f>-$B$5*$B$12-IF($B$3,Tabelle2[[#This Row],[Fd]]*Tabelle2[[#This Row],[vy]]/Tabelle2[[#This Row],[v]],0)</f>
        <v>-14.715</v>
      </c>
      <c r="M881">
        <f t="shared" si="146"/>
        <v>-9.81</v>
      </c>
      <c r="N881">
        <f t="shared" si="147"/>
        <v>-0.19620000000000001</v>
      </c>
      <c r="O881">
        <f t="shared" si="148"/>
        <v>-2.1997785120880584</v>
      </c>
      <c r="P881" s="1">
        <f t="shared" si="150"/>
        <v>52.336971990849527</v>
      </c>
      <c r="Q881" s="1">
        <f t="shared" si="151"/>
        <v>-109.89082560440292</v>
      </c>
      <c r="R881">
        <f>SQRT(Tabelle2[[#This Row],[vx]]*Tabelle2[[#This Row],[vx]]+Tabelle2[[#This Row],[vy]]*Tabelle2[[#This Row],[vy]])</f>
        <v>121.71750978880674</v>
      </c>
      <c r="S881">
        <f t="shared" si="152"/>
        <v>919.03722815930882</v>
      </c>
      <c r="T881" s="1">
        <f t="shared" si="153"/>
        <v>-415.49406483267649</v>
      </c>
    </row>
    <row r="882" spans="6:20" x14ac:dyDescent="0.35">
      <c r="F882" s="1">
        <f t="shared" si="149"/>
        <v>17.579999999999714</v>
      </c>
      <c r="G882">
        <f>1/2*$B$8*$B$6*$B$7*(Tabelle2[[#This Row],[vx]]*Tabelle2[[#This Row],[vx]]+Tabelle2[[#This Row],[vy]]*Tabelle2[[#This Row],[vy]])/1000000</f>
        <v>26.283144091871801</v>
      </c>
      <c r="H882">
        <f>IF($B$3,-Tabelle2[[#This Row],[Fd]]*Tabelle2[[#This Row],[vx]]/Tabelle2[[#This Row],[v]],0)</f>
        <v>0</v>
      </c>
      <c r="I882">
        <f t="shared" si="143"/>
        <v>0</v>
      </c>
      <c r="J882">
        <f t="shared" si="144"/>
        <v>0</v>
      </c>
      <c r="K882">
        <f t="shared" si="145"/>
        <v>1.0467394398169905</v>
      </c>
      <c r="L882">
        <f>-$B$5*$B$12-IF($B$3,Tabelle2[[#This Row],[Fd]]*Tabelle2[[#This Row],[vy]]/Tabelle2[[#This Row],[v]],0)</f>
        <v>-14.715</v>
      </c>
      <c r="M882">
        <f t="shared" si="146"/>
        <v>-9.81</v>
      </c>
      <c r="N882">
        <f t="shared" si="147"/>
        <v>-0.19620000000000001</v>
      </c>
      <c r="O882">
        <f t="shared" si="148"/>
        <v>-2.2037025120880585</v>
      </c>
      <c r="P882" s="1">
        <f t="shared" si="150"/>
        <v>52.336971990849527</v>
      </c>
      <c r="Q882" s="1">
        <f t="shared" si="151"/>
        <v>-110.08702560440292</v>
      </c>
      <c r="R882">
        <f>SQRT(Tabelle2[[#This Row],[vx]]*Tabelle2[[#This Row],[vx]]+Tabelle2[[#This Row],[vy]]*Tabelle2[[#This Row],[vy]])</f>
        <v>121.89467520607876</v>
      </c>
      <c r="S882">
        <f t="shared" si="152"/>
        <v>920.0839675991258</v>
      </c>
      <c r="T882" s="1">
        <f t="shared" si="153"/>
        <v>-417.69384334476456</v>
      </c>
    </row>
    <row r="883" spans="6:20" x14ac:dyDescent="0.35">
      <c r="F883" s="1">
        <f t="shared" si="149"/>
        <v>17.599999999999714</v>
      </c>
      <c r="G883">
        <f>1/2*$B$8*$B$6*$B$7*(Tabelle2[[#This Row],[vx]]*Tabelle2[[#This Row],[vx]]+Tabelle2[[#This Row],[vy]]*Tabelle2[[#This Row],[vy]])/1000000</f>
        <v>26.359626194113808</v>
      </c>
      <c r="H883">
        <f>IF($B$3,-Tabelle2[[#This Row],[Fd]]*Tabelle2[[#This Row],[vx]]/Tabelle2[[#This Row],[v]],0)</f>
        <v>0</v>
      </c>
      <c r="I883">
        <f t="shared" si="143"/>
        <v>0</v>
      </c>
      <c r="J883">
        <f t="shared" si="144"/>
        <v>0</v>
      </c>
      <c r="K883">
        <f t="shared" si="145"/>
        <v>1.0467394398169905</v>
      </c>
      <c r="L883">
        <f>-$B$5*$B$12-IF($B$3,Tabelle2[[#This Row],[Fd]]*Tabelle2[[#This Row],[vy]]/Tabelle2[[#This Row],[v]],0)</f>
        <v>-14.715</v>
      </c>
      <c r="M883">
        <f t="shared" si="146"/>
        <v>-9.81</v>
      </c>
      <c r="N883">
        <f t="shared" si="147"/>
        <v>-0.19620000000000001</v>
      </c>
      <c r="O883">
        <f t="shared" si="148"/>
        <v>-2.2076265120880585</v>
      </c>
      <c r="P883" s="1">
        <f t="shared" si="150"/>
        <v>52.336971990849527</v>
      </c>
      <c r="Q883" s="1">
        <f t="shared" si="151"/>
        <v>-110.28322560440293</v>
      </c>
      <c r="R883">
        <f>SQRT(Tabelle2[[#This Row],[vx]]*Tabelle2[[#This Row],[vx]]+Tabelle2[[#This Row],[vy]]*Tabelle2[[#This Row],[vy]])</f>
        <v>122.07189884196363</v>
      </c>
      <c r="S883">
        <f t="shared" si="152"/>
        <v>921.13070703894277</v>
      </c>
      <c r="T883" s="1">
        <f t="shared" si="153"/>
        <v>-419.89754585685262</v>
      </c>
    </row>
    <row r="884" spans="6:20" x14ac:dyDescent="0.35">
      <c r="F884" s="1">
        <f t="shared" si="149"/>
        <v>17.619999999999713</v>
      </c>
      <c r="G884">
        <f>1/2*$B$8*$B$6*$B$7*(Tabelle2[[#This Row],[vx]]*Tabelle2[[#This Row],[vx]]+Tabelle2[[#This Row],[vy]]*Tabelle2[[#This Row],[vy]])/1000000</f>
        <v>26.436244483417166</v>
      </c>
      <c r="H884">
        <f>IF($B$3,-Tabelle2[[#This Row],[Fd]]*Tabelle2[[#This Row],[vx]]/Tabelle2[[#This Row],[v]],0)</f>
        <v>0</v>
      </c>
      <c r="I884">
        <f t="shared" si="143"/>
        <v>0</v>
      </c>
      <c r="J884">
        <f t="shared" si="144"/>
        <v>0</v>
      </c>
      <c r="K884">
        <f t="shared" si="145"/>
        <v>1.0467394398169905</v>
      </c>
      <c r="L884">
        <f>-$B$5*$B$12-IF($B$3,Tabelle2[[#This Row],[Fd]]*Tabelle2[[#This Row],[vy]]/Tabelle2[[#This Row],[v]],0)</f>
        <v>-14.715</v>
      </c>
      <c r="M884">
        <f t="shared" si="146"/>
        <v>-9.81</v>
      </c>
      <c r="N884">
        <f t="shared" si="147"/>
        <v>-0.19620000000000001</v>
      </c>
      <c r="O884">
        <f t="shared" si="148"/>
        <v>-2.211550512088059</v>
      </c>
      <c r="P884" s="1">
        <f t="shared" si="150"/>
        <v>52.336971990849527</v>
      </c>
      <c r="Q884" s="1">
        <f t="shared" si="151"/>
        <v>-110.47942560440293</v>
      </c>
      <c r="R884">
        <f>SQRT(Tabelle2[[#This Row],[vx]]*Tabelle2[[#This Row],[vx]]+Tabelle2[[#This Row],[vy]]*Tabelle2[[#This Row],[vy]])</f>
        <v>122.24918044326421</v>
      </c>
      <c r="S884">
        <f t="shared" si="152"/>
        <v>922.17744647875975</v>
      </c>
      <c r="T884" s="1">
        <f t="shared" si="153"/>
        <v>-422.10517236894066</v>
      </c>
    </row>
    <row r="885" spans="6:20" x14ac:dyDescent="0.35">
      <c r="F885" s="1">
        <f t="shared" si="149"/>
        <v>17.639999999999713</v>
      </c>
      <c r="G885">
        <f>1/2*$B$8*$B$6*$B$7*(Tabelle2[[#This Row],[vx]]*Tabelle2[[#This Row],[vx]]+Tabelle2[[#This Row],[vy]]*Tabelle2[[#This Row],[vy]])/1000000</f>
        <v>26.512998959781861</v>
      </c>
      <c r="H885">
        <f>IF($B$3,-Tabelle2[[#This Row],[Fd]]*Tabelle2[[#This Row],[vx]]/Tabelle2[[#This Row],[v]],0)</f>
        <v>0</v>
      </c>
      <c r="I885">
        <f t="shared" si="143"/>
        <v>0</v>
      </c>
      <c r="J885">
        <f t="shared" si="144"/>
        <v>0</v>
      </c>
      <c r="K885">
        <f t="shared" si="145"/>
        <v>1.0467394398169905</v>
      </c>
      <c r="L885">
        <f>-$B$5*$B$12-IF($B$3,Tabelle2[[#This Row],[Fd]]*Tabelle2[[#This Row],[vy]]/Tabelle2[[#This Row],[v]],0)</f>
        <v>-14.715</v>
      </c>
      <c r="M885">
        <f t="shared" si="146"/>
        <v>-9.81</v>
      </c>
      <c r="N885">
        <f t="shared" si="147"/>
        <v>-0.19620000000000001</v>
      </c>
      <c r="O885">
        <f t="shared" si="148"/>
        <v>-2.215474512088059</v>
      </c>
      <c r="P885" s="1">
        <f t="shared" si="150"/>
        <v>52.336971990849527</v>
      </c>
      <c r="Q885" s="1">
        <f t="shared" si="151"/>
        <v>-110.67562560440294</v>
      </c>
      <c r="R885">
        <f>SQRT(Tabelle2[[#This Row],[vx]]*Tabelle2[[#This Row],[vx]]+Tabelle2[[#This Row],[vy]]*Tabelle2[[#This Row],[vy]])</f>
        <v>122.42651975816734</v>
      </c>
      <c r="S885">
        <f t="shared" si="152"/>
        <v>923.22418591857672</v>
      </c>
      <c r="T885" s="1">
        <f t="shared" si="153"/>
        <v>-424.31672288102874</v>
      </c>
    </row>
    <row r="886" spans="6:20" x14ac:dyDescent="0.35">
      <c r="F886" s="1">
        <f t="shared" si="149"/>
        <v>17.659999999999712</v>
      </c>
      <c r="G886">
        <f>1/2*$B$8*$B$6*$B$7*(Tabelle2[[#This Row],[vx]]*Tabelle2[[#This Row],[vx]]+Tabelle2[[#This Row],[vy]]*Tabelle2[[#This Row],[vy]])/1000000</f>
        <v>26.589889623207899</v>
      </c>
      <c r="H886">
        <f>IF($B$3,-Tabelle2[[#This Row],[Fd]]*Tabelle2[[#This Row],[vx]]/Tabelle2[[#This Row],[v]],0)</f>
        <v>0</v>
      </c>
      <c r="I886">
        <f t="shared" si="143"/>
        <v>0</v>
      </c>
      <c r="J886">
        <f t="shared" si="144"/>
        <v>0</v>
      </c>
      <c r="K886">
        <f t="shared" si="145"/>
        <v>1.0467394398169905</v>
      </c>
      <c r="L886">
        <f>-$B$5*$B$12-IF($B$3,Tabelle2[[#This Row],[Fd]]*Tabelle2[[#This Row],[vy]]/Tabelle2[[#This Row],[v]],0)</f>
        <v>-14.715</v>
      </c>
      <c r="M886">
        <f t="shared" si="146"/>
        <v>-9.81</v>
      </c>
      <c r="N886">
        <f t="shared" si="147"/>
        <v>-0.19620000000000001</v>
      </c>
      <c r="O886">
        <f t="shared" si="148"/>
        <v>-2.2193985120880591</v>
      </c>
      <c r="P886" s="1">
        <f t="shared" si="150"/>
        <v>52.336971990849527</v>
      </c>
      <c r="Q886" s="1">
        <f t="shared" si="151"/>
        <v>-110.87182560440294</v>
      </c>
      <c r="R886">
        <f>SQRT(Tabelle2[[#This Row],[vx]]*Tabelle2[[#This Row],[vx]]+Tabelle2[[#This Row],[vy]]*Tabelle2[[#This Row],[vy]])</f>
        <v>122.60391653623512</v>
      </c>
      <c r="S886">
        <f t="shared" si="152"/>
        <v>924.2709253583937</v>
      </c>
      <c r="T886" s="1">
        <f t="shared" si="153"/>
        <v>-426.5321973931168</v>
      </c>
    </row>
    <row r="887" spans="6:20" x14ac:dyDescent="0.35">
      <c r="F887" s="1">
        <f t="shared" si="149"/>
        <v>17.679999999999712</v>
      </c>
      <c r="G887">
        <f>1/2*$B$8*$B$6*$B$7*(Tabelle2[[#This Row],[vx]]*Tabelle2[[#This Row],[vx]]+Tabelle2[[#This Row],[vy]]*Tabelle2[[#This Row],[vy]])/1000000</f>
        <v>26.666916473695284</v>
      </c>
      <c r="H887">
        <f>IF($B$3,-Tabelle2[[#This Row],[Fd]]*Tabelle2[[#This Row],[vx]]/Tabelle2[[#This Row],[v]],0)</f>
        <v>0</v>
      </c>
      <c r="I887">
        <f t="shared" si="143"/>
        <v>0</v>
      </c>
      <c r="J887">
        <f t="shared" si="144"/>
        <v>0</v>
      </c>
      <c r="K887">
        <f t="shared" si="145"/>
        <v>1.0467394398169905</v>
      </c>
      <c r="L887">
        <f>-$B$5*$B$12-IF($B$3,Tabelle2[[#This Row],[Fd]]*Tabelle2[[#This Row],[vy]]/Tabelle2[[#This Row],[v]],0)</f>
        <v>-14.715</v>
      </c>
      <c r="M887">
        <f t="shared" si="146"/>
        <v>-9.81</v>
      </c>
      <c r="N887">
        <f t="shared" si="147"/>
        <v>-0.19620000000000001</v>
      </c>
      <c r="O887">
        <f t="shared" si="148"/>
        <v>-2.2233225120880591</v>
      </c>
      <c r="P887" s="1">
        <f t="shared" si="150"/>
        <v>52.336971990849527</v>
      </c>
      <c r="Q887" s="1">
        <f t="shared" si="151"/>
        <v>-111.06802560440295</v>
      </c>
      <c r="R887">
        <f>SQRT(Tabelle2[[#This Row],[vx]]*Tabelle2[[#This Row],[vx]]+Tabelle2[[#This Row],[vy]]*Tabelle2[[#This Row],[vy]])</f>
        <v>122.78137052839602</v>
      </c>
      <c r="S887">
        <f t="shared" si="152"/>
        <v>925.31766479821067</v>
      </c>
      <c r="T887" s="1">
        <f t="shared" si="153"/>
        <v>-428.75159590520485</v>
      </c>
    </row>
    <row r="888" spans="6:20" x14ac:dyDescent="0.35">
      <c r="F888" s="1">
        <f t="shared" si="149"/>
        <v>17.699999999999712</v>
      </c>
      <c r="G888">
        <f>1/2*$B$8*$B$6*$B$7*(Tabelle2[[#This Row],[vx]]*Tabelle2[[#This Row],[vx]]+Tabelle2[[#This Row],[vy]]*Tabelle2[[#This Row],[vy]])/1000000</f>
        <v>26.744079511244014</v>
      </c>
      <c r="H888">
        <f>IF($B$3,-Tabelle2[[#This Row],[Fd]]*Tabelle2[[#This Row],[vx]]/Tabelle2[[#This Row],[v]],0)</f>
        <v>0</v>
      </c>
      <c r="I888">
        <f t="shared" si="143"/>
        <v>0</v>
      </c>
      <c r="J888">
        <f t="shared" si="144"/>
        <v>0</v>
      </c>
      <c r="K888">
        <f t="shared" si="145"/>
        <v>1.0467394398169905</v>
      </c>
      <c r="L888">
        <f>-$B$5*$B$12-IF($B$3,Tabelle2[[#This Row],[Fd]]*Tabelle2[[#This Row],[vy]]/Tabelle2[[#This Row],[v]],0)</f>
        <v>-14.715</v>
      </c>
      <c r="M888">
        <f t="shared" si="146"/>
        <v>-9.81</v>
      </c>
      <c r="N888">
        <f t="shared" si="147"/>
        <v>-0.19620000000000001</v>
      </c>
      <c r="O888">
        <f t="shared" si="148"/>
        <v>-2.2272465120880591</v>
      </c>
      <c r="P888" s="1">
        <f t="shared" si="150"/>
        <v>52.336971990849527</v>
      </c>
      <c r="Q888" s="1">
        <f t="shared" si="151"/>
        <v>-111.26422560440295</v>
      </c>
      <c r="R888">
        <f>SQRT(Tabelle2[[#This Row],[vx]]*Tabelle2[[#This Row],[vx]]+Tabelle2[[#This Row],[vy]]*Tabelle2[[#This Row],[vy]])</f>
        <v>122.95888148693629</v>
      </c>
      <c r="S888">
        <f t="shared" si="152"/>
        <v>926.36440423802765</v>
      </c>
      <c r="T888" s="1">
        <f t="shared" si="153"/>
        <v>-430.97491841729288</v>
      </c>
    </row>
    <row r="889" spans="6:20" x14ac:dyDescent="0.35">
      <c r="F889" s="1">
        <f t="shared" si="149"/>
        <v>17.719999999999711</v>
      </c>
      <c r="G889">
        <f>1/2*$B$8*$B$6*$B$7*(Tabelle2[[#This Row],[vx]]*Tabelle2[[#This Row],[vx]]+Tabelle2[[#This Row],[vy]]*Tabelle2[[#This Row],[vy]])/1000000</f>
        <v>26.821378735854086</v>
      </c>
      <c r="H889">
        <f>IF($B$3,-Tabelle2[[#This Row],[Fd]]*Tabelle2[[#This Row],[vx]]/Tabelle2[[#This Row],[v]],0)</f>
        <v>0</v>
      </c>
      <c r="I889">
        <f t="shared" si="143"/>
        <v>0</v>
      </c>
      <c r="J889">
        <f t="shared" si="144"/>
        <v>0</v>
      </c>
      <c r="K889">
        <f t="shared" si="145"/>
        <v>1.0467394398169905</v>
      </c>
      <c r="L889">
        <f>-$B$5*$B$12-IF($B$3,Tabelle2[[#This Row],[Fd]]*Tabelle2[[#This Row],[vy]]/Tabelle2[[#This Row],[v]],0)</f>
        <v>-14.715</v>
      </c>
      <c r="M889">
        <f t="shared" si="146"/>
        <v>-9.81</v>
      </c>
      <c r="N889">
        <f t="shared" si="147"/>
        <v>-0.19620000000000001</v>
      </c>
      <c r="O889">
        <f t="shared" si="148"/>
        <v>-2.2311705120880592</v>
      </c>
      <c r="P889" s="1">
        <f t="shared" si="150"/>
        <v>52.336971990849527</v>
      </c>
      <c r="Q889" s="1">
        <f t="shared" si="151"/>
        <v>-111.46042560440296</v>
      </c>
      <c r="R889">
        <f>SQRT(Tabelle2[[#This Row],[vx]]*Tabelle2[[#This Row],[vx]]+Tabelle2[[#This Row],[vy]]*Tabelle2[[#This Row],[vy]])</f>
        <v>123.13644916549126</v>
      </c>
      <c r="S889">
        <f t="shared" si="152"/>
        <v>927.41114367784462</v>
      </c>
      <c r="T889" s="1">
        <f t="shared" si="153"/>
        <v>-433.20216492938096</v>
      </c>
    </row>
    <row r="890" spans="6:20" x14ac:dyDescent="0.35">
      <c r="F890" s="1">
        <f t="shared" si="149"/>
        <v>17.739999999999711</v>
      </c>
      <c r="G890">
        <f>1/2*$B$8*$B$6*$B$7*(Tabelle2[[#This Row],[vx]]*Tabelle2[[#This Row],[vx]]+Tabelle2[[#This Row],[vy]]*Tabelle2[[#This Row],[vy]])/1000000</f>
        <v>26.898814147525503</v>
      </c>
      <c r="H890">
        <f>IF($B$3,-Tabelle2[[#This Row],[Fd]]*Tabelle2[[#This Row],[vx]]/Tabelle2[[#This Row],[v]],0)</f>
        <v>0</v>
      </c>
      <c r="I890">
        <f t="shared" si="143"/>
        <v>0</v>
      </c>
      <c r="J890">
        <f t="shared" si="144"/>
        <v>0</v>
      </c>
      <c r="K890">
        <f t="shared" si="145"/>
        <v>1.0467394398169905</v>
      </c>
      <c r="L890">
        <f>-$B$5*$B$12-IF($B$3,Tabelle2[[#This Row],[Fd]]*Tabelle2[[#This Row],[vy]]/Tabelle2[[#This Row],[v]],0)</f>
        <v>-14.715</v>
      </c>
      <c r="M890">
        <f t="shared" si="146"/>
        <v>-9.81</v>
      </c>
      <c r="N890">
        <f t="shared" si="147"/>
        <v>-0.19620000000000001</v>
      </c>
      <c r="O890">
        <f t="shared" si="148"/>
        <v>-2.2350945120880592</v>
      </c>
      <c r="P890" s="1">
        <f t="shared" si="150"/>
        <v>52.336971990849527</v>
      </c>
      <c r="Q890" s="1">
        <f t="shared" si="151"/>
        <v>-111.65662560440296</v>
      </c>
      <c r="R890">
        <f>SQRT(Tabelle2[[#This Row],[vx]]*Tabelle2[[#This Row],[vx]]+Tabelle2[[#This Row],[vy]]*Tabelle2[[#This Row],[vy]])</f>
        <v>123.31407331903679</v>
      </c>
      <c r="S890">
        <f t="shared" si="152"/>
        <v>928.45788311766159</v>
      </c>
      <c r="T890" s="1">
        <f t="shared" si="153"/>
        <v>-435.43333544146901</v>
      </c>
    </row>
    <row r="891" spans="6:20" x14ac:dyDescent="0.35">
      <c r="F891" s="1">
        <f t="shared" si="149"/>
        <v>17.75999999999971</v>
      </c>
      <c r="G891">
        <f>1/2*$B$8*$B$6*$B$7*(Tabelle2[[#This Row],[vx]]*Tabelle2[[#This Row],[vx]]+Tabelle2[[#This Row],[vy]]*Tabelle2[[#This Row],[vy]])/1000000</f>
        <v>26.976385746258263</v>
      </c>
      <c r="H891">
        <f>IF($B$3,-Tabelle2[[#This Row],[Fd]]*Tabelle2[[#This Row],[vx]]/Tabelle2[[#This Row],[v]],0)</f>
        <v>0</v>
      </c>
      <c r="I891">
        <f t="shared" si="143"/>
        <v>0</v>
      </c>
      <c r="J891">
        <f t="shared" si="144"/>
        <v>0</v>
      </c>
      <c r="K891">
        <f t="shared" si="145"/>
        <v>1.0467394398169905</v>
      </c>
      <c r="L891">
        <f>-$B$5*$B$12-IF($B$3,Tabelle2[[#This Row],[Fd]]*Tabelle2[[#This Row],[vy]]/Tabelle2[[#This Row],[v]],0)</f>
        <v>-14.715</v>
      </c>
      <c r="M891">
        <f t="shared" si="146"/>
        <v>-9.81</v>
      </c>
      <c r="N891">
        <f t="shared" si="147"/>
        <v>-0.19620000000000001</v>
      </c>
      <c r="O891">
        <f t="shared" si="148"/>
        <v>-2.2390185120880592</v>
      </c>
      <c r="P891" s="1">
        <f t="shared" si="150"/>
        <v>52.336971990849527</v>
      </c>
      <c r="Q891" s="1">
        <f t="shared" si="151"/>
        <v>-111.85282560440297</v>
      </c>
      <c r="R891">
        <f>SQRT(Tabelle2[[#This Row],[vx]]*Tabelle2[[#This Row],[vx]]+Tabelle2[[#This Row],[vy]]*Tabelle2[[#This Row],[vy]])</f>
        <v>123.49175370388078</v>
      </c>
      <c r="S891">
        <f t="shared" si="152"/>
        <v>929.50462255747857</v>
      </c>
      <c r="T891" s="1">
        <f t="shared" si="153"/>
        <v>-437.66842995355705</v>
      </c>
    </row>
    <row r="892" spans="6:20" x14ac:dyDescent="0.35">
      <c r="F892" s="1">
        <f t="shared" si="149"/>
        <v>17.77999999999971</v>
      </c>
      <c r="G892">
        <f>1/2*$B$8*$B$6*$B$7*(Tabelle2[[#This Row],[vx]]*Tabelle2[[#This Row],[vx]]+Tabelle2[[#This Row],[vy]]*Tabelle2[[#This Row],[vy]])/1000000</f>
        <v>27.054093532052367</v>
      </c>
      <c r="H892">
        <f>IF($B$3,-Tabelle2[[#This Row],[Fd]]*Tabelle2[[#This Row],[vx]]/Tabelle2[[#This Row],[v]],0)</f>
        <v>0</v>
      </c>
      <c r="I892">
        <f t="shared" si="143"/>
        <v>0</v>
      </c>
      <c r="J892">
        <f t="shared" si="144"/>
        <v>0</v>
      </c>
      <c r="K892">
        <f t="shared" si="145"/>
        <v>1.0467394398169905</v>
      </c>
      <c r="L892">
        <f>-$B$5*$B$12-IF($B$3,Tabelle2[[#This Row],[Fd]]*Tabelle2[[#This Row],[vy]]/Tabelle2[[#This Row],[v]],0)</f>
        <v>-14.715</v>
      </c>
      <c r="M892">
        <f t="shared" si="146"/>
        <v>-9.81</v>
      </c>
      <c r="N892">
        <f t="shared" si="147"/>
        <v>-0.19620000000000001</v>
      </c>
      <c r="O892">
        <f t="shared" si="148"/>
        <v>-2.2429425120880597</v>
      </c>
      <c r="P892" s="1">
        <f t="shared" si="150"/>
        <v>52.336971990849527</v>
      </c>
      <c r="Q892" s="1">
        <f t="shared" si="151"/>
        <v>-112.04902560440297</v>
      </c>
      <c r="R892">
        <f>SQRT(Tabelle2[[#This Row],[vx]]*Tabelle2[[#This Row],[vx]]+Tabelle2[[#This Row],[vy]]*Tabelle2[[#This Row],[vy]])</f>
        <v>123.66949007765464</v>
      </c>
      <c r="S892">
        <f t="shared" si="152"/>
        <v>930.55136199729554</v>
      </c>
      <c r="T892" s="1">
        <f t="shared" si="153"/>
        <v>-439.90744846564513</v>
      </c>
    </row>
    <row r="893" spans="6:20" x14ac:dyDescent="0.35">
      <c r="F893" s="1">
        <f t="shared" si="149"/>
        <v>17.799999999999709</v>
      </c>
      <c r="G893">
        <f>1/2*$B$8*$B$6*$B$7*(Tabelle2[[#This Row],[vx]]*Tabelle2[[#This Row],[vx]]+Tabelle2[[#This Row],[vy]]*Tabelle2[[#This Row],[vy]])/1000000</f>
        <v>27.131937504907818</v>
      </c>
      <c r="H893">
        <f>IF($B$3,-Tabelle2[[#This Row],[Fd]]*Tabelle2[[#This Row],[vx]]/Tabelle2[[#This Row],[v]],0)</f>
        <v>0</v>
      </c>
      <c r="I893">
        <f t="shared" si="143"/>
        <v>0</v>
      </c>
      <c r="J893">
        <f t="shared" si="144"/>
        <v>0</v>
      </c>
      <c r="K893">
        <f t="shared" si="145"/>
        <v>1.0467394398169905</v>
      </c>
      <c r="L893">
        <f>-$B$5*$B$12-IF($B$3,Tabelle2[[#This Row],[Fd]]*Tabelle2[[#This Row],[vy]]/Tabelle2[[#This Row],[v]],0)</f>
        <v>-14.715</v>
      </c>
      <c r="M893">
        <f t="shared" si="146"/>
        <v>-9.81</v>
      </c>
      <c r="N893">
        <f t="shared" si="147"/>
        <v>-0.19620000000000001</v>
      </c>
      <c r="O893">
        <f t="shared" si="148"/>
        <v>-2.2468665120880598</v>
      </c>
      <c r="P893" s="1">
        <f t="shared" si="150"/>
        <v>52.336971990849527</v>
      </c>
      <c r="Q893" s="1">
        <f t="shared" si="151"/>
        <v>-112.24522560440298</v>
      </c>
      <c r="R893">
        <f>SQRT(Tabelle2[[#This Row],[vx]]*Tabelle2[[#This Row],[vx]]+Tabelle2[[#This Row],[vy]]*Tabelle2[[#This Row],[vy]])</f>
        <v>123.847282199305</v>
      </c>
      <c r="S893">
        <f t="shared" si="152"/>
        <v>931.59810143711252</v>
      </c>
      <c r="T893" s="1">
        <f t="shared" si="153"/>
        <v>-442.1503909777332</v>
      </c>
    </row>
    <row r="894" spans="6:20" x14ac:dyDescent="0.35">
      <c r="F894" s="1">
        <f t="shared" si="149"/>
        <v>17.819999999999709</v>
      </c>
      <c r="G894">
        <f>1/2*$B$8*$B$6*$B$7*(Tabelle2[[#This Row],[vx]]*Tabelle2[[#This Row],[vx]]+Tabelle2[[#This Row],[vy]]*Tabelle2[[#This Row],[vy]])/1000000</f>
        <v>27.209917664824612</v>
      </c>
      <c r="H894">
        <f>IF($B$3,-Tabelle2[[#This Row],[Fd]]*Tabelle2[[#This Row],[vx]]/Tabelle2[[#This Row],[v]],0)</f>
        <v>0</v>
      </c>
      <c r="I894">
        <f t="shared" si="143"/>
        <v>0</v>
      </c>
      <c r="J894">
        <f t="shared" si="144"/>
        <v>0</v>
      </c>
      <c r="K894">
        <f t="shared" si="145"/>
        <v>1.0467394398169905</v>
      </c>
      <c r="L894">
        <f>-$B$5*$B$12-IF($B$3,Tabelle2[[#This Row],[Fd]]*Tabelle2[[#This Row],[vy]]/Tabelle2[[#This Row],[v]],0)</f>
        <v>-14.715</v>
      </c>
      <c r="M894">
        <f t="shared" si="146"/>
        <v>-9.81</v>
      </c>
      <c r="N894">
        <f t="shared" si="147"/>
        <v>-0.19620000000000001</v>
      </c>
      <c r="O894">
        <f t="shared" si="148"/>
        <v>-2.2507905120880598</v>
      </c>
      <c r="P894" s="1">
        <f t="shared" si="150"/>
        <v>52.336971990849527</v>
      </c>
      <c r="Q894" s="1">
        <f t="shared" si="151"/>
        <v>-112.44142560440298</v>
      </c>
      <c r="R894">
        <f>SQRT(Tabelle2[[#This Row],[vx]]*Tabelle2[[#This Row],[vx]]+Tabelle2[[#This Row],[vy]]*Tabelle2[[#This Row],[vy]])</f>
        <v>124.02512982908527</v>
      </c>
      <c r="S894">
        <f t="shared" si="152"/>
        <v>932.64484087692949</v>
      </c>
      <c r="T894" s="1">
        <f t="shared" si="153"/>
        <v>-444.39725748982124</v>
      </c>
    </row>
    <row r="895" spans="6:20" x14ac:dyDescent="0.35">
      <c r="F895" s="1">
        <f t="shared" si="149"/>
        <v>17.839999999999709</v>
      </c>
      <c r="G895">
        <f>1/2*$B$8*$B$6*$B$7*(Tabelle2[[#This Row],[vx]]*Tabelle2[[#This Row],[vx]]+Tabelle2[[#This Row],[vy]]*Tabelle2[[#This Row],[vy]])/1000000</f>
        <v>27.288034011802747</v>
      </c>
      <c r="H895">
        <f>IF($B$3,-Tabelle2[[#This Row],[Fd]]*Tabelle2[[#This Row],[vx]]/Tabelle2[[#This Row],[v]],0)</f>
        <v>0</v>
      </c>
      <c r="I895">
        <f t="shared" si="143"/>
        <v>0</v>
      </c>
      <c r="J895">
        <f t="shared" si="144"/>
        <v>0</v>
      </c>
      <c r="K895">
        <f t="shared" si="145"/>
        <v>1.0467394398169905</v>
      </c>
      <c r="L895">
        <f>-$B$5*$B$12-IF($B$3,Tabelle2[[#This Row],[Fd]]*Tabelle2[[#This Row],[vy]]/Tabelle2[[#This Row],[v]],0)</f>
        <v>-14.715</v>
      </c>
      <c r="M895">
        <f t="shared" si="146"/>
        <v>-9.81</v>
      </c>
      <c r="N895">
        <f t="shared" si="147"/>
        <v>-0.19620000000000001</v>
      </c>
      <c r="O895">
        <f t="shared" si="148"/>
        <v>-2.2547145120880598</v>
      </c>
      <c r="P895" s="1">
        <f t="shared" si="150"/>
        <v>52.336971990849527</v>
      </c>
      <c r="Q895" s="1">
        <f t="shared" si="151"/>
        <v>-112.63762560440298</v>
      </c>
      <c r="R895">
        <f>SQRT(Tabelle2[[#This Row],[vx]]*Tabelle2[[#This Row],[vx]]+Tabelle2[[#This Row],[vy]]*Tabelle2[[#This Row],[vy]])</f>
        <v>124.20303272854744</v>
      </c>
      <c r="S895">
        <f t="shared" si="152"/>
        <v>933.69158031674647</v>
      </c>
      <c r="T895" s="1">
        <f t="shared" si="153"/>
        <v>-446.64804800190933</v>
      </c>
    </row>
    <row r="896" spans="6:20" x14ac:dyDescent="0.35">
      <c r="F896" s="1">
        <f t="shared" si="149"/>
        <v>17.859999999999708</v>
      </c>
      <c r="G896">
        <f>1/2*$B$8*$B$6*$B$7*(Tabelle2[[#This Row],[vx]]*Tabelle2[[#This Row],[vx]]+Tabelle2[[#This Row],[vy]]*Tabelle2[[#This Row],[vy]])/1000000</f>
        <v>27.366286545842229</v>
      </c>
      <c r="H896">
        <f>IF($B$3,-Tabelle2[[#This Row],[Fd]]*Tabelle2[[#This Row],[vx]]/Tabelle2[[#This Row],[v]],0)</f>
        <v>0</v>
      </c>
      <c r="I896">
        <f t="shared" si="143"/>
        <v>0</v>
      </c>
      <c r="J896">
        <f t="shared" si="144"/>
        <v>0</v>
      </c>
      <c r="K896">
        <f t="shared" si="145"/>
        <v>1.0467394398169905</v>
      </c>
      <c r="L896">
        <f>-$B$5*$B$12-IF($B$3,Tabelle2[[#This Row],[Fd]]*Tabelle2[[#This Row],[vy]]/Tabelle2[[#This Row],[v]],0)</f>
        <v>-14.715</v>
      </c>
      <c r="M896">
        <f t="shared" si="146"/>
        <v>-9.81</v>
      </c>
      <c r="N896">
        <f t="shared" si="147"/>
        <v>-0.19620000000000001</v>
      </c>
      <c r="O896">
        <f t="shared" si="148"/>
        <v>-2.2586385120880599</v>
      </c>
      <c r="P896" s="1">
        <f t="shared" si="150"/>
        <v>52.336971990849527</v>
      </c>
      <c r="Q896" s="1">
        <f t="shared" si="151"/>
        <v>-112.83382560440299</v>
      </c>
      <c r="R896">
        <f>SQRT(Tabelle2[[#This Row],[vx]]*Tabelle2[[#This Row],[vx]]+Tabelle2[[#This Row],[vy]]*Tabelle2[[#This Row],[vy]])</f>
        <v>124.3809906605338</v>
      </c>
      <c r="S896">
        <f t="shared" si="152"/>
        <v>934.73831975656344</v>
      </c>
      <c r="T896" s="1">
        <f t="shared" si="153"/>
        <v>-448.9027625139974</v>
      </c>
    </row>
    <row r="897" spans="6:20" x14ac:dyDescent="0.35">
      <c r="F897" s="1">
        <f t="shared" si="149"/>
        <v>17.879999999999708</v>
      </c>
      <c r="G897">
        <f>1/2*$B$8*$B$6*$B$7*(Tabelle2[[#This Row],[vx]]*Tabelle2[[#This Row],[vx]]+Tabelle2[[#This Row],[vy]]*Tabelle2[[#This Row],[vy]])/1000000</f>
        <v>27.444675266943051</v>
      </c>
      <c r="H897">
        <f>IF($B$3,-Tabelle2[[#This Row],[Fd]]*Tabelle2[[#This Row],[vx]]/Tabelle2[[#This Row],[v]],0)</f>
        <v>0</v>
      </c>
      <c r="I897">
        <f t="shared" si="143"/>
        <v>0</v>
      </c>
      <c r="J897">
        <f t="shared" si="144"/>
        <v>0</v>
      </c>
      <c r="K897">
        <f t="shared" si="145"/>
        <v>1.0467394398169905</v>
      </c>
      <c r="L897">
        <f>-$B$5*$B$12-IF($B$3,Tabelle2[[#This Row],[Fd]]*Tabelle2[[#This Row],[vy]]/Tabelle2[[#This Row],[v]],0)</f>
        <v>-14.715</v>
      </c>
      <c r="M897">
        <f t="shared" si="146"/>
        <v>-9.81</v>
      </c>
      <c r="N897">
        <f t="shared" si="147"/>
        <v>-0.19620000000000001</v>
      </c>
      <c r="O897">
        <f t="shared" si="148"/>
        <v>-2.2625625120880599</v>
      </c>
      <c r="P897" s="1">
        <f t="shared" si="150"/>
        <v>52.336971990849527</v>
      </c>
      <c r="Q897" s="1">
        <f t="shared" si="151"/>
        <v>-113.03002560440299</v>
      </c>
      <c r="R897">
        <f>SQRT(Tabelle2[[#This Row],[vx]]*Tabelle2[[#This Row],[vx]]+Tabelle2[[#This Row],[vy]]*Tabelle2[[#This Row],[vy]])</f>
        <v>124.55900338916879</v>
      </c>
      <c r="S897">
        <f t="shared" si="152"/>
        <v>935.78505919638042</v>
      </c>
      <c r="T897" s="1">
        <f t="shared" si="153"/>
        <v>-451.16140102608546</v>
      </c>
    </row>
    <row r="898" spans="6:20" x14ac:dyDescent="0.35">
      <c r="F898" s="1">
        <f t="shared" si="149"/>
        <v>17.899999999999707</v>
      </c>
      <c r="G898">
        <f>1/2*$B$8*$B$6*$B$7*(Tabelle2[[#This Row],[vx]]*Tabelle2[[#This Row],[vx]]+Tabelle2[[#This Row],[vy]]*Tabelle2[[#This Row],[vy]])/1000000</f>
        <v>27.52320017510522</v>
      </c>
      <c r="H898">
        <f>IF($B$3,-Tabelle2[[#This Row],[Fd]]*Tabelle2[[#This Row],[vx]]/Tabelle2[[#This Row],[v]],0)</f>
        <v>0</v>
      </c>
      <c r="I898">
        <f t="shared" si="143"/>
        <v>0</v>
      </c>
      <c r="J898">
        <f t="shared" si="144"/>
        <v>0</v>
      </c>
      <c r="K898">
        <f t="shared" si="145"/>
        <v>1.0467394398169905</v>
      </c>
      <c r="L898">
        <f>-$B$5*$B$12-IF($B$3,Tabelle2[[#This Row],[Fd]]*Tabelle2[[#This Row],[vy]]/Tabelle2[[#This Row],[v]],0)</f>
        <v>-14.715</v>
      </c>
      <c r="M898">
        <f t="shared" si="146"/>
        <v>-9.81</v>
      </c>
      <c r="N898">
        <f t="shared" si="147"/>
        <v>-0.19620000000000001</v>
      </c>
      <c r="O898">
        <f t="shared" si="148"/>
        <v>-2.26648651208806</v>
      </c>
      <c r="P898" s="1">
        <f t="shared" si="150"/>
        <v>52.336971990849527</v>
      </c>
      <c r="Q898" s="1">
        <f t="shared" si="151"/>
        <v>-113.226225604403</v>
      </c>
      <c r="R898">
        <f>SQRT(Tabelle2[[#This Row],[vx]]*Tabelle2[[#This Row],[vx]]+Tabelle2[[#This Row],[vy]]*Tabelle2[[#This Row],[vy]])</f>
        <v>124.73707067985096</v>
      </c>
      <c r="S898">
        <f t="shared" si="152"/>
        <v>936.83179863619739</v>
      </c>
      <c r="T898" s="1">
        <f t="shared" si="153"/>
        <v>-453.4239635381735</v>
      </c>
    </row>
    <row r="899" spans="6:20" x14ac:dyDescent="0.35">
      <c r="F899" s="1">
        <f t="shared" si="149"/>
        <v>17.919999999999707</v>
      </c>
      <c r="G899">
        <f>1/2*$B$8*$B$6*$B$7*(Tabelle2[[#This Row],[vx]]*Tabelle2[[#This Row],[vx]]+Tabelle2[[#This Row],[vy]]*Tabelle2[[#This Row],[vy]])/1000000</f>
        <v>27.601861270328733</v>
      </c>
      <c r="H899">
        <f>IF($B$3,-Tabelle2[[#This Row],[Fd]]*Tabelle2[[#This Row],[vx]]/Tabelle2[[#This Row],[v]],0)</f>
        <v>0</v>
      </c>
      <c r="I899">
        <f t="shared" ref="I899:I962" si="154">H899/$B$5</f>
        <v>0</v>
      </c>
      <c r="J899">
        <f t="shared" ref="J899:J962" si="155">I899*$B$13</f>
        <v>0</v>
      </c>
      <c r="K899">
        <f t="shared" ref="K899:K962" si="156">$B$13*(P899+J899/2)</f>
        <v>1.0467394398169905</v>
      </c>
      <c r="L899">
        <f>-$B$5*$B$12-IF($B$3,Tabelle2[[#This Row],[Fd]]*Tabelle2[[#This Row],[vy]]/Tabelle2[[#This Row],[v]],0)</f>
        <v>-14.715</v>
      </c>
      <c r="M899">
        <f t="shared" ref="M899:M962" si="157">L899/$B$5</f>
        <v>-9.81</v>
      </c>
      <c r="N899">
        <f t="shared" ref="N899:N962" si="158">M899*$B$13</f>
        <v>-0.19620000000000001</v>
      </c>
      <c r="O899">
        <f t="shared" ref="O899:O962" si="159">$B$13*(Q899+N899/2)</f>
        <v>-2.27041051208806</v>
      </c>
      <c r="P899" s="1">
        <f t="shared" si="150"/>
        <v>52.336971990849527</v>
      </c>
      <c r="Q899" s="1">
        <f t="shared" si="151"/>
        <v>-113.422425604403</v>
      </c>
      <c r="R899">
        <f>SQRT(Tabelle2[[#This Row],[vx]]*Tabelle2[[#This Row],[vx]]+Tabelle2[[#This Row],[vy]]*Tabelle2[[#This Row],[vy]])</f>
        <v>124.91519229924478</v>
      </c>
      <c r="S899">
        <f t="shared" si="152"/>
        <v>937.87853807601437</v>
      </c>
      <c r="T899" s="1">
        <f t="shared" si="153"/>
        <v>-455.69045005026157</v>
      </c>
    </row>
    <row r="900" spans="6:20" x14ac:dyDescent="0.35">
      <c r="F900" s="1">
        <f t="shared" ref="F900:F963" si="160">F899+$B$13</f>
        <v>17.939999999999706</v>
      </c>
      <c r="G900">
        <f>1/2*$B$8*$B$6*$B$7*(Tabelle2[[#This Row],[vx]]*Tabelle2[[#This Row],[vx]]+Tabelle2[[#This Row],[vy]]*Tabelle2[[#This Row],[vy]])/1000000</f>
        <v>27.68065855261359</v>
      </c>
      <c r="H900">
        <f>IF($B$3,-Tabelle2[[#This Row],[Fd]]*Tabelle2[[#This Row],[vx]]/Tabelle2[[#This Row],[v]],0)</f>
        <v>0</v>
      </c>
      <c r="I900">
        <f t="shared" si="154"/>
        <v>0</v>
      </c>
      <c r="J900">
        <f t="shared" si="155"/>
        <v>0</v>
      </c>
      <c r="K900">
        <f t="shared" si="156"/>
        <v>1.0467394398169905</v>
      </c>
      <c r="L900">
        <f>-$B$5*$B$12-IF($B$3,Tabelle2[[#This Row],[Fd]]*Tabelle2[[#This Row],[vy]]/Tabelle2[[#This Row],[v]],0)</f>
        <v>-14.715</v>
      </c>
      <c r="M900">
        <f t="shared" si="157"/>
        <v>-9.81</v>
      </c>
      <c r="N900">
        <f t="shared" si="158"/>
        <v>-0.19620000000000001</v>
      </c>
      <c r="O900">
        <f t="shared" si="159"/>
        <v>-2.27433451208806</v>
      </c>
      <c r="P900" s="1">
        <f t="shared" ref="P900:P963" si="161">P899+J899</f>
        <v>52.336971990849527</v>
      </c>
      <c r="Q900" s="1">
        <f t="shared" ref="Q900:Q963" si="162">Q899+N899</f>
        <v>-113.61862560440301</v>
      </c>
      <c r="R900">
        <f>SQRT(Tabelle2[[#This Row],[vx]]*Tabelle2[[#This Row],[vx]]+Tabelle2[[#This Row],[vy]]*Tabelle2[[#This Row],[vy]])</f>
        <v>125.09336801527277</v>
      </c>
      <c r="S900">
        <f t="shared" ref="S900:S963" si="163">S899+K899</f>
        <v>938.92527751583134</v>
      </c>
      <c r="T900" s="1">
        <f t="shared" ref="T900:T963" si="164">T899+O899</f>
        <v>-457.96086056234964</v>
      </c>
    </row>
    <row r="901" spans="6:20" x14ac:dyDescent="0.35">
      <c r="F901" s="1">
        <f t="shared" si="160"/>
        <v>17.959999999999706</v>
      </c>
      <c r="G901">
        <f>1/2*$B$8*$B$6*$B$7*(Tabelle2[[#This Row],[vx]]*Tabelle2[[#This Row],[vx]]+Tabelle2[[#This Row],[vy]]*Tabelle2[[#This Row],[vy]])/1000000</f>
        <v>27.759592021959794</v>
      </c>
      <c r="H901">
        <f>IF($B$3,-Tabelle2[[#This Row],[Fd]]*Tabelle2[[#This Row],[vx]]/Tabelle2[[#This Row],[v]],0)</f>
        <v>0</v>
      </c>
      <c r="I901">
        <f t="shared" si="154"/>
        <v>0</v>
      </c>
      <c r="J901">
        <f t="shared" si="155"/>
        <v>0</v>
      </c>
      <c r="K901">
        <f t="shared" si="156"/>
        <v>1.0467394398169905</v>
      </c>
      <c r="L901">
        <f>-$B$5*$B$12-IF($B$3,Tabelle2[[#This Row],[Fd]]*Tabelle2[[#This Row],[vy]]/Tabelle2[[#This Row],[v]],0)</f>
        <v>-14.715</v>
      </c>
      <c r="M901">
        <f t="shared" si="157"/>
        <v>-9.81</v>
      </c>
      <c r="N901">
        <f t="shared" si="158"/>
        <v>-0.19620000000000001</v>
      </c>
      <c r="O901">
        <f t="shared" si="159"/>
        <v>-2.2782585120880605</v>
      </c>
      <c r="P901" s="1">
        <f t="shared" si="161"/>
        <v>52.336971990849527</v>
      </c>
      <c r="Q901" s="1">
        <f t="shared" si="162"/>
        <v>-113.81482560440301</v>
      </c>
      <c r="R901">
        <f>SQRT(Tabelle2[[#This Row],[vx]]*Tabelle2[[#This Row],[vx]]+Tabelle2[[#This Row],[vy]]*Tabelle2[[#This Row],[vy]])</f>
        <v>125.27159759710754</v>
      </c>
      <c r="S901">
        <f t="shared" si="163"/>
        <v>939.97201695564831</v>
      </c>
      <c r="T901" s="1">
        <f t="shared" si="164"/>
        <v>-460.23519507443768</v>
      </c>
    </row>
    <row r="902" spans="6:20" x14ac:dyDescent="0.35">
      <c r="F902" s="1">
        <f t="shared" si="160"/>
        <v>17.979999999999706</v>
      </c>
      <c r="G902">
        <f>1/2*$B$8*$B$6*$B$7*(Tabelle2[[#This Row],[vx]]*Tabelle2[[#This Row],[vx]]+Tabelle2[[#This Row],[vy]]*Tabelle2[[#This Row],[vy]])/1000000</f>
        <v>27.838661678367334</v>
      </c>
      <c r="H902">
        <f>IF($B$3,-Tabelle2[[#This Row],[Fd]]*Tabelle2[[#This Row],[vx]]/Tabelle2[[#This Row],[v]],0)</f>
        <v>0</v>
      </c>
      <c r="I902">
        <f t="shared" si="154"/>
        <v>0</v>
      </c>
      <c r="J902">
        <f t="shared" si="155"/>
        <v>0</v>
      </c>
      <c r="K902">
        <f t="shared" si="156"/>
        <v>1.0467394398169905</v>
      </c>
      <c r="L902">
        <f>-$B$5*$B$12-IF($B$3,Tabelle2[[#This Row],[Fd]]*Tabelle2[[#This Row],[vy]]/Tabelle2[[#This Row],[v]],0)</f>
        <v>-14.715</v>
      </c>
      <c r="M902">
        <f t="shared" si="157"/>
        <v>-9.81</v>
      </c>
      <c r="N902">
        <f t="shared" si="158"/>
        <v>-0.19620000000000001</v>
      </c>
      <c r="O902">
        <f t="shared" si="159"/>
        <v>-2.2821825120880606</v>
      </c>
      <c r="P902" s="1">
        <f t="shared" si="161"/>
        <v>52.336971990849527</v>
      </c>
      <c r="Q902" s="1">
        <f t="shared" si="162"/>
        <v>-114.01102560440302</v>
      </c>
      <c r="R902">
        <f>SQRT(Tabelle2[[#This Row],[vx]]*Tabelle2[[#This Row],[vx]]+Tabelle2[[#This Row],[vy]]*Tabelle2[[#This Row],[vy]])</f>
        <v>125.44988081516382</v>
      </c>
      <c r="S902">
        <f t="shared" si="163"/>
        <v>941.01875639546529</v>
      </c>
      <c r="T902" s="1">
        <f t="shared" si="164"/>
        <v>-462.51345358652577</v>
      </c>
    </row>
    <row r="903" spans="6:20" x14ac:dyDescent="0.35">
      <c r="F903" s="1">
        <f t="shared" si="160"/>
        <v>17.999999999999705</v>
      </c>
      <c r="G903">
        <f>1/2*$B$8*$B$6*$B$7*(Tabelle2[[#This Row],[vx]]*Tabelle2[[#This Row],[vx]]+Tabelle2[[#This Row],[vy]]*Tabelle2[[#This Row],[vy]])/1000000</f>
        <v>27.917867521836225</v>
      </c>
      <c r="H903">
        <f>IF($B$3,-Tabelle2[[#This Row],[Fd]]*Tabelle2[[#This Row],[vx]]/Tabelle2[[#This Row],[v]],0)</f>
        <v>0</v>
      </c>
      <c r="I903">
        <f t="shared" si="154"/>
        <v>0</v>
      </c>
      <c r="J903">
        <f t="shared" si="155"/>
        <v>0</v>
      </c>
      <c r="K903">
        <f t="shared" si="156"/>
        <v>1.0467394398169905</v>
      </c>
      <c r="L903">
        <f>-$B$5*$B$12-IF($B$3,Tabelle2[[#This Row],[Fd]]*Tabelle2[[#This Row],[vy]]/Tabelle2[[#This Row],[v]],0)</f>
        <v>-14.715</v>
      </c>
      <c r="M903">
        <f t="shared" si="157"/>
        <v>-9.81</v>
      </c>
      <c r="N903">
        <f t="shared" si="158"/>
        <v>-0.19620000000000001</v>
      </c>
      <c r="O903">
        <f t="shared" si="159"/>
        <v>-2.2861065120880606</v>
      </c>
      <c r="P903" s="1">
        <f t="shared" si="161"/>
        <v>52.336971990849527</v>
      </c>
      <c r="Q903" s="1">
        <f t="shared" si="162"/>
        <v>-114.20722560440302</v>
      </c>
      <c r="R903">
        <f>SQRT(Tabelle2[[#This Row],[vx]]*Tabelle2[[#This Row],[vx]]+Tabelle2[[#This Row],[vy]]*Tabelle2[[#This Row],[vy]])</f>
        <v>125.62821744109074</v>
      </c>
      <c r="S903">
        <f t="shared" si="163"/>
        <v>942.06549583528226</v>
      </c>
      <c r="T903" s="1">
        <f t="shared" si="164"/>
        <v>-464.79563609861384</v>
      </c>
    </row>
    <row r="904" spans="6:20" x14ac:dyDescent="0.35">
      <c r="F904" s="1">
        <f t="shared" si="160"/>
        <v>18.019999999999705</v>
      </c>
      <c r="G904">
        <f>1/2*$B$8*$B$6*$B$7*(Tabelle2[[#This Row],[vx]]*Tabelle2[[#This Row],[vx]]+Tabelle2[[#This Row],[vy]]*Tabelle2[[#This Row],[vy]])/1000000</f>
        <v>27.997209552366456</v>
      </c>
      <c r="H904">
        <f>IF($B$3,-Tabelle2[[#This Row],[Fd]]*Tabelle2[[#This Row],[vx]]/Tabelle2[[#This Row],[v]],0)</f>
        <v>0</v>
      </c>
      <c r="I904">
        <f t="shared" si="154"/>
        <v>0</v>
      </c>
      <c r="J904">
        <f t="shared" si="155"/>
        <v>0</v>
      </c>
      <c r="K904">
        <f t="shared" si="156"/>
        <v>1.0467394398169905</v>
      </c>
      <c r="L904">
        <f>-$B$5*$B$12-IF($B$3,Tabelle2[[#This Row],[Fd]]*Tabelle2[[#This Row],[vy]]/Tabelle2[[#This Row],[v]],0)</f>
        <v>-14.715</v>
      </c>
      <c r="M904">
        <f t="shared" si="157"/>
        <v>-9.81</v>
      </c>
      <c r="N904">
        <f t="shared" si="158"/>
        <v>-0.19620000000000001</v>
      </c>
      <c r="O904">
        <f t="shared" si="159"/>
        <v>-2.2900305120880606</v>
      </c>
      <c r="P904" s="1">
        <f t="shared" si="161"/>
        <v>52.336971990849527</v>
      </c>
      <c r="Q904" s="1">
        <f t="shared" si="162"/>
        <v>-114.40342560440303</v>
      </c>
      <c r="R904">
        <f>SQRT(Tabelle2[[#This Row],[vx]]*Tabelle2[[#This Row],[vx]]+Tabelle2[[#This Row],[vy]]*Tabelle2[[#This Row],[vy]])</f>
        <v>125.80660724776399</v>
      </c>
      <c r="S904">
        <f t="shared" si="163"/>
        <v>943.11223527509924</v>
      </c>
      <c r="T904" s="1">
        <f t="shared" si="164"/>
        <v>-467.08174261070189</v>
      </c>
    </row>
    <row r="905" spans="6:20" x14ac:dyDescent="0.35">
      <c r="F905" s="1">
        <f t="shared" si="160"/>
        <v>18.039999999999704</v>
      </c>
      <c r="G905">
        <f>1/2*$B$8*$B$6*$B$7*(Tabelle2[[#This Row],[vx]]*Tabelle2[[#This Row],[vx]]+Tabelle2[[#This Row],[vy]]*Tabelle2[[#This Row],[vy]])/1000000</f>
        <v>28.076687769958035</v>
      </c>
      <c r="H905">
        <f>IF($B$3,-Tabelle2[[#This Row],[Fd]]*Tabelle2[[#This Row],[vx]]/Tabelle2[[#This Row],[v]],0)</f>
        <v>0</v>
      </c>
      <c r="I905">
        <f t="shared" si="154"/>
        <v>0</v>
      </c>
      <c r="J905">
        <f t="shared" si="155"/>
        <v>0</v>
      </c>
      <c r="K905">
        <f t="shared" si="156"/>
        <v>1.0467394398169905</v>
      </c>
      <c r="L905">
        <f>-$B$5*$B$12-IF($B$3,Tabelle2[[#This Row],[Fd]]*Tabelle2[[#This Row],[vy]]/Tabelle2[[#This Row],[v]],0)</f>
        <v>-14.715</v>
      </c>
      <c r="M905">
        <f t="shared" si="157"/>
        <v>-9.81</v>
      </c>
      <c r="N905">
        <f t="shared" si="158"/>
        <v>-0.19620000000000001</v>
      </c>
      <c r="O905">
        <f t="shared" si="159"/>
        <v>-2.2939545120880607</v>
      </c>
      <c r="P905" s="1">
        <f t="shared" si="161"/>
        <v>52.336971990849527</v>
      </c>
      <c r="Q905" s="1">
        <f t="shared" si="162"/>
        <v>-114.59962560440303</v>
      </c>
      <c r="R905">
        <f>SQRT(Tabelle2[[#This Row],[vx]]*Tabelle2[[#This Row],[vx]]+Tabelle2[[#This Row],[vy]]*Tabelle2[[#This Row],[vy]])</f>
        <v>125.98505000927814</v>
      </c>
      <c r="S905">
        <f t="shared" si="163"/>
        <v>944.15897471491621</v>
      </c>
      <c r="T905" s="1">
        <f t="shared" si="164"/>
        <v>-469.37177312278993</v>
      </c>
    </row>
    <row r="906" spans="6:20" x14ac:dyDescent="0.35">
      <c r="F906" s="1">
        <f t="shared" si="160"/>
        <v>18.059999999999704</v>
      </c>
      <c r="G906">
        <f>1/2*$B$8*$B$6*$B$7*(Tabelle2[[#This Row],[vx]]*Tabelle2[[#This Row],[vx]]+Tabelle2[[#This Row],[vy]]*Tabelle2[[#This Row],[vy]])/1000000</f>
        <v>28.156302174610953</v>
      </c>
      <c r="H906">
        <f>IF($B$3,-Tabelle2[[#This Row],[Fd]]*Tabelle2[[#This Row],[vx]]/Tabelle2[[#This Row],[v]],0)</f>
        <v>0</v>
      </c>
      <c r="I906">
        <f t="shared" si="154"/>
        <v>0</v>
      </c>
      <c r="J906">
        <f t="shared" si="155"/>
        <v>0</v>
      </c>
      <c r="K906">
        <f t="shared" si="156"/>
        <v>1.0467394398169905</v>
      </c>
      <c r="L906">
        <f>-$B$5*$B$12-IF($B$3,Tabelle2[[#This Row],[Fd]]*Tabelle2[[#This Row],[vy]]/Tabelle2[[#This Row],[v]],0)</f>
        <v>-14.715</v>
      </c>
      <c r="M906">
        <f t="shared" si="157"/>
        <v>-9.81</v>
      </c>
      <c r="N906">
        <f t="shared" si="158"/>
        <v>-0.19620000000000001</v>
      </c>
      <c r="O906">
        <f t="shared" si="159"/>
        <v>-2.2978785120880607</v>
      </c>
      <c r="P906" s="1">
        <f t="shared" si="161"/>
        <v>52.336971990849527</v>
      </c>
      <c r="Q906" s="1">
        <f t="shared" si="162"/>
        <v>-114.79582560440303</v>
      </c>
      <c r="R906">
        <f>SQRT(Tabelle2[[#This Row],[vx]]*Tabelle2[[#This Row],[vx]]+Tabelle2[[#This Row],[vy]]*Tabelle2[[#This Row],[vy]])</f>
        <v>126.16354550093891</v>
      </c>
      <c r="S906">
        <f t="shared" si="163"/>
        <v>945.20571415473319</v>
      </c>
      <c r="T906" s="1">
        <f t="shared" si="164"/>
        <v>-471.66572763487801</v>
      </c>
    </row>
    <row r="907" spans="6:20" x14ac:dyDescent="0.35">
      <c r="F907" s="1">
        <f t="shared" si="160"/>
        <v>18.079999999999703</v>
      </c>
      <c r="G907">
        <f>1/2*$B$8*$B$6*$B$7*(Tabelle2[[#This Row],[vx]]*Tabelle2[[#This Row],[vx]]+Tabelle2[[#This Row],[vy]]*Tabelle2[[#This Row],[vy]])/1000000</f>
        <v>28.236052766325219</v>
      </c>
      <c r="H907">
        <f>IF($B$3,-Tabelle2[[#This Row],[Fd]]*Tabelle2[[#This Row],[vx]]/Tabelle2[[#This Row],[v]],0)</f>
        <v>0</v>
      </c>
      <c r="I907">
        <f t="shared" si="154"/>
        <v>0</v>
      </c>
      <c r="J907">
        <f t="shared" si="155"/>
        <v>0</v>
      </c>
      <c r="K907">
        <f t="shared" si="156"/>
        <v>1.0467394398169905</v>
      </c>
      <c r="L907">
        <f>-$B$5*$B$12-IF($B$3,Tabelle2[[#This Row],[Fd]]*Tabelle2[[#This Row],[vy]]/Tabelle2[[#This Row],[v]],0)</f>
        <v>-14.715</v>
      </c>
      <c r="M907">
        <f t="shared" si="157"/>
        <v>-9.81</v>
      </c>
      <c r="N907">
        <f t="shared" si="158"/>
        <v>-0.19620000000000001</v>
      </c>
      <c r="O907">
        <f t="shared" si="159"/>
        <v>-2.3018025120880607</v>
      </c>
      <c r="P907" s="1">
        <f t="shared" si="161"/>
        <v>52.336971990849527</v>
      </c>
      <c r="Q907" s="1">
        <f t="shared" si="162"/>
        <v>-114.99202560440304</v>
      </c>
      <c r="R907">
        <f>SQRT(Tabelle2[[#This Row],[vx]]*Tabelle2[[#This Row],[vx]]+Tabelle2[[#This Row],[vy]]*Tabelle2[[#This Row],[vy]])</f>
        <v>126.34209349925563</v>
      </c>
      <c r="S907">
        <f t="shared" si="163"/>
        <v>946.25245359455016</v>
      </c>
      <c r="T907" s="1">
        <f t="shared" si="164"/>
        <v>-473.96360614696607</v>
      </c>
    </row>
    <row r="908" spans="6:20" x14ac:dyDescent="0.35">
      <c r="F908" s="1">
        <f t="shared" si="160"/>
        <v>18.099999999999703</v>
      </c>
      <c r="G908">
        <f>1/2*$B$8*$B$6*$B$7*(Tabelle2[[#This Row],[vx]]*Tabelle2[[#This Row],[vx]]+Tabelle2[[#This Row],[vy]]*Tabelle2[[#This Row],[vy]])/1000000</f>
        <v>28.315939545100832</v>
      </c>
      <c r="H908">
        <f>IF($B$3,-Tabelle2[[#This Row],[Fd]]*Tabelle2[[#This Row],[vx]]/Tabelle2[[#This Row],[v]],0)</f>
        <v>0</v>
      </c>
      <c r="I908">
        <f t="shared" si="154"/>
        <v>0</v>
      </c>
      <c r="J908">
        <f t="shared" si="155"/>
        <v>0</v>
      </c>
      <c r="K908">
        <f t="shared" si="156"/>
        <v>1.0467394398169905</v>
      </c>
      <c r="L908">
        <f>-$B$5*$B$12-IF($B$3,Tabelle2[[#This Row],[Fd]]*Tabelle2[[#This Row],[vy]]/Tabelle2[[#This Row],[v]],0)</f>
        <v>-14.715</v>
      </c>
      <c r="M908">
        <f t="shared" si="157"/>
        <v>-9.81</v>
      </c>
      <c r="N908">
        <f t="shared" si="158"/>
        <v>-0.19620000000000001</v>
      </c>
      <c r="O908">
        <f t="shared" si="159"/>
        <v>-2.3057265120880608</v>
      </c>
      <c r="P908" s="1">
        <f t="shared" si="161"/>
        <v>52.336971990849527</v>
      </c>
      <c r="Q908" s="1">
        <f t="shared" si="162"/>
        <v>-115.18822560440304</v>
      </c>
      <c r="R908">
        <f>SQRT(Tabelle2[[#This Row],[vx]]*Tabelle2[[#This Row],[vx]]+Tabelle2[[#This Row],[vy]]*Tabelle2[[#This Row],[vy]])</f>
        <v>126.52069378193363</v>
      </c>
      <c r="S908">
        <f t="shared" si="163"/>
        <v>947.29919303436714</v>
      </c>
      <c r="T908" s="1">
        <f t="shared" si="164"/>
        <v>-476.26540865905412</v>
      </c>
    </row>
    <row r="909" spans="6:20" x14ac:dyDescent="0.35">
      <c r="F909" s="1">
        <f t="shared" si="160"/>
        <v>18.119999999999703</v>
      </c>
      <c r="G909">
        <f>1/2*$B$8*$B$6*$B$7*(Tabelle2[[#This Row],[vx]]*Tabelle2[[#This Row],[vx]]+Tabelle2[[#This Row],[vy]]*Tabelle2[[#This Row],[vy]])/1000000</f>
        <v>28.395962510937785</v>
      </c>
      <c r="H909">
        <f>IF($B$3,-Tabelle2[[#This Row],[Fd]]*Tabelle2[[#This Row],[vx]]/Tabelle2[[#This Row],[v]],0)</f>
        <v>0</v>
      </c>
      <c r="I909">
        <f t="shared" si="154"/>
        <v>0</v>
      </c>
      <c r="J909">
        <f t="shared" si="155"/>
        <v>0</v>
      </c>
      <c r="K909">
        <f t="shared" si="156"/>
        <v>1.0467394398169905</v>
      </c>
      <c r="L909">
        <f>-$B$5*$B$12-IF($B$3,Tabelle2[[#This Row],[Fd]]*Tabelle2[[#This Row],[vy]]/Tabelle2[[#This Row],[v]],0)</f>
        <v>-14.715</v>
      </c>
      <c r="M909">
        <f t="shared" si="157"/>
        <v>-9.81</v>
      </c>
      <c r="N909">
        <f t="shared" si="158"/>
        <v>-0.19620000000000001</v>
      </c>
      <c r="O909">
        <f t="shared" si="159"/>
        <v>-2.3096505120880613</v>
      </c>
      <c r="P909" s="1">
        <f t="shared" si="161"/>
        <v>52.336971990849527</v>
      </c>
      <c r="Q909" s="1">
        <f t="shared" si="162"/>
        <v>-115.38442560440305</v>
      </c>
      <c r="R909">
        <f>SQRT(Tabelle2[[#This Row],[vx]]*Tabelle2[[#This Row],[vx]]+Tabelle2[[#This Row],[vy]]*Tabelle2[[#This Row],[vy]])</f>
        <v>126.69934612786678</v>
      </c>
      <c r="S909">
        <f t="shared" si="163"/>
        <v>948.34593247418411</v>
      </c>
      <c r="T909" s="1">
        <f t="shared" si="164"/>
        <v>-478.5711351711422</v>
      </c>
    </row>
    <row r="910" spans="6:20" x14ac:dyDescent="0.35">
      <c r="F910" s="1">
        <f t="shared" si="160"/>
        <v>18.139999999999702</v>
      </c>
      <c r="G910">
        <f>1/2*$B$8*$B$6*$B$7*(Tabelle2[[#This Row],[vx]]*Tabelle2[[#This Row],[vx]]+Tabelle2[[#This Row],[vy]]*Tabelle2[[#This Row],[vy]])/1000000</f>
        <v>28.476121663836082</v>
      </c>
      <c r="H910">
        <f>IF($B$3,-Tabelle2[[#This Row],[Fd]]*Tabelle2[[#This Row],[vx]]/Tabelle2[[#This Row],[v]],0)</f>
        <v>0</v>
      </c>
      <c r="I910">
        <f t="shared" si="154"/>
        <v>0</v>
      </c>
      <c r="J910">
        <f t="shared" si="155"/>
        <v>0</v>
      </c>
      <c r="K910">
        <f t="shared" si="156"/>
        <v>1.0467394398169905</v>
      </c>
      <c r="L910">
        <f>-$B$5*$B$12-IF($B$3,Tabelle2[[#This Row],[Fd]]*Tabelle2[[#This Row],[vy]]/Tabelle2[[#This Row],[v]],0)</f>
        <v>-14.715</v>
      </c>
      <c r="M910">
        <f t="shared" si="157"/>
        <v>-9.81</v>
      </c>
      <c r="N910">
        <f t="shared" si="158"/>
        <v>-0.19620000000000001</v>
      </c>
      <c r="O910">
        <f t="shared" si="159"/>
        <v>-2.3135745120880613</v>
      </c>
      <c r="P910" s="1">
        <f t="shared" si="161"/>
        <v>52.336971990849527</v>
      </c>
      <c r="Q910" s="1">
        <f t="shared" si="162"/>
        <v>-115.58062560440305</v>
      </c>
      <c r="R910">
        <f>SQRT(Tabelle2[[#This Row],[vx]]*Tabelle2[[#This Row],[vx]]+Tabelle2[[#This Row],[vy]]*Tabelle2[[#This Row],[vy]])</f>
        <v>126.87805031712995</v>
      </c>
      <c r="S910">
        <f t="shared" si="163"/>
        <v>949.39267191400108</v>
      </c>
      <c r="T910" s="1">
        <f t="shared" si="164"/>
        <v>-480.88078568323027</v>
      </c>
    </row>
    <row r="911" spans="6:20" x14ac:dyDescent="0.35">
      <c r="F911" s="1">
        <f t="shared" si="160"/>
        <v>18.159999999999702</v>
      </c>
      <c r="G911">
        <f>1/2*$B$8*$B$6*$B$7*(Tabelle2[[#This Row],[vx]]*Tabelle2[[#This Row],[vx]]+Tabelle2[[#This Row],[vy]]*Tabelle2[[#This Row],[vy]])/1000000</f>
        <v>28.556417003795719</v>
      </c>
      <c r="H911">
        <f>IF($B$3,-Tabelle2[[#This Row],[Fd]]*Tabelle2[[#This Row],[vx]]/Tabelle2[[#This Row],[v]],0)</f>
        <v>0</v>
      </c>
      <c r="I911">
        <f t="shared" si="154"/>
        <v>0</v>
      </c>
      <c r="J911">
        <f t="shared" si="155"/>
        <v>0</v>
      </c>
      <c r="K911">
        <f t="shared" si="156"/>
        <v>1.0467394398169905</v>
      </c>
      <c r="L911">
        <f>-$B$5*$B$12-IF($B$3,Tabelle2[[#This Row],[Fd]]*Tabelle2[[#This Row],[vy]]/Tabelle2[[#This Row],[v]],0)</f>
        <v>-14.715</v>
      </c>
      <c r="M911">
        <f t="shared" si="157"/>
        <v>-9.81</v>
      </c>
      <c r="N911">
        <f t="shared" si="158"/>
        <v>-0.19620000000000001</v>
      </c>
      <c r="O911">
        <f t="shared" si="159"/>
        <v>-2.3174985120880613</v>
      </c>
      <c r="P911" s="1">
        <f t="shared" si="161"/>
        <v>52.336971990849527</v>
      </c>
      <c r="Q911" s="1">
        <f t="shared" si="162"/>
        <v>-115.77682560440306</v>
      </c>
      <c r="R911">
        <f>SQRT(Tabelle2[[#This Row],[vx]]*Tabelle2[[#This Row],[vx]]+Tabelle2[[#This Row],[vy]]*Tabelle2[[#This Row],[vy]])</f>
        <v>127.05680613097169</v>
      </c>
      <c r="S911">
        <f t="shared" si="163"/>
        <v>950.43941135381806</v>
      </c>
      <c r="T911" s="1">
        <f t="shared" si="164"/>
        <v>-483.19436019531832</v>
      </c>
    </row>
    <row r="912" spans="6:20" x14ac:dyDescent="0.35">
      <c r="F912" s="1">
        <f t="shared" si="160"/>
        <v>18.179999999999701</v>
      </c>
      <c r="G912">
        <f>1/2*$B$8*$B$6*$B$7*(Tabelle2[[#This Row],[vx]]*Tabelle2[[#This Row],[vx]]+Tabelle2[[#This Row],[vy]]*Tabelle2[[#This Row],[vy]])/1000000</f>
        <v>28.636848530816703</v>
      </c>
      <c r="H912">
        <f>IF($B$3,-Tabelle2[[#This Row],[Fd]]*Tabelle2[[#This Row],[vx]]/Tabelle2[[#This Row],[v]],0)</f>
        <v>0</v>
      </c>
      <c r="I912">
        <f t="shared" si="154"/>
        <v>0</v>
      </c>
      <c r="J912">
        <f t="shared" si="155"/>
        <v>0</v>
      </c>
      <c r="K912">
        <f t="shared" si="156"/>
        <v>1.0467394398169905</v>
      </c>
      <c r="L912">
        <f>-$B$5*$B$12-IF($B$3,Tabelle2[[#This Row],[Fd]]*Tabelle2[[#This Row],[vy]]/Tabelle2[[#This Row],[v]],0)</f>
        <v>-14.715</v>
      </c>
      <c r="M912">
        <f t="shared" si="157"/>
        <v>-9.81</v>
      </c>
      <c r="N912">
        <f t="shared" si="158"/>
        <v>-0.19620000000000001</v>
      </c>
      <c r="O912">
        <f t="shared" si="159"/>
        <v>-2.3214225120880614</v>
      </c>
      <c r="P912" s="1">
        <f t="shared" si="161"/>
        <v>52.336971990849527</v>
      </c>
      <c r="Q912" s="1">
        <f t="shared" si="162"/>
        <v>-115.97302560440306</v>
      </c>
      <c r="R912">
        <f>SQRT(Tabelle2[[#This Row],[vx]]*Tabelle2[[#This Row],[vx]]+Tabelle2[[#This Row],[vy]]*Tabelle2[[#This Row],[vy]])</f>
        <v>127.23561335180688</v>
      </c>
      <c r="S912">
        <f t="shared" si="163"/>
        <v>951.48615079363503</v>
      </c>
      <c r="T912" s="1">
        <f t="shared" si="164"/>
        <v>-485.51185870740636</v>
      </c>
    </row>
    <row r="913" spans="6:20" x14ac:dyDescent="0.35">
      <c r="F913" s="1">
        <f t="shared" si="160"/>
        <v>18.199999999999701</v>
      </c>
      <c r="G913">
        <f>1/2*$B$8*$B$6*$B$7*(Tabelle2[[#This Row],[vx]]*Tabelle2[[#This Row],[vx]]+Tabelle2[[#This Row],[vy]]*Tabelle2[[#This Row],[vy]])/1000000</f>
        <v>28.717416244899034</v>
      </c>
      <c r="H913">
        <f>IF($B$3,-Tabelle2[[#This Row],[Fd]]*Tabelle2[[#This Row],[vx]]/Tabelle2[[#This Row],[v]],0)</f>
        <v>0</v>
      </c>
      <c r="I913">
        <f t="shared" si="154"/>
        <v>0</v>
      </c>
      <c r="J913">
        <f t="shared" si="155"/>
        <v>0</v>
      </c>
      <c r="K913">
        <f t="shared" si="156"/>
        <v>1.0467394398169905</v>
      </c>
      <c r="L913">
        <f>-$B$5*$B$12-IF($B$3,Tabelle2[[#This Row],[Fd]]*Tabelle2[[#This Row],[vy]]/Tabelle2[[#This Row],[v]],0)</f>
        <v>-14.715</v>
      </c>
      <c r="M913">
        <f t="shared" si="157"/>
        <v>-9.81</v>
      </c>
      <c r="N913">
        <f t="shared" si="158"/>
        <v>-0.19620000000000001</v>
      </c>
      <c r="O913">
        <f t="shared" si="159"/>
        <v>-2.3253465120880614</v>
      </c>
      <c r="P913" s="1">
        <f t="shared" si="161"/>
        <v>52.336971990849527</v>
      </c>
      <c r="Q913" s="1">
        <f t="shared" si="162"/>
        <v>-116.16922560440307</v>
      </c>
      <c r="R913">
        <f>SQRT(Tabelle2[[#This Row],[vx]]*Tabelle2[[#This Row],[vx]]+Tabelle2[[#This Row],[vy]]*Tabelle2[[#This Row],[vy]])</f>
        <v>127.41447176320932</v>
      </c>
      <c r="S913">
        <f t="shared" si="163"/>
        <v>952.53289023345201</v>
      </c>
      <c r="T913" s="1">
        <f t="shared" si="164"/>
        <v>-487.83328121949444</v>
      </c>
    </row>
    <row r="914" spans="6:20" x14ac:dyDescent="0.35">
      <c r="F914" s="1">
        <f t="shared" si="160"/>
        <v>18.2199999999997</v>
      </c>
      <c r="G914">
        <f>1/2*$B$8*$B$6*$B$7*(Tabelle2[[#This Row],[vx]]*Tabelle2[[#This Row],[vx]]+Tabelle2[[#This Row],[vy]]*Tabelle2[[#This Row],[vy]])/1000000</f>
        <v>28.798120146042706</v>
      </c>
      <c r="H914">
        <f>IF($B$3,-Tabelle2[[#This Row],[Fd]]*Tabelle2[[#This Row],[vx]]/Tabelle2[[#This Row],[v]],0)</f>
        <v>0</v>
      </c>
      <c r="I914">
        <f t="shared" si="154"/>
        <v>0</v>
      </c>
      <c r="J914">
        <f t="shared" si="155"/>
        <v>0</v>
      </c>
      <c r="K914">
        <f t="shared" si="156"/>
        <v>1.0467394398169905</v>
      </c>
      <c r="L914">
        <f>-$B$5*$B$12-IF($B$3,Tabelle2[[#This Row],[Fd]]*Tabelle2[[#This Row],[vy]]/Tabelle2[[#This Row],[v]],0)</f>
        <v>-14.715</v>
      </c>
      <c r="M914">
        <f t="shared" si="157"/>
        <v>-9.81</v>
      </c>
      <c r="N914">
        <f t="shared" si="158"/>
        <v>-0.19620000000000001</v>
      </c>
      <c r="O914">
        <f t="shared" si="159"/>
        <v>-2.3292705120880615</v>
      </c>
      <c r="P914" s="1">
        <f t="shared" si="161"/>
        <v>52.336971990849527</v>
      </c>
      <c r="Q914" s="1">
        <f t="shared" si="162"/>
        <v>-116.36542560440307</v>
      </c>
      <c r="R914">
        <f>SQRT(Tabelle2[[#This Row],[vx]]*Tabelle2[[#This Row],[vx]]+Tabelle2[[#This Row],[vy]]*Tabelle2[[#This Row],[vy]])</f>
        <v>127.59338114990462</v>
      </c>
      <c r="S914">
        <f t="shared" si="163"/>
        <v>953.57962967326898</v>
      </c>
      <c r="T914" s="1">
        <f t="shared" si="164"/>
        <v>-490.1586277315825</v>
      </c>
    </row>
    <row r="915" spans="6:20" x14ac:dyDescent="0.35">
      <c r="F915" s="1">
        <f t="shared" si="160"/>
        <v>18.2399999999997</v>
      </c>
      <c r="G915">
        <f>1/2*$B$8*$B$6*$B$7*(Tabelle2[[#This Row],[vx]]*Tabelle2[[#This Row],[vx]]+Tabelle2[[#This Row],[vy]]*Tabelle2[[#This Row],[vy]])/1000000</f>
        <v>28.878960234247721</v>
      </c>
      <c r="H915">
        <f>IF($B$3,-Tabelle2[[#This Row],[Fd]]*Tabelle2[[#This Row],[vx]]/Tabelle2[[#This Row],[v]],0)</f>
        <v>0</v>
      </c>
      <c r="I915">
        <f t="shared" si="154"/>
        <v>0</v>
      </c>
      <c r="J915">
        <f t="shared" si="155"/>
        <v>0</v>
      </c>
      <c r="K915">
        <f t="shared" si="156"/>
        <v>1.0467394398169905</v>
      </c>
      <c r="L915">
        <f>-$B$5*$B$12-IF($B$3,Tabelle2[[#This Row],[Fd]]*Tabelle2[[#This Row],[vy]]/Tabelle2[[#This Row],[v]],0)</f>
        <v>-14.715</v>
      </c>
      <c r="M915">
        <f t="shared" si="157"/>
        <v>-9.81</v>
      </c>
      <c r="N915">
        <f t="shared" si="158"/>
        <v>-0.19620000000000001</v>
      </c>
      <c r="O915">
        <f t="shared" si="159"/>
        <v>-2.3331945120880615</v>
      </c>
      <c r="P915" s="1">
        <f t="shared" si="161"/>
        <v>52.336971990849527</v>
      </c>
      <c r="Q915" s="1">
        <f t="shared" si="162"/>
        <v>-116.56162560440308</v>
      </c>
      <c r="R915">
        <f>SQRT(Tabelle2[[#This Row],[vx]]*Tabelle2[[#This Row],[vx]]+Tabelle2[[#This Row],[vy]]*Tabelle2[[#This Row],[vy]])</f>
        <v>127.77234129776288</v>
      </c>
      <c r="S915">
        <f t="shared" si="163"/>
        <v>954.62636911308596</v>
      </c>
      <c r="T915" s="1">
        <f t="shared" si="164"/>
        <v>-492.48789824367054</v>
      </c>
    </row>
    <row r="916" spans="6:20" x14ac:dyDescent="0.35">
      <c r="F916" s="1">
        <f t="shared" si="160"/>
        <v>18.2599999999997</v>
      </c>
      <c r="G916">
        <f>1/2*$B$8*$B$6*$B$7*(Tabelle2[[#This Row],[vx]]*Tabelle2[[#This Row],[vx]]+Tabelle2[[#This Row],[vy]]*Tabelle2[[#This Row],[vy]])/1000000</f>
        <v>28.959936509514083</v>
      </c>
      <c r="H916">
        <f>IF($B$3,-Tabelle2[[#This Row],[Fd]]*Tabelle2[[#This Row],[vx]]/Tabelle2[[#This Row],[v]],0)</f>
        <v>0</v>
      </c>
      <c r="I916">
        <f t="shared" si="154"/>
        <v>0</v>
      </c>
      <c r="J916">
        <f t="shared" si="155"/>
        <v>0</v>
      </c>
      <c r="K916">
        <f t="shared" si="156"/>
        <v>1.0467394398169905</v>
      </c>
      <c r="L916">
        <f>-$B$5*$B$12-IF($B$3,Tabelle2[[#This Row],[Fd]]*Tabelle2[[#This Row],[vy]]/Tabelle2[[#This Row],[v]],0)</f>
        <v>-14.715</v>
      </c>
      <c r="M916">
        <f t="shared" si="157"/>
        <v>-9.81</v>
      </c>
      <c r="N916">
        <f t="shared" si="158"/>
        <v>-0.19620000000000001</v>
      </c>
      <c r="O916">
        <f t="shared" si="159"/>
        <v>-2.3371185120880615</v>
      </c>
      <c r="P916" s="1">
        <f t="shared" si="161"/>
        <v>52.336971990849527</v>
      </c>
      <c r="Q916" s="1">
        <f t="shared" si="162"/>
        <v>-116.75782560440308</v>
      </c>
      <c r="R916">
        <f>SQRT(Tabelle2[[#This Row],[vx]]*Tabelle2[[#This Row],[vx]]+Tabelle2[[#This Row],[vy]]*Tabelle2[[#This Row],[vy]])</f>
        <v>127.95135199379165</v>
      </c>
      <c r="S916">
        <f t="shared" si="163"/>
        <v>955.67310855290293</v>
      </c>
      <c r="T916" s="1">
        <f t="shared" si="164"/>
        <v>-494.82109275575863</v>
      </c>
    </row>
    <row r="917" spans="6:20" x14ac:dyDescent="0.35">
      <c r="F917" s="1">
        <f t="shared" si="160"/>
        <v>18.279999999999699</v>
      </c>
      <c r="G917">
        <f>1/2*$B$8*$B$6*$B$7*(Tabelle2[[#This Row],[vx]]*Tabelle2[[#This Row],[vx]]+Tabelle2[[#This Row],[vy]]*Tabelle2[[#This Row],[vy]])/1000000</f>
        <v>29.041048971841789</v>
      </c>
      <c r="H917">
        <f>IF($B$3,-Tabelle2[[#This Row],[Fd]]*Tabelle2[[#This Row],[vx]]/Tabelle2[[#This Row],[v]],0)</f>
        <v>0</v>
      </c>
      <c r="I917">
        <f t="shared" si="154"/>
        <v>0</v>
      </c>
      <c r="J917">
        <f t="shared" si="155"/>
        <v>0</v>
      </c>
      <c r="K917">
        <f t="shared" si="156"/>
        <v>1.0467394398169905</v>
      </c>
      <c r="L917">
        <f>-$B$5*$B$12-IF($B$3,Tabelle2[[#This Row],[Fd]]*Tabelle2[[#This Row],[vy]]/Tabelle2[[#This Row],[v]],0)</f>
        <v>-14.715</v>
      </c>
      <c r="M917">
        <f t="shared" si="157"/>
        <v>-9.81</v>
      </c>
      <c r="N917">
        <f t="shared" si="158"/>
        <v>-0.19620000000000001</v>
      </c>
      <c r="O917">
        <f t="shared" si="159"/>
        <v>-2.341042512088062</v>
      </c>
      <c r="P917" s="1">
        <f t="shared" si="161"/>
        <v>52.336971990849527</v>
      </c>
      <c r="Q917" s="1">
        <f t="shared" si="162"/>
        <v>-116.95402560440309</v>
      </c>
      <c r="R917">
        <f>SQRT(Tabelle2[[#This Row],[vx]]*Tabelle2[[#This Row],[vx]]+Tabelle2[[#This Row],[vy]]*Tabelle2[[#This Row],[vy]])</f>
        <v>128.13041302612874</v>
      </c>
      <c r="S917">
        <f t="shared" si="163"/>
        <v>956.71984799271991</v>
      </c>
      <c r="T917" s="1">
        <f t="shared" si="164"/>
        <v>-497.1582112678467</v>
      </c>
    </row>
    <row r="918" spans="6:20" x14ac:dyDescent="0.35">
      <c r="F918" s="1">
        <f t="shared" si="160"/>
        <v>18.299999999999699</v>
      </c>
      <c r="G918">
        <f>1/2*$B$8*$B$6*$B$7*(Tabelle2[[#This Row],[vx]]*Tabelle2[[#This Row],[vx]]+Tabelle2[[#This Row],[vy]]*Tabelle2[[#This Row],[vy]])/1000000</f>
        <v>29.122297621230835</v>
      </c>
      <c r="H918">
        <f>IF($B$3,-Tabelle2[[#This Row],[Fd]]*Tabelle2[[#This Row],[vx]]/Tabelle2[[#This Row],[v]],0)</f>
        <v>0</v>
      </c>
      <c r="I918">
        <f t="shared" si="154"/>
        <v>0</v>
      </c>
      <c r="J918">
        <f t="shared" si="155"/>
        <v>0</v>
      </c>
      <c r="K918">
        <f t="shared" si="156"/>
        <v>1.0467394398169905</v>
      </c>
      <c r="L918">
        <f>-$B$5*$B$12-IF($B$3,Tabelle2[[#This Row],[Fd]]*Tabelle2[[#This Row],[vy]]/Tabelle2[[#This Row],[v]],0)</f>
        <v>-14.715</v>
      </c>
      <c r="M918">
        <f t="shared" si="157"/>
        <v>-9.81</v>
      </c>
      <c r="N918">
        <f t="shared" si="158"/>
        <v>-0.19620000000000001</v>
      </c>
      <c r="O918">
        <f t="shared" si="159"/>
        <v>-2.3449665120880621</v>
      </c>
      <c r="P918" s="1">
        <f t="shared" si="161"/>
        <v>52.336971990849527</v>
      </c>
      <c r="Q918" s="1">
        <f t="shared" si="162"/>
        <v>-117.15022560440309</v>
      </c>
      <c r="R918">
        <f>SQRT(Tabelle2[[#This Row],[vx]]*Tabelle2[[#This Row],[vx]]+Tabelle2[[#This Row],[vy]]*Tabelle2[[#This Row],[vy]])</f>
        <v>128.30952418403518</v>
      </c>
      <c r="S918">
        <f t="shared" si="163"/>
        <v>957.76658743253688</v>
      </c>
      <c r="T918" s="1">
        <f t="shared" si="164"/>
        <v>-499.49925377993475</v>
      </c>
    </row>
    <row r="919" spans="6:20" x14ac:dyDescent="0.35">
      <c r="F919" s="1">
        <f t="shared" si="160"/>
        <v>18.319999999999698</v>
      </c>
      <c r="G919">
        <f>1/2*$B$8*$B$6*$B$7*(Tabelle2[[#This Row],[vx]]*Tabelle2[[#This Row],[vx]]+Tabelle2[[#This Row],[vy]]*Tabelle2[[#This Row],[vy]])/1000000</f>
        <v>29.203682457681229</v>
      </c>
      <c r="H919">
        <f>IF($B$3,-Tabelle2[[#This Row],[Fd]]*Tabelle2[[#This Row],[vx]]/Tabelle2[[#This Row],[v]],0)</f>
        <v>0</v>
      </c>
      <c r="I919">
        <f t="shared" si="154"/>
        <v>0</v>
      </c>
      <c r="J919">
        <f t="shared" si="155"/>
        <v>0</v>
      </c>
      <c r="K919">
        <f t="shared" si="156"/>
        <v>1.0467394398169905</v>
      </c>
      <c r="L919">
        <f>-$B$5*$B$12-IF($B$3,Tabelle2[[#This Row],[Fd]]*Tabelle2[[#This Row],[vy]]/Tabelle2[[#This Row],[v]],0)</f>
        <v>-14.715</v>
      </c>
      <c r="M919">
        <f t="shared" si="157"/>
        <v>-9.81</v>
      </c>
      <c r="N919">
        <f t="shared" si="158"/>
        <v>-0.19620000000000001</v>
      </c>
      <c r="O919">
        <f t="shared" si="159"/>
        <v>-2.3488905120880621</v>
      </c>
      <c r="P919" s="1">
        <f t="shared" si="161"/>
        <v>52.336971990849527</v>
      </c>
      <c r="Q919" s="1">
        <f t="shared" si="162"/>
        <v>-117.34642560440309</v>
      </c>
      <c r="R919">
        <f>SQRT(Tabelle2[[#This Row],[vx]]*Tabelle2[[#This Row],[vx]]+Tabelle2[[#This Row],[vy]]*Tabelle2[[#This Row],[vy]])</f>
        <v>128.48868525788828</v>
      </c>
      <c r="S919">
        <f t="shared" si="163"/>
        <v>958.81332687235385</v>
      </c>
      <c r="T919" s="1">
        <f t="shared" si="164"/>
        <v>-501.84422029202278</v>
      </c>
    </row>
    <row r="920" spans="6:20" x14ac:dyDescent="0.35">
      <c r="F920" s="1">
        <f t="shared" si="160"/>
        <v>18.339999999999698</v>
      </c>
      <c r="G920">
        <f>1/2*$B$8*$B$6*$B$7*(Tabelle2[[#This Row],[vx]]*Tabelle2[[#This Row],[vx]]+Tabelle2[[#This Row],[vy]]*Tabelle2[[#This Row],[vy]])/1000000</f>
        <v>29.285203481192966</v>
      </c>
      <c r="H920">
        <f>IF($B$3,-Tabelle2[[#This Row],[Fd]]*Tabelle2[[#This Row],[vx]]/Tabelle2[[#This Row],[v]],0)</f>
        <v>0</v>
      </c>
      <c r="I920">
        <f t="shared" si="154"/>
        <v>0</v>
      </c>
      <c r="J920">
        <f t="shared" si="155"/>
        <v>0</v>
      </c>
      <c r="K920">
        <f t="shared" si="156"/>
        <v>1.0467394398169905</v>
      </c>
      <c r="L920">
        <f>-$B$5*$B$12-IF($B$3,Tabelle2[[#This Row],[Fd]]*Tabelle2[[#This Row],[vy]]/Tabelle2[[#This Row],[v]],0)</f>
        <v>-14.715</v>
      </c>
      <c r="M920">
        <f t="shared" si="157"/>
        <v>-9.81</v>
      </c>
      <c r="N920">
        <f t="shared" si="158"/>
        <v>-0.19620000000000001</v>
      </c>
      <c r="O920">
        <f t="shared" si="159"/>
        <v>-2.3528145120880621</v>
      </c>
      <c r="P920" s="1">
        <f t="shared" si="161"/>
        <v>52.336971990849527</v>
      </c>
      <c r="Q920" s="1">
        <f t="shared" si="162"/>
        <v>-117.5426256044031</v>
      </c>
      <c r="R920">
        <f>SQRT(Tabelle2[[#This Row],[vx]]*Tabelle2[[#This Row],[vx]]+Tabelle2[[#This Row],[vy]]*Tabelle2[[#This Row],[vy]])</f>
        <v>128.66789603917462</v>
      </c>
      <c r="S920">
        <f t="shared" si="163"/>
        <v>959.86006631217083</v>
      </c>
      <c r="T920" s="1">
        <f t="shared" si="164"/>
        <v>-504.19311080411086</v>
      </c>
    </row>
    <row r="921" spans="6:20" x14ac:dyDescent="0.35">
      <c r="F921" s="1">
        <f t="shared" si="160"/>
        <v>18.359999999999697</v>
      </c>
      <c r="G921">
        <f>1/2*$B$8*$B$6*$B$7*(Tabelle2[[#This Row],[vx]]*Tabelle2[[#This Row],[vx]]+Tabelle2[[#This Row],[vy]]*Tabelle2[[#This Row],[vy]])/1000000</f>
        <v>29.366860691766046</v>
      </c>
      <c r="H921">
        <f>IF($B$3,-Tabelle2[[#This Row],[Fd]]*Tabelle2[[#This Row],[vx]]/Tabelle2[[#This Row],[v]],0)</f>
        <v>0</v>
      </c>
      <c r="I921">
        <f t="shared" si="154"/>
        <v>0</v>
      </c>
      <c r="J921">
        <f t="shared" si="155"/>
        <v>0</v>
      </c>
      <c r="K921">
        <f t="shared" si="156"/>
        <v>1.0467394398169905</v>
      </c>
      <c r="L921">
        <f>-$B$5*$B$12-IF($B$3,Tabelle2[[#This Row],[Fd]]*Tabelle2[[#This Row],[vy]]/Tabelle2[[#This Row],[v]],0)</f>
        <v>-14.715</v>
      </c>
      <c r="M921">
        <f t="shared" si="157"/>
        <v>-9.81</v>
      </c>
      <c r="N921">
        <f t="shared" si="158"/>
        <v>-0.19620000000000001</v>
      </c>
      <c r="O921">
        <f t="shared" si="159"/>
        <v>-2.3567385120880622</v>
      </c>
      <c r="P921" s="1">
        <f t="shared" si="161"/>
        <v>52.336971990849527</v>
      </c>
      <c r="Q921" s="1">
        <f t="shared" si="162"/>
        <v>-117.7388256044031</v>
      </c>
      <c r="R921">
        <f>SQRT(Tabelle2[[#This Row],[vx]]*Tabelle2[[#This Row],[vx]]+Tabelle2[[#This Row],[vy]]*Tabelle2[[#This Row],[vy]])</f>
        <v>128.84715632048312</v>
      </c>
      <c r="S921">
        <f t="shared" si="163"/>
        <v>960.9068057519878</v>
      </c>
      <c r="T921" s="1">
        <f t="shared" si="164"/>
        <v>-506.54592531619892</v>
      </c>
    </row>
    <row r="922" spans="6:20" x14ac:dyDescent="0.35">
      <c r="F922" s="1">
        <f t="shared" si="160"/>
        <v>18.379999999999697</v>
      </c>
      <c r="G922">
        <f>1/2*$B$8*$B$6*$B$7*(Tabelle2[[#This Row],[vx]]*Tabelle2[[#This Row],[vx]]+Tabelle2[[#This Row],[vy]]*Tabelle2[[#This Row],[vy]])/1000000</f>
        <v>29.448654089400474</v>
      </c>
      <c r="H922">
        <f>IF($B$3,-Tabelle2[[#This Row],[Fd]]*Tabelle2[[#This Row],[vx]]/Tabelle2[[#This Row],[v]],0)</f>
        <v>0</v>
      </c>
      <c r="I922">
        <f t="shared" si="154"/>
        <v>0</v>
      </c>
      <c r="J922">
        <f t="shared" si="155"/>
        <v>0</v>
      </c>
      <c r="K922">
        <f t="shared" si="156"/>
        <v>1.0467394398169905</v>
      </c>
      <c r="L922">
        <f>-$B$5*$B$12-IF($B$3,Tabelle2[[#This Row],[Fd]]*Tabelle2[[#This Row],[vy]]/Tabelle2[[#This Row],[v]],0)</f>
        <v>-14.715</v>
      </c>
      <c r="M922">
        <f t="shared" si="157"/>
        <v>-9.81</v>
      </c>
      <c r="N922">
        <f t="shared" si="158"/>
        <v>-0.19620000000000001</v>
      </c>
      <c r="O922">
        <f t="shared" si="159"/>
        <v>-2.3606625120880622</v>
      </c>
      <c r="P922" s="1">
        <f t="shared" si="161"/>
        <v>52.336971990849527</v>
      </c>
      <c r="Q922" s="1">
        <f t="shared" si="162"/>
        <v>-117.93502560440311</v>
      </c>
      <c r="R922">
        <f>SQRT(Tabelle2[[#This Row],[vx]]*Tabelle2[[#This Row],[vx]]+Tabelle2[[#This Row],[vy]]*Tabelle2[[#This Row],[vy]])</f>
        <v>129.02646589549829</v>
      </c>
      <c r="S922">
        <f t="shared" si="163"/>
        <v>961.95354519180478</v>
      </c>
      <c r="T922" s="1">
        <f t="shared" si="164"/>
        <v>-508.90266382828696</v>
      </c>
    </row>
    <row r="923" spans="6:20" x14ac:dyDescent="0.35">
      <c r="F923" s="1">
        <f t="shared" si="160"/>
        <v>18.399999999999697</v>
      </c>
      <c r="G923">
        <f>1/2*$B$8*$B$6*$B$7*(Tabelle2[[#This Row],[vx]]*Tabelle2[[#This Row],[vx]]+Tabelle2[[#This Row],[vy]]*Tabelle2[[#This Row],[vy]])/1000000</f>
        <v>29.530583674096242</v>
      </c>
      <c r="H923">
        <f>IF($B$3,-Tabelle2[[#This Row],[Fd]]*Tabelle2[[#This Row],[vx]]/Tabelle2[[#This Row],[v]],0)</f>
        <v>0</v>
      </c>
      <c r="I923">
        <f t="shared" si="154"/>
        <v>0</v>
      </c>
      <c r="J923">
        <f t="shared" si="155"/>
        <v>0</v>
      </c>
      <c r="K923">
        <f t="shared" si="156"/>
        <v>1.0467394398169905</v>
      </c>
      <c r="L923">
        <f>-$B$5*$B$12-IF($B$3,Tabelle2[[#This Row],[Fd]]*Tabelle2[[#This Row],[vy]]/Tabelle2[[#This Row],[v]],0)</f>
        <v>-14.715</v>
      </c>
      <c r="M923">
        <f t="shared" si="157"/>
        <v>-9.81</v>
      </c>
      <c r="N923">
        <f t="shared" si="158"/>
        <v>-0.19620000000000001</v>
      </c>
      <c r="O923">
        <f t="shared" si="159"/>
        <v>-2.3645865120880623</v>
      </c>
      <c r="P923" s="1">
        <f t="shared" si="161"/>
        <v>52.336971990849527</v>
      </c>
      <c r="Q923" s="1">
        <f t="shared" si="162"/>
        <v>-118.13122560440311</v>
      </c>
      <c r="R923">
        <f>SQRT(Tabelle2[[#This Row],[vx]]*Tabelle2[[#This Row],[vx]]+Tabelle2[[#This Row],[vy]]*Tabelle2[[#This Row],[vy]])</f>
        <v>129.2058245589933</v>
      </c>
      <c r="S923">
        <f t="shared" si="163"/>
        <v>963.00028463162175</v>
      </c>
      <c r="T923" s="1">
        <f t="shared" si="164"/>
        <v>-511.26332634037504</v>
      </c>
    </row>
    <row r="924" spans="6:20" x14ac:dyDescent="0.35">
      <c r="F924" s="1">
        <f t="shared" si="160"/>
        <v>18.419999999999696</v>
      </c>
      <c r="G924">
        <f>1/2*$B$8*$B$6*$B$7*(Tabelle2[[#This Row],[vx]]*Tabelle2[[#This Row],[vx]]+Tabelle2[[#This Row],[vy]]*Tabelle2[[#This Row],[vy]])/1000000</f>
        <v>29.612649445853357</v>
      </c>
      <c r="H924">
        <f>IF($B$3,-Tabelle2[[#This Row],[Fd]]*Tabelle2[[#This Row],[vx]]/Tabelle2[[#This Row],[v]],0)</f>
        <v>0</v>
      </c>
      <c r="I924">
        <f t="shared" si="154"/>
        <v>0</v>
      </c>
      <c r="J924">
        <f t="shared" si="155"/>
        <v>0</v>
      </c>
      <c r="K924">
        <f t="shared" si="156"/>
        <v>1.0467394398169905</v>
      </c>
      <c r="L924">
        <f>-$B$5*$B$12-IF($B$3,Tabelle2[[#This Row],[Fd]]*Tabelle2[[#This Row],[vy]]/Tabelle2[[#This Row],[v]],0)</f>
        <v>-14.715</v>
      </c>
      <c r="M924">
        <f t="shared" si="157"/>
        <v>-9.81</v>
      </c>
      <c r="N924">
        <f t="shared" si="158"/>
        <v>-0.19620000000000001</v>
      </c>
      <c r="O924">
        <f t="shared" si="159"/>
        <v>-2.3685105120880623</v>
      </c>
      <c r="P924" s="1">
        <f t="shared" si="161"/>
        <v>52.336971990849527</v>
      </c>
      <c r="Q924" s="1">
        <f t="shared" si="162"/>
        <v>-118.32742560440312</v>
      </c>
      <c r="R924">
        <f>SQRT(Tabelle2[[#This Row],[vx]]*Tabelle2[[#This Row],[vx]]+Tabelle2[[#This Row],[vy]]*Tabelle2[[#This Row],[vy]])</f>
        <v>129.38523210682325</v>
      </c>
      <c r="S924">
        <f t="shared" si="163"/>
        <v>964.04702407143873</v>
      </c>
      <c r="T924" s="1">
        <f t="shared" si="164"/>
        <v>-513.62791285246306</v>
      </c>
    </row>
    <row r="925" spans="6:20" x14ac:dyDescent="0.35">
      <c r="F925" s="1">
        <f t="shared" si="160"/>
        <v>18.439999999999696</v>
      </c>
      <c r="G925">
        <f>1/2*$B$8*$B$6*$B$7*(Tabelle2[[#This Row],[vx]]*Tabelle2[[#This Row],[vx]]+Tabelle2[[#This Row],[vy]]*Tabelle2[[#This Row],[vy]])/1000000</f>
        <v>29.694851404671805</v>
      </c>
      <c r="H925">
        <f>IF($B$3,-Tabelle2[[#This Row],[Fd]]*Tabelle2[[#This Row],[vx]]/Tabelle2[[#This Row],[v]],0)</f>
        <v>0</v>
      </c>
      <c r="I925">
        <f t="shared" si="154"/>
        <v>0</v>
      </c>
      <c r="J925">
        <f t="shared" si="155"/>
        <v>0</v>
      </c>
      <c r="K925">
        <f t="shared" si="156"/>
        <v>1.0467394398169905</v>
      </c>
      <c r="L925">
        <f>-$B$5*$B$12-IF($B$3,Tabelle2[[#This Row],[Fd]]*Tabelle2[[#This Row],[vy]]/Tabelle2[[#This Row],[v]],0)</f>
        <v>-14.715</v>
      </c>
      <c r="M925">
        <f t="shared" si="157"/>
        <v>-9.81</v>
      </c>
      <c r="N925">
        <f t="shared" si="158"/>
        <v>-0.19620000000000001</v>
      </c>
      <c r="O925">
        <f t="shared" si="159"/>
        <v>-2.3724345120880623</v>
      </c>
      <c r="P925" s="1">
        <f t="shared" si="161"/>
        <v>52.336971990849527</v>
      </c>
      <c r="Q925" s="1">
        <f t="shared" si="162"/>
        <v>-118.52362560440312</v>
      </c>
      <c r="R925">
        <f>SQRT(Tabelle2[[#This Row],[vx]]*Tabelle2[[#This Row],[vx]]+Tabelle2[[#This Row],[vy]]*Tabelle2[[#This Row],[vy]])</f>
        <v>129.56468833591848</v>
      </c>
      <c r="S925">
        <f t="shared" si="163"/>
        <v>965.0937635112557</v>
      </c>
      <c r="T925" s="1">
        <f t="shared" si="164"/>
        <v>-515.99642336455111</v>
      </c>
    </row>
    <row r="926" spans="6:20" x14ac:dyDescent="0.35">
      <c r="F926" s="1">
        <f t="shared" si="160"/>
        <v>18.459999999999695</v>
      </c>
      <c r="G926">
        <f>1/2*$B$8*$B$6*$B$7*(Tabelle2[[#This Row],[vx]]*Tabelle2[[#This Row],[vx]]+Tabelle2[[#This Row],[vy]]*Tabelle2[[#This Row],[vy]])/1000000</f>
        <v>29.777189550551608</v>
      </c>
      <c r="H926">
        <f>IF($B$3,-Tabelle2[[#This Row],[Fd]]*Tabelle2[[#This Row],[vx]]/Tabelle2[[#This Row],[v]],0)</f>
        <v>0</v>
      </c>
      <c r="I926">
        <f t="shared" si="154"/>
        <v>0</v>
      </c>
      <c r="J926">
        <f t="shared" si="155"/>
        <v>0</v>
      </c>
      <c r="K926">
        <f t="shared" si="156"/>
        <v>1.0467394398169905</v>
      </c>
      <c r="L926">
        <f>-$B$5*$B$12-IF($B$3,Tabelle2[[#This Row],[Fd]]*Tabelle2[[#This Row],[vy]]/Tabelle2[[#This Row],[v]],0)</f>
        <v>-14.715</v>
      </c>
      <c r="M926">
        <f t="shared" si="157"/>
        <v>-9.81</v>
      </c>
      <c r="N926">
        <f t="shared" si="158"/>
        <v>-0.19620000000000001</v>
      </c>
      <c r="O926">
        <f t="shared" si="159"/>
        <v>-2.3763585120880628</v>
      </c>
      <c r="P926" s="1">
        <f t="shared" si="161"/>
        <v>52.336971990849527</v>
      </c>
      <c r="Q926" s="1">
        <f t="shared" si="162"/>
        <v>-118.71982560440313</v>
      </c>
      <c r="R926">
        <f>SQRT(Tabelle2[[#This Row],[vx]]*Tabelle2[[#This Row],[vx]]+Tabelle2[[#This Row],[vy]]*Tabelle2[[#This Row],[vy]])</f>
        <v>129.74419304427795</v>
      </c>
      <c r="S926">
        <f t="shared" si="163"/>
        <v>966.14050295107268</v>
      </c>
      <c r="T926" s="1">
        <f t="shared" si="164"/>
        <v>-518.36885787663914</v>
      </c>
    </row>
    <row r="927" spans="6:20" x14ac:dyDescent="0.35">
      <c r="F927" s="1">
        <f t="shared" si="160"/>
        <v>18.479999999999695</v>
      </c>
      <c r="G927">
        <f>1/2*$B$8*$B$6*$B$7*(Tabelle2[[#This Row],[vx]]*Tabelle2[[#This Row],[vx]]+Tabelle2[[#This Row],[vy]]*Tabelle2[[#This Row],[vy]])/1000000</f>
        <v>29.859663883492757</v>
      </c>
      <c r="H927">
        <f>IF($B$3,-Tabelle2[[#This Row],[Fd]]*Tabelle2[[#This Row],[vx]]/Tabelle2[[#This Row],[v]],0)</f>
        <v>0</v>
      </c>
      <c r="I927">
        <f t="shared" si="154"/>
        <v>0</v>
      </c>
      <c r="J927">
        <f t="shared" si="155"/>
        <v>0</v>
      </c>
      <c r="K927">
        <f t="shared" si="156"/>
        <v>1.0467394398169905</v>
      </c>
      <c r="L927">
        <f>-$B$5*$B$12-IF($B$3,Tabelle2[[#This Row],[Fd]]*Tabelle2[[#This Row],[vy]]/Tabelle2[[#This Row],[v]],0)</f>
        <v>-14.715</v>
      </c>
      <c r="M927">
        <f t="shared" si="157"/>
        <v>-9.81</v>
      </c>
      <c r="N927">
        <f t="shared" si="158"/>
        <v>-0.19620000000000001</v>
      </c>
      <c r="O927">
        <f t="shared" si="159"/>
        <v>-2.3802825120880629</v>
      </c>
      <c r="P927" s="1">
        <f t="shared" si="161"/>
        <v>52.336971990849527</v>
      </c>
      <c r="Q927" s="1">
        <f t="shared" si="162"/>
        <v>-118.91602560440313</v>
      </c>
      <c r="R927">
        <f>SQRT(Tabelle2[[#This Row],[vx]]*Tabelle2[[#This Row],[vx]]+Tabelle2[[#This Row],[vy]]*Tabelle2[[#This Row],[vy]])</f>
        <v>129.92374603096246</v>
      </c>
      <c r="S927">
        <f t="shared" si="163"/>
        <v>967.18724239088965</v>
      </c>
      <c r="T927" s="1">
        <f t="shared" si="164"/>
        <v>-520.74521638872716</v>
      </c>
    </row>
    <row r="928" spans="6:20" x14ac:dyDescent="0.35">
      <c r="F928" s="1">
        <f t="shared" si="160"/>
        <v>18.499999999999694</v>
      </c>
      <c r="G928">
        <f>1/2*$B$8*$B$6*$B$7*(Tabelle2[[#This Row],[vx]]*Tabelle2[[#This Row],[vx]]+Tabelle2[[#This Row],[vy]]*Tabelle2[[#This Row],[vy]])/1000000</f>
        <v>29.94227440349524</v>
      </c>
      <c r="H928">
        <f>IF($B$3,-Tabelle2[[#This Row],[Fd]]*Tabelle2[[#This Row],[vx]]/Tabelle2[[#This Row],[v]],0)</f>
        <v>0</v>
      </c>
      <c r="I928">
        <f t="shared" si="154"/>
        <v>0</v>
      </c>
      <c r="J928">
        <f t="shared" si="155"/>
        <v>0</v>
      </c>
      <c r="K928">
        <f t="shared" si="156"/>
        <v>1.0467394398169905</v>
      </c>
      <c r="L928">
        <f>-$B$5*$B$12-IF($B$3,Tabelle2[[#This Row],[Fd]]*Tabelle2[[#This Row],[vy]]/Tabelle2[[#This Row],[v]],0)</f>
        <v>-14.715</v>
      </c>
      <c r="M928">
        <f t="shared" si="157"/>
        <v>-9.81</v>
      </c>
      <c r="N928">
        <f t="shared" si="158"/>
        <v>-0.19620000000000001</v>
      </c>
      <c r="O928">
        <f t="shared" si="159"/>
        <v>-2.3842065120880629</v>
      </c>
      <c r="P928" s="1">
        <f t="shared" si="161"/>
        <v>52.336971990849527</v>
      </c>
      <c r="Q928" s="1">
        <f t="shared" si="162"/>
        <v>-119.11222560440314</v>
      </c>
      <c r="R928">
        <f>SQRT(Tabelle2[[#This Row],[vx]]*Tabelle2[[#This Row],[vx]]+Tabelle2[[#This Row],[vy]]*Tabelle2[[#This Row],[vy]])</f>
        <v>130.10334709608819</v>
      </c>
      <c r="S928">
        <f t="shared" si="163"/>
        <v>968.23398183070663</v>
      </c>
      <c r="T928" s="1">
        <f t="shared" si="164"/>
        <v>-523.12549890081527</v>
      </c>
    </row>
    <row r="929" spans="6:20" x14ac:dyDescent="0.35">
      <c r="F929" s="1">
        <f t="shared" si="160"/>
        <v>18.519999999999694</v>
      </c>
      <c r="G929">
        <f>1/2*$B$8*$B$6*$B$7*(Tabelle2[[#This Row],[vx]]*Tabelle2[[#This Row],[vx]]+Tabelle2[[#This Row],[vy]]*Tabelle2[[#This Row],[vy]])/1000000</f>
        <v>30.025021110559077</v>
      </c>
      <c r="H929">
        <f>IF($B$3,-Tabelle2[[#This Row],[Fd]]*Tabelle2[[#This Row],[vx]]/Tabelle2[[#This Row],[v]],0)</f>
        <v>0</v>
      </c>
      <c r="I929">
        <f t="shared" si="154"/>
        <v>0</v>
      </c>
      <c r="J929">
        <f t="shared" si="155"/>
        <v>0</v>
      </c>
      <c r="K929">
        <f t="shared" si="156"/>
        <v>1.0467394398169905</v>
      </c>
      <c r="L929">
        <f>-$B$5*$B$12-IF($B$3,Tabelle2[[#This Row],[Fd]]*Tabelle2[[#This Row],[vy]]/Tabelle2[[#This Row],[v]],0)</f>
        <v>-14.715</v>
      </c>
      <c r="M929">
        <f t="shared" si="157"/>
        <v>-9.81</v>
      </c>
      <c r="N929">
        <f t="shared" si="158"/>
        <v>-0.19620000000000001</v>
      </c>
      <c r="O929">
        <f t="shared" si="159"/>
        <v>-2.3881305120880629</v>
      </c>
      <c r="P929" s="1">
        <f t="shared" si="161"/>
        <v>52.336971990849527</v>
      </c>
      <c r="Q929" s="1">
        <f t="shared" si="162"/>
        <v>-119.30842560440314</v>
      </c>
      <c r="R929">
        <f>SQRT(Tabelle2[[#This Row],[vx]]*Tabelle2[[#This Row],[vx]]+Tabelle2[[#This Row],[vy]]*Tabelle2[[#This Row],[vy]])</f>
        <v>130.28299604082017</v>
      </c>
      <c r="S929">
        <f t="shared" si="163"/>
        <v>969.2807212705236</v>
      </c>
      <c r="T929" s="1">
        <f t="shared" si="164"/>
        <v>-525.50970541290337</v>
      </c>
    </row>
    <row r="930" spans="6:20" x14ac:dyDescent="0.35">
      <c r="F930" s="1">
        <f t="shared" si="160"/>
        <v>18.539999999999694</v>
      </c>
      <c r="G930">
        <f>1/2*$B$8*$B$6*$B$7*(Tabelle2[[#This Row],[vx]]*Tabelle2[[#This Row],[vx]]+Tabelle2[[#This Row],[vy]]*Tabelle2[[#This Row],[vy]])/1000000</f>
        <v>30.107904004684254</v>
      </c>
      <c r="H930">
        <f>IF($B$3,-Tabelle2[[#This Row],[Fd]]*Tabelle2[[#This Row],[vx]]/Tabelle2[[#This Row],[v]],0)</f>
        <v>0</v>
      </c>
      <c r="I930">
        <f t="shared" si="154"/>
        <v>0</v>
      </c>
      <c r="J930">
        <f t="shared" si="155"/>
        <v>0</v>
      </c>
      <c r="K930">
        <f t="shared" si="156"/>
        <v>1.0467394398169905</v>
      </c>
      <c r="L930">
        <f>-$B$5*$B$12-IF($B$3,Tabelle2[[#This Row],[Fd]]*Tabelle2[[#This Row],[vy]]/Tabelle2[[#This Row],[v]],0)</f>
        <v>-14.715</v>
      </c>
      <c r="M930">
        <f t="shared" si="157"/>
        <v>-9.81</v>
      </c>
      <c r="N930">
        <f t="shared" si="158"/>
        <v>-0.19620000000000001</v>
      </c>
      <c r="O930">
        <f t="shared" si="159"/>
        <v>-2.392054512088063</v>
      </c>
      <c r="P930" s="1">
        <f t="shared" si="161"/>
        <v>52.336971990849527</v>
      </c>
      <c r="Q930" s="1">
        <f t="shared" si="162"/>
        <v>-119.50462560440315</v>
      </c>
      <c r="R930">
        <f>SQRT(Tabelle2[[#This Row],[vx]]*Tabelle2[[#This Row],[vx]]+Tabelle2[[#This Row],[vy]]*Tabelle2[[#This Row],[vy]])</f>
        <v>130.46269266736579</v>
      </c>
      <c r="S930">
        <f t="shared" si="163"/>
        <v>970.32746071034057</v>
      </c>
      <c r="T930" s="1">
        <f t="shared" si="164"/>
        <v>-527.89783592499145</v>
      </c>
    </row>
    <row r="931" spans="6:20" x14ac:dyDescent="0.35">
      <c r="F931" s="1">
        <f t="shared" si="160"/>
        <v>18.559999999999693</v>
      </c>
      <c r="G931">
        <f>1/2*$B$8*$B$6*$B$7*(Tabelle2[[#This Row],[vx]]*Tabelle2[[#This Row],[vx]]+Tabelle2[[#This Row],[vy]]*Tabelle2[[#This Row],[vy]])/1000000</f>
        <v>30.190923085870772</v>
      </c>
      <c r="H931">
        <f>IF($B$3,-Tabelle2[[#This Row],[Fd]]*Tabelle2[[#This Row],[vx]]/Tabelle2[[#This Row],[v]],0)</f>
        <v>0</v>
      </c>
      <c r="I931">
        <f t="shared" si="154"/>
        <v>0</v>
      </c>
      <c r="J931">
        <f t="shared" si="155"/>
        <v>0</v>
      </c>
      <c r="K931">
        <f t="shared" si="156"/>
        <v>1.0467394398169905</v>
      </c>
      <c r="L931">
        <f>-$B$5*$B$12-IF($B$3,Tabelle2[[#This Row],[Fd]]*Tabelle2[[#This Row],[vy]]/Tabelle2[[#This Row],[v]],0)</f>
        <v>-14.715</v>
      </c>
      <c r="M931">
        <f t="shared" si="157"/>
        <v>-9.81</v>
      </c>
      <c r="N931">
        <f t="shared" si="158"/>
        <v>-0.19620000000000001</v>
      </c>
      <c r="O931">
        <f t="shared" si="159"/>
        <v>-2.395978512088063</v>
      </c>
      <c r="P931" s="1">
        <f t="shared" si="161"/>
        <v>52.336971990849527</v>
      </c>
      <c r="Q931" s="1">
        <f t="shared" si="162"/>
        <v>-119.70082560440315</v>
      </c>
      <c r="R931">
        <f>SQRT(Tabelle2[[#This Row],[vx]]*Tabelle2[[#This Row],[vx]]+Tabelle2[[#This Row],[vy]]*Tabelle2[[#This Row],[vy]])</f>
        <v>130.6424367789682</v>
      </c>
      <c r="S931">
        <f t="shared" si="163"/>
        <v>971.37420015015755</v>
      </c>
      <c r="T931" s="1">
        <f t="shared" si="164"/>
        <v>-530.28989043707952</v>
      </c>
    </row>
    <row r="932" spans="6:20" x14ac:dyDescent="0.35">
      <c r="F932" s="1">
        <f t="shared" si="160"/>
        <v>18.579999999999693</v>
      </c>
      <c r="G932">
        <f>1/2*$B$8*$B$6*$B$7*(Tabelle2[[#This Row],[vx]]*Tabelle2[[#This Row],[vx]]+Tabelle2[[#This Row],[vy]]*Tabelle2[[#This Row],[vy]])/1000000</f>
        <v>30.274078354118643</v>
      </c>
      <c r="H932">
        <f>IF($B$3,-Tabelle2[[#This Row],[Fd]]*Tabelle2[[#This Row],[vx]]/Tabelle2[[#This Row],[v]],0)</f>
        <v>0</v>
      </c>
      <c r="I932">
        <f t="shared" si="154"/>
        <v>0</v>
      </c>
      <c r="J932">
        <f t="shared" si="155"/>
        <v>0</v>
      </c>
      <c r="K932">
        <f t="shared" si="156"/>
        <v>1.0467394398169905</v>
      </c>
      <c r="L932">
        <f>-$B$5*$B$12-IF($B$3,Tabelle2[[#This Row],[Fd]]*Tabelle2[[#This Row],[vy]]/Tabelle2[[#This Row],[v]],0)</f>
        <v>-14.715</v>
      </c>
      <c r="M932">
        <f t="shared" si="157"/>
        <v>-9.81</v>
      </c>
      <c r="N932">
        <f t="shared" si="158"/>
        <v>-0.19620000000000001</v>
      </c>
      <c r="O932">
        <f t="shared" si="159"/>
        <v>-2.399902512088063</v>
      </c>
      <c r="P932" s="1">
        <f t="shared" si="161"/>
        <v>52.336971990849527</v>
      </c>
      <c r="Q932" s="1">
        <f t="shared" si="162"/>
        <v>-119.89702560440315</v>
      </c>
      <c r="R932">
        <f>SQRT(Tabelle2[[#This Row],[vx]]*Tabelle2[[#This Row],[vx]]+Tabelle2[[#This Row],[vy]]*Tabelle2[[#This Row],[vy]])</f>
        <v>130.82222817990021</v>
      </c>
      <c r="S932">
        <f t="shared" si="163"/>
        <v>972.42093958997452</v>
      </c>
      <c r="T932" s="1">
        <f t="shared" si="164"/>
        <v>-532.68586894916757</v>
      </c>
    </row>
    <row r="933" spans="6:20" x14ac:dyDescent="0.35">
      <c r="F933" s="1">
        <f t="shared" si="160"/>
        <v>18.599999999999692</v>
      </c>
      <c r="G933">
        <f>1/2*$B$8*$B$6*$B$7*(Tabelle2[[#This Row],[vx]]*Tabelle2[[#This Row],[vx]]+Tabelle2[[#This Row],[vy]]*Tabelle2[[#This Row],[vy]])/1000000</f>
        <v>30.357369809427848</v>
      </c>
      <c r="H933">
        <f>IF($B$3,-Tabelle2[[#This Row],[Fd]]*Tabelle2[[#This Row],[vx]]/Tabelle2[[#This Row],[v]],0)</f>
        <v>0</v>
      </c>
      <c r="I933">
        <f t="shared" si="154"/>
        <v>0</v>
      </c>
      <c r="J933">
        <f t="shared" si="155"/>
        <v>0</v>
      </c>
      <c r="K933">
        <f t="shared" si="156"/>
        <v>1.0467394398169905</v>
      </c>
      <c r="L933">
        <f>-$B$5*$B$12-IF($B$3,Tabelle2[[#This Row],[Fd]]*Tabelle2[[#This Row],[vy]]/Tabelle2[[#This Row],[v]],0)</f>
        <v>-14.715</v>
      </c>
      <c r="M933">
        <f t="shared" si="157"/>
        <v>-9.81</v>
      </c>
      <c r="N933">
        <f t="shared" si="158"/>
        <v>-0.19620000000000001</v>
      </c>
      <c r="O933">
        <f t="shared" si="159"/>
        <v>-2.4038265120880631</v>
      </c>
      <c r="P933" s="1">
        <f t="shared" si="161"/>
        <v>52.336971990849527</v>
      </c>
      <c r="Q933" s="1">
        <f t="shared" si="162"/>
        <v>-120.09322560440316</v>
      </c>
      <c r="R933">
        <f>SQRT(Tabelle2[[#This Row],[vx]]*Tabelle2[[#This Row],[vx]]+Tabelle2[[#This Row],[vy]]*Tabelle2[[#This Row],[vy]])</f>
        <v>131.00206667545763</v>
      </c>
      <c r="S933">
        <f t="shared" si="163"/>
        <v>973.4676790297915</v>
      </c>
      <c r="T933" s="1">
        <f t="shared" si="164"/>
        <v>-535.0857714612556</v>
      </c>
    </row>
    <row r="934" spans="6:20" x14ac:dyDescent="0.35">
      <c r="F934" s="1">
        <f t="shared" si="160"/>
        <v>18.619999999999692</v>
      </c>
      <c r="G934">
        <f>1/2*$B$8*$B$6*$B$7*(Tabelle2[[#This Row],[vx]]*Tabelle2[[#This Row],[vx]]+Tabelle2[[#This Row],[vy]]*Tabelle2[[#This Row],[vy]])/1000000</f>
        <v>30.440797451798403</v>
      </c>
      <c r="H934">
        <f>IF($B$3,-Tabelle2[[#This Row],[Fd]]*Tabelle2[[#This Row],[vx]]/Tabelle2[[#This Row],[v]],0)</f>
        <v>0</v>
      </c>
      <c r="I934">
        <f t="shared" si="154"/>
        <v>0</v>
      </c>
      <c r="J934">
        <f t="shared" si="155"/>
        <v>0</v>
      </c>
      <c r="K934">
        <f t="shared" si="156"/>
        <v>1.0467394398169905</v>
      </c>
      <c r="L934">
        <f>-$B$5*$B$12-IF($B$3,Tabelle2[[#This Row],[Fd]]*Tabelle2[[#This Row],[vy]]/Tabelle2[[#This Row],[v]],0)</f>
        <v>-14.715</v>
      </c>
      <c r="M934">
        <f t="shared" si="157"/>
        <v>-9.81</v>
      </c>
      <c r="N934">
        <f t="shared" si="158"/>
        <v>-0.19620000000000001</v>
      </c>
      <c r="O934">
        <f t="shared" si="159"/>
        <v>-2.4077505120880636</v>
      </c>
      <c r="P934" s="1">
        <f t="shared" si="161"/>
        <v>52.336971990849527</v>
      </c>
      <c r="Q934" s="1">
        <f t="shared" si="162"/>
        <v>-120.28942560440316</v>
      </c>
      <c r="R934">
        <f>SQRT(Tabelle2[[#This Row],[vx]]*Tabelle2[[#This Row],[vx]]+Tabelle2[[#This Row],[vy]]*Tabelle2[[#This Row],[vy]])</f>
        <v>131.18195207195313</v>
      </c>
      <c r="S934">
        <f t="shared" si="163"/>
        <v>974.51441846960847</v>
      </c>
      <c r="T934" s="1">
        <f t="shared" si="164"/>
        <v>-537.48959797334362</v>
      </c>
    </row>
    <row r="935" spans="6:20" x14ac:dyDescent="0.35">
      <c r="F935" s="1">
        <f t="shared" si="160"/>
        <v>18.639999999999691</v>
      </c>
      <c r="G935">
        <f>1/2*$B$8*$B$6*$B$7*(Tabelle2[[#This Row],[vx]]*Tabelle2[[#This Row],[vx]]+Tabelle2[[#This Row],[vy]]*Tabelle2[[#This Row],[vy]])/1000000</f>
        <v>30.524361281230298</v>
      </c>
      <c r="H935">
        <f>IF($B$3,-Tabelle2[[#This Row],[Fd]]*Tabelle2[[#This Row],[vx]]/Tabelle2[[#This Row],[v]],0)</f>
        <v>0</v>
      </c>
      <c r="I935">
        <f t="shared" si="154"/>
        <v>0</v>
      </c>
      <c r="J935">
        <f t="shared" si="155"/>
        <v>0</v>
      </c>
      <c r="K935">
        <f t="shared" si="156"/>
        <v>1.0467394398169905</v>
      </c>
      <c r="L935">
        <f>-$B$5*$B$12-IF($B$3,Tabelle2[[#This Row],[Fd]]*Tabelle2[[#This Row],[vy]]/Tabelle2[[#This Row],[v]],0)</f>
        <v>-14.715</v>
      </c>
      <c r="M935">
        <f t="shared" si="157"/>
        <v>-9.81</v>
      </c>
      <c r="N935">
        <f t="shared" si="158"/>
        <v>-0.19620000000000001</v>
      </c>
      <c r="O935">
        <f t="shared" si="159"/>
        <v>-2.4116745120880636</v>
      </c>
      <c r="P935" s="1">
        <f t="shared" si="161"/>
        <v>52.336971990849527</v>
      </c>
      <c r="Q935" s="1">
        <f t="shared" si="162"/>
        <v>-120.48562560440317</v>
      </c>
      <c r="R935">
        <f>SQRT(Tabelle2[[#This Row],[vx]]*Tabelle2[[#This Row],[vx]]+Tabelle2[[#This Row],[vy]]*Tabelle2[[#This Row],[vy]])</f>
        <v>131.36188417671002</v>
      </c>
      <c r="S935">
        <f t="shared" si="163"/>
        <v>975.56115790942545</v>
      </c>
      <c r="T935" s="1">
        <f t="shared" si="164"/>
        <v>-539.89734848543173</v>
      </c>
    </row>
    <row r="936" spans="6:20" x14ac:dyDescent="0.35">
      <c r="F936" s="1">
        <f t="shared" si="160"/>
        <v>18.659999999999691</v>
      </c>
      <c r="G936">
        <f>1/2*$B$8*$B$6*$B$7*(Tabelle2[[#This Row],[vx]]*Tabelle2[[#This Row],[vx]]+Tabelle2[[#This Row],[vy]]*Tabelle2[[#This Row],[vy]])/1000000</f>
        <v>30.608061297723538</v>
      </c>
      <c r="H936">
        <f>IF($B$3,-Tabelle2[[#This Row],[Fd]]*Tabelle2[[#This Row],[vx]]/Tabelle2[[#This Row],[v]],0)</f>
        <v>0</v>
      </c>
      <c r="I936">
        <f t="shared" si="154"/>
        <v>0</v>
      </c>
      <c r="J936">
        <f t="shared" si="155"/>
        <v>0</v>
      </c>
      <c r="K936">
        <f t="shared" si="156"/>
        <v>1.0467394398169905</v>
      </c>
      <c r="L936">
        <f>-$B$5*$B$12-IF($B$3,Tabelle2[[#This Row],[Fd]]*Tabelle2[[#This Row],[vy]]/Tabelle2[[#This Row],[v]],0)</f>
        <v>-14.715</v>
      </c>
      <c r="M936">
        <f t="shared" si="157"/>
        <v>-9.81</v>
      </c>
      <c r="N936">
        <f t="shared" si="158"/>
        <v>-0.19620000000000001</v>
      </c>
      <c r="O936">
        <f t="shared" si="159"/>
        <v>-2.4155985120880636</v>
      </c>
      <c r="P936" s="1">
        <f t="shared" si="161"/>
        <v>52.336971990849527</v>
      </c>
      <c r="Q936" s="1">
        <f t="shared" si="162"/>
        <v>-120.68182560440317</v>
      </c>
      <c r="R936">
        <f>SQRT(Tabelle2[[#This Row],[vx]]*Tabelle2[[#This Row],[vx]]+Tabelle2[[#This Row],[vy]]*Tabelle2[[#This Row],[vy]])</f>
        <v>131.54186279805586</v>
      </c>
      <c r="S936">
        <f t="shared" si="163"/>
        <v>976.60789734924242</v>
      </c>
      <c r="T936" s="1">
        <f t="shared" si="164"/>
        <v>-542.30902299751983</v>
      </c>
    </row>
    <row r="937" spans="6:20" x14ac:dyDescent="0.35">
      <c r="F937" s="1">
        <f t="shared" si="160"/>
        <v>18.679999999999691</v>
      </c>
      <c r="G937">
        <f>1/2*$B$8*$B$6*$B$7*(Tabelle2[[#This Row],[vx]]*Tabelle2[[#This Row],[vx]]+Tabelle2[[#This Row],[vy]]*Tabelle2[[#This Row],[vy]])/1000000</f>
        <v>30.691897501278124</v>
      </c>
      <c r="H937">
        <f>IF($B$3,-Tabelle2[[#This Row],[Fd]]*Tabelle2[[#This Row],[vx]]/Tabelle2[[#This Row],[v]],0)</f>
        <v>0</v>
      </c>
      <c r="I937">
        <f t="shared" si="154"/>
        <v>0</v>
      </c>
      <c r="J937">
        <f t="shared" si="155"/>
        <v>0</v>
      </c>
      <c r="K937">
        <f t="shared" si="156"/>
        <v>1.0467394398169905</v>
      </c>
      <c r="L937">
        <f>-$B$5*$B$12-IF($B$3,Tabelle2[[#This Row],[Fd]]*Tabelle2[[#This Row],[vy]]/Tabelle2[[#This Row],[v]],0)</f>
        <v>-14.715</v>
      </c>
      <c r="M937">
        <f t="shared" si="157"/>
        <v>-9.81</v>
      </c>
      <c r="N937">
        <f t="shared" si="158"/>
        <v>-0.19620000000000001</v>
      </c>
      <c r="O937">
        <f t="shared" si="159"/>
        <v>-2.4195225120880637</v>
      </c>
      <c r="P937" s="1">
        <f t="shared" si="161"/>
        <v>52.336971990849527</v>
      </c>
      <c r="Q937" s="1">
        <f t="shared" si="162"/>
        <v>-120.87802560440318</v>
      </c>
      <c r="R937">
        <f>SQRT(Tabelle2[[#This Row],[vx]]*Tabelle2[[#This Row],[vx]]+Tabelle2[[#This Row],[vy]]*Tabelle2[[#This Row],[vy]])</f>
        <v>131.72188774531634</v>
      </c>
      <c r="S937">
        <f t="shared" si="163"/>
        <v>977.6546367890594</v>
      </c>
      <c r="T937" s="1">
        <f t="shared" si="164"/>
        <v>-544.72462150960791</v>
      </c>
    </row>
    <row r="938" spans="6:20" x14ac:dyDescent="0.35">
      <c r="F938" s="1">
        <f t="shared" si="160"/>
        <v>18.69999999999969</v>
      </c>
      <c r="G938">
        <f>1/2*$B$8*$B$6*$B$7*(Tabelle2[[#This Row],[vx]]*Tabelle2[[#This Row],[vx]]+Tabelle2[[#This Row],[vy]]*Tabelle2[[#This Row],[vy]])/1000000</f>
        <v>30.77586989189405</v>
      </c>
      <c r="H938">
        <f>IF($B$3,-Tabelle2[[#This Row],[Fd]]*Tabelle2[[#This Row],[vx]]/Tabelle2[[#This Row],[v]],0)</f>
        <v>0</v>
      </c>
      <c r="I938">
        <f t="shared" si="154"/>
        <v>0</v>
      </c>
      <c r="J938">
        <f t="shared" si="155"/>
        <v>0</v>
      </c>
      <c r="K938">
        <f t="shared" si="156"/>
        <v>1.0467394398169905</v>
      </c>
      <c r="L938">
        <f>-$B$5*$B$12-IF($B$3,Tabelle2[[#This Row],[Fd]]*Tabelle2[[#This Row],[vy]]/Tabelle2[[#This Row],[v]],0)</f>
        <v>-14.715</v>
      </c>
      <c r="M938">
        <f t="shared" si="157"/>
        <v>-9.81</v>
      </c>
      <c r="N938">
        <f t="shared" si="158"/>
        <v>-0.19620000000000001</v>
      </c>
      <c r="O938">
        <f t="shared" si="159"/>
        <v>-2.4234465120880637</v>
      </c>
      <c r="P938" s="1">
        <f t="shared" si="161"/>
        <v>52.336971990849527</v>
      </c>
      <c r="Q938" s="1">
        <f t="shared" si="162"/>
        <v>-121.07422560440318</v>
      </c>
      <c r="R938">
        <f>SQRT(Tabelle2[[#This Row],[vx]]*Tabelle2[[#This Row],[vx]]+Tabelle2[[#This Row],[vy]]*Tabelle2[[#This Row],[vy]])</f>
        <v>131.90195882880923</v>
      </c>
      <c r="S938">
        <f t="shared" si="163"/>
        <v>978.70137622887637</v>
      </c>
      <c r="T938" s="1">
        <f t="shared" si="164"/>
        <v>-547.14414402169598</v>
      </c>
    </row>
    <row r="939" spans="6:20" x14ac:dyDescent="0.35">
      <c r="F939" s="1">
        <f t="shared" si="160"/>
        <v>18.71999999999969</v>
      </c>
      <c r="G939">
        <f>1/2*$B$8*$B$6*$B$7*(Tabelle2[[#This Row],[vx]]*Tabelle2[[#This Row],[vx]]+Tabelle2[[#This Row],[vy]]*Tabelle2[[#This Row],[vy]])/1000000</f>
        <v>30.859978469571317</v>
      </c>
      <c r="H939">
        <f>IF($B$3,-Tabelle2[[#This Row],[Fd]]*Tabelle2[[#This Row],[vx]]/Tabelle2[[#This Row],[v]],0)</f>
        <v>0</v>
      </c>
      <c r="I939">
        <f t="shared" si="154"/>
        <v>0</v>
      </c>
      <c r="J939">
        <f t="shared" si="155"/>
        <v>0</v>
      </c>
      <c r="K939">
        <f t="shared" si="156"/>
        <v>1.0467394398169905</v>
      </c>
      <c r="L939">
        <f>-$B$5*$B$12-IF($B$3,Tabelle2[[#This Row],[Fd]]*Tabelle2[[#This Row],[vy]]/Tabelle2[[#This Row],[v]],0)</f>
        <v>-14.715</v>
      </c>
      <c r="M939">
        <f t="shared" si="157"/>
        <v>-9.81</v>
      </c>
      <c r="N939">
        <f t="shared" si="158"/>
        <v>-0.19620000000000001</v>
      </c>
      <c r="O939">
        <f t="shared" si="159"/>
        <v>-2.4273705120880638</v>
      </c>
      <c r="P939" s="1">
        <f t="shared" si="161"/>
        <v>52.336971990849527</v>
      </c>
      <c r="Q939" s="1">
        <f t="shared" si="162"/>
        <v>-121.27042560440319</v>
      </c>
      <c r="R939">
        <f>SQRT(Tabelle2[[#This Row],[vx]]*Tabelle2[[#This Row],[vx]]+Tabelle2[[#This Row],[vy]]*Tabelle2[[#This Row],[vy]])</f>
        <v>132.0820758598382</v>
      </c>
      <c r="S939">
        <f t="shared" si="163"/>
        <v>979.74811566869334</v>
      </c>
      <c r="T939" s="1">
        <f t="shared" si="164"/>
        <v>-549.56759053378403</v>
      </c>
    </row>
    <row r="940" spans="6:20" x14ac:dyDescent="0.35">
      <c r="F940" s="1">
        <f t="shared" si="160"/>
        <v>18.739999999999689</v>
      </c>
      <c r="G940">
        <f>1/2*$B$8*$B$6*$B$7*(Tabelle2[[#This Row],[vx]]*Tabelle2[[#This Row],[vx]]+Tabelle2[[#This Row],[vy]]*Tabelle2[[#This Row],[vy]])/1000000</f>
        <v>30.944223234309934</v>
      </c>
      <c r="H940">
        <f>IF($B$3,-Tabelle2[[#This Row],[Fd]]*Tabelle2[[#This Row],[vx]]/Tabelle2[[#This Row],[v]],0)</f>
        <v>0</v>
      </c>
      <c r="I940">
        <f t="shared" si="154"/>
        <v>0</v>
      </c>
      <c r="J940">
        <f t="shared" si="155"/>
        <v>0</v>
      </c>
      <c r="K940">
        <f t="shared" si="156"/>
        <v>1.0467394398169905</v>
      </c>
      <c r="L940">
        <f>-$B$5*$B$12-IF($B$3,Tabelle2[[#This Row],[Fd]]*Tabelle2[[#This Row],[vy]]/Tabelle2[[#This Row],[v]],0)</f>
        <v>-14.715</v>
      </c>
      <c r="M940">
        <f t="shared" si="157"/>
        <v>-9.81</v>
      </c>
      <c r="N940">
        <f t="shared" si="158"/>
        <v>-0.19620000000000001</v>
      </c>
      <c r="O940">
        <f t="shared" si="159"/>
        <v>-2.4312945120880638</v>
      </c>
      <c r="P940" s="1">
        <f t="shared" si="161"/>
        <v>52.336971990849527</v>
      </c>
      <c r="Q940" s="1">
        <f t="shared" si="162"/>
        <v>-121.46662560440319</v>
      </c>
      <c r="R940">
        <f>SQRT(Tabelle2[[#This Row],[vx]]*Tabelle2[[#This Row],[vx]]+Tabelle2[[#This Row],[vy]]*Tabelle2[[#This Row],[vy]])</f>
        <v>132.26223865068678</v>
      </c>
      <c r="S940">
        <f t="shared" si="163"/>
        <v>980.79485510851032</v>
      </c>
      <c r="T940" s="1">
        <f t="shared" si="164"/>
        <v>-551.99496104587206</v>
      </c>
    </row>
    <row r="941" spans="6:20" x14ac:dyDescent="0.35">
      <c r="F941" s="1">
        <f t="shared" si="160"/>
        <v>18.759999999999689</v>
      </c>
      <c r="G941">
        <f>1/2*$B$8*$B$6*$B$7*(Tabelle2[[#This Row],[vx]]*Tabelle2[[#This Row],[vx]]+Tabelle2[[#This Row],[vy]]*Tabelle2[[#This Row],[vy]])/1000000</f>
        <v>31.028604186109902</v>
      </c>
      <c r="H941">
        <f>IF($B$3,-Tabelle2[[#This Row],[Fd]]*Tabelle2[[#This Row],[vx]]/Tabelle2[[#This Row],[v]],0)</f>
        <v>0</v>
      </c>
      <c r="I941">
        <f t="shared" si="154"/>
        <v>0</v>
      </c>
      <c r="J941">
        <f t="shared" si="155"/>
        <v>0</v>
      </c>
      <c r="K941">
        <f t="shared" si="156"/>
        <v>1.0467394398169905</v>
      </c>
      <c r="L941">
        <f>-$B$5*$B$12-IF($B$3,Tabelle2[[#This Row],[Fd]]*Tabelle2[[#This Row],[vy]]/Tabelle2[[#This Row],[v]],0)</f>
        <v>-14.715</v>
      </c>
      <c r="M941">
        <f t="shared" si="157"/>
        <v>-9.81</v>
      </c>
      <c r="N941">
        <f t="shared" si="158"/>
        <v>-0.19620000000000001</v>
      </c>
      <c r="O941">
        <f t="shared" si="159"/>
        <v>-2.4352185120880638</v>
      </c>
      <c r="P941" s="1">
        <f t="shared" si="161"/>
        <v>52.336971990849527</v>
      </c>
      <c r="Q941" s="1">
        <f t="shared" si="162"/>
        <v>-121.6628256044032</v>
      </c>
      <c r="R941">
        <f>SQRT(Tabelle2[[#This Row],[vx]]*Tabelle2[[#This Row],[vx]]+Tabelle2[[#This Row],[vy]]*Tabelle2[[#This Row],[vy]])</f>
        <v>132.44244701461233</v>
      </c>
      <c r="S941">
        <f t="shared" si="163"/>
        <v>981.84159454832729</v>
      </c>
      <c r="T941" s="1">
        <f t="shared" si="164"/>
        <v>-554.42625555796008</v>
      </c>
    </row>
    <row r="942" spans="6:20" x14ac:dyDescent="0.35">
      <c r="F942" s="1">
        <f t="shared" si="160"/>
        <v>18.779999999999688</v>
      </c>
      <c r="G942">
        <f>1/2*$B$8*$B$6*$B$7*(Tabelle2[[#This Row],[vx]]*Tabelle2[[#This Row],[vx]]+Tabelle2[[#This Row],[vy]]*Tabelle2[[#This Row],[vy]])/1000000</f>
        <v>31.113121324971207</v>
      </c>
      <c r="H942">
        <f>IF($B$3,-Tabelle2[[#This Row],[Fd]]*Tabelle2[[#This Row],[vx]]/Tabelle2[[#This Row],[v]],0)</f>
        <v>0</v>
      </c>
      <c r="I942">
        <f t="shared" si="154"/>
        <v>0</v>
      </c>
      <c r="J942">
        <f t="shared" si="155"/>
        <v>0</v>
      </c>
      <c r="K942">
        <f t="shared" si="156"/>
        <v>1.0467394398169905</v>
      </c>
      <c r="L942">
        <f>-$B$5*$B$12-IF($B$3,Tabelle2[[#This Row],[Fd]]*Tabelle2[[#This Row],[vy]]/Tabelle2[[#This Row],[v]],0)</f>
        <v>-14.715</v>
      </c>
      <c r="M942">
        <f t="shared" si="157"/>
        <v>-9.81</v>
      </c>
      <c r="N942">
        <f t="shared" si="158"/>
        <v>-0.19620000000000001</v>
      </c>
      <c r="O942">
        <f t="shared" si="159"/>
        <v>-2.4391425120880643</v>
      </c>
      <c r="P942" s="1">
        <f t="shared" si="161"/>
        <v>52.336971990849527</v>
      </c>
      <c r="Q942" s="1">
        <f t="shared" si="162"/>
        <v>-121.8590256044032</v>
      </c>
      <c r="R942">
        <f>SQRT(Tabelle2[[#This Row],[vx]]*Tabelle2[[#This Row],[vx]]+Tabelle2[[#This Row],[vy]]*Tabelle2[[#This Row],[vy]])</f>
        <v>132.62270076584011</v>
      </c>
      <c r="S942">
        <f t="shared" si="163"/>
        <v>982.88833398814427</v>
      </c>
      <c r="T942" s="1">
        <f t="shared" si="164"/>
        <v>-556.86147407004819</v>
      </c>
    </row>
    <row r="943" spans="6:20" x14ac:dyDescent="0.35">
      <c r="F943" s="1">
        <f t="shared" si="160"/>
        <v>18.799999999999688</v>
      </c>
      <c r="G943">
        <f>1/2*$B$8*$B$6*$B$7*(Tabelle2[[#This Row],[vx]]*Tabelle2[[#This Row],[vx]]+Tabelle2[[#This Row],[vy]]*Tabelle2[[#This Row],[vy]])/1000000</f>
        <v>31.197774650893852</v>
      </c>
      <c r="H943">
        <f>IF($B$3,-Tabelle2[[#This Row],[Fd]]*Tabelle2[[#This Row],[vx]]/Tabelle2[[#This Row],[v]],0)</f>
        <v>0</v>
      </c>
      <c r="I943">
        <f t="shared" si="154"/>
        <v>0</v>
      </c>
      <c r="J943">
        <f t="shared" si="155"/>
        <v>0</v>
      </c>
      <c r="K943">
        <f t="shared" si="156"/>
        <v>1.0467394398169905</v>
      </c>
      <c r="L943">
        <f>-$B$5*$B$12-IF($B$3,Tabelle2[[#This Row],[Fd]]*Tabelle2[[#This Row],[vy]]/Tabelle2[[#This Row],[v]],0)</f>
        <v>-14.715</v>
      </c>
      <c r="M943">
        <f t="shared" si="157"/>
        <v>-9.81</v>
      </c>
      <c r="N943">
        <f t="shared" si="158"/>
        <v>-0.19620000000000001</v>
      </c>
      <c r="O943">
        <f t="shared" si="159"/>
        <v>-2.4430665120880644</v>
      </c>
      <c r="P943" s="1">
        <f t="shared" si="161"/>
        <v>52.336971990849527</v>
      </c>
      <c r="Q943" s="1">
        <f t="shared" si="162"/>
        <v>-122.0552256044032</v>
      </c>
      <c r="R943">
        <f>SQRT(Tabelle2[[#This Row],[vx]]*Tabelle2[[#This Row],[vx]]+Tabelle2[[#This Row],[vy]]*Tabelle2[[#This Row],[vy]])</f>
        <v>132.80299971955728</v>
      </c>
      <c r="S943">
        <f t="shared" si="163"/>
        <v>983.93507342796124</v>
      </c>
      <c r="T943" s="1">
        <f t="shared" si="164"/>
        <v>-559.30061658213629</v>
      </c>
    </row>
    <row r="944" spans="6:20" x14ac:dyDescent="0.35">
      <c r="F944" s="1">
        <f t="shared" si="160"/>
        <v>18.819999999999688</v>
      </c>
      <c r="G944">
        <f>1/2*$B$8*$B$6*$B$7*(Tabelle2[[#This Row],[vx]]*Tabelle2[[#This Row],[vx]]+Tabelle2[[#This Row],[vy]]*Tabelle2[[#This Row],[vy]])/1000000</f>
        <v>31.282564163877844</v>
      </c>
      <c r="H944">
        <f>IF($B$3,-Tabelle2[[#This Row],[Fd]]*Tabelle2[[#This Row],[vx]]/Tabelle2[[#This Row],[v]],0)</f>
        <v>0</v>
      </c>
      <c r="I944">
        <f t="shared" si="154"/>
        <v>0</v>
      </c>
      <c r="J944">
        <f t="shared" si="155"/>
        <v>0</v>
      </c>
      <c r="K944">
        <f t="shared" si="156"/>
        <v>1.0467394398169905</v>
      </c>
      <c r="L944">
        <f>-$B$5*$B$12-IF($B$3,Tabelle2[[#This Row],[Fd]]*Tabelle2[[#This Row],[vy]]/Tabelle2[[#This Row],[v]],0)</f>
        <v>-14.715</v>
      </c>
      <c r="M944">
        <f t="shared" si="157"/>
        <v>-9.81</v>
      </c>
      <c r="N944">
        <f t="shared" si="158"/>
        <v>-0.19620000000000001</v>
      </c>
      <c r="O944">
        <f t="shared" si="159"/>
        <v>-2.4469905120880644</v>
      </c>
      <c r="P944" s="1">
        <f t="shared" si="161"/>
        <v>52.336971990849527</v>
      </c>
      <c r="Q944" s="1">
        <f t="shared" si="162"/>
        <v>-122.25142560440321</v>
      </c>
      <c r="R944">
        <f>SQRT(Tabelle2[[#This Row],[vx]]*Tabelle2[[#This Row],[vx]]+Tabelle2[[#This Row],[vy]]*Tabelle2[[#This Row],[vy]])</f>
        <v>132.98334369190715</v>
      </c>
      <c r="S944">
        <f t="shared" si="163"/>
        <v>984.98181286777822</v>
      </c>
      <c r="T944" s="1">
        <f t="shared" si="164"/>
        <v>-561.74368309422437</v>
      </c>
    </row>
    <row r="945" spans="6:20" x14ac:dyDescent="0.35">
      <c r="F945" s="1">
        <f t="shared" si="160"/>
        <v>18.839999999999687</v>
      </c>
      <c r="G945">
        <f>1/2*$B$8*$B$6*$B$7*(Tabelle2[[#This Row],[vx]]*Tabelle2[[#This Row],[vx]]+Tabelle2[[#This Row],[vy]]*Tabelle2[[#This Row],[vy]])/1000000</f>
        <v>31.367489863923179</v>
      </c>
      <c r="H945">
        <f>IF($B$3,-Tabelle2[[#This Row],[Fd]]*Tabelle2[[#This Row],[vx]]/Tabelle2[[#This Row],[v]],0)</f>
        <v>0</v>
      </c>
      <c r="I945">
        <f t="shared" si="154"/>
        <v>0</v>
      </c>
      <c r="J945">
        <f t="shared" si="155"/>
        <v>0</v>
      </c>
      <c r="K945">
        <f t="shared" si="156"/>
        <v>1.0467394398169905</v>
      </c>
      <c r="L945">
        <f>-$B$5*$B$12-IF($B$3,Tabelle2[[#This Row],[Fd]]*Tabelle2[[#This Row],[vy]]/Tabelle2[[#This Row],[v]],0)</f>
        <v>-14.715</v>
      </c>
      <c r="M945">
        <f t="shared" si="157"/>
        <v>-9.81</v>
      </c>
      <c r="N945">
        <f t="shared" si="158"/>
        <v>-0.19620000000000001</v>
      </c>
      <c r="O945">
        <f t="shared" si="159"/>
        <v>-2.4509145120880644</v>
      </c>
      <c r="P945" s="1">
        <f t="shared" si="161"/>
        <v>52.336971990849527</v>
      </c>
      <c r="Q945" s="1">
        <f t="shared" si="162"/>
        <v>-122.44762560440321</v>
      </c>
      <c r="R945">
        <f>SQRT(Tabelle2[[#This Row],[vx]]*Tabelle2[[#This Row],[vx]]+Tabelle2[[#This Row],[vy]]*Tabelle2[[#This Row],[vy]])</f>
        <v>133.16373249998315</v>
      </c>
      <c r="S945">
        <f t="shared" si="163"/>
        <v>986.02855230759519</v>
      </c>
      <c r="T945" s="1">
        <f t="shared" si="164"/>
        <v>-564.19067360631243</v>
      </c>
    </row>
    <row r="946" spans="6:20" x14ac:dyDescent="0.35">
      <c r="F946" s="1">
        <f t="shared" si="160"/>
        <v>18.859999999999687</v>
      </c>
      <c r="G946">
        <f>1/2*$B$8*$B$6*$B$7*(Tabelle2[[#This Row],[vx]]*Tabelle2[[#This Row],[vx]]+Tabelle2[[#This Row],[vy]]*Tabelle2[[#This Row],[vy]])/1000000</f>
        <v>31.452551751029858</v>
      </c>
      <c r="H946">
        <f>IF($B$3,-Tabelle2[[#This Row],[Fd]]*Tabelle2[[#This Row],[vx]]/Tabelle2[[#This Row],[v]],0)</f>
        <v>0</v>
      </c>
      <c r="I946">
        <f t="shared" si="154"/>
        <v>0</v>
      </c>
      <c r="J946">
        <f t="shared" si="155"/>
        <v>0</v>
      </c>
      <c r="K946">
        <f t="shared" si="156"/>
        <v>1.0467394398169905</v>
      </c>
      <c r="L946">
        <f>-$B$5*$B$12-IF($B$3,Tabelle2[[#This Row],[Fd]]*Tabelle2[[#This Row],[vy]]/Tabelle2[[#This Row],[v]],0)</f>
        <v>-14.715</v>
      </c>
      <c r="M946">
        <f t="shared" si="157"/>
        <v>-9.81</v>
      </c>
      <c r="N946">
        <f t="shared" si="158"/>
        <v>-0.19620000000000001</v>
      </c>
      <c r="O946">
        <f t="shared" si="159"/>
        <v>-2.4548385120880645</v>
      </c>
      <c r="P946" s="1">
        <f t="shared" si="161"/>
        <v>52.336971990849527</v>
      </c>
      <c r="Q946" s="1">
        <f t="shared" si="162"/>
        <v>-122.64382560440322</v>
      </c>
      <c r="R946">
        <f>SQRT(Tabelle2[[#This Row],[vx]]*Tabelle2[[#This Row],[vx]]+Tabelle2[[#This Row],[vy]]*Tabelle2[[#This Row],[vy]])</f>
        <v>133.34416596182317</v>
      </c>
      <c r="S946">
        <f t="shared" si="163"/>
        <v>987.07529174741217</v>
      </c>
      <c r="T946" s="1">
        <f t="shared" si="164"/>
        <v>-566.64158811840048</v>
      </c>
    </row>
    <row r="947" spans="6:20" x14ac:dyDescent="0.35">
      <c r="F947" s="1">
        <f t="shared" si="160"/>
        <v>18.879999999999686</v>
      </c>
      <c r="G947">
        <f>1/2*$B$8*$B$6*$B$7*(Tabelle2[[#This Row],[vx]]*Tabelle2[[#This Row],[vx]]+Tabelle2[[#This Row],[vy]]*Tabelle2[[#This Row],[vy]])/1000000</f>
        <v>31.537749825197885</v>
      </c>
      <c r="H947">
        <f>IF($B$3,-Tabelle2[[#This Row],[Fd]]*Tabelle2[[#This Row],[vx]]/Tabelle2[[#This Row],[v]],0)</f>
        <v>0</v>
      </c>
      <c r="I947">
        <f t="shared" si="154"/>
        <v>0</v>
      </c>
      <c r="J947">
        <f t="shared" si="155"/>
        <v>0</v>
      </c>
      <c r="K947">
        <f t="shared" si="156"/>
        <v>1.0467394398169905</v>
      </c>
      <c r="L947">
        <f>-$B$5*$B$12-IF($B$3,Tabelle2[[#This Row],[Fd]]*Tabelle2[[#This Row],[vy]]/Tabelle2[[#This Row],[v]],0)</f>
        <v>-14.715</v>
      </c>
      <c r="M947">
        <f t="shared" si="157"/>
        <v>-9.81</v>
      </c>
      <c r="N947">
        <f t="shared" si="158"/>
        <v>-0.19620000000000001</v>
      </c>
      <c r="O947">
        <f t="shared" si="159"/>
        <v>-2.4587625120880645</v>
      </c>
      <c r="P947" s="1">
        <f t="shared" si="161"/>
        <v>52.336971990849527</v>
      </c>
      <c r="Q947" s="1">
        <f t="shared" si="162"/>
        <v>-122.84002560440322</v>
      </c>
      <c r="R947">
        <f>SQRT(Tabelle2[[#This Row],[vx]]*Tabelle2[[#This Row],[vx]]+Tabelle2[[#This Row],[vy]]*Tabelle2[[#This Row],[vy]])</f>
        <v>133.52464389640366</v>
      </c>
      <c r="S947">
        <f t="shared" si="163"/>
        <v>988.12203118722914</v>
      </c>
      <c r="T947" s="1">
        <f t="shared" si="164"/>
        <v>-569.09642663048851</v>
      </c>
    </row>
    <row r="948" spans="6:20" x14ac:dyDescent="0.35">
      <c r="F948" s="1">
        <f t="shared" si="160"/>
        <v>18.899999999999686</v>
      </c>
      <c r="G948">
        <f>1/2*$B$8*$B$6*$B$7*(Tabelle2[[#This Row],[vx]]*Tabelle2[[#This Row],[vx]]+Tabelle2[[#This Row],[vy]]*Tabelle2[[#This Row],[vy]])/1000000</f>
        <v>31.623084086427255</v>
      </c>
      <c r="H948">
        <f>IF($B$3,-Tabelle2[[#This Row],[Fd]]*Tabelle2[[#This Row],[vx]]/Tabelle2[[#This Row],[v]],0)</f>
        <v>0</v>
      </c>
      <c r="I948">
        <f t="shared" si="154"/>
        <v>0</v>
      </c>
      <c r="J948">
        <f t="shared" si="155"/>
        <v>0</v>
      </c>
      <c r="K948">
        <f t="shared" si="156"/>
        <v>1.0467394398169905</v>
      </c>
      <c r="L948">
        <f>-$B$5*$B$12-IF($B$3,Tabelle2[[#This Row],[Fd]]*Tabelle2[[#This Row],[vy]]/Tabelle2[[#This Row],[v]],0)</f>
        <v>-14.715</v>
      </c>
      <c r="M948">
        <f t="shared" si="157"/>
        <v>-9.81</v>
      </c>
      <c r="N948">
        <f t="shared" si="158"/>
        <v>-0.19620000000000001</v>
      </c>
      <c r="O948">
        <f t="shared" si="159"/>
        <v>-2.4626865120880645</v>
      </c>
      <c r="P948" s="1">
        <f t="shared" si="161"/>
        <v>52.336971990849527</v>
      </c>
      <c r="Q948" s="1">
        <f t="shared" si="162"/>
        <v>-123.03622560440323</v>
      </c>
      <c r="R948">
        <f>SQRT(Tabelle2[[#This Row],[vx]]*Tabelle2[[#This Row],[vx]]+Tabelle2[[#This Row],[vy]]*Tabelle2[[#This Row],[vy]])</f>
        <v>133.70516612363406</v>
      </c>
      <c r="S948">
        <f t="shared" si="163"/>
        <v>989.16877062704611</v>
      </c>
      <c r="T948" s="1">
        <f t="shared" si="164"/>
        <v>-571.55518914257652</v>
      </c>
    </row>
    <row r="949" spans="6:20" x14ac:dyDescent="0.35">
      <c r="F949" s="1">
        <f t="shared" si="160"/>
        <v>18.919999999999686</v>
      </c>
      <c r="G949">
        <f>1/2*$B$8*$B$6*$B$7*(Tabelle2[[#This Row],[vx]]*Tabelle2[[#This Row],[vx]]+Tabelle2[[#This Row],[vy]]*Tabelle2[[#This Row],[vy]])/1000000</f>
        <v>31.708554534717965</v>
      </c>
      <c r="H949">
        <f>IF($B$3,-Tabelle2[[#This Row],[Fd]]*Tabelle2[[#This Row],[vx]]/Tabelle2[[#This Row],[v]],0)</f>
        <v>0</v>
      </c>
      <c r="I949">
        <f t="shared" si="154"/>
        <v>0</v>
      </c>
      <c r="J949">
        <f t="shared" si="155"/>
        <v>0</v>
      </c>
      <c r="K949">
        <f t="shared" si="156"/>
        <v>1.0467394398169905</v>
      </c>
      <c r="L949">
        <f>-$B$5*$B$12-IF($B$3,Tabelle2[[#This Row],[Fd]]*Tabelle2[[#This Row],[vy]]/Tabelle2[[#This Row],[v]],0)</f>
        <v>-14.715</v>
      </c>
      <c r="M949">
        <f t="shared" si="157"/>
        <v>-9.81</v>
      </c>
      <c r="N949">
        <f t="shared" si="158"/>
        <v>-0.19620000000000001</v>
      </c>
      <c r="O949">
        <f t="shared" si="159"/>
        <v>-2.4666105120880646</v>
      </c>
      <c r="P949" s="1">
        <f t="shared" si="161"/>
        <v>52.336971990849527</v>
      </c>
      <c r="Q949" s="1">
        <f t="shared" si="162"/>
        <v>-123.23242560440323</v>
      </c>
      <c r="R949">
        <f>SQRT(Tabelle2[[#This Row],[vx]]*Tabelle2[[#This Row],[vx]]+Tabelle2[[#This Row],[vy]]*Tabelle2[[#This Row],[vy]])</f>
        <v>133.88573246435089</v>
      </c>
      <c r="S949">
        <f t="shared" si="163"/>
        <v>990.21551006686309</v>
      </c>
      <c r="T949" s="1">
        <f t="shared" si="164"/>
        <v>-574.01787565466464</v>
      </c>
    </row>
    <row r="950" spans="6:20" x14ac:dyDescent="0.35">
      <c r="F950" s="1">
        <f t="shared" si="160"/>
        <v>18.939999999999685</v>
      </c>
      <c r="G950">
        <f>1/2*$B$8*$B$6*$B$7*(Tabelle2[[#This Row],[vx]]*Tabelle2[[#This Row],[vx]]+Tabelle2[[#This Row],[vy]]*Tabelle2[[#This Row],[vy]])/1000000</f>
        <v>31.794161170070026</v>
      </c>
      <c r="H950">
        <f>IF($B$3,-Tabelle2[[#This Row],[Fd]]*Tabelle2[[#This Row],[vx]]/Tabelle2[[#This Row],[v]],0)</f>
        <v>0</v>
      </c>
      <c r="I950">
        <f t="shared" si="154"/>
        <v>0</v>
      </c>
      <c r="J950">
        <f t="shared" si="155"/>
        <v>0</v>
      </c>
      <c r="K950">
        <f t="shared" si="156"/>
        <v>1.0467394398169905</v>
      </c>
      <c r="L950">
        <f>-$B$5*$B$12-IF($B$3,Tabelle2[[#This Row],[Fd]]*Tabelle2[[#This Row],[vy]]/Tabelle2[[#This Row],[v]],0)</f>
        <v>-14.715</v>
      </c>
      <c r="M950">
        <f t="shared" si="157"/>
        <v>-9.81</v>
      </c>
      <c r="N950">
        <f t="shared" si="158"/>
        <v>-0.19620000000000001</v>
      </c>
      <c r="O950">
        <f t="shared" si="159"/>
        <v>-2.4705345120880646</v>
      </c>
      <c r="P950" s="1">
        <f t="shared" si="161"/>
        <v>52.336971990849527</v>
      </c>
      <c r="Q950" s="1">
        <f t="shared" si="162"/>
        <v>-123.42862560440324</v>
      </c>
      <c r="R950">
        <f>SQRT(Tabelle2[[#This Row],[vx]]*Tabelle2[[#This Row],[vx]]+Tabelle2[[#This Row],[vy]]*Tabelle2[[#This Row],[vy]])</f>
        <v>134.06634274031239</v>
      </c>
      <c r="S950">
        <f t="shared" si="163"/>
        <v>991.26224950668006</v>
      </c>
      <c r="T950" s="1">
        <f t="shared" si="164"/>
        <v>-576.48448616675273</v>
      </c>
    </row>
    <row r="951" spans="6:20" x14ac:dyDescent="0.35">
      <c r="F951" s="1">
        <f t="shared" si="160"/>
        <v>18.959999999999685</v>
      </c>
      <c r="G951">
        <f>1/2*$B$8*$B$6*$B$7*(Tabelle2[[#This Row],[vx]]*Tabelle2[[#This Row],[vx]]+Tabelle2[[#This Row],[vy]]*Tabelle2[[#This Row],[vy]])/1000000</f>
        <v>31.879903992483428</v>
      </c>
      <c r="H951">
        <f>IF($B$3,-Tabelle2[[#This Row],[Fd]]*Tabelle2[[#This Row],[vx]]/Tabelle2[[#This Row],[v]],0)</f>
        <v>0</v>
      </c>
      <c r="I951">
        <f t="shared" si="154"/>
        <v>0</v>
      </c>
      <c r="J951">
        <f t="shared" si="155"/>
        <v>0</v>
      </c>
      <c r="K951">
        <f t="shared" si="156"/>
        <v>1.0467394398169905</v>
      </c>
      <c r="L951">
        <f>-$B$5*$B$12-IF($B$3,Tabelle2[[#This Row],[Fd]]*Tabelle2[[#This Row],[vy]]/Tabelle2[[#This Row],[v]],0)</f>
        <v>-14.715</v>
      </c>
      <c r="M951">
        <f t="shared" si="157"/>
        <v>-9.81</v>
      </c>
      <c r="N951">
        <f t="shared" si="158"/>
        <v>-0.19620000000000001</v>
      </c>
      <c r="O951">
        <f t="shared" si="159"/>
        <v>-2.4744585120880651</v>
      </c>
      <c r="P951" s="1">
        <f t="shared" si="161"/>
        <v>52.336971990849527</v>
      </c>
      <c r="Q951" s="1">
        <f t="shared" si="162"/>
        <v>-123.62482560440324</v>
      </c>
      <c r="R951">
        <f>SQRT(Tabelle2[[#This Row],[vx]]*Tabelle2[[#This Row],[vx]]+Tabelle2[[#This Row],[vy]]*Tabelle2[[#This Row],[vy]])</f>
        <v>134.24699677419261</v>
      </c>
      <c r="S951">
        <f t="shared" si="163"/>
        <v>992.30898894649704</v>
      </c>
      <c r="T951" s="1">
        <f t="shared" si="164"/>
        <v>-578.95502067884081</v>
      </c>
    </row>
    <row r="952" spans="6:20" x14ac:dyDescent="0.35">
      <c r="F952" s="1">
        <f t="shared" si="160"/>
        <v>18.979999999999684</v>
      </c>
      <c r="G952">
        <f>1/2*$B$8*$B$6*$B$7*(Tabelle2[[#This Row],[vx]]*Tabelle2[[#This Row],[vx]]+Tabelle2[[#This Row],[vy]]*Tabelle2[[#This Row],[vy]])/1000000</f>
        <v>31.965783001958169</v>
      </c>
      <c r="H952">
        <f>IF($B$3,-Tabelle2[[#This Row],[Fd]]*Tabelle2[[#This Row],[vx]]/Tabelle2[[#This Row],[v]],0)</f>
        <v>0</v>
      </c>
      <c r="I952">
        <f t="shared" si="154"/>
        <v>0</v>
      </c>
      <c r="J952">
        <f t="shared" si="155"/>
        <v>0</v>
      </c>
      <c r="K952">
        <f t="shared" si="156"/>
        <v>1.0467394398169905</v>
      </c>
      <c r="L952">
        <f>-$B$5*$B$12-IF($B$3,Tabelle2[[#This Row],[Fd]]*Tabelle2[[#This Row],[vy]]/Tabelle2[[#This Row],[v]],0)</f>
        <v>-14.715</v>
      </c>
      <c r="M952">
        <f t="shared" si="157"/>
        <v>-9.81</v>
      </c>
      <c r="N952">
        <f t="shared" si="158"/>
        <v>-0.19620000000000001</v>
      </c>
      <c r="O952">
        <f t="shared" si="159"/>
        <v>-2.4783825120880651</v>
      </c>
      <c r="P952" s="1">
        <f t="shared" si="161"/>
        <v>52.336971990849527</v>
      </c>
      <c r="Q952" s="1">
        <f t="shared" si="162"/>
        <v>-123.82102560440325</v>
      </c>
      <c r="R952">
        <f>SQRT(Tabelle2[[#This Row],[vx]]*Tabelle2[[#This Row],[vx]]+Tabelle2[[#This Row],[vy]]*Tabelle2[[#This Row],[vy]])</f>
        <v>134.42769438957603</v>
      </c>
      <c r="S952">
        <f t="shared" si="163"/>
        <v>993.35572838631401</v>
      </c>
      <c r="T952" s="1">
        <f t="shared" si="164"/>
        <v>-581.42947919092887</v>
      </c>
    </row>
    <row r="953" spans="6:20" x14ac:dyDescent="0.35">
      <c r="F953" s="1">
        <f t="shared" si="160"/>
        <v>18.999999999999684</v>
      </c>
      <c r="G953">
        <f>1/2*$B$8*$B$6*$B$7*(Tabelle2[[#This Row],[vx]]*Tabelle2[[#This Row],[vx]]+Tabelle2[[#This Row],[vy]]*Tabelle2[[#This Row],[vy]])/1000000</f>
        <v>32.051798198494261</v>
      </c>
      <c r="H953">
        <f>IF($B$3,-Tabelle2[[#This Row],[Fd]]*Tabelle2[[#This Row],[vx]]/Tabelle2[[#This Row],[v]],0)</f>
        <v>0</v>
      </c>
      <c r="I953">
        <f t="shared" si="154"/>
        <v>0</v>
      </c>
      <c r="J953">
        <f t="shared" si="155"/>
        <v>0</v>
      </c>
      <c r="K953">
        <f t="shared" si="156"/>
        <v>1.0467394398169905</v>
      </c>
      <c r="L953">
        <f>-$B$5*$B$12-IF($B$3,Tabelle2[[#This Row],[Fd]]*Tabelle2[[#This Row],[vy]]/Tabelle2[[#This Row],[v]],0)</f>
        <v>-14.715</v>
      </c>
      <c r="M953">
        <f t="shared" si="157"/>
        <v>-9.81</v>
      </c>
      <c r="N953">
        <f t="shared" si="158"/>
        <v>-0.19620000000000001</v>
      </c>
      <c r="O953">
        <f t="shared" si="159"/>
        <v>-2.4823065120880652</v>
      </c>
      <c r="P953" s="1">
        <f t="shared" si="161"/>
        <v>52.336971990849527</v>
      </c>
      <c r="Q953" s="1">
        <f t="shared" si="162"/>
        <v>-124.01722560440325</v>
      </c>
      <c r="R953">
        <f>SQRT(Tabelle2[[#This Row],[vx]]*Tabelle2[[#This Row],[vx]]+Tabelle2[[#This Row],[vy]]*Tabelle2[[#This Row],[vy]])</f>
        <v>134.60843541095196</v>
      </c>
      <c r="S953">
        <f t="shared" si="163"/>
        <v>994.40246782613099</v>
      </c>
      <c r="T953" s="1">
        <f t="shared" si="164"/>
        <v>-583.90786170301692</v>
      </c>
    </row>
    <row r="954" spans="6:20" x14ac:dyDescent="0.35">
      <c r="F954" s="1">
        <f t="shared" si="160"/>
        <v>19.019999999999683</v>
      </c>
      <c r="G954">
        <f>1/2*$B$8*$B$6*$B$7*(Tabelle2[[#This Row],[vx]]*Tabelle2[[#This Row],[vx]]+Tabelle2[[#This Row],[vy]]*Tabelle2[[#This Row],[vy]])/1000000</f>
        <v>32.137949582091686</v>
      </c>
      <c r="H954">
        <f>IF($B$3,-Tabelle2[[#This Row],[Fd]]*Tabelle2[[#This Row],[vx]]/Tabelle2[[#This Row],[v]],0)</f>
        <v>0</v>
      </c>
      <c r="I954">
        <f t="shared" si="154"/>
        <v>0</v>
      </c>
      <c r="J954">
        <f t="shared" si="155"/>
        <v>0</v>
      </c>
      <c r="K954">
        <f t="shared" si="156"/>
        <v>1.0467394398169905</v>
      </c>
      <c r="L954">
        <f>-$B$5*$B$12-IF($B$3,Tabelle2[[#This Row],[Fd]]*Tabelle2[[#This Row],[vy]]/Tabelle2[[#This Row],[v]],0)</f>
        <v>-14.715</v>
      </c>
      <c r="M954">
        <f t="shared" si="157"/>
        <v>-9.81</v>
      </c>
      <c r="N954">
        <f t="shared" si="158"/>
        <v>-0.19620000000000001</v>
      </c>
      <c r="O954">
        <f t="shared" si="159"/>
        <v>-2.4862305120880652</v>
      </c>
      <c r="P954" s="1">
        <f t="shared" si="161"/>
        <v>52.336971990849527</v>
      </c>
      <c r="Q954" s="1">
        <f t="shared" si="162"/>
        <v>-124.21342560440326</v>
      </c>
      <c r="R954">
        <f>SQRT(Tabelle2[[#This Row],[vx]]*Tabelle2[[#This Row],[vx]]+Tabelle2[[#This Row],[vy]]*Tabelle2[[#This Row],[vy]])</f>
        <v>134.78921966370896</v>
      </c>
      <c r="S954">
        <f t="shared" si="163"/>
        <v>995.44920726594796</v>
      </c>
      <c r="T954" s="1">
        <f t="shared" si="164"/>
        <v>-586.39016821510495</v>
      </c>
    </row>
    <row r="955" spans="6:20" x14ac:dyDescent="0.35">
      <c r="F955" s="1">
        <f t="shared" si="160"/>
        <v>19.039999999999683</v>
      </c>
      <c r="G955">
        <f>1/2*$B$8*$B$6*$B$7*(Tabelle2[[#This Row],[vx]]*Tabelle2[[#This Row],[vx]]+Tabelle2[[#This Row],[vy]]*Tabelle2[[#This Row],[vy]])/1000000</f>
        <v>32.224237152750462</v>
      </c>
      <c r="H955">
        <f>IF($B$3,-Tabelle2[[#This Row],[Fd]]*Tabelle2[[#This Row],[vx]]/Tabelle2[[#This Row],[v]],0)</f>
        <v>0</v>
      </c>
      <c r="I955">
        <f t="shared" si="154"/>
        <v>0</v>
      </c>
      <c r="J955">
        <f t="shared" si="155"/>
        <v>0</v>
      </c>
      <c r="K955">
        <f t="shared" si="156"/>
        <v>1.0467394398169905</v>
      </c>
      <c r="L955">
        <f>-$B$5*$B$12-IF($B$3,Tabelle2[[#This Row],[Fd]]*Tabelle2[[#This Row],[vy]]/Tabelle2[[#This Row],[v]],0)</f>
        <v>-14.715</v>
      </c>
      <c r="M955">
        <f t="shared" si="157"/>
        <v>-9.81</v>
      </c>
      <c r="N955">
        <f t="shared" si="158"/>
        <v>-0.19620000000000001</v>
      </c>
      <c r="O955">
        <f t="shared" si="159"/>
        <v>-2.4901545120880653</v>
      </c>
      <c r="P955" s="1">
        <f t="shared" si="161"/>
        <v>52.336971990849527</v>
      </c>
      <c r="Q955" s="1">
        <f t="shared" si="162"/>
        <v>-124.40962560440326</v>
      </c>
      <c r="R955">
        <f>SQRT(Tabelle2[[#This Row],[vx]]*Tabelle2[[#This Row],[vx]]+Tabelle2[[#This Row],[vy]]*Tabelle2[[#This Row],[vy]])</f>
        <v>134.97004697412962</v>
      </c>
      <c r="S955">
        <f t="shared" si="163"/>
        <v>996.49594670576494</v>
      </c>
      <c r="T955" s="1">
        <f t="shared" si="164"/>
        <v>-588.87639872719296</v>
      </c>
    </row>
    <row r="956" spans="6:20" x14ac:dyDescent="0.35">
      <c r="F956" s="1">
        <f t="shared" si="160"/>
        <v>19.059999999999683</v>
      </c>
      <c r="G956">
        <f>1/2*$B$8*$B$6*$B$7*(Tabelle2[[#This Row],[vx]]*Tabelle2[[#This Row],[vx]]+Tabelle2[[#This Row],[vy]]*Tabelle2[[#This Row],[vy]])/1000000</f>
        <v>32.310660910470581</v>
      </c>
      <c r="H956">
        <f>IF($B$3,-Tabelle2[[#This Row],[Fd]]*Tabelle2[[#This Row],[vx]]/Tabelle2[[#This Row],[v]],0)</f>
        <v>0</v>
      </c>
      <c r="I956">
        <f t="shared" si="154"/>
        <v>0</v>
      </c>
      <c r="J956">
        <f t="shared" si="155"/>
        <v>0</v>
      </c>
      <c r="K956">
        <f t="shared" si="156"/>
        <v>1.0467394398169905</v>
      </c>
      <c r="L956">
        <f>-$B$5*$B$12-IF($B$3,Tabelle2[[#This Row],[Fd]]*Tabelle2[[#This Row],[vy]]/Tabelle2[[#This Row],[v]],0)</f>
        <v>-14.715</v>
      </c>
      <c r="M956">
        <f t="shared" si="157"/>
        <v>-9.81</v>
      </c>
      <c r="N956">
        <f t="shared" si="158"/>
        <v>-0.19620000000000001</v>
      </c>
      <c r="O956">
        <f t="shared" si="159"/>
        <v>-2.4940785120880653</v>
      </c>
      <c r="P956" s="1">
        <f t="shared" si="161"/>
        <v>52.336971990849527</v>
      </c>
      <c r="Q956" s="1">
        <f t="shared" si="162"/>
        <v>-124.60582560440326</v>
      </c>
      <c r="R956">
        <f>SQRT(Tabelle2[[#This Row],[vx]]*Tabelle2[[#This Row],[vx]]+Tabelle2[[#This Row],[vy]]*Tabelle2[[#This Row],[vy]])</f>
        <v>135.15091716938485</v>
      </c>
      <c r="S956">
        <f t="shared" si="163"/>
        <v>997.54268614558191</v>
      </c>
      <c r="T956" s="1">
        <f t="shared" si="164"/>
        <v>-591.36655323928107</v>
      </c>
    </row>
    <row r="957" spans="6:20" x14ac:dyDescent="0.35">
      <c r="F957" s="1">
        <f t="shared" si="160"/>
        <v>19.079999999999682</v>
      </c>
      <c r="G957">
        <f>1/2*$B$8*$B$6*$B$7*(Tabelle2[[#This Row],[vx]]*Tabelle2[[#This Row],[vx]]+Tabelle2[[#This Row],[vy]]*Tabelle2[[#This Row],[vy]])/1000000</f>
        <v>32.397220855252051</v>
      </c>
      <c r="H957">
        <f>IF($B$3,-Tabelle2[[#This Row],[Fd]]*Tabelle2[[#This Row],[vx]]/Tabelle2[[#This Row],[v]],0)</f>
        <v>0</v>
      </c>
      <c r="I957">
        <f t="shared" si="154"/>
        <v>0</v>
      </c>
      <c r="J957">
        <f t="shared" si="155"/>
        <v>0</v>
      </c>
      <c r="K957">
        <f t="shared" si="156"/>
        <v>1.0467394398169905</v>
      </c>
      <c r="L957">
        <f>-$B$5*$B$12-IF($B$3,Tabelle2[[#This Row],[Fd]]*Tabelle2[[#This Row],[vy]]/Tabelle2[[#This Row],[v]],0)</f>
        <v>-14.715</v>
      </c>
      <c r="M957">
        <f t="shared" si="157"/>
        <v>-9.81</v>
      </c>
      <c r="N957">
        <f t="shared" si="158"/>
        <v>-0.19620000000000001</v>
      </c>
      <c r="O957">
        <f t="shared" si="159"/>
        <v>-2.4980025120880653</v>
      </c>
      <c r="P957" s="1">
        <f t="shared" si="161"/>
        <v>52.336971990849527</v>
      </c>
      <c r="Q957" s="1">
        <f t="shared" si="162"/>
        <v>-124.80202560440327</v>
      </c>
      <c r="R957">
        <f>SQRT(Tabelle2[[#This Row],[vx]]*Tabelle2[[#This Row],[vx]]+Tabelle2[[#This Row],[vy]]*Tabelle2[[#This Row],[vy]])</f>
        <v>135.33183007752868</v>
      </c>
      <c r="S957">
        <f t="shared" si="163"/>
        <v>998.58942558539889</v>
      </c>
      <c r="T957" s="1">
        <f t="shared" si="164"/>
        <v>-593.86063175136917</v>
      </c>
    </row>
    <row r="958" spans="6:20" x14ac:dyDescent="0.35">
      <c r="F958" s="1">
        <f t="shared" si="160"/>
        <v>19.099999999999682</v>
      </c>
      <c r="G958">
        <f>1/2*$B$8*$B$6*$B$7*(Tabelle2[[#This Row],[vx]]*Tabelle2[[#This Row],[vx]]+Tabelle2[[#This Row],[vy]]*Tabelle2[[#This Row],[vy]])/1000000</f>
        <v>32.483916987094858</v>
      </c>
      <c r="H958">
        <f>IF($B$3,-Tabelle2[[#This Row],[Fd]]*Tabelle2[[#This Row],[vx]]/Tabelle2[[#This Row],[v]],0)</f>
        <v>0</v>
      </c>
      <c r="I958">
        <f t="shared" si="154"/>
        <v>0</v>
      </c>
      <c r="J958">
        <f t="shared" si="155"/>
        <v>0</v>
      </c>
      <c r="K958">
        <f t="shared" si="156"/>
        <v>1.0467394398169905</v>
      </c>
      <c r="L958">
        <f>-$B$5*$B$12-IF($B$3,Tabelle2[[#This Row],[Fd]]*Tabelle2[[#This Row],[vy]]/Tabelle2[[#This Row],[v]],0)</f>
        <v>-14.715</v>
      </c>
      <c r="M958">
        <f t="shared" si="157"/>
        <v>-9.81</v>
      </c>
      <c r="N958">
        <f t="shared" si="158"/>
        <v>-0.19620000000000001</v>
      </c>
      <c r="O958">
        <f t="shared" si="159"/>
        <v>-2.5019265120880654</v>
      </c>
      <c r="P958" s="1">
        <f t="shared" si="161"/>
        <v>52.336971990849527</v>
      </c>
      <c r="Q958" s="1">
        <f t="shared" si="162"/>
        <v>-124.99822560440327</v>
      </c>
      <c r="R958">
        <f>SQRT(Tabelle2[[#This Row],[vx]]*Tabelle2[[#This Row],[vx]]+Tabelle2[[#This Row],[vy]]*Tabelle2[[#This Row],[vy]])</f>
        <v>135.51278552749281</v>
      </c>
      <c r="S958">
        <f t="shared" si="163"/>
        <v>999.63616502521586</v>
      </c>
      <c r="T958" s="1">
        <f t="shared" si="164"/>
        <v>-596.35863426345725</v>
      </c>
    </row>
    <row r="959" spans="6:20" x14ac:dyDescent="0.35">
      <c r="F959" s="1">
        <f t="shared" si="160"/>
        <v>19.119999999999681</v>
      </c>
      <c r="G959">
        <f>1/2*$B$8*$B$6*$B$7*(Tabelle2[[#This Row],[vx]]*Tabelle2[[#This Row],[vx]]+Tabelle2[[#This Row],[vy]]*Tabelle2[[#This Row],[vy]])/1000000</f>
        <v>32.570749305999009</v>
      </c>
      <c r="H959">
        <f>IF($B$3,-Tabelle2[[#This Row],[Fd]]*Tabelle2[[#This Row],[vx]]/Tabelle2[[#This Row],[v]],0)</f>
        <v>0</v>
      </c>
      <c r="I959">
        <f t="shared" si="154"/>
        <v>0</v>
      </c>
      <c r="J959">
        <f t="shared" si="155"/>
        <v>0</v>
      </c>
      <c r="K959">
        <f t="shared" si="156"/>
        <v>1.0467394398169905</v>
      </c>
      <c r="L959">
        <f>-$B$5*$B$12-IF($B$3,Tabelle2[[#This Row],[Fd]]*Tabelle2[[#This Row],[vy]]/Tabelle2[[#This Row],[v]],0)</f>
        <v>-14.715</v>
      </c>
      <c r="M959">
        <f t="shared" si="157"/>
        <v>-9.81</v>
      </c>
      <c r="N959">
        <f t="shared" si="158"/>
        <v>-0.19620000000000001</v>
      </c>
      <c r="O959">
        <f t="shared" si="159"/>
        <v>-2.5058505120880659</v>
      </c>
      <c r="P959" s="1">
        <f t="shared" si="161"/>
        <v>52.336971990849527</v>
      </c>
      <c r="Q959" s="1">
        <f t="shared" si="162"/>
        <v>-125.19442560440328</v>
      </c>
      <c r="R959">
        <f>SQRT(Tabelle2[[#This Row],[vx]]*Tabelle2[[#This Row],[vx]]+Tabelle2[[#This Row],[vy]]*Tabelle2[[#This Row],[vy]])</f>
        <v>135.69378334908137</v>
      </c>
      <c r="S959">
        <f t="shared" si="163"/>
        <v>1000.6829044650328</v>
      </c>
      <c r="T959" s="1">
        <f t="shared" si="164"/>
        <v>-598.86056077554531</v>
      </c>
    </row>
    <row r="960" spans="6:20" x14ac:dyDescent="0.35">
      <c r="F960" s="1">
        <f t="shared" si="160"/>
        <v>19.139999999999681</v>
      </c>
      <c r="G960">
        <f>1/2*$B$8*$B$6*$B$7*(Tabelle2[[#This Row],[vx]]*Tabelle2[[#This Row],[vx]]+Tabelle2[[#This Row],[vy]]*Tabelle2[[#This Row],[vy]])/1000000</f>
        <v>32.657717811964503</v>
      </c>
      <c r="H960">
        <f>IF($B$3,-Tabelle2[[#This Row],[Fd]]*Tabelle2[[#This Row],[vx]]/Tabelle2[[#This Row],[v]],0)</f>
        <v>0</v>
      </c>
      <c r="I960">
        <f t="shared" si="154"/>
        <v>0</v>
      </c>
      <c r="J960">
        <f t="shared" si="155"/>
        <v>0</v>
      </c>
      <c r="K960">
        <f t="shared" si="156"/>
        <v>1.0467394398169905</v>
      </c>
      <c r="L960">
        <f>-$B$5*$B$12-IF($B$3,Tabelle2[[#This Row],[Fd]]*Tabelle2[[#This Row],[vy]]/Tabelle2[[#This Row],[v]],0)</f>
        <v>-14.715</v>
      </c>
      <c r="M960">
        <f t="shared" si="157"/>
        <v>-9.81</v>
      </c>
      <c r="N960">
        <f t="shared" si="158"/>
        <v>-0.19620000000000001</v>
      </c>
      <c r="O960">
        <f t="shared" si="159"/>
        <v>-2.5097745120880659</v>
      </c>
      <c r="P960" s="1">
        <f t="shared" si="161"/>
        <v>52.336971990849527</v>
      </c>
      <c r="Q960" s="1">
        <f t="shared" si="162"/>
        <v>-125.39062560440328</v>
      </c>
      <c r="R960">
        <f>SQRT(Tabelle2[[#This Row],[vx]]*Tabelle2[[#This Row],[vx]]+Tabelle2[[#This Row],[vy]]*Tabelle2[[#This Row],[vy]])</f>
        <v>135.87482337296561</v>
      </c>
      <c r="S960">
        <f t="shared" si="163"/>
        <v>1001.7296439048498</v>
      </c>
      <c r="T960" s="1">
        <f t="shared" si="164"/>
        <v>-601.36641128763335</v>
      </c>
    </row>
    <row r="961" spans="6:20" x14ac:dyDescent="0.35">
      <c r="F961" s="1">
        <f t="shared" si="160"/>
        <v>19.15999999999968</v>
      </c>
      <c r="G961">
        <f>1/2*$B$8*$B$6*$B$7*(Tabelle2[[#This Row],[vx]]*Tabelle2[[#This Row],[vx]]+Tabelle2[[#This Row],[vy]]*Tabelle2[[#This Row],[vy]])/1000000</f>
        <v>32.744822504991348</v>
      </c>
      <c r="H961">
        <f>IF($B$3,-Tabelle2[[#This Row],[Fd]]*Tabelle2[[#This Row],[vx]]/Tabelle2[[#This Row],[v]],0)</f>
        <v>0</v>
      </c>
      <c r="I961">
        <f t="shared" si="154"/>
        <v>0</v>
      </c>
      <c r="J961">
        <f t="shared" si="155"/>
        <v>0</v>
      </c>
      <c r="K961">
        <f t="shared" si="156"/>
        <v>1.0467394398169905</v>
      </c>
      <c r="L961">
        <f>-$B$5*$B$12-IF($B$3,Tabelle2[[#This Row],[Fd]]*Tabelle2[[#This Row],[vy]]/Tabelle2[[#This Row],[v]],0)</f>
        <v>-14.715</v>
      </c>
      <c r="M961">
        <f t="shared" si="157"/>
        <v>-9.81</v>
      </c>
      <c r="N961">
        <f t="shared" si="158"/>
        <v>-0.19620000000000001</v>
      </c>
      <c r="O961">
        <f t="shared" si="159"/>
        <v>-2.5136985120880659</v>
      </c>
      <c r="P961" s="1">
        <f t="shared" si="161"/>
        <v>52.336971990849527</v>
      </c>
      <c r="Q961" s="1">
        <f t="shared" si="162"/>
        <v>-125.58682560440329</v>
      </c>
      <c r="R961">
        <f>SQRT(Tabelle2[[#This Row],[vx]]*Tabelle2[[#This Row],[vx]]+Tabelle2[[#This Row],[vy]]*Tabelle2[[#This Row],[vy]])</f>
        <v>136.05590543067865</v>
      </c>
      <c r="S961">
        <f t="shared" si="163"/>
        <v>1002.7763833446668</v>
      </c>
      <c r="T961" s="1">
        <f t="shared" si="164"/>
        <v>-603.87618579972138</v>
      </c>
    </row>
    <row r="962" spans="6:20" x14ac:dyDescent="0.35">
      <c r="F962" s="1">
        <f t="shared" si="160"/>
        <v>19.17999999999968</v>
      </c>
      <c r="G962">
        <f>1/2*$B$8*$B$6*$B$7*(Tabelle2[[#This Row],[vx]]*Tabelle2[[#This Row],[vx]]+Tabelle2[[#This Row],[vy]]*Tabelle2[[#This Row],[vy]])/1000000</f>
        <v>32.832063385079536</v>
      </c>
      <c r="H962">
        <f>IF($B$3,-Tabelle2[[#This Row],[Fd]]*Tabelle2[[#This Row],[vx]]/Tabelle2[[#This Row],[v]],0)</f>
        <v>0</v>
      </c>
      <c r="I962">
        <f t="shared" si="154"/>
        <v>0</v>
      </c>
      <c r="J962">
        <f t="shared" si="155"/>
        <v>0</v>
      </c>
      <c r="K962">
        <f t="shared" si="156"/>
        <v>1.0467394398169905</v>
      </c>
      <c r="L962">
        <f>-$B$5*$B$12-IF($B$3,Tabelle2[[#This Row],[Fd]]*Tabelle2[[#This Row],[vy]]/Tabelle2[[#This Row],[v]],0)</f>
        <v>-14.715</v>
      </c>
      <c r="M962">
        <f t="shared" si="157"/>
        <v>-9.81</v>
      </c>
      <c r="N962">
        <f t="shared" si="158"/>
        <v>-0.19620000000000001</v>
      </c>
      <c r="O962">
        <f t="shared" si="159"/>
        <v>-2.517622512088066</v>
      </c>
      <c r="P962" s="1">
        <f t="shared" si="161"/>
        <v>52.336971990849527</v>
      </c>
      <c r="Q962" s="1">
        <f t="shared" si="162"/>
        <v>-125.78302560440329</v>
      </c>
      <c r="R962">
        <f>SQRT(Tabelle2[[#This Row],[vx]]*Tabelle2[[#This Row],[vx]]+Tabelle2[[#This Row],[vy]]*Tabelle2[[#This Row],[vy]])</f>
        <v>136.23702935461029</v>
      </c>
      <c r="S962">
        <f t="shared" si="163"/>
        <v>1003.8231227844838</v>
      </c>
      <c r="T962" s="1">
        <f t="shared" si="164"/>
        <v>-606.3898843118094</v>
      </c>
    </row>
    <row r="963" spans="6:20" x14ac:dyDescent="0.35">
      <c r="F963" s="1">
        <f t="shared" si="160"/>
        <v>19.19999999999968</v>
      </c>
      <c r="G963">
        <f>1/2*$B$8*$B$6*$B$7*(Tabelle2[[#This Row],[vx]]*Tabelle2[[#This Row],[vx]]+Tabelle2[[#This Row],[vy]]*Tabelle2[[#This Row],[vy]])/1000000</f>
        <v>32.919440452229054</v>
      </c>
      <c r="H963">
        <f>IF($B$3,-Tabelle2[[#This Row],[Fd]]*Tabelle2[[#This Row],[vx]]/Tabelle2[[#This Row],[v]],0)</f>
        <v>0</v>
      </c>
      <c r="I963">
        <f t="shared" ref="I963:I1026" si="165">H963/$B$5</f>
        <v>0</v>
      </c>
      <c r="J963">
        <f t="shared" ref="J963:J1026" si="166">I963*$B$13</f>
        <v>0</v>
      </c>
      <c r="K963">
        <f t="shared" ref="K963:K1026" si="167">$B$13*(P963+J963/2)</f>
        <v>1.0467394398169905</v>
      </c>
      <c r="L963">
        <f>-$B$5*$B$12-IF($B$3,Tabelle2[[#This Row],[Fd]]*Tabelle2[[#This Row],[vy]]/Tabelle2[[#This Row],[v]],0)</f>
        <v>-14.715</v>
      </c>
      <c r="M963">
        <f t="shared" ref="M963:M1026" si="168">L963/$B$5</f>
        <v>-9.81</v>
      </c>
      <c r="N963">
        <f t="shared" ref="N963:N1026" si="169">M963*$B$13</f>
        <v>-0.19620000000000001</v>
      </c>
      <c r="O963">
        <f t="shared" ref="O963:O1026" si="170">$B$13*(Q963+N963/2)</f>
        <v>-2.521546512088066</v>
      </c>
      <c r="P963" s="1">
        <f t="shared" si="161"/>
        <v>52.336971990849527</v>
      </c>
      <c r="Q963" s="1">
        <f t="shared" si="162"/>
        <v>-125.9792256044033</v>
      </c>
      <c r="R963">
        <f>SQRT(Tabelle2[[#This Row],[vx]]*Tabelle2[[#This Row],[vx]]+Tabelle2[[#This Row],[vy]]*Tabelle2[[#This Row],[vy]])</f>
        <v>136.41819497800179</v>
      </c>
      <c r="S963">
        <f t="shared" si="163"/>
        <v>1004.8698622243007</v>
      </c>
      <c r="T963" s="1">
        <f t="shared" si="164"/>
        <v>-608.90750682389751</v>
      </c>
    </row>
    <row r="964" spans="6:20" x14ac:dyDescent="0.35">
      <c r="F964" s="1">
        <f t="shared" ref="F964:F1027" si="171">F963+$B$13</f>
        <v>19.219999999999679</v>
      </c>
      <c r="G964">
        <f>1/2*$B$8*$B$6*$B$7*(Tabelle2[[#This Row],[vx]]*Tabelle2[[#This Row],[vx]]+Tabelle2[[#This Row],[vy]]*Tabelle2[[#This Row],[vy]])/1000000</f>
        <v>33.00695370643993</v>
      </c>
      <c r="H964">
        <f>IF($B$3,-Tabelle2[[#This Row],[Fd]]*Tabelle2[[#This Row],[vx]]/Tabelle2[[#This Row],[v]],0)</f>
        <v>0</v>
      </c>
      <c r="I964">
        <f t="shared" si="165"/>
        <v>0</v>
      </c>
      <c r="J964">
        <f t="shared" si="166"/>
        <v>0</v>
      </c>
      <c r="K964">
        <f t="shared" si="167"/>
        <v>1.0467394398169905</v>
      </c>
      <c r="L964">
        <f>-$B$5*$B$12-IF($B$3,Tabelle2[[#This Row],[Fd]]*Tabelle2[[#This Row],[vy]]/Tabelle2[[#This Row],[v]],0)</f>
        <v>-14.715</v>
      </c>
      <c r="M964">
        <f t="shared" si="168"/>
        <v>-9.81</v>
      </c>
      <c r="N964">
        <f t="shared" si="169"/>
        <v>-0.19620000000000001</v>
      </c>
      <c r="O964">
        <f t="shared" si="170"/>
        <v>-2.5254705120880661</v>
      </c>
      <c r="P964" s="1">
        <f t="shared" ref="P964:P1027" si="172">P963+J963</f>
        <v>52.336971990849527</v>
      </c>
      <c r="Q964" s="1">
        <f t="shared" ref="Q964:Q1027" si="173">Q963+N963</f>
        <v>-126.1754256044033</v>
      </c>
      <c r="R964">
        <f>SQRT(Tabelle2[[#This Row],[vx]]*Tabelle2[[#This Row],[vx]]+Tabelle2[[#This Row],[vy]]*Tabelle2[[#This Row],[vy]])</f>
        <v>136.59940213494085</v>
      </c>
      <c r="S964">
        <f t="shared" ref="S964:S1027" si="174">S963+K963</f>
        <v>1005.9166016641177</v>
      </c>
      <c r="T964" s="1">
        <f t="shared" ref="T964:T1027" si="175">T963+O963</f>
        <v>-611.4290533359856</v>
      </c>
    </row>
    <row r="965" spans="6:20" x14ac:dyDescent="0.35">
      <c r="F965" s="1">
        <f t="shared" si="171"/>
        <v>19.239999999999679</v>
      </c>
      <c r="G965">
        <f>1/2*$B$8*$B$6*$B$7*(Tabelle2[[#This Row],[vx]]*Tabelle2[[#This Row],[vx]]+Tabelle2[[#This Row],[vy]]*Tabelle2[[#This Row],[vy]])/1000000</f>
        <v>33.094603147712149</v>
      </c>
      <c r="H965">
        <f>IF($B$3,-Tabelle2[[#This Row],[Fd]]*Tabelle2[[#This Row],[vx]]/Tabelle2[[#This Row],[v]],0)</f>
        <v>0</v>
      </c>
      <c r="I965">
        <f t="shared" si="165"/>
        <v>0</v>
      </c>
      <c r="J965">
        <f t="shared" si="166"/>
        <v>0</v>
      </c>
      <c r="K965">
        <f t="shared" si="167"/>
        <v>1.0467394398169905</v>
      </c>
      <c r="L965">
        <f>-$B$5*$B$12-IF($B$3,Tabelle2[[#This Row],[Fd]]*Tabelle2[[#This Row],[vy]]/Tabelle2[[#This Row],[v]],0)</f>
        <v>-14.715</v>
      </c>
      <c r="M965">
        <f t="shared" si="168"/>
        <v>-9.81</v>
      </c>
      <c r="N965">
        <f t="shared" si="169"/>
        <v>-0.19620000000000001</v>
      </c>
      <c r="O965">
        <f t="shared" si="170"/>
        <v>-2.5293945120880661</v>
      </c>
      <c r="P965" s="1">
        <f t="shared" si="172"/>
        <v>52.336971990849527</v>
      </c>
      <c r="Q965" s="1">
        <f t="shared" si="173"/>
        <v>-126.37162560440331</v>
      </c>
      <c r="R965">
        <f>SQRT(Tabelle2[[#This Row],[vx]]*Tabelle2[[#This Row],[vx]]+Tabelle2[[#This Row],[vy]]*Tabelle2[[#This Row],[vy]])</f>
        <v>136.78065066035637</v>
      </c>
      <c r="S965">
        <f t="shared" si="174"/>
        <v>1006.9633411039347</v>
      </c>
      <c r="T965" s="1">
        <f t="shared" si="175"/>
        <v>-613.95452384807368</v>
      </c>
    </row>
    <row r="966" spans="6:20" x14ac:dyDescent="0.35">
      <c r="F966" s="1">
        <f t="shared" si="171"/>
        <v>19.259999999999678</v>
      </c>
      <c r="G966">
        <f>1/2*$B$8*$B$6*$B$7*(Tabelle2[[#This Row],[vx]]*Tabelle2[[#This Row],[vx]]+Tabelle2[[#This Row],[vy]]*Tabelle2[[#This Row],[vy]])/1000000</f>
        <v>33.182388776045713</v>
      </c>
      <c r="H966">
        <f>IF($B$3,-Tabelle2[[#This Row],[Fd]]*Tabelle2[[#This Row],[vx]]/Tabelle2[[#This Row],[v]],0)</f>
        <v>0</v>
      </c>
      <c r="I966">
        <f t="shared" si="165"/>
        <v>0</v>
      </c>
      <c r="J966">
        <f t="shared" si="166"/>
        <v>0</v>
      </c>
      <c r="K966">
        <f t="shared" si="167"/>
        <v>1.0467394398169905</v>
      </c>
      <c r="L966">
        <f>-$B$5*$B$12-IF($B$3,Tabelle2[[#This Row],[Fd]]*Tabelle2[[#This Row],[vy]]/Tabelle2[[#This Row],[v]],0)</f>
        <v>-14.715</v>
      </c>
      <c r="M966">
        <f t="shared" si="168"/>
        <v>-9.81</v>
      </c>
      <c r="N966">
        <f t="shared" si="169"/>
        <v>-0.19620000000000001</v>
      </c>
      <c r="O966">
        <f t="shared" si="170"/>
        <v>-2.5333185120880661</v>
      </c>
      <c r="P966" s="1">
        <f t="shared" si="172"/>
        <v>52.336971990849527</v>
      </c>
      <c r="Q966" s="1">
        <f t="shared" si="173"/>
        <v>-126.56782560440331</v>
      </c>
      <c r="R966">
        <f>SQRT(Tabelle2[[#This Row],[vx]]*Tabelle2[[#This Row],[vx]]+Tabelle2[[#This Row],[vy]]*Tabelle2[[#This Row],[vy]])</f>
        <v>136.96194039001352</v>
      </c>
      <c r="S966">
        <f t="shared" si="174"/>
        <v>1008.0100805437517</v>
      </c>
      <c r="T966" s="1">
        <f t="shared" si="175"/>
        <v>-616.48391836016174</v>
      </c>
    </row>
    <row r="967" spans="6:20" x14ac:dyDescent="0.35">
      <c r="F967" s="1">
        <f t="shared" si="171"/>
        <v>19.279999999999678</v>
      </c>
      <c r="G967">
        <f>1/2*$B$8*$B$6*$B$7*(Tabelle2[[#This Row],[vx]]*Tabelle2[[#This Row],[vx]]+Tabelle2[[#This Row],[vy]]*Tabelle2[[#This Row],[vy]])/1000000</f>
        <v>33.270310591440619</v>
      </c>
      <c r="H967">
        <f>IF($B$3,-Tabelle2[[#This Row],[Fd]]*Tabelle2[[#This Row],[vx]]/Tabelle2[[#This Row],[v]],0)</f>
        <v>0</v>
      </c>
      <c r="I967">
        <f t="shared" si="165"/>
        <v>0</v>
      </c>
      <c r="J967">
        <f t="shared" si="166"/>
        <v>0</v>
      </c>
      <c r="K967">
        <f t="shared" si="167"/>
        <v>1.0467394398169905</v>
      </c>
      <c r="L967">
        <f>-$B$5*$B$12-IF($B$3,Tabelle2[[#This Row],[Fd]]*Tabelle2[[#This Row],[vy]]/Tabelle2[[#This Row],[v]],0)</f>
        <v>-14.715</v>
      </c>
      <c r="M967">
        <f t="shared" si="168"/>
        <v>-9.81</v>
      </c>
      <c r="N967">
        <f t="shared" si="169"/>
        <v>-0.19620000000000001</v>
      </c>
      <c r="O967">
        <f t="shared" si="170"/>
        <v>-2.5372425120880666</v>
      </c>
      <c r="P967" s="1">
        <f t="shared" si="172"/>
        <v>52.336971990849527</v>
      </c>
      <c r="Q967" s="1">
        <f t="shared" si="173"/>
        <v>-126.76402560440332</v>
      </c>
      <c r="R967">
        <f>SQRT(Tabelle2[[#This Row],[vx]]*Tabelle2[[#This Row],[vx]]+Tabelle2[[#This Row],[vy]]*Tabelle2[[#This Row],[vy]])</f>
        <v>137.14327116050859</v>
      </c>
      <c r="S967">
        <f t="shared" si="174"/>
        <v>1009.0568199835686</v>
      </c>
      <c r="T967" s="1">
        <f t="shared" si="175"/>
        <v>-619.01723687224978</v>
      </c>
    </row>
    <row r="968" spans="6:20" x14ac:dyDescent="0.35">
      <c r="F968" s="1">
        <f t="shared" si="171"/>
        <v>19.299999999999677</v>
      </c>
      <c r="G968">
        <f>1/2*$B$8*$B$6*$B$7*(Tabelle2[[#This Row],[vx]]*Tabelle2[[#This Row],[vx]]+Tabelle2[[#This Row],[vy]]*Tabelle2[[#This Row],[vy]])/1000000</f>
        <v>33.358368593896863</v>
      </c>
      <c r="H968">
        <f>IF($B$3,-Tabelle2[[#This Row],[Fd]]*Tabelle2[[#This Row],[vx]]/Tabelle2[[#This Row],[v]],0)</f>
        <v>0</v>
      </c>
      <c r="I968">
        <f t="shared" si="165"/>
        <v>0</v>
      </c>
      <c r="J968">
        <f t="shared" si="166"/>
        <v>0</v>
      </c>
      <c r="K968">
        <f t="shared" si="167"/>
        <v>1.0467394398169905</v>
      </c>
      <c r="L968">
        <f>-$B$5*$B$12-IF($B$3,Tabelle2[[#This Row],[Fd]]*Tabelle2[[#This Row],[vy]]/Tabelle2[[#This Row],[v]],0)</f>
        <v>-14.715</v>
      </c>
      <c r="M968">
        <f t="shared" si="168"/>
        <v>-9.81</v>
      </c>
      <c r="N968">
        <f t="shared" si="169"/>
        <v>-0.19620000000000001</v>
      </c>
      <c r="O968">
        <f t="shared" si="170"/>
        <v>-2.5411665120880667</v>
      </c>
      <c r="P968" s="1">
        <f t="shared" si="172"/>
        <v>52.336971990849527</v>
      </c>
      <c r="Q968" s="1">
        <f t="shared" si="173"/>
        <v>-126.96022560440332</v>
      </c>
      <c r="R968">
        <f>SQRT(Tabelle2[[#This Row],[vx]]*Tabelle2[[#This Row],[vx]]+Tabelle2[[#This Row],[vy]]*Tabelle2[[#This Row],[vy]])</f>
        <v>137.32464280926405</v>
      </c>
      <c r="S968">
        <f t="shared" si="174"/>
        <v>1010.1035594233856</v>
      </c>
      <c r="T968" s="1">
        <f t="shared" si="175"/>
        <v>-621.55447938433781</v>
      </c>
    </row>
    <row r="969" spans="6:20" x14ac:dyDescent="0.35">
      <c r="F969" s="1">
        <f t="shared" si="171"/>
        <v>19.319999999999677</v>
      </c>
      <c r="G969">
        <f>1/2*$B$8*$B$6*$B$7*(Tabelle2[[#This Row],[vx]]*Tabelle2[[#This Row],[vx]]+Tabelle2[[#This Row],[vy]]*Tabelle2[[#This Row],[vy]])/1000000</f>
        <v>33.44656278341445</v>
      </c>
      <c r="H969">
        <f>IF($B$3,-Tabelle2[[#This Row],[Fd]]*Tabelle2[[#This Row],[vx]]/Tabelle2[[#This Row],[v]],0)</f>
        <v>0</v>
      </c>
      <c r="I969">
        <f t="shared" si="165"/>
        <v>0</v>
      </c>
      <c r="J969">
        <f t="shared" si="166"/>
        <v>0</v>
      </c>
      <c r="K969">
        <f t="shared" si="167"/>
        <v>1.0467394398169905</v>
      </c>
      <c r="L969">
        <f>-$B$5*$B$12-IF($B$3,Tabelle2[[#This Row],[Fd]]*Tabelle2[[#This Row],[vy]]/Tabelle2[[#This Row],[v]],0)</f>
        <v>-14.715</v>
      </c>
      <c r="M969">
        <f t="shared" si="168"/>
        <v>-9.81</v>
      </c>
      <c r="N969">
        <f t="shared" si="169"/>
        <v>-0.19620000000000001</v>
      </c>
      <c r="O969">
        <f t="shared" si="170"/>
        <v>-2.5450905120880667</v>
      </c>
      <c r="P969" s="1">
        <f t="shared" si="172"/>
        <v>52.336971990849527</v>
      </c>
      <c r="Q969" s="1">
        <f t="shared" si="173"/>
        <v>-127.15642560440332</v>
      </c>
      <c r="R969">
        <f>SQRT(Tabelle2[[#This Row],[vx]]*Tabelle2[[#This Row],[vx]]+Tabelle2[[#This Row],[vy]]*Tabelle2[[#This Row],[vy]])</f>
        <v>137.5060551745236</v>
      </c>
      <c r="S969">
        <f t="shared" si="174"/>
        <v>1011.1502988632026</v>
      </c>
      <c r="T969" s="1">
        <f t="shared" si="175"/>
        <v>-624.09564589642582</v>
      </c>
    </row>
    <row r="970" spans="6:20" x14ac:dyDescent="0.35">
      <c r="F970" s="1">
        <f t="shared" si="171"/>
        <v>19.339999999999677</v>
      </c>
      <c r="G970">
        <f>1/2*$B$8*$B$6*$B$7*(Tabelle2[[#This Row],[vx]]*Tabelle2[[#This Row],[vx]]+Tabelle2[[#This Row],[vy]]*Tabelle2[[#This Row],[vy]])/1000000</f>
        <v>33.534893159993388</v>
      </c>
      <c r="H970">
        <f>IF($B$3,-Tabelle2[[#This Row],[Fd]]*Tabelle2[[#This Row],[vx]]/Tabelle2[[#This Row],[v]],0)</f>
        <v>0</v>
      </c>
      <c r="I970">
        <f t="shared" si="165"/>
        <v>0</v>
      </c>
      <c r="J970">
        <f t="shared" si="166"/>
        <v>0</v>
      </c>
      <c r="K970">
        <f t="shared" si="167"/>
        <v>1.0467394398169905</v>
      </c>
      <c r="L970">
        <f>-$B$5*$B$12-IF($B$3,Tabelle2[[#This Row],[Fd]]*Tabelle2[[#This Row],[vy]]/Tabelle2[[#This Row],[v]],0)</f>
        <v>-14.715</v>
      </c>
      <c r="M970">
        <f t="shared" si="168"/>
        <v>-9.81</v>
      </c>
      <c r="N970">
        <f t="shared" si="169"/>
        <v>-0.19620000000000001</v>
      </c>
      <c r="O970">
        <f t="shared" si="170"/>
        <v>-2.5490145120880667</v>
      </c>
      <c r="P970" s="1">
        <f t="shared" si="172"/>
        <v>52.336971990849527</v>
      </c>
      <c r="Q970" s="1">
        <f t="shared" si="173"/>
        <v>-127.35262560440333</v>
      </c>
      <c r="R970">
        <f>SQRT(Tabelle2[[#This Row],[vx]]*Tabelle2[[#This Row],[vx]]+Tabelle2[[#This Row],[vy]]*Tabelle2[[#This Row],[vy]])</f>
        <v>137.68750809534717</v>
      </c>
      <c r="S970">
        <f t="shared" si="174"/>
        <v>1012.1970383030196</v>
      </c>
      <c r="T970" s="1">
        <f t="shared" si="175"/>
        <v>-626.64073640851393</v>
      </c>
    </row>
    <row r="971" spans="6:20" x14ac:dyDescent="0.35">
      <c r="F971" s="1">
        <f t="shared" si="171"/>
        <v>19.359999999999676</v>
      </c>
      <c r="G971">
        <f>1/2*$B$8*$B$6*$B$7*(Tabelle2[[#This Row],[vx]]*Tabelle2[[#This Row],[vx]]+Tabelle2[[#This Row],[vy]]*Tabelle2[[#This Row],[vy]])/1000000</f>
        <v>33.623359723633676</v>
      </c>
      <c r="H971">
        <f>IF($B$3,-Tabelle2[[#This Row],[Fd]]*Tabelle2[[#This Row],[vx]]/Tabelle2[[#This Row],[v]],0)</f>
        <v>0</v>
      </c>
      <c r="I971">
        <f t="shared" si="165"/>
        <v>0</v>
      </c>
      <c r="J971">
        <f t="shared" si="166"/>
        <v>0</v>
      </c>
      <c r="K971">
        <f t="shared" si="167"/>
        <v>1.0467394398169905</v>
      </c>
      <c r="L971">
        <f>-$B$5*$B$12-IF($B$3,Tabelle2[[#This Row],[Fd]]*Tabelle2[[#This Row],[vy]]/Tabelle2[[#This Row],[v]],0)</f>
        <v>-14.715</v>
      </c>
      <c r="M971">
        <f t="shared" si="168"/>
        <v>-9.81</v>
      </c>
      <c r="N971">
        <f t="shared" si="169"/>
        <v>-0.19620000000000001</v>
      </c>
      <c r="O971">
        <f t="shared" si="170"/>
        <v>-2.5529385120880668</v>
      </c>
      <c r="P971" s="1">
        <f t="shared" si="172"/>
        <v>52.336971990849527</v>
      </c>
      <c r="Q971" s="1">
        <f t="shared" si="173"/>
        <v>-127.54882560440333</v>
      </c>
      <c r="R971">
        <f>SQRT(Tabelle2[[#This Row],[vx]]*Tabelle2[[#This Row],[vx]]+Tabelle2[[#This Row],[vy]]*Tabelle2[[#This Row],[vy]])</f>
        <v>137.86900141160618</v>
      </c>
      <c r="S971">
        <f t="shared" si="174"/>
        <v>1013.2437777428365</v>
      </c>
      <c r="T971" s="1">
        <f t="shared" si="175"/>
        <v>-629.18975092060202</v>
      </c>
    </row>
    <row r="972" spans="6:20" x14ac:dyDescent="0.35">
      <c r="F972" s="1">
        <f t="shared" si="171"/>
        <v>19.379999999999676</v>
      </c>
      <c r="G972">
        <f>1/2*$B$8*$B$6*$B$7*(Tabelle2[[#This Row],[vx]]*Tabelle2[[#This Row],[vx]]+Tabelle2[[#This Row],[vy]]*Tabelle2[[#This Row],[vy]])/1000000</f>
        <v>33.711962474335301</v>
      </c>
      <c r="H972">
        <f>IF($B$3,-Tabelle2[[#This Row],[Fd]]*Tabelle2[[#This Row],[vx]]/Tabelle2[[#This Row],[v]],0)</f>
        <v>0</v>
      </c>
      <c r="I972">
        <f t="shared" si="165"/>
        <v>0</v>
      </c>
      <c r="J972">
        <f t="shared" si="166"/>
        <v>0</v>
      </c>
      <c r="K972">
        <f t="shared" si="167"/>
        <v>1.0467394398169905</v>
      </c>
      <c r="L972">
        <f>-$B$5*$B$12-IF($B$3,Tabelle2[[#This Row],[Fd]]*Tabelle2[[#This Row],[vy]]/Tabelle2[[#This Row],[v]],0)</f>
        <v>-14.715</v>
      </c>
      <c r="M972">
        <f t="shared" si="168"/>
        <v>-9.81</v>
      </c>
      <c r="N972">
        <f t="shared" si="169"/>
        <v>-0.19620000000000001</v>
      </c>
      <c r="O972">
        <f t="shared" si="170"/>
        <v>-2.5568625120880668</v>
      </c>
      <c r="P972" s="1">
        <f t="shared" si="172"/>
        <v>52.336971990849527</v>
      </c>
      <c r="Q972" s="1">
        <f t="shared" si="173"/>
        <v>-127.74502560440334</v>
      </c>
      <c r="R972">
        <f>SQRT(Tabelle2[[#This Row],[vx]]*Tabelle2[[#This Row],[vx]]+Tabelle2[[#This Row],[vy]]*Tabelle2[[#This Row],[vy]])</f>
        <v>138.05053496397844</v>
      </c>
      <c r="S972">
        <f t="shared" si="174"/>
        <v>1014.2905171826535</v>
      </c>
      <c r="T972" s="1">
        <f t="shared" si="175"/>
        <v>-631.7426894326901</v>
      </c>
    </row>
    <row r="973" spans="6:20" x14ac:dyDescent="0.35">
      <c r="F973" s="1">
        <f t="shared" si="171"/>
        <v>19.399999999999675</v>
      </c>
      <c r="G973">
        <f>1/2*$B$8*$B$6*$B$7*(Tabelle2[[#This Row],[vx]]*Tabelle2[[#This Row],[vx]]+Tabelle2[[#This Row],[vy]]*Tabelle2[[#This Row],[vy]])/1000000</f>
        <v>33.800701412098256</v>
      </c>
      <c r="H973">
        <f>IF($B$3,-Tabelle2[[#This Row],[Fd]]*Tabelle2[[#This Row],[vx]]/Tabelle2[[#This Row],[v]],0)</f>
        <v>0</v>
      </c>
      <c r="I973">
        <f t="shared" si="165"/>
        <v>0</v>
      </c>
      <c r="J973">
        <f t="shared" si="166"/>
        <v>0</v>
      </c>
      <c r="K973">
        <f t="shared" si="167"/>
        <v>1.0467394398169905</v>
      </c>
      <c r="L973">
        <f>-$B$5*$B$12-IF($B$3,Tabelle2[[#This Row],[Fd]]*Tabelle2[[#This Row],[vy]]/Tabelle2[[#This Row],[v]],0)</f>
        <v>-14.715</v>
      </c>
      <c r="M973">
        <f t="shared" si="168"/>
        <v>-9.81</v>
      </c>
      <c r="N973">
        <f t="shared" si="169"/>
        <v>-0.19620000000000001</v>
      </c>
      <c r="O973">
        <f t="shared" si="170"/>
        <v>-2.5607865120880668</v>
      </c>
      <c r="P973" s="1">
        <f t="shared" si="172"/>
        <v>52.336971990849527</v>
      </c>
      <c r="Q973" s="1">
        <f t="shared" si="173"/>
        <v>-127.94122560440334</v>
      </c>
      <c r="R973">
        <f>SQRT(Tabelle2[[#This Row],[vx]]*Tabelle2[[#This Row],[vx]]+Tabelle2[[#This Row],[vy]]*Tabelle2[[#This Row],[vy]])</f>
        <v>138.23210859394354</v>
      </c>
      <c r="S973">
        <f t="shared" si="174"/>
        <v>1015.3372566224705</v>
      </c>
      <c r="T973" s="1">
        <f t="shared" si="175"/>
        <v>-634.29955194477816</v>
      </c>
    </row>
    <row r="974" spans="6:20" x14ac:dyDescent="0.35">
      <c r="F974" s="1">
        <f t="shared" si="171"/>
        <v>19.419999999999675</v>
      </c>
      <c r="G974">
        <f>1/2*$B$8*$B$6*$B$7*(Tabelle2[[#This Row],[vx]]*Tabelle2[[#This Row],[vx]]+Tabelle2[[#This Row],[vy]]*Tabelle2[[#This Row],[vy]])/1000000</f>
        <v>33.889576536922576</v>
      </c>
      <c r="H974">
        <f>IF($B$3,-Tabelle2[[#This Row],[Fd]]*Tabelle2[[#This Row],[vx]]/Tabelle2[[#This Row],[v]],0)</f>
        <v>0</v>
      </c>
      <c r="I974">
        <f t="shared" si="165"/>
        <v>0</v>
      </c>
      <c r="J974">
        <f t="shared" si="166"/>
        <v>0</v>
      </c>
      <c r="K974">
        <f t="shared" si="167"/>
        <v>1.0467394398169905</v>
      </c>
      <c r="L974">
        <f>-$B$5*$B$12-IF($B$3,Tabelle2[[#This Row],[Fd]]*Tabelle2[[#This Row],[vy]]/Tabelle2[[#This Row],[v]],0)</f>
        <v>-14.715</v>
      </c>
      <c r="M974">
        <f t="shared" si="168"/>
        <v>-9.81</v>
      </c>
      <c r="N974">
        <f t="shared" si="169"/>
        <v>-0.19620000000000001</v>
      </c>
      <c r="O974">
        <f t="shared" si="170"/>
        <v>-2.5647105120880669</v>
      </c>
      <c r="P974" s="1">
        <f t="shared" si="172"/>
        <v>52.336971990849527</v>
      </c>
      <c r="Q974" s="1">
        <f t="shared" si="173"/>
        <v>-128.13742560440335</v>
      </c>
      <c r="R974">
        <f>SQRT(Tabelle2[[#This Row],[vx]]*Tabelle2[[#This Row],[vx]]+Tabelle2[[#This Row],[vy]]*Tabelle2[[#This Row],[vy]])</f>
        <v>138.41372214377796</v>
      </c>
      <c r="S974">
        <f t="shared" si="174"/>
        <v>1016.3839960622875</v>
      </c>
      <c r="T974" s="1">
        <f t="shared" si="175"/>
        <v>-636.8603384568662</v>
      </c>
    </row>
    <row r="975" spans="6:20" x14ac:dyDescent="0.35">
      <c r="F975" s="1">
        <f t="shared" si="171"/>
        <v>19.439999999999674</v>
      </c>
      <c r="G975">
        <f>1/2*$B$8*$B$6*$B$7*(Tabelle2[[#This Row],[vx]]*Tabelle2[[#This Row],[vx]]+Tabelle2[[#This Row],[vy]]*Tabelle2[[#This Row],[vy]])/1000000</f>
        <v>33.978587848808232</v>
      </c>
      <c r="H975">
        <f>IF($B$3,-Tabelle2[[#This Row],[Fd]]*Tabelle2[[#This Row],[vx]]/Tabelle2[[#This Row],[v]],0)</f>
        <v>0</v>
      </c>
      <c r="I975">
        <f t="shared" si="165"/>
        <v>0</v>
      </c>
      <c r="J975">
        <f t="shared" si="166"/>
        <v>0</v>
      </c>
      <c r="K975">
        <f t="shared" si="167"/>
        <v>1.0467394398169905</v>
      </c>
      <c r="L975">
        <f>-$B$5*$B$12-IF($B$3,Tabelle2[[#This Row],[Fd]]*Tabelle2[[#This Row],[vy]]/Tabelle2[[#This Row],[v]],0)</f>
        <v>-14.715</v>
      </c>
      <c r="M975">
        <f t="shared" si="168"/>
        <v>-9.81</v>
      </c>
      <c r="N975">
        <f t="shared" si="169"/>
        <v>-0.19620000000000001</v>
      </c>
      <c r="O975">
        <f t="shared" si="170"/>
        <v>-2.5686345120880669</v>
      </c>
      <c r="P975" s="1">
        <f t="shared" si="172"/>
        <v>52.336971990849527</v>
      </c>
      <c r="Q975" s="1">
        <f t="shared" si="173"/>
        <v>-128.33362560440335</v>
      </c>
      <c r="R975">
        <f>SQRT(Tabelle2[[#This Row],[vx]]*Tabelle2[[#This Row],[vx]]+Tabelle2[[#This Row],[vy]]*Tabelle2[[#This Row],[vy]])</f>
        <v>138.59537545655027</v>
      </c>
      <c r="S975">
        <f t="shared" si="174"/>
        <v>1017.4307355021044</v>
      </c>
      <c r="T975" s="1">
        <f t="shared" si="175"/>
        <v>-639.42504896895423</v>
      </c>
    </row>
    <row r="976" spans="6:20" x14ac:dyDescent="0.35">
      <c r="F976" s="1">
        <f t="shared" si="171"/>
        <v>19.459999999999674</v>
      </c>
      <c r="G976">
        <f>1/2*$B$8*$B$6*$B$7*(Tabelle2[[#This Row],[vx]]*Tabelle2[[#This Row],[vx]]+Tabelle2[[#This Row],[vy]]*Tabelle2[[#This Row],[vy]])/1000000</f>
        <v>34.067735347755232</v>
      </c>
      <c r="H976">
        <f>IF($B$3,-Tabelle2[[#This Row],[Fd]]*Tabelle2[[#This Row],[vx]]/Tabelle2[[#This Row],[v]],0)</f>
        <v>0</v>
      </c>
      <c r="I976">
        <f t="shared" si="165"/>
        <v>0</v>
      </c>
      <c r="J976">
        <f t="shared" si="166"/>
        <v>0</v>
      </c>
      <c r="K976">
        <f t="shared" si="167"/>
        <v>1.0467394398169905</v>
      </c>
      <c r="L976">
        <f>-$B$5*$B$12-IF($B$3,Tabelle2[[#This Row],[Fd]]*Tabelle2[[#This Row],[vy]]/Tabelle2[[#This Row],[v]],0)</f>
        <v>-14.715</v>
      </c>
      <c r="M976">
        <f t="shared" si="168"/>
        <v>-9.81</v>
      </c>
      <c r="N976">
        <f t="shared" si="169"/>
        <v>-0.19620000000000001</v>
      </c>
      <c r="O976">
        <f t="shared" si="170"/>
        <v>-2.572558512088067</v>
      </c>
      <c r="P976" s="1">
        <f t="shared" si="172"/>
        <v>52.336971990849527</v>
      </c>
      <c r="Q976" s="1">
        <f t="shared" si="173"/>
        <v>-128.52982560440336</v>
      </c>
      <c r="R976">
        <f>SQRT(Tabelle2[[#This Row],[vx]]*Tabelle2[[#This Row],[vx]]+Tabelle2[[#This Row],[vy]]*Tabelle2[[#This Row],[vy]])</f>
        <v>138.77706837611646</v>
      </c>
      <c r="S976">
        <f t="shared" si="174"/>
        <v>1018.4774749419214</v>
      </c>
      <c r="T976" s="1">
        <f t="shared" si="175"/>
        <v>-641.99368348104224</v>
      </c>
    </row>
    <row r="977" spans="6:20" x14ac:dyDescent="0.35">
      <c r="F977" s="1">
        <f t="shared" si="171"/>
        <v>19.479999999999674</v>
      </c>
      <c r="G977">
        <f>1/2*$B$8*$B$6*$B$7*(Tabelle2[[#This Row],[vx]]*Tabelle2[[#This Row],[vx]]+Tabelle2[[#This Row],[vy]]*Tabelle2[[#This Row],[vy]])/1000000</f>
        <v>34.157019033763582</v>
      </c>
      <c r="H977">
        <f>IF($B$3,-Tabelle2[[#This Row],[Fd]]*Tabelle2[[#This Row],[vx]]/Tabelle2[[#This Row],[v]],0)</f>
        <v>0</v>
      </c>
      <c r="I977">
        <f t="shared" si="165"/>
        <v>0</v>
      </c>
      <c r="J977">
        <f t="shared" si="166"/>
        <v>0</v>
      </c>
      <c r="K977">
        <f t="shared" si="167"/>
        <v>1.0467394398169905</v>
      </c>
      <c r="L977">
        <f>-$B$5*$B$12-IF($B$3,Tabelle2[[#This Row],[Fd]]*Tabelle2[[#This Row],[vy]]/Tabelle2[[#This Row],[v]],0)</f>
        <v>-14.715</v>
      </c>
      <c r="M977">
        <f t="shared" si="168"/>
        <v>-9.81</v>
      </c>
      <c r="N977">
        <f t="shared" si="169"/>
        <v>-0.19620000000000001</v>
      </c>
      <c r="O977">
        <f t="shared" si="170"/>
        <v>-2.576482512088067</v>
      </c>
      <c r="P977" s="1">
        <f t="shared" si="172"/>
        <v>52.336971990849527</v>
      </c>
      <c r="Q977" s="1">
        <f t="shared" si="173"/>
        <v>-128.72602560440336</v>
      </c>
      <c r="R977">
        <f>SQRT(Tabelle2[[#This Row],[vx]]*Tabelle2[[#This Row],[vx]]+Tabelle2[[#This Row],[vy]]*Tabelle2[[#This Row],[vy]])</f>
        <v>138.95880074711525</v>
      </c>
      <c r="S977">
        <f t="shared" si="174"/>
        <v>1019.5242143817384</v>
      </c>
      <c r="T977" s="1">
        <f t="shared" si="175"/>
        <v>-644.56624199313035</v>
      </c>
    </row>
    <row r="978" spans="6:20" x14ac:dyDescent="0.35">
      <c r="F978" s="1">
        <f t="shared" si="171"/>
        <v>19.499999999999673</v>
      </c>
      <c r="G978">
        <f>1/2*$B$8*$B$6*$B$7*(Tabelle2[[#This Row],[vx]]*Tabelle2[[#This Row],[vx]]+Tabelle2[[#This Row],[vy]]*Tabelle2[[#This Row],[vy]])/1000000</f>
        <v>34.246438906833269</v>
      </c>
      <c r="H978">
        <f>IF($B$3,-Tabelle2[[#This Row],[Fd]]*Tabelle2[[#This Row],[vx]]/Tabelle2[[#This Row],[v]],0)</f>
        <v>0</v>
      </c>
      <c r="I978">
        <f t="shared" si="165"/>
        <v>0</v>
      </c>
      <c r="J978">
        <f t="shared" si="166"/>
        <v>0</v>
      </c>
      <c r="K978">
        <f t="shared" si="167"/>
        <v>1.0467394398169905</v>
      </c>
      <c r="L978">
        <f>-$B$5*$B$12-IF($B$3,Tabelle2[[#This Row],[Fd]]*Tabelle2[[#This Row],[vy]]/Tabelle2[[#This Row],[v]],0)</f>
        <v>-14.715</v>
      </c>
      <c r="M978">
        <f t="shared" si="168"/>
        <v>-9.81</v>
      </c>
      <c r="N978">
        <f t="shared" si="169"/>
        <v>-0.19620000000000001</v>
      </c>
      <c r="O978">
        <f t="shared" si="170"/>
        <v>-2.580406512088067</v>
      </c>
      <c r="P978" s="1">
        <f t="shared" si="172"/>
        <v>52.336971990849527</v>
      </c>
      <c r="Q978" s="1">
        <f t="shared" si="173"/>
        <v>-128.92222560440337</v>
      </c>
      <c r="R978">
        <f>SQRT(Tabelle2[[#This Row],[vx]]*Tabelle2[[#This Row],[vx]]+Tabelle2[[#This Row],[vy]]*Tabelle2[[#This Row],[vy]])</f>
        <v>139.14057241496332</v>
      </c>
      <c r="S978">
        <f t="shared" si="174"/>
        <v>1020.5709538215553</v>
      </c>
      <c r="T978" s="1">
        <f t="shared" si="175"/>
        <v>-647.14272450521844</v>
      </c>
    </row>
    <row r="979" spans="6:20" x14ac:dyDescent="0.35">
      <c r="F979" s="1">
        <f t="shared" si="171"/>
        <v>19.519999999999673</v>
      </c>
      <c r="G979">
        <f>1/2*$B$8*$B$6*$B$7*(Tabelle2[[#This Row],[vx]]*Tabelle2[[#This Row],[vx]]+Tabelle2[[#This Row],[vy]]*Tabelle2[[#This Row],[vy]])/1000000</f>
        <v>34.3359949669643</v>
      </c>
      <c r="H979">
        <f>IF($B$3,-Tabelle2[[#This Row],[Fd]]*Tabelle2[[#This Row],[vx]]/Tabelle2[[#This Row],[v]],0)</f>
        <v>0</v>
      </c>
      <c r="I979">
        <f t="shared" si="165"/>
        <v>0</v>
      </c>
      <c r="J979">
        <f t="shared" si="166"/>
        <v>0</v>
      </c>
      <c r="K979">
        <f t="shared" si="167"/>
        <v>1.0467394398169905</v>
      </c>
      <c r="L979">
        <f>-$B$5*$B$12-IF($B$3,Tabelle2[[#This Row],[Fd]]*Tabelle2[[#This Row],[vy]]/Tabelle2[[#This Row],[v]],0)</f>
        <v>-14.715</v>
      </c>
      <c r="M979">
        <f t="shared" si="168"/>
        <v>-9.81</v>
      </c>
      <c r="N979">
        <f t="shared" si="169"/>
        <v>-0.19620000000000001</v>
      </c>
      <c r="O979">
        <f t="shared" si="170"/>
        <v>-2.5843305120880671</v>
      </c>
      <c r="P979" s="1">
        <f t="shared" si="172"/>
        <v>52.336971990849527</v>
      </c>
      <c r="Q979" s="1">
        <f t="shared" si="173"/>
        <v>-129.11842560440337</v>
      </c>
      <c r="R979">
        <f>SQRT(Tabelle2[[#This Row],[vx]]*Tabelle2[[#This Row],[vx]]+Tabelle2[[#This Row],[vy]]*Tabelle2[[#This Row],[vy]])</f>
        <v>139.32238322585073</v>
      </c>
      <c r="S979">
        <f t="shared" si="174"/>
        <v>1021.6176932613723</v>
      </c>
      <c r="T979" s="1">
        <f t="shared" si="175"/>
        <v>-649.72313101730651</v>
      </c>
    </row>
    <row r="980" spans="6:20" x14ac:dyDescent="0.35">
      <c r="F980" s="1">
        <f t="shared" si="171"/>
        <v>19.539999999999672</v>
      </c>
      <c r="G980">
        <f>1/2*$B$8*$B$6*$B$7*(Tabelle2[[#This Row],[vx]]*Tabelle2[[#This Row],[vx]]+Tabelle2[[#This Row],[vy]]*Tabelle2[[#This Row],[vy]])/1000000</f>
        <v>34.425687214156675</v>
      </c>
      <c r="H980">
        <f>IF($B$3,-Tabelle2[[#This Row],[Fd]]*Tabelle2[[#This Row],[vx]]/Tabelle2[[#This Row],[v]],0)</f>
        <v>0</v>
      </c>
      <c r="I980">
        <f t="shared" si="165"/>
        <v>0</v>
      </c>
      <c r="J980">
        <f t="shared" si="166"/>
        <v>0</v>
      </c>
      <c r="K980">
        <f t="shared" si="167"/>
        <v>1.0467394398169905</v>
      </c>
      <c r="L980">
        <f>-$B$5*$B$12-IF($B$3,Tabelle2[[#This Row],[Fd]]*Tabelle2[[#This Row],[vy]]/Tabelle2[[#This Row],[v]],0)</f>
        <v>-14.715</v>
      </c>
      <c r="M980">
        <f t="shared" si="168"/>
        <v>-9.81</v>
      </c>
      <c r="N980">
        <f t="shared" si="169"/>
        <v>-0.19620000000000001</v>
      </c>
      <c r="O980">
        <f t="shared" si="170"/>
        <v>-2.5882545120880671</v>
      </c>
      <c r="P980" s="1">
        <f t="shared" si="172"/>
        <v>52.336971990849527</v>
      </c>
      <c r="Q980" s="1">
        <f t="shared" si="173"/>
        <v>-129.31462560440337</v>
      </c>
      <c r="R980">
        <f>SQRT(Tabelle2[[#This Row],[vx]]*Tabelle2[[#This Row],[vx]]+Tabelle2[[#This Row],[vy]]*Tabelle2[[#This Row],[vy]])</f>
        <v>139.50423302673644</v>
      </c>
      <c r="S980">
        <f t="shared" si="174"/>
        <v>1022.6644327011893</v>
      </c>
      <c r="T980" s="1">
        <f t="shared" si="175"/>
        <v>-652.30746152939457</v>
      </c>
    </row>
    <row r="981" spans="6:20" x14ac:dyDescent="0.35">
      <c r="F981" s="1">
        <f t="shared" si="171"/>
        <v>19.559999999999672</v>
      </c>
      <c r="G981">
        <f>1/2*$B$8*$B$6*$B$7*(Tabelle2[[#This Row],[vx]]*Tabelle2[[#This Row],[vx]]+Tabelle2[[#This Row],[vy]]*Tabelle2[[#This Row],[vy]])/1000000</f>
        <v>34.515515648410386</v>
      </c>
      <c r="H981">
        <f>IF($B$3,-Tabelle2[[#This Row],[Fd]]*Tabelle2[[#This Row],[vx]]/Tabelle2[[#This Row],[v]],0)</f>
        <v>0</v>
      </c>
      <c r="I981">
        <f t="shared" si="165"/>
        <v>0</v>
      </c>
      <c r="J981">
        <f t="shared" si="166"/>
        <v>0</v>
      </c>
      <c r="K981">
        <f t="shared" si="167"/>
        <v>1.0467394398169905</v>
      </c>
      <c r="L981">
        <f>-$B$5*$B$12-IF($B$3,Tabelle2[[#This Row],[Fd]]*Tabelle2[[#This Row],[vy]]/Tabelle2[[#This Row],[v]],0)</f>
        <v>-14.715</v>
      </c>
      <c r="M981">
        <f t="shared" si="168"/>
        <v>-9.81</v>
      </c>
      <c r="N981">
        <f t="shared" si="169"/>
        <v>-0.19620000000000001</v>
      </c>
      <c r="O981">
        <f t="shared" si="170"/>
        <v>-2.5921785120880676</v>
      </c>
      <c r="P981" s="1">
        <f t="shared" si="172"/>
        <v>52.336971990849527</v>
      </c>
      <c r="Q981" s="1">
        <f t="shared" si="173"/>
        <v>-129.51082560440338</v>
      </c>
      <c r="R981">
        <f>SQRT(Tabelle2[[#This Row],[vx]]*Tabelle2[[#This Row],[vx]]+Tabelle2[[#This Row],[vy]]*Tabelle2[[#This Row],[vy]])</f>
        <v>139.68612166534351</v>
      </c>
      <c r="S981">
        <f t="shared" si="174"/>
        <v>1023.7111721410063</v>
      </c>
      <c r="T981" s="1">
        <f t="shared" si="175"/>
        <v>-654.89571604148261</v>
      </c>
    </row>
    <row r="982" spans="6:20" x14ac:dyDescent="0.35">
      <c r="F982" s="1">
        <f t="shared" si="171"/>
        <v>19.579999999999671</v>
      </c>
      <c r="G982">
        <f>1/2*$B$8*$B$6*$B$7*(Tabelle2[[#This Row],[vx]]*Tabelle2[[#This Row],[vx]]+Tabelle2[[#This Row],[vy]]*Tabelle2[[#This Row],[vy]])/1000000</f>
        <v>34.605480269725454</v>
      </c>
      <c r="H982">
        <f>IF($B$3,-Tabelle2[[#This Row],[Fd]]*Tabelle2[[#This Row],[vx]]/Tabelle2[[#This Row],[v]],0)</f>
        <v>0</v>
      </c>
      <c r="I982">
        <f t="shared" si="165"/>
        <v>0</v>
      </c>
      <c r="J982">
        <f t="shared" si="166"/>
        <v>0</v>
      </c>
      <c r="K982">
        <f t="shared" si="167"/>
        <v>1.0467394398169905</v>
      </c>
      <c r="L982">
        <f>-$B$5*$B$12-IF($B$3,Tabelle2[[#This Row],[Fd]]*Tabelle2[[#This Row],[vy]]/Tabelle2[[#This Row],[v]],0)</f>
        <v>-14.715</v>
      </c>
      <c r="M982">
        <f t="shared" si="168"/>
        <v>-9.81</v>
      </c>
      <c r="N982">
        <f t="shared" si="169"/>
        <v>-0.19620000000000001</v>
      </c>
      <c r="O982">
        <f t="shared" si="170"/>
        <v>-2.5961025120880676</v>
      </c>
      <c r="P982" s="1">
        <f t="shared" si="172"/>
        <v>52.336971990849527</v>
      </c>
      <c r="Q982" s="1">
        <f t="shared" si="173"/>
        <v>-129.70702560440338</v>
      </c>
      <c r="R982">
        <f>SQRT(Tabelle2[[#This Row],[vx]]*Tabelle2[[#This Row],[vx]]+Tabelle2[[#This Row],[vy]]*Tabelle2[[#This Row],[vy]])</f>
        <v>139.86804899015473</v>
      </c>
      <c r="S982">
        <f t="shared" si="174"/>
        <v>1024.7579115808232</v>
      </c>
      <c r="T982" s="1">
        <f t="shared" si="175"/>
        <v>-657.48789455357064</v>
      </c>
    </row>
    <row r="983" spans="6:20" x14ac:dyDescent="0.35">
      <c r="F983" s="1">
        <f t="shared" si="171"/>
        <v>19.599999999999671</v>
      </c>
      <c r="G983">
        <f>1/2*$B$8*$B$6*$B$7*(Tabelle2[[#This Row],[vx]]*Tabelle2[[#This Row],[vx]]+Tabelle2[[#This Row],[vy]]*Tabelle2[[#This Row],[vy]])/1000000</f>
        <v>34.695581078101867</v>
      </c>
      <c r="H983">
        <f>IF($B$3,-Tabelle2[[#This Row],[Fd]]*Tabelle2[[#This Row],[vx]]/Tabelle2[[#This Row],[v]],0)</f>
        <v>0</v>
      </c>
      <c r="I983">
        <f t="shared" si="165"/>
        <v>0</v>
      </c>
      <c r="J983">
        <f t="shared" si="166"/>
        <v>0</v>
      </c>
      <c r="K983">
        <f t="shared" si="167"/>
        <v>1.0467394398169905</v>
      </c>
      <c r="L983">
        <f>-$B$5*$B$12-IF($B$3,Tabelle2[[#This Row],[Fd]]*Tabelle2[[#This Row],[vy]]/Tabelle2[[#This Row],[v]],0)</f>
        <v>-14.715</v>
      </c>
      <c r="M983">
        <f t="shared" si="168"/>
        <v>-9.81</v>
      </c>
      <c r="N983">
        <f t="shared" si="169"/>
        <v>-0.19620000000000001</v>
      </c>
      <c r="O983">
        <f t="shared" si="170"/>
        <v>-2.6000265120880677</v>
      </c>
      <c r="P983" s="1">
        <f t="shared" si="172"/>
        <v>52.336971990849527</v>
      </c>
      <c r="Q983" s="1">
        <f t="shared" si="173"/>
        <v>-129.90322560440339</v>
      </c>
      <c r="R983">
        <f>SQRT(Tabelle2[[#This Row],[vx]]*Tabelle2[[#This Row],[vx]]+Tabelle2[[#This Row],[vy]]*Tabelle2[[#This Row],[vy]])</f>
        <v>140.05001485040796</v>
      </c>
      <c r="S983">
        <f t="shared" si="174"/>
        <v>1025.8046510206402</v>
      </c>
      <c r="T983" s="1">
        <f t="shared" si="175"/>
        <v>-660.08399706565876</v>
      </c>
    </row>
    <row r="984" spans="6:20" x14ac:dyDescent="0.35">
      <c r="F984" s="1">
        <f t="shared" si="171"/>
        <v>19.619999999999671</v>
      </c>
      <c r="G984">
        <f>1/2*$B$8*$B$6*$B$7*(Tabelle2[[#This Row],[vx]]*Tabelle2[[#This Row],[vx]]+Tabelle2[[#This Row],[vy]]*Tabelle2[[#This Row],[vy]])/1000000</f>
        <v>34.785818073539616</v>
      </c>
      <c r="H984">
        <f>IF($B$3,-Tabelle2[[#This Row],[Fd]]*Tabelle2[[#This Row],[vx]]/Tabelle2[[#This Row],[v]],0)</f>
        <v>0</v>
      </c>
      <c r="I984">
        <f t="shared" si="165"/>
        <v>0</v>
      </c>
      <c r="J984">
        <f t="shared" si="166"/>
        <v>0</v>
      </c>
      <c r="K984">
        <f t="shared" si="167"/>
        <v>1.0467394398169905</v>
      </c>
      <c r="L984">
        <f>-$B$5*$B$12-IF($B$3,Tabelle2[[#This Row],[Fd]]*Tabelle2[[#This Row],[vy]]/Tabelle2[[#This Row],[v]],0)</f>
        <v>-14.715</v>
      </c>
      <c r="M984">
        <f t="shared" si="168"/>
        <v>-9.81</v>
      </c>
      <c r="N984">
        <f t="shared" si="169"/>
        <v>-0.19620000000000001</v>
      </c>
      <c r="O984">
        <f t="shared" si="170"/>
        <v>-2.6039505120880677</v>
      </c>
      <c r="P984" s="1">
        <f t="shared" si="172"/>
        <v>52.336971990849527</v>
      </c>
      <c r="Q984" s="1">
        <f t="shared" si="173"/>
        <v>-130.09942560440339</v>
      </c>
      <c r="R984">
        <f>SQRT(Tabelle2[[#This Row],[vx]]*Tabelle2[[#This Row],[vx]]+Tabelle2[[#This Row],[vy]]*Tabelle2[[#This Row],[vy]])</f>
        <v>140.23201909609182</v>
      </c>
      <c r="S984">
        <f t="shared" si="174"/>
        <v>1026.8513904604572</v>
      </c>
      <c r="T984" s="1">
        <f t="shared" si="175"/>
        <v>-662.68402357774687</v>
      </c>
    </row>
    <row r="985" spans="6:20" x14ac:dyDescent="0.35">
      <c r="F985" s="1">
        <f t="shared" si="171"/>
        <v>19.63999999999967</v>
      </c>
      <c r="G985">
        <f>1/2*$B$8*$B$6*$B$7*(Tabelle2[[#This Row],[vx]]*Tabelle2[[#This Row],[vx]]+Tabelle2[[#This Row],[vy]]*Tabelle2[[#This Row],[vy]])/1000000</f>
        <v>34.876191256038716</v>
      </c>
      <c r="H985">
        <f>IF($B$3,-Tabelle2[[#This Row],[Fd]]*Tabelle2[[#This Row],[vx]]/Tabelle2[[#This Row],[v]],0)</f>
        <v>0</v>
      </c>
      <c r="I985">
        <f t="shared" si="165"/>
        <v>0</v>
      </c>
      <c r="J985">
        <f t="shared" si="166"/>
        <v>0</v>
      </c>
      <c r="K985">
        <f t="shared" si="167"/>
        <v>1.0467394398169905</v>
      </c>
      <c r="L985">
        <f>-$B$5*$B$12-IF($B$3,Tabelle2[[#This Row],[Fd]]*Tabelle2[[#This Row],[vy]]/Tabelle2[[#This Row],[v]],0)</f>
        <v>-14.715</v>
      </c>
      <c r="M985">
        <f t="shared" si="168"/>
        <v>-9.81</v>
      </c>
      <c r="N985">
        <f t="shared" si="169"/>
        <v>-0.19620000000000001</v>
      </c>
      <c r="O985">
        <f t="shared" si="170"/>
        <v>-2.6078745120880678</v>
      </c>
      <c r="P985" s="1">
        <f t="shared" si="172"/>
        <v>52.336971990849527</v>
      </c>
      <c r="Q985" s="1">
        <f t="shared" si="173"/>
        <v>-130.2956256044034</v>
      </c>
      <c r="R985">
        <f>SQRT(Tabelle2[[#This Row],[vx]]*Tabelle2[[#This Row],[vx]]+Tabelle2[[#This Row],[vy]]*Tabelle2[[#This Row],[vy]])</f>
        <v>140.41406157794108</v>
      </c>
      <c r="S985">
        <f t="shared" si="174"/>
        <v>1027.8981299002742</v>
      </c>
      <c r="T985" s="1">
        <f t="shared" si="175"/>
        <v>-665.28797408983496</v>
      </c>
    </row>
    <row r="986" spans="6:20" x14ac:dyDescent="0.35">
      <c r="F986" s="1">
        <f t="shared" si="171"/>
        <v>19.65999999999967</v>
      </c>
      <c r="G986">
        <f>1/2*$B$8*$B$6*$B$7*(Tabelle2[[#This Row],[vx]]*Tabelle2[[#This Row],[vx]]+Tabelle2[[#This Row],[vy]]*Tabelle2[[#This Row],[vy]])/1000000</f>
        <v>34.966700625599152</v>
      </c>
      <c r="H986">
        <f>IF($B$3,-Tabelle2[[#This Row],[Fd]]*Tabelle2[[#This Row],[vx]]/Tabelle2[[#This Row],[v]],0)</f>
        <v>0</v>
      </c>
      <c r="I986">
        <f t="shared" si="165"/>
        <v>0</v>
      </c>
      <c r="J986">
        <f t="shared" si="166"/>
        <v>0</v>
      </c>
      <c r="K986">
        <f t="shared" si="167"/>
        <v>1.0467394398169905</v>
      </c>
      <c r="L986">
        <f>-$B$5*$B$12-IF($B$3,Tabelle2[[#This Row],[Fd]]*Tabelle2[[#This Row],[vy]]/Tabelle2[[#This Row],[v]],0)</f>
        <v>-14.715</v>
      </c>
      <c r="M986">
        <f t="shared" si="168"/>
        <v>-9.81</v>
      </c>
      <c r="N986">
        <f t="shared" si="169"/>
        <v>-0.19620000000000001</v>
      </c>
      <c r="O986">
        <f t="shared" si="170"/>
        <v>-2.6117985120880678</v>
      </c>
      <c r="P986" s="1">
        <f t="shared" si="172"/>
        <v>52.336971990849527</v>
      </c>
      <c r="Q986" s="1">
        <f t="shared" si="173"/>
        <v>-130.4918256044034</v>
      </c>
      <c r="R986">
        <f>SQRT(Tabelle2[[#This Row],[vx]]*Tabelle2[[#This Row],[vx]]+Tabelle2[[#This Row],[vy]]*Tabelle2[[#This Row],[vy]])</f>
        <v>140.59614214743232</v>
      </c>
      <c r="S986">
        <f t="shared" si="174"/>
        <v>1028.9448693400911</v>
      </c>
      <c r="T986" s="1">
        <f t="shared" si="175"/>
        <v>-667.89584860192303</v>
      </c>
    </row>
    <row r="987" spans="6:20" x14ac:dyDescent="0.35">
      <c r="F987" s="1">
        <f t="shared" si="171"/>
        <v>19.679999999999669</v>
      </c>
      <c r="G987">
        <f>1/2*$B$8*$B$6*$B$7*(Tabelle2[[#This Row],[vx]]*Tabelle2[[#This Row],[vx]]+Tabelle2[[#This Row],[vy]]*Tabelle2[[#This Row],[vy]])/1000000</f>
        <v>35.057346182220947</v>
      </c>
      <c r="H987">
        <f>IF($B$3,-Tabelle2[[#This Row],[Fd]]*Tabelle2[[#This Row],[vx]]/Tabelle2[[#This Row],[v]],0)</f>
        <v>0</v>
      </c>
      <c r="I987">
        <f t="shared" si="165"/>
        <v>0</v>
      </c>
      <c r="J987">
        <f t="shared" si="166"/>
        <v>0</v>
      </c>
      <c r="K987">
        <f t="shared" si="167"/>
        <v>1.0467394398169905</v>
      </c>
      <c r="L987">
        <f>-$B$5*$B$12-IF($B$3,Tabelle2[[#This Row],[Fd]]*Tabelle2[[#This Row],[vy]]/Tabelle2[[#This Row],[v]],0)</f>
        <v>-14.715</v>
      </c>
      <c r="M987">
        <f t="shared" si="168"/>
        <v>-9.81</v>
      </c>
      <c r="N987">
        <f t="shared" si="169"/>
        <v>-0.19620000000000001</v>
      </c>
      <c r="O987">
        <f t="shared" si="170"/>
        <v>-2.6157225120880678</v>
      </c>
      <c r="P987" s="1">
        <f t="shared" si="172"/>
        <v>52.336971990849527</v>
      </c>
      <c r="Q987" s="1">
        <f t="shared" si="173"/>
        <v>-130.68802560440341</v>
      </c>
      <c r="R987">
        <f>SQRT(Tabelle2[[#This Row],[vx]]*Tabelle2[[#This Row],[vx]]+Tabelle2[[#This Row],[vy]]*Tabelle2[[#This Row],[vy]])</f>
        <v>140.77826065677957</v>
      </c>
      <c r="S987">
        <f t="shared" si="174"/>
        <v>1029.9916087799081</v>
      </c>
      <c r="T987" s="1">
        <f t="shared" si="175"/>
        <v>-670.50764711401109</v>
      </c>
    </row>
    <row r="988" spans="6:20" x14ac:dyDescent="0.35">
      <c r="F988" s="1">
        <f t="shared" si="171"/>
        <v>19.699999999999669</v>
      </c>
      <c r="G988">
        <f>1/2*$B$8*$B$6*$B$7*(Tabelle2[[#This Row],[vx]]*Tabelle2[[#This Row],[vx]]+Tabelle2[[#This Row],[vy]]*Tabelle2[[#This Row],[vy]])/1000000</f>
        <v>35.148127925904063</v>
      </c>
      <c r="H988">
        <f>IF($B$3,-Tabelle2[[#This Row],[Fd]]*Tabelle2[[#This Row],[vx]]/Tabelle2[[#This Row],[v]],0)</f>
        <v>0</v>
      </c>
      <c r="I988">
        <f t="shared" si="165"/>
        <v>0</v>
      </c>
      <c r="J988">
        <f t="shared" si="166"/>
        <v>0</v>
      </c>
      <c r="K988">
        <f t="shared" si="167"/>
        <v>1.0467394398169905</v>
      </c>
      <c r="L988">
        <f>-$B$5*$B$12-IF($B$3,Tabelle2[[#This Row],[Fd]]*Tabelle2[[#This Row],[vy]]/Tabelle2[[#This Row],[v]],0)</f>
        <v>-14.715</v>
      </c>
      <c r="M988">
        <f t="shared" si="168"/>
        <v>-9.81</v>
      </c>
      <c r="N988">
        <f t="shared" si="169"/>
        <v>-0.19620000000000001</v>
      </c>
      <c r="O988">
        <f t="shared" si="170"/>
        <v>-2.6196465120880679</v>
      </c>
      <c r="P988" s="1">
        <f t="shared" si="172"/>
        <v>52.336971990849527</v>
      </c>
      <c r="Q988" s="1">
        <f t="shared" si="173"/>
        <v>-130.88422560440341</v>
      </c>
      <c r="R988">
        <f>SQRT(Tabelle2[[#This Row],[vx]]*Tabelle2[[#This Row],[vx]]+Tabelle2[[#This Row],[vy]]*Tabelle2[[#This Row],[vy]])</f>
        <v>140.96041695892978</v>
      </c>
      <c r="S988">
        <f t="shared" si="174"/>
        <v>1031.0383482197251</v>
      </c>
      <c r="T988" s="1">
        <f t="shared" si="175"/>
        <v>-673.12336962609913</v>
      </c>
    </row>
    <row r="989" spans="6:20" x14ac:dyDescent="0.35">
      <c r="F989" s="1">
        <f t="shared" si="171"/>
        <v>19.719999999999668</v>
      </c>
      <c r="G989">
        <f>1/2*$B$8*$B$6*$B$7*(Tabelle2[[#This Row],[vx]]*Tabelle2[[#This Row],[vx]]+Tabelle2[[#This Row],[vy]]*Tabelle2[[#This Row],[vy]])/1000000</f>
        <v>35.239045856648545</v>
      </c>
      <c r="H989">
        <f>IF($B$3,-Tabelle2[[#This Row],[Fd]]*Tabelle2[[#This Row],[vx]]/Tabelle2[[#This Row],[v]],0)</f>
        <v>0</v>
      </c>
      <c r="I989">
        <f t="shared" si="165"/>
        <v>0</v>
      </c>
      <c r="J989">
        <f t="shared" si="166"/>
        <v>0</v>
      </c>
      <c r="K989">
        <f t="shared" si="167"/>
        <v>1.0467394398169905</v>
      </c>
      <c r="L989">
        <f>-$B$5*$B$12-IF($B$3,Tabelle2[[#This Row],[Fd]]*Tabelle2[[#This Row],[vy]]/Tabelle2[[#This Row],[v]],0)</f>
        <v>-14.715</v>
      </c>
      <c r="M989">
        <f t="shared" si="168"/>
        <v>-9.81</v>
      </c>
      <c r="N989">
        <f t="shared" si="169"/>
        <v>-0.19620000000000001</v>
      </c>
      <c r="O989">
        <f t="shared" si="170"/>
        <v>-2.6235705120880684</v>
      </c>
      <c r="P989" s="1">
        <f t="shared" si="172"/>
        <v>52.336971990849527</v>
      </c>
      <c r="Q989" s="1">
        <f t="shared" si="173"/>
        <v>-131.08042560440342</v>
      </c>
      <c r="R989">
        <f>SQRT(Tabelle2[[#This Row],[vx]]*Tabelle2[[#This Row],[vx]]+Tabelle2[[#This Row],[vy]]*Tabelle2[[#This Row],[vy]])</f>
        <v>141.14261090755869</v>
      </c>
      <c r="S989">
        <f t="shared" si="174"/>
        <v>1032.0850876595421</v>
      </c>
      <c r="T989" s="1">
        <f t="shared" si="175"/>
        <v>-675.74301613818716</v>
      </c>
    </row>
    <row r="990" spans="6:20" x14ac:dyDescent="0.35">
      <c r="F990" s="1">
        <f t="shared" si="171"/>
        <v>19.739999999999668</v>
      </c>
      <c r="G990">
        <f>1/2*$B$8*$B$6*$B$7*(Tabelle2[[#This Row],[vx]]*Tabelle2[[#This Row],[vx]]+Tabelle2[[#This Row],[vy]]*Tabelle2[[#This Row],[vy]])/1000000</f>
        <v>35.330099974454349</v>
      </c>
      <c r="H990">
        <f>IF($B$3,-Tabelle2[[#This Row],[Fd]]*Tabelle2[[#This Row],[vx]]/Tabelle2[[#This Row],[v]],0)</f>
        <v>0</v>
      </c>
      <c r="I990">
        <f t="shared" si="165"/>
        <v>0</v>
      </c>
      <c r="J990">
        <f t="shared" si="166"/>
        <v>0</v>
      </c>
      <c r="K990">
        <f t="shared" si="167"/>
        <v>1.0467394398169905</v>
      </c>
      <c r="L990">
        <f>-$B$5*$B$12-IF($B$3,Tabelle2[[#This Row],[Fd]]*Tabelle2[[#This Row],[vy]]/Tabelle2[[#This Row],[v]],0)</f>
        <v>-14.715</v>
      </c>
      <c r="M990">
        <f t="shared" si="168"/>
        <v>-9.81</v>
      </c>
      <c r="N990">
        <f t="shared" si="169"/>
        <v>-0.19620000000000001</v>
      </c>
      <c r="O990">
        <f t="shared" si="170"/>
        <v>-2.6274945120880684</v>
      </c>
      <c r="P990" s="1">
        <f t="shared" si="172"/>
        <v>52.336971990849527</v>
      </c>
      <c r="Q990" s="1">
        <f t="shared" si="173"/>
        <v>-131.27662560440342</v>
      </c>
      <c r="R990">
        <f>SQRT(Tabelle2[[#This Row],[vx]]*Tabelle2[[#This Row],[vx]]+Tabelle2[[#This Row],[vy]]*Tabelle2[[#This Row],[vy]])</f>
        <v>141.32484235706642</v>
      </c>
      <c r="S990">
        <f t="shared" si="174"/>
        <v>1033.131827099359</v>
      </c>
      <c r="T990" s="1">
        <f t="shared" si="175"/>
        <v>-678.36658665027528</v>
      </c>
    </row>
    <row r="991" spans="6:20" x14ac:dyDescent="0.35">
      <c r="F991" s="1">
        <f t="shared" si="171"/>
        <v>19.759999999999668</v>
      </c>
      <c r="G991">
        <f>1/2*$B$8*$B$6*$B$7*(Tabelle2[[#This Row],[vx]]*Tabelle2[[#This Row],[vx]]+Tabelle2[[#This Row],[vy]]*Tabelle2[[#This Row],[vy]])/1000000</f>
        <v>35.421290279321511</v>
      </c>
      <c r="H991">
        <f>IF($B$3,-Tabelle2[[#This Row],[Fd]]*Tabelle2[[#This Row],[vx]]/Tabelle2[[#This Row],[v]],0)</f>
        <v>0</v>
      </c>
      <c r="I991">
        <f t="shared" si="165"/>
        <v>0</v>
      </c>
      <c r="J991">
        <f t="shared" si="166"/>
        <v>0</v>
      </c>
      <c r="K991">
        <f t="shared" si="167"/>
        <v>1.0467394398169905</v>
      </c>
      <c r="L991">
        <f>-$B$5*$B$12-IF($B$3,Tabelle2[[#This Row],[Fd]]*Tabelle2[[#This Row],[vy]]/Tabelle2[[#This Row],[v]],0)</f>
        <v>-14.715</v>
      </c>
      <c r="M991">
        <f t="shared" si="168"/>
        <v>-9.81</v>
      </c>
      <c r="N991">
        <f t="shared" si="169"/>
        <v>-0.19620000000000001</v>
      </c>
      <c r="O991">
        <f t="shared" si="170"/>
        <v>-2.6314185120880684</v>
      </c>
      <c r="P991" s="1">
        <f t="shared" si="172"/>
        <v>52.336971990849527</v>
      </c>
      <c r="Q991" s="1">
        <f t="shared" si="173"/>
        <v>-131.47282560440343</v>
      </c>
      <c r="R991">
        <f>SQRT(Tabelle2[[#This Row],[vx]]*Tabelle2[[#This Row],[vx]]+Tabelle2[[#This Row],[vy]]*Tabelle2[[#This Row],[vy]])</f>
        <v>141.50711116257318</v>
      </c>
      <c r="S991">
        <f t="shared" si="174"/>
        <v>1034.178566539176</v>
      </c>
      <c r="T991" s="1">
        <f t="shared" si="175"/>
        <v>-680.99408116236339</v>
      </c>
    </row>
    <row r="992" spans="6:20" x14ac:dyDescent="0.35">
      <c r="F992" s="1">
        <f t="shared" si="171"/>
        <v>19.779999999999667</v>
      </c>
      <c r="G992">
        <f>1/2*$B$8*$B$6*$B$7*(Tabelle2[[#This Row],[vx]]*Tabelle2[[#This Row],[vx]]+Tabelle2[[#This Row],[vy]]*Tabelle2[[#This Row],[vy]])/1000000</f>
        <v>35.512616771250023</v>
      </c>
      <c r="H992">
        <f>IF($B$3,-Tabelle2[[#This Row],[Fd]]*Tabelle2[[#This Row],[vx]]/Tabelle2[[#This Row],[v]],0)</f>
        <v>0</v>
      </c>
      <c r="I992">
        <f t="shared" si="165"/>
        <v>0</v>
      </c>
      <c r="J992">
        <f t="shared" si="166"/>
        <v>0</v>
      </c>
      <c r="K992">
        <f t="shared" si="167"/>
        <v>1.0467394398169905</v>
      </c>
      <c r="L992">
        <f>-$B$5*$B$12-IF($B$3,Tabelle2[[#This Row],[Fd]]*Tabelle2[[#This Row],[vy]]/Tabelle2[[#This Row],[v]],0)</f>
        <v>-14.715</v>
      </c>
      <c r="M992">
        <f t="shared" si="168"/>
        <v>-9.81</v>
      </c>
      <c r="N992">
        <f t="shared" si="169"/>
        <v>-0.19620000000000001</v>
      </c>
      <c r="O992">
        <f t="shared" si="170"/>
        <v>-2.6353425120880685</v>
      </c>
      <c r="P992" s="1">
        <f t="shared" si="172"/>
        <v>52.336971990849527</v>
      </c>
      <c r="Q992" s="1">
        <f t="shared" si="173"/>
        <v>-131.66902560440343</v>
      </c>
      <c r="R992">
        <f>SQRT(Tabelle2[[#This Row],[vx]]*Tabelle2[[#This Row],[vx]]+Tabelle2[[#This Row],[vy]]*Tabelle2[[#This Row],[vy]])</f>
        <v>141.68941717991507</v>
      </c>
      <c r="S992">
        <f t="shared" si="174"/>
        <v>1035.225305978993</v>
      </c>
      <c r="T992" s="1">
        <f t="shared" si="175"/>
        <v>-683.62549967445148</v>
      </c>
    </row>
    <row r="993" spans="6:20" x14ac:dyDescent="0.35">
      <c r="F993" s="1">
        <f t="shared" si="171"/>
        <v>19.799999999999667</v>
      </c>
      <c r="G993">
        <f>1/2*$B$8*$B$6*$B$7*(Tabelle2[[#This Row],[vx]]*Tabelle2[[#This Row],[vx]]+Tabelle2[[#This Row],[vy]]*Tabelle2[[#This Row],[vy]])/1000000</f>
        <v>35.604079450239865</v>
      </c>
      <c r="H993">
        <f>IF($B$3,-Tabelle2[[#This Row],[Fd]]*Tabelle2[[#This Row],[vx]]/Tabelle2[[#This Row],[v]],0)</f>
        <v>0</v>
      </c>
      <c r="I993">
        <f t="shared" si="165"/>
        <v>0</v>
      </c>
      <c r="J993">
        <f t="shared" si="166"/>
        <v>0</v>
      </c>
      <c r="K993">
        <f t="shared" si="167"/>
        <v>1.0467394398169905</v>
      </c>
      <c r="L993">
        <f>-$B$5*$B$12-IF($B$3,Tabelle2[[#This Row],[Fd]]*Tabelle2[[#This Row],[vy]]/Tabelle2[[#This Row],[v]],0)</f>
        <v>-14.715</v>
      </c>
      <c r="M993">
        <f t="shared" si="168"/>
        <v>-9.81</v>
      </c>
      <c r="N993">
        <f t="shared" si="169"/>
        <v>-0.19620000000000001</v>
      </c>
      <c r="O993">
        <f t="shared" si="170"/>
        <v>-2.6392665120880685</v>
      </c>
      <c r="P993" s="1">
        <f t="shared" si="172"/>
        <v>52.336971990849527</v>
      </c>
      <c r="Q993" s="1">
        <f t="shared" si="173"/>
        <v>-131.86522560440343</v>
      </c>
      <c r="R993">
        <f>SQRT(Tabelle2[[#This Row],[vx]]*Tabelle2[[#This Row],[vx]]+Tabelle2[[#This Row],[vy]]*Tabelle2[[#This Row],[vy]])</f>
        <v>141.87176026563984</v>
      </c>
      <c r="S993">
        <f t="shared" si="174"/>
        <v>1036.27204541881</v>
      </c>
      <c r="T993" s="1">
        <f t="shared" si="175"/>
        <v>-686.26084218653955</v>
      </c>
    </row>
    <row r="994" spans="6:20" x14ac:dyDescent="0.35">
      <c r="F994" s="1">
        <f t="shared" si="171"/>
        <v>19.819999999999666</v>
      </c>
      <c r="G994">
        <f>1/2*$B$8*$B$6*$B$7*(Tabelle2[[#This Row],[vx]]*Tabelle2[[#This Row],[vx]]+Tabelle2[[#This Row],[vy]]*Tabelle2[[#This Row],[vy]])/1000000</f>
        <v>35.695678316291065</v>
      </c>
      <c r="H994">
        <f>IF($B$3,-Tabelle2[[#This Row],[Fd]]*Tabelle2[[#This Row],[vx]]/Tabelle2[[#This Row],[v]],0)</f>
        <v>0</v>
      </c>
      <c r="I994">
        <f t="shared" si="165"/>
        <v>0</v>
      </c>
      <c r="J994">
        <f t="shared" si="166"/>
        <v>0</v>
      </c>
      <c r="K994">
        <f t="shared" si="167"/>
        <v>1.0467394398169905</v>
      </c>
      <c r="L994">
        <f>-$B$5*$B$12-IF($B$3,Tabelle2[[#This Row],[Fd]]*Tabelle2[[#This Row],[vy]]/Tabelle2[[#This Row],[v]],0)</f>
        <v>-14.715</v>
      </c>
      <c r="M994">
        <f t="shared" si="168"/>
        <v>-9.81</v>
      </c>
      <c r="N994">
        <f t="shared" si="169"/>
        <v>-0.19620000000000001</v>
      </c>
      <c r="O994">
        <f t="shared" si="170"/>
        <v>-2.6431905120880685</v>
      </c>
      <c r="P994" s="1">
        <f t="shared" si="172"/>
        <v>52.336971990849527</v>
      </c>
      <c r="Q994" s="1">
        <f t="shared" si="173"/>
        <v>-132.06142560440344</v>
      </c>
      <c r="R994">
        <f>SQRT(Tabelle2[[#This Row],[vx]]*Tabelle2[[#This Row],[vx]]+Tabelle2[[#This Row],[vy]]*Tabelle2[[#This Row],[vy]])</f>
        <v>142.05414027700266</v>
      </c>
      <c r="S994">
        <f t="shared" si="174"/>
        <v>1037.3187848586269</v>
      </c>
      <c r="T994" s="1">
        <f t="shared" si="175"/>
        <v>-688.90010869862761</v>
      </c>
    </row>
    <row r="995" spans="6:20" x14ac:dyDescent="0.35">
      <c r="F995" s="1">
        <f t="shared" si="171"/>
        <v>19.839999999999666</v>
      </c>
      <c r="G995">
        <f>1/2*$B$8*$B$6*$B$7*(Tabelle2[[#This Row],[vx]]*Tabelle2[[#This Row],[vx]]+Tabelle2[[#This Row],[vy]]*Tabelle2[[#This Row],[vy]])/1000000</f>
        <v>35.787413369403602</v>
      </c>
      <c r="H995">
        <f>IF($B$3,-Tabelle2[[#This Row],[Fd]]*Tabelle2[[#This Row],[vx]]/Tabelle2[[#This Row],[v]],0)</f>
        <v>0</v>
      </c>
      <c r="I995">
        <f t="shared" si="165"/>
        <v>0</v>
      </c>
      <c r="J995">
        <f t="shared" si="166"/>
        <v>0</v>
      </c>
      <c r="K995">
        <f t="shared" si="167"/>
        <v>1.0467394398169905</v>
      </c>
      <c r="L995">
        <f>-$B$5*$B$12-IF($B$3,Tabelle2[[#This Row],[Fd]]*Tabelle2[[#This Row],[vy]]/Tabelle2[[#This Row],[v]],0)</f>
        <v>-14.715</v>
      </c>
      <c r="M995">
        <f t="shared" si="168"/>
        <v>-9.81</v>
      </c>
      <c r="N995">
        <f t="shared" si="169"/>
        <v>-0.19620000000000001</v>
      </c>
      <c r="O995">
        <f t="shared" si="170"/>
        <v>-2.6471145120880686</v>
      </c>
      <c r="P995" s="1">
        <f t="shared" si="172"/>
        <v>52.336971990849527</v>
      </c>
      <c r="Q995" s="1">
        <f t="shared" si="173"/>
        <v>-132.25762560440344</v>
      </c>
      <c r="R995">
        <f>SQRT(Tabelle2[[#This Row],[vx]]*Tabelle2[[#This Row],[vx]]+Tabelle2[[#This Row],[vy]]*Tabelle2[[#This Row],[vy]])</f>
        <v>142.23655707196207</v>
      </c>
      <c r="S995">
        <f t="shared" si="174"/>
        <v>1038.3655242984439</v>
      </c>
      <c r="T995" s="1">
        <f t="shared" si="175"/>
        <v>-691.54329921071565</v>
      </c>
    </row>
    <row r="996" spans="6:20" x14ac:dyDescent="0.35">
      <c r="F996" s="1">
        <f t="shared" si="171"/>
        <v>19.859999999999665</v>
      </c>
      <c r="G996">
        <f>1/2*$B$8*$B$6*$B$7*(Tabelle2[[#This Row],[vx]]*Tabelle2[[#This Row],[vx]]+Tabelle2[[#This Row],[vy]]*Tabelle2[[#This Row],[vy]])/1000000</f>
        <v>35.879284609577475</v>
      </c>
      <c r="H996">
        <f>IF($B$3,-Tabelle2[[#This Row],[Fd]]*Tabelle2[[#This Row],[vx]]/Tabelle2[[#This Row],[v]],0)</f>
        <v>0</v>
      </c>
      <c r="I996">
        <f t="shared" si="165"/>
        <v>0</v>
      </c>
      <c r="J996">
        <f t="shared" si="166"/>
        <v>0</v>
      </c>
      <c r="K996">
        <f t="shared" si="167"/>
        <v>1.0467394398169905</v>
      </c>
      <c r="L996">
        <f>-$B$5*$B$12-IF($B$3,Tabelle2[[#This Row],[Fd]]*Tabelle2[[#This Row],[vy]]/Tabelle2[[#This Row],[v]],0)</f>
        <v>-14.715</v>
      </c>
      <c r="M996">
        <f t="shared" si="168"/>
        <v>-9.81</v>
      </c>
      <c r="N996">
        <f t="shared" si="169"/>
        <v>-0.19620000000000001</v>
      </c>
      <c r="O996">
        <f t="shared" si="170"/>
        <v>-2.6510385120880686</v>
      </c>
      <c r="P996" s="1">
        <f t="shared" si="172"/>
        <v>52.336971990849527</v>
      </c>
      <c r="Q996" s="1">
        <f t="shared" si="173"/>
        <v>-132.45382560440345</v>
      </c>
      <c r="R996">
        <f>SQRT(Tabelle2[[#This Row],[vx]]*Tabelle2[[#This Row],[vx]]+Tabelle2[[#This Row],[vy]]*Tabelle2[[#This Row],[vy]])</f>
        <v>142.41901050917568</v>
      </c>
      <c r="S996">
        <f t="shared" si="174"/>
        <v>1039.4122637382609</v>
      </c>
      <c r="T996" s="1">
        <f t="shared" si="175"/>
        <v>-694.19041372280367</v>
      </c>
    </row>
    <row r="997" spans="6:20" x14ac:dyDescent="0.35">
      <c r="F997" s="1">
        <f t="shared" si="171"/>
        <v>19.879999999999665</v>
      </c>
      <c r="G997">
        <f>1/2*$B$8*$B$6*$B$7*(Tabelle2[[#This Row],[vx]]*Tabelle2[[#This Row],[vx]]+Tabelle2[[#This Row],[vy]]*Tabelle2[[#This Row],[vy]])/1000000</f>
        <v>35.971292036812699</v>
      </c>
      <c r="H997">
        <f>IF($B$3,-Tabelle2[[#This Row],[Fd]]*Tabelle2[[#This Row],[vx]]/Tabelle2[[#This Row],[v]],0)</f>
        <v>0</v>
      </c>
      <c r="I997">
        <f t="shared" si="165"/>
        <v>0</v>
      </c>
      <c r="J997">
        <f t="shared" si="166"/>
        <v>0</v>
      </c>
      <c r="K997">
        <f t="shared" si="167"/>
        <v>1.0467394398169905</v>
      </c>
      <c r="L997">
        <f>-$B$5*$B$12-IF($B$3,Tabelle2[[#This Row],[Fd]]*Tabelle2[[#This Row],[vy]]/Tabelle2[[#This Row],[v]],0)</f>
        <v>-14.715</v>
      </c>
      <c r="M997">
        <f t="shared" si="168"/>
        <v>-9.81</v>
      </c>
      <c r="N997">
        <f t="shared" si="169"/>
        <v>-0.19620000000000001</v>
      </c>
      <c r="O997">
        <f t="shared" si="170"/>
        <v>-2.6549625120880687</v>
      </c>
      <c r="P997" s="1">
        <f t="shared" si="172"/>
        <v>52.336971990849527</v>
      </c>
      <c r="Q997" s="1">
        <f t="shared" si="173"/>
        <v>-132.65002560440345</v>
      </c>
      <c r="R997">
        <f>SQRT(Tabelle2[[#This Row],[vx]]*Tabelle2[[#This Row],[vx]]+Tabelle2[[#This Row],[vy]]*Tabelle2[[#This Row],[vy]])</f>
        <v>142.60150044799619</v>
      </c>
      <c r="S997">
        <f t="shared" si="174"/>
        <v>1040.4590031780779</v>
      </c>
      <c r="T997" s="1">
        <f t="shared" si="175"/>
        <v>-696.84145223489179</v>
      </c>
    </row>
    <row r="998" spans="6:20" x14ac:dyDescent="0.35">
      <c r="F998" s="1">
        <f t="shared" si="171"/>
        <v>19.899999999999665</v>
      </c>
      <c r="G998">
        <f>1/2*$B$8*$B$6*$B$7*(Tabelle2[[#This Row],[vx]]*Tabelle2[[#This Row],[vx]]+Tabelle2[[#This Row],[vy]]*Tabelle2[[#This Row],[vy]])/1000000</f>
        <v>36.063435651109273</v>
      </c>
      <c r="H998">
        <f>IF($B$3,-Tabelle2[[#This Row],[Fd]]*Tabelle2[[#This Row],[vx]]/Tabelle2[[#This Row],[v]],0)</f>
        <v>0</v>
      </c>
      <c r="I998">
        <f t="shared" si="165"/>
        <v>0</v>
      </c>
      <c r="J998">
        <f t="shared" si="166"/>
        <v>0</v>
      </c>
      <c r="K998">
        <f t="shared" si="167"/>
        <v>1.0467394398169905</v>
      </c>
      <c r="L998">
        <f>-$B$5*$B$12-IF($B$3,Tabelle2[[#This Row],[Fd]]*Tabelle2[[#This Row],[vy]]/Tabelle2[[#This Row],[v]],0)</f>
        <v>-14.715</v>
      </c>
      <c r="M998">
        <f t="shared" si="168"/>
        <v>-9.81</v>
      </c>
      <c r="N998">
        <f t="shared" si="169"/>
        <v>-0.19620000000000001</v>
      </c>
      <c r="O998">
        <f t="shared" si="170"/>
        <v>-2.6588865120880691</v>
      </c>
      <c r="P998" s="1">
        <f t="shared" si="172"/>
        <v>52.336971990849527</v>
      </c>
      <c r="Q998" s="1">
        <f t="shared" si="173"/>
        <v>-132.84622560440346</v>
      </c>
      <c r="R998">
        <f>SQRT(Tabelle2[[#This Row],[vx]]*Tabelle2[[#This Row],[vx]]+Tabelle2[[#This Row],[vy]]*Tabelle2[[#This Row],[vy]])</f>
        <v>142.78402674846731</v>
      </c>
      <c r="S998">
        <f t="shared" si="174"/>
        <v>1041.5057426178948</v>
      </c>
      <c r="T998" s="1">
        <f t="shared" si="175"/>
        <v>-699.49641474697989</v>
      </c>
    </row>
    <row r="999" spans="6:20" x14ac:dyDescent="0.35">
      <c r="F999" s="1">
        <f t="shared" si="171"/>
        <v>19.919999999999664</v>
      </c>
      <c r="G999">
        <f>1/2*$B$8*$B$6*$B$7*(Tabelle2[[#This Row],[vx]]*Tabelle2[[#This Row],[vx]]+Tabelle2[[#This Row],[vy]]*Tabelle2[[#This Row],[vy]])/1000000</f>
        <v>36.155715452467177</v>
      </c>
      <c r="H999">
        <f>IF($B$3,-Tabelle2[[#This Row],[Fd]]*Tabelle2[[#This Row],[vx]]/Tabelle2[[#This Row],[v]],0)</f>
        <v>0</v>
      </c>
      <c r="I999">
        <f t="shared" si="165"/>
        <v>0</v>
      </c>
      <c r="J999">
        <f t="shared" si="166"/>
        <v>0</v>
      </c>
      <c r="K999">
        <f t="shared" si="167"/>
        <v>1.0467394398169905</v>
      </c>
      <c r="L999">
        <f>-$B$5*$B$12-IF($B$3,Tabelle2[[#This Row],[Fd]]*Tabelle2[[#This Row],[vy]]/Tabelle2[[#This Row],[v]],0)</f>
        <v>-14.715</v>
      </c>
      <c r="M999">
        <f t="shared" si="168"/>
        <v>-9.81</v>
      </c>
      <c r="N999">
        <f t="shared" si="169"/>
        <v>-0.19620000000000001</v>
      </c>
      <c r="O999">
        <f t="shared" si="170"/>
        <v>-2.6628105120880692</v>
      </c>
      <c r="P999" s="1">
        <f t="shared" si="172"/>
        <v>52.336971990849527</v>
      </c>
      <c r="Q999" s="1">
        <f t="shared" si="173"/>
        <v>-133.04242560440346</v>
      </c>
      <c r="R999">
        <f>SQRT(Tabelle2[[#This Row],[vx]]*Tabelle2[[#This Row],[vx]]+Tabelle2[[#This Row],[vy]]*Tabelle2[[#This Row],[vy]])</f>
        <v>142.96658927131961</v>
      </c>
      <c r="S999">
        <f t="shared" si="174"/>
        <v>1042.5524820577118</v>
      </c>
      <c r="T999" s="1">
        <f t="shared" si="175"/>
        <v>-702.15530125906798</v>
      </c>
    </row>
    <row r="1000" spans="6:20" x14ac:dyDescent="0.35">
      <c r="F1000" s="1">
        <f t="shared" si="171"/>
        <v>19.939999999999664</v>
      </c>
      <c r="G1000">
        <f>1/2*$B$8*$B$6*$B$7*(Tabelle2[[#This Row],[vx]]*Tabelle2[[#This Row],[vx]]+Tabelle2[[#This Row],[vy]]*Tabelle2[[#This Row],[vy]])/1000000</f>
        <v>36.248131440886439</v>
      </c>
      <c r="H1000">
        <f>IF($B$3,-Tabelle2[[#This Row],[Fd]]*Tabelle2[[#This Row],[vx]]/Tabelle2[[#This Row],[v]],0)</f>
        <v>0</v>
      </c>
      <c r="I1000">
        <f t="shared" si="165"/>
        <v>0</v>
      </c>
      <c r="J1000">
        <f t="shared" si="166"/>
        <v>0</v>
      </c>
      <c r="K1000">
        <f t="shared" si="167"/>
        <v>1.0467394398169905</v>
      </c>
      <c r="L1000">
        <f>-$B$5*$B$12-IF($B$3,Tabelle2[[#This Row],[Fd]]*Tabelle2[[#This Row],[vy]]/Tabelle2[[#This Row],[v]],0)</f>
        <v>-14.715</v>
      </c>
      <c r="M1000">
        <f t="shared" si="168"/>
        <v>-9.81</v>
      </c>
      <c r="N1000">
        <f t="shared" si="169"/>
        <v>-0.19620000000000001</v>
      </c>
      <c r="O1000">
        <f t="shared" si="170"/>
        <v>-2.6667345120880692</v>
      </c>
      <c r="P1000" s="1">
        <f t="shared" si="172"/>
        <v>52.336971990849527</v>
      </c>
      <c r="Q1000" s="1">
        <f t="shared" si="173"/>
        <v>-133.23862560440347</v>
      </c>
      <c r="R1000">
        <f>SQRT(Tabelle2[[#This Row],[vx]]*Tabelle2[[#This Row],[vx]]+Tabelle2[[#This Row],[vy]]*Tabelle2[[#This Row],[vy]])</f>
        <v>143.14918787796654</v>
      </c>
      <c r="S1000">
        <f t="shared" si="174"/>
        <v>1043.5992214975288</v>
      </c>
      <c r="T1000" s="1">
        <f t="shared" si="175"/>
        <v>-704.81811177115605</v>
      </c>
    </row>
    <row r="1001" spans="6:20" x14ac:dyDescent="0.35">
      <c r="F1001" s="1">
        <f t="shared" si="171"/>
        <v>19.959999999999663</v>
      </c>
      <c r="G1001">
        <f>1/2*$B$8*$B$6*$B$7*(Tabelle2[[#This Row],[vx]]*Tabelle2[[#This Row],[vx]]+Tabelle2[[#This Row],[vy]]*Tabelle2[[#This Row],[vy]])/1000000</f>
        <v>36.340683616367038</v>
      </c>
      <c r="H1001">
        <f>IF($B$3,-Tabelle2[[#This Row],[Fd]]*Tabelle2[[#This Row],[vx]]/Tabelle2[[#This Row],[v]],0)</f>
        <v>0</v>
      </c>
      <c r="I1001">
        <f t="shared" si="165"/>
        <v>0</v>
      </c>
      <c r="J1001">
        <f t="shared" si="166"/>
        <v>0</v>
      </c>
      <c r="K1001">
        <f t="shared" si="167"/>
        <v>1.0467394398169905</v>
      </c>
      <c r="L1001">
        <f>-$B$5*$B$12-IF($B$3,Tabelle2[[#This Row],[Fd]]*Tabelle2[[#This Row],[vy]]/Tabelle2[[#This Row],[v]],0)</f>
        <v>-14.715</v>
      </c>
      <c r="M1001">
        <f t="shared" si="168"/>
        <v>-9.81</v>
      </c>
      <c r="N1001">
        <f t="shared" si="169"/>
        <v>-0.19620000000000001</v>
      </c>
      <c r="O1001">
        <f t="shared" si="170"/>
        <v>-2.6706585120880693</v>
      </c>
      <c r="P1001" s="1">
        <f t="shared" si="172"/>
        <v>52.336971990849527</v>
      </c>
      <c r="Q1001" s="1">
        <f t="shared" si="173"/>
        <v>-133.43482560440347</v>
      </c>
      <c r="R1001">
        <f>SQRT(Tabelle2[[#This Row],[vx]]*Tabelle2[[#This Row],[vx]]+Tabelle2[[#This Row],[vy]]*Tabelle2[[#This Row],[vy]])</f>
        <v>143.33182243050052</v>
      </c>
      <c r="S1001">
        <f t="shared" si="174"/>
        <v>1044.6459609373458</v>
      </c>
      <c r="T1001" s="1">
        <f t="shared" si="175"/>
        <v>-707.48484628324411</v>
      </c>
    </row>
    <row r="1002" spans="6:20" x14ac:dyDescent="0.35">
      <c r="F1002" s="1">
        <f t="shared" si="171"/>
        <v>19.979999999999663</v>
      </c>
      <c r="G1002">
        <f>1/2*$B$8*$B$6*$B$7*(Tabelle2[[#This Row],[vx]]*Tabelle2[[#This Row],[vx]]+Tabelle2[[#This Row],[vy]]*Tabelle2[[#This Row],[vy]])/1000000</f>
        <v>36.43337197890898</v>
      </c>
      <c r="H1002">
        <f>IF($B$3,-Tabelle2[[#This Row],[Fd]]*Tabelle2[[#This Row],[vx]]/Tabelle2[[#This Row],[v]],0)</f>
        <v>0</v>
      </c>
      <c r="I1002">
        <f t="shared" si="165"/>
        <v>0</v>
      </c>
      <c r="J1002">
        <f t="shared" si="166"/>
        <v>0</v>
      </c>
      <c r="K1002">
        <f t="shared" si="167"/>
        <v>1.0467394398169905</v>
      </c>
      <c r="L1002">
        <f>-$B$5*$B$12-IF($B$3,Tabelle2[[#This Row],[Fd]]*Tabelle2[[#This Row],[vy]]/Tabelle2[[#This Row],[v]],0)</f>
        <v>-14.715</v>
      </c>
      <c r="M1002">
        <f t="shared" si="168"/>
        <v>-9.81</v>
      </c>
      <c r="N1002">
        <f t="shared" si="169"/>
        <v>-0.19620000000000001</v>
      </c>
      <c r="O1002">
        <f t="shared" si="170"/>
        <v>-2.6745825120880693</v>
      </c>
      <c r="P1002" s="1">
        <f t="shared" si="172"/>
        <v>52.336971990849527</v>
      </c>
      <c r="Q1002" s="1">
        <f t="shared" si="173"/>
        <v>-133.63102560440348</v>
      </c>
      <c r="R1002">
        <f>SQRT(Tabelle2[[#This Row],[vx]]*Tabelle2[[#This Row],[vx]]+Tabelle2[[#This Row],[vy]]*Tabelle2[[#This Row],[vy]])</f>
        <v>143.51449279168884</v>
      </c>
      <c r="S1002">
        <f t="shared" si="174"/>
        <v>1045.6927003771627</v>
      </c>
      <c r="T1002" s="1">
        <f t="shared" si="175"/>
        <v>-710.15550479533215</v>
      </c>
    </row>
    <row r="1003" spans="6:20" x14ac:dyDescent="0.35">
      <c r="F1003" s="1">
        <f t="shared" si="171"/>
        <v>19.999999999999662</v>
      </c>
      <c r="G1003">
        <f>1/2*$B$8*$B$6*$B$7*(Tabelle2[[#This Row],[vx]]*Tabelle2[[#This Row],[vx]]+Tabelle2[[#This Row],[vy]]*Tabelle2[[#This Row],[vy]])/1000000</f>
        <v>36.526196528512273</v>
      </c>
      <c r="H1003">
        <f>IF($B$3,-Tabelle2[[#This Row],[Fd]]*Tabelle2[[#This Row],[vx]]/Tabelle2[[#This Row],[v]],0)</f>
        <v>0</v>
      </c>
      <c r="I1003">
        <f t="shared" si="165"/>
        <v>0</v>
      </c>
      <c r="J1003">
        <f t="shared" si="166"/>
        <v>0</v>
      </c>
      <c r="K1003">
        <f t="shared" si="167"/>
        <v>1.0467394398169905</v>
      </c>
      <c r="L1003">
        <f>-$B$5*$B$12-IF($B$3,Tabelle2[[#This Row],[Fd]]*Tabelle2[[#This Row],[vy]]/Tabelle2[[#This Row],[v]],0)</f>
        <v>-14.715</v>
      </c>
      <c r="M1003">
        <f t="shared" si="168"/>
        <v>-9.81</v>
      </c>
      <c r="N1003">
        <f t="shared" si="169"/>
        <v>-0.19620000000000001</v>
      </c>
      <c r="O1003">
        <f t="shared" si="170"/>
        <v>-2.6785065120880693</v>
      </c>
      <c r="P1003" s="1">
        <f t="shared" si="172"/>
        <v>52.336971990849527</v>
      </c>
      <c r="Q1003" s="1">
        <f t="shared" si="173"/>
        <v>-133.82722560440348</v>
      </c>
      <c r="R1003">
        <f>SQRT(Tabelle2[[#This Row],[vx]]*Tabelle2[[#This Row],[vx]]+Tabelle2[[#This Row],[vy]]*Tabelle2[[#This Row],[vy]])</f>
        <v>143.69719882496969</v>
      </c>
      <c r="S1003">
        <f t="shared" si="174"/>
        <v>1046.7394398169797</v>
      </c>
      <c r="T1003" s="1">
        <f t="shared" si="175"/>
        <v>-712.83008730742017</v>
      </c>
    </row>
    <row r="1004" spans="6:20" x14ac:dyDescent="0.35">
      <c r="F1004" s="1">
        <f t="shared" si="171"/>
        <v>20.019999999999662</v>
      </c>
      <c r="G1004">
        <f>1/2*$B$8*$B$6*$B$7*(Tabelle2[[#This Row],[vx]]*Tabelle2[[#This Row],[vx]]+Tabelle2[[#This Row],[vy]]*Tabelle2[[#This Row],[vy]])/1000000</f>
        <v>36.619157265176902</v>
      </c>
      <c r="H1004">
        <f>IF($B$3,-Tabelle2[[#This Row],[Fd]]*Tabelle2[[#This Row],[vx]]/Tabelle2[[#This Row],[v]],0)</f>
        <v>0</v>
      </c>
      <c r="I1004">
        <f t="shared" si="165"/>
        <v>0</v>
      </c>
      <c r="J1004">
        <f t="shared" si="166"/>
        <v>0</v>
      </c>
      <c r="K1004">
        <f t="shared" si="167"/>
        <v>1.0467394398169905</v>
      </c>
      <c r="L1004">
        <f>-$B$5*$B$12-IF($B$3,Tabelle2[[#This Row],[Fd]]*Tabelle2[[#This Row],[vy]]/Tabelle2[[#This Row],[v]],0)</f>
        <v>-14.715</v>
      </c>
      <c r="M1004">
        <f t="shared" si="168"/>
        <v>-9.81</v>
      </c>
      <c r="N1004">
        <f t="shared" si="169"/>
        <v>-0.19620000000000001</v>
      </c>
      <c r="O1004">
        <f t="shared" si="170"/>
        <v>-2.6824305120880694</v>
      </c>
      <c r="P1004" s="1">
        <f t="shared" si="172"/>
        <v>52.336971990849527</v>
      </c>
      <c r="Q1004" s="1">
        <f t="shared" si="173"/>
        <v>-134.02342560440349</v>
      </c>
      <c r="R1004">
        <f>SQRT(Tabelle2[[#This Row],[vx]]*Tabelle2[[#This Row],[vx]]+Tabelle2[[#This Row],[vy]]*Tabelle2[[#This Row],[vy]])</f>
        <v>143.87994039444845</v>
      </c>
      <c r="S1004">
        <f t="shared" si="174"/>
        <v>1047.7861792567967</v>
      </c>
      <c r="T1004" s="1">
        <f t="shared" si="175"/>
        <v>-715.50859381950829</v>
      </c>
    </row>
    <row r="1005" spans="6:20" x14ac:dyDescent="0.35">
      <c r="F1005" s="1">
        <f t="shared" si="171"/>
        <v>20.039999999999662</v>
      </c>
      <c r="G1005">
        <f>1/2*$B$8*$B$6*$B$7*(Tabelle2[[#This Row],[vx]]*Tabelle2[[#This Row],[vx]]+Tabelle2[[#This Row],[vy]]*Tabelle2[[#This Row],[vy]])/1000000</f>
        <v>36.712254188902875</v>
      </c>
      <c r="H1005">
        <f>IF($B$3,-Tabelle2[[#This Row],[Fd]]*Tabelle2[[#This Row],[vx]]/Tabelle2[[#This Row],[v]],0)</f>
        <v>0</v>
      </c>
      <c r="I1005">
        <f t="shared" si="165"/>
        <v>0</v>
      </c>
      <c r="J1005">
        <f t="shared" si="166"/>
        <v>0</v>
      </c>
      <c r="K1005">
        <f t="shared" si="167"/>
        <v>1.0467394398169905</v>
      </c>
      <c r="L1005">
        <f>-$B$5*$B$12-IF($B$3,Tabelle2[[#This Row],[Fd]]*Tabelle2[[#This Row],[vy]]/Tabelle2[[#This Row],[v]],0)</f>
        <v>-14.715</v>
      </c>
      <c r="M1005">
        <f t="shared" si="168"/>
        <v>-9.81</v>
      </c>
      <c r="N1005">
        <f t="shared" si="169"/>
        <v>-0.19620000000000001</v>
      </c>
      <c r="O1005">
        <f t="shared" si="170"/>
        <v>-2.6863545120880694</v>
      </c>
      <c r="P1005" s="1">
        <f t="shared" si="172"/>
        <v>52.336971990849527</v>
      </c>
      <c r="Q1005" s="1">
        <f t="shared" si="173"/>
        <v>-134.21962560440349</v>
      </c>
      <c r="R1005">
        <f>SQRT(Tabelle2[[#This Row],[vx]]*Tabelle2[[#This Row],[vx]]+Tabelle2[[#This Row],[vy]]*Tabelle2[[#This Row],[vy]])</f>
        <v>144.06271736489359</v>
      </c>
      <c r="S1005">
        <f t="shared" si="174"/>
        <v>1048.8329186966137</v>
      </c>
      <c r="T1005" s="1">
        <f t="shared" si="175"/>
        <v>-718.1910243315964</v>
      </c>
    </row>
    <row r="1006" spans="6:20" x14ac:dyDescent="0.35">
      <c r="F1006" s="1">
        <f t="shared" si="171"/>
        <v>20.059999999999661</v>
      </c>
      <c r="G1006">
        <f>1/2*$B$8*$B$6*$B$7*(Tabelle2[[#This Row],[vx]]*Tabelle2[[#This Row],[vx]]+Tabelle2[[#This Row],[vy]]*Tabelle2[[#This Row],[vy]])/1000000</f>
        <v>36.805487299690192</v>
      </c>
      <c r="H1006">
        <f>IF($B$3,-Tabelle2[[#This Row],[Fd]]*Tabelle2[[#This Row],[vx]]/Tabelle2[[#This Row],[v]],0)</f>
        <v>0</v>
      </c>
      <c r="I1006">
        <f t="shared" si="165"/>
        <v>0</v>
      </c>
      <c r="J1006">
        <f t="shared" si="166"/>
        <v>0</v>
      </c>
      <c r="K1006">
        <f t="shared" si="167"/>
        <v>1.0467394398169905</v>
      </c>
      <c r="L1006">
        <f>-$B$5*$B$12-IF($B$3,Tabelle2[[#This Row],[Fd]]*Tabelle2[[#This Row],[vy]]/Tabelle2[[#This Row],[v]],0)</f>
        <v>-14.715</v>
      </c>
      <c r="M1006">
        <f t="shared" si="168"/>
        <v>-9.81</v>
      </c>
      <c r="N1006">
        <f t="shared" si="169"/>
        <v>-0.19620000000000001</v>
      </c>
      <c r="O1006">
        <f t="shared" si="170"/>
        <v>-2.6902785120880699</v>
      </c>
      <c r="P1006" s="1">
        <f t="shared" si="172"/>
        <v>52.336971990849527</v>
      </c>
      <c r="Q1006" s="1">
        <f t="shared" si="173"/>
        <v>-134.41582560440349</v>
      </c>
      <c r="R1006">
        <f>SQRT(Tabelle2[[#This Row],[vx]]*Tabelle2[[#This Row],[vx]]+Tabelle2[[#This Row],[vy]]*Tabelle2[[#This Row],[vy]])</f>
        <v>144.24552960173284</v>
      </c>
      <c r="S1006">
        <f t="shared" si="174"/>
        <v>1049.8796581364306</v>
      </c>
      <c r="T1006" s="1">
        <f t="shared" si="175"/>
        <v>-720.87737884368448</v>
      </c>
    </row>
    <row r="1007" spans="6:20" x14ac:dyDescent="0.35">
      <c r="F1007" s="1">
        <f t="shared" si="171"/>
        <v>20.079999999999661</v>
      </c>
      <c r="G1007">
        <f>1/2*$B$8*$B$6*$B$7*(Tabelle2[[#This Row],[vx]]*Tabelle2[[#This Row],[vx]]+Tabelle2[[#This Row],[vy]]*Tabelle2[[#This Row],[vy]])/1000000</f>
        <v>36.89885659753886</v>
      </c>
      <c r="H1007">
        <f>IF($B$3,-Tabelle2[[#This Row],[Fd]]*Tabelle2[[#This Row],[vx]]/Tabelle2[[#This Row],[v]],0)</f>
        <v>0</v>
      </c>
      <c r="I1007">
        <f t="shared" si="165"/>
        <v>0</v>
      </c>
      <c r="J1007">
        <f t="shared" si="166"/>
        <v>0</v>
      </c>
      <c r="K1007">
        <f t="shared" si="167"/>
        <v>1.0467394398169905</v>
      </c>
      <c r="L1007">
        <f>-$B$5*$B$12-IF($B$3,Tabelle2[[#This Row],[Fd]]*Tabelle2[[#This Row],[vy]]/Tabelle2[[#This Row],[v]],0)</f>
        <v>-14.715</v>
      </c>
      <c r="M1007">
        <f t="shared" si="168"/>
        <v>-9.81</v>
      </c>
      <c r="N1007">
        <f t="shared" si="169"/>
        <v>-0.19620000000000001</v>
      </c>
      <c r="O1007">
        <f t="shared" si="170"/>
        <v>-2.6942025120880699</v>
      </c>
      <c r="P1007" s="1">
        <f t="shared" si="172"/>
        <v>52.336971990849527</v>
      </c>
      <c r="Q1007" s="1">
        <f t="shared" si="173"/>
        <v>-134.6120256044035</v>
      </c>
      <c r="R1007">
        <f>SQRT(Tabelle2[[#This Row],[vx]]*Tabelle2[[#This Row],[vx]]+Tabelle2[[#This Row],[vy]]*Tabelle2[[#This Row],[vy]])</f>
        <v>144.42837697104937</v>
      </c>
      <c r="S1007">
        <f t="shared" si="174"/>
        <v>1050.9263975762476</v>
      </c>
      <c r="T1007" s="1">
        <f t="shared" si="175"/>
        <v>-723.56765735577255</v>
      </c>
    </row>
    <row r="1008" spans="6:20" x14ac:dyDescent="0.35">
      <c r="F1008" s="1">
        <f t="shared" si="171"/>
        <v>20.09999999999966</v>
      </c>
      <c r="G1008">
        <f>1/2*$B$8*$B$6*$B$7*(Tabelle2[[#This Row],[vx]]*Tabelle2[[#This Row],[vx]]+Tabelle2[[#This Row],[vy]]*Tabelle2[[#This Row],[vy]])/1000000</f>
        <v>36.992362082448871</v>
      </c>
      <c r="H1008">
        <f>IF($B$3,-Tabelle2[[#This Row],[Fd]]*Tabelle2[[#This Row],[vx]]/Tabelle2[[#This Row],[v]],0)</f>
        <v>0</v>
      </c>
      <c r="I1008">
        <f t="shared" si="165"/>
        <v>0</v>
      </c>
      <c r="J1008">
        <f t="shared" si="166"/>
        <v>0</v>
      </c>
      <c r="K1008">
        <f t="shared" si="167"/>
        <v>1.0467394398169905</v>
      </c>
      <c r="L1008">
        <f>-$B$5*$B$12-IF($B$3,Tabelle2[[#This Row],[Fd]]*Tabelle2[[#This Row],[vy]]/Tabelle2[[#This Row],[v]],0)</f>
        <v>-14.715</v>
      </c>
      <c r="M1008">
        <f t="shared" si="168"/>
        <v>-9.81</v>
      </c>
      <c r="N1008">
        <f t="shared" si="169"/>
        <v>-0.19620000000000001</v>
      </c>
      <c r="O1008">
        <f t="shared" si="170"/>
        <v>-2.69812651208807</v>
      </c>
      <c r="P1008" s="1">
        <f t="shared" si="172"/>
        <v>52.336971990849527</v>
      </c>
      <c r="Q1008" s="1">
        <f t="shared" si="173"/>
        <v>-134.8082256044035</v>
      </c>
      <c r="R1008">
        <f>SQRT(Tabelle2[[#This Row],[vx]]*Tabelle2[[#This Row],[vx]]+Tabelle2[[#This Row],[vy]]*Tabelle2[[#This Row],[vy]])</f>
        <v>144.61125933957811</v>
      </c>
      <c r="S1008">
        <f t="shared" si="174"/>
        <v>1051.9731370160646</v>
      </c>
      <c r="T1008" s="1">
        <f t="shared" si="175"/>
        <v>-726.26185986786061</v>
      </c>
    </row>
    <row r="1009" spans="6:20" x14ac:dyDescent="0.35">
      <c r="F1009" s="1">
        <f t="shared" si="171"/>
        <v>20.11999999999966</v>
      </c>
      <c r="G1009">
        <f>1/2*$B$8*$B$6*$B$7*(Tabelle2[[#This Row],[vx]]*Tabelle2[[#This Row],[vx]]+Tabelle2[[#This Row],[vy]]*Tabelle2[[#This Row],[vy]])/1000000</f>
        <v>37.086003754420219</v>
      </c>
      <c r="H1009">
        <f>IF($B$3,-Tabelle2[[#This Row],[Fd]]*Tabelle2[[#This Row],[vx]]/Tabelle2[[#This Row],[v]],0)</f>
        <v>0</v>
      </c>
      <c r="I1009">
        <f t="shared" si="165"/>
        <v>0</v>
      </c>
      <c r="J1009">
        <f t="shared" si="166"/>
        <v>0</v>
      </c>
      <c r="K1009">
        <f t="shared" si="167"/>
        <v>1.0467394398169905</v>
      </c>
      <c r="L1009">
        <f>-$B$5*$B$12-IF($B$3,Tabelle2[[#This Row],[Fd]]*Tabelle2[[#This Row],[vy]]/Tabelle2[[#This Row],[v]],0)</f>
        <v>-14.715</v>
      </c>
      <c r="M1009">
        <f t="shared" si="168"/>
        <v>-9.81</v>
      </c>
      <c r="N1009">
        <f t="shared" si="169"/>
        <v>-0.19620000000000001</v>
      </c>
      <c r="O1009">
        <f t="shared" si="170"/>
        <v>-2.70205051208807</v>
      </c>
      <c r="P1009" s="1">
        <f t="shared" si="172"/>
        <v>52.336971990849527</v>
      </c>
      <c r="Q1009" s="1">
        <f t="shared" si="173"/>
        <v>-135.00442560440351</v>
      </c>
      <c r="R1009">
        <f>SQRT(Tabelle2[[#This Row],[vx]]*Tabelle2[[#This Row],[vx]]+Tabelle2[[#This Row],[vy]]*Tabelle2[[#This Row],[vy]])</f>
        <v>144.79417657470168</v>
      </c>
      <c r="S1009">
        <f t="shared" si="174"/>
        <v>1053.0198764558816</v>
      </c>
      <c r="T1009" s="1">
        <f t="shared" si="175"/>
        <v>-728.95998637994865</v>
      </c>
    </row>
    <row r="1010" spans="6:20" x14ac:dyDescent="0.35">
      <c r="F1010" s="1">
        <f t="shared" si="171"/>
        <v>20.13999999999966</v>
      </c>
      <c r="G1010">
        <f>1/2*$B$8*$B$6*$B$7*(Tabelle2[[#This Row],[vx]]*Tabelle2[[#This Row],[vx]]+Tabelle2[[#This Row],[vy]]*Tabelle2[[#This Row],[vy]])/1000000</f>
        <v>37.179781613452917</v>
      </c>
      <c r="H1010">
        <f>IF($B$3,-Tabelle2[[#This Row],[Fd]]*Tabelle2[[#This Row],[vx]]/Tabelle2[[#This Row],[v]],0)</f>
        <v>0</v>
      </c>
      <c r="I1010">
        <f t="shared" si="165"/>
        <v>0</v>
      </c>
      <c r="J1010">
        <f t="shared" si="166"/>
        <v>0</v>
      </c>
      <c r="K1010">
        <f t="shared" si="167"/>
        <v>1.0467394398169905</v>
      </c>
      <c r="L1010">
        <f>-$B$5*$B$12-IF($B$3,Tabelle2[[#This Row],[Fd]]*Tabelle2[[#This Row],[vy]]/Tabelle2[[#This Row],[v]],0)</f>
        <v>-14.715</v>
      </c>
      <c r="M1010">
        <f t="shared" si="168"/>
        <v>-9.81</v>
      </c>
      <c r="N1010">
        <f t="shared" si="169"/>
        <v>-0.19620000000000001</v>
      </c>
      <c r="O1010">
        <f t="shared" si="170"/>
        <v>-2.70597451208807</v>
      </c>
      <c r="P1010" s="1">
        <f t="shared" si="172"/>
        <v>52.336971990849527</v>
      </c>
      <c r="Q1010" s="1">
        <f t="shared" si="173"/>
        <v>-135.20062560440351</v>
      </c>
      <c r="R1010">
        <f>SQRT(Tabelle2[[#This Row],[vx]]*Tabelle2[[#This Row],[vx]]+Tabelle2[[#This Row],[vy]]*Tabelle2[[#This Row],[vy]])</f>
        <v>144.97712854444683</v>
      </c>
      <c r="S1010">
        <f t="shared" si="174"/>
        <v>1054.0666158956985</v>
      </c>
      <c r="T1010" s="1">
        <f t="shared" si="175"/>
        <v>-731.66203689203667</v>
      </c>
    </row>
    <row r="1011" spans="6:20" x14ac:dyDescent="0.35">
      <c r="F1011" s="1">
        <f t="shared" si="171"/>
        <v>20.159999999999659</v>
      </c>
      <c r="G1011">
        <f>1/2*$B$8*$B$6*$B$7*(Tabelle2[[#This Row],[vx]]*Tabelle2[[#This Row],[vx]]+Tabelle2[[#This Row],[vy]]*Tabelle2[[#This Row],[vy]])/1000000</f>
        <v>37.273695659546966</v>
      </c>
      <c r="H1011">
        <f>IF($B$3,-Tabelle2[[#This Row],[Fd]]*Tabelle2[[#This Row],[vx]]/Tabelle2[[#This Row],[v]],0)</f>
        <v>0</v>
      </c>
      <c r="I1011">
        <f t="shared" si="165"/>
        <v>0</v>
      </c>
      <c r="J1011">
        <f t="shared" si="166"/>
        <v>0</v>
      </c>
      <c r="K1011">
        <f t="shared" si="167"/>
        <v>1.0467394398169905</v>
      </c>
      <c r="L1011">
        <f>-$B$5*$B$12-IF($B$3,Tabelle2[[#This Row],[Fd]]*Tabelle2[[#This Row],[vy]]/Tabelle2[[#This Row],[v]],0)</f>
        <v>-14.715</v>
      </c>
      <c r="M1011">
        <f t="shared" si="168"/>
        <v>-9.81</v>
      </c>
      <c r="N1011">
        <f t="shared" si="169"/>
        <v>-0.19620000000000001</v>
      </c>
      <c r="O1011">
        <f t="shared" si="170"/>
        <v>-2.7098985120880701</v>
      </c>
      <c r="P1011" s="1">
        <f t="shared" si="172"/>
        <v>52.336971990849527</v>
      </c>
      <c r="Q1011" s="1">
        <f t="shared" si="173"/>
        <v>-135.39682560440352</v>
      </c>
      <c r="R1011">
        <f>SQRT(Tabelle2[[#This Row],[vx]]*Tabelle2[[#This Row],[vx]]+Tabelle2[[#This Row],[vy]]*Tabelle2[[#This Row],[vy]])</f>
        <v>145.16011511748064</v>
      </c>
      <c r="S1011">
        <f t="shared" si="174"/>
        <v>1055.1133553355155</v>
      </c>
      <c r="T1011" s="1">
        <f t="shared" si="175"/>
        <v>-734.36801140412479</v>
      </c>
    </row>
    <row r="1012" spans="6:20" x14ac:dyDescent="0.35">
      <c r="F1012" s="1">
        <f t="shared" si="171"/>
        <v>20.179999999999659</v>
      </c>
      <c r="G1012">
        <f>1/2*$B$8*$B$6*$B$7*(Tabelle2[[#This Row],[vx]]*Tabelle2[[#This Row],[vx]]+Tabelle2[[#This Row],[vy]]*Tabelle2[[#This Row],[vy]])/1000000</f>
        <v>37.367745892702338</v>
      </c>
      <c r="H1012">
        <f>IF($B$3,-Tabelle2[[#This Row],[Fd]]*Tabelle2[[#This Row],[vx]]/Tabelle2[[#This Row],[v]],0)</f>
        <v>0</v>
      </c>
      <c r="I1012">
        <f t="shared" si="165"/>
        <v>0</v>
      </c>
      <c r="J1012">
        <f t="shared" si="166"/>
        <v>0</v>
      </c>
      <c r="K1012">
        <f t="shared" si="167"/>
        <v>1.0467394398169905</v>
      </c>
      <c r="L1012">
        <f>-$B$5*$B$12-IF($B$3,Tabelle2[[#This Row],[Fd]]*Tabelle2[[#This Row],[vy]]/Tabelle2[[#This Row],[v]],0)</f>
        <v>-14.715</v>
      </c>
      <c r="M1012">
        <f t="shared" si="168"/>
        <v>-9.81</v>
      </c>
      <c r="N1012">
        <f t="shared" si="169"/>
        <v>-0.19620000000000001</v>
      </c>
      <c r="O1012">
        <f t="shared" si="170"/>
        <v>-2.7138225120880701</v>
      </c>
      <c r="P1012" s="1">
        <f t="shared" si="172"/>
        <v>52.336971990849527</v>
      </c>
      <c r="Q1012" s="1">
        <f t="shared" si="173"/>
        <v>-135.59302560440352</v>
      </c>
      <c r="R1012">
        <f>SQRT(Tabelle2[[#This Row],[vx]]*Tabelle2[[#This Row],[vx]]+Tabelle2[[#This Row],[vy]]*Tabelle2[[#This Row],[vy]])</f>
        <v>145.34313616310678</v>
      </c>
      <c r="S1012">
        <f t="shared" si="174"/>
        <v>1056.1600947753325</v>
      </c>
      <c r="T1012" s="1">
        <f t="shared" si="175"/>
        <v>-737.07790991621289</v>
      </c>
    </row>
    <row r="1013" spans="6:20" x14ac:dyDescent="0.35">
      <c r="F1013" s="1">
        <f t="shared" si="171"/>
        <v>20.199999999999658</v>
      </c>
      <c r="G1013">
        <f>1/2*$B$8*$B$6*$B$7*(Tabelle2[[#This Row],[vx]]*Tabelle2[[#This Row],[vx]]+Tabelle2[[#This Row],[vy]]*Tabelle2[[#This Row],[vy]])/1000000</f>
        <v>37.461932312919068</v>
      </c>
      <c r="H1013">
        <f>IF($B$3,-Tabelle2[[#This Row],[Fd]]*Tabelle2[[#This Row],[vx]]/Tabelle2[[#This Row],[v]],0)</f>
        <v>0</v>
      </c>
      <c r="I1013">
        <f t="shared" si="165"/>
        <v>0</v>
      </c>
      <c r="J1013">
        <f t="shared" si="166"/>
        <v>0</v>
      </c>
      <c r="K1013">
        <f t="shared" si="167"/>
        <v>1.0467394398169905</v>
      </c>
      <c r="L1013">
        <f>-$B$5*$B$12-IF($B$3,Tabelle2[[#This Row],[Fd]]*Tabelle2[[#This Row],[vy]]/Tabelle2[[#This Row],[v]],0)</f>
        <v>-14.715</v>
      </c>
      <c r="M1013">
        <f t="shared" si="168"/>
        <v>-9.81</v>
      </c>
      <c r="N1013">
        <f t="shared" si="169"/>
        <v>-0.19620000000000001</v>
      </c>
      <c r="O1013">
        <f t="shared" si="170"/>
        <v>-2.7177465120880702</v>
      </c>
      <c r="P1013" s="1">
        <f t="shared" si="172"/>
        <v>52.336971990849527</v>
      </c>
      <c r="Q1013" s="1">
        <f t="shared" si="173"/>
        <v>-135.78922560440353</v>
      </c>
      <c r="R1013">
        <f>SQRT(Tabelle2[[#This Row],[vx]]*Tabelle2[[#This Row],[vx]]+Tabelle2[[#This Row],[vy]]*Tabelle2[[#This Row],[vy]])</f>
        <v>145.52619155126189</v>
      </c>
      <c r="S1013">
        <f t="shared" si="174"/>
        <v>1057.2068342151495</v>
      </c>
      <c r="T1013" s="1">
        <f t="shared" si="175"/>
        <v>-739.79173242830097</v>
      </c>
    </row>
    <row r="1014" spans="6:20" x14ac:dyDescent="0.35">
      <c r="F1014" s="1">
        <f t="shared" si="171"/>
        <v>20.219999999999658</v>
      </c>
      <c r="G1014">
        <f>1/2*$B$8*$B$6*$B$7*(Tabelle2[[#This Row],[vx]]*Tabelle2[[#This Row],[vx]]+Tabelle2[[#This Row],[vy]]*Tabelle2[[#This Row],[vy]])/1000000</f>
        <v>37.556254920197134</v>
      </c>
      <c r="H1014">
        <f>IF($B$3,-Tabelle2[[#This Row],[Fd]]*Tabelle2[[#This Row],[vx]]/Tabelle2[[#This Row],[v]],0)</f>
        <v>0</v>
      </c>
      <c r="I1014">
        <f t="shared" si="165"/>
        <v>0</v>
      </c>
      <c r="J1014">
        <f t="shared" si="166"/>
        <v>0</v>
      </c>
      <c r="K1014">
        <f t="shared" si="167"/>
        <v>1.0467394398169905</v>
      </c>
      <c r="L1014">
        <f>-$B$5*$B$12-IF($B$3,Tabelle2[[#This Row],[Fd]]*Tabelle2[[#This Row],[vy]]/Tabelle2[[#This Row],[v]],0)</f>
        <v>-14.715</v>
      </c>
      <c r="M1014">
        <f t="shared" si="168"/>
        <v>-9.81</v>
      </c>
      <c r="N1014">
        <f t="shared" si="169"/>
        <v>-0.19620000000000001</v>
      </c>
      <c r="O1014">
        <f t="shared" si="170"/>
        <v>-2.7216705120880706</v>
      </c>
      <c r="P1014" s="1">
        <f t="shared" si="172"/>
        <v>52.336971990849527</v>
      </c>
      <c r="Q1014" s="1">
        <f t="shared" si="173"/>
        <v>-135.98542560440353</v>
      </c>
      <c r="R1014">
        <f>SQRT(Tabelle2[[#This Row],[vx]]*Tabelle2[[#This Row],[vx]]+Tabelle2[[#This Row],[vy]]*Tabelle2[[#This Row],[vy]])</f>
        <v>145.70928115251181</v>
      </c>
      <c r="S1014">
        <f t="shared" si="174"/>
        <v>1058.2535736549664</v>
      </c>
      <c r="T1014" s="1">
        <f t="shared" si="175"/>
        <v>-742.50947894038904</v>
      </c>
    </row>
    <row r="1015" spans="6:20" x14ac:dyDescent="0.35">
      <c r="F1015" s="1">
        <f t="shared" si="171"/>
        <v>20.239999999999657</v>
      </c>
      <c r="G1015">
        <f>1/2*$B$8*$B$6*$B$7*(Tabelle2[[#This Row],[vx]]*Tabelle2[[#This Row],[vx]]+Tabelle2[[#This Row],[vy]]*Tabelle2[[#This Row],[vy]])/1000000</f>
        <v>37.650713714536565</v>
      </c>
      <c r="H1015">
        <f>IF($B$3,-Tabelle2[[#This Row],[Fd]]*Tabelle2[[#This Row],[vx]]/Tabelle2[[#This Row],[v]],0)</f>
        <v>0</v>
      </c>
      <c r="I1015">
        <f t="shared" si="165"/>
        <v>0</v>
      </c>
      <c r="J1015">
        <f t="shared" si="166"/>
        <v>0</v>
      </c>
      <c r="K1015">
        <f t="shared" si="167"/>
        <v>1.0467394398169905</v>
      </c>
      <c r="L1015">
        <f>-$B$5*$B$12-IF($B$3,Tabelle2[[#This Row],[Fd]]*Tabelle2[[#This Row],[vy]]/Tabelle2[[#This Row],[v]],0)</f>
        <v>-14.715</v>
      </c>
      <c r="M1015">
        <f t="shared" si="168"/>
        <v>-9.81</v>
      </c>
      <c r="N1015">
        <f t="shared" si="169"/>
        <v>-0.19620000000000001</v>
      </c>
      <c r="O1015">
        <f t="shared" si="170"/>
        <v>-2.7255945120880707</v>
      </c>
      <c r="P1015" s="1">
        <f t="shared" si="172"/>
        <v>52.336971990849527</v>
      </c>
      <c r="Q1015" s="1">
        <f t="shared" si="173"/>
        <v>-136.18162560440354</v>
      </c>
      <c r="R1015">
        <f>SQRT(Tabelle2[[#This Row],[vx]]*Tabelle2[[#This Row],[vx]]+Tabelle2[[#This Row],[vy]]*Tabelle2[[#This Row],[vy]])</f>
        <v>145.89240483804804</v>
      </c>
      <c r="S1015">
        <f t="shared" si="174"/>
        <v>1059.3003130947834</v>
      </c>
      <c r="T1015" s="1">
        <f t="shared" si="175"/>
        <v>-745.2311494524771</v>
      </c>
    </row>
    <row r="1016" spans="6:20" x14ac:dyDescent="0.35">
      <c r="F1016" s="1">
        <f t="shared" si="171"/>
        <v>20.259999999999657</v>
      </c>
      <c r="G1016">
        <f>1/2*$B$8*$B$6*$B$7*(Tabelle2[[#This Row],[vx]]*Tabelle2[[#This Row],[vx]]+Tabelle2[[#This Row],[vy]]*Tabelle2[[#This Row],[vy]])/1000000</f>
        <v>37.745308695937311</v>
      </c>
      <c r="H1016">
        <f>IF($B$3,-Tabelle2[[#This Row],[Fd]]*Tabelle2[[#This Row],[vx]]/Tabelle2[[#This Row],[v]],0)</f>
        <v>0</v>
      </c>
      <c r="I1016">
        <f t="shared" si="165"/>
        <v>0</v>
      </c>
      <c r="J1016">
        <f t="shared" si="166"/>
        <v>0</v>
      </c>
      <c r="K1016">
        <f t="shared" si="167"/>
        <v>1.0467394398169905</v>
      </c>
      <c r="L1016">
        <f>-$B$5*$B$12-IF($B$3,Tabelle2[[#This Row],[Fd]]*Tabelle2[[#This Row],[vy]]/Tabelle2[[#This Row],[v]],0)</f>
        <v>-14.715</v>
      </c>
      <c r="M1016">
        <f t="shared" si="168"/>
        <v>-9.81</v>
      </c>
      <c r="N1016">
        <f t="shared" si="169"/>
        <v>-0.19620000000000001</v>
      </c>
      <c r="O1016">
        <f t="shared" si="170"/>
        <v>-2.7295185120880707</v>
      </c>
      <c r="P1016" s="1">
        <f t="shared" si="172"/>
        <v>52.336971990849527</v>
      </c>
      <c r="Q1016" s="1">
        <f t="shared" si="173"/>
        <v>-136.37782560440354</v>
      </c>
      <c r="R1016">
        <f>SQRT(Tabelle2[[#This Row],[vx]]*Tabelle2[[#This Row],[vx]]+Tabelle2[[#This Row],[vy]]*Tabelle2[[#This Row],[vy]])</f>
        <v>146.07556247968404</v>
      </c>
      <c r="S1016">
        <f t="shared" si="174"/>
        <v>1060.3470525346004</v>
      </c>
      <c r="T1016" s="1">
        <f t="shared" si="175"/>
        <v>-747.95674396456513</v>
      </c>
    </row>
    <row r="1017" spans="6:20" x14ac:dyDescent="0.35">
      <c r="F1017" s="1">
        <f t="shared" si="171"/>
        <v>20.279999999999657</v>
      </c>
      <c r="G1017">
        <f>1/2*$B$8*$B$6*$B$7*(Tabelle2[[#This Row],[vx]]*Tabelle2[[#This Row],[vx]]+Tabelle2[[#This Row],[vy]]*Tabelle2[[#This Row],[vy]])/1000000</f>
        <v>37.840039864399415</v>
      </c>
      <c r="H1017">
        <f>IF($B$3,-Tabelle2[[#This Row],[Fd]]*Tabelle2[[#This Row],[vx]]/Tabelle2[[#This Row],[v]],0)</f>
        <v>0</v>
      </c>
      <c r="I1017">
        <f t="shared" si="165"/>
        <v>0</v>
      </c>
      <c r="J1017">
        <f t="shared" si="166"/>
        <v>0</v>
      </c>
      <c r="K1017">
        <f t="shared" si="167"/>
        <v>1.0467394398169905</v>
      </c>
      <c r="L1017">
        <f>-$B$5*$B$12-IF($B$3,Tabelle2[[#This Row],[Fd]]*Tabelle2[[#This Row],[vy]]/Tabelle2[[#This Row],[v]],0)</f>
        <v>-14.715</v>
      </c>
      <c r="M1017">
        <f t="shared" si="168"/>
        <v>-9.81</v>
      </c>
      <c r="N1017">
        <f t="shared" si="169"/>
        <v>-0.19620000000000001</v>
      </c>
      <c r="O1017">
        <f t="shared" si="170"/>
        <v>-2.7334425120880708</v>
      </c>
      <c r="P1017" s="1">
        <f t="shared" si="172"/>
        <v>52.336971990849527</v>
      </c>
      <c r="Q1017" s="1">
        <f t="shared" si="173"/>
        <v>-136.57402560440354</v>
      </c>
      <c r="R1017">
        <f>SQRT(Tabelle2[[#This Row],[vx]]*Tabelle2[[#This Row],[vx]]+Tabelle2[[#This Row],[vy]]*Tabelle2[[#This Row],[vy]])</f>
        <v>146.25875394985164</v>
      </c>
      <c r="S1017">
        <f t="shared" si="174"/>
        <v>1061.3937919744174</v>
      </c>
      <c r="T1017" s="1">
        <f t="shared" si="175"/>
        <v>-750.68626247665316</v>
      </c>
    </row>
    <row r="1018" spans="6:20" x14ac:dyDescent="0.35">
      <c r="F1018" s="1">
        <f t="shared" si="171"/>
        <v>20.299999999999656</v>
      </c>
      <c r="G1018">
        <f>1/2*$B$8*$B$6*$B$7*(Tabelle2[[#This Row],[vx]]*Tabelle2[[#This Row],[vx]]+Tabelle2[[#This Row],[vy]]*Tabelle2[[#This Row],[vy]])/1000000</f>
        <v>37.93490721992287</v>
      </c>
      <c r="H1018">
        <f>IF($B$3,-Tabelle2[[#This Row],[Fd]]*Tabelle2[[#This Row],[vx]]/Tabelle2[[#This Row],[v]],0)</f>
        <v>0</v>
      </c>
      <c r="I1018">
        <f t="shared" si="165"/>
        <v>0</v>
      </c>
      <c r="J1018">
        <f t="shared" si="166"/>
        <v>0</v>
      </c>
      <c r="K1018">
        <f t="shared" si="167"/>
        <v>1.0467394398169905</v>
      </c>
      <c r="L1018">
        <f>-$B$5*$B$12-IF($B$3,Tabelle2[[#This Row],[Fd]]*Tabelle2[[#This Row],[vy]]/Tabelle2[[#This Row],[v]],0)</f>
        <v>-14.715</v>
      </c>
      <c r="M1018">
        <f t="shared" si="168"/>
        <v>-9.81</v>
      </c>
      <c r="N1018">
        <f t="shared" si="169"/>
        <v>-0.19620000000000001</v>
      </c>
      <c r="O1018">
        <f t="shared" si="170"/>
        <v>-2.7373665120880708</v>
      </c>
      <c r="P1018" s="1">
        <f t="shared" si="172"/>
        <v>52.336971990849527</v>
      </c>
      <c r="Q1018" s="1">
        <f t="shared" si="173"/>
        <v>-136.77022560440355</v>
      </c>
      <c r="R1018">
        <f>SQRT(Tabelle2[[#This Row],[vx]]*Tabelle2[[#This Row],[vx]]+Tabelle2[[#This Row],[vy]]*Tabelle2[[#This Row],[vy]])</f>
        <v>146.44197912159754</v>
      </c>
      <c r="S1018">
        <f t="shared" si="174"/>
        <v>1062.4405314142343</v>
      </c>
      <c r="T1018" s="1">
        <f t="shared" si="175"/>
        <v>-753.41970498874127</v>
      </c>
    </row>
    <row r="1019" spans="6:20" x14ac:dyDescent="0.35">
      <c r="F1019" s="1">
        <f t="shared" si="171"/>
        <v>20.319999999999656</v>
      </c>
      <c r="G1019">
        <f>1/2*$B$8*$B$6*$B$7*(Tabelle2[[#This Row],[vx]]*Tabelle2[[#This Row],[vx]]+Tabelle2[[#This Row],[vy]]*Tabelle2[[#This Row],[vy]])/1000000</f>
        <v>38.029910762507662</v>
      </c>
      <c r="H1019">
        <f>IF($B$3,-Tabelle2[[#This Row],[Fd]]*Tabelle2[[#This Row],[vx]]/Tabelle2[[#This Row],[v]],0)</f>
        <v>0</v>
      </c>
      <c r="I1019">
        <f t="shared" si="165"/>
        <v>0</v>
      </c>
      <c r="J1019">
        <f t="shared" si="166"/>
        <v>0</v>
      </c>
      <c r="K1019">
        <f t="shared" si="167"/>
        <v>1.0467394398169905</v>
      </c>
      <c r="L1019">
        <f>-$B$5*$B$12-IF($B$3,Tabelle2[[#This Row],[Fd]]*Tabelle2[[#This Row],[vy]]/Tabelle2[[#This Row],[v]],0)</f>
        <v>-14.715</v>
      </c>
      <c r="M1019">
        <f t="shared" si="168"/>
        <v>-9.81</v>
      </c>
      <c r="N1019">
        <f t="shared" si="169"/>
        <v>-0.19620000000000001</v>
      </c>
      <c r="O1019">
        <f t="shared" si="170"/>
        <v>-2.7412905120880708</v>
      </c>
      <c r="P1019" s="1">
        <f t="shared" si="172"/>
        <v>52.336971990849527</v>
      </c>
      <c r="Q1019" s="1">
        <f t="shared" si="173"/>
        <v>-136.96642560440355</v>
      </c>
      <c r="R1019">
        <f>SQRT(Tabelle2[[#This Row],[vx]]*Tabelle2[[#This Row],[vx]]+Tabelle2[[#This Row],[vy]]*Tabelle2[[#This Row],[vy]])</f>
        <v>146.62523786857969</v>
      </c>
      <c r="S1019">
        <f t="shared" si="174"/>
        <v>1063.4872708540513</v>
      </c>
      <c r="T1019" s="1">
        <f t="shared" si="175"/>
        <v>-756.15707150082937</v>
      </c>
    </row>
    <row r="1020" spans="6:20" x14ac:dyDescent="0.35">
      <c r="F1020" s="1">
        <f t="shared" si="171"/>
        <v>20.339999999999655</v>
      </c>
      <c r="G1020">
        <f>1/2*$B$8*$B$6*$B$7*(Tabelle2[[#This Row],[vx]]*Tabelle2[[#This Row],[vx]]+Tabelle2[[#This Row],[vy]]*Tabelle2[[#This Row],[vy]])/1000000</f>
        <v>38.125050492153804</v>
      </c>
      <c r="H1020">
        <f>IF($B$3,-Tabelle2[[#This Row],[Fd]]*Tabelle2[[#This Row],[vx]]/Tabelle2[[#This Row],[v]],0)</f>
        <v>0</v>
      </c>
      <c r="I1020">
        <f t="shared" si="165"/>
        <v>0</v>
      </c>
      <c r="J1020">
        <f t="shared" si="166"/>
        <v>0</v>
      </c>
      <c r="K1020">
        <f t="shared" si="167"/>
        <v>1.0467394398169905</v>
      </c>
      <c r="L1020">
        <f>-$B$5*$B$12-IF($B$3,Tabelle2[[#This Row],[Fd]]*Tabelle2[[#This Row],[vy]]/Tabelle2[[#This Row],[v]],0)</f>
        <v>-14.715</v>
      </c>
      <c r="M1020">
        <f t="shared" si="168"/>
        <v>-9.81</v>
      </c>
      <c r="N1020">
        <f t="shared" si="169"/>
        <v>-0.19620000000000001</v>
      </c>
      <c r="O1020">
        <f t="shared" si="170"/>
        <v>-2.7452145120880709</v>
      </c>
      <c r="P1020" s="1">
        <f t="shared" si="172"/>
        <v>52.336971990849527</v>
      </c>
      <c r="Q1020" s="1">
        <f t="shared" si="173"/>
        <v>-137.16262560440356</v>
      </c>
      <c r="R1020">
        <f>SQRT(Tabelle2[[#This Row],[vx]]*Tabelle2[[#This Row],[vx]]+Tabelle2[[#This Row],[vy]]*Tabelle2[[#This Row],[vy]])</f>
        <v>146.80853006506382</v>
      </c>
      <c r="S1020">
        <f t="shared" si="174"/>
        <v>1064.5340102938683</v>
      </c>
      <c r="T1020" s="1">
        <f t="shared" si="175"/>
        <v>-758.89836201291746</v>
      </c>
    </row>
    <row r="1021" spans="6:20" x14ac:dyDescent="0.35">
      <c r="F1021" s="1">
        <f t="shared" si="171"/>
        <v>20.359999999999655</v>
      </c>
      <c r="G1021">
        <f>1/2*$B$8*$B$6*$B$7*(Tabelle2[[#This Row],[vx]]*Tabelle2[[#This Row],[vx]]+Tabelle2[[#This Row],[vy]]*Tabelle2[[#This Row],[vy]])/1000000</f>
        <v>38.220326408861283</v>
      </c>
      <c r="H1021">
        <f>IF($B$3,-Tabelle2[[#This Row],[Fd]]*Tabelle2[[#This Row],[vx]]/Tabelle2[[#This Row],[v]],0)</f>
        <v>0</v>
      </c>
      <c r="I1021">
        <f t="shared" si="165"/>
        <v>0</v>
      </c>
      <c r="J1021">
        <f t="shared" si="166"/>
        <v>0</v>
      </c>
      <c r="K1021">
        <f t="shared" si="167"/>
        <v>1.0467394398169905</v>
      </c>
      <c r="L1021">
        <f>-$B$5*$B$12-IF($B$3,Tabelle2[[#This Row],[Fd]]*Tabelle2[[#This Row],[vy]]/Tabelle2[[#This Row],[v]],0)</f>
        <v>-14.715</v>
      </c>
      <c r="M1021">
        <f t="shared" si="168"/>
        <v>-9.81</v>
      </c>
      <c r="N1021">
        <f t="shared" si="169"/>
        <v>-0.19620000000000001</v>
      </c>
      <c r="O1021">
        <f t="shared" si="170"/>
        <v>-2.7491385120880709</v>
      </c>
      <c r="P1021" s="1">
        <f t="shared" si="172"/>
        <v>52.336971990849527</v>
      </c>
      <c r="Q1021" s="1">
        <f t="shared" si="173"/>
        <v>-137.35882560440356</v>
      </c>
      <c r="R1021">
        <f>SQRT(Tabelle2[[#This Row],[vx]]*Tabelle2[[#This Row],[vx]]+Tabelle2[[#This Row],[vy]]*Tabelle2[[#This Row],[vy]])</f>
        <v>146.99185558591986</v>
      </c>
      <c r="S1021">
        <f t="shared" si="174"/>
        <v>1065.5807497336853</v>
      </c>
      <c r="T1021" s="1">
        <f t="shared" si="175"/>
        <v>-761.64357652500553</v>
      </c>
    </row>
    <row r="1022" spans="6:20" x14ac:dyDescent="0.35">
      <c r="F1022" s="1">
        <f t="shared" si="171"/>
        <v>20.379999999999654</v>
      </c>
      <c r="G1022">
        <f>1/2*$B$8*$B$6*$B$7*(Tabelle2[[#This Row],[vx]]*Tabelle2[[#This Row],[vx]]+Tabelle2[[#This Row],[vy]]*Tabelle2[[#This Row],[vy]])/1000000</f>
        <v>38.315738512630105</v>
      </c>
      <c r="H1022">
        <f>IF($B$3,-Tabelle2[[#This Row],[Fd]]*Tabelle2[[#This Row],[vx]]/Tabelle2[[#This Row],[v]],0)</f>
        <v>0</v>
      </c>
      <c r="I1022">
        <f t="shared" si="165"/>
        <v>0</v>
      </c>
      <c r="J1022">
        <f t="shared" si="166"/>
        <v>0</v>
      </c>
      <c r="K1022">
        <f t="shared" si="167"/>
        <v>1.0467394398169905</v>
      </c>
      <c r="L1022">
        <f>-$B$5*$B$12-IF($B$3,Tabelle2[[#This Row],[Fd]]*Tabelle2[[#This Row],[vy]]/Tabelle2[[#This Row],[v]],0)</f>
        <v>-14.715</v>
      </c>
      <c r="M1022">
        <f t="shared" si="168"/>
        <v>-9.81</v>
      </c>
      <c r="N1022">
        <f t="shared" si="169"/>
        <v>-0.19620000000000001</v>
      </c>
      <c r="O1022">
        <f t="shared" si="170"/>
        <v>-2.753062512088071</v>
      </c>
      <c r="P1022" s="1">
        <f t="shared" si="172"/>
        <v>52.336971990849527</v>
      </c>
      <c r="Q1022" s="1">
        <f t="shared" si="173"/>
        <v>-137.55502560440357</v>
      </c>
      <c r="R1022">
        <f>SQRT(Tabelle2[[#This Row],[vx]]*Tabelle2[[#This Row],[vx]]+Tabelle2[[#This Row],[vy]]*Tabelle2[[#This Row],[vy]])</f>
        <v>147.17521430661853</v>
      </c>
      <c r="S1022">
        <f t="shared" si="174"/>
        <v>1066.6274891735022</v>
      </c>
      <c r="T1022" s="1">
        <f t="shared" si="175"/>
        <v>-764.39271503709358</v>
      </c>
    </row>
    <row r="1023" spans="6:20" x14ac:dyDescent="0.35">
      <c r="F1023" s="1">
        <f t="shared" si="171"/>
        <v>20.399999999999654</v>
      </c>
      <c r="G1023">
        <f>1/2*$B$8*$B$6*$B$7*(Tabelle2[[#This Row],[vx]]*Tabelle2[[#This Row],[vx]]+Tabelle2[[#This Row],[vy]]*Tabelle2[[#This Row],[vy]])/1000000</f>
        <v>38.411286803460271</v>
      </c>
      <c r="H1023">
        <f>IF($B$3,-Tabelle2[[#This Row],[Fd]]*Tabelle2[[#This Row],[vx]]/Tabelle2[[#This Row],[v]],0)</f>
        <v>0</v>
      </c>
      <c r="I1023">
        <f t="shared" si="165"/>
        <v>0</v>
      </c>
      <c r="J1023">
        <f t="shared" si="166"/>
        <v>0</v>
      </c>
      <c r="K1023">
        <f t="shared" si="167"/>
        <v>1.0467394398169905</v>
      </c>
      <c r="L1023">
        <f>-$B$5*$B$12-IF($B$3,Tabelle2[[#This Row],[Fd]]*Tabelle2[[#This Row],[vy]]/Tabelle2[[#This Row],[v]],0)</f>
        <v>-14.715</v>
      </c>
      <c r="M1023">
        <f t="shared" si="168"/>
        <v>-9.81</v>
      </c>
      <c r="N1023">
        <f t="shared" si="169"/>
        <v>-0.19620000000000001</v>
      </c>
      <c r="O1023">
        <f t="shared" si="170"/>
        <v>-2.7569865120880714</v>
      </c>
      <c r="P1023" s="1">
        <f t="shared" si="172"/>
        <v>52.336971990849527</v>
      </c>
      <c r="Q1023" s="1">
        <f t="shared" si="173"/>
        <v>-137.75122560440357</v>
      </c>
      <c r="R1023">
        <f>SQRT(Tabelle2[[#This Row],[vx]]*Tabelle2[[#This Row],[vx]]+Tabelle2[[#This Row],[vy]]*Tabelle2[[#This Row],[vy]])</f>
        <v>147.35860610322783</v>
      </c>
      <c r="S1023">
        <f t="shared" si="174"/>
        <v>1067.6742286133192</v>
      </c>
      <c r="T1023" s="1">
        <f t="shared" si="175"/>
        <v>-767.14577754918162</v>
      </c>
    </row>
    <row r="1024" spans="6:20" x14ac:dyDescent="0.35">
      <c r="F1024" s="1">
        <f t="shared" si="171"/>
        <v>20.419999999999654</v>
      </c>
      <c r="G1024">
        <f>1/2*$B$8*$B$6*$B$7*(Tabelle2[[#This Row],[vx]]*Tabelle2[[#This Row],[vx]]+Tabelle2[[#This Row],[vy]]*Tabelle2[[#This Row],[vy]])/1000000</f>
        <v>38.506971281351781</v>
      </c>
      <c r="H1024">
        <f>IF($B$3,-Tabelle2[[#This Row],[Fd]]*Tabelle2[[#This Row],[vx]]/Tabelle2[[#This Row],[v]],0)</f>
        <v>0</v>
      </c>
      <c r="I1024">
        <f t="shared" si="165"/>
        <v>0</v>
      </c>
      <c r="J1024">
        <f t="shared" si="166"/>
        <v>0</v>
      </c>
      <c r="K1024">
        <f t="shared" si="167"/>
        <v>1.0467394398169905</v>
      </c>
      <c r="L1024">
        <f>-$B$5*$B$12-IF($B$3,Tabelle2[[#This Row],[Fd]]*Tabelle2[[#This Row],[vy]]/Tabelle2[[#This Row],[v]],0)</f>
        <v>-14.715</v>
      </c>
      <c r="M1024">
        <f t="shared" si="168"/>
        <v>-9.81</v>
      </c>
      <c r="N1024">
        <f t="shared" si="169"/>
        <v>-0.19620000000000001</v>
      </c>
      <c r="O1024">
        <f t="shared" si="170"/>
        <v>-2.7609105120880715</v>
      </c>
      <c r="P1024" s="1">
        <f t="shared" si="172"/>
        <v>52.336971990849527</v>
      </c>
      <c r="Q1024" s="1">
        <f t="shared" si="173"/>
        <v>-137.94742560440358</v>
      </c>
      <c r="R1024">
        <f>SQRT(Tabelle2[[#This Row],[vx]]*Tabelle2[[#This Row],[vx]]+Tabelle2[[#This Row],[vy]]*Tabelle2[[#This Row],[vy]])</f>
        <v>147.54203085240974</v>
      </c>
      <c r="S1024">
        <f t="shared" si="174"/>
        <v>1068.7209680531362</v>
      </c>
      <c r="T1024" s="1">
        <f t="shared" si="175"/>
        <v>-769.90276406126964</v>
      </c>
    </row>
    <row r="1025" spans="6:20" x14ac:dyDescent="0.35">
      <c r="F1025" s="1">
        <f t="shared" si="171"/>
        <v>20.439999999999653</v>
      </c>
      <c r="G1025">
        <f>1/2*$B$8*$B$6*$B$7*(Tabelle2[[#This Row],[vx]]*Tabelle2[[#This Row],[vx]]+Tabelle2[[#This Row],[vy]]*Tabelle2[[#This Row],[vy]])/1000000</f>
        <v>38.602791946304642</v>
      </c>
      <c r="H1025">
        <f>IF($B$3,-Tabelle2[[#This Row],[Fd]]*Tabelle2[[#This Row],[vx]]/Tabelle2[[#This Row],[v]],0)</f>
        <v>0</v>
      </c>
      <c r="I1025">
        <f t="shared" si="165"/>
        <v>0</v>
      </c>
      <c r="J1025">
        <f t="shared" si="166"/>
        <v>0</v>
      </c>
      <c r="K1025">
        <f t="shared" si="167"/>
        <v>1.0467394398169905</v>
      </c>
      <c r="L1025">
        <f>-$B$5*$B$12-IF($B$3,Tabelle2[[#This Row],[Fd]]*Tabelle2[[#This Row],[vy]]/Tabelle2[[#This Row],[v]],0)</f>
        <v>-14.715</v>
      </c>
      <c r="M1025">
        <f t="shared" si="168"/>
        <v>-9.81</v>
      </c>
      <c r="N1025">
        <f t="shared" si="169"/>
        <v>-0.19620000000000001</v>
      </c>
      <c r="O1025">
        <f t="shared" si="170"/>
        <v>-2.7648345120880715</v>
      </c>
      <c r="P1025" s="1">
        <f t="shared" si="172"/>
        <v>52.336971990849527</v>
      </c>
      <c r="Q1025" s="1">
        <f t="shared" si="173"/>
        <v>-138.14362560440358</v>
      </c>
      <c r="R1025">
        <f>SQRT(Tabelle2[[#This Row],[vx]]*Tabelle2[[#This Row],[vx]]+Tabelle2[[#This Row],[vy]]*Tabelle2[[#This Row],[vy]])</f>
        <v>147.72548843141658</v>
      </c>
      <c r="S1025">
        <f t="shared" si="174"/>
        <v>1069.7677074929531</v>
      </c>
      <c r="T1025" s="1">
        <f t="shared" si="175"/>
        <v>-772.66367457335775</v>
      </c>
    </row>
    <row r="1026" spans="6:20" x14ac:dyDescent="0.35">
      <c r="F1026" s="1">
        <f t="shared" si="171"/>
        <v>20.459999999999653</v>
      </c>
      <c r="G1026">
        <f>1/2*$B$8*$B$6*$B$7*(Tabelle2[[#This Row],[vx]]*Tabelle2[[#This Row],[vx]]+Tabelle2[[#This Row],[vy]]*Tabelle2[[#This Row],[vy]])/1000000</f>
        <v>38.698748798318839</v>
      </c>
      <c r="H1026">
        <f>IF($B$3,-Tabelle2[[#This Row],[Fd]]*Tabelle2[[#This Row],[vx]]/Tabelle2[[#This Row],[v]],0)</f>
        <v>0</v>
      </c>
      <c r="I1026">
        <f t="shared" si="165"/>
        <v>0</v>
      </c>
      <c r="J1026">
        <f t="shared" si="166"/>
        <v>0</v>
      </c>
      <c r="K1026">
        <f t="shared" si="167"/>
        <v>1.0467394398169905</v>
      </c>
      <c r="L1026">
        <f>-$B$5*$B$12-IF($B$3,Tabelle2[[#This Row],[Fd]]*Tabelle2[[#This Row],[vy]]/Tabelle2[[#This Row],[v]],0)</f>
        <v>-14.715</v>
      </c>
      <c r="M1026">
        <f t="shared" si="168"/>
        <v>-9.81</v>
      </c>
      <c r="N1026">
        <f t="shared" si="169"/>
        <v>-0.19620000000000001</v>
      </c>
      <c r="O1026">
        <f t="shared" si="170"/>
        <v>-2.7687585120880716</v>
      </c>
      <c r="P1026" s="1">
        <f t="shared" si="172"/>
        <v>52.336971990849527</v>
      </c>
      <c r="Q1026" s="1">
        <f t="shared" si="173"/>
        <v>-138.33982560440359</v>
      </c>
      <c r="R1026">
        <f>SQRT(Tabelle2[[#This Row],[vx]]*Tabelle2[[#This Row],[vx]]+Tabelle2[[#This Row],[vy]]*Tabelle2[[#This Row],[vy]])</f>
        <v>147.90897871808787</v>
      </c>
      <c r="S1026">
        <f t="shared" si="174"/>
        <v>1070.8144469327701</v>
      </c>
      <c r="T1026" s="1">
        <f t="shared" si="175"/>
        <v>-775.42850908544585</v>
      </c>
    </row>
    <row r="1027" spans="6:20" x14ac:dyDescent="0.35">
      <c r="F1027" s="1">
        <f t="shared" si="171"/>
        <v>20.479999999999652</v>
      </c>
      <c r="G1027">
        <f>1/2*$B$8*$B$6*$B$7*(Tabelle2[[#This Row],[vx]]*Tabelle2[[#This Row],[vx]]+Tabelle2[[#This Row],[vy]]*Tabelle2[[#This Row],[vy]])/1000000</f>
        <v>38.794841837394387</v>
      </c>
      <c r="H1027">
        <f>IF($B$3,-Tabelle2[[#This Row],[Fd]]*Tabelle2[[#This Row],[vx]]/Tabelle2[[#This Row],[v]],0)</f>
        <v>0</v>
      </c>
      <c r="I1027">
        <f t="shared" ref="I1027:I1090" si="176">H1027/$B$5</f>
        <v>0</v>
      </c>
      <c r="J1027">
        <f t="shared" ref="J1027:J1090" si="177">I1027*$B$13</f>
        <v>0</v>
      </c>
      <c r="K1027">
        <f t="shared" ref="K1027:K1090" si="178">$B$13*(P1027+J1027/2)</f>
        <v>1.0467394398169905</v>
      </c>
      <c r="L1027">
        <f>-$B$5*$B$12-IF($B$3,Tabelle2[[#This Row],[Fd]]*Tabelle2[[#This Row],[vy]]/Tabelle2[[#This Row],[v]],0)</f>
        <v>-14.715</v>
      </c>
      <c r="M1027">
        <f t="shared" ref="M1027:M1090" si="179">L1027/$B$5</f>
        <v>-9.81</v>
      </c>
      <c r="N1027">
        <f t="shared" ref="N1027:N1090" si="180">M1027*$B$13</f>
        <v>-0.19620000000000001</v>
      </c>
      <c r="O1027">
        <f t="shared" ref="O1027:O1090" si="181">$B$13*(Q1027+N1027/2)</f>
        <v>-2.7726825120880716</v>
      </c>
      <c r="P1027" s="1">
        <f t="shared" si="172"/>
        <v>52.336971990849527</v>
      </c>
      <c r="Q1027" s="1">
        <f t="shared" si="173"/>
        <v>-138.53602560440359</v>
      </c>
      <c r="R1027">
        <f>SQRT(Tabelle2[[#This Row],[vx]]*Tabelle2[[#This Row],[vx]]+Tabelle2[[#This Row],[vy]]*Tabelle2[[#This Row],[vy]])</f>
        <v>148.09250159084672</v>
      </c>
      <c r="S1027">
        <f t="shared" si="174"/>
        <v>1071.8611863725871</v>
      </c>
      <c r="T1027" s="1">
        <f t="shared" si="175"/>
        <v>-778.19726759753394</v>
      </c>
    </row>
    <row r="1028" spans="6:20" x14ac:dyDescent="0.35">
      <c r="F1028" s="1">
        <f t="shared" ref="F1028:F1091" si="182">F1027+$B$13</f>
        <v>20.499999999999652</v>
      </c>
      <c r="G1028">
        <f>1/2*$B$8*$B$6*$B$7*(Tabelle2[[#This Row],[vx]]*Tabelle2[[#This Row],[vx]]+Tabelle2[[#This Row],[vy]]*Tabelle2[[#This Row],[vy]])/1000000</f>
        <v>38.891071063531271</v>
      </c>
      <c r="H1028">
        <f>IF($B$3,-Tabelle2[[#This Row],[Fd]]*Tabelle2[[#This Row],[vx]]/Tabelle2[[#This Row],[v]],0)</f>
        <v>0</v>
      </c>
      <c r="I1028">
        <f t="shared" si="176"/>
        <v>0</v>
      </c>
      <c r="J1028">
        <f t="shared" si="177"/>
        <v>0</v>
      </c>
      <c r="K1028">
        <f t="shared" si="178"/>
        <v>1.0467394398169905</v>
      </c>
      <c r="L1028">
        <f>-$B$5*$B$12-IF($B$3,Tabelle2[[#This Row],[Fd]]*Tabelle2[[#This Row],[vy]]/Tabelle2[[#This Row],[v]],0)</f>
        <v>-14.715</v>
      </c>
      <c r="M1028">
        <f t="shared" si="179"/>
        <v>-9.81</v>
      </c>
      <c r="N1028">
        <f t="shared" si="180"/>
        <v>-0.19620000000000001</v>
      </c>
      <c r="O1028">
        <f t="shared" si="181"/>
        <v>-2.7766065120880716</v>
      </c>
      <c r="P1028" s="1">
        <f t="shared" ref="P1028:P1091" si="183">P1027+J1027</f>
        <v>52.336971990849527</v>
      </c>
      <c r="Q1028" s="1">
        <f t="shared" ref="Q1028:Q1091" si="184">Q1027+N1027</f>
        <v>-138.7322256044036</v>
      </c>
      <c r="R1028">
        <f>SQRT(Tabelle2[[#This Row],[vx]]*Tabelle2[[#This Row],[vx]]+Tabelle2[[#This Row],[vy]]*Tabelle2[[#This Row],[vy]])</f>
        <v>148.2760569286967</v>
      </c>
      <c r="S1028">
        <f t="shared" ref="S1028:S1091" si="185">S1027+K1027</f>
        <v>1072.9079258124041</v>
      </c>
      <c r="T1028" s="1">
        <f t="shared" ref="T1028:T1091" si="186">T1027+O1027</f>
        <v>-780.969950109622</v>
      </c>
    </row>
    <row r="1029" spans="6:20" x14ac:dyDescent="0.35">
      <c r="F1029" s="1">
        <f t="shared" si="182"/>
        <v>20.519999999999651</v>
      </c>
      <c r="G1029">
        <f>1/2*$B$8*$B$6*$B$7*(Tabelle2[[#This Row],[vx]]*Tabelle2[[#This Row],[vx]]+Tabelle2[[#This Row],[vy]]*Tabelle2[[#This Row],[vy]])/1000000</f>
        <v>38.987436476729506</v>
      </c>
      <c r="H1029">
        <f>IF($B$3,-Tabelle2[[#This Row],[Fd]]*Tabelle2[[#This Row],[vx]]/Tabelle2[[#This Row],[v]],0)</f>
        <v>0</v>
      </c>
      <c r="I1029">
        <f t="shared" si="176"/>
        <v>0</v>
      </c>
      <c r="J1029">
        <f t="shared" si="177"/>
        <v>0</v>
      </c>
      <c r="K1029">
        <f t="shared" si="178"/>
        <v>1.0467394398169905</v>
      </c>
      <c r="L1029">
        <f>-$B$5*$B$12-IF($B$3,Tabelle2[[#This Row],[Fd]]*Tabelle2[[#This Row],[vy]]/Tabelle2[[#This Row],[v]],0)</f>
        <v>-14.715</v>
      </c>
      <c r="M1029">
        <f t="shared" si="179"/>
        <v>-9.81</v>
      </c>
      <c r="N1029">
        <f t="shared" si="180"/>
        <v>-0.19620000000000001</v>
      </c>
      <c r="O1029">
        <f t="shared" si="181"/>
        <v>-2.7805305120880717</v>
      </c>
      <c r="P1029" s="1">
        <f t="shared" si="183"/>
        <v>52.336971990849527</v>
      </c>
      <c r="Q1029" s="1">
        <f t="shared" si="184"/>
        <v>-138.9284256044036</v>
      </c>
      <c r="R1029">
        <f>SQRT(Tabelle2[[#This Row],[vx]]*Tabelle2[[#This Row],[vx]]+Tabelle2[[#This Row],[vy]]*Tabelle2[[#This Row],[vy]])</f>
        <v>148.45964461121841</v>
      </c>
      <c r="S1029">
        <f t="shared" si="185"/>
        <v>1073.954665252221</v>
      </c>
      <c r="T1029" s="1">
        <f t="shared" si="186"/>
        <v>-783.74655662171006</v>
      </c>
    </row>
    <row r="1030" spans="6:20" x14ac:dyDescent="0.35">
      <c r="F1030" s="1">
        <f t="shared" si="182"/>
        <v>20.539999999999651</v>
      </c>
      <c r="G1030">
        <f>1/2*$B$8*$B$6*$B$7*(Tabelle2[[#This Row],[vx]]*Tabelle2[[#This Row],[vx]]+Tabelle2[[#This Row],[vy]]*Tabelle2[[#This Row],[vy]])/1000000</f>
        <v>39.083938076989078</v>
      </c>
      <c r="H1030">
        <f>IF($B$3,-Tabelle2[[#This Row],[Fd]]*Tabelle2[[#This Row],[vx]]/Tabelle2[[#This Row],[v]],0)</f>
        <v>0</v>
      </c>
      <c r="I1030">
        <f t="shared" si="176"/>
        <v>0</v>
      </c>
      <c r="J1030">
        <f t="shared" si="177"/>
        <v>0</v>
      </c>
      <c r="K1030">
        <f t="shared" si="178"/>
        <v>1.0467394398169905</v>
      </c>
      <c r="L1030">
        <f>-$B$5*$B$12-IF($B$3,Tabelle2[[#This Row],[Fd]]*Tabelle2[[#This Row],[vy]]/Tabelle2[[#This Row],[v]],0)</f>
        <v>-14.715</v>
      </c>
      <c r="M1030">
        <f t="shared" si="179"/>
        <v>-9.81</v>
      </c>
      <c r="N1030">
        <f t="shared" si="180"/>
        <v>-0.19620000000000001</v>
      </c>
      <c r="O1030">
        <f t="shared" si="181"/>
        <v>-2.7844545120880717</v>
      </c>
      <c r="P1030" s="1">
        <f t="shared" si="183"/>
        <v>52.336971990849527</v>
      </c>
      <c r="Q1030" s="1">
        <f t="shared" si="184"/>
        <v>-139.1246256044036</v>
      </c>
      <c r="R1030">
        <f>SQRT(Tabelle2[[#This Row],[vx]]*Tabelle2[[#This Row],[vx]]+Tabelle2[[#This Row],[vy]]*Tabelle2[[#This Row],[vy]])</f>
        <v>148.64326451856621</v>
      </c>
      <c r="S1030">
        <f t="shared" si="185"/>
        <v>1075.001404692038</v>
      </c>
      <c r="T1030" s="1">
        <f t="shared" si="186"/>
        <v>-786.52708713379809</v>
      </c>
    </row>
    <row r="1031" spans="6:20" x14ac:dyDescent="0.35">
      <c r="F1031" s="1">
        <f t="shared" si="182"/>
        <v>20.559999999999651</v>
      </c>
      <c r="G1031">
        <f>1/2*$B$8*$B$6*$B$7*(Tabelle2[[#This Row],[vx]]*Tabelle2[[#This Row],[vx]]+Tabelle2[[#This Row],[vy]]*Tabelle2[[#This Row],[vy]])/1000000</f>
        <v>39.180575864309994</v>
      </c>
      <c r="H1031">
        <f>IF($B$3,-Tabelle2[[#This Row],[Fd]]*Tabelle2[[#This Row],[vx]]/Tabelle2[[#This Row],[v]],0)</f>
        <v>0</v>
      </c>
      <c r="I1031">
        <f t="shared" si="176"/>
        <v>0</v>
      </c>
      <c r="J1031">
        <f t="shared" si="177"/>
        <v>0</v>
      </c>
      <c r="K1031">
        <f t="shared" si="178"/>
        <v>1.0467394398169905</v>
      </c>
      <c r="L1031">
        <f>-$B$5*$B$12-IF($B$3,Tabelle2[[#This Row],[Fd]]*Tabelle2[[#This Row],[vy]]/Tabelle2[[#This Row],[v]],0)</f>
        <v>-14.715</v>
      </c>
      <c r="M1031">
        <f t="shared" si="179"/>
        <v>-9.81</v>
      </c>
      <c r="N1031">
        <f t="shared" si="180"/>
        <v>-0.19620000000000001</v>
      </c>
      <c r="O1031">
        <f t="shared" si="181"/>
        <v>-2.7883785120880722</v>
      </c>
      <c r="P1031" s="1">
        <f t="shared" si="183"/>
        <v>52.336971990849527</v>
      </c>
      <c r="Q1031" s="1">
        <f t="shared" si="184"/>
        <v>-139.32082560440361</v>
      </c>
      <c r="R1031">
        <f>SQRT(Tabelle2[[#This Row],[vx]]*Tabelle2[[#This Row],[vx]]+Tabelle2[[#This Row],[vy]]*Tabelle2[[#This Row],[vy]])</f>
        <v>148.82691653146486</v>
      </c>
      <c r="S1031">
        <f t="shared" si="185"/>
        <v>1076.048144131855</v>
      </c>
      <c r="T1031" s="1">
        <f t="shared" si="186"/>
        <v>-789.31154164588611</v>
      </c>
    </row>
    <row r="1032" spans="6:20" x14ac:dyDescent="0.35">
      <c r="F1032" s="1">
        <f t="shared" si="182"/>
        <v>20.57999999999965</v>
      </c>
      <c r="G1032">
        <f>1/2*$B$8*$B$6*$B$7*(Tabelle2[[#This Row],[vx]]*Tabelle2[[#This Row],[vx]]+Tabelle2[[#This Row],[vy]]*Tabelle2[[#This Row],[vy]])/1000000</f>
        <v>39.27734983869226</v>
      </c>
      <c r="H1032">
        <f>IF($B$3,-Tabelle2[[#This Row],[Fd]]*Tabelle2[[#This Row],[vx]]/Tabelle2[[#This Row],[v]],0)</f>
        <v>0</v>
      </c>
      <c r="I1032">
        <f t="shared" si="176"/>
        <v>0</v>
      </c>
      <c r="J1032">
        <f t="shared" si="177"/>
        <v>0</v>
      </c>
      <c r="K1032">
        <f t="shared" si="178"/>
        <v>1.0467394398169905</v>
      </c>
      <c r="L1032">
        <f>-$B$5*$B$12-IF($B$3,Tabelle2[[#This Row],[Fd]]*Tabelle2[[#This Row],[vy]]/Tabelle2[[#This Row],[v]],0)</f>
        <v>-14.715</v>
      </c>
      <c r="M1032">
        <f t="shared" si="179"/>
        <v>-9.81</v>
      </c>
      <c r="N1032">
        <f t="shared" si="180"/>
        <v>-0.19620000000000001</v>
      </c>
      <c r="O1032">
        <f t="shared" si="181"/>
        <v>-2.7923025120880722</v>
      </c>
      <c r="P1032" s="1">
        <f t="shared" si="183"/>
        <v>52.336971990849527</v>
      </c>
      <c r="Q1032" s="1">
        <f t="shared" si="184"/>
        <v>-139.51702560440361</v>
      </c>
      <c r="R1032">
        <f>SQRT(Tabelle2[[#This Row],[vx]]*Tabelle2[[#This Row],[vx]]+Tabelle2[[#This Row],[vy]]*Tabelle2[[#This Row],[vy]])</f>
        <v>149.01060053120642</v>
      </c>
      <c r="S1032">
        <f t="shared" si="185"/>
        <v>1077.094883571672</v>
      </c>
      <c r="T1032" s="1">
        <f t="shared" si="186"/>
        <v>-792.09992015797422</v>
      </c>
    </row>
    <row r="1033" spans="6:20" x14ac:dyDescent="0.35">
      <c r="F1033" s="1">
        <f t="shared" si="182"/>
        <v>20.59999999999965</v>
      </c>
      <c r="G1033">
        <f>1/2*$B$8*$B$6*$B$7*(Tabelle2[[#This Row],[vx]]*Tabelle2[[#This Row],[vx]]+Tabelle2[[#This Row],[vy]]*Tabelle2[[#This Row],[vy]])/1000000</f>
        <v>39.37426000013587</v>
      </c>
      <c r="H1033">
        <f>IF($B$3,-Tabelle2[[#This Row],[Fd]]*Tabelle2[[#This Row],[vx]]/Tabelle2[[#This Row],[v]],0)</f>
        <v>0</v>
      </c>
      <c r="I1033">
        <f t="shared" si="176"/>
        <v>0</v>
      </c>
      <c r="J1033">
        <f t="shared" si="177"/>
        <v>0</v>
      </c>
      <c r="K1033">
        <f t="shared" si="178"/>
        <v>1.0467394398169905</v>
      </c>
      <c r="L1033">
        <f>-$B$5*$B$12-IF($B$3,Tabelle2[[#This Row],[Fd]]*Tabelle2[[#This Row],[vy]]/Tabelle2[[#This Row],[v]],0)</f>
        <v>-14.715</v>
      </c>
      <c r="M1033">
        <f t="shared" si="179"/>
        <v>-9.81</v>
      </c>
      <c r="N1033">
        <f t="shared" si="180"/>
        <v>-0.19620000000000001</v>
      </c>
      <c r="O1033">
        <f t="shared" si="181"/>
        <v>-2.7962265120880723</v>
      </c>
      <c r="P1033" s="1">
        <f t="shared" si="183"/>
        <v>52.336971990849527</v>
      </c>
      <c r="Q1033" s="1">
        <f t="shared" si="184"/>
        <v>-139.71322560440362</v>
      </c>
      <c r="R1033">
        <f>SQRT(Tabelle2[[#This Row],[vx]]*Tabelle2[[#This Row],[vx]]+Tabelle2[[#This Row],[vy]]*Tabelle2[[#This Row],[vy]])</f>
        <v>149.19431639964691</v>
      </c>
      <c r="S1033">
        <f t="shared" si="185"/>
        <v>1078.1416230114889</v>
      </c>
      <c r="T1033" s="1">
        <f t="shared" si="186"/>
        <v>-794.89222267006232</v>
      </c>
    </row>
    <row r="1034" spans="6:20" x14ac:dyDescent="0.35">
      <c r="F1034" s="1">
        <f t="shared" si="182"/>
        <v>20.619999999999649</v>
      </c>
      <c r="G1034">
        <f>1/2*$B$8*$B$6*$B$7*(Tabelle2[[#This Row],[vx]]*Tabelle2[[#This Row],[vx]]+Tabelle2[[#This Row],[vy]]*Tabelle2[[#This Row],[vy]])/1000000</f>
        <v>39.471306348640823</v>
      </c>
      <c r="H1034">
        <f>IF($B$3,-Tabelle2[[#This Row],[Fd]]*Tabelle2[[#This Row],[vx]]/Tabelle2[[#This Row],[v]],0)</f>
        <v>0</v>
      </c>
      <c r="I1034">
        <f t="shared" si="176"/>
        <v>0</v>
      </c>
      <c r="J1034">
        <f t="shared" si="177"/>
        <v>0</v>
      </c>
      <c r="K1034">
        <f t="shared" si="178"/>
        <v>1.0467394398169905</v>
      </c>
      <c r="L1034">
        <f>-$B$5*$B$12-IF($B$3,Tabelle2[[#This Row],[Fd]]*Tabelle2[[#This Row],[vy]]/Tabelle2[[#This Row],[v]],0)</f>
        <v>-14.715</v>
      </c>
      <c r="M1034">
        <f t="shared" si="179"/>
        <v>-9.81</v>
      </c>
      <c r="N1034">
        <f t="shared" si="180"/>
        <v>-0.19620000000000001</v>
      </c>
      <c r="O1034">
        <f t="shared" si="181"/>
        <v>-2.8001505120880723</v>
      </c>
      <c r="P1034" s="1">
        <f t="shared" si="183"/>
        <v>52.336971990849527</v>
      </c>
      <c r="Q1034" s="1">
        <f t="shared" si="184"/>
        <v>-139.90942560440362</v>
      </c>
      <c r="R1034">
        <f>SQRT(Tabelle2[[#This Row],[vx]]*Tabelle2[[#This Row],[vx]]+Tabelle2[[#This Row],[vy]]*Tabelle2[[#This Row],[vy]])</f>
        <v>149.37806401920304</v>
      </c>
      <c r="S1034">
        <f t="shared" si="185"/>
        <v>1079.1883624513059</v>
      </c>
      <c r="T1034" s="1">
        <f t="shared" si="186"/>
        <v>-797.68844918215041</v>
      </c>
    </row>
    <row r="1035" spans="6:20" x14ac:dyDescent="0.35">
      <c r="F1035" s="1">
        <f t="shared" si="182"/>
        <v>20.639999999999649</v>
      </c>
      <c r="G1035">
        <f>1/2*$B$8*$B$6*$B$7*(Tabelle2[[#This Row],[vx]]*Tabelle2[[#This Row],[vx]]+Tabelle2[[#This Row],[vy]]*Tabelle2[[#This Row],[vy]])/1000000</f>
        <v>39.568488884207113</v>
      </c>
      <c r="H1035">
        <f>IF($B$3,-Tabelle2[[#This Row],[Fd]]*Tabelle2[[#This Row],[vx]]/Tabelle2[[#This Row],[v]],0)</f>
        <v>0</v>
      </c>
      <c r="I1035">
        <f t="shared" si="176"/>
        <v>0</v>
      </c>
      <c r="J1035">
        <f t="shared" si="177"/>
        <v>0</v>
      </c>
      <c r="K1035">
        <f t="shared" si="178"/>
        <v>1.0467394398169905</v>
      </c>
      <c r="L1035">
        <f>-$B$5*$B$12-IF($B$3,Tabelle2[[#This Row],[Fd]]*Tabelle2[[#This Row],[vy]]/Tabelle2[[#This Row],[v]],0)</f>
        <v>-14.715</v>
      </c>
      <c r="M1035">
        <f t="shared" si="179"/>
        <v>-9.81</v>
      </c>
      <c r="N1035">
        <f t="shared" si="180"/>
        <v>-0.19620000000000001</v>
      </c>
      <c r="O1035">
        <f t="shared" si="181"/>
        <v>-2.8040745120880723</v>
      </c>
      <c r="P1035" s="1">
        <f t="shared" si="183"/>
        <v>52.336971990849527</v>
      </c>
      <c r="Q1035" s="1">
        <f t="shared" si="184"/>
        <v>-140.10562560440363</v>
      </c>
      <c r="R1035">
        <f>SQRT(Tabelle2[[#This Row],[vx]]*Tabelle2[[#This Row],[vx]]+Tabelle2[[#This Row],[vy]]*Tabelle2[[#This Row],[vy]])</f>
        <v>149.56184327284913</v>
      </c>
      <c r="S1035">
        <f t="shared" si="185"/>
        <v>1080.2351018911229</v>
      </c>
      <c r="T1035" s="1">
        <f t="shared" si="186"/>
        <v>-800.48859969423847</v>
      </c>
    </row>
    <row r="1036" spans="6:20" x14ac:dyDescent="0.35">
      <c r="F1036" s="1">
        <f t="shared" si="182"/>
        <v>20.659999999999648</v>
      </c>
      <c r="G1036">
        <f>1/2*$B$8*$B$6*$B$7*(Tabelle2[[#This Row],[vx]]*Tabelle2[[#This Row],[vx]]+Tabelle2[[#This Row],[vy]]*Tabelle2[[#This Row],[vy]])/1000000</f>
        <v>39.665807606834754</v>
      </c>
      <c r="H1036">
        <f>IF($B$3,-Tabelle2[[#This Row],[Fd]]*Tabelle2[[#This Row],[vx]]/Tabelle2[[#This Row],[v]],0)</f>
        <v>0</v>
      </c>
      <c r="I1036">
        <f t="shared" si="176"/>
        <v>0</v>
      </c>
      <c r="J1036">
        <f t="shared" si="177"/>
        <v>0</v>
      </c>
      <c r="K1036">
        <f t="shared" si="178"/>
        <v>1.0467394398169905</v>
      </c>
      <c r="L1036">
        <f>-$B$5*$B$12-IF($B$3,Tabelle2[[#This Row],[Fd]]*Tabelle2[[#This Row],[vy]]/Tabelle2[[#This Row],[v]],0)</f>
        <v>-14.715</v>
      </c>
      <c r="M1036">
        <f t="shared" si="179"/>
        <v>-9.81</v>
      </c>
      <c r="N1036">
        <f t="shared" si="180"/>
        <v>-0.19620000000000001</v>
      </c>
      <c r="O1036">
        <f t="shared" si="181"/>
        <v>-2.8079985120880724</v>
      </c>
      <c r="P1036" s="1">
        <f t="shared" si="183"/>
        <v>52.336971990849527</v>
      </c>
      <c r="Q1036" s="1">
        <f t="shared" si="184"/>
        <v>-140.30182560440363</v>
      </c>
      <c r="R1036">
        <f>SQRT(Tabelle2[[#This Row],[vx]]*Tabelle2[[#This Row],[vx]]+Tabelle2[[#This Row],[vy]]*Tabelle2[[#This Row],[vy]])</f>
        <v>149.74565404411393</v>
      </c>
      <c r="S1036">
        <f t="shared" si="185"/>
        <v>1081.2818413309399</v>
      </c>
      <c r="T1036" s="1">
        <f t="shared" si="186"/>
        <v>-803.29267420632652</v>
      </c>
    </row>
    <row r="1037" spans="6:20" x14ac:dyDescent="0.35">
      <c r="F1037" s="1">
        <f t="shared" si="182"/>
        <v>20.679999999999648</v>
      </c>
      <c r="G1037">
        <f>1/2*$B$8*$B$6*$B$7*(Tabelle2[[#This Row],[vx]]*Tabelle2[[#This Row],[vx]]+Tabelle2[[#This Row],[vy]]*Tabelle2[[#This Row],[vy]])/1000000</f>
        <v>39.763262516523739</v>
      </c>
      <c r="H1037">
        <f>IF($B$3,-Tabelle2[[#This Row],[Fd]]*Tabelle2[[#This Row],[vx]]/Tabelle2[[#This Row],[v]],0)</f>
        <v>0</v>
      </c>
      <c r="I1037">
        <f t="shared" si="176"/>
        <v>0</v>
      </c>
      <c r="J1037">
        <f t="shared" si="177"/>
        <v>0</v>
      </c>
      <c r="K1037">
        <f t="shared" si="178"/>
        <v>1.0467394398169905</v>
      </c>
      <c r="L1037">
        <f>-$B$5*$B$12-IF($B$3,Tabelle2[[#This Row],[Fd]]*Tabelle2[[#This Row],[vy]]/Tabelle2[[#This Row],[v]],0)</f>
        <v>-14.715</v>
      </c>
      <c r="M1037">
        <f t="shared" si="179"/>
        <v>-9.81</v>
      </c>
      <c r="N1037">
        <f t="shared" si="180"/>
        <v>-0.19620000000000001</v>
      </c>
      <c r="O1037">
        <f t="shared" si="181"/>
        <v>-2.8119225120880724</v>
      </c>
      <c r="P1037" s="1">
        <f t="shared" si="183"/>
        <v>52.336971990849527</v>
      </c>
      <c r="Q1037" s="1">
        <f t="shared" si="184"/>
        <v>-140.49802560440364</v>
      </c>
      <c r="R1037">
        <f>SQRT(Tabelle2[[#This Row],[vx]]*Tabelle2[[#This Row],[vx]]+Tabelle2[[#This Row],[vy]]*Tabelle2[[#This Row],[vy]])</f>
        <v>149.9294962170774</v>
      </c>
      <c r="S1037">
        <f t="shared" si="185"/>
        <v>1082.3285807707568</v>
      </c>
      <c r="T1037" s="1">
        <f t="shared" si="186"/>
        <v>-806.10067271841456</v>
      </c>
    </row>
    <row r="1038" spans="6:20" x14ac:dyDescent="0.35">
      <c r="F1038" s="1">
        <f t="shared" si="182"/>
        <v>20.699999999999648</v>
      </c>
      <c r="G1038">
        <f>1/2*$B$8*$B$6*$B$7*(Tabelle2[[#This Row],[vx]]*Tabelle2[[#This Row],[vx]]+Tabelle2[[#This Row],[vy]]*Tabelle2[[#This Row],[vy]])/1000000</f>
        <v>39.860853613274067</v>
      </c>
      <c r="H1038">
        <f>IF($B$3,-Tabelle2[[#This Row],[Fd]]*Tabelle2[[#This Row],[vx]]/Tabelle2[[#This Row],[v]],0)</f>
        <v>0</v>
      </c>
      <c r="I1038">
        <f t="shared" si="176"/>
        <v>0</v>
      </c>
      <c r="J1038">
        <f t="shared" si="177"/>
        <v>0</v>
      </c>
      <c r="K1038">
        <f t="shared" si="178"/>
        <v>1.0467394398169905</v>
      </c>
      <c r="L1038">
        <f>-$B$5*$B$12-IF($B$3,Tabelle2[[#This Row],[Fd]]*Tabelle2[[#This Row],[vy]]/Tabelle2[[#This Row],[v]],0)</f>
        <v>-14.715</v>
      </c>
      <c r="M1038">
        <f t="shared" si="179"/>
        <v>-9.81</v>
      </c>
      <c r="N1038">
        <f t="shared" si="180"/>
        <v>-0.19620000000000001</v>
      </c>
      <c r="O1038">
        <f t="shared" si="181"/>
        <v>-2.8158465120880725</v>
      </c>
      <c r="P1038" s="1">
        <f t="shared" si="183"/>
        <v>52.336971990849527</v>
      </c>
      <c r="Q1038" s="1">
        <f t="shared" si="184"/>
        <v>-140.69422560440364</v>
      </c>
      <c r="R1038">
        <f>SQRT(Tabelle2[[#This Row],[vx]]*Tabelle2[[#This Row],[vx]]+Tabelle2[[#This Row],[vy]]*Tabelle2[[#This Row],[vy]])</f>
        <v>150.1133696763676</v>
      </c>
      <c r="S1038">
        <f t="shared" si="185"/>
        <v>1083.3753202105738</v>
      </c>
      <c r="T1038" s="1">
        <f t="shared" si="186"/>
        <v>-808.91259523050257</v>
      </c>
    </row>
    <row r="1039" spans="6:20" x14ac:dyDescent="0.35">
      <c r="F1039" s="1">
        <f t="shared" si="182"/>
        <v>20.719999999999647</v>
      </c>
      <c r="G1039">
        <f>1/2*$B$8*$B$6*$B$7*(Tabelle2[[#This Row],[vx]]*Tabelle2[[#This Row],[vx]]+Tabelle2[[#This Row],[vy]]*Tabelle2[[#This Row],[vy]])/1000000</f>
        <v>39.958580897085739</v>
      </c>
      <c r="H1039">
        <f>IF($B$3,-Tabelle2[[#This Row],[Fd]]*Tabelle2[[#This Row],[vx]]/Tabelle2[[#This Row],[v]],0)</f>
        <v>0</v>
      </c>
      <c r="I1039">
        <f t="shared" si="176"/>
        <v>0</v>
      </c>
      <c r="J1039">
        <f t="shared" si="177"/>
        <v>0</v>
      </c>
      <c r="K1039">
        <f t="shared" si="178"/>
        <v>1.0467394398169905</v>
      </c>
      <c r="L1039">
        <f>-$B$5*$B$12-IF($B$3,Tabelle2[[#This Row],[Fd]]*Tabelle2[[#This Row],[vy]]/Tabelle2[[#This Row],[v]],0)</f>
        <v>-14.715</v>
      </c>
      <c r="M1039">
        <f t="shared" si="179"/>
        <v>-9.81</v>
      </c>
      <c r="N1039">
        <f t="shared" si="180"/>
        <v>-0.19620000000000001</v>
      </c>
      <c r="O1039">
        <f t="shared" si="181"/>
        <v>-2.8197705120880729</v>
      </c>
      <c r="P1039" s="1">
        <f t="shared" si="183"/>
        <v>52.336971990849527</v>
      </c>
      <c r="Q1039" s="1">
        <f t="shared" si="184"/>
        <v>-140.89042560440365</v>
      </c>
      <c r="R1039">
        <f>SQRT(Tabelle2[[#This Row],[vx]]*Tabelle2[[#This Row],[vx]]+Tabelle2[[#This Row],[vy]]*Tabelle2[[#This Row],[vy]])</f>
        <v>150.29727430715758</v>
      </c>
      <c r="S1039">
        <f t="shared" si="185"/>
        <v>1084.4220596503908</v>
      </c>
      <c r="T1039" s="1">
        <f t="shared" si="186"/>
        <v>-811.72844174259069</v>
      </c>
    </row>
    <row r="1040" spans="6:20" x14ac:dyDescent="0.35">
      <c r="F1040" s="1">
        <f t="shared" si="182"/>
        <v>20.739999999999647</v>
      </c>
      <c r="G1040">
        <f>1/2*$B$8*$B$6*$B$7*(Tabelle2[[#This Row],[vx]]*Tabelle2[[#This Row],[vx]]+Tabelle2[[#This Row],[vy]]*Tabelle2[[#This Row],[vy]])/1000000</f>
        <v>40.056444367958754</v>
      </c>
      <c r="H1040">
        <f>IF($B$3,-Tabelle2[[#This Row],[Fd]]*Tabelle2[[#This Row],[vx]]/Tabelle2[[#This Row],[v]],0)</f>
        <v>0</v>
      </c>
      <c r="I1040">
        <f t="shared" si="176"/>
        <v>0</v>
      </c>
      <c r="J1040">
        <f t="shared" si="177"/>
        <v>0</v>
      </c>
      <c r="K1040">
        <f t="shared" si="178"/>
        <v>1.0467394398169905</v>
      </c>
      <c r="L1040">
        <f>-$B$5*$B$12-IF($B$3,Tabelle2[[#This Row],[Fd]]*Tabelle2[[#This Row],[vy]]/Tabelle2[[#This Row],[v]],0)</f>
        <v>-14.715</v>
      </c>
      <c r="M1040">
        <f t="shared" si="179"/>
        <v>-9.81</v>
      </c>
      <c r="N1040">
        <f t="shared" si="180"/>
        <v>-0.19620000000000001</v>
      </c>
      <c r="O1040">
        <f t="shared" si="181"/>
        <v>-2.823694512088073</v>
      </c>
      <c r="P1040" s="1">
        <f t="shared" si="183"/>
        <v>52.336971990849527</v>
      </c>
      <c r="Q1040" s="1">
        <f t="shared" si="184"/>
        <v>-141.08662560440365</v>
      </c>
      <c r="R1040">
        <f>SQRT(Tabelle2[[#This Row],[vx]]*Tabelle2[[#This Row],[vx]]+Tabelle2[[#This Row],[vy]]*Tabelle2[[#This Row],[vy]])</f>
        <v>150.48120999516229</v>
      </c>
      <c r="S1040">
        <f t="shared" si="185"/>
        <v>1085.4687990902078</v>
      </c>
      <c r="T1040" s="1">
        <f t="shared" si="186"/>
        <v>-814.54821225467879</v>
      </c>
    </row>
    <row r="1041" spans="6:20" x14ac:dyDescent="0.35">
      <c r="F1041" s="1">
        <f t="shared" si="182"/>
        <v>20.759999999999646</v>
      </c>
      <c r="G1041">
        <f>1/2*$B$8*$B$6*$B$7*(Tabelle2[[#This Row],[vx]]*Tabelle2[[#This Row],[vx]]+Tabelle2[[#This Row],[vy]]*Tabelle2[[#This Row],[vy]])/1000000</f>
        <v>40.154444025893113</v>
      </c>
      <c r="H1041">
        <f>IF($B$3,-Tabelle2[[#This Row],[Fd]]*Tabelle2[[#This Row],[vx]]/Tabelle2[[#This Row],[v]],0)</f>
        <v>0</v>
      </c>
      <c r="I1041">
        <f t="shared" si="176"/>
        <v>0</v>
      </c>
      <c r="J1041">
        <f t="shared" si="177"/>
        <v>0</v>
      </c>
      <c r="K1041">
        <f t="shared" si="178"/>
        <v>1.0467394398169905</v>
      </c>
      <c r="L1041">
        <f>-$B$5*$B$12-IF($B$3,Tabelle2[[#This Row],[Fd]]*Tabelle2[[#This Row],[vy]]/Tabelle2[[#This Row],[v]],0)</f>
        <v>-14.715</v>
      </c>
      <c r="M1041">
        <f t="shared" si="179"/>
        <v>-9.81</v>
      </c>
      <c r="N1041">
        <f t="shared" si="180"/>
        <v>-0.19620000000000001</v>
      </c>
      <c r="O1041">
        <f t="shared" si="181"/>
        <v>-2.827618512088073</v>
      </c>
      <c r="P1041" s="1">
        <f t="shared" si="183"/>
        <v>52.336971990849527</v>
      </c>
      <c r="Q1041" s="1">
        <f t="shared" si="184"/>
        <v>-141.28282560440366</v>
      </c>
      <c r="R1041">
        <f>SQRT(Tabelle2[[#This Row],[vx]]*Tabelle2[[#This Row],[vx]]+Tabelle2[[#This Row],[vy]]*Tabelle2[[#This Row],[vy]])</f>
        <v>150.6651766266356</v>
      </c>
      <c r="S1041">
        <f t="shared" si="185"/>
        <v>1086.5155385300247</v>
      </c>
      <c r="T1041" s="1">
        <f t="shared" si="186"/>
        <v>-817.37190676676687</v>
      </c>
    </row>
    <row r="1042" spans="6:20" x14ac:dyDescent="0.35">
      <c r="F1042" s="1">
        <f t="shared" si="182"/>
        <v>20.779999999999646</v>
      </c>
      <c r="G1042">
        <f>1/2*$B$8*$B$6*$B$7*(Tabelle2[[#This Row],[vx]]*Tabelle2[[#This Row],[vx]]+Tabelle2[[#This Row],[vy]]*Tabelle2[[#This Row],[vy]])/1000000</f>
        <v>40.252579870888823</v>
      </c>
      <c r="H1042">
        <f>IF($B$3,-Tabelle2[[#This Row],[Fd]]*Tabelle2[[#This Row],[vx]]/Tabelle2[[#This Row],[v]],0)</f>
        <v>0</v>
      </c>
      <c r="I1042">
        <f t="shared" si="176"/>
        <v>0</v>
      </c>
      <c r="J1042">
        <f t="shared" si="177"/>
        <v>0</v>
      </c>
      <c r="K1042">
        <f t="shared" si="178"/>
        <v>1.0467394398169905</v>
      </c>
      <c r="L1042">
        <f>-$B$5*$B$12-IF($B$3,Tabelle2[[#This Row],[Fd]]*Tabelle2[[#This Row],[vy]]/Tabelle2[[#This Row],[v]],0)</f>
        <v>-14.715</v>
      </c>
      <c r="M1042">
        <f t="shared" si="179"/>
        <v>-9.81</v>
      </c>
      <c r="N1042">
        <f t="shared" si="180"/>
        <v>-0.19620000000000001</v>
      </c>
      <c r="O1042">
        <f t="shared" si="181"/>
        <v>-2.8315425120880731</v>
      </c>
      <c r="P1042" s="1">
        <f t="shared" si="183"/>
        <v>52.336971990849527</v>
      </c>
      <c r="Q1042" s="1">
        <f t="shared" si="184"/>
        <v>-141.47902560440366</v>
      </c>
      <c r="R1042">
        <f>SQRT(Tabelle2[[#This Row],[vx]]*Tabelle2[[#This Row],[vx]]+Tabelle2[[#This Row],[vy]]*Tabelle2[[#This Row],[vy]])</f>
        <v>150.84917408836705</v>
      </c>
      <c r="S1042">
        <f t="shared" si="185"/>
        <v>1087.5622779698417</v>
      </c>
      <c r="T1042" s="1">
        <f t="shared" si="186"/>
        <v>-820.19952527885494</v>
      </c>
    </row>
    <row r="1043" spans="6:20" x14ac:dyDescent="0.35">
      <c r="F1043" s="1">
        <f t="shared" si="182"/>
        <v>20.799999999999645</v>
      </c>
      <c r="G1043">
        <f>1/2*$B$8*$B$6*$B$7*(Tabelle2[[#This Row],[vx]]*Tabelle2[[#This Row],[vx]]+Tabelle2[[#This Row],[vy]]*Tabelle2[[#This Row],[vy]])/1000000</f>
        <v>40.35085190294587</v>
      </c>
      <c r="H1043">
        <f>IF($B$3,-Tabelle2[[#This Row],[Fd]]*Tabelle2[[#This Row],[vx]]/Tabelle2[[#This Row],[v]],0)</f>
        <v>0</v>
      </c>
      <c r="I1043">
        <f t="shared" si="176"/>
        <v>0</v>
      </c>
      <c r="J1043">
        <f t="shared" si="177"/>
        <v>0</v>
      </c>
      <c r="K1043">
        <f t="shared" si="178"/>
        <v>1.0467394398169905</v>
      </c>
      <c r="L1043">
        <f>-$B$5*$B$12-IF($B$3,Tabelle2[[#This Row],[Fd]]*Tabelle2[[#This Row],[vy]]/Tabelle2[[#This Row],[v]],0)</f>
        <v>-14.715</v>
      </c>
      <c r="M1043">
        <f t="shared" si="179"/>
        <v>-9.81</v>
      </c>
      <c r="N1043">
        <f t="shared" si="180"/>
        <v>-0.19620000000000001</v>
      </c>
      <c r="O1043">
        <f t="shared" si="181"/>
        <v>-2.8354665120880731</v>
      </c>
      <c r="P1043" s="1">
        <f t="shared" si="183"/>
        <v>52.336971990849527</v>
      </c>
      <c r="Q1043" s="1">
        <f t="shared" si="184"/>
        <v>-141.67522560440366</v>
      </c>
      <c r="R1043">
        <f>SQRT(Tabelle2[[#This Row],[vx]]*Tabelle2[[#This Row],[vx]]+Tabelle2[[#This Row],[vy]]*Tabelle2[[#This Row],[vy]])</f>
        <v>151.03320226767903</v>
      </c>
      <c r="S1043">
        <f t="shared" si="185"/>
        <v>1088.6090174096587</v>
      </c>
      <c r="T1043" s="1">
        <f t="shared" si="186"/>
        <v>-823.03106779094298</v>
      </c>
    </row>
    <row r="1044" spans="6:20" x14ac:dyDescent="0.35">
      <c r="F1044" s="1">
        <f t="shared" si="182"/>
        <v>20.819999999999645</v>
      </c>
      <c r="G1044">
        <f>1/2*$B$8*$B$6*$B$7*(Tabelle2[[#This Row],[vx]]*Tabelle2[[#This Row],[vx]]+Tabelle2[[#This Row],[vy]]*Tabelle2[[#This Row],[vy]])/1000000</f>
        <v>40.44926012206426</v>
      </c>
      <c r="H1044">
        <f>IF($B$3,-Tabelle2[[#This Row],[Fd]]*Tabelle2[[#This Row],[vx]]/Tabelle2[[#This Row],[v]],0)</f>
        <v>0</v>
      </c>
      <c r="I1044">
        <f t="shared" si="176"/>
        <v>0</v>
      </c>
      <c r="J1044">
        <f t="shared" si="177"/>
        <v>0</v>
      </c>
      <c r="K1044">
        <f t="shared" si="178"/>
        <v>1.0467394398169905</v>
      </c>
      <c r="L1044">
        <f>-$B$5*$B$12-IF($B$3,Tabelle2[[#This Row],[Fd]]*Tabelle2[[#This Row],[vy]]/Tabelle2[[#This Row],[v]],0)</f>
        <v>-14.715</v>
      </c>
      <c r="M1044">
        <f t="shared" si="179"/>
        <v>-9.81</v>
      </c>
      <c r="N1044">
        <f t="shared" si="180"/>
        <v>-0.19620000000000001</v>
      </c>
      <c r="O1044">
        <f t="shared" si="181"/>
        <v>-2.8393905120880731</v>
      </c>
      <c r="P1044" s="1">
        <f t="shared" si="183"/>
        <v>52.336971990849527</v>
      </c>
      <c r="Q1044" s="1">
        <f t="shared" si="184"/>
        <v>-141.87142560440367</v>
      </c>
      <c r="R1044">
        <f>SQRT(Tabelle2[[#This Row],[vx]]*Tabelle2[[#This Row],[vx]]+Tabelle2[[#This Row],[vy]]*Tabelle2[[#This Row],[vy]])</f>
        <v>151.21726105242357</v>
      </c>
      <c r="S1044">
        <f t="shared" si="185"/>
        <v>1089.6557568494757</v>
      </c>
      <c r="T1044" s="1">
        <f t="shared" si="186"/>
        <v>-825.86653430303102</v>
      </c>
    </row>
    <row r="1045" spans="6:20" x14ac:dyDescent="0.35">
      <c r="F1045" s="1">
        <f t="shared" si="182"/>
        <v>20.839999999999645</v>
      </c>
      <c r="G1045">
        <f>1/2*$B$8*$B$6*$B$7*(Tabelle2[[#This Row],[vx]]*Tabelle2[[#This Row],[vx]]+Tabelle2[[#This Row],[vy]]*Tabelle2[[#This Row],[vy]])/1000000</f>
        <v>40.547804528243994</v>
      </c>
      <c r="H1045">
        <f>IF($B$3,-Tabelle2[[#This Row],[Fd]]*Tabelle2[[#This Row],[vx]]/Tabelle2[[#This Row],[v]],0)</f>
        <v>0</v>
      </c>
      <c r="I1045">
        <f t="shared" si="176"/>
        <v>0</v>
      </c>
      <c r="J1045">
        <f t="shared" si="177"/>
        <v>0</v>
      </c>
      <c r="K1045">
        <f t="shared" si="178"/>
        <v>1.0467394398169905</v>
      </c>
      <c r="L1045">
        <f>-$B$5*$B$12-IF($B$3,Tabelle2[[#This Row],[Fd]]*Tabelle2[[#This Row],[vy]]/Tabelle2[[#This Row],[v]],0)</f>
        <v>-14.715</v>
      </c>
      <c r="M1045">
        <f t="shared" si="179"/>
        <v>-9.81</v>
      </c>
      <c r="N1045">
        <f t="shared" si="180"/>
        <v>-0.19620000000000001</v>
      </c>
      <c r="O1045">
        <f t="shared" si="181"/>
        <v>-2.8433145120880732</v>
      </c>
      <c r="P1045" s="1">
        <f t="shared" si="183"/>
        <v>52.336971990849527</v>
      </c>
      <c r="Q1045" s="1">
        <f t="shared" si="184"/>
        <v>-142.06762560440367</v>
      </c>
      <c r="R1045">
        <f>SQRT(Tabelle2[[#This Row],[vx]]*Tabelle2[[#This Row],[vx]]+Tabelle2[[#This Row],[vy]]*Tabelle2[[#This Row],[vy]])</f>
        <v>151.40135033097948</v>
      </c>
      <c r="S1045">
        <f t="shared" si="185"/>
        <v>1090.7024962892926</v>
      </c>
      <c r="T1045" s="1">
        <f t="shared" si="186"/>
        <v>-828.70592481511903</v>
      </c>
    </row>
    <row r="1046" spans="6:20" x14ac:dyDescent="0.35">
      <c r="F1046" s="1">
        <f t="shared" si="182"/>
        <v>20.859999999999644</v>
      </c>
      <c r="G1046">
        <f>1/2*$B$8*$B$6*$B$7*(Tabelle2[[#This Row],[vx]]*Tabelle2[[#This Row],[vx]]+Tabelle2[[#This Row],[vy]]*Tabelle2[[#This Row],[vy]])/1000000</f>
        <v>40.646485121485078</v>
      </c>
      <c r="H1046">
        <f>IF($B$3,-Tabelle2[[#This Row],[Fd]]*Tabelle2[[#This Row],[vx]]/Tabelle2[[#This Row],[v]],0)</f>
        <v>0</v>
      </c>
      <c r="I1046">
        <f t="shared" si="176"/>
        <v>0</v>
      </c>
      <c r="J1046">
        <f t="shared" si="177"/>
        <v>0</v>
      </c>
      <c r="K1046">
        <f t="shared" si="178"/>
        <v>1.0467394398169905</v>
      </c>
      <c r="L1046">
        <f>-$B$5*$B$12-IF($B$3,Tabelle2[[#This Row],[Fd]]*Tabelle2[[#This Row],[vy]]/Tabelle2[[#This Row],[v]],0)</f>
        <v>-14.715</v>
      </c>
      <c r="M1046">
        <f t="shared" si="179"/>
        <v>-9.81</v>
      </c>
      <c r="N1046">
        <f t="shared" si="180"/>
        <v>-0.19620000000000001</v>
      </c>
      <c r="O1046">
        <f t="shared" si="181"/>
        <v>-2.8472385120880732</v>
      </c>
      <c r="P1046" s="1">
        <f t="shared" si="183"/>
        <v>52.336971990849527</v>
      </c>
      <c r="Q1046" s="1">
        <f t="shared" si="184"/>
        <v>-142.26382560440368</v>
      </c>
      <c r="R1046">
        <f>SQRT(Tabelle2[[#This Row],[vx]]*Tabelle2[[#This Row],[vx]]+Tabelle2[[#This Row],[vy]]*Tabelle2[[#This Row],[vy]])</f>
        <v>151.58546999224941</v>
      </c>
      <c r="S1046">
        <f t="shared" si="185"/>
        <v>1091.7492357291096</v>
      </c>
      <c r="T1046" s="1">
        <f t="shared" si="186"/>
        <v>-831.54923932720715</v>
      </c>
    </row>
    <row r="1047" spans="6:20" x14ac:dyDescent="0.35">
      <c r="F1047" s="1">
        <f t="shared" si="182"/>
        <v>20.879999999999644</v>
      </c>
      <c r="G1047">
        <f>1/2*$B$8*$B$6*$B$7*(Tabelle2[[#This Row],[vx]]*Tabelle2[[#This Row],[vx]]+Tabelle2[[#This Row],[vy]]*Tabelle2[[#This Row],[vy]])/1000000</f>
        <v>40.745301901787499</v>
      </c>
      <c r="H1047">
        <f>IF($B$3,-Tabelle2[[#This Row],[Fd]]*Tabelle2[[#This Row],[vx]]/Tabelle2[[#This Row],[v]],0)</f>
        <v>0</v>
      </c>
      <c r="I1047">
        <f t="shared" si="176"/>
        <v>0</v>
      </c>
      <c r="J1047">
        <f t="shared" si="177"/>
        <v>0</v>
      </c>
      <c r="K1047">
        <f t="shared" si="178"/>
        <v>1.0467394398169905</v>
      </c>
      <c r="L1047">
        <f>-$B$5*$B$12-IF($B$3,Tabelle2[[#This Row],[Fd]]*Tabelle2[[#This Row],[vy]]/Tabelle2[[#This Row],[v]],0)</f>
        <v>-14.715</v>
      </c>
      <c r="M1047">
        <f t="shared" si="179"/>
        <v>-9.81</v>
      </c>
      <c r="N1047">
        <f t="shared" si="180"/>
        <v>-0.19620000000000001</v>
      </c>
      <c r="O1047">
        <f t="shared" si="181"/>
        <v>-2.8511625120880733</v>
      </c>
      <c r="P1047" s="1">
        <f t="shared" si="183"/>
        <v>52.336971990849527</v>
      </c>
      <c r="Q1047" s="1">
        <f t="shared" si="184"/>
        <v>-142.46002560440368</v>
      </c>
      <c r="R1047">
        <f>SQRT(Tabelle2[[#This Row],[vx]]*Tabelle2[[#This Row],[vx]]+Tabelle2[[#This Row],[vy]]*Tabelle2[[#This Row],[vy]])</f>
        <v>151.7696199256568</v>
      </c>
      <c r="S1047">
        <f t="shared" si="185"/>
        <v>1092.7959751689266</v>
      </c>
      <c r="T1047" s="1">
        <f t="shared" si="186"/>
        <v>-834.39647783929524</v>
      </c>
    </row>
    <row r="1048" spans="6:20" x14ac:dyDescent="0.35">
      <c r="F1048" s="1">
        <f t="shared" si="182"/>
        <v>20.899999999999643</v>
      </c>
      <c r="G1048">
        <f>1/2*$B$8*$B$6*$B$7*(Tabelle2[[#This Row],[vx]]*Tabelle2[[#This Row],[vx]]+Tabelle2[[#This Row],[vy]]*Tabelle2[[#This Row],[vy]])/1000000</f>
        <v>40.844254869151271</v>
      </c>
      <c r="H1048">
        <f>IF($B$3,-Tabelle2[[#This Row],[Fd]]*Tabelle2[[#This Row],[vx]]/Tabelle2[[#This Row],[v]],0)</f>
        <v>0</v>
      </c>
      <c r="I1048">
        <f t="shared" si="176"/>
        <v>0</v>
      </c>
      <c r="J1048">
        <f t="shared" si="177"/>
        <v>0</v>
      </c>
      <c r="K1048">
        <f t="shared" si="178"/>
        <v>1.0467394398169905</v>
      </c>
      <c r="L1048">
        <f>-$B$5*$B$12-IF($B$3,Tabelle2[[#This Row],[Fd]]*Tabelle2[[#This Row],[vy]]/Tabelle2[[#This Row],[v]],0)</f>
        <v>-14.715</v>
      </c>
      <c r="M1048">
        <f t="shared" si="179"/>
        <v>-9.81</v>
      </c>
      <c r="N1048">
        <f t="shared" si="180"/>
        <v>-0.19620000000000001</v>
      </c>
      <c r="O1048">
        <f t="shared" si="181"/>
        <v>-2.8550865120880737</v>
      </c>
      <c r="P1048" s="1">
        <f t="shared" si="183"/>
        <v>52.336971990849527</v>
      </c>
      <c r="Q1048" s="1">
        <f t="shared" si="184"/>
        <v>-142.65622560440369</v>
      </c>
      <c r="R1048">
        <f>SQRT(Tabelle2[[#This Row],[vx]]*Tabelle2[[#This Row],[vx]]+Tabelle2[[#This Row],[vy]]*Tabelle2[[#This Row],[vy]])</f>
        <v>151.95380002114291</v>
      </c>
      <c r="S1048">
        <f t="shared" si="185"/>
        <v>1093.8427146087436</v>
      </c>
      <c r="T1048" s="1">
        <f t="shared" si="186"/>
        <v>-837.24764035138332</v>
      </c>
    </row>
    <row r="1049" spans="6:20" x14ac:dyDescent="0.35">
      <c r="F1049" s="1">
        <f t="shared" si="182"/>
        <v>20.919999999999643</v>
      </c>
      <c r="G1049">
        <f>1/2*$B$8*$B$6*$B$7*(Tabelle2[[#This Row],[vx]]*Tabelle2[[#This Row],[vx]]+Tabelle2[[#This Row],[vy]]*Tabelle2[[#This Row],[vy]])/1000000</f>
        <v>40.94334402357638</v>
      </c>
      <c r="H1049">
        <f>IF($B$3,-Tabelle2[[#This Row],[Fd]]*Tabelle2[[#This Row],[vx]]/Tabelle2[[#This Row],[v]],0)</f>
        <v>0</v>
      </c>
      <c r="I1049">
        <f t="shared" si="176"/>
        <v>0</v>
      </c>
      <c r="J1049">
        <f t="shared" si="177"/>
        <v>0</v>
      </c>
      <c r="K1049">
        <f t="shared" si="178"/>
        <v>1.0467394398169905</v>
      </c>
      <c r="L1049">
        <f>-$B$5*$B$12-IF($B$3,Tabelle2[[#This Row],[Fd]]*Tabelle2[[#This Row],[vy]]/Tabelle2[[#This Row],[v]],0)</f>
        <v>-14.715</v>
      </c>
      <c r="M1049">
        <f t="shared" si="179"/>
        <v>-9.81</v>
      </c>
      <c r="N1049">
        <f t="shared" si="180"/>
        <v>-0.19620000000000001</v>
      </c>
      <c r="O1049">
        <f t="shared" si="181"/>
        <v>-2.8590105120880738</v>
      </c>
      <c r="P1049" s="1">
        <f t="shared" si="183"/>
        <v>52.336971990849527</v>
      </c>
      <c r="Q1049" s="1">
        <f t="shared" si="184"/>
        <v>-142.85242560440369</v>
      </c>
      <c r="R1049">
        <f>SQRT(Tabelle2[[#This Row],[vx]]*Tabelle2[[#This Row],[vx]]+Tabelle2[[#This Row],[vy]]*Tabelle2[[#This Row],[vy]])</f>
        <v>152.13801016916403</v>
      </c>
      <c r="S1049">
        <f t="shared" si="185"/>
        <v>1094.8894540485605</v>
      </c>
      <c r="T1049" s="1">
        <f t="shared" si="186"/>
        <v>-840.10272686347139</v>
      </c>
    </row>
    <row r="1050" spans="6:20" x14ac:dyDescent="0.35">
      <c r="F1050" s="1">
        <f t="shared" si="182"/>
        <v>20.939999999999642</v>
      </c>
      <c r="G1050">
        <f>1/2*$B$8*$B$6*$B$7*(Tabelle2[[#This Row],[vx]]*Tabelle2[[#This Row],[vx]]+Tabelle2[[#This Row],[vy]]*Tabelle2[[#This Row],[vy]])/1000000</f>
        <v>41.042569365062832</v>
      </c>
      <c r="H1050">
        <f>IF($B$3,-Tabelle2[[#This Row],[Fd]]*Tabelle2[[#This Row],[vx]]/Tabelle2[[#This Row],[v]],0)</f>
        <v>0</v>
      </c>
      <c r="I1050">
        <f t="shared" si="176"/>
        <v>0</v>
      </c>
      <c r="J1050">
        <f t="shared" si="177"/>
        <v>0</v>
      </c>
      <c r="K1050">
        <f t="shared" si="178"/>
        <v>1.0467394398169905</v>
      </c>
      <c r="L1050">
        <f>-$B$5*$B$12-IF($B$3,Tabelle2[[#This Row],[Fd]]*Tabelle2[[#This Row],[vy]]/Tabelle2[[#This Row],[v]],0)</f>
        <v>-14.715</v>
      </c>
      <c r="M1050">
        <f t="shared" si="179"/>
        <v>-9.81</v>
      </c>
      <c r="N1050">
        <f t="shared" si="180"/>
        <v>-0.19620000000000001</v>
      </c>
      <c r="O1050">
        <f t="shared" si="181"/>
        <v>-2.8629345120880738</v>
      </c>
      <c r="P1050" s="1">
        <f t="shared" si="183"/>
        <v>52.336971990849527</v>
      </c>
      <c r="Q1050" s="1">
        <f t="shared" si="184"/>
        <v>-143.0486256044037</v>
      </c>
      <c r="R1050">
        <f>SQRT(Tabelle2[[#This Row],[vx]]*Tabelle2[[#This Row],[vx]]+Tabelle2[[#This Row],[vy]]*Tabelle2[[#This Row],[vy]])</f>
        <v>152.32225026068852</v>
      </c>
      <c r="S1050">
        <f t="shared" si="185"/>
        <v>1095.9361934883775</v>
      </c>
      <c r="T1050" s="1">
        <f t="shared" si="186"/>
        <v>-842.96173737555944</v>
      </c>
    </row>
    <row r="1051" spans="6:20" x14ac:dyDescent="0.35">
      <c r="F1051" s="1">
        <f t="shared" si="182"/>
        <v>20.959999999999642</v>
      </c>
      <c r="G1051">
        <f>1/2*$B$8*$B$6*$B$7*(Tabelle2[[#This Row],[vx]]*Tabelle2[[#This Row],[vx]]+Tabelle2[[#This Row],[vy]]*Tabelle2[[#This Row],[vy]])/1000000</f>
        <v>41.141930893610635</v>
      </c>
      <c r="H1051">
        <f>IF($B$3,-Tabelle2[[#This Row],[Fd]]*Tabelle2[[#This Row],[vx]]/Tabelle2[[#This Row],[v]],0)</f>
        <v>0</v>
      </c>
      <c r="I1051">
        <f t="shared" si="176"/>
        <v>0</v>
      </c>
      <c r="J1051">
        <f t="shared" si="177"/>
        <v>0</v>
      </c>
      <c r="K1051">
        <f t="shared" si="178"/>
        <v>1.0467394398169905</v>
      </c>
      <c r="L1051">
        <f>-$B$5*$B$12-IF($B$3,Tabelle2[[#This Row],[Fd]]*Tabelle2[[#This Row],[vy]]/Tabelle2[[#This Row],[v]],0)</f>
        <v>-14.715</v>
      </c>
      <c r="M1051">
        <f t="shared" si="179"/>
        <v>-9.81</v>
      </c>
      <c r="N1051">
        <f t="shared" si="180"/>
        <v>-0.19620000000000001</v>
      </c>
      <c r="O1051">
        <f t="shared" si="181"/>
        <v>-2.8668585120880739</v>
      </c>
      <c r="P1051" s="1">
        <f t="shared" si="183"/>
        <v>52.336971990849527</v>
      </c>
      <c r="Q1051" s="1">
        <f t="shared" si="184"/>
        <v>-143.2448256044037</v>
      </c>
      <c r="R1051">
        <f>SQRT(Tabelle2[[#This Row],[vx]]*Tabelle2[[#This Row],[vx]]+Tabelle2[[#This Row],[vy]]*Tabelle2[[#This Row],[vy]])</f>
        <v>152.50652018719396</v>
      </c>
      <c r="S1051">
        <f t="shared" si="185"/>
        <v>1096.9829329281945</v>
      </c>
      <c r="T1051" s="1">
        <f t="shared" si="186"/>
        <v>-845.82467188764747</v>
      </c>
    </row>
    <row r="1052" spans="6:20" x14ac:dyDescent="0.35">
      <c r="F1052" s="1">
        <f t="shared" si="182"/>
        <v>20.979999999999642</v>
      </c>
      <c r="G1052">
        <f>1/2*$B$8*$B$6*$B$7*(Tabelle2[[#This Row],[vx]]*Tabelle2[[#This Row],[vx]]+Tabelle2[[#This Row],[vy]]*Tabelle2[[#This Row],[vy]])/1000000</f>
        <v>41.241428609219781</v>
      </c>
      <c r="H1052">
        <f>IF($B$3,-Tabelle2[[#This Row],[Fd]]*Tabelle2[[#This Row],[vx]]/Tabelle2[[#This Row],[v]],0)</f>
        <v>0</v>
      </c>
      <c r="I1052">
        <f t="shared" si="176"/>
        <v>0</v>
      </c>
      <c r="J1052">
        <f t="shared" si="177"/>
        <v>0</v>
      </c>
      <c r="K1052">
        <f t="shared" si="178"/>
        <v>1.0467394398169905</v>
      </c>
      <c r="L1052">
        <f>-$B$5*$B$12-IF($B$3,Tabelle2[[#This Row],[Fd]]*Tabelle2[[#This Row],[vy]]/Tabelle2[[#This Row],[v]],0)</f>
        <v>-14.715</v>
      </c>
      <c r="M1052">
        <f t="shared" si="179"/>
        <v>-9.81</v>
      </c>
      <c r="N1052">
        <f t="shared" si="180"/>
        <v>-0.19620000000000001</v>
      </c>
      <c r="O1052">
        <f t="shared" si="181"/>
        <v>-2.8707825120880739</v>
      </c>
      <c r="P1052" s="1">
        <f t="shared" si="183"/>
        <v>52.336971990849527</v>
      </c>
      <c r="Q1052" s="1">
        <f t="shared" si="184"/>
        <v>-143.44102560440371</v>
      </c>
      <c r="R1052">
        <f>SQRT(Tabelle2[[#This Row],[vx]]*Tabelle2[[#This Row],[vx]]+Tabelle2[[#This Row],[vy]]*Tabelle2[[#This Row],[vy]])</f>
        <v>152.69081984066418</v>
      </c>
      <c r="S1052">
        <f t="shared" si="185"/>
        <v>1098.0296723680115</v>
      </c>
      <c r="T1052" s="1">
        <f t="shared" si="186"/>
        <v>-848.6915303997356</v>
      </c>
    </row>
    <row r="1053" spans="6:20" x14ac:dyDescent="0.35">
      <c r="F1053" s="1">
        <f t="shared" si="182"/>
        <v>20.999999999999641</v>
      </c>
      <c r="G1053">
        <f>1/2*$B$8*$B$6*$B$7*(Tabelle2[[#This Row],[vx]]*Tabelle2[[#This Row],[vx]]+Tabelle2[[#This Row],[vy]]*Tabelle2[[#This Row],[vy]])/1000000</f>
        <v>41.341062511890271</v>
      </c>
      <c r="H1053">
        <f>IF($B$3,-Tabelle2[[#This Row],[Fd]]*Tabelle2[[#This Row],[vx]]/Tabelle2[[#This Row],[v]],0)</f>
        <v>0</v>
      </c>
      <c r="I1053">
        <f t="shared" si="176"/>
        <v>0</v>
      </c>
      <c r="J1053">
        <f t="shared" si="177"/>
        <v>0</v>
      </c>
      <c r="K1053">
        <f t="shared" si="178"/>
        <v>1.0467394398169905</v>
      </c>
      <c r="L1053">
        <f>-$B$5*$B$12-IF($B$3,Tabelle2[[#This Row],[Fd]]*Tabelle2[[#This Row],[vy]]/Tabelle2[[#This Row],[v]],0)</f>
        <v>-14.715</v>
      </c>
      <c r="M1053">
        <f t="shared" si="179"/>
        <v>-9.81</v>
      </c>
      <c r="N1053">
        <f t="shared" si="180"/>
        <v>-0.19620000000000001</v>
      </c>
      <c r="O1053">
        <f t="shared" si="181"/>
        <v>-2.8747065120880739</v>
      </c>
      <c r="P1053" s="1">
        <f t="shared" si="183"/>
        <v>52.336971990849527</v>
      </c>
      <c r="Q1053" s="1">
        <f t="shared" si="184"/>
        <v>-143.63722560440371</v>
      </c>
      <c r="R1053">
        <f>SQRT(Tabelle2[[#This Row],[vx]]*Tabelle2[[#This Row],[vx]]+Tabelle2[[#This Row],[vy]]*Tabelle2[[#This Row],[vy]])</f>
        <v>152.87514911358659</v>
      </c>
      <c r="S1053">
        <f t="shared" si="185"/>
        <v>1099.0764118078284</v>
      </c>
      <c r="T1053" s="1">
        <f t="shared" si="186"/>
        <v>-851.56231291182371</v>
      </c>
    </row>
    <row r="1054" spans="6:20" x14ac:dyDescent="0.35">
      <c r="F1054" s="1">
        <f t="shared" si="182"/>
        <v>21.019999999999641</v>
      </c>
      <c r="G1054">
        <f>1/2*$B$8*$B$6*$B$7*(Tabelle2[[#This Row],[vx]]*Tabelle2[[#This Row],[vx]]+Tabelle2[[#This Row],[vy]]*Tabelle2[[#This Row],[vy]])/1000000</f>
        <v>41.440832601622098</v>
      </c>
      <c r="H1054">
        <f>IF($B$3,-Tabelle2[[#This Row],[Fd]]*Tabelle2[[#This Row],[vx]]/Tabelle2[[#This Row],[v]],0)</f>
        <v>0</v>
      </c>
      <c r="I1054">
        <f t="shared" si="176"/>
        <v>0</v>
      </c>
      <c r="J1054">
        <f t="shared" si="177"/>
        <v>0</v>
      </c>
      <c r="K1054">
        <f t="shared" si="178"/>
        <v>1.0467394398169905</v>
      </c>
      <c r="L1054">
        <f>-$B$5*$B$12-IF($B$3,Tabelle2[[#This Row],[Fd]]*Tabelle2[[#This Row],[vy]]/Tabelle2[[#This Row],[v]],0)</f>
        <v>-14.715</v>
      </c>
      <c r="M1054">
        <f t="shared" si="179"/>
        <v>-9.81</v>
      </c>
      <c r="N1054">
        <f t="shared" si="180"/>
        <v>-0.19620000000000001</v>
      </c>
      <c r="O1054">
        <f t="shared" si="181"/>
        <v>-2.878630512088074</v>
      </c>
      <c r="P1054" s="1">
        <f t="shared" si="183"/>
        <v>52.336971990849527</v>
      </c>
      <c r="Q1054" s="1">
        <f t="shared" si="184"/>
        <v>-143.83342560440371</v>
      </c>
      <c r="R1054">
        <f>SQRT(Tabelle2[[#This Row],[vx]]*Tabelle2[[#This Row],[vx]]+Tabelle2[[#This Row],[vy]]*Tabelle2[[#This Row],[vy]])</f>
        <v>153.05950789894925</v>
      </c>
      <c r="S1054">
        <f t="shared" si="185"/>
        <v>1100.1231512476454</v>
      </c>
      <c r="T1054" s="1">
        <f t="shared" si="186"/>
        <v>-854.43701942391181</v>
      </c>
    </row>
    <row r="1055" spans="6:20" x14ac:dyDescent="0.35">
      <c r="F1055" s="1">
        <f t="shared" si="182"/>
        <v>21.03999999999964</v>
      </c>
      <c r="G1055">
        <f>1/2*$B$8*$B$6*$B$7*(Tabelle2[[#This Row],[vx]]*Tabelle2[[#This Row],[vx]]+Tabelle2[[#This Row],[vy]]*Tabelle2[[#This Row],[vy]])/1000000</f>
        <v>41.540738878415269</v>
      </c>
      <c r="H1055">
        <f>IF($B$3,-Tabelle2[[#This Row],[Fd]]*Tabelle2[[#This Row],[vx]]/Tabelle2[[#This Row],[v]],0)</f>
        <v>0</v>
      </c>
      <c r="I1055">
        <f t="shared" si="176"/>
        <v>0</v>
      </c>
      <c r="J1055">
        <f t="shared" si="177"/>
        <v>0</v>
      </c>
      <c r="K1055">
        <f t="shared" si="178"/>
        <v>1.0467394398169905</v>
      </c>
      <c r="L1055">
        <f>-$B$5*$B$12-IF($B$3,Tabelle2[[#This Row],[Fd]]*Tabelle2[[#This Row],[vy]]/Tabelle2[[#This Row],[v]],0)</f>
        <v>-14.715</v>
      </c>
      <c r="M1055">
        <f t="shared" si="179"/>
        <v>-9.81</v>
      </c>
      <c r="N1055">
        <f t="shared" si="180"/>
        <v>-0.19620000000000001</v>
      </c>
      <c r="O1055">
        <f t="shared" si="181"/>
        <v>-2.882554512088074</v>
      </c>
      <c r="P1055" s="1">
        <f t="shared" si="183"/>
        <v>52.336971990849527</v>
      </c>
      <c r="Q1055" s="1">
        <f t="shared" si="184"/>
        <v>-144.02962560440372</v>
      </c>
      <c r="R1055">
        <f>SQRT(Tabelle2[[#This Row],[vx]]*Tabelle2[[#This Row],[vx]]+Tabelle2[[#This Row],[vy]]*Tabelle2[[#This Row],[vy]])</f>
        <v>153.24389609023805</v>
      </c>
      <c r="S1055">
        <f t="shared" si="185"/>
        <v>1101.1698906874624</v>
      </c>
      <c r="T1055" s="1">
        <f t="shared" si="186"/>
        <v>-857.31564993599989</v>
      </c>
    </row>
    <row r="1056" spans="6:20" x14ac:dyDescent="0.35">
      <c r="F1056" s="1">
        <f t="shared" si="182"/>
        <v>21.05999999999964</v>
      </c>
      <c r="G1056">
        <f>1/2*$B$8*$B$6*$B$7*(Tabelle2[[#This Row],[vx]]*Tabelle2[[#This Row],[vx]]+Tabelle2[[#This Row],[vy]]*Tabelle2[[#This Row],[vy]])/1000000</f>
        <v>41.64078134226979</v>
      </c>
      <c r="H1056">
        <f>IF($B$3,-Tabelle2[[#This Row],[Fd]]*Tabelle2[[#This Row],[vx]]/Tabelle2[[#This Row],[v]],0)</f>
        <v>0</v>
      </c>
      <c r="I1056">
        <f t="shared" si="176"/>
        <v>0</v>
      </c>
      <c r="J1056">
        <f t="shared" si="177"/>
        <v>0</v>
      </c>
      <c r="K1056">
        <f t="shared" si="178"/>
        <v>1.0467394398169905</v>
      </c>
      <c r="L1056">
        <f>-$B$5*$B$12-IF($B$3,Tabelle2[[#This Row],[Fd]]*Tabelle2[[#This Row],[vy]]/Tabelle2[[#This Row],[v]],0)</f>
        <v>-14.715</v>
      </c>
      <c r="M1056">
        <f t="shared" si="179"/>
        <v>-9.81</v>
      </c>
      <c r="N1056">
        <f t="shared" si="180"/>
        <v>-0.19620000000000001</v>
      </c>
      <c r="O1056">
        <f t="shared" si="181"/>
        <v>-2.8864785120880745</v>
      </c>
      <c r="P1056" s="1">
        <f t="shared" si="183"/>
        <v>52.336971990849527</v>
      </c>
      <c r="Q1056" s="1">
        <f t="shared" si="184"/>
        <v>-144.22582560440372</v>
      </c>
      <c r="R1056">
        <f>SQRT(Tabelle2[[#This Row],[vx]]*Tabelle2[[#This Row],[vx]]+Tabelle2[[#This Row],[vy]]*Tabelle2[[#This Row],[vy]])</f>
        <v>153.428313581434</v>
      </c>
      <c r="S1056">
        <f t="shared" si="185"/>
        <v>1102.2166301272794</v>
      </c>
      <c r="T1056" s="1">
        <f t="shared" si="186"/>
        <v>-860.19820444808795</v>
      </c>
    </row>
    <row r="1057" spans="6:20" x14ac:dyDescent="0.35">
      <c r="F1057" s="1">
        <f t="shared" si="182"/>
        <v>21.079999999999639</v>
      </c>
      <c r="G1057">
        <f>1/2*$B$8*$B$6*$B$7*(Tabelle2[[#This Row],[vx]]*Tabelle2[[#This Row],[vx]]+Tabelle2[[#This Row],[vy]]*Tabelle2[[#This Row],[vy]])/1000000</f>
        <v>41.740959993185662</v>
      </c>
      <c r="H1057">
        <f>IF($B$3,-Tabelle2[[#This Row],[Fd]]*Tabelle2[[#This Row],[vx]]/Tabelle2[[#This Row],[v]],0)</f>
        <v>0</v>
      </c>
      <c r="I1057">
        <f t="shared" si="176"/>
        <v>0</v>
      </c>
      <c r="J1057">
        <f t="shared" si="177"/>
        <v>0</v>
      </c>
      <c r="K1057">
        <f t="shared" si="178"/>
        <v>1.0467394398169905</v>
      </c>
      <c r="L1057">
        <f>-$B$5*$B$12-IF($B$3,Tabelle2[[#This Row],[Fd]]*Tabelle2[[#This Row],[vy]]/Tabelle2[[#This Row],[v]],0)</f>
        <v>-14.715</v>
      </c>
      <c r="M1057">
        <f t="shared" si="179"/>
        <v>-9.81</v>
      </c>
      <c r="N1057">
        <f t="shared" si="180"/>
        <v>-0.19620000000000001</v>
      </c>
      <c r="O1057">
        <f t="shared" si="181"/>
        <v>-2.8904025120880745</v>
      </c>
      <c r="P1057" s="1">
        <f t="shared" si="183"/>
        <v>52.336971990849527</v>
      </c>
      <c r="Q1057" s="1">
        <f t="shared" si="184"/>
        <v>-144.42202560440373</v>
      </c>
      <c r="R1057">
        <f>SQRT(Tabelle2[[#This Row],[vx]]*Tabelle2[[#This Row],[vx]]+Tabelle2[[#This Row],[vy]]*Tabelle2[[#This Row],[vy]])</f>
        <v>153.61276026701043</v>
      </c>
      <c r="S1057">
        <f t="shared" si="185"/>
        <v>1103.2633695670963</v>
      </c>
      <c r="T1057" s="1">
        <f t="shared" si="186"/>
        <v>-863.084682960176</v>
      </c>
    </row>
    <row r="1058" spans="6:20" x14ac:dyDescent="0.35">
      <c r="F1058" s="1">
        <f t="shared" si="182"/>
        <v>21.099999999999639</v>
      </c>
      <c r="G1058">
        <f>1/2*$B$8*$B$6*$B$7*(Tabelle2[[#This Row],[vx]]*Tabelle2[[#This Row],[vx]]+Tabelle2[[#This Row],[vy]]*Tabelle2[[#This Row],[vy]])/1000000</f>
        <v>41.84127483116287</v>
      </c>
      <c r="H1058">
        <f>IF($B$3,-Tabelle2[[#This Row],[Fd]]*Tabelle2[[#This Row],[vx]]/Tabelle2[[#This Row],[v]],0)</f>
        <v>0</v>
      </c>
      <c r="I1058">
        <f t="shared" si="176"/>
        <v>0</v>
      </c>
      <c r="J1058">
        <f t="shared" si="177"/>
        <v>0</v>
      </c>
      <c r="K1058">
        <f t="shared" si="178"/>
        <v>1.0467394398169905</v>
      </c>
      <c r="L1058">
        <f>-$B$5*$B$12-IF($B$3,Tabelle2[[#This Row],[Fd]]*Tabelle2[[#This Row],[vy]]/Tabelle2[[#This Row],[v]],0)</f>
        <v>-14.715</v>
      </c>
      <c r="M1058">
        <f t="shared" si="179"/>
        <v>-9.81</v>
      </c>
      <c r="N1058">
        <f t="shared" si="180"/>
        <v>-0.19620000000000001</v>
      </c>
      <c r="O1058">
        <f t="shared" si="181"/>
        <v>-2.8943265120880746</v>
      </c>
      <c r="P1058" s="1">
        <f t="shared" si="183"/>
        <v>52.336971990849527</v>
      </c>
      <c r="Q1058" s="1">
        <f t="shared" si="184"/>
        <v>-144.61822560440373</v>
      </c>
      <c r="R1058">
        <f>SQRT(Tabelle2[[#This Row],[vx]]*Tabelle2[[#This Row],[vx]]+Tabelle2[[#This Row],[vy]]*Tabelle2[[#This Row],[vy]])</f>
        <v>153.79723604193018</v>
      </c>
      <c r="S1058">
        <f t="shared" si="185"/>
        <v>1104.3101090069133</v>
      </c>
      <c r="T1058" s="1">
        <f t="shared" si="186"/>
        <v>-865.97508547226403</v>
      </c>
    </row>
    <row r="1059" spans="6:20" x14ac:dyDescent="0.35">
      <c r="F1059" s="1">
        <f t="shared" si="182"/>
        <v>21.119999999999639</v>
      </c>
      <c r="G1059">
        <f>1/2*$B$8*$B$6*$B$7*(Tabelle2[[#This Row],[vx]]*Tabelle2[[#This Row],[vx]]+Tabelle2[[#This Row],[vy]]*Tabelle2[[#This Row],[vy]])/1000000</f>
        <v>41.941725856201415</v>
      </c>
      <c r="H1059">
        <f>IF($B$3,-Tabelle2[[#This Row],[Fd]]*Tabelle2[[#This Row],[vx]]/Tabelle2[[#This Row],[v]],0)</f>
        <v>0</v>
      </c>
      <c r="I1059">
        <f t="shared" si="176"/>
        <v>0</v>
      </c>
      <c r="J1059">
        <f t="shared" si="177"/>
        <v>0</v>
      </c>
      <c r="K1059">
        <f t="shared" si="178"/>
        <v>1.0467394398169905</v>
      </c>
      <c r="L1059">
        <f>-$B$5*$B$12-IF($B$3,Tabelle2[[#This Row],[Fd]]*Tabelle2[[#This Row],[vy]]/Tabelle2[[#This Row],[v]],0)</f>
        <v>-14.715</v>
      </c>
      <c r="M1059">
        <f t="shared" si="179"/>
        <v>-9.81</v>
      </c>
      <c r="N1059">
        <f t="shared" si="180"/>
        <v>-0.19620000000000001</v>
      </c>
      <c r="O1059">
        <f t="shared" si="181"/>
        <v>-2.8982505120880746</v>
      </c>
      <c r="P1059" s="1">
        <f t="shared" si="183"/>
        <v>52.336971990849527</v>
      </c>
      <c r="Q1059" s="1">
        <f t="shared" si="184"/>
        <v>-144.81442560440374</v>
      </c>
      <c r="R1059">
        <f>SQRT(Tabelle2[[#This Row],[vx]]*Tabelle2[[#This Row],[vx]]+Tabelle2[[#This Row],[vy]]*Tabelle2[[#This Row],[vy]])</f>
        <v>153.98174080164296</v>
      </c>
      <c r="S1059">
        <f t="shared" si="185"/>
        <v>1105.3568484467303</v>
      </c>
      <c r="T1059" s="1">
        <f t="shared" si="186"/>
        <v>-868.86941198435215</v>
      </c>
    </row>
    <row r="1060" spans="6:20" x14ac:dyDescent="0.35">
      <c r="F1060" s="1">
        <f t="shared" si="182"/>
        <v>21.139999999999638</v>
      </c>
      <c r="G1060">
        <f>1/2*$B$8*$B$6*$B$7*(Tabelle2[[#This Row],[vx]]*Tabelle2[[#This Row],[vx]]+Tabelle2[[#This Row],[vy]]*Tabelle2[[#This Row],[vy]])/1000000</f>
        <v>42.042313068301311</v>
      </c>
      <c r="H1060">
        <f>IF($B$3,-Tabelle2[[#This Row],[Fd]]*Tabelle2[[#This Row],[vx]]/Tabelle2[[#This Row],[v]],0)</f>
        <v>0</v>
      </c>
      <c r="I1060">
        <f t="shared" si="176"/>
        <v>0</v>
      </c>
      <c r="J1060">
        <f t="shared" si="177"/>
        <v>0</v>
      </c>
      <c r="K1060">
        <f t="shared" si="178"/>
        <v>1.0467394398169905</v>
      </c>
      <c r="L1060">
        <f>-$B$5*$B$12-IF($B$3,Tabelle2[[#This Row],[Fd]]*Tabelle2[[#This Row],[vy]]/Tabelle2[[#This Row],[v]],0)</f>
        <v>-14.715</v>
      </c>
      <c r="M1060">
        <f t="shared" si="179"/>
        <v>-9.81</v>
      </c>
      <c r="N1060">
        <f t="shared" si="180"/>
        <v>-0.19620000000000001</v>
      </c>
      <c r="O1060">
        <f t="shared" si="181"/>
        <v>-2.9021745120880746</v>
      </c>
      <c r="P1060" s="1">
        <f t="shared" si="183"/>
        <v>52.336971990849527</v>
      </c>
      <c r="Q1060" s="1">
        <f t="shared" si="184"/>
        <v>-145.01062560440374</v>
      </c>
      <c r="R1060">
        <f>SQRT(Tabelle2[[#This Row],[vx]]*Tabelle2[[#This Row],[vx]]+Tabelle2[[#This Row],[vy]]*Tabelle2[[#This Row],[vy]])</f>
        <v>154.16627444208257</v>
      </c>
      <c r="S1060">
        <f t="shared" si="185"/>
        <v>1106.4035878865473</v>
      </c>
      <c r="T1060" s="1">
        <f t="shared" si="186"/>
        <v>-871.76766249644027</v>
      </c>
    </row>
    <row r="1061" spans="6:20" x14ac:dyDescent="0.35">
      <c r="F1061" s="1">
        <f t="shared" si="182"/>
        <v>21.159999999999638</v>
      </c>
      <c r="G1061">
        <f>1/2*$B$8*$B$6*$B$7*(Tabelle2[[#This Row],[vx]]*Tabelle2[[#This Row],[vx]]+Tabelle2[[#This Row],[vy]]*Tabelle2[[#This Row],[vy]])/1000000</f>
        <v>42.143036467462558</v>
      </c>
      <c r="H1061">
        <f>IF($B$3,-Tabelle2[[#This Row],[Fd]]*Tabelle2[[#This Row],[vx]]/Tabelle2[[#This Row],[v]],0)</f>
        <v>0</v>
      </c>
      <c r="I1061">
        <f t="shared" si="176"/>
        <v>0</v>
      </c>
      <c r="J1061">
        <f t="shared" si="177"/>
        <v>0</v>
      </c>
      <c r="K1061">
        <f t="shared" si="178"/>
        <v>1.0467394398169905</v>
      </c>
      <c r="L1061">
        <f>-$B$5*$B$12-IF($B$3,Tabelle2[[#This Row],[Fd]]*Tabelle2[[#This Row],[vy]]/Tabelle2[[#This Row],[v]],0)</f>
        <v>-14.715</v>
      </c>
      <c r="M1061">
        <f t="shared" si="179"/>
        <v>-9.81</v>
      </c>
      <c r="N1061">
        <f t="shared" si="180"/>
        <v>-0.19620000000000001</v>
      </c>
      <c r="O1061">
        <f t="shared" si="181"/>
        <v>-2.9060985120880747</v>
      </c>
      <c r="P1061" s="1">
        <f t="shared" si="183"/>
        <v>52.336971990849527</v>
      </c>
      <c r="Q1061" s="1">
        <f t="shared" si="184"/>
        <v>-145.20682560440375</v>
      </c>
      <c r="R1061">
        <f>SQRT(Tabelle2[[#This Row],[vx]]*Tabelle2[[#This Row],[vx]]+Tabelle2[[#This Row],[vy]]*Tabelle2[[#This Row],[vy]])</f>
        <v>154.35083685966427</v>
      </c>
      <c r="S1061">
        <f t="shared" si="185"/>
        <v>1107.4503273263642</v>
      </c>
      <c r="T1061" s="1">
        <f t="shared" si="186"/>
        <v>-874.66983700852836</v>
      </c>
    </row>
    <row r="1062" spans="6:20" x14ac:dyDescent="0.35">
      <c r="F1062" s="1">
        <f t="shared" si="182"/>
        <v>21.179999999999637</v>
      </c>
      <c r="G1062">
        <f>1/2*$B$8*$B$6*$B$7*(Tabelle2[[#This Row],[vx]]*Tabelle2[[#This Row],[vx]]+Tabelle2[[#This Row],[vy]]*Tabelle2[[#This Row],[vy]])/1000000</f>
        <v>42.243896053685134</v>
      </c>
      <c r="H1062">
        <f>IF($B$3,-Tabelle2[[#This Row],[Fd]]*Tabelle2[[#This Row],[vx]]/Tabelle2[[#This Row],[v]],0)</f>
        <v>0</v>
      </c>
      <c r="I1062">
        <f t="shared" si="176"/>
        <v>0</v>
      </c>
      <c r="J1062">
        <f t="shared" si="177"/>
        <v>0</v>
      </c>
      <c r="K1062">
        <f t="shared" si="178"/>
        <v>1.0467394398169905</v>
      </c>
      <c r="L1062">
        <f>-$B$5*$B$12-IF($B$3,Tabelle2[[#This Row],[Fd]]*Tabelle2[[#This Row],[vy]]/Tabelle2[[#This Row],[v]],0)</f>
        <v>-14.715</v>
      </c>
      <c r="M1062">
        <f t="shared" si="179"/>
        <v>-9.81</v>
      </c>
      <c r="N1062">
        <f t="shared" si="180"/>
        <v>-0.19620000000000001</v>
      </c>
      <c r="O1062">
        <f t="shared" si="181"/>
        <v>-2.9100225120880747</v>
      </c>
      <c r="P1062" s="1">
        <f t="shared" si="183"/>
        <v>52.336971990849527</v>
      </c>
      <c r="Q1062" s="1">
        <f t="shared" si="184"/>
        <v>-145.40302560440375</v>
      </c>
      <c r="R1062">
        <f>SQRT(Tabelle2[[#This Row],[vx]]*Tabelle2[[#This Row],[vx]]+Tabelle2[[#This Row],[vy]]*Tabelle2[[#This Row],[vy]])</f>
        <v>154.53542795128197</v>
      </c>
      <c r="S1062">
        <f t="shared" si="185"/>
        <v>1108.4970667661812</v>
      </c>
      <c r="T1062" s="1">
        <f t="shared" si="186"/>
        <v>-877.57593552061644</v>
      </c>
    </row>
    <row r="1063" spans="6:20" x14ac:dyDescent="0.35">
      <c r="F1063" s="1">
        <f t="shared" si="182"/>
        <v>21.199999999999637</v>
      </c>
      <c r="G1063">
        <f>1/2*$B$8*$B$6*$B$7*(Tabelle2[[#This Row],[vx]]*Tabelle2[[#This Row],[vx]]+Tabelle2[[#This Row],[vy]]*Tabelle2[[#This Row],[vy]])/1000000</f>
        <v>42.344891826969068</v>
      </c>
      <c r="H1063">
        <f>IF($B$3,-Tabelle2[[#This Row],[Fd]]*Tabelle2[[#This Row],[vx]]/Tabelle2[[#This Row],[v]],0)</f>
        <v>0</v>
      </c>
      <c r="I1063">
        <f t="shared" si="176"/>
        <v>0</v>
      </c>
      <c r="J1063">
        <f t="shared" si="177"/>
        <v>0</v>
      </c>
      <c r="K1063">
        <f t="shared" si="178"/>
        <v>1.0467394398169905</v>
      </c>
      <c r="L1063">
        <f>-$B$5*$B$12-IF($B$3,Tabelle2[[#This Row],[Fd]]*Tabelle2[[#This Row],[vy]]/Tabelle2[[#This Row],[v]],0)</f>
        <v>-14.715</v>
      </c>
      <c r="M1063">
        <f t="shared" si="179"/>
        <v>-9.81</v>
      </c>
      <c r="N1063">
        <f t="shared" si="180"/>
        <v>-0.19620000000000001</v>
      </c>
      <c r="O1063">
        <f t="shared" si="181"/>
        <v>-2.9139465120880748</v>
      </c>
      <c r="P1063" s="1">
        <f t="shared" si="183"/>
        <v>52.336971990849527</v>
      </c>
      <c r="Q1063" s="1">
        <f t="shared" si="184"/>
        <v>-145.59922560440376</v>
      </c>
      <c r="R1063">
        <f>SQRT(Tabelle2[[#This Row],[vx]]*Tabelle2[[#This Row],[vx]]+Tabelle2[[#This Row],[vy]]*Tabelle2[[#This Row],[vy]])</f>
        <v>154.72004761430571</v>
      </c>
      <c r="S1063">
        <f t="shared" si="185"/>
        <v>1109.5438062059982</v>
      </c>
      <c r="T1063" s="1">
        <f t="shared" si="186"/>
        <v>-880.4859580327045</v>
      </c>
    </row>
    <row r="1064" spans="6:20" x14ac:dyDescent="0.35">
      <c r="F1064" s="1">
        <f t="shared" si="182"/>
        <v>21.219999999999636</v>
      </c>
      <c r="G1064">
        <f>1/2*$B$8*$B$6*$B$7*(Tabelle2[[#This Row],[vx]]*Tabelle2[[#This Row],[vx]]+Tabelle2[[#This Row],[vy]]*Tabelle2[[#This Row],[vy]])/1000000</f>
        <v>42.446023787314338</v>
      </c>
      <c r="H1064">
        <f>IF($B$3,-Tabelle2[[#This Row],[Fd]]*Tabelle2[[#This Row],[vx]]/Tabelle2[[#This Row],[v]],0)</f>
        <v>0</v>
      </c>
      <c r="I1064">
        <f t="shared" si="176"/>
        <v>0</v>
      </c>
      <c r="J1064">
        <f t="shared" si="177"/>
        <v>0</v>
      </c>
      <c r="K1064">
        <f t="shared" si="178"/>
        <v>1.0467394398169905</v>
      </c>
      <c r="L1064">
        <f>-$B$5*$B$12-IF($B$3,Tabelle2[[#This Row],[Fd]]*Tabelle2[[#This Row],[vy]]/Tabelle2[[#This Row],[v]],0)</f>
        <v>-14.715</v>
      </c>
      <c r="M1064">
        <f t="shared" si="179"/>
        <v>-9.81</v>
      </c>
      <c r="N1064">
        <f t="shared" si="180"/>
        <v>-0.19620000000000001</v>
      </c>
      <c r="O1064">
        <f t="shared" si="181"/>
        <v>-2.9178705120880752</v>
      </c>
      <c r="P1064" s="1">
        <f t="shared" si="183"/>
        <v>52.336971990849527</v>
      </c>
      <c r="Q1064" s="1">
        <f t="shared" si="184"/>
        <v>-145.79542560440376</v>
      </c>
      <c r="R1064">
        <f>SQRT(Tabelle2[[#This Row],[vx]]*Tabelle2[[#This Row],[vx]]+Tabelle2[[#This Row],[vy]]*Tabelle2[[#This Row],[vy]])</f>
        <v>154.90469574657897</v>
      </c>
      <c r="S1064">
        <f t="shared" si="185"/>
        <v>1110.5905456458152</v>
      </c>
      <c r="T1064" s="1">
        <f t="shared" si="186"/>
        <v>-883.39990454479255</v>
      </c>
    </row>
    <row r="1065" spans="6:20" x14ac:dyDescent="0.35">
      <c r="F1065" s="1">
        <f t="shared" si="182"/>
        <v>21.239999999999636</v>
      </c>
      <c r="G1065">
        <f>1/2*$B$8*$B$6*$B$7*(Tabelle2[[#This Row],[vx]]*Tabelle2[[#This Row],[vx]]+Tabelle2[[#This Row],[vy]]*Tabelle2[[#This Row],[vy]])/1000000</f>
        <v>42.547291934720953</v>
      </c>
      <c r="H1065">
        <f>IF($B$3,-Tabelle2[[#This Row],[Fd]]*Tabelle2[[#This Row],[vx]]/Tabelle2[[#This Row],[v]],0)</f>
        <v>0</v>
      </c>
      <c r="I1065">
        <f t="shared" si="176"/>
        <v>0</v>
      </c>
      <c r="J1065">
        <f t="shared" si="177"/>
        <v>0</v>
      </c>
      <c r="K1065">
        <f t="shared" si="178"/>
        <v>1.0467394398169905</v>
      </c>
      <c r="L1065">
        <f>-$B$5*$B$12-IF($B$3,Tabelle2[[#This Row],[Fd]]*Tabelle2[[#This Row],[vy]]/Tabelle2[[#This Row],[v]],0)</f>
        <v>-14.715</v>
      </c>
      <c r="M1065">
        <f t="shared" si="179"/>
        <v>-9.81</v>
      </c>
      <c r="N1065">
        <f t="shared" si="180"/>
        <v>-0.19620000000000001</v>
      </c>
      <c r="O1065">
        <f t="shared" si="181"/>
        <v>-2.9217945120880753</v>
      </c>
      <c r="P1065" s="1">
        <f t="shared" si="183"/>
        <v>52.336971990849527</v>
      </c>
      <c r="Q1065" s="1">
        <f t="shared" si="184"/>
        <v>-145.99162560440377</v>
      </c>
      <c r="R1065">
        <f>SQRT(Tabelle2[[#This Row],[vx]]*Tabelle2[[#This Row],[vx]]+Tabelle2[[#This Row],[vy]]*Tabelle2[[#This Row],[vy]])</f>
        <v>155.08937224641593</v>
      </c>
      <c r="S1065">
        <f t="shared" si="185"/>
        <v>1111.6372850856321</v>
      </c>
      <c r="T1065" s="1">
        <f t="shared" si="186"/>
        <v>-886.31777505688058</v>
      </c>
    </row>
    <row r="1066" spans="6:20" x14ac:dyDescent="0.35">
      <c r="F1066" s="1">
        <f t="shared" si="182"/>
        <v>21.259999999999636</v>
      </c>
      <c r="G1066">
        <f>1/2*$B$8*$B$6*$B$7*(Tabelle2[[#This Row],[vx]]*Tabelle2[[#This Row],[vx]]+Tabelle2[[#This Row],[vy]]*Tabelle2[[#This Row],[vy]])/1000000</f>
        <v>42.64869626918891</v>
      </c>
      <c r="H1066">
        <f>IF($B$3,-Tabelle2[[#This Row],[Fd]]*Tabelle2[[#This Row],[vx]]/Tabelle2[[#This Row],[v]],0)</f>
        <v>0</v>
      </c>
      <c r="I1066">
        <f t="shared" si="176"/>
        <v>0</v>
      </c>
      <c r="J1066">
        <f t="shared" si="177"/>
        <v>0</v>
      </c>
      <c r="K1066">
        <f t="shared" si="178"/>
        <v>1.0467394398169905</v>
      </c>
      <c r="L1066">
        <f>-$B$5*$B$12-IF($B$3,Tabelle2[[#This Row],[Fd]]*Tabelle2[[#This Row],[vy]]/Tabelle2[[#This Row],[v]],0)</f>
        <v>-14.715</v>
      </c>
      <c r="M1066">
        <f t="shared" si="179"/>
        <v>-9.81</v>
      </c>
      <c r="N1066">
        <f t="shared" si="180"/>
        <v>-0.19620000000000001</v>
      </c>
      <c r="O1066">
        <f t="shared" si="181"/>
        <v>-2.9257185120880753</v>
      </c>
      <c r="P1066" s="1">
        <f t="shared" si="183"/>
        <v>52.336971990849527</v>
      </c>
      <c r="Q1066" s="1">
        <f t="shared" si="184"/>
        <v>-146.18782560440377</v>
      </c>
      <c r="R1066">
        <f>SQRT(Tabelle2[[#This Row],[vx]]*Tabelle2[[#This Row],[vx]]+Tabelle2[[#This Row],[vy]]*Tabelle2[[#This Row],[vy]])</f>
        <v>155.27407701259904</v>
      </c>
      <c r="S1066">
        <f t="shared" si="185"/>
        <v>1112.6840245254491</v>
      </c>
      <c r="T1066" s="1">
        <f t="shared" si="186"/>
        <v>-889.2395695689687</v>
      </c>
    </row>
    <row r="1067" spans="6:20" x14ac:dyDescent="0.35">
      <c r="F1067" s="1">
        <f t="shared" si="182"/>
        <v>21.279999999999635</v>
      </c>
      <c r="G1067">
        <f>1/2*$B$8*$B$6*$B$7*(Tabelle2[[#This Row],[vx]]*Tabelle2[[#This Row],[vx]]+Tabelle2[[#This Row],[vy]]*Tabelle2[[#This Row],[vy]])/1000000</f>
        <v>42.750236790718219</v>
      </c>
      <c r="H1067">
        <f>IF($B$3,-Tabelle2[[#This Row],[Fd]]*Tabelle2[[#This Row],[vx]]/Tabelle2[[#This Row],[v]],0)</f>
        <v>0</v>
      </c>
      <c r="I1067">
        <f t="shared" si="176"/>
        <v>0</v>
      </c>
      <c r="J1067">
        <f t="shared" si="177"/>
        <v>0</v>
      </c>
      <c r="K1067">
        <f t="shared" si="178"/>
        <v>1.0467394398169905</v>
      </c>
      <c r="L1067">
        <f>-$B$5*$B$12-IF($B$3,Tabelle2[[#This Row],[Fd]]*Tabelle2[[#This Row],[vy]]/Tabelle2[[#This Row],[v]],0)</f>
        <v>-14.715</v>
      </c>
      <c r="M1067">
        <f t="shared" si="179"/>
        <v>-9.81</v>
      </c>
      <c r="N1067">
        <f t="shared" si="180"/>
        <v>-0.19620000000000001</v>
      </c>
      <c r="O1067">
        <f t="shared" si="181"/>
        <v>-2.9296425120880754</v>
      </c>
      <c r="P1067" s="1">
        <f t="shared" si="183"/>
        <v>52.336971990849527</v>
      </c>
      <c r="Q1067" s="1">
        <f t="shared" si="184"/>
        <v>-146.38402560440377</v>
      </c>
      <c r="R1067">
        <f>SQRT(Tabelle2[[#This Row],[vx]]*Tabelle2[[#This Row],[vx]]+Tabelle2[[#This Row],[vy]]*Tabelle2[[#This Row],[vy]])</f>
        <v>155.4588099443763</v>
      </c>
      <c r="S1067">
        <f t="shared" si="185"/>
        <v>1113.7307639652661</v>
      </c>
      <c r="T1067" s="1">
        <f t="shared" si="186"/>
        <v>-892.16528808105681</v>
      </c>
    </row>
    <row r="1068" spans="6:20" x14ac:dyDescent="0.35">
      <c r="F1068" s="1">
        <f t="shared" si="182"/>
        <v>21.299999999999635</v>
      </c>
      <c r="G1068">
        <f>1/2*$B$8*$B$6*$B$7*(Tabelle2[[#This Row],[vx]]*Tabelle2[[#This Row],[vx]]+Tabelle2[[#This Row],[vy]]*Tabelle2[[#This Row],[vy]])/1000000</f>
        <v>42.851913499308864</v>
      </c>
      <c r="H1068">
        <f>IF($B$3,-Tabelle2[[#This Row],[Fd]]*Tabelle2[[#This Row],[vx]]/Tabelle2[[#This Row],[v]],0)</f>
        <v>0</v>
      </c>
      <c r="I1068">
        <f t="shared" si="176"/>
        <v>0</v>
      </c>
      <c r="J1068">
        <f t="shared" si="177"/>
        <v>0</v>
      </c>
      <c r="K1068">
        <f t="shared" si="178"/>
        <v>1.0467394398169905</v>
      </c>
      <c r="L1068">
        <f>-$B$5*$B$12-IF($B$3,Tabelle2[[#This Row],[Fd]]*Tabelle2[[#This Row],[vy]]/Tabelle2[[#This Row],[v]],0)</f>
        <v>-14.715</v>
      </c>
      <c r="M1068">
        <f t="shared" si="179"/>
        <v>-9.81</v>
      </c>
      <c r="N1068">
        <f t="shared" si="180"/>
        <v>-0.19620000000000001</v>
      </c>
      <c r="O1068">
        <f t="shared" si="181"/>
        <v>-2.9335665120880754</v>
      </c>
      <c r="P1068" s="1">
        <f t="shared" si="183"/>
        <v>52.336971990849527</v>
      </c>
      <c r="Q1068" s="1">
        <f t="shared" si="184"/>
        <v>-146.58022560440378</v>
      </c>
      <c r="R1068">
        <f>SQRT(Tabelle2[[#This Row],[vx]]*Tabelle2[[#This Row],[vx]]+Tabelle2[[#This Row],[vy]]*Tabelle2[[#This Row],[vy]])</f>
        <v>155.64357094145868</v>
      </c>
      <c r="S1068">
        <f t="shared" si="185"/>
        <v>1114.7775034050831</v>
      </c>
      <c r="T1068" s="1">
        <f t="shared" si="186"/>
        <v>-895.09493059314491</v>
      </c>
    </row>
    <row r="1069" spans="6:20" x14ac:dyDescent="0.35">
      <c r="F1069" s="1">
        <f t="shared" si="182"/>
        <v>21.319999999999634</v>
      </c>
      <c r="G1069">
        <f>1/2*$B$8*$B$6*$B$7*(Tabelle2[[#This Row],[vx]]*Tabelle2[[#This Row],[vx]]+Tabelle2[[#This Row],[vy]]*Tabelle2[[#This Row],[vy]])/1000000</f>
        <v>42.95372639496086</v>
      </c>
      <c r="H1069">
        <f>IF($B$3,-Tabelle2[[#This Row],[Fd]]*Tabelle2[[#This Row],[vx]]/Tabelle2[[#This Row],[v]],0)</f>
        <v>0</v>
      </c>
      <c r="I1069">
        <f t="shared" si="176"/>
        <v>0</v>
      </c>
      <c r="J1069">
        <f t="shared" si="177"/>
        <v>0</v>
      </c>
      <c r="K1069">
        <f t="shared" si="178"/>
        <v>1.0467394398169905</v>
      </c>
      <c r="L1069">
        <f>-$B$5*$B$12-IF($B$3,Tabelle2[[#This Row],[Fd]]*Tabelle2[[#This Row],[vy]]/Tabelle2[[#This Row],[v]],0)</f>
        <v>-14.715</v>
      </c>
      <c r="M1069">
        <f t="shared" si="179"/>
        <v>-9.81</v>
      </c>
      <c r="N1069">
        <f t="shared" si="180"/>
        <v>-0.19620000000000001</v>
      </c>
      <c r="O1069">
        <f t="shared" si="181"/>
        <v>-2.9374905120880754</v>
      </c>
      <c r="P1069" s="1">
        <f t="shared" si="183"/>
        <v>52.336971990849527</v>
      </c>
      <c r="Q1069" s="1">
        <f t="shared" si="184"/>
        <v>-146.77642560440378</v>
      </c>
      <c r="R1069">
        <f>SQRT(Tabelle2[[#This Row],[vx]]*Tabelle2[[#This Row],[vx]]+Tabelle2[[#This Row],[vy]]*Tabelle2[[#This Row],[vy]])</f>
        <v>155.82835990401762</v>
      </c>
      <c r="S1069">
        <f t="shared" si="185"/>
        <v>1115.8242428449</v>
      </c>
      <c r="T1069" s="1">
        <f t="shared" si="186"/>
        <v>-898.02849710523299</v>
      </c>
    </row>
    <row r="1070" spans="6:20" x14ac:dyDescent="0.35">
      <c r="F1070" s="1">
        <f t="shared" si="182"/>
        <v>21.339999999999634</v>
      </c>
      <c r="G1070">
        <f>1/2*$B$8*$B$6*$B$7*(Tabelle2[[#This Row],[vx]]*Tabelle2[[#This Row],[vx]]+Tabelle2[[#This Row],[vy]]*Tabelle2[[#This Row],[vy]])/1000000</f>
        <v>43.055675477674193</v>
      </c>
      <c r="H1070">
        <f>IF($B$3,-Tabelle2[[#This Row],[Fd]]*Tabelle2[[#This Row],[vx]]/Tabelle2[[#This Row],[v]],0)</f>
        <v>0</v>
      </c>
      <c r="I1070">
        <f t="shared" si="176"/>
        <v>0</v>
      </c>
      <c r="J1070">
        <f t="shared" si="177"/>
        <v>0</v>
      </c>
      <c r="K1070">
        <f t="shared" si="178"/>
        <v>1.0467394398169905</v>
      </c>
      <c r="L1070">
        <f>-$B$5*$B$12-IF($B$3,Tabelle2[[#This Row],[Fd]]*Tabelle2[[#This Row],[vy]]/Tabelle2[[#This Row],[v]],0)</f>
        <v>-14.715</v>
      </c>
      <c r="M1070">
        <f t="shared" si="179"/>
        <v>-9.81</v>
      </c>
      <c r="N1070">
        <f t="shared" si="180"/>
        <v>-0.19620000000000001</v>
      </c>
      <c r="O1070">
        <f t="shared" si="181"/>
        <v>-2.9414145120880755</v>
      </c>
      <c r="P1070" s="1">
        <f t="shared" si="183"/>
        <v>52.336971990849527</v>
      </c>
      <c r="Q1070" s="1">
        <f t="shared" si="184"/>
        <v>-146.97262560440379</v>
      </c>
      <c r="R1070">
        <f>SQRT(Tabelle2[[#This Row],[vx]]*Tabelle2[[#This Row],[vx]]+Tabelle2[[#This Row],[vy]]*Tabelle2[[#This Row],[vy]])</f>
        <v>156.01317673268247</v>
      </c>
      <c r="S1070">
        <f t="shared" si="185"/>
        <v>1116.870982284717</v>
      </c>
      <c r="T1070" s="1">
        <f t="shared" si="186"/>
        <v>-900.96598761732105</v>
      </c>
    </row>
    <row r="1071" spans="6:20" x14ac:dyDescent="0.35">
      <c r="F1071" s="1">
        <f t="shared" si="182"/>
        <v>21.359999999999634</v>
      </c>
      <c r="G1071">
        <f>1/2*$B$8*$B$6*$B$7*(Tabelle2[[#This Row],[vx]]*Tabelle2[[#This Row],[vx]]+Tabelle2[[#This Row],[vy]]*Tabelle2[[#This Row],[vy]])/1000000</f>
        <v>43.157760747448869</v>
      </c>
      <c r="H1071">
        <f>IF($B$3,-Tabelle2[[#This Row],[Fd]]*Tabelle2[[#This Row],[vx]]/Tabelle2[[#This Row],[v]],0)</f>
        <v>0</v>
      </c>
      <c r="I1071">
        <f t="shared" si="176"/>
        <v>0</v>
      </c>
      <c r="J1071">
        <f t="shared" si="177"/>
        <v>0</v>
      </c>
      <c r="K1071">
        <f t="shared" si="178"/>
        <v>1.0467394398169905</v>
      </c>
      <c r="L1071">
        <f>-$B$5*$B$12-IF($B$3,Tabelle2[[#This Row],[Fd]]*Tabelle2[[#This Row],[vy]]/Tabelle2[[#This Row],[v]],0)</f>
        <v>-14.715</v>
      </c>
      <c r="M1071">
        <f t="shared" si="179"/>
        <v>-9.81</v>
      </c>
      <c r="N1071">
        <f t="shared" si="180"/>
        <v>-0.19620000000000001</v>
      </c>
      <c r="O1071">
        <f t="shared" si="181"/>
        <v>-2.9453385120880755</v>
      </c>
      <c r="P1071" s="1">
        <f t="shared" si="183"/>
        <v>52.336971990849527</v>
      </c>
      <c r="Q1071" s="1">
        <f t="shared" si="184"/>
        <v>-147.16882560440379</v>
      </c>
      <c r="R1071">
        <f>SQRT(Tabelle2[[#This Row],[vx]]*Tabelle2[[#This Row],[vx]]+Tabelle2[[#This Row],[vy]]*Tabelle2[[#This Row],[vy]])</f>
        <v>156.19802132853792</v>
      </c>
      <c r="S1071">
        <f t="shared" si="185"/>
        <v>1117.917721724534</v>
      </c>
      <c r="T1071" s="1">
        <f t="shared" si="186"/>
        <v>-903.90740212940909</v>
      </c>
    </row>
    <row r="1072" spans="6:20" x14ac:dyDescent="0.35">
      <c r="F1072" s="1">
        <f t="shared" si="182"/>
        <v>21.379999999999633</v>
      </c>
      <c r="G1072">
        <f>1/2*$B$8*$B$6*$B$7*(Tabelle2[[#This Row],[vx]]*Tabelle2[[#This Row],[vx]]+Tabelle2[[#This Row],[vy]]*Tabelle2[[#This Row],[vy]])/1000000</f>
        <v>43.259982204284888</v>
      </c>
      <c r="H1072">
        <f>IF($B$3,-Tabelle2[[#This Row],[Fd]]*Tabelle2[[#This Row],[vx]]/Tabelle2[[#This Row],[v]],0)</f>
        <v>0</v>
      </c>
      <c r="I1072">
        <f t="shared" si="176"/>
        <v>0</v>
      </c>
      <c r="J1072">
        <f t="shared" si="177"/>
        <v>0</v>
      </c>
      <c r="K1072">
        <f t="shared" si="178"/>
        <v>1.0467394398169905</v>
      </c>
      <c r="L1072">
        <f>-$B$5*$B$12-IF($B$3,Tabelle2[[#This Row],[Fd]]*Tabelle2[[#This Row],[vy]]/Tabelle2[[#This Row],[v]],0)</f>
        <v>-14.715</v>
      </c>
      <c r="M1072">
        <f t="shared" si="179"/>
        <v>-9.81</v>
      </c>
      <c r="N1072">
        <f t="shared" si="180"/>
        <v>-0.19620000000000001</v>
      </c>
      <c r="O1072">
        <f t="shared" si="181"/>
        <v>-2.9492625120880755</v>
      </c>
      <c r="P1072" s="1">
        <f t="shared" si="183"/>
        <v>52.336971990849527</v>
      </c>
      <c r="Q1072" s="1">
        <f t="shared" si="184"/>
        <v>-147.3650256044038</v>
      </c>
      <c r="R1072">
        <f>SQRT(Tabelle2[[#This Row],[vx]]*Tabelle2[[#This Row],[vx]]+Tabelle2[[#This Row],[vy]]*Tabelle2[[#This Row],[vy]])</f>
        <v>156.38289359312148</v>
      </c>
      <c r="S1072">
        <f t="shared" si="185"/>
        <v>1118.964461164351</v>
      </c>
      <c r="T1072" s="1">
        <f t="shared" si="186"/>
        <v>-906.85274064149712</v>
      </c>
    </row>
    <row r="1073" spans="6:20" x14ac:dyDescent="0.35">
      <c r="F1073" s="1">
        <f t="shared" si="182"/>
        <v>21.399999999999633</v>
      </c>
      <c r="G1073">
        <f>1/2*$B$8*$B$6*$B$7*(Tabelle2[[#This Row],[vx]]*Tabelle2[[#This Row],[vx]]+Tabelle2[[#This Row],[vy]]*Tabelle2[[#This Row],[vy]])/1000000</f>
        <v>43.362339848182266</v>
      </c>
      <c r="H1073">
        <f>IF($B$3,-Tabelle2[[#This Row],[Fd]]*Tabelle2[[#This Row],[vx]]/Tabelle2[[#This Row],[v]],0)</f>
        <v>0</v>
      </c>
      <c r="I1073">
        <f t="shared" si="176"/>
        <v>0</v>
      </c>
      <c r="J1073">
        <f t="shared" si="177"/>
        <v>0</v>
      </c>
      <c r="K1073">
        <f t="shared" si="178"/>
        <v>1.0467394398169905</v>
      </c>
      <c r="L1073">
        <f>-$B$5*$B$12-IF($B$3,Tabelle2[[#This Row],[Fd]]*Tabelle2[[#This Row],[vy]]/Tabelle2[[#This Row],[v]],0)</f>
        <v>-14.715</v>
      </c>
      <c r="M1073">
        <f t="shared" si="179"/>
        <v>-9.81</v>
      </c>
      <c r="N1073">
        <f t="shared" si="180"/>
        <v>-0.19620000000000001</v>
      </c>
      <c r="O1073">
        <f t="shared" si="181"/>
        <v>-2.953186512088076</v>
      </c>
      <c r="P1073" s="1">
        <f t="shared" si="183"/>
        <v>52.336971990849527</v>
      </c>
      <c r="Q1073" s="1">
        <f t="shared" si="184"/>
        <v>-147.5612256044038</v>
      </c>
      <c r="R1073">
        <f>SQRT(Tabelle2[[#This Row],[vx]]*Tabelle2[[#This Row],[vx]]+Tabelle2[[#This Row],[vy]]*Tabelle2[[#This Row],[vy]])</f>
        <v>156.56779342842106</v>
      </c>
      <c r="S1073">
        <f t="shared" si="185"/>
        <v>1120.0112006041679</v>
      </c>
      <c r="T1073" s="1">
        <f t="shared" si="186"/>
        <v>-909.80200315358525</v>
      </c>
    </row>
    <row r="1074" spans="6:20" x14ac:dyDescent="0.35">
      <c r="F1074" s="1">
        <f t="shared" si="182"/>
        <v>21.419999999999632</v>
      </c>
      <c r="G1074">
        <f>1/2*$B$8*$B$6*$B$7*(Tabelle2[[#This Row],[vx]]*Tabelle2[[#This Row],[vx]]+Tabelle2[[#This Row],[vy]]*Tabelle2[[#This Row],[vy]])/1000000</f>
        <v>43.464833679140973</v>
      </c>
      <c r="H1074">
        <f>IF($B$3,-Tabelle2[[#This Row],[Fd]]*Tabelle2[[#This Row],[vx]]/Tabelle2[[#This Row],[v]],0)</f>
        <v>0</v>
      </c>
      <c r="I1074">
        <f t="shared" si="176"/>
        <v>0</v>
      </c>
      <c r="J1074">
        <f t="shared" si="177"/>
        <v>0</v>
      </c>
      <c r="K1074">
        <f t="shared" si="178"/>
        <v>1.0467394398169905</v>
      </c>
      <c r="L1074">
        <f>-$B$5*$B$12-IF($B$3,Tabelle2[[#This Row],[Fd]]*Tabelle2[[#This Row],[vy]]/Tabelle2[[#This Row],[v]],0)</f>
        <v>-14.715</v>
      </c>
      <c r="M1074">
        <f t="shared" si="179"/>
        <v>-9.81</v>
      </c>
      <c r="N1074">
        <f t="shared" si="180"/>
        <v>-0.19620000000000001</v>
      </c>
      <c r="O1074">
        <f t="shared" si="181"/>
        <v>-2.9571105120880761</v>
      </c>
      <c r="P1074" s="1">
        <f t="shared" si="183"/>
        <v>52.336971990849527</v>
      </c>
      <c r="Q1074" s="1">
        <f t="shared" si="184"/>
        <v>-147.75742560440381</v>
      </c>
      <c r="R1074">
        <f>SQRT(Tabelle2[[#This Row],[vx]]*Tabelle2[[#This Row],[vx]]+Tabelle2[[#This Row],[vy]]*Tabelle2[[#This Row],[vy]])</f>
        <v>156.75272073687236</v>
      </c>
      <c r="S1074">
        <f t="shared" si="185"/>
        <v>1121.0579400439849</v>
      </c>
      <c r="T1074" s="1">
        <f t="shared" si="186"/>
        <v>-912.75518966567336</v>
      </c>
    </row>
    <row r="1075" spans="6:20" x14ac:dyDescent="0.35">
      <c r="F1075" s="1">
        <f t="shared" si="182"/>
        <v>21.439999999999632</v>
      </c>
      <c r="G1075">
        <f>1/2*$B$8*$B$6*$B$7*(Tabelle2[[#This Row],[vx]]*Tabelle2[[#This Row],[vx]]+Tabelle2[[#This Row],[vy]]*Tabelle2[[#This Row],[vy]])/1000000</f>
        <v>43.567463697161031</v>
      </c>
      <c r="H1075">
        <f>IF($B$3,-Tabelle2[[#This Row],[Fd]]*Tabelle2[[#This Row],[vx]]/Tabelle2[[#This Row],[v]],0)</f>
        <v>0</v>
      </c>
      <c r="I1075">
        <f t="shared" si="176"/>
        <v>0</v>
      </c>
      <c r="J1075">
        <f t="shared" si="177"/>
        <v>0</v>
      </c>
      <c r="K1075">
        <f t="shared" si="178"/>
        <v>1.0467394398169905</v>
      </c>
      <c r="L1075">
        <f>-$B$5*$B$12-IF($B$3,Tabelle2[[#This Row],[Fd]]*Tabelle2[[#This Row],[vy]]/Tabelle2[[#This Row],[v]],0)</f>
        <v>-14.715</v>
      </c>
      <c r="M1075">
        <f t="shared" si="179"/>
        <v>-9.81</v>
      </c>
      <c r="N1075">
        <f t="shared" si="180"/>
        <v>-0.19620000000000001</v>
      </c>
      <c r="O1075">
        <f t="shared" si="181"/>
        <v>-2.9610345120880761</v>
      </c>
      <c r="P1075" s="1">
        <f t="shared" si="183"/>
        <v>52.336971990849527</v>
      </c>
      <c r="Q1075" s="1">
        <f t="shared" si="184"/>
        <v>-147.95362560440381</v>
      </c>
      <c r="R1075">
        <f>SQRT(Tabelle2[[#This Row],[vx]]*Tabelle2[[#This Row],[vx]]+Tabelle2[[#This Row],[vy]]*Tabelle2[[#This Row],[vy]])</f>
        <v>156.93767542135657</v>
      </c>
      <c r="S1075">
        <f t="shared" si="185"/>
        <v>1122.1046794838019</v>
      </c>
      <c r="T1075" s="1">
        <f t="shared" si="186"/>
        <v>-915.71230017776145</v>
      </c>
    </row>
    <row r="1076" spans="6:20" x14ac:dyDescent="0.35">
      <c r="F1076" s="1">
        <f t="shared" si="182"/>
        <v>21.459999999999631</v>
      </c>
      <c r="G1076">
        <f>1/2*$B$8*$B$6*$B$7*(Tabelle2[[#This Row],[vx]]*Tabelle2[[#This Row],[vx]]+Tabelle2[[#This Row],[vy]]*Tabelle2[[#This Row],[vy]])/1000000</f>
        <v>43.670229902242433</v>
      </c>
      <c r="H1076">
        <f>IF($B$3,-Tabelle2[[#This Row],[Fd]]*Tabelle2[[#This Row],[vx]]/Tabelle2[[#This Row],[v]],0)</f>
        <v>0</v>
      </c>
      <c r="I1076">
        <f t="shared" si="176"/>
        <v>0</v>
      </c>
      <c r="J1076">
        <f t="shared" si="177"/>
        <v>0</v>
      </c>
      <c r="K1076">
        <f t="shared" si="178"/>
        <v>1.0467394398169905</v>
      </c>
      <c r="L1076">
        <f>-$B$5*$B$12-IF($B$3,Tabelle2[[#This Row],[Fd]]*Tabelle2[[#This Row],[vy]]/Tabelle2[[#This Row],[v]],0)</f>
        <v>-14.715</v>
      </c>
      <c r="M1076">
        <f t="shared" si="179"/>
        <v>-9.81</v>
      </c>
      <c r="N1076">
        <f t="shared" si="180"/>
        <v>-0.19620000000000001</v>
      </c>
      <c r="O1076">
        <f t="shared" si="181"/>
        <v>-2.9649585120880761</v>
      </c>
      <c r="P1076" s="1">
        <f t="shared" si="183"/>
        <v>52.336971990849527</v>
      </c>
      <c r="Q1076" s="1">
        <f t="shared" si="184"/>
        <v>-148.14982560440382</v>
      </c>
      <c r="R1076">
        <f>SQRT(Tabelle2[[#This Row],[vx]]*Tabelle2[[#This Row],[vx]]+Tabelle2[[#This Row],[vy]]*Tabelle2[[#This Row],[vy]])</f>
        <v>157.12265738519773</v>
      </c>
      <c r="S1076">
        <f t="shared" si="185"/>
        <v>1123.1514189236188</v>
      </c>
      <c r="T1076" s="1">
        <f t="shared" si="186"/>
        <v>-918.67333468984953</v>
      </c>
    </row>
    <row r="1077" spans="6:20" x14ac:dyDescent="0.35">
      <c r="F1077" s="1">
        <f t="shared" si="182"/>
        <v>21.479999999999631</v>
      </c>
      <c r="G1077">
        <f>1/2*$B$8*$B$6*$B$7*(Tabelle2[[#This Row],[vx]]*Tabelle2[[#This Row],[vx]]+Tabelle2[[#This Row],[vy]]*Tabelle2[[#This Row],[vy]])/1000000</f>
        <v>43.773132294385171</v>
      </c>
      <c r="H1077">
        <f>IF($B$3,-Tabelle2[[#This Row],[Fd]]*Tabelle2[[#This Row],[vx]]/Tabelle2[[#This Row],[v]],0)</f>
        <v>0</v>
      </c>
      <c r="I1077">
        <f t="shared" si="176"/>
        <v>0</v>
      </c>
      <c r="J1077">
        <f t="shared" si="177"/>
        <v>0</v>
      </c>
      <c r="K1077">
        <f t="shared" si="178"/>
        <v>1.0467394398169905</v>
      </c>
      <c r="L1077">
        <f>-$B$5*$B$12-IF($B$3,Tabelle2[[#This Row],[Fd]]*Tabelle2[[#This Row],[vy]]/Tabelle2[[#This Row],[v]],0)</f>
        <v>-14.715</v>
      </c>
      <c r="M1077">
        <f t="shared" si="179"/>
        <v>-9.81</v>
      </c>
      <c r="N1077">
        <f t="shared" si="180"/>
        <v>-0.19620000000000001</v>
      </c>
      <c r="O1077">
        <f t="shared" si="181"/>
        <v>-2.9688825120880762</v>
      </c>
      <c r="P1077" s="1">
        <f t="shared" si="183"/>
        <v>52.336971990849527</v>
      </c>
      <c r="Q1077" s="1">
        <f t="shared" si="184"/>
        <v>-148.34602560440382</v>
      </c>
      <c r="R1077">
        <f>SQRT(Tabelle2[[#This Row],[vx]]*Tabelle2[[#This Row],[vx]]+Tabelle2[[#This Row],[vy]]*Tabelle2[[#This Row],[vy]])</f>
        <v>157.30766653216048</v>
      </c>
      <c r="S1077">
        <f t="shared" si="185"/>
        <v>1124.1981583634358</v>
      </c>
      <c r="T1077" s="1">
        <f t="shared" si="186"/>
        <v>-921.63829320193759</v>
      </c>
    </row>
    <row r="1078" spans="6:20" x14ac:dyDescent="0.35">
      <c r="F1078" s="1">
        <f t="shared" si="182"/>
        <v>21.499999999999631</v>
      </c>
      <c r="G1078">
        <f>1/2*$B$8*$B$6*$B$7*(Tabelle2[[#This Row],[vx]]*Tabelle2[[#This Row],[vx]]+Tabelle2[[#This Row],[vy]]*Tabelle2[[#This Row],[vy]])/1000000</f>
        <v>43.87617087358926</v>
      </c>
      <c r="H1078">
        <f>IF($B$3,-Tabelle2[[#This Row],[Fd]]*Tabelle2[[#This Row],[vx]]/Tabelle2[[#This Row],[v]],0)</f>
        <v>0</v>
      </c>
      <c r="I1078">
        <f t="shared" si="176"/>
        <v>0</v>
      </c>
      <c r="J1078">
        <f t="shared" si="177"/>
        <v>0</v>
      </c>
      <c r="K1078">
        <f t="shared" si="178"/>
        <v>1.0467394398169905</v>
      </c>
      <c r="L1078">
        <f>-$B$5*$B$12-IF($B$3,Tabelle2[[#This Row],[Fd]]*Tabelle2[[#This Row],[vy]]/Tabelle2[[#This Row],[v]],0)</f>
        <v>-14.715</v>
      </c>
      <c r="M1078">
        <f t="shared" si="179"/>
        <v>-9.81</v>
      </c>
      <c r="N1078">
        <f t="shared" si="180"/>
        <v>-0.19620000000000001</v>
      </c>
      <c r="O1078">
        <f t="shared" si="181"/>
        <v>-2.9728065120880762</v>
      </c>
      <c r="P1078" s="1">
        <f t="shared" si="183"/>
        <v>52.336971990849527</v>
      </c>
      <c r="Q1078" s="1">
        <f t="shared" si="184"/>
        <v>-148.54222560440382</v>
      </c>
      <c r="R1078">
        <f>SQRT(Tabelle2[[#This Row],[vx]]*Tabelle2[[#This Row],[vx]]+Tabelle2[[#This Row],[vy]]*Tabelle2[[#This Row],[vy]])</f>
        <v>157.49270276644748</v>
      </c>
      <c r="S1078">
        <f t="shared" si="185"/>
        <v>1125.2448978032528</v>
      </c>
      <c r="T1078" s="1">
        <f t="shared" si="186"/>
        <v>-924.60717571402563</v>
      </c>
    </row>
    <row r="1079" spans="6:20" x14ac:dyDescent="0.35">
      <c r="F1079" s="1">
        <f t="shared" si="182"/>
        <v>21.51999999999963</v>
      </c>
      <c r="G1079">
        <f>1/2*$B$8*$B$6*$B$7*(Tabelle2[[#This Row],[vx]]*Tabelle2[[#This Row],[vx]]+Tabelle2[[#This Row],[vy]]*Tabelle2[[#This Row],[vy]])/1000000</f>
        <v>43.979345639854692</v>
      </c>
      <c r="H1079">
        <f>IF($B$3,-Tabelle2[[#This Row],[Fd]]*Tabelle2[[#This Row],[vx]]/Tabelle2[[#This Row],[v]],0)</f>
        <v>0</v>
      </c>
      <c r="I1079">
        <f t="shared" si="176"/>
        <v>0</v>
      </c>
      <c r="J1079">
        <f t="shared" si="177"/>
        <v>0</v>
      </c>
      <c r="K1079">
        <f t="shared" si="178"/>
        <v>1.0467394398169905</v>
      </c>
      <c r="L1079">
        <f>-$B$5*$B$12-IF($B$3,Tabelle2[[#This Row],[Fd]]*Tabelle2[[#This Row],[vy]]/Tabelle2[[#This Row],[v]],0)</f>
        <v>-14.715</v>
      </c>
      <c r="M1079">
        <f t="shared" si="179"/>
        <v>-9.81</v>
      </c>
      <c r="N1079">
        <f t="shared" si="180"/>
        <v>-0.19620000000000001</v>
      </c>
      <c r="O1079">
        <f t="shared" si="181"/>
        <v>-2.9767305120880763</v>
      </c>
      <c r="P1079" s="1">
        <f t="shared" si="183"/>
        <v>52.336971990849527</v>
      </c>
      <c r="Q1079" s="1">
        <f t="shared" si="184"/>
        <v>-148.73842560440383</v>
      </c>
      <c r="R1079">
        <f>SQRT(Tabelle2[[#This Row],[vx]]*Tabelle2[[#This Row],[vx]]+Tabelle2[[#This Row],[vy]]*Tabelle2[[#This Row],[vy]])</f>
        <v>157.67776599269709</v>
      </c>
      <c r="S1079">
        <f t="shared" si="185"/>
        <v>1126.2916372430698</v>
      </c>
      <c r="T1079" s="1">
        <f t="shared" si="186"/>
        <v>-927.57998222611366</v>
      </c>
    </row>
    <row r="1080" spans="6:20" x14ac:dyDescent="0.35">
      <c r="F1080" s="1">
        <f t="shared" si="182"/>
        <v>21.53999999999963</v>
      </c>
      <c r="G1080">
        <f>1/2*$B$8*$B$6*$B$7*(Tabelle2[[#This Row],[vx]]*Tabelle2[[#This Row],[vx]]+Tabelle2[[#This Row],[vy]]*Tabelle2[[#This Row],[vy]])/1000000</f>
        <v>44.082656593181468</v>
      </c>
      <c r="H1080">
        <f>IF($B$3,-Tabelle2[[#This Row],[Fd]]*Tabelle2[[#This Row],[vx]]/Tabelle2[[#This Row],[v]],0)</f>
        <v>0</v>
      </c>
      <c r="I1080">
        <f t="shared" si="176"/>
        <v>0</v>
      </c>
      <c r="J1080">
        <f t="shared" si="177"/>
        <v>0</v>
      </c>
      <c r="K1080">
        <f t="shared" si="178"/>
        <v>1.0467394398169905</v>
      </c>
      <c r="L1080">
        <f>-$B$5*$B$12-IF($B$3,Tabelle2[[#This Row],[Fd]]*Tabelle2[[#This Row],[vy]]/Tabelle2[[#This Row],[v]],0)</f>
        <v>-14.715</v>
      </c>
      <c r="M1080">
        <f t="shared" si="179"/>
        <v>-9.81</v>
      </c>
      <c r="N1080">
        <f t="shared" si="180"/>
        <v>-0.19620000000000001</v>
      </c>
      <c r="O1080">
        <f t="shared" si="181"/>
        <v>-2.9806545120880763</v>
      </c>
      <c r="P1080" s="1">
        <f t="shared" si="183"/>
        <v>52.336971990849527</v>
      </c>
      <c r="Q1080" s="1">
        <f t="shared" si="184"/>
        <v>-148.93462560440383</v>
      </c>
      <c r="R1080">
        <f>SQRT(Tabelle2[[#This Row],[vx]]*Tabelle2[[#This Row],[vx]]+Tabelle2[[#This Row],[vy]]*Tabelle2[[#This Row],[vy]])</f>
        <v>157.86285611598097</v>
      </c>
      <c r="S1080">
        <f t="shared" si="185"/>
        <v>1127.3383766828867</v>
      </c>
      <c r="T1080" s="1">
        <f t="shared" si="186"/>
        <v>-930.55671273820178</v>
      </c>
    </row>
    <row r="1081" spans="6:20" x14ac:dyDescent="0.35">
      <c r="F1081" s="1">
        <f t="shared" si="182"/>
        <v>21.559999999999629</v>
      </c>
      <c r="G1081">
        <f>1/2*$B$8*$B$6*$B$7*(Tabelle2[[#This Row],[vx]]*Tabelle2[[#This Row],[vx]]+Tabelle2[[#This Row],[vy]]*Tabelle2[[#This Row],[vy]])/1000000</f>
        <v>44.186103733569595</v>
      </c>
      <c r="H1081">
        <f>IF($B$3,-Tabelle2[[#This Row],[Fd]]*Tabelle2[[#This Row],[vx]]/Tabelle2[[#This Row],[v]],0)</f>
        <v>0</v>
      </c>
      <c r="I1081">
        <f t="shared" si="176"/>
        <v>0</v>
      </c>
      <c r="J1081">
        <f t="shared" si="177"/>
        <v>0</v>
      </c>
      <c r="K1081">
        <f t="shared" si="178"/>
        <v>1.0467394398169905</v>
      </c>
      <c r="L1081">
        <f>-$B$5*$B$12-IF($B$3,Tabelle2[[#This Row],[Fd]]*Tabelle2[[#This Row],[vy]]/Tabelle2[[#This Row],[v]],0)</f>
        <v>-14.715</v>
      </c>
      <c r="M1081">
        <f t="shared" si="179"/>
        <v>-9.81</v>
      </c>
      <c r="N1081">
        <f t="shared" si="180"/>
        <v>-0.19620000000000001</v>
      </c>
      <c r="O1081">
        <f t="shared" si="181"/>
        <v>-2.9845785120880768</v>
      </c>
      <c r="P1081" s="1">
        <f t="shared" si="183"/>
        <v>52.336971990849527</v>
      </c>
      <c r="Q1081" s="1">
        <f t="shared" si="184"/>
        <v>-149.13082560440384</v>
      </c>
      <c r="R1081">
        <f>SQRT(Tabelle2[[#This Row],[vx]]*Tabelle2[[#This Row],[vx]]+Tabelle2[[#This Row],[vy]]*Tabelle2[[#This Row],[vy]])</f>
        <v>158.0479730418017</v>
      </c>
      <c r="S1081">
        <f t="shared" si="185"/>
        <v>1128.3851161227037</v>
      </c>
      <c r="T1081" s="1">
        <f t="shared" si="186"/>
        <v>-933.53736725028989</v>
      </c>
    </row>
    <row r="1082" spans="6:20" x14ac:dyDescent="0.35">
      <c r="F1082" s="1">
        <f t="shared" si="182"/>
        <v>21.579999999999629</v>
      </c>
      <c r="G1082">
        <f>1/2*$B$8*$B$6*$B$7*(Tabelle2[[#This Row],[vx]]*Tabelle2[[#This Row],[vx]]+Tabelle2[[#This Row],[vy]]*Tabelle2[[#This Row],[vy]])/1000000</f>
        <v>44.289687061019059</v>
      </c>
      <c r="H1082">
        <f>IF($B$3,-Tabelle2[[#This Row],[Fd]]*Tabelle2[[#This Row],[vx]]/Tabelle2[[#This Row],[v]],0)</f>
        <v>0</v>
      </c>
      <c r="I1082">
        <f t="shared" si="176"/>
        <v>0</v>
      </c>
      <c r="J1082">
        <f t="shared" si="177"/>
        <v>0</v>
      </c>
      <c r="K1082">
        <f t="shared" si="178"/>
        <v>1.0467394398169905</v>
      </c>
      <c r="L1082">
        <f>-$B$5*$B$12-IF($B$3,Tabelle2[[#This Row],[Fd]]*Tabelle2[[#This Row],[vy]]/Tabelle2[[#This Row],[v]],0)</f>
        <v>-14.715</v>
      </c>
      <c r="M1082">
        <f t="shared" si="179"/>
        <v>-9.81</v>
      </c>
      <c r="N1082">
        <f t="shared" si="180"/>
        <v>-0.19620000000000001</v>
      </c>
      <c r="O1082">
        <f t="shared" si="181"/>
        <v>-2.9885025120880768</v>
      </c>
      <c r="P1082" s="1">
        <f t="shared" si="183"/>
        <v>52.336971990849527</v>
      </c>
      <c r="Q1082" s="1">
        <f t="shared" si="184"/>
        <v>-149.32702560440384</v>
      </c>
      <c r="R1082">
        <f>SQRT(Tabelle2[[#This Row],[vx]]*Tabelle2[[#This Row],[vx]]+Tabelle2[[#This Row],[vy]]*Tabelle2[[#This Row],[vy]])</f>
        <v>158.23311667609045</v>
      </c>
      <c r="S1082">
        <f t="shared" si="185"/>
        <v>1129.4318555625207</v>
      </c>
      <c r="T1082" s="1">
        <f t="shared" si="186"/>
        <v>-936.52194576237798</v>
      </c>
    </row>
    <row r="1083" spans="6:20" x14ac:dyDescent="0.35">
      <c r="F1083" s="1">
        <f t="shared" si="182"/>
        <v>21.599999999999628</v>
      </c>
      <c r="G1083">
        <f>1/2*$B$8*$B$6*$B$7*(Tabelle2[[#This Row],[vx]]*Tabelle2[[#This Row],[vx]]+Tabelle2[[#This Row],[vy]]*Tabelle2[[#This Row],[vy]])/1000000</f>
        <v>44.393406575529859</v>
      </c>
      <c r="H1083">
        <f>IF($B$3,-Tabelle2[[#This Row],[Fd]]*Tabelle2[[#This Row],[vx]]/Tabelle2[[#This Row],[v]],0)</f>
        <v>0</v>
      </c>
      <c r="I1083">
        <f t="shared" si="176"/>
        <v>0</v>
      </c>
      <c r="J1083">
        <f t="shared" si="177"/>
        <v>0</v>
      </c>
      <c r="K1083">
        <f t="shared" si="178"/>
        <v>1.0467394398169905</v>
      </c>
      <c r="L1083">
        <f>-$B$5*$B$12-IF($B$3,Tabelle2[[#This Row],[Fd]]*Tabelle2[[#This Row],[vy]]/Tabelle2[[#This Row],[v]],0)</f>
        <v>-14.715</v>
      </c>
      <c r="M1083">
        <f t="shared" si="179"/>
        <v>-9.81</v>
      </c>
      <c r="N1083">
        <f t="shared" si="180"/>
        <v>-0.19620000000000001</v>
      </c>
      <c r="O1083">
        <f t="shared" si="181"/>
        <v>-2.9924265120880769</v>
      </c>
      <c r="P1083" s="1">
        <f t="shared" si="183"/>
        <v>52.336971990849527</v>
      </c>
      <c r="Q1083" s="1">
        <f t="shared" si="184"/>
        <v>-149.52322560440385</v>
      </c>
      <c r="R1083">
        <f>SQRT(Tabelle2[[#This Row],[vx]]*Tabelle2[[#This Row],[vx]]+Tabelle2[[#This Row],[vy]]*Tabelle2[[#This Row],[vy]])</f>
        <v>158.41828692520451</v>
      </c>
      <c r="S1083">
        <f t="shared" si="185"/>
        <v>1130.4785950023377</v>
      </c>
      <c r="T1083" s="1">
        <f t="shared" si="186"/>
        <v>-939.51044827446606</v>
      </c>
    </row>
    <row r="1084" spans="6:20" x14ac:dyDescent="0.35">
      <c r="F1084" s="1">
        <f t="shared" si="182"/>
        <v>21.619999999999628</v>
      </c>
      <c r="G1084">
        <f>1/2*$B$8*$B$6*$B$7*(Tabelle2[[#This Row],[vx]]*Tabelle2[[#This Row],[vx]]+Tabelle2[[#This Row],[vy]]*Tabelle2[[#This Row],[vy]])/1000000</f>
        <v>44.49726227710201</v>
      </c>
      <c r="H1084">
        <f>IF($B$3,-Tabelle2[[#This Row],[Fd]]*Tabelle2[[#This Row],[vx]]/Tabelle2[[#This Row],[v]],0)</f>
        <v>0</v>
      </c>
      <c r="I1084">
        <f t="shared" si="176"/>
        <v>0</v>
      </c>
      <c r="J1084">
        <f t="shared" si="177"/>
        <v>0</v>
      </c>
      <c r="K1084">
        <f t="shared" si="178"/>
        <v>1.0467394398169905</v>
      </c>
      <c r="L1084">
        <f>-$B$5*$B$12-IF($B$3,Tabelle2[[#This Row],[Fd]]*Tabelle2[[#This Row],[vy]]/Tabelle2[[#This Row],[v]],0)</f>
        <v>-14.715</v>
      </c>
      <c r="M1084">
        <f t="shared" si="179"/>
        <v>-9.81</v>
      </c>
      <c r="N1084">
        <f t="shared" si="180"/>
        <v>-0.19620000000000001</v>
      </c>
      <c r="O1084">
        <f t="shared" si="181"/>
        <v>-2.9963505120880769</v>
      </c>
      <c r="P1084" s="1">
        <f t="shared" si="183"/>
        <v>52.336971990849527</v>
      </c>
      <c r="Q1084" s="1">
        <f t="shared" si="184"/>
        <v>-149.71942560440385</v>
      </c>
      <c r="R1084">
        <f>SQRT(Tabelle2[[#This Row],[vx]]*Tabelle2[[#This Row],[vx]]+Tabelle2[[#This Row],[vy]]*Tabelle2[[#This Row],[vy]])</f>
        <v>158.60348369592512</v>
      </c>
      <c r="S1084">
        <f t="shared" si="185"/>
        <v>1131.5253344421546</v>
      </c>
      <c r="T1084" s="1">
        <f t="shared" si="186"/>
        <v>-942.50287478655412</v>
      </c>
    </row>
    <row r="1085" spans="6:20" x14ac:dyDescent="0.35">
      <c r="F1085" s="1">
        <f t="shared" si="182"/>
        <v>21.639999999999628</v>
      </c>
      <c r="G1085">
        <f>1/2*$B$8*$B$6*$B$7*(Tabelle2[[#This Row],[vx]]*Tabelle2[[#This Row],[vx]]+Tabelle2[[#This Row],[vy]]*Tabelle2[[#This Row],[vy]])/1000000</f>
        <v>44.601254165735504</v>
      </c>
      <c r="H1085">
        <f>IF($B$3,-Tabelle2[[#This Row],[Fd]]*Tabelle2[[#This Row],[vx]]/Tabelle2[[#This Row],[v]],0)</f>
        <v>0</v>
      </c>
      <c r="I1085">
        <f t="shared" si="176"/>
        <v>0</v>
      </c>
      <c r="J1085">
        <f t="shared" si="177"/>
        <v>0</v>
      </c>
      <c r="K1085">
        <f t="shared" si="178"/>
        <v>1.0467394398169905</v>
      </c>
      <c r="L1085">
        <f>-$B$5*$B$12-IF($B$3,Tabelle2[[#This Row],[Fd]]*Tabelle2[[#This Row],[vy]]/Tabelle2[[#This Row],[v]],0)</f>
        <v>-14.715</v>
      </c>
      <c r="M1085">
        <f t="shared" si="179"/>
        <v>-9.81</v>
      </c>
      <c r="N1085">
        <f t="shared" si="180"/>
        <v>-0.19620000000000001</v>
      </c>
      <c r="O1085">
        <f t="shared" si="181"/>
        <v>-3.0002745120880769</v>
      </c>
      <c r="P1085" s="1">
        <f t="shared" si="183"/>
        <v>52.336971990849527</v>
      </c>
      <c r="Q1085" s="1">
        <f t="shared" si="184"/>
        <v>-149.91562560440386</v>
      </c>
      <c r="R1085">
        <f>SQRT(Tabelle2[[#This Row],[vx]]*Tabelle2[[#This Row],[vx]]+Tabelle2[[#This Row],[vy]]*Tabelle2[[#This Row],[vy]])</f>
        <v>158.78870689545514</v>
      </c>
      <c r="S1085">
        <f t="shared" si="185"/>
        <v>1132.5720738819716</v>
      </c>
      <c r="T1085" s="1">
        <f t="shared" si="186"/>
        <v>-945.49922529864216</v>
      </c>
    </row>
    <row r="1086" spans="6:20" x14ac:dyDescent="0.35">
      <c r="F1086" s="1">
        <f t="shared" si="182"/>
        <v>21.659999999999627</v>
      </c>
      <c r="G1086">
        <f>1/2*$B$8*$B$6*$B$7*(Tabelle2[[#This Row],[vx]]*Tabelle2[[#This Row],[vx]]+Tabelle2[[#This Row],[vy]]*Tabelle2[[#This Row],[vy]])/1000000</f>
        <v>44.70538224143035</v>
      </c>
      <c r="H1086">
        <f>IF($B$3,-Tabelle2[[#This Row],[Fd]]*Tabelle2[[#This Row],[vx]]/Tabelle2[[#This Row],[v]],0)</f>
        <v>0</v>
      </c>
      <c r="I1086">
        <f t="shared" si="176"/>
        <v>0</v>
      </c>
      <c r="J1086">
        <f t="shared" si="177"/>
        <v>0</v>
      </c>
      <c r="K1086">
        <f t="shared" si="178"/>
        <v>1.0467394398169905</v>
      </c>
      <c r="L1086">
        <f>-$B$5*$B$12-IF($B$3,Tabelle2[[#This Row],[Fd]]*Tabelle2[[#This Row],[vy]]/Tabelle2[[#This Row],[v]],0)</f>
        <v>-14.715</v>
      </c>
      <c r="M1086">
        <f t="shared" si="179"/>
        <v>-9.81</v>
      </c>
      <c r="N1086">
        <f t="shared" si="180"/>
        <v>-0.19620000000000001</v>
      </c>
      <c r="O1086">
        <f t="shared" si="181"/>
        <v>-3.004198512088077</v>
      </c>
      <c r="P1086" s="1">
        <f t="shared" si="183"/>
        <v>52.336971990849527</v>
      </c>
      <c r="Q1086" s="1">
        <f t="shared" si="184"/>
        <v>-150.11182560440386</v>
      </c>
      <c r="R1086">
        <f>SQRT(Tabelle2[[#This Row],[vx]]*Tabelle2[[#This Row],[vx]]+Tabelle2[[#This Row],[vy]]*Tabelle2[[#This Row],[vy]])</f>
        <v>158.97395643141655</v>
      </c>
      <c r="S1086">
        <f t="shared" si="185"/>
        <v>1133.6188133217886</v>
      </c>
      <c r="T1086" s="1">
        <f t="shared" si="186"/>
        <v>-948.49949981073019</v>
      </c>
    </row>
    <row r="1087" spans="6:20" x14ac:dyDescent="0.35">
      <c r="F1087" s="1">
        <f t="shared" si="182"/>
        <v>21.679999999999627</v>
      </c>
      <c r="G1087">
        <f>1/2*$B$8*$B$6*$B$7*(Tabelle2[[#This Row],[vx]]*Tabelle2[[#This Row],[vx]]+Tabelle2[[#This Row],[vy]]*Tabelle2[[#This Row],[vy]])/1000000</f>
        <v>44.809646504186524</v>
      </c>
      <c r="H1087">
        <f>IF($B$3,-Tabelle2[[#This Row],[Fd]]*Tabelle2[[#This Row],[vx]]/Tabelle2[[#This Row],[v]],0)</f>
        <v>0</v>
      </c>
      <c r="I1087">
        <f t="shared" si="176"/>
        <v>0</v>
      </c>
      <c r="J1087">
        <f t="shared" si="177"/>
        <v>0</v>
      </c>
      <c r="K1087">
        <f t="shared" si="178"/>
        <v>1.0467394398169905</v>
      </c>
      <c r="L1087">
        <f>-$B$5*$B$12-IF($B$3,Tabelle2[[#This Row],[Fd]]*Tabelle2[[#This Row],[vy]]/Tabelle2[[#This Row],[v]],0)</f>
        <v>-14.715</v>
      </c>
      <c r="M1087">
        <f t="shared" si="179"/>
        <v>-9.81</v>
      </c>
      <c r="N1087">
        <f t="shared" si="180"/>
        <v>-0.19620000000000001</v>
      </c>
      <c r="O1087">
        <f t="shared" si="181"/>
        <v>-3.008122512088077</v>
      </c>
      <c r="P1087" s="1">
        <f t="shared" si="183"/>
        <v>52.336971990849527</v>
      </c>
      <c r="Q1087" s="1">
        <f t="shared" si="184"/>
        <v>-150.30802560440387</v>
      </c>
      <c r="R1087">
        <f>SQRT(Tabelle2[[#This Row],[vx]]*Tabelle2[[#This Row],[vx]]+Tabelle2[[#This Row],[vy]]*Tabelle2[[#This Row],[vy]])</f>
        <v>159.15923221184843</v>
      </c>
      <c r="S1087">
        <f t="shared" si="185"/>
        <v>1134.6655527616056</v>
      </c>
      <c r="T1087" s="1">
        <f t="shared" si="186"/>
        <v>-951.50369832281831</v>
      </c>
    </row>
    <row r="1088" spans="6:20" x14ac:dyDescent="0.35">
      <c r="F1088" s="1">
        <f t="shared" si="182"/>
        <v>21.699999999999626</v>
      </c>
      <c r="G1088">
        <f>1/2*$B$8*$B$6*$B$7*(Tabelle2[[#This Row],[vx]]*Tabelle2[[#This Row],[vx]]+Tabelle2[[#This Row],[vy]]*Tabelle2[[#This Row],[vy]])/1000000</f>
        <v>44.914046954004057</v>
      </c>
      <c r="H1088">
        <f>IF($B$3,-Tabelle2[[#This Row],[Fd]]*Tabelle2[[#This Row],[vx]]/Tabelle2[[#This Row],[v]],0)</f>
        <v>0</v>
      </c>
      <c r="I1088">
        <f t="shared" si="176"/>
        <v>0</v>
      </c>
      <c r="J1088">
        <f t="shared" si="177"/>
        <v>0</v>
      </c>
      <c r="K1088">
        <f t="shared" si="178"/>
        <v>1.0467394398169905</v>
      </c>
      <c r="L1088">
        <f>-$B$5*$B$12-IF($B$3,Tabelle2[[#This Row],[Fd]]*Tabelle2[[#This Row],[vy]]/Tabelle2[[#This Row],[v]],0)</f>
        <v>-14.715</v>
      </c>
      <c r="M1088">
        <f t="shared" si="179"/>
        <v>-9.81</v>
      </c>
      <c r="N1088">
        <f t="shared" si="180"/>
        <v>-0.19620000000000001</v>
      </c>
      <c r="O1088">
        <f t="shared" si="181"/>
        <v>-3.0120465120880771</v>
      </c>
      <c r="P1088" s="1">
        <f t="shared" si="183"/>
        <v>52.336971990849527</v>
      </c>
      <c r="Q1088" s="1">
        <f t="shared" si="184"/>
        <v>-150.50422560440387</v>
      </c>
      <c r="R1088">
        <f>SQRT(Tabelle2[[#This Row],[vx]]*Tabelle2[[#This Row],[vx]]+Tabelle2[[#This Row],[vy]]*Tabelle2[[#This Row],[vy]])</f>
        <v>159.34453414520456</v>
      </c>
      <c r="S1088">
        <f t="shared" si="185"/>
        <v>1135.7122922014225</v>
      </c>
      <c r="T1088" s="1">
        <f t="shared" si="186"/>
        <v>-954.51182083490642</v>
      </c>
    </row>
    <row r="1089" spans="6:20" x14ac:dyDescent="0.35">
      <c r="F1089" s="1">
        <f t="shared" si="182"/>
        <v>21.719999999999626</v>
      </c>
      <c r="G1089">
        <f>1/2*$B$8*$B$6*$B$7*(Tabelle2[[#This Row],[vx]]*Tabelle2[[#This Row],[vx]]+Tabelle2[[#This Row],[vy]]*Tabelle2[[#This Row],[vy]])/1000000</f>
        <v>45.018583590882933</v>
      </c>
      <c r="H1089">
        <f>IF($B$3,-Tabelle2[[#This Row],[Fd]]*Tabelle2[[#This Row],[vx]]/Tabelle2[[#This Row],[v]],0)</f>
        <v>0</v>
      </c>
      <c r="I1089">
        <f t="shared" si="176"/>
        <v>0</v>
      </c>
      <c r="J1089">
        <f t="shared" si="177"/>
        <v>0</v>
      </c>
      <c r="K1089">
        <f t="shared" si="178"/>
        <v>1.0467394398169905</v>
      </c>
      <c r="L1089">
        <f>-$B$5*$B$12-IF($B$3,Tabelle2[[#This Row],[Fd]]*Tabelle2[[#This Row],[vy]]/Tabelle2[[#This Row],[v]],0)</f>
        <v>-14.715</v>
      </c>
      <c r="M1089">
        <f t="shared" si="179"/>
        <v>-9.81</v>
      </c>
      <c r="N1089">
        <f t="shared" si="180"/>
        <v>-0.19620000000000001</v>
      </c>
      <c r="O1089">
        <f t="shared" si="181"/>
        <v>-3.0159705120880775</v>
      </c>
      <c r="P1089" s="1">
        <f t="shared" si="183"/>
        <v>52.336971990849527</v>
      </c>
      <c r="Q1089" s="1">
        <f t="shared" si="184"/>
        <v>-150.70042560440388</v>
      </c>
      <c r="R1089">
        <f>SQRT(Tabelle2[[#This Row],[vx]]*Tabelle2[[#This Row],[vx]]+Tabelle2[[#This Row],[vy]]*Tabelle2[[#This Row],[vy]])</f>
        <v>159.52986214035113</v>
      </c>
      <c r="S1089">
        <f t="shared" si="185"/>
        <v>1136.7590316412395</v>
      </c>
      <c r="T1089" s="1">
        <f t="shared" si="186"/>
        <v>-957.52386734699451</v>
      </c>
    </row>
    <row r="1090" spans="6:20" x14ac:dyDescent="0.35">
      <c r="F1090" s="1">
        <f t="shared" si="182"/>
        <v>21.739999999999625</v>
      </c>
      <c r="G1090">
        <f>1/2*$B$8*$B$6*$B$7*(Tabelle2[[#This Row],[vx]]*Tabelle2[[#This Row],[vx]]+Tabelle2[[#This Row],[vy]]*Tabelle2[[#This Row],[vy]])/1000000</f>
        <v>45.123256414823146</v>
      </c>
      <c r="H1090">
        <f>IF($B$3,-Tabelle2[[#This Row],[Fd]]*Tabelle2[[#This Row],[vx]]/Tabelle2[[#This Row],[v]],0)</f>
        <v>0</v>
      </c>
      <c r="I1090">
        <f t="shared" si="176"/>
        <v>0</v>
      </c>
      <c r="J1090">
        <f t="shared" si="177"/>
        <v>0</v>
      </c>
      <c r="K1090">
        <f t="shared" si="178"/>
        <v>1.0467394398169905</v>
      </c>
      <c r="L1090">
        <f>-$B$5*$B$12-IF($B$3,Tabelle2[[#This Row],[Fd]]*Tabelle2[[#This Row],[vy]]/Tabelle2[[#This Row],[v]],0)</f>
        <v>-14.715</v>
      </c>
      <c r="M1090">
        <f t="shared" si="179"/>
        <v>-9.81</v>
      </c>
      <c r="N1090">
        <f t="shared" si="180"/>
        <v>-0.19620000000000001</v>
      </c>
      <c r="O1090">
        <f t="shared" si="181"/>
        <v>-3.0198945120880776</v>
      </c>
      <c r="P1090" s="1">
        <f t="shared" si="183"/>
        <v>52.336971990849527</v>
      </c>
      <c r="Q1090" s="1">
        <f t="shared" si="184"/>
        <v>-150.89662560440388</v>
      </c>
      <c r="R1090">
        <f>SQRT(Tabelle2[[#This Row],[vx]]*Tabelle2[[#This Row],[vx]]+Tabelle2[[#This Row],[vy]]*Tabelle2[[#This Row],[vy]])</f>
        <v>159.7152161065645</v>
      </c>
      <c r="S1090">
        <f t="shared" si="185"/>
        <v>1137.8057710810565</v>
      </c>
      <c r="T1090" s="1">
        <f t="shared" si="186"/>
        <v>-960.53983785908258</v>
      </c>
    </row>
    <row r="1091" spans="6:20" x14ac:dyDescent="0.35">
      <c r="F1091" s="1">
        <f t="shared" si="182"/>
        <v>21.759999999999625</v>
      </c>
      <c r="G1091">
        <f>1/2*$B$8*$B$6*$B$7*(Tabelle2[[#This Row],[vx]]*Tabelle2[[#This Row],[vx]]+Tabelle2[[#This Row],[vy]]*Tabelle2[[#This Row],[vy]])/1000000</f>
        <v>45.228065425824703</v>
      </c>
      <c r="H1091">
        <f>IF($B$3,-Tabelle2[[#This Row],[Fd]]*Tabelle2[[#This Row],[vx]]/Tabelle2[[#This Row],[v]],0)</f>
        <v>0</v>
      </c>
      <c r="I1091">
        <f t="shared" ref="I1091:I1154" si="187">H1091/$B$5</f>
        <v>0</v>
      </c>
      <c r="J1091">
        <f t="shared" ref="J1091:J1154" si="188">I1091*$B$13</f>
        <v>0</v>
      </c>
      <c r="K1091">
        <f t="shared" ref="K1091:K1154" si="189">$B$13*(P1091+J1091/2)</f>
        <v>1.0467394398169905</v>
      </c>
      <c r="L1091">
        <f>-$B$5*$B$12-IF($B$3,Tabelle2[[#This Row],[Fd]]*Tabelle2[[#This Row],[vy]]/Tabelle2[[#This Row],[v]],0)</f>
        <v>-14.715</v>
      </c>
      <c r="M1091">
        <f t="shared" ref="M1091:M1154" si="190">L1091/$B$5</f>
        <v>-9.81</v>
      </c>
      <c r="N1091">
        <f t="shared" ref="N1091:N1154" si="191">M1091*$B$13</f>
        <v>-0.19620000000000001</v>
      </c>
      <c r="O1091">
        <f t="shared" ref="O1091:O1154" si="192">$B$13*(Q1091+N1091/2)</f>
        <v>-3.0238185120880776</v>
      </c>
      <c r="P1091" s="1">
        <f t="shared" si="183"/>
        <v>52.336971990849527</v>
      </c>
      <c r="Q1091" s="1">
        <f t="shared" si="184"/>
        <v>-151.09282560440388</v>
      </c>
      <c r="R1091">
        <f>SQRT(Tabelle2[[#This Row],[vx]]*Tabelle2[[#This Row],[vx]]+Tabelle2[[#This Row],[vy]]*Tabelle2[[#This Row],[vy]])</f>
        <v>159.90059595352912</v>
      </c>
      <c r="S1091">
        <f t="shared" si="185"/>
        <v>1138.8525105208735</v>
      </c>
      <c r="T1091" s="1">
        <f t="shared" si="186"/>
        <v>-963.55973237117064</v>
      </c>
    </row>
    <row r="1092" spans="6:20" x14ac:dyDescent="0.35">
      <c r="F1092" s="1">
        <f t="shared" ref="F1092:F1155" si="193">F1091+$B$13</f>
        <v>21.779999999999625</v>
      </c>
      <c r="G1092">
        <f>1/2*$B$8*$B$6*$B$7*(Tabelle2[[#This Row],[vx]]*Tabelle2[[#This Row],[vx]]+Tabelle2[[#This Row],[vy]]*Tabelle2[[#This Row],[vy]])/1000000</f>
        <v>45.333010623887603</v>
      </c>
      <c r="H1092">
        <f>IF($B$3,-Tabelle2[[#This Row],[Fd]]*Tabelle2[[#This Row],[vx]]/Tabelle2[[#This Row],[v]],0)</f>
        <v>0</v>
      </c>
      <c r="I1092">
        <f t="shared" si="187"/>
        <v>0</v>
      </c>
      <c r="J1092">
        <f t="shared" si="188"/>
        <v>0</v>
      </c>
      <c r="K1092">
        <f t="shared" si="189"/>
        <v>1.0467394398169905</v>
      </c>
      <c r="L1092">
        <f>-$B$5*$B$12-IF($B$3,Tabelle2[[#This Row],[Fd]]*Tabelle2[[#This Row],[vy]]/Tabelle2[[#This Row],[v]],0)</f>
        <v>-14.715</v>
      </c>
      <c r="M1092">
        <f t="shared" si="190"/>
        <v>-9.81</v>
      </c>
      <c r="N1092">
        <f t="shared" si="191"/>
        <v>-0.19620000000000001</v>
      </c>
      <c r="O1092">
        <f t="shared" si="192"/>
        <v>-3.0277425120880777</v>
      </c>
      <c r="P1092" s="1">
        <f t="shared" ref="P1092:P1155" si="194">P1091+J1091</f>
        <v>52.336971990849527</v>
      </c>
      <c r="Q1092" s="1">
        <f t="shared" ref="Q1092:Q1155" si="195">Q1091+N1091</f>
        <v>-151.28902560440389</v>
      </c>
      <c r="R1092">
        <f>SQRT(Tabelle2[[#This Row],[vx]]*Tabelle2[[#This Row],[vx]]+Tabelle2[[#This Row],[vy]]*Tabelle2[[#This Row],[vy]])</f>
        <v>160.0860015913351</v>
      </c>
      <c r="S1092">
        <f t="shared" ref="S1092:S1155" si="196">S1091+K1091</f>
        <v>1139.8992499606904</v>
      </c>
      <c r="T1092" s="1">
        <f t="shared" ref="T1092:T1155" si="197">T1091+O1091</f>
        <v>-966.58355088325868</v>
      </c>
    </row>
    <row r="1093" spans="6:20" x14ac:dyDescent="0.35">
      <c r="F1093" s="1">
        <f t="shared" si="193"/>
        <v>21.799999999999624</v>
      </c>
      <c r="G1093">
        <f>1/2*$B$8*$B$6*$B$7*(Tabelle2[[#This Row],[vx]]*Tabelle2[[#This Row],[vx]]+Tabelle2[[#This Row],[vy]]*Tabelle2[[#This Row],[vy]])/1000000</f>
        <v>45.438092009011861</v>
      </c>
      <c r="H1093">
        <f>IF($B$3,-Tabelle2[[#This Row],[Fd]]*Tabelle2[[#This Row],[vx]]/Tabelle2[[#This Row],[v]],0)</f>
        <v>0</v>
      </c>
      <c r="I1093">
        <f t="shared" si="187"/>
        <v>0</v>
      </c>
      <c r="J1093">
        <f t="shared" si="188"/>
        <v>0</v>
      </c>
      <c r="K1093">
        <f t="shared" si="189"/>
        <v>1.0467394398169905</v>
      </c>
      <c r="L1093">
        <f>-$B$5*$B$12-IF($B$3,Tabelle2[[#This Row],[Fd]]*Tabelle2[[#This Row],[vy]]/Tabelle2[[#This Row],[v]],0)</f>
        <v>-14.715</v>
      </c>
      <c r="M1093">
        <f t="shared" si="190"/>
        <v>-9.81</v>
      </c>
      <c r="N1093">
        <f t="shared" si="191"/>
        <v>-0.19620000000000001</v>
      </c>
      <c r="O1093">
        <f t="shared" si="192"/>
        <v>-3.0316665120880777</v>
      </c>
      <c r="P1093" s="1">
        <f t="shared" si="194"/>
        <v>52.336971990849527</v>
      </c>
      <c r="Q1093" s="1">
        <f t="shared" si="195"/>
        <v>-151.48522560440389</v>
      </c>
      <c r="R1093">
        <f>SQRT(Tabelle2[[#This Row],[vx]]*Tabelle2[[#This Row],[vx]]+Tabelle2[[#This Row],[vy]]*Tabelle2[[#This Row],[vy]])</f>
        <v>160.27143293047615</v>
      </c>
      <c r="S1093">
        <f t="shared" si="196"/>
        <v>1140.9459894005074</v>
      </c>
      <c r="T1093" s="1">
        <f t="shared" si="197"/>
        <v>-969.61129339534671</v>
      </c>
    </row>
    <row r="1094" spans="6:20" x14ac:dyDescent="0.35">
      <c r="F1094" s="1">
        <f t="shared" si="193"/>
        <v>21.819999999999624</v>
      </c>
      <c r="G1094">
        <f>1/2*$B$8*$B$6*$B$7*(Tabelle2[[#This Row],[vx]]*Tabelle2[[#This Row],[vx]]+Tabelle2[[#This Row],[vy]]*Tabelle2[[#This Row],[vy]])/1000000</f>
        <v>45.543309581197448</v>
      </c>
      <c r="H1094">
        <f>IF($B$3,-Tabelle2[[#This Row],[Fd]]*Tabelle2[[#This Row],[vx]]/Tabelle2[[#This Row],[v]],0)</f>
        <v>0</v>
      </c>
      <c r="I1094">
        <f t="shared" si="187"/>
        <v>0</v>
      </c>
      <c r="J1094">
        <f t="shared" si="188"/>
        <v>0</v>
      </c>
      <c r="K1094">
        <f t="shared" si="189"/>
        <v>1.0467394398169905</v>
      </c>
      <c r="L1094">
        <f>-$B$5*$B$12-IF($B$3,Tabelle2[[#This Row],[Fd]]*Tabelle2[[#This Row],[vy]]/Tabelle2[[#This Row],[v]],0)</f>
        <v>-14.715</v>
      </c>
      <c r="M1094">
        <f t="shared" si="190"/>
        <v>-9.81</v>
      </c>
      <c r="N1094">
        <f t="shared" si="191"/>
        <v>-0.19620000000000001</v>
      </c>
      <c r="O1094">
        <f t="shared" si="192"/>
        <v>-3.0355905120880777</v>
      </c>
      <c r="P1094" s="1">
        <f t="shared" si="194"/>
        <v>52.336971990849527</v>
      </c>
      <c r="Q1094" s="1">
        <f t="shared" si="195"/>
        <v>-151.6814256044039</v>
      </c>
      <c r="R1094">
        <f>SQRT(Tabelle2[[#This Row],[vx]]*Tabelle2[[#This Row],[vx]]+Tabelle2[[#This Row],[vy]]*Tabelle2[[#This Row],[vy]])</f>
        <v>160.45688988184733</v>
      </c>
      <c r="S1094">
        <f t="shared" si="196"/>
        <v>1141.9927288403244</v>
      </c>
      <c r="T1094" s="1">
        <f t="shared" si="197"/>
        <v>-972.64295990743483</v>
      </c>
    </row>
    <row r="1095" spans="6:20" x14ac:dyDescent="0.35">
      <c r="F1095" s="1">
        <f t="shared" si="193"/>
        <v>21.839999999999623</v>
      </c>
      <c r="G1095">
        <f>1/2*$B$8*$B$6*$B$7*(Tabelle2[[#This Row],[vx]]*Tabelle2[[#This Row],[vx]]+Tabelle2[[#This Row],[vy]]*Tabelle2[[#This Row],[vy]])/1000000</f>
        <v>45.648663340444386</v>
      </c>
      <c r="H1095">
        <f>IF($B$3,-Tabelle2[[#This Row],[Fd]]*Tabelle2[[#This Row],[vx]]/Tabelle2[[#This Row],[v]],0)</f>
        <v>0</v>
      </c>
      <c r="I1095">
        <f t="shared" si="187"/>
        <v>0</v>
      </c>
      <c r="J1095">
        <f t="shared" si="188"/>
        <v>0</v>
      </c>
      <c r="K1095">
        <f t="shared" si="189"/>
        <v>1.0467394398169905</v>
      </c>
      <c r="L1095">
        <f>-$B$5*$B$12-IF($B$3,Tabelle2[[#This Row],[Fd]]*Tabelle2[[#This Row],[vy]]/Tabelle2[[#This Row],[v]],0)</f>
        <v>-14.715</v>
      </c>
      <c r="M1095">
        <f t="shared" si="190"/>
        <v>-9.81</v>
      </c>
      <c r="N1095">
        <f t="shared" si="191"/>
        <v>-0.19620000000000001</v>
      </c>
      <c r="O1095">
        <f t="shared" si="192"/>
        <v>-3.0395145120880778</v>
      </c>
      <c r="P1095" s="1">
        <f t="shared" si="194"/>
        <v>52.336971990849527</v>
      </c>
      <c r="Q1095" s="1">
        <f t="shared" si="195"/>
        <v>-151.8776256044039</v>
      </c>
      <c r="R1095">
        <f>SQRT(Tabelle2[[#This Row],[vx]]*Tabelle2[[#This Row],[vx]]+Tabelle2[[#This Row],[vy]]*Tabelle2[[#This Row],[vy]])</f>
        <v>160.64237235674295</v>
      </c>
      <c r="S1095">
        <f t="shared" si="196"/>
        <v>1143.0394682801414</v>
      </c>
      <c r="T1095" s="1">
        <f t="shared" si="197"/>
        <v>-975.67855041952294</v>
      </c>
    </row>
    <row r="1096" spans="6:20" x14ac:dyDescent="0.35">
      <c r="F1096" s="1">
        <f t="shared" si="193"/>
        <v>21.859999999999623</v>
      </c>
      <c r="G1096">
        <f>1/2*$B$8*$B$6*$B$7*(Tabelle2[[#This Row],[vx]]*Tabelle2[[#This Row],[vx]]+Tabelle2[[#This Row],[vy]]*Tabelle2[[#This Row],[vy]])/1000000</f>
        <v>45.754153286752661</v>
      </c>
      <c r="H1096">
        <f>IF($B$3,-Tabelle2[[#This Row],[Fd]]*Tabelle2[[#This Row],[vx]]/Tabelle2[[#This Row],[v]],0)</f>
        <v>0</v>
      </c>
      <c r="I1096">
        <f t="shared" si="187"/>
        <v>0</v>
      </c>
      <c r="J1096">
        <f t="shared" si="188"/>
        <v>0</v>
      </c>
      <c r="K1096">
        <f t="shared" si="189"/>
        <v>1.0467394398169905</v>
      </c>
      <c r="L1096">
        <f>-$B$5*$B$12-IF($B$3,Tabelle2[[#This Row],[Fd]]*Tabelle2[[#This Row],[vy]]/Tabelle2[[#This Row],[v]],0)</f>
        <v>-14.715</v>
      </c>
      <c r="M1096">
        <f t="shared" si="190"/>
        <v>-9.81</v>
      </c>
      <c r="N1096">
        <f t="shared" si="191"/>
        <v>-0.19620000000000001</v>
      </c>
      <c r="O1096">
        <f t="shared" si="192"/>
        <v>-3.0434385120880778</v>
      </c>
      <c r="P1096" s="1">
        <f t="shared" si="194"/>
        <v>52.336971990849527</v>
      </c>
      <c r="Q1096" s="1">
        <f t="shared" si="195"/>
        <v>-152.07382560440391</v>
      </c>
      <c r="R1096">
        <f>SQRT(Tabelle2[[#This Row],[vx]]*Tabelle2[[#This Row],[vx]]+Tabelle2[[#This Row],[vy]]*Tabelle2[[#This Row],[vy]])</f>
        <v>160.82788026685429</v>
      </c>
      <c r="S1096">
        <f t="shared" si="196"/>
        <v>1144.0862077199583</v>
      </c>
      <c r="T1096" s="1">
        <f t="shared" si="197"/>
        <v>-978.71806493161102</v>
      </c>
    </row>
    <row r="1097" spans="6:20" x14ac:dyDescent="0.35">
      <c r="F1097" s="1">
        <f t="shared" si="193"/>
        <v>21.879999999999622</v>
      </c>
      <c r="G1097">
        <f>1/2*$B$8*$B$6*$B$7*(Tabelle2[[#This Row],[vx]]*Tabelle2[[#This Row],[vx]]+Tabelle2[[#This Row],[vy]]*Tabelle2[[#This Row],[vy]])/1000000</f>
        <v>45.85977942012228</v>
      </c>
      <c r="H1097">
        <f>IF($B$3,-Tabelle2[[#This Row],[Fd]]*Tabelle2[[#This Row],[vx]]/Tabelle2[[#This Row],[v]],0)</f>
        <v>0</v>
      </c>
      <c r="I1097">
        <f t="shared" si="187"/>
        <v>0</v>
      </c>
      <c r="J1097">
        <f t="shared" si="188"/>
        <v>0</v>
      </c>
      <c r="K1097">
        <f t="shared" si="189"/>
        <v>1.0467394398169905</v>
      </c>
      <c r="L1097">
        <f>-$B$5*$B$12-IF($B$3,Tabelle2[[#This Row],[Fd]]*Tabelle2[[#This Row],[vy]]/Tabelle2[[#This Row],[v]],0)</f>
        <v>-14.715</v>
      </c>
      <c r="M1097">
        <f t="shared" si="190"/>
        <v>-9.81</v>
      </c>
      <c r="N1097">
        <f t="shared" si="191"/>
        <v>-0.19620000000000001</v>
      </c>
      <c r="O1097">
        <f t="shared" si="192"/>
        <v>-3.0473625120880783</v>
      </c>
      <c r="P1097" s="1">
        <f t="shared" si="194"/>
        <v>52.336971990849527</v>
      </c>
      <c r="Q1097" s="1">
        <f t="shared" si="195"/>
        <v>-152.27002560440391</v>
      </c>
      <c r="R1097">
        <f>SQRT(Tabelle2[[#This Row],[vx]]*Tabelle2[[#This Row],[vx]]+Tabelle2[[#This Row],[vy]]*Tabelle2[[#This Row],[vy]])</f>
        <v>161.01341352426758</v>
      </c>
      <c r="S1097">
        <f t="shared" si="196"/>
        <v>1145.1329471597753</v>
      </c>
      <c r="T1097" s="1">
        <f t="shared" si="197"/>
        <v>-981.7615034436991</v>
      </c>
    </row>
    <row r="1098" spans="6:20" x14ac:dyDescent="0.35">
      <c r="F1098" s="1">
        <f t="shared" si="193"/>
        <v>21.899999999999622</v>
      </c>
      <c r="G1098">
        <f>1/2*$B$8*$B$6*$B$7*(Tabelle2[[#This Row],[vx]]*Tabelle2[[#This Row],[vx]]+Tabelle2[[#This Row],[vy]]*Tabelle2[[#This Row],[vy]])/1000000</f>
        <v>45.965541740553249</v>
      </c>
      <c r="H1098">
        <f>IF($B$3,-Tabelle2[[#This Row],[Fd]]*Tabelle2[[#This Row],[vx]]/Tabelle2[[#This Row],[v]],0)</f>
        <v>0</v>
      </c>
      <c r="I1098">
        <f t="shared" si="187"/>
        <v>0</v>
      </c>
      <c r="J1098">
        <f t="shared" si="188"/>
        <v>0</v>
      </c>
      <c r="K1098">
        <f t="shared" si="189"/>
        <v>1.0467394398169905</v>
      </c>
      <c r="L1098">
        <f>-$B$5*$B$12-IF($B$3,Tabelle2[[#This Row],[Fd]]*Tabelle2[[#This Row],[vy]]/Tabelle2[[#This Row],[v]],0)</f>
        <v>-14.715</v>
      </c>
      <c r="M1098">
        <f t="shared" si="190"/>
        <v>-9.81</v>
      </c>
      <c r="N1098">
        <f t="shared" si="191"/>
        <v>-0.19620000000000001</v>
      </c>
      <c r="O1098">
        <f t="shared" si="192"/>
        <v>-3.0512865120880783</v>
      </c>
      <c r="P1098" s="1">
        <f t="shared" si="194"/>
        <v>52.336971990849527</v>
      </c>
      <c r="Q1098" s="1">
        <f t="shared" si="195"/>
        <v>-152.46622560440392</v>
      </c>
      <c r="R1098">
        <f>SQRT(Tabelle2[[#This Row],[vx]]*Tabelle2[[#This Row],[vx]]+Tabelle2[[#This Row],[vy]]*Tabelle2[[#This Row],[vy]])</f>
        <v>161.19897204146173</v>
      </c>
      <c r="S1098">
        <f t="shared" si="196"/>
        <v>1146.1796865995923</v>
      </c>
      <c r="T1098" s="1">
        <f t="shared" si="197"/>
        <v>-984.80886595578716</v>
      </c>
    </row>
    <row r="1099" spans="6:20" x14ac:dyDescent="0.35">
      <c r="F1099" s="1">
        <f t="shared" si="193"/>
        <v>21.919999999999622</v>
      </c>
      <c r="G1099">
        <f>1/2*$B$8*$B$6*$B$7*(Tabelle2[[#This Row],[vx]]*Tabelle2[[#This Row],[vx]]+Tabelle2[[#This Row],[vy]]*Tabelle2[[#This Row],[vy]])/1000000</f>
        <v>46.071440248045562</v>
      </c>
      <c r="H1099">
        <f>IF($B$3,-Tabelle2[[#This Row],[Fd]]*Tabelle2[[#This Row],[vx]]/Tabelle2[[#This Row],[v]],0)</f>
        <v>0</v>
      </c>
      <c r="I1099">
        <f t="shared" si="187"/>
        <v>0</v>
      </c>
      <c r="J1099">
        <f t="shared" si="188"/>
        <v>0</v>
      </c>
      <c r="K1099">
        <f t="shared" si="189"/>
        <v>1.0467394398169905</v>
      </c>
      <c r="L1099">
        <f>-$B$5*$B$12-IF($B$3,Tabelle2[[#This Row],[Fd]]*Tabelle2[[#This Row],[vy]]/Tabelle2[[#This Row],[v]],0)</f>
        <v>-14.715</v>
      </c>
      <c r="M1099">
        <f t="shared" si="190"/>
        <v>-9.81</v>
      </c>
      <c r="N1099">
        <f t="shared" si="191"/>
        <v>-0.19620000000000001</v>
      </c>
      <c r="O1099">
        <f t="shared" si="192"/>
        <v>-3.0552105120880784</v>
      </c>
      <c r="P1099" s="1">
        <f t="shared" si="194"/>
        <v>52.336971990849527</v>
      </c>
      <c r="Q1099" s="1">
        <f t="shared" si="195"/>
        <v>-152.66242560440392</v>
      </c>
      <c r="R1099">
        <f>SQRT(Tabelle2[[#This Row],[vx]]*Tabelle2[[#This Row],[vx]]+Tabelle2[[#This Row],[vy]]*Tabelle2[[#This Row],[vy]])</f>
        <v>161.38455573130636</v>
      </c>
      <c r="S1099">
        <f t="shared" si="196"/>
        <v>1147.2264260394093</v>
      </c>
      <c r="T1099" s="1">
        <f t="shared" si="197"/>
        <v>-987.8601524678752</v>
      </c>
    </row>
    <row r="1100" spans="6:20" x14ac:dyDescent="0.35">
      <c r="F1100" s="1">
        <f t="shared" si="193"/>
        <v>21.939999999999621</v>
      </c>
      <c r="G1100">
        <f>1/2*$B$8*$B$6*$B$7*(Tabelle2[[#This Row],[vx]]*Tabelle2[[#This Row],[vx]]+Tabelle2[[#This Row],[vy]]*Tabelle2[[#This Row],[vy]])/1000000</f>
        <v>46.177474942599225</v>
      </c>
      <c r="H1100">
        <f>IF($B$3,-Tabelle2[[#This Row],[Fd]]*Tabelle2[[#This Row],[vx]]/Tabelle2[[#This Row],[v]],0)</f>
        <v>0</v>
      </c>
      <c r="I1100">
        <f t="shared" si="187"/>
        <v>0</v>
      </c>
      <c r="J1100">
        <f t="shared" si="188"/>
        <v>0</v>
      </c>
      <c r="K1100">
        <f t="shared" si="189"/>
        <v>1.0467394398169905</v>
      </c>
      <c r="L1100">
        <f>-$B$5*$B$12-IF($B$3,Tabelle2[[#This Row],[Fd]]*Tabelle2[[#This Row],[vy]]/Tabelle2[[#This Row],[v]],0)</f>
        <v>-14.715</v>
      </c>
      <c r="M1100">
        <f t="shared" si="190"/>
        <v>-9.81</v>
      </c>
      <c r="N1100">
        <f t="shared" si="191"/>
        <v>-0.19620000000000001</v>
      </c>
      <c r="O1100">
        <f t="shared" si="192"/>
        <v>-3.0591345120880784</v>
      </c>
      <c r="P1100" s="1">
        <f t="shared" si="194"/>
        <v>52.336971990849527</v>
      </c>
      <c r="Q1100" s="1">
        <f t="shared" si="195"/>
        <v>-152.85862560440393</v>
      </c>
      <c r="R1100">
        <f>SQRT(Tabelle2[[#This Row],[vx]]*Tabelle2[[#This Row],[vx]]+Tabelle2[[#This Row],[vy]]*Tabelle2[[#This Row],[vy]])</f>
        <v>161.57016450705959</v>
      </c>
      <c r="S1100">
        <f t="shared" si="196"/>
        <v>1148.2731654792262</v>
      </c>
      <c r="T1100" s="1">
        <f t="shared" si="197"/>
        <v>-990.91536297996322</v>
      </c>
    </row>
    <row r="1101" spans="6:20" x14ac:dyDescent="0.35">
      <c r="F1101" s="1">
        <f t="shared" si="193"/>
        <v>21.959999999999621</v>
      </c>
      <c r="G1101">
        <f>1/2*$B$8*$B$6*$B$7*(Tabelle2[[#This Row],[vx]]*Tabelle2[[#This Row],[vx]]+Tabelle2[[#This Row],[vy]]*Tabelle2[[#This Row],[vy]])/1000000</f>
        <v>46.283645824214219</v>
      </c>
      <c r="H1101">
        <f>IF($B$3,-Tabelle2[[#This Row],[Fd]]*Tabelle2[[#This Row],[vx]]/Tabelle2[[#This Row],[v]],0)</f>
        <v>0</v>
      </c>
      <c r="I1101">
        <f t="shared" si="187"/>
        <v>0</v>
      </c>
      <c r="J1101">
        <f t="shared" si="188"/>
        <v>0</v>
      </c>
      <c r="K1101">
        <f t="shared" si="189"/>
        <v>1.0467394398169905</v>
      </c>
      <c r="L1101">
        <f>-$B$5*$B$12-IF($B$3,Tabelle2[[#This Row],[Fd]]*Tabelle2[[#This Row],[vy]]/Tabelle2[[#This Row],[v]],0)</f>
        <v>-14.715</v>
      </c>
      <c r="M1101">
        <f t="shared" si="190"/>
        <v>-9.81</v>
      </c>
      <c r="N1101">
        <f t="shared" si="191"/>
        <v>-0.19620000000000001</v>
      </c>
      <c r="O1101">
        <f t="shared" si="192"/>
        <v>-3.0630585120880784</v>
      </c>
      <c r="P1101" s="1">
        <f t="shared" si="194"/>
        <v>52.336971990849527</v>
      </c>
      <c r="Q1101" s="1">
        <f t="shared" si="195"/>
        <v>-153.05482560440393</v>
      </c>
      <c r="R1101">
        <f>SQRT(Tabelle2[[#This Row],[vx]]*Tabelle2[[#This Row],[vx]]+Tabelle2[[#This Row],[vy]]*Tabelle2[[#This Row],[vy]])</f>
        <v>161.75579828236596</v>
      </c>
      <c r="S1101">
        <f t="shared" si="196"/>
        <v>1149.3199049190432</v>
      </c>
      <c r="T1101" s="1">
        <f t="shared" si="197"/>
        <v>-993.97449749205134</v>
      </c>
    </row>
    <row r="1102" spans="6:20" x14ac:dyDescent="0.35">
      <c r="F1102" s="1">
        <f t="shared" si="193"/>
        <v>21.97999999999962</v>
      </c>
      <c r="G1102">
        <f>1/2*$B$8*$B$6*$B$7*(Tabelle2[[#This Row],[vx]]*Tabelle2[[#This Row],[vx]]+Tabelle2[[#This Row],[vy]]*Tabelle2[[#This Row],[vy]])/1000000</f>
        <v>46.389952892890562</v>
      </c>
      <c r="H1102">
        <f>IF($B$3,-Tabelle2[[#This Row],[Fd]]*Tabelle2[[#This Row],[vx]]/Tabelle2[[#This Row],[v]],0)</f>
        <v>0</v>
      </c>
      <c r="I1102">
        <f t="shared" si="187"/>
        <v>0</v>
      </c>
      <c r="J1102">
        <f t="shared" si="188"/>
        <v>0</v>
      </c>
      <c r="K1102">
        <f t="shared" si="189"/>
        <v>1.0467394398169905</v>
      </c>
      <c r="L1102">
        <f>-$B$5*$B$12-IF($B$3,Tabelle2[[#This Row],[Fd]]*Tabelle2[[#This Row],[vy]]/Tabelle2[[#This Row],[v]],0)</f>
        <v>-14.715</v>
      </c>
      <c r="M1102">
        <f t="shared" si="190"/>
        <v>-9.81</v>
      </c>
      <c r="N1102">
        <f t="shared" si="191"/>
        <v>-0.19620000000000001</v>
      </c>
      <c r="O1102">
        <f t="shared" si="192"/>
        <v>-3.0669825120880785</v>
      </c>
      <c r="P1102" s="1">
        <f t="shared" si="194"/>
        <v>52.336971990849527</v>
      </c>
      <c r="Q1102" s="1">
        <f t="shared" si="195"/>
        <v>-153.25102560440394</v>
      </c>
      <c r="R1102">
        <f>SQRT(Tabelle2[[#This Row],[vx]]*Tabelle2[[#This Row],[vx]]+Tabelle2[[#This Row],[vy]]*Tabelle2[[#This Row],[vy]])</f>
        <v>161.94145697125441</v>
      </c>
      <c r="S1102">
        <f t="shared" si="196"/>
        <v>1150.3666443588602</v>
      </c>
      <c r="T1102" s="1">
        <f t="shared" si="197"/>
        <v>-997.03755600413945</v>
      </c>
    </row>
    <row r="1103" spans="6:20" x14ac:dyDescent="0.35">
      <c r="F1103" s="1">
        <f t="shared" si="193"/>
        <v>21.99999999999962</v>
      </c>
      <c r="G1103">
        <f>1/2*$B$8*$B$6*$B$7*(Tabelle2[[#This Row],[vx]]*Tabelle2[[#This Row],[vx]]+Tabelle2[[#This Row],[vy]]*Tabelle2[[#This Row],[vy]])/1000000</f>
        <v>46.49639614862825</v>
      </c>
      <c r="H1103">
        <f>IF($B$3,-Tabelle2[[#This Row],[Fd]]*Tabelle2[[#This Row],[vx]]/Tabelle2[[#This Row],[v]],0)</f>
        <v>0</v>
      </c>
      <c r="I1103">
        <f t="shared" si="187"/>
        <v>0</v>
      </c>
      <c r="J1103">
        <f t="shared" si="188"/>
        <v>0</v>
      </c>
      <c r="K1103">
        <f t="shared" si="189"/>
        <v>1.0467394398169905</v>
      </c>
      <c r="L1103">
        <f>-$B$5*$B$12-IF($B$3,Tabelle2[[#This Row],[Fd]]*Tabelle2[[#This Row],[vy]]/Tabelle2[[#This Row],[v]],0)</f>
        <v>-14.715</v>
      </c>
      <c r="M1103">
        <f t="shared" si="190"/>
        <v>-9.81</v>
      </c>
      <c r="N1103">
        <f t="shared" si="191"/>
        <v>-0.19620000000000001</v>
      </c>
      <c r="O1103">
        <f t="shared" si="192"/>
        <v>-3.0709065120880785</v>
      </c>
      <c r="P1103" s="1">
        <f t="shared" si="194"/>
        <v>52.336971990849527</v>
      </c>
      <c r="Q1103" s="1">
        <f t="shared" si="195"/>
        <v>-153.44722560440394</v>
      </c>
      <c r="R1103">
        <f>SQRT(Tabelle2[[#This Row],[vx]]*Tabelle2[[#This Row],[vx]]+Tabelle2[[#This Row],[vy]]*Tabelle2[[#This Row],[vy]])</f>
        <v>162.12714048813606</v>
      </c>
      <c r="S1103">
        <f t="shared" si="196"/>
        <v>1151.4133837986772</v>
      </c>
      <c r="T1103" s="1">
        <f t="shared" si="197"/>
        <v>-1000.1045385162275</v>
      </c>
    </row>
    <row r="1104" spans="6:20" x14ac:dyDescent="0.35">
      <c r="F1104" s="1">
        <f t="shared" si="193"/>
        <v>22.019999999999619</v>
      </c>
      <c r="G1104">
        <f>1/2*$B$8*$B$6*$B$7*(Tabelle2[[#This Row],[vx]]*Tabelle2[[#This Row],[vx]]+Tabelle2[[#This Row],[vy]]*Tabelle2[[#This Row],[vy]])/1000000</f>
        <v>46.602975591427288</v>
      </c>
      <c r="H1104">
        <f>IF($B$3,-Tabelle2[[#This Row],[Fd]]*Tabelle2[[#This Row],[vx]]/Tabelle2[[#This Row],[v]],0)</f>
        <v>0</v>
      </c>
      <c r="I1104">
        <f t="shared" si="187"/>
        <v>0</v>
      </c>
      <c r="J1104">
        <f t="shared" si="188"/>
        <v>0</v>
      </c>
      <c r="K1104">
        <f t="shared" si="189"/>
        <v>1.0467394398169905</v>
      </c>
      <c r="L1104">
        <f>-$B$5*$B$12-IF($B$3,Tabelle2[[#This Row],[Fd]]*Tabelle2[[#This Row],[vy]]/Tabelle2[[#This Row],[v]],0)</f>
        <v>-14.715</v>
      </c>
      <c r="M1104">
        <f t="shared" si="190"/>
        <v>-9.81</v>
      </c>
      <c r="N1104">
        <f t="shared" si="191"/>
        <v>-0.19620000000000001</v>
      </c>
      <c r="O1104">
        <f t="shared" si="192"/>
        <v>-3.0748305120880786</v>
      </c>
      <c r="P1104" s="1">
        <f t="shared" si="194"/>
        <v>52.336971990849527</v>
      </c>
      <c r="Q1104" s="1">
        <f t="shared" si="195"/>
        <v>-153.64342560440394</v>
      </c>
      <c r="R1104">
        <f>SQRT(Tabelle2[[#This Row],[vx]]*Tabelle2[[#This Row],[vx]]+Tabelle2[[#This Row],[vy]]*Tabelle2[[#This Row],[vy]])</f>
        <v>162.31284874780241</v>
      </c>
      <c r="S1104">
        <f t="shared" si="196"/>
        <v>1152.4601232384941</v>
      </c>
      <c r="T1104" s="1">
        <f t="shared" si="197"/>
        <v>-1003.1754450283156</v>
      </c>
    </row>
    <row r="1105" spans="6:20" x14ac:dyDescent="0.35">
      <c r="F1105" s="1">
        <f t="shared" si="193"/>
        <v>22.039999999999619</v>
      </c>
      <c r="G1105">
        <f>1/2*$B$8*$B$6*$B$7*(Tabelle2[[#This Row],[vx]]*Tabelle2[[#This Row],[vx]]+Tabelle2[[#This Row],[vy]]*Tabelle2[[#This Row],[vy]])/1000000</f>
        <v>46.709691221287663</v>
      </c>
      <c r="H1105">
        <f>IF($B$3,-Tabelle2[[#This Row],[Fd]]*Tabelle2[[#This Row],[vx]]/Tabelle2[[#This Row],[v]],0)</f>
        <v>0</v>
      </c>
      <c r="I1105">
        <f t="shared" si="187"/>
        <v>0</v>
      </c>
      <c r="J1105">
        <f t="shared" si="188"/>
        <v>0</v>
      </c>
      <c r="K1105">
        <f t="shared" si="189"/>
        <v>1.0467394398169905</v>
      </c>
      <c r="L1105">
        <f>-$B$5*$B$12-IF($B$3,Tabelle2[[#This Row],[Fd]]*Tabelle2[[#This Row],[vy]]/Tabelle2[[#This Row],[v]],0)</f>
        <v>-14.715</v>
      </c>
      <c r="M1105">
        <f t="shared" si="190"/>
        <v>-9.81</v>
      </c>
      <c r="N1105">
        <f t="shared" si="191"/>
        <v>-0.19620000000000001</v>
      </c>
      <c r="O1105">
        <f t="shared" si="192"/>
        <v>-3.0787545120880786</v>
      </c>
      <c r="P1105" s="1">
        <f t="shared" si="194"/>
        <v>52.336971990849527</v>
      </c>
      <c r="Q1105" s="1">
        <f t="shared" si="195"/>
        <v>-153.83962560440395</v>
      </c>
      <c r="R1105">
        <f>SQRT(Tabelle2[[#This Row],[vx]]*Tabelle2[[#This Row],[vx]]+Tabelle2[[#This Row],[vy]]*Tabelle2[[#This Row],[vy]])</f>
        <v>162.49858166542299</v>
      </c>
      <c r="S1105">
        <f t="shared" si="196"/>
        <v>1153.5068626783111</v>
      </c>
      <c r="T1105" s="1">
        <f t="shared" si="197"/>
        <v>-1006.2502755404037</v>
      </c>
    </row>
    <row r="1106" spans="6:20" x14ac:dyDescent="0.35">
      <c r="F1106" s="1">
        <f t="shared" si="193"/>
        <v>22.059999999999619</v>
      </c>
      <c r="G1106">
        <f>1/2*$B$8*$B$6*$B$7*(Tabelle2[[#This Row],[vx]]*Tabelle2[[#This Row],[vx]]+Tabelle2[[#This Row],[vy]]*Tabelle2[[#This Row],[vy]])/1000000</f>
        <v>46.816543038209382</v>
      </c>
      <c r="H1106">
        <f>IF($B$3,-Tabelle2[[#This Row],[Fd]]*Tabelle2[[#This Row],[vx]]/Tabelle2[[#This Row],[v]],0)</f>
        <v>0</v>
      </c>
      <c r="I1106">
        <f t="shared" si="187"/>
        <v>0</v>
      </c>
      <c r="J1106">
        <f t="shared" si="188"/>
        <v>0</v>
      </c>
      <c r="K1106">
        <f t="shared" si="189"/>
        <v>1.0467394398169905</v>
      </c>
      <c r="L1106">
        <f>-$B$5*$B$12-IF($B$3,Tabelle2[[#This Row],[Fd]]*Tabelle2[[#This Row],[vy]]/Tabelle2[[#This Row],[v]],0)</f>
        <v>-14.715</v>
      </c>
      <c r="M1106">
        <f t="shared" si="190"/>
        <v>-9.81</v>
      </c>
      <c r="N1106">
        <f t="shared" si="191"/>
        <v>-0.19620000000000001</v>
      </c>
      <c r="O1106">
        <f t="shared" si="192"/>
        <v>-3.0826785120880791</v>
      </c>
      <c r="P1106" s="1">
        <f t="shared" si="194"/>
        <v>52.336971990849527</v>
      </c>
      <c r="Q1106" s="1">
        <f t="shared" si="195"/>
        <v>-154.03582560440395</v>
      </c>
      <c r="R1106">
        <f>SQRT(Tabelle2[[#This Row],[vx]]*Tabelle2[[#This Row],[vx]]+Tabelle2[[#This Row],[vy]]*Tabelle2[[#This Row],[vy]])</f>
        <v>162.68433915654364</v>
      </c>
      <c r="S1106">
        <f t="shared" si="196"/>
        <v>1154.5536021181281</v>
      </c>
      <c r="T1106" s="1">
        <f t="shared" si="197"/>
        <v>-1009.3290300524917</v>
      </c>
    </row>
    <row r="1107" spans="6:20" x14ac:dyDescent="0.35">
      <c r="F1107" s="1">
        <f t="shared" si="193"/>
        <v>22.079999999999618</v>
      </c>
      <c r="G1107">
        <f>1/2*$B$8*$B$6*$B$7*(Tabelle2[[#This Row],[vx]]*Tabelle2[[#This Row],[vx]]+Tabelle2[[#This Row],[vy]]*Tabelle2[[#This Row],[vy]])/1000000</f>
        <v>46.923531042192444</v>
      </c>
      <c r="H1107">
        <f>IF($B$3,-Tabelle2[[#This Row],[Fd]]*Tabelle2[[#This Row],[vx]]/Tabelle2[[#This Row],[v]],0)</f>
        <v>0</v>
      </c>
      <c r="I1107">
        <f t="shared" si="187"/>
        <v>0</v>
      </c>
      <c r="J1107">
        <f t="shared" si="188"/>
        <v>0</v>
      </c>
      <c r="K1107">
        <f t="shared" si="189"/>
        <v>1.0467394398169905</v>
      </c>
      <c r="L1107">
        <f>-$B$5*$B$12-IF($B$3,Tabelle2[[#This Row],[Fd]]*Tabelle2[[#This Row],[vy]]/Tabelle2[[#This Row],[v]],0)</f>
        <v>-14.715</v>
      </c>
      <c r="M1107">
        <f t="shared" si="190"/>
        <v>-9.81</v>
      </c>
      <c r="N1107">
        <f t="shared" si="191"/>
        <v>-0.19620000000000001</v>
      </c>
      <c r="O1107">
        <f t="shared" si="192"/>
        <v>-3.0866025120880791</v>
      </c>
      <c r="P1107" s="1">
        <f t="shared" si="194"/>
        <v>52.336971990849527</v>
      </c>
      <c r="Q1107" s="1">
        <f t="shared" si="195"/>
        <v>-154.23202560440396</v>
      </c>
      <c r="R1107">
        <f>SQRT(Tabelle2[[#This Row],[vx]]*Tabelle2[[#This Row],[vx]]+Tabelle2[[#This Row],[vy]]*Tabelle2[[#This Row],[vy]])</f>
        <v>162.87012113708423</v>
      </c>
      <c r="S1107">
        <f t="shared" si="196"/>
        <v>1155.6003415579451</v>
      </c>
      <c r="T1107" s="1">
        <f t="shared" si="197"/>
        <v>-1012.4117085645797</v>
      </c>
    </row>
    <row r="1108" spans="6:20" x14ac:dyDescent="0.35">
      <c r="F1108" s="1">
        <f t="shared" si="193"/>
        <v>22.099999999999618</v>
      </c>
      <c r="G1108">
        <f>1/2*$B$8*$B$6*$B$7*(Tabelle2[[#This Row],[vx]]*Tabelle2[[#This Row],[vx]]+Tabelle2[[#This Row],[vy]]*Tabelle2[[#This Row],[vy]])/1000000</f>
        <v>47.03065523323685</v>
      </c>
      <c r="H1108">
        <f>IF($B$3,-Tabelle2[[#This Row],[Fd]]*Tabelle2[[#This Row],[vx]]/Tabelle2[[#This Row],[v]],0)</f>
        <v>0</v>
      </c>
      <c r="I1108">
        <f t="shared" si="187"/>
        <v>0</v>
      </c>
      <c r="J1108">
        <f t="shared" si="188"/>
        <v>0</v>
      </c>
      <c r="K1108">
        <f t="shared" si="189"/>
        <v>1.0467394398169905</v>
      </c>
      <c r="L1108">
        <f>-$B$5*$B$12-IF($B$3,Tabelle2[[#This Row],[Fd]]*Tabelle2[[#This Row],[vy]]/Tabelle2[[#This Row],[v]],0)</f>
        <v>-14.715</v>
      </c>
      <c r="M1108">
        <f t="shared" si="190"/>
        <v>-9.81</v>
      </c>
      <c r="N1108">
        <f t="shared" si="191"/>
        <v>-0.19620000000000001</v>
      </c>
      <c r="O1108">
        <f t="shared" si="192"/>
        <v>-3.0905265120880792</v>
      </c>
      <c r="P1108" s="1">
        <f t="shared" si="194"/>
        <v>52.336971990849527</v>
      </c>
      <c r="Q1108" s="1">
        <f t="shared" si="195"/>
        <v>-154.42822560440396</v>
      </c>
      <c r="R1108">
        <f>SQRT(Tabelle2[[#This Row],[vx]]*Tabelle2[[#This Row],[vx]]+Tabelle2[[#This Row],[vy]]*Tabelle2[[#This Row],[vy]])</f>
        <v>163.05592752333678</v>
      </c>
      <c r="S1108">
        <f t="shared" si="196"/>
        <v>1156.647080997762</v>
      </c>
      <c r="T1108" s="1">
        <f t="shared" si="197"/>
        <v>-1015.4983110766678</v>
      </c>
    </row>
    <row r="1109" spans="6:20" x14ac:dyDescent="0.35">
      <c r="F1109" s="1">
        <f t="shared" si="193"/>
        <v>22.119999999999617</v>
      </c>
      <c r="G1109">
        <f>1/2*$B$8*$B$6*$B$7*(Tabelle2[[#This Row],[vx]]*Tabelle2[[#This Row],[vx]]+Tabelle2[[#This Row],[vy]]*Tabelle2[[#This Row],[vy]])/1000000</f>
        <v>47.137915611342592</v>
      </c>
      <c r="H1109">
        <f>IF($B$3,-Tabelle2[[#This Row],[Fd]]*Tabelle2[[#This Row],[vx]]/Tabelle2[[#This Row],[v]],0)</f>
        <v>0</v>
      </c>
      <c r="I1109">
        <f t="shared" si="187"/>
        <v>0</v>
      </c>
      <c r="J1109">
        <f t="shared" si="188"/>
        <v>0</v>
      </c>
      <c r="K1109">
        <f t="shared" si="189"/>
        <v>1.0467394398169905</v>
      </c>
      <c r="L1109">
        <f>-$B$5*$B$12-IF($B$3,Tabelle2[[#This Row],[Fd]]*Tabelle2[[#This Row],[vy]]/Tabelle2[[#This Row],[v]],0)</f>
        <v>-14.715</v>
      </c>
      <c r="M1109">
        <f t="shared" si="190"/>
        <v>-9.81</v>
      </c>
      <c r="N1109">
        <f t="shared" si="191"/>
        <v>-0.19620000000000001</v>
      </c>
      <c r="O1109">
        <f t="shared" si="192"/>
        <v>-3.0944505120880792</v>
      </c>
      <c r="P1109" s="1">
        <f t="shared" si="194"/>
        <v>52.336971990849527</v>
      </c>
      <c r="Q1109" s="1">
        <f t="shared" si="195"/>
        <v>-154.62442560440397</v>
      </c>
      <c r="R1109">
        <f>SQRT(Tabelle2[[#This Row],[vx]]*Tabelle2[[#This Row],[vx]]+Tabelle2[[#This Row],[vy]]*Tabelle2[[#This Row],[vy]])</f>
        <v>163.2417582319635</v>
      </c>
      <c r="S1109">
        <f t="shared" si="196"/>
        <v>1157.693820437579</v>
      </c>
      <c r="T1109" s="1">
        <f t="shared" si="197"/>
        <v>-1018.588837588756</v>
      </c>
    </row>
    <row r="1110" spans="6:20" x14ac:dyDescent="0.35">
      <c r="F1110" s="1">
        <f t="shared" si="193"/>
        <v>22.139999999999617</v>
      </c>
      <c r="G1110">
        <f>1/2*$B$8*$B$6*$B$7*(Tabelle2[[#This Row],[vx]]*Tabelle2[[#This Row],[vx]]+Tabelle2[[#This Row],[vy]]*Tabelle2[[#This Row],[vy]])/1000000</f>
        <v>47.245312176509692</v>
      </c>
      <c r="H1110">
        <f>IF($B$3,-Tabelle2[[#This Row],[Fd]]*Tabelle2[[#This Row],[vx]]/Tabelle2[[#This Row],[v]],0)</f>
        <v>0</v>
      </c>
      <c r="I1110">
        <f t="shared" si="187"/>
        <v>0</v>
      </c>
      <c r="J1110">
        <f t="shared" si="188"/>
        <v>0</v>
      </c>
      <c r="K1110">
        <f t="shared" si="189"/>
        <v>1.0467394398169905</v>
      </c>
      <c r="L1110">
        <f>-$B$5*$B$12-IF($B$3,Tabelle2[[#This Row],[Fd]]*Tabelle2[[#This Row],[vy]]/Tabelle2[[#This Row],[v]],0)</f>
        <v>-14.715</v>
      </c>
      <c r="M1110">
        <f t="shared" si="190"/>
        <v>-9.81</v>
      </c>
      <c r="N1110">
        <f t="shared" si="191"/>
        <v>-0.19620000000000001</v>
      </c>
      <c r="O1110">
        <f t="shared" si="192"/>
        <v>-3.0983745120880792</v>
      </c>
      <c r="P1110" s="1">
        <f t="shared" si="194"/>
        <v>52.336971990849527</v>
      </c>
      <c r="Q1110" s="1">
        <f t="shared" si="195"/>
        <v>-154.82062560440397</v>
      </c>
      <c r="R1110">
        <f>SQRT(Tabelle2[[#This Row],[vx]]*Tabelle2[[#This Row],[vx]]+Tabelle2[[#This Row],[vy]]*Tabelle2[[#This Row],[vy]])</f>
        <v>163.42761317999475</v>
      </c>
      <c r="S1110">
        <f t="shared" si="196"/>
        <v>1158.740559877396</v>
      </c>
      <c r="T1110" s="1">
        <f t="shared" si="197"/>
        <v>-1021.683288100844</v>
      </c>
    </row>
    <row r="1111" spans="6:20" x14ac:dyDescent="0.35">
      <c r="F1111" s="1">
        <f t="shared" si="193"/>
        <v>22.159999999999616</v>
      </c>
      <c r="G1111">
        <f>1/2*$B$8*$B$6*$B$7*(Tabelle2[[#This Row],[vx]]*Tabelle2[[#This Row],[vx]]+Tabelle2[[#This Row],[vy]]*Tabelle2[[#This Row],[vy]])/1000000</f>
        <v>47.352844928738129</v>
      </c>
      <c r="H1111">
        <f>IF($B$3,-Tabelle2[[#This Row],[Fd]]*Tabelle2[[#This Row],[vx]]/Tabelle2[[#This Row],[v]],0)</f>
        <v>0</v>
      </c>
      <c r="I1111">
        <f t="shared" si="187"/>
        <v>0</v>
      </c>
      <c r="J1111">
        <f t="shared" si="188"/>
        <v>0</v>
      </c>
      <c r="K1111">
        <f t="shared" si="189"/>
        <v>1.0467394398169905</v>
      </c>
      <c r="L1111">
        <f>-$B$5*$B$12-IF($B$3,Tabelle2[[#This Row],[Fd]]*Tabelle2[[#This Row],[vy]]/Tabelle2[[#This Row],[v]],0)</f>
        <v>-14.715</v>
      </c>
      <c r="M1111">
        <f t="shared" si="190"/>
        <v>-9.81</v>
      </c>
      <c r="N1111">
        <f t="shared" si="191"/>
        <v>-0.19620000000000001</v>
      </c>
      <c r="O1111">
        <f t="shared" si="192"/>
        <v>-3.1022985120880793</v>
      </c>
      <c r="P1111" s="1">
        <f t="shared" si="194"/>
        <v>52.336971990849527</v>
      </c>
      <c r="Q1111" s="1">
        <f t="shared" si="195"/>
        <v>-155.01682560440398</v>
      </c>
      <c r="R1111">
        <f>SQRT(Tabelle2[[#This Row],[vx]]*Tabelle2[[#This Row],[vx]]+Tabelle2[[#This Row],[vy]]*Tabelle2[[#This Row],[vy]])</f>
        <v>163.61349228482706</v>
      </c>
      <c r="S1111">
        <f t="shared" si="196"/>
        <v>1159.787299317213</v>
      </c>
      <c r="T1111" s="1">
        <f t="shared" si="197"/>
        <v>-1024.7816626129322</v>
      </c>
    </row>
    <row r="1112" spans="6:20" x14ac:dyDescent="0.35">
      <c r="F1112" s="1">
        <f t="shared" si="193"/>
        <v>22.179999999999616</v>
      </c>
      <c r="G1112">
        <f>1/2*$B$8*$B$6*$B$7*(Tabelle2[[#This Row],[vx]]*Tabelle2[[#This Row],[vx]]+Tabelle2[[#This Row],[vy]]*Tabelle2[[#This Row],[vy]])/1000000</f>
        <v>47.460513868027917</v>
      </c>
      <c r="H1112">
        <f>IF($B$3,-Tabelle2[[#This Row],[Fd]]*Tabelle2[[#This Row],[vx]]/Tabelle2[[#This Row],[v]],0)</f>
        <v>0</v>
      </c>
      <c r="I1112">
        <f t="shared" si="187"/>
        <v>0</v>
      </c>
      <c r="J1112">
        <f t="shared" si="188"/>
        <v>0</v>
      </c>
      <c r="K1112">
        <f t="shared" si="189"/>
        <v>1.0467394398169905</v>
      </c>
      <c r="L1112">
        <f>-$B$5*$B$12-IF($B$3,Tabelle2[[#This Row],[Fd]]*Tabelle2[[#This Row],[vy]]/Tabelle2[[#This Row],[v]],0)</f>
        <v>-14.715</v>
      </c>
      <c r="M1112">
        <f t="shared" si="190"/>
        <v>-9.81</v>
      </c>
      <c r="N1112">
        <f t="shared" si="191"/>
        <v>-0.19620000000000001</v>
      </c>
      <c r="O1112">
        <f t="shared" si="192"/>
        <v>-3.1062225120880793</v>
      </c>
      <c r="P1112" s="1">
        <f t="shared" si="194"/>
        <v>52.336971990849527</v>
      </c>
      <c r="Q1112" s="1">
        <f t="shared" si="195"/>
        <v>-155.21302560440398</v>
      </c>
      <c r="R1112">
        <f>SQRT(Tabelle2[[#This Row],[vx]]*Tabelle2[[#This Row],[vx]]+Tabelle2[[#This Row],[vy]]*Tabelle2[[#This Row],[vy]])</f>
        <v>163.79939546422122</v>
      </c>
      <c r="S1112">
        <f t="shared" si="196"/>
        <v>1160.8340387570299</v>
      </c>
      <c r="T1112" s="1">
        <f t="shared" si="197"/>
        <v>-1027.8839611250203</v>
      </c>
    </row>
    <row r="1113" spans="6:20" x14ac:dyDescent="0.35">
      <c r="F1113" s="1">
        <f t="shared" si="193"/>
        <v>22.199999999999616</v>
      </c>
      <c r="G1113">
        <f>1/2*$B$8*$B$6*$B$7*(Tabelle2[[#This Row],[vx]]*Tabelle2[[#This Row],[vx]]+Tabelle2[[#This Row],[vy]]*Tabelle2[[#This Row],[vy]])/1000000</f>
        <v>47.568318994379041</v>
      </c>
      <c r="H1113">
        <f>IF($B$3,-Tabelle2[[#This Row],[Fd]]*Tabelle2[[#This Row],[vx]]/Tabelle2[[#This Row],[v]],0)</f>
        <v>0</v>
      </c>
      <c r="I1113">
        <f t="shared" si="187"/>
        <v>0</v>
      </c>
      <c r="J1113">
        <f t="shared" si="188"/>
        <v>0</v>
      </c>
      <c r="K1113">
        <f t="shared" si="189"/>
        <v>1.0467394398169905</v>
      </c>
      <c r="L1113">
        <f>-$B$5*$B$12-IF($B$3,Tabelle2[[#This Row],[Fd]]*Tabelle2[[#This Row],[vy]]/Tabelle2[[#This Row],[v]],0)</f>
        <v>-14.715</v>
      </c>
      <c r="M1113">
        <f t="shared" si="190"/>
        <v>-9.81</v>
      </c>
      <c r="N1113">
        <f t="shared" si="191"/>
        <v>-0.19620000000000001</v>
      </c>
      <c r="O1113">
        <f t="shared" si="192"/>
        <v>-3.1101465120880794</v>
      </c>
      <c r="P1113" s="1">
        <f t="shared" si="194"/>
        <v>52.336971990849527</v>
      </c>
      <c r="Q1113" s="1">
        <f t="shared" si="195"/>
        <v>-155.40922560440399</v>
      </c>
      <c r="R1113">
        <f>SQRT(Tabelle2[[#This Row],[vx]]*Tabelle2[[#This Row],[vx]]+Tabelle2[[#This Row],[vy]]*Tabelle2[[#This Row],[vy]])</f>
        <v>163.98532263630031</v>
      </c>
      <c r="S1113">
        <f t="shared" si="196"/>
        <v>1161.8807781968469</v>
      </c>
      <c r="T1113" s="1">
        <f t="shared" si="197"/>
        <v>-1030.9901836371084</v>
      </c>
    </row>
    <row r="1114" spans="6:20" x14ac:dyDescent="0.35">
      <c r="F1114" s="1">
        <f t="shared" si="193"/>
        <v>22.219999999999615</v>
      </c>
      <c r="G1114">
        <f>1/2*$B$8*$B$6*$B$7*(Tabelle2[[#This Row],[vx]]*Tabelle2[[#This Row],[vx]]+Tabelle2[[#This Row],[vy]]*Tabelle2[[#This Row],[vy]])/1000000</f>
        <v>47.676260307791516</v>
      </c>
      <c r="H1114">
        <f>IF($B$3,-Tabelle2[[#This Row],[Fd]]*Tabelle2[[#This Row],[vx]]/Tabelle2[[#This Row],[v]],0)</f>
        <v>0</v>
      </c>
      <c r="I1114">
        <f t="shared" si="187"/>
        <v>0</v>
      </c>
      <c r="J1114">
        <f t="shared" si="188"/>
        <v>0</v>
      </c>
      <c r="K1114">
        <f t="shared" si="189"/>
        <v>1.0467394398169905</v>
      </c>
      <c r="L1114">
        <f>-$B$5*$B$12-IF($B$3,Tabelle2[[#This Row],[Fd]]*Tabelle2[[#This Row],[vy]]/Tabelle2[[#This Row],[v]],0)</f>
        <v>-14.715</v>
      </c>
      <c r="M1114">
        <f t="shared" si="190"/>
        <v>-9.81</v>
      </c>
      <c r="N1114">
        <f t="shared" si="191"/>
        <v>-0.19620000000000001</v>
      </c>
      <c r="O1114">
        <f t="shared" si="192"/>
        <v>-3.1140705120880798</v>
      </c>
      <c r="P1114" s="1">
        <f t="shared" si="194"/>
        <v>52.336971990849527</v>
      </c>
      <c r="Q1114" s="1">
        <f t="shared" si="195"/>
        <v>-155.60542560440399</v>
      </c>
      <c r="R1114">
        <f>SQRT(Tabelle2[[#This Row],[vx]]*Tabelle2[[#This Row],[vx]]+Tabelle2[[#This Row],[vy]]*Tabelle2[[#This Row],[vy]])</f>
        <v>164.17127371954774</v>
      </c>
      <c r="S1114">
        <f t="shared" si="196"/>
        <v>1162.9275176366639</v>
      </c>
      <c r="T1114" s="1">
        <f t="shared" si="197"/>
        <v>-1034.1003301491965</v>
      </c>
    </row>
    <row r="1115" spans="6:20" x14ac:dyDescent="0.35">
      <c r="F1115" s="1">
        <f t="shared" si="193"/>
        <v>22.239999999999615</v>
      </c>
      <c r="G1115">
        <f>1/2*$B$8*$B$6*$B$7*(Tabelle2[[#This Row],[vx]]*Tabelle2[[#This Row],[vx]]+Tabelle2[[#This Row],[vy]]*Tabelle2[[#This Row],[vy]])/1000000</f>
        <v>47.784337808265335</v>
      </c>
      <c r="H1115">
        <f>IF($B$3,-Tabelle2[[#This Row],[Fd]]*Tabelle2[[#This Row],[vx]]/Tabelle2[[#This Row],[v]],0)</f>
        <v>0</v>
      </c>
      <c r="I1115">
        <f t="shared" si="187"/>
        <v>0</v>
      </c>
      <c r="J1115">
        <f t="shared" si="188"/>
        <v>0</v>
      </c>
      <c r="K1115">
        <f t="shared" si="189"/>
        <v>1.0467394398169905</v>
      </c>
      <c r="L1115">
        <f>-$B$5*$B$12-IF($B$3,Tabelle2[[#This Row],[Fd]]*Tabelle2[[#This Row],[vy]]/Tabelle2[[#This Row],[v]],0)</f>
        <v>-14.715</v>
      </c>
      <c r="M1115">
        <f t="shared" si="190"/>
        <v>-9.81</v>
      </c>
      <c r="N1115">
        <f t="shared" si="191"/>
        <v>-0.19620000000000001</v>
      </c>
      <c r="O1115">
        <f t="shared" si="192"/>
        <v>-3.1179945120880799</v>
      </c>
      <c r="P1115" s="1">
        <f t="shared" si="194"/>
        <v>52.336971990849527</v>
      </c>
      <c r="Q1115" s="1">
        <f t="shared" si="195"/>
        <v>-155.80162560440399</v>
      </c>
      <c r="R1115">
        <f>SQRT(Tabelle2[[#This Row],[vx]]*Tabelle2[[#This Row],[vx]]+Tabelle2[[#This Row],[vy]]*Tabelle2[[#This Row],[vy]])</f>
        <v>164.35724863280549</v>
      </c>
      <c r="S1115">
        <f t="shared" si="196"/>
        <v>1163.9742570764809</v>
      </c>
      <c r="T1115" s="1">
        <f t="shared" si="197"/>
        <v>-1037.2144006612846</v>
      </c>
    </row>
    <row r="1116" spans="6:20" x14ac:dyDescent="0.35">
      <c r="F1116" s="1">
        <f t="shared" si="193"/>
        <v>22.259999999999614</v>
      </c>
      <c r="G1116">
        <f>1/2*$B$8*$B$6*$B$7*(Tabelle2[[#This Row],[vx]]*Tabelle2[[#This Row],[vx]]+Tabelle2[[#This Row],[vy]]*Tabelle2[[#This Row],[vy]])/1000000</f>
        <v>47.892551495800497</v>
      </c>
      <c r="H1116">
        <f>IF($B$3,-Tabelle2[[#This Row],[Fd]]*Tabelle2[[#This Row],[vx]]/Tabelle2[[#This Row],[v]],0)</f>
        <v>0</v>
      </c>
      <c r="I1116">
        <f t="shared" si="187"/>
        <v>0</v>
      </c>
      <c r="J1116">
        <f t="shared" si="188"/>
        <v>0</v>
      </c>
      <c r="K1116">
        <f t="shared" si="189"/>
        <v>1.0467394398169905</v>
      </c>
      <c r="L1116">
        <f>-$B$5*$B$12-IF($B$3,Tabelle2[[#This Row],[Fd]]*Tabelle2[[#This Row],[vy]]/Tabelle2[[#This Row],[v]],0)</f>
        <v>-14.715</v>
      </c>
      <c r="M1116">
        <f t="shared" si="190"/>
        <v>-9.81</v>
      </c>
      <c r="N1116">
        <f t="shared" si="191"/>
        <v>-0.19620000000000001</v>
      </c>
      <c r="O1116">
        <f t="shared" si="192"/>
        <v>-3.1219185120880799</v>
      </c>
      <c r="P1116" s="1">
        <f t="shared" si="194"/>
        <v>52.336971990849527</v>
      </c>
      <c r="Q1116" s="1">
        <f t="shared" si="195"/>
        <v>-155.997825604404</v>
      </c>
      <c r="R1116">
        <f>SQRT(Tabelle2[[#This Row],[vx]]*Tabelle2[[#This Row],[vx]]+Tabelle2[[#This Row],[vy]]*Tabelle2[[#This Row],[vy]])</f>
        <v>164.54324729527193</v>
      </c>
      <c r="S1116">
        <f t="shared" si="196"/>
        <v>1165.0209965162978</v>
      </c>
      <c r="T1116" s="1">
        <f t="shared" si="197"/>
        <v>-1040.3323951733726</v>
      </c>
    </row>
    <row r="1117" spans="6:20" x14ac:dyDescent="0.35">
      <c r="F1117" s="1">
        <f t="shared" si="193"/>
        <v>22.279999999999614</v>
      </c>
      <c r="G1117">
        <f>1/2*$B$8*$B$6*$B$7*(Tabelle2[[#This Row],[vx]]*Tabelle2[[#This Row],[vx]]+Tabelle2[[#This Row],[vy]]*Tabelle2[[#This Row],[vy]])/1000000</f>
        <v>48.000901370396996</v>
      </c>
      <c r="H1117">
        <f>IF($B$3,-Tabelle2[[#This Row],[Fd]]*Tabelle2[[#This Row],[vx]]/Tabelle2[[#This Row],[v]],0)</f>
        <v>0</v>
      </c>
      <c r="I1117">
        <f t="shared" si="187"/>
        <v>0</v>
      </c>
      <c r="J1117">
        <f t="shared" si="188"/>
        <v>0</v>
      </c>
      <c r="K1117">
        <f t="shared" si="189"/>
        <v>1.0467394398169905</v>
      </c>
      <c r="L1117">
        <f>-$B$5*$B$12-IF($B$3,Tabelle2[[#This Row],[Fd]]*Tabelle2[[#This Row],[vy]]/Tabelle2[[#This Row],[v]],0)</f>
        <v>-14.715</v>
      </c>
      <c r="M1117">
        <f t="shared" si="190"/>
        <v>-9.81</v>
      </c>
      <c r="N1117">
        <f t="shared" si="191"/>
        <v>-0.19620000000000001</v>
      </c>
      <c r="O1117">
        <f t="shared" si="192"/>
        <v>-3.1258425120880799</v>
      </c>
      <c r="P1117" s="1">
        <f t="shared" si="194"/>
        <v>52.336971990849527</v>
      </c>
      <c r="Q1117" s="1">
        <f t="shared" si="195"/>
        <v>-156.194025604404</v>
      </c>
      <c r="R1117">
        <f>SQRT(Tabelle2[[#This Row],[vx]]*Tabelle2[[#This Row],[vx]]+Tabelle2[[#This Row],[vy]]*Tabelle2[[#This Row],[vy]])</f>
        <v>164.72926962650013</v>
      </c>
      <c r="S1117">
        <f t="shared" si="196"/>
        <v>1166.0677359561148</v>
      </c>
      <c r="T1117" s="1">
        <f t="shared" si="197"/>
        <v>-1043.4543136854606</v>
      </c>
    </row>
    <row r="1118" spans="6:20" x14ac:dyDescent="0.35">
      <c r="F1118" s="1">
        <f t="shared" si="193"/>
        <v>22.299999999999613</v>
      </c>
      <c r="G1118">
        <f>1/2*$B$8*$B$6*$B$7*(Tabelle2[[#This Row],[vx]]*Tabelle2[[#This Row],[vx]]+Tabelle2[[#This Row],[vy]]*Tabelle2[[#This Row],[vy]])/1000000</f>
        <v>48.109387432054838</v>
      </c>
      <c r="H1118">
        <f>IF($B$3,-Tabelle2[[#This Row],[Fd]]*Tabelle2[[#This Row],[vx]]/Tabelle2[[#This Row],[v]],0)</f>
        <v>0</v>
      </c>
      <c r="I1118">
        <f t="shared" si="187"/>
        <v>0</v>
      </c>
      <c r="J1118">
        <f t="shared" si="188"/>
        <v>0</v>
      </c>
      <c r="K1118">
        <f t="shared" si="189"/>
        <v>1.0467394398169905</v>
      </c>
      <c r="L1118">
        <f>-$B$5*$B$12-IF($B$3,Tabelle2[[#This Row],[Fd]]*Tabelle2[[#This Row],[vy]]/Tabelle2[[#This Row],[v]],0)</f>
        <v>-14.715</v>
      </c>
      <c r="M1118">
        <f t="shared" si="190"/>
        <v>-9.81</v>
      </c>
      <c r="N1118">
        <f t="shared" si="191"/>
        <v>-0.19620000000000001</v>
      </c>
      <c r="O1118">
        <f t="shared" si="192"/>
        <v>-3.12976651208808</v>
      </c>
      <c r="P1118" s="1">
        <f t="shared" si="194"/>
        <v>52.336971990849527</v>
      </c>
      <c r="Q1118" s="1">
        <f t="shared" si="195"/>
        <v>-156.39022560440401</v>
      </c>
      <c r="R1118">
        <f>SQRT(Tabelle2[[#This Row],[vx]]*Tabelle2[[#This Row],[vx]]+Tabelle2[[#This Row],[vy]]*Tabelle2[[#This Row],[vy]])</f>
        <v>164.91531554639596</v>
      </c>
      <c r="S1118">
        <f t="shared" si="196"/>
        <v>1167.1144753959318</v>
      </c>
      <c r="T1118" s="1">
        <f t="shared" si="197"/>
        <v>-1046.5801561975488</v>
      </c>
    </row>
    <row r="1119" spans="6:20" x14ac:dyDescent="0.35">
      <c r="F1119" s="1">
        <f t="shared" si="193"/>
        <v>22.319999999999613</v>
      </c>
      <c r="G1119">
        <f>1/2*$B$8*$B$6*$B$7*(Tabelle2[[#This Row],[vx]]*Tabelle2[[#This Row],[vx]]+Tabelle2[[#This Row],[vy]]*Tabelle2[[#This Row],[vy]])/1000000</f>
        <v>48.218009680774031</v>
      </c>
      <c r="H1119">
        <f>IF($B$3,-Tabelle2[[#This Row],[Fd]]*Tabelle2[[#This Row],[vx]]/Tabelle2[[#This Row],[v]],0)</f>
        <v>0</v>
      </c>
      <c r="I1119">
        <f t="shared" si="187"/>
        <v>0</v>
      </c>
      <c r="J1119">
        <f t="shared" si="188"/>
        <v>0</v>
      </c>
      <c r="K1119">
        <f t="shared" si="189"/>
        <v>1.0467394398169905</v>
      </c>
      <c r="L1119">
        <f>-$B$5*$B$12-IF($B$3,Tabelle2[[#This Row],[Fd]]*Tabelle2[[#This Row],[vy]]/Tabelle2[[#This Row],[v]],0)</f>
        <v>-14.715</v>
      </c>
      <c r="M1119">
        <f t="shared" si="190"/>
        <v>-9.81</v>
      </c>
      <c r="N1119">
        <f t="shared" si="191"/>
        <v>-0.19620000000000001</v>
      </c>
      <c r="O1119">
        <f t="shared" si="192"/>
        <v>-3.13369051208808</v>
      </c>
      <c r="P1119" s="1">
        <f t="shared" si="194"/>
        <v>52.336971990849527</v>
      </c>
      <c r="Q1119" s="1">
        <f t="shared" si="195"/>
        <v>-156.58642560440401</v>
      </c>
      <c r="R1119">
        <f>SQRT(Tabelle2[[#This Row],[vx]]*Tabelle2[[#This Row],[vx]]+Tabelle2[[#This Row],[vy]]*Tabelle2[[#This Row],[vy]])</f>
        <v>165.10138497521612</v>
      </c>
      <c r="S1119">
        <f t="shared" si="196"/>
        <v>1168.1612148357488</v>
      </c>
      <c r="T1119" s="1">
        <f t="shared" si="197"/>
        <v>-1049.7099227096369</v>
      </c>
    </row>
    <row r="1120" spans="6:20" x14ac:dyDescent="0.35">
      <c r="F1120" s="1">
        <f t="shared" si="193"/>
        <v>22.339999999999613</v>
      </c>
      <c r="G1120">
        <f>1/2*$B$8*$B$6*$B$7*(Tabelle2[[#This Row],[vx]]*Tabelle2[[#This Row],[vx]]+Tabelle2[[#This Row],[vy]]*Tabelle2[[#This Row],[vy]])/1000000</f>
        <v>48.326768116554575</v>
      </c>
      <c r="H1120">
        <f>IF($B$3,-Tabelle2[[#This Row],[Fd]]*Tabelle2[[#This Row],[vx]]/Tabelle2[[#This Row],[v]],0)</f>
        <v>0</v>
      </c>
      <c r="I1120">
        <f t="shared" si="187"/>
        <v>0</v>
      </c>
      <c r="J1120">
        <f t="shared" si="188"/>
        <v>0</v>
      </c>
      <c r="K1120">
        <f t="shared" si="189"/>
        <v>1.0467394398169905</v>
      </c>
      <c r="L1120">
        <f>-$B$5*$B$12-IF($B$3,Tabelle2[[#This Row],[Fd]]*Tabelle2[[#This Row],[vy]]/Tabelle2[[#This Row],[v]],0)</f>
        <v>-14.715</v>
      </c>
      <c r="M1120">
        <f t="shared" si="190"/>
        <v>-9.81</v>
      </c>
      <c r="N1120">
        <f t="shared" si="191"/>
        <v>-0.19620000000000001</v>
      </c>
      <c r="O1120">
        <f t="shared" si="192"/>
        <v>-3.1376145120880801</v>
      </c>
      <c r="P1120" s="1">
        <f t="shared" si="194"/>
        <v>52.336971990849527</v>
      </c>
      <c r="Q1120" s="1">
        <f t="shared" si="195"/>
        <v>-156.78262560440402</v>
      </c>
      <c r="R1120">
        <f>SQRT(Tabelle2[[#This Row],[vx]]*Tabelle2[[#This Row],[vx]]+Tabelle2[[#This Row],[vy]]*Tabelle2[[#This Row],[vy]])</f>
        <v>165.28747783356636</v>
      </c>
      <c r="S1120">
        <f t="shared" si="196"/>
        <v>1169.2079542755657</v>
      </c>
      <c r="T1120" s="1">
        <f t="shared" si="197"/>
        <v>-1052.843613221725</v>
      </c>
    </row>
    <row r="1121" spans="6:20" x14ac:dyDescent="0.35">
      <c r="F1121" s="1">
        <f t="shared" si="193"/>
        <v>22.359999999999612</v>
      </c>
      <c r="G1121">
        <f>1/2*$B$8*$B$6*$B$7*(Tabelle2[[#This Row],[vx]]*Tabelle2[[#This Row],[vx]]+Tabelle2[[#This Row],[vy]]*Tabelle2[[#This Row],[vy]])/1000000</f>
        <v>48.435662739396456</v>
      </c>
      <c r="H1121">
        <f>IF($B$3,-Tabelle2[[#This Row],[Fd]]*Tabelle2[[#This Row],[vx]]/Tabelle2[[#This Row],[v]],0)</f>
        <v>0</v>
      </c>
      <c r="I1121">
        <f t="shared" si="187"/>
        <v>0</v>
      </c>
      <c r="J1121">
        <f t="shared" si="188"/>
        <v>0</v>
      </c>
      <c r="K1121">
        <f t="shared" si="189"/>
        <v>1.0467394398169905</v>
      </c>
      <c r="L1121">
        <f>-$B$5*$B$12-IF($B$3,Tabelle2[[#This Row],[Fd]]*Tabelle2[[#This Row],[vy]]/Tabelle2[[#This Row],[v]],0)</f>
        <v>-14.715</v>
      </c>
      <c r="M1121">
        <f t="shared" si="190"/>
        <v>-9.81</v>
      </c>
      <c r="N1121">
        <f t="shared" si="191"/>
        <v>-0.19620000000000001</v>
      </c>
      <c r="O1121">
        <f t="shared" si="192"/>
        <v>-3.1415385120880801</v>
      </c>
      <c r="P1121" s="1">
        <f t="shared" si="194"/>
        <v>52.336971990849527</v>
      </c>
      <c r="Q1121" s="1">
        <f t="shared" si="195"/>
        <v>-156.97882560440402</v>
      </c>
      <c r="R1121">
        <f>SQRT(Tabelle2[[#This Row],[vx]]*Tabelle2[[#This Row],[vx]]+Tabelle2[[#This Row],[vy]]*Tabelle2[[#This Row],[vy]])</f>
        <v>165.47359404239958</v>
      </c>
      <c r="S1121">
        <f t="shared" si="196"/>
        <v>1170.2546937153827</v>
      </c>
      <c r="T1121" s="1">
        <f t="shared" si="197"/>
        <v>-1055.9812277338131</v>
      </c>
    </row>
    <row r="1122" spans="6:20" x14ac:dyDescent="0.35">
      <c r="F1122" s="1">
        <f t="shared" si="193"/>
        <v>22.379999999999612</v>
      </c>
      <c r="G1122">
        <f>1/2*$B$8*$B$6*$B$7*(Tabelle2[[#This Row],[vx]]*Tabelle2[[#This Row],[vx]]+Tabelle2[[#This Row],[vy]]*Tabelle2[[#This Row],[vy]])/1000000</f>
        <v>48.544693549299673</v>
      </c>
      <c r="H1122">
        <f>IF($B$3,-Tabelle2[[#This Row],[Fd]]*Tabelle2[[#This Row],[vx]]/Tabelle2[[#This Row],[v]],0)</f>
        <v>0</v>
      </c>
      <c r="I1122">
        <f t="shared" si="187"/>
        <v>0</v>
      </c>
      <c r="J1122">
        <f t="shared" si="188"/>
        <v>0</v>
      </c>
      <c r="K1122">
        <f t="shared" si="189"/>
        <v>1.0467394398169905</v>
      </c>
      <c r="L1122">
        <f>-$B$5*$B$12-IF($B$3,Tabelle2[[#This Row],[Fd]]*Tabelle2[[#This Row],[vy]]/Tabelle2[[#This Row],[v]],0)</f>
        <v>-14.715</v>
      </c>
      <c r="M1122">
        <f t="shared" si="190"/>
        <v>-9.81</v>
      </c>
      <c r="N1122">
        <f t="shared" si="191"/>
        <v>-0.19620000000000001</v>
      </c>
      <c r="O1122">
        <f t="shared" si="192"/>
        <v>-3.1454625120880806</v>
      </c>
      <c r="P1122" s="1">
        <f t="shared" si="194"/>
        <v>52.336971990849527</v>
      </c>
      <c r="Q1122" s="1">
        <f t="shared" si="195"/>
        <v>-157.17502560440403</v>
      </c>
      <c r="R1122">
        <f>SQRT(Tabelle2[[#This Row],[vx]]*Tabelle2[[#This Row],[vx]]+Tabelle2[[#This Row],[vy]]*Tabelle2[[#This Row],[vy]])</f>
        <v>165.65973352301407</v>
      </c>
      <c r="S1122">
        <f t="shared" si="196"/>
        <v>1171.3014331551997</v>
      </c>
      <c r="T1122" s="1">
        <f t="shared" si="197"/>
        <v>-1059.1227662459012</v>
      </c>
    </row>
    <row r="1123" spans="6:20" x14ac:dyDescent="0.35">
      <c r="F1123" s="1">
        <f t="shared" si="193"/>
        <v>22.399999999999611</v>
      </c>
      <c r="G1123">
        <f>1/2*$B$8*$B$6*$B$7*(Tabelle2[[#This Row],[vx]]*Tabelle2[[#This Row],[vx]]+Tabelle2[[#This Row],[vy]]*Tabelle2[[#This Row],[vy]])/1000000</f>
        <v>48.653860546264248</v>
      </c>
      <c r="H1123">
        <f>IF($B$3,-Tabelle2[[#This Row],[Fd]]*Tabelle2[[#This Row],[vx]]/Tabelle2[[#This Row],[v]],0)</f>
        <v>0</v>
      </c>
      <c r="I1123">
        <f t="shared" si="187"/>
        <v>0</v>
      </c>
      <c r="J1123">
        <f t="shared" si="188"/>
        <v>0</v>
      </c>
      <c r="K1123">
        <f t="shared" si="189"/>
        <v>1.0467394398169905</v>
      </c>
      <c r="L1123">
        <f>-$B$5*$B$12-IF($B$3,Tabelle2[[#This Row],[Fd]]*Tabelle2[[#This Row],[vy]]/Tabelle2[[#This Row],[v]],0)</f>
        <v>-14.715</v>
      </c>
      <c r="M1123">
        <f t="shared" si="190"/>
        <v>-9.81</v>
      </c>
      <c r="N1123">
        <f t="shared" si="191"/>
        <v>-0.19620000000000001</v>
      </c>
      <c r="O1123">
        <f t="shared" si="192"/>
        <v>-3.1493865120880806</v>
      </c>
      <c r="P1123" s="1">
        <f t="shared" si="194"/>
        <v>52.336971990849527</v>
      </c>
      <c r="Q1123" s="1">
        <f t="shared" si="195"/>
        <v>-157.37122560440403</v>
      </c>
      <c r="R1123">
        <f>SQRT(Tabelle2[[#This Row],[vx]]*Tabelle2[[#This Row],[vx]]+Tabelle2[[#This Row],[vy]]*Tabelle2[[#This Row],[vy]])</f>
        <v>165.84589619705156</v>
      </c>
      <c r="S1123">
        <f t="shared" si="196"/>
        <v>1172.3481725950166</v>
      </c>
      <c r="T1123" s="1">
        <f t="shared" si="197"/>
        <v>-1062.2682287579892</v>
      </c>
    </row>
    <row r="1124" spans="6:20" x14ac:dyDescent="0.35">
      <c r="F1124" s="1">
        <f t="shared" si="193"/>
        <v>22.419999999999611</v>
      </c>
      <c r="G1124">
        <f>1/2*$B$8*$B$6*$B$7*(Tabelle2[[#This Row],[vx]]*Tabelle2[[#This Row],[vx]]+Tabelle2[[#This Row],[vy]]*Tabelle2[[#This Row],[vy]])/1000000</f>
        <v>48.763163730290152</v>
      </c>
      <c r="H1124">
        <f>IF($B$3,-Tabelle2[[#This Row],[Fd]]*Tabelle2[[#This Row],[vx]]/Tabelle2[[#This Row],[v]],0)</f>
        <v>0</v>
      </c>
      <c r="I1124">
        <f t="shared" si="187"/>
        <v>0</v>
      </c>
      <c r="J1124">
        <f t="shared" si="188"/>
        <v>0</v>
      </c>
      <c r="K1124">
        <f t="shared" si="189"/>
        <v>1.0467394398169905</v>
      </c>
      <c r="L1124">
        <f>-$B$5*$B$12-IF($B$3,Tabelle2[[#This Row],[Fd]]*Tabelle2[[#This Row],[vy]]/Tabelle2[[#This Row],[v]],0)</f>
        <v>-14.715</v>
      </c>
      <c r="M1124">
        <f t="shared" si="190"/>
        <v>-9.81</v>
      </c>
      <c r="N1124">
        <f t="shared" si="191"/>
        <v>-0.19620000000000001</v>
      </c>
      <c r="O1124">
        <f t="shared" si="192"/>
        <v>-3.1533105120880807</v>
      </c>
      <c r="P1124" s="1">
        <f t="shared" si="194"/>
        <v>52.336971990849527</v>
      </c>
      <c r="Q1124" s="1">
        <f t="shared" si="195"/>
        <v>-157.56742560440404</v>
      </c>
      <c r="R1124">
        <f>SQRT(Tabelle2[[#This Row],[vx]]*Tabelle2[[#This Row],[vx]]+Tabelle2[[#This Row],[vy]]*Tabelle2[[#This Row],[vy]])</f>
        <v>166.03208198649551</v>
      </c>
      <c r="S1124">
        <f t="shared" si="196"/>
        <v>1173.3949120348336</v>
      </c>
      <c r="T1124" s="1">
        <f t="shared" si="197"/>
        <v>-1065.4176152700772</v>
      </c>
    </row>
    <row r="1125" spans="6:20" x14ac:dyDescent="0.35">
      <c r="F1125" s="1">
        <f t="shared" si="193"/>
        <v>22.43999999999961</v>
      </c>
      <c r="G1125">
        <f>1/2*$B$8*$B$6*$B$7*(Tabelle2[[#This Row],[vx]]*Tabelle2[[#This Row],[vx]]+Tabelle2[[#This Row],[vy]]*Tabelle2[[#This Row],[vy]])/1000000</f>
        <v>48.872603101377408</v>
      </c>
      <c r="H1125">
        <f>IF($B$3,-Tabelle2[[#This Row],[Fd]]*Tabelle2[[#This Row],[vx]]/Tabelle2[[#This Row],[v]],0)</f>
        <v>0</v>
      </c>
      <c r="I1125">
        <f t="shared" si="187"/>
        <v>0</v>
      </c>
      <c r="J1125">
        <f t="shared" si="188"/>
        <v>0</v>
      </c>
      <c r="K1125">
        <f t="shared" si="189"/>
        <v>1.0467394398169905</v>
      </c>
      <c r="L1125">
        <f>-$B$5*$B$12-IF($B$3,Tabelle2[[#This Row],[Fd]]*Tabelle2[[#This Row],[vy]]/Tabelle2[[#This Row],[v]],0)</f>
        <v>-14.715</v>
      </c>
      <c r="M1125">
        <f t="shared" si="190"/>
        <v>-9.81</v>
      </c>
      <c r="N1125">
        <f t="shared" si="191"/>
        <v>-0.19620000000000001</v>
      </c>
      <c r="O1125">
        <f t="shared" si="192"/>
        <v>-3.1572345120880807</v>
      </c>
      <c r="P1125" s="1">
        <f t="shared" si="194"/>
        <v>52.336971990849527</v>
      </c>
      <c r="Q1125" s="1">
        <f t="shared" si="195"/>
        <v>-157.76362560440404</v>
      </c>
      <c r="R1125">
        <f>SQRT(Tabelle2[[#This Row],[vx]]*Tabelle2[[#This Row],[vx]]+Tabelle2[[#This Row],[vy]]*Tabelle2[[#This Row],[vy]])</f>
        <v>166.21829081366928</v>
      </c>
      <c r="S1125">
        <f t="shared" si="196"/>
        <v>1174.4416514746506</v>
      </c>
      <c r="T1125" s="1">
        <f t="shared" si="197"/>
        <v>-1068.5709257821654</v>
      </c>
    </row>
    <row r="1126" spans="6:20" x14ac:dyDescent="0.35">
      <c r="F1126" s="1">
        <f t="shared" si="193"/>
        <v>22.45999999999961</v>
      </c>
      <c r="G1126">
        <f>1/2*$B$8*$B$6*$B$7*(Tabelle2[[#This Row],[vx]]*Tabelle2[[#This Row],[vx]]+Tabelle2[[#This Row],[vy]]*Tabelle2[[#This Row],[vy]])/1000000</f>
        <v>48.982178659526014</v>
      </c>
      <c r="H1126">
        <f>IF($B$3,-Tabelle2[[#This Row],[Fd]]*Tabelle2[[#This Row],[vx]]/Tabelle2[[#This Row],[v]],0)</f>
        <v>0</v>
      </c>
      <c r="I1126">
        <f t="shared" si="187"/>
        <v>0</v>
      </c>
      <c r="J1126">
        <f t="shared" si="188"/>
        <v>0</v>
      </c>
      <c r="K1126">
        <f t="shared" si="189"/>
        <v>1.0467394398169905</v>
      </c>
      <c r="L1126">
        <f>-$B$5*$B$12-IF($B$3,Tabelle2[[#This Row],[Fd]]*Tabelle2[[#This Row],[vy]]/Tabelle2[[#This Row],[v]],0)</f>
        <v>-14.715</v>
      </c>
      <c r="M1126">
        <f t="shared" si="190"/>
        <v>-9.81</v>
      </c>
      <c r="N1126">
        <f t="shared" si="191"/>
        <v>-0.19620000000000001</v>
      </c>
      <c r="O1126">
        <f t="shared" si="192"/>
        <v>-3.1611585120880807</v>
      </c>
      <c r="P1126" s="1">
        <f t="shared" si="194"/>
        <v>52.336971990849527</v>
      </c>
      <c r="Q1126" s="1">
        <f t="shared" si="195"/>
        <v>-157.95982560440405</v>
      </c>
      <c r="R1126">
        <f>SQRT(Tabelle2[[#This Row],[vx]]*Tabelle2[[#This Row],[vx]]+Tabelle2[[#This Row],[vy]]*Tabelle2[[#This Row],[vy]])</f>
        <v>166.40452260123433</v>
      </c>
      <c r="S1126">
        <f t="shared" si="196"/>
        <v>1175.4883909144676</v>
      </c>
      <c r="T1126" s="1">
        <f t="shared" si="197"/>
        <v>-1071.7281602942535</v>
      </c>
    </row>
    <row r="1127" spans="6:20" x14ac:dyDescent="0.35">
      <c r="F1127" s="1">
        <f t="shared" si="193"/>
        <v>22.47999999999961</v>
      </c>
      <c r="G1127">
        <f>1/2*$B$8*$B$6*$B$7*(Tabelle2[[#This Row],[vx]]*Tabelle2[[#This Row],[vx]]+Tabelle2[[#This Row],[vy]]*Tabelle2[[#This Row],[vy]])/1000000</f>
        <v>49.091890404735956</v>
      </c>
      <c r="H1127">
        <f>IF($B$3,-Tabelle2[[#This Row],[Fd]]*Tabelle2[[#This Row],[vx]]/Tabelle2[[#This Row],[v]],0)</f>
        <v>0</v>
      </c>
      <c r="I1127">
        <f t="shared" si="187"/>
        <v>0</v>
      </c>
      <c r="J1127">
        <f t="shared" si="188"/>
        <v>0</v>
      </c>
      <c r="K1127">
        <f t="shared" si="189"/>
        <v>1.0467394398169905</v>
      </c>
      <c r="L1127">
        <f>-$B$5*$B$12-IF($B$3,Tabelle2[[#This Row],[Fd]]*Tabelle2[[#This Row],[vy]]/Tabelle2[[#This Row],[v]],0)</f>
        <v>-14.715</v>
      </c>
      <c r="M1127">
        <f t="shared" si="190"/>
        <v>-9.81</v>
      </c>
      <c r="N1127">
        <f t="shared" si="191"/>
        <v>-0.19620000000000001</v>
      </c>
      <c r="O1127">
        <f t="shared" si="192"/>
        <v>-3.1650825120880808</v>
      </c>
      <c r="P1127" s="1">
        <f t="shared" si="194"/>
        <v>52.336971990849527</v>
      </c>
      <c r="Q1127" s="1">
        <f t="shared" si="195"/>
        <v>-158.15602560440405</v>
      </c>
      <c r="R1127">
        <f>SQRT(Tabelle2[[#This Row],[vx]]*Tabelle2[[#This Row],[vx]]+Tabelle2[[#This Row],[vy]]*Tabelle2[[#This Row],[vy]])</f>
        <v>166.59077727218838</v>
      </c>
      <c r="S1127">
        <f t="shared" si="196"/>
        <v>1176.5351303542845</v>
      </c>
      <c r="T1127" s="1">
        <f t="shared" si="197"/>
        <v>-1074.8893188063416</v>
      </c>
    </row>
    <row r="1128" spans="6:20" x14ac:dyDescent="0.35">
      <c r="F1128" s="1">
        <f t="shared" si="193"/>
        <v>22.499999999999609</v>
      </c>
      <c r="G1128">
        <f>1/2*$B$8*$B$6*$B$7*(Tabelle2[[#This Row],[vx]]*Tabelle2[[#This Row],[vx]]+Tabelle2[[#This Row],[vy]]*Tabelle2[[#This Row],[vy]])/1000000</f>
        <v>49.201738337007242</v>
      </c>
      <c r="H1128">
        <f>IF($B$3,-Tabelle2[[#This Row],[Fd]]*Tabelle2[[#This Row],[vx]]/Tabelle2[[#This Row],[v]],0)</f>
        <v>0</v>
      </c>
      <c r="I1128">
        <f t="shared" si="187"/>
        <v>0</v>
      </c>
      <c r="J1128">
        <f t="shared" si="188"/>
        <v>0</v>
      </c>
      <c r="K1128">
        <f t="shared" si="189"/>
        <v>1.0467394398169905</v>
      </c>
      <c r="L1128">
        <f>-$B$5*$B$12-IF($B$3,Tabelle2[[#This Row],[Fd]]*Tabelle2[[#This Row],[vy]]/Tabelle2[[#This Row],[v]],0)</f>
        <v>-14.715</v>
      </c>
      <c r="M1128">
        <f t="shared" si="190"/>
        <v>-9.81</v>
      </c>
      <c r="N1128">
        <f t="shared" si="191"/>
        <v>-0.19620000000000001</v>
      </c>
      <c r="O1128">
        <f t="shared" si="192"/>
        <v>-3.1690065120880808</v>
      </c>
      <c r="P1128" s="1">
        <f t="shared" si="194"/>
        <v>52.336971990849527</v>
      </c>
      <c r="Q1128" s="1">
        <f t="shared" si="195"/>
        <v>-158.35222560440405</v>
      </c>
      <c r="R1128">
        <f>SQRT(Tabelle2[[#This Row],[vx]]*Tabelle2[[#This Row],[vx]]+Tabelle2[[#This Row],[vy]]*Tabelle2[[#This Row],[vy]])</f>
        <v>166.77705474986374</v>
      </c>
      <c r="S1128">
        <f t="shared" si="196"/>
        <v>1177.5818697941015</v>
      </c>
      <c r="T1128" s="1">
        <f t="shared" si="197"/>
        <v>-1078.0544013184297</v>
      </c>
    </row>
    <row r="1129" spans="6:20" x14ac:dyDescent="0.35">
      <c r="F1129" s="1">
        <f t="shared" si="193"/>
        <v>22.519999999999609</v>
      </c>
      <c r="G1129">
        <f>1/2*$B$8*$B$6*$B$7*(Tabelle2[[#This Row],[vx]]*Tabelle2[[#This Row],[vx]]+Tabelle2[[#This Row],[vy]]*Tabelle2[[#This Row],[vy]])/1000000</f>
        <v>49.311722456339872</v>
      </c>
      <c r="H1129">
        <f>IF($B$3,-Tabelle2[[#This Row],[Fd]]*Tabelle2[[#This Row],[vx]]/Tabelle2[[#This Row],[v]],0)</f>
        <v>0</v>
      </c>
      <c r="I1129">
        <f t="shared" si="187"/>
        <v>0</v>
      </c>
      <c r="J1129">
        <f t="shared" si="188"/>
        <v>0</v>
      </c>
      <c r="K1129">
        <f t="shared" si="189"/>
        <v>1.0467394398169905</v>
      </c>
      <c r="L1129">
        <f>-$B$5*$B$12-IF($B$3,Tabelle2[[#This Row],[Fd]]*Tabelle2[[#This Row],[vy]]/Tabelle2[[#This Row],[v]],0)</f>
        <v>-14.715</v>
      </c>
      <c r="M1129">
        <f t="shared" si="190"/>
        <v>-9.81</v>
      </c>
      <c r="N1129">
        <f t="shared" si="191"/>
        <v>-0.19620000000000001</v>
      </c>
      <c r="O1129">
        <f t="shared" si="192"/>
        <v>-3.1729305120880809</v>
      </c>
      <c r="P1129" s="1">
        <f t="shared" si="194"/>
        <v>52.336971990849527</v>
      </c>
      <c r="Q1129" s="1">
        <f t="shared" si="195"/>
        <v>-158.54842560440406</v>
      </c>
      <c r="R1129">
        <f>SQRT(Tabelle2[[#This Row],[vx]]*Tabelle2[[#This Row],[vx]]+Tabelle2[[#This Row],[vy]]*Tabelle2[[#This Row],[vy]])</f>
        <v>166.96335495792547</v>
      </c>
      <c r="S1129">
        <f t="shared" si="196"/>
        <v>1178.6286092339185</v>
      </c>
      <c r="T1129" s="1">
        <f t="shared" si="197"/>
        <v>-1081.2234078305178</v>
      </c>
    </row>
    <row r="1130" spans="6:20" x14ac:dyDescent="0.35">
      <c r="F1130" s="1">
        <f t="shared" si="193"/>
        <v>22.539999999999608</v>
      </c>
      <c r="G1130">
        <f>1/2*$B$8*$B$6*$B$7*(Tabelle2[[#This Row],[vx]]*Tabelle2[[#This Row],[vx]]+Tabelle2[[#This Row],[vy]]*Tabelle2[[#This Row],[vy]])/1000000</f>
        <v>49.421842762733846</v>
      </c>
      <c r="H1130">
        <f>IF($B$3,-Tabelle2[[#This Row],[Fd]]*Tabelle2[[#This Row],[vx]]/Tabelle2[[#This Row],[v]],0)</f>
        <v>0</v>
      </c>
      <c r="I1130">
        <f t="shared" si="187"/>
        <v>0</v>
      </c>
      <c r="J1130">
        <f t="shared" si="188"/>
        <v>0</v>
      </c>
      <c r="K1130">
        <f t="shared" si="189"/>
        <v>1.0467394398169905</v>
      </c>
      <c r="L1130">
        <f>-$B$5*$B$12-IF($B$3,Tabelle2[[#This Row],[Fd]]*Tabelle2[[#This Row],[vy]]/Tabelle2[[#This Row],[v]],0)</f>
        <v>-14.715</v>
      </c>
      <c r="M1130">
        <f t="shared" si="190"/>
        <v>-9.81</v>
      </c>
      <c r="N1130">
        <f t="shared" si="191"/>
        <v>-0.19620000000000001</v>
      </c>
      <c r="O1130">
        <f t="shared" si="192"/>
        <v>-3.1768545120880809</v>
      </c>
      <c r="P1130" s="1">
        <f t="shared" si="194"/>
        <v>52.336971990849527</v>
      </c>
      <c r="Q1130" s="1">
        <f t="shared" si="195"/>
        <v>-158.74462560440406</v>
      </c>
      <c r="R1130">
        <f>SQRT(Tabelle2[[#This Row],[vx]]*Tabelle2[[#This Row],[vx]]+Tabelle2[[#This Row],[vy]]*Tabelle2[[#This Row],[vy]])</f>
        <v>167.14967782036967</v>
      </c>
      <c r="S1130">
        <f t="shared" si="196"/>
        <v>1179.6753486737355</v>
      </c>
      <c r="T1130" s="1">
        <f t="shared" si="197"/>
        <v>-1084.3963383426058</v>
      </c>
    </row>
    <row r="1131" spans="6:20" x14ac:dyDescent="0.35">
      <c r="F1131" s="1">
        <f t="shared" si="193"/>
        <v>22.559999999999608</v>
      </c>
      <c r="G1131">
        <f>1/2*$B$8*$B$6*$B$7*(Tabelle2[[#This Row],[vx]]*Tabelle2[[#This Row],[vx]]+Tabelle2[[#This Row],[vy]]*Tabelle2[[#This Row],[vy]])/1000000</f>
        <v>49.532099256189163</v>
      </c>
      <c r="H1131">
        <f>IF($B$3,-Tabelle2[[#This Row],[Fd]]*Tabelle2[[#This Row],[vx]]/Tabelle2[[#This Row],[v]],0)</f>
        <v>0</v>
      </c>
      <c r="I1131">
        <f t="shared" si="187"/>
        <v>0</v>
      </c>
      <c r="J1131">
        <f t="shared" si="188"/>
        <v>0</v>
      </c>
      <c r="K1131">
        <f t="shared" si="189"/>
        <v>1.0467394398169905</v>
      </c>
      <c r="L1131">
        <f>-$B$5*$B$12-IF($B$3,Tabelle2[[#This Row],[Fd]]*Tabelle2[[#This Row],[vy]]/Tabelle2[[#This Row],[v]],0)</f>
        <v>-14.715</v>
      </c>
      <c r="M1131">
        <f t="shared" si="190"/>
        <v>-9.81</v>
      </c>
      <c r="N1131">
        <f t="shared" si="191"/>
        <v>-0.19620000000000001</v>
      </c>
      <c r="O1131">
        <f t="shared" si="192"/>
        <v>-3.1807785120880814</v>
      </c>
      <c r="P1131" s="1">
        <f t="shared" si="194"/>
        <v>52.336971990849527</v>
      </c>
      <c r="Q1131" s="1">
        <f t="shared" si="195"/>
        <v>-158.94082560440407</v>
      </c>
      <c r="R1131">
        <f>SQRT(Tabelle2[[#This Row],[vx]]*Tabelle2[[#This Row],[vx]]+Tabelle2[[#This Row],[vy]]*Tabelle2[[#This Row],[vy]])</f>
        <v>167.33602326152177</v>
      </c>
      <c r="S1131">
        <f t="shared" si="196"/>
        <v>1180.7220881135524</v>
      </c>
      <c r="T1131" s="1">
        <f t="shared" si="197"/>
        <v>-1087.5731928546938</v>
      </c>
    </row>
    <row r="1132" spans="6:20" x14ac:dyDescent="0.35">
      <c r="F1132" s="1">
        <f t="shared" si="193"/>
        <v>22.579999999999607</v>
      </c>
      <c r="G1132">
        <f>1/2*$B$8*$B$6*$B$7*(Tabelle2[[#This Row],[vx]]*Tabelle2[[#This Row],[vx]]+Tabelle2[[#This Row],[vy]]*Tabelle2[[#This Row],[vy]])/1000000</f>
        <v>49.642491936705831</v>
      </c>
      <c r="H1132">
        <f>IF($B$3,-Tabelle2[[#This Row],[Fd]]*Tabelle2[[#This Row],[vx]]/Tabelle2[[#This Row],[v]],0)</f>
        <v>0</v>
      </c>
      <c r="I1132">
        <f t="shared" si="187"/>
        <v>0</v>
      </c>
      <c r="J1132">
        <f t="shared" si="188"/>
        <v>0</v>
      </c>
      <c r="K1132">
        <f t="shared" si="189"/>
        <v>1.0467394398169905</v>
      </c>
      <c r="L1132">
        <f>-$B$5*$B$12-IF($B$3,Tabelle2[[#This Row],[Fd]]*Tabelle2[[#This Row],[vy]]/Tabelle2[[#This Row],[v]],0)</f>
        <v>-14.715</v>
      </c>
      <c r="M1132">
        <f t="shared" si="190"/>
        <v>-9.81</v>
      </c>
      <c r="N1132">
        <f t="shared" si="191"/>
        <v>-0.19620000000000001</v>
      </c>
      <c r="O1132">
        <f t="shared" si="192"/>
        <v>-3.1847025120880814</v>
      </c>
      <c r="P1132" s="1">
        <f t="shared" si="194"/>
        <v>52.336971990849527</v>
      </c>
      <c r="Q1132" s="1">
        <f t="shared" si="195"/>
        <v>-159.13702560440407</v>
      </c>
      <c r="R1132">
        <f>SQRT(Tabelle2[[#This Row],[vx]]*Tabelle2[[#This Row],[vx]]+Tabelle2[[#This Row],[vy]]*Tabelle2[[#This Row],[vy]])</f>
        <v>167.52239120603468</v>
      </c>
      <c r="S1132">
        <f t="shared" si="196"/>
        <v>1181.7688275533694</v>
      </c>
      <c r="T1132" s="1">
        <f t="shared" si="197"/>
        <v>-1090.753971366782</v>
      </c>
    </row>
    <row r="1133" spans="6:20" x14ac:dyDescent="0.35">
      <c r="F1133" s="1">
        <f t="shared" si="193"/>
        <v>22.599999999999607</v>
      </c>
      <c r="G1133">
        <f>1/2*$B$8*$B$6*$B$7*(Tabelle2[[#This Row],[vx]]*Tabelle2[[#This Row],[vx]]+Tabelle2[[#This Row],[vy]]*Tabelle2[[#This Row],[vy]])/1000000</f>
        <v>49.753020804283835</v>
      </c>
      <c r="H1133">
        <f>IF($B$3,-Tabelle2[[#This Row],[Fd]]*Tabelle2[[#This Row],[vx]]/Tabelle2[[#This Row],[v]],0)</f>
        <v>0</v>
      </c>
      <c r="I1133">
        <f t="shared" si="187"/>
        <v>0</v>
      </c>
      <c r="J1133">
        <f t="shared" si="188"/>
        <v>0</v>
      </c>
      <c r="K1133">
        <f t="shared" si="189"/>
        <v>1.0467394398169905</v>
      </c>
      <c r="L1133">
        <f>-$B$5*$B$12-IF($B$3,Tabelle2[[#This Row],[Fd]]*Tabelle2[[#This Row],[vy]]/Tabelle2[[#This Row],[v]],0)</f>
        <v>-14.715</v>
      </c>
      <c r="M1133">
        <f t="shared" si="190"/>
        <v>-9.81</v>
      </c>
      <c r="N1133">
        <f t="shared" si="191"/>
        <v>-0.19620000000000001</v>
      </c>
      <c r="O1133">
        <f t="shared" si="192"/>
        <v>-3.1886265120880815</v>
      </c>
      <c r="P1133" s="1">
        <f t="shared" si="194"/>
        <v>52.336971990849527</v>
      </c>
      <c r="Q1133" s="1">
        <f t="shared" si="195"/>
        <v>-159.33322560440408</v>
      </c>
      <c r="R1133">
        <f>SQRT(Tabelle2[[#This Row],[vx]]*Tabelle2[[#This Row],[vx]]+Tabelle2[[#This Row],[vy]]*Tabelle2[[#This Row],[vy]])</f>
        <v>167.7087815788872</v>
      </c>
      <c r="S1133">
        <f t="shared" si="196"/>
        <v>1182.8155669931864</v>
      </c>
      <c r="T1133" s="1">
        <f t="shared" si="197"/>
        <v>-1093.9386738788701</v>
      </c>
    </row>
    <row r="1134" spans="6:20" x14ac:dyDescent="0.35">
      <c r="F1134" s="1">
        <f t="shared" si="193"/>
        <v>22.619999999999607</v>
      </c>
      <c r="G1134">
        <f>1/2*$B$8*$B$6*$B$7*(Tabelle2[[#This Row],[vx]]*Tabelle2[[#This Row],[vx]]+Tabelle2[[#This Row],[vy]]*Tabelle2[[#This Row],[vy]])/1000000</f>
        <v>49.863685858923184</v>
      </c>
      <c r="H1134">
        <f>IF($B$3,-Tabelle2[[#This Row],[Fd]]*Tabelle2[[#This Row],[vx]]/Tabelle2[[#This Row],[v]],0)</f>
        <v>0</v>
      </c>
      <c r="I1134">
        <f t="shared" si="187"/>
        <v>0</v>
      </c>
      <c r="J1134">
        <f t="shared" si="188"/>
        <v>0</v>
      </c>
      <c r="K1134">
        <f t="shared" si="189"/>
        <v>1.0467394398169905</v>
      </c>
      <c r="L1134">
        <f>-$B$5*$B$12-IF($B$3,Tabelle2[[#This Row],[Fd]]*Tabelle2[[#This Row],[vy]]/Tabelle2[[#This Row],[v]],0)</f>
        <v>-14.715</v>
      </c>
      <c r="M1134">
        <f t="shared" si="190"/>
        <v>-9.81</v>
      </c>
      <c r="N1134">
        <f t="shared" si="191"/>
        <v>-0.19620000000000001</v>
      </c>
      <c r="O1134">
        <f t="shared" si="192"/>
        <v>-3.1925505120880815</v>
      </c>
      <c r="P1134" s="1">
        <f t="shared" si="194"/>
        <v>52.336971990849527</v>
      </c>
      <c r="Q1134" s="1">
        <f t="shared" si="195"/>
        <v>-159.52942560440408</v>
      </c>
      <c r="R1134">
        <f>SQRT(Tabelle2[[#This Row],[vx]]*Tabelle2[[#This Row],[vx]]+Tabelle2[[#This Row],[vy]]*Tabelle2[[#This Row],[vy]])</f>
        <v>167.89519430538226</v>
      </c>
      <c r="S1134">
        <f t="shared" si="196"/>
        <v>1183.8623064330034</v>
      </c>
      <c r="T1134" s="1">
        <f t="shared" si="197"/>
        <v>-1097.1273003909582</v>
      </c>
    </row>
    <row r="1135" spans="6:20" x14ac:dyDescent="0.35">
      <c r="F1135" s="1">
        <f t="shared" si="193"/>
        <v>22.639999999999606</v>
      </c>
      <c r="G1135">
        <f>1/2*$B$8*$B$6*$B$7*(Tabelle2[[#This Row],[vx]]*Tabelle2[[#This Row],[vx]]+Tabelle2[[#This Row],[vy]]*Tabelle2[[#This Row],[vy]])/1000000</f>
        <v>49.974487100623882</v>
      </c>
      <c r="H1135">
        <f>IF($B$3,-Tabelle2[[#This Row],[Fd]]*Tabelle2[[#This Row],[vx]]/Tabelle2[[#This Row],[v]],0)</f>
        <v>0</v>
      </c>
      <c r="I1135">
        <f t="shared" si="187"/>
        <v>0</v>
      </c>
      <c r="J1135">
        <f t="shared" si="188"/>
        <v>0</v>
      </c>
      <c r="K1135">
        <f t="shared" si="189"/>
        <v>1.0467394398169905</v>
      </c>
      <c r="L1135">
        <f>-$B$5*$B$12-IF($B$3,Tabelle2[[#This Row],[Fd]]*Tabelle2[[#This Row],[vy]]/Tabelle2[[#This Row],[v]],0)</f>
        <v>-14.715</v>
      </c>
      <c r="M1135">
        <f t="shared" si="190"/>
        <v>-9.81</v>
      </c>
      <c r="N1135">
        <f t="shared" si="191"/>
        <v>-0.19620000000000001</v>
      </c>
      <c r="O1135">
        <f t="shared" si="192"/>
        <v>-3.1964745120880815</v>
      </c>
      <c r="P1135" s="1">
        <f t="shared" si="194"/>
        <v>52.336971990849527</v>
      </c>
      <c r="Q1135" s="1">
        <f t="shared" si="195"/>
        <v>-159.72562560440409</v>
      </c>
      <c r="R1135">
        <f>SQRT(Tabelle2[[#This Row],[vx]]*Tabelle2[[#This Row],[vx]]+Tabelle2[[#This Row],[vy]]*Tabelle2[[#This Row],[vy]])</f>
        <v>168.08162931114524</v>
      </c>
      <c r="S1135">
        <f t="shared" si="196"/>
        <v>1184.9090458728203</v>
      </c>
      <c r="T1135" s="1">
        <f t="shared" si="197"/>
        <v>-1100.3198509030462</v>
      </c>
    </row>
    <row r="1136" spans="6:20" x14ac:dyDescent="0.35">
      <c r="F1136" s="1">
        <f t="shared" si="193"/>
        <v>22.659999999999606</v>
      </c>
      <c r="G1136">
        <f>1/2*$B$8*$B$6*$B$7*(Tabelle2[[#This Row],[vx]]*Tabelle2[[#This Row],[vx]]+Tabelle2[[#This Row],[vy]]*Tabelle2[[#This Row],[vy]])/1000000</f>
        <v>50.085424529385918</v>
      </c>
      <c r="H1136">
        <f>IF($B$3,-Tabelle2[[#This Row],[Fd]]*Tabelle2[[#This Row],[vx]]/Tabelle2[[#This Row],[v]],0)</f>
        <v>0</v>
      </c>
      <c r="I1136">
        <f t="shared" si="187"/>
        <v>0</v>
      </c>
      <c r="J1136">
        <f t="shared" si="188"/>
        <v>0</v>
      </c>
      <c r="K1136">
        <f t="shared" si="189"/>
        <v>1.0467394398169905</v>
      </c>
      <c r="L1136">
        <f>-$B$5*$B$12-IF($B$3,Tabelle2[[#This Row],[Fd]]*Tabelle2[[#This Row],[vy]]/Tabelle2[[#This Row],[v]],0)</f>
        <v>-14.715</v>
      </c>
      <c r="M1136">
        <f t="shared" si="190"/>
        <v>-9.81</v>
      </c>
      <c r="N1136">
        <f t="shared" si="191"/>
        <v>-0.19620000000000001</v>
      </c>
      <c r="O1136">
        <f t="shared" si="192"/>
        <v>-3.2003985120880816</v>
      </c>
      <c r="P1136" s="1">
        <f t="shared" si="194"/>
        <v>52.336971990849527</v>
      </c>
      <c r="Q1136" s="1">
        <f t="shared" si="195"/>
        <v>-159.92182560440409</v>
      </c>
      <c r="R1136">
        <f>SQRT(Tabelle2[[#This Row],[vx]]*Tabelle2[[#This Row],[vx]]+Tabelle2[[#This Row],[vy]]*Tabelle2[[#This Row],[vy]])</f>
        <v>168.26808652212219</v>
      </c>
      <c r="S1136">
        <f t="shared" si="196"/>
        <v>1185.9557853126373</v>
      </c>
      <c r="T1136" s="1">
        <f t="shared" si="197"/>
        <v>-1103.5163254151344</v>
      </c>
    </row>
    <row r="1137" spans="6:20" x14ac:dyDescent="0.35">
      <c r="F1137" s="1">
        <f t="shared" si="193"/>
        <v>22.679999999999605</v>
      </c>
      <c r="G1137">
        <f>1/2*$B$8*$B$6*$B$7*(Tabelle2[[#This Row],[vx]]*Tabelle2[[#This Row],[vx]]+Tabelle2[[#This Row],[vy]]*Tabelle2[[#This Row],[vy]])/1000000</f>
        <v>50.196498145209304</v>
      </c>
      <c r="H1137">
        <f>IF($B$3,-Tabelle2[[#This Row],[Fd]]*Tabelle2[[#This Row],[vx]]/Tabelle2[[#This Row],[v]],0)</f>
        <v>0</v>
      </c>
      <c r="I1137">
        <f t="shared" si="187"/>
        <v>0</v>
      </c>
      <c r="J1137">
        <f t="shared" si="188"/>
        <v>0</v>
      </c>
      <c r="K1137">
        <f t="shared" si="189"/>
        <v>1.0467394398169905</v>
      </c>
      <c r="L1137">
        <f>-$B$5*$B$12-IF($B$3,Tabelle2[[#This Row],[Fd]]*Tabelle2[[#This Row],[vy]]/Tabelle2[[#This Row],[v]],0)</f>
        <v>-14.715</v>
      </c>
      <c r="M1137">
        <f t="shared" si="190"/>
        <v>-9.81</v>
      </c>
      <c r="N1137">
        <f t="shared" si="191"/>
        <v>-0.19620000000000001</v>
      </c>
      <c r="O1137">
        <f t="shared" si="192"/>
        <v>-3.2043225120880816</v>
      </c>
      <c r="P1137" s="1">
        <f t="shared" si="194"/>
        <v>52.336971990849527</v>
      </c>
      <c r="Q1137" s="1">
        <f t="shared" si="195"/>
        <v>-160.1180256044041</v>
      </c>
      <c r="R1137">
        <f>SQRT(Tabelle2[[#This Row],[vx]]*Tabelle2[[#This Row],[vx]]+Tabelle2[[#This Row],[vy]]*Tabelle2[[#This Row],[vy]])</f>
        <v>168.45456586457837</v>
      </c>
      <c r="S1137">
        <f t="shared" si="196"/>
        <v>1187.0025247524543</v>
      </c>
      <c r="T1137" s="1">
        <f t="shared" si="197"/>
        <v>-1106.7167239272223</v>
      </c>
    </row>
    <row r="1138" spans="6:20" x14ac:dyDescent="0.35">
      <c r="F1138" s="1">
        <f t="shared" si="193"/>
        <v>22.699999999999605</v>
      </c>
      <c r="G1138">
        <f>1/2*$B$8*$B$6*$B$7*(Tabelle2[[#This Row],[vx]]*Tabelle2[[#This Row],[vx]]+Tabelle2[[#This Row],[vy]]*Tabelle2[[#This Row],[vy]])/1000000</f>
        <v>50.307707948094034</v>
      </c>
      <c r="H1138">
        <f>IF($B$3,-Tabelle2[[#This Row],[Fd]]*Tabelle2[[#This Row],[vx]]/Tabelle2[[#This Row],[v]],0)</f>
        <v>0</v>
      </c>
      <c r="I1138">
        <f t="shared" si="187"/>
        <v>0</v>
      </c>
      <c r="J1138">
        <f t="shared" si="188"/>
        <v>0</v>
      </c>
      <c r="K1138">
        <f t="shared" si="189"/>
        <v>1.0467394398169905</v>
      </c>
      <c r="L1138">
        <f>-$B$5*$B$12-IF($B$3,Tabelle2[[#This Row],[Fd]]*Tabelle2[[#This Row],[vy]]/Tabelle2[[#This Row],[v]],0)</f>
        <v>-14.715</v>
      </c>
      <c r="M1138">
        <f t="shared" si="190"/>
        <v>-9.81</v>
      </c>
      <c r="N1138">
        <f t="shared" si="191"/>
        <v>-0.19620000000000001</v>
      </c>
      <c r="O1138">
        <f t="shared" si="192"/>
        <v>-3.2082465120880816</v>
      </c>
      <c r="P1138" s="1">
        <f t="shared" si="194"/>
        <v>52.336971990849527</v>
      </c>
      <c r="Q1138" s="1">
        <f t="shared" si="195"/>
        <v>-160.3142256044041</v>
      </c>
      <c r="R1138">
        <f>SQRT(Tabelle2[[#This Row],[vx]]*Tabelle2[[#This Row],[vx]]+Tabelle2[[#This Row],[vy]]*Tabelle2[[#This Row],[vy]])</f>
        <v>168.64106726509632</v>
      </c>
      <c r="S1138">
        <f t="shared" si="196"/>
        <v>1188.0492641922713</v>
      </c>
      <c r="T1138" s="1">
        <f t="shared" si="197"/>
        <v>-1109.9210464393104</v>
      </c>
    </row>
    <row r="1139" spans="6:20" x14ac:dyDescent="0.35">
      <c r="F1139" s="1">
        <f t="shared" si="193"/>
        <v>22.719999999999605</v>
      </c>
      <c r="G1139">
        <f>1/2*$B$8*$B$6*$B$7*(Tabelle2[[#This Row],[vx]]*Tabelle2[[#This Row],[vx]]+Tabelle2[[#This Row],[vy]]*Tabelle2[[#This Row],[vy]])/1000000</f>
        <v>50.419053938040108</v>
      </c>
      <c r="H1139">
        <f>IF($B$3,-Tabelle2[[#This Row],[Fd]]*Tabelle2[[#This Row],[vx]]/Tabelle2[[#This Row],[v]],0)</f>
        <v>0</v>
      </c>
      <c r="I1139">
        <f t="shared" si="187"/>
        <v>0</v>
      </c>
      <c r="J1139">
        <f t="shared" si="188"/>
        <v>0</v>
      </c>
      <c r="K1139">
        <f t="shared" si="189"/>
        <v>1.0467394398169905</v>
      </c>
      <c r="L1139">
        <f>-$B$5*$B$12-IF($B$3,Tabelle2[[#This Row],[Fd]]*Tabelle2[[#This Row],[vy]]/Tabelle2[[#This Row],[v]],0)</f>
        <v>-14.715</v>
      </c>
      <c r="M1139">
        <f t="shared" si="190"/>
        <v>-9.81</v>
      </c>
      <c r="N1139">
        <f t="shared" si="191"/>
        <v>-0.19620000000000001</v>
      </c>
      <c r="O1139">
        <f t="shared" si="192"/>
        <v>-3.2121705120880821</v>
      </c>
      <c r="P1139" s="1">
        <f t="shared" si="194"/>
        <v>52.336971990849527</v>
      </c>
      <c r="Q1139" s="1">
        <f t="shared" si="195"/>
        <v>-160.51042560440411</v>
      </c>
      <c r="R1139">
        <f>SQRT(Tabelle2[[#This Row],[vx]]*Tabelle2[[#This Row],[vx]]+Tabelle2[[#This Row],[vy]]*Tabelle2[[#This Row],[vy]])</f>
        <v>168.82759065057439</v>
      </c>
      <c r="S1139">
        <f t="shared" si="196"/>
        <v>1189.0960036320882</v>
      </c>
      <c r="T1139" s="1">
        <f t="shared" si="197"/>
        <v>-1113.1292929513986</v>
      </c>
    </row>
    <row r="1140" spans="6:20" x14ac:dyDescent="0.35">
      <c r="F1140" s="1">
        <f t="shared" si="193"/>
        <v>22.739999999999604</v>
      </c>
      <c r="G1140">
        <f>1/2*$B$8*$B$6*$B$7*(Tabelle2[[#This Row],[vx]]*Tabelle2[[#This Row],[vx]]+Tabelle2[[#This Row],[vy]]*Tabelle2[[#This Row],[vy]])/1000000</f>
        <v>50.530536115047518</v>
      </c>
      <c r="H1140">
        <f>IF($B$3,-Tabelle2[[#This Row],[Fd]]*Tabelle2[[#This Row],[vx]]/Tabelle2[[#This Row],[v]],0)</f>
        <v>0</v>
      </c>
      <c r="I1140">
        <f t="shared" si="187"/>
        <v>0</v>
      </c>
      <c r="J1140">
        <f t="shared" si="188"/>
        <v>0</v>
      </c>
      <c r="K1140">
        <f t="shared" si="189"/>
        <v>1.0467394398169905</v>
      </c>
      <c r="L1140">
        <f>-$B$5*$B$12-IF($B$3,Tabelle2[[#This Row],[Fd]]*Tabelle2[[#This Row],[vy]]/Tabelle2[[#This Row],[v]],0)</f>
        <v>-14.715</v>
      </c>
      <c r="M1140">
        <f t="shared" si="190"/>
        <v>-9.81</v>
      </c>
      <c r="N1140">
        <f t="shared" si="191"/>
        <v>-0.19620000000000001</v>
      </c>
      <c r="O1140">
        <f t="shared" si="192"/>
        <v>-3.2160945120880822</v>
      </c>
      <c r="P1140" s="1">
        <f t="shared" si="194"/>
        <v>52.336971990849527</v>
      </c>
      <c r="Q1140" s="1">
        <f t="shared" si="195"/>
        <v>-160.70662560440411</v>
      </c>
      <c r="R1140">
        <f>SQRT(Tabelle2[[#This Row],[vx]]*Tabelle2[[#This Row],[vx]]+Tabelle2[[#This Row],[vy]]*Tabelle2[[#This Row],[vy]])</f>
        <v>169.014135948225</v>
      </c>
      <c r="S1140">
        <f t="shared" si="196"/>
        <v>1190.1427430719052</v>
      </c>
      <c r="T1140" s="1">
        <f t="shared" si="197"/>
        <v>-1116.3414634634867</v>
      </c>
    </row>
    <row r="1141" spans="6:20" x14ac:dyDescent="0.35">
      <c r="F1141" s="1">
        <f t="shared" si="193"/>
        <v>22.759999999999604</v>
      </c>
      <c r="G1141">
        <f>1/2*$B$8*$B$6*$B$7*(Tabelle2[[#This Row],[vx]]*Tabelle2[[#This Row],[vx]]+Tabelle2[[#This Row],[vy]]*Tabelle2[[#This Row],[vy]])/1000000</f>
        <v>50.642154479116279</v>
      </c>
      <c r="H1141">
        <f>IF($B$3,-Tabelle2[[#This Row],[Fd]]*Tabelle2[[#This Row],[vx]]/Tabelle2[[#This Row],[v]],0)</f>
        <v>0</v>
      </c>
      <c r="I1141">
        <f t="shared" si="187"/>
        <v>0</v>
      </c>
      <c r="J1141">
        <f t="shared" si="188"/>
        <v>0</v>
      </c>
      <c r="K1141">
        <f t="shared" si="189"/>
        <v>1.0467394398169905</v>
      </c>
      <c r="L1141">
        <f>-$B$5*$B$12-IF($B$3,Tabelle2[[#This Row],[Fd]]*Tabelle2[[#This Row],[vy]]/Tabelle2[[#This Row],[v]],0)</f>
        <v>-14.715</v>
      </c>
      <c r="M1141">
        <f t="shared" si="190"/>
        <v>-9.81</v>
      </c>
      <c r="N1141">
        <f t="shared" si="191"/>
        <v>-0.19620000000000001</v>
      </c>
      <c r="O1141">
        <f t="shared" si="192"/>
        <v>-3.2200185120880822</v>
      </c>
      <c r="P1141" s="1">
        <f t="shared" si="194"/>
        <v>52.336971990849527</v>
      </c>
      <c r="Q1141" s="1">
        <f t="shared" si="195"/>
        <v>-160.90282560440411</v>
      </c>
      <c r="R1141">
        <f>SQRT(Tabelle2[[#This Row],[vx]]*Tabelle2[[#This Row],[vx]]+Tabelle2[[#This Row],[vy]]*Tabelle2[[#This Row],[vy]])</f>
        <v>169.20070308557305</v>
      </c>
      <c r="S1141">
        <f t="shared" si="196"/>
        <v>1191.1894825117222</v>
      </c>
      <c r="T1141" s="1">
        <f t="shared" si="197"/>
        <v>-1119.5575579755748</v>
      </c>
    </row>
    <row r="1142" spans="6:20" x14ac:dyDescent="0.35">
      <c r="F1142" s="1">
        <f t="shared" si="193"/>
        <v>22.779999999999603</v>
      </c>
      <c r="G1142">
        <f>1/2*$B$8*$B$6*$B$7*(Tabelle2[[#This Row],[vx]]*Tabelle2[[#This Row],[vx]]+Tabelle2[[#This Row],[vy]]*Tabelle2[[#This Row],[vy]])/1000000</f>
        <v>50.753909030246376</v>
      </c>
      <c r="H1142">
        <f>IF($B$3,-Tabelle2[[#This Row],[Fd]]*Tabelle2[[#This Row],[vx]]/Tabelle2[[#This Row],[v]],0)</f>
        <v>0</v>
      </c>
      <c r="I1142">
        <f t="shared" si="187"/>
        <v>0</v>
      </c>
      <c r="J1142">
        <f t="shared" si="188"/>
        <v>0</v>
      </c>
      <c r="K1142">
        <f t="shared" si="189"/>
        <v>1.0467394398169905</v>
      </c>
      <c r="L1142">
        <f>-$B$5*$B$12-IF($B$3,Tabelle2[[#This Row],[Fd]]*Tabelle2[[#This Row],[vy]]/Tabelle2[[#This Row],[v]],0)</f>
        <v>-14.715</v>
      </c>
      <c r="M1142">
        <f t="shared" si="190"/>
        <v>-9.81</v>
      </c>
      <c r="N1142">
        <f t="shared" si="191"/>
        <v>-0.19620000000000001</v>
      </c>
      <c r="O1142">
        <f t="shared" si="192"/>
        <v>-3.2239425120880822</v>
      </c>
      <c r="P1142" s="1">
        <f t="shared" si="194"/>
        <v>52.336971990849527</v>
      </c>
      <c r="Q1142" s="1">
        <f t="shared" si="195"/>
        <v>-161.09902560440412</v>
      </c>
      <c r="R1142">
        <f>SQRT(Tabelle2[[#This Row],[vx]]*Tabelle2[[#This Row],[vx]]+Tabelle2[[#This Row],[vy]]*Tabelle2[[#This Row],[vy]])</f>
        <v>169.38729199045429</v>
      </c>
      <c r="S1142">
        <f t="shared" si="196"/>
        <v>1192.2362219515392</v>
      </c>
      <c r="T1142" s="1">
        <f t="shared" si="197"/>
        <v>-1122.7775764876628</v>
      </c>
    </row>
    <row r="1143" spans="6:20" x14ac:dyDescent="0.35">
      <c r="F1143" s="1">
        <f t="shared" si="193"/>
        <v>22.799999999999603</v>
      </c>
      <c r="G1143">
        <f>1/2*$B$8*$B$6*$B$7*(Tabelle2[[#This Row],[vx]]*Tabelle2[[#This Row],[vx]]+Tabelle2[[#This Row],[vy]]*Tabelle2[[#This Row],[vy]])/1000000</f>
        <v>50.865799768437824</v>
      </c>
      <c r="H1143">
        <f>IF($B$3,-Tabelle2[[#This Row],[Fd]]*Tabelle2[[#This Row],[vx]]/Tabelle2[[#This Row],[v]],0)</f>
        <v>0</v>
      </c>
      <c r="I1143">
        <f t="shared" si="187"/>
        <v>0</v>
      </c>
      <c r="J1143">
        <f t="shared" si="188"/>
        <v>0</v>
      </c>
      <c r="K1143">
        <f t="shared" si="189"/>
        <v>1.0467394398169905</v>
      </c>
      <c r="L1143">
        <f>-$B$5*$B$12-IF($B$3,Tabelle2[[#This Row],[Fd]]*Tabelle2[[#This Row],[vy]]/Tabelle2[[#This Row],[v]],0)</f>
        <v>-14.715</v>
      </c>
      <c r="M1143">
        <f t="shared" si="190"/>
        <v>-9.81</v>
      </c>
      <c r="N1143">
        <f t="shared" si="191"/>
        <v>-0.19620000000000001</v>
      </c>
      <c r="O1143">
        <f t="shared" si="192"/>
        <v>-3.2278665120880823</v>
      </c>
      <c r="P1143" s="1">
        <f t="shared" si="194"/>
        <v>52.336971990849527</v>
      </c>
      <c r="Q1143" s="1">
        <f t="shared" si="195"/>
        <v>-161.29522560440412</v>
      </c>
      <c r="R1143">
        <f>SQRT(Tabelle2[[#This Row],[vx]]*Tabelle2[[#This Row],[vx]]+Tabelle2[[#This Row],[vy]]*Tabelle2[[#This Row],[vy]])</f>
        <v>169.57390259101368</v>
      </c>
      <c r="S1143">
        <f t="shared" si="196"/>
        <v>1193.2829613913561</v>
      </c>
      <c r="T1143" s="1">
        <f t="shared" si="197"/>
        <v>-1126.0015189997509</v>
      </c>
    </row>
    <row r="1144" spans="6:20" x14ac:dyDescent="0.35">
      <c r="F1144" s="1">
        <f t="shared" si="193"/>
        <v>22.819999999999602</v>
      </c>
      <c r="G1144">
        <f>1/2*$B$8*$B$6*$B$7*(Tabelle2[[#This Row],[vx]]*Tabelle2[[#This Row],[vx]]+Tabelle2[[#This Row],[vy]]*Tabelle2[[#This Row],[vy]])/1000000</f>
        <v>50.977826693690623</v>
      </c>
      <c r="H1144">
        <f>IF($B$3,-Tabelle2[[#This Row],[Fd]]*Tabelle2[[#This Row],[vx]]/Tabelle2[[#This Row],[v]],0)</f>
        <v>0</v>
      </c>
      <c r="I1144">
        <f t="shared" si="187"/>
        <v>0</v>
      </c>
      <c r="J1144">
        <f t="shared" si="188"/>
        <v>0</v>
      </c>
      <c r="K1144">
        <f t="shared" si="189"/>
        <v>1.0467394398169905</v>
      </c>
      <c r="L1144">
        <f>-$B$5*$B$12-IF($B$3,Tabelle2[[#This Row],[Fd]]*Tabelle2[[#This Row],[vy]]/Tabelle2[[#This Row],[v]],0)</f>
        <v>-14.715</v>
      </c>
      <c r="M1144">
        <f t="shared" si="190"/>
        <v>-9.81</v>
      </c>
      <c r="N1144">
        <f t="shared" si="191"/>
        <v>-0.19620000000000001</v>
      </c>
      <c r="O1144">
        <f t="shared" si="192"/>
        <v>-3.2317905120880823</v>
      </c>
      <c r="P1144" s="1">
        <f t="shared" si="194"/>
        <v>52.336971990849527</v>
      </c>
      <c r="Q1144" s="1">
        <f t="shared" si="195"/>
        <v>-161.49142560440413</v>
      </c>
      <c r="R1144">
        <f>SQRT(Tabelle2[[#This Row],[vx]]*Tabelle2[[#This Row],[vx]]+Tabelle2[[#This Row],[vy]]*Tabelle2[[#This Row],[vy]])</f>
        <v>169.76053481570375</v>
      </c>
      <c r="S1144">
        <f t="shared" si="196"/>
        <v>1194.3297008311731</v>
      </c>
      <c r="T1144" s="1">
        <f t="shared" si="197"/>
        <v>-1129.2293855118389</v>
      </c>
    </row>
    <row r="1145" spans="6:20" x14ac:dyDescent="0.35">
      <c r="F1145" s="1">
        <f t="shared" si="193"/>
        <v>22.839999999999602</v>
      </c>
      <c r="G1145">
        <f>1/2*$B$8*$B$6*$B$7*(Tabelle2[[#This Row],[vx]]*Tabelle2[[#This Row],[vx]]+Tabelle2[[#This Row],[vy]]*Tabelle2[[#This Row],[vy]])/1000000</f>
        <v>51.089989806004752</v>
      </c>
      <c r="H1145">
        <f>IF($B$3,-Tabelle2[[#This Row],[Fd]]*Tabelle2[[#This Row],[vx]]/Tabelle2[[#This Row],[v]],0)</f>
        <v>0</v>
      </c>
      <c r="I1145">
        <f t="shared" si="187"/>
        <v>0</v>
      </c>
      <c r="J1145">
        <f t="shared" si="188"/>
        <v>0</v>
      </c>
      <c r="K1145">
        <f t="shared" si="189"/>
        <v>1.0467394398169905</v>
      </c>
      <c r="L1145">
        <f>-$B$5*$B$12-IF($B$3,Tabelle2[[#This Row],[Fd]]*Tabelle2[[#This Row],[vy]]/Tabelle2[[#This Row],[v]],0)</f>
        <v>-14.715</v>
      </c>
      <c r="M1145">
        <f t="shared" si="190"/>
        <v>-9.81</v>
      </c>
      <c r="N1145">
        <f t="shared" si="191"/>
        <v>-0.19620000000000001</v>
      </c>
      <c r="O1145">
        <f t="shared" si="192"/>
        <v>-3.2357145120880824</v>
      </c>
      <c r="P1145" s="1">
        <f t="shared" si="194"/>
        <v>52.336971990849527</v>
      </c>
      <c r="Q1145" s="1">
        <f t="shared" si="195"/>
        <v>-161.68762560440413</v>
      </c>
      <c r="R1145">
        <f>SQRT(Tabelle2[[#This Row],[vx]]*Tabelle2[[#This Row],[vx]]+Tabelle2[[#This Row],[vy]]*Tabelle2[[#This Row],[vy]])</f>
        <v>169.9471885932831</v>
      </c>
      <c r="S1145">
        <f t="shared" si="196"/>
        <v>1195.3764402709901</v>
      </c>
      <c r="T1145" s="1">
        <f t="shared" si="197"/>
        <v>-1132.461176023927</v>
      </c>
    </row>
    <row r="1146" spans="6:20" x14ac:dyDescent="0.35">
      <c r="F1146" s="1">
        <f t="shared" si="193"/>
        <v>22.859999999999602</v>
      </c>
      <c r="G1146">
        <f>1/2*$B$8*$B$6*$B$7*(Tabelle2[[#This Row],[vx]]*Tabelle2[[#This Row],[vx]]+Tabelle2[[#This Row],[vy]]*Tabelle2[[#This Row],[vy]])/1000000</f>
        <v>51.202289105380238</v>
      </c>
      <c r="H1146">
        <f>IF($B$3,-Tabelle2[[#This Row],[Fd]]*Tabelle2[[#This Row],[vx]]/Tabelle2[[#This Row],[v]],0)</f>
        <v>0</v>
      </c>
      <c r="I1146">
        <f t="shared" si="187"/>
        <v>0</v>
      </c>
      <c r="J1146">
        <f t="shared" si="188"/>
        <v>0</v>
      </c>
      <c r="K1146">
        <f t="shared" si="189"/>
        <v>1.0467394398169905</v>
      </c>
      <c r="L1146">
        <f>-$B$5*$B$12-IF($B$3,Tabelle2[[#This Row],[Fd]]*Tabelle2[[#This Row],[vy]]/Tabelle2[[#This Row],[v]],0)</f>
        <v>-14.715</v>
      </c>
      <c r="M1146">
        <f t="shared" si="190"/>
        <v>-9.81</v>
      </c>
      <c r="N1146">
        <f t="shared" si="191"/>
        <v>-0.19620000000000001</v>
      </c>
      <c r="O1146">
        <f t="shared" si="192"/>
        <v>-3.2396385120880824</v>
      </c>
      <c r="P1146" s="1">
        <f t="shared" si="194"/>
        <v>52.336971990849527</v>
      </c>
      <c r="Q1146" s="1">
        <f t="shared" si="195"/>
        <v>-161.88382560440414</v>
      </c>
      <c r="R1146">
        <f>SQRT(Tabelle2[[#This Row],[vx]]*Tabelle2[[#This Row],[vx]]+Tabelle2[[#This Row],[vy]]*Tabelle2[[#This Row],[vy]])</f>
        <v>170.13386385281473</v>
      </c>
      <c r="S1146">
        <f t="shared" si="196"/>
        <v>1196.4231797108071</v>
      </c>
      <c r="T1146" s="1">
        <f t="shared" si="197"/>
        <v>-1135.6968905360152</v>
      </c>
    </row>
    <row r="1147" spans="6:20" x14ac:dyDescent="0.35">
      <c r="F1147" s="1">
        <f t="shared" si="193"/>
        <v>22.879999999999601</v>
      </c>
      <c r="G1147">
        <f>1/2*$B$8*$B$6*$B$7*(Tabelle2[[#This Row],[vx]]*Tabelle2[[#This Row],[vx]]+Tabelle2[[#This Row],[vy]]*Tabelle2[[#This Row],[vy]])/1000000</f>
        <v>51.314724591817061</v>
      </c>
      <c r="H1147">
        <f>IF($B$3,-Tabelle2[[#This Row],[Fd]]*Tabelle2[[#This Row],[vx]]/Tabelle2[[#This Row],[v]],0)</f>
        <v>0</v>
      </c>
      <c r="I1147">
        <f t="shared" si="187"/>
        <v>0</v>
      </c>
      <c r="J1147">
        <f t="shared" si="188"/>
        <v>0</v>
      </c>
      <c r="K1147">
        <f t="shared" si="189"/>
        <v>1.0467394398169905</v>
      </c>
      <c r="L1147">
        <f>-$B$5*$B$12-IF($B$3,Tabelle2[[#This Row],[Fd]]*Tabelle2[[#This Row],[vy]]/Tabelle2[[#This Row],[v]],0)</f>
        <v>-14.715</v>
      </c>
      <c r="M1147">
        <f t="shared" si="190"/>
        <v>-9.81</v>
      </c>
      <c r="N1147">
        <f t="shared" si="191"/>
        <v>-0.19620000000000001</v>
      </c>
      <c r="O1147">
        <f t="shared" si="192"/>
        <v>-3.2435625120880829</v>
      </c>
      <c r="P1147" s="1">
        <f t="shared" si="194"/>
        <v>52.336971990849527</v>
      </c>
      <c r="Q1147" s="1">
        <f t="shared" si="195"/>
        <v>-162.08002560440414</v>
      </c>
      <c r="R1147">
        <f>SQRT(Tabelle2[[#This Row],[vx]]*Tabelle2[[#This Row],[vx]]+Tabelle2[[#This Row],[vy]]*Tabelle2[[#This Row],[vy]])</f>
        <v>170.32056052366451</v>
      </c>
      <c r="S1147">
        <f t="shared" si="196"/>
        <v>1197.469919150624</v>
      </c>
      <c r="T1147" s="1">
        <f t="shared" si="197"/>
        <v>-1138.9365290481032</v>
      </c>
    </row>
    <row r="1148" spans="6:20" x14ac:dyDescent="0.35">
      <c r="F1148" s="1">
        <f t="shared" si="193"/>
        <v>22.899999999999601</v>
      </c>
      <c r="G1148">
        <f>1/2*$B$8*$B$6*$B$7*(Tabelle2[[#This Row],[vx]]*Tabelle2[[#This Row],[vx]]+Tabelle2[[#This Row],[vy]]*Tabelle2[[#This Row],[vy]])/1000000</f>
        <v>51.427296265315228</v>
      </c>
      <c r="H1148">
        <f>IF($B$3,-Tabelle2[[#This Row],[Fd]]*Tabelle2[[#This Row],[vx]]/Tabelle2[[#This Row],[v]],0)</f>
        <v>0</v>
      </c>
      <c r="I1148">
        <f t="shared" si="187"/>
        <v>0</v>
      </c>
      <c r="J1148">
        <f t="shared" si="188"/>
        <v>0</v>
      </c>
      <c r="K1148">
        <f t="shared" si="189"/>
        <v>1.0467394398169905</v>
      </c>
      <c r="L1148">
        <f>-$B$5*$B$12-IF($B$3,Tabelle2[[#This Row],[Fd]]*Tabelle2[[#This Row],[vy]]/Tabelle2[[#This Row],[v]],0)</f>
        <v>-14.715</v>
      </c>
      <c r="M1148">
        <f t="shared" si="190"/>
        <v>-9.81</v>
      </c>
      <c r="N1148">
        <f t="shared" si="191"/>
        <v>-0.19620000000000001</v>
      </c>
      <c r="O1148">
        <f t="shared" si="192"/>
        <v>-3.2474865120880829</v>
      </c>
      <c r="P1148" s="1">
        <f t="shared" si="194"/>
        <v>52.336971990849527</v>
      </c>
      <c r="Q1148" s="1">
        <f t="shared" si="195"/>
        <v>-162.27622560440415</v>
      </c>
      <c r="R1148">
        <f>SQRT(Tabelle2[[#This Row],[vx]]*Tabelle2[[#This Row],[vx]]+Tabelle2[[#This Row],[vy]]*Tabelle2[[#This Row],[vy]])</f>
        <v>170.50727853549958</v>
      </c>
      <c r="S1148">
        <f t="shared" si="196"/>
        <v>1198.516658590441</v>
      </c>
      <c r="T1148" s="1">
        <f t="shared" si="197"/>
        <v>-1142.1800915601914</v>
      </c>
    </row>
    <row r="1149" spans="6:20" x14ac:dyDescent="0.35">
      <c r="F1149" s="1">
        <f t="shared" si="193"/>
        <v>22.9199999999996</v>
      </c>
      <c r="G1149">
        <f>1/2*$B$8*$B$6*$B$7*(Tabelle2[[#This Row],[vx]]*Tabelle2[[#This Row],[vx]]+Tabelle2[[#This Row],[vy]]*Tabelle2[[#This Row],[vy]])/1000000</f>
        <v>51.540004125874738</v>
      </c>
      <c r="H1149">
        <f>IF($B$3,-Tabelle2[[#This Row],[Fd]]*Tabelle2[[#This Row],[vx]]/Tabelle2[[#This Row],[v]],0)</f>
        <v>0</v>
      </c>
      <c r="I1149">
        <f t="shared" si="187"/>
        <v>0</v>
      </c>
      <c r="J1149">
        <f t="shared" si="188"/>
        <v>0</v>
      </c>
      <c r="K1149">
        <f t="shared" si="189"/>
        <v>1.0467394398169905</v>
      </c>
      <c r="L1149">
        <f>-$B$5*$B$12-IF($B$3,Tabelle2[[#This Row],[Fd]]*Tabelle2[[#This Row],[vy]]/Tabelle2[[#This Row],[v]],0)</f>
        <v>-14.715</v>
      </c>
      <c r="M1149">
        <f t="shared" si="190"/>
        <v>-9.81</v>
      </c>
      <c r="N1149">
        <f t="shared" si="191"/>
        <v>-0.19620000000000001</v>
      </c>
      <c r="O1149">
        <f t="shared" si="192"/>
        <v>-3.251410512088083</v>
      </c>
      <c r="P1149" s="1">
        <f t="shared" si="194"/>
        <v>52.336971990849527</v>
      </c>
      <c r="Q1149" s="1">
        <f t="shared" si="195"/>
        <v>-162.47242560440415</v>
      </c>
      <c r="R1149">
        <f>SQRT(Tabelle2[[#This Row],[vx]]*Tabelle2[[#This Row],[vx]]+Tabelle2[[#This Row],[vy]]*Tabelle2[[#This Row],[vy]])</f>
        <v>170.6940178182868</v>
      </c>
      <c r="S1149">
        <f t="shared" si="196"/>
        <v>1199.563398030258</v>
      </c>
      <c r="T1149" s="1">
        <f t="shared" si="197"/>
        <v>-1145.4275780722794</v>
      </c>
    </row>
    <row r="1150" spans="6:20" x14ac:dyDescent="0.35">
      <c r="F1150" s="1">
        <f t="shared" si="193"/>
        <v>22.9399999999996</v>
      </c>
      <c r="G1150">
        <f>1/2*$B$8*$B$6*$B$7*(Tabelle2[[#This Row],[vx]]*Tabelle2[[#This Row],[vx]]+Tabelle2[[#This Row],[vy]]*Tabelle2[[#This Row],[vy]])/1000000</f>
        <v>51.652848173495592</v>
      </c>
      <c r="H1150">
        <f>IF($B$3,-Tabelle2[[#This Row],[Fd]]*Tabelle2[[#This Row],[vx]]/Tabelle2[[#This Row],[v]],0)</f>
        <v>0</v>
      </c>
      <c r="I1150">
        <f t="shared" si="187"/>
        <v>0</v>
      </c>
      <c r="J1150">
        <f t="shared" si="188"/>
        <v>0</v>
      </c>
      <c r="K1150">
        <f t="shared" si="189"/>
        <v>1.0467394398169905</v>
      </c>
      <c r="L1150">
        <f>-$B$5*$B$12-IF($B$3,Tabelle2[[#This Row],[Fd]]*Tabelle2[[#This Row],[vy]]/Tabelle2[[#This Row],[v]],0)</f>
        <v>-14.715</v>
      </c>
      <c r="M1150">
        <f t="shared" si="190"/>
        <v>-9.81</v>
      </c>
      <c r="N1150">
        <f t="shared" si="191"/>
        <v>-0.19620000000000001</v>
      </c>
      <c r="O1150">
        <f t="shared" si="192"/>
        <v>-3.255334512088083</v>
      </c>
      <c r="P1150" s="1">
        <f t="shared" si="194"/>
        <v>52.336971990849527</v>
      </c>
      <c r="Q1150" s="1">
        <f t="shared" si="195"/>
        <v>-162.66862560440416</v>
      </c>
      <c r="R1150">
        <f>SQRT(Tabelle2[[#This Row],[vx]]*Tabelle2[[#This Row],[vx]]+Tabelle2[[#This Row],[vy]]*Tabelle2[[#This Row],[vy]])</f>
        <v>170.88077830229116</v>
      </c>
      <c r="S1150">
        <f t="shared" si="196"/>
        <v>1200.610137470075</v>
      </c>
      <c r="T1150" s="1">
        <f t="shared" si="197"/>
        <v>-1148.6789885843675</v>
      </c>
    </row>
    <row r="1151" spans="6:20" x14ac:dyDescent="0.35">
      <c r="F1151" s="1">
        <f t="shared" si="193"/>
        <v>22.959999999999599</v>
      </c>
      <c r="G1151">
        <f>1/2*$B$8*$B$6*$B$7*(Tabelle2[[#This Row],[vx]]*Tabelle2[[#This Row],[vx]]+Tabelle2[[#This Row],[vy]]*Tabelle2[[#This Row],[vy]])/1000000</f>
        <v>51.765828408177796</v>
      </c>
      <c r="H1151">
        <f>IF($B$3,-Tabelle2[[#This Row],[Fd]]*Tabelle2[[#This Row],[vx]]/Tabelle2[[#This Row],[v]],0)</f>
        <v>0</v>
      </c>
      <c r="I1151">
        <f t="shared" si="187"/>
        <v>0</v>
      </c>
      <c r="J1151">
        <f t="shared" si="188"/>
        <v>0</v>
      </c>
      <c r="K1151">
        <f t="shared" si="189"/>
        <v>1.0467394398169905</v>
      </c>
      <c r="L1151">
        <f>-$B$5*$B$12-IF($B$3,Tabelle2[[#This Row],[Fd]]*Tabelle2[[#This Row],[vy]]/Tabelle2[[#This Row],[v]],0)</f>
        <v>-14.715</v>
      </c>
      <c r="M1151">
        <f t="shared" si="190"/>
        <v>-9.81</v>
      </c>
      <c r="N1151">
        <f t="shared" si="191"/>
        <v>-0.19620000000000001</v>
      </c>
      <c r="O1151">
        <f t="shared" si="192"/>
        <v>-3.259258512088083</v>
      </c>
      <c r="P1151" s="1">
        <f t="shared" si="194"/>
        <v>52.336971990849527</v>
      </c>
      <c r="Q1151" s="1">
        <f t="shared" si="195"/>
        <v>-162.86482560440416</v>
      </c>
      <c r="R1151">
        <f>SQRT(Tabelle2[[#This Row],[vx]]*Tabelle2[[#This Row],[vx]]+Tabelle2[[#This Row],[vy]]*Tabelle2[[#This Row],[vy]])</f>
        <v>171.06755991807432</v>
      </c>
      <c r="S1151">
        <f t="shared" si="196"/>
        <v>1201.6568769098919</v>
      </c>
      <c r="T1151" s="1">
        <f t="shared" si="197"/>
        <v>-1151.9343230964555</v>
      </c>
    </row>
    <row r="1152" spans="6:20" x14ac:dyDescent="0.35">
      <c r="F1152" s="1">
        <f t="shared" si="193"/>
        <v>22.979999999999599</v>
      </c>
      <c r="G1152">
        <f>1/2*$B$8*$B$6*$B$7*(Tabelle2[[#This Row],[vx]]*Tabelle2[[#This Row],[vx]]+Tabelle2[[#This Row],[vy]]*Tabelle2[[#This Row],[vy]])/1000000</f>
        <v>51.878944829921338</v>
      </c>
      <c r="H1152">
        <f>IF($B$3,-Tabelle2[[#This Row],[Fd]]*Tabelle2[[#This Row],[vx]]/Tabelle2[[#This Row],[v]],0)</f>
        <v>0</v>
      </c>
      <c r="I1152">
        <f t="shared" si="187"/>
        <v>0</v>
      </c>
      <c r="J1152">
        <f t="shared" si="188"/>
        <v>0</v>
      </c>
      <c r="K1152">
        <f t="shared" si="189"/>
        <v>1.0467394398169905</v>
      </c>
      <c r="L1152">
        <f>-$B$5*$B$12-IF($B$3,Tabelle2[[#This Row],[Fd]]*Tabelle2[[#This Row],[vy]]/Tabelle2[[#This Row],[v]],0)</f>
        <v>-14.715</v>
      </c>
      <c r="M1152">
        <f t="shared" si="190"/>
        <v>-9.81</v>
      </c>
      <c r="N1152">
        <f t="shared" si="191"/>
        <v>-0.19620000000000001</v>
      </c>
      <c r="O1152">
        <f t="shared" si="192"/>
        <v>-3.2631825120880831</v>
      </c>
      <c r="P1152" s="1">
        <f t="shared" si="194"/>
        <v>52.336971990849527</v>
      </c>
      <c r="Q1152" s="1">
        <f t="shared" si="195"/>
        <v>-163.06102560440416</v>
      </c>
      <c r="R1152">
        <f>SQRT(Tabelle2[[#This Row],[vx]]*Tabelle2[[#This Row],[vx]]+Tabelle2[[#This Row],[vy]]*Tabelle2[[#This Row],[vy]])</f>
        <v>171.25436259649305</v>
      </c>
      <c r="S1152">
        <f t="shared" si="196"/>
        <v>1202.7036163497089</v>
      </c>
      <c r="T1152" s="1">
        <f t="shared" si="197"/>
        <v>-1155.1935816085436</v>
      </c>
    </row>
    <row r="1153" spans="6:20" x14ac:dyDescent="0.35">
      <c r="F1153" s="1">
        <f t="shared" si="193"/>
        <v>22.999999999999599</v>
      </c>
      <c r="G1153">
        <f>1/2*$B$8*$B$6*$B$7*(Tabelle2[[#This Row],[vx]]*Tabelle2[[#This Row],[vx]]+Tabelle2[[#This Row],[vy]]*Tabelle2[[#This Row],[vy]])/1000000</f>
        <v>51.992197438726215</v>
      </c>
      <c r="H1153">
        <f>IF($B$3,-Tabelle2[[#This Row],[Fd]]*Tabelle2[[#This Row],[vx]]/Tabelle2[[#This Row],[v]],0)</f>
        <v>0</v>
      </c>
      <c r="I1153">
        <f t="shared" si="187"/>
        <v>0</v>
      </c>
      <c r="J1153">
        <f t="shared" si="188"/>
        <v>0</v>
      </c>
      <c r="K1153">
        <f t="shared" si="189"/>
        <v>1.0467394398169905</v>
      </c>
      <c r="L1153">
        <f>-$B$5*$B$12-IF($B$3,Tabelle2[[#This Row],[Fd]]*Tabelle2[[#This Row],[vy]]/Tabelle2[[#This Row],[v]],0)</f>
        <v>-14.715</v>
      </c>
      <c r="M1153">
        <f t="shared" si="190"/>
        <v>-9.81</v>
      </c>
      <c r="N1153">
        <f t="shared" si="191"/>
        <v>-0.19620000000000001</v>
      </c>
      <c r="O1153">
        <f t="shared" si="192"/>
        <v>-3.2671065120880831</v>
      </c>
      <c r="P1153" s="1">
        <f t="shared" si="194"/>
        <v>52.336971990849527</v>
      </c>
      <c r="Q1153" s="1">
        <f t="shared" si="195"/>
        <v>-163.25722560440417</v>
      </c>
      <c r="R1153">
        <f>SQRT(Tabelle2[[#This Row],[vx]]*Tabelle2[[#This Row],[vx]]+Tabelle2[[#This Row],[vy]]*Tabelle2[[#This Row],[vy]])</f>
        <v>171.44118626869766</v>
      </c>
      <c r="S1153">
        <f t="shared" si="196"/>
        <v>1203.7503557895259</v>
      </c>
      <c r="T1153" s="1">
        <f t="shared" si="197"/>
        <v>-1158.4567641206318</v>
      </c>
    </row>
    <row r="1154" spans="6:20" x14ac:dyDescent="0.35">
      <c r="F1154" s="1">
        <f t="shared" si="193"/>
        <v>23.019999999999598</v>
      </c>
      <c r="G1154">
        <f>1/2*$B$8*$B$6*$B$7*(Tabelle2[[#This Row],[vx]]*Tabelle2[[#This Row],[vx]]+Tabelle2[[#This Row],[vy]]*Tabelle2[[#This Row],[vy]])/1000000</f>
        <v>52.105586234592444</v>
      </c>
      <c r="H1154">
        <f>IF($B$3,-Tabelle2[[#This Row],[Fd]]*Tabelle2[[#This Row],[vx]]/Tabelle2[[#This Row],[v]],0)</f>
        <v>0</v>
      </c>
      <c r="I1154">
        <f t="shared" si="187"/>
        <v>0</v>
      </c>
      <c r="J1154">
        <f t="shared" si="188"/>
        <v>0</v>
      </c>
      <c r="K1154">
        <f t="shared" si="189"/>
        <v>1.0467394398169905</v>
      </c>
      <c r="L1154">
        <f>-$B$5*$B$12-IF($B$3,Tabelle2[[#This Row],[Fd]]*Tabelle2[[#This Row],[vy]]/Tabelle2[[#This Row],[v]],0)</f>
        <v>-14.715</v>
      </c>
      <c r="M1154">
        <f t="shared" si="190"/>
        <v>-9.81</v>
      </c>
      <c r="N1154">
        <f t="shared" si="191"/>
        <v>-0.19620000000000001</v>
      </c>
      <c r="O1154">
        <f t="shared" si="192"/>
        <v>-3.2710305120880832</v>
      </c>
      <c r="P1154" s="1">
        <f t="shared" si="194"/>
        <v>52.336971990849527</v>
      </c>
      <c r="Q1154" s="1">
        <f t="shared" si="195"/>
        <v>-163.45342560440417</v>
      </c>
      <c r="R1154">
        <f>SQRT(Tabelle2[[#This Row],[vx]]*Tabelle2[[#This Row],[vx]]+Tabelle2[[#This Row],[vy]]*Tabelle2[[#This Row],[vy]])</f>
        <v>171.62803086613053</v>
      </c>
      <c r="S1154">
        <f t="shared" si="196"/>
        <v>1204.7970952293429</v>
      </c>
      <c r="T1154" s="1">
        <f t="shared" si="197"/>
        <v>-1161.7238706327198</v>
      </c>
    </row>
    <row r="1155" spans="6:20" x14ac:dyDescent="0.35">
      <c r="F1155" s="1">
        <f t="shared" si="193"/>
        <v>23.039999999999598</v>
      </c>
      <c r="G1155">
        <f>1/2*$B$8*$B$6*$B$7*(Tabelle2[[#This Row],[vx]]*Tabelle2[[#This Row],[vx]]+Tabelle2[[#This Row],[vy]]*Tabelle2[[#This Row],[vy]])/1000000</f>
        <v>52.21911121752003</v>
      </c>
      <c r="H1155">
        <f>IF($B$3,-Tabelle2[[#This Row],[Fd]]*Tabelle2[[#This Row],[vx]]/Tabelle2[[#This Row],[v]],0)</f>
        <v>0</v>
      </c>
      <c r="I1155">
        <f t="shared" ref="I1155:I1218" si="198">H1155/$B$5</f>
        <v>0</v>
      </c>
      <c r="J1155">
        <f t="shared" ref="J1155:J1218" si="199">I1155*$B$13</f>
        <v>0</v>
      </c>
      <c r="K1155">
        <f t="shared" ref="K1155:K1218" si="200">$B$13*(P1155+J1155/2)</f>
        <v>1.0467394398169905</v>
      </c>
      <c r="L1155">
        <f>-$B$5*$B$12-IF($B$3,Tabelle2[[#This Row],[Fd]]*Tabelle2[[#This Row],[vy]]/Tabelle2[[#This Row],[v]],0)</f>
        <v>-14.715</v>
      </c>
      <c r="M1155">
        <f t="shared" ref="M1155:M1218" si="201">L1155/$B$5</f>
        <v>-9.81</v>
      </c>
      <c r="N1155">
        <f t="shared" ref="N1155:N1218" si="202">M1155*$B$13</f>
        <v>-0.19620000000000001</v>
      </c>
      <c r="O1155">
        <f t="shared" ref="O1155:O1218" si="203">$B$13*(Q1155+N1155/2)</f>
        <v>-3.2749545120880832</v>
      </c>
      <c r="P1155" s="1">
        <f t="shared" si="194"/>
        <v>52.336971990849527</v>
      </c>
      <c r="Q1155" s="1">
        <f t="shared" si="195"/>
        <v>-163.64962560440418</v>
      </c>
      <c r="R1155">
        <f>SQRT(Tabelle2[[#This Row],[vx]]*Tabelle2[[#This Row],[vx]]+Tabelle2[[#This Row],[vy]]*Tabelle2[[#This Row],[vy]])</f>
        <v>171.81489632052464</v>
      </c>
      <c r="S1155">
        <f t="shared" si="196"/>
        <v>1205.8438346691598</v>
      </c>
      <c r="T1155" s="1">
        <f t="shared" si="197"/>
        <v>-1164.994901144808</v>
      </c>
    </row>
    <row r="1156" spans="6:20" x14ac:dyDescent="0.35">
      <c r="F1156" s="1">
        <f t="shared" ref="F1156:F1219" si="204">F1155+$B$13</f>
        <v>23.059999999999597</v>
      </c>
      <c r="G1156">
        <f>1/2*$B$8*$B$6*$B$7*(Tabelle2[[#This Row],[vx]]*Tabelle2[[#This Row],[vx]]+Tabelle2[[#This Row],[vy]]*Tabelle2[[#This Row],[vy]])/1000000</f>
        <v>52.332772387508946</v>
      </c>
      <c r="H1156">
        <f>IF($B$3,-Tabelle2[[#This Row],[Fd]]*Tabelle2[[#This Row],[vx]]/Tabelle2[[#This Row],[v]],0)</f>
        <v>0</v>
      </c>
      <c r="I1156">
        <f t="shared" si="198"/>
        <v>0</v>
      </c>
      <c r="J1156">
        <f t="shared" si="199"/>
        <v>0</v>
      </c>
      <c r="K1156">
        <f t="shared" si="200"/>
        <v>1.0467394398169905</v>
      </c>
      <c r="L1156">
        <f>-$B$5*$B$12-IF($B$3,Tabelle2[[#This Row],[Fd]]*Tabelle2[[#This Row],[vy]]/Tabelle2[[#This Row],[v]],0)</f>
        <v>-14.715</v>
      </c>
      <c r="M1156">
        <f t="shared" si="201"/>
        <v>-9.81</v>
      </c>
      <c r="N1156">
        <f t="shared" si="202"/>
        <v>-0.19620000000000001</v>
      </c>
      <c r="O1156">
        <f t="shared" si="203"/>
        <v>-3.2788785120880837</v>
      </c>
      <c r="P1156" s="1">
        <f t="shared" ref="P1156:P1219" si="205">P1155+J1155</f>
        <v>52.336971990849527</v>
      </c>
      <c r="Q1156" s="1">
        <f t="shared" ref="Q1156:Q1219" si="206">Q1155+N1155</f>
        <v>-163.84582560440418</v>
      </c>
      <c r="R1156">
        <f>SQRT(Tabelle2[[#This Row],[vx]]*Tabelle2[[#This Row],[vx]]+Tabelle2[[#This Row],[vy]]*Tabelle2[[#This Row],[vy]])</f>
        <v>172.00178256390191</v>
      </c>
      <c r="S1156">
        <f t="shared" ref="S1156:S1219" si="207">S1155+K1155</f>
        <v>1206.8905741089768</v>
      </c>
      <c r="T1156" s="1">
        <f t="shared" ref="T1156:T1219" si="208">T1155+O1155</f>
        <v>-1168.269855656896</v>
      </c>
    </row>
    <row r="1157" spans="6:20" x14ac:dyDescent="0.35">
      <c r="F1157" s="1">
        <f t="shared" si="204"/>
        <v>23.079999999999597</v>
      </c>
      <c r="G1157">
        <f>1/2*$B$8*$B$6*$B$7*(Tabelle2[[#This Row],[vx]]*Tabelle2[[#This Row],[vx]]+Tabelle2[[#This Row],[vy]]*Tabelle2[[#This Row],[vy]])/1000000</f>
        <v>52.446569744559206</v>
      </c>
      <c r="H1157">
        <f>IF($B$3,-Tabelle2[[#This Row],[Fd]]*Tabelle2[[#This Row],[vx]]/Tabelle2[[#This Row],[v]],0)</f>
        <v>0</v>
      </c>
      <c r="I1157">
        <f t="shared" si="198"/>
        <v>0</v>
      </c>
      <c r="J1157">
        <f t="shared" si="199"/>
        <v>0</v>
      </c>
      <c r="K1157">
        <f t="shared" si="200"/>
        <v>1.0467394398169905</v>
      </c>
      <c r="L1157">
        <f>-$B$5*$B$12-IF($B$3,Tabelle2[[#This Row],[Fd]]*Tabelle2[[#This Row],[vy]]/Tabelle2[[#This Row],[v]],0)</f>
        <v>-14.715</v>
      </c>
      <c r="M1157">
        <f t="shared" si="201"/>
        <v>-9.81</v>
      </c>
      <c r="N1157">
        <f t="shared" si="202"/>
        <v>-0.19620000000000001</v>
      </c>
      <c r="O1157">
        <f t="shared" si="203"/>
        <v>-3.2828025120880837</v>
      </c>
      <c r="P1157" s="1">
        <f t="shared" si="205"/>
        <v>52.336971990849527</v>
      </c>
      <c r="Q1157" s="1">
        <f t="shared" si="206"/>
        <v>-164.04202560440419</v>
      </c>
      <c r="R1157">
        <f>SQRT(Tabelle2[[#This Row],[vx]]*Tabelle2[[#This Row],[vx]]+Tabelle2[[#This Row],[vy]]*Tabelle2[[#This Row],[vy]])</f>
        <v>172.18868952857201</v>
      </c>
      <c r="S1157">
        <f t="shared" si="207"/>
        <v>1207.9373135487938</v>
      </c>
      <c r="T1157" s="1">
        <f t="shared" si="208"/>
        <v>-1171.5487341689841</v>
      </c>
    </row>
    <row r="1158" spans="6:20" x14ac:dyDescent="0.35">
      <c r="F1158" s="1">
        <f t="shared" si="204"/>
        <v>23.099999999999596</v>
      </c>
      <c r="G1158">
        <f>1/2*$B$8*$B$6*$B$7*(Tabelle2[[#This Row],[vx]]*Tabelle2[[#This Row],[vx]]+Tabelle2[[#This Row],[vy]]*Tabelle2[[#This Row],[vy]])/1000000</f>
        <v>52.560503288670816</v>
      </c>
      <c r="H1158">
        <f>IF($B$3,-Tabelle2[[#This Row],[Fd]]*Tabelle2[[#This Row],[vx]]/Tabelle2[[#This Row],[v]],0)</f>
        <v>0</v>
      </c>
      <c r="I1158">
        <f t="shared" si="198"/>
        <v>0</v>
      </c>
      <c r="J1158">
        <f t="shared" si="199"/>
        <v>0</v>
      </c>
      <c r="K1158">
        <f t="shared" si="200"/>
        <v>1.0467394398169905</v>
      </c>
      <c r="L1158">
        <f>-$B$5*$B$12-IF($B$3,Tabelle2[[#This Row],[Fd]]*Tabelle2[[#This Row],[vy]]/Tabelle2[[#This Row],[v]],0)</f>
        <v>-14.715</v>
      </c>
      <c r="M1158">
        <f t="shared" si="201"/>
        <v>-9.81</v>
      </c>
      <c r="N1158">
        <f t="shared" si="202"/>
        <v>-0.19620000000000001</v>
      </c>
      <c r="O1158">
        <f t="shared" si="203"/>
        <v>-3.2867265120880838</v>
      </c>
      <c r="P1158" s="1">
        <f t="shared" si="205"/>
        <v>52.336971990849527</v>
      </c>
      <c r="Q1158" s="1">
        <f t="shared" si="206"/>
        <v>-164.23822560440419</v>
      </c>
      <c r="R1158">
        <f>SQRT(Tabelle2[[#This Row],[vx]]*Tabelle2[[#This Row],[vx]]+Tabelle2[[#This Row],[vy]]*Tabelle2[[#This Row],[vy]])</f>
        <v>172.37561714713058</v>
      </c>
      <c r="S1158">
        <f t="shared" si="207"/>
        <v>1208.9840529886108</v>
      </c>
      <c r="T1158" s="1">
        <f t="shared" si="208"/>
        <v>-1174.8315366810721</v>
      </c>
    </row>
    <row r="1159" spans="6:20" x14ac:dyDescent="0.35">
      <c r="F1159" s="1">
        <f t="shared" si="204"/>
        <v>23.119999999999596</v>
      </c>
      <c r="G1159">
        <f>1/2*$B$8*$B$6*$B$7*(Tabelle2[[#This Row],[vx]]*Tabelle2[[#This Row],[vx]]+Tabelle2[[#This Row],[vy]]*Tabelle2[[#This Row],[vy]])/1000000</f>
        <v>52.674573019843763</v>
      </c>
      <c r="H1159">
        <f>IF($B$3,-Tabelle2[[#This Row],[Fd]]*Tabelle2[[#This Row],[vx]]/Tabelle2[[#This Row],[v]],0)</f>
        <v>0</v>
      </c>
      <c r="I1159">
        <f t="shared" si="198"/>
        <v>0</v>
      </c>
      <c r="J1159">
        <f t="shared" si="199"/>
        <v>0</v>
      </c>
      <c r="K1159">
        <f t="shared" si="200"/>
        <v>1.0467394398169905</v>
      </c>
      <c r="L1159">
        <f>-$B$5*$B$12-IF($B$3,Tabelle2[[#This Row],[Fd]]*Tabelle2[[#This Row],[vy]]/Tabelle2[[#This Row],[v]],0)</f>
        <v>-14.715</v>
      </c>
      <c r="M1159">
        <f t="shared" si="201"/>
        <v>-9.81</v>
      </c>
      <c r="N1159">
        <f t="shared" si="202"/>
        <v>-0.19620000000000001</v>
      </c>
      <c r="O1159">
        <f t="shared" si="203"/>
        <v>-3.2906505120880838</v>
      </c>
      <c r="P1159" s="1">
        <f t="shared" si="205"/>
        <v>52.336971990849527</v>
      </c>
      <c r="Q1159" s="1">
        <f t="shared" si="206"/>
        <v>-164.4344256044042</v>
      </c>
      <c r="R1159">
        <f>SQRT(Tabelle2[[#This Row],[vx]]*Tabelle2[[#This Row],[vx]]+Tabelle2[[#This Row],[vy]]*Tabelle2[[#This Row],[vy]])</f>
        <v>172.56256535245791</v>
      </c>
      <c r="S1159">
        <f t="shared" si="207"/>
        <v>1210.0307924284277</v>
      </c>
      <c r="T1159" s="1">
        <f t="shared" si="208"/>
        <v>-1178.1182631931601</v>
      </c>
    </row>
    <row r="1160" spans="6:20" x14ac:dyDescent="0.35">
      <c r="F1160" s="1">
        <f t="shared" si="204"/>
        <v>23.139999999999596</v>
      </c>
      <c r="G1160">
        <f>1/2*$B$8*$B$6*$B$7*(Tabelle2[[#This Row],[vx]]*Tabelle2[[#This Row],[vx]]+Tabelle2[[#This Row],[vy]]*Tabelle2[[#This Row],[vy]])/1000000</f>
        <v>52.78877893807806</v>
      </c>
      <c r="H1160">
        <f>IF($B$3,-Tabelle2[[#This Row],[Fd]]*Tabelle2[[#This Row],[vx]]/Tabelle2[[#This Row],[v]],0)</f>
        <v>0</v>
      </c>
      <c r="I1160">
        <f t="shared" si="198"/>
        <v>0</v>
      </c>
      <c r="J1160">
        <f t="shared" si="199"/>
        <v>0</v>
      </c>
      <c r="K1160">
        <f t="shared" si="200"/>
        <v>1.0467394398169905</v>
      </c>
      <c r="L1160">
        <f>-$B$5*$B$12-IF($B$3,Tabelle2[[#This Row],[Fd]]*Tabelle2[[#This Row],[vy]]/Tabelle2[[#This Row],[v]],0)</f>
        <v>-14.715</v>
      </c>
      <c r="M1160">
        <f t="shared" si="201"/>
        <v>-9.81</v>
      </c>
      <c r="N1160">
        <f t="shared" si="202"/>
        <v>-0.19620000000000001</v>
      </c>
      <c r="O1160">
        <f t="shared" si="203"/>
        <v>-3.2945745120880838</v>
      </c>
      <c r="P1160" s="1">
        <f t="shared" si="205"/>
        <v>52.336971990849527</v>
      </c>
      <c r="Q1160" s="1">
        <f t="shared" si="206"/>
        <v>-164.6306256044042</v>
      </c>
      <c r="R1160">
        <f>SQRT(Tabelle2[[#This Row],[vx]]*Tabelle2[[#This Row],[vx]]+Tabelle2[[#This Row],[vy]]*Tabelle2[[#This Row],[vy]])</f>
        <v>172.7495340777175</v>
      </c>
      <c r="S1160">
        <f t="shared" si="207"/>
        <v>1211.0775318682447</v>
      </c>
      <c r="T1160" s="1">
        <f t="shared" si="208"/>
        <v>-1181.4089137052483</v>
      </c>
    </row>
    <row r="1161" spans="6:20" x14ac:dyDescent="0.35">
      <c r="F1161" s="1">
        <f t="shared" si="204"/>
        <v>23.159999999999595</v>
      </c>
      <c r="G1161">
        <f>1/2*$B$8*$B$6*$B$7*(Tabelle2[[#This Row],[vx]]*Tabelle2[[#This Row],[vx]]+Tabelle2[[#This Row],[vy]]*Tabelle2[[#This Row],[vy]])/1000000</f>
        <v>52.903121043373702</v>
      </c>
      <c r="H1161">
        <f>IF($B$3,-Tabelle2[[#This Row],[Fd]]*Tabelle2[[#This Row],[vx]]/Tabelle2[[#This Row],[v]],0)</f>
        <v>0</v>
      </c>
      <c r="I1161">
        <f t="shared" si="198"/>
        <v>0</v>
      </c>
      <c r="J1161">
        <f t="shared" si="199"/>
        <v>0</v>
      </c>
      <c r="K1161">
        <f t="shared" si="200"/>
        <v>1.0467394398169905</v>
      </c>
      <c r="L1161">
        <f>-$B$5*$B$12-IF($B$3,Tabelle2[[#This Row],[Fd]]*Tabelle2[[#This Row],[vy]]/Tabelle2[[#This Row],[v]],0)</f>
        <v>-14.715</v>
      </c>
      <c r="M1161">
        <f t="shared" si="201"/>
        <v>-9.81</v>
      </c>
      <c r="N1161">
        <f t="shared" si="202"/>
        <v>-0.19620000000000001</v>
      </c>
      <c r="O1161">
        <f t="shared" si="203"/>
        <v>-3.2984985120880839</v>
      </c>
      <c r="P1161" s="1">
        <f t="shared" si="205"/>
        <v>52.336971990849527</v>
      </c>
      <c r="Q1161" s="1">
        <f t="shared" si="206"/>
        <v>-164.82682560440421</v>
      </c>
      <c r="R1161">
        <f>SQRT(Tabelle2[[#This Row],[vx]]*Tabelle2[[#This Row],[vx]]+Tabelle2[[#This Row],[vy]]*Tabelle2[[#This Row],[vy]])</f>
        <v>172.93652325635452</v>
      </c>
      <c r="S1161">
        <f t="shared" si="207"/>
        <v>1212.1242713080617</v>
      </c>
      <c r="T1161" s="1">
        <f t="shared" si="208"/>
        <v>-1184.7034882173364</v>
      </c>
    </row>
    <row r="1162" spans="6:20" x14ac:dyDescent="0.35">
      <c r="F1162" s="1">
        <f t="shared" si="204"/>
        <v>23.179999999999595</v>
      </c>
      <c r="G1162">
        <f>1/2*$B$8*$B$6*$B$7*(Tabelle2[[#This Row],[vx]]*Tabelle2[[#This Row],[vx]]+Tabelle2[[#This Row],[vy]]*Tabelle2[[#This Row],[vy]])/1000000</f>
        <v>53.017599335730679</v>
      </c>
      <c r="H1162">
        <f>IF($B$3,-Tabelle2[[#This Row],[Fd]]*Tabelle2[[#This Row],[vx]]/Tabelle2[[#This Row],[v]],0)</f>
        <v>0</v>
      </c>
      <c r="I1162">
        <f t="shared" si="198"/>
        <v>0</v>
      </c>
      <c r="J1162">
        <f t="shared" si="199"/>
        <v>0</v>
      </c>
      <c r="K1162">
        <f t="shared" si="200"/>
        <v>1.0467394398169905</v>
      </c>
      <c r="L1162">
        <f>-$B$5*$B$12-IF($B$3,Tabelle2[[#This Row],[Fd]]*Tabelle2[[#This Row],[vy]]/Tabelle2[[#This Row],[v]],0)</f>
        <v>-14.715</v>
      </c>
      <c r="M1162">
        <f t="shared" si="201"/>
        <v>-9.81</v>
      </c>
      <c r="N1162">
        <f t="shared" si="202"/>
        <v>-0.19620000000000001</v>
      </c>
      <c r="O1162">
        <f t="shared" si="203"/>
        <v>-3.3024225120880839</v>
      </c>
      <c r="P1162" s="1">
        <f t="shared" si="205"/>
        <v>52.336971990849527</v>
      </c>
      <c r="Q1162" s="1">
        <f t="shared" si="206"/>
        <v>-165.02302560440421</v>
      </c>
      <c r="R1162">
        <f>SQRT(Tabelle2[[#This Row],[vx]]*Tabelle2[[#This Row],[vx]]+Tabelle2[[#This Row],[vy]]*Tabelle2[[#This Row],[vy]])</f>
        <v>173.12353282209446</v>
      </c>
      <c r="S1162">
        <f t="shared" si="207"/>
        <v>1213.1710107478787</v>
      </c>
      <c r="T1162" s="1">
        <f t="shared" si="208"/>
        <v>-1188.0019867294245</v>
      </c>
    </row>
    <row r="1163" spans="6:20" x14ac:dyDescent="0.35">
      <c r="F1163" s="1">
        <f t="shared" si="204"/>
        <v>23.199999999999594</v>
      </c>
      <c r="G1163">
        <f>1/2*$B$8*$B$6*$B$7*(Tabelle2[[#This Row],[vx]]*Tabelle2[[#This Row],[vx]]+Tabelle2[[#This Row],[vy]]*Tabelle2[[#This Row],[vy]])/1000000</f>
        <v>53.132213815149015</v>
      </c>
      <c r="H1163">
        <f>IF($B$3,-Tabelle2[[#This Row],[Fd]]*Tabelle2[[#This Row],[vx]]/Tabelle2[[#This Row],[v]],0)</f>
        <v>0</v>
      </c>
      <c r="I1163">
        <f t="shared" si="198"/>
        <v>0</v>
      </c>
      <c r="J1163">
        <f t="shared" si="199"/>
        <v>0</v>
      </c>
      <c r="K1163">
        <f t="shared" si="200"/>
        <v>1.0467394398169905</v>
      </c>
      <c r="L1163">
        <f>-$B$5*$B$12-IF($B$3,Tabelle2[[#This Row],[Fd]]*Tabelle2[[#This Row],[vy]]/Tabelle2[[#This Row],[v]],0)</f>
        <v>-14.715</v>
      </c>
      <c r="M1163">
        <f t="shared" si="201"/>
        <v>-9.81</v>
      </c>
      <c r="N1163">
        <f t="shared" si="202"/>
        <v>-0.19620000000000001</v>
      </c>
      <c r="O1163">
        <f t="shared" si="203"/>
        <v>-3.3063465120880839</v>
      </c>
      <c r="P1163" s="1">
        <f t="shared" si="205"/>
        <v>52.336971990849527</v>
      </c>
      <c r="Q1163" s="1">
        <f t="shared" si="206"/>
        <v>-165.21922560440422</v>
      </c>
      <c r="R1163">
        <f>SQRT(Tabelle2[[#This Row],[vx]]*Tabelle2[[#This Row],[vx]]+Tabelle2[[#This Row],[vy]]*Tabelle2[[#This Row],[vy]])</f>
        <v>173.31056270894163</v>
      </c>
      <c r="S1163">
        <f t="shared" si="207"/>
        <v>1214.2177501876956</v>
      </c>
      <c r="T1163" s="1">
        <f t="shared" si="208"/>
        <v>-1191.3044092415125</v>
      </c>
    </row>
    <row r="1164" spans="6:20" x14ac:dyDescent="0.35">
      <c r="F1164" s="1">
        <f t="shared" si="204"/>
        <v>23.219999999999594</v>
      </c>
      <c r="G1164">
        <f>1/2*$B$8*$B$6*$B$7*(Tabelle2[[#This Row],[vx]]*Tabelle2[[#This Row],[vx]]+Tabelle2[[#This Row],[vy]]*Tabelle2[[#This Row],[vy]])/1000000</f>
        <v>53.24696448162868</v>
      </c>
      <c r="H1164">
        <f>IF($B$3,-Tabelle2[[#This Row],[Fd]]*Tabelle2[[#This Row],[vx]]/Tabelle2[[#This Row],[v]],0)</f>
        <v>0</v>
      </c>
      <c r="I1164">
        <f t="shared" si="198"/>
        <v>0</v>
      </c>
      <c r="J1164">
        <f t="shared" si="199"/>
        <v>0</v>
      </c>
      <c r="K1164">
        <f t="shared" si="200"/>
        <v>1.0467394398169905</v>
      </c>
      <c r="L1164">
        <f>-$B$5*$B$12-IF($B$3,Tabelle2[[#This Row],[Fd]]*Tabelle2[[#This Row],[vy]]/Tabelle2[[#This Row],[v]],0)</f>
        <v>-14.715</v>
      </c>
      <c r="M1164">
        <f t="shared" si="201"/>
        <v>-9.81</v>
      </c>
      <c r="N1164">
        <f t="shared" si="202"/>
        <v>-0.19620000000000001</v>
      </c>
      <c r="O1164">
        <f t="shared" si="203"/>
        <v>-3.3102705120880844</v>
      </c>
      <c r="P1164" s="1">
        <f t="shared" si="205"/>
        <v>52.336971990849527</v>
      </c>
      <c r="Q1164" s="1">
        <f t="shared" si="206"/>
        <v>-165.41542560440422</v>
      </c>
      <c r="R1164">
        <f>SQRT(Tabelle2[[#This Row],[vx]]*Tabelle2[[#This Row],[vx]]+Tabelle2[[#This Row],[vy]]*Tabelle2[[#This Row],[vy]])</f>
        <v>173.49761285117773</v>
      </c>
      <c r="S1164">
        <f t="shared" si="207"/>
        <v>1215.2644896275126</v>
      </c>
      <c r="T1164" s="1">
        <f t="shared" si="208"/>
        <v>-1194.6107557536006</v>
      </c>
    </row>
    <row r="1165" spans="6:20" x14ac:dyDescent="0.35">
      <c r="F1165" s="1">
        <f t="shared" si="204"/>
        <v>23.239999999999593</v>
      </c>
      <c r="G1165">
        <f>1/2*$B$8*$B$6*$B$7*(Tabelle2[[#This Row],[vx]]*Tabelle2[[#This Row],[vx]]+Tabelle2[[#This Row],[vy]]*Tabelle2[[#This Row],[vy]])/1000000</f>
        <v>53.361851335169696</v>
      </c>
      <c r="H1165">
        <f>IF($B$3,-Tabelle2[[#This Row],[Fd]]*Tabelle2[[#This Row],[vx]]/Tabelle2[[#This Row],[v]],0)</f>
        <v>0</v>
      </c>
      <c r="I1165">
        <f t="shared" si="198"/>
        <v>0</v>
      </c>
      <c r="J1165">
        <f t="shared" si="199"/>
        <v>0</v>
      </c>
      <c r="K1165">
        <f t="shared" si="200"/>
        <v>1.0467394398169905</v>
      </c>
      <c r="L1165">
        <f>-$B$5*$B$12-IF($B$3,Tabelle2[[#This Row],[Fd]]*Tabelle2[[#This Row],[vy]]/Tabelle2[[#This Row],[v]],0)</f>
        <v>-14.715</v>
      </c>
      <c r="M1165">
        <f t="shared" si="201"/>
        <v>-9.81</v>
      </c>
      <c r="N1165">
        <f t="shared" si="202"/>
        <v>-0.19620000000000001</v>
      </c>
      <c r="O1165">
        <f t="shared" si="203"/>
        <v>-3.3141945120880845</v>
      </c>
      <c r="P1165" s="1">
        <f t="shared" si="205"/>
        <v>52.336971990849527</v>
      </c>
      <c r="Q1165" s="1">
        <f t="shared" si="206"/>
        <v>-165.61162560440422</v>
      </c>
      <c r="R1165">
        <f>SQRT(Tabelle2[[#This Row],[vx]]*Tabelle2[[#This Row],[vx]]+Tabelle2[[#This Row],[vy]]*Tabelle2[[#This Row],[vy]])</f>
        <v>173.68468318336053</v>
      </c>
      <c r="S1165">
        <f t="shared" si="207"/>
        <v>1216.3112290673296</v>
      </c>
      <c r="T1165" s="1">
        <f t="shared" si="208"/>
        <v>-1197.9210262656886</v>
      </c>
    </row>
    <row r="1166" spans="6:20" x14ac:dyDescent="0.35">
      <c r="F1166" s="1">
        <f t="shared" si="204"/>
        <v>23.259999999999593</v>
      </c>
      <c r="G1166">
        <f>1/2*$B$8*$B$6*$B$7*(Tabelle2[[#This Row],[vx]]*Tabelle2[[#This Row],[vx]]+Tabelle2[[#This Row],[vy]]*Tabelle2[[#This Row],[vy]])/1000000</f>
        <v>53.476874375772056</v>
      </c>
      <c r="H1166">
        <f>IF($B$3,-Tabelle2[[#This Row],[Fd]]*Tabelle2[[#This Row],[vx]]/Tabelle2[[#This Row],[v]],0)</f>
        <v>0</v>
      </c>
      <c r="I1166">
        <f t="shared" si="198"/>
        <v>0</v>
      </c>
      <c r="J1166">
        <f t="shared" si="199"/>
        <v>0</v>
      </c>
      <c r="K1166">
        <f t="shared" si="200"/>
        <v>1.0467394398169905</v>
      </c>
      <c r="L1166">
        <f>-$B$5*$B$12-IF($B$3,Tabelle2[[#This Row],[Fd]]*Tabelle2[[#This Row],[vy]]/Tabelle2[[#This Row],[v]],0)</f>
        <v>-14.715</v>
      </c>
      <c r="M1166">
        <f t="shared" si="201"/>
        <v>-9.81</v>
      </c>
      <c r="N1166">
        <f t="shared" si="202"/>
        <v>-0.19620000000000001</v>
      </c>
      <c r="O1166">
        <f t="shared" si="203"/>
        <v>-3.3181185120880845</v>
      </c>
      <c r="P1166" s="1">
        <f t="shared" si="205"/>
        <v>52.336971990849527</v>
      </c>
      <c r="Q1166" s="1">
        <f t="shared" si="206"/>
        <v>-165.80782560440423</v>
      </c>
      <c r="R1166">
        <f>SQRT(Tabelle2[[#This Row],[vx]]*Tabelle2[[#This Row],[vx]]+Tabelle2[[#This Row],[vy]]*Tabelle2[[#This Row],[vy]])</f>
        <v>173.87177364032235</v>
      </c>
      <c r="S1166">
        <f t="shared" si="207"/>
        <v>1217.3579685071466</v>
      </c>
      <c r="T1166" s="1">
        <f t="shared" si="208"/>
        <v>-1201.2352207777767</v>
      </c>
    </row>
    <row r="1167" spans="6:20" x14ac:dyDescent="0.35">
      <c r="F1167" s="1">
        <f t="shared" si="204"/>
        <v>23.279999999999593</v>
      </c>
      <c r="G1167">
        <f>1/2*$B$8*$B$6*$B$7*(Tabelle2[[#This Row],[vx]]*Tabelle2[[#This Row],[vx]]+Tabelle2[[#This Row],[vy]]*Tabelle2[[#This Row],[vy]])/1000000</f>
        <v>53.592033603435759</v>
      </c>
      <c r="H1167">
        <f>IF($B$3,-Tabelle2[[#This Row],[Fd]]*Tabelle2[[#This Row],[vx]]/Tabelle2[[#This Row],[v]],0)</f>
        <v>0</v>
      </c>
      <c r="I1167">
        <f t="shared" si="198"/>
        <v>0</v>
      </c>
      <c r="J1167">
        <f t="shared" si="199"/>
        <v>0</v>
      </c>
      <c r="K1167">
        <f t="shared" si="200"/>
        <v>1.0467394398169905</v>
      </c>
      <c r="L1167">
        <f>-$B$5*$B$12-IF($B$3,Tabelle2[[#This Row],[Fd]]*Tabelle2[[#This Row],[vy]]/Tabelle2[[#This Row],[v]],0)</f>
        <v>-14.715</v>
      </c>
      <c r="M1167">
        <f t="shared" si="201"/>
        <v>-9.81</v>
      </c>
      <c r="N1167">
        <f t="shared" si="202"/>
        <v>-0.19620000000000001</v>
      </c>
      <c r="O1167">
        <f t="shared" si="203"/>
        <v>-3.3220425120880845</v>
      </c>
      <c r="P1167" s="1">
        <f t="shared" si="205"/>
        <v>52.336971990849527</v>
      </c>
      <c r="Q1167" s="1">
        <f t="shared" si="206"/>
        <v>-166.00402560440423</v>
      </c>
      <c r="R1167">
        <f>SQRT(Tabelle2[[#This Row],[vx]]*Tabelle2[[#This Row],[vx]]+Tabelle2[[#This Row],[vy]]*Tabelle2[[#This Row],[vy]])</f>
        <v>174.05888415716868</v>
      </c>
      <c r="S1167">
        <f t="shared" si="207"/>
        <v>1218.4047079469635</v>
      </c>
      <c r="T1167" s="1">
        <f t="shared" si="208"/>
        <v>-1204.5533392898649</v>
      </c>
    </row>
    <row r="1168" spans="6:20" x14ac:dyDescent="0.35">
      <c r="F1168" s="1">
        <f t="shared" si="204"/>
        <v>23.299999999999592</v>
      </c>
      <c r="G1168">
        <f>1/2*$B$8*$B$6*$B$7*(Tabelle2[[#This Row],[vx]]*Tabelle2[[#This Row],[vx]]+Tabelle2[[#This Row],[vy]]*Tabelle2[[#This Row],[vy]])/1000000</f>
        <v>53.707329018160806</v>
      </c>
      <c r="H1168">
        <f>IF($B$3,-Tabelle2[[#This Row],[Fd]]*Tabelle2[[#This Row],[vx]]/Tabelle2[[#This Row],[v]],0)</f>
        <v>0</v>
      </c>
      <c r="I1168">
        <f t="shared" si="198"/>
        <v>0</v>
      </c>
      <c r="J1168">
        <f t="shared" si="199"/>
        <v>0</v>
      </c>
      <c r="K1168">
        <f t="shared" si="200"/>
        <v>1.0467394398169905</v>
      </c>
      <c r="L1168">
        <f>-$B$5*$B$12-IF($B$3,Tabelle2[[#This Row],[Fd]]*Tabelle2[[#This Row],[vy]]/Tabelle2[[#This Row],[v]],0)</f>
        <v>-14.715</v>
      </c>
      <c r="M1168">
        <f t="shared" si="201"/>
        <v>-9.81</v>
      </c>
      <c r="N1168">
        <f t="shared" si="202"/>
        <v>-0.19620000000000001</v>
      </c>
      <c r="O1168">
        <f t="shared" si="203"/>
        <v>-3.3259665120880846</v>
      </c>
      <c r="P1168" s="1">
        <f t="shared" si="205"/>
        <v>52.336971990849527</v>
      </c>
      <c r="Q1168" s="1">
        <f t="shared" si="206"/>
        <v>-166.20022560440424</v>
      </c>
      <c r="R1168">
        <f>SQRT(Tabelle2[[#This Row],[vx]]*Tabelle2[[#This Row],[vx]]+Tabelle2[[#This Row],[vy]]*Tabelle2[[#This Row],[vy]])</f>
        <v>174.24601466927683</v>
      </c>
      <c r="S1168">
        <f t="shared" si="207"/>
        <v>1219.4514473867805</v>
      </c>
      <c r="T1168" s="1">
        <f t="shared" si="208"/>
        <v>-1207.8753818019529</v>
      </c>
    </row>
    <row r="1169" spans="6:20" x14ac:dyDescent="0.35">
      <c r="F1169" s="1">
        <f t="shared" si="204"/>
        <v>23.319999999999592</v>
      </c>
      <c r="G1169">
        <f>1/2*$B$8*$B$6*$B$7*(Tabelle2[[#This Row],[vx]]*Tabelle2[[#This Row],[vx]]+Tabelle2[[#This Row],[vy]]*Tabelle2[[#This Row],[vy]])/1000000</f>
        <v>53.822760619947196</v>
      </c>
      <c r="H1169">
        <f>IF($B$3,-Tabelle2[[#This Row],[Fd]]*Tabelle2[[#This Row],[vx]]/Tabelle2[[#This Row],[v]],0)</f>
        <v>0</v>
      </c>
      <c r="I1169">
        <f t="shared" si="198"/>
        <v>0</v>
      </c>
      <c r="J1169">
        <f t="shared" si="199"/>
        <v>0</v>
      </c>
      <c r="K1169">
        <f t="shared" si="200"/>
        <v>1.0467394398169905</v>
      </c>
      <c r="L1169">
        <f>-$B$5*$B$12-IF($B$3,Tabelle2[[#This Row],[Fd]]*Tabelle2[[#This Row],[vy]]/Tabelle2[[#This Row],[v]],0)</f>
        <v>-14.715</v>
      </c>
      <c r="M1169">
        <f t="shared" si="201"/>
        <v>-9.81</v>
      </c>
      <c r="N1169">
        <f t="shared" si="202"/>
        <v>-0.19620000000000001</v>
      </c>
      <c r="O1169">
        <f t="shared" si="203"/>
        <v>-3.3298905120880846</v>
      </c>
      <c r="P1169" s="1">
        <f t="shared" si="205"/>
        <v>52.336971990849527</v>
      </c>
      <c r="Q1169" s="1">
        <f t="shared" si="206"/>
        <v>-166.39642560440424</v>
      </c>
      <c r="R1169">
        <f>SQRT(Tabelle2[[#This Row],[vx]]*Tabelle2[[#This Row],[vx]]+Tabelle2[[#This Row],[vy]]*Tabelle2[[#This Row],[vy]])</f>
        <v>174.43316511229452</v>
      </c>
      <c r="S1169">
        <f t="shared" si="207"/>
        <v>1220.4981868265975</v>
      </c>
      <c r="T1169" s="1">
        <f t="shared" si="208"/>
        <v>-1211.2013483140411</v>
      </c>
    </row>
    <row r="1170" spans="6:20" x14ac:dyDescent="0.35">
      <c r="F1170" s="1">
        <f t="shared" si="204"/>
        <v>23.339999999999591</v>
      </c>
      <c r="G1170">
        <f>1/2*$B$8*$B$6*$B$7*(Tabelle2[[#This Row],[vx]]*Tabelle2[[#This Row],[vx]]+Tabelle2[[#This Row],[vy]]*Tabelle2[[#This Row],[vy]])/1000000</f>
        <v>53.938328408794931</v>
      </c>
      <c r="H1170">
        <f>IF($B$3,-Tabelle2[[#This Row],[Fd]]*Tabelle2[[#This Row],[vx]]/Tabelle2[[#This Row],[v]],0)</f>
        <v>0</v>
      </c>
      <c r="I1170">
        <f t="shared" si="198"/>
        <v>0</v>
      </c>
      <c r="J1170">
        <f t="shared" si="199"/>
        <v>0</v>
      </c>
      <c r="K1170">
        <f t="shared" si="200"/>
        <v>1.0467394398169905</v>
      </c>
      <c r="L1170">
        <f>-$B$5*$B$12-IF($B$3,Tabelle2[[#This Row],[Fd]]*Tabelle2[[#This Row],[vy]]/Tabelle2[[#This Row],[v]],0)</f>
        <v>-14.715</v>
      </c>
      <c r="M1170">
        <f t="shared" si="201"/>
        <v>-9.81</v>
      </c>
      <c r="N1170">
        <f t="shared" si="202"/>
        <v>-0.19620000000000001</v>
      </c>
      <c r="O1170">
        <f t="shared" si="203"/>
        <v>-3.3338145120880847</v>
      </c>
      <c r="P1170" s="1">
        <f t="shared" si="205"/>
        <v>52.336971990849527</v>
      </c>
      <c r="Q1170" s="1">
        <f t="shared" si="206"/>
        <v>-166.59262560440425</v>
      </c>
      <c r="R1170">
        <f>SQRT(Tabelle2[[#This Row],[vx]]*Tabelle2[[#This Row],[vx]]+Tabelle2[[#This Row],[vy]]*Tabelle2[[#This Row],[vy]])</f>
        <v>174.62033542213854</v>
      </c>
      <c r="S1170">
        <f t="shared" si="207"/>
        <v>1221.5449262664144</v>
      </c>
      <c r="T1170" s="1">
        <f t="shared" si="208"/>
        <v>-1214.5312388261291</v>
      </c>
    </row>
    <row r="1171" spans="6:20" x14ac:dyDescent="0.35">
      <c r="F1171" s="1">
        <f t="shared" si="204"/>
        <v>23.359999999999591</v>
      </c>
      <c r="G1171">
        <f>1/2*$B$8*$B$6*$B$7*(Tabelle2[[#This Row],[vx]]*Tabelle2[[#This Row],[vx]]+Tabelle2[[#This Row],[vy]]*Tabelle2[[#This Row],[vy]])/1000000</f>
        <v>54.054032384704016</v>
      </c>
      <c r="H1171">
        <f>IF($B$3,-Tabelle2[[#This Row],[Fd]]*Tabelle2[[#This Row],[vx]]/Tabelle2[[#This Row],[v]],0)</f>
        <v>0</v>
      </c>
      <c r="I1171">
        <f t="shared" si="198"/>
        <v>0</v>
      </c>
      <c r="J1171">
        <f t="shared" si="199"/>
        <v>0</v>
      </c>
      <c r="K1171">
        <f t="shared" si="200"/>
        <v>1.0467394398169905</v>
      </c>
      <c r="L1171">
        <f>-$B$5*$B$12-IF($B$3,Tabelle2[[#This Row],[Fd]]*Tabelle2[[#This Row],[vy]]/Tabelle2[[#This Row],[v]],0)</f>
        <v>-14.715</v>
      </c>
      <c r="M1171">
        <f t="shared" si="201"/>
        <v>-9.81</v>
      </c>
      <c r="N1171">
        <f t="shared" si="202"/>
        <v>-0.19620000000000001</v>
      </c>
      <c r="O1171">
        <f t="shared" si="203"/>
        <v>-3.3377385120880847</v>
      </c>
      <c r="P1171" s="1">
        <f t="shared" si="205"/>
        <v>52.336971990849527</v>
      </c>
      <c r="Q1171" s="1">
        <f t="shared" si="206"/>
        <v>-166.78882560440425</v>
      </c>
      <c r="R1171">
        <f>SQRT(Tabelle2[[#This Row],[vx]]*Tabelle2[[#This Row],[vx]]+Tabelle2[[#This Row],[vy]]*Tabelle2[[#This Row],[vy]])</f>
        <v>174.80752553499332</v>
      </c>
      <c r="S1171">
        <f t="shared" si="207"/>
        <v>1222.5916657062314</v>
      </c>
      <c r="T1171" s="1">
        <f t="shared" si="208"/>
        <v>-1217.8650533382172</v>
      </c>
    </row>
    <row r="1172" spans="6:20" x14ac:dyDescent="0.35">
      <c r="F1172" s="1">
        <f t="shared" si="204"/>
        <v>23.37999999999959</v>
      </c>
      <c r="G1172">
        <f>1/2*$B$8*$B$6*$B$7*(Tabelle2[[#This Row],[vx]]*Tabelle2[[#This Row],[vx]]+Tabelle2[[#This Row],[vy]]*Tabelle2[[#This Row],[vy]])/1000000</f>
        <v>54.16987254767443</v>
      </c>
      <c r="H1172">
        <f>IF($B$3,-Tabelle2[[#This Row],[Fd]]*Tabelle2[[#This Row],[vx]]/Tabelle2[[#This Row],[v]],0)</f>
        <v>0</v>
      </c>
      <c r="I1172">
        <f t="shared" si="198"/>
        <v>0</v>
      </c>
      <c r="J1172">
        <f t="shared" si="199"/>
        <v>0</v>
      </c>
      <c r="K1172">
        <f t="shared" si="200"/>
        <v>1.0467394398169905</v>
      </c>
      <c r="L1172">
        <f>-$B$5*$B$12-IF($B$3,Tabelle2[[#This Row],[Fd]]*Tabelle2[[#This Row],[vy]]/Tabelle2[[#This Row],[v]],0)</f>
        <v>-14.715</v>
      </c>
      <c r="M1172">
        <f t="shared" si="201"/>
        <v>-9.81</v>
      </c>
      <c r="N1172">
        <f t="shared" si="202"/>
        <v>-0.19620000000000001</v>
      </c>
      <c r="O1172">
        <f t="shared" si="203"/>
        <v>-3.3416625120880852</v>
      </c>
      <c r="P1172" s="1">
        <f t="shared" si="205"/>
        <v>52.336971990849527</v>
      </c>
      <c r="Q1172" s="1">
        <f t="shared" si="206"/>
        <v>-166.98502560440426</v>
      </c>
      <c r="R1172">
        <f>SQRT(Tabelle2[[#This Row],[vx]]*Tabelle2[[#This Row],[vx]]+Tabelle2[[#This Row],[vy]]*Tabelle2[[#This Row],[vy]])</f>
        <v>174.99473538730962</v>
      </c>
      <c r="S1172">
        <f t="shared" si="207"/>
        <v>1223.6384051460484</v>
      </c>
      <c r="T1172" s="1">
        <f t="shared" si="208"/>
        <v>-1221.2027918503052</v>
      </c>
    </row>
    <row r="1173" spans="6:20" x14ac:dyDescent="0.35">
      <c r="F1173" s="1">
        <f t="shared" si="204"/>
        <v>23.39999999999959</v>
      </c>
      <c r="G1173">
        <f>1/2*$B$8*$B$6*$B$7*(Tabelle2[[#This Row],[vx]]*Tabelle2[[#This Row],[vx]]+Tabelle2[[#This Row],[vy]]*Tabelle2[[#This Row],[vy]])/1000000</f>
        <v>54.285848897706202</v>
      </c>
      <c r="H1173">
        <f>IF($B$3,-Tabelle2[[#This Row],[Fd]]*Tabelle2[[#This Row],[vx]]/Tabelle2[[#This Row],[v]],0)</f>
        <v>0</v>
      </c>
      <c r="I1173">
        <f t="shared" si="198"/>
        <v>0</v>
      </c>
      <c r="J1173">
        <f t="shared" si="199"/>
        <v>0</v>
      </c>
      <c r="K1173">
        <f t="shared" si="200"/>
        <v>1.0467394398169905</v>
      </c>
      <c r="L1173">
        <f>-$B$5*$B$12-IF($B$3,Tabelle2[[#This Row],[Fd]]*Tabelle2[[#This Row],[vy]]/Tabelle2[[#This Row],[v]],0)</f>
        <v>-14.715</v>
      </c>
      <c r="M1173">
        <f t="shared" si="201"/>
        <v>-9.81</v>
      </c>
      <c r="N1173">
        <f t="shared" si="202"/>
        <v>-0.19620000000000001</v>
      </c>
      <c r="O1173">
        <f t="shared" si="203"/>
        <v>-3.3455865120880852</v>
      </c>
      <c r="P1173" s="1">
        <f t="shared" si="205"/>
        <v>52.336971990849527</v>
      </c>
      <c r="Q1173" s="1">
        <f t="shared" si="206"/>
        <v>-167.18122560440426</v>
      </c>
      <c r="R1173">
        <f>SQRT(Tabelle2[[#This Row],[vx]]*Tabelle2[[#This Row],[vx]]+Tabelle2[[#This Row],[vy]]*Tabelle2[[#This Row],[vy]])</f>
        <v>175.18196491580315</v>
      </c>
      <c r="S1173">
        <f t="shared" si="207"/>
        <v>1224.6851445858654</v>
      </c>
      <c r="T1173" s="1">
        <f t="shared" si="208"/>
        <v>-1224.5444543623933</v>
      </c>
    </row>
    <row r="1174" spans="6:20" x14ac:dyDescent="0.35">
      <c r="F1174" s="1">
        <f t="shared" si="204"/>
        <v>23.41999999999959</v>
      </c>
      <c r="G1174">
        <f>1/2*$B$8*$B$6*$B$7*(Tabelle2[[#This Row],[vx]]*Tabelle2[[#This Row],[vx]]+Tabelle2[[#This Row],[vy]]*Tabelle2[[#This Row],[vy]])/1000000</f>
        <v>54.401961434799311</v>
      </c>
      <c r="H1174">
        <f>IF($B$3,-Tabelle2[[#This Row],[Fd]]*Tabelle2[[#This Row],[vx]]/Tabelle2[[#This Row],[v]],0)</f>
        <v>0</v>
      </c>
      <c r="I1174">
        <f t="shared" si="198"/>
        <v>0</v>
      </c>
      <c r="J1174">
        <f t="shared" si="199"/>
        <v>0</v>
      </c>
      <c r="K1174">
        <f t="shared" si="200"/>
        <v>1.0467394398169905</v>
      </c>
      <c r="L1174">
        <f>-$B$5*$B$12-IF($B$3,Tabelle2[[#This Row],[Fd]]*Tabelle2[[#This Row],[vy]]/Tabelle2[[#This Row],[v]],0)</f>
        <v>-14.715</v>
      </c>
      <c r="M1174">
        <f t="shared" si="201"/>
        <v>-9.81</v>
      </c>
      <c r="N1174">
        <f t="shared" si="202"/>
        <v>-0.19620000000000001</v>
      </c>
      <c r="O1174">
        <f t="shared" si="203"/>
        <v>-3.3495105120880853</v>
      </c>
      <c r="P1174" s="1">
        <f t="shared" si="205"/>
        <v>52.336971990849527</v>
      </c>
      <c r="Q1174" s="1">
        <f t="shared" si="206"/>
        <v>-167.37742560440427</v>
      </c>
      <c r="R1174">
        <f>SQRT(Tabelle2[[#This Row],[vx]]*Tabelle2[[#This Row],[vx]]+Tabelle2[[#This Row],[vy]]*Tabelle2[[#This Row],[vy]])</f>
        <v>175.36921405745323</v>
      </c>
      <c r="S1174">
        <f t="shared" si="207"/>
        <v>1225.7318840256823</v>
      </c>
      <c r="T1174" s="1">
        <f t="shared" si="208"/>
        <v>-1227.8900408744814</v>
      </c>
    </row>
    <row r="1175" spans="6:20" x14ac:dyDescent="0.35">
      <c r="F1175" s="1">
        <f t="shared" si="204"/>
        <v>23.439999999999589</v>
      </c>
      <c r="G1175">
        <f>1/2*$B$8*$B$6*$B$7*(Tabelle2[[#This Row],[vx]]*Tabelle2[[#This Row],[vx]]+Tabelle2[[#This Row],[vy]]*Tabelle2[[#This Row],[vy]])/1000000</f>
        <v>54.518210158953771</v>
      </c>
      <c r="H1175">
        <f>IF($B$3,-Tabelle2[[#This Row],[Fd]]*Tabelle2[[#This Row],[vx]]/Tabelle2[[#This Row],[v]],0)</f>
        <v>0</v>
      </c>
      <c r="I1175">
        <f t="shared" si="198"/>
        <v>0</v>
      </c>
      <c r="J1175">
        <f t="shared" si="199"/>
        <v>0</v>
      </c>
      <c r="K1175">
        <f t="shared" si="200"/>
        <v>1.0467394398169905</v>
      </c>
      <c r="L1175">
        <f>-$B$5*$B$12-IF($B$3,Tabelle2[[#This Row],[Fd]]*Tabelle2[[#This Row],[vy]]/Tabelle2[[#This Row],[v]],0)</f>
        <v>-14.715</v>
      </c>
      <c r="M1175">
        <f t="shared" si="201"/>
        <v>-9.81</v>
      </c>
      <c r="N1175">
        <f t="shared" si="202"/>
        <v>-0.19620000000000001</v>
      </c>
      <c r="O1175">
        <f t="shared" si="203"/>
        <v>-3.3534345120880853</v>
      </c>
      <c r="P1175" s="1">
        <f t="shared" si="205"/>
        <v>52.336971990849527</v>
      </c>
      <c r="Q1175" s="1">
        <f t="shared" si="206"/>
        <v>-167.57362560440427</v>
      </c>
      <c r="R1175">
        <f>SQRT(Tabelle2[[#This Row],[vx]]*Tabelle2[[#This Row],[vx]]+Tabelle2[[#This Row],[vy]]*Tabelle2[[#This Row],[vy]])</f>
        <v>175.55648274950153</v>
      </c>
      <c r="S1175">
        <f t="shared" si="207"/>
        <v>1226.7786234654993</v>
      </c>
      <c r="T1175" s="1">
        <f t="shared" si="208"/>
        <v>-1231.2395513865695</v>
      </c>
    </row>
    <row r="1176" spans="6:20" x14ac:dyDescent="0.35">
      <c r="F1176" s="1">
        <f t="shared" si="204"/>
        <v>23.459999999999589</v>
      </c>
      <c r="G1176">
        <f>1/2*$B$8*$B$6*$B$7*(Tabelle2[[#This Row],[vx]]*Tabelle2[[#This Row],[vx]]+Tabelle2[[#This Row],[vy]]*Tabelle2[[#This Row],[vy]])/1000000</f>
        <v>54.63459507016956</v>
      </c>
      <c r="H1176">
        <f>IF($B$3,-Tabelle2[[#This Row],[Fd]]*Tabelle2[[#This Row],[vx]]/Tabelle2[[#This Row],[v]],0)</f>
        <v>0</v>
      </c>
      <c r="I1176">
        <f t="shared" si="198"/>
        <v>0</v>
      </c>
      <c r="J1176">
        <f t="shared" si="199"/>
        <v>0</v>
      </c>
      <c r="K1176">
        <f t="shared" si="200"/>
        <v>1.0467394398169905</v>
      </c>
      <c r="L1176">
        <f>-$B$5*$B$12-IF($B$3,Tabelle2[[#This Row],[Fd]]*Tabelle2[[#This Row],[vy]]/Tabelle2[[#This Row],[v]],0)</f>
        <v>-14.715</v>
      </c>
      <c r="M1176">
        <f t="shared" si="201"/>
        <v>-9.81</v>
      </c>
      <c r="N1176">
        <f t="shared" si="202"/>
        <v>-0.19620000000000001</v>
      </c>
      <c r="O1176">
        <f t="shared" si="203"/>
        <v>-3.3573585120880853</v>
      </c>
      <c r="P1176" s="1">
        <f t="shared" si="205"/>
        <v>52.336971990849527</v>
      </c>
      <c r="Q1176" s="1">
        <f t="shared" si="206"/>
        <v>-167.76982560440428</v>
      </c>
      <c r="R1176">
        <f>SQRT(Tabelle2[[#This Row],[vx]]*Tabelle2[[#This Row],[vx]]+Tabelle2[[#This Row],[vy]]*Tabelle2[[#This Row],[vy]])</f>
        <v>175.74377092945056</v>
      </c>
      <c r="S1176">
        <f t="shared" si="207"/>
        <v>1227.8253629053163</v>
      </c>
      <c r="T1176" s="1">
        <f t="shared" si="208"/>
        <v>-1234.5929858986576</v>
      </c>
    </row>
    <row r="1177" spans="6:20" x14ac:dyDescent="0.35">
      <c r="F1177" s="1">
        <f t="shared" si="204"/>
        <v>23.479999999999588</v>
      </c>
      <c r="G1177">
        <f>1/2*$B$8*$B$6*$B$7*(Tabelle2[[#This Row],[vx]]*Tabelle2[[#This Row],[vx]]+Tabelle2[[#This Row],[vy]]*Tabelle2[[#This Row],[vy]])/1000000</f>
        <v>54.751116168446714</v>
      </c>
      <c r="H1177">
        <f>IF($B$3,-Tabelle2[[#This Row],[Fd]]*Tabelle2[[#This Row],[vx]]/Tabelle2[[#This Row],[v]],0)</f>
        <v>0</v>
      </c>
      <c r="I1177">
        <f t="shared" si="198"/>
        <v>0</v>
      </c>
      <c r="J1177">
        <f t="shared" si="199"/>
        <v>0</v>
      </c>
      <c r="K1177">
        <f t="shared" si="200"/>
        <v>1.0467394398169905</v>
      </c>
      <c r="L1177">
        <f>-$B$5*$B$12-IF($B$3,Tabelle2[[#This Row],[Fd]]*Tabelle2[[#This Row],[vy]]/Tabelle2[[#This Row],[v]],0)</f>
        <v>-14.715</v>
      </c>
      <c r="M1177">
        <f t="shared" si="201"/>
        <v>-9.81</v>
      </c>
      <c r="N1177">
        <f t="shared" si="202"/>
        <v>-0.19620000000000001</v>
      </c>
      <c r="O1177">
        <f t="shared" si="203"/>
        <v>-3.3612825120880854</v>
      </c>
      <c r="P1177" s="1">
        <f t="shared" si="205"/>
        <v>52.336971990849527</v>
      </c>
      <c r="Q1177" s="1">
        <f t="shared" si="206"/>
        <v>-167.96602560440428</v>
      </c>
      <c r="R1177">
        <f>SQRT(Tabelle2[[#This Row],[vx]]*Tabelle2[[#This Row],[vx]]+Tabelle2[[#This Row],[vy]]*Tabelle2[[#This Row],[vy]])</f>
        <v>175.9310785350626</v>
      </c>
      <c r="S1177">
        <f t="shared" si="207"/>
        <v>1228.8721023451333</v>
      </c>
      <c r="T1177" s="1">
        <f t="shared" si="208"/>
        <v>-1237.9503444107456</v>
      </c>
    </row>
    <row r="1178" spans="6:20" x14ac:dyDescent="0.35">
      <c r="F1178" s="1">
        <f t="shared" si="204"/>
        <v>23.499999999999588</v>
      </c>
      <c r="G1178">
        <f>1/2*$B$8*$B$6*$B$7*(Tabelle2[[#This Row],[vx]]*Tabelle2[[#This Row],[vx]]+Tabelle2[[#This Row],[vy]]*Tabelle2[[#This Row],[vy]])/1000000</f>
        <v>54.867773453785198</v>
      </c>
      <c r="H1178">
        <f>IF($B$3,-Tabelle2[[#This Row],[Fd]]*Tabelle2[[#This Row],[vx]]/Tabelle2[[#This Row],[v]],0)</f>
        <v>0</v>
      </c>
      <c r="I1178">
        <f t="shared" si="198"/>
        <v>0</v>
      </c>
      <c r="J1178">
        <f t="shared" si="199"/>
        <v>0</v>
      </c>
      <c r="K1178">
        <f t="shared" si="200"/>
        <v>1.0467394398169905</v>
      </c>
      <c r="L1178">
        <f>-$B$5*$B$12-IF($B$3,Tabelle2[[#This Row],[Fd]]*Tabelle2[[#This Row],[vy]]/Tabelle2[[#This Row],[v]],0)</f>
        <v>-14.715</v>
      </c>
      <c r="M1178">
        <f t="shared" si="201"/>
        <v>-9.81</v>
      </c>
      <c r="N1178">
        <f t="shared" si="202"/>
        <v>-0.19620000000000001</v>
      </c>
      <c r="O1178">
        <f t="shared" si="203"/>
        <v>-3.3652065120880854</v>
      </c>
      <c r="P1178" s="1">
        <f t="shared" si="205"/>
        <v>52.336971990849527</v>
      </c>
      <c r="Q1178" s="1">
        <f t="shared" si="206"/>
        <v>-168.16222560440428</v>
      </c>
      <c r="R1178">
        <f>SQRT(Tabelle2[[#This Row],[vx]]*Tabelle2[[#This Row],[vx]]+Tabelle2[[#This Row],[vy]]*Tabelle2[[#This Row],[vy]])</f>
        <v>176.11840550435815</v>
      </c>
      <c r="S1178">
        <f t="shared" si="207"/>
        <v>1229.9188417849502</v>
      </c>
      <c r="T1178" s="1">
        <f t="shared" si="208"/>
        <v>-1241.3116269228337</v>
      </c>
    </row>
    <row r="1179" spans="6:20" x14ac:dyDescent="0.35">
      <c r="F1179" s="1">
        <f t="shared" si="204"/>
        <v>23.519999999999587</v>
      </c>
      <c r="G1179">
        <f>1/2*$B$8*$B$6*$B$7*(Tabelle2[[#This Row],[vx]]*Tabelle2[[#This Row],[vx]]+Tabelle2[[#This Row],[vy]]*Tabelle2[[#This Row],[vy]])/1000000</f>
        <v>54.984566926185025</v>
      </c>
      <c r="H1179">
        <f>IF($B$3,-Tabelle2[[#This Row],[Fd]]*Tabelle2[[#This Row],[vx]]/Tabelle2[[#This Row],[v]],0)</f>
        <v>0</v>
      </c>
      <c r="I1179">
        <f t="shared" si="198"/>
        <v>0</v>
      </c>
      <c r="J1179">
        <f t="shared" si="199"/>
        <v>0</v>
      </c>
      <c r="K1179">
        <f t="shared" si="200"/>
        <v>1.0467394398169905</v>
      </c>
      <c r="L1179">
        <f>-$B$5*$B$12-IF($B$3,Tabelle2[[#This Row],[Fd]]*Tabelle2[[#This Row],[vy]]/Tabelle2[[#This Row],[v]],0)</f>
        <v>-14.715</v>
      </c>
      <c r="M1179">
        <f t="shared" si="201"/>
        <v>-9.81</v>
      </c>
      <c r="N1179">
        <f t="shared" si="202"/>
        <v>-0.19620000000000001</v>
      </c>
      <c r="O1179">
        <f t="shared" si="203"/>
        <v>-3.3691305120880854</v>
      </c>
      <c r="P1179" s="1">
        <f t="shared" si="205"/>
        <v>52.336971990849527</v>
      </c>
      <c r="Q1179" s="1">
        <f t="shared" si="206"/>
        <v>-168.35842560440429</v>
      </c>
      <c r="R1179">
        <f>SQRT(Tabelle2[[#This Row],[vx]]*Tabelle2[[#This Row],[vx]]+Tabelle2[[#This Row],[vy]]*Tabelle2[[#This Row],[vy]])</f>
        <v>176.30575177561479</v>
      </c>
      <c r="S1179">
        <f t="shared" si="207"/>
        <v>1230.9655812247672</v>
      </c>
      <c r="T1179" s="1">
        <f t="shared" si="208"/>
        <v>-1244.6768334349217</v>
      </c>
    </row>
    <row r="1180" spans="6:20" x14ac:dyDescent="0.35">
      <c r="F1180" s="1">
        <f t="shared" si="204"/>
        <v>23.539999999999587</v>
      </c>
      <c r="G1180">
        <f>1/2*$B$8*$B$6*$B$7*(Tabelle2[[#This Row],[vx]]*Tabelle2[[#This Row],[vx]]+Tabelle2[[#This Row],[vy]]*Tabelle2[[#This Row],[vy]])/1000000</f>
        <v>55.101496585646203</v>
      </c>
      <c r="H1180">
        <f>IF($B$3,-Tabelle2[[#This Row],[Fd]]*Tabelle2[[#This Row],[vx]]/Tabelle2[[#This Row],[v]],0)</f>
        <v>0</v>
      </c>
      <c r="I1180">
        <f t="shared" si="198"/>
        <v>0</v>
      </c>
      <c r="J1180">
        <f t="shared" si="199"/>
        <v>0</v>
      </c>
      <c r="K1180">
        <f t="shared" si="200"/>
        <v>1.0467394398169905</v>
      </c>
      <c r="L1180">
        <f>-$B$5*$B$12-IF($B$3,Tabelle2[[#This Row],[Fd]]*Tabelle2[[#This Row],[vy]]/Tabelle2[[#This Row],[v]],0)</f>
        <v>-14.715</v>
      </c>
      <c r="M1180">
        <f t="shared" si="201"/>
        <v>-9.81</v>
      </c>
      <c r="N1180">
        <f t="shared" si="202"/>
        <v>-0.19620000000000001</v>
      </c>
      <c r="O1180">
        <f t="shared" si="203"/>
        <v>-3.3730545120880855</v>
      </c>
      <c r="P1180" s="1">
        <f t="shared" si="205"/>
        <v>52.336971990849527</v>
      </c>
      <c r="Q1180" s="1">
        <f t="shared" si="206"/>
        <v>-168.55462560440429</v>
      </c>
      <c r="R1180">
        <f>SQRT(Tabelle2[[#This Row],[vx]]*Tabelle2[[#This Row],[vx]]+Tabelle2[[#This Row],[vy]]*Tabelle2[[#This Row],[vy]])</f>
        <v>176.49311728736583</v>
      </c>
      <c r="S1180">
        <f t="shared" si="207"/>
        <v>1232.0123206645842</v>
      </c>
      <c r="T1180" s="1">
        <f t="shared" si="208"/>
        <v>-1248.0459639470098</v>
      </c>
    </row>
    <row r="1181" spans="6:20" x14ac:dyDescent="0.35">
      <c r="F1181" s="1">
        <f t="shared" si="204"/>
        <v>23.559999999999587</v>
      </c>
      <c r="G1181">
        <f>1/2*$B$8*$B$6*$B$7*(Tabelle2[[#This Row],[vx]]*Tabelle2[[#This Row],[vx]]+Tabelle2[[#This Row],[vy]]*Tabelle2[[#This Row],[vy]])/1000000</f>
        <v>55.218562432168724</v>
      </c>
      <c r="H1181">
        <f>IF($B$3,-Tabelle2[[#This Row],[Fd]]*Tabelle2[[#This Row],[vx]]/Tabelle2[[#This Row],[v]],0)</f>
        <v>0</v>
      </c>
      <c r="I1181">
        <f t="shared" si="198"/>
        <v>0</v>
      </c>
      <c r="J1181">
        <f t="shared" si="199"/>
        <v>0</v>
      </c>
      <c r="K1181">
        <f t="shared" si="200"/>
        <v>1.0467394398169905</v>
      </c>
      <c r="L1181">
        <f>-$B$5*$B$12-IF($B$3,Tabelle2[[#This Row],[Fd]]*Tabelle2[[#This Row],[vy]]/Tabelle2[[#This Row],[v]],0)</f>
        <v>-14.715</v>
      </c>
      <c r="M1181">
        <f t="shared" si="201"/>
        <v>-9.81</v>
      </c>
      <c r="N1181">
        <f t="shared" si="202"/>
        <v>-0.19620000000000001</v>
      </c>
      <c r="O1181">
        <f t="shared" si="203"/>
        <v>-3.376978512088086</v>
      </c>
      <c r="P1181" s="1">
        <f t="shared" si="205"/>
        <v>52.336971990849527</v>
      </c>
      <c r="Q1181" s="1">
        <f t="shared" si="206"/>
        <v>-168.7508256044043</v>
      </c>
      <c r="R1181">
        <f>SQRT(Tabelle2[[#This Row],[vx]]*Tabelle2[[#This Row],[vx]]+Tabelle2[[#This Row],[vy]]*Tabelle2[[#This Row],[vy]])</f>
        <v>176.68050197839895</v>
      </c>
      <c r="S1181">
        <f t="shared" si="207"/>
        <v>1233.0590601044012</v>
      </c>
      <c r="T1181" s="1">
        <f t="shared" si="208"/>
        <v>-1251.419018459098</v>
      </c>
    </row>
    <row r="1182" spans="6:20" x14ac:dyDescent="0.35">
      <c r="F1182" s="1">
        <f t="shared" si="204"/>
        <v>23.579999999999586</v>
      </c>
      <c r="G1182">
        <f>1/2*$B$8*$B$6*$B$7*(Tabelle2[[#This Row],[vx]]*Tabelle2[[#This Row],[vx]]+Tabelle2[[#This Row],[vy]]*Tabelle2[[#This Row],[vy]])/1000000</f>
        <v>55.33576446575259</v>
      </c>
      <c r="H1182">
        <f>IF($B$3,-Tabelle2[[#This Row],[Fd]]*Tabelle2[[#This Row],[vx]]/Tabelle2[[#This Row],[v]],0)</f>
        <v>0</v>
      </c>
      <c r="I1182">
        <f t="shared" si="198"/>
        <v>0</v>
      </c>
      <c r="J1182">
        <f t="shared" si="199"/>
        <v>0</v>
      </c>
      <c r="K1182">
        <f t="shared" si="200"/>
        <v>1.0467394398169905</v>
      </c>
      <c r="L1182">
        <f>-$B$5*$B$12-IF($B$3,Tabelle2[[#This Row],[Fd]]*Tabelle2[[#This Row],[vy]]/Tabelle2[[#This Row],[v]],0)</f>
        <v>-14.715</v>
      </c>
      <c r="M1182">
        <f t="shared" si="201"/>
        <v>-9.81</v>
      </c>
      <c r="N1182">
        <f t="shared" si="202"/>
        <v>-0.19620000000000001</v>
      </c>
      <c r="O1182">
        <f t="shared" si="203"/>
        <v>-3.380902512088086</v>
      </c>
      <c r="P1182" s="1">
        <f t="shared" si="205"/>
        <v>52.336971990849527</v>
      </c>
      <c r="Q1182" s="1">
        <f t="shared" si="206"/>
        <v>-168.9470256044043</v>
      </c>
      <c r="R1182">
        <f>SQRT(Tabelle2[[#This Row],[vx]]*Tabelle2[[#This Row],[vx]]+Tabelle2[[#This Row],[vy]]*Tabelle2[[#This Row],[vy]])</f>
        <v>176.86790578775509</v>
      </c>
      <c r="S1182">
        <f t="shared" si="207"/>
        <v>1234.1057995442181</v>
      </c>
      <c r="T1182" s="1">
        <f t="shared" si="208"/>
        <v>-1254.795996971186</v>
      </c>
    </row>
    <row r="1183" spans="6:20" x14ac:dyDescent="0.35">
      <c r="F1183" s="1">
        <f t="shared" si="204"/>
        <v>23.599999999999586</v>
      </c>
      <c r="G1183">
        <f>1/2*$B$8*$B$6*$B$7*(Tabelle2[[#This Row],[vx]]*Tabelle2[[#This Row],[vx]]+Tabelle2[[#This Row],[vy]]*Tabelle2[[#This Row],[vy]])/1000000</f>
        <v>55.453102686397791</v>
      </c>
      <c r="H1183">
        <f>IF($B$3,-Tabelle2[[#This Row],[Fd]]*Tabelle2[[#This Row],[vx]]/Tabelle2[[#This Row],[v]],0)</f>
        <v>0</v>
      </c>
      <c r="I1183">
        <f t="shared" si="198"/>
        <v>0</v>
      </c>
      <c r="J1183">
        <f t="shared" si="199"/>
        <v>0</v>
      </c>
      <c r="K1183">
        <f t="shared" si="200"/>
        <v>1.0467394398169905</v>
      </c>
      <c r="L1183">
        <f>-$B$5*$B$12-IF($B$3,Tabelle2[[#This Row],[Fd]]*Tabelle2[[#This Row],[vy]]/Tabelle2[[#This Row],[v]],0)</f>
        <v>-14.715</v>
      </c>
      <c r="M1183">
        <f t="shared" si="201"/>
        <v>-9.81</v>
      </c>
      <c r="N1183">
        <f t="shared" si="202"/>
        <v>-0.19620000000000001</v>
      </c>
      <c r="O1183">
        <f t="shared" si="203"/>
        <v>-3.384826512088086</v>
      </c>
      <c r="P1183" s="1">
        <f t="shared" si="205"/>
        <v>52.336971990849527</v>
      </c>
      <c r="Q1183" s="1">
        <f t="shared" si="206"/>
        <v>-169.14322560440431</v>
      </c>
      <c r="R1183">
        <f>SQRT(Tabelle2[[#This Row],[vx]]*Tabelle2[[#This Row],[vx]]+Tabelle2[[#This Row],[vy]]*Tabelle2[[#This Row],[vy]])</f>
        <v>177.05532865472696</v>
      </c>
      <c r="S1183">
        <f t="shared" si="207"/>
        <v>1235.1525389840351</v>
      </c>
      <c r="T1183" s="1">
        <f t="shared" si="208"/>
        <v>-1258.1768994832742</v>
      </c>
    </row>
    <row r="1184" spans="6:20" x14ac:dyDescent="0.35">
      <c r="F1184" s="1">
        <f t="shared" si="204"/>
        <v>23.619999999999585</v>
      </c>
      <c r="G1184">
        <f>1/2*$B$8*$B$6*$B$7*(Tabelle2[[#This Row],[vx]]*Tabelle2[[#This Row],[vx]]+Tabelle2[[#This Row],[vy]]*Tabelle2[[#This Row],[vy]])/1000000</f>
        <v>55.570577094104351</v>
      </c>
      <c r="H1184">
        <f>IF($B$3,-Tabelle2[[#This Row],[Fd]]*Tabelle2[[#This Row],[vx]]/Tabelle2[[#This Row],[v]],0)</f>
        <v>0</v>
      </c>
      <c r="I1184">
        <f t="shared" si="198"/>
        <v>0</v>
      </c>
      <c r="J1184">
        <f t="shared" si="199"/>
        <v>0</v>
      </c>
      <c r="K1184">
        <f t="shared" si="200"/>
        <v>1.0467394398169905</v>
      </c>
      <c r="L1184">
        <f>-$B$5*$B$12-IF($B$3,Tabelle2[[#This Row],[Fd]]*Tabelle2[[#This Row],[vy]]/Tabelle2[[#This Row],[v]],0)</f>
        <v>-14.715</v>
      </c>
      <c r="M1184">
        <f t="shared" si="201"/>
        <v>-9.81</v>
      </c>
      <c r="N1184">
        <f t="shared" si="202"/>
        <v>-0.19620000000000001</v>
      </c>
      <c r="O1184">
        <f t="shared" si="203"/>
        <v>-3.3887505120880861</v>
      </c>
      <c r="P1184" s="1">
        <f t="shared" si="205"/>
        <v>52.336971990849527</v>
      </c>
      <c r="Q1184" s="1">
        <f t="shared" si="206"/>
        <v>-169.33942560440431</v>
      </c>
      <c r="R1184">
        <f>SQRT(Tabelle2[[#This Row],[vx]]*Tabelle2[[#This Row],[vx]]+Tabelle2[[#This Row],[vy]]*Tabelle2[[#This Row],[vy]])</f>
        <v>177.24277051885798</v>
      </c>
      <c r="S1184">
        <f t="shared" si="207"/>
        <v>1236.1992784238521</v>
      </c>
      <c r="T1184" s="1">
        <f t="shared" si="208"/>
        <v>-1261.5617259953622</v>
      </c>
    </row>
    <row r="1185" spans="6:20" x14ac:dyDescent="0.35">
      <c r="F1185" s="1">
        <f t="shared" si="204"/>
        <v>23.639999999999585</v>
      </c>
      <c r="G1185">
        <f>1/2*$B$8*$B$6*$B$7*(Tabelle2[[#This Row],[vx]]*Tabelle2[[#This Row],[vx]]+Tabelle2[[#This Row],[vy]]*Tabelle2[[#This Row],[vy]])/1000000</f>
        <v>55.68818768887224</v>
      </c>
      <c r="H1185">
        <f>IF($B$3,-Tabelle2[[#This Row],[Fd]]*Tabelle2[[#This Row],[vx]]/Tabelle2[[#This Row],[v]],0)</f>
        <v>0</v>
      </c>
      <c r="I1185">
        <f t="shared" si="198"/>
        <v>0</v>
      </c>
      <c r="J1185">
        <f t="shared" si="199"/>
        <v>0</v>
      </c>
      <c r="K1185">
        <f t="shared" si="200"/>
        <v>1.0467394398169905</v>
      </c>
      <c r="L1185">
        <f>-$B$5*$B$12-IF($B$3,Tabelle2[[#This Row],[Fd]]*Tabelle2[[#This Row],[vy]]/Tabelle2[[#This Row],[v]],0)</f>
        <v>-14.715</v>
      </c>
      <c r="M1185">
        <f t="shared" si="201"/>
        <v>-9.81</v>
      </c>
      <c r="N1185">
        <f t="shared" si="202"/>
        <v>-0.19620000000000001</v>
      </c>
      <c r="O1185">
        <f t="shared" si="203"/>
        <v>-3.3926745120880861</v>
      </c>
      <c r="P1185" s="1">
        <f t="shared" si="205"/>
        <v>52.336971990849527</v>
      </c>
      <c r="Q1185" s="1">
        <f t="shared" si="206"/>
        <v>-169.53562560440432</v>
      </c>
      <c r="R1185">
        <f>SQRT(Tabelle2[[#This Row],[vx]]*Tabelle2[[#This Row],[vx]]+Tabelle2[[#This Row],[vy]]*Tabelle2[[#This Row],[vy]])</f>
        <v>177.43023131994084</v>
      </c>
      <c r="S1185">
        <f t="shared" si="207"/>
        <v>1237.2460178636691</v>
      </c>
      <c r="T1185" s="1">
        <f t="shared" si="208"/>
        <v>-1264.9504765074503</v>
      </c>
    </row>
    <row r="1186" spans="6:20" x14ac:dyDescent="0.35">
      <c r="F1186" s="1">
        <f t="shared" si="204"/>
        <v>23.659999999999584</v>
      </c>
      <c r="G1186">
        <f>1/2*$B$8*$B$6*$B$7*(Tabelle2[[#This Row],[vx]]*Tabelle2[[#This Row],[vx]]+Tabelle2[[#This Row],[vy]]*Tabelle2[[#This Row],[vy]])/1000000</f>
        <v>55.80593447070148</v>
      </c>
      <c r="H1186">
        <f>IF($B$3,-Tabelle2[[#This Row],[Fd]]*Tabelle2[[#This Row],[vx]]/Tabelle2[[#This Row],[v]],0)</f>
        <v>0</v>
      </c>
      <c r="I1186">
        <f t="shared" si="198"/>
        <v>0</v>
      </c>
      <c r="J1186">
        <f t="shared" si="199"/>
        <v>0</v>
      </c>
      <c r="K1186">
        <f t="shared" si="200"/>
        <v>1.0467394398169905</v>
      </c>
      <c r="L1186">
        <f>-$B$5*$B$12-IF($B$3,Tabelle2[[#This Row],[Fd]]*Tabelle2[[#This Row],[vy]]/Tabelle2[[#This Row],[v]],0)</f>
        <v>-14.715</v>
      </c>
      <c r="M1186">
        <f t="shared" si="201"/>
        <v>-9.81</v>
      </c>
      <c r="N1186">
        <f t="shared" si="202"/>
        <v>-0.19620000000000001</v>
      </c>
      <c r="O1186">
        <f t="shared" si="203"/>
        <v>-3.3965985120880862</v>
      </c>
      <c r="P1186" s="1">
        <f t="shared" si="205"/>
        <v>52.336971990849527</v>
      </c>
      <c r="Q1186" s="1">
        <f t="shared" si="206"/>
        <v>-169.73182560440432</v>
      </c>
      <c r="R1186">
        <f>SQRT(Tabelle2[[#This Row],[vx]]*Tabelle2[[#This Row],[vx]]+Tabelle2[[#This Row],[vy]]*Tabelle2[[#This Row],[vy]])</f>
        <v>177.61771099801643</v>
      </c>
      <c r="S1186">
        <f t="shared" si="207"/>
        <v>1238.292757303486</v>
      </c>
      <c r="T1186" s="1">
        <f t="shared" si="208"/>
        <v>-1268.3431510195383</v>
      </c>
    </row>
    <row r="1187" spans="6:20" x14ac:dyDescent="0.35">
      <c r="F1187" s="1">
        <f t="shared" si="204"/>
        <v>23.679999999999584</v>
      </c>
      <c r="G1187">
        <f>1/2*$B$8*$B$6*$B$7*(Tabelle2[[#This Row],[vx]]*Tabelle2[[#This Row],[vx]]+Tabelle2[[#This Row],[vy]]*Tabelle2[[#This Row],[vy]])/1000000</f>
        <v>55.923817439592064</v>
      </c>
      <c r="H1187">
        <f>IF($B$3,-Tabelle2[[#This Row],[Fd]]*Tabelle2[[#This Row],[vx]]/Tabelle2[[#This Row],[v]],0)</f>
        <v>0</v>
      </c>
      <c r="I1187">
        <f t="shared" si="198"/>
        <v>0</v>
      </c>
      <c r="J1187">
        <f t="shared" si="199"/>
        <v>0</v>
      </c>
      <c r="K1187">
        <f t="shared" si="200"/>
        <v>1.0467394398169905</v>
      </c>
      <c r="L1187">
        <f>-$B$5*$B$12-IF($B$3,Tabelle2[[#This Row],[Fd]]*Tabelle2[[#This Row],[vy]]/Tabelle2[[#This Row],[v]],0)</f>
        <v>-14.715</v>
      </c>
      <c r="M1187">
        <f t="shared" si="201"/>
        <v>-9.81</v>
      </c>
      <c r="N1187">
        <f t="shared" si="202"/>
        <v>-0.19620000000000001</v>
      </c>
      <c r="O1187">
        <f t="shared" si="203"/>
        <v>-3.4005225120880862</v>
      </c>
      <c r="P1187" s="1">
        <f t="shared" si="205"/>
        <v>52.336971990849527</v>
      </c>
      <c r="Q1187" s="1">
        <f t="shared" si="206"/>
        <v>-169.92802560440433</v>
      </c>
      <c r="R1187">
        <f>SQRT(Tabelle2[[#This Row],[vx]]*Tabelle2[[#This Row],[vx]]+Tabelle2[[#This Row],[vy]]*Tabelle2[[#This Row],[vy]])</f>
        <v>177.80520949337244</v>
      </c>
      <c r="S1187">
        <f t="shared" si="207"/>
        <v>1239.339496743303</v>
      </c>
      <c r="T1187" s="1">
        <f t="shared" si="208"/>
        <v>-1271.7397495316263</v>
      </c>
    </row>
    <row r="1188" spans="6:20" x14ac:dyDescent="0.35">
      <c r="F1188" s="1">
        <f t="shared" si="204"/>
        <v>23.699999999999584</v>
      </c>
      <c r="G1188">
        <f>1/2*$B$8*$B$6*$B$7*(Tabelle2[[#This Row],[vx]]*Tabelle2[[#This Row],[vx]]+Tabelle2[[#This Row],[vy]]*Tabelle2[[#This Row],[vy]])/1000000</f>
        <v>56.041836595543991</v>
      </c>
      <c r="H1188">
        <f>IF($B$3,-Tabelle2[[#This Row],[Fd]]*Tabelle2[[#This Row],[vx]]/Tabelle2[[#This Row],[v]],0)</f>
        <v>0</v>
      </c>
      <c r="I1188">
        <f t="shared" si="198"/>
        <v>0</v>
      </c>
      <c r="J1188">
        <f t="shared" si="199"/>
        <v>0</v>
      </c>
      <c r="K1188">
        <f t="shared" si="200"/>
        <v>1.0467394398169905</v>
      </c>
      <c r="L1188">
        <f>-$B$5*$B$12-IF($B$3,Tabelle2[[#This Row],[Fd]]*Tabelle2[[#This Row],[vy]]/Tabelle2[[#This Row],[v]],0)</f>
        <v>-14.715</v>
      </c>
      <c r="M1188">
        <f t="shared" si="201"/>
        <v>-9.81</v>
      </c>
      <c r="N1188">
        <f t="shared" si="202"/>
        <v>-0.19620000000000001</v>
      </c>
      <c r="O1188">
        <f t="shared" si="203"/>
        <v>-3.4044465120880862</v>
      </c>
      <c r="P1188" s="1">
        <f t="shared" si="205"/>
        <v>52.336971990849527</v>
      </c>
      <c r="Q1188" s="1">
        <f t="shared" si="206"/>
        <v>-170.12422560440433</v>
      </c>
      <c r="R1188">
        <f>SQRT(Tabelle2[[#This Row],[vx]]*Tabelle2[[#This Row],[vx]]+Tabelle2[[#This Row],[vy]]*Tabelle2[[#This Row],[vy]])</f>
        <v>177.99272674654216</v>
      </c>
      <c r="S1188">
        <f t="shared" si="207"/>
        <v>1240.38623618312</v>
      </c>
      <c r="T1188" s="1">
        <f t="shared" si="208"/>
        <v>-1275.1402720437145</v>
      </c>
    </row>
    <row r="1189" spans="6:20" x14ac:dyDescent="0.35">
      <c r="F1189" s="1">
        <f t="shared" si="204"/>
        <v>23.719999999999583</v>
      </c>
      <c r="G1189">
        <f>1/2*$B$8*$B$6*$B$7*(Tabelle2[[#This Row],[vx]]*Tabelle2[[#This Row],[vx]]+Tabelle2[[#This Row],[vy]]*Tabelle2[[#This Row],[vy]])/1000000</f>
        <v>56.159991938557262</v>
      </c>
      <c r="H1189">
        <f>IF($B$3,-Tabelle2[[#This Row],[Fd]]*Tabelle2[[#This Row],[vx]]/Tabelle2[[#This Row],[v]],0)</f>
        <v>0</v>
      </c>
      <c r="I1189">
        <f t="shared" si="198"/>
        <v>0</v>
      </c>
      <c r="J1189">
        <f t="shared" si="199"/>
        <v>0</v>
      </c>
      <c r="K1189">
        <f t="shared" si="200"/>
        <v>1.0467394398169905</v>
      </c>
      <c r="L1189">
        <f>-$B$5*$B$12-IF($B$3,Tabelle2[[#This Row],[Fd]]*Tabelle2[[#This Row],[vy]]/Tabelle2[[#This Row],[v]],0)</f>
        <v>-14.715</v>
      </c>
      <c r="M1189">
        <f t="shared" si="201"/>
        <v>-9.81</v>
      </c>
      <c r="N1189">
        <f t="shared" si="202"/>
        <v>-0.19620000000000001</v>
      </c>
      <c r="O1189">
        <f t="shared" si="203"/>
        <v>-3.4083705120880867</v>
      </c>
      <c r="P1189" s="1">
        <f t="shared" si="205"/>
        <v>52.336971990849527</v>
      </c>
      <c r="Q1189" s="1">
        <f t="shared" si="206"/>
        <v>-170.32042560440433</v>
      </c>
      <c r="R1189">
        <f>SQRT(Tabelle2[[#This Row],[vx]]*Tabelle2[[#This Row],[vx]]+Tabelle2[[#This Row],[vy]]*Tabelle2[[#This Row],[vy]])</f>
        <v>178.18026269830338</v>
      </c>
      <c r="S1189">
        <f t="shared" si="207"/>
        <v>1241.432975622937</v>
      </c>
      <c r="T1189" s="1">
        <f t="shared" si="208"/>
        <v>-1278.5447185558025</v>
      </c>
    </row>
    <row r="1190" spans="6:20" x14ac:dyDescent="0.35">
      <c r="F1190" s="1">
        <f t="shared" si="204"/>
        <v>23.739999999999583</v>
      </c>
      <c r="G1190">
        <f>1/2*$B$8*$B$6*$B$7*(Tabelle2[[#This Row],[vx]]*Tabelle2[[#This Row],[vx]]+Tabelle2[[#This Row],[vy]]*Tabelle2[[#This Row],[vy]])/1000000</f>
        <v>56.278283468631869</v>
      </c>
      <c r="H1190">
        <f>IF($B$3,-Tabelle2[[#This Row],[Fd]]*Tabelle2[[#This Row],[vx]]/Tabelle2[[#This Row],[v]],0)</f>
        <v>0</v>
      </c>
      <c r="I1190">
        <f t="shared" si="198"/>
        <v>0</v>
      </c>
      <c r="J1190">
        <f t="shared" si="199"/>
        <v>0</v>
      </c>
      <c r="K1190">
        <f t="shared" si="200"/>
        <v>1.0467394398169905</v>
      </c>
      <c r="L1190">
        <f>-$B$5*$B$12-IF($B$3,Tabelle2[[#This Row],[Fd]]*Tabelle2[[#This Row],[vy]]/Tabelle2[[#This Row],[v]],0)</f>
        <v>-14.715</v>
      </c>
      <c r="M1190">
        <f t="shared" si="201"/>
        <v>-9.81</v>
      </c>
      <c r="N1190">
        <f t="shared" si="202"/>
        <v>-0.19620000000000001</v>
      </c>
      <c r="O1190">
        <f t="shared" si="203"/>
        <v>-3.4122945120880868</v>
      </c>
      <c r="P1190" s="1">
        <f t="shared" si="205"/>
        <v>52.336971990849527</v>
      </c>
      <c r="Q1190" s="1">
        <f t="shared" si="206"/>
        <v>-170.51662560440434</v>
      </c>
      <c r="R1190">
        <f>SQRT(Tabelle2[[#This Row],[vx]]*Tabelle2[[#This Row],[vx]]+Tabelle2[[#This Row],[vy]]*Tabelle2[[#This Row],[vy]])</f>
        <v>178.36781728967691</v>
      </c>
      <c r="S1190">
        <f t="shared" si="207"/>
        <v>1242.4797150627539</v>
      </c>
      <c r="T1190" s="1">
        <f t="shared" si="208"/>
        <v>-1281.9530890678907</v>
      </c>
    </row>
    <row r="1191" spans="6:20" x14ac:dyDescent="0.35">
      <c r="F1191" s="1">
        <f t="shared" si="204"/>
        <v>23.759999999999582</v>
      </c>
      <c r="G1191">
        <f>1/2*$B$8*$B$6*$B$7*(Tabelle2[[#This Row],[vx]]*Tabelle2[[#This Row],[vx]]+Tabelle2[[#This Row],[vy]]*Tabelle2[[#This Row],[vy]])/1000000</f>
        <v>56.396711185767828</v>
      </c>
      <c r="H1191">
        <f>IF($B$3,-Tabelle2[[#This Row],[Fd]]*Tabelle2[[#This Row],[vx]]/Tabelle2[[#This Row],[v]],0)</f>
        <v>0</v>
      </c>
      <c r="I1191">
        <f t="shared" si="198"/>
        <v>0</v>
      </c>
      <c r="J1191">
        <f t="shared" si="199"/>
        <v>0</v>
      </c>
      <c r="K1191">
        <f t="shared" si="200"/>
        <v>1.0467394398169905</v>
      </c>
      <c r="L1191">
        <f>-$B$5*$B$12-IF($B$3,Tabelle2[[#This Row],[Fd]]*Tabelle2[[#This Row],[vy]]/Tabelle2[[#This Row],[v]],0)</f>
        <v>-14.715</v>
      </c>
      <c r="M1191">
        <f t="shared" si="201"/>
        <v>-9.81</v>
      </c>
      <c r="N1191">
        <f t="shared" si="202"/>
        <v>-0.19620000000000001</v>
      </c>
      <c r="O1191">
        <f t="shared" si="203"/>
        <v>-3.4162185120880868</v>
      </c>
      <c r="P1191" s="1">
        <f t="shared" si="205"/>
        <v>52.336971990849527</v>
      </c>
      <c r="Q1191" s="1">
        <f t="shared" si="206"/>
        <v>-170.71282560440434</v>
      </c>
      <c r="R1191">
        <f>SQRT(Tabelle2[[#This Row],[vx]]*Tabelle2[[#This Row],[vx]]+Tabelle2[[#This Row],[vy]]*Tabelle2[[#This Row],[vy]])</f>
        <v>178.55539046192567</v>
      </c>
      <c r="S1191">
        <f t="shared" si="207"/>
        <v>1243.5264545025709</v>
      </c>
      <c r="T1191" s="1">
        <f t="shared" si="208"/>
        <v>-1285.3653835799787</v>
      </c>
    </row>
    <row r="1192" spans="6:20" x14ac:dyDescent="0.35">
      <c r="F1192" s="1">
        <f t="shared" si="204"/>
        <v>23.779999999999582</v>
      </c>
      <c r="G1192">
        <f>1/2*$B$8*$B$6*$B$7*(Tabelle2[[#This Row],[vx]]*Tabelle2[[#This Row],[vx]]+Tabelle2[[#This Row],[vy]]*Tabelle2[[#This Row],[vy]])/1000000</f>
        <v>56.515275089965137</v>
      </c>
      <c r="H1192">
        <f>IF($B$3,-Tabelle2[[#This Row],[Fd]]*Tabelle2[[#This Row],[vx]]/Tabelle2[[#This Row],[v]],0)</f>
        <v>0</v>
      </c>
      <c r="I1192">
        <f t="shared" si="198"/>
        <v>0</v>
      </c>
      <c r="J1192">
        <f t="shared" si="199"/>
        <v>0</v>
      </c>
      <c r="K1192">
        <f t="shared" si="200"/>
        <v>1.0467394398169905</v>
      </c>
      <c r="L1192">
        <f>-$B$5*$B$12-IF($B$3,Tabelle2[[#This Row],[Fd]]*Tabelle2[[#This Row],[vy]]/Tabelle2[[#This Row],[v]],0)</f>
        <v>-14.715</v>
      </c>
      <c r="M1192">
        <f t="shared" si="201"/>
        <v>-9.81</v>
      </c>
      <c r="N1192">
        <f t="shared" si="202"/>
        <v>-0.19620000000000001</v>
      </c>
      <c r="O1192">
        <f t="shared" si="203"/>
        <v>-3.4201425120880868</v>
      </c>
      <c r="P1192" s="1">
        <f t="shared" si="205"/>
        <v>52.336971990849527</v>
      </c>
      <c r="Q1192" s="1">
        <f t="shared" si="206"/>
        <v>-170.90902560440435</v>
      </c>
      <c r="R1192">
        <f>SQRT(Tabelle2[[#This Row],[vx]]*Tabelle2[[#This Row],[vx]]+Tabelle2[[#This Row],[vy]]*Tabelle2[[#This Row],[vy]])</f>
        <v>178.74298215655324</v>
      </c>
      <c r="S1192">
        <f t="shared" si="207"/>
        <v>1244.5731939423879</v>
      </c>
      <c r="T1192" s="1">
        <f t="shared" si="208"/>
        <v>-1288.7816020920668</v>
      </c>
    </row>
    <row r="1193" spans="6:20" x14ac:dyDescent="0.35">
      <c r="F1193" s="1">
        <f t="shared" si="204"/>
        <v>23.799999999999581</v>
      </c>
      <c r="G1193">
        <f>1/2*$B$8*$B$6*$B$7*(Tabelle2[[#This Row],[vx]]*Tabelle2[[#This Row],[vx]]+Tabelle2[[#This Row],[vy]]*Tabelle2[[#This Row],[vy]])/1000000</f>
        <v>56.633975181223782</v>
      </c>
      <c r="H1193">
        <f>IF($B$3,-Tabelle2[[#This Row],[Fd]]*Tabelle2[[#This Row],[vx]]/Tabelle2[[#This Row],[v]],0)</f>
        <v>0</v>
      </c>
      <c r="I1193">
        <f t="shared" si="198"/>
        <v>0</v>
      </c>
      <c r="J1193">
        <f t="shared" si="199"/>
        <v>0</v>
      </c>
      <c r="K1193">
        <f t="shared" si="200"/>
        <v>1.0467394398169905</v>
      </c>
      <c r="L1193">
        <f>-$B$5*$B$12-IF($B$3,Tabelle2[[#This Row],[Fd]]*Tabelle2[[#This Row],[vy]]/Tabelle2[[#This Row],[v]],0)</f>
        <v>-14.715</v>
      </c>
      <c r="M1193">
        <f t="shared" si="201"/>
        <v>-9.81</v>
      </c>
      <c r="N1193">
        <f t="shared" si="202"/>
        <v>-0.19620000000000001</v>
      </c>
      <c r="O1193">
        <f t="shared" si="203"/>
        <v>-3.4240665120880869</v>
      </c>
      <c r="P1193" s="1">
        <f t="shared" si="205"/>
        <v>52.336971990849527</v>
      </c>
      <c r="Q1193" s="1">
        <f t="shared" si="206"/>
        <v>-171.10522560440435</v>
      </c>
      <c r="R1193">
        <f>SQRT(Tabelle2[[#This Row],[vx]]*Tabelle2[[#This Row],[vx]]+Tabelle2[[#This Row],[vy]]*Tabelle2[[#This Row],[vy]])</f>
        <v>178.93059231530276</v>
      </c>
      <c r="S1193">
        <f t="shared" si="207"/>
        <v>1245.6199333822049</v>
      </c>
      <c r="T1193" s="1">
        <f t="shared" si="208"/>
        <v>-1292.2017446041548</v>
      </c>
    </row>
    <row r="1194" spans="6:20" x14ac:dyDescent="0.35">
      <c r="F1194" s="1">
        <f t="shared" si="204"/>
        <v>23.819999999999581</v>
      </c>
      <c r="G1194">
        <f>1/2*$B$8*$B$6*$B$7*(Tabelle2[[#This Row],[vx]]*Tabelle2[[#This Row],[vx]]+Tabelle2[[#This Row],[vy]]*Tabelle2[[#This Row],[vy]])/1000000</f>
        <v>56.752811459543771</v>
      </c>
      <c r="H1194">
        <f>IF($B$3,-Tabelle2[[#This Row],[Fd]]*Tabelle2[[#This Row],[vx]]/Tabelle2[[#This Row],[v]],0)</f>
        <v>0</v>
      </c>
      <c r="I1194">
        <f t="shared" si="198"/>
        <v>0</v>
      </c>
      <c r="J1194">
        <f t="shared" si="199"/>
        <v>0</v>
      </c>
      <c r="K1194">
        <f t="shared" si="200"/>
        <v>1.0467394398169905</v>
      </c>
      <c r="L1194">
        <f>-$B$5*$B$12-IF($B$3,Tabelle2[[#This Row],[Fd]]*Tabelle2[[#This Row],[vy]]/Tabelle2[[#This Row],[v]],0)</f>
        <v>-14.715</v>
      </c>
      <c r="M1194">
        <f t="shared" si="201"/>
        <v>-9.81</v>
      </c>
      <c r="N1194">
        <f t="shared" si="202"/>
        <v>-0.19620000000000001</v>
      </c>
      <c r="O1194">
        <f t="shared" si="203"/>
        <v>-3.4279905120880869</v>
      </c>
      <c r="P1194" s="1">
        <f t="shared" si="205"/>
        <v>52.336971990849527</v>
      </c>
      <c r="Q1194" s="1">
        <f t="shared" si="206"/>
        <v>-171.30142560440436</v>
      </c>
      <c r="R1194">
        <f>SQRT(Tabelle2[[#This Row],[vx]]*Tabelle2[[#This Row],[vx]]+Tabelle2[[#This Row],[vy]]*Tabelle2[[#This Row],[vy]])</f>
        <v>179.11822088015569</v>
      </c>
      <c r="S1194">
        <f t="shared" si="207"/>
        <v>1246.6666728220218</v>
      </c>
      <c r="T1194" s="1">
        <f t="shared" si="208"/>
        <v>-1295.6258111162429</v>
      </c>
    </row>
    <row r="1195" spans="6:20" x14ac:dyDescent="0.35">
      <c r="F1195" s="1">
        <f t="shared" si="204"/>
        <v>23.839999999999581</v>
      </c>
      <c r="G1195">
        <f>1/2*$B$8*$B$6*$B$7*(Tabelle2[[#This Row],[vx]]*Tabelle2[[#This Row],[vx]]+Tabelle2[[#This Row],[vy]]*Tabelle2[[#This Row],[vy]])/1000000</f>
        <v>56.871783924925111</v>
      </c>
      <c r="H1195">
        <f>IF($B$3,-Tabelle2[[#This Row],[Fd]]*Tabelle2[[#This Row],[vx]]/Tabelle2[[#This Row],[v]],0)</f>
        <v>0</v>
      </c>
      <c r="I1195">
        <f t="shared" si="198"/>
        <v>0</v>
      </c>
      <c r="J1195">
        <f t="shared" si="199"/>
        <v>0</v>
      </c>
      <c r="K1195">
        <f t="shared" si="200"/>
        <v>1.0467394398169905</v>
      </c>
      <c r="L1195">
        <f>-$B$5*$B$12-IF($B$3,Tabelle2[[#This Row],[Fd]]*Tabelle2[[#This Row],[vy]]/Tabelle2[[#This Row],[v]],0)</f>
        <v>-14.715</v>
      </c>
      <c r="M1195">
        <f t="shared" si="201"/>
        <v>-9.81</v>
      </c>
      <c r="N1195">
        <f t="shared" si="202"/>
        <v>-0.19620000000000001</v>
      </c>
      <c r="O1195">
        <f t="shared" si="203"/>
        <v>-3.431914512088087</v>
      </c>
      <c r="P1195" s="1">
        <f t="shared" si="205"/>
        <v>52.336971990849527</v>
      </c>
      <c r="Q1195" s="1">
        <f t="shared" si="206"/>
        <v>-171.49762560440436</v>
      </c>
      <c r="R1195">
        <f>SQRT(Tabelle2[[#This Row],[vx]]*Tabelle2[[#This Row],[vx]]+Tabelle2[[#This Row],[vy]]*Tabelle2[[#This Row],[vy]])</f>
        <v>179.30586779333078</v>
      </c>
      <c r="S1195">
        <f t="shared" si="207"/>
        <v>1247.7134122618388</v>
      </c>
      <c r="T1195" s="1">
        <f t="shared" si="208"/>
        <v>-1299.053801628331</v>
      </c>
    </row>
    <row r="1196" spans="6:20" x14ac:dyDescent="0.35">
      <c r="F1196" s="1">
        <f t="shared" si="204"/>
        <v>23.85999999999958</v>
      </c>
      <c r="G1196">
        <f>1/2*$B$8*$B$6*$B$7*(Tabelle2[[#This Row],[vx]]*Tabelle2[[#This Row],[vx]]+Tabelle2[[#This Row],[vy]]*Tabelle2[[#This Row],[vy]])/1000000</f>
        <v>56.990892577367781</v>
      </c>
      <c r="H1196">
        <f>IF($B$3,-Tabelle2[[#This Row],[Fd]]*Tabelle2[[#This Row],[vx]]/Tabelle2[[#This Row],[v]],0)</f>
        <v>0</v>
      </c>
      <c r="I1196">
        <f t="shared" si="198"/>
        <v>0</v>
      </c>
      <c r="J1196">
        <f t="shared" si="199"/>
        <v>0</v>
      </c>
      <c r="K1196">
        <f t="shared" si="200"/>
        <v>1.0467394398169905</v>
      </c>
      <c r="L1196">
        <f>-$B$5*$B$12-IF($B$3,Tabelle2[[#This Row],[Fd]]*Tabelle2[[#This Row],[vy]]/Tabelle2[[#This Row],[v]],0)</f>
        <v>-14.715</v>
      </c>
      <c r="M1196">
        <f t="shared" si="201"/>
        <v>-9.81</v>
      </c>
      <c r="N1196">
        <f t="shared" si="202"/>
        <v>-0.19620000000000001</v>
      </c>
      <c r="O1196">
        <f t="shared" si="203"/>
        <v>-3.435838512088087</v>
      </c>
      <c r="P1196" s="1">
        <f t="shared" si="205"/>
        <v>52.336971990849527</v>
      </c>
      <c r="Q1196" s="1">
        <f t="shared" si="206"/>
        <v>-171.69382560440437</v>
      </c>
      <c r="R1196">
        <f>SQRT(Tabelle2[[#This Row],[vx]]*Tabelle2[[#This Row],[vx]]+Tabelle2[[#This Row],[vy]]*Tabelle2[[#This Row],[vy]])</f>
        <v>179.49353299728261</v>
      </c>
      <c r="S1196">
        <f t="shared" si="207"/>
        <v>1248.7601517016558</v>
      </c>
      <c r="T1196" s="1">
        <f t="shared" si="208"/>
        <v>-1302.4857161404191</v>
      </c>
    </row>
    <row r="1197" spans="6:20" x14ac:dyDescent="0.35">
      <c r="F1197" s="1">
        <f t="shared" si="204"/>
        <v>23.87999999999958</v>
      </c>
      <c r="G1197">
        <f>1/2*$B$8*$B$6*$B$7*(Tabelle2[[#This Row],[vx]]*Tabelle2[[#This Row],[vx]]+Tabelle2[[#This Row],[vy]]*Tabelle2[[#This Row],[vy]])/1000000</f>
        <v>57.110137416871808</v>
      </c>
      <c r="H1197">
        <f>IF($B$3,-Tabelle2[[#This Row],[Fd]]*Tabelle2[[#This Row],[vx]]/Tabelle2[[#This Row],[v]],0)</f>
        <v>0</v>
      </c>
      <c r="I1197">
        <f t="shared" si="198"/>
        <v>0</v>
      </c>
      <c r="J1197">
        <f t="shared" si="199"/>
        <v>0</v>
      </c>
      <c r="K1197">
        <f t="shared" si="200"/>
        <v>1.0467394398169905</v>
      </c>
      <c r="L1197">
        <f>-$B$5*$B$12-IF($B$3,Tabelle2[[#This Row],[Fd]]*Tabelle2[[#This Row],[vy]]/Tabelle2[[#This Row],[v]],0)</f>
        <v>-14.715</v>
      </c>
      <c r="M1197">
        <f t="shared" si="201"/>
        <v>-9.81</v>
      </c>
      <c r="N1197">
        <f t="shared" si="202"/>
        <v>-0.19620000000000001</v>
      </c>
      <c r="O1197">
        <f t="shared" si="203"/>
        <v>-3.4397625120880875</v>
      </c>
      <c r="P1197" s="1">
        <f t="shared" si="205"/>
        <v>52.336971990849527</v>
      </c>
      <c r="Q1197" s="1">
        <f t="shared" si="206"/>
        <v>-171.89002560440437</v>
      </c>
      <c r="R1197">
        <f>SQRT(Tabelle2[[#This Row],[vx]]*Tabelle2[[#This Row],[vx]]+Tabelle2[[#This Row],[vy]]*Tabelle2[[#This Row],[vy]])</f>
        <v>179.6812164347007</v>
      </c>
      <c r="S1197">
        <f t="shared" si="207"/>
        <v>1249.8068911414728</v>
      </c>
      <c r="T1197" s="1">
        <f t="shared" si="208"/>
        <v>-1305.9215546525072</v>
      </c>
    </row>
    <row r="1198" spans="6:20" x14ac:dyDescent="0.35">
      <c r="F1198" s="1">
        <f t="shared" si="204"/>
        <v>23.899999999999579</v>
      </c>
      <c r="G1198">
        <f>1/2*$B$8*$B$6*$B$7*(Tabelle2[[#This Row],[vx]]*Tabelle2[[#This Row],[vx]]+Tabelle2[[#This Row],[vy]]*Tabelle2[[#This Row],[vy]])/1000000</f>
        <v>57.229518443437179</v>
      </c>
      <c r="H1198">
        <f>IF($B$3,-Tabelle2[[#This Row],[Fd]]*Tabelle2[[#This Row],[vx]]/Tabelle2[[#This Row],[v]],0)</f>
        <v>0</v>
      </c>
      <c r="I1198">
        <f t="shared" si="198"/>
        <v>0</v>
      </c>
      <c r="J1198">
        <f t="shared" si="199"/>
        <v>0</v>
      </c>
      <c r="K1198">
        <f t="shared" si="200"/>
        <v>1.0467394398169905</v>
      </c>
      <c r="L1198">
        <f>-$B$5*$B$12-IF($B$3,Tabelle2[[#This Row],[Fd]]*Tabelle2[[#This Row],[vy]]/Tabelle2[[#This Row],[v]],0)</f>
        <v>-14.715</v>
      </c>
      <c r="M1198">
        <f t="shared" si="201"/>
        <v>-9.81</v>
      </c>
      <c r="N1198">
        <f t="shared" si="202"/>
        <v>-0.19620000000000001</v>
      </c>
      <c r="O1198">
        <f t="shared" si="203"/>
        <v>-3.4436865120880875</v>
      </c>
      <c r="P1198" s="1">
        <f t="shared" si="205"/>
        <v>52.336971990849527</v>
      </c>
      <c r="Q1198" s="1">
        <f t="shared" si="206"/>
        <v>-172.08622560440438</v>
      </c>
      <c r="R1198">
        <f>SQRT(Tabelle2[[#This Row],[vx]]*Tabelle2[[#This Row],[vx]]+Tabelle2[[#This Row],[vy]]*Tabelle2[[#This Row],[vy]])</f>
        <v>179.86891804850811</v>
      </c>
      <c r="S1198">
        <f t="shared" si="207"/>
        <v>1250.8536305812897</v>
      </c>
      <c r="T1198" s="1">
        <f t="shared" si="208"/>
        <v>-1309.3613171645952</v>
      </c>
    </row>
    <row r="1199" spans="6:20" x14ac:dyDescent="0.35">
      <c r="F1199" s="1">
        <f t="shared" si="204"/>
        <v>23.919999999999579</v>
      </c>
      <c r="G1199">
        <f>1/2*$B$8*$B$6*$B$7*(Tabelle2[[#This Row],[vx]]*Tabelle2[[#This Row],[vx]]+Tabelle2[[#This Row],[vy]]*Tabelle2[[#This Row],[vy]])/1000000</f>
        <v>57.349035657063887</v>
      </c>
      <c r="H1199">
        <f>IF($B$3,-Tabelle2[[#This Row],[Fd]]*Tabelle2[[#This Row],[vx]]/Tabelle2[[#This Row],[v]],0)</f>
        <v>0</v>
      </c>
      <c r="I1199">
        <f t="shared" si="198"/>
        <v>0</v>
      </c>
      <c r="J1199">
        <f t="shared" si="199"/>
        <v>0</v>
      </c>
      <c r="K1199">
        <f t="shared" si="200"/>
        <v>1.0467394398169905</v>
      </c>
      <c r="L1199">
        <f>-$B$5*$B$12-IF($B$3,Tabelle2[[#This Row],[Fd]]*Tabelle2[[#This Row],[vy]]/Tabelle2[[#This Row],[v]],0)</f>
        <v>-14.715</v>
      </c>
      <c r="M1199">
        <f t="shared" si="201"/>
        <v>-9.81</v>
      </c>
      <c r="N1199">
        <f t="shared" si="202"/>
        <v>-0.19620000000000001</v>
      </c>
      <c r="O1199">
        <f t="shared" si="203"/>
        <v>-3.4476105120880876</v>
      </c>
      <c r="P1199" s="1">
        <f t="shared" si="205"/>
        <v>52.336971990849527</v>
      </c>
      <c r="Q1199" s="1">
        <f t="shared" si="206"/>
        <v>-172.28242560440438</v>
      </c>
      <c r="R1199">
        <f>SQRT(Tabelle2[[#This Row],[vx]]*Tabelle2[[#This Row],[vx]]+Tabelle2[[#This Row],[vy]]*Tabelle2[[#This Row],[vy]])</f>
        <v>180.05663778186045</v>
      </c>
      <c r="S1199">
        <f t="shared" si="207"/>
        <v>1251.9003700211067</v>
      </c>
      <c r="T1199" s="1">
        <f t="shared" si="208"/>
        <v>-1312.8050036766833</v>
      </c>
    </row>
    <row r="1200" spans="6:20" x14ac:dyDescent="0.35">
      <c r="F1200" s="1">
        <f t="shared" si="204"/>
        <v>23.939999999999579</v>
      </c>
      <c r="G1200">
        <f>1/2*$B$8*$B$6*$B$7*(Tabelle2[[#This Row],[vx]]*Tabelle2[[#This Row],[vx]]+Tabelle2[[#This Row],[vy]]*Tabelle2[[#This Row],[vy]])/1000000</f>
        <v>57.468689057751945</v>
      </c>
      <c r="H1200">
        <f>IF($B$3,-Tabelle2[[#This Row],[Fd]]*Tabelle2[[#This Row],[vx]]/Tabelle2[[#This Row],[v]],0)</f>
        <v>0</v>
      </c>
      <c r="I1200">
        <f t="shared" si="198"/>
        <v>0</v>
      </c>
      <c r="J1200">
        <f t="shared" si="199"/>
        <v>0</v>
      </c>
      <c r="K1200">
        <f t="shared" si="200"/>
        <v>1.0467394398169905</v>
      </c>
      <c r="L1200">
        <f>-$B$5*$B$12-IF($B$3,Tabelle2[[#This Row],[Fd]]*Tabelle2[[#This Row],[vy]]/Tabelle2[[#This Row],[v]],0)</f>
        <v>-14.715</v>
      </c>
      <c r="M1200">
        <f t="shared" si="201"/>
        <v>-9.81</v>
      </c>
      <c r="N1200">
        <f t="shared" si="202"/>
        <v>-0.19620000000000001</v>
      </c>
      <c r="O1200">
        <f t="shared" si="203"/>
        <v>-3.4515345120880876</v>
      </c>
      <c r="P1200" s="1">
        <f t="shared" si="205"/>
        <v>52.336971990849527</v>
      </c>
      <c r="Q1200" s="1">
        <f t="shared" si="206"/>
        <v>-172.47862560440439</v>
      </c>
      <c r="R1200">
        <f>SQRT(Tabelle2[[#This Row],[vx]]*Tabelle2[[#This Row],[vx]]+Tabelle2[[#This Row],[vy]]*Tabelle2[[#This Row],[vy]])</f>
        <v>180.24437557814466</v>
      </c>
      <c r="S1200">
        <f t="shared" si="207"/>
        <v>1252.9471094609237</v>
      </c>
      <c r="T1200" s="1">
        <f t="shared" si="208"/>
        <v>-1316.2526141887713</v>
      </c>
    </row>
    <row r="1201" spans="6:20" x14ac:dyDescent="0.35">
      <c r="F1201" s="1">
        <f t="shared" si="204"/>
        <v>23.959999999999578</v>
      </c>
      <c r="G1201">
        <f>1/2*$B$8*$B$6*$B$7*(Tabelle2[[#This Row],[vx]]*Tabelle2[[#This Row],[vx]]+Tabelle2[[#This Row],[vy]]*Tabelle2[[#This Row],[vy]])/1000000</f>
        <v>57.588478645501347</v>
      </c>
      <c r="H1201">
        <f>IF($B$3,-Tabelle2[[#This Row],[Fd]]*Tabelle2[[#This Row],[vx]]/Tabelle2[[#This Row],[v]],0)</f>
        <v>0</v>
      </c>
      <c r="I1201">
        <f t="shared" si="198"/>
        <v>0</v>
      </c>
      <c r="J1201">
        <f t="shared" si="199"/>
        <v>0</v>
      </c>
      <c r="K1201">
        <f t="shared" si="200"/>
        <v>1.0467394398169905</v>
      </c>
      <c r="L1201">
        <f>-$B$5*$B$12-IF($B$3,Tabelle2[[#This Row],[Fd]]*Tabelle2[[#This Row],[vy]]/Tabelle2[[#This Row],[v]],0)</f>
        <v>-14.715</v>
      </c>
      <c r="M1201">
        <f t="shared" si="201"/>
        <v>-9.81</v>
      </c>
      <c r="N1201">
        <f t="shared" si="202"/>
        <v>-0.19620000000000001</v>
      </c>
      <c r="O1201">
        <f t="shared" si="203"/>
        <v>-3.4554585120880876</v>
      </c>
      <c r="P1201" s="1">
        <f t="shared" si="205"/>
        <v>52.336971990849527</v>
      </c>
      <c r="Q1201" s="1">
        <f t="shared" si="206"/>
        <v>-172.67482560440439</v>
      </c>
      <c r="R1201">
        <f>SQRT(Tabelle2[[#This Row],[vx]]*Tabelle2[[#This Row],[vx]]+Tabelle2[[#This Row],[vy]]*Tabelle2[[#This Row],[vy]])</f>
        <v>180.43213138097781</v>
      </c>
      <c r="S1201">
        <f t="shared" si="207"/>
        <v>1253.9938489007407</v>
      </c>
      <c r="T1201" s="1">
        <f t="shared" si="208"/>
        <v>-1319.7041487008594</v>
      </c>
    </row>
    <row r="1202" spans="6:20" x14ac:dyDescent="0.35">
      <c r="F1202" s="1">
        <f t="shared" si="204"/>
        <v>23.979999999999578</v>
      </c>
      <c r="G1202">
        <f>1/2*$B$8*$B$6*$B$7*(Tabelle2[[#This Row],[vx]]*Tabelle2[[#This Row],[vx]]+Tabelle2[[#This Row],[vy]]*Tabelle2[[#This Row],[vy]])/1000000</f>
        <v>57.708404420312085</v>
      </c>
      <c r="H1202">
        <f>IF($B$3,-Tabelle2[[#This Row],[Fd]]*Tabelle2[[#This Row],[vx]]/Tabelle2[[#This Row],[v]],0)</f>
        <v>0</v>
      </c>
      <c r="I1202">
        <f t="shared" si="198"/>
        <v>0</v>
      </c>
      <c r="J1202">
        <f t="shared" si="199"/>
        <v>0</v>
      </c>
      <c r="K1202">
        <f t="shared" si="200"/>
        <v>1.0467394398169905</v>
      </c>
      <c r="L1202">
        <f>-$B$5*$B$12-IF($B$3,Tabelle2[[#This Row],[Fd]]*Tabelle2[[#This Row],[vy]]/Tabelle2[[#This Row],[v]],0)</f>
        <v>-14.715</v>
      </c>
      <c r="M1202">
        <f t="shared" si="201"/>
        <v>-9.81</v>
      </c>
      <c r="N1202">
        <f t="shared" si="202"/>
        <v>-0.19620000000000001</v>
      </c>
      <c r="O1202">
        <f t="shared" si="203"/>
        <v>-3.4593825120880877</v>
      </c>
      <c r="P1202" s="1">
        <f t="shared" si="205"/>
        <v>52.336971990849527</v>
      </c>
      <c r="Q1202" s="1">
        <f t="shared" si="206"/>
        <v>-172.87102560440439</v>
      </c>
      <c r="R1202">
        <f>SQRT(Tabelle2[[#This Row],[vx]]*Tabelle2[[#This Row],[vx]]+Tabelle2[[#This Row],[vy]]*Tabelle2[[#This Row],[vy]])</f>
        <v>180.61990513420608</v>
      </c>
      <c r="S1202">
        <f t="shared" si="207"/>
        <v>1255.0405883405576</v>
      </c>
      <c r="T1202" s="1">
        <f t="shared" si="208"/>
        <v>-1323.1596072129475</v>
      </c>
    </row>
    <row r="1203" spans="6:20" x14ac:dyDescent="0.35">
      <c r="F1203" s="1">
        <f t="shared" si="204"/>
        <v>23.999999999999577</v>
      </c>
      <c r="G1203">
        <f>1/2*$B$8*$B$6*$B$7*(Tabelle2[[#This Row],[vx]]*Tabelle2[[#This Row],[vx]]+Tabelle2[[#This Row],[vy]]*Tabelle2[[#This Row],[vy]])/1000000</f>
        <v>57.828466382184175</v>
      </c>
      <c r="H1203">
        <f>IF($B$3,-Tabelle2[[#This Row],[Fd]]*Tabelle2[[#This Row],[vx]]/Tabelle2[[#This Row],[v]],0)</f>
        <v>0</v>
      </c>
      <c r="I1203">
        <f t="shared" si="198"/>
        <v>0</v>
      </c>
      <c r="J1203">
        <f t="shared" si="199"/>
        <v>0</v>
      </c>
      <c r="K1203">
        <f t="shared" si="200"/>
        <v>1.0467394398169905</v>
      </c>
      <c r="L1203">
        <f>-$B$5*$B$12-IF($B$3,Tabelle2[[#This Row],[Fd]]*Tabelle2[[#This Row],[vy]]/Tabelle2[[#This Row],[v]],0)</f>
        <v>-14.715</v>
      </c>
      <c r="M1203">
        <f t="shared" si="201"/>
        <v>-9.81</v>
      </c>
      <c r="N1203">
        <f t="shared" si="202"/>
        <v>-0.19620000000000001</v>
      </c>
      <c r="O1203">
        <f t="shared" si="203"/>
        <v>-3.4633065120880877</v>
      </c>
      <c r="P1203" s="1">
        <f t="shared" si="205"/>
        <v>52.336971990849527</v>
      </c>
      <c r="Q1203" s="1">
        <f t="shared" si="206"/>
        <v>-173.0672256044044</v>
      </c>
      <c r="R1203">
        <f>SQRT(Tabelle2[[#This Row],[vx]]*Tabelle2[[#This Row],[vx]]+Tabelle2[[#This Row],[vy]]*Tabelle2[[#This Row],[vy]])</f>
        <v>180.80769678190356</v>
      </c>
      <c r="S1203">
        <f t="shared" si="207"/>
        <v>1256.0873277803746</v>
      </c>
      <c r="T1203" s="1">
        <f t="shared" si="208"/>
        <v>-1326.6189897250356</v>
      </c>
    </row>
    <row r="1204" spans="6:20" x14ac:dyDescent="0.35">
      <c r="F1204" s="1">
        <f t="shared" si="204"/>
        <v>24.019999999999577</v>
      </c>
      <c r="G1204">
        <f>1/2*$B$8*$B$6*$B$7*(Tabelle2[[#This Row],[vx]]*Tabelle2[[#This Row],[vx]]+Tabelle2[[#This Row],[vy]]*Tabelle2[[#This Row],[vy]])/1000000</f>
        <v>57.948664531117601</v>
      </c>
      <c r="H1204">
        <f>IF($B$3,-Tabelle2[[#This Row],[Fd]]*Tabelle2[[#This Row],[vx]]/Tabelle2[[#This Row],[v]],0)</f>
        <v>0</v>
      </c>
      <c r="I1204">
        <f t="shared" si="198"/>
        <v>0</v>
      </c>
      <c r="J1204">
        <f t="shared" si="199"/>
        <v>0</v>
      </c>
      <c r="K1204">
        <f t="shared" si="200"/>
        <v>1.0467394398169905</v>
      </c>
      <c r="L1204">
        <f>-$B$5*$B$12-IF($B$3,Tabelle2[[#This Row],[Fd]]*Tabelle2[[#This Row],[vy]]/Tabelle2[[#This Row],[v]],0)</f>
        <v>-14.715</v>
      </c>
      <c r="M1204">
        <f t="shared" si="201"/>
        <v>-9.81</v>
      </c>
      <c r="N1204">
        <f t="shared" si="202"/>
        <v>-0.19620000000000001</v>
      </c>
      <c r="O1204">
        <f t="shared" si="203"/>
        <v>-3.4672305120880877</v>
      </c>
      <c r="P1204" s="1">
        <f t="shared" si="205"/>
        <v>52.336971990849527</v>
      </c>
      <c r="Q1204" s="1">
        <f t="shared" si="206"/>
        <v>-173.2634256044044</v>
      </c>
      <c r="R1204">
        <f>SQRT(Tabelle2[[#This Row],[vx]]*Tabelle2[[#This Row],[vx]]+Tabelle2[[#This Row],[vy]]*Tabelle2[[#This Row],[vy]])</f>
        <v>180.99550626837106</v>
      </c>
      <c r="S1204">
        <f t="shared" si="207"/>
        <v>1257.1340672201916</v>
      </c>
      <c r="T1204" s="1">
        <f t="shared" si="208"/>
        <v>-1330.0822962371237</v>
      </c>
    </row>
    <row r="1205" spans="6:20" x14ac:dyDescent="0.35">
      <c r="F1205" s="1">
        <f t="shared" si="204"/>
        <v>24.039999999999576</v>
      </c>
      <c r="G1205">
        <f>1/2*$B$8*$B$6*$B$7*(Tabelle2[[#This Row],[vx]]*Tabelle2[[#This Row],[vx]]+Tabelle2[[#This Row],[vy]]*Tabelle2[[#This Row],[vy]])/1000000</f>
        <v>58.068998867112384</v>
      </c>
      <c r="H1205">
        <f>IF($B$3,-Tabelle2[[#This Row],[Fd]]*Tabelle2[[#This Row],[vx]]/Tabelle2[[#This Row],[v]],0)</f>
        <v>0</v>
      </c>
      <c r="I1205">
        <f t="shared" si="198"/>
        <v>0</v>
      </c>
      <c r="J1205">
        <f t="shared" si="199"/>
        <v>0</v>
      </c>
      <c r="K1205">
        <f t="shared" si="200"/>
        <v>1.0467394398169905</v>
      </c>
      <c r="L1205">
        <f>-$B$5*$B$12-IF($B$3,Tabelle2[[#This Row],[Fd]]*Tabelle2[[#This Row],[vy]]/Tabelle2[[#This Row],[v]],0)</f>
        <v>-14.715</v>
      </c>
      <c r="M1205">
        <f t="shared" si="201"/>
        <v>-9.81</v>
      </c>
      <c r="N1205">
        <f t="shared" si="202"/>
        <v>-0.19620000000000001</v>
      </c>
      <c r="O1205">
        <f t="shared" si="203"/>
        <v>-3.4711545120880878</v>
      </c>
      <c r="P1205" s="1">
        <f t="shared" si="205"/>
        <v>52.336971990849527</v>
      </c>
      <c r="Q1205" s="1">
        <f t="shared" si="206"/>
        <v>-173.45962560440441</v>
      </c>
      <c r="R1205">
        <f>SQRT(Tabelle2[[#This Row],[vx]]*Tabelle2[[#This Row],[vx]]+Tabelle2[[#This Row],[vy]]*Tabelle2[[#This Row],[vy]])</f>
        <v>181.18333353813512</v>
      </c>
      <c r="S1205">
        <f t="shared" si="207"/>
        <v>1258.1808066600086</v>
      </c>
      <c r="T1205" s="1">
        <f t="shared" si="208"/>
        <v>-1333.5495267492117</v>
      </c>
    </row>
    <row r="1206" spans="6:20" x14ac:dyDescent="0.35">
      <c r="F1206" s="1">
        <f t="shared" si="204"/>
        <v>24.059999999999576</v>
      </c>
      <c r="G1206">
        <f>1/2*$B$8*$B$6*$B$7*(Tabelle2[[#This Row],[vx]]*Tabelle2[[#This Row],[vx]]+Tabelle2[[#This Row],[vy]]*Tabelle2[[#This Row],[vy]])/1000000</f>
        <v>58.189469390168497</v>
      </c>
      <c r="H1206">
        <f>IF($B$3,-Tabelle2[[#This Row],[Fd]]*Tabelle2[[#This Row],[vx]]/Tabelle2[[#This Row],[v]],0)</f>
        <v>0</v>
      </c>
      <c r="I1206">
        <f t="shared" si="198"/>
        <v>0</v>
      </c>
      <c r="J1206">
        <f t="shared" si="199"/>
        <v>0</v>
      </c>
      <c r="K1206">
        <f t="shared" si="200"/>
        <v>1.0467394398169905</v>
      </c>
      <c r="L1206">
        <f>-$B$5*$B$12-IF($B$3,Tabelle2[[#This Row],[Fd]]*Tabelle2[[#This Row],[vy]]/Tabelle2[[#This Row],[v]],0)</f>
        <v>-14.715</v>
      </c>
      <c r="M1206">
        <f t="shared" si="201"/>
        <v>-9.81</v>
      </c>
      <c r="N1206">
        <f t="shared" si="202"/>
        <v>-0.19620000000000001</v>
      </c>
      <c r="O1206">
        <f t="shared" si="203"/>
        <v>-3.4750785120880883</v>
      </c>
      <c r="P1206" s="1">
        <f t="shared" si="205"/>
        <v>52.336971990849527</v>
      </c>
      <c r="Q1206" s="1">
        <f t="shared" si="206"/>
        <v>-173.65582560440441</v>
      </c>
      <c r="R1206">
        <f>SQRT(Tabelle2[[#This Row],[vx]]*Tabelle2[[#This Row],[vx]]+Tabelle2[[#This Row],[vy]]*Tabelle2[[#This Row],[vy]])</f>
        <v>181.3711785359468</v>
      </c>
      <c r="S1206">
        <f t="shared" si="207"/>
        <v>1259.2275460998255</v>
      </c>
      <c r="T1206" s="1">
        <f t="shared" si="208"/>
        <v>-1337.0206812612998</v>
      </c>
    </row>
    <row r="1207" spans="6:20" x14ac:dyDescent="0.35">
      <c r="F1207" s="1">
        <f t="shared" si="204"/>
        <v>24.079999999999576</v>
      </c>
      <c r="G1207">
        <f>1/2*$B$8*$B$6*$B$7*(Tabelle2[[#This Row],[vx]]*Tabelle2[[#This Row],[vx]]+Tabelle2[[#This Row],[vy]]*Tabelle2[[#This Row],[vy]])/1000000</f>
        <v>58.310076100285968</v>
      </c>
      <c r="H1207">
        <f>IF($B$3,-Tabelle2[[#This Row],[Fd]]*Tabelle2[[#This Row],[vx]]/Tabelle2[[#This Row],[v]],0)</f>
        <v>0</v>
      </c>
      <c r="I1207">
        <f t="shared" si="198"/>
        <v>0</v>
      </c>
      <c r="J1207">
        <f t="shared" si="199"/>
        <v>0</v>
      </c>
      <c r="K1207">
        <f t="shared" si="200"/>
        <v>1.0467394398169905</v>
      </c>
      <c r="L1207">
        <f>-$B$5*$B$12-IF($B$3,Tabelle2[[#This Row],[Fd]]*Tabelle2[[#This Row],[vy]]/Tabelle2[[#This Row],[v]],0)</f>
        <v>-14.715</v>
      </c>
      <c r="M1207">
        <f t="shared" si="201"/>
        <v>-9.81</v>
      </c>
      <c r="N1207">
        <f t="shared" si="202"/>
        <v>-0.19620000000000001</v>
      </c>
      <c r="O1207">
        <f t="shared" si="203"/>
        <v>-3.4790025120880883</v>
      </c>
      <c r="P1207" s="1">
        <f t="shared" si="205"/>
        <v>52.336971990849527</v>
      </c>
      <c r="Q1207" s="1">
        <f t="shared" si="206"/>
        <v>-173.85202560440442</v>
      </c>
      <c r="R1207">
        <f>SQRT(Tabelle2[[#This Row],[vx]]*Tabelle2[[#This Row],[vx]]+Tabelle2[[#This Row],[vy]]*Tabelle2[[#This Row],[vy]])</f>
        <v>181.55904120678062</v>
      </c>
      <c r="S1207">
        <f t="shared" si="207"/>
        <v>1260.2742855396425</v>
      </c>
      <c r="T1207" s="1">
        <f t="shared" si="208"/>
        <v>-1340.4957597733878</v>
      </c>
    </row>
    <row r="1208" spans="6:20" x14ac:dyDescent="0.35">
      <c r="F1208" s="1">
        <f t="shared" si="204"/>
        <v>24.099999999999575</v>
      </c>
      <c r="G1208">
        <f>1/2*$B$8*$B$6*$B$7*(Tabelle2[[#This Row],[vx]]*Tabelle2[[#This Row],[vx]]+Tabelle2[[#This Row],[vy]]*Tabelle2[[#This Row],[vy]])/1000000</f>
        <v>58.430818997464762</v>
      </c>
      <c r="H1208">
        <f>IF($B$3,-Tabelle2[[#This Row],[Fd]]*Tabelle2[[#This Row],[vx]]/Tabelle2[[#This Row],[v]],0)</f>
        <v>0</v>
      </c>
      <c r="I1208">
        <f t="shared" si="198"/>
        <v>0</v>
      </c>
      <c r="J1208">
        <f t="shared" si="199"/>
        <v>0</v>
      </c>
      <c r="K1208">
        <f t="shared" si="200"/>
        <v>1.0467394398169905</v>
      </c>
      <c r="L1208">
        <f>-$B$5*$B$12-IF($B$3,Tabelle2[[#This Row],[Fd]]*Tabelle2[[#This Row],[vy]]/Tabelle2[[#This Row],[v]],0)</f>
        <v>-14.715</v>
      </c>
      <c r="M1208">
        <f t="shared" si="201"/>
        <v>-9.81</v>
      </c>
      <c r="N1208">
        <f t="shared" si="202"/>
        <v>-0.19620000000000001</v>
      </c>
      <c r="O1208">
        <f t="shared" si="203"/>
        <v>-3.4829265120880883</v>
      </c>
      <c r="P1208" s="1">
        <f t="shared" si="205"/>
        <v>52.336971990849527</v>
      </c>
      <c r="Q1208" s="1">
        <f t="shared" si="206"/>
        <v>-174.04822560440442</v>
      </c>
      <c r="R1208">
        <f>SQRT(Tabelle2[[#This Row],[vx]]*Tabelle2[[#This Row],[vx]]+Tabelle2[[#This Row],[vy]]*Tabelle2[[#This Row],[vy]])</f>
        <v>181.74692149583339</v>
      </c>
      <c r="S1208">
        <f t="shared" si="207"/>
        <v>1261.3210249794595</v>
      </c>
      <c r="T1208" s="1">
        <f t="shared" si="208"/>
        <v>-1343.9747622854759</v>
      </c>
    </row>
    <row r="1209" spans="6:20" x14ac:dyDescent="0.35">
      <c r="F1209" s="1">
        <f t="shared" si="204"/>
        <v>24.119999999999575</v>
      </c>
      <c r="G1209">
        <f>1/2*$B$8*$B$6*$B$7*(Tabelle2[[#This Row],[vx]]*Tabelle2[[#This Row],[vx]]+Tabelle2[[#This Row],[vy]]*Tabelle2[[#This Row],[vy]])/1000000</f>
        <v>58.551698081704913</v>
      </c>
      <c r="H1209">
        <f>IF($B$3,-Tabelle2[[#This Row],[Fd]]*Tabelle2[[#This Row],[vx]]/Tabelle2[[#This Row],[v]],0)</f>
        <v>0</v>
      </c>
      <c r="I1209">
        <f t="shared" si="198"/>
        <v>0</v>
      </c>
      <c r="J1209">
        <f t="shared" si="199"/>
        <v>0</v>
      </c>
      <c r="K1209">
        <f t="shared" si="200"/>
        <v>1.0467394398169905</v>
      </c>
      <c r="L1209">
        <f>-$B$5*$B$12-IF($B$3,Tabelle2[[#This Row],[Fd]]*Tabelle2[[#This Row],[vy]]/Tabelle2[[#This Row],[v]],0)</f>
        <v>-14.715</v>
      </c>
      <c r="M1209">
        <f t="shared" si="201"/>
        <v>-9.81</v>
      </c>
      <c r="N1209">
        <f t="shared" si="202"/>
        <v>-0.19620000000000001</v>
      </c>
      <c r="O1209">
        <f t="shared" si="203"/>
        <v>-3.4868505120880884</v>
      </c>
      <c r="P1209" s="1">
        <f t="shared" si="205"/>
        <v>52.336971990849527</v>
      </c>
      <c r="Q1209" s="1">
        <f t="shared" si="206"/>
        <v>-174.24442560440443</v>
      </c>
      <c r="R1209">
        <f>SQRT(Tabelle2[[#This Row],[vx]]*Tabelle2[[#This Row],[vx]]+Tabelle2[[#This Row],[vy]]*Tabelle2[[#This Row],[vy]])</f>
        <v>181.93481934852326</v>
      </c>
      <c r="S1209">
        <f t="shared" si="207"/>
        <v>1262.3677644192765</v>
      </c>
      <c r="T1209" s="1">
        <f t="shared" si="208"/>
        <v>-1347.4576887975641</v>
      </c>
    </row>
    <row r="1210" spans="6:20" x14ac:dyDescent="0.35">
      <c r="F1210" s="1">
        <f t="shared" si="204"/>
        <v>24.139999999999574</v>
      </c>
      <c r="G1210">
        <f>1/2*$B$8*$B$6*$B$7*(Tabelle2[[#This Row],[vx]]*Tabelle2[[#This Row],[vx]]+Tabelle2[[#This Row],[vy]]*Tabelle2[[#This Row],[vy]])/1000000</f>
        <v>58.672713353006422</v>
      </c>
      <c r="H1210">
        <f>IF($B$3,-Tabelle2[[#This Row],[Fd]]*Tabelle2[[#This Row],[vx]]/Tabelle2[[#This Row],[v]],0)</f>
        <v>0</v>
      </c>
      <c r="I1210">
        <f t="shared" si="198"/>
        <v>0</v>
      </c>
      <c r="J1210">
        <f t="shared" si="199"/>
        <v>0</v>
      </c>
      <c r="K1210">
        <f t="shared" si="200"/>
        <v>1.0467394398169905</v>
      </c>
      <c r="L1210">
        <f>-$B$5*$B$12-IF($B$3,Tabelle2[[#This Row],[Fd]]*Tabelle2[[#This Row],[vy]]/Tabelle2[[#This Row],[v]],0)</f>
        <v>-14.715</v>
      </c>
      <c r="M1210">
        <f t="shared" si="201"/>
        <v>-9.81</v>
      </c>
      <c r="N1210">
        <f t="shared" si="202"/>
        <v>-0.19620000000000001</v>
      </c>
      <c r="O1210">
        <f t="shared" si="203"/>
        <v>-3.4907745120880884</v>
      </c>
      <c r="P1210" s="1">
        <f t="shared" si="205"/>
        <v>52.336971990849527</v>
      </c>
      <c r="Q1210" s="1">
        <f t="shared" si="206"/>
        <v>-174.44062560440443</v>
      </c>
      <c r="R1210">
        <f>SQRT(Tabelle2[[#This Row],[vx]]*Tabelle2[[#This Row],[vx]]+Tabelle2[[#This Row],[vy]]*Tabelle2[[#This Row],[vy]])</f>
        <v>182.12273471048849</v>
      </c>
      <c r="S1210">
        <f t="shared" si="207"/>
        <v>1263.4145038590934</v>
      </c>
      <c r="T1210" s="1">
        <f t="shared" si="208"/>
        <v>-1350.9445393096521</v>
      </c>
    </row>
    <row r="1211" spans="6:20" x14ac:dyDescent="0.35">
      <c r="F1211" s="1">
        <f t="shared" si="204"/>
        <v>24.159999999999574</v>
      </c>
      <c r="G1211">
        <f>1/2*$B$8*$B$6*$B$7*(Tabelle2[[#This Row],[vx]]*Tabelle2[[#This Row],[vx]]+Tabelle2[[#This Row],[vy]]*Tabelle2[[#This Row],[vy]])/1000000</f>
        <v>58.793864811369254</v>
      </c>
      <c r="H1211">
        <f>IF($B$3,-Tabelle2[[#This Row],[Fd]]*Tabelle2[[#This Row],[vx]]/Tabelle2[[#This Row],[v]],0)</f>
        <v>0</v>
      </c>
      <c r="I1211">
        <f t="shared" si="198"/>
        <v>0</v>
      </c>
      <c r="J1211">
        <f t="shared" si="199"/>
        <v>0</v>
      </c>
      <c r="K1211">
        <f t="shared" si="200"/>
        <v>1.0467394398169905</v>
      </c>
      <c r="L1211">
        <f>-$B$5*$B$12-IF($B$3,Tabelle2[[#This Row],[Fd]]*Tabelle2[[#This Row],[vy]]/Tabelle2[[#This Row],[v]],0)</f>
        <v>-14.715</v>
      </c>
      <c r="M1211">
        <f t="shared" si="201"/>
        <v>-9.81</v>
      </c>
      <c r="N1211">
        <f t="shared" si="202"/>
        <v>-0.19620000000000001</v>
      </c>
      <c r="O1211">
        <f t="shared" si="203"/>
        <v>-3.4946985120880885</v>
      </c>
      <c r="P1211" s="1">
        <f t="shared" si="205"/>
        <v>52.336971990849527</v>
      </c>
      <c r="Q1211" s="1">
        <f t="shared" si="206"/>
        <v>-174.63682560440444</v>
      </c>
      <c r="R1211">
        <f>SQRT(Tabelle2[[#This Row],[vx]]*Tabelle2[[#This Row],[vx]]+Tabelle2[[#This Row],[vy]]*Tabelle2[[#This Row],[vy]])</f>
        <v>182.31066752758639</v>
      </c>
      <c r="S1211">
        <f t="shared" si="207"/>
        <v>1264.4612432989104</v>
      </c>
      <c r="T1211" s="1">
        <f t="shared" si="208"/>
        <v>-1354.4353138217402</v>
      </c>
    </row>
    <row r="1212" spans="6:20" x14ac:dyDescent="0.35">
      <c r="F1212" s="1">
        <f t="shared" si="204"/>
        <v>24.179999999999573</v>
      </c>
      <c r="G1212">
        <f>1/2*$B$8*$B$6*$B$7*(Tabelle2[[#This Row],[vx]]*Tabelle2[[#This Row],[vx]]+Tabelle2[[#This Row],[vy]]*Tabelle2[[#This Row],[vy]])/1000000</f>
        <v>58.915152456793436</v>
      </c>
      <c r="H1212">
        <f>IF($B$3,-Tabelle2[[#This Row],[Fd]]*Tabelle2[[#This Row],[vx]]/Tabelle2[[#This Row],[v]],0)</f>
        <v>0</v>
      </c>
      <c r="I1212">
        <f t="shared" si="198"/>
        <v>0</v>
      </c>
      <c r="J1212">
        <f t="shared" si="199"/>
        <v>0</v>
      </c>
      <c r="K1212">
        <f t="shared" si="200"/>
        <v>1.0467394398169905</v>
      </c>
      <c r="L1212">
        <f>-$B$5*$B$12-IF($B$3,Tabelle2[[#This Row],[Fd]]*Tabelle2[[#This Row],[vy]]/Tabelle2[[#This Row],[v]],0)</f>
        <v>-14.715</v>
      </c>
      <c r="M1212">
        <f t="shared" si="201"/>
        <v>-9.81</v>
      </c>
      <c r="N1212">
        <f t="shared" si="202"/>
        <v>-0.19620000000000001</v>
      </c>
      <c r="O1212">
        <f t="shared" si="203"/>
        <v>-3.4986225120880885</v>
      </c>
      <c r="P1212" s="1">
        <f t="shared" si="205"/>
        <v>52.336971990849527</v>
      </c>
      <c r="Q1212" s="1">
        <f t="shared" si="206"/>
        <v>-174.83302560440444</v>
      </c>
      <c r="R1212">
        <f>SQRT(Tabelle2[[#This Row],[vx]]*Tabelle2[[#This Row],[vx]]+Tabelle2[[#This Row],[vy]]*Tabelle2[[#This Row],[vy]])</f>
        <v>182.49861774589226</v>
      </c>
      <c r="S1212">
        <f t="shared" si="207"/>
        <v>1265.5079827387274</v>
      </c>
      <c r="T1212" s="1">
        <f t="shared" si="208"/>
        <v>-1357.9300123338282</v>
      </c>
    </row>
    <row r="1213" spans="6:20" x14ac:dyDescent="0.35">
      <c r="F1213" s="1">
        <f t="shared" si="204"/>
        <v>24.199999999999573</v>
      </c>
      <c r="G1213">
        <f>1/2*$B$8*$B$6*$B$7*(Tabelle2[[#This Row],[vx]]*Tabelle2[[#This Row],[vx]]+Tabelle2[[#This Row],[vy]]*Tabelle2[[#This Row],[vy]])/1000000</f>
        <v>59.036576289278962</v>
      </c>
      <c r="H1213">
        <f>IF($B$3,-Tabelle2[[#This Row],[Fd]]*Tabelle2[[#This Row],[vx]]/Tabelle2[[#This Row],[v]],0)</f>
        <v>0</v>
      </c>
      <c r="I1213">
        <f t="shared" si="198"/>
        <v>0</v>
      </c>
      <c r="J1213">
        <f t="shared" si="199"/>
        <v>0</v>
      </c>
      <c r="K1213">
        <f t="shared" si="200"/>
        <v>1.0467394398169905</v>
      </c>
      <c r="L1213">
        <f>-$B$5*$B$12-IF($B$3,Tabelle2[[#This Row],[Fd]]*Tabelle2[[#This Row],[vy]]/Tabelle2[[#This Row],[v]],0)</f>
        <v>-14.715</v>
      </c>
      <c r="M1213">
        <f t="shared" si="201"/>
        <v>-9.81</v>
      </c>
      <c r="N1213">
        <f t="shared" si="202"/>
        <v>-0.19620000000000001</v>
      </c>
      <c r="O1213">
        <f t="shared" si="203"/>
        <v>-3.5025465120880885</v>
      </c>
      <c r="P1213" s="1">
        <f t="shared" si="205"/>
        <v>52.336971990849527</v>
      </c>
      <c r="Q1213" s="1">
        <f t="shared" si="206"/>
        <v>-175.02922560440444</v>
      </c>
      <c r="R1213">
        <f>SQRT(Tabelle2[[#This Row],[vx]]*Tabelle2[[#This Row],[vx]]+Tabelle2[[#This Row],[vy]]*Tabelle2[[#This Row],[vy]])</f>
        <v>182.68658531169845</v>
      </c>
      <c r="S1213">
        <f t="shared" si="207"/>
        <v>1266.5547221785444</v>
      </c>
      <c r="T1213" s="1">
        <f t="shared" si="208"/>
        <v>-1361.4286348459163</v>
      </c>
    </row>
    <row r="1214" spans="6:20" x14ac:dyDescent="0.35">
      <c r="F1214" s="1">
        <f t="shared" si="204"/>
        <v>24.219999999999573</v>
      </c>
      <c r="G1214">
        <f>1/2*$B$8*$B$6*$B$7*(Tabelle2[[#This Row],[vx]]*Tabelle2[[#This Row],[vx]]+Tabelle2[[#This Row],[vy]]*Tabelle2[[#This Row],[vy]])/1000000</f>
        <v>59.158136308825839</v>
      </c>
      <c r="H1214">
        <f>IF($B$3,-Tabelle2[[#This Row],[Fd]]*Tabelle2[[#This Row],[vx]]/Tabelle2[[#This Row],[v]],0)</f>
        <v>0</v>
      </c>
      <c r="I1214">
        <f t="shared" si="198"/>
        <v>0</v>
      </c>
      <c r="J1214">
        <f t="shared" si="199"/>
        <v>0</v>
      </c>
      <c r="K1214">
        <f t="shared" si="200"/>
        <v>1.0467394398169905</v>
      </c>
      <c r="L1214">
        <f>-$B$5*$B$12-IF($B$3,Tabelle2[[#This Row],[Fd]]*Tabelle2[[#This Row],[vy]]/Tabelle2[[#This Row],[v]],0)</f>
        <v>-14.715</v>
      </c>
      <c r="M1214">
        <f t="shared" si="201"/>
        <v>-9.81</v>
      </c>
      <c r="N1214">
        <f t="shared" si="202"/>
        <v>-0.19620000000000001</v>
      </c>
      <c r="O1214">
        <f t="shared" si="203"/>
        <v>-3.506470512088089</v>
      </c>
      <c r="P1214" s="1">
        <f t="shared" si="205"/>
        <v>52.336971990849527</v>
      </c>
      <c r="Q1214" s="1">
        <f t="shared" si="206"/>
        <v>-175.22542560440445</v>
      </c>
      <c r="R1214">
        <f>SQRT(Tabelle2[[#This Row],[vx]]*Tabelle2[[#This Row],[vx]]+Tabelle2[[#This Row],[vy]]*Tabelle2[[#This Row],[vy]])</f>
        <v>182.87457017151306</v>
      </c>
      <c r="S1214">
        <f t="shared" si="207"/>
        <v>1267.6014616183613</v>
      </c>
      <c r="T1214" s="1">
        <f t="shared" si="208"/>
        <v>-1364.9311813580046</v>
      </c>
    </row>
    <row r="1215" spans="6:20" x14ac:dyDescent="0.35">
      <c r="F1215" s="1">
        <f t="shared" si="204"/>
        <v>24.239999999999572</v>
      </c>
      <c r="G1215">
        <f>1/2*$B$8*$B$6*$B$7*(Tabelle2[[#This Row],[vx]]*Tabelle2[[#This Row],[vx]]+Tabelle2[[#This Row],[vy]]*Tabelle2[[#This Row],[vy]])/1000000</f>
        <v>59.279832515434052</v>
      </c>
      <c r="H1215">
        <f>IF($B$3,-Tabelle2[[#This Row],[Fd]]*Tabelle2[[#This Row],[vx]]/Tabelle2[[#This Row],[v]],0)</f>
        <v>0</v>
      </c>
      <c r="I1215">
        <f t="shared" si="198"/>
        <v>0</v>
      </c>
      <c r="J1215">
        <f t="shared" si="199"/>
        <v>0</v>
      </c>
      <c r="K1215">
        <f t="shared" si="200"/>
        <v>1.0467394398169905</v>
      </c>
      <c r="L1215">
        <f>-$B$5*$B$12-IF($B$3,Tabelle2[[#This Row],[Fd]]*Tabelle2[[#This Row],[vy]]/Tabelle2[[#This Row],[v]],0)</f>
        <v>-14.715</v>
      </c>
      <c r="M1215">
        <f t="shared" si="201"/>
        <v>-9.81</v>
      </c>
      <c r="N1215">
        <f t="shared" si="202"/>
        <v>-0.19620000000000001</v>
      </c>
      <c r="O1215">
        <f t="shared" si="203"/>
        <v>-3.5103945120880891</v>
      </c>
      <c r="P1215" s="1">
        <f t="shared" si="205"/>
        <v>52.336971990849527</v>
      </c>
      <c r="Q1215" s="1">
        <f t="shared" si="206"/>
        <v>-175.42162560440445</v>
      </c>
      <c r="R1215">
        <f>SQRT(Tabelle2[[#This Row],[vx]]*Tabelle2[[#This Row],[vx]]+Tabelle2[[#This Row],[vy]]*Tabelle2[[#This Row],[vy]])</f>
        <v>183.06257227205899</v>
      </c>
      <c r="S1215">
        <f t="shared" si="207"/>
        <v>1268.6482010581783</v>
      </c>
      <c r="T1215" s="1">
        <f t="shared" si="208"/>
        <v>-1368.4376518700926</v>
      </c>
    </row>
    <row r="1216" spans="6:20" x14ac:dyDescent="0.35">
      <c r="F1216" s="1">
        <f t="shared" si="204"/>
        <v>24.259999999999572</v>
      </c>
      <c r="G1216">
        <f>1/2*$B$8*$B$6*$B$7*(Tabelle2[[#This Row],[vx]]*Tabelle2[[#This Row],[vx]]+Tabelle2[[#This Row],[vy]]*Tabelle2[[#This Row],[vy]])/1000000</f>
        <v>59.401664909103609</v>
      </c>
      <c r="H1216">
        <f>IF($B$3,-Tabelle2[[#This Row],[Fd]]*Tabelle2[[#This Row],[vx]]/Tabelle2[[#This Row],[v]],0)</f>
        <v>0</v>
      </c>
      <c r="I1216">
        <f t="shared" si="198"/>
        <v>0</v>
      </c>
      <c r="J1216">
        <f t="shared" si="199"/>
        <v>0</v>
      </c>
      <c r="K1216">
        <f t="shared" si="200"/>
        <v>1.0467394398169905</v>
      </c>
      <c r="L1216">
        <f>-$B$5*$B$12-IF($B$3,Tabelle2[[#This Row],[Fd]]*Tabelle2[[#This Row],[vy]]/Tabelle2[[#This Row],[v]],0)</f>
        <v>-14.715</v>
      </c>
      <c r="M1216">
        <f t="shared" si="201"/>
        <v>-9.81</v>
      </c>
      <c r="N1216">
        <f t="shared" si="202"/>
        <v>-0.19620000000000001</v>
      </c>
      <c r="O1216">
        <f t="shared" si="203"/>
        <v>-3.5143185120880891</v>
      </c>
      <c r="P1216" s="1">
        <f t="shared" si="205"/>
        <v>52.336971990849527</v>
      </c>
      <c r="Q1216" s="1">
        <f t="shared" si="206"/>
        <v>-175.61782560440446</v>
      </c>
      <c r="R1216">
        <f>SQRT(Tabelle2[[#This Row],[vx]]*Tabelle2[[#This Row],[vx]]+Tabelle2[[#This Row],[vy]]*Tabelle2[[#This Row],[vy]])</f>
        <v>183.25059156027297</v>
      </c>
      <c r="S1216">
        <f t="shared" si="207"/>
        <v>1269.6949404979953</v>
      </c>
      <c r="T1216" s="1">
        <f t="shared" si="208"/>
        <v>-1371.9480463821808</v>
      </c>
    </row>
    <row r="1217" spans="6:20" x14ac:dyDescent="0.35">
      <c r="F1217" s="1">
        <f t="shared" si="204"/>
        <v>24.279999999999571</v>
      </c>
      <c r="G1217">
        <f>1/2*$B$8*$B$6*$B$7*(Tabelle2[[#This Row],[vx]]*Tabelle2[[#This Row],[vx]]+Tabelle2[[#This Row],[vy]]*Tabelle2[[#This Row],[vy]])/1000000</f>
        <v>59.523633489834502</v>
      </c>
      <c r="H1217">
        <f>IF($B$3,-Tabelle2[[#This Row],[Fd]]*Tabelle2[[#This Row],[vx]]/Tabelle2[[#This Row],[v]],0)</f>
        <v>0</v>
      </c>
      <c r="I1217">
        <f t="shared" si="198"/>
        <v>0</v>
      </c>
      <c r="J1217">
        <f t="shared" si="199"/>
        <v>0</v>
      </c>
      <c r="K1217">
        <f t="shared" si="200"/>
        <v>1.0467394398169905</v>
      </c>
      <c r="L1217">
        <f>-$B$5*$B$12-IF($B$3,Tabelle2[[#This Row],[Fd]]*Tabelle2[[#This Row],[vy]]/Tabelle2[[#This Row],[v]],0)</f>
        <v>-14.715</v>
      </c>
      <c r="M1217">
        <f t="shared" si="201"/>
        <v>-9.81</v>
      </c>
      <c r="N1217">
        <f t="shared" si="202"/>
        <v>-0.19620000000000001</v>
      </c>
      <c r="O1217">
        <f t="shared" si="203"/>
        <v>-3.5182425120880891</v>
      </c>
      <c r="P1217" s="1">
        <f t="shared" si="205"/>
        <v>52.336971990849527</v>
      </c>
      <c r="Q1217" s="1">
        <f t="shared" si="206"/>
        <v>-175.81402560440446</v>
      </c>
      <c r="R1217">
        <f>SQRT(Tabelle2[[#This Row],[vx]]*Tabelle2[[#This Row],[vx]]+Tabelle2[[#This Row],[vy]]*Tabelle2[[#This Row],[vy]])</f>
        <v>183.43862798330443</v>
      </c>
      <c r="S1217">
        <f t="shared" si="207"/>
        <v>1270.7416799378123</v>
      </c>
      <c r="T1217" s="1">
        <f t="shared" si="208"/>
        <v>-1375.4623648942688</v>
      </c>
    </row>
    <row r="1218" spans="6:20" x14ac:dyDescent="0.35">
      <c r="F1218" s="1">
        <f t="shared" si="204"/>
        <v>24.299999999999571</v>
      </c>
      <c r="G1218">
        <f>1/2*$B$8*$B$6*$B$7*(Tabelle2[[#This Row],[vx]]*Tabelle2[[#This Row],[vx]]+Tabelle2[[#This Row],[vy]]*Tabelle2[[#This Row],[vy]])/1000000</f>
        <v>59.645738257626761</v>
      </c>
      <c r="H1218">
        <f>IF($B$3,-Tabelle2[[#This Row],[Fd]]*Tabelle2[[#This Row],[vx]]/Tabelle2[[#This Row],[v]],0)</f>
        <v>0</v>
      </c>
      <c r="I1218">
        <f t="shared" si="198"/>
        <v>0</v>
      </c>
      <c r="J1218">
        <f t="shared" si="199"/>
        <v>0</v>
      </c>
      <c r="K1218">
        <f t="shared" si="200"/>
        <v>1.0467394398169905</v>
      </c>
      <c r="L1218">
        <f>-$B$5*$B$12-IF($B$3,Tabelle2[[#This Row],[Fd]]*Tabelle2[[#This Row],[vy]]/Tabelle2[[#This Row],[v]],0)</f>
        <v>-14.715</v>
      </c>
      <c r="M1218">
        <f t="shared" si="201"/>
        <v>-9.81</v>
      </c>
      <c r="N1218">
        <f t="shared" si="202"/>
        <v>-0.19620000000000001</v>
      </c>
      <c r="O1218">
        <f t="shared" si="203"/>
        <v>-3.5221665120880892</v>
      </c>
      <c r="P1218" s="1">
        <f t="shared" si="205"/>
        <v>52.336971990849527</v>
      </c>
      <c r="Q1218" s="1">
        <f t="shared" si="206"/>
        <v>-176.01022560440447</v>
      </c>
      <c r="R1218">
        <f>SQRT(Tabelle2[[#This Row],[vx]]*Tabelle2[[#This Row],[vx]]+Tabelle2[[#This Row],[vy]]*Tabelle2[[#This Row],[vy]])</f>
        <v>183.62668148851444</v>
      </c>
      <c r="S1218">
        <f t="shared" si="207"/>
        <v>1271.7884193776292</v>
      </c>
      <c r="T1218" s="1">
        <f t="shared" si="208"/>
        <v>-1378.980607406357</v>
      </c>
    </row>
    <row r="1219" spans="6:20" x14ac:dyDescent="0.35">
      <c r="F1219" s="1">
        <f t="shared" si="204"/>
        <v>24.31999999999957</v>
      </c>
      <c r="G1219">
        <f>1/2*$B$8*$B$6*$B$7*(Tabelle2[[#This Row],[vx]]*Tabelle2[[#This Row],[vx]]+Tabelle2[[#This Row],[vy]]*Tabelle2[[#This Row],[vy]])/1000000</f>
        <v>59.767979212480348</v>
      </c>
      <c r="H1219">
        <f>IF($B$3,-Tabelle2[[#This Row],[Fd]]*Tabelle2[[#This Row],[vx]]/Tabelle2[[#This Row],[v]],0)</f>
        <v>0</v>
      </c>
      <c r="I1219">
        <f t="shared" ref="I1219:I1282" si="209">H1219/$B$5</f>
        <v>0</v>
      </c>
      <c r="J1219">
        <f t="shared" ref="J1219:J1282" si="210">I1219*$B$13</f>
        <v>0</v>
      </c>
      <c r="K1219">
        <f t="shared" ref="K1219:K1282" si="211">$B$13*(P1219+J1219/2)</f>
        <v>1.0467394398169905</v>
      </c>
      <c r="L1219">
        <f>-$B$5*$B$12-IF($B$3,Tabelle2[[#This Row],[Fd]]*Tabelle2[[#This Row],[vy]]/Tabelle2[[#This Row],[v]],0)</f>
        <v>-14.715</v>
      </c>
      <c r="M1219">
        <f t="shared" ref="M1219:M1282" si="212">L1219/$B$5</f>
        <v>-9.81</v>
      </c>
      <c r="N1219">
        <f t="shared" ref="N1219:N1282" si="213">M1219*$B$13</f>
        <v>-0.19620000000000001</v>
      </c>
      <c r="O1219">
        <f t="shared" ref="O1219:O1282" si="214">$B$13*(Q1219+N1219/2)</f>
        <v>-3.5260905120880892</v>
      </c>
      <c r="P1219" s="1">
        <f t="shared" si="205"/>
        <v>52.336971990849527</v>
      </c>
      <c r="Q1219" s="1">
        <f t="shared" si="206"/>
        <v>-176.20642560440447</v>
      </c>
      <c r="R1219">
        <f>SQRT(Tabelle2[[#This Row],[vx]]*Tabelle2[[#This Row],[vx]]+Tabelle2[[#This Row],[vy]]*Tabelle2[[#This Row],[vy]])</f>
        <v>183.81475202347471</v>
      </c>
      <c r="S1219">
        <f t="shared" si="207"/>
        <v>1272.8351588174462</v>
      </c>
      <c r="T1219" s="1">
        <f t="shared" si="208"/>
        <v>-1382.502773918445</v>
      </c>
    </row>
    <row r="1220" spans="6:20" x14ac:dyDescent="0.35">
      <c r="F1220" s="1">
        <f t="shared" ref="F1220:F1283" si="215">F1219+$B$13</f>
        <v>24.33999999999957</v>
      </c>
      <c r="G1220">
        <f>1/2*$B$8*$B$6*$B$7*(Tabelle2[[#This Row],[vx]]*Tabelle2[[#This Row],[vx]]+Tabelle2[[#This Row],[vy]]*Tabelle2[[#This Row],[vy]])/1000000</f>
        <v>59.890356354395287</v>
      </c>
      <c r="H1220">
        <f>IF($B$3,-Tabelle2[[#This Row],[Fd]]*Tabelle2[[#This Row],[vx]]/Tabelle2[[#This Row],[v]],0)</f>
        <v>0</v>
      </c>
      <c r="I1220">
        <f t="shared" si="209"/>
        <v>0</v>
      </c>
      <c r="J1220">
        <f t="shared" si="210"/>
        <v>0</v>
      </c>
      <c r="K1220">
        <f t="shared" si="211"/>
        <v>1.0467394398169905</v>
      </c>
      <c r="L1220">
        <f>-$B$5*$B$12-IF($B$3,Tabelle2[[#This Row],[Fd]]*Tabelle2[[#This Row],[vy]]/Tabelle2[[#This Row],[v]],0)</f>
        <v>-14.715</v>
      </c>
      <c r="M1220">
        <f t="shared" si="212"/>
        <v>-9.81</v>
      </c>
      <c r="N1220">
        <f t="shared" si="213"/>
        <v>-0.19620000000000001</v>
      </c>
      <c r="O1220">
        <f t="shared" si="214"/>
        <v>-3.5300145120880893</v>
      </c>
      <c r="P1220" s="1">
        <f t="shared" ref="P1220:P1283" si="216">P1219+J1219</f>
        <v>52.336971990849527</v>
      </c>
      <c r="Q1220" s="1">
        <f t="shared" ref="Q1220:Q1283" si="217">Q1219+N1219</f>
        <v>-176.40262560440448</v>
      </c>
      <c r="R1220">
        <f>SQRT(Tabelle2[[#This Row],[vx]]*Tabelle2[[#This Row],[vx]]+Tabelle2[[#This Row],[vy]]*Tabelle2[[#This Row],[vy]])</f>
        <v>184.00283953596659</v>
      </c>
      <c r="S1220">
        <f t="shared" ref="S1220:S1283" si="218">S1219+K1219</f>
        <v>1273.8818982572632</v>
      </c>
      <c r="T1220" s="1">
        <f t="shared" ref="T1220:T1283" si="219">T1219+O1219</f>
        <v>-1386.0288644305331</v>
      </c>
    </row>
    <row r="1221" spans="6:20" x14ac:dyDescent="0.35">
      <c r="F1221" s="1">
        <f t="shared" si="215"/>
        <v>24.35999999999957</v>
      </c>
      <c r="G1221">
        <f>1/2*$B$8*$B$6*$B$7*(Tabelle2[[#This Row],[vx]]*Tabelle2[[#This Row],[vx]]+Tabelle2[[#This Row],[vy]]*Tabelle2[[#This Row],[vy]])/1000000</f>
        <v>60.012869683371569</v>
      </c>
      <c r="H1221">
        <f>IF($B$3,-Tabelle2[[#This Row],[Fd]]*Tabelle2[[#This Row],[vx]]/Tabelle2[[#This Row],[v]],0)</f>
        <v>0</v>
      </c>
      <c r="I1221">
        <f t="shared" si="209"/>
        <v>0</v>
      </c>
      <c r="J1221">
        <f t="shared" si="210"/>
        <v>0</v>
      </c>
      <c r="K1221">
        <f t="shared" si="211"/>
        <v>1.0467394398169905</v>
      </c>
      <c r="L1221">
        <f>-$B$5*$B$12-IF($B$3,Tabelle2[[#This Row],[Fd]]*Tabelle2[[#This Row],[vy]]/Tabelle2[[#This Row],[v]],0)</f>
        <v>-14.715</v>
      </c>
      <c r="M1221">
        <f t="shared" si="212"/>
        <v>-9.81</v>
      </c>
      <c r="N1221">
        <f t="shared" si="213"/>
        <v>-0.19620000000000001</v>
      </c>
      <c r="O1221">
        <f t="shared" si="214"/>
        <v>-3.5339385120880893</v>
      </c>
      <c r="P1221" s="1">
        <f t="shared" si="216"/>
        <v>52.336971990849527</v>
      </c>
      <c r="Q1221" s="1">
        <f t="shared" si="217"/>
        <v>-176.59882560440448</v>
      </c>
      <c r="R1221">
        <f>SQRT(Tabelle2[[#This Row],[vx]]*Tabelle2[[#This Row],[vx]]+Tabelle2[[#This Row],[vy]]*Tabelle2[[#This Row],[vy]])</f>
        <v>184.19094397397998</v>
      </c>
      <c r="S1221">
        <f t="shared" si="218"/>
        <v>1274.9286376970801</v>
      </c>
      <c r="T1221" s="1">
        <f t="shared" si="219"/>
        <v>-1389.5588789426213</v>
      </c>
    </row>
    <row r="1222" spans="6:20" x14ac:dyDescent="0.35">
      <c r="F1222" s="1">
        <f t="shared" si="215"/>
        <v>24.379999999999569</v>
      </c>
      <c r="G1222">
        <f>1/2*$B$8*$B$6*$B$7*(Tabelle2[[#This Row],[vx]]*Tabelle2[[#This Row],[vx]]+Tabelle2[[#This Row],[vy]]*Tabelle2[[#This Row],[vy]])/1000000</f>
        <v>60.135519199409188</v>
      </c>
      <c r="H1222">
        <f>IF($B$3,-Tabelle2[[#This Row],[Fd]]*Tabelle2[[#This Row],[vx]]/Tabelle2[[#This Row],[v]],0)</f>
        <v>0</v>
      </c>
      <c r="I1222">
        <f t="shared" si="209"/>
        <v>0</v>
      </c>
      <c r="J1222">
        <f t="shared" si="210"/>
        <v>0</v>
      </c>
      <c r="K1222">
        <f t="shared" si="211"/>
        <v>1.0467394398169905</v>
      </c>
      <c r="L1222">
        <f>-$B$5*$B$12-IF($B$3,Tabelle2[[#This Row],[Fd]]*Tabelle2[[#This Row],[vy]]/Tabelle2[[#This Row],[v]],0)</f>
        <v>-14.715</v>
      </c>
      <c r="M1222">
        <f t="shared" si="212"/>
        <v>-9.81</v>
      </c>
      <c r="N1222">
        <f t="shared" si="213"/>
        <v>-0.19620000000000001</v>
      </c>
      <c r="O1222">
        <f t="shared" si="214"/>
        <v>-3.5378625120880898</v>
      </c>
      <c r="P1222" s="1">
        <f t="shared" si="216"/>
        <v>52.336971990849527</v>
      </c>
      <c r="Q1222" s="1">
        <f t="shared" si="217"/>
        <v>-176.79502560440449</v>
      </c>
      <c r="R1222">
        <f>SQRT(Tabelle2[[#This Row],[vx]]*Tabelle2[[#This Row],[vx]]+Tabelle2[[#This Row],[vy]]*Tabelle2[[#This Row],[vy]])</f>
        <v>184.37906528571241</v>
      </c>
      <c r="S1222">
        <f t="shared" si="218"/>
        <v>1275.9753771368971</v>
      </c>
      <c r="T1222" s="1">
        <f t="shared" si="219"/>
        <v>-1393.0928174547093</v>
      </c>
    </row>
    <row r="1223" spans="6:20" x14ac:dyDescent="0.35">
      <c r="F1223" s="1">
        <f t="shared" si="215"/>
        <v>24.399999999999569</v>
      </c>
      <c r="G1223">
        <f>1/2*$B$8*$B$6*$B$7*(Tabelle2[[#This Row],[vx]]*Tabelle2[[#This Row],[vx]]+Tabelle2[[#This Row],[vy]]*Tabelle2[[#This Row],[vy]])/1000000</f>
        <v>60.258304902508158</v>
      </c>
      <c r="H1223">
        <f>IF($B$3,-Tabelle2[[#This Row],[Fd]]*Tabelle2[[#This Row],[vx]]/Tabelle2[[#This Row],[v]],0)</f>
        <v>0</v>
      </c>
      <c r="I1223">
        <f t="shared" si="209"/>
        <v>0</v>
      </c>
      <c r="J1223">
        <f t="shared" si="210"/>
        <v>0</v>
      </c>
      <c r="K1223">
        <f t="shared" si="211"/>
        <v>1.0467394398169905</v>
      </c>
      <c r="L1223">
        <f>-$B$5*$B$12-IF($B$3,Tabelle2[[#This Row],[Fd]]*Tabelle2[[#This Row],[vy]]/Tabelle2[[#This Row],[v]],0)</f>
        <v>-14.715</v>
      </c>
      <c r="M1223">
        <f t="shared" si="212"/>
        <v>-9.81</v>
      </c>
      <c r="N1223">
        <f t="shared" si="213"/>
        <v>-0.19620000000000001</v>
      </c>
      <c r="O1223">
        <f t="shared" si="214"/>
        <v>-3.5417865120880898</v>
      </c>
      <c r="P1223" s="1">
        <f t="shared" si="216"/>
        <v>52.336971990849527</v>
      </c>
      <c r="Q1223" s="1">
        <f t="shared" si="217"/>
        <v>-176.99122560440449</v>
      </c>
      <c r="R1223">
        <f>SQRT(Tabelle2[[#This Row],[vx]]*Tabelle2[[#This Row],[vx]]+Tabelle2[[#This Row],[vy]]*Tabelle2[[#This Row],[vy]])</f>
        <v>184.56720341956796</v>
      </c>
      <c r="S1223">
        <f t="shared" si="218"/>
        <v>1277.0221165767141</v>
      </c>
      <c r="T1223" s="1">
        <f t="shared" si="219"/>
        <v>-1396.6306799667975</v>
      </c>
    </row>
    <row r="1224" spans="6:20" x14ac:dyDescent="0.35">
      <c r="F1224" s="1">
        <f t="shared" si="215"/>
        <v>24.419999999999568</v>
      </c>
      <c r="G1224">
        <f>1/2*$B$8*$B$6*$B$7*(Tabelle2[[#This Row],[vx]]*Tabelle2[[#This Row],[vx]]+Tabelle2[[#This Row],[vy]]*Tabelle2[[#This Row],[vy]])/1000000</f>
        <v>60.381226792668464</v>
      </c>
      <c r="H1224">
        <f>IF($B$3,-Tabelle2[[#This Row],[Fd]]*Tabelle2[[#This Row],[vx]]/Tabelle2[[#This Row],[v]],0)</f>
        <v>0</v>
      </c>
      <c r="I1224">
        <f t="shared" si="209"/>
        <v>0</v>
      </c>
      <c r="J1224">
        <f t="shared" si="210"/>
        <v>0</v>
      </c>
      <c r="K1224">
        <f t="shared" si="211"/>
        <v>1.0467394398169905</v>
      </c>
      <c r="L1224">
        <f>-$B$5*$B$12-IF($B$3,Tabelle2[[#This Row],[Fd]]*Tabelle2[[#This Row],[vy]]/Tabelle2[[#This Row],[v]],0)</f>
        <v>-14.715</v>
      </c>
      <c r="M1224">
        <f t="shared" si="212"/>
        <v>-9.81</v>
      </c>
      <c r="N1224">
        <f t="shared" si="213"/>
        <v>-0.19620000000000001</v>
      </c>
      <c r="O1224">
        <f t="shared" si="214"/>
        <v>-3.5457105120880898</v>
      </c>
      <c r="P1224" s="1">
        <f t="shared" si="216"/>
        <v>52.336971990849527</v>
      </c>
      <c r="Q1224" s="1">
        <f t="shared" si="217"/>
        <v>-177.1874256044045</v>
      </c>
      <c r="R1224">
        <f>SQRT(Tabelle2[[#This Row],[vx]]*Tabelle2[[#This Row],[vx]]+Tabelle2[[#This Row],[vy]]*Tabelle2[[#This Row],[vy]])</f>
        <v>184.75535832415616</v>
      </c>
      <c r="S1224">
        <f t="shared" si="218"/>
        <v>1278.0688560165311</v>
      </c>
      <c r="T1224" s="1">
        <f t="shared" si="219"/>
        <v>-1400.1724664788856</v>
      </c>
    </row>
    <row r="1225" spans="6:20" x14ac:dyDescent="0.35">
      <c r="F1225" s="1">
        <f t="shared" si="215"/>
        <v>24.439999999999568</v>
      </c>
      <c r="G1225">
        <f>1/2*$B$8*$B$6*$B$7*(Tabelle2[[#This Row],[vx]]*Tabelle2[[#This Row],[vx]]+Tabelle2[[#This Row],[vy]]*Tabelle2[[#This Row],[vy]])/1000000</f>
        <v>60.504284869890114</v>
      </c>
      <c r="H1225">
        <f>IF($B$3,-Tabelle2[[#This Row],[Fd]]*Tabelle2[[#This Row],[vx]]/Tabelle2[[#This Row],[v]],0)</f>
        <v>0</v>
      </c>
      <c r="I1225">
        <f t="shared" si="209"/>
        <v>0</v>
      </c>
      <c r="J1225">
        <f t="shared" si="210"/>
        <v>0</v>
      </c>
      <c r="K1225">
        <f t="shared" si="211"/>
        <v>1.0467394398169905</v>
      </c>
      <c r="L1225">
        <f>-$B$5*$B$12-IF($B$3,Tabelle2[[#This Row],[Fd]]*Tabelle2[[#This Row],[vy]]/Tabelle2[[#This Row],[v]],0)</f>
        <v>-14.715</v>
      </c>
      <c r="M1225">
        <f t="shared" si="212"/>
        <v>-9.81</v>
      </c>
      <c r="N1225">
        <f t="shared" si="213"/>
        <v>-0.19620000000000001</v>
      </c>
      <c r="O1225">
        <f t="shared" si="214"/>
        <v>-3.5496345120880899</v>
      </c>
      <c r="P1225" s="1">
        <f t="shared" si="216"/>
        <v>52.336971990849527</v>
      </c>
      <c r="Q1225" s="1">
        <f t="shared" si="217"/>
        <v>-177.3836256044045</v>
      </c>
      <c r="R1225">
        <f>SQRT(Tabelle2[[#This Row],[vx]]*Tabelle2[[#This Row],[vx]]+Tabelle2[[#This Row],[vy]]*Tabelle2[[#This Row],[vy]])</f>
        <v>184.94352994829129</v>
      </c>
      <c r="S1225">
        <f t="shared" si="218"/>
        <v>1279.115595456348</v>
      </c>
      <c r="T1225" s="1">
        <f t="shared" si="219"/>
        <v>-1403.7181769909737</v>
      </c>
    </row>
    <row r="1226" spans="6:20" x14ac:dyDescent="0.35">
      <c r="F1226" s="1">
        <f t="shared" si="215"/>
        <v>24.459999999999567</v>
      </c>
      <c r="G1226">
        <f>1/2*$B$8*$B$6*$B$7*(Tabelle2[[#This Row],[vx]]*Tabelle2[[#This Row],[vx]]+Tabelle2[[#This Row],[vy]]*Tabelle2[[#This Row],[vy]])/1000000</f>
        <v>60.627479134173115</v>
      </c>
      <c r="H1226">
        <f>IF($B$3,-Tabelle2[[#This Row],[Fd]]*Tabelle2[[#This Row],[vx]]/Tabelle2[[#This Row],[v]],0)</f>
        <v>0</v>
      </c>
      <c r="I1226">
        <f t="shared" si="209"/>
        <v>0</v>
      </c>
      <c r="J1226">
        <f t="shared" si="210"/>
        <v>0</v>
      </c>
      <c r="K1226">
        <f t="shared" si="211"/>
        <v>1.0467394398169905</v>
      </c>
      <c r="L1226">
        <f>-$B$5*$B$12-IF($B$3,Tabelle2[[#This Row],[Fd]]*Tabelle2[[#This Row],[vy]]/Tabelle2[[#This Row],[v]],0)</f>
        <v>-14.715</v>
      </c>
      <c r="M1226">
        <f t="shared" si="212"/>
        <v>-9.81</v>
      </c>
      <c r="N1226">
        <f t="shared" si="213"/>
        <v>-0.19620000000000001</v>
      </c>
      <c r="O1226">
        <f t="shared" si="214"/>
        <v>-3.5535585120880899</v>
      </c>
      <c r="P1226" s="1">
        <f t="shared" si="216"/>
        <v>52.336971990849527</v>
      </c>
      <c r="Q1226" s="1">
        <f t="shared" si="217"/>
        <v>-177.5798256044045</v>
      </c>
      <c r="R1226">
        <f>SQRT(Tabelle2[[#This Row],[vx]]*Tabelle2[[#This Row],[vx]]+Tabelle2[[#This Row],[vy]]*Tabelle2[[#This Row],[vy]])</f>
        <v>185.13171824099101</v>
      </c>
      <c r="S1226">
        <f t="shared" si="218"/>
        <v>1280.162334896165</v>
      </c>
      <c r="T1226" s="1">
        <f t="shared" si="219"/>
        <v>-1407.2678115030617</v>
      </c>
    </row>
    <row r="1227" spans="6:20" x14ac:dyDescent="0.35">
      <c r="F1227" s="1">
        <f t="shared" si="215"/>
        <v>24.479999999999567</v>
      </c>
      <c r="G1227">
        <f>1/2*$B$8*$B$6*$B$7*(Tabelle2[[#This Row],[vx]]*Tabelle2[[#This Row],[vx]]+Tabelle2[[#This Row],[vy]]*Tabelle2[[#This Row],[vy]])/1000000</f>
        <v>60.750809585517452</v>
      </c>
      <c r="H1227">
        <f>IF($B$3,-Tabelle2[[#This Row],[Fd]]*Tabelle2[[#This Row],[vx]]/Tabelle2[[#This Row],[v]],0)</f>
        <v>0</v>
      </c>
      <c r="I1227">
        <f t="shared" si="209"/>
        <v>0</v>
      </c>
      <c r="J1227">
        <f t="shared" si="210"/>
        <v>0</v>
      </c>
      <c r="K1227">
        <f t="shared" si="211"/>
        <v>1.0467394398169905</v>
      </c>
      <c r="L1227">
        <f>-$B$5*$B$12-IF($B$3,Tabelle2[[#This Row],[Fd]]*Tabelle2[[#This Row],[vy]]/Tabelle2[[#This Row],[v]],0)</f>
        <v>-14.715</v>
      </c>
      <c r="M1227">
        <f t="shared" si="212"/>
        <v>-9.81</v>
      </c>
      <c r="N1227">
        <f t="shared" si="213"/>
        <v>-0.19620000000000001</v>
      </c>
      <c r="O1227">
        <f t="shared" si="214"/>
        <v>-3.55748251208809</v>
      </c>
      <c r="P1227" s="1">
        <f t="shared" si="216"/>
        <v>52.336971990849527</v>
      </c>
      <c r="Q1227" s="1">
        <f t="shared" si="217"/>
        <v>-177.77602560440451</v>
      </c>
      <c r="R1227">
        <f>SQRT(Tabelle2[[#This Row],[vx]]*Tabelle2[[#This Row],[vx]]+Tabelle2[[#This Row],[vy]]*Tabelle2[[#This Row],[vy]])</f>
        <v>185.31992315147568</v>
      </c>
      <c r="S1227">
        <f t="shared" si="218"/>
        <v>1281.209074335982</v>
      </c>
      <c r="T1227" s="1">
        <f t="shared" si="219"/>
        <v>-1410.8213700151498</v>
      </c>
    </row>
    <row r="1228" spans="6:20" x14ac:dyDescent="0.35">
      <c r="F1228" s="1">
        <f t="shared" si="215"/>
        <v>24.499999999999567</v>
      </c>
      <c r="G1228">
        <f>1/2*$B$8*$B$6*$B$7*(Tabelle2[[#This Row],[vx]]*Tabelle2[[#This Row],[vx]]+Tabelle2[[#This Row],[vy]]*Tabelle2[[#This Row],[vy]])/1000000</f>
        <v>60.874276223923147</v>
      </c>
      <c r="H1228">
        <f>IF($B$3,-Tabelle2[[#This Row],[Fd]]*Tabelle2[[#This Row],[vx]]/Tabelle2[[#This Row],[v]],0)</f>
        <v>0</v>
      </c>
      <c r="I1228">
        <f t="shared" si="209"/>
        <v>0</v>
      </c>
      <c r="J1228">
        <f t="shared" si="210"/>
        <v>0</v>
      </c>
      <c r="K1228">
        <f t="shared" si="211"/>
        <v>1.0467394398169905</v>
      </c>
      <c r="L1228">
        <f>-$B$5*$B$12-IF($B$3,Tabelle2[[#This Row],[Fd]]*Tabelle2[[#This Row],[vy]]/Tabelle2[[#This Row],[v]],0)</f>
        <v>-14.715</v>
      </c>
      <c r="M1228">
        <f t="shared" si="212"/>
        <v>-9.81</v>
      </c>
      <c r="N1228">
        <f t="shared" si="213"/>
        <v>-0.19620000000000001</v>
      </c>
      <c r="O1228">
        <f t="shared" si="214"/>
        <v>-3.56140651208809</v>
      </c>
      <c r="P1228" s="1">
        <f t="shared" si="216"/>
        <v>52.336971990849527</v>
      </c>
      <c r="Q1228" s="1">
        <f t="shared" si="217"/>
        <v>-177.97222560440451</v>
      </c>
      <c r="R1228">
        <f>SQRT(Tabelle2[[#This Row],[vx]]*Tabelle2[[#This Row],[vx]]+Tabelle2[[#This Row],[vy]]*Tabelle2[[#This Row],[vy]])</f>
        <v>185.50814462916725</v>
      </c>
      <c r="S1228">
        <f t="shared" si="218"/>
        <v>1282.255813775799</v>
      </c>
      <c r="T1228" s="1">
        <f t="shared" si="219"/>
        <v>-1414.378852527238</v>
      </c>
    </row>
    <row r="1229" spans="6:20" x14ac:dyDescent="0.35">
      <c r="F1229" s="1">
        <f t="shared" si="215"/>
        <v>24.519999999999566</v>
      </c>
      <c r="G1229">
        <f>1/2*$B$8*$B$6*$B$7*(Tabelle2[[#This Row],[vx]]*Tabelle2[[#This Row],[vx]]+Tabelle2[[#This Row],[vy]]*Tabelle2[[#This Row],[vy]])/1000000</f>
        <v>60.997879049390171</v>
      </c>
      <c r="H1229">
        <f>IF($B$3,-Tabelle2[[#This Row],[Fd]]*Tabelle2[[#This Row],[vx]]/Tabelle2[[#This Row],[v]],0)</f>
        <v>0</v>
      </c>
      <c r="I1229">
        <f t="shared" si="209"/>
        <v>0</v>
      </c>
      <c r="J1229">
        <f t="shared" si="210"/>
        <v>0</v>
      </c>
      <c r="K1229">
        <f t="shared" si="211"/>
        <v>1.0467394398169905</v>
      </c>
      <c r="L1229">
        <f>-$B$5*$B$12-IF($B$3,Tabelle2[[#This Row],[Fd]]*Tabelle2[[#This Row],[vy]]/Tabelle2[[#This Row],[v]],0)</f>
        <v>-14.715</v>
      </c>
      <c r="M1229">
        <f t="shared" si="212"/>
        <v>-9.81</v>
      </c>
      <c r="N1229">
        <f t="shared" si="213"/>
        <v>-0.19620000000000001</v>
      </c>
      <c r="O1229">
        <f t="shared" si="214"/>
        <v>-3.56533051208809</v>
      </c>
      <c r="P1229" s="1">
        <f t="shared" si="216"/>
        <v>52.336971990849527</v>
      </c>
      <c r="Q1229" s="1">
        <f t="shared" si="217"/>
        <v>-178.16842560440452</v>
      </c>
      <c r="R1229">
        <f>SQRT(Tabelle2[[#This Row],[vx]]*Tabelle2[[#This Row],[vx]]+Tabelle2[[#This Row],[vy]]*Tabelle2[[#This Row],[vy]])</f>
        <v>185.69638262368815</v>
      </c>
      <c r="S1229">
        <f t="shared" si="218"/>
        <v>1283.3025532156159</v>
      </c>
      <c r="T1229" s="1">
        <f t="shared" si="219"/>
        <v>-1417.9402590393261</v>
      </c>
    </row>
    <row r="1230" spans="6:20" x14ac:dyDescent="0.35">
      <c r="F1230" s="1">
        <f t="shared" si="215"/>
        <v>24.539999999999566</v>
      </c>
      <c r="G1230">
        <f>1/2*$B$8*$B$6*$B$7*(Tabelle2[[#This Row],[vx]]*Tabelle2[[#This Row],[vx]]+Tabelle2[[#This Row],[vy]]*Tabelle2[[#This Row],[vy]])/1000000</f>
        <v>61.121618061918547</v>
      </c>
      <c r="H1230">
        <f>IF($B$3,-Tabelle2[[#This Row],[Fd]]*Tabelle2[[#This Row],[vx]]/Tabelle2[[#This Row],[v]],0)</f>
        <v>0</v>
      </c>
      <c r="I1230">
        <f t="shared" si="209"/>
        <v>0</v>
      </c>
      <c r="J1230">
        <f t="shared" si="210"/>
        <v>0</v>
      </c>
      <c r="K1230">
        <f t="shared" si="211"/>
        <v>1.0467394398169905</v>
      </c>
      <c r="L1230">
        <f>-$B$5*$B$12-IF($B$3,Tabelle2[[#This Row],[Fd]]*Tabelle2[[#This Row],[vy]]/Tabelle2[[#This Row],[v]],0)</f>
        <v>-14.715</v>
      </c>
      <c r="M1230">
        <f t="shared" si="212"/>
        <v>-9.81</v>
      </c>
      <c r="N1230">
        <f t="shared" si="213"/>
        <v>-0.19620000000000001</v>
      </c>
      <c r="O1230">
        <f t="shared" si="214"/>
        <v>-3.5692545120880901</v>
      </c>
      <c r="P1230" s="1">
        <f t="shared" si="216"/>
        <v>52.336971990849527</v>
      </c>
      <c r="Q1230" s="1">
        <f t="shared" si="217"/>
        <v>-178.36462560440452</v>
      </c>
      <c r="R1230">
        <f>SQRT(Tabelle2[[#This Row],[vx]]*Tabelle2[[#This Row],[vx]]+Tabelle2[[#This Row],[vy]]*Tabelle2[[#This Row],[vy]])</f>
        <v>185.88463708486069</v>
      </c>
      <c r="S1230">
        <f t="shared" si="218"/>
        <v>1284.3492926554329</v>
      </c>
      <c r="T1230" s="1">
        <f t="shared" si="219"/>
        <v>-1421.5055895514142</v>
      </c>
    </row>
    <row r="1231" spans="6:20" x14ac:dyDescent="0.35">
      <c r="F1231" s="1">
        <f t="shared" si="215"/>
        <v>24.559999999999565</v>
      </c>
      <c r="G1231">
        <f>1/2*$B$8*$B$6*$B$7*(Tabelle2[[#This Row],[vx]]*Tabelle2[[#This Row],[vx]]+Tabelle2[[#This Row],[vy]]*Tabelle2[[#This Row],[vy]])/1000000</f>
        <v>61.245493261508273</v>
      </c>
      <c r="H1231">
        <f>IF($B$3,-Tabelle2[[#This Row],[Fd]]*Tabelle2[[#This Row],[vx]]/Tabelle2[[#This Row],[v]],0)</f>
        <v>0</v>
      </c>
      <c r="I1231">
        <f t="shared" si="209"/>
        <v>0</v>
      </c>
      <c r="J1231">
        <f t="shared" si="210"/>
        <v>0</v>
      </c>
      <c r="K1231">
        <f t="shared" si="211"/>
        <v>1.0467394398169905</v>
      </c>
      <c r="L1231">
        <f>-$B$5*$B$12-IF($B$3,Tabelle2[[#This Row],[Fd]]*Tabelle2[[#This Row],[vy]]/Tabelle2[[#This Row],[v]],0)</f>
        <v>-14.715</v>
      </c>
      <c r="M1231">
        <f t="shared" si="212"/>
        <v>-9.81</v>
      </c>
      <c r="N1231">
        <f t="shared" si="213"/>
        <v>-0.19620000000000001</v>
      </c>
      <c r="O1231">
        <f t="shared" si="214"/>
        <v>-3.5731785120880906</v>
      </c>
      <c r="P1231" s="1">
        <f t="shared" si="216"/>
        <v>52.336971990849527</v>
      </c>
      <c r="Q1231" s="1">
        <f t="shared" si="217"/>
        <v>-178.56082560440453</v>
      </c>
      <c r="R1231">
        <f>SQRT(Tabelle2[[#This Row],[vx]]*Tabelle2[[#This Row],[vx]]+Tabelle2[[#This Row],[vy]]*Tabelle2[[#This Row],[vy]])</f>
        <v>186.07290796270567</v>
      </c>
      <c r="S1231">
        <f t="shared" si="218"/>
        <v>1285.3960320952499</v>
      </c>
      <c r="T1231" s="1">
        <f t="shared" si="219"/>
        <v>-1425.0748440635023</v>
      </c>
    </row>
    <row r="1232" spans="6:20" x14ac:dyDescent="0.35">
      <c r="F1232" s="1">
        <f t="shared" si="215"/>
        <v>24.579999999999565</v>
      </c>
      <c r="G1232">
        <f>1/2*$B$8*$B$6*$B$7*(Tabelle2[[#This Row],[vx]]*Tabelle2[[#This Row],[vx]]+Tabelle2[[#This Row],[vy]]*Tabelle2[[#This Row],[vy]])/1000000</f>
        <v>61.369504648159335</v>
      </c>
      <c r="H1232">
        <f>IF($B$3,-Tabelle2[[#This Row],[Fd]]*Tabelle2[[#This Row],[vx]]/Tabelle2[[#This Row],[v]],0)</f>
        <v>0</v>
      </c>
      <c r="I1232">
        <f t="shared" si="209"/>
        <v>0</v>
      </c>
      <c r="J1232">
        <f t="shared" si="210"/>
        <v>0</v>
      </c>
      <c r="K1232">
        <f t="shared" si="211"/>
        <v>1.0467394398169905</v>
      </c>
      <c r="L1232">
        <f>-$B$5*$B$12-IF($B$3,Tabelle2[[#This Row],[Fd]]*Tabelle2[[#This Row],[vy]]/Tabelle2[[#This Row],[v]],0)</f>
        <v>-14.715</v>
      </c>
      <c r="M1232">
        <f t="shared" si="212"/>
        <v>-9.81</v>
      </c>
      <c r="N1232">
        <f t="shared" si="213"/>
        <v>-0.19620000000000001</v>
      </c>
      <c r="O1232">
        <f t="shared" si="214"/>
        <v>-3.5771025120880906</v>
      </c>
      <c r="P1232" s="1">
        <f t="shared" si="216"/>
        <v>52.336971990849527</v>
      </c>
      <c r="Q1232" s="1">
        <f t="shared" si="217"/>
        <v>-178.75702560440453</v>
      </c>
      <c r="R1232">
        <f>SQRT(Tabelle2[[#This Row],[vx]]*Tabelle2[[#This Row],[vx]]+Tabelle2[[#This Row],[vy]]*Tabelle2[[#This Row],[vy]])</f>
        <v>186.26119520744172</v>
      </c>
      <c r="S1232">
        <f t="shared" si="218"/>
        <v>1286.4427715350669</v>
      </c>
      <c r="T1232" s="1">
        <f t="shared" si="219"/>
        <v>-1428.6480225755904</v>
      </c>
    </row>
    <row r="1233" spans="6:20" x14ac:dyDescent="0.35">
      <c r="F1233" s="1">
        <f t="shared" si="215"/>
        <v>24.599999999999564</v>
      </c>
      <c r="G1233">
        <f>1/2*$B$8*$B$6*$B$7*(Tabelle2[[#This Row],[vx]]*Tabelle2[[#This Row],[vx]]+Tabelle2[[#This Row],[vy]]*Tabelle2[[#This Row],[vy]])/1000000</f>
        <v>61.493652221871734</v>
      </c>
      <c r="H1233">
        <f>IF($B$3,-Tabelle2[[#This Row],[Fd]]*Tabelle2[[#This Row],[vx]]/Tabelle2[[#This Row],[v]],0)</f>
        <v>0</v>
      </c>
      <c r="I1233">
        <f t="shared" si="209"/>
        <v>0</v>
      </c>
      <c r="J1233">
        <f t="shared" si="210"/>
        <v>0</v>
      </c>
      <c r="K1233">
        <f t="shared" si="211"/>
        <v>1.0467394398169905</v>
      </c>
      <c r="L1233">
        <f>-$B$5*$B$12-IF($B$3,Tabelle2[[#This Row],[Fd]]*Tabelle2[[#This Row],[vy]]/Tabelle2[[#This Row],[v]],0)</f>
        <v>-14.715</v>
      </c>
      <c r="M1233">
        <f t="shared" si="212"/>
        <v>-9.81</v>
      </c>
      <c r="N1233">
        <f t="shared" si="213"/>
        <v>-0.19620000000000001</v>
      </c>
      <c r="O1233">
        <f t="shared" si="214"/>
        <v>-3.5810265120880906</v>
      </c>
      <c r="P1233" s="1">
        <f t="shared" si="216"/>
        <v>52.336971990849527</v>
      </c>
      <c r="Q1233" s="1">
        <f t="shared" si="217"/>
        <v>-178.95322560440454</v>
      </c>
      <c r="R1233">
        <f>SQRT(Tabelle2[[#This Row],[vx]]*Tabelle2[[#This Row],[vx]]+Tabelle2[[#This Row],[vy]]*Tabelle2[[#This Row],[vy]])</f>
        <v>186.44949876948417</v>
      </c>
      <c r="S1233">
        <f t="shared" si="218"/>
        <v>1287.4895109748838</v>
      </c>
      <c r="T1233" s="1">
        <f t="shared" si="219"/>
        <v>-1432.2251250876784</v>
      </c>
    </row>
    <row r="1234" spans="6:20" x14ac:dyDescent="0.35">
      <c r="F1234" s="1">
        <f t="shared" si="215"/>
        <v>24.619999999999564</v>
      </c>
      <c r="G1234">
        <f>1/2*$B$8*$B$6*$B$7*(Tabelle2[[#This Row],[vx]]*Tabelle2[[#This Row],[vx]]+Tabelle2[[#This Row],[vy]]*Tabelle2[[#This Row],[vy]])/1000000</f>
        <v>61.617935982645491</v>
      </c>
      <c r="H1234">
        <f>IF($B$3,-Tabelle2[[#This Row],[Fd]]*Tabelle2[[#This Row],[vx]]/Tabelle2[[#This Row],[v]],0)</f>
        <v>0</v>
      </c>
      <c r="I1234">
        <f t="shared" si="209"/>
        <v>0</v>
      </c>
      <c r="J1234">
        <f t="shared" si="210"/>
        <v>0</v>
      </c>
      <c r="K1234">
        <f t="shared" si="211"/>
        <v>1.0467394398169905</v>
      </c>
      <c r="L1234">
        <f>-$B$5*$B$12-IF($B$3,Tabelle2[[#This Row],[Fd]]*Tabelle2[[#This Row],[vy]]/Tabelle2[[#This Row],[v]],0)</f>
        <v>-14.715</v>
      </c>
      <c r="M1234">
        <f t="shared" si="212"/>
        <v>-9.81</v>
      </c>
      <c r="N1234">
        <f t="shared" si="213"/>
        <v>-0.19620000000000001</v>
      </c>
      <c r="O1234">
        <f t="shared" si="214"/>
        <v>-3.5849505120880907</v>
      </c>
      <c r="P1234" s="1">
        <f t="shared" si="216"/>
        <v>52.336971990849527</v>
      </c>
      <c r="Q1234" s="1">
        <f t="shared" si="217"/>
        <v>-179.14942560440454</v>
      </c>
      <c r="R1234">
        <f>SQRT(Tabelle2[[#This Row],[vx]]*Tabelle2[[#This Row],[vx]]+Tabelle2[[#This Row],[vy]]*Tabelle2[[#This Row],[vy]])</f>
        <v>186.63781859944422</v>
      </c>
      <c r="S1234">
        <f t="shared" si="218"/>
        <v>1288.5362504147008</v>
      </c>
      <c r="T1234" s="1">
        <f t="shared" si="219"/>
        <v>-1435.8061515997665</v>
      </c>
    </row>
    <row r="1235" spans="6:20" x14ac:dyDescent="0.35">
      <c r="F1235" s="1">
        <f t="shared" si="215"/>
        <v>24.639999999999564</v>
      </c>
      <c r="G1235">
        <f>1/2*$B$8*$B$6*$B$7*(Tabelle2[[#This Row],[vx]]*Tabelle2[[#This Row],[vx]]+Tabelle2[[#This Row],[vy]]*Tabelle2[[#This Row],[vy]])/1000000</f>
        <v>61.742355930480592</v>
      </c>
      <c r="H1235">
        <f>IF($B$3,-Tabelle2[[#This Row],[Fd]]*Tabelle2[[#This Row],[vx]]/Tabelle2[[#This Row],[v]],0)</f>
        <v>0</v>
      </c>
      <c r="I1235">
        <f t="shared" si="209"/>
        <v>0</v>
      </c>
      <c r="J1235">
        <f t="shared" si="210"/>
        <v>0</v>
      </c>
      <c r="K1235">
        <f t="shared" si="211"/>
        <v>1.0467394398169905</v>
      </c>
      <c r="L1235">
        <f>-$B$5*$B$12-IF($B$3,Tabelle2[[#This Row],[Fd]]*Tabelle2[[#This Row],[vy]]/Tabelle2[[#This Row],[v]],0)</f>
        <v>-14.715</v>
      </c>
      <c r="M1235">
        <f t="shared" si="212"/>
        <v>-9.81</v>
      </c>
      <c r="N1235">
        <f t="shared" si="213"/>
        <v>-0.19620000000000001</v>
      </c>
      <c r="O1235">
        <f t="shared" si="214"/>
        <v>-3.5888745120880907</v>
      </c>
      <c r="P1235" s="1">
        <f t="shared" si="216"/>
        <v>52.336971990849527</v>
      </c>
      <c r="Q1235" s="1">
        <f t="shared" si="217"/>
        <v>-179.34562560440455</v>
      </c>
      <c r="R1235">
        <f>SQRT(Tabelle2[[#This Row],[vx]]*Tabelle2[[#This Row],[vx]]+Tabelle2[[#This Row],[vy]]*Tabelle2[[#This Row],[vy]])</f>
        <v>186.82615464812795</v>
      </c>
      <c r="S1235">
        <f t="shared" si="218"/>
        <v>1289.5829898545178</v>
      </c>
      <c r="T1235" s="1">
        <f t="shared" si="219"/>
        <v>-1439.3911021118547</v>
      </c>
    </row>
    <row r="1236" spans="6:20" x14ac:dyDescent="0.35">
      <c r="F1236" s="1">
        <f t="shared" si="215"/>
        <v>24.659999999999563</v>
      </c>
      <c r="G1236">
        <f>1/2*$B$8*$B$6*$B$7*(Tabelle2[[#This Row],[vx]]*Tabelle2[[#This Row],[vx]]+Tabelle2[[#This Row],[vy]]*Tabelle2[[#This Row],[vy]])/1000000</f>
        <v>61.866912065377022</v>
      </c>
      <c r="H1236">
        <f>IF($B$3,-Tabelle2[[#This Row],[Fd]]*Tabelle2[[#This Row],[vx]]/Tabelle2[[#This Row],[v]],0)</f>
        <v>0</v>
      </c>
      <c r="I1236">
        <f t="shared" si="209"/>
        <v>0</v>
      </c>
      <c r="J1236">
        <f t="shared" si="210"/>
        <v>0</v>
      </c>
      <c r="K1236">
        <f t="shared" si="211"/>
        <v>1.0467394398169905</v>
      </c>
      <c r="L1236">
        <f>-$B$5*$B$12-IF($B$3,Tabelle2[[#This Row],[Fd]]*Tabelle2[[#This Row],[vy]]/Tabelle2[[#This Row],[v]],0)</f>
        <v>-14.715</v>
      </c>
      <c r="M1236">
        <f t="shared" si="212"/>
        <v>-9.81</v>
      </c>
      <c r="N1236">
        <f t="shared" si="213"/>
        <v>-0.19620000000000001</v>
      </c>
      <c r="O1236">
        <f t="shared" si="214"/>
        <v>-3.5927985120880908</v>
      </c>
      <c r="P1236" s="1">
        <f t="shared" si="216"/>
        <v>52.336971990849527</v>
      </c>
      <c r="Q1236" s="1">
        <f t="shared" si="217"/>
        <v>-179.54182560440455</v>
      </c>
      <c r="R1236">
        <f>SQRT(Tabelle2[[#This Row],[vx]]*Tabelle2[[#This Row],[vx]]+Tabelle2[[#This Row],[vy]]*Tabelle2[[#This Row],[vy]])</f>
        <v>187.0145068665353</v>
      </c>
      <c r="S1236">
        <f t="shared" si="218"/>
        <v>1290.6297292943348</v>
      </c>
      <c r="T1236" s="1">
        <f t="shared" si="219"/>
        <v>-1442.9799766239428</v>
      </c>
    </row>
    <row r="1237" spans="6:20" x14ac:dyDescent="0.35">
      <c r="F1237" s="1">
        <f t="shared" si="215"/>
        <v>24.679999999999563</v>
      </c>
      <c r="G1237">
        <f>1/2*$B$8*$B$6*$B$7*(Tabelle2[[#This Row],[vx]]*Tabelle2[[#This Row],[vx]]+Tabelle2[[#This Row],[vy]]*Tabelle2[[#This Row],[vy]])/1000000</f>
        <v>61.99160438733481</v>
      </c>
      <c r="H1237">
        <f>IF($B$3,-Tabelle2[[#This Row],[Fd]]*Tabelle2[[#This Row],[vx]]/Tabelle2[[#This Row],[v]],0)</f>
        <v>0</v>
      </c>
      <c r="I1237">
        <f t="shared" si="209"/>
        <v>0</v>
      </c>
      <c r="J1237">
        <f t="shared" si="210"/>
        <v>0</v>
      </c>
      <c r="K1237">
        <f t="shared" si="211"/>
        <v>1.0467394398169905</v>
      </c>
      <c r="L1237">
        <f>-$B$5*$B$12-IF($B$3,Tabelle2[[#This Row],[Fd]]*Tabelle2[[#This Row],[vy]]/Tabelle2[[#This Row],[v]],0)</f>
        <v>-14.715</v>
      </c>
      <c r="M1237">
        <f t="shared" si="212"/>
        <v>-9.81</v>
      </c>
      <c r="N1237">
        <f t="shared" si="213"/>
        <v>-0.19620000000000001</v>
      </c>
      <c r="O1237">
        <f t="shared" si="214"/>
        <v>-3.5967225120880908</v>
      </c>
      <c r="P1237" s="1">
        <f t="shared" si="216"/>
        <v>52.336971990849527</v>
      </c>
      <c r="Q1237" s="1">
        <f t="shared" si="217"/>
        <v>-179.73802560440456</v>
      </c>
      <c r="R1237">
        <f>SQRT(Tabelle2[[#This Row],[vx]]*Tabelle2[[#This Row],[vx]]+Tabelle2[[#This Row],[vy]]*Tabelle2[[#This Row],[vy]])</f>
        <v>187.20287520585939</v>
      </c>
      <c r="S1237">
        <f t="shared" si="218"/>
        <v>1291.6764687341517</v>
      </c>
      <c r="T1237" s="1">
        <f t="shared" si="219"/>
        <v>-1446.5727751360309</v>
      </c>
    </row>
    <row r="1238" spans="6:20" x14ac:dyDescent="0.35">
      <c r="F1238" s="1">
        <f t="shared" si="215"/>
        <v>24.699999999999562</v>
      </c>
      <c r="G1238">
        <f>1/2*$B$8*$B$6*$B$7*(Tabelle2[[#This Row],[vx]]*Tabelle2[[#This Row],[vx]]+Tabelle2[[#This Row],[vy]]*Tabelle2[[#This Row],[vy]])/1000000</f>
        <v>62.116432896353935</v>
      </c>
      <c r="H1238">
        <f>IF($B$3,-Tabelle2[[#This Row],[Fd]]*Tabelle2[[#This Row],[vx]]/Tabelle2[[#This Row],[v]],0)</f>
        <v>0</v>
      </c>
      <c r="I1238">
        <f t="shared" si="209"/>
        <v>0</v>
      </c>
      <c r="J1238">
        <f t="shared" si="210"/>
        <v>0</v>
      </c>
      <c r="K1238">
        <f t="shared" si="211"/>
        <v>1.0467394398169905</v>
      </c>
      <c r="L1238">
        <f>-$B$5*$B$12-IF($B$3,Tabelle2[[#This Row],[Fd]]*Tabelle2[[#This Row],[vy]]/Tabelle2[[#This Row],[v]],0)</f>
        <v>-14.715</v>
      </c>
      <c r="M1238">
        <f t="shared" si="212"/>
        <v>-9.81</v>
      </c>
      <c r="N1238">
        <f t="shared" si="213"/>
        <v>-0.19620000000000001</v>
      </c>
      <c r="O1238">
        <f t="shared" si="214"/>
        <v>-3.6006465120880908</v>
      </c>
      <c r="P1238" s="1">
        <f t="shared" si="216"/>
        <v>52.336971990849527</v>
      </c>
      <c r="Q1238" s="1">
        <f t="shared" si="217"/>
        <v>-179.93422560440456</v>
      </c>
      <c r="R1238">
        <f>SQRT(Tabelle2[[#This Row],[vx]]*Tabelle2[[#This Row],[vx]]+Tabelle2[[#This Row],[vy]]*Tabelle2[[#This Row],[vy]])</f>
        <v>187.39125961748516</v>
      </c>
      <c r="S1238">
        <f t="shared" si="218"/>
        <v>1292.7232081739687</v>
      </c>
      <c r="T1238" s="1">
        <f t="shared" si="219"/>
        <v>-1450.169497648119</v>
      </c>
    </row>
    <row r="1239" spans="6:20" x14ac:dyDescent="0.35">
      <c r="F1239" s="1">
        <f t="shared" si="215"/>
        <v>24.719999999999562</v>
      </c>
      <c r="G1239">
        <f>1/2*$B$8*$B$6*$B$7*(Tabelle2[[#This Row],[vx]]*Tabelle2[[#This Row],[vx]]+Tabelle2[[#This Row],[vy]]*Tabelle2[[#This Row],[vy]])/1000000</f>
        <v>62.241397592434396</v>
      </c>
      <c r="H1239">
        <f>IF($B$3,-Tabelle2[[#This Row],[Fd]]*Tabelle2[[#This Row],[vx]]/Tabelle2[[#This Row],[v]],0)</f>
        <v>0</v>
      </c>
      <c r="I1239">
        <f t="shared" si="209"/>
        <v>0</v>
      </c>
      <c r="J1239">
        <f t="shared" si="210"/>
        <v>0</v>
      </c>
      <c r="K1239">
        <f t="shared" si="211"/>
        <v>1.0467394398169905</v>
      </c>
      <c r="L1239">
        <f>-$B$5*$B$12-IF($B$3,Tabelle2[[#This Row],[Fd]]*Tabelle2[[#This Row],[vy]]/Tabelle2[[#This Row],[v]],0)</f>
        <v>-14.715</v>
      </c>
      <c r="M1239">
        <f t="shared" si="212"/>
        <v>-9.81</v>
      </c>
      <c r="N1239">
        <f t="shared" si="213"/>
        <v>-0.19620000000000001</v>
      </c>
      <c r="O1239">
        <f t="shared" si="214"/>
        <v>-3.6045705120880913</v>
      </c>
      <c r="P1239" s="1">
        <f t="shared" si="216"/>
        <v>52.336971990849527</v>
      </c>
      <c r="Q1239" s="1">
        <f t="shared" si="217"/>
        <v>-180.13042560440456</v>
      </c>
      <c r="R1239">
        <f>SQRT(Tabelle2[[#This Row],[vx]]*Tabelle2[[#This Row],[vx]]+Tabelle2[[#This Row],[vy]]*Tabelle2[[#This Row],[vy]])</f>
        <v>187.57966005298894</v>
      </c>
      <c r="S1239">
        <f t="shared" si="218"/>
        <v>1293.7699476137857</v>
      </c>
      <c r="T1239" s="1">
        <f t="shared" si="219"/>
        <v>-1453.7701441602071</v>
      </c>
    </row>
    <row r="1240" spans="6:20" x14ac:dyDescent="0.35">
      <c r="F1240" s="1">
        <f t="shared" si="215"/>
        <v>24.739999999999561</v>
      </c>
      <c r="G1240">
        <f>1/2*$B$8*$B$6*$B$7*(Tabelle2[[#This Row],[vx]]*Tabelle2[[#This Row],[vx]]+Tabelle2[[#This Row],[vy]]*Tabelle2[[#This Row],[vy]])/1000000</f>
        <v>62.366498475576222</v>
      </c>
      <c r="H1240">
        <f>IF($B$3,-Tabelle2[[#This Row],[Fd]]*Tabelle2[[#This Row],[vx]]/Tabelle2[[#This Row],[v]],0)</f>
        <v>0</v>
      </c>
      <c r="I1240">
        <f t="shared" si="209"/>
        <v>0</v>
      </c>
      <c r="J1240">
        <f t="shared" si="210"/>
        <v>0</v>
      </c>
      <c r="K1240">
        <f t="shared" si="211"/>
        <v>1.0467394398169905</v>
      </c>
      <c r="L1240">
        <f>-$B$5*$B$12-IF($B$3,Tabelle2[[#This Row],[Fd]]*Tabelle2[[#This Row],[vy]]/Tabelle2[[#This Row],[v]],0)</f>
        <v>-14.715</v>
      </c>
      <c r="M1240">
        <f t="shared" si="212"/>
        <v>-9.81</v>
      </c>
      <c r="N1240">
        <f t="shared" si="213"/>
        <v>-0.19620000000000001</v>
      </c>
      <c r="O1240">
        <f t="shared" si="214"/>
        <v>-3.6084945120880914</v>
      </c>
      <c r="P1240" s="1">
        <f t="shared" si="216"/>
        <v>52.336971990849527</v>
      </c>
      <c r="Q1240" s="1">
        <f t="shared" si="217"/>
        <v>-180.32662560440457</v>
      </c>
      <c r="R1240">
        <f>SQRT(Tabelle2[[#This Row],[vx]]*Tabelle2[[#This Row],[vx]]+Tabelle2[[#This Row],[vy]]*Tabelle2[[#This Row],[vy]])</f>
        <v>187.76807646413718</v>
      </c>
      <c r="S1240">
        <f t="shared" si="218"/>
        <v>1294.8166870536027</v>
      </c>
      <c r="T1240" s="1">
        <f t="shared" si="219"/>
        <v>-1457.3747146722951</v>
      </c>
    </row>
    <row r="1241" spans="6:20" x14ac:dyDescent="0.35">
      <c r="F1241" s="1">
        <f t="shared" si="215"/>
        <v>24.759999999999561</v>
      </c>
      <c r="G1241">
        <f>1/2*$B$8*$B$6*$B$7*(Tabelle2[[#This Row],[vx]]*Tabelle2[[#This Row],[vx]]+Tabelle2[[#This Row],[vy]]*Tabelle2[[#This Row],[vy]])/1000000</f>
        <v>62.49173554577937</v>
      </c>
      <c r="H1241">
        <f>IF($B$3,-Tabelle2[[#This Row],[Fd]]*Tabelle2[[#This Row],[vx]]/Tabelle2[[#This Row],[v]],0)</f>
        <v>0</v>
      </c>
      <c r="I1241">
        <f t="shared" si="209"/>
        <v>0</v>
      </c>
      <c r="J1241">
        <f t="shared" si="210"/>
        <v>0</v>
      </c>
      <c r="K1241">
        <f t="shared" si="211"/>
        <v>1.0467394398169905</v>
      </c>
      <c r="L1241">
        <f>-$B$5*$B$12-IF($B$3,Tabelle2[[#This Row],[Fd]]*Tabelle2[[#This Row],[vy]]/Tabelle2[[#This Row],[v]],0)</f>
        <v>-14.715</v>
      </c>
      <c r="M1241">
        <f t="shared" si="212"/>
        <v>-9.81</v>
      </c>
      <c r="N1241">
        <f t="shared" si="213"/>
        <v>-0.19620000000000001</v>
      </c>
      <c r="O1241">
        <f t="shared" si="214"/>
        <v>-3.6124185120880914</v>
      </c>
      <c r="P1241" s="1">
        <f t="shared" si="216"/>
        <v>52.336971990849527</v>
      </c>
      <c r="Q1241" s="1">
        <f t="shared" si="217"/>
        <v>-180.52282560440457</v>
      </c>
      <c r="R1241">
        <f>SQRT(Tabelle2[[#This Row],[vx]]*Tabelle2[[#This Row],[vx]]+Tabelle2[[#This Row],[vy]]*Tabelle2[[#This Row],[vy]])</f>
        <v>187.95650880288565</v>
      </c>
      <c r="S1241">
        <f t="shared" si="218"/>
        <v>1295.8634264934196</v>
      </c>
      <c r="T1241" s="1">
        <f t="shared" si="219"/>
        <v>-1460.9832091843832</v>
      </c>
    </row>
    <row r="1242" spans="6:20" x14ac:dyDescent="0.35">
      <c r="F1242" s="1">
        <f t="shared" si="215"/>
        <v>24.779999999999561</v>
      </c>
      <c r="G1242">
        <f>1/2*$B$8*$B$6*$B$7*(Tabelle2[[#This Row],[vx]]*Tabelle2[[#This Row],[vx]]+Tabelle2[[#This Row],[vy]]*Tabelle2[[#This Row],[vy]])/1000000</f>
        <v>62.61710880304387</v>
      </c>
      <c r="H1242">
        <f>IF($B$3,-Tabelle2[[#This Row],[Fd]]*Tabelle2[[#This Row],[vx]]/Tabelle2[[#This Row],[v]],0)</f>
        <v>0</v>
      </c>
      <c r="I1242">
        <f t="shared" si="209"/>
        <v>0</v>
      </c>
      <c r="J1242">
        <f t="shared" si="210"/>
        <v>0</v>
      </c>
      <c r="K1242">
        <f t="shared" si="211"/>
        <v>1.0467394398169905</v>
      </c>
      <c r="L1242">
        <f>-$B$5*$B$12-IF($B$3,Tabelle2[[#This Row],[Fd]]*Tabelle2[[#This Row],[vy]]/Tabelle2[[#This Row],[v]],0)</f>
        <v>-14.715</v>
      </c>
      <c r="M1242">
        <f t="shared" si="212"/>
        <v>-9.81</v>
      </c>
      <c r="N1242">
        <f t="shared" si="213"/>
        <v>-0.19620000000000001</v>
      </c>
      <c r="O1242">
        <f t="shared" si="214"/>
        <v>-3.6163425120880914</v>
      </c>
      <c r="P1242" s="1">
        <f t="shared" si="216"/>
        <v>52.336971990849527</v>
      </c>
      <c r="Q1242" s="1">
        <f t="shared" si="217"/>
        <v>-180.71902560440458</v>
      </c>
      <c r="R1242">
        <f>SQRT(Tabelle2[[#This Row],[vx]]*Tabelle2[[#This Row],[vx]]+Tabelle2[[#This Row],[vy]]*Tabelle2[[#This Row],[vy]])</f>
        <v>188.14495702137862</v>
      </c>
      <c r="S1242">
        <f t="shared" si="218"/>
        <v>1296.9101659332366</v>
      </c>
      <c r="T1242" s="1">
        <f t="shared" si="219"/>
        <v>-1464.5956276964714</v>
      </c>
    </row>
    <row r="1243" spans="6:20" x14ac:dyDescent="0.35">
      <c r="F1243" s="1">
        <f t="shared" si="215"/>
        <v>24.79999999999956</v>
      </c>
      <c r="G1243">
        <f>1/2*$B$8*$B$6*$B$7*(Tabelle2[[#This Row],[vx]]*Tabelle2[[#This Row],[vx]]+Tabelle2[[#This Row],[vy]]*Tabelle2[[#This Row],[vy]])/1000000</f>
        <v>62.742618247369727</v>
      </c>
      <c r="H1243">
        <f>IF($B$3,-Tabelle2[[#This Row],[Fd]]*Tabelle2[[#This Row],[vx]]/Tabelle2[[#This Row],[v]],0)</f>
        <v>0</v>
      </c>
      <c r="I1243">
        <f t="shared" si="209"/>
        <v>0</v>
      </c>
      <c r="J1243">
        <f t="shared" si="210"/>
        <v>0</v>
      </c>
      <c r="K1243">
        <f t="shared" si="211"/>
        <v>1.0467394398169905</v>
      </c>
      <c r="L1243">
        <f>-$B$5*$B$12-IF($B$3,Tabelle2[[#This Row],[Fd]]*Tabelle2[[#This Row],[vy]]/Tabelle2[[#This Row],[v]],0)</f>
        <v>-14.715</v>
      </c>
      <c r="M1243">
        <f t="shared" si="212"/>
        <v>-9.81</v>
      </c>
      <c r="N1243">
        <f t="shared" si="213"/>
        <v>-0.19620000000000001</v>
      </c>
      <c r="O1243">
        <f t="shared" si="214"/>
        <v>-3.6202665120880915</v>
      </c>
      <c r="P1243" s="1">
        <f t="shared" si="216"/>
        <v>52.336971990849527</v>
      </c>
      <c r="Q1243" s="1">
        <f t="shared" si="217"/>
        <v>-180.91522560440458</v>
      </c>
      <c r="R1243">
        <f>SQRT(Tabelle2[[#This Row],[vx]]*Tabelle2[[#This Row],[vx]]+Tabelle2[[#This Row],[vy]]*Tabelle2[[#This Row],[vy]])</f>
        <v>188.33342107194778</v>
      </c>
      <c r="S1243">
        <f t="shared" si="218"/>
        <v>1297.9569053730536</v>
      </c>
      <c r="T1243" s="1">
        <f t="shared" si="219"/>
        <v>-1468.2119702085595</v>
      </c>
    </row>
    <row r="1244" spans="6:20" x14ac:dyDescent="0.35">
      <c r="F1244" s="1">
        <f t="shared" si="215"/>
        <v>24.81999999999956</v>
      </c>
      <c r="G1244">
        <f>1/2*$B$8*$B$6*$B$7*(Tabelle2[[#This Row],[vx]]*Tabelle2[[#This Row],[vx]]+Tabelle2[[#This Row],[vy]]*Tabelle2[[#This Row],[vy]])/1000000</f>
        <v>62.86826387875692</v>
      </c>
      <c r="H1244">
        <f>IF($B$3,-Tabelle2[[#This Row],[Fd]]*Tabelle2[[#This Row],[vx]]/Tabelle2[[#This Row],[v]],0)</f>
        <v>0</v>
      </c>
      <c r="I1244">
        <f t="shared" si="209"/>
        <v>0</v>
      </c>
      <c r="J1244">
        <f t="shared" si="210"/>
        <v>0</v>
      </c>
      <c r="K1244">
        <f t="shared" si="211"/>
        <v>1.0467394398169905</v>
      </c>
      <c r="L1244">
        <f>-$B$5*$B$12-IF($B$3,Tabelle2[[#This Row],[Fd]]*Tabelle2[[#This Row],[vy]]/Tabelle2[[#This Row],[v]],0)</f>
        <v>-14.715</v>
      </c>
      <c r="M1244">
        <f t="shared" si="212"/>
        <v>-9.81</v>
      </c>
      <c r="N1244">
        <f t="shared" si="213"/>
        <v>-0.19620000000000001</v>
      </c>
      <c r="O1244">
        <f t="shared" si="214"/>
        <v>-3.6241905120880915</v>
      </c>
      <c r="P1244" s="1">
        <f t="shared" si="216"/>
        <v>52.336971990849527</v>
      </c>
      <c r="Q1244" s="1">
        <f t="shared" si="217"/>
        <v>-181.11142560440459</v>
      </c>
      <c r="R1244">
        <f>SQRT(Tabelle2[[#This Row],[vx]]*Tabelle2[[#This Row],[vx]]+Tabelle2[[#This Row],[vy]]*Tabelle2[[#This Row],[vy]])</f>
        <v>188.52190090711144</v>
      </c>
      <c r="S1244">
        <f t="shared" si="218"/>
        <v>1299.0036448128706</v>
      </c>
      <c r="T1244" s="1">
        <f t="shared" si="219"/>
        <v>-1471.8322367206476</v>
      </c>
    </row>
    <row r="1245" spans="6:20" x14ac:dyDescent="0.35">
      <c r="F1245" s="1">
        <f t="shared" si="215"/>
        <v>24.839999999999559</v>
      </c>
      <c r="G1245">
        <f>1/2*$B$8*$B$6*$B$7*(Tabelle2[[#This Row],[vx]]*Tabelle2[[#This Row],[vx]]+Tabelle2[[#This Row],[vy]]*Tabelle2[[#This Row],[vy]])/1000000</f>
        <v>62.994045697205465</v>
      </c>
      <c r="H1245">
        <f>IF($B$3,-Tabelle2[[#This Row],[Fd]]*Tabelle2[[#This Row],[vx]]/Tabelle2[[#This Row],[v]],0)</f>
        <v>0</v>
      </c>
      <c r="I1245">
        <f t="shared" si="209"/>
        <v>0</v>
      </c>
      <c r="J1245">
        <f t="shared" si="210"/>
        <v>0</v>
      </c>
      <c r="K1245">
        <f t="shared" si="211"/>
        <v>1.0467394398169905</v>
      </c>
      <c r="L1245">
        <f>-$B$5*$B$12-IF($B$3,Tabelle2[[#This Row],[Fd]]*Tabelle2[[#This Row],[vy]]/Tabelle2[[#This Row],[v]],0)</f>
        <v>-14.715</v>
      </c>
      <c r="M1245">
        <f t="shared" si="212"/>
        <v>-9.81</v>
      </c>
      <c r="N1245">
        <f t="shared" si="213"/>
        <v>-0.19620000000000001</v>
      </c>
      <c r="O1245">
        <f t="shared" si="214"/>
        <v>-3.6281145120880915</v>
      </c>
      <c r="P1245" s="1">
        <f t="shared" si="216"/>
        <v>52.336971990849527</v>
      </c>
      <c r="Q1245" s="1">
        <f t="shared" si="217"/>
        <v>-181.30762560440459</v>
      </c>
      <c r="R1245">
        <f>SQRT(Tabelle2[[#This Row],[vx]]*Tabelle2[[#This Row],[vx]]+Tabelle2[[#This Row],[vy]]*Tabelle2[[#This Row],[vy]])</f>
        <v>188.71039647957375</v>
      </c>
      <c r="S1245">
        <f t="shared" si="218"/>
        <v>1300.0503842526875</v>
      </c>
      <c r="T1245" s="1">
        <f t="shared" si="219"/>
        <v>-1475.4564272327357</v>
      </c>
    </row>
    <row r="1246" spans="6:20" x14ac:dyDescent="0.35">
      <c r="F1246" s="1">
        <f t="shared" si="215"/>
        <v>24.859999999999559</v>
      </c>
      <c r="G1246">
        <f>1/2*$B$8*$B$6*$B$7*(Tabelle2[[#This Row],[vx]]*Tabelle2[[#This Row],[vx]]+Tabelle2[[#This Row],[vy]]*Tabelle2[[#This Row],[vy]])/1000000</f>
        <v>63.119963702715332</v>
      </c>
      <c r="H1246">
        <f>IF($B$3,-Tabelle2[[#This Row],[Fd]]*Tabelle2[[#This Row],[vx]]/Tabelle2[[#This Row],[v]],0)</f>
        <v>0</v>
      </c>
      <c r="I1246">
        <f t="shared" si="209"/>
        <v>0</v>
      </c>
      <c r="J1246">
        <f t="shared" si="210"/>
        <v>0</v>
      </c>
      <c r="K1246">
        <f t="shared" si="211"/>
        <v>1.0467394398169905</v>
      </c>
      <c r="L1246">
        <f>-$B$5*$B$12-IF($B$3,Tabelle2[[#This Row],[Fd]]*Tabelle2[[#This Row],[vy]]/Tabelle2[[#This Row],[v]],0)</f>
        <v>-14.715</v>
      </c>
      <c r="M1246">
        <f t="shared" si="212"/>
        <v>-9.81</v>
      </c>
      <c r="N1246">
        <f t="shared" si="213"/>
        <v>-0.19620000000000001</v>
      </c>
      <c r="O1246">
        <f t="shared" si="214"/>
        <v>-3.6320385120880916</v>
      </c>
      <c r="P1246" s="1">
        <f t="shared" si="216"/>
        <v>52.336971990849527</v>
      </c>
      <c r="Q1246" s="1">
        <f t="shared" si="217"/>
        <v>-181.5038256044046</v>
      </c>
      <c r="R1246">
        <f>SQRT(Tabelle2[[#This Row],[vx]]*Tabelle2[[#This Row],[vx]]+Tabelle2[[#This Row],[vy]]*Tabelle2[[#This Row],[vy]])</f>
        <v>188.89890774222357</v>
      </c>
      <c r="S1246">
        <f t="shared" si="218"/>
        <v>1301.0971236925045</v>
      </c>
      <c r="T1246" s="1">
        <f t="shared" si="219"/>
        <v>-1479.0845417448238</v>
      </c>
    </row>
    <row r="1247" spans="6:20" x14ac:dyDescent="0.35">
      <c r="F1247" s="1">
        <f t="shared" si="215"/>
        <v>24.879999999999558</v>
      </c>
      <c r="G1247">
        <f>1/2*$B$8*$B$6*$B$7*(Tabelle2[[#This Row],[vx]]*Tabelle2[[#This Row],[vx]]+Tabelle2[[#This Row],[vy]]*Tabelle2[[#This Row],[vy]])/1000000</f>
        <v>63.246017895286556</v>
      </c>
      <c r="H1247">
        <f>IF($B$3,-Tabelle2[[#This Row],[Fd]]*Tabelle2[[#This Row],[vx]]/Tabelle2[[#This Row],[v]],0)</f>
        <v>0</v>
      </c>
      <c r="I1247">
        <f t="shared" si="209"/>
        <v>0</v>
      </c>
      <c r="J1247">
        <f t="shared" si="210"/>
        <v>0</v>
      </c>
      <c r="K1247">
        <f t="shared" si="211"/>
        <v>1.0467394398169905</v>
      </c>
      <c r="L1247">
        <f>-$B$5*$B$12-IF($B$3,Tabelle2[[#This Row],[Fd]]*Tabelle2[[#This Row],[vy]]/Tabelle2[[#This Row],[v]],0)</f>
        <v>-14.715</v>
      </c>
      <c r="M1247">
        <f t="shared" si="212"/>
        <v>-9.81</v>
      </c>
      <c r="N1247">
        <f t="shared" si="213"/>
        <v>-0.19620000000000001</v>
      </c>
      <c r="O1247">
        <f t="shared" si="214"/>
        <v>-3.6359625120880921</v>
      </c>
      <c r="P1247" s="1">
        <f t="shared" si="216"/>
        <v>52.336971990849527</v>
      </c>
      <c r="Q1247" s="1">
        <f t="shared" si="217"/>
        <v>-181.7000256044046</v>
      </c>
      <c r="R1247">
        <f>SQRT(Tabelle2[[#This Row],[vx]]*Tabelle2[[#This Row],[vx]]+Tabelle2[[#This Row],[vy]]*Tabelle2[[#This Row],[vy]])</f>
        <v>189.08743464813378</v>
      </c>
      <c r="S1247">
        <f t="shared" si="218"/>
        <v>1302.1438631323215</v>
      </c>
      <c r="T1247" s="1">
        <f t="shared" si="219"/>
        <v>-1482.7165802569118</v>
      </c>
    </row>
    <row r="1248" spans="6:20" x14ac:dyDescent="0.35">
      <c r="F1248" s="1">
        <f t="shared" si="215"/>
        <v>24.899999999999558</v>
      </c>
      <c r="G1248">
        <f>1/2*$B$8*$B$6*$B$7*(Tabelle2[[#This Row],[vx]]*Tabelle2[[#This Row],[vx]]+Tabelle2[[#This Row],[vy]]*Tabelle2[[#This Row],[vy]])/1000000</f>
        <v>63.372208274919124</v>
      </c>
      <c r="H1248">
        <f>IF($B$3,-Tabelle2[[#This Row],[Fd]]*Tabelle2[[#This Row],[vx]]/Tabelle2[[#This Row],[v]],0)</f>
        <v>0</v>
      </c>
      <c r="I1248">
        <f t="shared" si="209"/>
        <v>0</v>
      </c>
      <c r="J1248">
        <f t="shared" si="210"/>
        <v>0</v>
      </c>
      <c r="K1248">
        <f t="shared" si="211"/>
        <v>1.0467394398169905</v>
      </c>
      <c r="L1248">
        <f>-$B$5*$B$12-IF($B$3,Tabelle2[[#This Row],[Fd]]*Tabelle2[[#This Row],[vy]]/Tabelle2[[#This Row],[v]],0)</f>
        <v>-14.715</v>
      </c>
      <c r="M1248">
        <f t="shared" si="212"/>
        <v>-9.81</v>
      </c>
      <c r="N1248">
        <f t="shared" si="213"/>
        <v>-0.19620000000000001</v>
      </c>
      <c r="O1248">
        <f t="shared" si="214"/>
        <v>-3.6398865120880921</v>
      </c>
      <c r="P1248" s="1">
        <f t="shared" si="216"/>
        <v>52.336971990849527</v>
      </c>
      <c r="Q1248" s="1">
        <f t="shared" si="217"/>
        <v>-181.89622560440461</v>
      </c>
      <c r="R1248">
        <f>SQRT(Tabelle2[[#This Row],[vx]]*Tabelle2[[#This Row],[vx]]+Tabelle2[[#This Row],[vy]]*Tabelle2[[#This Row],[vy]])</f>
        <v>189.27597715056029</v>
      </c>
      <c r="S1248">
        <f t="shared" si="218"/>
        <v>1303.1906025721385</v>
      </c>
      <c r="T1248" s="1">
        <f t="shared" si="219"/>
        <v>-1486.3525427689999</v>
      </c>
    </row>
    <row r="1249" spans="6:20" x14ac:dyDescent="0.35">
      <c r="F1249" s="1">
        <f t="shared" si="215"/>
        <v>24.919999999999558</v>
      </c>
      <c r="G1249">
        <f>1/2*$B$8*$B$6*$B$7*(Tabelle2[[#This Row],[vx]]*Tabelle2[[#This Row],[vx]]+Tabelle2[[#This Row],[vy]]*Tabelle2[[#This Row],[vy]])/1000000</f>
        <v>63.498534841613029</v>
      </c>
      <c r="H1249">
        <f>IF($B$3,-Tabelle2[[#This Row],[Fd]]*Tabelle2[[#This Row],[vx]]/Tabelle2[[#This Row],[v]],0)</f>
        <v>0</v>
      </c>
      <c r="I1249">
        <f t="shared" si="209"/>
        <v>0</v>
      </c>
      <c r="J1249">
        <f t="shared" si="210"/>
        <v>0</v>
      </c>
      <c r="K1249">
        <f t="shared" si="211"/>
        <v>1.0467394398169905</v>
      </c>
      <c r="L1249">
        <f>-$B$5*$B$12-IF($B$3,Tabelle2[[#This Row],[Fd]]*Tabelle2[[#This Row],[vy]]/Tabelle2[[#This Row],[v]],0)</f>
        <v>-14.715</v>
      </c>
      <c r="M1249">
        <f t="shared" si="212"/>
        <v>-9.81</v>
      </c>
      <c r="N1249">
        <f t="shared" si="213"/>
        <v>-0.19620000000000001</v>
      </c>
      <c r="O1249">
        <f t="shared" si="214"/>
        <v>-3.6438105120880921</v>
      </c>
      <c r="P1249" s="1">
        <f t="shared" si="216"/>
        <v>52.336971990849527</v>
      </c>
      <c r="Q1249" s="1">
        <f t="shared" si="217"/>
        <v>-182.09242560440461</v>
      </c>
      <c r="R1249">
        <f>SQRT(Tabelle2[[#This Row],[vx]]*Tabelle2[[#This Row],[vx]]+Tabelle2[[#This Row],[vy]]*Tabelle2[[#This Row],[vy]])</f>
        <v>189.46453520294133</v>
      </c>
      <c r="S1249">
        <f t="shared" si="218"/>
        <v>1304.2373420119554</v>
      </c>
      <c r="T1249" s="1">
        <f t="shared" si="219"/>
        <v>-1489.9924292810881</v>
      </c>
    </row>
    <row r="1250" spans="6:20" x14ac:dyDescent="0.35">
      <c r="F1250" s="1">
        <f t="shared" si="215"/>
        <v>24.939999999999557</v>
      </c>
      <c r="G1250">
        <f>1/2*$B$8*$B$6*$B$7*(Tabelle2[[#This Row],[vx]]*Tabelle2[[#This Row],[vx]]+Tabelle2[[#This Row],[vy]]*Tabelle2[[#This Row],[vy]])/1000000</f>
        <v>63.624997595368285</v>
      </c>
      <c r="H1250">
        <f>IF($B$3,-Tabelle2[[#This Row],[Fd]]*Tabelle2[[#This Row],[vx]]/Tabelle2[[#This Row],[v]],0)</f>
        <v>0</v>
      </c>
      <c r="I1250">
        <f t="shared" si="209"/>
        <v>0</v>
      </c>
      <c r="J1250">
        <f t="shared" si="210"/>
        <v>0</v>
      </c>
      <c r="K1250">
        <f t="shared" si="211"/>
        <v>1.0467394398169905</v>
      </c>
      <c r="L1250">
        <f>-$B$5*$B$12-IF($B$3,Tabelle2[[#This Row],[Fd]]*Tabelle2[[#This Row],[vy]]/Tabelle2[[#This Row],[v]],0)</f>
        <v>-14.715</v>
      </c>
      <c r="M1250">
        <f t="shared" si="212"/>
        <v>-9.81</v>
      </c>
      <c r="N1250">
        <f t="shared" si="213"/>
        <v>-0.19620000000000001</v>
      </c>
      <c r="O1250">
        <f t="shared" si="214"/>
        <v>-3.6477345120880922</v>
      </c>
      <c r="P1250" s="1">
        <f t="shared" si="216"/>
        <v>52.336971990849527</v>
      </c>
      <c r="Q1250" s="1">
        <f t="shared" si="217"/>
        <v>-182.28862560440461</v>
      </c>
      <c r="R1250">
        <f>SQRT(Tabelle2[[#This Row],[vx]]*Tabelle2[[#This Row],[vx]]+Tabelle2[[#This Row],[vy]]*Tabelle2[[#This Row],[vy]])</f>
        <v>189.65310875889637</v>
      </c>
      <c r="S1250">
        <f t="shared" si="218"/>
        <v>1305.2840814517724</v>
      </c>
      <c r="T1250" s="1">
        <f t="shared" si="219"/>
        <v>-1493.6362397931762</v>
      </c>
    </row>
    <row r="1251" spans="6:20" x14ac:dyDescent="0.35">
      <c r="F1251" s="1">
        <f t="shared" si="215"/>
        <v>24.959999999999557</v>
      </c>
      <c r="G1251">
        <f>1/2*$B$8*$B$6*$B$7*(Tabelle2[[#This Row],[vx]]*Tabelle2[[#This Row],[vx]]+Tabelle2[[#This Row],[vy]]*Tabelle2[[#This Row],[vy]])/1000000</f>
        <v>63.751596536184884</v>
      </c>
      <c r="H1251">
        <f>IF($B$3,-Tabelle2[[#This Row],[Fd]]*Tabelle2[[#This Row],[vx]]/Tabelle2[[#This Row],[v]],0)</f>
        <v>0</v>
      </c>
      <c r="I1251">
        <f t="shared" si="209"/>
        <v>0</v>
      </c>
      <c r="J1251">
        <f t="shared" si="210"/>
        <v>0</v>
      </c>
      <c r="K1251">
        <f t="shared" si="211"/>
        <v>1.0467394398169905</v>
      </c>
      <c r="L1251">
        <f>-$B$5*$B$12-IF($B$3,Tabelle2[[#This Row],[Fd]]*Tabelle2[[#This Row],[vy]]/Tabelle2[[#This Row],[v]],0)</f>
        <v>-14.715</v>
      </c>
      <c r="M1251">
        <f t="shared" si="212"/>
        <v>-9.81</v>
      </c>
      <c r="N1251">
        <f t="shared" si="213"/>
        <v>-0.19620000000000001</v>
      </c>
      <c r="O1251">
        <f t="shared" si="214"/>
        <v>-3.6516585120880922</v>
      </c>
      <c r="P1251" s="1">
        <f t="shared" si="216"/>
        <v>52.336971990849527</v>
      </c>
      <c r="Q1251" s="1">
        <f t="shared" si="217"/>
        <v>-182.48482560440462</v>
      </c>
      <c r="R1251">
        <f>SQRT(Tabelle2[[#This Row],[vx]]*Tabelle2[[#This Row],[vx]]+Tabelle2[[#This Row],[vy]]*Tabelle2[[#This Row],[vy]])</f>
        <v>189.8416977722253</v>
      </c>
      <c r="S1251">
        <f t="shared" si="218"/>
        <v>1306.3308208915894</v>
      </c>
      <c r="T1251" s="1">
        <f t="shared" si="219"/>
        <v>-1497.2839743052643</v>
      </c>
    </row>
    <row r="1252" spans="6:20" x14ac:dyDescent="0.35">
      <c r="F1252" s="1">
        <f t="shared" si="215"/>
        <v>24.979999999999556</v>
      </c>
      <c r="G1252">
        <f>1/2*$B$8*$B$6*$B$7*(Tabelle2[[#This Row],[vx]]*Tabelle2[[#This Row],[vx]]+Tabelle2[[#This Row],[vy]]*Tabelle2[[#This Row],[vy]])/1000000</f>
        <v>63.878331664062827</v>
      </c>
      <c r="H1252">
        <f>IF($B$3,-Tabelle2[[#This Row],[Fd]]*Tabelle2[[#This Row],[vx]]/Tabelle2[[#This Row],[v]],0)</f>
        <v>0</v>
      </c>
      <c r="I1252">
        <f t="shared" si="209"/>
        <v>0</v>
      </c>
      <c r="J1252">
        <f t="shared" si="210"/>
        <v>0</v>
      </c>
      <c r="K1252">
        <f t="shared" si="211"/>
        <v>1.0467394398169905</v>
      </c>
      <c r="L1252">
        <f>-$B$5*$B$12-IF($B$3,Tabelle2[[#This Row],[Fd]]*Tabelle2[[#This Row],[vy]]/Tabelle2[[#This Row],[v]],0)</f>
        <v>-14.715</v>
      </c>
      <c r="M1252">
        <f t="shared" si="212"/>
        <v>-9.81</v>
      </c>
      <c r="N1252">
        <f t="shared" si="213"/>
        <v>-0.19620000000000001</v>
      </c>
      <c r="O1252">
        <f t="shared" si="214"/>
        <v>-3.6555825120880923</v>
      </c>
      <c r="P1252" s="1">
        <f t="shared" si="216"/>
        <v>52.336971990849527</v>
      </c>
      <c r="Q1252" s="1">
        <f t="shared" si="217"/>
        <v>-182.68102560440462</v>
      </c>
      <c r="R1252">
        <f>SQRT(Tabelle2[[#This Row],[vx]]*Tabelle2[[#This Row],[vx]]+Tabelle2[[#This Row],[vy]]*Tabelle2[[#This Row],[vy]])</f>
        <v>190.03030219690783</v>
      </c>
      <c r="S1252">
        <f t="shared" si="218"/>
        <v>1307.3775603314064</v>
      </c>
      <c r="T1252" s="1">
        <f t="shared" si="219"/>
        <v>-1500.9356328173524</v>
      </c>
    </row>
    <row r="1253" spans="6:20" x14ac:dyDescent="0.35">
      <c r="F1253" s="1">
        <f t="shared" si="215"/>
        <v>24.999999999999556</v>
      </c>
      <c r="G1253">
        <f>1/2*$B$8*$B$6*$B$7*(Tabelle2[[#This Row],[vx]]*Tabelle2[[#This Row],[vx]]+Tabelle2[[#This Row],[vy]]*Tabelle2[[#This Row],[vy]])/1000000</f>
        <v>64.005202979002121</v>
      </c>
      <c r="H1253">
        <f>IF($B$3,-Tabelle2[[#This Row],[Fd]]*Tabelle2[[#This Row],[vx]]/Tabelle2[[#This Row],[v]],0)</f>
        <v>0</v>
      </c>
      <c r="I1253">
        <f t="shared" si="209"/>
        <v>0</v>
      </c>
      <c r="J1253">
        <f t="shared" si="210"/>
        <v>0</v>
      </c>
      <c r="K1253">
        <f t="shared" si="211"/>
        <v>1.0467394398169905</v>
      </c>
      <c r="L1253">
        <f>-$B$5*$B$12-IF($B$3,Tabelle2[[#This Row],[Fd]]*Tabelle2[[#This Row],[vy]]/Tabelle2[[#This Row],[v]],0)</f>
        <v>-14.715</v>
      </c>
      <c r="M1253">
        <f t="shared" si="212"/>
        <v>-9.81</v>
      </c>
      <c r="N1253">
        <f t="shared" si="213"/>
        <v>-0.19620000000000001</v>
      </c>
      <c r="O1253">
        <f t="shared" si="214"/>
        <v>-3.6595065120880923</v>
      </c>
      <c r="P1253" s="1">
        <f t="shared" si="216"/>
        <v>52.336971990849527</v>
      </c>
      <c r="Q1253" s="1">
        <f t="shared" si="217"/>
        <v>-182.87722560440463</v>
      </c>
      <c r="R1253">
        <f>SQRT(Tabelle2[[#This Row],[vx]]*Tabelle2[[#This Row],[vx]]+Tabelle2[[#This Row],[vy]]*Tabelle2[[#This Row],[vy]])</f>
        <v>190.21892198710222</v>
      </c>
      <c r="S1253">
        <f t="shared" si="218"/>
        <v>1308.4242997712233</v>
      </c>
      <c r="T1253" s="1">
        <f t="shared" si="219"/>
        <v>-1504.5912153294405</v>
      </c>
    </row>
    <row r="1254" spans="6:20" x14ac:dyDescent="0.35">
      <c r="F1254" s="1">
        <f t="shared" si="215"/>
        <v>25.019999999999555</v>
      </c>
      <c r="G1254">
        <f>1/2*$B$8*$B$6*$B$7*(Tabelle2[[#This Row],[vx]]*Tabelle2[[#This Row],[vx]]+Tabelle2[[#This Row],[vy]]*Tabelle2[[#This Row],[vy]])/1000000</f>
        <v>64.132210481002744</v>
      </c>
      <c r="H1254">
        <f>IF($B$3,-Tabelle2[[#This Row],[Fd]]*Tabelle2[[#This Row],[vx]]/Tabelle2[[#This Row],[v]],0)</f>
        <v>0</v>
      </c>
      <c r="I1254">
        <f t="shared" si="209"/>
        <v>0</v>
      </c>
      <c r="J1254">
        <f t="shared" si="210"/>
        <v>0</v>
      </c>
      <c r="K1254">
        <f t="shared" si="211"/>
        <v>1.0467394398169905</v>
      </c>
      <c r="L1254">
        <f>-$B$5*$B$12-IF($B$3,Tabelle2[[#This Row],[Fd]]*Tabelle2[[#This Row],[vy]]/Tabelle2[[#This Row],[v]],0)</f>
        <v>-14.715</v>
      </c>
      <c r="M1254">
        <f t="shared" si="212"/>
        <v>-9.81</v>
      </c>
      <c r="N1254">
        <f t="shared" si="213"/>
        <v>-0.19620000000000001</v>
      </c>
      <c r="O1254">
        <f t="shared" si="214"/>
        <v>-3.6634305120880923</v>
      </c>
      <c r="P1254" s="1">
        <f t="shared" si="216"/>
        <v>52.336971990849527</v>
      </c>
      <c r="Q1254" s="1">
        <f t="shared" si="217"/>
        <v>-183.07342560440463</v>
      </c>
      <c r="R1254">
        <f>SQRT(Tabelle2[[#This Row],[vx]]*Tabelle2[[#This Row],[vx]]+Tabelle2[[#This Row],[vy]]*Tabelle2[[#This Row],[vy]])</f>
        <v>190.40755709714477</v>
      </c>
      <c r="S1254">
        <f t="shared" si="218"/>
        <v>1309.4710392110403</v>
      </c>
      <c r="T1254" s="1">
        <f t="shared" si="219"/>
        <v>-1508.2507218415285</v>
      </c>
    </row>
    <row r="1255" spans="6:20" x14ac:dyDescent="0.35">
      <c r="F1255" s="1">
        <f t="shared" si="215"/>
        <v>25.039999999999555</v>
      </c>
      <c r="G1255">
        <f>1/2*$B$8*$B$6*$B$7*(Tabelle2[[#This Row],[vx]]*Tabelle2[[#This Row],[vx]]+Tabelle2[[#This Row],[vy]]*Tabelle2[[#This Row],[vy]])/1000000</f>
        <v>64.259354170064711</v>
      </c>
      <c r="H1255">
        <f>IF($B$3,-Tabelle2[[#This Row],[Fd]]*Tabelle2[[#This Row],[vx]]/Tabelle2[[#This Row],[v]],0)</f>
        <v>0</v>
      </c>
      <c r="I1255">
        <f t="shared" si="209"/>
        <v>0</v>
      </c>
      <c r="J1255">
        <f t="shared" si="210"/>
        <v>0</v>
      </c>
      <c r="K1255">
        <f t="shared" si="211"/>
        <v>1.0467394398169905</v>
      </c>
      <c r="L1255">
        <f>-$B$5*$B$12-IF($B$3,Tabelle2[[#This Row],[Fd]]*Tabelle2[[#This Row],[vy]]/Tabelle2[[#This Row],[v]],0)</f>
        <v>-14.715</v>
      </c>
      <c r="M1255">
        <f t="shared" si="212"/>
        <v>-9.81</v>
      </c>
      <c r="N1255">
        <f t="shared" si="213"/>
        <v>-0.19620000000000001</v>
      </c>
      <c r="O1255">
        <f t="shared" si="214"/>
        <v>-3.6673545120880924</v>
      </c>
      <c r="P1255" s="1">
        <f t="shared" si="216"/>
        <v>52.336971990849527</v>
      </c>
      <c r="Q1255" s="1">
        <f t="shared" si="217"/>
        <v>-183.26962560440464</v>
      </c>
      <c r="R1255">
        <f>SQRT(Tabelle2[[#This Row],[vx]]*Tabelle2[[#This Row],[vx]]+Tabelle2[[#This Row],[vy]]*Tabelle2[[#This Row],[vy]])</f>
        <v>190.59620748154884</v>
      </c>
      <c r="S1255">
        <f t="shared" si="218"/>
        <v>1310.5177786508573</v>
      </c>
      <c r="T1255" s="1">
        <f t="shared" si="219"/>
        <v>-1511.9141523536166</v>
      </c>
    </row>
    <row r="1256" spans="6:20" x14ac:dyDescent="0.35">
      <c r="F1256" s="1">
        <f t="shared" si="215"/>
        <v>25.059999999999555</v>
      </c>
      <c r="G1256">
        <f>1/2*$B$8*$B$6*$B$7*(Tabelle2[[#This Row],[vx]]*Tabelle2[[#This Row],[vx]]+Tabelle2[[#This Row],[vy]]*Tabelle2[[#This Row],[vy]])/1000000</f>
        <v>64.386634046188036</v>
      </c>
      <c r="H1256">
        <f>IF($B$3,-Tabelle2[[#This Row],[Fd]]*Tabelle2[[#This Row],[vx]]/Tabelle2[[#This Row],[v]],0)</f>
        <v>0</v>
      </c>
      <c r="I1256">
        <f t="shared" si="209"/>
        <v>0</v>
      </c>
      <c r="J1256">
        <f t="shared" si="210"/>
        <v>0</v>
      </c>
      <c r="K1256">
        <f t="shared" si="211"/>
        <v>1.0467394398169905</v>
      </c>
      <c r="L1256">
        <f>-$B$5*$B$12-IF($B$3,Tabelle2[[#This Row],[Fd]]*Tabelle2[[#This Row],[vy]]/Tabelle2[[#This Row],[v]],0)</f>
        <v>-14.715</v>
      </c>
      <c r="M1256">
        <f t="shared" si="212"/>
        <v>-9.81</v>
      </c>
      <c r="N1256">
        <f t="shared" si="213"/>
        <v>-0.19620000000000001</v>
      </c>
      <c r="O1256">
        <f t="shared" si="214"/>
        <v>-3.6712785120880929</v>
      </c>
      <c r="P1256" s="1">
        <f t="shared" si="216"/>
        <v>52.336971990849527</v>
      </c>
      <c r="Q1256" s="1">
        <f t="shared" si="217"/>
        <v>-183.46582560440464</v>
      </c>
      <c r="R1256">
        <f>SQRT(Tabelle2[[#This Row],[vx]]*Tabelle2[[#This Row],[vx]]+Tabelle2[[#This Row],[vy]]*Tabelle2[[#This Row],[vy]])</f>
        <v>190.78487309500403</v>
      </c>
      <c r="S1256">
        <f t="shared" si="218"/>
        <v>1311.5645180906743</v>
      </c>
      <c r="T1256" s="1">
        <f t="shared" si="219"/>
        <v>-1515.5815068657048</v>
      </c>
    </row>
    <row r="1257" spans="6:20" x14ac:dyDescent="0.35">
      <c r="F1257" s="1">
        <f t="shared" si="215"/>
        <v>25.079999999999554</v>
      </c>
      <c r="G1257">
        <f>1/2*$B$8*$B$6*$B$7*(Tabelle2[[#This Row],[vx]]*Tabelle2[[#This Row],[vx]]+Tabelle2[[#This Row],[vy]]*Tabelle2[[#This Row],[vy]])/1000000</f>
        <v>64.514050109372704</v>
      </c>
      <c r="H1257">
        <f>IF($B$3,-Tabelle2[[#This Row],[Fd]]*Tabelle2[[#This Row],[vx]]/Tabelle2[[#This Row],[v]],0)</f>
        <v>0</v>
      </c>
      <c r="I1257">
        <f t="shared" si="209"/>
        <v>0</v>
      </c>
      <c r="J1257">
        <f t="shared" si="210"/>
        <v>0</v>
      </c>
      <c r="K1257">
        <f t="shared" si="211"/>
        <v>1.0467394398169905</v>
      </c>
      <c r="L1257">
        <f>-$B$5*$B$12-IF($B$3,Tabelle2[[#This Row],[Fd]]*Tabelle2[[#This Row],[vy]]/Tabelle2[[#This Row],[v]],0)</f>
        <v>-14.715</v>
      </c>
      <c r="M1257">
        <f t="shared" si="212"/>
        <v>-9.81</v>
      </c>
      <c r="N1257">
        <f t="shared" si="213"/>
        <v>-0.19620000000000001</v>
      </c>
      <c r="O1257">
        <f t="shared" si="214"/>
        <v>-3.6752025120880929</v>
      </c>
      <c r="P1257" s="1">
        <f t="shared" si="216"/>
        <v>52.336971990849527</v>
      </c>
      <c r="Q1257" s="1">
        <f t="shared" si="217"/>
        <v>-183.66202560440465</v>
      </c>
      <c r="R1257">
        <f>SQRT(Tabelle2[[#This Row],[vx]]*Tabelle2[[#This Row],[vx]]+Tabelle2[[#This Row],[vy]]*Tabelle2[[#This Row],[vy]])</f>
        <v>190.97355389237526</v>
      </c>
      <c r="S1257">
        <f t="shared" si="218"/>
        <v>1312.6112575304912</v>
      </c>
      <c r="T1257" s="1">
        <f t="shared" si="219"/>
        <v>-1519.2527853777929</v>
      </c>
    </row>
    <row r="1258" spans="6:20" x14ac:dyDescent="0.35">
      <c r="F1258" s="1">
        <f t="shared" si="215"/>
        <v>25.099999999999554</v>
      </c>
      <c r="G1258">
        <f>1/2*$B$8*$B$6*$B$7*(Tabelle2[[#This Row],[vx]]*Tabelle2[[#This Row],[vx]]+Tabelle2[[#This Row],[vy]]*Tabelle2[[#This Row],[vy]])/1000000</f>
        <v>64.641602359618702</v>
      </c>
      <c r="H1258">
        <f>IF($B$3,-Tabelle2[[#This Row],[Fd]]*Tabelle2[[#This Row],[vx]]/Tabelle2[[#This Row],[v]],0)</f>
        <v>0</v>
      </c>
      <c r="I1258">
        <f t="shared" si="209"/>
        <v>0</v>
      </c>
      <c r="J1258">
        <f t="shared" si="210"/>
        <v>0</v>
      </c>
      <c r="K1258">
        <f t="shared" si="211"/>
        <v>1.0467394398169905</v>
      </c>
      <c r="L1258">
        <f>-$B$5*$B$12-IF($B$3,Tabelle2[[#This Row],[Fd]]*Tabelle2[[#This Row],[vy]]/Tabelle2[[#This Row],[v]],0)</f>
        <v>-14.715</v>
      </c>
      <c r="M1258">
        <f t="shared" si="212"/>
        <v>-9.81</v>
      </c>
      <c r="N1258">
        <f t="shared" si="213"/>
        <v>-0.19620000000000001</v>
      </c>
      <c r="O1258">
        <f t="shared" si="214"/>
        <v>-3.6791265120880929</v>
      </c>
      <c r="P1258" s="1">
        <f t="shared" si="216"/>
        <v>52.336971990849527</v>
      </c>
      <c r="Q1258" s="1">
        <f t="shared" si="217"/>
        <v>-183.85822560440465</v>
      </c>
      <c r="R1258">
        <f>SQRT(Tabelle2[[#This Row],[vx]]*Tabelle2[[#This Row],[vx]]+Tabelle2[[#This Row],[vy]]*Tabelle2[[#This Row],[vy]])</f>
        <v>191.16224982870213</v>
      </c>
      <c r="S1258">
        <f t="shared" si="218"/>
        <v>1313.6579969703082</v>
      </c>
      <c r="T1258" s="1">
        <f t="shared" si="219"/>
        <v>-1522.927987889881</v>
      </c>
    </row>
    <row r="1259" spans="6:20" x14ac:dyDescent="0.35">
      <c r="F1259" s="1">
        <f t="shared" si="215"/>
        <v>25.119999999999553</v>
      </c>
      <c r="G1259">
        <f>1/2*$B$8*$B$6*$B$7*(Tabelle2[[#This Row],[vx]]*Tabelle2[[#This Row],[vx]]+Tabelle2[[#This Row],[vy]]*Tabelle2[[#This Row],[vy]])/1000000</f>
        <v>64.769290796926057</v>
      </c>
      <c r="H1259">
        <f>IF($B$3,-Tabelle2[[#This Row],[Fd]]*Tabelle2[[#This Row],[vx]]/Tabelle2[[#This Row],[v]],0)</f>
        <v>0</v>
      </c>
      <c r="I1259">
        <f t="shared" si="209"/>
        <v>0</v>
      </c>
      <c r="J1259">
        <f t="shared" si="210"/>
        <v>0</v>
      </c>
      <c r="K1259">
        <f t="shared" si="211"/>
        <v>1.0467394398169905</v>
      </c>
      <c r="L1259">
        <f>-$B$5*$B$12-IF($B$3,Tabelle2[[#This Row],[Fd]]*Tabelle2[[#This Row],[vy]]/Tabelle2[[#This Row],[v]],0)</f>
        <v>-14.715</v>
      </c>
      <c r="M1259">
        <f t="shared" si="212"/>
        <v>-9.81</v>
      </c>
      <c r="N1259">
        <f t="shared" si="213"/>
        <v>-0.19620000000000001</v>
      </c>
      <c r="O1259">
        <f t="shared" si="214"/>
        <v>-3.683050512088093</v>
      </c>
      <c r="P1259" s="1">
        <f t="shared" si="216"/>
        <v>52.336971990849527</v>
      </c>
      <c r="Q1259" s="1">
        <f t="shared" si="217"/>
        <v>-184.05442560440466</v>
      </c>
      <c r="R1259">
        <f>SQRT(Tabelle2[[#This Row],[vx]]*Tabelle2[[#This Row],[vx]]+Tabelle2[[#This Row],[vy]]*Tabelle2[[#This Row],[vy]])</f>
        <v>191.35096085919793</v>
      </c>
      <c r="S1259">
        <f t="shared" si="218"/>
        <v>1314.7047364101252</v>
      </c>
      <c r="T1259" s="1">
        <f t="shared" si="219"/>
        <v>-1526.6071144019691</v>
      </c>
    </row>
    <row r="1260" spans="6:20" x14ac:dyDescent="0.35">
      <c r="F1260" s="1">
        <f t="shared" si="215"/>
        <v>25.139999999999553</v>
      </c>
      <c r="G1260">
        <f>1/2*$B$8*$B$6*$B$7*(Tabelle2[[#This Row],[vx]]*Tabelle2[[#This Row],[vx]]+Tabelle2[[#This Row],[vy]]*Tabelle2[[#This Row],[vy]])/1000000</f>
        <v>64.897115421294757</v>
      </c>
      <c r="H1260">
        <f>IF($B$3,-Tabelle2[[#This Row],[Fd]]*Tabelle2[[#This Row],[vx]]/Tabelle2[[#This Row],[v]],0)</f>
        <v>0</v>
      </c>
      <c r="I1260">
        <f t="shared" si="209"/>
        <v>0</v>
      </c>
      <c r="J1260">
        <f t="shared" si="210"/>
        <v>0</v>
      </c>
      <c r="K1260">
        <f t="shared" si="211"/>
        <v>1.0467394398169905</v>
      </c>
      <c r="L1260">
        <f>-$B$5*$B$12-IF($B$3,Tabelle2[[#This Row],[Fd]]*Tabelle2[[#This Row],[vy]]/Tabelle2[[#This Row],[v]],0)</f>
        <v>-14.715</v>
      </c>
      <c r="M1260">
        <f t="shared" si="212"/>
        <v>-9.81</v>
      </c>
      <c r="N1260">
        <f t="shared" si="213"/>
        <v>-0.19620000000000001</v>
      </c>
      <c r="O1260">
        <f t="shared" si="214"/>
        <v>-3.686974512088093</v>
      </c>
      <c r="P1260" s="1">
        <f t="shared" si="216"/>
        <v>52.336971990849527</v>
      </c>
      <c r="Q1260" s="1">
        <f t="shared" si="217"/>
        <v>-184.25062560440466</v>
      </c>
      <c r="R1260">
        <f>SQRT(Tabelle2[[#This Row],[vx]]*Tabelle2[[#This Row],[vx]]+Tabelle2[[#This Row],[vy]]*Tabelle2[[#This Row],[vy]])</f>
        <v>191.5396869392489</v>
      </c>
      <c r="S1260">
        <f t="shared" si="218"/>
        <v>1315.7514758499422</v>
      </c>
      <c r="T1260" s="1">
        <f t="shared" si="219"/>
        <v>-1530.2901649140572</v>
      </c>
    </row>
    <row r="1261" spans="6:20" x14ac:dyDescent="0.35">
      <c r="F1261" s="1">
        <f t="shared" si="215"/>
        <v>25.159999999999553</v>
      </c>
      <c r="G1261">
        <f>1/2*$B$8*$B$6*$B$7*(Tabelle2[[#This Row],[vx]]*Tabelle2[[#This Row],[vx]]+Tabelle2[[#This Row],[vy]]*Tabelle2[[#This Row],[vy]])/1000000</f>
        <v>65.0250762327248</v>
      </c>
      <c r="H1261">
        <f>IF($B$3,-Tabelle2[[#This Row],[Fd]]*Tabelle2[[#This Row],[vx]]/Tabelle2[[#This Row],[v]],0)</f>
        <v>0</v>
      </c>
      <c r="I1261">
        <f t="shared" si="209"/>
        <v>0</v>
      </c>
      <c r="J1261">
        <f t="shared" si="210"/>
        <v>0</v>
      </c>
      <c r="K1261">
        <f t="shared" si="211"/>
        <v>1.0467394398169905</v>
      </c>
      <c r="L1261">
        <f>-$B$5*$B$12-IF($B$3,Tabelle2[[#This Row],[Fd]]*Tabelle2[[#This Row],[vy]]/Tabelle2[[#This Row],[v]],0)</f>
        <v>-14.715</v>
      </c>
      <c r="M1261">
        <f t="shared" si="212"/>
        <v>-9.81</v>
      </c>
      <c r="N1261">
        <f t="shared" si="213"/>
        <v>-0.19620000000000001</v>
      </c>
      <c r="O1261">
        <f t="shared" si="214"/>
        <v>-3.6908985120880931</v>
      </c>
      <c r="P1261" s="1">
        <f t="shared" si="216"/>
        <v>52.336971990849527</v>
      </c>
      <c r="Q1261" s="1">
        <f t="shared" si="217"/>
        <v>-184.44682560440467</v>
      </c>
      <c r="R1261">
        <f>SQRT(Tabelle2[[#This Row],[vx]]*Tabelle2[[#This Row],[vx]]+Tabelle2[[#This Row],[vy]]*Tabelle2[[#This Row],[vy]])</f>
        <v>191.72842802441332</v>
      </c>
      <c r="S1261">
        <f t="shared" si="218"/>
        <v>1316.7982152897591</v>
      </c>
      <c r="T1261" s="1">
        <f t="shared" si="219"/>
        <v>-1533.9771394261452</v>
      </c>
    </row>
    <row r="1262" spans="6:20" x14ac:dyDescent="0.35">
      <c r="F1262" s="1">
        <f t="shared" si="215"/>
        <v>25.179999999999552</v>
      </c>
      <c r="G1262">
        <f>1/2*$B$8*$B$6*$B$7*(Tabelle2[[#This Row],[vx]]*Tabelle2[[#This Row],[vx]]+Tabelle2[[#This Row],[vy]]*Tabelle2[[#This Row],[vy]])/1000000</f>
        <v>65.153173231216172</v>
      </c>
      <c r="H1262">
        <f>IF($B$3,-Tabelle2[[#This Row],[Fd]]*Tabelle2[[#This Row],[vx]]/Tabelle2[[#This Row],[v]],0)</f>
        <v>0</v>
      </c>
      <c r="I1262">
        <f t="shared" si="209"/>
        <v>0</v>
      </c>
      <c r="J1262">
        <f t="shared" si="210"/>
        <v>0</v>
      </c>
      <c r="K1262">
        <f t="shared" si="211"/>
        <v>1.0467394398169905</v>
      </c>
      <c r="L1262">
        <f>-$B$5*$B$12-IF($B$3,Tabelle2[[#This Row],[Fd]]*Tabelle2[[#This Row],[vy]]/Tabelle2[[#This Row],[v]],0)</f>
        <v>-14.715</v>
      </c>
      <c r="M1262">
        <f t="shared" si="212"/>
        <v>-9.81</v>
      </c>
      <c r="N1262">
        <f t="shared" si="213"/>
        <v>-0.19620000000000001</v>
      </c>
      <c r="O1262">
        <f t="shared" si="214"/>
        <v>-3.6948225120880931</v>
      </c>
      <c r="P1262" s="1">
        <f t="shared" si="216"/>
        <v>52.336971990849527</v>
      </c>
      <c r="Q1262" s="1">
        <f t="shared" si="217"/>
        <v>-184.64302560440467</v>
      </c>
      <c r="R1262">
        <f>SQRT(Tabelle2[[#This Row],[vx]]*Tabelle2[[#This Row],[vx]]+Tabelle2[[#This Row],[vy]]*Tabelle2[[#This Row],[vy]])</f>
        <v>191.91718407042089</v>
      </c>
      <c r="S1262">
        <f t="shared" si="218"/>
        <v>1317.8449547295761</v>
      </c>
      <c r="T1262" s="1">
        <f t="shared" si="219"/>
        <v>-1537.6680379382333</v>
      </c>
    </row>
    <row r="1263" spans="6:20" x14ac:dyDescent="0.35">
      <c r="F1263" s="1">
        <f t="shared" si="215"/>
        <v>25.199999999999552</v>
      </c>
      <c r="G1263">
        <f>1/2*$B$8*$B$6*$B$7*(Tabelle2[[#This Row],[vx]]*Tabelle2[[#This Row],[vx]]+Tabelle2[[#This Row],[vy]]*Tabelle2[[#This Row],[vy]])/1000000</f>
        <v>65.281406416768888</v>
      </c>
      <c r="H1263">
        <f>IF($B$3,-Tabelle2[[#This Row],[Fd]]*Tabelle2[[#This Row],[vx]]/Tabelle2[[#This Row],[v]],0)</f>
        <v>0</v>
      </c>
      <c r="I1263">
        <f t="shared" si="209"/>
        <v>0</v>
      </c>
      <c r="J1263">
        <f t="shared" si="210"/>
        <v>0</v>
      </c>
      <c r="K1263">
        <f t="shared" si="211"/>
        <v>1.0467394398169905</v>
      </c>
      <c r="L1263">
        <f>-$B$5*$B$12-IF($B$3,Tabelle2[[#This Row],[Fd]]*Tabelle2[[#This Row],[vy]]/Tabelle2[[#This Row],[v]],0)</f>
        <v>-14.715</v>
      </c>
      <c r="M1263">
        <f t="shared" si="212"/>
        <v>-9.81</v>
      </c>
      <c r="N1263">
        <f t="shared" si="213"/>
        <v>-0.19620000000000001</v>
      </c>
      <c r="O1263">
        <f t="shared" si="214"/>
        <v>-3.6987465120880931</v>
      </c>
      <c r="P1263" s="1">
        <f t="shared" si="216"/>
        <v>52.336971990849527</v>
      </c>
      <c r="Q1263" s="1">
        <f t="shared" si="217"/>
        <v>-184.83922560440467</v>
      </c>
      <c r="R1263">
        <f>SQRT(Tabelle2[[#This Row],[vx]]*Tabelle2[[#This Row],[vx]]+Tabelle2[[#This Row],[vy]]*Tabelle2[[#This Row],[vy]])</f>
        <v>192.10595503317168</v>
      </c>
      <c r="S1263">
        <f t="shared" si="218"/>
        <v>1318.8916941693931</v>
      </c>
      <c r="T1263" s="1">
        <f t="shared" si="219"/>
        <v>-1541.3628604503215</v>
      </c>
    </row>
    <row r="1264" spans="6:20" x14ac:dyDescent="0.35">
      <c r="F1264" s="1">
        <f t="shared" si="215"/>
        <v>25.219999999999551</v>
      </c>
      <c r="G1264">
        <f>1/2*$B$8*$B$6*$B$7*(Tabelle2[[#This Row],[vx]]*Tabelle2[[#This Row],[vx]]+Tabelle2[[#This Row],[vy]]*Tabelle2[[#This Row],[vy]])/1000000</f>
        <v>65.409775789382962</v>
      </c>
      <c r="H1264">
        <f>IF($B$3,-Tabelle2[[#This Row],[Fd]]*Tabelle2[[#This Row],[vx]]/Tabelle2[[#This Row],[v]],0)</f>
        <v>0</v>
      </c>
      <c r="I1264">
        <f t="shared" si="209"/>
        <v>0</v>
      </c>
      <c r="J1264">
        <f t="shared" si="210"/>
        <v>0</v>
      </c>
      <c r="K1264">
        <f t="shared" si="211"/>
        <v>1.0467394398169905</v>
      </c>
      <c r="L1264">
        <f>-$B$5*$B$12-IF($B$3,Tabelle2[[#This Row],[Fd]]*Tabelle2[[#This Row],[vy]]/Tabelle2[[#This Row],[v]],0)</f>
        <v>-14.715</v>
      </c>
      <c r="M1264">
        <f t="shared" si="212"/>
        <v>-9.81</v>
      </c>
      <c r="N1264">
        <f t="shared" si="213"/>
        <v>-0.19620000000000001</v>
      </c>
      <c r="O1264">
        <f t="shared" si="214"/>
        <v>-3.7026705120880936</v>
      </c>
      <c r="P1264" s="1">
        <f t="shared" si="216"/>
        <v>52.336971990849527</v>
      </c>
      <c r="Q1264" s="1">
        <f t="shared" si="217"/>
        <v>-185.03542560440468</v>
      </c>
      <c r="R1264">
        <f>SQRT(Tabelle2[[#This Row],[vx]]*Tabelle2[[#This Row],[vx]]+Tabelle2[[#This Row],[vy]]*Tabelle2[[#This Row],[vy]])</f>
        <v>192.29474086873554</v>
      </c>
      <c r="S1264">
        <f t="shared" si="218"/>
        <v>1319.9384336092101</v>
      </c>
      <c r="T1264" s="1">
        <f t="shared" si="219"/>
        <v>-1545.0616069624095</v>
      </c>
    </row>
    <row r="1265" spans="6:20" x14ac:dyDescent="0.35">
      <c r="F1265" s="1">
        <f t="shared" si="215"/>
        <v>25.239999999999551</v>
      </c>
      <c r="G1265">
        <f>1/2*$B$8*$B$6*$B$7*(Tabelle2[[#This Row],[vx]]*Tabelle2[[#This Row],[vx]]+Tabelle2[[#This Row],[vy]]*Tabelle2[[#This Row],[vy]])/1000000</f>
        <v>65.53828134905838</v>
      </c>
      <c r="H1265">
        <f>IF($B$3,-Tabelle2[[#This Row],[Fd]]*Tabelle2[[#This Row],[vx]]/Tabelle2[[#This Row],[v]],0)</f>
        <v>0</v>
      </c>
      <c r="I1265">
        <f t="shared" si="209"/>
        <v>0</v>
      </c>
      <c r="J1265">
        <f t="shared" si="210"/>
        <v>0</v>
      </c>
      <c r="K1265">
        <f t="shared" si="211"/>
        <v>1.0467394398169905</v>
      </c>
      <c r="L1265">
        <f>-$B$5*$B$12-IF($B$3,Tabelle2[[#This Row],[Fd]]*Tabelle2[[#This Row],[vy]]/Tabelle2[[#This Row],[v]],0)</f>
        <v>-14.715</v>
      </c>
      <c r="M1265">
        <f t="shared" si="212"/>
        <v>-9.81</v>
      </c>
      <c r="N1265">
        <f t="shared" si="213"/>
        <v>-0.19620000000000001</v>
      </c>
      <c r="O1265">
        <f t="shared" si="214"/>
        <v>-3.7065945120880937</v>
      </c>
      <c r="P1265" s="1">
        <f t="shared" si="216"/>
        <v>52.336971990849527</v>
      </c>
      <c r="Q1265" s="1">
        <f t="shared" si="217"/>
        <v>-185.23162560440468</v>
      </c>
      <c r="R1265">
        <f>SQRT(Tabelle2[[#This Row],[vx]]*Tabelle2[[#This Row],[vx]]+Tabelle2[[#This Row],[vy]]*Tabelle2[[#This Row],[vy]])</f>
        <v>192.48354153335114</v>
      </c>
      <c r="S1265">
        <f t="shared" si="218"/>
        <v>1320.985173049027</v>
      </c>
      <c r="T1265" s="1">
        <f t="shared" si="219"/>
        <v>-1548.7642774744977</v>
      </c>
    </row>
    <row r="1266" spans="6:20" x14ac:dyDescent="0.35">
      <c r="F1266" s="1">
        <f t="shared" si="215"/>
        <v>25.25999999999955</v>
      </c>
      <c r="G1266">
        <f>1/2*$B$8*$B$6*$B$7*(Tabelle2[[#This Row],[vx]]*Tabelle2[[#This Row],[vx]]+Tabelle2[[#This Row],[vy]]*Tabelle2[[#This Row],[vy]])/1000000</f>
        <v>65.666923095795141</v>
      </c>
      <c r="H1266">
        <f>IF($B$3,-Tabelle2[[#This Row],[Fd]]*Tabelle2[[#This Row],[vx]]/Tabelle2[[#This Row],[v]],0)</f>
        <v>0</v>
      </c>
      <c r="I1266">
        <f t="shared" si="209"/>
        <v>0</v>
      </c>
      <c r="J1266">
        <f t="shared" si="210"/>
        <v>0</v>
      </c>
      <c r="K1266">
        <f t="shared" si="211"/>
        <v>1.0467394398169905</v>
      </c>
      <c r="L1266">
        <f>-$B$5*$B$12-IF($B$3,Tabelle2[[#This Row],[Fd]]*Tabelle2[[#This Row],[vy]]/Tabelle2[[#This Row],[v]],0)</f>
        <v>-14.715</v>
      </c>
      <c r="M1266">
        <f t="shared" si="212"/>
        <v>-9.81</v>
      </c>
      <c r="N1266">
        <f t="shared" si="213"/>
        <v>-0.19620000000000001</v>
      </c>
      <c r="O1266">
        <f t="shared" si="214"/>
        <v>-3.7105185120880937</v>
      </c>
      <c r="P1266" s="1">
        <f t="shared" si="216"/>
        <v>52.336971990849527</v>
      </c>
      <c r="Q1266" s="1">
        <f t="shared" si="217"/>
        <v>-185.42782560440469</v>
      </c>
      <c r="R1266">
        <f>SQRT(Tabelle2[[#This Row],[vx]]*Tabelle2[[#This Row],[vx]]+Tabelle2[[#This Row],[vy]]*Tabelle2[[#This Row],[vy]])</f>
        <v>192.67235698342535</v>
      </c>
      <c r="S1266">
        <f t="shared" si="218"/>
        <v>1322.031912488844</v>
      </c>
      <c r="T1266" s="1">
        <f t="shared" si="219"/>
        <v>-1552.4708719865857</v>
      </c>
    </row>
    <row r="1267" spans="6:20" x14ac:dyDescent="0.35">
      <c r="F1267" s="1">
        <f t="shared" si="215"/>
        <v>25.27999999999955</v>
      </c>
      <c r="G1267">
        <f>1/2*$B$8*$B$6*$B$7*(Tabelle2[[#This Row],[vx]]*Tabelle2[[#This Row],[vx]]+Tabelle2[[#This Row],[vy]]*Tabelle2[[#This Row],[vy]])/1000000</f>
        <v>65.795701029593246</v>
      </c>
      <c r="H1267">
        <f>IF($B$3,-Tabelle2[[#This Row],[Fd]]*Tabelle2[[#This Row],[vx]]/Tabelle2[[#This Row],[v]],0)</f>
        <v>0</v>
      </c>
      <c r="I1267">
        <f t="shared" si="209"/>
        <v>0</v>
      </c>
      <c r="J1267">
        <f t="shared" si="210"/>
        <v>0</v>
      </c>
      <c r="K1267">
        <f t="shared" si="211"/>
        <v>1.0467394398169905</v>
      </c>
      <c r="L1267">
        <f>-$B$5*$B$12-IF($B$3,Tabelle2[[#This Row],[Fd]]*Tabelle2[[#This Row],[vy]]/Tabelle2[[#This Row],[v]],0)</f>
        <v>-14.715</v>
      </c>
      <c r="M1267">
        <f t="shared" si="212"/>
        <v>-9.81</v>
      </c>
      <c r="N1267">
        <f t="shared" si="213"/>
        <v>-0.19620000000000001</v>
      </c>
      <c r="O1267">
        <f t="shared" si="214"/>
        <v>-3.7144425120880937</v>
      </c>
      <c r="P1267" s="1">
        <f t="shared" si="216"/>
        <v>52.336971990849527</v>
      </c>
      <c r="Q1267" s="1">
        <f t="shared" si="217"/>
        <v>-185.62402560440469</v>
      </c>
      <c r="R1267">
        <f>SQRT(Tabelle2[[#This Row],[vx]]*Tabelle2[[#This Row],[vx]]+Tabelle2[[#This Row],[vy]]*Tabelle2[[#This Row],[vy]])</f>
        <v>192.86118717553217</v>
      </c>
      <c r="S1267">
        <f t="shared" si="218"/>
        <v>1323.078651928661</v>
      </c>
      <c r="T1267" s="1">
        <f t="shared" si="219"/>
        <v>-1556.1813904986739</v>
      </c>
    </row>
    <row r="1268" spans="6:20" x14ac:dyDescent="0.35">
      <c r="F1268" s="1">
        <f t="shared" si="215"/>
        <v>25.29999999999955</v>
      </c>
      <c r="G1268">
        <f>1/2*$B$8*$B$6*$B$7*(Tabelle2[[#This Row],[vx]]*Tabelle2[[#This Row],[vx]]+Tabelle2[[#This Row],[vy]]*Tabelle2[[#This Row],[vy]])/1000000</f>
        <v>65.924615150452695</v>
      </c>
      <c r="H1268">
        <f>IF($B$3,-Tabelle2[[#This Row],[Fd]]*Tabelle2[[#This Row],[vx]]/Tabelle2[[#This Row],[v]],0)</f>
        <v>0</v>
      </c>
      <c r="I1268">
        <f t="shared" si="209"/>
        <v>0</v>
      </c>
      <c r="J1268">
        <f t="shared" si="210"/>
        <v>0</v>
      </c>
      <c r="K1268">
        <f t="shared" si="211"/>
        <v>1.0467394398169905</v>
      </c>
      <c r="L1268">
        <f>-$B$5*$B$12-IF($B$3,Tabelle2[[#This Row],[Fd]]*Tabelle2[[#This Row],[vy]]/Tabelle2[[#This Row],[v]],0)</f>
        <v>-14.715</v>
      </c>
      <c r="M1268">
        <f t="shared" si="212"/>
        <v>-9.81</v>
      </c>
      <c r="N1268">
        <f t="shared" si="213"/>
        <v>-0.19620000000000001</v>
      </c>
      <c r="O1268">
        <f t="shared" si="214"/>
        <v>-3.7183665120880938</v>
      </c>
      <c r="P1268" s="1">
        <f t="shared" si="216"/>
        <v>52.336971990849527</v>
      </c>
      <c r="Q1268" s="1">
        <f t="shared" si="217"/>
        <v>-185.8202256044047</v>
      </c>
      <c r="R1268">
        <f>SQRT(Tabelle2[[#This Row],[vx]]*Tabelle2[[#This Row],[vx]]+Tabelle2[[#This Row],[vy]]*Tabelle2[[#This Row],[vy]])</f>
        <v>193.05003206641234</v>
      </c>
      <c r="S1268">
        <f t="shared" si="218"/>
        <v>1324.1253913684779</v>
      </c>
      <c r="T1268" s="1">
        <f t="shared" si="219"/>
        <v>-1559.8958330107619</v>
      </c>
    </row>
    <row r="1269" spans="6:20" x14ac:dyDescent="0.35">
      <c r="F1269" s="1">
        <f t="shared" si="215"/>
        <v>25.319999999999549</v>
      </c>
      <c r="G1269">
        <f>1/2*$B$8*$B$6*$B$7*(Tabelle2[[#This Row],[vx]]*Tabelle2[[#This Row],[vx]]+Tabelle2[[#This Row],[vy]]*Tabelle2[[#This Row],[vy]])/1000000</f>
        <v>66.053665458373487</v>
      </c>
      <c r="H1269">
        <f>IF($B$3,-Tabelle2[[#This Row],[Fd]]*Tabelle2[[#This Row],[vx]]/Tabelle2[[#This Row],[v]],0)</f>
        <v>0</v>
      </c>
      <c r="I1269">
        <f t="shared" si="209"/>
        <v>0</v>
      </c>
      <c r="J1269">
        <f t="shared" si="210"/>
        <v>0</v>
      </c>
      <c r="K1269">
        <f t="shared" si="211"/>
        <v>1.0467394398169905</v>
      </c>
      <c r="L1269">
        <f>-$B$5*$B$12-IF($B$3,Tabelle2[[#This Row],[Fd]]*Tabelle2[[#This Row],[vy]]/Tabelle2[[#This Row],[v]],0)</f>
        <v>-14.715</v>
      </c>
      <c r="M1269">
        <f t="shared" si="212"/>
        <v>-9.81</v>
      </c>
      <c r="N1269">
        <f t="shared" si="213"/>
        <v>-0.19620000000000001</v>
      </c>
      <c r="O1269">
        <f t="shared" si="214"/>
        <v>-3.7222905120880938</v>
      </c>
      <c r="P1269" s="1">
        <f t="shared" si="216"/>
        <v>52.336971990849527</v>
      </c>
      <c r="Q1269" s="1">
        <f t="shared" si="217"/>
        <v>-186.0164256044047</v>
      </c>
      <c r="R1269">
        <f>SQRT(Tabelle2[[#This Row],[vx]]*Tabelle2[[#This Row],[vx]]+Tabelle2[[#This Row],[vy]]*Tabelle2[[#This Row],[vy]])</f>
        <v>193.23889161297217</v>
      </c>
      <c r="S1269">
        <f t="shared" si="218"/>
        <v>1325.1721308082949</v>
      </c>
      <c r="T1269" s="1">
        <f t="shared" si="219"/>
        <v>-1563.61419952285</v>
      </c>
    </row>
    <row r="1270" spans="6:20" x14ac:dyDescent="0.35">
      <c r="F1270" s="1">
        <f t="shared" si="215"/>
        <v>25.339999999999549</v>
      </c>
      <c r="G1270">
        <f>1/2*$B$8*$B$6*$B$7*(Tabelle2[[#This Row],[vx]]*Tabelle2[[#This Row],[vx]]+Tabelle2[[#This Row],[vy]]*Tabelle2[[#This Row],[vy]])/1000000</f>
        <v>66.182851953355623</v>
      </c>
      <c r="H1270">
        <f>IF($B$3,-Tabelle2[[#This Row],[Fd]]*Tabelle2[[#This Row],[vx]]/Tabelle2[[#This Row],[v]],0)</f>
        <v>0</v>
      </c>
      <c r="I1270">
        <f t="shared" si="209"/>
        <v>0</v>
      </c>
      <c r="J1270">
        <f t="shared" si="210"/>
        <v>0</v>
      </c>
      <c r="K1270">
        <f t="shared" si="211"/>
        <v>1.0467394398169905</v>
      </c>
      <c r="L1270">
        <f>-$B$5*$B$12-IF($B$3,Tabelle2[[#This Row],[Fd]]*Tabelle2[[#This Row],[vy]]/Tabelle2[[#This Row],[v]],0)</f>
        <v>-14.715</v>
      </c>
      <c r="M1270">
        <f t="shared" si="212"/>
        <v>-9.81</v>
      </c>
      <c r="N1270">
        <f t="shared" si="213"/>
        <v>-0.19620000000000001</v>
      </c>
      <c r="O1270">
        <f t="shared" si="214"/>
        <v>-3.7262145120880938</v>
      </c>
      <c r="P1270" s="1">
        <f t="shared" si="216"/>
        <v>52.336971990849527</v>
      </c>
      <c r="Q1270" s="1">
        <f t="shared" si="217"/>
        <v>-186.21262560440471</v>
      </c>
      <c r="R1270">
        <f>SQRT(Tabelle2[[#This Row],[vx]]*Tabelle2[[#This Row],[vx]]+Tabelle2[[#This Row],[vy]]*Tabelle2[[#This Row],[vy]])</f>
        <v>193.42776577228298</v>
      </c>
      <c r="S1270">
        <f t="shared" si="218"/>
        <v>1326.2188702481119</v>
      </c>
      <c r="T1270" s="1">
        <f t="shared" si="219"/>
        <v>-1567.3364900349382</v>
      </c>
    </row>
    <row r="1271" spans="6:20" x14ac:dyDescent="0.35">
      <c r="F1271" s="1">
        <f t="shared" si="215"/>
        <v>25.359999999999548</v>
      </c>
      <c r="G1271">
        <f>1/2*$B$8*$B$6*$B$7*(Tabelle2[[#This Row],[vx]]*Tabelle2[[#This Row],[vx]]+Tabelle2[[#This Row],[vy]]*Tabelle2[[#This Row],[vy]])/1000000</f>
        <v>66.312174635399089</v>
      </c>
      <c r="H1271">
        <f>IF($B$3,-Tabelle2[[#This Row],[Fd]]*Tabelle2[[#This Row],[vx]]/Tabelle2[[#This Row],[v]],0)</f>
        <v>0</v>
      </c>
      <c r="I1271">
        <f t="shared" si="209"/>
        <v>0</v>
      </c>
      <c r="J1271">
        <f t="shared" si="210"/>
        <v>0</v>
      </c>
      <c r="K1271">
        <f t="shared" si="211"/>
        <v>1.0467394398169905</v>
      </c>
      <c r="L1271">
        <f>-$B$5*$B$12-IF($B$3,Tabelle2[[#This Row],[Fd]]*Tabelle2[[#This Row],[vy]]/Tabelle2[[#This Row],[v]],0)</f>
        <v>-14.715</v>
      </c>
      <c r="M1271">
        <f t="shared" si="212"/>
        <v>-9.81</v>
      </c>
      <c r="N1271">
        <f t="shared" si="213"/>
        <v>-0.19620000000000001</v>
      </c>
      <c r="O1271">
        <f t="shared" si="214"/>
        <v>-3.7301385120880939</v>
      </c>
      <c r="P1271" s="1">
        <f t="shared" si="216"/>
        <v>52.336971990849527</v>
      </c>
      <c r="Q1271" s="1">
        <f t="shared" si="217"/>
        <v>-186.40882560440471</v>
      </c>
      <c r="R1271">
        <f>SQRT(Tabelle2[[#This Row],[vx]]*Tabelle2[[#This Row],[vx]]+Tabelle2[[#This Row],[vy]]*Tabelle2[[#This Row],[vy]])</f>
        <v>193.61665450158037</v>
      </c>
      <c r="S1271">
        <f t="shared" si="218"/>
        <v>1327.2656096879289</v>
      </c>
      <c r="T1271" s="1">
        <f t="shared" si="219"/>
        <v>-1571.0627045470262</v>
      </c>
    </row>
    <row r="1272" spans="6:20" x14ac:dyDescent="0.35">
      <c r="F1272" s="1">
        <f t="shared" si="215"/>
        <v>25.379999999999548</v>
      </c>
      <c r="G1272">
        <f>1/2*$B$8*$B$6*$B$7*(Tabelle2[[#This Row],[vx]]*Tabelle2[[#This Row],[vx]]+Tabelle2[[#This Row],[vy]]*Tabelle2[[#This Row],[vy]])/1000000</f>
        <v>66.441633504503912</v>
      </c>
      <c r="H1272">
        <f>IF($B$3,-Tabelle2[[#This Row],[Fd]]*Tabelle2[[#This Row],[vx]]/Tabelle2[[#This Row],[v]],0)</f>
        <v>0</v>
      </c>
      <c r="I1272">
        <f t="shared" si="209"/>
        <v>0</v>
      </c>
      <c r="J1272">
        <f t="shared" si="210"/>
        <v>0</v>
      </c>
      <c r="K1272">
        <f t="shared" si="211"/>
        <v>1.0467394398169905</v>
      </c>
      <c r="L1272">
        <f>-$B$5*$B$12-IF($B$3,Tabelle2[[#This Row],[Fd]]*Tabelle2[[#This Row],[vy]]/Tabelle2[[#This Row],[v]],0)</f>
        <v>-14.715</v>
      </c>
      <c r="M1272">
        <f t="shared" si="212"/>
        <v>-9.81</v>
      </c>
      <c r="N1272">
        <f t="shared" si="213"/>
        <v>-0.19620000000000001</v>
      </c>
      <c r="O1272">
        <f t="shared" si="214"/>
        <v>-3.7340625120880944</v>
      </c>
      <c r="P1272" s="1">
        <f t="shared" si="216"/>
        <v>52.336971990849527</v>
      </c>
      <c r="Q1272" s="1">
        <f t="shared" si="217"/>
        <v>-186.60502560440472</v>
      </c>
      <c r="R1272">
        <f>SQRT(Tabelle2[[#This Row],[vx]]*Tabelle2[[#This Row],[vx]]+Tabelle2[[#This Row],[vy]]*Tabelle2[[#This Row],[vy]])</f>
        <v>193.80555775826323</v>
      </c>
      <c r="S1272">
        <f t="shared" si="218"/>
        <v>1328.3123491277458</v>
      </c>
      <c r="T1272" s="1">
        <f t="shared" si="219"/>
        <v>-1574.7928430591144</v>
      </c>
    </row>
    <row r="1273" spans="6:20" x14ac:dyDescent="0.35">
      <c r="F1273" s="1">
        <f t="shared" si="215"/>
        <v>25.399999999999547</v>
      </c>
      <c r="G1273">
        <f>1/2*$B$8*$B$6*$B$7*(Tabelle2[[#This Row],[vx]]*Tabelle2[[#This Row],[vx]]+Tabelle2[[#This Row],[vy]]*Tabelle2[[#This Row],[vy]])/1000000</f>
        <v>66.571228560670079</v>
      </c>
      <c r="H1273">
        <f>IF($B$3,-Tabelle2[[#This Row],[Fd]]*Tabelle2[[#This Row],[vx]]/Tabelle2[[#This Row],[v]],0)</f>
        <v>0</v>
      </c>
      <c r="I1273">
        <f t="shared" si="209"/>
        <v>0</v>
      </c>
      <c r="J1273">
        <f t="shared" si="210"/>
        <v>0</v>
      </c>
      <c r="K1273">
        <f t="shared" si="211"/>
        <v>1.0467394398169905</v>
      </c>
      <c r="L1273">
        <f>-$B$5*$B$12-IF($B$3,Tabelle2[[#This Row],[Fd]]*Tabelle2[[#This Row],[vy]]/Tabelle2[[#This Row],[v]],0)</f>
        <v>-14.715</v>
      </c>
      <c r="M1273">
        <f t="shared" si="212"/>
        <v>-9.81</v>
      </c>
      <c r="N1273">
        <f t="shared" si="213"/>
        <v>-0.19620000000000001</v>
      </c>
      <c r="O1273">
        <f t="shared" si="214"/>
        <v>-3.7379865120880944</v>
      </c>
      <c r="P1273" s="1">
        <f t="shared" si="216"/>
        <v>52.336971990849527</v>
      </c>
      <c r="Q1273" s="1">
        <f t="shared" si="217"/>
        <v>-186.80122560440472</v>
      </c>
      <c r="R1273">
        <f>SQRT(Tabelle2[[#This Row],[vx]]*Tabelle2[[#This Row],[vx]]+Tabelle2[[#This Row],[vy]]*Tabelle2[[#This Row],[vy]])</f>
        <v>193.99447549989324</v>
      </c>
      <c r="S1273">
        <f t="shared" si="218"/>
        <v>1329.3590885675628</v>
      </c>
      <c r="T1273" s="1">
        <f t="shared" si="219"/>
        <v>-1578.5269055712024</v>
      </c>
    </row>
    <row r="1274" spans="6:20" x14ac:dyDescent="0.35">
      <c r="F1274" s="1">
        <f t="shared" si="215"/>
        <v>25.419999999999547</v>
      </c>
      <c r="G1274">
        <f>1/2*$B$8*$B$6*$B$7*(Tabelle2[[#This Row],[vx]]*Tabelle2[[#This Row],[vx]]+Tabelle2[[#This Row],[vy]]*Tabelle2[[#This Row],[vy]])/1000000</f>
        <v>66.700959803897604</v>
      </c>
      <c r="H1274">
        <f>IF($B$3,-Tabelle2[[#This Row],[Fd]]*Tabelle2[[#This Row],[vx]]/Tabelle2[[#This Row],[v]],0)</f>
        <v>0</v>
      </c>
      <c r="I1274">
        <f t="shared" si="209"/>
        <v>0</v>
      </c>
      <c r="J1274">
        <f t="shared" si="210"/>
        <v>0</v>
      </c>
      <c r="K1274">
        <f t="shared" si="211"/>
        <v>1.0467394398169905</v>
      </c>
      <c r="L1274">
        <f>-$B$5*$B$12-IF($B$3,Tabelle2[[#This Row],[Fd]]*Tabelle2[[#This Row],[vy]]/Tabelle2[[#This Row],[v]],0)</f>
        <v>-14.715</v>
      </c>
      <c r="M1274">
        <f t="shared" si="212"/>
        <v>-9.81</v>
      </c>
      <c r="N1274">
        <f t="shared" si="213"/>
        <v>-0.19620000000000001</v>
      </c>
      <c r="O1274">
        <f t="shared" si="214"/>
        <v>-3.7419105120880944</v>
      </c>
      <c r="P1274" s="1">
        <f t="shared" si="216"/>
        <v>52.336971990849527</v>
      </c>
      <c r="Q1274" s="1">
        <f t="shared" si="217"/>
        <v>-186.99742560440473</v>
      </c>
      <c r="R1274">
        <f>SQRT(Tabelle2[[#This Row],[vx]]*Tabelle2[[#This Row],[vx]]+Tabelle2[[#This Row],[vy]]*Tabelle2[[#This Row],[vy]])</f>
        <v>194.1834076841939</v>
      </c>
      <c r="S1274">
        <f t="shared" si="218"/>
        <v>1330.4058280073798</v>
      </c>
      <c r="T1274" s="1">
        <f t="shared" si="219"/>
        <v>-1582.2648920832905</v>
      </c>
    </row>
    <row r="1275" spans="6:20" x14ac:dyDescent="0.35">
      <c r="F1275" s="1">
        <f t="shared" si="215"/>
        <v>25.439999999999547</v>
      </c>
      <c r="G1275">
        <f>1/2*$B$8*$B$6*$B$7*(Tabelle2[[#This Row],[vx]]*Tabelle2[[#This Row],[vx]]+Tabelle2[[#This Row],[vy]]*Tabelle2[[#This Row],[vy]])/1000000</f>
        <v>66.830827234186458</v>
      </c>
      <c r="H1275">
        <f>IF($B$3,-Tabelle2[[#This Row],[Fd]]*Tabelle2[[#This Row],[vx]]/Tabelle2[[#This Row],[v]],0)</f>
        <v>0</v>
      </c>
      <c r="I1275">
        <f t="shared" si="209"/>
        <v>0</v>
      </c>
      <c r="J1275">
        <f t="shared" si="210"/>
        <v>0</v>
      </c>
      <c r="K1275">
        <f t="shared" si="211"/>
        <v>1.0467394398169905</v>
      </c>
      <c r="L1275">
        <f>-$B$5*$B$12-IF($B$3,Tabelle2[[#This Row],[Fd]]*Tabelle2[[#This Row],[vy]]/Tabelle2[[#This Row],[v]],0)</f>
        <v>-14.715</v>
      </c>
      <c r="M1275">
        <f t="shared" si="212"/>
        <v>-9.81</v>
      </c>
      <c r="N1275">
        <f t="shared" si="213"/>
        <v>-0.19620000000000001</v>
      </c>
      <c r="O1275">
        <f t="shared" si="214"/>
        <v>-3.7458345120880945</v>
      </c>
      <c r="P1275" s="1">
        <f t="shared" si="216"/>
        <v>52.336971990849527</v>
      </c>
      <c r="Q1275" s="1">
        <f t="shared" si="217"/>
        <v>-187.19362560440473</v>
      </c>
      <c r="R1275">
        <f>SQRT(Tabelle2[[#This Row],[vx]]*Tabelle2[[#This Row],[vx]]+Tabelle2[[#This Row],[vy]]*Tabelle2[[#This Row],[vy]])</f>
        <v>194.37235426904985</v>
      </c>
      <c r="S1275">
        <f t="shared" si="218"/>
        <v>1331.4525674471968</v>
      </c>
      <c r="T1275" s="1">
        <f t="shared" si="219"/>
        <v>-1586.0068025953785</v>
      </c>
    </row>
    <row r="1276" spans="6:20" x14ac:dyDescent="0.35">
      <c r="F1276" s="1">
        <f t="shared" si="215"/>
        <v>25.459999999999546</v>
      </c>
      <c r="G1276">
        <f>1/2*$B$8*$B$6*$B$7*(Tabelle2[[#This Row],[vx]]*Tabelle2[[#This Row],[vx]]+Tabelle2[[#This Row],[vy]]*Tabelle2[[#This Row],[vy]])/1000000</f>
        <v>66.960830851536656</v>
      </c>
      <c r="H1276">
        <f>IF($B$3,-Tabelle2[[#This Row],[Fd]]*Tabelle2[[#This Row],[vx]]/Tabelle2[[#This Row],[v]],0)</f>
        <v>0</v>
      </c>
      <c r="I1276">
        <f t="shared" si="209"/>
        <v>0</v>
      </c>
      <c r="J1276">
        <f t="shared" si="210"/>
        <v>0</v>
      </c>
      <c r="K1276">
        <f t="shared" si="211"/>
        <v>1.0467394398169905</v>
      </c>
      <c r="L1276">
        <f>-$B$5*$B$12-IF($B$3,Tabelle2[[#This Row],[Fd]]*Tabelle2[[#This Row],[vy]]/Tabelle2[[#This Row],[v]],0)</f>
        <v>-14.715</v>
      </c>
      <c r="M1276">
        <f t="shared" si="212"/>
        <v>-9.81</v>
      </c>
      <c r="N1276">
        <f t="shared" si="213"/>
        <v>-0.19620000000000001</v>
      </c>
      <c r="O1276">
        <f t="shared" si="214"/>
        <v>-3.7497585120880945</v>
      </c>
      <c r="P1276" s="1">
        <f t="shared" si="216"/>
        <v>52.336971990849527</v>
      </c>
      <c r="Q1276" s="1">
        <f t="shared" si="217"/>
        <v>-187.38982560440473</v>
      </c>
      <c r="R1276">
        <f>SQRT(Tabelle2[[#This Row],[vx]]*Tabelle2[[#This Row],[vx]]+Tabelle2[[#This Row],[vy]]*Tabelle2[[#This Row],[vy]])</f>
        <v>194.5613152125062</v>
      </c>
      <c r="S1276">
        <f t="shared" si="218"/>
        <v>1332.4993068870137</v>
      </c>
      <c r="T1276" s="1">
        <f t="shared" si="219"/>
        <v>-1589.7526371074666</v>
      </c>
    </row>
    <row r="1277" spans="6:20" x14ac:dyDescent="0.35">
      <c r="F1277" s="1">
        <f t="shared" si="215"/>
        <v>25.479999999999546</v>
      </c>
      <c r="G1277">
        <f>1/2*$B$8*$B$6*$B$7*(Tabelle2[[#This Row],[vx]]*Tabelle2[[#This Row],[vx]]+Tabelle2[[#This Row],[vy]]*Tabelle2[[#This Row],[vy]])/1000000</f>
        <v>67.090970655948198</v>
      </c>
      <c r="H1277">
        <f>IF($B$3,-Tabelle2[[#This Row],[Fd]]*Tabelle2[[#This Row],[vx]]/Tabelle2[[#This Row],[v]],0)</f>
        <v>0</v>
      </c>
      <c r="I1277">
        <f t="shared" si="209"/>
        <v>0</v>
      </c>
      <c r="J1277">
        <f t="shared" si="210"/>
        <v>0</v>
      </c>
      <c r="K1277">
        <f t="shared" si="211"/>
        <v>1.0467394398169905</v>
      </c>
      <c r="L1277">
        <f>-$B$5*$B$12-IF($B$3,Tabelle2[[#This Row],[Fd]]*Tabelle2[[#This Row],[vy]]/Tabelle2[[#This Row],[v]],0)</f>
        <v>-14.715</v>
      </c>
      <c r="M1277">
        <f t="shared" si="212"/>
        <v>-9.81</v>
      </c>
      <c r="N1277">
        <f t="shared" si="213"/>
        <v>-0.19620000000000001</v>
      </c>
      <c r="O1277">
        <f t="shared" si="214"/>
        <v>-3.7536825120880946</v>
      </c>
      <c r="P1277" s="1">
        <f t="shared" si="216"/>
        <v>52.336971990849527</v>
      </c>
      <c r="Q1277" s="1">
        <f t="shared" si="217"/>
        <v>-187.58602560440474</v>
      </c>
      <c r="R1277">
        <f>SQRT(Tabelle2[[#This Row],[vx]]*Tabelle2[[#This Row],[vx]]+Tabelle2[[#This Row],[vy]]*Tabelle2[[#This Row],[vy]])</f>
        <v>194.7502904727676</v>
      </c>
      <c r="S1277">
        <f t="shared" si="218"/>
        <v>1333.5460463268307</v>
      </c>
      <c r="T1277" s="1">
        <f t="shared" si="219"/>
        <v>-1593.5023956195548</v>
      </c>
    </row>
    <row r="1278" spans="6:20" x14ac:dyDescent="0.35">
      <c r="F1278" s="1">
        <f t="shared" si="215"/>
        <v>25.499999999999545</v>
      </c>
      <c r="G1278">
        <f>1/2*$B$8*$B$6*$B$7*(Tabelle2[[#This Row],[vx]]*Tabelle2[[#This Row],[vx]]+Tabelle2[[#This Row],[vy]]*Tabelle2[[#This Row],[vy]])/1000000</f>
        <v>67.221246647421083</v>
      </c>
      <c r="H1278">
        <f>IF($B$3,-Tabelle2[[#This Row],[Fd]]*Tabelle2[[#This Row],[vx]]/Tabelle2[[#This Row],[v]],0)</f>
        <v>0</v>
      </c>
      <c r="I1278">
        <f t="shared" si="209"/>
        <v>0</v>
      </c>
      <c r="J1278">
        <f t="shared" si="210"/>
        <v>0</v>
      </c>
      <c r="K1278">
        <f t="shared" si="211"/>
        <v>1.0467394398169905</v>
      </c>
      <c r="L1278">
        <f>-$B$5*$B$12-IF($B$3,Tabelle2[[#This Row],[Fd]]*Tabelle2[[#This Row],[vy]]/Tabelle2[[#This Row],[v]],0)</f>
        <v>-14.715</v>
      </c>
      <c r="M1278">
        <f t="shared" si="212"/>
        <v>-9.81</v>
      </c>
      <c r="N1278">
        <f t="shared" si="213"/>
        <v>-0.19620000000000001</v>
      </c>
      <c r="O1278">
        <f t="shared" si="214"/>
        <v>-3.7576065120880946</v>
      </c>
      <c r="P1278" s="1">
        <f t="shared" si="216"/>
        <v>52.336971990849527</v>
      </c>
      <c r="Q1278" s="1">
        <f t="shared" si="217"/>
        <v>-187.78222560440474</v>
      </c>
      <c r="R1278">
        <f>SQRT(Tabelle2[[#This Row],[vx]]*Tabelle2[[#This Row],[vx]]+Tabelle2[[#This Row],[vy]]*Tabelle2[[#This Row],[vy]])</f>
        <v>194.93928000819776</v>
      </c>
      <c r="S1278">
        <f t="shared" si="218"/>
        <v>1334.5927857666477</v>
      </c>
      <c r="T1278" s="1">
        <f t="shared" si="219"/>
        <v>-1597.2560781316429</v>
      </c>
    </row>
    <row r="1279" spans="6:20" x14ac:dyDescent="0.35">
      <c r="F1279" s="1">
        <f t="shared" si="215"/>
        <v>25.519999999999545</v>
      </c>
      <c r="G1279">
        <f>1/2*$B$8*$B$6*$B$7*(Tabelle2[[#This Row],[vx]]*Tabelle2[[#This Row],[vx]]+Tabelle2[[#This Row],[vy]]*Tabelle2[[#This Row],[vy]])/1000000</f>
        <v>67.351658825955298</v>
      </c>
      <c r="H1279">
        <f>IF($B$3,-Tabelle2[[#This Row],[Fd]]*Tabelle2[[#This Row],[vx]]/Tabelle2[[#This Row],[v]],0)</f>
        <v>0</v>
      </c>
      <c r="I1279">
        <f t="shared" si="209"/>
        <v>0</v>
      </c>
      <c r="J1279">
        <f t="shared" si="210"/>
        <v>0</v>
      </c>
      <c r="K1279">
        <f t="shared" si="211"/>
        <v>1.0467394398169905</v>
      </c>
      <c r="L1279">
        <f>-$B$5*$B$12-IF($B$3,Tabelle2[[#This Row],[Fd]]*Tabelle2[[#This Row],[vy]]/Tabelle2[[#This Row],[v]],0)</f>
        <v>-14.715</v>
      </c>
      <c r="M1279">
        <f t="shared" si="212"/>
        <v>-9.81</v>
      </c>
      <c r="N1279">
        <f t="shared" si="213"/>
        <v>-0.19620000000000001</v>
      </c>
      <c r="O1279">
        <f t="shared" si="214"/>
        <v>-3.7615305120880946</v>
      </c>
      <c r="P1279" s="1">
        <f t="shared" si="216"/>
        <v>52.336971990849527</v>
      </c>
      <c r="Q1279" s="1">
        <f t="shared" si="217"/>
        <v>-187.97842560440475</v>
      </c>
      <c r="R1279">
        <f>SQRT(Tabelle2[[#This Row],[vx]]*Tabelle2[[#This Row],[vx]]+Tabelle2[[#This Row],[vy]]*Tabelle2[[#This Row],[vy]])</f>
        <v>195.12828377731839</v>
      </c>
      <c r="S1279">
        <f t="shared" si="218"/>
        <v>1335.6395252064647</v>
      </c>
      <c r="T1279" s="1">
        <f t="shared" si="219"/>
        <v>-1601.013684643731</v>
      </c>
    </row>
    <row r="1280" spans="6:20" x14ac:dyDescent="0.35">
      <c r="F1280" s="1">
        <f t="shared" si="215"/>
        <v>25.539999999999544</v>
      </c>
      <c r="G1280">
        <f>1/2*$B$8*$B$6*$B$7*(Tabelle2[[#This Row],[vx]]*Tabelle2[[#This Row],[vx]]+Tabelle2[[#This Row],[vy]]*Tabelle2[[#This Row],[vy]])/1000000</f>
        <v>67.482207191550884</v>
      </c>
      <c r="H1280">
        <f>IF($B$3,-Tabelle2[[#This Row],[Fd]]*Tabelle2[[#This Row],[vx]]/Tabelle2[[#This Row],[v]],0)</f>
        <v>0</v>
      </c>
      <c r="I1280">
        <f t="shared" si="209"/>
        <v>0</v>
      </c>
      <c r="J1280">
        <f t="shared" si="210"/>
        <v>0</v>
      </c>
      <c r="K1280">
        <f t="shared" si="211"/>
        <v>1.0467394398169905</v>
      </c>
      <c r="L1280">
        <f>-$B$5*$B$12-IF($B$3,Tabelle2[[#This Row],[Fd]]*Tabelle2[[#This Row],[vy]]/Tabelle2[[#This Row],[v]],0)</f>
        <v>-14.715</v>
      </c>
      <c r="M1280">
        <f t="shared" si="212"/>
        <v>-9.81</v>
      </c>
      <c r="N1280">
        <f t="shared" si="213"/>
        <v>-0.19620000000000001</v>
      </c>
      <c r="O1280">
        <f t="shared" si="214"/>
        <v>-3.7654545120880947</v>
      </c>
      <c r="P1280" s="1">
        <f t="shared" si="216"/>
        <v>52.336971990849527</v>
      </c>
      <c r="Q1280" s="1">
        <f t="shared" si="217"/>
        <v>-188.17462560440475</v>
      </c>
      <c r="R1280">
        <f>SQRT(Tabelle2[[#This Row],[vx]]*Tabelle2[[#This Row],[vx]]+Tabelle2[[#This Row],[vy]]*Tabelle2[[#This Row],[vy]])</f>
        <v>195.31730173880877</v>
      </c>
      <c r="S1280">
        <f t="shared" si="218"/>
        <v>1336.6862646462816</v>
      </c>
      <c r="T1280" s="1">
        <f t="shared" si="219"/>
        <v>-1604.7752151558191</v>
      </c>
    </row>
    <row r="1281" spans="6:20" x14ac:dyDescent="0.35">
      <c r="F1281" s="1">
        <f t="shared" si="215"/>
        <v>25.559999999999544</v>
      </c>
      <c r="G1281">
        <f>1/2*$B$8*$B$6*$B$7*(Tabelle2[[#This Row],[vx]]*Tabelle2[[#This Row],[vx]]+Tabelle2[[#This Row],[vy]]*Tabelle2[[#This Row],[vy]])/1000000</f>
        <v>67.612891744207801</v>
      </c>
      <c r="H1281">
        <f>IF($B$3,-Tabelle2[[#This Row],[Fd]]*Tabelle2[[#This Row],[vx]]/Tabelle2[[#This Row],[v]],0)</f>
        <v>0</v>
      </c>
      <c r="I1281">
        <f t="shared" si="209"/>
        <v>0</v>
      </c>
      <c r="J1281">
        <f t="shared" si="210"/>
        <v>0</v>
      </c>
      <c r="K1281">
        <f t="shared" si="211"/>
        <v>1.0467394398169905</v>
      </c>
      <c r="L1281">
        <f>-$B$5*$B$12-IF($B$3,Tabelle2[[#This Row],[Fd]]*Tabelle2[[#This Row],[vy]]/Tabelle2[[#This Row],[v]],0)</f>
        <v>-14.715</v>
      </c>
      <c r="M1281">
        <f t="shared" si="212"/>
        <v>-9.81</v>
      </c>
      <c r="N1281">
        <f t="shared" si="213"/>
        <v>-0.19620000000000001</v>
      </c>
      <c r="O1281">
        <f t="shared" si="214"/>
        <v>-3.7693785120880952</v>
      </c>
      <c r="P1281" s="1">
        <f t="shared" si="216"/>
        <v>52.336971990849527</v>
      </c>
      <c r="Q1281" s="1">
        <f t="shared" si="217"/>
        <v>-188.37082560440476</v>
      </c>
      <c r="R1281">
        <f>SQRT(Tabelle2[[#This Row],[vx]]*Tabelle2[[#This Row],[vx]]+Tabelle2[[#This Row],[vy]]*Tabelle2[[#This Row],[vy]])</f>
        <v>195.50633385150476</v>
      </c>
      <c r="S1281">
        <f t="shared" si="218"/>
        <v>1337.7330040860986</v>
      </c>
      <c r="T1281" s="1">
        <f t="shared" si="219"/>
        <v>-1608.5406696679072</v>
      </c>
    </row>
    <row r="1282" spans="6:20" x14ac:dyDescent="0.35">
      <c r="F1282" s="1">
        <f t="shared" si="215"/>
        <v>25.579999999999544</v>
      </c>
      <c r="G1282">
        <f>1/2*$B$8*$B$6*$B$7*(Tabelle2[[#This Row],[vx]]*Tabelle2[[#This Row],[vx]]+Tabelle2[[#This Row],[vy]]*Tabelle2[[#This Row],[vy]])/1000000</f>
        <v>67.74371248392606</v>
      </c>
      <c r="H1282">
        <f>IF($B$3,-Tabelle2[[#This Row],[Fd]]*Tabelle2[[#This Row],[vx]]/Tabelle2[[#This Row],[v]],0)</f>
        <v>0</v>
      </c>
      <c r="I1282">
        <f t="shared" si="209"/>
        <v>0</v>
      </c>
      <c r="J1282">
        <f t="shared" si="210"/>
        <v>0</v>
      </c>
      <c r="K1282">
        <f t="shared" si="211"/>
        <v>1.0467394398169905</v>
      </c>
      <c r="L1282">
        <f>-$B$5*$B$12-IF($B$3,Tabelle2[[#This Row],[Fd]]*Tabelle2[[#This Row],[vy]]/Tabelle2[[#This Row],[v]],0)</f>
        <v>-14.715</v>
      </c>
      <c r="M1282">
        <f t="shared" si="212"/>
        <v>-9.81</v>
      </c>
      <c r="N1282">
        <f t="shared" si="213"/>
        <v>-0.19620000000000001</v>
      </c>
      <c r="O1282">
        <f t="shared" si="214"/>
        <v>-3.7733025120880952</v>
      </c>
      <c r="P1282" s="1">
        <f t="shared" si="216"/>
        <v>52.336971990849527</v>
      </c>
      <c r="Q1282" s="1">
        <f t="shared" si="217"/>
        <v>-188.56702560440476</v>
      </c>
      <c r="R1282">
        <f>SQRT(Tabelle2[[#This Row],[vx]]*Tabelle2[[#This Row],[vx]]+Tabelle2[[#This Row],[vy]]*Tabelle2[[#This Row],[vy]])</f>
        <v>195.69538007439832</v>
      </c>
      <c r="S1282">
        <f t="shared" si="218"/>
        <v>1338.7797435259156</v>
      </c>
      <c r="T1282" s="1">
        <f t="shared" si="219"/>
        <v>-1612.3100481799952</v>
      </c>
    </row>
    <row r="1283" spans="6:20" x14ac:dyDescent="0.35">
      <c r="F1283" s="1">
        <f t="shared" si="215"/>
        <v>25.599999999999543</v>
      </c>
      <c r="G1283">
        <f>1/2*$B$8*$B$6*$B$7*(Tabelle2[[#This Row],[vx]]*Tabelle2[[#This Row],[vx]]+Tabelle2[[#This Row],[vy]]*Tabelle2[[#This Row],[vy]])/1000000</f>
        <v>67.874669410705664</v>
      </c>
      <c r="H1283">
        <f>IF($B$3,-Tabelle2[[#This Row],[Fd]]*Tabelle2[[#This Row],[vx]]/Tabelle2[[#This Row],[v]],0)</f>
        <v>0</v>
      </c>
      <c r="I1283">
        <f t="shared" ref="I1283:I1346" si="220">H1283/$B$5</f>
        <v>0</v>
      </c>
      <c r="J1283">
        <f t="shared" ref="J1283:J1346" si="221">I1283*$B$13</f>
        <v>0</v>
      </c>
      <c r="K1283">
        <f t="shared" ref="K1283:K1346" si="222">$B$13*(P1283+J1283/2)</f>
        <v>1.0467394398169905</v>
      </c>
      <c r="L1283">
        <f>-$B$5*$B$12-IF($B$3,Tabelle2[[#This Row],[Fd]]*Tabelle2[[#This Row],[vy]]/Tabelle2[[#This Row],[v]],0)</f>
        <v>-14.715</v>
      </c>
      <c r="M1283">
        <f t="shared" ref="M1283:M1346" si="223">L1283/$B$5</f>
        <v>-9.81</v>
      </c>
      <c r="N1283">
        <f t="shared" ref="N1283:N1346" si="224">M1283*$B$13</f>
        <v>-0.19620000000000001</v>
      </c>
      <c r="O1283">
        <f t="shared" ref="O1283:O1346" si="225">$B$13*(Q1283+N1283/2)</f>
        <v>-3.7772265120880952</v>
      </c>
      <c r="P1283" s="1">
        <f t="shared" si="216"/>
        <v>52.336971990849527</v>
      </c>
      <c r="Q1283" s="1">
        <f t="shared" si="217"/>
        <v>-188.76322560440477</v>
      </c>
      <c r="R1283">
        <f>SQRT(Tabelle2[[#This Row],[vx]]*Tabelle2[[#This Row],[vx]]+Tabelle2[[#This Row],[vy]]*Tabelle2[[#This Row],[vy]])</f>
        <v>195.88444036663654</v>
      </c>
      <c r="S1283">
        <f t="shared" si="218"/>
        <v>1339.8264829657326</v>
      </c>
      <c r="T1283" s="1">
        <f t="shared" si="219"/>
        <v>-1616.0833506920833</v>
      </c>
    </row>
    <row r="1284" spans="6:20" x14ac:dyDescent="0.35">
      <c r="F1284" s="1">
        <f t="shared" ref="F1284:F1347" si="226">F1283+$B$13</f>
        <v>25.619999999999543</v>
      </c>
      <c r="G1284">
        <f>1/2*$B$8*$B$6*$B$7*(Tabelle2[[#This Row],[vx]]*Tabelle2[[#This Row],[vx]]+Tabelle2[[#This Row],[vy]]*Tabelle2[[#This Row],[vy]])/1000000</f>
        <v>68.005762524546626</v>
      </c>
      <c r="H1284">
        <f>IF($B$3,-Tabelle2[[#This Row],[Fd]]*Tabelle2[[#This Row],[vx]]/Tabelle2[[#This Row],[v]],0)</f>
        <v>0</v>
      </c>
      <c r="I1284">
        <f t="shared" si="220"/>
        <v>0</v>
      </c>
      <c r="J1284">
        <f t="shared" si="221"/>
        <v>0</v>
      </c>
      <c r="K1284">
        <f t="shared" si="222"/>
        <v>1.0467394398169905</v>
      </c>
      <c r="L1284">
        <f>-$B$5*$B$12-IF($B$3,Tabelle2[[#This Row],[Fd]]*Tabelle2[[#This Row],[vy]]/Tabelle2[[#This Row],[v]],0)</f>
        <v>-14.715</v>
      </c>
      <c r="M1284">
        <f t="shared" si="223"/>
        <v>-9.81</v>
      </c>
      <c r="N1284">
        <f t="shared" si="224"/>
        <v>-0.19620000000000001</v>
      </c>
      <c r="O1284">
        <f t="shared" si="225"/>
        <v>-3.7811505120880953</v>
      </c>
      <c r="P1284" s="1">
        <f t="shared" ref="P1284:P1347" si="227">P1283+J1283</f>
        <v>52.336971990849527</v>
      </c>
      <c r="Q1284" s="1">
        <f t="shared" ref="Q1284:Q1347" si="228">Q1283+N1283</f>
        <v>-188.95942560440477</v>
      </c>
      <c r="R1284">
        <f>SQRT(Tabelle2[[#This Row],[vx]]*Tabelle2[[#This Row],[vx]]+Tabelle2[[#This Row],[vy]]*Tabelle2[[#This Row],[vy]])</f>
        <v>196.07351468752108</v>
      </c>
      <c r="S1284">
        <f t="shared" ref="S1284:S1347" si="229">S1283+K1283</f>
        <v>1340.8732224055495</v>
      </c>
      <c r="T1284" s="1">
        <f t="shared" ref="T1284:T1347" si="230">T1283+O1283</f>
        <v>-1619.8605772041715</v>
      </c>
    </row>
    <row r="1285" spans="6:20" x14ac:dyDescent="0.35">
      <c r="F1285" s="1">
        <f t="shared" si="226"/>
        <v>25.639999999999542</v>
      </c>
      <c r="G1285">
        <f>1/2*$B$8*$B$6*$B$7*(Tabelle2[[#This Row],[vx]]*Tabelle2[[#This Row],[vx]]+Tabelle2[[#This Row],[vy]]*Tabelle2[[#This Row],[vy]])/1000000</f>
        <v>68.136991825448916</v>
      </c>
      <c r="H1285">
        <f>IF($B$3,-Tabelle2[[#This Row],[Fd]]*Tabelle2[[#This Row],[vx]]/Tabelle2[[#This Row],[v]],0)</f>
        <v>0</v>
      </c>
      <c r="I1285">
        <f t="shared" si="220"/>
        <v>0</v>
      </c>
      <c r="J1285">
        <f t="shared" si="221"/>
        <v>0</v>
      </c>
      <c r="K1285">
        <f t="shared" si="222"/>
        <v>1.0467394398169905</v>
      </c>
      <c r="L1285">
        <f>-$B$5*$B$12-IF($B$3,Tabelle2[[#This Row],[Fd]]*Tabelle2[[#This Row],[vy]]/Tabelle2[[#This Row],[v]],0)</f>
        <v>-14.715</v>
      </c>
      <c r="M1285">
        <f t="shared" si="223"/>
        <v>-9.81</v>
      </c>
      <c r="N1285">
        <f t="shared" si="224"/>
        <v>-0.19620000000000001</v>
      </c>
      <c r="O1285">
        <f t="shared" si="225"/>
        <v>-3.7850745120880953</v>
      </c>
      <c r="P1285" s="1">
        <f t="shared" si="227"/>
        <v>52.336971990849527</v>
      </c>
      <c r="Q1285" s="1">
        <f t="shared" si="228"/>
        <v>-189.15562560440478</v>
      </c>
      <c r="R1285">
        <f>SQRT(Tabelle2[[#This Row],[vx]]*Tabelle2[[#This Row],[vx]]+Tabelle2[[#This Row],[vy]]*Tabelle2[[#This Row],[vy]])</f>
        <v>196.26260299650752</v>
      </c>
      <c r="S1285">
        <f t="shared" si="229"/>
        <v>1341.9199618453665</v>
      </c>
      <c r="T1285" s="1">
        <f t="shared" si="230"/>
        <v>-1623.6417277162595</v>
      </c>
    </row>
    <row r="1286" spans="6:20" x14ac:dyDescent="0.35">
      <c r="F1286" s="1">
        <f t="shared" si="226"/>
        <v>25.659999999999542</v>
      </c>
      <c r="G1286">
        <f>1/2*$B$8*$B$6*$B$7*(Tabelle2[[#This Row],[vx]]*Tabelle2[[#This Row],[vx]]+Tabelle2[[#This Row],[vy]]*Tabelle2[[#This Row],[vy]])/1000000</f>
        <v>68.268357313412551</v>
      </c>
      <c r="H1286">
        <f>IF($B$3,-Tabelle2[[#This Row],[Fd]]*Tabelle2[[#This Row],[vx]]/Tabelle2[[#This Row],[v]],0)</f>
        <v>0</v>
      </c>
      <c r="I1286">
        <f t="shared" si="220"/>
        <v>0</v>
      </c>
      <c r="J1286">
        <f t="shared" si="221"/>
        <v>0</v>
      </c>
      <c r="K1286">
        <f t="shared" si="222"/>
        <v>1.0467394398169905</v>
      </c>
      <c r="L1286">
        <f>-$B$5*$B$12-IF($B$3,Tabelle2[[#This Row],[Fd]]*Tabelle2[[#This Row],[vy]]/Tabelle2[[#This Row],[v]],0)</f>
        <v>-14.715</v>
      </c>
      <c r="M1286">
        <f t="shared" si="223"/>
        <v>-9.81</v>
      </c>
      <c r="N1286">
        <f t="shared" si="224"/>
        <v>-0.19620000000000001</v>
      </c>
      <c r="O1286">
        <f t="shared" si="225"/>
        <v>-3.7889985120880953</v>
      </c>
      <c r="P1286" s="1">
        <f t="shared" si="227"/>
        <v>52.336971990849527</v>
      </c>
      <c r="Q1286" s="1">
        <f t="shared" si="228"/>
        <v>-189.35182560440478</v>
      </c>
      <c r="R1286">
        <f>SQRT(Tabelle2[[#This Row],[vx]]*Tabelle2[[#This Row],[vx]]+Tabelle2[[#This Row],[vy]]*Tabelle2[[#This Row],[vy]])</f>
        <v>196.45170525320438</v>
      </c>
      <c r="S1286">
        <f t="shared" si="229"/>
        <v>1342.9667012851835</v>
      </c>
      <c r="T1286" s="1">
        <f t="shared" si="230"/>
        <v>-1627.4268022283477</v>
      </c>
    </row>
    <row r="1287" spans="6:20" x14ac:dyDescent="0.35">
      <c r="F1287" s="1">
        <f t="shared" si="226"/>
        <v>25.679999999999541</v>
      </c>
      <c r="G1287">
        <f>1/2*$B$8*$B$6*$B$7*(Tabelle2[[#This Row],[vx]]*Tabelle2[[#This Row],[vx]]+Tabelle2[[#This Row],[vy]]*Tabelle2[[#This Row],[vy]])/1000000</f>
        <v>68.399858988437529</v>
      </c>
      <c r="H1287">
        <f>IF($B$3,-Tabelle2[[#This Row],[Fd]]*Tabelle2[[#This Row],[vx]]/Tabelle2[[#This Row],[v]],0)</f>
        <v>0</v>
      </c>
      <c r="I1287">
        <f t="shared" si="220"/>
        <v>0</v>
      </c>
      <c r="J1287">
        <f t="shared" si="221"/>
        <v>0</v>
      </c>
      <c r="K1287">
        <f t="shared" si="222"/>
        <v>1.0467394398169905</v>
      </c>
      <c r="L1287">
        <f>-$B$5*$B$12-IF($B$3,Tabelle2[[#This Row],[Fd]]*Tabelle2[[#This Row],[vy]]/Tabelle2[[#This Row],[v]],0)</f>
        <v>-14.715</v>
      </c>
      <c r="M1287">
        <f t="shared" si="223"/>
        <v>-9.81</v>
      </c>
      <c r="N1287">
        <f t="shared" si="224"/>
        <v>-0.19620000000000001</v>
      </c>
      <c r="O1287">
        <f t="shared" si="225"/>
        <v>-3.7929225120880954</v>
      </c>
      <c r="P1287" s="1">
        <f t="shared" si="227"/>
        <v>52.336971990849527</v>
      </c>
      <c r="Q1287" s="1">
        <f t="shared" si="228"/>
        <v>-189.54802560440478</v>
      </c>
      <c r="R1287">
        <f>SQRT(Tabelle2[[#This Row],[vx]]*Tabelle2[[#This Row],[vx]]+Tabelle2[[#This Row],[vy]]*Tabelle2[[#This Row],[vy]])</f>
        <v>196.64082141737271</v>
      </c>
      <c r="S1287">
        <f t="shared" si="229"/>
        <v>1344.0134407250005</v>
      </c>
      <c r="T1287" s="1">
        <f t="shared" si="230"/>
        <v>-1631.2158007404357</v>
      </c>
    </row>
    <row r="1288" spans="6:20" x14ac:dyDescent="0.35">
      <c r="F1288" s="1">
        <f t="shared" si="226"/>
        <v>25.699999999999541</v>
      </c>
      <c r="G1288">
        <f>1/2*$B$8*$B$6*$B$7*(Tabelle2[[#This Row],[vx]]*Tabelle2[[#This Row],[vx]]+Tabelle2[[#This Row],[vy]]*Tabelle2[[#This Row],[vy]])/1000000</f>
        <v>68.53149685052388</v>
      </c>
      <c r="H1288">
        <f>IF($B$3,-Tabelle2[[#This Row],[Fd]]*Tabelle2[[#This Row],[vx]]/Tabelle2[[#This Row],[v]],0)</f>
        <v>0</v>
      </c>
      <c r="I1288">
        <f t="shared" si="220"/>
        <v>0</v>
      </c>
      <c r="J1288">
        <f t="shared" si="221"/>
        <v>0</v>
      </c>
      <c r="K1288">
        <f t="shared" si="222"/>
        <v>1.0467394398169905</v>
      </c>
      <c r="L1288">
        <f>-$B$5*$B$12-IF($B$3,Tabelle2[[#This Row],[Fd]]*Tabelle2[[#This Row],[vy]]/Tabelle2[[#This Row],[v]],0)</f>
        <v>-14.715</v>
      </c>
      <c r="M1288">
        <f t="shared" si="223"/>
        <v>-9.81</v>
      </c>
      <c r="N1288">
        <f t="shared" si="224"/>
        <v>-0.19620000000000001</v>
      </c>
      <c r="O1288">
        <f t="shared" si="225"/>
        <v>-3.7968465120880954</v>
      </c>
      <c r="P1288" s="1">
        <f t="shared" si="227"/>
        <v>52.336971990849527</v>
      </c>
      <c r="Q1288" s="1">
        <f t="shared" si="228"/>
        <v>-189.74422560440479</v>
      </c>
      <c r="R1288">
        <f>SQRT(Tabelle2[[#This Row],[vx]]*Tabelle2[[#This Row],[vx]]+Tabelle2[[#This Row],[vy]]*Tabelle2[[#This Row],[vy]])</f>
        <v>196.82995144892516</v>
      </c>
      <c r="S1288">
        <f t="shared" si="229"/>
        <v>1345.0601801648174</v>
      </c>
      <c r="T1288" s="1">
        <f t="shared" si="230"/>
        <v>-1635.0087232525239</v>
      </c>
    </row>
    <row r="1289" spans="6:20" x14ac:dyDescent="0.35">
      <c r="F1289" s="1">
        <f t="shared" si="226"/>
        <v>25.719999999999541</v>
      </c>
      <c r="G1289">
        <f>1/2*$B$8*$B$6*$B$7*(Tabelle2[[#This Row],[vx]]*Tabelle2[[#This Row],[vx]]+Tabelle2[[#This Row],[vy]]*Tabelle2[[#This Row],[vy]])/1000000</f>
        <v>68.663270899671545</v>
      </c>
      <c r="H1289">
        <f>IF($B$3,-Tabelle2[[#This Row],[Fd]]*Tabelle2[[#This Row],[vx]]/Tabelle2[[#This Row],[v]],0)</f>
        <v>0</v>
      </c>
      <c r="I1289">
        <f t="shared" si="220"/>
        <v>0</v>
      </c>
      <c r="J1289">
        <f t="shared" si="221"/>
        <v>0</v>
      </c>
      <c r="K1289">
        <f t="shared" si="222"/>
        <v>1.0467394398169905</v>
      </c>
      <c r="L1289">
        <f>-$B$5*$B$12-IF($B$3,Tabelle2[[#This Row],[Fd]]*Tabelle2[[#This Row],[vy]]/Tabelle2[[#This Row],[v]],0)</f>
        <v>-14.715</v>
      </c>
      <c r="M1289">
        <f t="shared" si="223"/>
        <v>-9.81</v>
      </c>
      <c r="N1289">
        <f t="shared" si="224"/>
        <v>-0.19620000000000001</v>
      </c>
      <c r="O1289">
        <f t="shared" si="225"/>
        <v>-3.8007705120880959</v>
      </c>
      <c r="P1289" s="1">
        <f t="shared" si="227"/>
        <v>52.336971990849527</v>
      </c>
      <c r="Q1289" s="1">
        <f t="shared" si="228"/>
        <v>-189.94042560440479</v>
      </c>
      <c r="R1289">
        <f>SQRT(Tabelle2[[#This Row],[vx]]*Tabelle2[[#This Row],[vx]]+Tabelle2[[#This Row],[vy]]*Tabelle2[[#This Row],[vy]])</f>
        <v>197.01909530792543</v>
      </c>
      <c r="S1289">
        <f t="shared" si="229"/>
        <v>1346.1069196046344</v>
      </c>
      <c r="T1289" s="1">
        <f t="shared" si="230"/>
        <v>-1638.8055697646118</v>
      </c>
    </row>
    <row r="1290" spans="6:20" x14ac:dyDescent="0.35">
      <c r="F1290" s="1">
        <f t="shared" si="226"/>
        <v>25.73999999999954</v>
      </c>
      <c r="G1290">
        <f>1/2*$B$8*$B$6*$B$7*(Tabelle2[[#This Row],[vx]]*Tabelle2[[#This Row],[vx]]+Tabelle2[[#This Row],[vy]]*Tabelle2[[#This Row],[vy]])/1000000</f>
        <v>68.79518113588054</v>
      </c>
      <c r="H1290">
        <f>IF($B$3,-Tabelle2[[#This Row],[Fd]]*Tabelle2[[#This Row],[vx]]/Tabelle2[[#This Row],[v]],0)</f>
        <v>0</v>
      </c>
      <c r="I1290">
        <f t="shared" si="220"/>
        <v>0</v>
      </c>
      <c r="J1290">
        <f t="shared" si="221"/>
        <v>0</v>
      </c>
      <c r="K1290">
        <f t="shared" si="222"/>
        <v>1.0467394398169905</v>
      </c>
      <c r="L1290">
        <f>-$B$5*$B$12-IF($B$3,Tabelle2[[#This Row],[Fd]]*Tabelle2[[#This Row],[vy]]/Tabelle2[[#This Row],[v]],0)</f>
        <v>-14.715</v>
      </c>
      <c r="M1290">
        <f t="shared" si="223"/>
        <v>-9.81</v>
      </c>
      <c r="N1290">
        <f t="shared" si="224"/>
        <v>-0.19620000000000001</v>
      </c>
      <c r="O1290">
        <f t="shared" si="225"/>
        <v>-3.8046945120880959</v>
      </c>
      <c r="P1290" s="1">
        <f t="shared" si="227"/>
        <v>52.336971990849527</v>
      </c>
      <c r="Q1290" s="1">
        <f t="shared" si="228"/>
        <v>-190.1366256044048</v>
      </c>
      <c r="R1290">
        <f>SQRT(Tabelle2[[#This Row],[vx]]*Tabelle2[[#This Row],[vx]]+Tabelle2[[#This Row],[vy]]*Tabelle2[[#This Row],[vy]])</f>
        <v>197.20825295458752</v>
      </c>
      <c r="S1290">
        <f t="shared" si="229"/>
        <v>1347.1536590444514</v>
      </c>
      <c r="T1290" s="1">
        <f t="shared" si="230"/>
        <v>-1642.6063402766999</v>
      </c>
    </row>
    <row r="1291" spans="6:20" x14ac:dyDescent="0.35">
      <c r="F1291" s="1">
        <f t="shared" si="226"/>
        <v>25.75999999999954</v>
      </c>
      <c r="G1291">
        <f>1/2*$B$8*$B$6*$B$7*(Tabelle2[[#This Row],[vx]]*Tabelle2[[#This Row],[vx]]+Tabelle2[[#This Row],[vy]]*Tabelle2[[#This Row],[vy]])/1000000</f>
        <v>68.927227559150921</v>
      </c>
      <c r="H1291">
        <f>IF($B$3,-Tabelle2[[#This Row],[Fd]]*Tabelle2[[#This Row],[vx]]/Tabelle2[[#This Row],[v]],0)</f>
        <v>0</v>
      </c>
      <c r="I1291">
        <f t="shared" si="220"/>
        <v>0</v>
      </c>
      <c r="J1291">
        <f t="shared" si="221"/>
        <v>0</v>
      </c>
      <c r="K1291">
        <f t="shared" si="222"/>
        <v>1.0467394398169905</v>
      </c>
      <c r="L1291">
        <f>-$B$5*$B$12-IF($B$3,Tabelle2[[#This Row],[Fd]]*Tabelle2[[#This Row],[vy]]/Tabelle2[[#This Row],[v]],0)</f>
        <v>-14.715</v>
      </c>
      <c r="M1291">
        <f t="shared" si="223"/>
        <v>-9.81</v>
      </c>
      <c r="N1291">
        <f t="shared" si="224"/>
        <v>-0.19620000000000001</v>
      </c>
      <c r="O1291">
        <f t="shared" si="225"/>
        <v>-3.808618512088096</v>
      </c>
      <c r="P1291" s="1">
        <f t="shared" si="227"/>
        <v>52.336971990849527</v>
      </c>
      <c r="Q1291" s="1">
        <f t="shared" si="228"/>
        <v>-190.3328256044048</v>
      </c>
      <c r="R1291">
        <f>SQRT(Tabelle2[[#This Row],[vx]]*Tabelle2[[#This Row],[vx]]+Tabelle2[[#This Row],[vy]]*Tabelle2[[#This Row],[vy]])</f>
        <v>197.39742434927501</v>
      </c>
      <c r="S1291">
        <f t="shared" si="229"/>
        <v>1348.2003984842684</v>
      </c>
      <c r="T1291" s="1">
        <f t="shared" si="230"/>
        <v>-1646.4110347887881</v>
      </c>
    </row>
    <row r="1292" spans="6:20" x14ac:dyDescent="0.35">
      <c r="F1292" s="1">
        <f t="shared" si="226"/>
        <v>25.779999999999539</v>
      </c>
      <c r="G1292">
        <f>1/2*$B$8*$B$6*$B$7*(Tabelle2[[#This Row],[vx]]*Tabelle2[[#This Row],[vx]]+Tabelle2[[#This Row],[vy]]*Tabelle2[[#This Row],[vy]])/1000000</f>
        <v>69.059410169482618</v>
      </c>
      <c r="H1292">
        <f>IF($B$3,-Tabelle2[[#This Row],[Fd]]*Tabelle2[[#This Row],[vx]]/Tabelle2[[#This Row],[v]],0)</f>
        <v>0</v>
      </c>
      <c r="I1292">
        <f t="shared" si="220"/>
        <v>0</v>
      </c>
      <c r="J1292">
        <f t="shared" si="221"/>
        <v>0</v>
      </c>
      <c r="K1292">
        <f t="shared" si="222"/>
        <v>1.0467394398169905</v>
      </c>
      <c r="L1292">
        <f>-$B$5*$B$12-IF($B$3,Tabelle2[[#This Row],[Fd]]*Tabelle2[[#This Row],[vy]]/Tabelle2[[#This Row],[v]],0)</f>
        <v>-14.715</v>
      </c>
      <c r="M1292">
        <f t="shared" si="223"/>
        <v>-9.81</v>
      </c>
      <c r="N1292">
        <f t="shared" si="224"/>
        <v>-0.19620000000000001</v>
      </c>
      <c r="O1292">
        <f t="shared" si="225"/>
        <v>-3.812542512088096</v>
      </c>
      <c r="P1292" s="1">
        <f t="shared" si="227"/>
        <v>52.336971990849527</v>
      </c>
      <c r="Q1292" s="1">
        <f t="shared" si="228"/>
        <v>-190.52902560440481</v>
      </c>
      <c r="R1292">
        <f>SQRT(Tabelle2[[#This Row],[vx]]*Tabelle2[[#This Row],[vx]]+Tabelle2[[#This Row],[vy]]*Tabelle2[[#This Row],[vy]])</f>
        <v>197.5866094525004</v>
      </c>
      <c r="S1292">
        <f t="shared" si="229"/>
        <v>1349.2471379240853</v>
      </c>
      <c r="T1292" s="1">
        <f t="shared" si="230"/>
        <v>-1650.2196533008762</v>
      </c>
    </row>
    <row r="1293" spans="6:20" x14ac:dyDescent="0.35">
      <c r="F1293" s="1">
        <f t="shared" si="226"/>
        <v>25.799999999999539</v>
      </c>
      <c r="G1293">
        <f>1/2*$B$8*$B$6*$B$7*(Tabelle2[[#This Row],[vx]]*Tabelle2[[#This Row],[vx]]+Tabelle2[[#This Row],[vy]]*Tabelle2[[#This Row],[vy]])/1000000</f>
        <v>69.191728966875658</v>
      </c>
      <c r="H1293">
        <f>IF($B$3,-Tabelle2[[#This Row],[Fd]]*Tabelle2[[#This Row],[vx]]/Tabelle2[[#This Row],[v]],0)</f>
        <v>0</v>
      </c>
      <c r="I1293">
        <f t="shared" si="220"/>
        <v>0</v>
      </c>
      <c r="J1293">
        <f t="shared" si="221"/>
        <v>0</v>
      </c>
      <c r="K1293">
        <f t="shared" si="222"/>
        <v>1.0467394398169905</v>
      </c>
      <c r="L1293">
        <f>-$B$5*$B$12-IF($B$3,Tabelle2[[#This Row],[Fd]]*Tabelle2[[#This Row],[vy]]/Tabelle2[[#This Row],[v]],0)</f>
        <v>-14.715</v>
      </c>
      <c r="M1293">
        <f t="shared" si="223"/>
        <v>-9.81</v>
      </c>
      <c r="N1293">
        <f t="shared" si="224"/>
        <v>-0.19620000000000001</v>
      </c>
      <c r="O1293">
        <f t="shared" si="225"/>
        <v>-3.8164665120880961</v>
      </c>
      <c r="P1293" s="1">
        <f t="shared" si="227"/>
        <v>52.336971990849527</v>
      </c>
      <c r="Q1293" s="1">
        <f t="shared" si="228"/>
        <v>-190.72522560440481</v>
      </c>
      <c r="R1293">
        <f>SQRT(Tabelle2[[#This Row],[vx]]*Tabelle2[[#This Row],[vx]]+Tabelle2[[#This Row],[vy]]*Tabelle2[[#This Row],[vy]])</f>
        <v>197.77580822492442</v>
      </c>
      <c r="S1293">
        <f t="shared" si="229"/>
        <v>1350.2938773639023</v>
      </c>
      <c r="T1293" s="1">
        <f t="shared" si="230"/>
        <v>-1654.0321958129643</v>
      </c>
    </row>
    <row r="1294" spans="6:20" x14ac:dyDescent="0.35">
      <c r="F1294" s="1">
        <f t="shared" si="226"/>
        <v>25.819999999999538</v>
      </c>
      <c r="G1294">
        <f>1/2*$B$8*$B$6*$B$7*(Tabelle2[[#This Row],[vx]]*Tabelle2[[#This Row],[vx]]+Tabelle2[[#This Row],[vy]]*Tabelle2[[#This Row],[vy]])/1000000</f>
        <v>69.324183951330042</v>
      </c>
      <c r="H1294">
        <f>IF($B$3,-Tabelle2[[#This Row],[Fd]]*Tabelle2[[#This Row],[vx]]/Tabelle2[[#This Row],[v]],0)</f>
        <v>0</v>
      </c>
      <c r="I1294">
        <f t="shared" si="220"/>
        <v>0</v>
      </c>
      <c r="J1294">
        <f t="shared" si="221"/>
        <v>0</v>
      </c>
      <c r="K1294">
        <f t="shared" si="222"/>
        <v>1.0467394398169905</v>
      </c>
      <c r="L1294">
        <f>-$B$5*$B$12-IF($B$3,Tabelle2[[#This Row],[Fd]]*Tabelle2[[#This Row],[vy]]/Tabelle2[[#This Row],[v]],0)</f>
        <v>-14.715</v>
      </c>
      <c r="M1294">
        <f t="shared" si="223"/>
        <v>-9.81</v>
      </c>
      <c r="N1294">
        <f t="shared" si="224"/>
        <v>-0.19620000000000001</v>
      </c>
      <c r="O1294">
        <f t="shared" si="225"/>
        <v>-3.8203905120880961</v>
      </c>
      <c r="P1294" s="1">
        <f t="shared" si="227"/>
        <v>52.336971990849527</v>
      </c>
      <c r="Q1294" s="1">
        <f t="shared" si="228"/>
        <v>-190.92142560440482</v>
      </c>
      <c r="R1294">
        <f>SQRT(Tabelle2[[#This Row],[vx]]*Tabelle2[[#This Row],[vx]]+Tabelle2[[#This Row],[vy]]*Tabelle2[[#This Row],[vy]])</f>
        <v>197.96502062735541</v>
      </c>
      <c r="S1294">
        <f t="shared" si="229"/>
        <v>1351.3406168037193</v>
      </c>
      <c r="T1294" s="1">
        <f t="shared" si="230"/>
        <v>-1657.8486623250524</v>
      </c>
    </row>
    <row r="1295" spans="6:20" x14ac:dyDescent="0.35">
      <c r="F1295" s="1">
        <f t="shared" si="226"/>
        <v>25.839999999999538</v>
      </c>
      <c r="G1295">
        <f>1/2*$B$8*$B$6*$B$7*(Tabelle2[[#This Row],[vx]]*Tabelle2[[#This Row],[vx]]+Tabelle2[[#This Row],[vy]]*Tabelle2[[#This Row],[vy]])/1000000</f>
        <v>69.456775122845784</v>
      </c>
      <c r="H1295">
        <f>IF($B$3,-Tabelle2[[#This Row],[Fd]]*Tabelle2[[#This Row],[vx]]/Tabelle2[[#This Row],[v]],0)</f>
        <v>0</v>
      </c>
      <c r="I1295">
        <f t="shared" si="220"/>
        <v>0</v>
      </c>
      <c r="J1295">
        <f t="shared" si="221"/>
        <v>0</v>
      </c>
      <c r="K1295">
        <f t="shared" si="222"/>
        <v>1.0467394398169905</v>
      </c>
      <c r="L1295">
        <f>-$B$5*$B$12-IF($B$3,Tabelle2[[#This Row],[Fd]]*Tabelle2[[#This Row],[vy]]/Tabelle2[[#This Row],[v]],0)</f>
        <v>-14.715</v>
      </c>
      <c r="M1295">
        <f t="shared" si="223"/>
        <v>-9.81</v>
      </c>
      <c r="N1295">
        <f t="shared" si="224"/>
        <v>-0.19620000000000001</v>
      </c>
      <c r="O1295">
        <f t="shared" si="225"/>
        <v>-3.8243145120880961</v>
      </c>
      <c r="P1295" s="1">
        <f t="shared" si="227"/>
        <v>52.336971990849527</v>
      </c>
      <c r="Q1295" s="1">
        <f t="shared" si="228"/>
        <v>-191.11762560440482</v>
      </c>
      <c r="R1295">
        <f>SQRT(Tabelle2[[#This Row],[vx]]*Tabelle2[[#This Row],[vx]]+Tabelle2[[#This Row],[vy]]*Tabelle2[[#This Row],[vy]])</f>
        <v>198.15424662074852</v>
      </c>
      <c r="S1295">
        <f t="shared" si="229"/>
        <v>1352.3873562435363</v>
      </c>
      <c r="T1295" s="1">
        <f t="shared" si="230"/>
        <v>-1661.6690528371405</v>
      </c>
    </row>
    <row r="1296" spans="6:20" x14ac:dyDescent="0.35">
      <c r="F1296" s="1">
        <f t="shared" si="226"/>
        <v>25.859999999999538</v>
      </c>
      <c r="G1296">
        <f>1/2*$B$8*$B$6*$B$7*(Tabelle2[[#This Row],[vx]]*Tabelle2[[#This Row],[vx]]+Tabelle2[[#This Row],[vy]]*Tabelle2[[#This Row],[vy]])/1000000</f>
        <v>69.589502481422855</v>
      </c>
      <c r="H1296">
        <f>IF($B$3,-Tabelle2[[#This Row],[Fd]]*Tabelle2[[#This Row],[vx]]/Tabelle2[[#This Row],[v]],0)</f>
        <v>0</v>
      </c>
      <c r="I1296">
        <f t="shared" si="220"/>
        <v>0</v>
      </c>
      <c r="J1296">
        <f t="shared" si="221"/>
        <v>0</v>
      </c>
      <c r="K1296">
        <f t="shared" si="222"/>
        <v>1.0467394398169905</v>
      </c>
      <c r="L1296">
        <f>-$B$5*$B$12-IF($B$3,Tabelle2[[#This Row],[Fd]]*Tabelle2[[#This Row],[vy]]/Tabelle2[[#This Row],[v]],0)</f>
        <v>-14.715</v>
      </c>
      <c r="M1296">
        <f t="shared" si="223"/>
        <v>-9.81</v>
      </c>
      <c r="N1296">
        <f t="shared" si="224"/>
        <v>-0.19620000000000001</v>
      </c>
      <c r="O1296">
        <f t="shared" si="225"/>
        <v>-3.8282385120880962</v>
      </c>
      <c r="P1296" s="1">
        <f t="shared" si="227"/>
        <v>52.336971990849527</v>
      </c>
      <c r="Q1296" s="1">
        <f t="shared" si="228"/>
        <v>-191.31382560440483</v>
      </c>
      <c r="R1296">
        <f>SQRT(Tabelle2[[#This Row],[vx]]*Tabelle2[[#This Row],[vx]]+Tabelle2[[#This Row],[vy]]*Tabelle2[[#This Row],[vy]])</f>
        <v>198.34348616620511</v>
      </c>
      <c r="S1296">
        <f t="shared" si="229"/>
        <v>1353.4340956833532</v>
      </c>
      <c r="T1296" s="1">
        <f t="shared" si="230"/>
        <v>-1665.4933673492285</v>
      </c>
    </row>
    <row r="1297" spans="6:20" x14ac:dyDescent="0.35">
      <c r="F1297" s="1">
        <f t="shared" si="226"/>
        <v>25.879999999999537</v>
      </c>
      <c r="G1297">
        <f>1/2*$B$8*$B$6*$B$7*(Tabelle2[[#This Row],[vx]]*Tabelle2[[#This Row],[vx]]+Tabelle2[[#This Row],[vy]]*Tabelle2[[#This Row],[vy]])/1000000</f>
        <v>69.72236602706127</v>
      </c>
      <c r="H1297">
        <f>IF($B$3,-Tabelle2[[#This Row],[Fd]]*Tabelle2[[#This Row],[vx]]/Tabelle2[[#This Row],[v]],0)</f>
        <v>0</v>
      </c>
      <c r="I1297">
        <f t="shared" si="220"/>
        <v>0</v>
      </c>
      <c r="J1297">
        <f t="shared" si="221"/>
        <v>0</v>
      </c>
      <c r="K1297">
        <f t="shared" si="222"/>
        <v>1.0467394398169905</v>
      </c>
      <c r="L1297">
        <f>-$B$5*$B$12-IF($B$3,Tabelle2[[#This Row],[Fd]]*Tabelle2[[#This Row],[vy]]/Tabelle2[[#This Row],[v]],0)</f>
        <v>-14.715</v>
      </c>
      <c r="M1297">
        <f t="shared" si="223"/>
        <v>-9.81</v>
      </c>
      <c r="N1297">
        <f t="shared" si="224"/>
        <v>-0.19620000000000001</v>
      </c>
      <c r="O1297">
        <f t="shared" si="225"/>
        <v>-3.8321625120880967</v>
      </c>
      <c r="P1297" s="1">
        <f t="shared" si="227"/>
        <v>52.336971990849527</v>
      </c>
      <c r="Q1297" s="1">
        <f t="shared" si="228"/>
        <v>-191.51002560440483</v>
      </c>
      <c r="R1297">
        <f>SQRT(Tabelle2[[#This Row],[vx]]*Tabelle2[[#This Row],[vx]]+Tabelle2[[#This Row],[vy]]*Tabelle2[[#This Row],[vy]])</f>
        <v>198.53273922497206</v>
      </c>
      <c r="S1297">
        <f t="shared" si="229"/>
        <v>1354.4808351231702</v>
      </c>
      <c r="T1297" s="1">
        <f t="shared" si="230"/>
        <v>-1669.3216058613166</v>
      </c>
    </row>
    <row r="1298" spans="6:20" x14ac:dyDescent="0.35">
      <c r="F1298" s="1">
        <f t="shared" si="226"/>
        <v>25.899999999999537</v>
      </c>
      <c r="G1298">
        <f>1/2*$B$8*$B$6*$B$7*(Tabelle2[[#This Row],[vx]]*Tabelle2[[#This Row],[vx]]+Tabelle2[[#This Row],[vy]]*Tabelle2[[#This Row],[vy]])/1000000</f>
        <v>69.855365759761057</v>
      </c>
      <c r="H1298">
        <f>IF($B$3,-Tabelle2[[#This Row],[Fd]]*Tabelle2[[#This Row],[vx]]/Tabelle2[[#This Row],[v]],0)</f>
        <v>0</v>
      </c>
      <c r="I1298">
        <f t="shared" si="220"/>
        <v>0</v>
      </c>
      <c r="J1298">
        <f t="shared" si="221"/>
        <v>0</v>
      </c>
      <c r="K1298">
        <f t="shared" si="222"/>
        <v>1.0467394398169905</v>
      </c>
      <c r="L1298">
        <f>-$B$5*$B$12-IF($B$3,Tabelle2[[#This Row],[Fd]]*Tabelle2[[#This Row],[vy]]/Tabelle2[[#This Row],[v]],0)</f>
        <v>-14.715</v>
      </c>
      <c r="M1298">
        <f t="shared" si="223"/>
        <v>-9.81</v>
      </c>
      <c r="N1298">
        <f t="shared" si="224"/>
        <v>-0.19620000000000001</v>
      </c>
      <c r="O1298">
        <f t="shared" si="225"/>
        <v>-3.8360865120880967</v>
      </c>
      <c r="P1298" s="1">
        <f t="shared" si="227"/>
        <v>52.336971990849527</v>
      </c>
      <c r="Q1298" s="1">
        <f t="shared" si="228"/>
        <v>-191.70622560440484</v>
      </c>
      <c r="R1298">
        <f>SQRT(Tabelle2[[#This Row],[vx]]*Tabelle2[[#This Row],[vx]]+Tabelle2[[#This Row],[vy]]*Tabelle2[[#This Row],[vy]])</f>
        <v>198.72200575844121</v>
      </c>
      <c r="S1298">
        <f t="shared" si="229"/>
        <v>1355.5275745629872</v>
      </c>
      <c r="T1298" s="1">
        <f t="shared" si="230"/>
        <v>-1673.1537683734048</v>
      </c>
    </row>
    <row r="1299" spans="6:20" x14ac:dyDescent="0.35">
      <c r="F1299" s="1">
        <f t="shared" si="226"/>
        <v>25.919999999999536</v>
      </c>
      <c r="G1299">
        <f>1/2*$B$8*$B$6*$B$7*(Tabelle2[[#This Row],[vx]]*Tabelle2[[#This Row],[vx]]+Tabelle2[[#This Row],[vy]]*Tabelle2[[#This Row],[vy]])/1000000</f>
        <v>69.988501679522159</v>
      </c>
      <c r="H1299">
        <f>IF($B$3,-Tabelle2[[#This Row],[Fd]]*Tabelle2[[#This Row],[vx]]/Tabelle2[[#This Row],[v]],0)</f>
        <v>0</v>
      </c>
      <c r="I1299">
        <f t="shared" si="220"/>
        <v>0</v>
      </c>
      <c r="J1299">
        <f t="shared" si="221"/>
        <v>0</v>
      </c>
      <c r="K1299">
        <f t="shared" si="222"/>
        <v>1.0467394398169905</v>
      </c>
      <c r="L1299">
        <f>-$B$5*$B$12-IF($B$3,Tabelle2[[#This Row],[Fd]]*Tabelle2[[#This Row],[vy]]/Tabelle2[[#This Row],[v]],0)</f>
        <v>-14.715</v>
      </c>
      <c r="M1299">
        <f t="shared" si="223"/>
        <v>-9.81</v>
      </c>
      <c r="N1299">
        <f t="shared" si="224"/>
        <v>-0.19620000000000001</v>
      </c>
      <c r="O1299">
        <f t="shared" si="225"/>
        <v>-3.8400105120880967</v>
      </c>
      <c r="P1299" s="1">
        <f t="shared" si="227"/>
        <v>52.336971990849527</v>
      </c>
      <c r="Q1299" s="1">
        <f t="shared" si="228"/>
        <v>-191.90242560440484</v>
      </c>
      <c r="R1299">
        <f>SQRT(Tabelle2[[#This Row],[vx]]*Tabelle2[[#This Row],[vx]]+Tabelle2[[#This Row],[vy]]*Tabelle2[[#This Row],[vy]])</f>
        <v>198.91128572814844</v>
      </c>
      <c r="S1299">
        <f t="shared" si="229"/>
        <v>1356.5743140028042</v>
      </c>
      <c r="T1299" s="1">
        <f t="shared" si="230"/>
        <v>-1676.9898548854928</v>
      </c>
    </row>
    <row r="1300" spans="6:20" x14ac:dyDescent="0.35">
      <c r="F1300" s="1">
        <f t="shared" si="226"/>
        <v>25.939999999999536</v>
      </c>
      <c r="G1300">
        <f>1/2*$B$8*$B$6*$B$7*(Tabelle2[[#This Row],[vx]]*Tabelle2[[#This Row],[vx]]+Tabelle2[[#This Row],[vy]]*Tabelle2[[#This Row],[vy]])/1000000</f>
        <v>70.121773786344605</v>
      </c>
      <c r="H1300">
        <f>IF($B$3,-Tabelle2[[#This Row],[Fd]]*Tabelle2[[#This Row],[vx]]/Tabelle2[[#This Row],[v]],0)</f>
        <v>0</v>
      </c>
      <c r="I1300">
        <f t="shared" si="220"/>
        <v>0</v>
      </c>
      <c r="J1300">
        <f t="shared" si="221"/>
        <v>0</v>
      </c>
      <c r="K1300">
        <f t="shared" si="222"/>
        <v>1.0467394398169905</v>
      </c>
      <c r="L1300">
        <f>-$B$5*$B$12-IF($B$3,Tabelle2[[#This Row],[Fd]]*Tabelle2[[#This Row],[vy]]/Tabelle2[[#This Row],[v]],0)</f>
        <v>-14.715</v>
      </c>
      <c r="M1300">
        <f t="shared" si="223"/>
        <v>-9.81</v>
      </c>
      <c r="N1300">
        <f t="shared" si="224"/>
        <v>-0.19620000000000001</v>
      </c>
      <c r="O1300">
        <f t="shared" si="225"/>
        <v>-3.8439345120880968</v>
      </c>
      <c r="P1300" s="1">
        <f t="shared" si="227"/>
        <v>52.336971990849527</v>
      </c>
      <c r="Q1300" s="1">
        <f t="shared" si="228"/>
        <v>-192.09862560440484</v>
      </c>
      <c r="R1300">
        <f>SQRT(Tabelle2[[#This Row],[vx]]*Tabelle2[[#This Row],[vx]]+Tabelle2[[#This Row],[vy]]*Tabelle2[[#This Row],[vy]])</f>
        <v>199.10057909577327</v>
      </c>
      <c r="S1300">
        <f t="shared" si="229"/>
        <v>1357.6210534426211</v>
      </c>
      <c r="T1300" s="1">
        <f t="shared" si="230"/>
        <v>-1680.829865397581</v>
      </c>
    </row>
    <row r="1301" spans="6:20" x14ac:dyDescent="0.35">
      <c r="F1301" s="1">
        <f t="shared" si="226"/>
        <v>25.959999999999535</v>
      </c>
      <c r="G1301">
        <f>1/2*$B$8*$B$6*$B$7*(Tabelle2[[#This Row],[vx]]*Tabelle2[[#This Row],[vx]]+Tabelle2[[#This Row],[vy]]*Tabelle2[[#This Row],[vy]])/1000000</f>
        <v>70.255182080228408</v>
      </c>
      <c r="H1301">
        <f>IF($B$3,-Tabelle2[[#This Row],[Fd]]*Tabelle2[[#This Row],[vx]]/Tabelle2[[#This Row],[v]],0)</f>
        <v>0</v>
      </c>
      <c r="I1301">
        <f t="shared" si="220"/>
        <v>0</v>
      </c>
      <c r="J1301">
        <f t="shared" si="221"/>
        <v>0</v>
      </c>
      <c r="K1301">
        <f t="shared" si="222"/>
        <v>1.0467394398169905</v>
      </c>
      <c r="L1301">
        <f>-$B$5*$B$12-IF($B$3,Tabelle2[[#This Row],[Fd]]*Tabelle2[[#This Row],[vy]]/Tabelle2[[#This Row],[v]],0)</f>
        <v>-14.715</v>
      </c>
      <c r="M1301">
        <f t="shared" si="223"/>
        <v>-9.81</v>
      </c>
      <c r="N1301">
        <f t="shared" si="224"/>
        <v>-0.19620000000000001</v>
      </c>
      <c r="O1301">
        <f t="shared" si="225"/>
        <v>-3.8478585120880968</v>
      </c>
      <c r="P1301" s="1">
        <f t="shared" si="227"/>
        <v>52.336971990849527</v>
      </c>
      <c r="Q1301" s="1">
        <f t="shared" si="228"/>
        <v>-192.29482560440485</v>
      </c>
      <c r="R1301">
        <f>SQRT(Tabelle2[[#This Row],[vx]]*Tabelle2[[#This Row],[vx]]+Tabelle2[[#This Row],[vy]]*Tabelle2[[#This Row],[vy]])</f>
        <v>199.28988582313815</v>
      </c>
      <c r="S1301">
        <f t="shared" si="229"/>
        <v>1358.6677928824381</v>
      </c>
      <c r="T1301" s="1">
        <f t="shared" si="230"/>
        <v>-1684.673799909669</v>
      </c>
    </row>
    <row r="1302" spans="6:20" x14ac:dyDescent="0.35">
      <c r="F1302" s="1">
        <f t="shared" si="226"/>
        <v>25.979999999999535</v>
      </c>
      <c r="G1302">
        <f>1/2*$B$8*$B$6*$B$7*(Tabelle2[[#This Row],[vx]]*Tabelle2[[#This Row],[vx]]+Tabelle2[[#This Row],[vy]]*Tabelle2[[#This Row],[vy]])/1000000</f>
        <v>70.388726561173556</v>
      </c>
      <c r="H1302">
        <f>IF($B$3,-Tabelle2[[#This Row],[Fd]]*Tabelle2[[#This Row],[vx]]/Tabelle2[[#This Row],[v]],0)</f>
        <v>0</v>
      </c>
      <c r="I1302">
        <f t="shared" si="220"/>
        <v>0</v>
      </c>
      <c r="J1302">
        <f t="shared" si="221"/>
        <v>0</v>
      </c>
      <c r="K1302">
        <f t="shared" si="222"/>
        <v>1.0467394398169905</v>
      </c>
      <c r="L1302">
        <f>-$B$5*$B$12-IF($B$3,Tabelle2[[#This Row],[Fd]]*Tabelle2[[#This Row],[vy]]/Tabelle2[[#This Row],[v]],0)</f>
        <v>-14.715</v>
      </c>
      <c r="M1302">
        <f t="shared" si="223"/>
        <v>-9.81</v>
      </c>
      <c r="N1302">
        <f t="shared" si="224"/>
        <v>-0.19620000000000001</v>
      </c>
      <c r="O1302">
        <f t="shared" si="225"/>
        <v>-3.8517825120880969</v>
      </c>
      <c r="P1302" s="1">
        <f t="shared" si="227"/>
        <v>52.336971990849527</v>
      </c>
      <c r="Q1302" s="1">
        <f t="shared" si="228"/>
        <v>-192.49102560440485</v>
      </c>
      <c r="R1302">
        <f>SQRT(Tabelle2[[#This Row],[vx]]*Tabelle2[[#This Row],[vx]]+Tabelle2[[#This Row],[vy]]*Tabelle2[[#This Row],[vy]])</f>
        <v>199.47920587220767</v>
      </c>
      <c r="S1302">
        <f t="shared" si="229"/>
        <v>1359.7145323222551</v>
      </c>
      <c r="T1302" s="1">
        <f t="shared" si="230"/>
        <v>-1688.5216584217571</v>
      </c>
    </row>
    <row r="1303" spans="6:20" x14ac:dyDescent="0.35">
      <c r="F1303" s="1">
        <f t="shared" si="226"/>
        <v>25.999999999999535</v>
      </c>
      <c r="G1303">
        <f>1/2*$B$8*$B$6*$B$7*(Tabelle2[[#This Row],[vx]]*Tabelle2[[#This Row],[vx]]+Tabelle2[[#This Row],[vy]]*Tabelle2[[#This Row],[vy]])/1000000</f>
        <v>70.522407229180033</v>
      </c>
      <c r="H1303">
        <f>IF($B$3,-Tabelle2[[#This Row],[Fd]]*Tabelle2[[#This Row],[vx]]/Tabelle2[[#This Row],[v]],0)</f>
        <v>0</v>
      </c>
      <c r="I1303">
        <f t="shared" si="220"/>
        <v>0</v>
      </c>
      <c r="J1303">
        <f t="shared" si="221"/>
        <v>0</v>
      </c>
      <c r="K1303">
        <f t="shared" si="222"/>
        <v>1.0467394398169905</v>
      </c>
      <c r="L1303">
        <f>-$B$5*$B$12-IF($B$3,Tabelle2[[#This Row],[Fd]]*Tabelle2[[#This Row],[vy]]/Tabelle2[[#This Row],[v]],0)</f>
        <v>-14.715</v>
      </c>
      <c r="M1303">
        <f t="shared" si="223"/>
        <v>-9.81</v>
      </c>
      <c r="N1303">
        <f t="shared" si="224"/>
        <v>-0.19620000000000001</v>
      </c>
      <c r="O1303">
        <f t="shared" si="225"/>
        <v>-3.8557065120880969</v>
      </c>
      <c r="P1303" s="1">
        <f t="shared" si="227"/>
        <v>52.336971990849527</v>
      </c>
      <c r="Q1303" s="1">
        <f t="shared" si="228"/>
        <v>-192.68722560440486</v>
      </c>
      <c r="R1303">
        <f>SQRT(Tabelle2[[#This Row],[vx]]*Tabelle2[[#This Row],[vx]]+Tabelle2[[#This Row],[vy]]*Tabelle2[[#This Row],[vy]])</f>
        <v>199.66853920508805</v>
      </c>
      <c r="S1303">
        <f t="shared" si="229"/>
        <v>1360.7612717620721</v>
      </c>
      <c r="T1303" s="1">
        <f t="shared" si="230"/>
        <v>-1692.3734409338451</v>
      </c>
    </row>
    <row r="1304" spans="6:20" x14ac:dyDescent="0.35">
      <c r="F1304" s="1">
        <f t="shared" si="226"/>
        <v>26.019999999999534</v>
      </c>
      <c r="G1304">
        <f>1/2*$B$8*$B$6*$B$7*(Tabelle2[[#This Row],[vx]]*Tabelle2[[#This Row],[vx]]+Tabelle2[[#This Row],[vy]]*Tabelle2[[#This Row],[vy]])/1000000</f>
        <v>70.656224084247867</v>
      </c>
      <c r="H1304">
        <f>IF($B$3,-Tabelle2[[#This Row],[Fd]]*Tabelle2[[#This Row],[vx]]/Tabelle2[[#This Row],[v]],0)</f>
        <v>0</v>
      </c>
      <c r="I1304">
        <f t="shared" si="220"/>
        <v>0</v>
      </c>
      <c r="J1304">
        <f t="shared" si="221"/>
        <v>0</v>
      </c>
      <c r="K1304">
        <f t="shared" si="222"/>
        <v>1.0467394398169905</v>
      </c>
      <c r="L1304">
        <f>-$B$5*$B$12-IF($B$3,Tabelle2[[#This Row],[Fd]]*Tabelle2[[#This Row],[vy]]/Tabelle2[[#This Row],[v]],0)</f>
        <v>-14.715</v>
      </c>
      <c r="M1304">
        <f t="shared" si="223"/>
        <v>-9.81</v>
      </c>
      <c r="N1304">
        <f t="shared" si="224"/>
        <v>-0.19620000000000001</v>
      </c>
      <c r="O1304">
        <f t="shared" si="225"/>
        <v>-3.8596305120880969</v>
      </c>
      <c r="P1304" s="1">
        <f t="shared" si="227"/>
        <v>52.336971990849527</v>
      </c>
      <c r="Q1304" s="1">
        <f t="shared" si="228"/>
        <v>-192.88342560440486</v>
      </c>
      <c r="R1304">
        <f>SQRT(Tabelle2[[#This Row],[vx]]*Tabelle2[[#This Row],[vx]]+Tabelle2[[#This Row],[vy]]*Tabelle2[[#This Row],[vy]])</f>
        <v>199.85788578402642</v>
      </c>
      <c r="S1304">
        <f t="shared" si="229"/>
        <v>1361.808011201889</v>
      </c>
      <c r="T1304" s="1">
        <f t="shared" si="230"/>
        <v>-1696.2291474459332</v>
      </c>
    </row>
    <row r="1305" spans="6:20" x14ac:dyDescent="0.35">
      <c r="F1305" s="1">
        <f t="shared" si="226"/>
        <v>26.039999999999534</v>
      </c>
      <c r="G1305">
        <f>1/2*$B$8*$B$6*$B$7*(Tabelle2[[#This Row],[vx]]*Tabelle2[[#This Row],[vx]]+Tabelle2[[#This Row],[vy]]*Tabelle2[[#This Row],[vy]])/1000000</f>
        <v>70.790177126377046</v>
      </c>
      <c r="H1305">
        <f>IF($B$3,-Tabelle2[[#This Row],[Fd]]*Tabelle2[[#This Row],[vx]]/Tabelle2[[#This Row],[v]],0)</f>
        <v>0</v>
      </c>
      <c r="I1305">
        <f t="shared" si="220"/>
        <v>0</v>
      </c>
      <c r="J1305">
        <f t="shared" si="221"/>
        <v>0</v>
      </c>
      <c r="K1305">
        <f t="shared" si="222"/>
        <v>1.0467394398169905</v>
      </c>
      <c r="L1305">
        <f>-$B$5*$B$12-IF($B$3,Tabelle2[[#This Row],[Fd]]*Tabelle2[[#This Row],[vy]]/Tabelle2[[#This Row],[v]],0)</f>
        <v>-14.715</v>
      </c>
      <c r="M1305">
        <f t="shared" si="223"/>
        <v>-9.81</v>
      </c>
      <c r="N1305">
        <f t="shared" si="224"/>
        <v>-0.19620000000000001</v>
      </c>
      <c r="O1305">
        <f t="shared" si="225"/>
        <v>-3.8635545120880974</v>
      </c>
      <c r="P1305" s="1">
        <f t="shared" si="227"/>
        <v>52.336971990849527</v>
      </c>
      <c r="Q1305" s="1">
        <f t="shared" si="228"/>
        <v>-193.07962560440487</v>
      </c>
      <c r="R1305">
        <f>SQRT(Tabelle2[[#This Row],[vx]]*Tabelle2[[#This Row],[vx]]+Tabelle2[[#This Row],[vy]]*Tabelle2[[#This Row],[vy]])</f>
        <v>200.04724557141029</v>
      </c>
      <c r="S1305">
        <f t="shared" si="229"/>
        <v>1362.854750641706</v>
      </c>
      <c r="T1305" s="1">
        <f t="shared" si="230"/>
        <v>-1700.0887779580214</v>
      </c>
    </row>
    <row r="1306" spans="6:20" x14ac:dyDescent="0.35">
      <c r="F1306" s="1">
        <f t="shared" si="226"/>
        <v>26.059999999999533</v>
      </c>
      <c r="G1306">
        <f>1/2*$B$8*$B$6*$B$7*(Tabelle2[[#This Row],[vx]]*Tabelle2[[#This Row],[vx]]+Tabelle2[[#This Row],[vy]]*Tabelle2[[#This Row],[vy]])/1000000</f>
        <v>70.924266355567553</v>
      </c>
      <c r="H1306">
        <f>IF($B$3,-Tabelle2[[#This Row],[Fd]]*Tabelle2[[#This Row],[vx]]/Tabelle2[[#This Row],[v]],0)</f>
        <v>0</v>
      </c>
      <c r="I1306">
        <f t="shared" si="220"/>
        <v>0</v>
      </c>
      <c r="J1306">
        <f t="shared" si="221"/>
        <v>0</v>
      </c>
      <c r="K1306">
        <f t="shared" si="222"/>
        <v>1.0467394398169905</v>
      </c>
      <c r="L1306">
        <f>-$B$5*$B$12-IF($B$3,Tabelle2[[#This Row],[Fd]]*Tabelle2[[#This Row],[vy]]/Tabelle2[[#This Row],[v]],0)</f>
        <v>-14.715</v>
      </c>
      <c r="M1306">
        <f t="shared" si="223"/>
        <v>-9.81</v>
      </c>
      <c r="N1306">
        <f t="shared" si="224"/>
        <v>-0.19620000000000001</v>
      </c>
      <c r="O1306">
        <f t="shared" si="225"/>
        <v>-3.8674785120880975</v>
      </c>
      <c r="P1306" s="1">
        <f t="shared" si="227"/>
        <v>52.336971990849527</v>
      </c>
      <c r="Q1306" s="1">
        <f t="shared" si="228"/>
        <v>-193.27582560440487</v>
      </c>
      <c r="R1306">
        <f>SQRT(Tabelle2[[#This Row],[vx]]*Tabelle2[[#This Row],[vx]]+Tabelle2[[#This Row],[vy]]*Tabelle2[[#This Row],[vy]])</f>
        <v>200.23661852976667</v>
      </c>
      <c r="S1306">
        <f t="shared" si="229"/>
        <v>1363.901490081523</v>
      </c>
      <c r="T1306" s="1">
        <f t="shared" si="230"/>
        <v>-1703.9523324701095</v>
      </c>
    </row>
    <row r="1307" spans="6:20" x14ac:dyDescent="0.35">
      <c r="F1307" s="1">
        <f t="shared" si="226"/>
        <v>26.079999999999533</v>
      </c>
      <c r="G1307">
        <f>1/2*$B$8*$B$6*$B$7*(Tabelle2[[#This Row],[vx]]*Tabelle2[[#This Row],[vx]]+Tabelle2[[#This Row],[vy]]*Tabelle2[[#This Row],[vy]])/1000000</f>
        <v>71.058491771819433</v>
      </c>
      <c r="H1307">
        <f>IF($B$3,-Tabelle2[[#This Row],[Fd]]*Tabelle2[[#This Row],[vx]]/Tabelle2[[#This Row],[v]],0)</f>
        <v>0</v>
      </c>
      <c r="I1307">
        <f t="shared" si="220"/>
        <v>0</v>
      </c>
      <c r="J1307">
        <f t="shared" si="221"/>
        <v>0</v>
      </c>
      <c r="K1307">
        <f t="shared" si="222"/>
        <v>1.0467394398169905</v>
      </c>
      <c r="L1307">
        <f>-$B$5*$B$12-IF($B$3,Tabelle2[[#This Row],[Fd]]*Tabelle2[[#This Row],[vy]]/Tabelle2[[#This Row],[v]],0)</f>
        <v>-14.715</v>
      </c>
      <c r="M1307">
        <f t="shared" si="223"/>
        <v>-9.81</v>
      </c>
      <c r="N1307">
        <f t="shared" si="224"/>
        <v>-0.19620000000000001</v>
      </c>
      <c r="O1307">
        <f t="shared" si="225"/>
        <v>-3.8714025120880975</v>
      </c>
      <c r="P1307" s="1">
        <f t="shared" si="227"/>
        <v>52.336971990849527</v>
      </c>
      <c r="Q1307" s="1">
        <f t="shared" si="228"/>
        <v>-193.47202560440488</v>
      </c>
      <c r="R1307">
        <f>SQRT(Tabelle2[[#This Row],[vx]]*Tabelle2[[#This Row],[vx]]+Tabelle2[[#This Row],[vy]]*Tabelle2[[#This Row],[vy]])</f>
        <v>200.42600462176176</v>
      </c>
      <c r="S1307">
        <f t="shared" si="229"/>
        <v>1364.94822952134</v>
      </c>
      <c r="T1307" s="1">
        <f t="shared" si="230"/>
        <v>-1707.8198109821976</v>
      </c>
    </row>
    <row r="1308" spans="6:20" x14ac:dyDescent="0.35">
      <c r="F1308" s="1">
        <f t="shared" si="226"/>
        <v>26.099999999999532</v>
      </c>
      <c r="G1308">
        <f>1/2*$B$8*$B$6*$B$7*(Tabelle2[[#This Row],[vx]]*Tabelle2[[#This Row],[vx]]+Tabelle2[[#This Row],[vy]]*Tabelle2[[#This Row],[vy]])/1000000</f>
        <v>71.192853375132628</v>
      </c>
      <c r="H1308">
        <f>IF($B$3,-Tabelle2[[#This Row],[Fd]]*Tabelle2[[#This Row],[vx]]/Tabelle2[[#This Row],[v]],0)</f>
        <v>0</v>
      </c>
      <c r="I1308">
        <f t="shared" si="220"/>
        <v>0</v>
      </c>
      <c r="J1308">
        <f t="shared" si="221"/>
        <v>0</v>
      </c>
      <c r="K1308">
        <f t="shared" si="222"/>
        <v>1.0467394398169905</v>
      </c>
      <c r="L1308">
        <f>-$B$5*$B$12-IF($B$3,Tabelle2[[#This Row],[Fd]]*Tabelle2[[#This Row],[vy]]/Tabelle2[[#This Row],[v]],0)</f>
        <v>-14.715</v>
      </c>
      <c r="M1308">
        <f t="shared" si="223"/>
        <v>-9.81</v>
      </c>
      <c r="N1308">
        <f t="shared" si="224"/>
        <v>-0.19620000000000001</v>
      </c>
      <c r="O1308">
        <f t="shared" si="225"/>
        <v>-3.8753265120880975</v>
      </c>
      <c r="P1308" s="1">
        <f t="shared" si="227"/>
        <v>52.336971990849527</v>
      </c>
      <c r="Q1308" s="1">
        <f t="shared" si="228"/>
        <v>-193.66822560440488</v>
      </c>
      <c r="R1308">
        <f>SQRT(Tabelle2[[#This Row],[vx]]*Tabelle2[[#This Row],[vx]]+Tabelle2[[#This Row],[vy]]*Tabelle2[[#This Row],[vy]])</f>
        <v>200.61540381020006</v>
      </c>
      <c r="S1308">
        <f t="shared" si="229"/>
        <v>1365.9949689611569</v>
      </c>
      <c r="T1308" s="1">
        <f t="shared" si="230"/>
        <v>-1711.6912134942856</v>
      </c>
    </row>
    <row r="1309" spans="6:20" x14ac:dyDescent="0.35">
      <c r="F1309" s="1">
        <f t="shared" si="226"/>
        <v>26.119999999999532</v>
      </c>
      <c r="G1309">
        <f>1/2*$B$8*$B$6*$B$7*(Tabelle2[[#This Row],[vx]]*Tabelle2[[#This Row],[vx]]+Tabelle2[[#This Row],[vy]]*Tabelle2[[#This Row],[vy]])/1000000</f>
        <v>71.327351165507181</v>
      </c>
      <c r="H1309">
        <f>IF($B$3,-Tabelle2[[#This Row],[Fd]]*Tabelle2[[#This Row],[vx]]/Tabelle2[[#This Row],[v]],0)</f>
        <v>0</v>
      </c>
      <c r="I1309">
        <f t="shared" si="220"/>
        <v>0</v>
      </c>
      <c r="J1309">
        <f t="shared" si="221"/>
        <v>0</v>
      </c>
      <c r="K1309">
        <f t="shared" si="222"/>
        <v>1.0467394398169905</v>
      </c>
      <c r="L1309">
        <f>-$B$5*$B$12-IF($B$3,Tabelle2[[#This Row],[Fd]]*Tabelle2[[#This Row],[vy]]/Tabelle2[[#This Row],[v]],0)</f>
        <v>-14.715</v>
      </c>
      <c r="M1309">
        <f t="shared" si="223"/>
        <v>-9.81</v>
      </c>
      <c r="N1309">
        <f t="shared" si="224"/>
        <v>-0.19620000000000001</v>
      </c>
      <c r="O1309">
        <f t="shared" si="225"/>
        <v>-3.8792505120880976</v>
      </c>
      <c r="P1309" s="1">
        <f t="shared" si="227"/>
        <v>52.336971990849527</v>
      </c>
      <c r="Q1309" s="1">
        <f t="shared" si="228"/>
        <v>-193.86442560440489</v>
      </c>
      <c r="R1309">
        <f>SQRT(Tabelle2[[#This Row],[vx]]*Tabelle2[[#This Row],[vx]]+Tabelle2[[#This Row],[vy]]*Tabelle2[[#This Row],[vy]])</f>
        <v>200.80481605802387</v>
      </c>
      <c r="S1309">
        <f t="shared" si="229"/>
        <v>1367.0417084009739</v>
      </c>
      <c r="T1309" s="1">
        <f t="shared" si="230"/>
        <v>-1715.5665400063738</v>
      </c>
    </row>
    <row r="1310" spans="6:20" x14ac:dyDescent="0.35">
      <c r="F1310" s="1">
        <f t="shared" si="226"/>
        <v>26.139999999999532</v>
      </c>
      <c r="G1310">
        <f>1/2*$B$8*$B$6*$B$7*(Tabelle2[[#This Row],[vx]]*Tabelle2[[#This Row],[vx]]+Tabelle2[[#This Row],[vy]]*Tabelle2[[#This Row],[vy]])/1000000</f>
        <v>71.461985142943064</v>
      </c>
      <c r="H1310">
        <f>IF($B$3,-Tabelle2[[#This Row],[Fd]]*Tabelle2[[#This Row],[vx]]/Tabelle2[[#This Row],[v]],0)</f>
        <v>0</v>
      </c>
      <c r="I1310">
        <f t="shared" si="220"/>
        <v>0</v>
      </c>
      <c r="J1310">
        <f t="shared" si="221"/>
        <v>0</v>
      </c>
      <c r="K1310">
        <f t="shared" si="222"/>
        <v>1.0467394398169905</v>
      </c>
      <c r="L1310">
        <f>-$B$5*$B$12-IF($B$3,Tabelle2[[#This Row],[Fd]]*Tabelle2[[#This Row],[vy]]/Tabelle2[[#This Row],[v]],0)</f>
        <v>-14.715</v>
      </c>
      <c r="M1310">
        <f t="shared" si="223"/>
        <v>-9.81</v>
      </c>
      <c r="N1310">
        <f t="shared" si="224"/>
        <v>-0.19620000000000001</v>
      </c>
      <c r="O1310">
        <f t="shared" si="225"/>
        <v>-3.8831745120880976</v>
      </c>
      <c r="P1310" s="1">
        <f t="shared" si="227"/>
        <v>52.336971990849527</v>
      </c>
      <c r="Q1310" s="1">
        <f t="shared" si="228"/>
        <v>-194.06062560440489</v>
      </c>
      <c r="R1310">
        <f>SQRT(Tabelle2[[#This Row],[vx]]*Tabelle2[[#This Row],[vx]]+Tabelle2[[#This Row],[vy]]*Tabelle2[[#This Row],[vy]])</f>
        <v>200.99424132831263</v>
      </c>
      <c r="S1310">
        <f t="shared" si="229"/>
        <v>1368.0884478407909</v>
      </c>
      <c r="T1310" s="1">
        <f t="shared" si="230"/>
        <v>-1719.4457905184618</v>
      </c>
    </row>
    <row r="1311" spans="6:20" x14ac:dyDescent="0.35">
      <c r="F1311" s="1">
        <f t="shared" si="226"/>
        <v>26.159999999999531</v>
      </c>
      <c r="G1311">
        <f>1/2*$B$8*$B$6*$B$7*(Tabelle2[[#This Row],[vx]]*Tabelle2[[#This Row],[vx]]+Tabelle2[[#This Row],[vy]]*Tabelle2[[#This Row],[vy]])/1000000</f>
        <v>71.596755307440304</v>
      </c>
      <c r="H1311">
        <f>IF($B$3,-Tabelle2[[#This Row],[Fd]]*Tabelle2[[#This Row],[vx]]/Tabelle2[[#This Row],[v]],0)</f>
        <v>0</v>
      </c>
      <c r="I1311">
        <f t="shared" si="220"/>
        <v>0</v>
      </c>
      <c r="J1311">
        <f t="shared" si="221"/>
        <v>0</v>
      </c>
      <c r="K1311">
        <f t="shared" si="222"/>
        <v>1.0467394398169905</v>
      </c>
      <c r="L1311">
        <f>-$B$5*$B$12-IF($B$3,Tabelle2[[#This Row],[Fd]]*Tabelle2[[#This Row],[vy]]/Tabelle2[[#This Row],[v]],0)</f>
        <v>-14.715</v>
      </c>
      <c r="M1311">
        <f t="shared" si="223"/>
        <v>-9.81</v>
      </c>
      <c r="N1311">
        <f t="shared" si="224"/>
        <v>-0.19620000000000001</v>
      </c>
      <c r="O1311">
        <f t="shared" si="225"/>
        <v>-3.8870985120880976</v>
      </c>
      <c r="P1311" s="1">
        <f t="shared" si="227"/>
        <v>52.336971990849527</v>
      </c>
      <c r="Q1311" s="1">
        <f t="shared" si="228"/>
        <v>-194.2568256044049</v>
      </c>
      <c r="R1311">
        <f>SQRT(Tabelle2[[#This Row],[vx]]*Tabelle2[[#This Row],[vx]]+Tabelle2[[#This Row],[vy]]*Tabelle2[[#This Row],[vy]])</f>
        <v>201.18367958428226</v>
      </c>
      <c r="S1311">
        <f t="shared" si="229"/>
        <v>1369.1351872806079</v>
      </c>
      <c r="T1311" s="1">
        <f t="shared" si="230"/>
        <v>-1723.3289650305499</v>
      </c>
    </row>
    <row r="1312" spans="6:20" x14ac:dyDescent="0.35">
      <c r="F1312" s="1">
        <f t="shared" si="226"/>
        <v>26.179999999999531</v>
      </c>
      <c r="G1312">
        <f>1/2*$B$8*$B$6*$B$7*(Tabelle2[[#This Row],[vx]]*Tabelle2[[#This Row],[vx]]+Tabelle2[[#This Row],[vy]]*Tabelle2[[#This Row],[vy]])/1000000</f>
        <v>71.731661658998888</v>
      </c>
      <c r="H1312">
        <f>IF($B$3,-Tabelle2[[#This Row],[Fd]]*Tabelle2[[#This Row],[vx]]/Tabelle2[[#This Row],[v]],0)</f>
        <v>0</v>
      </c>
      <c r="I1312">
        <f t="shared" si="220"/>
        <v>0</v>
      </c>
      <c r="J1312">
        <f t="shared" si="221"/>
        <v>0</v>
      </c>
      <c r="K1312">
        <f t="shared" si="222"/>
        <v>1.0467394398169905</v>
      </c>
      <c r="L1312">
        <f>-$B$5*$B$12-IF($B$3,Tabelle2[[#This Row],[Fd]]*Tabelle2[[#This Row],[vy]]/Tabelle2[[#This Row],[v]],0)</f>
        <v>-14.715</v>
      </c>
      <c r="M1312">
        <f t="shared" si="223"/>
        <v>-9.81</v>
      </c>
      <c r="N1312">
        <f t="shared" si="224"/>
        <v>-0.19620000000000001</v>
      </c>
      <c r="O1312">
        <f t="shared" si="225"/>
        <v>-3.8910225120880977</v>
      </c>
      <c r="P1312" s="1">
        <f t="shared" si="227"/>
        <v>52.336971990849527</v>
      </c>
      <c r="Q1312" s="1">
        <f t="shared" si="228"/>
        <v>-194.4530256044049</v>
      </c>
      <c r="R1312">
        <f>SQRT(Tabelle2[[#This Row],[vx]]*Tabelle2[[#This Row],[vx]]+Tabelle2[[#This Row],[vy]]*Tabelle2[[#This Row],[vy]])</f>
        <v>201.37313078928457</v>
      </c>
      <c r="S1312">
        <f t="shared" si="229"/>
        <v>1370.1819267204248</v>
      </c>
      <c r="T1312" s="1">
        <f t="shared" si="230"/>
        <v>-1727.216063542638</v>
      </c>
    </row>
    <row r="1313" spans="6:20" x14ac:dyDescent="0.35">
      <c r="F1313" s="1">
        <f t="shared" si="226"/>
        <v>26.19999999999953</v>
      </c>
      <c r="G1313">
        <f>1/2*$B$8*$B$6*$B$7*(Tabelle2[[#This Row],[vx]]*Tabelle2[[#This Row],[vx]]+Tabelle2[[#This Row],[vy]]*Tabelle2[[#This Row],[vy]])/1000000</f>
        <v>71.866704197618816</v>
      </c>
      <c r="H1313">
        <f>IF($B$3,-Tabelle2[[#This Row],[Fd]]*Tabelle2[[#This Row],[vx]]/Tabelle2[[#This Row],[v]],0)</f>
        <v>0</v>
      </c>
      <c r="I1313">
        <f t="shared" si="220"/>
        <v>0</v>
      </c>
      <c r="J1313">
        <f t="shared" si="221"/>
        <v>0</v>
      </c>
      <c r="K1313">
        <f t="shared" si="222"/>
        <v>1.0467394398169905</v>
      </c>
      <c r="L1313">
        <f>-$B$5*$B$12-IF($B$3,Tabelle2[[#This Row],[Fd]]*Tabelle2[[#This Row],[vy]]/Tabelle2[[#This Row],[v]],0)</f>
        <v>-14.715</v>
      </c>
      <c r="M1313">
        <f t="shared" si="223"/>
        <v>-9.81</v>
      </c>
      <c r="N1313">
        <f t="shared" si="224"/>
        <v>-0.19620000000000001</v>
      </c>
      <c r="O1313">
        <f t="shared" si="225"/>
        <v>-3.8949465120880977</v>
      </c>
      <c r="P1313" s="1">
        <f t="shared" si="227"/>
        <v>52.336971990849527</v>
      </c>
      <c r="Q1313" s="1">
        <f t="shared" si="228"/>
        <v>-194.6492256044049</v>
      </c>
      <c r="R1313">
        <f>SQRT(Tabelle2[[#This Row],[vx]]*Tabelle2[[#This Row],[vx]]+Tabelle2[[#This Row],[vy]]*Tabelle2[[#This Row],[vy]])</f>
        <v>201.56259490680677</v>
      </c>
      <c r="S1313">
        <f t="shared" si="229"/>
        <v>1371.2286661602418</v>
      </c>
      <c r="T1313" s="1">
        <f t="shared" si="230"/>
        <v>-1731.1070860547261</v>
      </c>
    </row>
    <row r="1314" spans="6:20" x14ac:dyDescent="0.35">
      <c r="F1314" s="1">
        <f t="shared" si="226"/>
        <v>26.21999999999953</v>
      </c>
      <c r="G1314">
        <f>1/2*$B$8*$B$6*$B$7*(Tabelle2[[#This Row],[vx]]*Tabelle2[[#This Row],[vx]]+Tabelle2[[#This Row],[vy]]*Tabelle2[[#This Row],[vy]])/1000000</f>
        <v>72.001882923300087</v>
      </c>
      <c r="H1314">
        <f>IF($B$3,-Tabelle2[[#This Row],[Fd]]*Tabelle2[[#This Row],[vx]]/Tabelle2[[#This Row],[v]],0)</f>
        <v>0</v>
      </c>
      <c r="I1314">
        <f t="shared" si="220"/>
        <v>0</v>
      </c>
      <c r="J1314">
        <f t="shared" si="221"/>
        <v>0</v>
      </c>
      <c r="K1314">
        <f t="shared" si="222"/>
        <v>1.0467394398169905</v>
      </c>
      <c r="L1314">
        <f>-$B$5*$B$12-IF($B$3,Tabelle2[[#This Row],[Fd]]*Tabelle2[[#This Row],[vy]]/Tabelle2[[#This Row],[v]],0)</f>
        <v>-14.715</v>
      </c>
      <c r="M1314">
        <f t="shared" si="223"/>
        <v>-9.81</v>
      </c>
      <c r="N1314">
        <f t="shared" si="224"/>
        <v>-0.19620000000000001</v>
      </c>
      <c r="O1314">
        <f t="shared" si="225"/>
        <v>-3.8988705120880982</v>
      </c>
      <c r="P1314" s="1">
        <f t="shared" si="227"/>
        <v>52.336971990849527</v>
      </c>
      <c r="Q1314" s="1">
        <f t="shared" si="228"/>
        <v>-194.84542560440491</v>
      </c>
      <c r="R1314">
        <f>SQRT(Tabelle2[[#This Row],[vx]]*Tabelle2[[#This Row],[vx]]+Tabelle2[[#This Row],[vy]]*Tabelle2[[#This Row],[vy]])</f>
        <v>201.75207190047058</v>
      </c>
      <c r="S1314">
        <f t="shared" si="229"/>
        <v>1372.2754056000588</v>
      </c>
      <c r="T1314" s="1">
        <f t="shared" si="230"/>
        <v>-1735.0020325668143</v>
      </c>
    </row>
    <row r="1315" spans="6:20" x14ac:dyDescent="0.35">
      <c r="F1315" s="1">
        <f t="shared" si="226"/>
        <v>26.239999999999529</v>
      </c>
      <c r="G1315">
        <f>1/2*$B$8*$B$6*$B$7*(Tabelle2[[#This Row],[vx]]*Tabelle2[[#This Row],[vx]]+Tabelle2[[#This Row],[vy]]*Tabelle2[[#This Row],[vy]])/1000000</f>
        <v>72.137197836042716</v>
      </c>
      <c r="H1315">
        <f>IF($B$3,-Tabelle2[[#This Row],[Fd]]*Tabelle2[[#This Row],[vx]]/Tabelle2[[#This Row],[v]],0)</f>
        <v>0</v>
      </c>
      <c r="I1315">
        <f t="shared" si="220"/>
        <v>0</v>
      </c>
      <c r="J1315">
        <f t="shared" si="221"/>
        <v>0</v>
      </c>
      <c r="K1315">
        <f t="shared" si="222"/>
        <v>1.0467394398169905</v>
      </c>
      <c r="L1315">
        <f>-$B$5*$B$12-IF($B$3,Tabelle2[[#This Row],[Fd]]*Tabelle2[[#This Row],[vy]]/Tabelle2[[#This Row],[v]],0)</f>
        <v>-14.715</v>
      </c>
      <c r="M1315">
        <f t="shared" si="223"/>
        <v>-9.81</v>
      </c>
      <c r="N1315">
        <f t="shared" si="224"/>
        <v>-0.19620000000000001</v>
      </c>
      <c r="O1315">
        <f t="shared" si="225"/>
        <v>-3.9027945120880982</v>
      </c>
      <c r="P1315" s="1">
        <f t="shared" si="227"/>
        <v>52.336971990849527</v>
      </c>
      <c r="Q1315" s="1">
        <f t="shared" si="228"/>
        <v>-195.04162560440491</v>
      </c>
      <c r="R1315">
        <f>SQRT(Tabelle2[[#This Row],[vx]]*Tabelle2[[#This Row],[vx]]+Tabelle2[[#This Row],[vy]]*Tabelle2[[#This Row],[vy]])</f>
        <v>201.94156173403195</v>
      </c>
      <c r="S1315">
        <f t="shared" si="229"/>
        <v>1373.3221450398757</v>
      </c>
      <c r="T1315" s="1">
        <f t="shared" si="230"/>
        <v>-1738.9009030789023</v>
      </c>
    </row>
    <row r="1316" spans="6:20" x14ac:dyDescent="0.35">
      <c r="F1316" s="1">
        <f t="shared" si="226"/>
        <v>26.259999999999529</v>
      </c>
      <c r="G1316">
        <f>1/2*$B$8*$B$6*$B$7*(Tabelle2[[#This Row],[vx]]*Tabelle2[[#This Row],[vx]]+Tabelle2[[#This Row],[vy]]*Tabelle2[[#This Row],[vy]])/1000000</f>
        <v>72.272648935846661</v>
      </c>
      <c r="H1316">
        <f>IF($B$3,-Tabelle2[[#This Row],[Fd]]*Tabelle2[[#This Row],[vx]]/Tabelle2[[#This Row],[v]],0)</f>
        <v>0</v>
      </c>
      <c r="I1316">
        <f t="shared" si="220"/>
        <v>0</v>
      </c>
      <c r="J1316">
        <f t="shared" si="221"/>
        <v>0</v>
      </c>
      <c r="K1316">
        <f t="shared" si="222"/>
        <v>1.0467394398169905</v>
      </c>
      <c r="L1316">
        <f>-$B$5*$B$12-IF($B$3,Tabelle2[[#This Row],[Fd]]*Tabelle2[[#This Row],[vy]]/Tabelle2[[#This Row],[v]],0)</f>
        <v>-14.715</v>
      </c>
      <c r="M1316">
        <f t="shared" si="223"/>
        <v>-9.81</v>
      </c>
      <c r="N1316">
        <f t="shared" si="224"/>
        <v>-0.19620000000000001</v>
      </c>
      <c r="O1316">
        <f t="shared" si="225"/>
        <v>-3.9067185120880983</v>
      </c>
      <c r="P1316" s="1">
        <f t="shared" si="227"/>
        <v>52.336971990849527</v>
      </c>
      <c r="Q1316" s="1">
        <f t="shared" si="228"/>
        <v>-195.23782560440492</v>
      </c>
      <c r="R1316">
        <f>SQRT(Tabelle2[[#This Row],[vx]]*Tabelle2[[#This Row],[vx]]+Tabelle2[[#This Row],[vy]]*Tabelle2[[#This Row],[vy]])</f>
        <v>202.13106437138009</v>
      </c>
      <c r="S1316">
        <f t="shared" si="229"/>
        <v>1374.3688844796927</v>
      </c>
      <c r="T1316" s="1">
        <f t="shared" si="230"/>
        <v>-1742.8036975909904</v>
      </c>
    </row>
    <row r="1317" spans="6:20" x14ac:dyDescent="0.35">
      <c r="F1317" s="1">
        <f t="shared" si="226"/>
        <v>26.279999999999529</v>
      </c>
      <c r="G1317">
        <f>1/2*$B$8*$B$6*$B$7*(Tabelle2[[#This Row],[vx]]*Tabelle2[[#This Row],[vx]]+Tabelle2[[#This Row],[vy]]*Tabelle2[[#This Row],[vy]])/1000000</f>
        <v>72.408236222711963</v>
      </c>
      <c r="H1317">
        <f>IF($B$3,-Tabelle2[[#This Row],[Fd]]*Tabelle2[[#This Row],[vx]]/Tabelle2[[#This Row],[v]],0)</f>
        <v>0</v>
      </c>
      <c r="I1317">
        <f t="shared" si="220"/>
        <v>0</v>
      </c>
      <c r="J1317">
        <f t="shared" si="221"/>
        <v>0</v>
      </c>
      <c r="K1317">
        <f t="shared" si="222"/>
        <v>1.0467394398169905</v>
      </c>
      <c r="L1317">
        <f>-$B$5*$B$12-IF($B$3,Tabelle2[[#This Row],[Fd]]*Tabelle2[[#This Row],[vy]]/Tabelle2[[#This Row],[v]],0)</f>
        <v>-14.715</v>
      </c>
      <c r="M1317">
        <f t="shared" si="223"/>
        <v>-9.81</v>
      </c>
      <c r="N1317">
        <f t="shared" si="224"/>
        <v>-0.19620000000000001</v>
      </c>
      <c r="O1317">
        <f t="shared" si="225"/>
        <v>-3.9106425120880983</v>
      </c>
      <c r="P1317" s="1">
        <f t="shared" si="227"/>
        <v>52.336971990849527</v>
      </c>
      <c r="Q1317" s="1">
        <f t="shared" si="228"/>
        <v>-195.43402560440492</v>
      </c>
      <c r="R1317">
        <f>SQRT(Tabelle2[[#This Row],[vx]]*Tabelle2[[#This Row],[vx]]+Tabelle2[[#This Row],[vy]]*Tabelle2[[#This Row],[vy]])</f>
        <v>202.32057977653724</v>
      </c>
      <c r="S1317">
        <f t="shared" si="229"/>
        <v>1375.4156239195097</v>
      </c>
      <c r="T1317" s="1">
        <f t="shared" si="230"/>
        <v>-1746.7104161030784</v>
      </c>
    </row>
    <row r="1318" spans="6:20" x14ac:dyDescent="0.35">
      <c r="F1318" s="1">
        <f t="shared" si="226"/>
        <v>26.299999999999528</v>
      </c>
      <c r="G1318">
        <f>1/2*$B$8*$B$6*$B$7*(Tabelle2[[#This Row],[vx]]*Tabelle2[[#This Row],[vx]]+Tabelle2[[#This Row],[vy]]*Tabelle2[[#This Row],[vy]])/1000000</f>
        <v>72.543959696638609</v>
      </c>
      <c r="H1318">
        <f>IF($B$3,-Tabelle2[[#This Row],[Fd]]*Tabelle2[[#This Row],[vx]]/Tabelle2[[#This Row],[v]],0)</f>
        <v>0</v>
      </c>
      <c r="I1318">
        <f t="shared" si="220"/>
        <v>0</v>
      </c>
      <c r="J1318">
        <f t="shared" si="221"/>
        <v>0</v>
      </c>
      <c r="K1318">
        <f t="shared" si="222"/>
        <v>1.0467394398169905</v>
      </c>
      <c r="L1318">
        <f>-$B$5*$B$12-IF($B$3,Tabelle2[[#This Row],[Fd]]*Tabelle2[[#This Row],[vy]]/Tabelle2[[#This Row],[v]],0)</f>
        <v>-14.715</v>
      </c>
      <c r="M1318">
        <f t="shared" si="223"/>
        <v>-9.81</v>
      </c>
      <c r="N1318">
        <f t="shared" si="224"/>
        <v>-0.19620000000000001</v>
      </c>
      <c r="O1318">
        <f t="shared" si="225"/>
        <v>-3.9145665120880984</v>
      </c>
      <c r="P1318" s="1">
        <f t="shared" si="227"/>
        <v>52.336971990849527</v>
      </c>
      <c r="Q1318" s="1">
        <f t="shared" si="228"/>
        <v>-195.63022560440493</v>
      </c>
      <c r="R1318">
        <f>SQRT(Tabelle2[[#This Row],[vx]]*Tabelle2[[#This Row],[vx]]+Tabelle2[[#This Row],[vy]]*Tabelle2[[#This Row],[vy]])</f>
        <v>202.51010791365783</v>
      </c>
      <c r="S1318">
        <f t="shared" si="229"/>
        <v>1376.4623633593267</v>
      </c>
      <c r="T1318" s="1">
        <f t="shared" si="230"/>
        <v>-1750.6210586151665</v>
      </c>
    </row>
    <row r="1319" spans="6:20" x14ac:dyDescent="0.35">
      <c r="F1319" s="1">
        <f t="shared" si="226"/>
        <v>26.319999999999528</v>
      </c>
      <c r="G1319">
        <f>1/2*$B$8*$B$6*$B$7*(Tabelle2[[#This Row],[vx]]*Tabelle2[[#This Row],[vx]]+Tabelle2[[#This Row],[vy]]*Tabelle2[[#This Row],[vy]])/1000000</f>
        <v>72.679819357626599</v>
      </c>
      <c r="H1319">
        <f>IF($B$3,-Tabelle2[[#This Row],[Fd]]*Tabelle2[[#This Row],[vx]]/Tabelle2[[#This Row],[v]],0)</f>
        <v>0</v>
      </c>
      <c r="I1319">
        <f t="shared" si="220"/>
        <v>0</v>
      </c>
      <c r="J1319">
        <f t="shared" si="221"/>
        <v>0</v>
      </c>
      <c r="K1319">
        <f t="shared" si="222"/>
        <v>1.0467394398169905</v>
      </c>
      <c r="L1319">
        <f>-$B$5*$B$12-IF($B$3,Tabelle2[[#This Row],[Fd]]*Tabelle2[[#This Row],[vy]]/Tabelle2[[#This Row],[v]],0)</f>
        <v>-14.715</v>
      </c>
      <c r="M1319">
        <f t="shared" si="223"/>
        <v>-9.81</v>
      </c>
      <c r="N1319">
        <f t="shared" si="224"/>
        <v>-0.19620000000000001</v>
      </c>
      <c r="O1319">
        <f t="shared" si="225"/>
        <v>-3.9184905120880984</v>
      </c>
      <c r="P1319" s="1">
        <f t="shared" si="227"/>
        <v>52.336971990849527</v>
      </c>
      <c r="Q1319" s="1">
        <f t="shared" si="228"/>
        <v>-195.82642560440493</v>
      </c>
      <c r="R1319">
        <f>SQRT(Tabelle2[[#This Row],[vx]]*Tabelle2[[#This Row],[vx]]+Tabelle2[[#This Row],[vy]]*Tabelle2[[#This Row],[vy]])</f>
        <v>202.69964874702794</v>
      </c>
      <c r="S1319">
        <f t="shared" si="229"/>
        <v>1377.5091027991436</v>
      </c>
      <c r="T1319" s="1">
        <f t="shared" si="230"/>
        <v>-1754.5356251272547</v>
      </c>
    </row>
    <row r="1320" spans="6:20" x14ac:dyDescent="0.35">
      <c r="F1320" s="1">
        <f t="shared" si="226"/>
        <v>26.339999999999527</v>
      </c>
      <c r="G1320">
        <f>1/2*$B$8*$B$6*$B$7*(Tabelle2[[#This Row],[vx]]*Tabelle2[[#This Row],[vx]]+Tabelle2[[#This Row],[vy]]*Tabelle2[[#This Row],[vy]])/1000000</f>
        <v>72.815815205675932</v>
      </c>
      <c r="H1320">
        <f>IF($B$3,-Tabelle2[[#This Row],[Fd]]*Tabelle2[[#This Row],[vx]]/Tabelle2[[#This Row],[v]],0)</f>
        <v>0</v>
      </c>
      <c r="I1320">
        <f t="shared" si="220"/>
        <v>0</v>
      </c>
      <c r="J1320">
        <f t="shared" si="221"/>
        <v>0</v>
      </c>
      <c r="K1320">
        <f t="shared" si="222"/>
        <v>1.0467394398169905</v>
      </c>
      <c r="L1320">
        <f>-$B$5*$B$12-IF($B$3,Tabelle2[[#This Row],[Fd]]*Tabelle2[[#This Row],[vy]]/Tabelle2[[#This Row],[v]],0)</f>
        <v>-14.715</v>
      </c>
      <c r="M1320">
        <f t="shared" si="223"/>
        <v>-9.81</v>
      </c>
      <c r="N1320">
        <f t="shared" si="224"/>
        <v>-0.19620000000000001</v>
      </c>
      <c r="O1320">
        <f t="shared" si="225"/>
        <v>-3.9224145120880984</v>
      </c>
      <c r="P1320" s="1">
        <f t="shared" si="227"/>
        <v>52.336971990849527</v>
      </c>
      <c r="Q1320" s="1">
        <f t="shared" si="228"/>
        <v>-196.02262560440494</v>
      </c>
      <c r="R1320">
        <f>SQRT(Tabelle2[[#This Row],[vx]]*Tabelle2[[#This Row],[vx]]+Tabelle2[[#This Row],[vy]]*Tabelle2[[#This Row],[vy]])</f>
        <v>202.88920224106477</v>
      </c>
      <c r="S1320">
        <f t="shared" si="229"/>
        <v>1378.5558422389606</v>
      </c>
      <c r="T1320" s="1">
        <f t="shared" si="230"/>
        <v>-1758.4541156393427</v>
      </c>
    </row>
    <row r="1321" spans="6:20" x14ac:dyDescent="0.35">
      <c r="F1321" s="1">
        <f t="shared" si="226"/>
        <v>26.359999999999527</v>
      </c>
      <c r="G1321">
        <f>1/2*$B$8*$B$6*$B$7*(Tabelle2[[#This Row],[vx]]*Tabelle2[[#This Row],[vx]]+Tabelle2[[#This Row],[vy]]*Tabelle2[[#This Row],[vy]])/1000000</f>
        <v>72.951947240786609</v>
      </c>
      <c r="H1321">
        <f>IF($B$3,-Tabelle2[[#This Row],[Fd]]*Tabelle2[[#This Row],[vx]]/Tabelle2[[#This Row],[v]],0)</f>
        <v>0</v>
      </c>
      <c r="I1321">
        <f t="shared" si="220"/>
        <v>0</v>
      </c>
      <c r="J1321">
        <f t="shared" si="221"/>
        <v>0</v>
      </c>
      <c r="K1321">
        <f t="shared" si="222"/>
        <v>1.0467394398169905</v>
      </c>
      <c r="L1321">
        <f>-$B$5*$B$12-IF($B$3,Tabelle2[[#This Row],[Fd]]*Tabelle2[[#This Row],[vy]]/Tabelle2[[#This Row],[v]],0)</f>
        <v>-14.715</v>
      </c>
      <c r="M1321">
        <f t="shared" si="223"/>
        <v>-9.81</v>
      </c>
      <c r="N1321">
        <f t="shared" si="224"/>
        <v>-0.19620000000000001</v>
      </c>
      <c r="O1321">
        <f t="shared" si="225"/>
        <v>-3.9263385120880985</v>
      </c>
      <c r="P1321" s="1">
        <f t="shared" si="227"/>
        <v>52.336971990849527</v>
      </c>
      <c r="Q1321" s="1">
        <f t="shared" si="228"/>
        <v>-196.21882560440494</v>
      </c>
      <c r="R1321">
        <f>SQRT(Tabelle2[[#This Row],[vx]]*Tabelle2[[#This Row],[vx]]+Tabelle2[[#This Row],[vy]]*Tabelle2[[#This Row],[vy]])</f>
        <v>203.07876836031593</v>
      </c>
      <c r="S1321">
        <f t="shared" si="229"/>
        <v>1379.6025816787776</v>
      </c>
      <c r="T1321" s="1">
        <f t="shared" si="230"/>
        <v>-1762.3765301514309</v>
      </c>
    </row>
    <row r="1322" spans="6:20" x14ac:dyDescent="0.35">
      <c r="F1322" s="1">
        <f t="shared" si="226"/>
        <v>26.379999999999526</v>
      </c>
      <c r="G1322">
        <f>1/2*$B$8*$B$6*$B$7*(Tabelle2[[#This Row],[vx]]*Tabelle2[[#This Row],[vx]]+Tabelle2[[#This Row],[vy]]*Tabelle2[[#This Row],[vy]])/1000000</f>
        <v>73.08821546295863</v>
      </c>
      <c r="H1322">
        <f>IF($B$3,-Tabelle2[[#This Row],[Fd]]*Tabelle2[[#This Row],[vx]]/Tabelle2[[#This Row],[v]],0)</f>
        <v>0</v>
      </c>
      <c r="I1322">
        <f t="shared" si="220"/>
        <v>0</v>
      </c>
      <c r="J1322">
        <f t="shared" si="221"/>
        <v>0</v>
      </c>
      <c r="K1322">
        <f t="shared" si="222"/>
        <v>1.0467394398169905</v>
      </c>
      <c r="L1322">
        <f>-$B$5*$B$12-IF($B$3,Tabelle2[[#This Row],[Fd]]*Tabelle2[[#This Row],[vy]]/Tabelle2[[#This Row],[v]],0)</f>
        <v>-14.715</v>
      </c>
      <c r="M1322">
        <f t="shared" si="223"/>
        <v>-9.81</v>
      </c>
      <c r="N1322">
        <f t="shared" si="224"/>
        <v>-0.19620000000000001</v>
      </c>
      <c r="O1322">
        <f t="shared" si="225"/>
        <v>-3.930262512088099</v>
      </c>
      <c r="P1322" s="1">
        <f t="shared" si="227"/>
        <v>52.336971990849527</v>
      </c>
      <c r="Q1322" s="1">
        <f t="shared" si="228"/>
        <v>-196.41502560440495</v>
      </c>
      <c r="R1322">
        <f>SQRT(Tabelle2[[#This Row],[vx]]*Tabelle2[[#This Row],[vx]]+Tabelle2[[#This Row],[vy]]*Tabelle2[[#This Row],[vy]])</f>
        <v>203.26834706945894</v>
      </c>
      <c r="S1322">
        <f t="shared" si="229"/>
        <v>1380.6493211185946</v>
      </c>
      <c r="T1322" s="1">
        <f t="shared" si="230"/>
        <v>-1766.3028686635189</v>
      </c>
    </row>
    <row r="1323" spans="6:20" x14ac:dyDescent="0.35">
      <c r="F1323" s="1">
        <f t="shared" si="226"/>
        <v>26.399999999999526</v>
      </c>
      <c r="G1323">
        <f>1/2*$B$8*$B$6*$B$7*(Tabelle2[[#This Row],[vx]]*Tabelle2[[#This Row],[vx]]+Tabelle2[[#This Row],[vy]]*Tabelle2[[#This Row],[vy]])/1000000</f>
        <v>73.224619872192008</v>
      </c>
      <c r="H1323">
        <f>IF($B$3,-Tabelle2[[#This Row],[Fd]]*Tabelle2[[#This Row],[vx]]/Tabelle2[[#This Row],[v]],0)</f>
        <v>0</v>
      </c>
      <c r="I1323">
        <f t="shared" si="220"/>
        <v>0</v>
      </c>
      <c r="J1323">
        <f t="shared" si="221"/>
        <v>0</v>
      </c>
      <c r="K1323">
        <f t="shared" si="222"/>
        <v>1.0467394398169905</v>
      </c>
      <c r="L1323">
        <f>-$B$5*$B$12-IF($B$3,Tabelle2[[#This Row],[Fd]]*Tabelle2[[#This Row],[vy]]/Tabelle2[[#This Row],[v]],0)</f>
        <v>-14.715</v>
      </c>
      <c r="M1323">
        <f t="shared" si="223"/>
        <v>-9.81</v>
      </c>
      <c r="N1323">
        <f t="shared" si="224"/>
        <v>-0.19620000000000001</v>
      </c>
      <c r="O1323">
        <f t="shared" si="225"/>
        <v>-3.934186512088099</v>
      </c>
      <c r="P1323" s="1">
        <f t="shared" si="227"/>
        <v>52.336971990849527</v>
      </c>
      <c r="Q1323" s="1">
        <f t="shared" si="228"/>
        <v>-196.61122560440495</v>
      </c>
      <c r="R1323">
        <f>SQRT(Tabelle2[[#This Row],[vx]]*Tabelle2[[#This Row],[vx]]+Tabelle2[[#This Row],[vy]]*Tabelle2[[#This Row],[vy]])</f>
        <v>203.45793833330072</v>
      </c>
      <c r="S1323">
        <f t="shared" si="229"/>
        <v>1381.6960605584115</v>
      </c>
      <c r="T1323" s="1">
        <f t="shared" si="230"/>
        <v>-1770.233131175607</v>
      </c>
    </row>
    <row r="1324" spans="6:20" x14ac:dyDescent="0.35">
      <c r="F1324" s="1">
        <f t="shared" si="226"/>
        <v>26.419999999999526</v>
      </c>
      <c r="G1324">
        <f>1/2*$B$8*$B$6*$B$7*(Tabelle2[[#This Row],[vx]]*Tabelle2[[#This Row],[vx]]+Tabelle2[[#This Row],[vy]]*Tabelle2[[#This Row],[vy]])/1000000</f>
        <v>73.361160468486716</v>
      </c>
      <c r="H1324">
        <f>IF($B$3,-Tabelle2[[#This Row],[Fd]]*Tabelle2[[#This Row],[vx]]/Tabelle2[[#This Row],[v]],0)</f>
        <v>0</v>
      </c>
      <c r="I1324">
        <f t="shared" si="220"/>
        <v>0</v>
      </c>
      <c r="J1324">
        <f t="shared" si="221"/>
        <v>0</v>
      </c>
      <c r="K1324">
        <f t="shared" si="222"/>
        <v>1.0467394398169905</v>
      </c>
      <c r="L1324">
        <f>-$B$5*$B$12-IF($B$3,Tabelle2[[#This Row],[Fd]]*Tabelle2[[#This Row],[vy]]/Tabelle2[[#This Row],[v]],0)</f>
        <v>-14.715</v>
      </c>
      <c r="M1324">
        <f t="shared" si="223"/>
        <v>-9.81</v>
      </c>
      <c r="N1324">
        <f t="shared" si="224"/>
        <v>-0.19620000000000001</v>
      </c>
      <c r="O1324">
        <f t="shared" si="225"/>
        <v>-3.938110512088099</v>
      </c>
      <c r="P1324" s="1">
        <f t="shared" si="227"/>
        <v>52.336971990849527</v>
      </c>
      <c r="Q1324" s="1">
        <f t="shared" si="228"/>
        <v>-196.80742560440495</v>
      </c>
      <c r="R1324">
        <f>SQRT(Tabelle2[[#This Row],[vx]]*Tabelle2[[#This Row],[vx]]+Tabelle2[[#This Row],[vy]]*Tabelle2[[#This Row],[vy]])</f>
        <v>203.64754211677675</v>
      </c>
      <c r="S1324">
        <f t="shared" si="229"/>
        <v>1382.7427999982285</v>
      </c>
      <c r="T1324" s="1">
        <f t="shared" si="230"/>
        <v>-1774.167317687695</v>
      </c>
    </row>
    <row r="1325" spans="6:20" x14ac:dyDescent="0.35">
      <c r="F1325" s="1">
        <f t="shared" si="226"/>
        <v>26.439999999999525</v>
      </c>
      <c r="G1325">
        <f>1/2*$B$8*$B$6*$B$7*(Tabelle2[[#This Row],[vx]]*Tabelle2[[#This Row],[vx]]+Tabelle2[[#This Row],[vy]]*Tabelle2[[#This Row],[vy]])/1000000</f>
        <v>73.497837251842768</v>
      </c>
      <c r="H1325">
        <f>IF($B$3,-Tabelle2[[#This Row],[Fd]]*Tabelle2[[#This Row],[vx]]/Tabelle2[[#This Row],[v]],0)</f>
        <v>0</v>
      </c>
      <c r="I1325">
        <f t="shared" si="220"/>
        <v>0</v>
      </c>
      <c r="J1325">
        <f t="shared" si="221"/>
        <v>0</v>
      </c>
      <c r="K1325">
        <f t="shared" si="222"/>
        <v>1.0467394398169905</v>
      </c>
      <c r="L1325">
        <f>-$B$5*$B$12-IF($B$3,Tabelle2[[#This Row],[Fd]]*Tabelle2[[#This Row],[vy]]/Tabelle2[[#This Row],[v]],0)</f>
        <v>-14.715</v>
      </c>
      <c r="M1325">
        <f t="shared" si="223"/>
        <v>-9.81</v>
      </c>
      <c r="N1325">
        <f t="shared" si="224"/>
        <v>-0.19620000000000001</v>
      </c>
      <c r="O1325">
        <f t="shared" si="225"/>
        <v>-3.9420345120880991</v>
      </c>
      <c r="P1325" s="1">
        <f t="shared" si="227"/>
        <v>52.336971990849527</v>
      </c>
      <c r="Q1325" s="1">
        <f t="shared" si="228"/>
        <v>-197.00362560440496</v>
      </c>
      <c r="R1325">
        <f>SQRT(Tabelle2[[#This Row],[vx]]*Tabelle2[[#This Row],[vx]]+Tabelle2[[#This Row],[vy]]*Tabelle2[[#This Row],[vy]])</f>
        <v>203.83715838495084</v>
      </c>
      <c r="S1325">
        <f t="shared" si="229"/>
        <v>1383.7895394380455</v>
      </c>
      <c r="T1325" s="1">
        <f t="shared" si="230"/>
        <v>-1778.1054281997831</v>
      </c>
    </row>
    <row r="1326" spans="6:20" x14ac:dyDescent="0.35">
      <c r="F1326" s="1">
        <f t="shared" si="226"/>
        <v>26.459999999999525</v>
      </c>
      <c r="G1326">
        <f>1/2*$B$8*$B$6*$B$7*(Tabelle2[[#This Row],[vx]]*Tabelle2[[#This Row],[vx]]+Tabelle2[[#This Row],[vy]]*Tabelle2[[#This Row],[vy]])/1000000</f>
        <v>73.634650222260163</v>
      </c>
      <c r="H1326">
        <f>IF($B$3,-Tabelle2[[#This Row],[Fd]]*Tabelle2[[#This Row],[vx]]/Tabelle2[[#This Row],[v]],0)</f>
        <v>0</v>
      </c>
      <c r="I1326">
        <f t="shared" si="220"/>
        <v>0</v>
      </c>
      <c r="J1326">
        <f t="shared" si="221"/>
        <v>0</v>
      </c>
      <c r="K1326">
        <f t="shared" si="222"/>
        <v>1.0467394398169905</v>
      </c>
      <c r="L1326">
        <f>-$B$5*$B$12-IF($B$3,Tabelle2[[#This Row],[Fd]]*Tabelle2[[#This Row],[vy]]/Tabelle2[[#This Row],[v]],0)</f>
        <v>-14.715</v>
      </c>
      <c r="M1326">
        <f t="shared" si="223"/>
        <v>-9.81</v>
      </c>
      <c r="N1326">
        <f t="shared" si="224"/>
        <v>-0.19620000000000001</v>
      </c>
      <c r="O1326">
        <f t="shared" si="225"/>
        <v>-3.9459585120880991</v>
      </c>
      <c r="P1326" s="1">
        <f t="shared" si="227"/>
        <v>52.336971990849527</v>
      </c>
      <c r="Q1326" s="1">
        <f t="shared" si="228"/>
        <v>-197.19982560440496</v>
      </c>
      <c r="R1326">
        <f>SQRT(Tabelle2[[#This Row],[vx]]*Tabelle2[[#This Row],[vx]]+Tabelle2[[#This Row],[vy]]*Tabelle2[[#This Row],[vy]])</f>
        <v>204.02678710301424</v>
      </c>
      <c r="S1326">
        <f t="shared" si="229"/>
        <v>1384.8362788778625</v>
      </c>
      <c r="T1326" s="1">
        <f t="shared" si="230"/>
        <v>-1782.0474627118713</v>
      </c>
    </row>
    <row r="1327" spans="6:20" x14ac:dyDescent="0.35">
      <c r="F1327" s="1">
        <f t="shared" si="226"/>
        <v>26.479999999999524</v>
      </c>
      <c r="G1327">
        <f>1/2*$B$8*$B$6*$B$7*(Tabelle2[[#This Row],[vx]]*Tabelle2[[#This Row],[vx]]+Tabelle2[[#This Row],[vy]]*Tabelle2[[#This Row],[vy]])/1000000</f>
        <v>73.771599379738902</v>
      </c>
      <c r="H1327">
        <f>IF($B$3,-Tabelle2[[#This Row],[Fd]]*Tabelle2[[#This Row],[vx]]/Tabelle2[[#This Row],[v]],0)</f>
        <v>0</v>
      </c>
      <c r="I1327">
        <f t="shared" si="220"/>
        <v>0</v>
      </c>
      <c r="J1327">
        <f t="shared" si="221"/>
        <v>0</v>
      </c>
      <c r="K1327">
        <f t="shared" si="222"/>
        <v>1.0467394398169905</v>
      </c>
      <c r="L1327">
        <f>-$B$5*$B$12-IF($B$3,Tabelle2[[#This Row],[Fd]]*Tabelle2[[#This Row],[vy]]/Tabelle2[[#This Row],[v]],0)</f>
        <v>-14.715</v>
      </c>
      <c r="M1327">
        <f t="shared" si="223"/>
        <v>-9.81</v>
      </c>
      <c r="N1327">
        <f t="shared" si="224"/>
        <v>-0.19620000000000001</v>
      </c>
      <c r="O1327">
        <f t="shared" si="225"/>
        <v>-3.9498825120880992</v>
      </c>
      <c r="P1327" s="1">
        <f t="shared" si="227"/>
        <v>52.336971990849527</v>
      </c>
      <c r="Q1327" s="1">
        <f t="shared" si="228"/>
        <v>-197.39602560440497</v>
      </c>
      <c r="R1327">
        <f>SQRT(Tabelle2[[#This Row],[vx]]*Tabelle2[[#This Row],[vx]]+Tabelle2[[#This Row],[vy]]*Tabelle2[[#This Row],[vy]])</f>
        <v>204.21642823628531</v>
      </c>
      <c r="S1327">
        <f t="shared" si="229"/>
        <v>1385.8830183176794</v>
      </c>
      <c r="T1327" s="1">
        <f t="shared" si="230"/>
        <v>-1785.9934212239593</v>
      </c>
    </row>
    <row r="1328" spans="6:20" x14ac:dyDescent="0.35">
      <c r="F1328" s="1">
        <f t="shared" si="226"/>
        <v>26.499999999999524</v>
      </c>
      <c r="G1328">
        <f>1/2*$B$8*$B$6*$B$7*(Tabelle2[[#This Row],[vx]]*Tabelle2[[#This Row],[vx]]+Tabelle2[[#This Row],[vy]]*Tabelle2[[#This Row],[vy]])/1000000</f>
        <v>73.908684724278984</v>
      </c>
      <c r="H1328">
        <f>IF($B$3,-Tabelle2[[#This Row],[Fd]]*Tabelle2[[#This Row],[vx]]/Tabelle2[[#This Row],[v]],0)</f>
        <v>0</v>
      </c>
      <c r="I1328">
        <f t="shared" si="220"/>
        <v>0</v>
      </c>
      <c r="J1328">
        <f t="shared" si="221"/>
        <v>0</v>
      </c>
      <c r="K1328">
        <f t="shared" si="222"/>
        <v>1.0467394398169905</v>
      </c>
      <c r="L1328">
        <f>-$B$5*$B$12-IF($B$3,Tabelle2[[#This Row],[Fd]]*Tabelle2[[#This Row],[vy]]/Tabelle2[[#This Row],[v]],0)</f>
        <v>-14.715</v>
      </c>
      <c r="M1328">
        <f t="shared" si="223"/>
        <v>-9.81</v>
      </c>
      <c r="N1328">
        <f t="shared" si="224"/>
        <v>-0.19620000000000001</v>
      </c>
      <c r="O1328">
        <f t="shared" si="225"/>
        <v>-3.9538065120880992</v>
      </c>
      <c r="P1328" s="1">
        <f t="shared" si="227"/>
        <v>52.336971990849527</v>
      </c>
      <c r="Q1328" s="1">
        <f t="shared" si="228"/>
        <v>-197.59222560440497</v>
      </c>
      <c r="R1328">
        <f>SQRT(Tabelle2[[#This Row],[vx]]*Tabelle2[[#This Row],[vx]]+Tabelle2[[#This Row],[vy]]*Tabelle2[[#This Row],[vy]])</f>
        <v>204.40608175020881</v>
      </c>
      <c r="S1328">
        <f t="shared" si="229"/>
        <v>1386.9297577574964</v>
      </c>
      <c r="T1328" s="1">
        <f t="shared" si="230"/>
        <v>-1789.9433037360475</v>
      </c>
    </row>
    <row r="1329" spans="6:20" x14ac:dyDescent="0.35">
      <c r="F1329" s="1">
        <f t="shared" si="226"/>
        <v>26.519999999999524</v>
      </c>
      <c r="G1329">
        <f>1/2*$B$8*$B$6*$B$7*(Tabelle2[[#This Row],[vx]]*Tabelle2[[#This Row],[vx]]+Tabelle2[[#This Row],[vy]]*Tabelle2[[#This Row],[vy]])/1000000</f>
        <v>74.045906255880425</v>
      </c>
      <c r="H1329">
        <f>IF($B$3,-Tabelle2[[#This Row],[Fd]]*Tabelle2[[#This Row],[vx]]/Tabelle2[[#This Row],[v]],0)</f>
        <v>0</v>
      </c>
      <c r="I1329">
        <f t="shared" si="220"/>
        <v>0</v>
      </c>
      <c r="J1329">
        <f t="shared" si="221"/>
        <v>0</v>
      </c>
      <c r="K1329">
        <f t="shared" si="222"/>
        <v>1.0467394398169905</v>
      </c>
      <c r="L1329">
        <f>-$B$5*$B$12-IF($B$3,Tabelle2[[#This Row],[Fd]]*Tabelle2[[#This Row],[vy]]/Tabelle2[[#This Row],[v]],0)</f>
        <v>-14.715</v>
      </c>
      <c r="M1329">
        <f t="shared" si="223"/>
        <v>-9.81</v>
      </c>
      <c r="N1329">
        <f t="shared" si="224"/>
        <v>-0.19620000000000001</v>
      </c>
      <c r="O1329">
        <f t="shared" si="225"/>
        <v>-3.9577305120880992</v>
      </c>
      <c r="P1329" s="1">
        <f t="shared" si="227"/>
        <v>52.336971990849527</v>
      </c>
      <c r="Q1329" s="1">
        <f t="shared" si="228"/>
        <v>-197.78842560440498</v>
      </c>
      <c r="R1329">
        <f>SQRT(Tabelle2[[#This Row],[vx]]*Tabelle2[[#This Row],[vx]]+Tabelle2[[#This Row],[vy]]*Tabelle2[[#This Row],[vy]])</f>
        <v>204.59574761035532</v>
      </c>
      <c r="S1329">
        <f t="shared" si="229"/>
        <v>1387.9764971973134</v>
      </c>
      <c r="T1329" s="1">
        <f t="shared" si="230"/>
        <v>-1793.8971102481355</v>
      </c>
    </row>
    <row r="1330" spans="6:20" x14ac:dyDescent="0.35">
      <c r="F1330" s="1">
        <f t="shared" si="226"/>
        <v>26.539999999999523</v>
      </c>
      <c r="G1330">
        <f>1/2*$B$8*$B$6*$B$7*(Tabelle2[[#This Row],[vx]]*Tabelle2[[#This Row],[vx]]+Tabelle2[[#This Row],[vy]]*Tabelle2[[#This Row],[vy]])/1000000</f>
        <v>74.183263974543195</v>
      </c>
      <c r="H1330">
        <f>IF($B$3,-Tabelle2[[#This Row],[Fd]]*Tabelle2[[#This Row],[vx]]/Tabelle2[[#This Row],[v]],0)</f>
        <v>0</v>
      </c>
      <c r="I1330">
        <f t="shared" si="220"/>
        <v>0</v>
      </c>
      <c r="J1330">
        <f t="shared" si="221"/>
        <v>0</v>
      </c>
      <c r="K1330">
        <f t="shared" si="222"/>
        <v>1.0467394398169905</v>
      </c>
      <c r="L1330">
        <f>-$B$5*$B$12-IF($B$3,Tabelle2[[#This Row],[Fd]]*Tabelle2[[#This Row],[vy]]/Tabelle2[[#This Row],[v]],0)</f>
        <v>-14.715</v>
      </c>
      <c r="M1330">
        <f t="shared" si="223"/>
        <v>-9.81</v>
      </c>
      <c r="N1330">
        <f t="shared" si="224"/>
        <v>-0.19620000000000001</v>
      </c>
      <c r="O1330">
        <f t="shared" si="225"/>
        <v>-3.9616545120880997</v>
      </c>
      <c r="P1330" s="1">
        <f t="shared" si="227"/>
        <v>52.336971990849527</v>
      </c>
      <c r="Q1330" s="1">
        <f t="shared" si="228"/>
        <v>-197.98462560440498</v>
      </c>
      <c r="R1330">
        <f>SQRT(Tabelle2[[#This Row],[vx]]*Tabelle2[[#This Row],[vx]]+Tabelle2[[#This Row],[vy]]*Tabelle2[[#This Row],[vy]])</f>
        <v>204.78542578242082</v>
      </c>
      <c r="S1330">
        <f t="shared" si="229"/>
        <v>1389.0232366371304</v>
      </c>
      <c r="T1330" s="1">
        <f t="shared" si="230"/>
        <v>-1797.8548407602236</v>
      </c>
    </row>
    <row r="1331" spans="6:20" x14ac:dyDescent="0.35">
      <c r="F1331" s="1">
        <f t="shared" si="226"/>
        <v>26.559999999999523</v>
      </c>
      <c r="G1331">
        <f>1/2*$B$8*$B$6*$B$7*(Tabelle2[[#This Row],[vx]]*Tabelle2[[#This Row],[vx]]+Tabelle2[[#This Row],[vy]]*Tabelle2[[#This Row],[vy]])/1000000</f>
        <v>74.320757880267323</v>
      </c>
      <c r="H1331">
        <f>IF($B$3,-Tabelle2[[#This Row],[Fd]]*Tabelle2[[#This Row],[vx]]/Tabelle2[[#This Row],[v]],0)</f>
        <v>0</v>
      </c>
      <c r="I1331">
        <f t="shared" si="220"/>
        <v>0</v>
      </c>
      <c r="J1331">
        <f t="shared" si="221"/>
        <v>0</v>
      </c>
      <c r="K1331">
        <f t="shared" si="222"/>
        <v>1.0467394398169905</v>
      </c>
      <c r="L1331">
        <f>-$B$5*$B$12-IF($B$3,Tabelle2[[#This Row],[Fd]]*Tabelle2[[#This Row],[vy]]/Tabelle2[[#This Row],[v]],0)</f>
        <v>-14.715</v>
      </c>
      <c r="M1331">
        <f t="shared" si="223"/>
        <v>-9.81</v>
      </c>
      <c r="N1331">
        <f t="shared" si="224"/>
        <v>-0.19620000000000001</v>
      </c>
      <c r="O1331">
        <f t="shared" si="225"/>
        <v>-3.9655785120880997</v>
      </c>
      <c r="P1331" s="1">
        <f t="shared" si="227"/>
        <v>52.336971990849527</v>
      </c>
      <c r="Q1331" s="1">
        <f t="shared" si="228"/>
        <v>-198.18082560440499</v>
      </c>
      <c r="R1331">
        <f>SQRT(Tabelle2[[#This Row],[vx]]*Tabelle2[[#This Row],[vx]]+Tabelle2[[#This Row],[vy]]*Tabelle2[[#This Row],[vy]])</f>
        <v>204.97511623222599</v>
      </c>
      <c r="S1331">
        <f t="shared" si="229"/>
        <v>1390.0699760769473</v>
      </c>
      <c r="T1331" s="1">
        <f t="shared" si="230"/>
        <v>-1801.8164952723116</v>
      </c>
    </row>
    <row r="1332" spans="6:20" x14ac:dyDescent="0.35">
      <c r="F1332" s="1">
        <f t="shared" si="226"/>
        <v>26.579999999999522</v>
      </c>
      <c r="G1332">
        <f>1/2*$B$8*$B$6*$B$7*(Tabelle2[[#This Row],[vx]]*Tabelle2[[#This Row],[vx]]+Tabelle2[[#This Row],[vy]]*Tabelle2[[#This Row],[vy]])/1000000</f>
        <v>74.458387973052766</v>
      </c>
      <c r="H1332">
        <f>IF($B$3,-Tabelle2[[#This Row],[Fd]]*Tabelle2[[#This Row],[vx]]/Tabelle2[[#This Row],[v]],0)</f>
        <v>0</v>
      </c>
      <c r="I1332">
        <f t="shared" si="220"/>
        <v>0</v>
      </c>
      <c r="J1332">
        <f t="shared" si="221"/>
        <v>0</v>
      </c>
      <c r="K1332">
        <f t="shared" si="222"/>
        <v>1.0467394398169905</v>
      </c>
      <c r="L1332">
        <f>-$B$5*$B$12-IF($B$3,Tabelle2[[#This Row],[Fd]]*Tabelle2[[#This Row],[vy]]/Tabelle2[[#This Row],[v]],0)</f>
        <v>-14.715</v>
      </c>
      <c r="M1332">
        <f t="shared" si="223"/>
        <v>-9.81</v>
      </c>
      <c r="N1332">
        <f t="shared" si="224"/>
        <v>-0.19620000000000001</v>
      </c>
      <c r="O1332">
        <f t="shared" si="225"/>
        <v>-3.9695025120880998</v>
      </c>
      <c r="P1332" s="1">
        <f t="shared" si="227"/>
        <v>52.336971990849527</v>
      </c>
      <c r="Q1332" s="1">
        <f t="shared" si="228"/>
        <v>-198.37702560440499</v>
      </c>
      <c r="R1332">
        <f>SQRT(Tabelle2[[#This Row],[vx]]*Tabelle2[[#This Row],[vx]]+Tabelle2[[#This Row],[vy]]*Tabelle2[[#This Row],[vy]])</f>
        <v>205.16481892571574</v>
      </c>
      <c r="S1332">
        <f t="shared" si="229"/>
        <v>1391.1167155167643</v>
      </c>
      <c r="T1332" s="1">
        <f t="shared" si="230"/>
        <v>-1805.7820737843997</v>
      </c>
    </row>
    <row r="1333" spans="6:20" x14ac:dyDescent="0.35">
      <c r="F1333" s="1">
        <f t="shared" si="226"/>
        <v>26.599999999999522</v>
      </c>
      <c r="G1333">
        <f>1/2*$B$8*$B$6*$B$7*(Tabelle2[[#This Row],[vx]]*Tabelle2[[#This Row],[vx]]+Tabelle2[[#This Row],[vy]]*Tabelle2[[#This Row],[vy]])/1000000</f>
        <v>74.596154252899581</v>
      </c>
      <c r="H1333">
        <f>IF($B$3,-Tabelle2[[#This Row],[Fd]]*Tabelle2[[#This Row],[vx]]/Tabelle2[[#This Row],[v]],0)</f>
        <v>0</v>
      </c>
      <c r="I1333">
        <f t="shared" si="220"/>
        <v>0</v>
      </c>
      <c r="J1333">
        <f t="shared" si="221"/>
        <v>0</v>
      </c>
      <c r="K1333">
        <f t="shared" si="222"/>
        <v>1.0467394398169905</v>
      </c>
      <c r="L1333">
        <f>-$B$5*$B$12-IF($B$3,Tabelle2[[#This Row],[Fd]]*Tabelle2[[#This Row],[vy]]/Tabelle2[[#This Row],[v]],0)</f>
        <v>-14.715</v>
      </c>
      <c r="M1333">
        <f t="shared" si="223"/>
        <v>-9.81</v>
      </c>
      <c r="N1333">
        <f t="shared" si="224"/>
        <v>-0.19620000000000001</v>
      </c>
      <c r="O1333">
        <f t="shared" si="225"/>
        <v>-3.9734265120880998</v>
      </c>
      <c r="P1333" s="1">
        <f t="shared" si="227"/>
        <v>52.336971990849527</v>
      </c>
      <c r="Q1333" s="1">
        <f t="shared" si="228"/>
        <v>-198.573225604405</v>
      </c>
      <c r="R1333">
        <f>SQRT(Tabelle2[[#This Row],[vx]]*Tabelle2[[#This Row],[vx]]+Tabelle2[[#This Row],[vy]]*Tabelle2[[#This Row],[vy]])</f>
        <v>205.35453382895858</v>
      </c>
      <c r="S1333">
        <f t="shared" si="229"/>
        <v>1392.1634549565813</v>
      </c>
      <c r="T1333" s="1">
        <f t="shared" si="230"/>
        <v>-1809.7515762964879</v>
      </c>
    </row>
    <row r="1334" spans="6:20" x14ac:dyDescent="0.35">
      <c r="F1334" s="1">
        <f t="shared" si="226"/>
        <v>26.619999999999521</v>
      </c>
      <c r="G1334">
        <f>1/2*$B$8*$B$6*$B$7*(Tabelle2[[#This Row],[vx]]*Tabelle2[[#This Row],[vx]]+Tabelle2[[#This Row],[vy]]*Tabelle2[[#This Row],[vy]])/1000000</f>
        <v>74.734056719807725</v>
      </c>
      <c r="H1334">
        <f>IF($B$3,-Tabelle2[[#This Row],[Fd]]*Tabelle2[[#This Row],[vx]]/Tabelle2[[#This Row],[v]],0)</f>
        <v>0</v>
      </c>
      <c r="I1334">
        <f t="shared" si="220"/>
        <v>0</v>
      </c>
      <c r="J1334">
        <f t="shared" si="221"/>
        <v>0</v>
      </c>
      <c r="K1334">
        <f t="shared" si="222"/>
        <v>1.0467394398169905</v>
      </c>
      <c r="L1334">
        <f>-$B$5*$B$12-IF($B$3,Tabelle2[[#This Row],[Fd]]*Tabelle2[[#This Row],[vy]]/Tabelle2[[#This Row],[v]],0)</f>
        <v>-14.715</v>
      </c>
      <c r="M1334">
        <f t="shared" si="223"/>
        <v>-9.81</v>
      </c>
      <c r="N1334">
        <f t="shared" si="224"/>
        <v>-0.19620000000000001</v>
      </c>
      <c r="O1334">
        <f t="shared" si="225"/>
        <v>-3.9773505120880999</v>
      </c>
      <c r="P1334" s="1">
        <f t="shared" si="227"/>
        <v>52.336971990849527</v>
      </c>
      <c r="Q1334" s="1">
        <f t="shared" si="228"/>
        <v>-198.769425604405</v>
      </c>
      <c r="R1334">
        <f>SQRT(Tabelle2[[#This Row],[vx]]*Tabelle2[[#This Row],[vx]]+Tabelle2[[#This Row],[vy]]*Tabelle2[[#This Row],[vy]])</f>
        <v>205.54426090814616</v>
      </c>
      <c r="S1334">
        <f t="shared" si="229"/>
        <v>1393.2101943963983</v>
      </c>
      <c r="T1334" s="1">
        <f t="shared" si="230"/>
        <v>-1813.7250028085759</v>
      </c>
    </row>
    <row r="1335" spans="6:20" x14ac:dyDescent="0.35">
      <c r="F1335" s="1">
        <f t="shared" si="226"/>
        <v>26.639999999999521</v>
      </c>
      <c r="G1335">
        <f>1/2*$B$8*$B$6*$B$7*(Tabelle2[[#This Row],[vx]]*Tabelle2[[#This Row],[vx]]+Tabelle2[[#This Row],[vy]]*Tabelle2[[#This Row],[vy]])/1000000</f>
        <v>74.872095373777228</v>
      </c>
      <c r="H1335">
        <f>IF($B$3,-Tabelle2[[#This Row],[Fd]]*Tabelle2[[#This Row],[vx]]/Tabelle2[[#This Row],[v]],0)</f>
        <v>0</v>
      </c>
      <c r="I1335">
        <f t="shared" si="220"/>
        <v>0</v>
      </c>
      <c r="J1335">
        <f t="shared" si="221"/>
        <v>0</v>
      </c>
      <c r="K1335">
        <f t="shared" si="222"/>
        <v>1.0467394398169905</v>
      </c>
      <c r="L1335">
        <f>-$B$5*$B$12-IF($B$3,Tabelle2[[#This Row],[Fd]]*Tabelle2[[#This Row],[vy]]/Tabelle2[[#This Row],[v]],0)</f>
        <v>-14.715</v>
      </c>
      <c r="M1335">
        <f t="shared" si="223"/>
        <v>-9.81</v>
      </c>
      <c r="N1335">
        <f t="shared" si="224"/>
        <v>-0.19620000000000001</v>
      </c>
      <c r="O1335">
        <f t="shared" si="225"/>
        <v>-3.9812745120880999</v>
      </c>
      <c r="P1335" s="1">
        <f t="shared" si="227"/>
        <v>52.336971990849527</v>
      </c>
      <c r="Q1335" s="1">
        <f t="shared" si="228"/>
        <v>-198.96562560440501</v>
      </c>
      <c r="R1335">
        <f>SQRT(Tabelle2[[#This Row],[vx]]*Tabelle2[[#This Row],[vx]]+Tabelle2[[#This Row],[vy]]*Tabelle2[[#This Row],[vy]])</f>
        <v>205.73400012959266</v>
      </c>
      <c r="S1335">
        <f t="shared" si="229"/>
        <v>1394.2569338362152</v>
      </c>
      <c r="T1335" s="1">
        <f t="shared" si="230"/>
        <v>-1817.7023533206641</v>
      </c>
    </row>
    <row r="1336" spans="6:20" x14ac:dyDescent="0.35">
      <c r="F1336" s="1">
        <f t="shared" si="226"/>
        <v>26.659999999999521</v>
      </c>
      <c r="G1336">
        <f>1/2*$B$8*$B$6*$B$7*(Tabelle2[[#This Row],[vx]]*Tabelle2[[#This Row],[vx]]+Tabelle2[[#This Row],[vy]]*Tabelle2[[#This Row],[vy]])/1000000</f>
        <v>75.01027021480806</v>
      </c>
      <c r="H1336">
        <f>IF($B$3,-Tabelle2[[#This Row],[Fd]]*Tabelle2[[#This Row],[vx]]/Tabelle2[[#This Row],[v]],0)</f>
        <v>0</v>
      </c>
      <c r="I1336">
        <f t="shared" si="220"/>
        <v>0</v>
      </c>
      <c r="J1336">
        <f t="shared" si="221"/>
        <v>0</v>
      </c>
      <c r="K1336">
        <f t="shared" si="222"/>
        <v>1.0467394398169905</v>
      </c>
      <c r="L1336">
        <f>-$B$5*$B$12-IF($B$3,Tabelle2[[#This Row],[Fd]]*Tabelle2[[#This Row],[vy]]/Tabelle2[[#This Row],[v]],0)</f>
        <v>-14.715</v>
      </c>
      <c r="M1336">
        <f t="shared" si="223"/>
        <v>-9.81</v>
      </c>
      <c r="N1336">
        <f t="shared" si="224"/>
        <v>-0.19620000000000001</v>
      </c>
      <c r="O1336">
        <f t="shared" si="225"/>
        <v>-3.9851985120880999</v>
      </c>
      <c r="P1336" s="1">
        <f t="shared" si="227"/>
        <v>52.336971990849527</v>
      </c>
      <c r="Q1336" s="1">
        <f t="shared" si="228"/>
        <v>-199.16182560440501</v>
      </c>
      <c r="R1336">
        <f>SQRT(Tabelle2[[#This Row],[vx]]*Tabelle2[[#This Row],[vx]]+Tabelle2[[#This Row],[vy]]*Tabelle2[[#This Row],[vy]])</f>
        <v>205.92375145973426</v>
      </c>
      <c r="S1336">
        <f t="shared" si="229"/>
        <v>1395.3036732760322</v>
      </c>
      <c r="T1336" s="1">
        <f t="shared" si="230"/>
        <v>-1821.6836278327521</v>
      </c>
    </row>
    <row r="1337" spans="6:20" x14ac:dyDescent="0.35">
      <c r="F1337" s="1">
        <f t="shared" si="226"/>
        <v>26.67999999999952</v>
      </c>
      <c r="G1337">
        <f>1/2*$B$8*$B$6*$B$7*(Tabelle2[[#This Row],[vx]]*Tabelle2[[#This Row],[vx]]+Tabelle2[[#This Row],[vy]]*Tabelle2[[#This Row],[vy]])/1000000</f>
        <v>75.148581242900235</v>
      </c>
      <c r="H1337">
        <f>IF($B$3,-Tabelle2[[#This Row],[Fd]]*Tabelle2[[#This Row],[vx]]/Tabelle2[[#This Row],[v]],0)</f>
        <v>0</v>
      </c>
      <c r="I1337">
        <f t="shared" si="220"/>
        <v>0</v>
      </c>
      <c r="J1337">
        <f t="shared" si="221"/>
        <v>0</v>
      </c>
      <c r="K1337">
        <f t="shared" si="222"/>
        <v>1.0467394398169905</v>
      </c>
      <c r="L1337">
        <f>-$B$5*$B$12-IF($B$3,Tabelle2[[#This Row],[Fd]]*Tabelle2[[#This Row],[vy]]/Tabelle2[[#This Row],[v]],0)</f>
        <v>-14.715</v>
      </c>
      <c r="M1337">
        <f t="shared" si="223"/>
        <v>-9.81</v>
      </c>
      <c r="N1337">
        <f t="shared" si="224"/>
        <v>-0.19620000000000001</v>
      </c>
      <c r="O1337">
        <f t="shared" si="225"/>
        <v>-3.9891225120881</v>
      </c>
      <c r="P1337" s="1">
        <f t="shared" si="227"/>
        <v>52.336971990849527</v>
      </c>
      <c r="Q1337" s="1">
        <f t="shared" si="228"/>
        <v>-199.35802560440501</v>
      </c>
      <c r="R1337">
        <f>SQRT(Tabelle2[[#This Row],[vx]]*Tabelle2[[#This Row],[vx]]+Tabelle2[[#This Row],[vy]]*Tabelle2[[#This Row],[vy]])</f>
        <v>206.11351486512856</v>
      </c>
      <c r="S1337">
        <f t="shared" si="229"/>
        <v>1396.3504127158492</v>
      </c>
      <c r="T1337" s="1">
        <f t="shared" si="230"/>
        <v>-1825.6688263448402</v>
      </c>
    </row>
    <row r="1338" spans="6:20" x14ac:dyDescent="0.35">
      <c r="F1338" s="1">
        <f t="shared" si="226"/>
        <v>26.69999999999952</v>
      </c>
      <c r="G1338">
        <f>1/2*$B$8*$B$6*$B$7*(Tabelle2[[#This Row],[vx]]*Tabelle2[[#This Row],[vx]]+Tabelle2[[#This Row],[vy]]*Tabelle2[[#This Row],[vy]])/1000000</f>
        <v>75.287028458053783</v>
      </c>
      <c r="H1338">
        <f>IF($B$3,-Tabelle2[[#This Row],[Fd]]*Tabelle2[[#This Row],[vx]]/Tabelle2[[#This Row],[v]],0)</f>
        <v>0</v>
      </c>
      <c r="I1338">
        <f t="shared" si="220"/>
        <v>0</v>
      </c>
      <c r="J1338">
        <f t="shared" si="221"/>
        <v>0</v>
      </c>
      <c r="K1338">
        <f t="shared" si="222"/>
        <v>1.0467394398169905</v>
      </c>
      <c r="L1338">
        <f>-$B$5*$B$12-IF($B$3,Tabelle2[[#This Row],[Fd]]*Tabelle2[[#This Row],[vy]]/Tabelle2[[#This Row],[v]],0)</f>
        <v>-14.715</v>
      </c>
      <c r="M1338">
        <f t="shared" si="223"/>
        <v>-9.81</v>
      </c>
      <c r="N1338">
        <f t="shared" si="224"/>
        <v>-0.19620000000000001</v>
      </c>
      <c r="O1338">
        <f t="shared" si="225"/>
        <v>-3.9930465120881</v>
      </c>
      <c r="P1338" s="1">
        <f t="shared" si="227"/>
        <v>52.336971990849527</v>
      </c>
      <c r="Q1338" s="1">
        <f t="shared" si="228"/>
        <v>-199.55422560440502</v>
      </c>
      <c r="R1338">
        <f>SQRT(Tabelle2[[#This Row],[vx]]*Tabelle2[[#This Row],[vx]]+Tabelle2[[#This Row],[vy]]*Tabelle2[[#This Row],[vy]])</f>
        <v>206.30329031245418</v>
      </c>
      <c r="S1338">
        <f t="shared" si="229"/>
        <v>1397.3971521556662</v>
      </c>
      <c r="T1338" s="1">
        <f t="shared" si="230"/>
        <v>-1829.6579488569282</v>
      </c>
    </row>
    <row r="1339" spans="6:20" x14ac:dyDescent="0.35">
      <c r="F1339" s="1">
        <f t="shared" si="226"/>
        <v>26.719999999999519</v>
      </c>
      <c r="G1339">
        <f>1/2*$B$8*$B$6*$B$7*(Tabelle2[[#This Row],[vx]]*Tabelle2[[#This Row],[vx]]+Tabelle2[[#This Row],[vy]]*Tabelle2[[#This Row],[vy]])/1000000</f>
        <v>75.425611860268631</v>
      </c>
      <c r="H1339">
        <f>IF($B$3,-Tabelle2[[#This Row],[Fd]]*Tabelle2[[#This Row],[vx]]/Tabelle2[[#This Row],[v]],0)</f>
        <v>0</v>
      </c>
      <c r="I1339">
        <f t="shared" si="220"/>
        <v>0</v>
      </c>
      <c r="J1339">
        <f t="shared" si="221"/>
        <v>0</v>
      </c>
      <c r="K1339">
        <f t="shared" si="222"/>
        <v>1.0467394398169905</v>
      </c>
      <c r="L1339">
        <f>-$B$5*$B$12-IF($B$3,Tabelle2[[#This Row],[Fd]]*Tabelle2[[#This Row],[vy]]/Tabelle2[[#This Row],[v]],0)</f>
        <v>-14.715</v>
      </c>
      <c r="M1339">
        <f t="shared" si="223"/>
        <v>-9.81</v>
      </c>
      <c r="N1339">
        <f t="shared" si="224"/>
        <v>-0.19620000000000001</v>
      </c>
      <c r="O1339">
        <f t="shared" si="225"/>
        <v>-3.9969705120881005</v>
      </c>
      <c r="P1339" s="1">
        <f t="shared" si="227"/>
        <v>52.336971990849527</v>
      </c>
      <c r="Q1339" s="1">
        <f t="shared" si="228"/>
        <v>-199.75042560440502</v>
      </c>
      <c r="R1339">
        <f>SQRT(Tabelle2[[#This Row],[vx]]*Tabelle2[[#This Row],[vx]]+Tabelle2[[#This Row],[vy]]*Tabelle2[[#This Row],[vy]])</f>
        <v>206.49307776850998</v>
      </c>
      <c r="S1339">
        <f t="shared" si="229"/>
        <v>1398.4438915954831</v>
      </c>
      <c r="T1339" s="1">
        <f t="shared" si="230"/>
        <v>-1833.6509953690163</v>
      </c>
    </row>
    <row r="1340" spans="6:20" x14ac:dyDescent="0.35">
      <c r="F1340" s="1">
        <f t="shared" si="226"/>
        <v>26.739999999999519</v>
      </c>
      <c r="G1340">
        <f>1/2*$B$8*$B$6*$B$7*(Tabelle2[[#This Row],[vx]]*Tabelle2[[#This Row],[vx]]+Tabelle2[[#This Row],[vy]]*Tabelle2[[#This Row],[vy]])/1000000</f>
        <v>75.564331449544866</v>
      </c>
      <c r="H1340">
        <f>IF($B$3,-Tabelle2[[#This Row],[Fd]]*Tabelle2[[#This Row],[vx]]/Tabelle2[[#This Row],[v]],0)</f>
        <v>0</v>
      </c>
      <c r="I1340">
        <f t="shared" si="220"/>
        <v>0</v>
      </c>
      <c r="J1340">
        <f t="shared" si="221"/>
        <v>0</v>
      </c>
      <c r="K1340">
        <f t="shared" si="222"/>
        <v>1.0467394398169905</v>
      </c>
      <c r="L1340">
        <f>-$B$5*$B$12-IF($B$3,Tabelle2[[#This Row],[Fd]]*Tabelle2[[#This Row],[vy]]/Tabelle2[[#This Row],[v]],0)</f>
        <v>-14.715</v>
      </c>
      <c r="M1340">
        <f t="shared" si="223"/>
        <v>-9.81</v>
      </c>
      <c r="N1340">
        <f t="shared" si="224"/>
        <v>-0.19620000000000001</v>
      </c>
      <c r="O1340">
        <f t="shared" si="225"/>
        <v>-4.0008945120881005</v>
      </c>
      <c r="P1340" s="1">
        <f t="shared" si="227"/>
        <v>52.336971990849527</v>
      </c>
      <c r="Q1340" s="1">
        <f t="shared" si="228"/>
        <v>-199.94662560440503</v>
      </c>
      <c r="R1340">
        <f>SQRT(Tabelle2[[#This Row],[vx]]*Tabelle2[[#This Row],[vx]]+Tabelle2[[#This Row],[vy]]*Tabelle2[[#This Row],[vy]])</f>
        <v>206.68287720021485</v>
      </c>
      <c r="S1340">
        <f t="shared" si="229"/>
        <v>1399.4906310353001</v>
      </c>
      <c r="T1340" s="1">
        <f t="shared" si="230"/>
        <v>-1837.6479658811045</v>
      </c>
    </row>
    <row r="1341" spans="6:20" x14ac:dyDescent="0.35">
      <c r="F1341" s="1">
        <f t="shared" si="226"/>
        <v>26.759999999999518</v>
      </c>
      <c r="G1341">
        <f>1/2*$B$8*$B$6*$B$7*(Tabelle2[[#This Row],[vx]]*Tabelle2[[#This Row],[vx]]+Tabelle2[[#This Row],[vy]]*Tabelle2[[#This Row],[vy]])/1000000</f>
        <v>75.703187225882417</v>
      </c>
      <c r="H1341">
        <f>IF($B$3,-Tabelle2[[#This Row],[Fd]]*Tabelle2[[#This Row],[vx]]/Tabelle2[[#This Row],[v]],0)</f>
        <v>0</v>
      </c>
      <c r="I1341">
        <f t="shared" si="220"/>
        <v>0</v>
      </c>
      <c r="J1341">
        <f t="shared" si="221"/>
        <v>0</v>
      </c>
      <c r="K1341">
        <f t="shared" si="222"/>
        <v>1.0467394398169905</v>
      </c>
      <c r="L1341">
        <f>-$B$5*$B$12-IF($B$3,Tabelle2[[#This Row],[Fd]]*Tabelle2[[#This Row],[vy]]/Tabelle2[[#This Row],[v]],0)</f>
        <v>-14.715</v>
      </c>
      <c r="M1341">
        <f t="shared" si="223"/>
        <v>-9.81</v>
      </c>
      <c r="N1341">
        <f t="shared" si="224"/>
        <v>-0.19620000000000001</v>
      </c>
      <c r="O1341">
        <f t="shared" si="225"/>
        <v>-4.0048185120881001</v>
      </c>
      <c r="P1341" s="1">
        <f t="shared" si="227"/>
        <v>52.336971990849527</v>
      </c>
      <c r="Q1341" s="1">
        <f t="shared" si="228"/>
        <v>-200.14282560440503</v>
      </c>
      <c r="R1341">
        <f>SQRT(Tabelle2[[#This Row],[vx]]*Tabelle2[[#This Row],[vx]]+Tabelle2[[#This Row],[vy]]*Tabelle2[[#This Row],[vy]])</f>
        <v>206.87268857460683</v>
      </c>
      <c r="S1341">
        <f t="shared" si="229"/>
        <v>1400.5373704751171</v>
      </c>
      <c r="T1341" s="1">
        <f t="shared" si="230"/>
        <v>-1841.6488603931925</v>
      </c>
    </row>
    <row r="1342" spans="6:20" x14ac:dyDescent="0.35">
      <c r="F1342" s="1">
        <f t="shared" si="226"/>
        <v>26.779999999999518</v>
      </c>
      <c r="G1342">
        <f>1/2*$B$8*$B$6*$B$7*(Tabelle2[[#This Row],[vx]]*Tabelle2[[#This Row],[vx]]+Tabelle2[[#This Row],[vy]]*Tabelle2[[#This Row],[vy]])/1000000</f>
        <v>75.84217918928131</v>
      </c>
      <c r="H1342">
        <f>IF($B$3,-Tabelle2[[#This Row],[Fd]]*Tabelle2[[#This Row],[vx]]/Tabelle2[[#This Row],[v]],0)</f>
        <v>0</v>
      </c>
      <c r="I1342">
        <f t="shared" si="220"/>
        <v>0</v>
      </c>
      <c r="J1342">
        <f t="shared" si="221"/>
        <v>0</v>
      </c>
      <c r="K1342">
        <f t="shared" si="222"/>
        <v>1.0467394398169905</v>
      </c>
      <c r="L1342">
        <f>-$B$5*$B$12-IF($B$3,Tabelle2[[#This Row],[Fd]]*Tabelle2[[#This Row],[vy]]/Tabelle2[[#This Row],[v]],0)</f>
        <v>-14.715</v>
      </c>
      <c r="M1342">
        <f t="shared" si="223"/>
        <v>-9.81</v>
      </c>
      <c r="N1342">
        <f t="shared" si="224"/>
        <v>-0.19620000000000001</v>
      </c>
      <c r="O1342">
        <f t="shared" si="225"/>
        <v>-4.0087425120881006</v>
      </c>
      <c r="P1342" s="1">
        <f t="shared" si="227"/>
        <v>52.336971990849527</v>
      </c>
      <c r="Q1342" s="1">
        <f t="shared" si="228"/>
        <v>-200.33902560440504</v>
      </c>
      <c r="R1342">
        <f>SQRT(Tabelle2[[#This Row],[vx]]*Tabelle2[[#This Row],[vx]]+Tabelle2[[#This Row],[vy]]*Tabelle2[[#This Row],[vy]])</f>
        <v>207.06251185884284</v>
      </c>
      <c r="S1342">
        <f t="shared" si="229"/>
        <v>1401.5841099149341</v>
      </c>
      <c r="T1342" s="1">
        <f t="shared" si="230"/>
        <v>-1845.6536789052807</v>
      </c>
    </row>
    <row r="1343" spans="6:20" x14ac:dyDescent="0.35">
      <c r="F1343" s="1">
        <f t="shared" si="226"/>
        <v>26.799999999999518</v>
      </c>
      <c r="G1343">
        <f>1/2*$B$8*$B$6*$B$7*(Tabelle2[[#This Row],[vx]]*Tabelle2[[#This Row],[vx]]+Tabelle2[[#This Row],[vy]]*Tabelle2[[#This Row],[vy]])/1000000</f>
        <v>75.981307339741576</v>
      </c>
      <c r="H1343">
        <f>IF($B$3,-Tabelle2[[#This Row],[Fd]]*Tabelle2[[#This Row],[vx]]/Tabelle2[[#This Row],[v]],0)</f>
        <v>0</v>
      </c>
      <c r="I1343">
        <f t="shared" si="220"/>
        <v>0</v>
      </c>
      <c r="J1343">
        <f t="shared" si="221"/>
        <v>0</v>
      </c>
      <c r="K1343">
        <f t="shared" si="222"/>
        <v>1.0467394398169905</v>
      </c>
      <c r="L1343">
        <f>-$B$5*$B$12-IF($B$3,Tabelle2[[#This Row],[Fd]]*Tabelle2[[#This Row],[vy]]/Tabelle2[[#This Row],[v]],0)</f>
        <v>-14.715</v>
      </c>
      <c r="M1343">
        <f t="shared" si="223"/>
        <v>-9.81</v>
      </c>
      <c r="N1343">
        <f t="shared" si="224"/>
        <v>-0.19620000000000001</v>
      </c>
      <c r="O1343">
        <f t="shared" si="225"/>
        <v>-4.0126665120881011</v>
      </c>
      <c r="P1343" s="1">
        <f t="shared" si="227"/>
        <v>52.336971990849527</v>
      </c>
      <c r="Q1343" s="1">
        <f t="shared" si="228"/>
        <v>-200.53522560440504</v>
      </c>
      <c r="R1343">
        <f>SQRT(Tabelle2[[#This Row],[vx]]*Tabelle2[[#This Row],[vx]]+Tabelle2[[#This Row],[vy]]*Tabelle2[[#This Row],[vy]])</f>
        <v>207.25234702019807</v>
      </c>
      <c r="S1343">
        <f t="shared" si="229"/>
        <v>1402.630849354751</v>
      </c>
      <c r="T1343" s="1">
        <f t="shared" si="230"/>
        <v>-1849.6624214173687</v>
      </c>
    </row>
    <row r="1344" spans="6:20" x14ac:dyDescent="0.35">
      <c r="F1344" s="1">
        <f t="shared" si="226"/>
        <v>26.819999999999517</v>
      </c>
      <c r="G1344">
        <f>1/2*$B$8*$B$6*$B$7*(Tabelle2[[#This Row],[vx]]*Tabelle2[[#This Row],[vx]]+Tabelle2[[#This Row],[vy]]*Tabelle2[[#This Row],[vy]])/1000000</f>
        <v>76.120571677263158</v>
      </c>
      <c r="H1344">
        <f>IF($B$3,-Tabelle2[[#This Row],[Fd]]*Tabelle2[[#This Row],[vx]]/Tabelle2[[#This Row],[v]],0)</f>
        <v>0</v>
      </c>
      <c r="I1344">
        <f t="shared" si="220"/>
        <v>0</v>
      </c>
      <c r="J1344">
        <f t="shared" si="221"/>
        <v>0</v>
      </c>
      <c r="K1344">
        <f t="shared" si="222"/>
        <v>1.0467394398169905</v>
      </c>
      <c r="L1344">
        <f>-$B$5*$B$12-IF($B$3,Tabelle2[[#This Row],[Fd]]*Tabelle2[[#This Row],[vy]]/Tabelle2[[#This Row],[v]],0)</f>
        <v>-14.715</v>
      </c>
      <c r="M1344">
        <f t="shared" si="223"/>
        <v>-9.81</v>
      </c>
      <c r="N1344">
        <f t="shared" si="224"/>
        <v>-0.19620000000000001</v>
      </c>
      <c r="O1344">
        <f t="shared" si="225"/>
        <v>-4.0165905120881007</v>
      </c>
      <c r="P1344" s="1">
        <f t="shared" si="227"/>
        <v>52.336971990849527</v>
      </c>
      <c r="Q1344" s="1">
        <f t="shared" si="228"/>
        <v>-200.73142560440505</v>
      </c>
      <c r="R1344">
        <f>SQRT(Tabelle2[[#This Row],[vx]]*Tabelle2[[#This Row],[vx]]+Tabelle2[[#This Row],[vy]]*Tabelle2[[#This Row],[vy]])</f>
        <v>207.44219402606541</v>
      </c>
      <c r="S1344">
        <f t="shared" si="229"/>
        <v>1403.677588794568</v>
      </c>
      <c r="T1344" s="1">
        <f t="shared" si="230"/>
        <v>-1853.6750879294568</v>
      </c>
    </row>
    <row r="1345" spans="6:20" x14ac:dyDescent="0.35">
      <c r="F1345" s="1">
        <f t="shared" si="226"/>
        <v>26.839999999999517</v>
      </c>
      <c r="G1345">
        <f>1/2*$B$8*$B$6*$B$7*(Tabelle2[[#This Row],[vx]]*Tabelle2[[#This Row],[vx]]+Tabelle2[[#This Row],[vy]]*Tabelle2[[#This Row],[vy]])/1000000</f>
        <v>76.259972201846097</v>
      </c>
      <c r="H1345">
        <f>IF($B$3,-Tabelle2[[#This Row],[Fd]]*Tabelle2[[#This Row],[vx]]/Tabelle2[[#This Row],[v]],0)</f>
        <v>0</v>
      </c>
      <c r="I1345">
        <f t="shared" si="220"/>
        <v>0</v>
      </c>
      <c r="J1345">
        <f t="shared" si="221"/>
        <v>0</v>
      </c>
      <c r="K1345">
        <f t="shared" si="222"/>
        <v>1.0467394398169905</v>
      </c>
      <c r="L1345">
        <f>-$B$5*$B$12-IF($B$3,Tabelle2[[#This Row],[Fd]]*Tabelle2[[#This Row],[vy]]/Tabelle2[[#This Row],[v]],0)</f>
        <v>-14.715</v>
      </c>
      <c r="M1345">
        <f t="shared" si="223"/>
        <v>-9.81</v>
      </c>
      <c r="N1345">
        <f t="shared" si="224"/>
        <v>-0.19620000000000001</v>
      </c>
      <c r="O1345">
        <f t="shared" si="225"/>
        <v>-4.0205145120881012</v>
      </c>
      <c r="P1345" s="1">
        <f t="shared" si="227"/>
        <v>52.336971990849527</v>
      </c>
      <c r="Q1345" s="1">
        <f t="shared" si="228"/>
        <v>-200.92762560440505</v>
      </c>
      <c r="R1345">
        <f>SQRT(Tabelle2[[#This Row],[vx]]*Tabelle2[[#This Row],[vx]]+Tabelle2[[#This Row],[vy]]*Tabelle2[[#This Row],[vy]])</f>
        <v>207.63205284395505</v>
      </c>
      <c r="S1345">
        <f t="shared" si="229"/>
        <v>1404.724328234385</v>
      </c>
      <c r="T1345" s="1">
        <f t="shared" si="230"/>
        <v>-1857.6916784415448</v>
      </c>
    </row>
    <row r="1346" spans="6:20" x14ac:dyDescent="0.35">
      <c r="F1346" s="1">
        <f t="shared" si="226"/>
        <v>26.859999999999516</v>
      </c>
      <c r="G1346">
        <f>1/2*$B$8*$B$6*$B$7*(Tabelle2[[#This Row],[vx]]*Tabelle2[[#This Row],[vx]]+Tabelle2[[#This Row],[vy]]*Tabelle2[[#This Row],[vy]])/1000000</f>
        <v>76.399508913490365</v>
      </c>
      <c r="H1346">
        <f>IF($B$3,-Tabelle2[[#This Row],[Fd]]*Tabelle2[[#This Row],[vx]]/Tabelle2[[#This Row],[v]],0)</f>
        <v>0</v>
      </c>
      <c r="I1346">
        <f t="shared" si="220"/>
        <v>0</v>
      </c>
      <c r="J1346">
        <f t="shared" si="221"/>
        <v>0</v>
      </c>
      <c r="K1346">
        <f t="shared" si="222"/>
        <v>1.0467394398169905</v>
      </c>
      <c r="L1346">
        <f>-$B$5*$B$12-IF($B$3,Tabelle2[[#This Row],[Fd]]*Tabelle2[[#This Row],[vy]]/Tabelle2[[#This Row],[v]],0)</f>
        <v>-14.715</v>
      </c>
      <c r="M1346">
        <f t="shared" si="223"/>
        <v>-9.81</v>
      </c>
      <c r="N1346">
        <f t="shared" si="224"/>
        <v>-0.19620000000000001</v>
      </c>
      <c r="O1346">
        <f t="shared" si="225"/>
        <v>-4.0244385120881008</v>
      </c>
      <c r="P1346" s="1">
        <f t="shared" si="227"/>
        <v>52.336971990849527</v>
      </c>
      <c r="Q1346" s="1">
        <f t="shared" si="228"/>
        <v>-201.12382560440506</v>
      </c>
      <c r="R1346">
        <f>SQRT(Tabelle2[[#This Row],[vx]]*Tabelle2[[#This Row],[vx]]+Tabelle2[[#This Row],[vy]]*Tabelle2[[#This Row],[vy]])</f>
        <v>207.82192344149379</v>
      </c>
      <c r="S1346">
        <f t="shared" si="229"/>
        <v>1405.771067674202</v>
      </c>
      <c r="T1346" s="1">
        <f t="shared" si="230"/>
        <v>-1861.7121929536329</v>
      </c>
    </row>
    <row r="1347" spans="6:20" x14ac:dyDescent="0.35">
      <c r="F1347" s="1">
        <f t="shared" si="226"/>
        <v>26.879999999999516</v>
      </c>
      <c r="G1347">
        <f>1/2*$B$8*$B$6*$B$7*(Tabelle2[[#This Row],[vx]]*Tabelle2[[#This Row],[vx]]+Tabelle2[[#This Row],[vy]]*Tabelle2[[#This Row],[vy]])/1000000</f>
        <v>76.539181812196006</v>
      </c>
      <c r="H1347">
        <f>IF($B$3,-Tabelle2[[#This Row],[Fd]]*Tabelle2[[#This Row],[vx]]/Tabelle2[[#This Row],[v]],0)</f>
        <v>0</v>
      </c>
      <c r="I1347">
        <f t="shared" ref="I1347:I1410" si="231">H1347/$B$5</f>
        <v>0</v>
      </c>
      <c r="J1347">
        <f t="shared" ref="J1347:J1410" si="232">I1347*$B$13</f>
        <v>0</v>
      </c>
      <c r="K1347">
        <f t="shared" ref="K1347:K1410" si="233">$B$13*(P1347+J1347/2)</f>
        <v>1.0467394398169905</v>
      </c>
      <c r="L1347">
        <f>-$B$5*$B$12-IF($B$3,Tabelle2[[#This Row],[Fd]]*Tabelle2[[#This Row],[vy]]/Tabelle2[[#This Row],[v]],0)</f>
        <v>-14.715</v>
      </c>
      <c r="M1347">
        <f t="shared" ref="M1347:M1410" si="234">L1347/$B$5</f>
        <v>-9.81</v>
      </c>
      <c r="N1347">
        <f t="shared" ref="N1347:N1410" si="235">M1347*$B$13</f>
        <v>-0.19620000000000001</v>
      </c>
      <c r="O1347">
        <f t="shared" ref="O1347:O1410" si="236">$B$13*(Q1347+N1347/2)</f>
        <v>-4.0283625120881013</v>
      </c>
      <c r="P1347" s="1">
        <f t="shared" si="227"/>
        <v>52.336971990849527</v>
      </c>
      <c r="Q1347" s="1">
        <f t="shared" si="228"/>
        <v>-201.32002560440506</v>
      </c>
      <c r="R1347">
        <f>SQRT(Tabelle2[[#This Row],[vx]]*Tabelle2[[#This Row],[vx]]+Tabelle2[[#This Row],[vy]]*Tabelle2[[#This Row],[vy]])</f>
        <v>208.01180578642473</v>
      </c>
      <c r="S1347">
        <f t="shared" si="229"/>
        <v>1406.8178071140189</v>
      </c>
      <c r="T1347" s="1">
        <f t="shared" si="230"/>
        <v>-1865.7366314657211</v>
      </c>
    </row>
    <row r="1348" spans="6:20" x14ac:dyDescent="0.35">
      <c r="F1348" s="1">
        <f t="shared" ref="F1348:F1411" si="237">F1347+$B$13</f>
        <v>26.899999999999515</v>
      </c>
      <c r="G1348">
        <f>1/2*$B$8*$B$6*$B$7*(Tabelle2[[#This Row],[vx]]*Tabelle2[[#This Row],[vx]]+Tabelle2[[#This Row],[vy]]*Tabelle2[[#This Row],[vy]])/1000000</f>
        <v>76.678990897962962</v>
      </c>
      <c r="H1348">
        <f>IF($B$3,-Tabelle2[[#This Row],[Fd]]*Tabelle2[[#This Row],[vx]]/Tabelle2[[#This Row],[v]],0)</f>
        <v>0</v>
      </c>
      <c r="I1348">
        <f t="shared" si="231"/>
        <v>0</v>
      </c>
      <c r="J1348">
        <f t="shared" si="232"/>
        <v>0</v>
      </c>
      <c r="K1348">
        <f t="shared" si="233"/>
        <v>1.0467394398169905</v>
      </c>
      <c r="L1348">
        <f>-$B$5*$B$12-IF($B$3,Tabelle2[[#This Row],[Fd]]*Tabelle2[[#This Row],[vy]]/Tabelle2[[#This Row],[v]],0)</f>
        <v>-14.715</v>
      </c>
      <c r="M1348">
        <f t="shared" si="234"/>
        <v>-9.81</v>
      </c>
      <c r="N1348">
        <f t="shared" si="235"/>
        <v>-0.19620000000000001</v>
      </c>
      <c r="O1348">
        <f t="shared" si="236"/>
        <v>-4.0322865120881008</v>
      </c>
      <c r="P1348" s="1">
        <f t="shared" ref="P1348:P1411" si="238">P1347+J1347</f>
        <v>52.336971990849527</v>
      </c>
      <c r="Q1348" s="1">
        <f t="shared" ref="Q1348:Q1411" si="239">Q1347+N1347</f>
        <v>-201.51622560440507</v>
      </c>
      <c r="R1348">
        <f>SQRT(Tabelle2[[#This Row],[vx]]*Tabelle2[[#This Row],[vx]]+Tabelle2[[#This Row],[vy]]*Tabelle2[[#This Row],[vy]])</f>
        <v>208.20169984660657</v>
      </c>
      <c r="S1348">
        <f t="shared" ref="S1348:S1411" si="240">S1347+K1347</f>
        <v>1407.8645465538359</v>
      </c>
      <c r="T1348" s="1">
        <f t="shared" ref="T1348:T1411" si="241">T1347+O1347</f>
        <v>-1869.7649939778091</v>
      </c>
    </row>
    <row r="1349" spans="6:20" x14ac:dyDescent="0.35">
      <c r="F1349" s="1">
        <f t="shared" si="237"/>
        <v>26.919999999999515</v>
      </c>
      <c r="G1349">
        <f>1/2*$B$8*$B$6*$B$7*(Tabelle2[[#This Row],[vx]]*Tabelle2[[#This Row],[vx]]+Tabelle2[[#This Row],[vy]]*Tabelle2[[#This Row],[vy]])/1000000</f>
        <v>76.818936170791275</v>
      </c>
      <c r="H1349">
        <f>IF($B$3,-Tabelle2[[#This Row],[Fd]]*Tabelle2[[#This Row],[vx]]/Tabelle2[[#This Row],[v]],0)</f>
        <v>0</v>
      </c>
      <c r="I1349">
        <f t="shared" si="231"/>
        <v>0</v>
      </c>
      <c r="J1349">
        <f t="shared" si="232"/>
        <v>0</v>
      </c>
      <c r="K1349">
        <f t="shared" si="233"/>
        <v>1.0467394398169905</v>
      </c>
      <c r="L1349">
        <f>-$B$5*$B$12-IF($B$3,Tabelle2[[#This Row],[Fd]]*Tabelle2[[#This Row],[vy]]/Tabelle2[[#This Row],[v]],0)</f>
        <v>-14.715</v>
      </c>
      <c r="M1349">
        <f t="shared" si="234"/>
        <v>-9.81</v>
      </c>
      <c r="N1349">
        <f t="shared" si="235"/>
        <v>-0.19620000000000001</v>
      </c>
      <c r="O1349">
        <f t="shared" si="236"/>
        <v>-4.0362105120881013</v>
      </c>
      <c r="P1349" s="1">
        <f t="shared" si="238"/>
        <v>52.336971990849527</v>
      </c>
      <c r="Q1349" s="1">
        <f t="shared" si="239"/>
        <v>-201.71242560440507</v>
      </c>
      <c r="R1349">
        <f>SQRT(Tabelle2[[#This Row],[vx]]*Tabelle2[[#This Row],[vx]]+Tabelle2[[#This Row],[vy]]*Tabelle2[[#This Row],[vy]])</f>
        <v>208.3916055900132</v>
      </c>
      <c r="S1349">
        <f t="shared" si="240"/>
        <v>1408.9112859936529</v>
      </c>
      <c r="T1349" s="1">
        <f t="shared" si="241"/>
        <v>-1873.7972804898973</v>
      </c>
    </row>
    <row r="1350" spans="6:20" x14ac:dyDescent="0.35">
      <c r="F1350" s="1">
        <f t="shared" si="237"/>
        <v>26.939999999999515</v>
      </c>
      <c r="G1350">
        <f>1/2*$B$8*$B$6*$B$7*(Tabelle2[[#This Row],[vx]]*Tabelle2[[#This Row],[vx]]+Tabelle2[[#This Row],[vy]]*Tabelle2[[#This Row],[vy]])/1000000</f>
        <v>76.959017630680918</v>
      </c>
      <c r="H1350">
        <f>IF($B$3,-Tabelle2[[#This Row],[Fd]]*Tabelle2[[#This Row],[vx]]/Tabelle2[[#This Row],[v]],0)</f>
        <v>0</v>
      </c>
      <c r="I1350">
        <f t="shared" si="231"/>
        <v>0</v>
      </c>
      <c r="J1350">
        <f t="shared" si="232"/>
        <v>0</v>
      </c>
      <c r="K1350">
        <f t="shared" si="233"/>
        <v>1.0467394398169905</v>
      </c>
      <c r="L1350">
        <f>-$B$5*$B$12-IF($B$3,Tabelle2[[#This Row],[Fd]]*Tabelle2[[#This Row],[vy]]/Tabelle2[[#This Row],[v]],0)</f>
        <v>-14.715</v>
      </c>
      <c r="M1350">
        <f t="shared" si="234"/>
        <v>-9.81</v>
      </c>
      <c r="N1350">
        <f t="shared" si="235"/>
        <v>-0.19620000000000001</v>
      </c>
      <c r="O1350">
        <f t="shared" si="236"/>
        <v>-4.0401345120881009</v>
      </c>
      <c r="P1350" s="1">
        <f t="shared" si="238"/>
        <v>52.336971990849527</v>
      </c>
      <c r="Q1350" s="1">
        <f t="shared" si="239"/>
        <v>-201.90862560440507</v>
      </c>
      <c r="R1350">
        <f>SQRT(Tabelle2[[#This Row],[vx]]*Tabelle2[[#This Row],[vx]]+Tabelle2[[#This Row],[vy]]*Tabelle2[[#This Row],[vy]])</f>
        <v>208.58152298473323</v>
      </c>
      <c r="S1350">
        <f t="shared" si="240"/>
        <v>1409.9580254334699</v>
      </c>
      <c r="T1350" s="1">
        <f t="shared" si="241"/>
        <v>-1877.8334910019853</v>
      </c>
    </row>
    <row r="1351" spans="6:20" x14ac:dyDescent="0.35">
      <c r="F1351" s="1">
        <f t="shared" si="237"/>
        <v>26.959999999999514</v>
      </c>
      <c r="G1351">
        <f>1/2*$B$8*$B$6*$B$7*(Tabelle2[[#This Row],[vx]]*Tabelle2[[#This Row],[vx]]+Tabelle2[[#This Row],[vy]]*Tabelle2[[#This Row],[vy]])/1000000</f>
        <v>77.099235277631919</v>
      </c>
      <c r="H1351">
        <f>IF($B$3,-Tabelle2[[#This Row],[Fd]]*Tabelle2[[#This Row],[vx]]/Tabelle2[[#This Row],[v]],0)</f>
        <v>0</v>
      </c>
      <c r="I1351">
        <f t="shared" si="231"/>
        <v>0</v>
      </c>
      <c r="J1351">
        <f t="shared" si="232"/>
        <v>0</v>
      </c>
      <c r="K1351">
        <f t="shared" si="233"/>
        <v>1.0467394398169905</v>
      </c>
      <c r="L1351">
        <f>-$B$5*$B$12-IF($B$3,Tabelle2[[#This Row],[Fd]]*Tabelle2[[#This Row],[vy]]/Tabelle2[[#This Row],[v]],0)</f>
        <v>-14.715</v>
      </c>
      <c r="M1351">
        <f t="shared" si="234"/>
        <v>-9.81</v>
      </c>
      <c r="N1351">
        <f t="shared" si="235"/>
        <v>-0.19620000000000001</v>
      </c>
      <c r="O1351">
        <f t="shared" si="236"/>
        <v>-4.0440585120881014</v>
      </c>
      <c r="P1351" s="1">
        <f t="shared" si="238"/>
        <v>52.336971990849527</v>
      </c>
      <c r="Q1351" s="1">
        <f t="shared" si="239"/>
        <v>-202.10482560440508</v>
      </c>
      <c r="R1351">
        <f>SQRT(Tabelle2[[#This Row],[vx]]*Tabelle2[[#This Row],[vx]]+Tabelle2[[#This Row],[vy]]*Tabelle2[[#This Row],[vy]])</f>
        <v>208.77145199896935</v>
      </c>
      <c r="S1351">
        <f t="shared" si="240"/>
        <v>1411.0047648732868</v>
      </c>
      <c r="T1351" s="1">
        <f t="shared" si="241"/>
        <v>-1881.8736255140734</v>
      </c>
    </row>
    <row r="1352" spans="6:20" x14ac:dyDescent="0.35">
      <c r="F1352" s="1">
        <f t="shared" si="237"/>
        <v>26.979999999999514</v>
      </c>
      <c r="G1352">
        <f>1/2*$B$8*$B$6*$B$7*(Tabelle2[[#This Row],[vx]]*Tabelle2[[#This Row],[vx]]+Tabelle2[[#This Row],[vy]]*Tabelle2[[#This Row],[vy]])/1000000</f>
        <v>77.239589111644264</v>
      </c>
      <c r="H1352">
        <f>IF($B$3,-Tabelle2[[#This Row],[Fd]]*Tabelle2[[#This Row],[vx]]/Tabelle2[[#This Row],[v]],0)</f>
        <v>0</v>
      </c>
      <c r="I1352">
        <f t="shared" si="231"/>
        <v>0</v>
      </c>
      <c r="J1352">
        <f t="shared" si="232"/>
        <v>0</v>
      </c>
      <c r="K1352">
        <f t="shared" si="233"/>
        <v>1.0467394398169905</v>
      </c>
      <c r="L1352">
        <f>-$B$5*$B$12-IF($B$3,Tabelle2[[#This Row],[Fd]]*Tabelle2[[#This Row],[vy]]/Tabelle2[[#This Row],[v]],0)</f>
        <v>-14.715</v>
      </c>
      <c r="M1352">
        <f t="shared" si="234"/>
        <v>-9.81</v>
      </c>
      <c r="N1352">
        <f t="shared" si="235"/>
        <v>-0.19620000000000001</v>
      </c>
      <c r="O1352">
        <f t="shared" si="236"/>
        <v>-4.0479825120881019</v>
      </c>
      <c r="P1352" s="1">
        <f t="shared" si="238"/>
        <v>52.336971990849527</v>
      </c>
      <c r="Q1352" s="1">
        <f t="shared" si="239"/>
        <v>-202.30102560440508</v>
      </c>
      <c r="R1352">
        <f>SQRT(Tabelle2[[#This Row],[vx]]*Tabelle2[[#This Row],[vx]]+Tabelle2[[#This Row],[vy]]*Tabelle2[[#This Row],[vy]])</f>
        <v>208.961392601038</v>
      </c>
      <c r="S1352">
        <f t="shared" si="240"/>
        <v>1412.0515043131038</v>
      </c>
      <c r="T1352" s="1">
        <f t="shared" si="241"/>
        <v>-1885.9176840261616</v>
      </c>
    </row>
    <row r="1353" spans="6:20" x14ac:dyDescent="0.35">
      <c r="F1353" s="1">
        <f t="shared" si="237"/>
        <v>26.999999999999513</v>
      </c>
      <c r="G1353">
        <f>1/2*$B$8*$B$6*$B$7*(Tabelle2[[#This Row],[vx]]*Tabelle2[[#This Row],[vx]]+Tabelle2[[#This Row],[vy]]*Tabelle2[[#This Row],[vy]])/1000000</f>
        <v>77.380079132717952</v>
      </c>
      <c r="H1353">
        <f>IF($B$3,-Tabelle2[[#This Row],[Fd]]*Tabelle2[[#This Row],[vx]]/Tabelle2[[#This Row],[v]],0)</f>
        <v>0</v>
      </c>
      <c r="I1353">
        <f t="shared" si="231"/>
        <v>0</v>
      </c>
      <c r="J1353">
        <f t="shared" si="232"/>
        <v>0</v>
      </c>
      <c r="K1353">
        <f t="shared" si="233"/>
        <v>1.0467394398169905</v>
      </c>
      <c r="L1353">
        <f>-$B$5*$B$12-IF($B$3,Tabelle2[[#This Row],[Fd]]*Tabelle2[[#This Row],[vy]]/Tabelle2[[#This Row],[v]],0)</f>
        <v>-14.715</v>
      </c>
      <c r="M1353">
        <f t="shared" si="234"/>
        <v>-9.81</v>
      </c>
      <c r="N1353">
        <f t="shared" si="235"/>
        <v>-0.19620000000000001</v>
      </c>
      <c r="O1353">
        <f t="shared" si="236"/>
        <v>-4.0519065120881015</v>
      </c>
      <c r="P1353" s="1">
        <f t="shared" si="238"/>
        <v>52.336971990849527</v>
      </c>
      <c r="Q1353" s="1">
        <f t="shared" si="239"/>
        <v>-202.49722560440509</v>
      </c>
      <c r="R1353">
        <f>SQRT(Tabelle2[[#This Row],[vx]]*Tabelle2[[#This Row],[vx]]+Tabelle2[[#This Row],[vy]]*Tabelle2[[#This Row],[vy]])</f>
        <v>209.1513447593687</v>
      </c>
      <c r="S1353">
        <f t="shared" si="240"/>
        <v>1413.0982437529208</v>
      </c>
      <c r="T1353" s="1">
        <f t="shared" si="241"/>
        <v>-1889.9656665382497</v>
      </c>
    </row>
    <row r="1354" spans="6:20" x14ac:dyDescent="0.35">
      <c r="F1354" s="1">
        <f t="shared" si="237"/>
        <v>27.019999999999513</v>
      </c>
      <c r="G1354">
        <f>1/2*$B$8*$B$6*$B$7*(Tabelle2[[#This Row],[vx]]*Tabelle2[[#This Row],[vx]]+Tabelle2[[#This Row],[vy]]*Tabelle2[[#This Row],[vy]])/1000000</f>
        <v>77.52070534085297</v>
      </c>
      <c r="H1354">
        <f>IF($B$3,-Tabelle2[[#This Row],[Fd]]*Tabelle2[[#This Row],[vx]]/Tabelle2[[#This Row],[v]],0)</f>
        <v>0</v>
      </c>
      <c r="I1354">
        <f t="shared" si="231"/>
        <v>0</v>
      </c>
      <c r="J1354">
        <f t="shared" si="232"/>
        <v>0</v>
      </c>
      <c r="K1354">
        <f t="shared" si="233"/>
        <v>1.0467394398169905</v>
      </c>
      <c r="L1354">
        <f>-$B$5*$B$12-IF($B$3,Tabelle2[[#This Row],[Fd]]*Tabelle2[[#This Row],[vy]]/Tabelle2[[#This Row],[v]],0)</f>
        <v>-14.715</v>
      </c>
      <c r="M1354">
        <f t="shared" si="234"/>
        <v>-9.81</v>
      </c>
      <c r="N1354">
        <f t="shared" si="235"/>
        <v>-0.19620000000000001</v>
      </c>
      <c r="O1354">
        <f t="shared" si="236"/>
        <v>-4.055830512088102</v>
      </c>
      <c r="P1354" s="1">
        <f t="shared" si="238"/>
        <v>52.336971990849527</v>
      </c>
      <c r="Q1354" s="1">
        <f t="shared" si="239"/>
        <v>-202.69342560440509</v>
      </c>
      <c r="R1354">
        <f>SQRT(Tabelle2[[#This Row],[vx]]*Tabelle2[[#This Row],[vx]]+Tabelle2[[#This Row],[vy]]*Tabelle2[[#This Row],[vy]])</f>
        <v>209.3413084425037</v>
      </c>
      <c r="S1354">
        <f t="shared" si="240"/>
        <v>1414.1449831927378</v>
      </c>
      <c r="T1354" s="1">
        <f t="shared" si="241"/>
        <v>-1894.0175730503379</v>
      </c>
    </row>
    <row r="1355" spans="6:20" x14ac:dyDescent="0.35">
      <c r="F1355" s="1">
        <f t="shared" si="237"/>
        <v>27.039999999999512</v>
      </c>
      <c r="G1355">
        <f>1/2*$B$8*$B$6*$B$7*(Tabelle2[[#This Row],[vx]]*Tabelle2[[#This Row],[vx]]+Tabelle2[[#This Row],[vy]]*Tabelle2[[#This Row],[vy]])/1000000</f>
        <v>77.661467736049346</v>
      </c>
      <c r="H1355">
        <f>IF($B$3,-Tabelle2[[#This Row],[Fd]]*Tabelle2[[#This Row],[vx]]/Tabelle2[[#This Row],[v]],0)</f>
        <v>0</v>
      </c>
      <c r="I1355">
        <f t="shared" si="231"/>
        <v>0</v>
      </c>
      <c r="J1355">
        <f t="shared" si="232"/>
        <v>0</v>
      </c>
      <c r="K1355">
        <f t="shared" si="233"/>
        <v>1.0467394398169905</v>
      </c>
      <c r="L1355">
        <f>-$B$5*$B$12-IF($B$3,Tabelle2[[#This Row],[Fd]]*Tabelle2[[#This Row],[vy]]/Tabelle2[[#This Row],[v]],0)</f>
        <v>-14.715</v>
      </c>
      <c r="M1355">
        <f t="shared" si="234"/>
        <v>-9.81</v>
      </c>
      <c r="N1355">
        <f t="shared" si="235"/>
        <v>-0.19620000000000001</v>
      </c>
      <c r="O1355">
        <f t="shared" si="236"/>
        <v>-4.0597545120881016</v>
      </c>
      <c r="P1355" s="1">
        <f t="shared" si="238"/>
        <v>52.336971990849527</v>
      </c>
      <c r="Q1355" s="1">
        <f t="shared" si="239"/>
        <v>-202.8896256044051</v>
      </c>
      <c r="R1355">
        <f>SQRT(Tabelle2[[#This Row],[vx]]*Tabelle2[[#This Row],[vx]]+Tabelle2[[#This Row],[vy]]*Tabelle2[[#This Row],[vy]])</f>
        <v>209.53128361909742</v>
      </c>
      <c r="S1355">
        <f t="shared" si="240"/>
        <v>1415.1917226325547</v>
      </c>
      <c r="T1355" s="1">
        <f t="shared" si="241"/>
        <v>-1898.0734035624259</v>
      </c>
    </row>
    <row r="1356" spans="6:20" x14ac:dyDescent="0.35">
      <c r="F1356" s="1">
        <f t="shared" si="237"/>
        <v>27.059999999999512</v>
      </c>
      <c r="G1356">
        <f>1/2*$B$8*$B$6*$B$7*(Tabelle2[[#This Row],[vx]]*Tabelle2[[#This Row],[vx]]+Tabelle2[[#This Row],[vy]]*Tabelle2[[#This Row],[vy]])/1000000</f>
        <v>77.802366318307065</v>
      </c>
      <c r="H1356">
        <f>IF($B$3,-Tabelle2[[#This Row],[Fd]]*Tabelle2[[#This Row],[vx]]/Tabelle2[[#This Row],[v]],0)</f>
        <v>0</v>
      </c>
      <c r="I1356">
        <f t="shared" si="231"/>
        <v>0</v>
      </c>
      <c r="J1356">
        <f t="shared" si="232"/>
        <v>0</v>
      </c>
      <c r="K1356">
        <f t="shared" si="233"/>
        <v>1.0467394398169905</v>
      </c>
      <c r="L1356">
        <f>-$B$5*$B$12-IF($B$3,Tabelle2[[#This Row],[Fd]]*Tabelle2[[#This Row],[vy]]/Tabelle2[[#This Row],[v]],0)</f>
        <v>-14.715</v>
      </c>
      <c r="M1356">
        <f t="shared" si="234"/>
        <v>-9.81</v>
      </c>
      <c r="N1356">
        <f t="shared" si="235"/>
        <v>-0.19620000000000001</v>
      </c>
      <c r="O1356">
        <f t="shared" si="236"/>
        <v>-4.063678512088102</v>
      </c>
      <c r="P1356" s="1">
        <f t="shared" si="238"/>
        <v>52.336971990849527</v>
      </c>
      <c r="Q1356" s="1">
        <f t="shared" si="239"/>
        <v>-203.0858256044051</v>
      </c>
      <c r="R1356">
        <f>SQRT(Tabelle2[[#This Row],[vx]]*Tabelle2[[#This Row],[vx]]+Tabelle2[[#This Row],[vy]]*Tabelle2[[#This Row],[vy]])</f>
        <v>209.72127025791593</v>
      </c>
      <c r="S1356">
        <f t="shared" si="240"/>
        <v>1416.2384620723717</v>
      </c>
      <c r="T1356" s="1">
        <f t="shared" si="241"/>
        <v>-1902.1331580745141</v>
      </c>
    </row>
    <row r="1357" spans="6:20" x14ac:dyDescent="0.35">
      <c r="F1357" s="1">
        <f t="shared" si="237"/>
        <v>27.079999999999512</v>
      </c>
      <c r="G1357">
        <f>1/2*$B$8*$B$6*$B$7*(Tabelle2[[#This Row],[vx]]*Tabelle2[[#This Row],[vx]]+Tabelle2[[#This Row],[vy]]*Tabelle2[[#This Row],[vy]])/1000000</f>
        <v>77.943401087626128</v>
      </c>
      <c r="H1357">
        <f>IF($B$3,-Tabelle2[[#This Row],[Fd]]*Tabelle2[[#This Row],[vx]]/Tabelle2[[#This Row],[v]],0)</f>
        <v>0</v>
      </c>
      <c r="I1357">
        <f t="shared" si="231"/>
        <v>0</v>
      </c>
      <c r="J1357">
        <f t="shared" si="232"/>
        <v>0</v>
      </c>
      <c r="K1357">
        <f t="shared" si="233"/>
        <v>1.0467394398169905</v>
      </c>
      <c r="L1357">
        <f>-$B$5*$B$12-IF($B$3,Tabelle2[[#This Row],[Fd]]*Tabelle2[[#This Row],[vy]]/Tabelle2[[#This Row],[v]],0)</f>
        <v>-14.715</v>
      </c>
      <c r="M1357">
        <f t="shared" si="234"/>
        <v>-9.81</v>
      </c>
      <c r="N1357">
        <f t="shared" si="235"/>
        <v>-0.19620000000000001</v>
      </c>
      <c r="O1357">
        <f t="shared" si="236"/>
        <v>-4.0676025120881016</v>
      </c>
      <c r="P1357" s="1">
        <f t="shared" si="238"/>
        <v>52.336971990849527</v>
      </c>
      <c r="Q1357" s="1">
        <f t="shared" si="239"/>
        <v>-203.28202560440511</v>
      </c>
      <c r="R1357">
        <f>SQRT(Tabelle2[[#This Row],[vx]]*Tabelle2[[#This Row],[vx]]+Tabelle2[[#This Row],[vy]]*Tabelle2[[#This Row],[vy]])</f>
        <v>209.91126832783652</v>
      </c>
      <c r="S1357">
        <f t="shared" si="240"/>
        <v>1417.2852015121887</v>
      </c>
      <c r="T1357" s="1">
        <f t="shared" si="241"/>
        <v>-1906.1968365866021</v>
      </c>
    </row>
    <row r="1358" spans="6:20" x14ac:dyDescent="0.35">
      <c r="F1358" s="1">
        <f t="shared" si="237"/>
        <v>27.099999999999511</v>
      </c>
      <c r="G1358">
        <f>1/2*$B$8*$B$6*$B$7*(Tabelle2[[#This Row],[vx]]*Tabelle2[[#This Row],[vx]]+Tabelle2[[#This Row],[vy]]*Tabelle2[[#This Row],[vy]])/1000000</f>
        <v>78.084572044006535</v>
      </c>
      <c r="H1358">
        <f>IF($B$3,-Tabelle2[[#This Row],[Fd]]*Tabelle2[[#This Row],[vx]]/Tabelle2[[#This Row],[v]],0)</f>
        <v>0</v>
      </c>
      <c r="I1358">
        <f t="shared" si="231"/>
        <v>0</v>
      </c>
      <c r="J1358">
        <f t="shared" si="232"/>
        <v>0</v>
      </c>
      <c r="K1358">
        <f t="shared" si="233"/>
        <v>1.0467394398169905</v>
      </c>
      <c r="L1358">
        <f>-$B$5*$B$12-IF($B$3,Tabelle2[[#This Row],[Fd]]*Tabelle2[[#This Row],[vy]]/Tabelle2[[#This Row],[v]],0)</f>
        <v>-14.715</v>
      </c>
      <c r="M1358">
        <f t="shared" si="234"/>
        <v>-9.81</v>
      </c>
      <c r="N1358">
        <f t="shared" si="235"/>
        <v>-0.19620000000000001</v>
      </c>
      <c r="O1358">
        <f t="shared" si="236"/>
        <v>-4.0715265120881021</v>
      </c>
      <c r="P1358" s="1">
        <f t="shared" si="238"/>
        <v>52.336971990849527</v>
      </c>
      <c r="Q1358" s="1">
        <f t="shared" si="239"/>
        <v>-203.47822560440511</v>
      </c>
      <c r="R1358">
        <f>SQRT(Tabelle2[[#This Row],[vx]]*Tabelle2[[#This Row],[vx]]+Tabelle2[[#This Row],[vy]]*Tabelle2[[#This Row],[vy]])</f>
        <v>210.10127779784719</v>
      </c>
      <c r="S1358">
        <f t="shared" si="240"/>
        <v>1418.3319409520057</v>
      </c>
      <c r="T1358" s="1">
        <f t="shared" si="241"/>
        <v>-1910.2644390986902</v>
      </c>
    </row>
    <row r="1359" spans="6:20" x14ac:dyDescent="0.35">
      <c r="F1359" s="1">
        <f t="shared" si="237"/>
        <v>27.119999999999511</v>
      </c>
      <c r="G1359">
        <f>1/2*$B$8*$B$6*$B$7*(Tabelle2[[#This Row],[vx]]*Tabelle2[[#This Row],[vx]]+Tabelle2[[#This Row],[vy]]*Tabelle2[[#This Row],[vy]])/1000000</f>
        <v>78.225879187448271</v>
      </c>
      <c r="H1359">
        <f>IF($B$3,-Tabelle2[[#This Row],[Fd]]*Tabelle2[[#This Row],[vx]]/Tabelle2[[#This Row],[v]],0)</f>
        <v>0</v>
      </c>
      <c r="I1359">
        <f t="shared" si="231"/>
        <v>0</v>
      </c>
      <c r="J1359">
        <f t="shared" si="232"/>
        <v>0</v>
      </c>
      <c r="K1359">
        <f t="shared" si="233"/>
        <v>1.0467394398169905</v>
      </c>
      <c r="L1359">
        <f>-$B$5*$B$12-IF($B$3,Tabelle2[[#This Row],[Fd]]*Tabelle2[[#This Row],[vy]]/Tabelle2[[#This Row],[v]],0)</f>
        <v>-14.715</v>
      </c>
      <c r="M1359">
        <f t="shared" si="234"/>
        <v>-9.81</v>
      </c>
      <c r="N1359">
        <f t="shared" si="235"/>
        <v>-0.19620000000000001</v>
      </c>
      <c r="O1359">
        <f t="shared" si="236"/>
        <v>-4.0754505120881017</v>
      </c>
      <c r="P1359" s="1">
        <f t="shared" si="238"/>
        <v>52.336971990849527</v>
      </c>
      <c r="Q1359" s="1">
        <f t="shared" si="239"/>
        <v>-203.67442560440512</v>
      </c>
      <c r="R1359">
        <f>SQRT(Tabelle2[[#This Row],[vx]]*Tabelle2[[#This Row],[vx]]+Tabelle2[[#This Row],[vy]]*Tabelle2[[#This Row],[vy]])</f>
        <v>210.29129863704614</v>
      </c>
      <c r="S1359">
        <f t="shared" si="240"/>
        <v>1419.3786803918226</v>
      </c>
      <c r="T1359" s="1">
        <f t="shared" si="241"/>
        <v>-1914.3359656107784</v>
      </c>
    </row>
    <row r="1360" spans="6:20" x14ac:dyDescent="0.35">
      <c r="F1360" s="1">
        <f t="shared" si="237"/>
        <v>27.13999999999951</v>
      </c>
      <c r="G1360">
        <f>1/2*$B$8*$B$6*$B$7*(Tabelle2[[#This Row],[vx]]*Tabelle2[[#This Row],[vx]]+Tabelle2[[#This Row],[vy]]*Tabelle2[[#This Row],[vy]])/1000000</f>
        <v>78.367322517951379</v>
      </c>
      <c r="H1360">
        <f>IF($B$3,-Tabelle2[[#This Row],[Fd]]*Tabelle2[[#This Row],[vx]]/Tabelle2[[#This Row],[v]],0)</f>
        <v>0</v>
      </c>
      <c r="I1360">
        <f t="shared" si="231"/>
        <v>0</v>
      </c>
      <c r="J1360">
        <f t="shared" si="232"/>
        <v>0</v>
      </c>
      <c r="K1360">
        <f t="shared" si="233"/>
        <v>1.0467394398169905</v>
      </c>
      <c r="L1360">
        <f>-$B$5*$B$12-IF($B$3,Tabelle2[[#This Row],[Fd]]*Tabelle2[[#This Row],[vy]]/Tabelle2[[#This Row],[v]],0)</f>
        <v>-14.715</v>
      </c>
      <c r="M1360">
        <f t="shared" si="234"/>
        <v>-9.81</v>
      </c>
      <c r="N1360">
        <f t="shared" si="235"/>
        <v>-0.19620000000000001</v>
      </c>
      <c r="O1360">
        <f t="shared" si="236"/>
        <v>-4.0793745120881022</v>
      </c>
      <c r="P1360" s="1">
        <f t="shared" si="238"/>
        <v>52.336971990849527</v>
      </c>
      <c r="Q1360" s="1">
        <f t="shared" si="239"/>
        <v>-203.87062560440512</v>
      </c>
      <c r="R1360">
        <f>SQRT(Tabelle2[[#This Row],[vx]]*Tabelle2[[#This Row],[vx]]+Tabelle2[[#This Row],[vy]]*Tabelle2[[#This Row],[vy]])</f>
        <v>210.48133081464138</v>
      </c>
      <c r="S1360">
        <f t="shared" si="240"/>
        <v>1420.4254198316396</v>
      </c>
      <c r="T1360" s="1">
        <f t="shared" si="241"/>
        <v>-1918.4114161228665</v>
      </c>
    </row>
    <row r="1361" spans="6:20" x14ac:dyDescent="0.35">
      <c r="F1361" s="1">
        <f t="shared" si="237"/>
        <v>27.15999999999951</v>
      </c>
      <c r="G1361">
        <f>1/2*$B$8*$B$6*$B$7*(Tabelle2[[#This Row],[vx]]*Tabelle2[[#This Row],[vx]]+Tabelle2[[#This Row],[vy]]*Tabelle2[[#This Row],[vy]])/1000000</f>
        <v>78.508902035515817</v>
      </c>
      <c r="H1361">
        <f>IF($B$3,-Tabelle2[[#This Row],[Fd]]*Tabelle2[[#This Row],[vx]]/Tabelle2[[#This Row],[v]],0)</f>
        <v>0</v>
      </c>
      <c r="I1361">
        <f t="shared" si="231"/>
        <v>0</v>
      </c>
      <c r="J1361">
        <f t="shared" si="232"/>
        <v>0</v>
      </c>
      <c r="K1361">
        <f t="shared" si="233"/>
        <v>1.0467394398169905</v>
      </c>
      <c r="L1361">
        <f>-$B$5*$B$12-IF($B$3,Tabelle2[[#This Row],[Fd]]*Tabelle2[[#This Row],[vy]]/Tabelle2[[#This Row],[v]],0)</f>
        <v>-14.715</v>
      </c>
      <c r="M1361">
        <f t="shared" si="234"/>
        <v>-9.81</v>
      </c>
      <c r="N1361">
        <f t="shared" si="235"/>
        <v>-0.19620000000000001</v>
      </c>
      <c r="O1361">
        <f t="shared" si="236"/>
        <v>-4.0832985120881027</v>
      </c>
      <c r="P1361" s="1">
        <f t="shared" si="238"/>
        <v>52.336971990849527</v>
      </c>
      <c r="Q1361" s="1">
        <f t="shared" si="239"/>
        <v>-204.06682560440512</v>
      </c>
      <c r="R1361">
        <f>SQRT(Tabelle2[[#This Row],[vx]]*Tabelle2[[#This Row],[vx]]+Tabelle2[[#This Row],[vy]]*Tabelle2[[#This Row],[vy]])</f>
        <v>210.67137429995006</v>
      </c>
      <c r="S1361">
        <f t="shared" si="240"/>
        <v>1421.4721592714566</v>
      </c>
      <c r="T1361" s="1">
        <f t="shared" si="241"/>
        <v>-1922.4907906349547</v>
      </c>
    </row>
    <row r="1362" spans="6:20" x14ac:dyDescent="0.35">
      <c r="F1362" s="1">
        <f t="shared" si="237"/>
        <v>27.179999999999509</v>
      </c>
      <c r="G1362">
        <f>1/2*$B$8*$B$6*$B$7*(Tabelle2[[#This Row],[vx]]*Tabelle2[[#This Row],[vx]]+Tabelle2[[#This Row],[vy]]*Tabelle2[[#This Row],[vy]])/1000000</f>
        <v>78.650617740141598</v>
      </c>
      <c r="H1362">
        <f>IF($B$3,-Tabelle2[[#This Row],[Fd]]*Tabelle2[[#This Row],[vx]]/Tabelle2[[#This Row],[v]],0)</f>
        <v>0</v>
      </c>
      <c r="I1362">
        <f t="shared" si="231"/>
        <v>0</v>
      </c>
      <c r="J1362">
        <f t="shared" si="232"/>
        <v>0</v>
      </c>
      <c r="K1362">
        <f t="shared" si="233"/>
        <v>1.0467394398169905</v>
      </c>
      <c r="L1362">
        <f>-$B$5*$B$12-IF($B$3,Tabelle2[[#This Row],[Fd]]*Tabelle2[[#This Row],[vy]]/Tabelle2[[#This Row],[v]],0)</f>
        <v>-14.715</v>
      </c>
      <c r="M1362">
        <f t="shared" si="234"/>
        <v>-9.81</v>
      </c>
      <c r="N1362">
        <f t="shared" si="235"/>
        <v>-0.19620000000000001</v>
      </c>
      <c r="O1362">
        <f t="shared" si="236"/>
        <v>-4.0872225120881023</v>
      </c>
      <c r="P1362" s="1">
        <f t="shared" si="238"/>
        <v>52.336971990849527</v>
      </c>
      <c r="Q1362" s="1">
        <f t="shared" si="239"/>
        <v>-204.26302560440513</v>
      </c>
      <c r="R1362">
        <f>SQRT(Tabelle2[[#This Row],[vx]]*Tabelle2[[#This Row],[vx]]+Tabelle2[[#This Row],[vy]]*Tabelle2[[#This Row],[vy]])</f>
        <v>210.86142906239832</v>
      </c>
      <c r="S1362">
        <f t="shared" si="240"/>
        <v>1422.5188987112736</v>
      </c>
      <c r="T1362" s="1">
        <f t="shared" si="241"/>
        <v>-1926.5740891470427</v>
      </c>
    </row>
    <row r="1363" spans="6:20" x14ac:dyDescent="0.35">
      <c r="F1363" s="1">
        <f t="shared" si="237"/>
        <v>27.199999999999509</v>
      </c>
      <c r="G1363">
        <f>1/2*$B$8*$B$6*$B$7*(Tabelle2[[#This Row],[vx]]*Tabelle2[[#This Row],[vx]]+Tabelle2[[#This Row],[vy]]*Tabelle2[[#This Row],[vy]])/1000000</f>
        <v>78.792469631828723</v>
      </c>
      <c r="H1363">
        <f>IF($B$3,-Tabelle2[[#This Row],[Fd]]*Tabelle2[[#This Row],[vx]]/Tabelle2[[#This Row],[v]],0)</f>
        <v>0</v>
      </c>
      <c r="I1363">
        <f t="shared" si="231"/>
        <v>0</v>
      </c>
      <c r="J1363">
        <f t="shared" si="232"/>
        <v>0</v>
      </c>
      <c r="K1363">
        <f t="shared" si="233"/>
        <v>1.0467394398169905</v>
      </c>
      <c r="L1363">
        <f>-$B$5*$B$12-IF($B$3,Tabelle2[[#This Row],[Fd]]*Tabelle2[[#This Row],[vy]]/Tabelle2[[#This Row],[v]],0)</f>
        <v>-14.715</v>
      </c>
      <c r="M1363">
        <f t="shared" si="234"/>
        <v>-9.81</v>
      </c>
      <c r="N1363">
        <f t="shared" si="235"/>
        <v>-0.19620000000000001</v>
      </c>
      <c r="O1363">
        <f t="shared" si="236"/>
        <v>-4.0911465120881028</v>
      </c>
      <c r="P1363" s="1">
        <f t="shared" si="238"/>
        <v>52.336971990849527</v>
      </c>
      <c r="Q1363" s="1">
        <f t="shared" si="239"/>
        <v>-204.45922560440513</v>
      </c>
      <c r="R1363">
        <f>SQRT(Tabelle2[[#This Row],[vx]]*Tabelle2[[#This Row],[vx]]+Tabelle2[[#This Row],[vy]]*Tabelle2[[#This Row],[vy]])</f>
        <v>211.05149507152041</v>
      </c>
      <c r="S1363">
        <f t="shared" si="240"/>
        <v>1423.5656381510905</v>
      </c>
      <c r="T1363" s="1">
        <f t="shared" si="241"/>
        <v>-1930.6613116591309</v>
      </c>
    </row>
    <row r="1364" spans="6:20" x14ac:dyDescent="0.35">
      <c r="F1364" s="1">
        <f t="shared" si="237"/>
        <v>27.219999999999509</v>
      </c>
      <c r="G1364">
        <f>1/2*$B$8*$B$6*$B$7*(Tabelle2[[#This Row],[vx]]*Tabelle2[[#This Row],[vx]]+Tabelle2[[#This Row],[vy]]*Tabelle2[[#This Row],[vy]])/1000000</f>
        <v>78.934457710577192</v>
      </c>
      <c r="H1364">
        <f>IF($B$3,-Tabelle2[[#This Row],[Fd]]*Tabelle2[[#This Row],[vx]]/Tabelle2[[#This Row],[v]],0)</f>
        <v>0</v>
      </c>
      <c r="I1364">
        <f t="shared" si="231"/>
        <v>0</v>
      </c>
      <c r="J1364">
        <f t="shared" si="232"/>
        <v>0</v>
      </c>
      <c r="K1364">
        <f t="shared" si="233"/>
        <v>1.0467394398169905</v>
      </c>
      <c r="L1364">
        <f>-$B$5*$B$12-IF($B$3,Tabelle2[[#This Row],[Fd]]*Tabelle2[[#This Row],[vy]]/Tabelle2[[#This Row],[v]],0)</f>
        <v>-14.715</v>
      </c>
      <c r="M1364">
        <f t="shared" si="234"/>
        <v>-9.81</v>
      </c>
      <c r="N1364">
        <f t="shared" si="235"/>
        <v>-0.19620000000000001</v>
      </c>
      <c r="O1364">
        <f t="shared" si="236"/>
        <v>-4.0950705120881024</v>
      </c>
      <c r="P1364" s="1">
        <f t="shared" si="238"/>
        <v>52.336971990849527</v>
      </c>
      <c r="Q1364" s="1">
        <f t="shared" si="239"/>
        <v>-204.65542560440514</v>
      </c>
      <c r="R1364">
        <f>SQRT(Tabelle2[[#This Row],[vx]]*Tabelle2[[#This Row],[vx]]+Tabelle2[[#This Row],[vy]]*Tabelle2[[#This Row],[vy]])</f>
        <v>211.24157229695857</v>
      </c>
      <c r="S1364">
        <f t="shared" si="240"/>
        <v>1424.6123775909075</v>
      </c>
      <c r="T1364" s="1">
        <f t="shared" si="241"/>
        <v>-1934.7524581712189</v>
      </c>
    </row>
    <row r="1365" spans="6:20" x14ac:dyDescent="0.35">
      <c r="F1365" s="1">
        <f t="shared" si="237"/>
        <v>27.239999999999508</v>
      </c>
      <c r="G1365">
        <f>1/2*$B$8*$B$6*$B$7*(Tabelle2[[#This Row],[vx]]*Tabelle2[[#This Row],[vx]]+Tabelle2[[#This Row],[vy]]*Tabelle2[[#This Row],[vy]])/1000000</f>
        <v>79.076581976387004</v>
      </c>
      <c r="H1365">
        <f>IF($B$3,-Tabelle2[[#This Row],[Fd]]*Tabelle2[[#This Row],[vx]]/Tabelle2[[#This Row],[v]],0)</f>
        <v>0</v>
      </c>
      <c r="I1365">
        <f t="shared" si="231"/>
        <v>0</v>
      </c>
      <c r="J1365">
        <f t="shared" si="232"/>
        <v>0</v>
      </c>
      <c r="K1365">
        <f t="shared" si="233"/>
        <v>1.0467394398169905</v>
      </c>
      <c r="L1365">
        <f>-$B$5*$B$12-IF($B$3,Tabelle2[[#This Row],[Fd]]*Tabelle2[[#This Row],[vy]]/Tabelle2[[#This Row],[v]],0)</f>
        <v>-14.715</v>
      </c>
      <c r="M1365">
        <f t="shared" si="234"/>
        <v>-9.81</v>
      </c>
      <c r="N1365">
        <f t="shared" si="235"/>
        <v>-0.19620000000000001</v>
      </c>
      <c r="O1365">
        <f t="shared" si="236"/>
        <v>-4.0989945120881028</v>
      </c>
      <c r="P1365" s="1">
        <f t="shared" si="238"/>
        <v>52.336971990849527</v>
      </c>
      <c r="Q1365" s="1">
        <f t="shared" si="239"/>
        <v>-204.85162560440514</v>
      </c>
      <c r="R1365">
        <f>SQRT(Tabelle2[[#This Row],[vx]]*Tabelle2[[#This Row],[vx]]+Tabelle2[[#This Row],[vy]]*Tabelle2[[#This Row],[vy]])</f>
        <v>211.43166070846235</v>
      </c>
      <c r="S1365">
        <f t="shared" si="240"/>
        <v>1425.6591170307245</v>
      </c>
      <c r="T1365" s="1">
        <f t="shared" si="241"/>
        <v>-1938.847528683307</v>
      </c>
    </row>
    <row r="1366" spans="6:20" x14ac:dyDescent="0.35">
      <c r="F1366" s="1">
        <f t="shared" si="237"/>
        <v>27.259999999999508</v>
      </c>
      <c r="G1366">
        <f>1/2*$B$8*$B$6*$B$7*(Tabelle2[[#This Row],[vx]]*Tabelle2[[#This Row],[vx]]+Tabelle2[[#This Row],[vy]]*Tabelle2[[#This Row],[vy]])/1000000</f>
        <v>79.218842429258174</v>
      </c>
      <c r="H1366">
        <f>IF($B$3,-Tabelle2[[#This Row],[Fd]]*Tabelle2[[#This Row],[vx]]/Tabelle2[[#This Row],[v]],0)</f>
        <v>0</v>
      </c>
      <c r="I1366">
        <f t="shared" si="231"/>
        <v>0</v>
      </c>
      <c r="J1366">
        <f t="shared" si="232"/>
        <v>0</v>
      </c>
      <c r="K1366">
        <f t="shared" si="233"/>
        <v>1.0467394398169905</v>
      </c>
      <c r="L1366">
        <f>-$B$5*$B$12-IF($B$3,Tabelle2[[#This Row],[Fd]]*Tabelle2[[#This Row],[vy]]/Tabelle2[[#This Row],[v]],0)</f>
        <v>-14.715</v>
      </c>
      <c r="M1366">
        <f t="shared" si="234"/>
        <v>-9.81</v>
      </c>
      <c r="N1366">
        <f t="shared" si="235"/>
        <v>-0.19620000000000001</v>
      </c>
      <c r="O1366">
        <f t="shared" si="236"/>
        <v>-4.1029185120881024</v>
      </c>
      <c r="P1366" s="1">
        <f t="shared" si="238"/>
        <v>52.336971990849527</v>
      </c>
      <c r="Q1366" s="1">
        <f t="shared" si="239"/>
        <v>-205.04782560440515</v>
      </c>
      <c r="R1366">
        <f>SQRT(Tabelle2[[#This Row],[vx]]*Tabelle2[[#This Row],[vx]]+Tabelle2[[#This Row],[vy]]*Tabelle2[[#This Row],[vy]])</f>
        <v>211.62176027588825</v>
      </c>
      <c r="S1366">
        <f t="shared" si="240"/>
        <v>1426.7058564705414</v>
      </c>
      <c r="T1366" s="1">
        <f t="shared" si="241"/>
        <v>-1942.9465231953952</v>
      </c>
    </row>
    <row r="1367" spans="6:20" x14ac:dyDescent="0.35">
      <c r="F1367" s="1">
        <f t="shared" si="237"/>
        <v>27.279999999999507</v>
      </c>
      <c r="G1367">
        <f>1/2*$B$8*$B$6*$B$7*(Tabelle2[[#This Row],[vx]]*Tabelle2[[#This Row],[vx]]+Tabelle2[[#This Row],[vy]]*Tabelle2[[#This Row],[vy]])/1000000</f>
        <v>79.361239069190674</v>
      </c>
      <c r="H1367">
        <f>IF($B$3,-Tabelle2[[#This Row],[Fd]]*Tabelle2[[#This Row],[vx]]/Tabelle2[[#This Row],[v]],0)</f>
        <v>0</v>
      </c>
      <c r="I1367">
        <f t="shared" si="231"/>
        <v>0</v>
      </c>
      <c r="J1367">
        <f t="shared" si="232"/>
        <v>0</v>
      </c>
      <c r="K1367">
        <f t="shared" si="233"/>
        <v>1.0467394398169905</v>
      </c>
      <c r="L1367">
        <f>-$B$5*$B$12-IF($B$3,Tabelle2[[#This Row],[Fd]]*Tabelle2[[#This Row],[vy]]/Tabelle2[[#This Row],[v]],0)</f>
        <v>-14.715</v>
      </c>
      <c r="M1367">
        <f t="shared" si="234"/>
        <v>-9.81</v>
      </c>
      <c r="N1367">
        <f t="shared" si="235"/>
        <v>-0.19620000000000001</v>
      </c>
      <c r="O1367">
        <f t="shared" si="236"/>
        <v>-4.1068425120881029</v>
      </c>
      <c r="P1367" s="1">
        <f t="shared" si="238"/>
        <v>52.336971990849527</v>
      </c>
      <c r="Q1367" s="1">
        <f t="shared" si="239"/>
        <v>-205.24402560440515</v>
      </c>
      <c r="R1367">
        <f>SQRT(Tabelle2[[#This Row],[vx]]*Tabelle2[[#This Row],[vx]]+Tabelle2[[#This Row],[vy]]*Tabelle2[[#This Row],[vy]])</f>
        <v>211.81187096919919</v>
      </c>
      <c r="S1367">
        <f t="shared" si="240"/>
        <v>1427.7525959103584</v>
      </c>
      <c r="T1367" s="1">
        <f t="shared" si="241"/>
        <v>-1947.0494417074833</v>
      </c>
    </row>
    <row r="1368" spans="6:20" x14ac:dyDescent="0.35">
      <c r="F1368" s="1">
        <f t="shared" si="237"/>
        <v>27.299999999999507</v>
      </c>
      <c r="G1368">
        <f>1/2*$B$8*$B$6*$B$7*(Tabelle2[[#This Row],[vx]]*Tabelle2[[#This Row],[vx]]+Tabelle2[[#This Row],[vy]]*Tabelle2[[#This Row],[vy]])/1000000</f>
        <v>79.503771896184503</v>
      </c>
      <c r="H1368">
        <f>IF($B$3,-Tabelle2[[#This Row],[Fd]]*Tabelle2[[#This Row],[vx]]/Tabelle2[[#This Row],[v]],0)</f>
        <v>0</v>
      </c>
      <c r="I1368">
        <f t="shared" si="231"/>
        <v>0</v>
      </c>
      <c r="J1368">
        <f t="shared" si="232"/>
        <v>0</v>
      </c>
      <c r="K1368">
        <f t="shared" si="233"/>
        <v>1.0467394398169905</v>
      </c>
      <c r="L1368">
        <f>-$B$5*$B$12-IF($B$3,Tabelle2[[#This Row],[Fd]]*Tabelle2[[#This Row],[vy]]/Tabelle2[[#This Row],[v]],0)</f>
        <v>-14.715</v>
      </c>
      <c r="M1368">
        <f t="shared" si="234"/>
        <v>-9.81</v>
      </c>
      <c r="N1368">
        <f t="shared" si="235"/>
        <v>-0.19620000000000001</v>
      </c>
      <c r="O1368">
        <f t="shared" si="236"/>
        <v>-4.1107665120881034</v>
      </c>
      <c r="P1368" s="1">
        <f t="shared" si="238"/>
        <v>52.336971990849527</v>
      </c>
      <c r="Q1368" s="1">
        <f t="shared" si="239"/>
        <v>-205.44022560440516</v>
      </c>
      <c r="R1368">
        <f>SQRT(Tabelle2[[#This Row],[vx]]*Tabelle2[[#This Row],[vx]]+Tabelle2[[#This Row],[vy]]*Tabelle2[[#This Row],[vy]])</f>
        <v>212.00199275846407</v>
      </c>
      <c r="S1368">
        <f t="shared" si="240"/>
        <v>1428.7993353501754</v>
      </c>
      <c r="T1368" s="1">
        <f t="shared" si="241"/>
        <v>-1951.1562842195715</v>
      </c>
    </row>
    <row r="1369" spans="6:20" x14ac:dyDescent="0.35">
      <c r="F1369" s="1">
        <f t="shared" si="237"/>
        <v>27.319999999999506</v>
      </c>
      <c r="G1369">
        <f>1/2*$B$8*$B$6*$B$7*(Tabelle2[[#This Row],[vx]]*Tabelle2[[#This Row],[vx]]+Tabelle2[[#This Row],[vy]]*Tabelle2[[#This Row],[vy]])/1000000</f>
        <v>79.64644091023969</v>
      </c>
      <c r="H1369">
        <f>IF($B$3,-Tabelle2[[#This Row],[Fd]]*Tabelle2[[#This Row],[vx]]/Tabelle2[[#This Row],[v]],0)</f>
        <v>0</v>
      </c>
      <c r="I1369">
        <f t="shared" si="231"/>
        <v>0</v>
      </c>
      <c r="J1369">
        <f t="shared" si="232"/>
        <v>0</v>
      </c>
      <c r="K1369">
        <f t="shared" si="233"/>
        <v>1.0467394398169905</v>
      </c>
      <c r="L1369">
        <f>-$B$5*$B$12-IF($B$3,Tabelle2[[#This Row],[Fd]]*Tabelle2[[#This Row],[vy]]/Tabelle2[[#This Row],[v]],0)</f>
        <v>-14.715</v>
      </c>
      <c r="M1369">
        <f t="shared" si="234"/>
        <v>-9.81</v>
      </c>
      <c r="N1369">
        <f t="shared" si="235"/>
        <v>-0.19620000000000001</v>
      </c>
      <c r="O1369">
        <f t="shared" si="236"/>
        <v>-4.114690512088103</v>
      </c>
      <c r="P1369" s="1">
        <f t="shared" si="238"/>
        <v>52.336971990849527</v>
      </c>
      <c r="Q1369" s="1">
        <f t="shared" si="239"/>
        <v>-205.63642560440516</v>
      </c>
      <c r="R1369">
        <f>SQRT(Tabelle2[[#This Row],[vx]]*Tabelle2[[#This Row],[vx]]+Tabelle2[[#This Row],[vy]]*Tabelle2[[#This Row],[vy]])</f>
        <v>212.19212561385737</v>
      </c>
      <c r="S1369">
        <f t="shared" si="240"/>
        <v>1429.8460747899924</v>
      </c>
      <c r="T1369" s="1">
        <f t="shared" si="241"/>
        <v>-1955.2670507316595</v>
      </c>
    </row>
    <row r="1370" spans="6:20" x14ac:dyDescent="0.35">
      <c r="F1370" s="1">
        <f t="shared" si="237"/>
        <v>27.339999999999506</v>
      </c>
      <c r="G1370">
        <f>1/2*$B$8*$B$6*$B$7*(Tabelle2[[#This Row],[vx]]*Tabelle2[[#This Row],[vx]]+Tabelle2[[#This Row],[vy]]*Tabelle2[[#This Row],[vy]])/1000000</f>
        <v>79.789246111356249</v>
      </c>
      <c r="H1370">
        <f>IF($B$3,-Tabelle2[[#This Row],[Fd]]*Tabelle2[[#This Row],[vx]]/Tabelle2[[#This Row],[v]],0)</f>
        <v>0</v>
      </c>
      <c r="I1370">
        <f t="shared" si="231"/>
        <v>0</v>
      </c>
      <c r="J1370">
        <f t="shared" si="232"/>
        <v>0</v>
      </c>
      <c r="K1370">
        <f t="shared" si="233"/>
        <v>1.0467394398169905</v>
      </c>
      <c r="L1370">
        <f>-$B$5*$B$12-IF($B$3,Tabelle2[[#This Row],[Fd]]*Tabelle2[[#This Row],[vy]]/Tabelle2[[#This Row],[v]],0)</f>
        <v>-14.715</v>
      </c>
      <c r="M1370">
        <f t="shared" si="234"/>
        <v>-9.81</v>
      </c>
      <c r="N1370">
        <f t="shared" si="235"/>
        <v>-0.19620000000000001</v>
      </c>
      <c r="O1370">
        <f t="shared" si="236"/>
        <v>-4.1186145120881035</v>
      </c>
      <c r="P1370" s="1">
        <f t="shared" si="238"/>
        <v>52.336971990849527</v>
      </c>
      <c r="Q1370" s="1">
        <f t="shared" si="239"/>
        <v>-205.83262560440517</v>
      </c>
      <c r="R1370">
        <f>SQRT(Tabelle2[[#This Row],[vx]]*Tabelle2[[#This Row],[vx]]+Tabelle2[[#This Row],[vy]]*Tabelle2[[#This Row],[vy]])</f>
        <v>212.3822695056586</v>
      </c>
      <c r="S1370">
        <f t="shared" si="240"/>
        <v>1430.8928142298093</v>
      </c>
      <c r="T1370" s="1">
        <f t="shared" si="241"/>
        <v>-1959.3817412437477</v>
      </c>
    </row>
    <row r="1371" spans="6:20" x14ac:dyDescent="0.35">
      <c r="F1371" s="1">
        <f t="shared" si="237"/>
        <v>27.359999999999506</v>
      </c>
      <c r="G1371">
        <f>1/2*$B$8*$B$6*$B$7*(Tabelle2[[#This Row],[vx]]*Tabelle2[[#This Row],[vx]]+Tabelle2[[#This Row],[vy]]*Tabelle2[[#This Row],[vy]])/1000000</f>
        <v>79.932187499534109</v>
      </c>
      <c r="H1371">
        <f>IF($B$3,-Tabelle2[[#This Row],[Fd]]*Tabelle2[[#This Row],[vx]]/Tabelle2[[#This Row],[v]],0)</f>
        <v>0</v>
      </c>
      <c r="I1371">
        <f t="shared" si="231"/>
        <v>0</v>
      </c>
      <c r="J1371">
        <f t="shared" si="232"/>
        <v>0</v>
      </c>
      <c r="K1371">
        <f t="shared" si="233"/>
        <v>1.0467394398169905</v>
      </c>
      <c r="L1371">
        <f>-$B$5*$B$12-IF($B$3,Tabelle2[[#This Row],[Fd]]*Tabelle2[[#This Row],[vy]]/Tabelle2[[#This Row],[v]],0)</f>
        <v>-14.715</v>
      </c>
      <c r="M1371">
        <f t="shared" si="234"/>
        <v>-9.81</v>
      </c>
      <c r="N1371">
        <f t="shared" si="235"/>
        <v>-0.19620000000000001</v>
      </c>
      <c r="O1371">
        <f t="shared" si="236"/>
        <v>-4.1225385120881031</v>
      </c>
      <c r="P1371" s="1">
        <f t="shared" si="238"/>
        <v>52.336971990849527</v>
      </c>
      <c r="Q1371" s="1">
        <f t="shared" si="239"/>
        <v>-206.02882560440517</v>
      </c>
      <c r="R1371">
        <f>SQRT(Tabelle2[[#This Row],[vx]]*Tabelle2[[#This Row],[vx]]+Tabelle2[[#This Row],[vy]]*Tabelle2[[#This Row],[vy]])</f>
        <v>212.57242440425185</v>
      </c>
      <c r="S1371">
        <f t="shared" si="240"/>
        <v>1431.9395536696263</v>
      </c>
      <c r="T1371" s="1">
        <f t="shared" si="241"/>
        <v>-1963.5003557558357</v>
      </c>
    </row>
    <row r="1372" spans="6:20" x14ac:dyDescent="0.35">
      <c r="F1372" s="1">
        <f t="shared" si="237"/>
        <v>27.379999999999505</v>
      </c>
      <c r="G1372">
        <f>1/2*$B$8*$B$6*$B$7*(Tabelle2[[#This Row],[vx]]*Tabelle2[[#This Row],[vx]]+Tabelle2[[#This Row],[vy]]*Tabelle2[[#This Row],[vy]])/1000000</f>
        <v>80.075265074773341</v>
      </c>
      <c r="H1372">
        <f>IF($B$3,-Tabelle2[[#This Row],[Fd]]*Tabelle2[[#This Row],[vx]]/Tabelle2[[#This Row],[v]],0)</f>
        <v>0</v>
      </c>
      <c r="I1372">
        <f t="shared" si="231"/>
        <v>0</v>
      </c>
      <c r="J1372">
        <f t="shared" si="232"/>
        <v>0</v>
      </c>
      <c r="K1372">
        <f t="shared" si="233"/>
        <v>1.0467394398169905</v>
      </c>
      <c r="L1372">
        <f>-$B$5*$B$12-IF($B$3,Tabelle2[[#This Row],[Fd]]*Tabelle2[[#This Row],[vy]]/Tabelle2[[#This Row],[v]],0)</f>
        <v>-14.715</v>
      </c>
      <c r="M1372">
        <f t="shared" si="234"/>
        <v>-9.81</v>
      </c>
      <c r="N1372">
        <f t="shared" si="235"/>
        <v>-0.19620000000000001</v>
      </c>
      <c r="O1372">
        <f t="shared" si="236"/>
        <v>-4.1264625120881036</v>
      </c>
      <c r="P1372" s="1">
        <f t="shared" si="238"/>
        <v>52.336971990849527</v>
      </c>
      <c r="Q1372" s="1">
        <f t="shared" si="239"/>
        <v>-206.22502560440518</v>
      </c>
      <c r="R1372">
        <f>SQRT(Tabelle2[[#This Row],[vx]]*Tabelle2[[#This Row],[vx]]+Tabelle2[[#This Row],[vy]]*Tabelle2[[#This Row],[vy]])</f>
        <v>212.76259028012547</v>
      </c>
      <c r="S1372">
        <f t="shared" si="240"/>
        <v>1432.9862931094433</v>
      </c>
      <c r="T1372" s="1">
        <f t="shared" si="241"/>
        <v>-1967.6228942679238</v>
      </c>
    </row>
    <row r="1373" spans="6:20" x14ac:dyDescent="0.35">
      <c r="F1373" s="1">
        <f t="shared" si="237"/>
        <v>27.399999999999505</v>
      </c>
      <c r="G1373">
        <f>1/2*$B$8*$B$6*$B$7*(Tabelle2[[#This Row],[vx]]*Tabelle2[[#This Row],[vx]]+Tabelle2[[#This Row],[vy]]*Tabelle2[[#This Row],[vy]])/1000000</f>
        <v>80.218478837073889</v>
      </c>
      <c r="H1373">
        <f>IF($B$3,-Tabelle2[[#This Row],[Fd]]*Tabelle2[[#This Row],[vx]]/Tabelle2[[#This Row],[v]],0)</f>
        <v>0</v>
      </c>
      <c r="I1373">
        <f t="shared" si="231"/>
        <v>0</v>
      </c>
      <c r="J1373">
        <f t="shared" si="232"/>
        <v>0</v>
      </c>
      <c r="K1373">
        <f t="shared" si="233"/>
        <v>1.0467394398169905</v>
      </c>
      <c r="L1373">
        <f>-$B$5*$B$12-IF($B$3,Tabelle2[[#This Row],[Fd]]*Tabelle2[[#This Row],[vy]]/Tabelle2[[#This Row],[v]],0)</f>
        <v>-14.715</v>
      </c>
      <c r="M1373">
        <f t="shared" si="234"/>
        <v>-9.81</v>
      </c>
      <c r="N1373">
        <f t="shared" si="235"/>
        <v>-0.19620000000000001</v>
      </c>
      <c r="O1373">
        <f t="shared" si="236"/>
        <v>-4.1303865120881031</v>
      </c>
      <c r="P1373" s="1">
        <f t="shared" si="238"/>
        <v>52.336971990849527</v>
      </c>
      <c r="Q1373" s="1">
        <f t="shared" si="239"/>
        <v>-206.42122560440518</v>
      </c>
      <c r="R1373">
        <f>SQRT(Tabelle2[[#This Row],[vx]]*Tabelle2[[#This Row],[vx]]+Tabelle2[[#This Row],[vy]]*Tabelle2[[#This Row],[vy]])</f>
        <v>212.95276710387142</v>
      </c>
      <c r="S1373">
        <f t="shared" si="240"/>
        <v>1434.0330325492603</v>
      </c>
      <c r="T1373" s="1">
        <f t="shared" si="241"/>
        <v>-1971.749356780012</v>
      </c>
    </row>
    <row r="1374" spans="6:20" x14ac:dyDescent="0.35">
      <c r="F1374" s="1">
        <f t="shared" si="237"/>
        <v>27.419999999999504</v>
      </c>
      <c r="G1374">
        <f>1/2*$B$8*$B$6*$B$7*(Tabelle2[[#This Row],[vx]]*Tabelle2[[#This Row],[vx]]+Tabelle2[[#This Row],[vy]]*Tabelle2[[#This Row],[vy]])/1000000</f>
        <v>80.361828786435808</v>
      </c>
      <c r="H1374">
        <f>IF($B$3,-Tabelle2[[#This Row],[Fd]]*Tabelle2[[#This Row],[vx]]/Tabelle2[[#This Row],[v]],0)</f>
        <v>0</v>
      </c>
      <c r="I1374">
        <f t="shared" si="231"/>
        <v>0</v>
      </c>
      <c r="J1374">
        <f t="shared" si="232"/>
        <v>0</v>
      </c>
      <c r="K1374">
        <f t="shared" si="233"/>
        <v>1.0467394398169905</v>
      </c>
      <c r="L1374">
        <f>-$B$5*$B$12-IF($B$3,Tabelle2[[#This Row],[Fd]]*Tabelle2[[#This Row],[vy]]/Tabelle2[[#This Row],[v]],0)</f>
        <v>-14.715</v>
      </c>
      <c r="M1374">
        <f t="shared" si="234"/>
        <v>-9.81</v>
      </c>
      <c r="N1374">
        <f t="shared" si="235"/>
        <v>-0.19620000000000001</v>
      </c>
      <c r="O1374">
        <f t="shared" si="236"/>
        <v>-4.1343105120881036</v>
      </c>
      <c r="P1374" s="1">
        <f t="shared" si="238"/>
        <v>52.336971990849527</v>
      </c>
      <c r="Q1374" s="1">
        <f t="shared" si="239"/>
        <v>-206.61742560440518</v>
      </c>
      <c r="R1374">
        <f>SQRT(Tabelle2[[#This Row],[vx]]*Tabelle2[[#This Row],[vx]]+Tabelle2[[#This Row],[vy]]*Tabelle2[[#This Row],[vy]])</f>
        <v>213.14295484618506</v>
      </c>
      <c r="S1374">
        <f t="shared" si="240"/>
        <v>1435.0797719890772</v>
      </c>
      <c r="T1374" s="1">
        <f t="shared" si="241"/>
        <v>-1975.8797432921001</v>
      </c>
    </row>
    <row r="1375" spans="6:20" x14ac:dyDescent="0.35">
      <c r="F1375" s="1">
        <f t="shared" si="237"/>
        <v>27.439999999999504</v>
      </c>
      <c r="G1375">
        <f>1/2*$B$8*$B$6*$B$7*(Tabelle2[[#This Row],[vx]]*Tabelle2[[#This Row],[vx]]+Tabelle2[[#This Row],[vy]]*Tabelle2[[#This Row],[vy]])/1000000</f>
        <v>80.505314922859071</v>
      </c>
      <c r="H1375">
        <f>IF($B$3,-Tabelle2[[#This Row],[Fd]]*Tabelle2[[#This Row],[vx]]/Tabelle2[[#This Row],[v]],0)</f>
        <v>0</v>
      </c>
      <c r="I1375">
        <f t="shared" si="231"/>
        <v>0</v>
      </c>
      <c r="J1375">
        <f t="shared" si="232"/>
        <v>0</v>
      </c>
      <c r="K1375">
        <f t="shared" si="233"/>
        <v>1.0467394398169905</v>
      </c>
      <c r="L1375">
        <f>-$B$5*$B$12-IF($B$3,Tabelle2[[#This Row],[Fd]]*Tabelle2[[#This Row],[vy]]/Tabelle2[[#This Row],[v]],0)</f>
        <v>-14.715</v>
      </c>
      <c r="M1375">
        <f t="shared" si="234"/>
        <v>-9.81</v>
      </c>
      <c r="N1375">
        <f t="shared" si="235"/>
        <v>-0.19620000000000001</v>
      </c>
      <c r="O1375">
        <f t="shared" si="236"/>
        <v>-4.1382345120881032</v>
      </c>
      <c r="P1375" s="1">
        <f t="shared" si="238"/>
        <v>52.336971990849527</v>
      </c>
      <c r="Q1375" s="1">
        <f t="shared" si="239"/>
        <v>-206.81362560440519</v>
      </c>
      <c r="R1375">
        <f>SQRT(Tabelle2[[#This Row],[vx]]*Tabelle2[[#This Row],[vx]]+Tabelle2[[#This Row],[vy]]*Tabelle2[[#This Row],[vy]])</f>
        <v>213.33315347786441</v>
      </c>
      <c r="S1375">
        <f t="shared" si="240"/>
        <v>1436.1265114288942</v>
      </c>
      <c r="T1375" s="1">
        <f t="shared" si="241"/>
        <v>-1980.0140538041883</v>
      </c>
    </row>
    <row r="1376" spans="6:20" x14ac:dyDescent="0.35">
      <c r="F1376" s="1">
        <f t="shared" si="237"/>
        <v>27.459999999999503</v>
      </c>
      <c r="G1376">
        <f>1/2*$B$8*$B$6*$B$7*(Tabelle2[[#This Row],[vx]]*Tabelle2[[#This Row],[vx]]+Tabelle2[[#This Row],[vy]]*Tabelle2[[#This Row],[vy]])/1000000</f>
        <v>80.648937246343678</v>
      </c>
      <c r="H1376">
        <f>IF($B$3,-Tabelle2[[#This Row],[Fd]]*Tabelle2[[#This Row],[vx]]/Tabelle2[[#This Row],[v]],0)</f>
        <v>0</v>
      </c>
      <c r="I1376">
        <f t="shared" si="231"/>
        <v>0</v>
      </c>
      <c r="J1376">
        <f t="shared" si="232"/>
        <v>0</v>
      </c>
      <c r="K1376">
        <f t="shared" si="233"/>
        <v>1.0467394398169905</v>
      </c>
      <c r="L1376">
        <f>-$B$5*$B$12-IF($B$3,Tabelle2[[#This Row],[Fd]]*Tabelle2[[#This Row],[vy]]/Tabelle2[[#This Row],[v]],0)</f>
        <v>-14.715</v>
      </c>
      <c r="M1376">
        <f t="shared" si="234"/>
        <v>-9.81</v>
      </c>
      <c r="N1376">
        <f t="shared" si="235"/>
        <v>-0.19620000000000001</v>
      </c>
      <c r="O1376">
        <f t="shared" si="236"/>
        <v>-4.1421585120881037</v>
      </c>
      <c r="P1376" s="1">
        <f t="shared" si="238"/>
        <v>52.336971990849527</v>
      </c>
      <c r="Q1376" s="1">
        <f t="shared" si="239"/>
        <v>-207.00982560440519</v>
      </c>
      <c r="R1376">
        <f>SQRT(Tabelle2[[#This Row],[vx]]*Tabelle2[[#This Row],[vx]]+Tabelle2[[#This Row],[vy]]*Tabelle2[[#This Row],[vy]])</f>
        <v>213.52336296980999</v>
      </c>
      <c r="S1376">
        <f t="shared" si="240"/>
        <v>1437.1732508687112</v>
      </c>
      <c r="T1376" s="1">
        <f t="shared" si="241"/>
        <v>-1984.1522883162763</v>
      </c>
    </row>
    <row r="1377" spans="6:20" x14ac:dyDescent="0.35">
      <c r="F1377" s="1">
        <f t="shared" si="237"/>
        <v>27.479999999999503</v>
      </c>
      <c r="G1377">
        <f>1/2*$B$8*$B$6*$B$7*(Tabelle2[[#This Row],[vx]]*Tabelle2[[#This Row],[vx]]+Tabelle2[[#This Row],[vy]]*Tabelle2[[#This Row],[vy]])/1000000</f>
        <v>80.7926957568896</v>
      </c>
      <c r="H1377">
        <f>IF($B$3,-Tabelle2[[#This Row],[Fd]]*Tabelle2[[#This Row],[vx]]/Tabelle2[[#This Row],[v]],0)</f>
        <v>0</v>
      </c>
      <c r="I1377">
        <f t="shared" si="231"/>
        <v>0</v>
      </c>
      <c r="J1377">
        <f t="shared" si="232"/>
        <v>0</v>
      </c>
      <c r="K1377">
        <f t="shared" si="233"/>
        <v>1.0467394398169905</v>
      </c>
      <c r="L1377">
        <f>-$B$5*$B$12-IF($B$3,Tabelle2[[#This Row],[Fd]]*Tabelle2[[#This Row],[vy]]/Tabelle2[[#This Row],[v]],0)</f>
        <v>-14.715</v>
      </c>
      <c r="M1377">
        <f t="shared" si="234"/>
        <v>-9.81</v>
      </c>
      <c r="N1377">
        <f t="shared" si="235"/>
        <v>-0.19620000000000001</v>
      </c>
      <c r="O1377">
        <f t="shared" si="236"/>
        <v>-4.1460825120881042</v>
      </c>
      <c r="P1377" s="1">
        <f t="shared" si="238"/>
        <v>52.336971990849527</v>
      </c>
      <c r="Q1377" s="1">
        <f t="shared" si="239"/>
        <v>-207.2060256044052</v>
      </c>
      <c r="R1377">
        <f>SQRT(Tabelle2[[#This Row],[vx]]*Tabelle2[[#This Row],[vx]]+Tabelle2[[#This Row],[vy]]*Tabelle2[[#This Row],[vy]])</f>
        <v>213.71358329302419</v>
      </c>
      <c r="S1377">
        <f t="shared" si="240"/>
        <v>1438.2199903085282</v>
      </c>
      <c r="T1377" s="1">
        <f t="shared" si="241"/>
        <v>-1988.2944468283645</v>
      </c>
    </row>
    <row r="1378" spans="6:20" x14ac:dyDescent="0.35">
      <c r="F1378" s="1">
        <f t="shared" si="237"/>
        <v>27.499999999999503</v>
      </c>
      <c r="G1378">
        <f>1/2*$B$8*$B$6*$B$7*(Tabelle2[[#This Row],[vx]]*Tabelle2[[#This Row],[vx]]+Tabelle2[[#This Row],[vy]]*Tabelle2[[#This Row],[vy]])/1000000</f>
        <v>80.936590454496894</v>
      </c>
      <c r="H1378">
        <f>IF($B$3,-Tabelle2[[#This Row],[Fd]]*Tabelle2[[#This Row],[vx]]/Tabelle2[[#This Row],[v]],0)</f>
        <v>0</v>
      </c>
      <c r="I1378">
        <f t="shared" si="231"/>
        <v>0</v>
      </c>
      <c r="J1378">
        <f t="shared" si="232"/>
        <v>0</v>
      </c>
      <c r="K1378">
        <f t="shared" si="233"/>
        <v>1.0467394398169905</v>
      </c>
      <c r="L1378">
        <f>-$B$5*$B$12-IF($B$3,Tabelle2[[#This Row],[Fd]]*Tabelle2[[#This Row],[vy]]/Tabelle2[[#This Row],[v]],0)</f>
        <v>-14.715</v>
      </c>
      <c r="M1378">
        <f t="shared" si="234"/>
        <v>-9.81</v>
      </c>
      <c r="N1378">
        <f t="shared" si="235"/>
        <v>-0.19620000000000001</v>
      </c>
      <c r="O1378">
        <f t="shared" si="236"/>
        <v>-4.1500065120881038</v>
      </c>
      <c r="P1378" s="1">
        <f t="shared" si="238"/>
        <v>52.336971990849527</v>
      </c>
      <c r="Q1378" s="1">
        <f t="shared" si="239"/>
        <v>-207.4022256044052</v>
      </c>
      <c r="R1378">
        <f>SQRT(Tabelle2[[#This Row],[vx]]*Tabelle2[[#This Row],[vx]]+Tabelle2[[#This Row],[vy]]*Tabelle2[[#This Row],[vy]])</f>
        <v>213.90381441861098</v>
      </c>
      <c r="S1378">
        <f t="shared" si="240"/>
        <v>1439.2667297483451</v>
      </c>
      <c r="T1378" s="1">
        <f t="shared" si="241"/>
        <v>-1992.4405293404525</v>
      </c>
    </row>
    <row r="1379" spans="6:20" x14ac:dyDescent="0.35">
      <c r="F1379" s="1">
        <f t="shared" si="237"/>
        <v>27.519999999999502</v>
      </c>
      <c r="G1379">
        <f>1/2*$B$8*$B$6*$B$7*(Tabelle2[[#This Row],[vx]]*Tabelle2[[#This Row],[vx]]+Tabelle2[[#This Row],[vy]]*Tabelle2[[#This Row],[vy]])/1000000</f>
        <v>81.080621339165518</v>
      </c>
      <c r="H1379">
        <f>IF($B$3,-Tabelle2[[#This Row],[Fd]]*Tabelle2[[#This Row],[vx]]/Tabelle2[[#This Row],[v]],0)</f>
        <v>0</v>
      </c>
      <c r="I1379">
        <f t="shared" si="231"/>
        <v>0</v>
      </c>
      <c r="J1379">
        <f t="shared" si="232"/>
        <v>0</v>
      </c>
      <c r="K1379">
        <f t="shared" si="233"/>
        <v>1.0467394398169905</v>
      </c>
      <c r="L1379">
        <f>-$B$5*$B$12-IF($B$3,Tabelle2[[#This Row],[Fd]]*Tabelle2[[#This Row],[vy]]/Tabelle2[[#This Row],[v]],0)</f>
        <v>-14.715</v>
      </c>
      <c r="M1379">
        <f t="shared" si="234"/>
        <v>-9.81</v>
      </c>
      <c r="N1379">
        <f t="shared" si="235"/>
        <v>-0.19620000000000001</v>
      </c>
      <c r="O1379">
        <f t="shared" si="236"/>
        <v>-4.1539305120881043</v>
      </c>
      <c r="P1379" s="1">
        <f t="shared" si="238"/>
        <v>52.336971990849527</v>
      </c>
      <c r="Q1379" s="1">
        <f t="shared" si="239"/>
        <v>-207.59842560440521</v>
      </c>
      <c r="R1379">
        <f>SQRT(Tabelle2[[#This Row],[vx]]*Tabelle2[[#This Row],[vx]]+Tabelle2[[#This Row],[vy]]*Tabelle2[[#This Row],[vy]])</f>
        <v>214.09405631777528</v>
      </c>
      <c r="S1379">
        <f t="shared" si="240"/>
        <v>1440.3134691881621</v>
      </c>
      <c r="T1379" s="1">
        <f t="shared" si="241"/>
        <v>-1996.5905358525406</v>
      </c>
    </row>
    <row r="1380" spans="6:20" x14ac:dyDescent="0.35">
      <c r="F1380" s="1">
        <f t="shared" si="237"/>
        <v>27.539999999999502</v>
      </c>
      <c r="G1380">
        <f>1/2*$B$8*$B$6*$B$7*(Tabelle2[[#This Row],[vx]]*Tabelle2[[#This Row],[vx]]+Tabelle2[[#This Row],[vy]]*Tabelle2[[#This Row],[vy]])/1000000</f>
        <v>81.224788410895499</v>
      </c>
      <c r="H1380">
        <f>IF($B$3,-Tabelle2[[#This Row],[Fd]]*Tabelle2[[#This Row],[vx]]/Tabelle2[[#This Row],[v]],0)</f>
        <v>0</v>
      </c>
      <c r="I1380">
        <f t="shared" si="231"/>
        <v>0</v>
      </c>
      <c r="J1380">
        <f t="shared" si="232"/>
        <v>0</v>
      </c>
      <c r="K1380">
        <f t="shared" si="233"/>
        <v>1.0467394398169905</v>
      </c>
      <c r="L1380">
        <f>-$B$5*$B$12-IF($B$3,Tabelle2[[#This Row],[Fd]]*Tabelle2[[#This Row],[vy]]/Tabelle2[[#This Row],[v]],0)</f>
        <v>-14.715</v>
      </c>
      <c r="M1380">
        <f t="shared" si="234"/>
        <v>-9.81</v>
      </c>
      <c r="N1380">
        <f t="shared" si="235"/>
        <v>-0.19620000000000001</v>
      </c>
      <c r="O1380">
        <f t="shared" si="236"/>
        <v>-4.1578545120881039</v>
      </c>
      <c r="P1380" s="1">
        <f t="shared" si="238"/>
        <v>52.336971990849527</v>
      </c>
      <c r="Q1380" s="1">
        <f t="shared" si="239"/>
        <v>-207.79462560440521</v>
      </c>
      <c r="R1380">
        <f>SQRT(Tabelle2[[#This Row],[vx]]*Tabelle2[[#This Row],[vx]]+Tabelle2[[#This Row],[vy]]*Tabelle2[[#This Row],[vy]])</f>
        <v>214.28430896182275</v>
      </c>
      <c r="S1380">
        <f t="shared" si="240"/>
        <v>1441.3602086279791</v>
      </c>
      <c r="T1380" s="1">
        <f t="shared" si="241"/>
        <v>-2000.7444663646288</v>
      </c>
    </row>
    <row r="1381" spans="6:20" x14ac:dyDescent="0.35">
      <c r="F1381" s="1">
        <f t="shared" si="237"/>
        <v>27.559999999999501</v>
      </c>
      <c r="G1381">
        <f>1/2*$B$8*$B$6*$B$7*(Tabelle2[[#This Row],[vx]]*Tabelle2[[#This Row],[vx]]+Tabelle2[[#This Row],[vy]]*Tabelle2[[#This Row],[vy]])/1000000</f>
        <v>81.36909166968681</v>
      </c>
      <c r="H1381">
        <f>IF($B$3,-Tabelle2[[#This Row],[Fd]]*Tabelle2[[#This Row],[vx]]/Tabelle2[[#This Row],[v]],0)</f>
        <v>0</v>
      </c>
      <c r="I1381">
        <f t="shared" si="231"/>
        <v>0</v>
      </c>
      <c r="J1381">
        <f t="shared" si="232"/>
        <v>0</v>
      </c>
      <c r="K1381">
        <f t="shared" si="233"/>
        <v>1.0467394398169905</v>
      </c>
      <c r="L1381">
        <f>-$B$5*$B$12-IF($B$3,Tabelle2[[#This Row],[Fd]]*Tabelle2[[#This Row],[vy]]/Tabelle2[[#This Row],[v]],0)</f>
        <v>-14.715</v>
      </c>
      <c r="M1381">
        <f t="shared" si="234"/>
        <v>-9.81</v>
      </c>
      <c r="N1381">
        <f t="shared" si="235"/>
        <v>-0.19620000000000001</v>
      </c>
      <c r="O1381">
        <f t="shared" si="236"/>
        <v>-4.1617785120881043</v>
      </c>
      <c r="P1381" s="1">
        <f t="shared" si="238"/>
        <v>52.336971990849527</v>
      </c>
      <c r="Q1381" s="1">
        <f t="shared" si="239"/>
        <v>-207.99082560440522</v>
      </c>
      <c r="R1381">
        <f>SQRT(Tabelle2[[#This Row],[vx]]*Tabelle2[[#This Row],[vx]]+Tabelle2[[#This Row],[vy]]*Tabelle2[[#This Row],[vy]])</f>
        <v>214.47457232215916</v>
      </c>
      <c r="S1381">
        <f t="shared" si="240"/>
        <v>1442.4069480677961</v>
      </c>
      <c r="T1381" s="1">
        <f t="shared" si="241"/>
        <v>-2004.9023208767169</v>
      </c>
    </row>
    <row r="1382" spans="6:20" x14ac:dyDescent="0.35">
      <c r="F1382" s="1">
        <f t="shared" si="237"/>
        <v>27.579999999999501</v>
      </c>
      <c r="G1382">
        <f>1/2*$B$8*$B$6*$B$7*(Tabelle2[[#This Row],[vx]]*Tabelle2[[#This Row],[vx]]+Tabelle2[[#This Row],[vy]]*Tabelle2[[#This Row],[vy]])/1000000</f>
        <v>81.513531115539479</v>
      </c>
      <c r="H1382">
        <f>IF($B$3,-Tabelle2[[#This Row],[Fd]]*Tabelle2[[#This Row],[vx]]/Tabelle2[[#This Row],[v]],0)</f>
        <v>0</v>
      </c>
      <c r="I1382">
        <f t="shared" si="231"/>
        <v>0</v>
      </c>
      <c r="J1382">
        <f t="shared" si="232"/>
        <v>0</v>
      </c>
      <c r="K1382">
        <f t="shared" si="233"/>
        <v>1.0467394398169905</v>
      </c>
      <c r="L1382">
        <f>-$B$5*$B$12-IF($B$3,Tabelle2[[#This Row],[Fd]]*Tabelle2[[#This Row],[vy]]/Tabelle2[[#This Row],[v]],0)</f>
        <v>-14.715</v>
      </c>
      <c r="M1382">
        <f t="shared" si="234"/>
        <v>-9.81</v>
      </c>
      <c r="N1382">
        <f t="shared" si="235"/>
        <v>-0.19620000000000001</v>
      </c>
      <c r="O1382">
        <f t="shared" si="236"/>
        <v>-4.1657025120881039</v>
      </c>
      <c r="P1382" s="1">
        <f t="shared" si="238"/>
        <v>52.336971990849527</v>
      </c>
      <c r="Q1382" s="1">
        <f t="shared" si="239"/>
        <v>-208.18702560440522</v>
      </c>
      <c r="R1382">
        <f>SQRT(Tabelle2[[#This Row],[vx]]*Tabelle2[[#This Row],[vx]]+Tabelle2[[#This Row],[vy]]*Tabelle2[[#This Row],[vy]])</f>
        <v>214.66484637029009</v>
      </c>
      <c r="S1382">
        <f t="shared" si="240"/>
        <v>1443.453687507613</v>
      </c>
      <c r="T1382" s="1">
        <f t="shared" si="241"/>
        <v>-2009.0640993888051</v>
      </c>
    </row>
    <row r="1383" spans="6:20" x14ac:dyDescent="0.35">
      <c r="F1383" s="1">
        <f t="shared" si="237"/>
        <v>27.5999999999995</v>
      </c>
      <c r="G1383">
        <f>1/2*$B$8*$B$6*$B$7*(Tabelle2[[#This Row],[vx]]*Tabelle2[[#This Row],[vx]]+Tabelle2[[#This Row],[vy]]*Tabelle2[[#This Row],[vy]])/1000000</f>
        <v>81.658106748453477</v>
      </c>
      <c r="H1383">
        <f>IF($B$3,-Tabelle2[[#This Row],[Fd]]*Tabelle2[[#This Row],[vx]]/Tabelle2[[#This Row],[v]],0)</f>
        <v>0</v>
      </c>
      <c r="I1383">
        <f t="shared" si="231"/>
        <v>0</v>
      </c>
      <c r="J1383">
        <f t="shared" si="232"/>
        <v>0</v>
      </c>
      <c r="K1383">
        <f t="shared" si="233"/>
        <v>1.0467394398169905</v>
      </c>
      <c r="L1383">
        <f>-$B$5*$B$12-IF($B$3,Tabelle2[[#This Row],[Fd]]*Tabelle2[[#This Row],[vy]]/Tabelle2[[#This Row],[v]],0)</f>
        <v>-14.715</v>
      </c>
      <c r="M1383">
        <f t="shared" si="234"/>
        <v>-9.81</v>
      </c>
      <c r="N1383">
        <f t="shared" si="235"/>
        <v>-0.19620000000000001</v>
      </c>
      <c r="O1383">
        <f t="shared" si="236"/>
        <v>-4.1696265120881044</v>
      </c>
      <c r="P1383" s="1">
        <f t="shared" si="238"/>
        <v>52.336971990849527</v>
      </c>
      <c r="Q1383" s="1">
        <f t="shared" si="239"/>
        <v>-208.38322560440523</v>
      </c>
      <c r="R1383">
        <f>SQRT(Tabelle2[[#This Row],[vx]]*Tabelle2[[#This Row],[vx]]+Tabelle2[[#This Row],[vy]]*Tabelle2[[#This Row],[vy]])</f>
        <v>214.85513107782046</v>
      </c>
      <c r="S1383">
        <f t="shared" si="240"/>
        <v>1444.50042694743</v>
      </c>
      <c r="T1383" s="1">
        <f t="shared" si="241"/>
        <v>-2013.2298019008931</v>
      </c>
    </row>
    <row r="1384" spans="6:20" x14ac:dyDescent="0.35">
      <c r="F1384" s="1">
        <f t="shared" si="237"/>
        <v>27.6199999999995</v>
      </c>
      <c r="G1384">
        <f>1/2*$B$8*$B$6*$B$7*(Tabelle2[[#This Row],[vx]]*Tabelle2[[#This Row],[vx]]+Tabelle2[[#This Row],[vy]]*Tabelle2[[#This Row],[vy]])/1000000</f>
        <v>81.802818568428833</v>
      </c>
      <c r="H1384">
        <f>IF($B$3,-Tabelle2[[#This Row],[Fd]]*Tabelle2[[#This Row],[vx]]/Tabelle2[[#This Row],[v]],0)</f>
        <v>0</v>
      </c>
      <c r="I1384">
        <f t="shared" si="231"/>
        <v>0</v>
      </c>
      <c r="J1384">
        <f t="shared" si="232"/>
        <v>0</v>
      </c>
      <c r="K1384">
        <f t="shared" si="233"/>
        <v>1.0467394398169905</v>
      </c>
      <c r="L1384">
        <f>-$B$5*$B$12-IF($B$3,Tabelle2[[#This Row],[Fd]]*Tabelle2[[#This Row],[vy]]/Tabelle2[[#This Row],[v]],0)</f>
        <v>-14.715</v>
      </c>
      <c r="M1384">
        <f t="shared" si="234"/>
        <v>-9.81</v>
      </c>
      <c r="N1384">
        <f t="shared" si="235"/>
        <v>-0.19620000000000001</v>
      </c>
      <c r="O1384">
        <f t="shared" si="236"/>
        <v>-4.173550512088104</v>
      </c>
      <c r="P1384" s="1">
        <f t="shared" si="238"/>
        <v>52.336971990849527</v>
      </c>
      <c r="Q1384" s="1">
        <f t="shared" si="239"/>
        <v>-208.57942560440523</v>
      </c>
      <c r="R1384">
        <f>SQRT(Tabelle2[[#This Row],[vx]]*Tabelle2[[#This Row],[vx]]+Tabelle2[[#This Row],[vy]]*Tabelle2[[#This Row],[vy]])</f>
        <v>215.04542641645412</v>
      </c>
      <c r="S1384">
        <f t="shared" si="240"/>
        <v>1445.547166387247</v>
      </c>
      <c r="T1384" s="1">
        <f t="shared" si="241"/>
        <v>-2017.3994284129813</v>
      </c>
    </row>
    <row r="1385" spans="6:20" x14ac:dyDescent="0.35">
      <c r="F1385" s="1">
        <f t="shared" si="237"/>
        <v>27.6399999999995</v>
      </c>
      <c r="G1385">
        <f>1/2*$B$8*$B$6*$B$7*(Tabelle2[[#This Row],[vx]]*Tabelle2[[#This Row],[vx]]+Tabelle2[[#This Row],[vy]]*Tabelle2[[#This Row],[vy]])/1000000</f>
        <v>81.947666575465533</v>
      </c>
      <c r="H1385">
        <f>IF($B$3,-Tabelle2[[#This Row],[Fd]]*Tabelle2[[#This Row],[vx]]/Tabelle2[[#This Row],[v]],0)</f>
        <v>0</v>
      </c>
      <c r="I1385">
        <f t="shared" si="231"/>
        <v>0</v>
      </c>
      <c r="J1385">
        <f t="shared" si="232"/>
        <v>0</v>
      </c>
      <c r="K1385">
        <f t="shared" si="233"/>
        <v>1.0467394398169905</v>
      </c>
      <c r="L1385">
        <f>-$B$5*$B$12-IF($B$3,Tabelle2[[#This Row],[Fd]]*Tabelle2[[#This Row],[vy]]/Tabelle2[[#This Row],[v]],0)</f>
        <v>-14.715</v>
      </c>
      <c r="M1385">
        <f t="shared" si="234"/>
        <v>-9.81</v>
      </c>
      <c r="N1385">
        <f t="shared" si="235"/>
        <v>-0.19620000000000001</v>
      </c>
      <c r="O1385">
        <f t="shared" si="236"/>
        <v>-4.1774745120881045</v>
      </c>
      <c r="P1385" s="1">
        <f t="shared" si="238"/>
        <v>52.336971990849527</v>
      </c>
      <c r="Q1385" s="1">
        <f t="shared" si="239"/>
        <v>-208.77562560440523</v>
      </c>
      <c r="R1385">
        <f>SQRT(Tabelle2[[#This Row],[vx]]*Tabelle2[[#This Row],[vx]]+Tabelle2[[#This Row],[vy]]*Tabelle2[[#This Row],[vy]])</f>
        <v>215.23573235799338</v>
      </c>
      <c r="S1385">
        <f t="shared" si="240"/>
        <v>1446.593905827064</v>
      </c>
      <c r="T1385" s="1">
        <f t="shared" si="241"/>
        <v>-2021.5729789250693</v>
      </c>
    </row>
    <row r="1386" spans="6:20" x14ac:dyDescent="0.35">
      <c r="F1386" s="1">
        <f t="shared" si="237"/>
        <v>27.659999999999499</v>
      </c>
      <c r="G1386">
        <f>1/2*$B$8*$B$6*$B$7*(Tabelle2[[#This Row],[vx]]*Tabelle2[[#This Row],[vx]]+Tabelle2[[#This Row],[vy]]*Tabelle2[[#This Row],[vy]])/1000000</f>
        <v>82.092650769563576</v>
      </c>
      <c r="H1386">
        <f>IF($B$3,-Tabelle2[[#This Row],[Fd]]*Tabelle2[[#This Row],[vx]]/Tabelle2[[#This Row],[v]],0)</f>
        <v>0</v>
      </c>
      <c r="I1386">
        <f t="shared" si="231"/>
        <v>0</v>
      </c>
      <c r="J1386">
        <f t="shared" si="232"/>
        <v>0</v>
      </c>
      <c r="K1386">
        <f t="shared" si="233"/>
        <v>1.0467394398169905</v>
      </c>
      <c r="L1386">
        <f>-$B$5*$B$12-IF($B$3,Tabelle2[[#This Row],[Fd]]*Tabelle2[[#This Row],[vy]]/Tabelle2[[#This Row],[v]],0)</f>
        <v>-14.715</v>
      </c>
      <c r="M1386">
        <f t="shared" si="234"/>
        <v>-9.81</v>
      </c>
      <c r="N1386">
        <f t="shared" si="235"/>
        <v>-0.19620000000000001</v>
      </c>
      <c r="O1386">
        <f t="shared" si="236"/>
        <v>-4.181398512088105</v>
      </c>
      <c r="P1386" s="1">
        <f t="shared" si="238"/>
        <v>52.336971990849527</v>
      </c>
      <c r="Q1386" s="1">
        <f t="shared" si="239"/>
        <v>-208.97182560440524</v>
      </c>
      <c r="R1386">
        <f>SQRT(Tabelle2[[#This Row],[vx]]*Tabelle2[[#This Row],[vx]]+Tabelle2[[#This Row],[vy]]*Tabelle2[[#This Row],[vy]])</f>
        <v>215.42604887433862</v>
      </c>
      <c r="S1386">
        <f t="shared" si="240"/>
        <v>1447.6406452668809</v>
      </c>
      <c r="T1386" s="1">
        <f t="shared" si="241"/>
        <v>-2025.7504534371574</v>
      </c>
    </row>
    <row r="1387" spans="6:20" x14ac:dyDescent="0.35">
      <c r="F1387" s="1">
        <f t="shared" si="237"/>
        <v>27.679999999999499</v>
      </c>
      <c r="G1387">
        <f>1/2*$B$8*$B$6*$B$7*(Tabelle2[[#This Row],[vx]]*Tabelle2[[#This Row],[vx]]+Tabelle2[[#This Row],[vy]]*Tabelle2[[#This Row],[vy]])/1000000</f>
        <v>82.237771150722935</v>
      </c>
      <c r="H1387">
        <f>IF($B$3,-Tabelle2[[#This Row],[Fd]]*Tabelle2[[#This Row],[vx]]/Tabelle2[[#This Row],[v]],0)</f>
        <v>0</v>
      </c>
      <c r="I1387">
        <f t="shared" si="231"/>
        <v>0</v>
      </c>
      <c r="J1387">
        <f t="shared" si="232"/>
        <v>0</v>
      </c>
      <c r="K1387">
        <f t="shared" si="233"/>
        <v>1.0467394398169905</v>
      </c>
      <c r="L1387">
        <f>-$B$5*$B$12-IF($B$3,Tabelle2[[#This Row],[Fd]]*Tabelle2[[#This Row],[vy]]/Tabelle2[[#This Row],[v]],0)</f>
        <v>-14.715</v>
      </c>
      <c r="M1387">
        <f t="shared" si="234"/>
        <v>-9.81</v>
      </c>
      <c r="N1387">
        <f t="shared" si="235"/>
        <v>-0.19620000000000001</v>
      </c>
      <c r="O1387">
        <f t="shared" si="236"/>
        <v>-4.1853225120881046</v>
      </c>
      <c r="P1387" s="1">
        <f t="shared" si="238"/>
        <v>52.336971990849527</v>
      </c>
      <c r="Q1387" s="1">
        <f t="shared" si="239"/>
        <v>-209.16802560440524</v>
      </c>
      <c r="R1387">
        <f>SQRT(Tabelle2[[#This Row],[vx]]*Tabelle2[[#This Row],[vx]]+Tabelle2[[#This Row],[vy]]*Tabelle2[[#This Row],[vy]])</f>
        <v>215.61637593748787</v>
      </c>
      <c r="S1387">
        <f t="shared" si="240"/>
        <v>1448.6873847066979</v>
      </c>
      <c r="T1387" s="1">
        <f t="shared" si="241"/>
        <v>-2029.9318519492456</v>
      </c>
    </row>
    <row r="1388" spans="6:20" x14ac:dyDescent="0.35">
      <c r="F1388" s="1">
        <f t="shared" si="237"/>
        <v>27.699999999999498</v>
      </c>
      <c r="G1388">
        <f>1/2*$B$8*$B$6*$B$7*(Tabelle2[[#This Row],[vx]]*Tabelle2[[#This Row],[vx]]+Tabelle2[[#This Row],[vy]]*Tabelle2[[#This Row],[vy]])/1000000</f>
        <v>82.383027718943666</v>
      </c>
      <c r="H1388">
        <f>IF($B$3,-Tabelle2[[#This Row],[Fd]]*Tabelle2[[#This Row],[vx]]/Tabelle2[[#This Row],[v]],0)</f>
        <v>0</v>
      </c>
      <c r="I1388">
        <f t="shared" si="231"/>
        <v>0</v>
      </c>
      <c r="J1388">
        <f t="shared" si="232"/>
        <v>0</v>
      </c>
      <c r="K1388">
        <f t="shared" si="233"/>
        <v>1.0467394398169905</v>
      </c>
      <c r="L1388">
        <f>-$B$5*$B$12-IF($B$3,Tabelle2[[#This Row],[Fd]]*Tabelle2[[#This Row],[vy]]/Tabelle2[[#This Row],[v]],0)</f>
        <v>-14.715</v>
      </c>
      <c r="M1388">
        <f t="shared" si="234"/>
        <v>-9.81</v>
      </c>
      <c r="N1388">
        <f t="shared" si="235"/>
        <v>-0.19620000000000001</v>
      </c>
      <c r="O1388">
        <f t="shared" si="236"/>
        <v>-4.1892465120881051</v>
      </c>
      <c r="P1388" s="1">
        <f t="shared" si="238"/>
        <v>52.336971990849527</v>
      </c>
      <c r="Q1388" s="1">
        <f t="shared" si="239"/>
        <v>-209.36422560440525</v>
      </c>
      <c r="R1388">
        <f>SQRT(Tabelle2[[#This Row],[vx]]*Tabelle2[[#This Row],[vx]]+Tabelle2[[#This Row],[vy]]*Tabelle2[[#This Row],[vy]])</f>
        <v>215.80671351953643</v>
      </c>
      <c r="S1388">
        <f t="shared" si="240"/>
        <v>1449.7341241465149</v>
      </c>
      <c r="T1388" s="1">
        <f t="shared" si="241"/>
        <v>-2034.1171744613337</v>
      </c>
    </row>
    <row r="1389" spans="6:20" x14ac:dyDescent="0.35">
      <c r="F1389" s="1">
        <f t="shared" si="237"/>
        <v>27.719999999999498</v>
      </c>
      <c r="G1389">
        <f>1/2*$B$8*$B$6*$B$7*(Tabelle2[[#This Row],[vx]]*Tabelle2[[#This Row],[vx]]+Tabelle2[[#This Row],[vy]]*Tabelle2[[#This Row],[vy]])/1000000</f>
        <v>82.528420474225726</v>
      </c>
      <c r="H1389">
        <f>IF($B$3,-Tabelle2[[#This Row],[Fd]]*Tabelle2[[#This Row],[vx]]/Tabelle2[[#This Row],[v]],0)</f>
        <v>0</v>
      </c>
      <c r="I1389">
        <f t="shared" si="231"/>
        <v>0</v>
      </c>
      <c r="J1389">
        <f t="shared" si="232"/>
        <v>0</v>
      </c>
      <c r="K1389">
        <f t="shared" si="233"/>
        <v>1.0467394398169905</v>
      </c>
      <c r="L1389">
        <f>-$B$5*$B$12-IF($B$3,Tabelle2[[#This Row],[Fd]]*Tabelle2[[#This Row],[vy]]/Tabelle2[[#This Row],[v]],0)</f>
        <v>-14.715</v>
      </c>
      <c r="M1389">
        <f t="shared" si="234"/>
        <v>-9.81</v>
      </c>
      <c r="N1389">
        <f t="shared" si="235"/>
        <v>-0.19620000000000001</v>
      </c>
      <c r="O1389">
        <f t="shared" si="236"/>
        <v>-4.1931705120881047</v>
      </c>
      <c r="P1389" s="1">
        <f t="shared" si="238"/>
        <v>52.336971990849527</v>
      </c>
      <c r="Q1389" s="1">
        <f t="shared" si="239"/>
        <v>-209.56042560440525</v>
      </c>
      <c r="R1389">
        <f>SQRT(Tabelle2[[#This Row],[vx]]*Tabelle2[[#This Row],[vx]]+Tabelle2[[#This Row],[vy]]*Tabelle2[[#This Row],[vy]])</f>
        <v>215.99706159267637</v>
      </c>
      <c r="S1389">
        <f t="shared" si="240"/>
        <v>1450.7808635863319</v>
      </c>
      <c r="T1389" s="1">
        <f t="shared" si="241"/>
        <v>-2038.3064209734218</v>
      </c>
    </row>
    <row r="1390" spans="6:20" x14ac:dyDescent="0.35">
      <c r="F1390" s="1">
        <f t="shared" si="237"/>
        <v>27.739999999999498</v>
      </c>
      <c r="G1390">
        <f>1/2*$B$8*$B$6*$B$7*(Tabelle2[[#This Row],[vx]]*Tabelle2[[#This Row],[vx]]+Tabelle2[[#This Row],[vy]]*Tabelle2[[#This Row],[vy]])/1000000</f>
        <v>82.673949416569144</v>
      </c>
      <c r="H1390">
        <f>IF($B$3,-Tabelle2[[#This Row],[Fd]]*Tabelle2[[#This Row],[vx]]/Tabelle2[[#This Row],[v]],0)</f>
        <v>0</v>
      </c>
      <c r="I1390">
        <f t="shared" si="231"/>
        <v>0</v>
      </c>
      <c r="J1390">
        <f t="shared" si="232"/>
        <v>0</v>
      </c>
      <c r="K1390">
        <f t="shared" si="233"/>
        <v>1.0467394398169905</v>
      </c>
      <c r="L1390">
        <f>-$B$5*$B$12-IF($B$3,Tabelle2[[#This Row],[Fd]]*Tabelle2[[#This Row],[vy]]/Tabelle2[[#This Row],[v]],0)</f>
        <v>-14.715</v>
      </c>
      <c r="M1390">
        <f t="shared" si="234"/>
        <v>-9.81</v>
      </c>
      <c r="N1390">
        <f t="shared" si="235"/>
        <v>-0.19620000000000001</v>
      </c>
      <c r="O1390">
        <f t="shared" si="236"/>
        <v>-4.1970945120881051</v>
      </c>
      <c r="P1390" s="1">
        <f t="shared" si="238"/>
        <v>52.336971990849527</v>
      </c>
      <c r="Q1390" s="1">
        <f t="shared" si="239"/>
        <v>-209.75662560440526</v>
      </c>
      <c r="R1390">
        <f>SQRT(Tabelle2[[#This Row],[vx]]*Tabelle2[[#This Row],[vx]]+Tabelle2[[#This Row],[vy]]*Tabelle2[[#This Row],[vy]])</f>
        <v>216.18742012919625</v>
      </c>
      <c r="S1390">
        <f t="shared" si="240"/>
        <v>1451.8276030261488</v>
      </c>
      <c r="T1390" s="1">
        <f t="shared" si="241"/>
        <v>-2042.4995914855099</v>
      </c>
    </row>
    <row r="1391" spans="6:20" x14ac:dyDescent="0.35">
      <c r="F1391" s="1">
        <f t="shared" si="237"/>
        <v>27.759999999999497</v>
      </c>
      <c r="G1391">
        <f>1/2*$B$8*$B$6*$B$7*(Tabelle2[[#This Row],[vx]]*Tabelle2[[#This Row],[vx]]+Tabelle2[[#This Row],[vy]]*Tabelle2[[#This Row],[vy]])/1000000</f>
        <v>82.819614545973906</v>
      </c>
      <c r="H1391">
        <f>IF($B$3,-Tabelle2[[#This Row],[Fd]]*Tabelle2[[#This Row],[vx]]/Tabelle2[[#This Row],[v]],0)</f>
        <v>0</v>
      </c>
      <c r="I1391">
        <f t="shared" si="231"/>
        <v>0</v>
      </c>
      <c r="J1391">
        <f t="shared" si="232"/>
        <v>0</v>
      </c>
      <c r="K1391">
        <f t="shared" si="233"/>
        <v>1.0467394398169905</v>
      </c>
      <c r="L1391">
        <f>-$B$5*$B$12-IF($B$3,Tabelle2[[#This Row],[Fd]]*Tabelle2[[#This Row],[vy]]/Tabelle2[[#This Row],[v]],0)</f>
        <v>-14.715</v>
      </c>
      <c r="M1391">
        <f t="shared" si="234"/>
        <v>-9.81</v>
      </c>
      <c r="N1391">
        <f t="shared" si="235"/>
        <v>-0.19620000000000001</v>
      </c>
      <c r="O1391">
        <f t="shared" si="236"/>
        <v>-4.2010185120881047</v>
      </c>
      <c r="P1391" s="1">
        <f t="shared" si="238"/>
        <v>52.336971990849527</v>
      </c>
      <c r="Q1391" s="1">
        <f t="shared" si="239"/>
        <v>-209.95282560440526</v>
      </c>
      <c r="R1391">
        <f>SQRT(Tabelle2[[#This Row],[vx]]*Tabelle2[[#This Row],[vx]]+Tabelle2[[#This Row],[vy]]*Tabelle2[[#This Row],[vy]])</f>
        <v>216.37778910148052</v>
      </c>
      <c r="S1391">
        <f t="shared" si="240"/>
        <v>1452.8743424659658</v>
      </c>
      <c r="T1391" s="1">
        <f t="shared" si="241"/>
        <v>-2046.696685997598</v>
      </c>
    </row>
    <row r="1392" spans="6:20" x14ac:dyDescent="0.35">
      <c r="F1392" s="1">
        <f t="shared" si="237"/>
        <v>27.779999999999497</v>
      </c>
      <c r="G1392">
        <f>1/2*$B$8*$B$6*$B$7*(Tabelle2[[#This Row],[vx]]*Tabelle2[[#This Row],[vx]]+Tabelle2[[#This Row],[vy]]*Tabelle2[[#This Row],[vy]])/1000000</f>
        <v>82.965415862440025</v>
      </c>
      <c r="H1392">
        <f>IF($B$3,-Tabelle2[[#This Row],[Fd]]*Tabelle2[[#This Row],[vx]]/Tabelle2[[#This Row],[v]],0)</f>
        <v>0</v>
      </c>
      <c r="I1392">
        <f t="shared" si="231"/>
        <v>0</v>
      </c>
      <c r="J1392">
        <f t="shared" si="232"/>
        <v>0</v>
      </c>
      <c r="K1392">
        <f t="shared" si="233"/>
        <v>1.0467394398169905</v>
      </c>
      <c r="L1392">
        <f>-$B$5*$B$12-IF($B$3,Tabelle2[[#This Row],[Fd]]*Tabelle2[[#This Row],[vy]]/Tabelle2[[#This Row],[v]],0)</f>
        <v>-14.715</v>
      </c>
      <c r="M1392">
        <f t="shared" si="234"/>
        <v>-9.81</v>
      </c>
      <c r="N1392">
        <f t="shared" si="235"/>
        <v>-0.19620000000000001</v>
      </c>
      <c r="O1392">
        <f t="shared" si="236"/>
        <v>-4.2049425120881052</v>
      </c>
      <c r="P1392" s="1">
        <f t="shared" si="238"/>
        <v>52.336971990849527</v>
      </c>
      <c r="Q1392" s="1">
        <f t="shared" si="239"/>
        <v>-210.14902560440527</v>
      </c>
      <c r="R1392">
        <f>SQRT(Tabelle2[[#This Row],[vx]]*Tabelle2[[#This Row],[vx]]+Tabelle2[[#This Row],[vy]]*Tabelle2[[#This Row],[vy]])</f>
        <v>216.56816848200927</v>
      </c>
      <c r="S1392">
        <f t="shared" si="240"/>
        <v>1453.9210819057828</v>
      </c>
      <c r="T1392" s="1">
        <f t="shared" si="241"/>
        <v>-2050.8977045096863</v>
      </c>
    </row>
    <row r="1393" spans="6:20" x14ac:dyDescent="0.35">
      <c r="F1393" s="1">
        <f t="shared" si="237"/>
        <v>27.799999999999496</v>
      </c>
      <c r="G1393">
        <f>1/2*$B$8*$B$6*$B$7*(Tabelle2[[#This Row],[vx]]*Tabelle2[[#This Row],[vx]]+Tabelle2[[#This Row],[vy]]*Tabelle2[[#This Row],[vy]])/1000000</f>
        <v>83.111353365967446</v>
      </c>
      <c r="H1393">
        <f>IF($B$3,-Tabelle2[[#This Row],[Fd]]*Tabelle2[[#This Row],[vx]]/Tabelle2[[#This Row],[v]],0)</f>
        <v>0</v>
      </c>
      <c r="I1393">
        <f t="shared" si="231"/>
        <v>0</v>
      </c>
      <c r="J1393">
        <f t="shared" si="232"/>
        <v>0</v>
      </c>
      <c r="K1393">
        <f t="shared" si="233"/>
        <v>1.0467394398169905</v>
      </c>
      <c r="L1393">
        <f>-$B$5*$B$12-IF($B$3,Tabelle2[[#This Row],[Fd]]*Tabelle2[[#This Row],[vy]]/Tabelle2[[#This Row],[v]],0)</f>
        <v>-14.715</v>
      </c>
      <c r="M1393">
        <f t="shared" si="234"/>
        <v>-9.81</v>
      </c>
      <c r="N1393">
        <f t="shared" si="235"/>
        <v>-0.19620000000000001</v>
      </c>
      <c r="O1393">
        <f t="shared" si="236"/>
        <v>-4.2088665120881057</v>
      </c>
      <c r="P1393" s="1">
        <f t="shared" si="238"/>
        <v>52.336971990849527</v>
      </c>
      <c r="Q1393" s="1">
        <f t="shared" si="239"/>
        <v>-210.34522560440527</v>
      </c>
      <c r="R1393">
        <f>SQRT(Tabelle2[[#This Row],[vx]]*Tabelle2[[#This Row],[vx]]+Tabelle2[[#This Row],[vy]]*Tabelle2[[#This Row],[vy]])</f>
        <v>216.75855824335778</v>
      </c>
      <c r="S1393">
        <f t="shared" si="240"/>
        <v>1454.9678213455998</v>
      </c>
      <c r="T1393" s="1">
        <f t="shared" si="241"/>
        <v>-2055.1026470217744</v>
      </c>
    </row>
    <row r="1394" spans="6:20" x14ac:dyDescent="0.35">
      <c r="F1394" s="1">
        <f t="shared" si="237"/>
        <v>27.819999999999496</v>
      </c>
      <c r="G1394">
        <f>1/2*$B$8*$B$6*$B$7*(Tabelle2[[#This Row],[vx]]*Tabelle2[[#This Row],[vx]]+Tabelle2[[#This Row],[vy]]*Tabelle2[[#This Row],[vy]])/1000000</f>
        <v>83.257427056556253</v>
      </c>
      <c r="H1394">
        <f>IF($B$3,-Tabelle2[[#This Row],[Fd]]*Tabelle2[[#This Row],[vx]]/Tabelle2[[#This Row],[v]],0)</f>
        <v>0</v>
      </c>
      <c r="I1394">
        <f t="shared" si="231"/>
        <v>0</v>
      </c>
      <c r="J1394">
        <f t="shared" si="232"/>
        <v>0</v>
      </c>
      <c r="K1394">
        <f t="shared" si="233"/>
        <v>1.0467394398169905</v>
      </c>
      <c r="L1394">
        <f>-$B$5*$B$12-IF($B$3,Tabelle2[[#This Row],[Fd]]*Tabelle2[[#This Row],[vy]]/Tabelle2[[#This Row],[v]],0)</f>
        <v>-14.715</v>
      </c>
      <c r="M1394">
        <f t="shared" si="234"/>
        <v>-9.81</v>
      </c>
      <c r="N1394">
        <f t="shared" si="235"/>
        <v>-0.19620000000000001</v>
      </c>
      <c r="O1394">
        <f t="shared" si="236"/>
        <v>-4.2127905120881053</v>
      </c>
      <c r="P1394" s="1">
        <f t="shared" si="238"/>
        <v>52.336971990849527</v>
      </c>
      <c r="Q1394" s="1">
        <f t="shared" si="239"/>
        <v>-210.54142560440528</v>
      </c>
      <c r="R1394">
        <f>SQRT(Tabelle2[[#This Row],[vx]]*Tabelle2[[#This Row],[vx]]+Tabelle2[[#This Row],[vy]]*Tabelle2[[#This Row],[vy]])</f>
        <v>216.94895835819608</v>
      </c>
      <c r="S1394">
        <f t="shared" si="240"/>
        <v>1456.0145607854167</v>
      </c>
      <c r="T1394" s="1">
        <f t="shared" si="241"/>
        <v>-2059.3115135338626</v>
      </c>
    </row>
    <row r="1395" spans="6:20" x14ac:dyDescent="0.35">
      <c r="F1395" s="1">
        <f t="shared" si="237"/>
        <v>27.839999999999495</v>
      </c>
      <c r="G1395">
        <f>1/2*$B$8*$B$6*$B$7*(Tabelle2[[#This Row],[vx]]*Tabelle2[[#This Row],[vx]]+Tabelle2[[#This Row],[vy]]*Tabelle2[[#This Row],[vy]])/1000000</f>
        <v>83.403636934206375</v>
      </c>
      <c r="H1395">
        <f>IF($B$3,-Tabelle2[[#This Row],[Fd]]*Tabelle2[[#This Row],[vx]]/Tabelle2[[#This Row],[v]],0)</f>
        <v>0</v>
      </c>
      <c r="I1395">
        <f t="shared" si="231"/>
        <v>0</v>
      </c>
      <c r="J1395">
        <f t="shared" si="232"/>
        <v>0</v>
      </c>
      <c r="K1395">
        <f t="shared" si="233"/>
        <v>1.0467394398169905</v>
      </c>
      <c r="L1395">
        <f>-$B$5*$B$12-IF($B$3,Tabelle2[[#This Row],[Fd]]*Tabelle2[[#This Row],[vy]]/Tabelle2[[#This Row],[v]],0)</f>
        <v>-14.715</v>
      </c>
      <c r="M1395">
        <f t="shared" si="234"/>
        <v>-9.81</v>
      </c>
      <c r="N1395">
        <f t="shared" si="235"/>
        <v>-0.19620000000000001</v>
      </c>
      <c r="O1395">
        <f t="shared" si="236"/>
        <v>-4.2167145120881058</v>
      </c>
      <c r="P1395" s="1">
        <f t="shared" si="238"/>
        <v>52.336971990849527</v>
      </c>
      <c r="Q1395" s="1">
        <f t="shared" si="239"/>
        <v>-210.73762560440528</v>
      </c>
      <c r="R1395">
        <f>SQRT(Tabelle2[[#This Row],[vx]]*Tabelle2[[#This Row],[vx]]+Tabelle2[[#This Row],[vy]]*Tabelle2[[#This Row],[vy]])</f>
        <v>217.13936879928858</v>
      </c>
      <c r="S1395">
        <f t="shared" si="240"/>
        <v>1457.0613002252337</v>
      </c>
      <c r="T1395" s="1">
        <f t="shared" si="241"/>
        <v>-2063.5243040459509</v>
      </c>
    </row>
    <row r="1396" spans="6:20" x14ac:dyDescent="0.35">
      <c r="F1396" s="1">
        <f t="shared" si="237"/>
        <v>27.859999999999495</v>
      </c>
      <c r="G1396">
        <f>1/2*$B$8*$B$6*$B$7*(Tabelle2[[#This Row],[vx]]*Tabelle2[[#This Row],[vx]]+Tabelle2[[#This Row],[vy]]*Tabelle2[[#This Row],[vy]])/1000000</f>
        <v>83.549982998917869</v>
      </c>
      <c r="H1396">
        <f>IF($B$3,-Tabelle2[[#This Row],[Fd]]*Tabelle2[[#This Row],[vx]]/Tabelle2[[#This Row],[v]],0)</f>
        <v>0</v>
      </c>
      <c r="I1396">
        <f t="shared" si="231"/>
        <v>0</v>
      </c>
      <c r="J1396">
        <f t="shared" si="232"/>
        <v>0</v>
      </c>
      <c r="K1396">
        <f t="shared" si="233"/>
        <v>1.0467394398169905</v>
      </c>
      <c r="L1396">
        <f>-$B$5*$B$12-IF($B$3,Tabelle2[[#This Row],[Fd]]*Tabelle2[[#This Row],[vy]]/Tabelle2[[#This Row],[v]],0)</f>
        <v>-14.715</v>
      </c>
      <c r="M1396">
        <f t="shared" si="234"/>
        <v>-9.81</v>
      </c>
      <c r="N1396">
        <f t="shared" si="235"/>
        <v>-0.19620000000000001</v>
      </c>
      <c r="O1396">
        <f t="shared" si="236"/>
        <v>-4.2206385120881054</v>
      </c>
      <c r="P1396" s="1">
        <f t="shared" si="238"/>
        <v>52.336971990849527</v>
      </c>
      <c r="Q1396" s="1">
        <f t="shared" si="239"/>
        <v>-210.93382560440529</v>
      </c>
      <c r="R1396">
        <f>SQRT(Tabelle2[[#This Row],[vx]]*Tabelle2[[#This Row],[vx]]+Tabelle2[[#This Row],[vy]]*Tabelle2[[#This Row],[vy]])</f>
        <v>217.3297895394937</v>
      </c>
      <c r="S1396">
        <f t="shared" si="240"/>
        <v>1458.1080396650507</v>
      </c>
      <c r="T1396" s="1">
        <f t="shared" si="241"/>
        <v>-2067.7410185580388</v>
      </c>
    </row>
    <row r="1397" spans="6:20" x14ac:dyDescent="0.35">
      <c r="F1397" s="1">
        <f t="shared" si="237"/>
        <v>27.879999999999495</v>
      </c>
      <c r="G1397">
        <f>1/2*$B$8*$B$6*$B$7*(Tabelle2[[#This Row],[vx]]*Tabelle2[[#This Row],[vx]]+Tabelle2[[#This Row],[vy]]*Tabelle2[[#This Row],[vy]])/1000000</f>
        <v>83.696465250690679</v>
      </c>
      <c r="H1397">
        <f>IF($B$3,-Tabelle2[[#This Row],[Fd]]*Tabelle2[[#This Row],[vx]]/Tabelle2[[#This Row],[v]],0)</f>
        <v>0</v>
      </c>
      <c r="I1397">
        <f t="shared" si="231"/>
        <v>0</v>
      </c>
      <c r="J1397">
        <f t="shared" si="232"/>
        <v>0</v>
      </c>
      <c r="K1397">
        <f t="shared" si="233"/>
        <v>1.0467394398169905</v>
      </c>
      <c r="L1397">
        <f>-$B$5*$B$12-IF($B$3,Tabelle2[[#This Row],[Fd]]*Tabelle2[[#This Row],[vy]]/Tabelle2[[#This Row],[v]],0)</f>
        <v>-14.715</v>
      </c>
      <c r="M1397">
        <f t="shared" si="234"/>
        <v>-9.81</v>
      </c>
      <c r="N1397">
        <f t="shared" si="235"/>
        <v>-0.19620000000000001</v>
      </c>
      <c r="O1397">
        <f t="shared" si="236"/>
        <v>-4.2245625120881058</v>
      </c>
      <c r="P1397" s="1">
        <f t="shared" si="238"/>
        <v>52.336971990849527</v>
      </c>
      <c r="Q1397" s="1">
        <f t="shared" si="239"/>
        <v>-211.13002560440529</v>
      </c>
      <c r="R1397">
        <f>SQRT(Tabelle2[[#This Row],[vx]]*Tabelle2[[#This Row],[vx]]+Tabelle2[[#This Row],[vy]]*Tabelle2[[#This Row],[vy]])</f>
        <v>217.52022055176343</v>
      </c>
      <c r="S1397">
        <f t="shared" si="240"/>
        <v>1459.1547791048677</v>
      </c>
      <c r="T1397" s="1">
        <f t="shared" si="241"/>
        <v>-2071.9616570701269</v>
      </c>
    </row>
    <row r="1398" spans="6:20" x14ac:dyDescent="0.35">
      <c r="F1398" s="1">
        <f t="shared" si="237"/>
        <v>27.899999999999494</v>
      </c>
      <c r="G1398">
        <f>1/2*$B$8*$B$6*$B$7*(Tabelle2[[#This Row],[vx]]*Tabelle2[[#This Row],[vx]]+Tabelle2[[#This Row],[vy]]*Tabelle2[[#This Row],[vy]])/1000000</f>
        <v>83.843083689524846</v>
      </c>
      <c r="H1398">
        <f>IF($B$3,-Tabelle2[[#This Row],[Fd]]*Tabelle2[[#This Row],[vx]]/Tabelle2[[#This Row],[v]],0)</f>
        <v>0</v>
      </c>
      <c r="I1398">
        <f t="shared" si="231"/>
        <v>0</v>
      </c>
      <c r="J1398">
        <f t="shared" si="232"/>
        <v>0</v>
      </c>
      <c r="K1398">
        <f t="shared" si="233"/>
        <v>1.0467394398169905</v>
      </c>
      <c r="L1398">
        <f>-$B$5*$B$12-IF($B$3,Tabelle2[[#This Row],[Fd]]*Tabelle2[[#This Row],[vy]]/Tabelle2[[#This Row],[v]],0)</f>
        <v>-14.715</v>
      </c>
      <c r="M1398">
        <f t="shared" si="234"/>
        <v>-9.81</v>
      </c>
      <c r="N1398">
        <f t="shared" si="235"/>
        <v>-0.19620000000000001</v>
      </c>
      <c r="O1398">
        <f t="shared" si="236"/>
        <v>-4.2284865120881054</v>
      </c>
      <c r="P1398" s="1">
        <f t="shared" si="238"/>
        <v>52.336971990849527</v>
      </c>
      <c r="Q1398" s="1">
        <f t="shared" si="239"/>
        <v>-211.32622560440529</v>
      </c>
      <c r="R1398">
        <f>SQRT(Tabelle2[[#This Row],[vx]]*Tabelle2[[#This Row],[vx]]+Tabelle2[[#This Row],[vy]]*Tabelle2[[#This Row],[vy]])</f>
        <v>217.71066180914286</v>
      </c>
      <c r="S1398">
        <f t="shared" si="240"/>
        <v>1460.2015185446846</v>
      </c>
      <c r="T1398" s="1">
        <f t="shared" si="241"/>
        <v>-2076.186219582215</v>
      </c>
    </row>
    <row r="1399" spans="6:20" x14ac:dyDescent="0.35">
      <c r="F1399" s="1">
        <f t="shared" si="237"/>
        <v>27.919999999999494</v>
      </c>
      <c r="G1399">
        <f>1/2*$B$8*$B$6*$B$7*(Tabelle2[[#This Row],[vx]]*Tabelle2[[#This Row],[vx]]+Tabelle2[[#This Row],[vy]]*Tabelle2[[#This Row],[vy]])/1000000</f>
        <v>83.989838315420357</v>
      </c>
      <c r="H1399">
        <f>IF($B$3,-Tabelle2[[#This Row],[Fd]]*Tabelle2[[#This Row],[vx]]/Tabelle2[[#This Row],[v]],0)</f>
        <v>0</v>
      </c>
      <c r="I1399">
        <f t="shared" si="231"/>
        <v>0</v>
      </c>
      <c r="J1399">
        <f t="shared" si="232"/>
        <v>0</v>
      </c>
      <c r="K1399">
        <f t="shared" si="233"/>
        <v>1.0467394398169905</v>
      </c>
      <c r="L1399">
        <f>-$B$5*$B$12-IF($B$3,Tabelle2[[#This Row],[Fd]]*Tabelle2[[#This Row],[vy]]/Tabelle2[[#This Row],[v]],0)</f>
        <v>-14.715</v>
      </c>
      <c r="M1399">
        <f t="shared" si="234"/>
        <v>-9.81</v>
      </c>
      <c r="N1399">
        <f t="shared" si="235"/>
        <v>-0.19620000000000001</v>
      </c>
      <c r="O1399">
        <f t="shared" si="236"/>
        <v>-4.2324105120881059</v>
      </c>
      <c r="P1399" s="1">
        <f t="shared" si="238"/>
        <v>52.336971990849527</v>
      </c>
      <c r="Q1399" s="1">
        <f t="shared" si="239"/>
        <v>-211.5224256044053</v>
      </c>
      <c r="R1399">
        <f>SQRT(Tabelle2[[#This Row],[vx]]*Tabelle2[[#This Row],[vx]]+Tabelle2[[#This Row],[vy]]*Tabelle2[[#This Row],[vy]])</f>
        <v>217.90111328476993</v>
      </c>
      <c r="S1399">
        <f t="shared" si="240"/>
        <v>1461.2482579845016</v>
      </c>
      <c r="T1399" s="1">
        <f t="shared" si="241"/>
        <v>-2080.4147060943033</v>
      </c>
    </row>
    <row r="1400" spans="6:20" x14ac:dyDescent="0.35">
      <c r="F1400" s="1">
        <f t="shared" si="237"/>
        <v>27.939999999999493</v>
      </c>
      <c r="G1400">
        <f>1/2*$B$8*$B$6*$B$7*(Tabelle2[[#This Row],[vx]]*Tabelle2[[#This Row],[vx]]+Tabelle2[[#This Row],[vy]]*Tabelle2[[#This Row],[vy]])/1000000</f>
        <v>84.136729128377212</v>
      </c>
      <c r="H1400">
        <f>IF($B$3,-Tabelle2[[#This Row],[Fd]]*Tabelle2[[#This Row],[vx]]/Tabelle2[[#This Row],[v]],0)</f>
        <v>0</v>
      </c>
      <c r="I1400">
        <f t="shared" si="231"/>
        <v>0</v>
      </c>
      <c r="J1400">
        <f t="shared" si="232"/>
        <v>0</v>
      </c>
      <c r="K1400">
        <f t="shared" si="233"/>
        <v>1.0467394398169905</v>
      </c>
      <c r="L1400">
        <f>-$B$5*$B$12-IF($B$3,Tabelle2[[#This Row],[Fd]]*Tabelle2[[#This Row],[vy]]/Tabelle2[[#This Row],[v]],0)</f>
        <v>-14.715</v>
      </c>
      <c r="M1400">
        <f t="shared" si="234"/>
        <v>-9.81</v>
      </c>
      <c r="N1400">
        <f t="shared" si="235"/>
        <v>-0.19620000000000001</v>
      </c>
      <c r="O1400">
        <f t="shared" si="236"/>
        <v>-4.2363345120881055</v>
      </c>
      <c r="P1400" s="1">
        <f t="shared" si="238"/>
        <v>52.336971990849527</v>
      </c>
      <c r="Q1400" s="1">
        <f t="shared" si="239"/>
        <v>-211.7186256044053</v>
      </c>
      <c r="R1400">
        <f>SQRT(Tabelle2[[#This Row],[vx]]*Tabelle2[[#This Row],[vx]]+Tabelle2[[#This Row],[vy]]*Tabelle2[[#This Row],[vy]])</f>
        <v>218.091574951875</v>
      </c>
      <c r="S1400">
        <f t="shared" si="240"/>
        <v>1462.2949974243186</v>
      </c>
      <c r="T1400" s="1">
        <f t="shared" si="241"/>
        <v>-2084.6471166063911</v>
      </c>
    </row>
    <row r="1401" spans="6:20" x14ac:dyDescent="0.35">
      <c r="F1401" s="1">
        <f t="shared" si="237"/>
        <v>27.959999999999493</v>
      </c>
      <c r="G1401">
        <f>1/2*$B$8*$B$6*$B$7*(Tabelle2[[#This Row],[vx]]*Tabelle2[[#This Row],[vx]]+Tabelle2[[#This Row],[vy]]*Tabelle2[[#This Row],[vy]])/1000000</f>
        <v>84.28375612839541</v>
      </c>
      <c r="H1401">
        <f>IF($B$3,-Tabelle2[[#This Row],[Fd]]*Tabelle2[[#This Row],[vx]]/Tabelle2[[#This Row],[v]],0)</f>
        <v>0</v>
      </c>
      <c r="I1401">
        <f t="shared" si="231"/>
        <v>0</v>
      </c>
      <c r="J1401">
        <f t="shared" si="232"/>
        <v>0</v>
      </c>
      <c r="K1401">
        <f t="shared" si="233"/>
        <v>1.0467394398169905</v>
      </c>
      <c r="L1401">
        <f>-$B$5*$B$12-IF($B$3,Tabelle2[[#This Row],[Fd]]*Tabelle2[[#This Row],[vy]]/Tabelle2[[#This Row],[v]],0)</f>
        <v>-14.715</v>
      </c>
      <c r="M1401">
        <f t="shared" si="234"/>
        <v>-9.81</v>
      </c>
      <c r="N1401">
        <f t="shared" si="235"/>
        <v>-0.19620000000000001</v>
      </c>
      <c r="O1401">
        <f t="shared" si="236"/>
        <v>-4.240258512088106</v>
      </c>
      <c r="P1401" s="1">
        <f t="shared" si="238"/>
        <v>52.336971990849527</v>
      </c>
      <c r="Q1401" s="1">
        <f t="shared" si="239"/>
        <v>-211.91482560440531</v>
      </c>
      <c r="R1401">
        <f>SQRT(Tabelle2[[#This Row],[vx]]*Tabelle2[[#This Row],[vx]]+Tabelle2[[#This Row],[vy]]*Tabelle2[[#This Row],[vy]])</f>
        <v>218.28204678378037</v>
      </c>
      <c r="S1401">
        <f t="shared" si="240"/>
        <v>1463.3417368641356</v>
      </c>
      <c r="T1401" s="1">
        <f t="shared" si="241"/>
        <v>-2088.8834511184791</v>
      </c>
    </row>
    <row r="1402" spans="6:20" x14ac:dyDescent="0.35">
      <c r="F1402" s="1">
        <f t="shared" si="237"/>
        <v>27.979999999999492</v>
      </c>
      <c r="G1402">
        <f>1/2*$B$8*$B$6*$B$7*(Tabelle2[[#This Row],[vx]]*Tabelle2[[#This Row],[vx]]+Tabelle2[[#This Row],[vy]]*Tabelle2[[#This Row],[vy]])/1000000</f>
        <v>84.430919315474952</v>
      </c>
      <c r="H1402">
        <f>IF($B$3,-Tabelle2[[#This Row],[Fd]]*Tabelle2[[#This Row],[vx]]/Tabelle2[[#This Row],[v]],0)</f>
        <v>0</v>
      </c>
      <c r="I1402">
        <f t="shared" si="231"/>
        <v>0</v>
      </c>
      <c r="J1402">
        <f t="shared" si="232"/>
        <v>0</v>
      </c>
      <c r="K1402">
        <f t="shared" si="233"/>
        <v>1.0467394398169905</v>
      </c>
      <c r="L1402">
        <f>-$B$5*$B$12-IF($B$3,Tabelle2[[#This Row],[Fd]]*Tabelle2[[#This Row],[vy]]/Tabelle2[[#This Row],[v]],0)</f>
        <v>-14.715</v>
      </c>
      <c r="M1402">
        <f t="shared" si="234"/>
        <v>-9.81</v>
      </c>
      <c r="N1402">
        <f t="shared" si="235"/>
        <v>-0.19620000000000001</v>
      </c>
      <c r="O1402">
        <f t="shared" si="236"/>
        <v>-4.2441825120881065</v>
      </c>
      <c r="P1402" s="1">
        <f t="shared" si="238"/>
        <v>52.336971990849527</v>
      </c>
      <c r="Q1402" s="1">
        <f t="shared" si="239"/>
        <v>-212.11102560440531</v>
      </c>
      <c r="R1402">
        <f>SQRT(Tabelle2[[#This Row],[vx]]*Tabelle2[[#This Row],[vx]]+Tabelle2[[#This Row],[vy]]*Tabelle2[[#This Row],[vy]])</f>
        <v>218.47252875389998</v>
      </c>
      <c r="S1402">
        <f t="shared" si="240"/>
        <v>1464.3884763039525</v>
      </c>
      <c r="T1402" s="1">
        <f t="shared" si="241"/>
        <v>-2093.1237096305672</v>
      </c>
    </row>
    <row r="1403" spans="6:20" x14ac:dyDescent="0.35">
      <c r="F1403" s="1">
        <f t="shared" si="237"/>
        <v>27.999999999999492</v>
      </c>
      <c r="G1403">
        <f>1/2*$B$8*$B$6*$B$7*(Tabelle2[[#This Row],[vx]]*Tabelle2[[#This Row],[vx]]+Tabelle2[[#This Row],[vy]]*Tabelle2[[#This Row],[vy]])/1000000</f>
        <v>84.578218689615824</v>
      </c>
      <c r="H1403">
        <f>IF($B$3,-Tabelle2[[#This Row],[Fd]]*Tabelle2[[#This Row],[vx]]/Tabelle2[[#This Row],[v]],0)</f>
        <v>0</v>
      </c>
      <c r="I1403">
        <f t="shared" si="231"/>
        <v>0</v>
      </c>
      <c r="J1403">
        <f t="shared" si="232"/>
        <v>0</v>
      </c>
      <c r="K1403">
        <f t="shared" si="233"/>
        <v>1.0467394398169905</v>
      </c>
      <c r="L1403">
        <f>-$B$5*$B$12-IF($B$3,Tabelle2[[#This Row],[Fd]]*Tabelle2[[#This Row],[vy]]/Tabelle2[[#This Row],[v]],0)</f>
        <v>-14.715</v>
      </c>
      <c r="M1403">
        <f t="shared" si="234"/>
        <v>-9.81</v>
      </c>
      <c r="N1403">
        <f t="shared" si="235"/>
        <v>-0.19620000000000001</v>
      </c>
      <c r="O1403">
        <f t="shared" si="236"/>
        <v>-4.2481065120881061</v>
      </c>
      <c r="P1403" s="1">
        <f t="shared" si="238"/>
        <v>52.336971990849527</v>
      </c>
      <c r="Q1403" s="1">
        <f t="shared" si="239"/>
        <v>-212.30722560440532</v>
      </c>
      <c r="R1403">
        <f>SQRT(Tabelle2[[#This Row],[vx]]*Tabelle2[[#This Row],[vx]]+Tabelle2[[#This Row],[vy]]*Tabelle2[[#This Row],[vy]])</f>
        <v>218.66302083573899</v>
      </c>
      <c r="S1403">
        <f t="shared" si="240"/>
        <v>1465.4352157437695</v>
      </c>
      <c r="T1403" s="1">
        <f t="shared" si="241"/>
        <v>-2097.3678921426554</v>
      </c>
    </row>
    <row r="1404" spans="6:20" x14ac:dyDescent="0.35">
      <c r="F1404" s="1">
        <f t="shared" si="237"/>
        <v>28.019999999999492</v>
      </c>
      <c r="G1404">
        <f>1/2*$B$8*$B$6*$B$7*(Tabelle2[[#This Row],[vx]]*Tabelle2[[#This Row],[vx]]+Tabelle2[[#This Row],[vy]]*Tabelle2[[#This Row],[vy]])/1000000</f>
        <v>84.725654250818053</v>
      </c>
      <c r="H1404">
        <f>IF($B$3,-Tabelle2[[#This Row],[Fd]]*Tabelle2[[#This Row],[vx]]/Tabelle2[[#This Row],[v]],0)</f>
        <v>0</v>
      </c>
      <c r="I1404">
        <f t="shared" si="231"/>
        <v>0</v>
      </c>
      <c r="J1404">
        <f t="shared" si="232"/>
        <v>0</v>
      </c>
      <c r="K1404">
        <f t="shared" si="233"/>
        <v>1.0467394398169905</v>
      </c>
      <c r="L1404">
        <f>-$B$5*$B$12-IF($B$3,Tabelle2[[#This Row],[Fd]]*Tabelle2[[#This Row],[vy]]/Tabelle2[[#This Row],[v]],0)</f>
        <v>-14.715</v>
      </c>
      <c r="M1404">
        <f t="shared" si="234"/>
        <v>-9.81</v>
      </c>
      <c r="N1404">
        <f t="shared" si="235"/>
        <v>-0.19620000000000001</v>
      </c>
      <c r="O1404">
        <f t="shared" si="236"/>
        <v>-4.2520305120881066</v>
      </c>
      <c r="P1404" s="1">
        <f t="shared" si="238"/>
        <v>52.336971990849527</v>
      </c>
      <c r="Q1404" s="1">
        <f t="shared" si="239"/>
        <v>-212.50342560440532</v>
      </c>
      <c r="R1404">
        <f>SQRT(Tabelle2[[#This Row],[vx]]*Tabelle2[[#This Row],[vx]]+Tabelle2[[#This Row],[vy]]*Tabelle2[[#This Row],[vy]])</f>
        <v>218.85352300289341</v>
      </c>
      <c r="S1404">
        <f t="shared" si="240"/>
        <v>1466.4819551835865</v>
      </c>
      <c r="T1404" s="1">
        <f t="shared" si="241"/>
        <v>-2101.6159986547436</v>
      </c>
    </row>
    <row r="1405" spans="6:20" x14ac:dyDescent="0.35">
      <c r="F1405" s="1">
        <f t="shared" si="237"/>
        <v>28.039999999999491</v>
      </c>
      <c r="G1405">
        <f>1/2*$B$8*$B$6*$B$7*(Tabelle2[[#This Row],[vx]]*Tabelle2[[#This Row],[vx]]+Tabelle2[[#This Row],[vy]]*Tabelle2[[#This Row],[vy]])/1000000</f>
        <v>84.87322599908164</v>
      </c>
      <c r="H1405">
        <f>IF($B$3,-Tabelle2[[#This Row],[Fd]]*Tabelle2[[#This Row],[vx]]/Tabelle2[[#This Row],[v]],0)</f>
        <v>0</v>
      </c>
      <c r="I1405">
        <f t="shared" si="231"/>
        <v>0</v>
      </c>
      <c r="J1405">
        <f t="shared" si="232"/>
        <v>0</v>
      </c>
      <c r="K1405">
        <f t="shared" si="233"/>
        <v>1.0467394398169905</v>
      </c>
      <c r="L1405">
        <f>-$B$5*$B$12-IF($B$3,Tabelle2[[#This Row],[Fd]]*Tabelle2[[#This Row],[vy]]/Tabelle2[[#This Row],[v]],0)</f>
        <v>-14.715</v>
      </c>
      <c r="M1405">
        <f t="shared" si="234"/>
        <v>-9.81</v>
      </c>
      <c r="N1405">
        <f t="shared" si="235"/>
        <v>-0.19620000000000001</v>
      </c>
      <c r="O1405">
        <f t="shared" si="236"/>
        <v>-4.2559545120881062</v>
      </c>
      <c r="P1405" s="1">
        <f t="shared" si="238"/>
        <v>52.336971990849527</v>
      </c>
      <c r="Q1405" s="1">
        <f t="shared" si="239"/>
        <v>-212.69962560440533</v>
      </c>
      <c r="R1405">
        <f>SQRT(Tabelle2[[#This Row],[vx]]*Tabelle2[[#This Row],[vx]]+Tabelle2[[#This Row],[vy]]*Tabelle2[[#This Row],[vy]])</f>
        <v>219.04403522904971</v>
      </c>
      <c r="S1405">
        <f t="shared" si="240"/>
        <v>1467.5286946234035</v>
      </c>
      <c r="T1405" s="1">
        <f t="shared" si="241"/>
        <v>-2105.8680291668315</v>
      </c>
    </row>
    <row r="1406" spans="6:20" x14ac:dyDescent="0.35">
      <c r="F1406" s="1">
        <f t="shared" si="237"/>
        <v>28.059999999999491</v>
      </c>
      <c r="G1406">
        <f>1/2*$B$8*$B$6*$B$7*(Tabelle2[[#This Row],[vx]]*Tabelle2[[#This Row],[vx]]+Tabelle2[[#This Row],[vy]]*Tabelle2[[#This Row],[vy]])/1000000</f>
        <v>85.020933934406557</v>
      </c>
      <c r="H1406">
        <f>IF($B$3,-Tabelle2[[#This Row],[Fd]]*Tabelle2[[#This Row],[vx]]/Tabelle2[[#This Row],[v]],0)</f>
        <v>0</v>
      </c>
      <c r="I1406">
        <f t="shared" si="231"/>
        <v>0</v>
      </c>
      <c r="J1406">
        <f t="shared" si="232"/>
        <v>0</v>
      </c>
      <c r="K1406">
        <f t="shared" si="233"/>
        <v>1.0467394398169905</v>
      </c>
      <c r="L1406">
        <f>-$B$5*$B$12-IF($B$3,Tabelle2[[#This Row],[Fd]]*Tabelle2[[#This Row],[vy]]/Tabelle2[[#This Row],[v]],0)</f>
        <v>-14.715</v>
      </c>
      <c r="M1406">
        <f t="shared" si="234"/>
        <v>-9.81</v>
      </c>
      <c r="N1406">
        <f t="shared" si="235"/>
        <v>-0.19620000000000001</v>
      </c>
      <c r="O1406">
        <f t="shared" si="236"/>
        <v>-4.2598785120881066</v>
      </c>
      <c r="P1406" s="1">
        <f t="shared" si="238"/>
        <v>52.336971990849527</v>
      </c>
      <c r="Q1406" s="1">
        <f t="shared" si="239"/>
        <v>-212.89582560440533</v>
      </c>
      <c r="R1406">
        <f>SQRT(Tabelle2[[#This Row],[vx]]*Tabelle2[[#This Row],[vx]]+Tabelle2[[#This Row],[vy]]*Tabelle2[[#This Row],[vy]])</f>
        <v>219.2345574879844</v>
      </c>
      <c r="S1406">
        <f t="shared" si="240"/>
        <v>1468.5754340632204</v>
      </c>
      <c r="T1406" s="1">
        <f t="shared" si="241"/>
        <v>-2110.1239836789196</v>
      </c>
    </row>
    <row r="1407" spans="6:20" x14ac:dyDescent="0.35">
      <c r="F1407" s="1">
        <f t="shared" si="237"/>
        <v>28.07999999999949</v>
      </c>
      <c r="G1407">
        <f>1/2*$B$8*$B$6*$B$7*(Tabelle2[[#This Row],[vx]]*Tabelle2[[#This Row],[vx]]+Tabelle2[[#This Row],[vy]]*Tabelle2[[#This Row],[vy]])/1000000</f>
        <v>85.168778056792831</v>
      </c>
      <c r="H1407">
        <f>IF($B$3,-Tabelle2[[#This Row],[Fd]]*Tabelle2[[#This Row],[vx]]/Tabelle2[[#This Row],[v]],0)</f>
        <v>0</v>
      </c>
      <c r="I1407">
        <f t="shared" si="231"/>
        <v>0</v>
      </c>
      <c r="J1407">
        <f t="shared" si="232"/>
        <v>0</v>
      </c>
      <c r="K1407">
        <f t="shared" si="233"/>
        <v>1.0467394398169905</v>
      </c>
      <c r="L1407">
        <f>-$B$5*$B$12-IF($B$3,Tabelle2[[#This Row],[Fd]]*Tabelle2[[#This Row],[vy]]/Tabelle2[[#This Row],[v]],0)</f>
        <v>-14.715</v>
      </c>
      <c r="M1407">
        <f t="shared" si="234"/>
        <v>-9.81</v>
      </c>
      <c r="N1407">
        <f t="shared" si="235"/>
        <v>-0.19620000000000001</v>
      </c>
      <c r="O1407">
        <f t="shared" si="236"/>
        <v>-4.2638025120881062</v>
      </c>
      <c r="P1407" s="1">
        <f t="shared" si="238"/>
        <v>52.336971990849527</v>
      </c>
      <c r="Q1407" s="1">
        <f t="shared" si="239"/>
        <v>-213.09202560440534</v>
      </c>
      <c r="R1407">
        <f>SQRT(Tabelle2[[#This Row],[vx]]*Tabelle2[[#This Row],[vx]]+Tabelle2[[#This Row],[vy]]*Tabelle2[[#This Row],[vy]])</f>
        <v>219.42508975356375</v>
      </c>
      <c r="S1407">
        <f t="shared" si="240"/>
        <v>1469.6221735030374</v>
      </c>
      <c r="T1407" s="1">
        <f t="shared" si="241"/>
        <v>-2114.3838621910077</v>
      </c>
    </row>
    <row r="1408" spans="6:20" x14ac:dyDescent="0.35">
      <c r="F1408" s="1">
        <f t="shared" si="237"/>
        <v>28.09999999999949</v>
      </c>
      <c r="G1408">
        <f>1/2*$B$8*$B$6*$B$7*(Tabelle2[[#This Row],[vx]]*Tabelle2[[#This Row],[vx]]+Tabelle2[[#This Row],[vy]]*Tabelle2[[#This Row],[vy]])/1000000</f>
        <v>85.316758366240421</v>
      </c>
      <c r="H1408">
        <f>IF($B$3,-Tabelle2[[#This Row],[Fd]]*Tabelle2[[#This Row],[vx]]/Tabelle2[[#This Row],[v]],0)</f>
        <v>0</v>
      </c>
      <c r="I1408">
        <f t="shared" si="231"/>
        <v>0</v>
      </c>
      <c r="J1408">
        <f t="shared" si="232"/>
        <v>0</v>
      </c>
      <c r="K1408">
        <f t="shared" si="233"/>
        <v>1.0467394398169905</v>
      </c>
      <c r="L1408">
        <f>-$B$5*$B$12-IF($B$3,Tabelle2[[#This Row],[Fd]]*Tabelle2[[#This Row],[vy]]/Tabelle2[[#This Row],[v]],0)</f>
        <v>-14.715</v>
      </c>
      <c r="M1408">
        <f t="shared" si="234"/>
        <v>-9.81</v>
      </c>
      <c r="N1408">
        <f t="shared" si="235"/>
        <v>-0.19620000000000001</v>
      </c>
      <c r="O1408">
        <f t="shared" si="236"/>
        <v>-4.2677265120881067</v>
      </c>
      <c r="P1408" s="1">
        <f t="shared" si="238"/>
        <v>52.336971990849527</v>
      </c>
      <c r="Q1408" s="1">
        <f t="shared" si="239"/>
        <v>-213.28822560440534</v>
      </c>
      <c r="R1408">
        <f>SQRT(Tabelle2[[#This Row],[vx]]*Tabelle2[[#This Row],[vx]]+Tabelle2[[#This Row],[vy]]*Tabelle2[[#This Row],[vy]])</f>
        <v>219.61563199974333</v>
      </c>
      <c r="S1408">
        <f t="shared" si="240"/>
        <v>1470.6689129428544</v>
      </c>
      <c r="T1408" s="1">
        <f t="shared" si="241"/>
        <v>-2118.6476647030959</v>
      </c>
    </row>
    <row r="1409" spans="6:20" x14ac:dyDescent="0.35">
      <c r="F1409" s="1">
        <f t="shared" si="237"/>
        <v>28.119999999999489</v>
      </c>
      <c r="G1409">
        <f>1/2*$B$8*$B$6*$B$7*(Tabelle2[[#This Row],[vx]]*Tabelle2[[#This Row],[vx]]+Tabelle2[[#This Row],[vy]]*Tabelle2[[#This Row],[vy]])/1000000</f>
        <v>85.464874862749369</v>
      </c>
      <c r="H1409">
        <f>IF($B$3,-Tabelle2[[#This Row],[Fd]]*Tabelle2[[#This Row],[vx]]/Tabelle2[[#This Row],[v]],0)</f>
        <v>0</v>
      </c>
      <c r="I1409">
        <f t="shared" si="231"/>
        <v>0</v>
      </c>
      <c r="J1409">
        <f t="shared" si="232"/>
        <v>0</v>
      </c>
      <c r="K1409">
        <f t="shared" si="233"/>
        <v>1.0467394398169905</v>
      </c>
      <c r="L1409">
        <f>-$B$5*$B$12-IF($B$3,Tabelle2[[#This Row],[Fd]]*Tabelle2[[#This Row],[vy]]/Tabelle2[[#This Row],[v]],0)</f>
        <v>-14.715</v>
      </c>
      <c r="M1409">
        <f t="shared" si="234"/>
        <v>-9.81</v>
      </c>
      <c r="N1409">
        <f t="shared" si="235"/>
        <v>-0.19620000000000001</v>
      </c>
      <c r="O1409">
        <f t="shared" si="236"/>
        <v>-4.2716505120881063</v>
      </c>
      <c r="P1409" s="1">
        <f t="shared" si="238"/>
        <v>52.336971990849527</v>
      </c>
      <c r="Q1409" s="1">
        <f t="shared" si="239"/>
        <v>-213.48442560440535</v>
      </c>
      <c r="R1409">
        <f>SQRT(Tabelle2[[#This Row],[vx]]*Tabelle2[[#This Row],[vx]]+Tabelle2[[#This Row],[vy]]*Tabelle2[[#This Row],[vy]])</f>
        <v>219.8061842005676</v>
      </c>
      <c r="S1409">
        <f t="shared" si="240"/>
        <v>1471.7156523826714</v>
      </c>
      <c r="T1409" s="1">
        <f t="shared" si="241"/>
        <v>-2122.9153912151842</v>
      </c>
    </row>
    <row r="1410" spans="6:20" x14ac:dyDescent="0.35">
      <c r="F1410" s="1">
        <f t="shared" si="237"/>
        <v>28.139999999999489</v>
      </c>
      <c r="G1410">
        <f>1/2*$B$8*$B$6*$B$7*(Tabelle2[[#This Row],[vx]]*Tabelle2[[#This Row],[vx]]+Tabelle2[[#This Row],[vy]]*Tabelle2[[#This Row],[vy]])/1000000</f>
        <v>85.613127546319674</v>
      </c>
      <c r="H1410">
        <f>IF($B$3,-Tabelle2[[#This Row],[Fd]]*Tabelle2[[#This Row],[vx]]/Tabelle2[[#This Row],[v]],0)</f>
        <v>0</v>
      </c>
      <c r="I1410">
        <f t="shared" si="231"/>
        <v>0</v>
      </c>
      <c r="J1410">
        <f t="shared" si="232"/>
        <v>0</v>
      </c>
      <c r="K1410">
        <f t="shared" si="233"/>
        <v>1.0467394398169905</v>
      </c>
      <c r="L1410">
        <f>-$B$5*$B$12-IF($B$3,Tabelle2[[#This Row],[Fd]]*Tabelle2[[#This Row],[vy]]/Tabelle2[[#This Row],[v]],0)</f>
        <v>-14.715</v>
      </c>
      <c r="M1410">
        <f t="shared" si="234"/>
        <v>-9.81</v>
      </c>
      <c r="N1410">
        <f t="shared" si="235"/>
        <v>-0.19620000000000001</v>
      </c>
      <c r="O1410">
        <f t="shared" si="236"/>
        <v>-4.2755745120881068</v>
      </c>
      <c r="P1410" s="1">
        <f t="shared" si="238"/>
        <v>52.336971990849527</v>
      </c>
      <c r="Q1410" s="1">
        <f t="shared" si="239"/>
        <v>-213.68062560440535</v>
      </c>
      <c r="R1410">
        <f>SQRT(Tabelle2[[#This Row],[vx]]*Tabelle2[[#This Row],[vx]]+Tabelle2[[#This Row],[vy]]*Tabelle2[[#This Row],[vy]])</f>
        <v>219.99674633016969</v>
      </c>
      <c r="S1410">
        <f t="shared" si="240"/>
        <v>1472.7623918224883</v>
      </c>
      <c r="T1410" s="1">
        <f t="shared" si="241"/>
        <v>-2127.1870417272721</v>
      </c>
    </row>
    <row r="1411" spans="6:20" x14ac:dyDescent="0.35">
      <c r="F1411" s="1">
        <f t="shared" si="237"/>
        <v>28.159999999999489</v>
      </c>
      <c r="G1411">
        <f>1/2*$B$8*$B$6*$B$7*(Tabelle2[[#This Row],[vx]]*Tabelle2[[#This Row],[vx]]+Tabelle2[[#This Row],[vy]]*Tabelle2[[#This Row],[vy]])/1000000</f>
        <v>85.761516416951295</v>
      </c>
      <c r="H1411">
        <f>IF($B$3,-Tabelle2[[#This Row],[Fd]]*Tabelle2[[#This Row],[vx]]/Tabelle2[[#This Row],[v]],0)</f>
        <v>0</v>
      </c>
      <c r="I1411">
        <f t="shared" ref="I1411:I1474" si="242">H1411/$B$5</f>
        <v>0</v>
      </c>
      <c r="J1411">
        <f t="shared" ref="J1411:J1474" si="243">I1411*$B$13</f>
        <v>0</v>
      </c>
      <c r="K1411">
        <f t="shared" ref="K1411:K1474" si="244">$B$13*(P1411+J1411/2)</f>
        <v>1.0467394398169905</v>
      </c>
      <c r="L1411">
        <f>-$B$5*$B$12-IF($B$3,Tabelle2[[#This Row],[Fd]]*Tabelle2[[#This Row],[vy]]/Tabelle2[[#This Row],[v]],0)</f>
        <v>-14.715</v>
      </c>
      <c r="M1411">
        <f t="shared" ref="M1411:M1474" si="245">L1411/$B$5</f>
        <v>-9.81</v>
      </c>
      <c r="N1411">
        <f t="shared" ref="N1411:N1474" si="246">M1411*$B$13</f>
        <v>-0.19620000000000001</v>
      </c>
      <c r="O1411">
        <f t="shared" ref="O1411:O1474" si="247">$B$13*(Q1411+N1411/2)</f>
        <v>-4.2794985120881073</v>
      </c>
      <c r="P1411" s="1">
        <f t="shared" si="238"/>
        <v>52.336971990849527</v>
      </c>
      <c r="Q1411" s="1">
        <f t="shared" si="239"/>
        <v>-213.87682560440535</v>
      </c>
      <c r="R1411">
        <f>SQRT(Tabelle2[[#This Row],[vx]]*Tabelle2[[#This Row],[vx]]+Tabelle2[[#This Row],[vy]]*Tabelle2[[#This Row],[vy]])</f>
        <v>220.18731836277081</v>
      </c>
      <c r="S1411">
        <f t="shared" si="240"/>
        <v>1473.8091312623053</v>
      </c>
      <c r="T1411" s="1">
        <f t="shared" si="241"/>
        <v>-2131.4626162393602</v>
      </c>
    </row>
    <row r="1412" spans="6:20" x14ac:dyDescent="0.35">
      <c r="F1412" s="1">
        <f t="shared" ref="F1412:F1475" si="248">F1411+$B$13</f>
        <v>28.179999999999488</v>
      </c>
      <c r="G1412">
        <f>1/2*$B$8*$B$6*$B$7*(Tabelle2[[#This Row],[vx]]*Tabelle2[[#This Row],[vx]]+Tabelle2[[#This Row],[vy]]*Tabelle2[[#This Row],[vy]])/1000000</f>
        <v>85.910041474644288</v>
      </c>
      <c r="H1412">
        <f>IF($B$3,-Tabelle2[[#This Row],[Fd]]*Tabelle2[[#This Row],[vx]]/Tabelle2[[#This Row],[v]],0)</f>
        <v>0</v>
      </c>
      <c r="I1412">
        <f t="shared" si="242"/>
        <v>0</v>
      </c>
      <c r="J1412">
        <f t="shared" si="243"/>
        <v>0</v>
      </c>
      <c r="K1412">
        <f t="shared" si="244"/>
        <v>1.0467394398169905</v>
      </c>
      <c r="L1412">
        <f>-$B$5*$B$12-IF($B$3,Tabelle2[[#This Row],[Fd]]*Tabelle2[[#This Row],[vy]]/Tabelle2[[#This Row],[v]],0)</f>
        <v>-14.715</v>
      </c>
      <c r="M1412">
        <f t="shared" si="245"/>
        <v>-9.81</v>
      </c>
      <c r="N1412">
        <f t="shared" si="246"/>
        <v>-0.19620000000000001</v>
      </c>
      <c r="O1412">
        <f t="shared" si="247"/>
        <v>-4.2834225120881069</v>
      </c>
      <c r="P1412" s="1">
        <f t="shared" ref="P1412:P1475" si="249">P1411+J1411</f>
        <v>52.336971990849527</v>
      </c>
      <c r="Q1412" s="1">
        <f t="shared" ref="Q1412:Q1475" si="250">Q1411+N1411</f>
        <v>-214.07302560440536</v>
      </c>
      <c r="R1412">
        <f>SQRT(Tabelle2[[#This Row],[vx]]*Tabelle2[[#This Row],[vx]]+Tabelle2[[#This Row],[vy]]*Tabelle2[[#This Row],[vy]])</f>
        <v>220.37790027268017</v>
      </c>
      <c r="S1412">
        <f t="shared" ref="S1412:S1475" si="251">S1411+K1411</f>
        <v>1474.8558707021223</v>
      </c>
      <c r="T1412" s="1">
        <f t="shared" ref="T1412:T1475" si="252">T1411+O1411</f>
        <v>-2135.7421147514483</v>
      </c>
    </row>
    <row r="1413" spans="6:20" x14ac:dyDescent="0.35">
      <c r="F1413" s="1">
        <f t="shared" si="248"/>
        <v>28.199999999999488</v>
      </c>
      <c r="G1413">
        <f>1/2*$B$8*$B$6*$B$7*(Tabelle2[[#This Row],[vx]]*Tabelle2[[#This Row],[vx]]+Tabelle2[[#This Row],[vy]]*Tabelle2[[#This Row],[vy]])/1000000</f>
        <v>86.058702719398596</v>
      </c>
      <c r="H1413">
        <f>IF($B$3,-Tabelle2[[#This Row],[Fd]]*Tabelle2[[#This Row],[vx]]/Tabelle2[[#This Row],[v]],0)</f>
        <v>0</v>
      </c>
      <c r="I1413">
        <f t="shared" si="242"/>
        <v>0</v>
      </c>
      <c r="J1413">
        <f t="shared" si="243"/>
        <v>0</v>
      </c>
      <c r="K1413">
        <f t="shared" si="244"/>
        <v>1.0467394398169905</v>
      </c>
      <c r="L1413">
        <f>-$B$5*$B$12-IF($B$3,Tabelle2[[#This Row],[Fd]]*Tabelle2[[#This Row],[vy]]/Tabelle2[[#This Row],[v]],0)</f>
        <v>-14.715</v>
      </c>
      <c r="M1413">
        <f t="shared" si="245"/>
        <v>-9.81</v>
      </c>
      <c r="N1413">
        <f t="shared" si="246"/>
        <v>-0.19620000000000001</v>
      </c>
      <c r="O1413">
        <f t="shared" si="247"/>
        <v>-4.2873465120881074</v>
      </c>
      <c r="P1413" s="1">
        <f t="shared" si="249"/>
        <v>52.336971990849527</v>
      </c>
      <c r="Q1413" s="1">
        <f t="shared" si="250"/>
        <v>-214.26922560440536</v>
      </c>
      <c r="R1413">
        <f>SQRT(Tabelle2[[#This Row],[vx]]*Tabelle2[[#This Row],[vx]]+Tabelle2[[#This Row],[vy]]*Tabelle2[[#This Row],[vy]])</f>
        <v>220.56849203429425</v>
      </c>
      <c r="S1413">
        <f t="shared" si="251"/>
        <v>1475.9026101419392</v>
      </c>
      <c r="T1413" s="1">
        <f t="shared" si="252"/>
        <v>-2140.0255372635365</v>
      </c>
    </row>
    <row r="1414" spans="6:20" x14ac:dyDescent="0.35">
      <c r="F1414" s="1">
        <f t="shared" si="248"/>
        <v>28.219999999999487</v>
      </c>
      <c r="G1414">
        <f>1/2*$B$8*$B$6*$B$7*(Tabelle2[[#This Row],[vx]]*Tabelle2[[#This Row],[vx]]+Tabelle2[[#This Row],[vy]]*Tabelle2[[#This Row],[vy]])/1000000</f>
        <v>86.207500151214276</v>
      </c>
      <c r="H1414">
        <f>IF($B$3,-Tabelle2[[#This Row],[Fd]]*Tabelle2[[#This Row],[vx]]/Tabelle2[[#This Row],[v]],0)</f>
        <v>0</v>
      </c>
      <c r="I1414">
        <f t="shared" si="242"/>
        <v>0</v>
      </c>
      <c r="J1414">
        <f t="shared" si="243"/>
        <v>0</v>
      </c>
      <c r="K1414">
        <f t="shared" si="244"/>
        <v>1.0467394398169905</v>
      </c>
      <c r="L1414">
        <f>-$B$5*$B$12-IF($B$3,Tabelle2[[#This Row],[Fd]]*Tabelle2[[#This Row],[vy]]/Tabelle2[[#This Row],[v]],0)</f>
        <v>-14.715</v>
      </c>
      <c r="M1414">
        <f t="shared" si="245"/>
        <v>-9.81</v>
      </c>
      <c r="N1414">
        <f t="shared" si="246"/>
        <v>-0.19620000000000001</v>
      </c>
      <c r="O1414">
        <f t="shared" si="247"/>
        <v>-4.2912705120881069</v>
      </c>
      <c r="P1414" s="1">
        <f t="shared" si="249"/>
        <v>52.336971990849527</v>
      </c>
      <c r="Q1414" s="1">
        <f t="shared" si="250"/>
        <v>-214.46542560440537</v>
      </c>
      <c r="R1414">
        <f>SQRT(Tabelle2[[#This Row],[vx]]*Tabelle2[[#This Row],[vx]]+Tabelle2[[#This Row],[vy]]*Tabelle2[[#This Row],[vy]])</f>
        <v>220.7590936220968</v>
      </c>
      <c r="S1414">
        <f t="shared" si="251"/>
        <v>1476.9493495817562</v>
      </c>
      <c r="T1414" s="1">
        <f t="shared" si="252"/>
        <v>-2144.3128837756249</v>
      </c>
    </row>
    <row r="1415" spans="6:20" x14ac:dyDescent="0.35">
      <c r="F1415" s="1">
        <f t="shared" si="248"/>
        <v>28.239999999999487</v>
      </c>
      <c r="G1415">
        <f>1/2*$B$8*$B$6*$B$7*(Tabelle2[[#This Row],[vx]]*Tabelle2[[#This Row],[vx]]+Tabelle2[[#This Row],[vy]]*Tabelle2[[#This Row],[vy]])/1000000</f>
        <v>86.3564337700913</v>
      </c>
      <c r="H1415">
        <f>IF($B$3,-Tabelle2[[#This Row],[Fd]]*Tabelle2[[#This Row],[vx]]/Tabelle2[[#This Row],[v]],0)</f>
        <v>0</v>
      </c>
      <c r="I1415">
        <f t="shared" si="242"/>
        <v>0</v>
      </c>
      <c r="J1415">
        <f t="shared" si="243"/>
        <v>0</v>
      </c>
      <c r="K1415">
        <f t="shared" si="244"/>
        <v>1.0467394398169905</v>
      </c>
      <c r="L1415">
        <f>-$B$5*$B$12-IF($B$3,Tabelle2[[#This Row],[Fd]]*Tabelle2[[#This Row],[vy]]/Tabelle2[[#This Row],[v]],0)</f>
        <v>-14.715</v>
      </c>
      <c r="M1415">
        <f t="shared" si="245"/>
        <v>-9.81</v>
      </c>
      <c r="N1415">
        <f t="shared" si="246"/>
        <v>-0.19620000000000001</v>
      </c>
      <c r="O1415">
        <f t="shared" si="247"/>
        <v>-4.2951945120881074</v>
      </c>
      <c r="P1415" s="1">
        <f t="shared" si="249"/>
        <v>52.336971990849527</v>
      </c>
      <c r="Q1415" s="1">
        <f t="shared" si="250"/>
        <v>-214.66162560440537</v>
      </c>
      <c r="R1415">
        <f>SQRT(Tabelle2[[#This Row],[vx]]*Tabelle2[[#This Row],[vx]]+Tabelle2[[#This Row],[vy]]*Tabelle2[[#This Row],[vy]])</f>
        <v>220.94970501065819</v>
      </c>
      <c r="S1415">
        <f t="shared" si="251"/>
        <v>1477.9960890215732</v>
      </c>
      <c r="T1415" s="1">
        <f t="shared" si="252"/>
        <v>-2148.6041542877128</v>
      </c>
    </row>
    <row r="1416" spans="6:20" x14ac:dyDescent="0.35">
      <c r="F1416" s="1">
        <f t="shared" si="248"/>
        <v>28.259999999999486</v>
      </c>
      <c r="G1416">
        <f>1/2*$B$8*$B$6*$B$7*(Tabelle2[[#This Row],[vx]]*Tabelle2[[#This Row],[vx]]+Tabelle2[[#This Row],[vy]]*Tabelle2[[#This Row],[vy]])/1000000</f>
        <v>86.505503576029639</v>
      </c>
      <c r="H1416">
        <f>IF($B$3,-Tabelle2[[#This Row],[Fd]]*Tabelle2[[#This Row],[vx]]/Tabelle2[[#This Row],[v]],0)</f>
        <v>0</v>
      </c>
      <c r="I1416">
        <f t="shared" si="242"/>
        <v>0</v>
      </c>
      <c r="J1416">
        <f t="shared" si="243"/>
        <v>0</v>
      </c>
      <c r="K1416">
        <f t="shared" si="244"/>
        <v>1.0467394398169905</v>
      </c>
      <c r="L1416">
        <f>-$B$5*$B$12-IF($B$3,Tabelle2[[#This Row],[Fd]]*Tabelle2[[#This Row],[vy]]/Tabelle2[[#This Row],[v]],0)</f>
        <v>-14.715</v>
      </c>
      <c r="M1416">
        <f t="shared" si="245"/>
        <v>-9.81</v>
      </c>
      <c r="N1416">
        <f t="shared" si="246"/>
        <v>-0.19620000000000001</v>
      </c>
      <c r="O1416">
        <f t="shared" si="247"/>
        <v>-4.299118512088107</v>
      </c>
      <c r="P1416" s="1">
        <f t="shared" si="249"/>
        <v>52.336971990849527</v>
      </c>
      <c r="Q1416" s="1">
        <f t="shared" si="250"/>
        <v>-214.85782560440538</v>
      </c>
      <c r="R1416">
        <f>SQRT(Tabelle2[[#This Row],[vx]]*Tabelle2[[#This Row],[vx]]+Tabelle2[[#This Row],[vy]]*Tabelle2[[#This Row],[vy]])</f>
        <v>221.14032617463519</v>
      </c>
      <c r="S1416">
        <f t="shared" si="251"/>
        <v>1479.0428284613902</v>
      </c>
      <c r="T1416" s="1">
        <f t="shared" si="252"/>
        <v>-2152.8993487998009</v>
      </c>
    </row>
    <row r="1417" spans="6:20" x14ac:dyDescent="0.35">
      <c r="F1417" s="1">
        <f t="shared" si="248"/>
        <v>28.279999999999486</v>
      </c>
      <c r="G1417">
        <f>1/2*$B$8*$B$6*$B$7*(Tabelle2[[#This Row],[vx]]*Tabelle2[[#This Row],[vx]]+Tabelle2[[#This Row],[vy]]*Tabelle2[[#This Row],[vy]])/1000000</f>
        <v>86.65470956902935</v>
      </c>
      <c r="H1417">
        <f>IF($B$3,-Tabelle2[[#This Row],[Fd]]*Tabelle2[[#This Row],[vx]]/Tabelle2[[#This Row],[v]],0)</f>
        <v>0</v>
      </c>
      <c r="I1417">
        <f t="shared" si="242"/>
        <v>0</v>
      </c>
      <c r="J1417">
        <f t="shared" si="243"/>
        <v>0</v>
      </c>
      <c r="K1417">
        <f t="shared" si="244"/>
        <v>1.0467394398169905</v>
      </c>
      <c r="L1417">
        <f>-$B$5*$B$12-IF($B$3,Tabelle2[[#This Row],[Fd]]*Tabelle2[[#This Row],[vy]]/Tabelle2[[#This Row],[v]],0)</f>
        <v>-14.715</v>
      </c>
      <c r="M1417">
        <f t="shared" si="245"/>
        <v>-9.81</v>
      </c>
      <c r="N1417">
        <f t="shared" si="246"/>
        <v>-0.19620000000000001</v>
      </c>
      <c r="O1417">
        <f t="shared" si="247"/>
        <v>-4.3030425120881075</v>
      </c>
      <c r="P1417" s="1">
        <f t="shared" si="249"/>
        <v>52.336971990849527</v>
      </c>
      <c r="Q1417" s="1">
        <f t="shared" si="250"/>
        <v>-215.05402560440538</v>
      </c>
      <c r="R1417">
        <f>SQRT(Tabelle2[[#This Row],[vx]]*Tabelle2[[#This Row],[vx]]+Tabelle2[[#This Row],[vy]]*Tabelle2[[#This Row],[vy]])</f>
        <v>221.33095708877062</v>
      </c>
      <c r="S1417">
        <f t="shared" si="251"/>
        <v>1480.0895679012071</v>
      </c>
      <c r="T1417" s="1">
        <f t="shared" si="252"/>
        <v>-2157.1984673118891</v>
      </c>
    </row>
    <row r="1418" spans="6:20" x14ac:dyDescent="0.35">
      <c r="F1418" s="1">
        <f t="shared" si="248"/>
        <v>28.299999999999486</v>
      </c>
      <c r="G1418">
        <f>1/2*$B$8*$B$6*$B$7*(Tabelle2[[#This Row],[vx]]*Tabelle2[[#This Row],[vx]]+Tabelle2[[#This Row],[vy]]*Tabelle2[[#This Row],[vy]])/1000000</f>
        <v>86.804051749090405</v>
      </c>
      <c r="H1418">
        <f>IF($B$3,-Tabelle2[[#This Row],[Fd]]*Tabelle2[[#This Row],[vx]]/Tabelle2[[#This Row],[v]],0)</f>
        <v>0</v>
      </c>
      <c r="I1418">
        <f t="shared" si="242"/>
        <v>0</v>
      </c>
      <c r="J1418">
        <f t="shared" si="243"/>
        <v>0</v>
      </c>
      <c r="K1418">
        <f t="shared" si="244"/>
        <v>1.0467394398169905</v>
      </c>
      <c r="L1418">
        <f>-$B$5*$B$12-IF($B$3,Tabelle2[[#This Row],[Fd]]*Tabelle2[[#This Row],[vy]]/Tabelle2[[#This Row],[v]],0)</f>
        <v>-14.715</v>
      </c>
      <c r="M1418">
        <f t="shared" si="245"/>
        <v>-9.81</v>
      </c>
      <c r="N1418">
        <f t="shared" si="246"/>
        <v>-0.19620000000000001</v>
      </c>
      <c r="O1418">
        <f t="shared" si="247"/>
        <v>-4.306966512088108</v>
      </c>
      <c r="P1418" s="1">
        <f t="shared" si="249"/>
        <v>52.336971990849527</v>
      </c>
      <c r="Q1418" s="1">
        <f t="shared" si="250"/>
        <v>-215.25022560440539</v>
      </c>
      <c r="R1418">
        <f>SQRT(Tabelle2[[#This Row],[vx]]*Tabelle2[[#This Row],[vx]]+Tabelle2[[#This Row],[vy]]*Tabelle2[[#This Row],[vy]])</f>
        <v>221.52159772789287</v>
      </c>
      <c r="S1418">
        <f t="shared" si="251"/>
        <v>1481.1363073410241</v>
      </c>
      <c r="T1418" s="1">
        <f t="shared" si="252"/>
        <v>-2161.5015098239774</v>
      </c>
    </row>
    <row r="1419" spans="6:20" x14ac:dyDescent="0.35">
      <c r="F1419" s="1">
        <f t="shared" si="248"/>
        <v>28.319999999999485</v>
      </c>
      <c r="G1419">
        <f>1/2*$B$8*$B$6*$B$7*(Tabelle2[[#This Row],[vx]]*Tabelle2[[#This Row],[vx]]+Tabelle2[[#This Row],[vy]]*Tabelle2[[#This Row],[vy]])/1000000</f>
        <v>86.953530116212789</v>
      </c>
      <c r="H1419">
        <f>IF($B$3,-Tabelle2[[#This Row],[Fd]]*Tabelle2[[#This Row],[vx]]/Tabelle2[[#This Row],[v]],0)</f>
        <v>0</v>
      </c>
      <c r="I1419">
        <f t="shared" si="242"/>
        <v>0</v>
      </c>
      <c r="J1419">
        <f t="shared" si="243"/>
        <v>0</v>
      </c>
      <c r="K1419">
        <f t="shared" si="244"/>
        <v>1.0467394398169905</v>
      </c>
      <c r="L1419">
        <f>-$B$5*$B$12-IF($B$3,Tabelle2[[#This Row],[Fd]]*Tabelle2[[#This Row],[vy]]/Tabelle2[[#This Row],[v]],0)</f>
        <v>-14.715</v>
      </c>
      <c r="M1419">
        <f t="shared" si="245"/>
        <v>-9.81</v>
      </c>
      <c r="N1419">
        <f t="shared" si="246"/>
        <v>-0.19620000000000001</v>
      </c>
      <c r="O1419">
        <f t="shared" si="247"/>
        <v>-4.3108905120881076</v>
      </c>
      <c r="P1419" s="1">
        <f t="shared" si="249"/>
        <v>52.336971990849527</v>
      </c>
      <c r="Q1419" s="1">
        <f t="shared" si="250"/>
        <v>-215.44642560440539</v>
      </c>
      <c r="R1419">
        <f>SQRT(Tabelle2[[#This Row],[vx]]*Tabelle2[[#This Row],[vx]]+Tabelle2[[#This Row],[vy]]*Tabelle2[[#This Row],[vy]])</f>
        <v>221.71224806691569</v>
      </c>
      <c r="S1419">
        <f t="shared" si="251"/>
        <v>1482.1830467808411</v>
      </c>
      <c r="T1419" s="1">
        <f t="shared" si="252"/>
        <v>-2165.8084763360653</v>
      </c>
    </row>
    <row r="1420" spans="6:20" x14ac:dyDescent="0.35">
      <c r="F1420" s="1">
        <f t="shared" si="248"/>
        <v>28.339999999999485</v>
      </c>
      <c r="G1420">
        <f>1/2*$B$8*$B$6*$B$7*(Tabelle2[[#This Row],[vx]]*Tabelle2[[#This Row],[vx]]+Tabelle2[[#This Row],[vy]]*Tabelle2[[#This Row],[vy]])/1000000</f>
        <v>87.103144670396517</v>
      </c>
      <c r="H1420">
        <f>IF($B$3,-Tabelle2[[#This Row],[Fd]]*Tabelle2[[#This Row],[vx]]/Tabelle2[[#This Row],[v]],0)</f>
        <v>0</v>
      </c>
      <c r="I1420">
        <f t="shared" si="242"/>
        <v>0</v>
      </c>
      <c r="J1420">
        <f t="shared" si="243"/>
        <v>0</v>
      </c>
      <c r="K1420">
        <f t="shared" si="244"/>
        <v>1.0467394398169905</v>
      </c>
      <c r="L1420">
        <f>-$B$5*$B$12-IF($B$3,Tabelle2[[#This Row],[Fd]]*Tabelle2[[#This Row],[vy]]/Tabelle2[[#This Row],[v]],0)</f>
        <v>-14.715</v>
      </c>
      <c r="M1420">
        <f t="shared" si="245"/>
        <v>-9.81</v>
      </c>
      <c r="N1420">
        <f t="shared" si="246"/>
        <v>-0.19620000000000001</v>
      </c>
      <c r="O1420">
        <f t="shared" si="247"/>
        <v>-4.3148145120881081</v>
      </c>
      <c r="P1420" s="1">
        <f t="shared" si="249"/>
        <v>52.336971990849527</v>
      </c>
      <c r="Q1420" s="1">
        <f t="shared" si="250"/>
        <v>-215.6426256044054</v>
      </c>
      <c r="R1420">
        <f>SQRT(Tabelle2[[#This Row],[vx]]*Tabelle2[[#This Row],[vx]]+Tabelle2[[#This Row],[vy]]*Tabelle2[[#This Row],[vy]])</f>
        <v>221.90290808083776</v>
      </c>
      <c r="S1420">
        <f t="shared" si="251"/>
        <v>1483.2297862206581</v>
      </c>
      <c r="T1420" s="1">
        <f t="shared" si="252"/>
        <v>-2170.1193668481533</v>
      </c>
    </row>
    <row r="1421" spans="6:20" x14ac:dyDescent="0.35">
      <c r="F1421" s="1">
        <f t="shared" si="248"/>
        <v>28.359999999999484</v>
      </c>
      <c r="G1421">
        <f>1/2*$B$8*$B$6*$B$7*(Tabelle2[[#This Row],[vx]]*Tabelle2[[#This Row],[vx]]+Tabelle2[[#This Row],[vy]]*Tabelle2[[#This Row],[vy]])/1000000</f>
        <v>87.252895411641603</v>
      </c>
      <c r="H1421">
        <f>IF($B$3,-Tabelle2[[#This Row],[Fd]]*Tabelle2[[#This Row],[vx]]/Tabelle2[[#This Row],[v]],0)</f>
        <v>0</v>
      </c>
      <c r="I1421">
        <f t="shared" si="242"/>
        <v>0</v>
      </c>
      <c r="J1421">
        <f t="shared" si="243"/>
        <v>0</v>
      </c>
      <c r="K1421">
        <f t="shared" si="244"/>
        <v>1.0467394398169905</v>
      </c>
      <c r="L1421">
        <f>-$B$5*$B$12-IF($B$3,Tabelle2[[#This Row],[Fd]]*Tabelle2[[#This Row],[vy]]/Tabelle2[[#This Row],[v]],0)</f>
        <v>-14.715</v>
      </c>
      <c r="M1421">
        <f t="shared" si="245"/>
        <v>-9.81</v>
      </c>
      <c r="N1421">
        <f t="shared" si="246"/>
        <v>-0.19620000000000001</v>
      </c>
      <c r="O1421">
        <f t="shared" si="247"/>
        <v>-4.3187385120881077</v>
      </c>
      <c r="P1421" s="1">
        <f t="shared" si="249"/>
        <v>52.336971990849527</v>
      </c>
      <c r="Q1421" s="1">
        <f t="shared" si="250"/>
        <v>-215.8388256044054</v>
      </c>
      <c r="R1421">
        <f>SQRT(Tabelle2[[#This Row],[vx]]*Tabelle2[[#This Row],[vx]]+Tabelle2[[#This Row],[vy]]*Tabelle2[[#This Row],[vy]])</f>
        <v>222.0935777447423</v>
      </c>
      <c r="S1421">
        <f t="shared" si="251"/>
        <v>1484.276525660475</v>
      </c>
      <c r="T1421" s="1">
        <f t="shared" si="252"/>
        <v>-2174.4341813602414</v>
      </c>
    </row>
    <row r="1422" spans="6:20" x14ac:dyDescent="0.35">
      <c r="F1422" s="1">
        <f t="shared" si="248"/>
        <v>28.379999999999484</v>
      </c>
      <c r="G1422">
        <f>1/2*$B$8*$B$6*$B$7*(Tabelle2[[#This Row],[vx]]*Tabelle2[[#This Row],[vx]]+Tabelle2[[#This Row],[vy]]*Tabelle2[[#This Row],[vy]])/1000000</f>
        <v>87.402782339948033</v>
      </c>
      <c r="H1422">
        <f>IF($B$3,-Tabelle2[[#This Row],[Fd]]*Tabelle2[[#This Row],[vx]]/Tabelle2[[#This Row],[v]],0)</f>
        <v>0</v>
      </c>
      <c r="I1422">
        <f t="shared" si="242"/>
        <v>0</v>
      </c>
      <c r="J1422">
        <f t="shared" si="243"/>
        <v>0</v>
      </c>
      <c r="K1422">
        <f t="shared" si="244"/>
        <v>1.0467394398169905</v>
      </c>
      <c r="L1422">
        <f>-$B$5*$B$12-IF($B$3,Tabelle2[[#This Row],[Fd]]*Tabelle2[[#This Row],[vy]]/Tabelle2[[#This Row],[v]],0)</f>
        <v>-14.715</v>
      </c>
      <c r="M1422">
        <f t="shared" si="245"/>
        <v>-9.81</v>
      </c>
      <c r="N1422">
        <f t="shared" si="246"/>
        <v>-0.19620000000000001</v>
      </c>
      <c r="O1422">
        <f t="shared" si="247"/>
        <v>-4.3226625120881081</v>
      </c>
      <c r="P1422" s="1">
        <f t="shared" si="249"/>
        <v>52.336971990849527</v>
      </c>
      <c r="Q1422" s="1">
        <f t="shared" si="250"/>
        <v>-216.0350256044054</v>
      </c>
      <c r="R1422">
        <f>SQRT(Tabelle2[[#This Row],[vx]]*Tabelle2[[#This Row],[vx]]+Tabelle2[[#This Row],[vy]]*Tabelle2[[#This Row],[vy]])</f>
        <v>222.28425703379688</v>
      </c>
      <c r="S1422">
        <f t="shared" si="251"/>
        <v>1485.323265100292</v>
      </c>
      <c r="T1422" s="1">
        <f t="shared" si="252"/>
        <v>-2178.7529198723296</v>
      </c>
    </row>
    <row r="1423" spans="6:20" x14ac:dyDescent="0.35">
      <c r="F1423" s="1">
        <f t="shared" si="248"/>
        <v>28.399999999999483</v>
      </c>
      <c r="G1423">
        <f>1/2*$B$8*$B$6*$B$7*(Tabelle2[[#This Row],[vx]]*Tabelle2[[#This Row],[vx]]+Tabelle2[[#This Row],[vy]]*Tabelle2[[#This Row],[vy]])/1000000</f>
        <v>87.552805455315792</v>
      </c>
      <c r="H1423">
        <f>IF($B$3,-Tabelle2[[#This Row],[Fd]]*Tabelle2[[#This Row],[vx]]/Tabelle2[[#This Row],[v]],0)</f>
        <v>0</v>
      </c>
      <c r="I1423">
        <f t="shared" si="242"/>
        <v>0</v>
      </c>
      <c r="J1423">
        <f t="shared" si="243"/>
        <v>0</v>
      </c>
      <c r="K1423">
        <f t="shared" si="244"/>
        <v>1.0467394398169905</v>
      </c>
      <c r="L1423">
        <f>-$B$5*$B$12-IF($B$3,Tabelle2[[#This Row],[Fd]]*Tabelle2[[#This Row],[vy]]/Tabelle2[[#This Row],[v]],0)</f>
        <v>-14.715</v>
      </c>
      <c r="M1423">
        <f t="shared" si="245"/>
        <v>-9.81</v>
      </c>
      <c r="N1423">
        <f t="shared" si="246"/>
        <v>-0.19620000000000001</v>
      </c>
      <c r="O1423">
        <f t="shared" si="247"/>
        <v>-4.3265865120881077</v>
      </c>
      <c r="P1423" s="1">
        <f t="shared" si="249"/>
        <v>52.336971990849527</v>
      </c>
      <c r="Q1423" s="1">
        <f t="shared" si="250"/>
        <v>-216.23122560440541</v>
      </c>
      <c r="R1423">
        <f>SQRT(Tabelle2[[#This Row],[vx]]*Tabelle2[[#This Row],[vx]]+Tabelle2[[#This Row],[vy]]*Tabelle2[[#This Row],[vy]])</f>
        <v>222.47494592325276</v>
      </c>
      <c r="S1423">
        <f t="shared" si="251"/>
        <v>1486.370004540109</v>
      </c>
      <c r="T1423" s="1">
        <f t="shared" si="252"/>
        <v>-2183.0755823844179</v>
      </c>
    </row>
    <row r="1424" spans="6:20" x14ac:dyDescent="0.35">
      <c r="F1424" s="1">
        <f t="shared" si="248"/>
        <v>28.419999999999483</v>
      </c>
      <c r="G1424">
        <f>1/2*$B$8*$B$6*$B$7*(Tabelle2[[#This Row],[vx]]*Tabelle2[[#This Row],[vx]]+Tabelle2[[#This Row],[vy]]*Tabelle2[[#This Row],[vy]])/1000000</f>
        <v>87.702964757744908</v>
      </c>
      <c r="H1424">
        <f>IF($B$3,-Tabelle2[[#This Row],[Fd]]*Tabelle2[[#This Row],[vx]]/Tabelle2[[#This Row],[v]],0)</f>
        <v>0</v>
      </c>
      <c r="I1424">
        <f t="shared" si="242"/>
        <v>0</v>
      </c>
      <c r="J1424">
        <f t="shared" si="243"/>
        <v>0</v>
      </c>
      <c r="K1424">
        <f t="shared" si="244"/>
        <v>1.0467394398169905</v>
      </c>
      <c r="L1424">
        <f>-$B$5*$B$12-IF($B$3,Tabelle2[[#This Row],[Fd]]*Tabelle2[[#This Row],[vy]]/Tabelle2[[#This Row],[v]],0)</f>
        <v>-14.715</v>
      </c>
      <c r="M1424">
        <f t="shared" si="245"/>
        <v>-9.81</v>
      </c>
      <c r="N1424">
        <f t="shared" si="246"/>
        <v>-0.19620000000000001</v>
      </c>
      <c r="O1424">
        <f t="shared" si="247"/>
        <v>-4.3305105120881082</v>
      </c>
      <c r="P1424" s="1">
        <f t="shared" si="249"/>
        <v>52.336971990849527</v>
      </c>
      <c r="Q1424" s="1">
        <f t="shared" si="250"/>
        <v>-216.42742560440541</v>
      </c>
      <c r="R1424">
        <f>SQRT(Tabelle2[[#This Row],[vx]]*Tabelle2[[#This Row],[vx]]+Tabelle2[[#This Row],[vy]]*Tabelle2[[#This Row],[vy]])</f>
        <v>222.66564438844492</v>
      </c>
      <c r="S1424">
        <f t="shared" si="251"/>
        <v>1487.416743979926</v>
      </c>
      <c r="T1424" s="1">
        <f t="shared" si="252"/>
        <v>-2187.4021688965058</v>
      </c>
    </row>
    <row r="1425" spans="6:20" x14ac:dyDescent="0.35">
      <c r="F1425" s="1">
        <f t="shared" si="248"/>
        <v>28.439999999999483</v>
      </c>
      <c r="G1425">
        <f>1/2*$B$8*$B$6*$B$7*(Tabelle2[[#This Row],[vx]]*Tabelle2[[#This Row],[vx]]+Tabelle2[[#This Row],[vy]]*Tabelle2[[#This Row],[vy]])/1000000</f>
        <v>87.853260247235355</v>
      </c>
      <c r="H1425">
        <f>IF($B$3,-Tabelle2[[#This Row],[Fd]]*Tabelle2[[#This Row],[vx]]/Tabelle2[[#This Row],[v]],0)</f>
        <v>0</v>
      </c>
      <c r="I1425">
        <f t="shared" si="242"/>
        <v>0</v>
      </c>
      <c r="J1425">
        <f t="shared" si="243"/>
        <v>0</v>
      </c>
      <c r="K1425">
        <f t="shared" si="244"/>
        <v>1.0467394398169905</v>
      </c>
      <c r="L1425">
        <f>-$B$5*$B$12-IF($B$3,Tabelle2[[#This Row],[Fd]]*Tabelle2[[#This Row],[vy]]/Tabelle2[[#This Row],[v]],0)</f>
        <v>-14.715</v>
      </c>
      <c r="M1425">
        <f t="shared" si="245"/>
        <v>-9.81</v>
      </c>
      <c r="N1425">
        <f t="shared" si="246"/>
        <v>-0.19620000000000001</v>
      </c>
      <c r="O1425">
        <f t="shared" si="247"/>
        <v>-4.3344345120881078</v>
      </c>
      <c r="P1425" s="1">
        <f t="shared" si="249"/>
        <v>52.336971990849527</v>
      </c>
      <c r="Q1425" s="1">
        <f t="shared" si="250"/>
        <v>-216.62362560440542</v>
      </c>
      <c r="R1425">
        <f>SQRT(Tabelle2[[#This Row],[vx]]*Tabelle2[[#This Row],[vx]]+Tabelle2[[#This Row],[vy]]*Tabelle2[[#This Row],[vy]])</f>
        <v>222.85635240479141</v>
      </c>
      <c r="S1425">
        <f t="shared" si="251"/>
        <v>1488.4634834197429</v>
      </c>
      <c r="T1425" s="1">
        <f t="shared" si="252"/>
        <v>-2191.7326794085939</v>
      </c>
    </row>
    <row r="1426" spans="6:20" x14ac:dyDescent="0.35">
      <c r="F1426" s="1">
        <f t="shared" si="248"/>
        <v>28.459999999999482</v>
      </c>
      <c r="G1426">
        <f>1/2*$B$8*$B$6*$B$7*(Tabelle2[[#This Row],[vx]]*Tabelle2[[#This Row],[vx]]+Tabelle2[[#This Row],[vy]]*Tabelle2[[#This Row],[vy]])/1000000</f>
        <v>88.003691923787144</v>
      </c>
      <c r="H1426">
        <f>IF($B$3,-Tabelle2[[#This Row],[Fd]]*Tabelle2[[#This Row],[vx]]/Tabelle2[[#This Row],[v]],0)</f>
        <v>0</v>
      </c>
      <c r="I1426">
        <f t="shared" si="242"/>
        <v>0</v>
      </c>
      <c r="J1426">
        <f t="shared" si="243"/>
        <v>0</v>
      </c>
      <c r="K1426">
        <f t="shared" si="244"/>
        <v>1.0467394398169905</v>
      </c>
      <c r="L1426">
        <f>-$B$5*$B$12-IF($B$3,Tabelle2[[#This Row],[Fd]]*Tabelle2[[#This Row],[vy]]/Tabelle2[[#This Row],[v]],0)</f>
        <v>-14.715</v>
      </c>
      <c r="M1426">
        <f t="shared" si="245"/>
        <v>-9.81</v>
      </c>
      <c r="N1426">
        <f t="shared" si="246"/>
        <v>-0.19620000000000001</v>
      </c>
      <c r="O1426">
        <f t="shared" si="247"/>
        <v>-4.3383585120881083</v>
      </c>
      <c r="P1426" s="1">
        <f t="shared" si="249"/>
        <v>52.336971990849527</v>
      </c>
      <c r="Q1426" s="1">
        <f t="shared" si="250"/>
        <v>-216.81982560440542</v>
      </c>
      <c r="R1426">
        <f>SQRT(Tabelle2[[#This Row],[vx]]*Tabelle2[[#This Row],[vx]]+Tabelle2[[#This Row],[vy]]*Tabelle2[[#This Row],[vy]])</f>
        <v>223.0470699477932</v>
      </c>
      <c r="S1426">
        <f t="shared" si="251"/>
        <v>1489.5102228595599</v>
      </c>
      <c r="T1426" s="1">
        <f t="shared" si="252"/>
        <v>-2196.067113920682</v>
      </c>
    </row>
    <row r="1427" spans="6:20" x14ac:dyDescent="0.35">
      <c r="F1427" s="1">
        <f t="shared" si="248"/>
        <v>28.479999999999482</v>
      </c>
      <c r="G1427">
        <f>1/2*$B$8*$B$6*$B$7*(Tabelle2[[#This Row],[vx]]*Tabelle2[[#This Row],[vx]]+Tabelle2[[#This Row],[vy]]*Tabelle2[[#This Row],[vy]])/1000000</f>
        <v>88.154259787400292</v>
      </c>
      <c r="H1427">
        <f>IF($B$3,-Tabelle2[[#This Row],[Fd]]*Tabelle2[[#This Row],[vx]]/Tabelle2[[#This Row],[v]],0)</f>
        <v>0</v>
      </c>
      <c r="I1427">
        <f t="shared" si="242"/>
        <v>0</v>
      </c>
      <c r="J1427">
        <f t="shared" si="243"/>
        <v>0</v>
      </c>
      <c r="K1427">
        <f t="shared" si="244"/>
        <v>1.0467394398169905</v>
      </c>
      <c r="L1427">
        <f>-$B$5*$B$12-IF($B$3,Tabelle2[[#This Row],[Fd]]*Tabelle2[[#This Row],[vy]]/Tabelle2[[#This Row],[v]],0)</f>
        <v>-14.715</v>
      </c>
      <c r="M1427">
        <f t="shared" si="245"/>
        <v>-9.81</v>
      </c>
      <c r="N1427">
        <f t="shared" si="246"/>
        <v>-0.19620000000000001</v>
      </c>
      <c r="O1427">
        <f t="shared" si="247"/>
        <v>-4.3422825120881088</v>
      </c>
      <c r="P1427" s="1">
        <f t="shared" si="249"/>
        <v>52.336971990849527</v>
      </c>
      <c r="Q1427" s="1">
        <f t="shared" si="250"/>
        <v>-217.01602560440543</v>
      </c>
      <c r="R1427">
        <f>SQRT(Tabelle2[[#This Row],[vx]]*Tabelle2[[#This Row],[vx]]+Tabelle2[[#This Row],[vy]]*Tabelle2[[#This Row],[vy]])</f>
        <v>223.2377969930337</v>
      </c>
      <c r="S1427">
        <f t="shared" si="251"/>
        <v>1490.5569622993769</v>
      </c>
      <c r="T1427" s="1">
        <f t="shared" si="252"/>
        <v>-2200.4054724327702</v>
      </c>
    </row>
    <row r="1428" spans="6:20" x14ac:dyDescent="0.35">
      <c r="F1428" s="1">
        <f t="shared" si="248"/>
        <v>28.499999999999481</v>
      </c>
      <c r="G1428">
        <f>1/2*$B$8*$B$6*$B$7*(Tabelle2[[#This Row],[vx]]*Tabelle2[[#This Row],[vx]]+Tabelle2[[#This Row],[vy]]*Tabelle2[[#This Row],[vy]])/1000000</f>
        <v>88.304963838074769</v>
      </c>
      <c r="H1428">
        <f>IF($B$3,-Tabelle2[[#This Row],[Fd]]*Tabelle2[[#This Row],[vx]]/Tabelle2[[#This Row],[v]],0)</f>
        <v>0</v>
      </c>
      <c r="I1428">
        <f t="shared" si="242"/>
        <v>0</v>
      </c>
      <c r="J1428">
        <f t="shared" si="243"/>
        <v>0</v>
      </c>
      <c r="K1428">
        <f t="shared" si="244"/>
        <v>1.0467394398169905</v>
      </c>
      <c r="L1428">
        <f>-$B$5*$B$12-IF($B$3,Tabelle2[[#This Row],[Fd]]*Tabelle2[[#This Row],[vy]]/Tabelle2[[#This Row],[v]],0)</f>
        <v>-14.715</v>
      </c>
      <c r="M1428">
        <f t="shared" si="245"/>
        <v>-9.81</v>
      </c>
      <c r="N1428">
        <f t="shared" si="246"/>
        <v>-0.19620000000000001</v>
      </c>
      <c r="O1428">
        <f t="shared" si="247"/>
        <v>-4.3462065120881084</v>
      </c>
      <c r="P1428" s="1">
        <f t="shared" si="249"/>
        <v>52.336971990849527</v>
      </c>
      <c r="Q1428" s="1">
        <f t="shared" si="250"/>
        <v>-217.21222560440543</v>
      </c>
      <c r="R1428">
        <f>SQRT(Tabelle2[[#This Row],[vx]]*Tabelle2[[#This Row],[vx]]+Tabelle2[[#This Row],[vy]]*Tabelle2[[#This Row],[vy]])</f>
        <v>223.4285335161785</v>
      </c>
      <c r="S1428">
        <f t="shared" si="251"/>
        <v>1491.6037017391939</v>
      </c>
      <c r="T1428" s="1">
        <f t="shared" si="252"/>
        <v>-2204.7477549448586</v>
      </c>
    </row>
    <row r="1429" spans="6:20" x14ac:dyDescent="0.35">
      <c r="F1429" s="1">
        <f t="shared" si="248"/>
        <v>28.519999999999481</v>
      </c>
      <c r="G1429">
        <f>1/2*$B$8*$B$6*$B$7*(Tabelle2[[#This Row],[vx]]*Tabelle2[[#This Row],[vx]]+Tabelle2[[#This Row],[vy]]*Tabelle2[[#This Row],[vy]])/1000000</f>
        <v>88.455804075810605</v>
      </c>
      <c r="H1429">
        <f>IF($B$3,-Tabelle2[[#This Row],[Fd]]*Tabelle2[[#This Row],[vx]]/Tabelle2[[#This Row],[v]],0)</f>
        <v>0</v>
      </c>
      <c r="I1429">
        <f t="shared" si="242"/>
        <v>0</v>
      </c>
      <c r="J1429">
        <f t="shared" si="243"/>
        <v>0</v>
      </c>
      <c r="K1429">
        <f t="shared" si="244"/>
        <v>1.0467394398169905</v>
      </c>
      <c r="L1429">
        <f>-$B$5*$B$12-IF($B$3,Tabelle2[[#This Row],[Fd]]*Tabelle2[[#This Row],[vy]]/Tabelle2[[#This Row],[v]],0)</f>
        <v>-14.715</v>
      </c>
      <c r="M1429">
        <f t="shared" si="245"/>
        <v>-9.81</v>
      </c>
      <c r="N1429">
        <f t="shared" si="246"/>
        <v>-0.19620000000000001</v>
      </c>
      <c r="O1429">
        <f t="shared" si="247"/>
        <v>-4.3501305120881089</v>
      </c>
      <c r="P1429" s="1">
        <f t="shared" si="249"/>
        <v>52.336971990849527</v>
      </c>
      <c r="Q1429" s="1">
        <f t="shared" si="250"/>
        <v>-217.40842560440544</v>
      </c>
      <c r="R1429">
        <f>SQRT(Tabelle2[[#This Row],[vx]]*Tabelle2[[#This Row],[vx]]+Tabelle2[[#This Row],[vy]]*Tabelle2[[#This Row],[vy]])</f>
        <v>223.61927949297498</v>
      </c>
      <c r="S1429">
        <f t="shared" si="251"/>
        <v>1492.6504411790108</v>
      </c>
      <c r="T1429" s="1">
        <f t="shared" si="252"/>
        <v>-2209.0939614569465</v>
      </c>
    </row>
    <row r="1430" spans="6:20" x14ac:dyDescent="0.35">
      <c r="F1430" s="1">
        <f t="shared" si="248"/>
        <v>28.53999999999948</v>
      </c>
      <c r="G1430">
        <f>1/2*$B$8*$B$6*$B$7*(Tabelle2[[#This Row],[vx]]*Tabelle2[[#This Row],[vx]]+Tabelle2[[#This Row],[vy]]*Tabelle2[[#This Row],[vy]])/1000000</f>
        <v>88.606780500607783</v>
      </c>
      <c r="H1430">
        <f>IF($B$3,-Tabelle2[[#This Row],[Fd]]*Tabelle2[[#This Row],[vx]]/Tabelle2[[#This Row],[v]],0)</f>
        <v>0</v>
      </c>
      <c r="I1430">
        <f t="shared" si="242"/>
        <v>0</v>
      </c>
      <c r="J1430">
        <f t="shared" si="243"/>
        <v>0</v>
      </c>
      <c r="K1430">
        <f t="shared" si="244"/>
        <v>1.0467394398169905</v>
      </c>
      <c r="L1430">
        <f>-$B$5*$B$12-IF($B$3,Tabelle2[[#This Row],[Fd]]*Tabelle2[[#This Row],[vy]]/Tabelle2[[#This Row],[v]],0)</f>
        <v>-14.715</v>
      </c>
      <c r="M1430">
        <f t="shared" si="245"/>
        <v>-9.81</v>
      </c>
      <c r="N1430">
        <f t="shared" si="246"/>
        <v>-0.19620000000000001</v>
      </c>
      <c r="O1430">
        <f t="shared" si="247"/>
        <v>-4.3540545120881085</v>
      </c>
      <c r="P1430" s="1">
        <f t="shared" si="249"/>
        <v>52.336971990849527</v>
      </c>
      <c r="Q1430" s="1">
        <f t="shared" si="250"/>
        <v>-217.60462560440544</v>
      </c>
      <c r="R1430">
        <f>SQRT(Tabelle2[[#This Row],[vx]]*Tabelle2[[#This Row],[vx]]+Tabelle2[[#This Row],[vy]]*Tabelle2[[#This Row],[vy]])</f>
        <v>223.81003489925209</v>
      </c>
      <c r="S1430">
        <f t="shared" si="251"/>
        <v>1493.6971806188278</v>
      </c>
      <c r="T1430" s="1">
        <f t="shared" si="252"/>
        <v>-2213.4440919690346</v>
      </c>
    </row>
    <row r="1431" spans="6:20" x14ac:dyDescent="0.35">
      <c r="F1431" s="1">
        <f t="shared" si="248"/>
        <v>28.55999999999948</v>
      </c>
      <c r="G1431">
        <f>1/2*$B$8*$B$6*$B$7*(Tabelle2[[#This Row],[vx]]*Tabelle2[[#This Row],[vx]]+Tabelle2[[#This Row],[vy]]*Tabelle2[[#This Row],[vy]])/1000000</f>
        <v>88.757893112466292</v>
      </c>
      <c r="H1431">
        <f>IF($B$3,-Tabelle2[[#This Row],[Fd]]*Tabelle2[[#This Row],[vx]]/Tabelle2[[#This Row],[v]],0)</f>
        <v>0</v>
      </c>
      <c r="I1431">
        <f t="shared" si="242"/>
        <v>0</v>
      </c>
      <c r="J1431">
        <f t="shared" si="243"/>
        <v>0</v>
      </c>
      <c r="K1431">
        <f t="shared" si="244"/>
        <v>1.0467394398169905</v>
      </c>
      <c r="L1431">
        <f>-$B$5*$B$12-IF($B$3,Tabelle2[[#This Row],[Fd]]*Tabelle2[[#This Row],[vy]]/Tabelle2[[#This Row],[v]],0)</f>
        <v>-14.715</v>
      </c>
      <c r="M1431">
        <f t="shared" si="245"/>
        <v>-9.81</v>
      </c>
      <c r="N1431">
        <f t="shared" si="246"/>
        <v>-0.19620000000000001</v>
      </c>
      <c r="O1431">
        <f t="shared" si="247"/>
        <v>-4.3579785120881089</v>
      </c>
      <c r="P1431" s="1">
        <f t="shared" si="249"/>
        <v>52.336971990849527</v>
      </c>
      <c r="Q1431" s="1">
        <f t="shared" si="250"/>
        <v>-217.80082560440545</v>
      </c>
      <c r="R1431">
        <f>SQRT(Tabelle2[[#This Row],[vx]]*Tabelle2[[#This Row],[vx]]+Tabelle2[[#This Row],[vy]]*Tabelle2[[#This Row],[vy]])</f>
        <v>224.00079971091981</v>
      </c>
      <c r="S1431">
        <f t="shared" si="251"/>
        <v>1494.7439200586448</v>
      </c>
      <c r="T1431" s="1">
        <f t="shared" si="252"/>
        <v>-2217.7981464811228</v>
      </c>
    </row>
    <row r="1432" spans="6:20" x14ac:dyDescent="0.35">
      <c r="F1432" s="1">
        <f t="shared" si="248"/>
        <v>28.57999999999948</v>
      </c>
      <c r="G1432">
        <f>1/2*$B$8*$B$6*$B$7*(Tabelle2[[#This Row],[vx]]*Tabelle2[[#This Row],[vx]]+Tabelle2[[#This Row],[vy]]*Tabelle2[[#This Row],[vy]])/1000000</f>
        <v>88.909141911386158</v>
      </c>
      <c r="H1432">
        <f>IF($B$3,-Tabelle2[[#This Row],[Fd]]*Tabelle2[[#This Row],[vx]]/Tabelle2[[#This Row],[v]],0)</f>
        <v>0</v>
      </c>
      <c r="I1432">
        <f t="shared" si="242"/>
        <v>0</v>
      </c>
      <c r="J1432">
        <f t="shared" si="243"/>
        <v>0</v>
      </c>
      <c r="K1432">
        <f t="shared" si="244"/>
        <v>1.0467394398169905</v>
      </c>
      <c r="L1432">
        <f>-$B$5*$B$12-IF($B$3,Tabelle2[[#This Row],[Fd]]*Tabelle2[[#This Row],[vy]]/Tabelle2[[#This Row],[v]],0)</f>
        <v>-14.715</v>
      </c>
      <c r="M1432">
        <f t="shared" si="245"/>
        <v>-9.81</v>
      </c>
      <c r="N1432">
        <f t="shared" si="246"/>
        <v>-0.19620000000000001</v>
      </c>
      <c r="O1432">
        <f t="shared" si="247"/>
        <v>-4.3619025120881085</v>
      </c>
      <c r="P1432" s="1">
        <f t="shared" si="249"/>
        <v>52.336971990849527</v>
      </c>
      <c r="Q1432" s="1">
        <f t="shared" si="250"/>
        <v>-217.99702560440545</v>
      </c>
      <c r="R1432">
        <f>SQRT(Tabelle2[[#This Row],[vx]]*Tabelle2[[#This Row],[vx]]+Tabelle2[[#This Row],[vy]]*Tabelle2[[#This Row],[vy]])</f>
        <v>224.19157390396896</v>
      </c>
      <c r="S1432">
        <f t="shared" si="251"/>
        <v>1495.7906594984618</v>
      </c>
      <c r="T1432" s="1">
        <f t="shared" si="252"/>
        <v>-2222.1561249932111</v>
      </c>
    </row>
    <row r="1433" spans="6:20" x14ac:dyDescent="0.35">
      <c r="F1433" s="1">
        <f t="shared" si="248"/>
        <v>28.599999999999479</v>
      </c>
      <c r="G1433">
        <f>1/2*$B$8*$B$6*$B$7*(Tabelle2[[#This Row],[vx]]*Tabelle2[[#This Row],[vx]]+Tabelle2[[#This Row],[vy]]*Tabelle2[[#This Row],[vy]])/1000000</f>
        <v>89.060526897367353</v>
      </c>
      <c r="H1433">
        <f>IF($B$3,-Tabelle2[[#This Row],[Fd]]*Tabelle2[[#This Row],[vx]]/Tabelle2[[#This Row],[v]],0)</f>
        <v>0</v>
      </c>
      <c r="I1433">
        <f t="shared" si="242"/>
        <v>0</v>
      </c>
      <c r="J1433">
        <f t="shared" si="243"/>
        <v>0</v>
      </c>
      <c r="K1433">
        <f t="shared" si="244"/>
        <v>1.0467394398169905</v>
      </c>
      <c r="L1433">
        <f>-$B$5*$B$12-IF($B$3,Tabelle2[[#This Row],[Fd]]*Tabelle2[[#This Row],[vy]]/Tabelle2[[#This Row],[v]],0)</f>
        <v>-14.715</v>
      </c>
      <c r="M1433">
        <f t="shared" si="245"/>
        <v>-9.81</v>
      </c>
      <c r="N1433">
        <f t="shared" si="246"/>
        <v>-0.19620000000000001</v>
      </c>
      <c r="O1433">
        <f t="shared" si="247"/>
        <v>-4.365826512088109</v>
      </c>
      <c r="P1433" s="1">
        <f t="shared" si="249"/>
        <v>52.336971990849527</v>
      </c>
      <c r="Q1433" s="1">
        <f t="shared" si="250"/>
        <v>-218.19322560440546</v>
      </c>
      <c r="R1433">
        <f>SQRT(Tabelle2[[#This Row],[vx]]*Tabelle2[[#This Row],[vx]]+Tabelle2[[#This Row],[vy]]*Tabelle2[[#This Row],[vy]])</f>
        <v>224.38235745447088</v>
      </c>
      <c r="S1433">
        <f t="shared" si="251"/>
        <v>1496.8373989382787</v>
      </c>
      <c r="T1433" s="1">
        <f t="shared" si="252"/>
        <v>-2226.518027505299</v>
      </c>
    </row>
    <row r="1434" spans="6:20" x14ac:dyDescent="0.35">
      <c r="F1434" s="1">
        <f t="shared" si="248"/>
        <v>28.619999999999479</v>
      </c>
      <c r="G1434">
        <f>1/2*$B$8*$B$6*$B$7*(Tabelle2[[#This Row],[vx]]*Tabelle2[[#This Row],[vx]]+Tabelle2[[#This Row],[vy]]*Tabelle2[[#This Row],[vy]])/1000000</f>
        <v>89.212048070409907</v>
      </c>
      <c r="H1434">
        <f>IF($B$3,-Tabelle2[[#This Row],[Fd]]*Tabelle2[[#This Row],[vx]]/Tabelle2[[#This Row],[v]],0)</f>
        <v>0</v>
      </c>
      <c r="I1434">
        <f t="shared" si="242"/>
        <v>0</v>
      </c>
      <c r="J1434">
        <f t="shared" si="243"/>
        <v>0</v>
      </c>
      <c r="K1434">
        <f t="shared" si="244"/>
        <v>1.0467394398169905</v>
      </c>
      <c r="L1434">
        <f>-$B$5*$B$12-IF($B$3,Tabelle2[[#This Row],[Fd]]*Tabelle2[[#This Row],[vy]]/Tabelle2[[#This Row],[v]],0)</f>
        <v>-14.715</v>
      </c>
      <c r="M1434">
        <f t="shared" si="245"/>
        <v>-9.81</v>
      </c>
      <c r="N1434">
        <f t="shared" si="246"/>
        <v>-0.19620000000000001</v>
      </c>
      <c r="O1434">
        <f t="shared" si="247"/>
        <v>-4.3697505120881095</v>
      </c>
      <c r="P1434" s="1">
        <f t="shared" si="249"/>
        <v>52.336971990849527</v>
      </c>
      <c r="Q1434" s="1">
        <f t="shared" si="250"/>
        <v>-218.38942560440546</v>
      </c>
      <c r="R1434">
        <f>SQRT(Tabelle2[[#This Row],[vx]]*Tabelle2[[#This Row],[vx]]+Tabelle2[[#This Row],[vy]]*Tabelle2[[#This Row],[vy]])</f>
        <v>224.57315033857702</v>
      </c>
      <c r="S1434">
        <f t="shared" si="251"/>
        <v>1497.8841383780957</v>
      </c>
      <c r="T1434" s="1">
        <f t="shared" si="252"/>
        <v>-2230.883854017387</v>
      </c>
    </row>
    <row r="1435" spans="6:20" x14ac:dyDescent="0.35">
      <c r="F1435" s="1">
        <f t="shared" si="248"/>
        <v>28.639999999999478</v>
      </c>
      <c r="G1435">
        <f>1/2*$B$8*$B$6*$B$7*(Tabelle2[[#This Row],[vx]]*Tabelle2[[#This Row],[vx]]+Tabelle2[[#This Row],[vy]]*Tabelle2[[#This Row],[vy]])/1000000</f>
        <v>89.363705430513804</v>
      </c>
      <c r="H1435">
        <f>IF($B$3,-Tabelle2[[#This Row],[Fd]]*Tabelle2[[#This Row],[vx]]/Tabelle2[[#This Row],[v]],0)</f>
        <v>0</v>
      </c>
      <c r="I1435">
        <f t="shared" si="242"/>
        <v>0</v>
      </c>
      <c r="J1435">
        <f t="shared" si="243"/>
        <v>0</v>
      </c>
      <c r="K1435">
        <f t="shared" si="244"/>
        <v>1.0467394398169905</v>
      </c>
      <c r="L1435">
        <f>-$B$5*$B$12-IF($B$3,Tabelle2[[#This Row],[Fd]]*Tabelle2[[#This Row],[vy]]/Tabelle2[[#This Row],[v]],0)</f>
        <v>-14.715</v>
      </c>
      <c r="M1435">
        <f t="shared" si="245"/>
        <v>-9.81</v>
      </c>
      <c r="N1435">
        <f t="shared" si="246"/>
        <v>-0.19620000000000001</v>
      </c>
      <c r="O1435">
        <f t="shared" si="247"/>
        <v>-4.3736745120881091</v>
      </c>
      <c r="P1435" s="1">
        <f t="shared" si="249"/>
        <v>52.336971990849527</v>
      </c>
      <c r="Q1435" s="1">
        <f t="shared" si="250"/>
        <v>-218.58562560440546</v>
      </c>
      <c r="R1435">
        <f>SQRT(Tabelle2[[#This Row],[vx]]*Tabelle2[[#This Row],[vx]]+Tabelle2[[#This Row],[vy]]*Tabelle2[[#This Row],[vy]])</f>
        <v>224.76395253251863</v>
      </c>
      <c r="S1435">
        <f t="shared" si="251"/>
        <v>1498.9308778179127</v>
      </c>
      <c r="T1435" s="1">
        <f t="shared" si="252"/>
        <v>-2235.2536045294751</v>
      </c>
    </row>
    <row r="1436" spans="6:20" x14ac:dyDescent="0.35">
      <c r="F1436" s="1">
        <f t="shared" si="248"/>
        <v>28.659999999999478</v>
      </c>
      <c r="G1436">
        <f>1/2*$B$8*$B$6*$B$7*(Tabelle2[[#This Row],[vx]]*Tabelle2[[#This Row],[vx]]+Tabelle2[[#This Row],[vy]]*Tabelle2[[#This Row],[vy]])/1000000</f>
        <v>89.515498977679044</v>
      </c>
      <c r="H1436">
        <f>IF($B$3,-Tabelle2[[#This Row],[Fd]]*Tabelle2[[#This Row],[vx]]/Tabelle2[[#This Row],[v]],0)</f>
        <v>0</v>
      </c>
      <c r="I1436">
        <f t="shared" si="242"/>
        <v>0</v>
      </c>
      <c r="J1436">
        <f t="shared" si="243"/>
        <v>0</v>
      </c>
      <c r="K1436">
        <f t="shared" si="244"/>
        <v>1.0467394398169905</v>
      </c>
      <c r="L1436">
        <f>-$B$5*$B$12-IF($B$3,Tabelle2[[#This Row],[Fd]]*Tabelle2[[#This Row],[vy]]/Tabelle2[[#This Row],[v]],0)</f>
        <v>-14.715</v>
      </c>
      <c r="M1436">
        <f t="shared" si="245"/>
        <v>-9.81</v>
      </c>
      <c r="N1436">
        <f t="shared" si="246"/>
        <v>-0.19620000000000001</v>
      </c>
      <c r="O1436">
        <f t="shared" si="247"/>
        <v>-4.3775985120881096</v>
      </c>
      <c r="P1436" s="1">
        <f t="shared" si="249"/>
        <v>52.336971990849527</v>
      </c>
      <c r="Q1436" s="1">
        <f t="shared" si="250"/>
        <v>-218.78182560440547</v>
      </c>
      <c r="R1436">
        <f>SQRT(Tabelle2[[#This Row],[vx]]*Tabelle2[[#This Row],[vx]]+Tabelle2[[#This Row],[vy]]*Tabelle2[[#This Row],[vy]])</f>
        <v>224.95476401260643</v>
      </c>
      <c r="S1436">
        <f t="shared" si="251"/>
        <v>1499.9776172577297</v>
      </c>
      <c r="T1436" s="1">
        <f t="shared" si="252"/>
        <v>-2239.6272790415633</v>
      </c>
    </row>
    <row r="1437" spans="6:20" x14ac:dyDescent="0.35">
      <c r="F1437" s="1">
        <f t="shared" si="248"/>
        <v>28.679999999999477</v>
      </c>
      <c r="G1437">
        <f>1/2*$B$8*$B$6*$B$7*(Tabelle2[[#This Row],[vx]]*Tabelle2[[#This Row],[vx]]+Tabelle2[[#This Row],[vy]]*Tabelle2[[#This Row],[vy]])/1000000</f>
        <v>89.667428711905629</v>
      </c>
      <c r="H1437">
        <f>IF($B$3,-Tabelle2[[#This Row],[Fd]]*Tabelle2[[#This Row],[vx]]/Tabelle2[[#This Row],[v]],0)</f>
        <v>0</v>
      </c>
      <c r="I1437">
        <f t="shared" si="242"/>
        <v>0</v>
      </c>
      <c r="J1437">
        <f t="shared" si="243"/>
        <v>0</v>
      </c>
      <c r="K1437">
        <f t="shared" si="244"/>
        <v>1.0467394398169905</v>
      </c>
      <c r="L1437">
        <f>-$B$5*$B$12-IF($B$3,Tabelle2[[#This Row],[Fd]]*Tabelle2[[#This Row],[vy]]/Tabelle2[[#This Row],[v]],0)</f>
        <v>-14.715</v>
      </c>
      <c r="M1437">
        <f t="shared" si="245"/>
        <v>-9.81</v>
      </c>
      <c r="N1437">
        <f t="shared" si="246"/>
        <v>-0.19620000000000001</v>
      </c>
      <c r="O1437">
        <f t="shared" si="247"/>
        <v>-4.3815225120881092</v>
      </c>
      <c r="P1437" s="1">
        <f t="shared" si="249"/>
        <v>52.336971990849527</v>
      </c>
      <c r="Q1437" s="1">
        <f t="shared" si="250"/>
        <v>-218.97802560440547</v>
      </c>
      <c r="R1437">
        <f>SQRT(Tabelle2[[#This Row],[vx]]*Tabelle2[[#This Row],[vx]]+Tabelle2[[#This Row],[vy]]*Tabelle2[[#This Row],[vy]])</f>
        <v>225.1455847552304</v>
      </c>
      <c r="S1437">
        <f t="shared" si="251"/>
        <v>1501.0243566975466</v>
      </c>
      <c r="T1437" s="1">
        <f t="shared" si="252"/>
        <v>-2244.0048775536516</v>
      </c>
    </row>
    <row r="1438" spans="6:20" x14ac:dyDescent="0.35">
      <c r="F1438" s="1">
        <f t="shared" si="248"/>
        <v>28.699999999999477</v>
      </c>
      <c r="G1438">
        <f>1/2*$B$8*$B$6*$B$7*(Tabelle2[[#This Row],[vx]]*Tabelle2[[#This Row],[vx]]+Tabelle2[[#This Row],[vy]]*Tabelle2[[#This Row],[vy]])/1000000</f>
        <v>89.819494633193543</v>
      </c>
      <c r="H1438">
        <f>IF($B$3,-Tabelle2[[#This Row],[Fd]]*Tabelle2[[#This Row],[vx]]/Tabelle2[[#This Row],[v]],0)</f>
        <v>0</v>
      </c>
      <c r="I1438">
        <f t="shared" si="242"/>
        <v>0</v>
      </c>
      <c r="J1438">
        <f t="shared" si="243"/>
        <v>0</v>
      </c>
      <c r="K1438">
        <f t="shared" si="244"/>
        <v>1.0467394398169905</v>
      </c>
      <c r="L1438">
        <f>-$B$5*$B$12-IF($B$3,Tabelle2[[#This Row],[Fd]]*Tabelle2[[#This Row],[vy]]/Tabelle2[[#This Row],[v]],0)</f>
        <v>-14.715</v>
      </c>
      <c r="M1438">
        <f t="shared" si="245"/>
        <v>-9.81</v>
      </c>
      <c r="N1438">
        <f t="shared" si="246"/>
        <v>-0.19620000000000001</v>
      </c>
      <c r="O1438">
        <f t="shared" si="247"/>
        <v>-4.3854465120881096</v>
      </c>
      <c r="P1438" s="1">
        <f t="shared" si="249"/>
        <v>52.336971990849527</v>
      </c>
      <c r="Q1438" s="1">
        <f t="shared" si="250"/>
        <v>-219.17422560440548</v>
      </c>
      <c r="R1438">
        <f>SQRT(Tabelle2[[#This Row],[vx]]*Tabelle2[[#This Row],[vx]]+Tabelle2[[#This Row],[vy]]*Tabelle2[[#This Row],[vy]])</f>
        <v>225.33641473685915</v>
      </c>
      <c r="S1438">
        <f t="shared" si="251"/>
        <v>1502.0710961373636</v>
      </c>
      <c r="T1438" s="1">
        <f t="shared" si="252"/>
        <v>-2248.3864000657395</v>
      </c>
    </row>
    <row r="1439" spans="6:20" x14ac:dyDescent="0.35">
      <c r="F1439" s="1">
        <f t="shared" si="248"/>
        <v>28.719999999999477</v>
      </c>
      <c r="G1439">
        <f>1/2*$B$8*$B$6*$B$7*(Tabelle2[[#This Row],[vx]]*Tabelle2[[#This Row],[vx]]+Tabelle2[[#This Row],[vy]]*Tabelle2[[#This Row],[vy]])/1000000</f>
        <v>89.971696741542814</v>
      </c>
      <c r="H1439">
        <f>IF($B$3,-Tabelle2[[#This Row],[Fd]]*Tabelle2[[#This Row],[vx]]/Tabelle2[[#This Row],[v]],0)</f>
        <v>0</v>
      </c>
      <c r="I1439">
        <f t="shared" si="242"/>
        <v>0</v>
      </c>
      <c r="J1439">
        <f t="shared" si="243"/>
        <v>0</v>
      </c>
      <c r="K1439">
        <f t="shared" si="244"/>
        <v>1.0467394398169905</v>
      </c>
      <c r="L1439">
        <f>-$B$5*$B$12-IF($B$3,Tabelle2[[#This Row],[Fd]]*Tabelle2[[#This Row],[vy]]/Tabelle2[[#This Row],[v]],0)</f>
        <v>-14.715</v>
      </c>
      <c r="M1439">
        <f t="shared" si="245"/>
        <v>-9.81</v>
      </c>
      <c r="N1439">
        <f t="shared" si="246"/>
        <v>-0.19620000000000001</v>
      </c>
      <c r="O1439">
        <f t="shared" si="247"/>
        <v>-4.3893705120881092</v>
      </c>
      <c r="P1439" s="1">
        <f t="shared" si="249"/>
        <v>52.336971990849527</v>
      </c>
      <c r="Q1439" s="1">
        <f t="shared" si="250"/>
        <v>-219.37042560440548</v>
      </c>
      <c r="R1439">
        <f>SQRT(Tabelle2[[#This Row],[vx]]*Tabelle2[[#This Row],[vx]]+Tabelle2[[#This Row],[vy]]*Tabelle2[[#This Row],[vy]])</f>
        <v>225.52725393404003</v>
      </c>
      <c r="S1439">
        <f t="shared" si="251"/>
        <v>1503.1178355771806</v>
      </c>
      <c r="T1439" s="1">
        <f t="shared" si="252"/>
        <v>-2252.7718465778275</v>
      </c>
    </row>
    <row r="1440" spans="6:20" x14ac:dyDescent="0.35">
      <c r="F1440" s="1">
        <f t="shared" si="248"/>
        <v>28.739999999999476</v>
      </c>
      <c r="G1440">
        <f>1/2*$B$8*$B$6*$B$7*(Tabelle2[[#This Row],[vx]]*Tabelle2[[#This Row],[vx]]+Tabelle2[[#This Row],[vy]]*Tabelle2[[#This Row],[vy]])/1000000</f>
        <v>90.12403503695343</v>
      </c>
      <c r="H1440">
        <f>IF($B$3,-Tabelle2[[#This Row],[Fd]]*Tabelle2[[#This Row],[vx]]/Tabelle2[[#This Row],[v]],0)</f>
        <v>0</v>
      </c>
      <c r="I1440">
        <f t="shared" si="242"/>
        <v>0</v>
      </c>
      <c r="J1440">
        <f t="shared" si="243"/>
        <v>0</v>
      </c>
      <c r="K1440">
        <f t="shared" si="244"/>
        <v>1.0467394398169905</v>
      </c>
      <c r="L1440">
        <f>-$B$5*$B$12-IF($B$3,Tabelle2[[#This Row],[Fd]]*Tabelle2[[#This Row],[vy]]/Tabelle2[[#This Row],[v]],0)</f>
        <v>-14.715</v>
      </c>
      <c r="M1440">
        <f t="shared" si="245"/>
        <v>-9.81</v>
      </c>
      <c r="N1440">
        <f t="shared" si="246"/>
        <v>-0.19620000000000001</v>
      </c>
      <c r="O1440">
        <f t="shared" si="247"/>
        <v>-4.3932945120881097</v>
      </c>
      <c r="P1440" s="1">
        <f t="shared" si="249"/>
        <v>52.336971990849527</v>
      </c>
      <c r="Q1440" s="1">
        <f t="shared" si="250"/>
        <v>-219.56662560440549</v>
      </c>
      <c r="R1440">
        <f>SQRT(Tabelle2[[#This Row],[vx]]*Tabelle2[[#This Row],[vx]]+Tabelle2[[#This Row],[vy]]*Tabelle2[[#This Row],[vy]])</f>
        <v>225.71810232339837</v>
      </c>
      <c r="S1440">
        <f t="shared" si="251"/>
        <v>1504.1645750169976</v>
      </c>
      <c r="T1440" s="1">
        <f t="shared" si="252"/>
        <v>-2257.1612170899157</v>
      </c>
    </row>
    <row r="1441" spans="6:20" x14ac:dyDescent="0.35">
      <c r="F1441" s="1">
        <f t="shared" si="248"/>
        <v>28.759999999999476</v>
      </c>
      <c r="G1441">
        <f>1/2*$B$8*$B$6*$B$7*(Tabelle2[[#This Row],[vx]]*Tabelle2[[#This Row],[vx]]+Tabelle2[[#This Row],[vy]]*Tabelle2[[#This Row],[vy]])/1000000</f>
        <v>90.276509519425389</v>
      </c>
      <c r="H1441">
        <f>IF($B$3,-Tabelle2[[#This Row],[Fd]]*Tabelle2[[#This Row],[vx]]/Tabelle2[[#This Row],[v]],0)</f>
        <v>0</v>
      </c>
      <c r="I1441">
        <f t="shared" si="242"/>
        <v>0</v>
      </c>
      <c r="J1441">
        <f t="shared" si="243"/>
        <v>0</v>
      </c>
      <c r="K1441">
        <f t="shared" si="244"/>
        <v>1.0467394398169905</v>
      </c>
      <c r="L1441">
        <f>-$B$5*$B$12-IF($B$3,Tabelle2[[#This Row],[Fd]]*Tabelle2[[#This Row],[vy]]/Tabelle2[[#This Row],[v]],0)</f>
        <v>-14.715</v>
      </c>
      <c r="M1441">
        <f t="shared" si="245"/>
        <v>-9.81</v>
      </c>
      <c r="N1441">
        <f t="shared" si="246"/>
        <v>-0.19620000000000001</v>
      </c>
      <c r="O1441">
        <f t="shared" si="247"/>
        <v>-4.3972185120881093</v>
      </c>
      <c r="P1441" s="1">
        <f t="shared" si="249"/>
        <v>52.336971990849527</v>
      </c>
      <c r="Q1441" s="1">
        <f t="shared" si="250"/>
        <v>-219.76282560440549</v>
      </c>
      <c r="R1441">
        <f>SQRT(Tabelle2[[#This Row],[vx]]*Tabelle2[[#This Row],[vx]]+Tabelle2[[#This Row],[vy]]*Tabelle2[[#This Row],[vy]])</f>
        <v>225.90895988163751</v>
      </c>
      <c r="S1441">
        <f t="shared" si="251"/>
        <v>1505.2113144568145</v>
      </c>
      <c r="T1441" s="1">
        <f t="shared" si="252"/>
        <v>-2261.5545116020039</v>
      </c>
    </row>
    <row r="1442" spans="6:20" x14ac:dyDescent="0.35">
      <c r="F1442" s="1">
        <f t="shared" si="248"/>
        <v>28.779999999999475</v>
      </c>
      <c r="G1442">
        <f>1/2*$B$8*$B$6*$B$7*(Tabelle2[[#This Row],[vx]]*Tabelle2[[#This Row],[vx]]+Tabelle2[[#This Row],[vy]]*Tabelle2[[#This Row],[vy]])/1000000</f>
        <v>90.429120188958706</v>
      </c>
      <c r="H1442">
        <f>IF($B$3,-Tabelle2[[#This Row],[Fd]]*Tabelle2[[#This Row],[vx]]/Tabelle2[[#This Row],[v]],0)</f>
        <v>0</v>
      </c>
      <c r="I1442">
        <f t="shared" si="242"/>
        <v>0</v>
      </c>
      <c r="J1442">
        <f t="shared" si="243"/>
        <v>0</v>
      </c>
      <c r="K1442">
        <f t="shared" si="244"/>
        <v>1.0467394398169905</v>
      </c>
      <c r="L1442">
        <f>-$B$5*$B$12-IF($B$3,Tabelle2[[#This Row],[Fd]]*Tabelle2[[#This Row],[vy]]/Tabelle2[[#This Row],[v]],0)</f>
        <v>-14.715</v>
      </c>
      <c r="M1442">
        <f t="shared" si="245"/>
        <v>-9.81</v>
      </c>
      <c r="N1442">
        <f t="shared" si="246"/>
        <v>-0.19620000000000001</v>
      </c>
      <c r="O1442">
        <f t="shared" si="247"/>
        <v>-4.4011425120881098</v>
      </c>
      <c r="P1442" s="1">
        <f t="shared" si="249"/>
        <v>52.336971990849527</v>
      </c>
      <c r="Q1442" s="1">
        <f t="shared" si="250"/>
        <v>-219.9590256044055</v>
      </c>
      <c r="R1442">
        <f>SQRT(Tabelle2[[#This Row],[vx]]*Tabelle2[[#This Row],[vx]]+Tabelle2[[#This Row],[vy]]*Tabelle2[[#This Row],[vy]])</f>
        <v>226.0998265855383</v>
      </c>
      <c r="S1442">
        <f t="shared" si="251"/>
        <v>1506.2580538966315</v>
      </c>
      <c r="T1442" s="1">
        <f t="shared" si="252"/>
        <v>-2265.9517301140922</v>
      </c>
    </row>
    <row r="1443" spans="6:20" x14ac:dyDescent="0.35">
      <c r="F1443" s="1">
        <f t="shared" si="248"/>
        <v>28.799999999999475</v>
      </c>
      <c r="G1443">
        <f>1/2*$B$8*$B$6*$B$7*(Tabelle2[[#This Row],[vx]]*Tabelle2[[#This Row],[vx]]+Tabelle2[[#This Row],[vy]]*Tabelle2[[#This Row],[vy]])/1000000</f>
        <v>90.581867045553338</v>
      </c>
      <c r="H1443">
        <f>IF($B$3,-Tabelle2[[#This Row],[Fd]]*Tabelle2[[#This Row],[vx]]/Tabelle2[[#This Row],[v]],0)</f>
        <v>0</v>
      </c>
      <c r="I1443">
        <f t="shared" si="242"/>
        <v>0</v>
      </c>
      <c r="J1443">
        <f t="shared" si="243"/>
        <v>0</v>
      </c>
      <c r="K1443">
        <f t="shared" si="244"/>
        <v>1.0467394398169905</v>
      </c>
      <c r="L1443">
        <f>-$B$5*$B$12-IF($B$3,Tabelle2[[#This Row],[Fd]]*Tabelle2[[#This Row],[vy]]/Tabelle2[[#This Row],[v]],0)</f>
        <v>-14.715</v>
      </c>
      <c r="M1443">
        <f t="shared" si="245"/>
        <v>-9.81</v>
      </c>
      <c r="N1443">
        <f t="shared" si="246"/>
        <v>-0.19620000000000001</v>
      </c>
      <c r="O1443">
        <f t="shared" si="247"/>
        <v>-4.4050665120881103</v>
      </c>
      <c r="P1443" s="1">
        <f t="shared" si="249"/>
        <v>52.336971990849527</v>
      </c>
      <c r="Q1443" s="1">
        <f t="shared" si="250"/>
        <v>-220.1552256044055</v>
      </c>
      <c r="R1443">
        <f>SQRT(Tabelle2[[#This Row],[vx]]*Tabelle2[[#This Row],[vx]]+Tabelle2[[#This Row],[vy]]*Tabelle2[[#This Row],[vy]])</f>
        <v>226.2907024119587</v>
      </c>
      <c r="S1443">
        <f t="shared" si="251"/>
        <v>1507.3047933364485</v>
      </c>
      <c r="T1443" s="1">
        <f t="shared" si="252"/>
        <v>-2270.3528726261802</v>
      </c>
    </row>
    <row r="1444" spans="6:20" x14ac:dyDescent="0.35">
      <c r="F1444" s="1">
        <f t="shared" si="248"/>
        <v>28.819999999999474</v>
      </c>
      <c r="G1444">
        <f>1/2*$B$8*$B$6*$B$7*(Tabelle2[[#This Row],[vx]]*Tabelle2[[#This Row],[vx]]+Tabelle2[[#This Row],[vy]]*Tabelle2[[#This Row],[vy]])/1000000</f>
        <v>90.734750089209328</v>
      </c>
      <c r="H1444">
        <f>IF($B$3,-Tabelle2[[#This Row],[Fd]]*Tabelle2[[#This Row],[vx]]/Tabelle2[[#This Row],[v]],0)</f>
        <v>0</v>
      </c>
      <c r="I1444">
        <f t="shared" si="242"/>
        <v>0</v>
      </c>
      <c r="J1444">
        <f t="shared" si="243"/>
        <v>0</v>
      </c>
      <c r="K1444">
        <f t="shared" si="244"/>
        <v>1.0467394398169905</v>
      </c>
      <c r="L1444">
        <f>-$B$5*$B$12-IF($B$3,Tabelle2[[#This Row],[Fd]]*Tabelle2[[#This Row],[vy]]/Tabelle2[[#This Row],[v]],0)</f>
        <v>-14.715</v>
      </c>
      <c r="M1444">
        <f t="shared" si="245"/>
        <v>-9.81</v>
      </c>
      <c r="N1444">
        <f t="shared" si="246"/>
        <v>-0.19620000000000001</v>
      </c>
      <c r="O1444">
        <f t="shared" si="247"/>
        <v>-4.4089905120881099</v>
      </c>
      <c r="P1444" s="1">
        <f t="shared" si="249"/>
        <v>52.336971990849527</v>
      </c>
      <c r="Q1444" s="1">
        <f t="shared" si="250"/>
        <v>-220.35142560440551</v>
      </c>
      <c r="R1444">
        <f>SQRT(Tabelle2[[#This Row],[vx]]*Tabelle2[[#This Row],[vx]]+Tabelle2[[#This Row],[vy]]*Tabelle2[[#This Row],[vy]])</f>
        <v>226.48158733783376</v>
      </c>
      <c r="S1444">
        <f t="shared" si="251"/>
        <v>1508.3515327762655</v>
      </c>
      <c r="T1444" s="1">
        <f t="shared" si="252"/>
        <v>-2274.7579391382683</v>
      </c>
    </row>
    <row r="1445" spans="6:20" x14ac:dyDescent="0.35">
      <c r="F1445" s="1">
        <f t="shared" si="248"/>
        <v>28.839999999999474</v>
      </c>
      <c r="G1445">
        <f>1/2*$B$8*$B$6*$B$7*(Tabelle2[[#This Row],[vx]]*Tabelle2[[#This Row],[vx]]+Tabelle2[[#This Row],[vy]]*Tabelle2[[#This Row],[vy]])/1000000</f>
        <v>90.887769319926662</v>
      </c>
      <c r="H1445">
        <f>IF($B$3,-Tabelle2[[#This Row],[Fd]]*Tabelle2[[#This Row],[vx]]/Tabelle2[[#This Row],[v]],0)</f>
        <v>0</v>
      </c>
      <c r="I1445">
        <f t="shared" si="242"/>
        <v>0</v>
      </c>
      <c r="J1445">
        <f t="shared" si="243"/>
        <v>0</v>
      </c>
      <c r="K1445">
        <f t="shared" si="244"/>
        <v>1.0467394398169905</v>
      </c>
      <c r="L1445">
        <f>-$B$5*$B$12-IF($B$3,Tabelle2[[#This Row],[Fd]]*Tabelle2[[#This Row],[vy]]/Tabelle2[[#This Row],[v]],0)</f>
        <v>-14.715</v>
      </c>
      <c r="M1445">
        <f t="shared" si="245"/>
        <v>-9.81</v>
      </c>
      <c r="N1445">
        <f t="shared" si="246"/>
        <v>-0.19620000000000001</v>
      </c>
      <c r="O1445">
        <f t="shared" si="247"/>
        <v>-4.4129145120881104</v>
      </c>
      <c r="P1445" s="1">
        <f t="shared" si="249"/>
        <v>52.336971990849527</v>
      </c>
      <c r="Q1445" s="1">
        <f t="shared" si="250"/>
        <v>-220.54762560440551</v>
      </c>
      <c r="R1445">
        <f>SQRT(Tabelle2[[#This Row],[vx]]*Tabelle2[[#This Row],[vx]]+Tabelle2[[#This Row],[vy]]*Tabelle2[[#This Row],[vy]])</f>
        <v>226.67248134017504</v>
      </c>
      <c r="S1445">
        <f t="shared" si="251"/>
        <v>1509.3982722160824</v>
      </c>
      <c r="T1445" s="1">
        <f t="shared" si="252"/>
        <v>-2279.1669296503565</v>
      </c>
    </row>
    <row r="1446" spans="6:20" x14ac:dyDescent="0.35">
      <c r="F1446" s="1">
        <f t="shared" si="248"/>
        <v>28.859999999999474</v>
      </c>
      <c r="G1446">
        <f>1/2*$B$8*$B$6*$B$7*(Tabelle2[[#This Row],[vx]]*Tabelle2[[#This Row],[vx]]+Tabelle2[[#This Row],[vy]]*Tabelle2[[#This Row],[vy]])/1000000</f>
        <v>91.040924737705339</v>
      </c>
      <c r="H1446">
        <f>IF($B$3,-Tabelle2[[#This Row],[Fd]]*Tabelle2[[#This Row],[vx]]/Tabelle2[[#This Row],[v]],0)</f>
        <v>0</v>
      </c>
      <c r="I1446">
        <f t="shared" si="242"/>
        <v>0</v>
      </c>
      <c r="J1446">
        <f t="shared" si="243"/>
        <v>0</v>
      </c>
      <c r="K1446">
        <f t="shared" si="244"/>
        <v>1.0467394398169905</v>
      </c>
      <c r="L1446">
        <f>-$B$5*$B$12-IF($B$3,Tabelle2[[#This Row],[Fd]]*Tabelle2[[#This Row],[vy]]/Tabelle2[[#This Row],[v]],0)</f>
        <v>-14.715</v>
      </c>
      <c r="M1446">
        <f t="shared" si="245"/>
        <v>-9.81</v>
      </c>
      <c r="N1446">
        <f t="shared" si="246"/>
        <v>-0.19620000000000001</v>
      </c>
      <c r="O1446">
        <f t="shared" si="247"/>
        <v>-4.41683851208811</v>
      </c>
      <c r="P1446" s="1">
        <f t="shared" si="249"/>
        <v>52.336971990849527</v>
      </c>
      <c r="Q1446" s="1">
        <f t="shared" si="250"/>
        <v>-220.74382560440552</v>
      </c>
      <c r="R1446">
        <f>SQRT(Tabelle2[[#This Row],[vx]]*Tabelle2[[#This Row],[vx]]+Tabelle2[[#This Row],[vy]]*Tabelle2[[#This Row],[vy]])</f>
        <v>226.86338439607033</v>
      </c>
      <c r="S1446">
        <f t="shared" si="251"/>
        <v>1510.4450116558994</v>
      </c>
      <c r="T1446" s="1">
        <f t="shared" si="252"/>
        <v>-2283.5798441624447</v>
      </c>
    </row>
    <row r="1447" spans="6:20" x14ac:dyDescent="0.35">
      <c r="F1447" s="1">
        <f t="shared" si="248"/>
        <v>28.879999999999473</v>
      </c>
      <c r="G1447">
        <f>1/2*$B$8*$B$6*$B$7*(Tabelle2[[#This Row],[vx]]*Tabelle2[[#This Row],[vx]]+Tabelle2[[#This Row],[vy]]*Tabelle2[[#This Row],[vy]])/1000000</f>
        <v>91.19421634254536</v>
      </c>
      <c r="H1447">
        <f>IF($B$3,-Tabelle2[[#This Row],[Fd]]*Tabelle2[[#This Row],[vx]]/Tabelle2[[#This Row],[v]],0)</f>
        <v>0</v>
      </c>
      <c r="I1447">
        <f t="shared" si="242"/>
        <v>0</v>
      </c>
      <c r="J1447">
        <f t="shared" si="243"/>
        <v>0</v>
      </c>
      <c r="K1447">
        <f t="shared" si="244"/>
        <v>1.0467394398169905</v>
      </c>
      <c r="L1447">
        <f>-$B$5*$B$12-IF($B$3,Tabelle2[[#This Row],[Fd]]*Tabelle2[[#This Row],[vy]]/Tabelle2[[#This Row],[v]],0)</f>
        <v>-14.715</v>
      </c>
      <c r="M1447">
        <f t="shared" si="245"/>
        <v>-9.81</v>
      </c>
      <c r="N1447">
        <f t="shared" si="246"/>
        <v>-0.19620000000000001</v>
      </c>
      <c r="O1447">
        <f t="shared" si="247"/>
        <v>-4.4207625120881104</v>
      </c>
      <c r="P1447" s="1">
        <f t="shared" si="249"/>
        <v>52.336971990849527</v>
      </c>
      <c r="Q1447" s="1">
        <f t="shared" si="250"/>
        <v>-220.94002560440552</v>
      </c>
      <c r="R1447">
        <f>SQRT(Tabelle2[[#This Row],[vx]]*Tabelle2[[#This Row],[vx]]+Tabelle2[[#This Row],[vy]]*Tabelle2[[#This Row],[vy]])</f>
        <v>227.0542964826835</v>
      </c>
      <c r="S1447">
        <f t="shared" si="251"/>
        <v>1511.4917510957164</v>
      </c>
      <c r="T1447" s="1">
        <f t="shared" si="252"/>
        <v>-2287.9966826745326</v>
      </c>
    </row>
    <row r="1448" spans="6:20" x14ac:dyDescent="0.35">
      <c r="F1448" s="1">
        <f t="shared" si="248"/>
        <v>28.899999999999473</v>
      </c>
      <c r="G1448">
        <f>1/2*$B$8*$B$6*$B$7*(Tabelle2[[#This Row],[vx]]*Tabelle2[[#This Row],[vx]]+Tabelle2[[#This Row],[vy]]*Tabelle2[[#This Row],[vy]])/1000000</f>
        <v>91.347644134446725</v>
      </c>
      <c r="H1448">
        <f>IF($B$3,-Tabelle2[[#This Row],[Fd]]*Tabelle2[[#This Row],[vx]]/Tabelle2[[#This Row],[v]],0)</f>
        <v>0</v>
      </c>
      <c r="I1448">
        <f t="shared" si="242"/>
        <v>0</v>
      </c>
      <c r="J1448">
        <f t="shared" si="243"/>
        <v>0</v>
      </c>
      <c r="K1448">
        <f t="shared" si="244"/>
        <v>1.0467394398169905</v>
      </c>
      <c r="L1448">
        <f>-$B$5*$B$12-IF($B$3,Tabelle2[[#This Row],[Fd]]*Tabelle2[[#This Row],[vy]]/Tabelle2[[#This Row],[v]],0)</f>
        <v>-14.715</v>
      </c>
      <c r="M1448">
        <f t="shared" si="245"/>
        <v>-9.81</v>
      </c>
      <c r="N1448">
        <f t="shared" si="246"/>
        <v>-0.19620000000000001</v>
      </c>
      <c r="O1448">
        <f t="shared" si="247"/>
        <v>-4.42468651208811</v>
      </c>
      <c r="P1448" s="1">
        <f t="shared" si="249"/>
        <v>52.336971990849527</v>
      </c>
      <c r="Q1448" s="1">
        <f t="shared" si="250"/>
        <v>-221.13622560440552</v>
      </c>
      <c r="R1448">
        <f>SQRT(Tabelle2[[#This Row],[vx]]*Tabelle2[[#This Row],[vx]]+Tabelle2[[#This Row],[vy]]*Tabelle2[[#This Row],[vy]])</f>
        <v>227.24521757725398</v>
      </c>
      <c r="S1448">
        <f t="shared" si="251"/>
        <v>1512.5384905355334</v>
      </c>
      <c r="T1448" s="1">
        <f t="shared" si="252"/>
        <v>-2292.4174451866206</v>
      </c>
    </row>
    <row r="1449" spans="6:20" x14ac:dyDescent="0.35">
      <c r="F1449" s="1">
        <f t="shared" si="248"/>
        <v>28.919999999999472</v>
      </c>
      <c r="G1449">
        <f>1/2*$B$8*$B$6*$B$7*(Tabelle2[[#This Row],[vx]]*Tabelle2[[#This Row],[vx]]+Tabelle2[[#This Row],[vy]]*Tabelle2[[#This Row],[vy]])/1000000</f>
        <v>91.501208113409433</v>
      </c>
      <c r="H1449">
        <f>IF($B$3,-Tabelle2[[#This Row],[Fd]]*Tabelle2[[#This Row],[vx]]/Tabelle2[[#This Row],[v]],0)</f>
        <v>0</v>
      </c>
      <c r="I1449">
        <f t="shared" si="242"/>
        <v>0</v>
      </c>
      <c r="J1449">
        <f t="shared" si="243"/>
        <v>0</v>
      </c>
      <c r="K1449">
        <f t="shared" si="244"/>
        <v>1.0467394398169905</v>
      </c>
      <c r="L1449">
        <f>-$B$5*$B$12-IF($B$3,Tabelle2[[#This Row],[Fd]]*Tabelle2[[#This Row],[vy]]/Tabelle2[[#This Row],[v]],0)</f>
        <v>-14.715</v>
      </c>
      <c r="M1449">
        <f t="shared" si="245"/>
        <v>-9.81</v>
      </c>
      <c r="N1449">
        <f t="shared" si="246"/>
        <v>-0.19620000000000001</v>
      </c>
      <c r="O1449">
        <f t="shared" si="247"/>
        <v>-4.4286105120881105</v>
      </c>
      <c r="P1449" s="1">
        <f t="shared" si="249"/>
        <v>52.336971990849527</v>
      </c>
      <c r="Q1449" s="1">
        <f t="shared" si="250"/>
        <v>-221.33242560440553</v>
      </c>
      <c r="R1449">
        <f>SQRT(Tabelle2[[#This Row],[vx]]*Tabelle2[[#This Row],[vx]]+Tabelle2[[#This Row],[vy]]*Tabelle2[[#This Row],[vy]])</f>
        <v>227.43614765709668</v>
      </c>
      <c r="S1449">
        <f t="shared" si="251"/>
        <v>1513.5852299753503</v>
      </c>
      <c r="T1449" s="1">
        <f t="shared" si="252"/>
        <v>-2296.8421316987087</v>
      </c>
    </row>
    <row r="1450" spans="6:20" x14ac:dyDescent="0.35">
      <c r="F1450" s="1">
        <f t="shared" si="248"/>
        <v>28.939999999999472</v>
      </c>
      <c r="G1450">
        <f>1/2*$B$8*$B$6*$B$7*(Tabelle2[[#This Row],[vx]]*Tabelle2[[#This Row],[vx]]+Tabelle2[[#This Row],[vy]]*Tabelle2[[#This Row],[vy]])/1000000</f>
        <v>91.654908279433485</v>
      </c>
      <c r="H1450">
        <f>IF($B$3,-Tabelle2[[#This Row],[Fd]]*Tabelle2[[#This Row],[vx]]/Tabelle2[[#This Row],[v]],0)</f>
        <v>0</v>
      </c>
      <c r="I1450">
        <f t="shared" si="242"/>
        <v>0</v>
      </c>
      <c r="J1450">
        <f t="shared" si="243"/>
        <v>0</v>
      </c>
      <c r="K1450">
        <f t="shared" si="244"/>
        <v>1.0467394398169905</v>
      </c>
      <c r="L1450">
        <f>-$B$5*$B$12-IF($B$3,Tabelle2[[#This Row],[Fd]]*Tabelle2[[#This Row],[vy]]/Tabelle2[[#This Row],[v]],0)</f>
        <v>-14.715</v>
      </c>
      <c r="M1450">
        <f t="shared" si="245"/>
        <v>-9.81</v>
      </c>
      <c r="N1450">
        <f t="shared" si="246"/>
        <v>-0.19620000000000001</v>
      </c>
      <c r="O1450">
        <f t="shared" si="247"/>
        <v>-4.4325345120881101</v>
      </c>
      <c r="P1450" s="1">
        <f t="shared" si="249"/>
        <v>52.336971990849527</v>
      </c>
      <c r="Q1450" s="1">
        <f t="shared" si="250"/>
        <v>-221.52862560440553</v>
      </c>
      <c r="R1450">
        <f>SQRT(Tabelle2[[#This Row],[vx]]*Tabelle2[[#This Row],[vx]]+Tabelle2[[#This Row],[vy]]*Tabelle2[[#This Row],[vy]])</f>
        <v>227.62708669960139</v>
      </c>
      <c r="S1450">
        <f t="shared" si="251"/>
        <v>1514.6319694151673</v>
      </c>
      <c r="T1450" s="1">
        <f t="shared" si="252"/>
        <v>-2301.2707422107969</v>
      </c>
    </row>
    <row r="1451" spans="6:20" x14ac:dyDescent="0.35">
      <c r="F1451" s="1">
        <f t="shared" si="248"/>
        <v>28.959999999999471</v>
      </c>
      <c r="G1451">
        <f>1/2*$B$8*$B$6*$B$7*(Tabelle2[[#This Row],[vx]]*Tabelle2[[#This Row],[vx]]+Tabelle2[[#This Row],[vy]]*Tabelle2[[#This Row],[vy]])/1000000</f>
        <v>91.808744632518881</v>
      </c>
      <c r="H1451">
        <f>IF($B$3,-Tabelle2[[#This Row],[Fd]]*Tabelle2[[#This Row],[vx]]/Tabelle2[[#This Row],[v]],0)</f>
        <v>0</v>
      </c>
      <c r="I1451">
        <f t="shared" si="242"/>
        <v>0</v>
      </c>
      <c r="J1451">
        <f t="shared" si="243"/>
        <v>0</v>
      </c>
      <c r="K1451">
        <f t="shared" si="244"/>
        <v>1.0467394398169905</v>
      </c>
      <c r="L1451">
        <f>-$B$5*$B$12-IF($B$3,Tabelle2[[#This Row],[Fd]]*Tabelle2[[#This Row],[vy]]/Tabelle2[[#This Row],[v]],0)</f>
        <v>-14.715</v>
      </c>
      <c r="M1451">
        <f t="shared" si="245"/>
        <v>-9.81</v>
      </c>
      <c r="N1451">
        <f t="shared" si="246"/>
        <v>-0.19620000000000001</v>
      </c>
      <c r="O1451">
        <f t="shared" si="247"/>
        <v>-4.4364585120881106</v>
      </c>
      <c r="P1451" s="1">
        <f t="shared" si="249"/>
        <v>52.336971990849527</v>
      </c>
      <c r="Q1451" s="1">
        <f t="shared" si="250"/>
        <v>-221.72482560440554</v>
      </c>
      <c r="R1451">
        <f>SQRT(Tabelle2[[#This Row],[vx]]*Tabelle2[[#This Row],[vx]]+Tabelle2[[#This Row],[vy]]*Tabelle2[[#This Row],[vy]])</f>
        <v>227.81803468223279</v>
      </c>
      <c r="S1451">
        <f t="shared" si="251"/>
        <v>1515.6787088549843</v>
      </c>
      <c r="T1451" s="1">
        <f t="shared" si="252"/>
        <v>-2305.7032767228852</v>
      </c>
    </row>
    <row r="1452" spans="6:20" x14ac:dyDescent="0.35">
      <c r="F1452" s="1">
        <f t="shared" si="248"/>
        <v>28.979999999999471</v>
      </c>
      <c r="G1452">
        <f>1/2*$B$8*$B$6*$B$7*(Tabelle2[[#This Row],[vx]]*Tabelle2[[#This Row],[vx]]+Tabelle2[[#This Row],[vy]]*Tabelle2[[#This Row],[vy]])/1000000</f>
        <v>91.96271717266562</v>
      </c>
      <c r="H1452">
        <f>IF($B$3,-Tabelle2[[#This Row],[Fd]]*Tabelle2[[#This Row],[vx]]/Tabelle2[[#This Row],[v]],0)</f>
        <v>0</v>
      </c>
      <c r="I1452">
        <f t="shared" si="242"/>
        <v>0</v>
      </c>
      <c r="J1452">
        <f t="shared" si="243"/>
        <v>0</v>
      </c>
      <c r="K1452">
        <f t="shared" si="244"/>
        <v>1.0467394398169905</v>
      </c>
      <c r="L1452">
        <f>-$B$5*$B$12-IF($B$3,Tabelle2[[#This Row],[Fd]]*Tabelle2[[#This Row],[vy]]/Tabelle2[[#This Row],[v]],0)</f>
        <v>-14.715</v>
      </c>
      <c r="M1452">
        <f t="shared" si="245"/>
        <v>-9.81</v>
      </c>
      <c r="N1452">
        <f t="shared" si="246"/>
        <v>-0.19620000000000001</v>
      </c>
      <c r="O1452">
        <f t="shared" si="247"/>
        <v>-4.4403825120881111</v>
      </c>
      <c r="P1452" s="1">
        <f t="shared" si="249"/>
        <v>52.336971990849527</v>
      </c>
      <c r="Q1452" s="1">
        <f t="shared" si="250"/>
        <v>-221.92102560440554</v>
      </c>
      <c r="R1452">
        <f>SQRT(Tabelle2[[#This Row],[vx]]*Tabelle2[[#This Row],[vx]]+Tabelle2[[#This Row],[vy]]*Tabelle2[[#This Row],[vy]])</f>
        <v>228.00899158252992</v>
      </c>
      <c r="S1452">
        <f t="shared" si="251"/>
        <v>1516.7254482948013</v>
      </c>
      <c r="T1452" s="1">
        <f t="shared" si="252"/>
        <v>-2310.1397352349732</v>
      </c>
    </row>
    <row r="1453" spans="6:20" x14ac:dyDescent="0.35">
      <c r="F1453" s="1">
        <f t="shared" si="248"/>
        <v>28.999999999999471</v>
      </c>
      <c r="G1453">
        <f>1/2*$B$8*$B$6*$B$7*(Tabelle2[[#This Row],[vx]]*Tabelle2[[#This Row],[vx]]+Tabelle2[[#This Row],[vy]]*Tabelle2[[#This Row],[vy]])/1000000</f>
        <v>92.116825899873703</v>
      </c>
      <c r="H1453">
        <f>IF($B$3,-Tabelle2[[#This Row],[Fd]]*Tabelle2[[#This Row],[vx]]/Tabelle2[[#This Row],[v]],0)</f>
        <v>0</v>
      </c>
      <c r="I1453">
        <f t="shared" si="242"/>
        <v>0</v>
      </c>
      <c r="J1453">
        <f t="shared" si="243"/>
        <v>0</v>
      </c>
      <c r="K1453">
        <f t="shared" si="244"/>
        <v>1.0467394398169905</v>
      </c>
      <c r="L1453">
        <f>-$B$5*$B$12-IF($B$3,Tabelle2[[#This Row],[Fd]]*Tabelle2[[#This Row],[vy]]/Tabelle2[[#This Row],[v]],0)</f>
        <v>-14.715</v>
      </c>
      <c r="M1453">
        <f t="shared" si="245"/>
        <v>-9.81</v>
      </c>
      <c r="N1453">
        <f t="shared" si="246"/>
        <v>-0.19620000000000001</v>
      </c>
      <c r="O1453">
        <f t="shared" si="247"/>
        <v>-4.4443065120881107</v>
      </c>
      <c r="P1453" s="1">
        <f t="shared" si="249"/>
        <v>52.336971990849527</v>
      </c>
      <c r="Q1453" s="1">
        <f t="shared" si="250"/>
        <v>-222.11722560440555</v>
      </c>
      <c r="R1453">
        <f>SQRT(Tabelle2[[#This Row],[vx]]*Tabelle2[[#This Row],[vx]]+Tabelle2[[#This Row],[vy]]*Tabelle2[[#This Row],[vy]])</f>
        <v>228.19995737810592</v>
      </c>
      <c r="S1453">
        <f t="shared" si="251"/>
        <v>1517.7721877346182</v>
      </c>
      <c r="T1453" s="1">
        <f t="shared" si="252"/>
        <v>-2314.5801177470612</v>
      </c>
    </row>
    <row r="1454" spans="6:20" x14ac:dyDescent="0.35">
      <c r="F1454" s="1">
        <f t="shared" si="248"/>
        <v>29.01999999999947</v>
      </c>
      <c r="G1454">
        <f>1/2*$B$8*$B$6*$B$7*(Tabelle2[[#This Row],[vx]]*Tabelle2[[#This Row],[vx]]+Tabelle2[[#This Row],[vy]]*Tabelle2[[#This Row],[vy]])/1000000</f>
        <v>92.271070814143158</v>
      </c>
      <c r="H1454">
        <f>IF($B$3,-Tabelle2[[#This Row],[Fd]]*Tabelle2[[#This Row],[vx]]/Tabelle2[[#This Row],[v]],0)</f>
        <v>0</v>
      </c>
      <c r="I1454">
        <f t="shared" si="242"/>
        <v>0</v>
      </c>
      <c r="J1454">
        <f t="shared" si="243"/>
        <v>0</v>
      </c>
      <c r="K1454">
        <f t="shared" si="244"/>
        <v>1.0467394398169905</v>
      </c>
      <c r="L1454">
        <f>-$B$5*$B$12-IF($B$3,Tabelle2[[#This Row],[Fd]]*Tabelle2[[#This Row],[vy]]/Tabelle2[[#This Row],[v]],0)</f>
        <v>-14.715</v>
      </c>
      <c r="M1454">
        <f t="shared" si="245"/>
        <v>-9.81</v>
      </c>
      <c r="N1454">
        <f t="shared" si="246"/>
        <v>-0.19620000000000001</v>
      </c>
      <c r="O1454">
        <f t="shared" si="247"/>
        <v>-4.4482305120881112</v>
      </c>
      <c r="P1454" s="1">
        <f t="shared" si="249"/>
        <v>52.336971990849527</v>
      </c>
      <c r="Q1454" s="1">
        <f t="shared" si="250"/>
        <v>-222.31342560440555</v>
      </c>
      <c r="R1454">
        <f>SQRT(Tabelle2[[#This Row],[vx]]*Tabelle2[[#This Row],[vx]]+Tabelle2[[#This Row],[vy]]*Tabelle2[[#This Row],[vy]])</f>
        <v>228.39093204664789</v>
      </c>
      <c r="S1454">
        <f t="shared" si="251"/>
        <v>1518.8189271744352</v>
      </c>
      <c r="T1454" s="1">
        <f t="shared" si="252"/>
        <v>-2319.0244242591493</v>
      </c>
    </row>
    <row r="1455" spans="6:20" x14ac:dyDescent="0.35">
      <c r="F1455" s="1">
        <f t="shared" si="248"/>
        <v>29.03999999999947</v>
      </c>
      <c r="G1455">
        <f>1/2*$B$8*$B$6*$B$7*(Tabelle2[[#This Row],[vx]]*Tabelle2[[#This Row],[vx]]+Tabelle2[[#This Row],[vy]]*Tabelle2[[#This Row],[vy]])/1000000</f>
        <v>92.425451915473914</v>
      </c>
      <c r="H1455">
        <f>IF($B$3,-Tabelle2[[#This Row],[Fd]]*Tabelle2[[#This Row],[vx]]/Tabelle2[[#This Row],[v]],0)</f>
        <v>0</v>
      </c>
      <c r="I1455">
        <f t="shared" si="242"/>
        <v>0</v>
      </c>
      <c r="J1455">
        <f t="shared" si="243"/>
        <v>0</v>
      </c>
      <c r="K1455">
        <f t="shared" si="244"/>
        <v>1.0467394398169905</v>
      </c>
      <c r="L1455">
        <f>-$B$5*$B$12-IF($B$3,Tabelle2[[#This Row],[Fd]]*Tabelle2[[#This Row],[vy]]/Tabelle2[[#This Row],[v]],0)</f>
        <v>-14.715</v>
      </c>
      <c r="M1455">
        <f t="shared" si="245"/>
        <v>-9.81</v>
      </c>
      <c r="N1455">
        <f t="shared" si="246"/>
        <v>-0.19620000000000001</v>
      </c>
      <c r="O1455">
        <f t="shared" si="247"/>
        <v>-4.4521545120881107</v>
      </c>
      <c r="P1455" s="1">
        <f t="shared" si="249"/>
        <v>52.336971990849527</v>
      </c>
      <c r="Q1455" s="1">
        <f t="shared" si="250"/>
        <v>-222.50962560440556</v>
      </c>
      <c r="R1455">
        <f>SQRT(Tabelle2[[#This Row],[vx]]*Tabelle2[[#This Row],[vx]]+Tabelle2[[#This Row],[vy]]*Tabelle2[[#This Row],[vy]])</f>
        <v>228.58191556591632</v>
      </c>
      <c r="S1455">
        <f t="shared" si="251"/>
        <v>1519.8656666142522</v>
      </c>
      <c r="T1455" s="1">
        <f t="shared" si="252"/>
        <v>-2323.4726547712376</v>
      </c>
    </row>
    <row r="1456" spans="6:20" x14ac:dyDescent="0.35">
      <c r="F1456" s="1">
        <f t="shared" si="248"/>
        <v>29.059999999999469</v>
      </c>
      <c r="G1456">
        <f>1/2*$B$8*$B$6*$B$7*(Tabelle2[[#This Row],[vx]]*Tabelle2[[#This Row],[vx]]+Tabelle2[[#This Row],[vy]]*Tabelle2[[#This Row],[vy]])/1000000</f>
        <v>92.579969203866028</v>
      </c>
      <c r="H1456">
        <f>IF($B$3,-Tabelle2[[#This Row],[Fd]]*Tabelle2[[#This Row],[vx]]/Tabelle2[[#This Row],[v]],0)</f>
        <v>0</v>
      </c>
      <c r="I1456">
        <f t="shared" si="242"/>
        <v>0</v>
      </c>
      <c r="J1456">
        <f t="shared" si="243"/>
        <v>0</v>
      </c>
      <c r="K1456">
        <f t="shared" si="244"/>
        <v>1.0467394398169905</v>
      </c>
      <c r="L1456">
        <f>-$B$5*$B$12-IF($B$3,Tabelle2[[#This Row],[Fd]]*Tabelle2[[#This Row],[vy]]/Tabelle2[[#This Row],[v]],0)</f>
        <v>-14.715</v>
      </c>
      <c r="M1456">
        <f t="shared" si="245"/>
        <v>-9.81</v>
      </c>
      <c r="N1456">
        <f t="shared" si="246"/>
        <v>-0.19620000000000001</v>
      </c>
      <c r="O1456">
        <f t="shared" si="247"/>
        <v>-4.4560785120881112</v>
      </c>
      <c r="P1456" s="1">
        <f t="shared" si="249"/>
        <v>52.336971990849527</v>
      </c>
      <c r="Q1456" s="1">
        <f t="shared" si="250"/>
        <v>-222.70582560440556</v>
      </c>
      <c r="R1456">
        <f>SQRT(Tabelle2[[#This Row],[vx]]*Tabelle2[[#This Row],[vx]]+Tabelle2[[#This Row],[vy]]*Tabelle2[[#This Row],[vy]])</f>
        <v>228.77290791374506</v>
      </c>
      <c r="S1456">
        <f t="shared" si="251"/>
        <v>1520.9124060540692</v>
      </c>
      <c r="T1456" s="1">
        <f t="shared" si="252"/>
        <v>-2327.9248092833259</v>
      </c>
    </row>
    <row r="1457" spans="6:20" x14ac:dyDescent="0.35">
      <c r="F1457" s="1">
        <f t="shared" si="248"/>
        <v>29.079999999999469</v>
      </c>
      <c r="G1457">
        <f>1/2*$B$8*$B$6*$B$7*(Tabelle2[[#This Row],[vx]]*Tabelle2[[#This Row],[vx]]+Tabelle2[[#This Row],[vy]]*Tabelle2[[#This Row],[vy]])/1000000</f>
        <v>92.734622679319486</v>
      </c>
      <c r="H1457">
        <f>IF($B$3,-Tabelle2[[#This Row],[Fd]]*Tabelle2[[#This Row],[vx]]/Tabelle2[[#This Row],[v]],0)</f>
        <v>0</v>
      </c>
      <c r="I1457">
        <f t="shared" si="242"/>
        <v>0</v>
      </c>
      <c r="J1457">
        <f t="shared" si="243"/>
        <v>0</v>
      </c>
      <c r="K1457">
        <f t="shared" si="244"/>
        <v>1.0467394398169905</v>
      </c>
      <c r="L1457">
        <f>-$B$5*$B$12-IF($B$3,Tabelle2[[#This Row],[Fd]]*Tabelle2[[#This Row],[vy]]/Tabelle2[[#This Row],[v]],0)</f>
        <v>-14.715</v>
      </c>
      <c r="M1457">
        <f t="shared" si="245"/>
        <v>-9.81</v>
      </c>
      <c r="N1457">
        <f t="shared" si="246"/>
        <v>-0.19620000000000001</v>
      </c>
      <c r="O1457">
        <f t="shared" si="247"/>
        <v>-4.4600025120881108</v>
      </c>
      <c r="P1457" s="1">
        <f t="shared" si="249"/>
        <v>52.336971990849527</v>
      </c>
      <c r="Q1457" s="1">
        <f t="shared" si="250"/>
        <v>-222.90202560440557</v>
      </c>
      <c r="R1457">
        <f>SQRT(Tabelle2[[#This Row],[vx]]*Tabelle2[[#This Row],[vx]]+Tabelle2[[#This Row],[vy]]*Tabelle2[[#This Row],[vy]])</f>
        <v>228.96390906804078</v>
      </c>
      <c r="S1457">
        <f t="shared" si="251"/>
        <v>1521.9591454938861</v>
      </c>
      <c r="T1457" s="1">
        <f t="shared" si="252"/>
        <v>-2332.3808877954139</v>
      </c>
    </row>
    <row r="1458" spans="6:20" x14ac:dyDescent="0.35">
      <c r="F1458" s="1">
        <f t="shared" si="248"/>
        <v>29.099999999999469</v>
      </c>
      <c r="G1458">
        <f>1/2*$B$8*$B$6*$B$7*(Tabelle2[[#This Row],[vx]]*Tabelle2[[#This Row],[vx]]+Tabelle2[[#This Row],[vy]]*Tabelle2[[#This Row],[vy]])/1000000</f>
        <v>92.889412341834287</v>
      </c>
      <c r="H1458">
        <f>IF($B$3,-Tabelle2[[#This Row],[Fd]]*Tabelle2[[#This Row],[vx]]/Tabelle2[[#This Row],[v]],0)</f>
        <v>0</v>
      </c>
      <c r="I1458">
        <f t="shared" si="242"/>
        <v>0</v>
      </c>
      <c r="J1458">
        <f t="shared" si="243"/>
        <v>0</v>
      </c>
      <c r="K1458">
        <f t="shared" si="244"/>
        <v>1.0467394398169905</v>
      </c>
      <c r="L1458">
        <f>-$B$5*$B$12-IF($B$3,Tabelle2[[#This Row],[Fd]]*Tabelle2[[#This Row],[vy]]/Tabelle2[[#This Row],[v]],0)</f>
        <v>-14.715</v>
      </c>
      <c r="M1458">
        <f t="shared" si="245"/>
        <v>-9.81</v>
      </c>
      <c r="N1458">
        <f t="shared" si="246"/>
        <v>-0.19620000000000001</v>
      </c>
      <c r="O1458">
        <f t="shared" si="247"/>
        <v>-4.4639265120881113</v>
      </c>
      <c r="P1458" s="1">
        <f t="shared" si="249"/>
        <v>52.336971990849527</v>
      </c>
      <c r="Q1458" s="1">
        <f t="shared" si="250"/>
        <v>-223.09822560440557</v>
      </c>
      <c r="R1458">
        <f>SQRT(Tabelle2[[#This Row],[vx]]*Tabelle2[[#This Row],[vx]]+Tabelle2[[#This Row],[vy]]*Tabelle2[[#This Row],[vy]])</f>
        <v>229.15491900678285</v>
      </c>
      <c r="S1458">
        <f t="shared" si="251"/>
        <v>1523.0058849337031</v>
      </c>
      <c r="T1458" s="1">
        <f t="shared" si="252"/>
        <v>-2336.8408903075019</v>
      </c>
    </row>
    <row r="1459" spans="6:20" x14ac:dyDescent="0.35">
      <c r="F1459" s="1">
        <f t="shared" si="248"/>
        <v>29.119999999999468</v>
      </c>
      <c r="G1459">
        <f>1/2*$B$8*$B$6*$B$7*(Tabelle2[[#This Row],[vx]]*Tabelle2[[#This Row],[vx]]+Tabelle2[[#This Row],[vy]]*Tabelle2[[#This Row],[vy]])/1000000</f>
        <v>93.044338191410446</v>
      </c>
      <c r="H1459">
        <f>IF($B$3,-Tabelle2[[#This Row],[Fd]]*Tabelle2[[#This Row],[vx]]/Tabelle2[[#This Row],[v]],0)</f>
        <v>0</v>
      </c>
      <c r="I1459">
        <f t="shared" si="242"/>
        <v>0</v>
      </c>
      <c r="J1459">
        <f t="shared" si="243"/>
        <v>0</v>
      </c>
      <c r="K1459">
        <f t="shared" si="244"/>
        <v>1.0467394398169905</v>
      </c>
      <c r="L1459">
        <f>-$B$5*$B$12-IF($B$3,Tabelle2[[#This Row],[Fd]]*Tabelle2[[#This Row],[vy]]/Tabelle2[[#This Row],[v]],0)</f>
        <v>-14.715</v>
      </c>
      <c r="M1459">
        <f t="shared" si="245"/>
        <v>-9.81</v>
      </c>
      <c r="N1459">
        <f t="shared" si="246"/>
        <v>-0.19620000000000001</v>
      </c>
      <c r="O1459">
        <f t="shared" si="247"/>
        <v>-4.4678505120881118</v>
      </c>
      <c r="P1459" s="1">
        <f t="shared" si="249"/>
        <v>52.336971990849527</v>
      </c>
      <c r="Q1459" s="1">
        <f t="shared" si="250"/>
        <v>-223.29442560440557</v>
      </c>
      <c r="R1459">
        <f>SQRT(Tabelle2[[#This Row],[vx]]*Tabelle2[[#This Row],[vx]]+Tabelle2[[#This Row],[vy]]*Tabelle2[[#This Row],[vy]])</f>
        <v>229.34593770802306</v>
      </c>
      <c r="S1459">
        <f t="shared" si="251"/>
        <v>1524.0526243735201</v>
      </c>
      <c r="T1459" s="1">
        <f t="shared" si="252"/>
        <v>-2341.3048168195901</v>
      </c>
    </row>
    <row r="1460" spans="6:20" x14ac:dyDescent="0.35">
      <c r="F1460" s="1">
        <f t="shared" si="248"/>
        <v>29.139999999999468</v>
      </c>
      <c r="G1460">
        <f>1/2*$B$8*$B$6*$B$7*(Tabelle2[[#This Row],[vx]]*Tabelle2[[#This Row],[vx]]+Tabelle2[[#This Row],[vy]]*Tabelle2[[#This Row],[vy]])/1000000</f>
        <v>93.199400228047935</v>
      </c>
      <c r="H1460">
        <f>IF($B$3,-Tabelle2[[#This Row],[Fd]]*Tabelle2[[#This Row],[vx]]/Tabelle2[[#This Row],[v]],0)</f>
        <v>0</v>
      </c>
      <c r="I1460">
        <f t="shared" si="242"/>
        <v>0</v>
      </c>
      <c r="J1460">
        <f t="shared" si="243"/>
        <v>0</v>
      </c>
      <c r="K1460">
        <f t="shared" si="244"/>
        <v>1.0467394398169905</v>
      </c>
      <c r="L1460">
        <f>-$B$5*$B$12-IF($B$3,Tabelle2[[#This Row],[Fd]]*Tabelle2[[#This Row],[vy]]/Tabelle2[[#This Row],[v]],0)</f>
        <v>-14.715</v>
      </c>
      <c r="M1460">
        <f t="shared" si="245"/>
        <v>-9.81</v>
      </c>
      <c r="N1460">
        <f t="shared" si="246"/>
        <v>-0.19620000000000001</v>
      </c>
      <c r="O1460">
        <f t="shared" si="247"/>
        <v>-4.4717745120881114</v>
      </c>
      <c r="P1460" s="1">
        <f t="shared" si="249"/>
        <v>52.336971990849527</v>
      </c>
      <c r="Q1460" s="1">
        <f t="shared" si="250"/>
        <v>-223.49062560440558</v>
      </c>
      <c r="R1460">
        <f>SQRT(Tabelle2[[#This Row],[vx]]*Tabelle2[[#This Row],[vx]]+Tabelle2[[#This Row],[vy]]*Tabelle2[[#This Row],[vy]])</f>
        <v>229.53696514988508</v>
      </c>
      <c r="S1460">
        <f t="shared" si="251"/>
        <v>1525.099363813337</v>
      </c>
      <c r="T1460" s="1">
        <f t="shared" si="252"/>
        <v>-2345.7726673316783</v>
      </c>
    </row>
    <row r="1461" spans="6:20" x14ac:dyDescent="0.35">
      <c r="F1461" s="1">
        <f t="shared" si="248"/>
        <v>29.159999999999467</v>
      </c>
      <c r="G1461">
        <f>1/2*$B$8*$B$6*$B$7*(Tabelle2[[#This Row],[vx]]*Tabelle2[[#This Row],[vx]]+Tabelle2[[#This Row],[vy]]*Tabelle2[[#This Row],[vy]])/1000000</f>
        <v>93.354598451746782</v>
      </c>
      <c r="H1461">
        <f>IF($B$3,-Tabelle2[[#This Row],[Fd]]*Tabelle2[[#This Row],[vx]]/Tabelle2[[#This Row],[v]],0)</f>
        <v>0</v>
      </c>
      <c r="I1461">
        <f t="shared" si="242"/>
        <v>0</v>
      </c>
      <c r="J1461">
        <f t="shared" si="243"/>
        <v>0</v>
      </c>
      <c r="K1461">
        <f t="shared" si="244"/>
        <v>1.0467394398169905</v>
      </c>
      <c r="L1461">
        <f>-$B$5*$B$12-IF($B$3,Tabelle2[[#This Row],[Fd]]*Tabelle2[[#This Row],[vy]]/Tabelle2[[#This Row],[v]],0)</f>
        <v>-14.715</v>
      </c>
      <c r="M1461">
        <f t="shared" si="245"/>
        <v>-9.81</v>
      </c>
      <c r="N1461">
        <f t="shared" si="246"/>
        <v>-0.19620000000000001</v>
      </c>
      <c r="O1461">
        <f t="shared" si="247"/>
        <v>-4.4756985120881119</v>
      </c>
      <c r="P1461" s="1">
        <f t="shared" si="249"/>
        <v>52.336971990849527</v>
      </c>
      <c r="Q1461" s="1">
        <f t="shared" si="250"/>
        <v>-223.68682560440558</v>
      </c>
      <c r="R1461">
        <f>SQRT(Tabelle2[[#This Row],[vx]]*Tabelle2[[#This Row],[vx]]+Tabelle2[[#This Row],[vy]]*Tabelle2[[#This Row],[vy]])</f>
        <v>229.72800131056451</v>
      </c>
      <c r="S1461">
        <f t="shared" si="251"/>
        <v>1526.146103253154</v>
      </c>
      <c r="T1461" s="1">
        <f t="shared" si="252"/>
        <v>-2350.2444418437663</v>
      </c>
    </row>
    <row r="1462" spans="6:20" x14ac:dyDescent="0.35">
      <c r="F1462" s="1">
        <f t="shared" si="248"/>
        <v>29.179999999999467</v>
      </c>
      <c r="G1462">
        <f>1/2*$B$8*$B$6*$B$7*(Tabelle2[[#This Row],[vx]]*Tabelle2[[#This Row],[vx]]+Tabelle2[[#This Row],[vy]]*Tabelle2[[#This Row],[vy]])/1000000</f>
        <v>93.509932862506957</v>
      </c>
      <c r="H1462">
        <f>IF($B$3,-Tabelle2[[#This Row],[Fd]]*Tabelle2[[#This Row],[vx]]/Tabelle2[[#This Row],[v]],0)</f>
        <v>0</v>
      </c>
      <c r="I1462">
        <f t="shared" si="242"/>
        <v>0</v>
      </c>
      <c r="J1462">
        <f t="shared" si="243"/>
        <v>0</v>
      </c>
      <c r="K1462">
        <f t="shared" si="244"/>
        <v>1.0467394398169905</v>
      </c>
      <c r="L1462">
        <f>-$B$5*$B$12-IF($B$3,Tabelle2[[#This Row],[Fd]]*Tabelle2[[#This Row],[vy]]/Tabelle2[[#This Row],[v]],0)</f>
        <v>-14.715</v>
      </c>
      <c r="M1462">
        <f t="shared" si="245"/>
        <v>-9.81</v>
      </c>
      <c r="N1462">
        <f t="shared" si="246"/>
        <v>-0.19620000000000001</v>
      </c>
      <c r="O1462">
        <f t="shared" si="247"/>
        <v>-4.4796225120881115</v>
      </c>
      <c r="P1462" s="1">
        <f t="shared" si="249"/>
        <v>52.336971990849527</v>
      </c>
      <c r="Q1462" s="1">
        <f t="shared" si="250"/>
        <v>-223.88302560440559</v>
      </c>
      <c r="R1462">
        <f>SQRT(Tabelle2[[#This Row],[vx]]*Tabelle2[[#This Row],[vx]]+Tabelle2[[#This Row],[vy]]*Tabelle2[[#This Row],[vy]])</f>
        <v>229.91904616832835</v>
      </c>
      <c r="S1462">
        <f t="shared" si="251"/>
        <v>1527.192842692971</v>
      </c>
      <c r="T1462" s="1">
        <f t="shared" si="252"/>
        <v>-2354.7201403558543</v>
      </c>
    </row>
    <row r="1463" spans="6:20" x14ac:dyDescent="0.35">
      <c r="F1463" s="1">
        <f t="shared" si="248"/>
        <v>29.199999999999466</v>
      </c>
      <c r="G1463">
        <f>1/2*$B$8*$B$6*$B$7*(Tabelle2[[#This Row],[vx]]*Tabelle2[[#This Row],[vx]]+Tabelle2[[#This Row],[vy]]*Tabelle2[[#This Row],[vy]])/1000000</f>
        <v>93.665403460328477</v>
      </c>
      <c r="H1463">
        <f>IF($B$3,-Tabelle2[[#This Row],[Fd]]*Tabelle2[[#This Row],[vx]]/Tabelle2[[#This Row],[v]],0)</f>
        <v>0</v>
      </c>
      <c r="I1463">
        <f t="shared" si="242"/>
        <v>0</v>
      </c>
      <c r="J1463">
        <f t="shared" si="243"/>
        <v>0</v>
      </c>
      <c r="K1463">
        <f t="shared" si="244"/>
        <v>1.0467394398169905</v>
      </c>
      <c r="L1463">
        <f>-$B$5*$B$12-IF($B$3,Tabelle2[[#This Row],[Fd]]*Tabelle2[[#This Row],[vy]]/Tabelle2[[#This Row],[v]],0)</f>
        <v>-14.715</v>
      </c>
      <c r="M1463">
        <f t="shared" si="245"/>
        <v>-9.81</v>
      </c>
      <c r="N1463">
        <f t="shared" si="246"/>
        <v>-0.19620000000000001</v>
      </c>
      <c r="O1463">
        <f t="shared" si="247"/>
        <v>-4.4835465120881119</v>
      </c>
      <c r="P1463" s="1">
        <f t="shared" si="249"/>
        <v>52.336971990849527</v>
      </c>
      <c r="Q1463" s="1">
        <f t="shared" si="250"/>
        <v>-224.07922560440559</v>
      </c>
      <c r="R1463">
        <f>SQRT(Tabelle2[[#This Row],[vx]]*Tabelle2[[#This Row],[vx]]+Tabelle2[[#This Row],[vy]]*Tabelle2[[#This Row],[vy]])</f>
        <v>230.11009970151477</v>
      </c>
      <c r="S1463">
        <f t="shared" si="251"/>
        <v>1528.239582132788</v>
      </c>
      <c r="T1463" s="1">
        <f t="shared" si="252"/>
        <v>-2359.1997628679424</v>
      </c>
    </row>
    <row r="1464" spans="6:20" x14ac:dyDescent="0.35">
      <c r="F1464" s="1">
        <f t="shared" si="248"/>
        <v>29.219999999999466</v>
      </c>
      <c r="G1464">
        <f>1/2*$B$8*$B$6*$B$7*(Tabelle2[[#This Row],[vx]]*Tabelle2[[#This Row],[vx]]+Tabelle2[[#This Row],[vy]]*Tabelle2[[#This Row],[vy]])/1000000</f>
        <v>93.821010245211369</v>
      </c>
      <c r="H1464">
        <f>IF($B$3,-Tabelle2[[#This Row],[Fd]]*Tabelle2[[#This Row],[vx]]/Tabelle2[[#This Row],[v]],0)</f>
        <v>0</v>
      </c>
      <c r="I1464">
        <f t="shared" si="242"/>
        <v>0</v>
      </c>
      <c r="J1464">
        <f t="shared" si="243"/>
        <v>0</v>
      </c>
      <c r="K1464">
        <f t="shared" si="244"/>
        <v>1.0467394398169905</v>
      </c>
      <c r="L1464">
        <f>-$B$5*$B$12-IF($B$3,Tabelle2[[#This Row],[Fd]]*Tabelle2[[#This Row],[vy]]/Tabelle2[[#This Row],[v]],0)</f>
        <v>-14.715</v>
      </c>
      <c r="M1464">
        <f t="shared" si="245"/>
        <v>-9.81</v>
      </c>
      <c r="N1464">
        <f t="shared" si="246"/>
        <v>-0.19620000000000001</v>
      </c>
      <c r="O1464">
        <f t="shared" si="247"/>
        <v>-4.4874705120881115</v>
      </c>
      <c r="P1464" s="1">
        <f t="shared" si="249"/>
        <v>52.336971990849527</v>
      </c>
      <c r="Q1464" s="1">
        <f t="shared" si="250"/>
        <v>-224.2754256044056</v>
      </c>
      <c r="R1464">
        <f>SQRT(Tabelle2[[#This Row],[vx]]*Tabelle2[[#This Row],[vx]]+Tabelle2[[#This Row],[vy]]*Tabelle2[[#This Row],[vy]])</f>
        <v>230.3011618885329</v>
      </c>
      <c r="S1464">
        <f t="shared" si="251"/>
        <v>1529.2863215726049</v>
      </c>
      <c r="T1464" s="1">
        <f t="shared" si="252"/>
        <v>-2363.6833093800306</v>
      </c>
    </row>
    <row r="1465" spans="6:20" x14ac:dyDescent="0.35">
      <c r="F1465" s="1">
        <f t="shared" si="248"/>
        <v>29.239999999999466</v>
      </c>
      <c r="G1465">
        <f>1/2*$B$8*$B$6*$B$7*(Tabelle2[[#This Row],[vx]]*Tabelle2[[#This Row],[vx]]+Tabelle2[[#This Row],[vy]]*Tabelle2[[#This Row],[vy]])/1000000</f>
        <v>93.976753217155562</v>
      </c>
      <c r="H1465">
        <f>IF($B$3,-Tabelle2[[#This Row],[Fd]]*Tabelle2[[#This Row],[vx]]/Tabelle2[[#This Row],[v]],0)</f>
        <v>0</v>
      </c>
      <c r="I1465">
        <f t="shared" si="242"/>
        <v>0</v>
      </c>
      <c r="J1465">
        <f t="shared" si="243"/>
        <v>0</v>
      </c>
      <c r="K1465">
        <f t="shared" si="244"/>
        <v>1.0467394398169905</v>
      </c>
      <c r="L1465">
        <f>-$B$5*$B$12-IF($B$3,Tabelle2[[#This Row],[Fd]]*Tabelle2[[#This Row],[vy]]/Tabelle2[[#This Row],[v]],0)</f>
        <v>-14.715</v>
      </c>
      <c r="M1465">
        <f t="shared" si="245"/>
        <v>-9.81</v>
      </c>
      <c r="N1465">
        <f t="shared" si="246"/>
        <v>-0.19620000000000001</v>
      </c>
      <c r="O1465">
        <f t="shared" si="247"/>
        <v>-4.491394512088112</v>
      </c>
      <c r="P1465" s="1">
        <f t="shared" si="249"/>
        <v>52.336971990849527</v>
      </c>
      <c r="Q1465" s="1">
        <f t="shared" si="250"/>
        <v>-224.4716256044056</v>
      </c>
      <c r="R1465">
        <f>SQRT(Tabelle2[[#This Row],[vx]]*Tabelle2[[#This Row],[vx]]+Tabelle2[[#This Row],[vy]]*Tabelle2[[#This Row],[vy]])</f>
        <v>230.49223270786243</v>
      </c>
      <c r="S1465">
        <f t="shared" si="251"/>
        <v>1530.3330610124219</v>
      </c>
      <c r="T1465" s="1">
        <f t="shared" si="252"/>
        <v>-2368.1707798921188</v>
      </c>
    </row>
    <row r="1466" spans="6:20" x14ac:dyDescent="0.35">
      <c r="F1466" s="1">
        <f t="shared" si="248"/>
        <v>29.259999999999465</v>
      </c>
      <c r="G1466">
        <f>1/2*$B$8*$B$6*$B$7*(Tabelle2[[#This Row],[vx]]*Tabelle2[[#This Row],[vx]]+Tabelle2[[#This Row],[vy]]*Tabelle2[[#This Row],[vy]])/1000000</f>
        <v>94.132632376161126</v>
      </c>
      <c r="H1466">
        <f>IF($B$3,-Tabelle2[[#This Row],[Fd]]*Tabelle2[[#This Row],[vx]]/Tabelle2[[#This Row],[v]],0)</f>
        <v>0</v>
      </c>
      <c r="I1466">
        <f t="shared" si="242"/>
        <v>0</v>
      </c>
      <c r="J1466">
        <f t="shared" si="243"/>
        <v>0</v>
      </c>
      <c r="K1466">
        <f t="shared" si="244"/>
        <v>1.0467394398169905</v>
      </c>
      <c r="L1466">
        <f>-$B$5*$B$12-IF($B$3,Tabelle2[[#This Row],[Fd]]*Tabelle2[[#This Row],[vy]]/Tabelle2[[#This Row],[v]],0)</f>
        <v>-14.715</v>
      </c>
      <c r="M1466">
        <f t="shared" si="245"/>
        <v>-9.81</v>
      </c>
      <c r="N1466">
        <f t="shared" si="246"/>
        <v>-0.19620000000000001</v>
      </c>
      <c r="O1466">
        <f t="shared" si="247"/>
        <v>-4.4953185120881116</v>
      </c>
      <c r="P1466" s="1">
        <f t="shared" si="249"/>
        <v>52.336971990849527</v>
      </c>
      <c r="Q1466" s="1">
        <f t="shared" si="250"/>
        <v>-224.66782560440561</v>
      </c>
      <c r="R1466">
        <f>SQRT(Tabelle2[[#This Row],[vx]]*Tabelle2[[#This Row],[vx]]+Tabelle2[[#This Row],[vy]]*Tabelle2[[#This Row],[vy]])</f>
        <v>230.68331213805342</v>
      </c>
      <c r="S1466">
        <f t="shared" si="251"/>
        <v>1531.3798004522389</v>
      </c>
      <c r="T1466" s="1">
        <f t="shared" si="252"/>
        <v>-2372.6621744042068</v>
      </c>
    </row>
    <row r="1467" spans="6:20" x14ac:dyDescent="0.35">
      <c r="F1467" s="1">
        <f t="shared" si="248"/>
        <v>29.279999999999465</v>
      </c>
      <c r="G1467">
        <f>1/2*$B$8*$B$6*$B$7*(Tabelle2[[#This Row],[vx]]*Tabelle2[[#This Row],[vx]]+Tabelle2[[#This Row],[vy]]*Tabelle2[[#This Row],[vy]])/1000000</f>
        <v>94.288647722228035</v>
      </c>
      <c r="H1467">
        <f>IF($B$3,-Tabelle2[[#This Row],[Fd]]*Tabelle2[[#This Row],[vx]]/Tabelle2[[#This Row],[v]],0)</f>
        <v>0</v>
      </c>
      <c r="I1467">
        <f t="shared" si="242"/>
        <v>0</v>
      </c>
      <c r="J1467">
        <f t="shared" si="243"/>
        <v>0</v>
      </c>
      <c r="K1467">
        <f t="shared" si="244"/>
        <v>1.0467394398169905</v>
      </c>
      <c r="L1467">
        <f>-$B$5*$B$12-IF($B$3,Tabelle2[[#This Row],[Fd]]*Tabelle2[[#This Row],[vy]]/Tabelle2[[#This Row],[v]],0)</f>
        <v>-14.715</v>
      </c>
      <c r="M1467">
        <f t="shared" si="245"/>
        <v>-9.81</v>
      </c>
      <c r="N1467">
        <f t="shared" si="246"/>
        <v>-0.19620000000000001</v>
      </c>
      <c r="O1467">
        <f t="shared" si="247"/>
        <v>-4.4992425120881121</v>
      </c>
      <c r="P1467" s="1">
        <f t="shared" si="249"/>
        <v>52.336971990849527</v>
      </c>
      <c r="Q1467" s="1">
        <f t="shared" si="250"/>
        <v>-224.86402560440561</v>
      </c>
      <c r="R1467">
        <f>SQRT(Tabelle2[[#This Row],[vx]]*Tabelle2[[#This Row],[vx]]+Tabelle2[[#This Row],[vy]]*Tabelle2[[#This Row],[vy]])</f>
        <v>230.87440015772592</v>
      </c>
      <c r="S1467">
        <f t="shared" si="251"/>
        <v>1532.4265398920559</v>
      </c>
      <c r="T1467" s="1">
        <f t="shared" si="252"/>
        <v>-2377.1574929162948</v>
      </c>
    </row>
    <row r="1468" spans="6:20" x14ac:dyDescent="0.35">
      <c r="F1468" s="1">
        <f t="shared" si="248"/>
        <v>29.299999999999464</v>
      </c>
      <c r="G1468">
        <f>1/2*$B$8*$B$6*$B$7*(Tabelle2[[#This Row],[vx]]*Tabelle2[[#This Row],[vx]]+Tabelle2[[#This Row],[vy]]*Tabelle2[[#This Row],[vy]])/1000000</f>
        <v>94.444799255356287</v>
      </c>
      <c r="H1468">
        <f>IF($B$3,-Tabelle2[[#This Row],[Fd]]*Tabelle2[[#This Row],[vx]]/Tabelle2[[#This Row],[v]],0)</f>
        <v>0</v>
      </c>
      <c r="I1468">
        <f t="shared" si="242"/>
        <v>0</v>
      </c>
      <c r="J1468">
        <f t="shared" si="243"/>
        <v>0</v>
      </c>
      <c r="K1468">
        <f t="shared" si="244"/>
        <v>1.0467394398169905</v>
      </c>
      <c r="L1468">
        <f>-$B$5*$B$12-IF($B$3,Tabelle2[[#This Row],[Fd]]*Tabelle2[[#This Row],[vy]]/Tabelle2[[#This Row],[v]],0)</f>
        <v>-14.715</v>
      </c>
      <c r="M1468">
        <f t="shared" si="245"/>
        <v>-9.81</v>
      </c>
      <c r="N1468">
        <f t="shared" si="246"/>
        <v>-0.19620000000000001</v>
      </c>
      <c r="O1468">
        <f t="shared" si="247"/>
        <v>-4.5031665120881126</v>
      </c>
      <c r="P1468" s="1">
        <f t="shared" si="249"/>
        <v>52.336971990849527</v>
      </c>
      <c r="Q1468" s="1">
        <f t="shared" si="250"/>
        <v>-225.06022560440562</v>
      </c>
      <c r="R1468">
        <f>SQRT(Tabelle2[[#This Row],[vx]]*Tabelle2[[#This Row],[vx]]+Tabelle2[[#This Row],[vy]]*Tabelle2[[#This Row],[vy]])</f>
        <v>231.06549674556979</v>
      </c>
      <c r="S1468">
        <f t="shared" si="251"/>
        <v>1533.4732793318728</v>
      </c>
      <c r="T1468" s="1">
        <f t="shared" si="252"/>
        <v>-2381.6567354283829</v>
      </c>
    </row>
    <row r="1469" spans="6:20" x14ac:dyDescent="0.35">
      <c r="F1469" s="1">
        <f t="shared" si="248"/>
        <v>29.319999999999464</v>
      </c>
      <c r="G1469">
        <f>1/2*$B$8*$B$6*$B$7*(Tabelle2[[#This Row],[vx]]*Tabelle2[[#This Row],[vx]]+Tabelle2[[#This Row],[vy]]*Tabelle2[[#This Row],[vy]])/1000000</f>
        <v>94.601086975545869</v>
      </c>
      <c r="H1469">
        <f>IF($B$3,-Tabelle2[[#This Row],[Fd]]*Tabelle2[[#This Row],[vx]]/Tabelle2[[#This Row],[v]],0)</f>
        <v>0</v>
      </c>
      <c r="I1469">
        <f t="shared" si="242"/>
        <v>0</v>
      </c>
      <c r="J1469">
        <f t="shared" si="243"/>
        <v>0</v>
      </c>
      <c r="K1469">
        <f t="shared" si="244"/>
        <v>1.0467394398169905</v>
      </c>
      <c r="L1469">
        <f>-$B$5*$B$12-IF($B$3,Tabelle2[[#This Row],[Fd]]*Tabelle2[[#This Row],[vy]]/Tabelle2[[#This Row],[v]],0)</f>
        <v>-14.715</v>
      </c>
      <c r="M1469">
        <f t="shared" si="245"/>
        <v>-9.81</v>
      </c>
      <c r="N1469">
        <f t="shared" si="246"/>
        <v>-0.19620000000000001</v>
      </c>
      <c r="O1469">
        <f t="shared" si="247"/>
        <v>-4.5070905120881122</v>
      </c>
      <c r="P1469" s="1">
        <f t="shared" si="249"/>
        <v>52.336971990849527</v>
      </c>
      <c r="Q1469" s="1">
        <f t="shared" si="250"/>
        <v>-225.25642560440562</v>
      </c>
      <c r="R1469">
        <f>SQRT(Tabelle2[[#This Row],[vx]]*Tabelle2[[#This Row],[vx]]+Tabelle2[[#This Row],[vy]]*Tabelle2[[#This Row],[vy]])</f>
        <v>231.25660188034436</v>
      </c>
      <c r="S1469">
        <f t="shared" si="251"/>
        <v>1534.5200187716898</v>
      </c>
      <c r="T1469" s="1">
        <f t="shared" si="252"/>
        <v>-2386.1599019404712</v>
      </c>
    </row>
    <row r="1470" spans="6:20" x14ac:dyDescent="0.35">
      <c r="F1470" s="1">
        <f t="shared" si="248"/>
        <v>29.339999999999463</v>
      </c>
      <c r="G1470">
        <f>1/2*$B$8*$B$6*$B$7*(Tabelle2[[#This Row],[vx]]*Tabelle2[[#This Row],[vx]]+Tabelle2[[#This Row],[vy]]*Tabelle2[[#This Row],[vy]])/1000000</f>
        <v>94.757510882796794</v>
      </c>
      <c r="H1470">
        <f>IF($B$3,-Tabelle2[[#This Row],[Fd]]*Tabelle2[[#This Row],[vx]]/Tabelle2[[#This Row],[v]],0)</f>
        <v>0</v>
      </c>
      <c r="I1470">
        <f t="shared" si="242"/>
        <v>0</v>
      </c>
      <c r="J1470">
        <f t="shared" si="243"/>
        <v>0</v>
      </c>
      <c r="K1470">
        <f t="shared" si="244"/>
        <v>1.0467394398169905</v>
      </c>
      <c r="L1470">
        <f>-$B$5*$B$12-IF($B$3,Tabelle2[[#This Row],[Fd]]*Tabelle2[[#This Row],[vy]]/Tabelle2[[#This Row],[v]],0)</f>
        <v>-14.715</v>
      </c>
      <c r="M1470">
        <f t="shared" si="245"/>
        <v>-9.81</v>
      </c>
      <c r="N1470">
        <f t="shared" si="246"/>
        <v>-0.19620000000000001</v>
      </c>
      <c r="O1470">
        <f t="shared" si="247"/>
        <v>-4.5110145120881127</v>
      </c>
      <c r="P1470" s="1">
        <f t="shared" si="249"/>
        <v>52.336971990849527</v>
      </c>
      <c r="Q1470" s="1">
        <f t="shared" si="250"/>
        <v>-225.45262560440563</v>
      </c>
      <c r="R1470">
        <f>SQRT(Tabelle2[[#This Row],[vx]]*Tabelle2[[#This Row],[vx]]+Tabelle2[[#This Row],[vy]]*Tabelle2[[#This Row],[vy]])</f>
        <v>231.44771554087819</v>
      </c>
      <c r="S1470">
        <f t="shared" si="251"/>
        <v>1535.5667582115068</v>
      </c>
      <c r="T1470" s="1">
        <f t="shared" si="252"/>
        <v>-2390.6669924525595</v>
      </c>
    </row>
    <row r="1471" spans="6:20" x14ac:dyDescent="0.35">
      <c r="F1471" s="1">
        <f t="shared" si="248"/>
        <v>29.359999999999463</v>
      </c>
      <c r="G1471">
        <f>1/2*$B$8*$B$6*$B$7*(Tabelle2[[#This Row],[vx]]*Tabelle2[[#This Row],[vx]]+Tabelle2[[#This Row],[vy]]*Tabelle2[[#This Row],[vy]])/1000000</f>
        <v>94.914070977109077</v>
      </c>
      <c r="H1471">
        <f>IF($B$3,-Tabelle2[[#This Row],[Fd]]*Tabelle2[[#This Row],[vx]]/Tabelle2[[#This Row],[v]],0)</f>
        <v>0</v>
      </c>
      <c r="I1471">
        <f t="shared" si="242"/>
        <v>0</v>
      </c>
      <c r="J1471">
        <f t="shared" si="243"/>
        <v>0</v>
      </c>
      <c r="K1471">
        <f t="shared" si="244"/>
        <v>1.0467394398169905</v>
      </c>
      <c r="L1471">
        <f>-$B$5*$B$12-IF($B$3,Tabelle2[[#This Row],[Fd]]*Tabelle2[[#This Row],[vy]]/Tabelle2[[#This Row],[v]],0)</f>
        <v>-14.715</v>
      </c>
      <c r="M1471">
        <f t="shared" si="245"/>
        <v>-9.81</v>
      </c>
      <c r="N1471">
        <f t="shared" si="246"/>
        <v>-0.19620000000000001</v>
      </c>
      <c r="O1471">
        <f t="shared" si="247"/>
        <v>-4.5149385120881123</v>
      </c>
      <c r="P1471" s="1">
        <f t="shared" si="249"/>
        <v>52.336971990849527</v>
      </c>
      <c r="Q1471" s="1">
        <f t="shared" si="250"/>
        <v>-225.64882560440563</v>
      </c>
      <c r="R1471">
        <f>SQRT(Tabelle2[[#This Row],[vx]]*Tabelle2[[#This Row],[vx]]+Tabelle2[[#This Row],[vy]]*Tabelle2[[#This Row],[vy]])</f>
        <v>231.6388377060687</v>
      </c>
      <c r="S1471">
        <f t="shared" si="251"/>
        <v>1536.6134976513238</v>
      </c>
      <c r="T1471" s="1">
        <f t="shared" si="252"/>
        <v>-2395.1780069646475</v>
      </c>
    </row>
    <row r="1472" spans="6:20" x14ac:dyDescent="0.35">
      <c r="F1472" s="1">
        <f t="shared" si="248"/>
        <v>29.379999999999463</v>
      </c>
      <c r="G1472">
        <f>1/2*$B$8*$B$6*$B$7*(Tabelle2[[#This Row],[vx]]*Tabelle2[[#This Row],[vx]]+Tabelle2[[#This Row],[vy]]*Tabelle2[[#This Row],[vy]])/1000000</f>
        <v>95.070767258482689</v>
      </c>
      <c r="H1472">
        <f>IF($B$3,-Tabelle2[[#This Row],[Fd]]*Tabelle2[[#This Row],[vx]]/Tabelle2[[#This Row],[v]],0)</f>
        <v>0</v>
      </c>
      <c r="I1472">
        <f t="shared" si="242"/>
        <v>0</v>
      </c>
      <c r="J1472">
        <f t="shared" si="243"/>
        <v>0</v>
      </c>
      <c r="K1472">
        <f t="shared" si="244"/>
        <v>1.0467394398169905</v>
      </c>
      <c r="L1472">
        <f>-$B$5*$B$12-IF($B$3,Tabelle2[[#This Row],[Fd]]*Tabelle2[[#This Row],[vy]]/Tabelle2[[#This Row],[v]],0)</f>
        <v>-14.715</v>
      </c>
      <c r="M1472">
        <f t="shared" si="245"/>
        <v>-9.81</v>
      </c>
      <c r="N1472">
        <f t="shared" si="246"/>
        <v>-0.19620000000000001</v>
      </c>
      <c r="O1472">
        <f t="shared" si="247"/>
        <v>-4.5188625120881127</v>
      </c>
      <c r="P1472" s="1">
        <f t="shared" si="249"/>
        <v>52.336971990849527</v>
      </c>
      <c r="Q1472" s="1">
        <f t="shared" si="250"/>
        <v>-225.84502560440563</v>
      </c>
      <c r="R1472">
        <f>SQRT(Tabelle2[[#This Row],[vx]]*Tabelle2[[#This Row],[vx]]+Tabelle2[[#This Row],[vy]]*Tabelle2[[#This Row],[vy]])</f>
        <v>231.82996835488206</v>
      </c>
      <c r="S1472">
        <f t="shared" si="251"/>
        <v>1537.6602370911407</v>
      </c>
      <c r="T1472" s="1">
        <f t="shared" si="252"/>
        <v>-2399.6929454767355</v>
      </c>
    </row>
    <row r="1473" spans="6:20" x14ac:dyDescent="0.35">
      <c r="F1473" s="1">
        <f t="shared" si="248"/>
        <v>29.399999999999462</v>
      </c>
      <c r="G1473">
        <f>1/2*$B$8*$B$6*$B$7*(Tabelle2[[#This Row],[vx]]*Tabelle2[[#This Row],[vx]]+Tabelle2[[#This Row],[vy]]*Tabelle2[[#This Row],[vy]])/1000000</f>
        <v>95.227599726917674</v>
      </c>
      <c r="H1473">
        <f>IF($B$3,-Tabelle2[[#This Row],[Fd]]*Tabelle2[[#This Row],[vx]]/Tabelle2[[#This Row],[v]],0)</f>
        <v>0</v>
      </c>
      <c r="I1473">
        <f t="shared" si="242"/>
        <v>0</v>
      </c>
      <c r="J1473">
        <f t="shared" si="243"/>
        <v>0</v>
      </c>
      <c r="K1473">
        <f t="shared" si="244"/>
        <v>1.0467394398169905</v>
      </c>
      <c r="L1473">
        <f>-$B$5*$B$12-IF($B$3,Tabelle2[[#This Row],[Fd]]*Tabelle2[[#This Row],[vy]]/Tabelle2[[#This Row],[v]],0)</f>
        <v>-14.715</v>
      </c>
      <c r="M1473">
        <f t="shared" si="245"/>
        <v>-9.81</v>
      </c>
      <c r="N1473">
        <f t="shared" si="246"/>
        <v>-0.19620000000000001</v>
      </c>
      <c r="O1473">
        <f t="shared" si="247"/>
        <v>-4.5227865120881123</v>
      </c>
      <c r="P1473" s="1">
        <f t="shared" si="249"/>
        <v>52.336971990849527</v>
      </c>
      <c r="Q1473" s="1">
        <f t="shared" si="250"/>
        <v>-226.04122560440564</v>
      </c>
      <c r="R1473">
        <f>SQRT(Tabelle2[[#This Row],[vx]]*Tabelle2[[#This Row],[vx]]+Tabelle2[[#This Row],[vy]]*Tabelle2[[#This Row],[vy]])</f>
        <v>232.02110746635267</v>
      </c>
      <c r="S1473">
        <f t="shared" si="251"/>
        <v>1538.7069765309577</v>
      </c>
      <c r="T1473" s="1">
        <f t="shared" si="252"/>
        <v>-2404.2118079888237</v>
      </c>
    </row>
    <row r="1474" spans="6:20" x14ac:dyDescent="0.35">
      <c r="F1474" s="1">
        <f t="shared" si="248"/>
        <v>29.419999999999462</v>
      </c>
      <c r="G1474">
        <f>1/2*$B$8*$B$6*$B$7*(Tabelle2[[#This Row],[vx]]*Tabelle2[[#This Row],[vx]]+Tabelle2[[#This Row],[vy]]*Tabelle2[[#This Row],[vy]])/1000000</f>
        <v>95.384568382413974</v>
      </c>
      <c r="H1474">
        <f>IF($B$3,-Tabelle2[[#This Row],[Fd]]*Tabelle2[[#This Row],[vx]]/Tabelle2[[#This Row],[v]],0)</f>
        <v>0</v>
      </c>
      <c r="I1474">
        <f t="shared" si="242"/>
        <v>0</v>
      </c>
      <c r="J1474">
        <f t="shared" si="243"/>
        <v>0</v>
      </c>
      <c r="K1474">
        <f t="shared" si="244"/>
        <v>1.0467394398169905</v>
      </c>
      <c r="L1474">
        <f>-$B$5*$B$12-IF($B$3,Tabelle2[[#This Row],[Fd]]*Tabelle2[[#This Row],[vy]]/Tabelle2[[#This Row],[v]],0)</f>
        <v>-14.715</v>
      </c>
      <c r="M1474">
        <f t="shared" si="245"/>
        <v>-9.81</v>
      </c>
      <c r="N1474">
        <f t="shared" si="246"/>
        <v>-0.19620000000000001</v>
      </c>
      <c r="O1474">
        <f t="shared" si="247"/>
        <v>-4.5267105120881128</v>
      </c>
      <c r="P1474" s="1">
        <f t="shared" si="249"/>
        <v>52.336971990849527</v>
      </c>
      <c r="Q1474" s="1">
        <f t="shared" si="250"/>
        <v>-226.23742560440564</v>
      </c>
      <c r="R1474">
        <f>SQRT(Tabelle2[[#This Row],[vx]]*Tabelle2[[#This Row],[vx]]+Tabelle2[[#This Row],[vy]]*Tabelle2[[#This Row],[vy]])</f>
        <v>232.21225501958321</v>
      </c>
      <c r="S1474">
        <f t="shared" si="251"/>
        <v>1539.7537159707747</v>
      </c>
      <c r="T1474" s="1">
        <f t="shared" si="252"/>
        <v>-2408.734594500912</v>
      </c>
    </row>
    <row r="1475" spans="6:20" x14ac:dyDescent="0.35">
      <c r="F1475" s="1">
        <f t="shared" si="248"/>
        <v>29.439999999999461</v>
      </c>
      <c r="G1475">
        <f>1/2*$B$8*$B$6*$B$7*(Tabelle2[[#This Row],[vx]]*Tabelle2[[#This Row],[vx]]+Tabelle2[[#This Row],[vy]]*Tabelle2[[#This Row],[vy]])/1000000</f>
        <v>95.541673224971618</v>
      </c>
      <c r="H1475">
        <f>IF($B$3,-Tabelle2[[#This Row],[Fd]]*Tabelle2[[#This Row],[vx]]/Tabelle2[[#This Row],[v]],0)</f>
        <v>0</v>
      </c>
      <c r="I1475">
        <f t="shared" ref="I1475:I1538" si="253">H1475/$B$5</f>
        <v>0</v>
      </c>
      <c r="J1475">
        <f t="shared" ref="J1475:J1538" si="254">I1475*$B$13</f>
        <v>0</v>
      </c>
      <c r="K1475">
        <f t="shared" ref="K1475:K1538" si="255">$B$13*(P1475+J1475/2)</f>
        <v>1.0467394398169905</v>
      </c>
      <c r="L1475">
        <f>-$B$5*$B$12-IF($B$3,Tabelle2[[#This Row],[Fd]]*Tabelle2[[#This Row],[vy]]/Tabelle2[[#This Row],[v]],0)</f>
        <v>-14.715</v>
      </c>
      <c r="M1475">
        <f t="shared" ref="M1475:M1538" si="256">L1475/$B$5</f>
        <v>-9.81</v>
      </c>
      <c r="N1475">
        <f t="shared" ref="N1475:N1538" si="257">M1475*$B$13</f>
        <v>-0.19620000000000001</v>
      </c>
      <c r="O1475">
        <f t="shared" ref="O1475:O1538" si="258">$B$13*(Q1475+N1475/2)</f>
        <v>-4.5306345120881124</v>
      </c>
      <c r="P1475" s="1">
        <f t="shared" si="249"/>
        <v>52.336971990849527</v>
      </c>
      <c r="Q1475" s="1">
        <f t="shared" si="250"/>
        <v>-226.43362560440565</v>
      </c>
      <c r="R1475">
        <f>SQRT(Tabelle2[[#This Row],[vx]]*Tabelle2[[#This Row],[vx]]+Tabelle2[[#This Row],[vy]]*Tabelle2[[#This Row],[vy]])</f>
        <v>232.40341099374407</v>
      </c>
      <c r="S1475">
        <f t="shared" si="251"/>
        <v>1540.8004554105917</v>
      </c>
      <c r="T1475" s="1">
        <f t="shared" si="252"/>
        <v>-2413.2613050129999</v>
      </c>
    </row>
    <row r="1476" spans="6:20" x14ac:dyDescent="0.35">
      <c r="F1476" s="1">
        <f t="shared" ref="F1476:F1539" si="259">F1475+$B$13</f>
        <v>29.459999999999461</v>
      </c>
      <c r="G1476">
        <f>1/2*$B$8*$B$6*$B$7*(Tabelle2[[#This Row],[vx]]*Tabelle2[[#This Row],[vx]]+Tabelle2[[#This Row],[vy]]*Tabelle2[[#This Row],[vy]])/1000000</f>
        <v>95.698914254590619</v>
      </c>
      <c r="H1476">
        <f>IF($B$3,-Tabelle2[[#This Row],[Fd]]*Tabelle2[[#This Row],[vx]]/Tabelle2[[#This Row],[v]],0)</f>
        <v>0</v>
      </c>
      <c r="I1476">
        <f t="shared" si="253"/>
        <v>0</v>
      </c>
      <c r="J1476">
        <f t="shared" si="254"/>
        <v>0</v>
      </c>
      <c r="K1476">
        <f t="shared" si="255"/>
        <v>1.0467394398169905</v>
      </c>
      <c r="L1476">
        <f>-$B$5*$B$12-IF($B$3,Tabelle2[[#This Row],[Fd]]*Tabelle2[[#This Row],[vy]]/Tabelle2[[#This Row],[v]],0)</f>
        <v>-14.715</v>
      </c>
      <c r="M1476">
        <f t="shared" si="256"/>
        <v>-9.81</v>
      </c>
      <c r="N1476">
        <f t="shared" si="257"/>
        <v>-0.19620000000000001</v>
      </c>
      <c r="O1476">
        <f t="shared" si="258"/>
        <v>-4.5345585120881129</v>
      </c>
      <c r="P1476" s="1">
        <f t="shared" ref="P1476:P1539" si="260">P1475+J1475</f>
        <v>52.336971990849527</v>
      </c>
      <c r="Q1476" s="1">
        <f t="shared" ref="Q1476:Q1539" si="261">Q1475+N1475</f>
        <v>-226.62982560440565</v>
      </c>
      <c r="R1476">
        <f>SQRT(Tabelle2[[#This Row],[vx]]*Tabelle2[[#This Row],[vx]]+Tabelle2[[#This Row],[vy]]*Tabelle2[[#This Row],[vy]])</f>
        <v>232.59457536807321</v>
      </c>
      <c r="S1476">
        <f t="shared" ref="S1476:S1539" si="262">S1475+K1475</f>
        <v>1541.8471948504086</v>
      </c>
      <c r="T1476" s="1">
        <f t="shared" ref="T1476:T1539" si="263">T1475+O1475</f>
        <v>-2417.7919395250879</v>
      </c>
    </row>
    <row r="1477" spans="6:20" x14ac:dyDescent="0.35">
      <c r="F1477" s="1">
        <f t="shared" si="259"/>
        <v>29.47999999999946</v>
      </c>
      <c r="G1477">
        <f>1/2*$B$8*$B$6*$B$7*(Tabelle2[[#This Row],[vx]]*Tabelle2[[#This Row],[vx]]+Tabelle2[[#This Row],[vy]]*Tabelle2[[#This Row],[vy]])/1000000</f>
        <v>95.85629147127095</v>
      </c>
      <c r="H1477">
        <f>IF($B$3,-Tabelle2[[#This Row],[Fd]]*Tabelle2[[#This Row],[vx]]/Tabelle2[[#This Row],[v]],0)</f>
        <v>0</v>
      </c>
      <c r="I1477">
        <f t="shared" si="253"/>
        <v>0</v>
      </c>
      <c r="J1477">
        <f t="shared" si="254"/>
        <v>0</v>
      </c>
      <c r="K1477">
        <f t="shared" si="255"/>
        <v>1.0467394398169905</v>
      </c>
      <c r="L1477">
        <f>-$B$5*$B$12-IF($B$3,Tabelle2[[#This Row],[Fd]]*Tabelle2[[#This Row],[vy]]/Tabelle2[[#This Row],[v]],0)</f>
        <v>-14.715</v>
      </c>
      <c r="M1477">
        <f t="shared" si="256"/>
        <v>-9.81</v>
      </c>
      <c r="N1477">
        <f t="shared" si="257"/>
        <v>-0.19620000000000001</v>
      </c>
      <c r="O1477">
        <f t="shared" si="258"/>
        <v>-4.5384825120881134</v>
      </c>
      <c r="P1477" s="1">
        <f t="shared" si="260"/>
        <v>52.336971990849527</v>
      </c>
      <c r="Q1477" s="1">
        <f t="shared" si="261"/>
        <v>-226.82602560440566</v>
      </c>
      <c r="R1477">
        <f>SQRT(Tabelle2[[#This Row],[vx]]*Tabelle2[[#This Row],[vx]]+Tabelle2[[#This Row],[vy]]*Tabelle2[[#This Row],[vy]])</f>
        <v>232.78574812187591</v>
      </c>
      <c r="S1477">
        <f t="shared" si="262"/>
        <v>1542.8939342902256</v>
      </c>
      <c r="T1477" s="1">
        <f t="shared" si="263"/>
        <v>-2422.326498037176</v>
      </c>
    </row>
    <row r="1478" spans="6:20" x14ac:dyDescent="0.35">
      <c r="F1478" s="1">
        <f t="shared" si="259"/>
        <v>29.49999999999946</v>
      </c>
      <c r="G1478">
        <f>1/2*$B$8*$B$6*$B$7*(Tabelle2[[#This Row],[vx]]*Tabelle2[[#This Row],[vx]]+Tabelle2[[#This Row],[vy]]*Tabelle2[[#This Row],[vy]])/1000000</f>
        <v>96.013804875012639</v>
      </c>
      <c r="H1478">
        <f>IF($B$3,-Tabelle2[[#This Row],[Fd]]*Tabelle2[[#This Row],[vx]]/Tabelle2[[#This Row],[v]],0)</f>
        <v>0</v>
      </c>
      <c r="I1478">
        <f t="shared" si="253"/>
        <v>0</v>
      </c>
      <c r="J1478">
        <f t="shared" si="254"/>
        <v>0</v>
      </c>
      <c r="K1478">
        <f t="shared" si="255"/>
        <v>1.0467394398169905</v>
      </c>
      <c r="L1478">
        <f>-$B$5*$B$12-IF($B$3,Tabelle2[[#This Row],[Fd]]*Tabelle2[[#This Row],[vy]]/Tabelle2[[#This Row],[v]],0)</f>
        <v>-14.715</v>
      </c>
      <c r="M1478">
        <f t="shared" si="256"/>
        <v>-9.81</v>
      </c>
      <c r="N1478">
        <f t="shared" si="257"/>
        <v>-0.19620000000000001</v>
      </c>
      <c r="O1478">
        <f t="shared" si="258"/>
        <v>-4.542406512088113</v>
      </c>
      <c r="P1478" s="1">
        <f t="shared" si="260"/>
        <v>52.336971990849527</v>
      </c>
      <c r="Q1478" s="1">
        <f t="shared" si="261"/>
        <v>-227.02222560440566</v>
      </c>
      <c r="R1478">
        <f>SQRT(Tabelle2[[#This Row],[vx]]*Tabelle2[[#This Row],[vx]]+Tabelle2[[#This Row],[vy]]*Tabelle2[[#This Row],[vy]])</f>
        <v>232.97692923452448</v>
      </c>
      <c r="S1478">
        <f t="shared" si="262"/>
        <v>1543.9406737300426</v>
      </c>
      <c r="T1478" s="1">
        <f t="shared" si="263"/>
        <v>-2426.8649805492641</v>
      </c>
    </row>
    <row r="1479" spans="6:20" x14ac:dyDescent="0.35">
      <c r="F1479" s="1">
        <f t="shared" si="259"/>
        <v>29.51999999999946</v>
      </c>
      <c r="G1479">
        <f>1/2*$B$8*$B$6*$B$7*(Tabelle2[[#This Row],[vx]]*Tabelle2[[#This Row],[vx]]+Tabelle2[[#This Row],[vy]]*Tabelle2[[#This Row],[vy]])/1000000</f>
        <v>96.171454465815657</v>
      </c>
      <c r="H1479">
        <f>IF($B$3,-Tabelle2[[#This Row],[Fd]]*Tabelle2[[#This Row],[vx]]/Tabelle2[[#This Row],[v]],0)</f>
        <v>0</v>
      </c>
      <c r="I1479">
        <f t="shared" si="253"/>
        <v>0</v>
      </c>
      <c r="J1479">
        <f t="shared" si="254"/>
        <v>0</v>
      </c>
      <c r="K1479">
        <f t="shared" si="255"/>
        <v>1.0467394398169905</v>
      </c>
      <c r="L1479">
        <f>-$B$5*$B$12-IF($B$3,Tabelle2[[#This Row],[Fd]]*Tabelle2[[#This Row],[vy]]/Tabelle2[[#This Row],[v]],0)</f>
        <v>-14.715</v>
      </c>
      <c r="M1479">
        <f t="shared" si="256"/>
        <v>-9.81</v>
      </c>
      <c r="N1479">
        <f t="shared" si="257"/>
        <v>-0.19620000000000001</v>
      </c>
      <c r="O1479">
        <f t="shared" si="258"/>
        <v>-4.5463305120881135</v>
      </c>
      <c r="P1479" s="1">
        <f t="shared" si="260"/>
        <v>52.336971990849527</v>
      </c>
      <c r="Q1479" s="1">
        <f t="shared" si="261"/>
        <v>-227.21842560440567</v>
      </c>
      <c r="R1479">
        <f>SQRT(Tabelle2[[#This Row],[vx]]*Tabelle2[[#This Row],[vx]]+Tabelle2[[#This Row],[vy]]*Tabelle2[[#This Row],[vy]])</f>
        <v>233.16811868545796</v>
      </c>
      <c r="S1479">
        <f t="shared" si="262"/>
        <v>1544.9874131698596</v>
      </c>
      <c r="T1479" s="1">
        <f t="shared" si="263"/>
        <v>-2431.4073870613524</v>
      </c>
    </row>
    <row r="1480" spans="6:20" x14ac:dyDescent="0.35">
      <c r="F1480" s="1">
        <f t="shared" si="259"/>
        <v>29.539999999999459</v>
      </c>
      <c r="G1480">
        <f>1/2*$B$8*$B$6*$B$7*(Tabelle2[[#This Row],[vx]]*Tabelle2[[#This Row],[vx]]+Tabelle2[[#This Row],[vy]]*Tabelle2[[#This Row],[vy]])/1000000</f>
        <v>96.329240243680047</v>
      </c>
      <c r="H1480">
        <f>IF($B$3,-Tabelle2[[#This Row],[Fd]]*Tabelle2[[#This Row],[vx]]/Tabelle2[[#This Row],[v]],0)</f>
        <v>0</v>
      </c>
      <c r="I1480">
        <f t="shared" si="253"/>
        <v>0</v>
      </c>
      <c r="J1480">
        <f t="shared" si="254"/>
        <v>0</v>
      </c>
      <c r="K1480">
        <f t="shared" si="255"/>
        <v>1.0467394398169905</v>
      </c>
      <c r="L1480">
        <f>-$B$5*$B$12-IF($B$3,Tabelle2[[#This Row],[Fd]]*Tabelle2[[#This Row],[vy]]/Tabelle2[[#This Row],[v]],0)</f>
        <v>-14.715</v>
      </c>
      <c r="M1480">
        <f t="shared" si="256"/>
        <v>-9.81</v>
      </c>
      <c r="N1480">
        <f t="shared" si="257"/>
        <v>-0.19620000000000001</v>
      </c>
      <c r="O1480">
        <f t="shared" si="258"/>
        <v>-4.550254512088113</v>
      </c>
      <c r="P1480" s="1">
        <f t="shared" si="260"/>
        <v>52.336971990849527</v>
      </c>
      <c r="Q1480" s="1">
        <f t="shared" si="261"/>
        <v>-227.41462560440567</v>
      </c>
      <c r="R1480">
        <f>SQRT(Tabelle2[[#This Row],[vx]]*Tabelle2[[#This Row],[vx]]+Tabelle2[[#This Row],[vy]]*Tabelle2[[#This Row],[vy]])</f>
        <v>233.35931645418182</v>
      </c>
      <c r="S1480">
        <f t="shared" si="262"/>
        <v>1546.0341526096765</v>
      </c>
      <c r="T1480" s="1">
        <f t="shared" si="263"/>
        <v>-2435.9537175734404</v>
      </c>
    </row>
    <row r="1481" spans="6:20" x14ac:dyDescent="0.35">
      <c r="F1481" s="1">
        <f t="shared" si="259"/>
        <v>29.559999999999459</v>
      </c>
      <c r="G1481">
        <f>1/2*$B$8*$B$6*$B$7*(Tabelle2[[#This Row],[vx]]*Tabelle2[[#This Row],[vx]]+Tabelle2[[#This Row],[vy]]*Tabelle2[[#This Row],[vy]])/1000000</f>
        <v>96.487162208605767</v>
      </c>
      <c r="H1481">
        <f>IF($B$3,-Tabelle2[[#This Row],[Fd]]*Tabelle2[[#This Row],[vx]]/Tabelle2[[#This Row],[v]],0)</f>
        <v>0</v>
      </c>
      <c r="I1481">
        <f t="shared" si="253"/>
        <v>0</v>
      </c>
      <c r="J1481">
        <f t="shared" si="254"/>
        <v>0</v>
      </c>
      <c r="K1481">
        <f t="shared" si="255"/>
        <v>1.0467394398169905</v>
      </c>
      <c r="L1481">
        <f>-$B$5*$B$12-IF($B$3,Tabelle2[[#This Row],[Fd]]*Tabelle2[[#This Row],[vy]]/Tabelle2[[#This Row],[v]],0)</f>
        <v>-14.715</v>
      </c>
      <c r="M1481">
        <f t="shared" si="256"/>
        <v>-9.81</v>
      </c>
      <c r="N1481">
        <f t="shared" si="257"/>
        <v>-0.19620000000000001</v>
      </c>
      <c r="O1481">
        <f t="shared" si="258"/>
        <v>-4.5541785120881135</v>
      </c>
      <c r="P1481" s="1">
        <f t="shared" si="260"/>
        <v>52.336971990849527</v>
      </c>
      <c r="Q1481" s="1">
        <f t="shared" si="261"/>
        <v>-227.61082560440568</v>
      </c>
      <c r="R1481">
        <f>SQRT(Tabelle2[[#This Row],[vx]]*Tabelle2[[#This Row],[vx]]+Tabelle2[[#This Row],[vy]]*Tabelle2[[#This Row],[vy]])</f>
        <v>233.55052252026786</v>
      </c>
      <c r="S1481">
        <f t="shared" si="262"/>
        <v>1547.0808920494935</v>
      </c>
      <c r="T1481" s="1">
        <f t="shared" si="263"/>
        <v>-2440.5039720855284</v>
      </c>
    </row>
    <row r="1482" spans="6:20" x14ac:dyDescent="0.35">
      <c r="F1482" s="1">
        <f t="shared" si="259"/>
        <v>29.579999999999458</v>
      </c>
      <c r="G1482">
        <f>1/2*$B$8*$B$6*$B$7*(Tabelle2[[#This Row],[vx]]*Tabelle2[[#This Row],[vx]]+Tabelle2[[#This Row],[vy]]*Tabelle2[[#This Row],[vy]])/1000000</f>
        <v>96.645220360592816</v>
      </c>
      <c r="H1482">
        <f>IF($B$3,-Tabelle2[[#This Row],[Fd]]*Tabelle2[[#This Row],[vx]]/Tabelle2[[#This Row],[v]],0)</f>
        <v>0</v>
      </c>
      <c r="I1482">
        <f t="shared" si="253"/>
        <v>0</v>
      </c>
      <c r="J1482">
        <f t="shared" si="254"/>
        <v>0</v>
      </c>
      <c r="K1482">
        <f t="shared" si="255"/>
        <v>1.0467394398169905</v>
      </c>
      <c r="L1482">
        <f>-$B$5*$B$12-IF($B$3,Tabelle2[[#This Row],[Fd]]*Tabelle2[[#This Row],[vy]]/Tabelle2[[#This Row],[v]],0)</f>
        <v>-14.715</v>
      </c>
      <c r="M1482">
        <f t="shared" si="256"/>
        <v>-9.81</v>
      </c>
      <c r="N1482">
        <f t="shared" si="257"/>
        <v>-0.19620000000000001</v>
      </c>
      <c r="O1482">
        <f t="shared" si="258"/>
        <v>-4.5581025120881131</v>
      </c>
      <c r="P1482" s="1">
        <f t="shared" si="260"/>
        <v>52.336971990849527</v>
      </c>
      <c r="Q1482" s="1">
        <f t="shared" si="261"/>
        <v>-227.80702560440568</v>
      </c>
      <c r="R1482">
        <f>SQRT(Tabelle2[[#This Row],[vx]]*Tabelle2[[#This Row],[vx]]+Tabelle2[[#This Row],[vy]]*Tabelle2[[#This Row],[vy]])</f>
        <v>233.74173686335376</v>
      </c>
      <c r="S1482">
        <f t="shared" si="262"/>
        <v>1548.1276314893105</v>
      </c>
      <c r="T1482" s="1">
        <f t="shared" si="263"/>
        <v>-2445.0581505976165</v>
      </c>
    </row>
    <row r="1483" spans="6:20" x14ac:dyDescent="0.35">
      <c r="F1483" s="1">
        <f t="shared" si="259"/>
        <v>29.599999999999458</v>
      </c>
      <c r="G1483">
        <f>1/2*$B$8*$B$6*$B$7*(Tabelle2[[#This Row],[vx]]*Tabelle2[[#This Row],[vx]]+Tabelle2[[#This Row],[vy]]*Tabelle2[[#This Row],[vy]])/1000000</f>
        <v>96.803414699641223</v>
      </c>
      <c r="H1483">
        <f>IF($B$3,-Tabelle2[[#This Row],[Fd]]*Tabelle2[[#This Row],[vx]]/Tabelle2[[#This Row],[v]],0)</f>
        <v>0</v>
      </c>
      <c r="I1483">
        <f t="shared" si="253"/>
        <v>0</v>
      </c>
      <c r="J1483">
        <f t="shared" si="254"/>
        <v>0</v>
      </c>
      <c r="K1483">
        <f t="shared" si="255"/>
        <v>1.0467394398169905</v>
      </c>
      <c r="L1483">
        <f>-$B$5*$B$12-IF($B$3,Tabelle2[[#This Row],[Fd]]*Tabelle2[[#This Row],[vy]]/Tabelle2[[#This Row],[v]],0)</f>
        <v>-14.715</v>
      </c>
      <c r="M1483">
        <f t="shared" si="256"/>
        <v>-9.81</v>
      </c>
      <c r="N1483">
        <f t="shared" si="257"/>
        <v>-0.19620000000000001</v>
      </c>
      <c r="O1483">
        <f t="shared" si="258"/>
        <v>-4.5620265120881136</v>
      </c>
      <c r="P1483" s="1">
        <f t="shared" si="260"/>
        <v>52.336971990849527</v>
      </c>
      <c r="Q1483" s="1">
        <f t="shared" si="261"/>
        <v>-228.00322560440569</v>
      </c>
      <c r="R1483">
        <f>SQRT(Tabelle2[[#This Row],[vx]]*Tabelle2[[#This Row],[vx]]+Tabelle2[[#This Row],[vy]]*Tabelle2[[#This Row],[vy]])</f>
        <v>233.93295946314296</v>
      </c>
      <c r="S1483">
        <f t="shared" si="262"/>
        <v>1549.1743709291275</v>
      </c>
      <c r="T1483" s="1">
        <f t="shared" si="263"/>
        <v>-2449.6162531097048</v>
      </c>
    </row>
    <row r="1484" spans="6:20" x14ac:dyDescent="0.35">
      <c r="F1484" s="1">
        <f t="shared" si="259"/>
        <v>29.619999999999457</v>
      </c>
      <c r="G1484">
        <f>1/2*$B$8*$B$6*$B$7*(Tabelle2[[#This Row],[vx]]*Tabelle2[[#This Row],[vx]]+Tabelle2[[#This Row],[vy]]*Tabelle2[[#This Row],[vy]])/1000000</f>
        <v>96.961745225750988</v>
      </c>
      <c r="H1484">
        <f>IF($B$3,-Tabelle2[[#This Row],[Fd]]*Tabelle2[[#This Row],[vx]]/Tabelle2[[#This Row],[v]],0)</f>
        <v>0</v>
      </c>
      <c r="I1484">
        <f t="shared" si="253"/>
        <v>0</v>
      </c>
      <c r="J1484">
        <f t="shared" si="254"/>
        <v>0</v>
      </c>
      <c r="K1484">
        <f t="shared" si="255"/>
        <v>1.0467394398169905</v>
      </c>
      <c r="L1484">
        <f>-$B$5*$B$12-IF($B$3,Tabelle2[[#This Row],[Fd]]*Tabelle2[[#This Row],[vy]]/Tabelle2[[#This Row],[v]],0)</f>
        <v>-14.715</v>
      </c>
      <c r="M1484">
        <f t="shared" si="256"/>
        <v>-9.81</v>
      </c>
      <c r="N1484">
        <f t="shared" si="257"/>
        <v>-0.19620000000000001</v>
      </c>
      <c r="O1484">
        <f t="shared" si="258"/>
        <v>-4.5659505120881141</v>
      </c>
      <c r="P1484" s="1">
        <f t="shared" si="260"/>
        <v>52.336971990849527</v>
      </c>
      <c r="Q1484" s="1">
        <f t="shared" si="261"/>
        <v>-228.19942560440569</v>
      </c>
      <c r="R1484">
        <f>SQRT(Tabelle2[[#This Row],[vx]]*Tabelle2[[#This Row],[vx]]+Tabelle2[[#This Row],[vy]]*Tabelle2[[#This Row],[vy]])</f>
        <v>234.12419029940426</v>
      </c>
      <c r="S1484">
        <f t="shared" si="262"/>
        <v>1550.2211103689444</v>
      </c>
      <c r="T1484" s="1">
        <f t="shared" si="263"/>
        <v>-2454.1782796217931</v>
      </c>
    </row>
    <row r="1485" spans="6:20" x14ac:dyDescent="0.35">
      <c r="F1485" s="1">
        <f t="shared" si="259"/>
        <v>29.639999999999457</v>
      </c>
      <c r="G1485">
        <f>1/2*$B$8*$B$6*$B$7*(Tabelle2[[#This Row],[vx]]*Tabelle2[[#This Row],[vx]]+Tabelle2[[#This Row],[vy]]*Tabelle2[[#This Row],[vy]])/1000000</f>
        <v>97.120211938922068</v>
      </c>
      <c r="H1485">
        <f>IF($B$3,-Tabelle2[[#This Row],[Fd]]*Tabelle2[[#This Row],[vx]]/Tabelle2[[#This Row],[v]],0)</f>
        <v>0</v>
      </c>
      <c r="I1485">
        <f t="shared" si="253"/>
        <v>0</v>
      </c>
      <c r="J1485">
        <f t="shared" si="254"/>
        <v>0</v>
      </c>
      <c r="K1485">
        <f t="shared" si="255"/>
        <v>1.0467394398169905</v>
      </c>
      <c r="L1485">
        <f>-$B$5*$B$12-IF($B$3,Tabelle2[[#This Row],[Fd]]*Tabelle2[[#This Row],[vy]]/Tabelle2[[#This Row],[v]],0)</f>
        <v>-14.715</v>
      </c>
      <c r="M1485">
        <f t="shared" si="256"/>
        <v>-9.81</v>
      </c>
      <c r="N1485">
        <f t="shared" si="257"/>
        <v>-0.19620000000000001</v>
      </c>
      <c r="O1485">
        <f t="shared" si="258"/>
        <v>-4.5698745120881137</v>
      </c>
      <c r="P1485" s="1">
        <f t="shared" si="260"/>
        <v>52.336971990849527</v>
      </c>
      <c r="Q1485" s="1">
        <f t="shared" si="261"/>
        <v>-228.39562560440569</v>
      </c>
      <c r="R1485">
        <f>SQRT(Tabelle2[[#This Row],[vx]]*Tabelle2[[#This Row],[vx]]+Tabelle2[[#This Row],[vy]]*Tabelle2[[#This Row],[vy]])</f>
        <v>234.31542935197166</v>
      </c>
      <c r="S1485">
        <f t="shared" si="262"/>
        <v>1551.2678498087614</v>
      </c>
      <c r="T1485" s="1">
        <f t="shared" si="263"/>
        <v>-2458.744230133881</v>
      </c>
    </row>
    <row r="1486" spans="6:20" x14ac:dyDescent="0.35">
      <c r="F1486" s="1">
        <f t="shared" si="259"/>
        <v>29.659999999999457</v>
      </c>
      <c r="G1486">
        <f>1/2*$B$8*$B$6*$B$7*(Tabelle2[[#This Row],[vx]]*Tabelle2[[#This Row],[vx]]+Tabelle2[[#This Row],[vy]]*Tabelle2[[#This Row],[vy]])/1000000</f>
        <v>97.278814839154506</v>
      </c>
      <c r="H1486">
        <f>IF($B$3,-Tabelle2[[#This Row],[Fd]]*Tabelle2[[#This Row],[vx]]/Tabelle2[[#This Row],[v]],0)</f>
        <v>0</v>
      </c>
      <c r="I1486">
        <f t="shared" si="253"/>
        <v>0</v>
      </c>
      <c r="J1486">
        <f t="shared" si="254"/>
        <v>0</v>
      </c>
      <c r="K1486">
        <f t="shared" si="255"/>
        <v>1.0467394398169905</v>
      </c>
      <c r="L1486">
        <f>-$B$5*$B$12-IF($B$3,Tabelle2[[#This Row],[Fd]]*Tabelle2[[#This Row],[vy]]/Tabelle2[[#This Row],[v]],0)</f>
        <v>-14.715</v>
      </c>
      <c r="M1486">
        <f t="shared" si="256"/>
        <v>-9.81</v>
      </c>
      <c r="N1486">
        <f t="shared" si="257"/>
        <v>-0.19620000000000001</v>
      </c>
      <c r="O1486">
        <f t="shared" si="258"/>
        <v>-4.5737985120881142</v>
      </c>
      <c r="P1486" s="1">
        <f t="shared" si="260"/>
        <v>52.336971990849527</v>
      </c>
      <c r="Q1486" s="1">
        <f t="shared" si="261"/>
        <v>-228.5918256044057</v>
      </c>
      <c r="R1486">
        <f>SQRT(Tabelle2[[#This Row],[vx]]*Tabelle2[[#This Row],[vx]]+Tabelle2[[#This Row],[vy]]*Tabelle2[[#This Row],[vy]])</f>
        <v>234.50667660074416</v>
      </c>
      <c r="S1486">
        <f t="shared" si="262"/>
        <v>1552.3145892485784</v>
      </c>
      <c r="T1486" s="1">
        <f t="shared" si="263"/>
        <v>-2463.3141046459691</v>
      </c>
    </row>
    <row r="1487" spans="6:20" x14ac:dyDescent="0.35">
      <c r="F1487" s="1">
        <f t="shared" si="259"/>
        <v>29.679999999999456</v>
      </c>
      <c r="G1487">
        <f>1/2*$B$8*$B$6*$B$7*(Tabelle2[[#This Row],[vx]]*Tabelle2[[#This Row],[vx]]+Tabelle2[[#This Row],[vy]]*Tabelle2[[#This Row],[vy]])/1000000</f>
        <v>97.437553926448288</v>
      </c>
      <c r="H1487">
        <f>IF($B$3,-Tabelle2[[#This Row],[Fd]]*Tabelle2[[#This Row],[vx]]/Tabelle2[[#This Row],[v]],0)</f>
        <v>0</v>
      </c>
      <c r="I1487">
        <f t="shared" si="253"/>
        <v>0</v>
      </c>
      <c r="J1487">
        <f t="shared" si="254"/>
        <v>0</v>
      </c>
      <c r="K1487">
        <f t="shared" si="255"/>
        <v>1.0467394398169905</v>
      </c>
      <c r="L1487">
        <f>-$B$5*$B$12-IF($B$3,Tabelle2[[#This Row],[Fd]]*Tabelle2[[#This Row],[vy]]/Tabelle2[[#This Row],[v]],0)</f>
        <v>-14.715</v>
      </c>
      <c r="M1487">
        <f t="shared" si="256"/>
        <v>-9.81</v>
      </c>
      <c r="N1487">
        <f t="shared" si="257"/>
        <v>-0.19620000000000001</v>
      </c>
      <c r="O1487">
        <f t="shared" si="258"/>
        <v>-4.5777225120881138</v>
      </c>
      <c r="P1487" s="1">
        <f t="shared" si="260"/>
        <v>52.336971990849527</v>
      </c>
      <c r="Q1487" s="1">
        <f t="shared" si="261"/>
        <v>-228.7880256044057</v>
      </c>
      <c r="R1487">
        <f>SQRT(Tabelle2[[#This Row],[vx]]*Tabelle2[[#This Row],[vx]]+Tabelle2[[#This Row],[vy]]*Tabelle2[[#This Row],[vy]])</f>
        <v>234.69793202568525</v>
      </c>
      <c r="S1487">
        <f t="shared" si="262"/>
        <v>1553.3613286883954</v>
      </c>
      <c r="T1487" s="1">
        <f t="shared" si="263"/>
        <v>-2467.8879031580573</v>
      </c>
    </row>
    <row r="1488" spans="6:20" x14ac:dyDescent="0.35">
      <c r="F1488" s="1">
        <f t="shared" si="259"/>
        <v>29.699999999999456</v>
      </c>
      <c r="G1488">
        <f>1/2*$B$8*$B$6*$B$7*(Tabelle2[[#This Row],[vx]]*Tabelle2[[#This Row],[vx]]+Tabelle2[[#This Row],[vy]]*Tabelle2[[#This Row],[vy]])/1000000</f>
        <v>97.596429200803414</v>
      </c>
      <c r="H1488">
        <f>IF($B$3,-Tabelle2[[#This Row],[Fd]]*Tabelle2[[#This Row],[vx]]/Tabelle2[[#This Row],[v]],0)</f>
        <v>0</v>
      </c>
      <c r="I1488">
        <f t="shared" si="253"/>
        <v>0</v>
      </c>
      <c r="J1488">
        <f t="shared" si="254"/>
        <v>0</v>
      </c>
      <c r="K1488">
        <f t="shared" si="255"/>
        <v>1.0467394398169905</v>
      </c>
      <c r="L1488">
        <f>-$B$5*$B$12-IF($B$3,Tabelle2[[#This Row],[Fd]]*Tabelle2[[#This Row],[vy]]/Tabelle2[[#This Row],[v]],0)</f>
        <v>-14.715</v>
      </c>
      <c r="M1488">
        <f t="shared" si="256"/>
        <v>-9.81</v>
      </c>
      <c r="N1488">
        <f t="shared" si="257"/>
        <v>-0.19620000000000001</v>
      </c>
      <c r="O1488">
        <f t="shared" si="258"/>
        <v>-4.5816465120881142</v>
      </c>
      <c r="P1488" s="1">
        <f t="shared" si="260"/>
        <v>52.336971990849527</v>
      </c>
      <c r="Q1488" s="1">
        <f t="shared" si="261"/>
        <v>-228.98422560440571</v>
      </c>
      <c r="R1488">
        <f>SQRT(Tabelle2[[#This Row],[vx]]*Tabelle2[[#This Row],[vx]]+Tabelle2[[#This Row],[vy]]*Tabelle2[[#This Row],[vy]])</f>
        <v>234.88919560682297</v>
      </c>
      <c r="S1488">
        <f t="shared" si="262"/>
        <v>1554.4080681282123</v>
      </c>
      <c r="T1488" s="1">
        <f t="shared" si="263"/>
        <v>-2472.4656256701455</v>
      </c>
    </row>
    <row r="1489" spans="6:20" x14ac:dyDescent="0.35">
      <c r="F1489" s="1">
        <f t="shared" si="259"/>
        <v>29.719999999999455</v>
      </c>
      <c r="G1489">
        <f>1/2*$B$8*$B$6*$B$7*(Tabelle2[[#This Row],[vx]]*Tabelle2[[#This Row],[vx]]+Tabelle2[[#This Row],[vy]]*Tabelle2[[#This Row],[vy]])/1000000</f>
        <v>97.755440662219883</v>
      </c>
      <c r="H1489">
        <f>IF($B$3,-Tabelle2[[#This Row],[Fd]]*Tabelle2[[#This Row],[vx]]/Tabelle2[[#This Row],[v]],0)</f>
        <v>0</v>
      </c>
      <c r="I1489">
        <f t="shared" si="253"/>
        <v>0</v>
      </c>
      <c r="J1489">
        <f t="shared" si="254"/>
        <v>0</v>
      </c>
      <c r="K1489">
        <f t="shared" si="255"/>
        <v>1.0467394398169905</v>
      </c>
      <c r="L1489">
        <f>-$B$5*$B$12-IF($B$3,Tabelle2[[#This Row],[Fd]]*Tabelle2[[#This Row],[vy]]/Tabelle2[[#This Row],[v]],0)</f>
        <v>-14.715</v>
      </c>
      <c r="M1489">
        <f t="shared" si="256"/>
        <v>-9.81</v>
      </c>
      <c r="N1489">
        <f t="shared" si="257"/>
        <v>-0.19620000000000001</v>
      </c>
      <c r="O1489">
        <f t="shared" si="258"/>
        <v>-4.5855705120881138</v>
      </c>
      <c r="P1489" s="1">
        <f t="shared" si="260"/>
        <v>52.336971990849527</v>
      </c>
      <c r="Q1489" s="1">
        <f t="shared" si="261"/>
        <v>-229.18042560440571</v>
      </c>
      <c r="R1489">
        <f>SQRT(Tabelle2[[#This Row],[vx]]*Tabelle2[[#This Row],[vx]]+Tabelle2[[#This Row],[vy]]*Tabelle2[[#This Row],[vy]])</f>
        <v>235.08046732424944</v>
      </c>
      <c r="S1489">
        <f t="shared" si="262"/>
        <v>1555.4548075680293</v>
      </c>
      <c r="T1489" s="1">
        <f t="shared" si="263"/>
        <v>-2477.0472721822334</v>
      </c>
    </row>
    <row r="1490" spans="6:20" x14ac:dyDescent="0.35">
      <c r="F1490" s="1">
        <f t="shared" si="259"/>
        <v>29.739999999999455</v>
      </c>
      <c r="G1490">
        <f>1/2*$B$8*$B$6*$B$7*(Tabelle2[[#This Row],[vx]]*Tabelle2[[#This Row],[vx]]+Tabelle2[[#This Row],[vy]]*Tabelle2[[#This Row],[vy]])/1000000</f>
        <v>97.91458831069771</v>
      </c>
      <c r="H1490">
        <f>IF($B$3,-Tabelle2[[#This Row],[Fd]]*Tabelle2[[#This Row],[vx]]/Tabelle2[[#This Row],[v]],0)</f>
        <v>0</v>
      </c>
      <c r="I1490">
        <f t="shared" si="253"/>
        <v>0</v>
      </c>
      <c r="J1490">
        <f t="shared" si="254"/>
        <v>0</v>
      </c>
      <c r="K1490">
        <f t="shared" si="255"/>
        <v>1.0467394398169905</v>
      </c>
      <c r="L1490">
        <f>-$B$5*$B$12-IF($B$3,Tabelle2[[#This Row],[Fd]]*Tabelle2[[#This Row],[vy]]/Tabelle2[[#This Row],[v]],0)</f>
        <v>-14.715</v>
      </c>
      <c r="M1490">
        <f t="shared" si="256"/>
        <v>-9.81</v>
      </c>
      <c r="N1490">
        <f t="shared" si="257"/>
        <v>-0.19620000000000001</v>
      </c>
      <c r="O1490">
        <f t="shared" si="258"/>
        <v>-4.5894945120881143</v>
      </c>
      <c r="P1490" s="1">
        <f t="shared" si="260"/>
        <v>52.336971990849527</v>
      </c>
      <c r="Q1490" s="1">
        <f t="shared" si="261"/>
        <v>-229.37662560440572</v>
      </c>
      <c r="R1490">
        <f>SQRT(Tabelle2[[#This Row],[vx]]*Tabelle2[[#This Row],[vx]]+Tabelle2[[#This Row],[vy]]*Tabelle2[[#This Row],[vy]])</f>
        <v>235.27174715812072</v>
      </c>
      <c r="S1490">
        <f t="shared" si="262"/>
        <v>1556.5015470078463</v>
      </c>
      <c r="T1490" s="1">
        <f t="shared" si="263"/>
        <v>-2481.6328426943214</v>
      </c>
    </row>
    <row r="1491" spans="6:20" x14ac:dyDescent="0.35">
      <c r="F1491" s="1">
        <f t="shared" si="259"/>
        <v>29.759999999999454</v>
      </c>
      <c r="G1491">
        <f>1/2*$B$8*$B$6*$B$7*(Tabelle2[[#This Row],[vx]]*Tabelle2[[#This Row],[vx]]+Tabelle2[[#This Row],[vy]]*Tabelle2[[#This Row],[vy]])/1000000</f>
        <v>98.073872146236852</v>
      </c>
      <c r="H1491">
        <f>IF($B$3,-Tabelle2[[#This Row],[Fd]]*Tabelle2[[#This Row],[vx]]/Tabelle2[[#This Row],[v]],0)</f>
        <v>0</v>
      </c>
      <c r="I1491">
        <f t="shared" si="253"/>
        <v>0</v>
      </c>
      <c r="J1491">
        <f t="shared" si="254"/>
        <v>0</v>
      </c>
      <c r="K1491">
        <f t="shared" si="255"/>
        <v>1.0467394398169905</v>
      </c>
      <c r="L1491">
        <f>-$B$5*$B$12-IF($B$3,Tabelle2[[#This Row],[Fd]]*Tabelle2[[#This Row],[vy]]/Tabelle2[[#This Row],[v]],0)</f>
        <v>-14.715</v>
      </c>
      <c r="M1491">
        <f t="shared" si="256"/>
        <v>-9.81</v>
      </c>
      <c r="N1491">
        <f t="shared" si="257"/>
        <v>-0.19620000000000001</v>
      </c>
      <c r="O1491">
        <f t="shared" si="258"/>
        <v>-4.5934185120881139</v>
      </c>
      <c r="P1491" s="1">
        <f t="shared" si="260"/>
        <v>52.336971990849527</v>
      </c>
      <c r="Q1491" s="1">
        <f t="shared" si="261"/>
        <v>-229.57282560440572</v>
      </c>
      <c r="R1491">
        <f>SQRT(Tabelle2[[#This Row],[vx]]*Tabelle2[[#This Row],[vx]]+Tabelle2[[#This Row],[vy]]*Tabelle2[[#This Row],[vy]])</f>
        <v>235.46303508865645</v>
      </c>
      <c r="S1491">
        <f t="shared" si="262"/>
        <v>1557.5482864476633</v>
      </c>
      <c r="T1491" s="1">
        <f t="shared" si="263"/>
        <v>-2486.2223372064095</v>
      </c>
    </row>
    <row r="1492" spans="6:20" x14ac:dyDescent="0.35">
      <c r="F1492" s="1">
        <f t="shared" si="259"/>
        <v>29.779999999999454</v>
      </c>
      <c r="G1492">
        <f>1/2*$B$8*$B$6*$B$7*(Tabelle2[[#This Row],[vx]]*Tabelle2[[#This Row],[vx]]+Tabelle2[[#This Row],[vy]]*Tabelle2[[#This Row],[vy]])/1000000</f>
        <v>98.233292168837352</v>
      </c>
      <c r="H1492">
        <f>IF($B$3,-Tabelle2[[#This Row],[Fd]]*Tabelle2[[#This Row],[vx]]/Tabelle2[[#This Row],[v]],0)</f>
        <v>0</v>
      </c>
      <c r="I1492">
        <f t="shared" si="253"/>
        <v>0</v>
      </c>
      <c r="J1492">
        <f t="shared" si="254"/>
        <v>0</v>
      </c>
      <c r="K1492">
        <f t="shared" si="255"/>
        <v>1.0467394398169905</v>
      </c>
      <c r="L1492">
        <f>-$B$5*$B$12-IF($B$3,Tabelle2[[#This Row],[Fd]]*Tabelle2[[#This Row],[vy]]/Tabelle2[[#This Row],[v]],0)</f>
        <v>-14.715</v>
      </c>
      <c r="M1492">
        <f t="shared" si="256"/>
        <v>-9.81</v>
      </c>
      <c r="N1492">
        <f t="shared" si="257"/>
        <v>-0.19620000000000001</v>
      </c>
      <c r="O1492">
        <f t="shared" si="258"/>
        <v>-4.5973425120881144</v>
      </c>
      <c r="P1492" s="1">
        <f t="shared" si="260"/>
        <v>52.336971990849527</v>
      </c>
      <c r="Q1492" s="1">
        <f t="shared" si="261"/>
        <v>-229.76902560440573</v>
      </c>
      <c r="R1492">
        <f>SQRT(Tabelle2[[#This Row],[vx]]*Tabelle2[[#This Row],[vx]]+Tabelle2[[#This Row],[vy]]*Tabelle2[[#This Row],[vy]])</f>
        <v>235.65433109613969</v>
      </c>
      <c r="S1492">
        <f t="shared" si="262"/>
        <v>1558.5950258874802</v>
      </c>
      <c r="T1492" s="1">
        <f t="shared" si="263"/>
        <v>-2490.8157557184977</v>
      </c>
    </row>
    <row r="1493" spans="6:20" x14ac:dyDescent="0.35">
      <c r="F1493" s="1">
        <f t="shared" si="259"/>
        <v>29.799999999999454</v>
      </c>
      <c r="G1493">
        <f>1/2*$B$8*$B$6*$B$7*(Tabelle2[[#This Row],[vx]]*Tabelle2[[#This Row],[vx]]+Tabelle2[[#This Row],[vy]]*Tabelle2[[#This Row],[vy]])/1000000</f>
        <v>98.392848378499195</v>
      </c>
      <c r="H1493">
        <f>IF($B$3,-Tabelle2[[#This Row],[Fd]]*Tabelle2[[#This Row],[vx]]/Tabelle2[[#This Row],[v]],0)</f>
        <v>0</v>
      </c>
      <c r="I1493">
        <f t="shared" si="253"/>
        <v>0</v>
      </c>
      <c r="J1493">
        <f t="shared" si="254"/>
        <v>0</v>
      </c>
      <c r="K1493">
        <f t="shared" si="255"/>
        <v>1.0467394398169905</v>
      </c>
      <c r="L1493">
        <f>-$B$5*$B$12-IF($B$3,Tabelle2[[#This Row],[Fd]]*Tabelle2[[#This Row],[vy]]/Tabelle2[[#This Row],[v]],0)</f>
        <v>-14.715</v>
      </c>
      <c r="M1493">
        <f t="shared" si="256"/>
        <v>-9.81</v>
      </c>
      <c r="N1493">
        <f t="shared" si="257"/>
        <v>-0.19620000000000001</v>
      </c>
      <c r="O1493">
        <f t="shared" si="258"/>
        <v>-4.6012665120881149</v>
      </c>
      <c r="P1493" s="1">
        <f t="shared" si="260"/>
        <v>52.336971990849527</v>
      </c>
      <c r="Q1493" s="1">
        <f t="shared" si="261"/>
        <v>-229.96522560440573</v>
      </c>
      <c r="R1493">
        <f>SQRT(Tabelle2[[#This Row],[vx]]*Tabelle2[[#This Row],[vx]]+Tabelle2[[#This Row],[vy]]*Tabelle2[[#This Row],[vy]])</f>
        <v>235.84563516091663</v>
      </c>
      <c r="S1493">
        <f t="shared" si="262"/>
        <v>1559.6417653272972</v>
      </c>
      <c r="T1493" s="1">
        <f t="shared" si="263"/>
        <v>-2495.413098230586</v>
      </c>
    </row>
    <row r="1494" spans="6:20" x14ac:dyDescent="0.35">
      <c r="F1494" s="1">
        <f t="shared" si="259"/>
        <v>29.819999999999453</v>
      </c>
      <c r="G1494">
        <f>1/2*$B$8*$B$6*$B$7*(Tabelle2[[#This Row],[vx]]*Tabelle2[[#This Row],[vx]]+Tabelle2[[#This Row],[vy]]*Tabelle2[[#This Row],[vy]])/1000000</f>
        <v>98.552540775222397</v>
      </c>
      <c r="H1494">
        <f>IF($B$3,-Tabelle2[[#This Row],[Fd]]*Tabelle2[[#This Row],[vx]]/Tabelle2[[#This Row],[v]],0)</f>
        <v>0</v>
      </c>
      <c r="I1494">
        <f t="shared" si="253"/>
        <v>0</v>
      </c>
      <c r="J1494">
        <f t="shared" si="254"/>
        <v>0</v>
      </c>
      <c r="K1494">
        <f t="shared" si="255"/>
        <v>1.0467394398169905</v>
      </c>
      <c r="L1494">
        <f>-$B$5*$B$12-IF($B$3,Tabelle2[[#This Row],[Fd]]*Tabelle2[[#This Row],[vy]]/Tabelle2[[#This Row],[v]],0)</f>
        <v>-14.715</v>
      </c>
      <c r="M1494">
        <f t="shared" si="256"/>
        <v>-9.81</v>
      </c>
      <c r="N1494">
        <f t="shared" si="257"/>
        <v>-0.19620000000000001</v>
      </c>
      <c r="O1494">
        <f t="shared" si="258"/>
        <v>-4.6051905120881145</v>
      </c>
      <c r="P1494" s="1">
        <f t="shared" si="260"/>
        <v>52.336971990849527</v>
      </c>
      <c r="Q1494" s="1">
        <f t="shared" si="261"/>
        <v>-230.16142560440574</v>
      </c>
      <c r="R1494">
        <f>SQRT(Tabelle2[[#This Row],[vx]]*Tabelle2[[#This Row],[vx]]+Tabelle2[[#This Row],[vy]]*Tabelle2[[#This Row],[vy]])</f>
        <v>236.0369472633964</v>
      </c>
      <c r="S1494">
        <f t="shared" si="262"/>
        <v>1560.6885047671142</v>
      </c>
      <c r="T1494" s="1">
        <f t="shared" si="263"/>
        <v>-2500.0143647426739</v>
      </c>
    </row>
    <row r="1495" spans="6:20" x14ac:dyDescent="0.35">
      <c r="F1495" s="1">
        <f t="shared" si="259"/>
        <v>29.839999999999453</v>
      </c>
      <c r="G1495">
        <f>1/2*$B$8*$B$6*$B$7*(Tabelle2[[#This Row],[vx]]*Tabelle2[[#This Row],[vx]]+Tabelle2[[#This Row],[vy]]*Tabelle2[[#This Row],[vy]])/1000000</f>
        <v>98.712369359006928</v>
      </c>
      <c r="H1495">
        <f>IF($B$3,-Tabelle2[[#This Row],[Fd]]*Tabelle2[[#This Row],[vx]]/Tabelle2[[#This Row],[v]],0)</f>
        <v>0</v>
      </c>
      <c r="I1495">
        <f t="shared" si="253"/>
        <v>0</v>
      </c>
      <c r="J1495">
        <f t="shared" si="254"/>
        <v>0</v>
      </c>
      <c r="K1495">
        <f t="shared" si="255"/>
        <v>1.0467394398169905</v>
      </c>
      <c r="L1495">
        <f>-$B$5*$B$12-IF($B$3,Tabelle2[[#This Row],[Fd]]*Tabelle2[[#This Row],[vy]]/Tabelle2[[#This Row],[v]],0)</f>
        <v>-14.715</v>
      </c>
      <c r="M1495">
        <f t="shared" si="256"/>
        <v>-9.81</v>
      </c>
      <c r="N1495">
        <f t="shared" si="257"/>
        <v>-0.19620000000000001</v>
      </c>
      <c r="O1495">
        <f t="shared" si="258"/>
        <v>-4.609114512088115</v>
      </c>
      <c r="P1495" s="1">
        <f t="shared" si="260"/>
        <v>52.336971990849527</v>
      </c>
      <c r="Q1495" s="1">
        <f t="shared" si="261"/>
        <v>-230.35762560440574</v>
      </c>
      <c r="R1495">
        <f>SQRT(Tabelle2[[#This Row],[vx]]*Tabelle2[[#This Row],[vx]]+Tabelle2[[#This Row],[vy]]*Tabelle2[[#This Row],[vy]])</f>
        <v>236.22826738405067</v>
      </c>
      <c r="S1495">
        <f t="shared" si="262"/>
        <v>1561.7352442069312</v>
      </c>
      <c r="T1495" s="1">
        <f t="shared" si="263"/>
        <v>-2504.619555254762</v>
      </c>
    </row>
    <row r="1496" spans="6:20" x14ac:dyDescent="0.35">
      <c r="F1496" s="1">
        <f t="shared" si="259"/>
        <v>29.859999999999452</v>
      </c>
      <c r="G1496">
        <f>1/2*$B$8*$B$6*$B$7*(Tabelle2[[#This Row],[vx]]*Tabelle2[[#This Row],[vx]]+Tabelle2[[#This Row],[vy]]*Tabelle2[[#This Row],[vy]])/1000000</f>
        <v>98.872334129852803</v>
      </c>
      <c r="H1496">
        <f>IF($B$3,-Tabelle2[[#This Row],[Fd]]*Tabelle2[[#This Row],[vx]]/Tabelle2[[#This Row],[v]],0)</f>
        <v>0</v>
      </c>
      <c r="I1496">
        <f t="shared" si="253"/>
        <v>0</v>
      </c>
      <c r="J1496">
        <f t="shared" si="254"/>
        <v>0</v>
      </c>
      <c r="K1496">
        <f t="shared" si="255"/>
        <v>1.0467394398169905</v>
      </c>
      <c r="L1496">
        <f>-$B$5*$B$12-IF($B$3,Tabelle2[[#This Row],[Fd]]*Tabelle2[[#This Row],[vy]]/Tabelle2[[#This Row],[v]],0)</f>
        <v>-14.715</v>
      </c>
      <c r="M1496">
        <f t="shared" si="256"/>
        <v>-9.81</v>
      </c>
      <c r="N1496">
        <f t="shared" si="257"/>
        <v>-0.19620000000000001</v>
      </c>
      <c r="O1496">
        <f t="shared" si="258"/>
        <v>-4.6130385120881146</v>
      </c>
      <c r="P1496" s="1">
        <f t="shared" si="260"/>
        <v>52.336971990849527</v>
      </c>
      <c r="Q1496" s="1">
        <f t="shared" si="261"/>
        <v>-230.55382560440574</v>
      </c>
      <c r="R1496">
        <f>SQRT(Tabelle2[[#This Row],[vx]]*Tabelle2[[#This Row],[vx]]+Tabelle2[[#This Row],[vy]]*Tabelle2[[#This Row],[vy]])</f>
        <v>236.4195955034136</v>
      </c>
      <c r="S1496">
        <f t="shared" si="262"/>
        <v>1562.7819836467481</v>
      </c>
      <c r="T1496" s="1">
        <f t="shared" si="263"/>
        <v>-2509.2286697668501</v>
      </c>
    </row>
    <row r="1497" spans="6:20" x14ac:dyDescent="0.35">
      <c r="F1497" s="1">
        <f t="shared" si="259"/>
        <v>29.879999999999452</v>
      </c>
      <c r="G1497">
        <f>1/2*$B$8*$B$6*$B$7*(Tabelle2[[#This Row],[vx]]*Tabelle2[[#This Row],[vx]]+Tabelle2[[#This Row],[vy]]*Tabelle2[[#This Row],[vy]])/1000000</f>
        <v>99.032435087760021</v>
      </c>
      <c r="H1497">
        <f>IF($B$3,-Tabelle2[[#This Row],[Fd]]*Tabelle2[[#This Row],[vx]]/Tabelle2[[#This Row],[v]],0)</f>
        <v>0</v>
      </c>
      <c r="I1497">
        <f t="shared" si="253"/>
        <v>0</v>
      </c>
      <c r="J1497">
        <f t="shared" si="254"/>
        <v>0</v>
      </c>
      <c r="K1497">
        <f t="shared" si="255"/>
        <v>1.0467394398169905</v>
      </c>
      <c r="L1497">
        <f>-$B$5*$B$12-IF($B$3,Tabelle2[[#This Row],[Fd]]*Tabelle2[[#This Row],[vy]]/Tabelle2[[#This Row],[v]],0)</f>
        <v>-14.715</v>
      </c>
      <c r="M1497">
        <f t="shared" si="256"/>
        <v>-9.81</v>
      </c>
      <c r="N1497">
        <f t="shared" si="257"/>
        <v>-0.19620000000000001</v>
      </c>
      <c r="O1497">
        <f t="shared" si="258"/>
        <v>-4.616962512088115</v>
      </c>
      <c r="P1497" s="1">
        <f t="shared" si="260"/>
        <v>52.336971990849527</v>
      </c>
      <c r="Q1497" s="1">
        <f t="shared" si="261"/>
        <v>-230.75002560440575</v>
      </c>
      <c r="R1497">
        <f>SQRT(Tabelle2[[#This Row],[vx]]*Tabelle2[[#This Row],[vx]]+Tabelle2[[#This Row],[vy]]*Tabelle2[[#This Row],[vy]])</f>
        <v>236.61093160208148</v>
      </c>
      <c r="S1497">
        <f t="shared" si="262"/>
        <v>1563.8287230865651</v>
      </c>
      <c r="T1497" s="1">
        <f t="shared" si="263"/>
        <v>-2513.8417082789383</v>
      </c>
    </row>
    <row r="1498" spans="6:20" x14ac:dyDescent="0.35">
      <c r="F1498" s="1">
        <f t="shared" si="259"/>
        <v>29.899999999999451</v>
      </c>
      <c r="G1498">
        <f>1/2*$B$8*$B$6*$B$7*(Tabelle2[[#This Row],[vx]]*Tabelle2[[#This Row],[vx]]+Tabelle2[[#This Row],[vy]]*Tabelle2[[#This Row],[vy]])/1000000</f>
        <v>99.192672232728583</v>
      </c>
      <c r="H1498">
        <f>IF($B$3,-Tabelle2[[#This Row],[Fd]]*Tabelle2[[#This Row],[vx]]/Tabelle2[[#This Row],[v]],0)</f>
        <v>0</v>
      </c>
      <c r="I1498">
        <f t="shared" si="253"/>
        <v>0</v>
      </c>
      <c r="J1498">
        <f t="shared" si="254"/>
        <v>0</v>
      </c>
      <c r="K1498">
        <f t="shared" si="255"/>
        <v>1.0467394398169905</v>
      </c>
      <c r="L1498">
        <f>-$B$5*$B$12-IF($B$3,Tabelle2[[#This Row],[Fd]]*Tabelle2[[#This Row],[vy]]/Tabelle2[[#This Row],[v]],0)</f>
        <v>-14.715</v>
      </c>
      <c r="M1498">
        <f t="shared" si="256"/>
        <v>-9.81</v>
      </c>
      <c r="N1498">
        <f t="shared" si="257"/>
        <v>-0.19620000000000001</v>
      </c>
      <c r="O1498">
        <f t="shared" si="258"/>
        <v>-4.6208865120881146</v>
      </c>
      <c r="P1498" s="1">
        <f t="shared" si="260"/>
        <v>52.336971990849527</v>
      </c>
      <c r="Q1498" s="1">
        <f t="shared" si="261"/>
        <v>-230.94622560440575</v>
      </c>
      <c r="R1498">
        <f>SQRT(Tabelle2[[#This Row],[vx]]*Tabelle2[[#This Row],[vx]]+Tabelle2[[#This Row],[vy]]*Tabelle2[[#This Row],[vy]])</f>
        <v>236.80227566071247</v>
      </c>
      <c r="S1498">
        <f t="shared" si="262"/>
        <v>1564.8754625263821</v>
      </c>
      <c r="T1498" s="1">
        <f t="shared" si="263"/>
        <v>-2518.4586707910266</v>
      </c>
    </row>
    <row r="1499" spans="6:20" x14ac:dyDescent="0.35">
      <c r="F1499" s="1">
        <f t="shared" si="259"/>
        <v>29.919999999999451</v>
      </c>
      <c r="G1499">
        <f>1/2*$B$8*$B$6*$B$7*(Tabelle2[[#This Row],[vx]]*Tabelle2[[#This Row],[vx]]+Tabelle2[[#This Row],[vy]]*Tabelle2[[#This Row],[vy]])/1000000</f>
        <v>99.353045564758489</v>
      </c>
      <c r="H1499">
        <f>IF($B$3,-Tabelle2[[#This Row],[Fd]]*Tabelle2[[#This Row],[vx]]/Tabelle2[[#This Row],[v]],0)</f>
        <v>0</v>
      </c>
      <c r="I1499">
        <f t="shared" si="253"/>
        <v>0</v>
      </c>
      <c r="J1499">
        <f t="shared" si="254"/>
        <v>0</v>
      </c>
      <c r="K1499">
        <f t="shared" si="255"/>
        <v>1.0467394398169905</v>
      </c>
      <c r="L1499">
        <f>-$B$5*$B$12-IF($B$3,Tabelle2[[#This Row],[Fd]]*Tabelle2[[#This Row],[vy]]/Tabelle2[[#This Row],[v]],0)</f>
        <v>-14.715</v>
      </c>
      <c r="M1499">
        <f t="shared" si="256"/>
        <v>-9.81</v>
      </c>
      <c r="N1499">
        <f t="shared" si="257"/>
        <v>-0.19620000000000001</v>
      </c>
      <c r="O1499">
        <f t="shared" si="258"/>
        <v>-4.6248105120881151</v>
      </c>
      <c r="P1499" s="1">
        <f t="shared" si="260"/>
        <v>52.336971990849527</v>
      </c>
      <c r="Q1499" s="1">
        <f t="shared" si="261"/>
        <v>-231.14242560440576</v>
      </c>
      <c r="R1499">
        <f>SQRT(Tabelle2[[#This Row],[vx]]*Tabelle2[[#This Row],[vx]]+Tabelle2[[#This Row],[vy]]*Tabelle2[[#This Row],[vy]])</f>
        <v>236.99362766002636</v>
      </c>
      <c r="S1499">
        <f t="shared" si="262"/>
        <v>1565.9222019661991</v>
      </c>
      <c r="T1499" s="1">
        <f t="shared" si="263"/>
        <v>-2523.0795573031146</v>
      </c>
    </row>
    <row r="1500" spans="6:20" x14ac:dyDescent="0.35">
      <c r="F1500" s="1">
        <f t="shared" si="259"/>
        <v>29.939999999999451</v>
      </c>
      <c r="G1500">
        <f>1/2*$B$8*$B$6*$B$7*(Tabelle2[[#This Row],[vx]]*Tabelle2[[#This Row],[vx]]+Tabelle2[[#This Row],[vy]]*Tabelle2[[#This Row],[vy]])/1000000</f>
        <v>99.513555083849738</v>
      </c>
      <c r="H1500">
        <f>IF($B$3,-Tabelle2[[#This Row],[Fd]]*Tabelle2[[#This Row],[vx]]/Tabelle2[[#This Row],[v]],0)</f>
        <v>0</v>
      </c>
      <c r="I1500">
        <f t="shared" si="253"/>
        <v>0</v>
      </c>
      <c r="J1500">
        <f t="shared" si="254"/>
        <v>0</v>
      </c>
      <c r="K1500">
        <f t="shared" si="255"/>
        <v>1.0467394398169905</v>
      </c>
      <c r="L1500">
        <f>-$B$5*$B$12-IF($B$3,Tabelle2[[#This Row],[Fd]]*Tabelle2[[#This Row],[vy]]/Tabelle2[[#This Row],[v]],0)</f>
        <v>-14.715</v>
      </c>
      <c r="M1500">
        <f t="shared" si="256"/>
        <v>-9.81</v>
      </c>
      <c r="N1500">
        <f t="shared" si="257"/>
        <v>-0.19620000000000001</v>
      </c>
      <c r="O1500">
        <f t="shared" si="258"/>
        <v>-4.6287345120881147</v>
      </c>
      <c r="P1500" s="1">
        <f t="shared" si="260"/>
        <v>52.336971990849527</v>
      </c>
      <c r="Q1500" s="1">
        <f t="shared" si="261"/>
        <v>-231.33862560440576</v>
      </c>
      <c r="R1500">
        <f>SQRT(Tabelle2[[#This Row],[vx]]*Tabelle2[[#This Row],[vx]]+Tabelle2[[#This Row],[vy]]*Tabelle2[[#This Row],[vy]])</f>
        <v>237.18498758080452</v>
      </c>
      <c r="S1500">
        <f t="shared" si="262"/>
        <v>1566.968941406016</v>
      </c>
      <c r="T1500" s="1">
        <f t="shared" si="263"/>
        <v>-2527.7043678152027</v>
      </c>
    </row>
    <row r="1501" spans="6:20" x14ac:dyDescent="0.35">
      <c r="F1501" s="1">
        <f t="shared" si="259"/>
        <v>29.95999999999945</v>
      </c>
      <c r="G1501">
        <f>1/2*$B$8*$B$6*$B$7*(Tabelle2[[#This Row],[vx]]*Tabelle2[[#This Row],[vx]]+Tabelle2[[#This Row],[vy]]*Tabelle2[[#This Row],[vy]])/1000000</f>
        <v>99.674200790002345</v>
      </c>
      <c r="H1501">
        <f>IF($B$3,-Tabelle2[[#This Row],[Fd]]*Tabelle2[[#This Row],[vx]]/Tabelle2[[#This Row],[v]],0)</f>
        <v>0</v>
      </c>
      <c r="I1501">
        <f t="shared" si="253"/>
        <v>0</v>
      </c>
      <c r="J1501">
        <f t="shared" si="254"/>
        <v>0</v>
      </c>
      <c r="K1501">
        <f t="shared" si="255"/>
        <v>1.0467394398169905</v>
      </c>
      <c r="L1501">
        <f>-$B$5*$B$12-IF($B$3,Tabelle2[[#This Row],[Fd]]*Tabelle2[[#This Row],[vy]]/Tabelle2[[#This Row],[v]],0)</f>
        <v>-14.715</v>
      </c>
      <c r="M1501">
        <f t="shared" si="256"/>
        <v>-9.81</v>
      </c>
      <c r="N1501">
        <f t="shared" si="257"/>
        <v>-0.19620000000000001</v>
      </c>
      <c r="O1501">
        <f t="shared" si="258"/>
        <v>-4.6326585120881152</v>
      </c>
      <c r="P1501" s="1">
        <f t="shared" si="260"/>
        <v>52.336971990849527</v>
      </c>
      <c r="Q1501" s="1">
        <f t="shared" si="261"/>
        <v>-231.53482560440577</v>
      </c>
      <c r="R1501">
        <f>SQRT(Tabelle2[[#This Row],[vx]]*Tabelle2[[#This Row],[vx]]+Tabelle2[[#This Row],[vy]]*Tabelle2[[#This Row],[vy]])</f>
        <v>237.37635540388931</v>
      </c>
      <c r="S1501">
        <f t="shared" si="262"/>
        <v>1568.015680845833</v>
      </c>
      <c r="T1501" s="1">
        <f t="shared" si="263"/>
        <v>-2532.3331023272908</v>
      </c>
    </row>
    <row r="1502" spans="6:20" x14ac:dyDescent="0.35">
      <c r="F1502" s="1">
        <f t="shared" si="259"/>
        <v>29.97999999999945</v>
      </c>
      <c r="G1502">
        <f>1/2*$B$8*$B$6*$B$7*(Tabelle2[[#This Row],[vx]]*Tabelle2[[#This Row],[vx]]+Tabelle2[[#This Row],[vy]]*Tabelle2[[#This Row],[vy]])/1000000</f>
        <v>99.834982683216282</v>
      </c>
      <c r="H1502">
        <f>IF($B$3,-Tabelle2[[#This Row],[Fd]]*Tabelle2[[#This Row],[vx]]/Tabelle2[[#This Row],[v]],0)</f>
        <v>0</v>
      </c>
      <c r="I1502">
        <f t="shared" si="253"/>
        <v>0</v>
      </c>
      <c r="J1502">
        <f t="shared" si="254"/>
        <v>0</v>
      </c>
      <c r="K1502">
        <f t="shared" si="255"/>
        <v>1.0467394398169905</v>
      </c>
      <c r="L1502">
        <f>-$B$5*$B$12-IF($B$3,Tabelle2[[#This Row],[Fd]]*Tabelle2[[#This Row],[vy]]/Tabelle2[[#This Row],[v]],0)</f>
        <v>-14.715</v>
      </c>
      <c r="M1502">
        <f t="shared" si="256"/>
        <v>-9.81</v>
      </c>
      <c r="N1502">
        <f t="shared" si="257"/>
        <v>-0.19620000000000001</v>
      </c>
      <c r="O1502">
        <f t="shared" si="258"/>
        <v>-4.6365825120881157</v>
      </c>
      <c r="P1502" s="1">
        <f t="shared" si="260"/>
        <v>52.336971990849527</v>
      </c>
      <c r="Q1502" s="1">
        <f t="shared" si="261"/>
        <v>-231.73102560440577</v>
      </c>
      <c r="R1502">
        <f>SQRT(Tabelle2[[#This Row],[vx]]*Tabelle2[[#This Row],[vx]]+Tabelle2[[#This Row],[vy]]*Tabelle2[[#This Row],[vy]])</f>
        <v>237.5677311101841</v>
      </c>
      <c r="S1502">
        <f t="shared" si="262"/>
        <v>1569.06242028565</v>
      </c>
      <c r="T1502" s="1">
        <f t="shared" si="263"/>
        <v>-2536.9657608393791</v>
      </c>
    </row>
    <row r="1503" spans="6:20" x14ac:dyDescent="0.35">
      <c r="F1503" s="1">
        <f t="shared" si="259"/>
        <v>29.999999999999449</v>
      </c>
      <c r="G1503">
        <f>1/2*$B$8*$B$6*$B$7*(Tabelle2[[#This Row],[vx]]*Tabelle2[[#This Row],[vx]]+Tabelle2[[#This Row],[vy]]*Tabelle2[[#This Row],[vy]])/1000000</f>
        <v>99.995900763491576</v>
      </c>
      <c r="H1503">
        <f>IF($B$3,-Tabelle2[[#This Row],[Fd]]*Tabelle2[[#This Row],[vx]]/Tabelle2[[#This Row],[v]],0)</f>
        <v>0</v>
      </c>
      <c r="I1503">
        <f t="shared" si="253"/>
        <v>0</v>
      </c>
      <c r="J1503">
        <f t="shared" si="254"/>
        <v>0</v>
      </c>
      <c r="K1503">
        <f t="shared" si="255"/>
        <v>1.0467394398169905</v>
      </c>
      <c r="L1503">
        <f>-$B$5*$B$12-IF($B$3,Tabelle2[[#This Row],[Fd]]*Tabelle2[[#This Row],[vy]]/Tabelle2[[#This Row],[v]],0)</f>
        <v>-14.715</v>
      </c>
      <c r="M1503">
        <f t="shared" si="256"/>
        <v>-9.81</v>
      </c>
      <c r="N1503">
        <f t="shared" si="257"/>
        <v>-0.19620000000000001</v>
      </c>
      <c r="O1503">
        <f t="shared" si="258"/>
        <v>-4.6405065120881153</v>
      </c>
      <c r="P1503" s="1">
        <f t="shared" si="260"/>
        <v>52.336971990849527</v>
      </c>
      <c r="Q1503" s="1">
        <f t="shared" si="261"/>
        <v>-231.92722560440578</v>
      </c>
      <c r="R1503">
        <f>SQRT(Tabelle2[[#This Row],[vx]]*Tabelle2[[#This Row],[vx]]+Tabelle2[[#This Row],[vy]]*Tabelle2[[#This Row],[vy]])</f>
        <v>237.759114680653</v>
      </c>
      <c r="S1503">
        <f t="shared" si="262"/>
        <v>1570.109159725467</v>
      </c>
      <c r="T1503" s="1">
        <f t="shared" si="263"/>
        <v>-2541.602343351467</v>
      </c>
    </row>
    <row r="1504" spans="6:20" x14ac:dyDescent="0.35">
      <c r="F1504" s="1">
        <f t="shared" si="259"/>
        <v>30.019999999999449</v>
      </c>
      <c r="G1504">
        <f>1/2*$B$8*$B$6*$B$7*(Tabelle2[[#This Row],[vx]]*Tabelle2[[#This Row],[vx]]+Tabelle2[[#This Row],[vy]]*Tabelle2[[#This Row],[vy]])/1000000</f>
        <v>100.15695503082821</v>
      </c>
      <c r="H1504">
        <f>IF($B$3,-Tabelle2[[#This Row],[Fd]]*Tabelle2[[#This Row],[vx]]/Tabelle2[[#This Row],[v]],0)</f>
        <v>0</v>
      </c>
      <c r="I1504">
        <f t="shared" si="253"/>
        <v>0</v>
      </c>
      <c r="J1504">
        <f t="shared" si="254"/>
        <v>0</v>
      </c>
      <c r="K1504">
        <f t="shared" si="255"/>
        <v>1.0467394398169905</v>
      </c>
      <c r="L1504">
        <f>-$B$5*$B$12-IF($B$3,Tabelle2[[#This Row],[Fd]]*Tabelle2[[#This Row],[vy]]/Tabelle2[[#This Row],[v]],0)</f>
        <v>-14.715</v>
      </c>
      <c r="M1504">
        <f t="shared" si="256"/>
        <v>-9.81</v>
      </c>
      <c r="N1504">
        <f t="shared" si="257"/>
        <v>-0.19620000000000001</v>
      </c>
      <c r="O1504">
        <f t="shared" si="258"/>
        <v>-4.6444305120881157</v>
      </c>
      <c r="P1504" s="1">
        <f t="shared" si="260"/>
        <v>52.336971990849527</v>
      </c>
      <c r="Q1504" s="1">
        <f t="shared" si="261"/>
        <v>-232.12342560440578</v>
      </c>
      <c r="R1504">
        <f>SQRT(Tabelle2[[#This Row],[vx]]*Tabelle2[[#This Row],[vx]]+Tabelle2[[#This Row],[vy]]*Tabelle2[[#This Row],[vy]])</f>
        <v>237.95050609632054</v>
      </c>
      <c r="S1504">
        <f t="shared" si="262"/>
        <v>1571.1558991652839</v>
      </c>
      <c r="T1504" s="1">
        <f t="shared" si="263"/>
        <v>-2546.242849863555</v>
      </c>
    </row>
    <row r="1505" spans="6:20" x14ac:dyDescent="0.35">
      <c r="F1505" s="1">
        <f t="shared" si="259"/>
        <v>30.039999999999448</v>
      </c>
      <c r="G1505">
        <f>1/2*$B$8*$B$6*$B$7*(Tabelle2[[#This Row],[vx]]*Tabelle2[[#This Row],[vx]]+Tabelle2[[#This Row],[vy]]*Tabelle2[[#This Row],[vy]])/1000000</f>
        <v>100.31814548522617</v>
      </c>
      <c r="H1505">
        <f>IF($B$3,-Tabelle2[[#This Row],[Fd]]*Tabelle2[[#This Row],[vx]]/Tabelle2[[#This Row],[v]],0)</f>
        <v>0</v>
      </c>
      <c r="I1505">
        <f t="shared" si="253"/>
        <v>0</v>
      </c>
      <c r="J1505">
        <f t="shared" si="254"/>
        <v>0</v>
      </c>
      <c r="K1505">
        <f t="shared" si="255"/>
        <v>1.0467394398169905</v>
      </c>
      <c r="L1505">
        <f>-$B$5*$B$12-IF($B$3,Tabelle2[[#This Row],[Fd]]*Tabelle2[[#This Row],[vy]]/Tabelle2[[#This Row],[v]],0)</f>
        <v>-14.715</v>
      </c>
      <c r="M1505">
        <f t="shared" si="256"/>
        <v>-9.81</v>
      </c>
      <c r="N1505">
        <f t="shared" si="257"/>
        <v>-0.19620000000000001</v>
      </c>
      <c r="O1505">
        <f t="shared" si="258"/>
        <v>-4.6483545120881153</v>
      </c>
      <c r="P1505" s="1">
        <f t="shared" si="260"/>
        <v>52.336971990849527</v>
      </c>
      <c r="Q1505" s="1">
        <f t="shared" si="261"/>
        <v>-232.31962560440579</v>
      </c>
      <c r="R1505">
        <f>SQRT(Tabelle2[[#This Row],[vx]]*Tabelle2[[#This Row],[vx]]+Tabelle2[[#This Row],[vy]]*Tabelle2[[#This Row],[vy]])</f>
        <v>238.14190533827147</v>
      </c>
      <c r="S1505">
        <f t="shared" si="262"/>
        <v>1572.2026386051009</v>
      </c>
      <c r="T1505" s="1">
        <f t="shared" si="263"/>
        <v>-2550.8872803756431</v>
      </c>
    </row>
    <row r="1506" spans="6:20" x14ac:dyDescent="0.35">
      <c r="F1506" s="1">
        <f t="shared" si="259"/>
        <v>30.059999999999448</v>
      </c>
      <c r="G1506">
        <f>1/2*$B$8*$B$6*$B$7*(Tabelle2[[#This Row],[vx]]*Tabelle2[[#This Row],[vx]]+Tabelle2[[#This Row],[vy]]*Tabelle2[[#This Row],[vy]])/1000000</f>
        <v>100.47947212668548</v>
      </c>
      <c r="H1506">
        <f>IF($B$3,-Tabelle2[[#This Row],[Fd]]*Tabelle2[[#This Row],[vx]]/Tabelle2[[#This Row],[v]],0)</f>
        <v>0</v>
      </c>
      <c r="I1506">
        <f t="shared" si="253"/>
        <v>0</v>
      </c>
      <c r="J1506">
        <f t="shared" si="254"/>
        <v>0</v>
      </c>
      <c r="K1506">
        <f t="shared" si="255"/>
        <v>1.0467394398169905</v>
      </c>
      <c r="L1506">
        <f>-$B$5*$B$12-IF($B$3,Tabelle2[[#This Row],[Fd]]*Tabelle2[[#This Row],[vy]]/Tabelle2[[#This Row],[v]],0)</f>
        <v>-14.715</v>
      </c>
      <c r="M1506">
        <f t="shared" si="256"/>
        <v>-9.81</v>
      </c>
      <c r="N1506">
        <f t="shared" si="257"/>
        <v>-0.19620000000000001</v>
      </c>
      <c r="O1506">
        <f t="shared" si="258"/>
        <v>-4.6522785120881158</v>
      </c>
      <c r="P1506" s="1">
        <f t="shared" si="260"/>
        <v>52.336971990849527</v>
      </c>
      <c r="Q1506" s="1">
        <f t="shared" si="261"/>
        <v>-232.51582560440579</v>
      </c>
      <c r="R1506">
        <f>SQRT(Tabelle2[[#This Row],[vx]]*Tabelle2[[#This Row],[vx]]+Tabelle2[[#This Row],[vy]]*Tabelle2[[#This Row],[vy]])</f>
        <v>238.33331238765052</v>
      </c>
      <c r="S1506">
        <f t="shared" si="262"/>
        <v>1573.2493780449179</v>
      </c>
      <c r="T1506" s="1">
        <f t="shared" si="263"/>
        <v>-2555.5356348877312</v>
      </c>
    </row>
    <row r="1507" spans="6:20" x14ac:dyDescent="0.35">
      <c r="F1507" s="1">
        <f t="shared" si="259"/>
        <v>30.079999999999448</v>
      </c>
      <c r="G1507">
        <f>1/2*$B$8*$B$6*$B$7*(Tabelle2[[#This Row],[vx]]*Tabelle2[[#This Row],[vx]]+Tabelle2[[#This Row],[vy]]*Tabelle2[[#This Row],[vy]])/1000000</f>
        <v>100.64093495520613</v>
      </c>
      <c r="H1507">
        <f>IF($B$3,-Tabelle2[[#This Row],[Fd]]*Tabelle2[[#This Row],[vx]]/Tabelle2[[#This Row],[v]],0)</f>
        <v>0</v>
      </c>
      <c r="I1507">
        <f t="shared" si="253"/>
        <v>0</v>
      </c>
      <c r="J1507">
        <f t="shared" si="254"/>
        <v>0</v>
      </c>
      <c r="K1507">
        <f t="shared" si="255"/>
        <v>1.0467394398169905</v>
      </c>
      <c r="L1507">
        <f>-$B$5*$B$12-IF($B$3,Tabelle2[[#This Row],[Fd]]*Tabelle2[[#This Row],[vy]]/Tabelle2[[#This Row],[v]],0)</f>
        <v>-14.715</v>
      </c>
      <c r="M1507">
        <f t="shared" si="256"/>
        <v>-9.81</v>
      </c>
      <c r="N1507">
        <f t="shared" si="257"/>
        <v>-0.19620000000000001</v>
      </c>
      <c r="O1507">
        <f t="shared" si="258"/>
        <v>-4.6562025120881154</v>
      </c>
      <c r="P1507" s="1">
        <f t="shared" si="260"/>
        <v>52.336971990849527</v>
      </c>
      <c r="Q1507" s="1">
        <f t="shared" si="261"/>
        <v>-232.7120256044058</v>
      </c>
      <c r="R1507">
        <f>SQRT(Tabelle2[[#This Row],[vx]]*Tabelle2[[#This Row],[vx]]+Tabelle2[[#This Row],[vy]]*Tabelle2[[#This Row],[vy]])</f>
        <v>238.52472722566225</v>
      </c>
      <c r="S1507">
        <f t="shared" si="262"/>
        <v>1574.2961174847349</v>
      </c>
      <c r="T1507" s="1">
        <f t="shared" si="263"/>
        <v>-2560.1879133998195</v>
      </c>
    </row>
    <row r="1508" spans="6:20" x14ac:dyDescent="0.35">
      <c r="F1508" s="1">
        <f t="shared" si="259"/>
        <v>30.099999999999447</v>
      </c>
      <c r="G1508">
        <f>1/2*$B$8*$B$6*$B$7*(Tabelle2[[#This Row],[vx]]*Tabelle2[[#This Row],[vx]]+Tabelle2[[#This Row],[vy]]*Tabelle2[[#This Row],[vy]])/1000000</f>
        <v>100.80253397078816</v>
      </c>
      <c r="H1508">
        <f>IF($B$3,-Tabelle2[[#This Row],[Fd]]*Tabelle2[[#This Row],[vx]]/Tabelle2[[#This Row],[v]],0)</f>
        <v>0</v>
      </c>
      <c r="I1508">
        <f t="shared" si="253"/>
        <v>0</v>
      </c>
      <c r="J1508">
        <f t="shared" si="254"/>
        <v>0</v>
      </c>
      <c r="K1508">
        <f t="shared" si="255"/>
        <v>1.0467394398169905</v>
      </c>
      <c r="L1508">
        <f>-$B$5*$B$12-IF($B$3,Tabelle2[[#This Row],[Fd]]*Tabelle2[[#This Row],[vy]]/Tabelle2[[#This Row],[v]],0)</f>
        <v>-14.715</v>
      </c>
      <c r="M1508">
        <f t="shared" si="256"/>
        <v>-9.81</v>
      </c>
      <c r="N1508">
        <f t="shared" si="257"/>
        <v>-0.19620000000000001</v>
      </c>
      <c r="O1508">
        <f t="shared" si="258"/>
        <v>-4.6601265120881159</v>
      </c>
      <c r="P1508" s="1">
        <f t="shared" si="260"/>
        <v>52.336971990849527</v>
      </c>
      <c r="Q1508" s="1">
        <f t="shared" si="261"/>
        <v>-232.9082256044058</v>
      </c>
      <c r="R1508">
        <f>SQRT(Tabelle2[[#This Row],[vx]]*Tabelle2[[#This Row],[vx]]+Tabelle2[[#This Row],[vy]]*Tabelle2[[#This Row],[vy]])</f>
        <v>238.71614983357068</v>
      </c>
      <c r="S1508">
        <f t="shared" si="262"/>
        <v>1575.3428569245518</v>
      </c>
      <c r="T1508" s="1">
        <f t="shared" si="263"/>
        <v>-2564.8441159119075</v>
      </c>
    </row>
    <row r="1509" spans="6:20" x14ac:dyDescent="0.35">
      <c r="F1509" s="1">
        <f t="shared" si="259"/>
        <v>30.119999999999447</v>
      </c>
      <c r="G1509">
        <f>1/2*$B$8*$B$6*$B$7*(Tabelle2[[#This Row],[vx]]*Tabelle2[[#This Row],[vx]]+Tabelle2[[#This Row],[vy]]*Tabelle2[[#This Row],[vy]])/1000000</f>
        <v>100.9642691734315</v>
      </c>
      <c r="H1509">
        <f>IF($B$3,-Tabelle2[[#This Row],[Fd]]*Tabelle2[[#This Row],[vx]]/Tabelle2[[#This Row],[v]],0)</f>
        <v>0</v>
      </c>
      <c r="I1509">
        <f t="shared" si="253"/>
        <v>0</v>
      </c>
      <c r="J1509">
        <f t="shared" si="254"/>
        <v>0</v>
      </c>
      <c r="K1509">
        <f t="shared" si="255"/>
        <v>1.0467394398169905</v>
      </c>
      <c r="L1509">
        <f>-$B$5*$B$12-IF($B$3,Tabelle2[[#This Row],[Fd]]*Tabelle2[[#This Row],[vy]]/Tabelle2[[#This Row],[v]],0)</f>
        <v>-14.715</v>
      </c>
      <c r="M1509">
        <f t="shared" si="256"/>
        <v>-9.81</v>
      </c>
      <c r="N1509">
        <f t="shared" si="257"/>
        <v>-0.19620000000000001</v>
      </c>
      <c r="O1509">
        <f t="shared" si="258"/>
        <v>-4.6640505120881164</v>
      </c>
      <c r="P1509" s="1">
        <f t="shared" si="260"/>
        <v>52.336971990849527</v>
      </c>
      <c r="Q1509" s="1">
        <f t="shared" si="261"/>
        <v>-233.1044256044058</v>
      </c>
      <c r="R1509">
        <f>SQRT(Tabelle2[[#This Row],[vx]]*Tabelle2[[#This Row],[vx]]+Tabelle2[[#This Row],[vy]]*Tabelle2[[#This Row],[vy]])</f>
        <v>238.90758019269904</v>
      </c>
      <c r="S1509">
        <f t="shared" si="262"/>
        <v>1576.3895963643688</v>
      </c>
      <c r="T1509" s="1">
        <f t="shared" si="263"/>
        <v>-2569.5042424239955</v>
      </c>
    </row>
    <row r="1510" spans="6:20" x14ac:dyDescent="0.35">
      <c r="F1510" s="1">
        <f t="shared" si="259"/>
        <v>30.139999999999446</v>
      </c>
      <c r="G1510">
        <f>1/2*$B$8*$B$6*$B$7*(Tabelle2[[#This Row],[vx]]*Tabelle2[[#This Row],[vx]]+Tabelle2[[#This Row],[vy]]*Tabelle2[[#This Row],[vy]])/1000000</f>
        <v>101.1261405631362</v>
      </c>
      <c r="H1510">
        <f>IF($B$3,-Tabelle2[[#This Row],[Fd]]*Tabelle2[[#This Row],[vx]]/Tabelle2[[#This Row],[v]],0)</f>
        <v>0</v>
      </c>
      <c r="I1510">
        <f t="shared" si="253"/>
        <v>0</v>
      </c>
      <c r="J1510">
        <f t="shared" si="254"/>
        <v>0</v>
      </c>
      <c r="K1510">
        <f t="shared" si="255"/>
        <v>1.0467394398169905</v>
      </c>
      <c r="L1510">
        <f>-$B$5*$B$12-IF($B$3,Tabelle2[[#This Row],[Fd]]*Tabelle2[[#This Row],[vy]]/Tabelle2[[#This Row],[v]],0)</f>
        <v>-14.715</v>
      </c>
      <c r="M1510">
        <f t="shared" si="256"/>
        <v>-9.81</v>
      </c>
      <c r="N1510">
        <f t="shared" si="257"/>
        <v>-0.19620000000000001</v>
      </c>
      <c r="O1510">
        <f t="shared" si="258"/>
        <v>-4.667974512088116</v>
      </c>
      <c r="P1510" s="1">
        <f t="shared" si="260"/>
        <v>52.336971990849527</v>
      </c>
      <c r="Q1510" s="1">
        <f t="shared" si="261"/>
        <v>-233.30062560440581</v>
      </c>
      <c r="R1510">
        <f>SQRT(Tabelle2[[#This Row],[vx]]*Tabelle2[[#This Row],[vx]]+Tabelle2[[#This Row],[vy]]*Tabelle2[[#This Row],[vy]])</f>
        <v>239.0990182844298</v>
      </c>
      <c r="S1510">
        <f t="shared" si="262"/>
        <v>1577.4363358041858</v>
      </c>
      <c r="T1510" s="1">
        <f t="shared" si="263"/>
        <v>-2574.1682929360836</v>
      </c>
    </row>
    <row r="1511" spans="6:20" x14ac:dyDescent="0.35">
      <c r="F1511" s="1">
        <f t="shared" si="259"/>
        <v>30.159999999999446</v>
      </c>
      <c r="G1511">
        <f>1/2*$B$8*$B$6*$B$7*(Tabelle2[[#This Row],[vx]]*Tabelle2[[#This Row],[vx]]+Tabelle2[[#This Row],[vy]]*Tabelle2[[#This Row],[vy]])/1000000</f>
        <v>101.28814813990223</v>
      </c>
      <c r="H1511">
        <f>IF($B$3,-Tabelle2[[#This Row],[Fd]]*Tabelle2[[#This Row],[vx]]/Tabelle2[[#This Row],[v]],0)</f>
        <v>0</v>
      </c>
      <c r="I1511">
        <f t="shared" si="253"/>
        <v>0</v>
      </c>
      <c r="J1511">
        <f t="shared" si="254"/>
        <v>0</v>
      </c>
      <c r="K1511">
        <f t="shared" si="255"/>
        <v>1.0467394398169905</v>
      </c>
      <c r="L1511">
        <f>-$B$5*$B$12-IF($B$3,Tabelle2[[#This Row],[Fd]]*Tabelle2[[#This Row],[vy]]/Tabelle2[[#This Row],[v]],0)</f>
        <v>-14.715</v>
      </c>
      <c r="M1511">
        <f t="shared" si="256"/>
        <v>-9.81</v>
      </c>
      <c r="N1511">
        <f t="shared" si="257"/>
        <v>-0.19620000000000001</v>
      </c>
      <c r="O1511">
        <f t="shared" si="258"/>
        <v>-4.6718985120881165</v>
      </c>
      <c r="P1511" s="1">
        <f t="shared" si="260"/>
        <v>52.336971990849527</v>
      </c>
      <c r="Q1511" s="1">
        <f t="shared" si="261"/>
        <v>-233.49682560440581</v>
      </c>
      <c r="R1511">
        <f>SQRT(Tabelle2[[#This Row],[vx]]*Tabelle2[[#This Row],[vx]]+Tabelle2[[#This Row],[vy]]*Tabelle2[[#This Row],[vy]])</f>
        <v>239.29046409020413</v>
      </c>
      <c r="S1511">
        <f t="shared" si="262"/>
        <v>1578.4830752440027</v>
      </c>
      <c r="T1511" s="1">
        <f t="shared" si="263"/>
        <v>-2578.8362674481718</v>
      </c>
    </row>
    <row r="1512" spans="6:20" x14ac:dyDescent="0.35">
      <c r="F1512" s="1">
        <f t="shared" si="259"/>
        <v>30.179999999999445</v>
      </c>
      <c r="G1512">
        <f>1/2*$B$8*$B$6*$B$7*(Tabelle2[[#This Row],[vx]]*Tabelle2[[#This Row],[vx]]+Tabelle2[[#This Row],[vy]]*Tabelle2[[#This Row],[vy]])/1000000</f>
        <v>101.45029190372962</v>
      </c>
      <c r="H1512">
        <f>IF($B$3,-Tabelle2[[#This Row],[Fd]]*Tabelle2[[#This Row],[vx]]/Tabelle2[[#This Row],[v]],0)</f>
        <v>0</v>
      </c>
      <c r="I1512">
        <f t="shared" si="253"/>
        <v>0</v>
      </c>
      <c r="J1512">
        <f t="shared" si="254"/>
        <v>0</v>
      </c>
      <c r="K1512">
        <f t="shared" si="255"/>
        <v>1.0467394398169905</v>
      </c>
      <c r="L1512">
        <f>-$B$5*$B$12-IF($B$3,Tabelle2[[#This Row],[Fd]]*Tabelle2[[#This Row],[vy]]/Tabelle2[[#This Row],[v]],0)</f>
        <v>-14.715</v>
      </c>
      <c r="M1512">
        <f t="shared" si="256"/>
        <v>-9.81</v>
      </c>
      <c r="N1512">
        <f t="shared" si="257"/>
        <v>-0.19620000000000001</v>
      </c>
      <c r="O1512">
        <f t="shared" si="258"/>
        <v>-4.6758225120881161</v>
      </c>
      <c r="P1512" s="1">
        <f t="shared" si="260"/>
        <v>52.336971990849527</v>
      </c>
      <c r="Q1512" s="1">
        <f t="shared" si="261"/>
        <v>-233.69302560440582</v>
      </c>
      <c r="R1512">
        <f>SQRT(Tabelle2[[#This Row],[vx]]*Tabelle2[[#This Row],[vx]]+Tabelle2[[#This Row],[vy]]*Tabelle2[[#This Row],[vy]])</f>
        <v>239.48191759152181</v>
      </c>
      <c r="S1512">
        <f t="shared" si="262"/>
        <v>1579.5298146838197</v>
      </c>
      <c r="T1512" s="1">
        <f t="shared" si="263"/>
        <v>-2583.5081659602602</v>
      </c>
    </row>
    <row r="1513" spans="6:20" x14ac:dyDescent="0.35">
      <c r="F1513" s="1">
        <f t="shared" si="259"/>
        <v>30.199999999999445</v>
      </c>
      <c r="G1513">
        <f>1/2*$B$8*$B$6*$B$7*(Tabelle2[[#This Row],[vx]]*Tabelle2[[#This Row],[vx]]+Tabelle2[[#This Row],[vy]]*Tabelle2[[#This Row],[vy]])/1000000</f>
        <v>101.61257185461834</v>
      </c>
      <c r="H1513">
        <f>IF($B$3,-Tabelle2[[#This Row],[Fd]]*Tabelle2[[#This Row],[vx]]/Tabelle2[[#This Row],[v]],0)</f>
        <v>0</v>
      </c>
      <c r="I1513">
        <f t="shared" si="253"/>
        <v>0</v>
      </c>
      <c r="J1513">
        <f t="shared" si="254"/>
        <v>0</v>
      </c>
      <c r="K1513">
        <f t="shared" si="255"/>
        <v>1.0467394398169905</v>
      </c>
      <c r="L1513">
        <f>-$B$5*$B$12-IF($B$3,Tabelle2[[#This Row],[Fd]]*Tabelle2[[#This Row],[vy]]/Tabelle2[[#This Row],[v]],0)</f>
        <v>-14.715</v>
      </c>
      <c r="M1513">
        <f t="shared" si="256"/>
        <v>-9.81</v>
      </c>
      <c r="N1513">
        <f t="shared" si="257"/>
        <v>-0.19620000000000001</v>
      </c>
      <c r="O1513">
        <f t="shared" si="258"/>
        <v>-4.6797465120881165</v>
      </c>
      <c r="P1513" s="1">
        <f t="shared" si="260"/>
        <v>52.336971990849527</v>
      </c>
      <c r="Q1513" s="1">
        <f t="shared" si="261"/>
        <v>-233.88922560440582</v>
      </c>
      <c r="R1513">
        <f>SQRT(Tabelle2[[#This Row],[vx]]*Tabelle2[[#This Row],[vx]]+Tabelle2[[#This Row],[vy]]*Tabelle2[[#This Row],[vy]])</f>
        <v>239.67337876994102</v>
      </c>
      <c r="S1513">
        <f t="shared" si="262"/>
        <v>1580.5765541236367</v>
      </c>
      <c r="T1513" s="1">
        <f t="shared" si="263"/>
        <v>-2588.1839884723481</v>
      </c>
    </row>
    <row r="1514" spans="6:20" x14ac:dyDescent="0.35">
      <c r="F1514" s="1">
        <f t="shared" si="259"/>
        <v>30.219999999999445</v>
      </c>
      <c r="G1514">
        <f>1/2*$B$8*$B$6*$B$7*(Tabelle2[[#This Row],[vx]]*Tabelle2[[#This Row],[vx]]+Tabelle2[[#This Row],[vy]]*Tabelle2[[#This Row],[vy]])/1000000</f>
        <v>101.77498799256841</v>
      </c>
      <c r="H1514">
        <f>IF($B$3,-Tabelle2[[#This Row],[Fd]]*Tabelle2[[#This Row],[vx]]/Tabelle2[[#This Row],[v]],0)</f>
        <v>0</v>
      </c>
      <c r="I1514">
        <f t="shared" si="253"/>
        <v>0</v>
      </c>
      <c r="J1514">
        <f t="shared" si="254"/>
        <v>0</v>
      </c>
      <c r="K1514">
        <f t="shared" si="255"/>
        <v>1.0467394398169905</v>
      </c>
      <c r="L1514">
        <f>-$B$5*$B$12-IF($B$3,Tabelle2[[#This Row],[Fd]]*Tabelle2[[#This Row],[vy]]/Tabelle2[[#This Row],[v]],0)</f>
        <v>-14.715</v>
      </c>
      <c r="M1514">
        <f t="shared" si="256"/>
        <v>-9.81</v>
      </c>
      <c r="N1514">
        <f t="shared" si="257"/>
        <v>-0.19620000000000001</v>
      </c>
      <c r="O1514">
        <f t="shared" si="258"/>
        <v>-4.6836705120881161</v>
      </c>
      <c r="P1514" s="1">
        <f t="shared" si="260"/>
        <v>52.336971990849527</v>
      </c>
      <c r="Q1514" s="1">
        <f t="shared" si="261"/>
        <v>-234.08542560440583</v>
      </c>
      <c r="R1514">
        <f>SQRT(Tabelle2[[#This Row],[vx]]*Tabelle2[[#This Row],[vx]]+Tabelle2[[#This Row],[vy]]*Tabelle2[[#This Row],[vy]])</f>
        <v>239.86484760707808</v>
      </c>
      <c r="S1514">
        <f t="shared" si="262"/>
        <v>1581.6232935634537</v>
      </c>
      <c r="T1514" s="1">
        <f t="shared" si="263"/>
        <v>-2592.8637349844362</v>
      </c>
    </row>
    <row r="1515" spans="6:20" x14ac:dyDescent="0.35">
      <c r="F1515" s="1">
        <f t="shared" si="259"/>
        <v>30.239999999999444</v>
      </c>
      <c r="G1515">
        <f>1/2*$B$8*$B$6*$B$7*(Tabelle2[[#This Row],[vx]]*Tabelle2[[#This Row],[vx]]+Tabelle2[[#This Row],[vy]]*Tabelle2[[#This Row],[vy]])/1000000</f>
        <v>101.93754031757982</v>
      </c>
      <c r="H1515">
        <f>IF($B$3,-Tabelle2[[#This Row],[Fd]]*Tabelle2[[#This Row],[vx]]/Tabelle2[[#This Row],[v]],0)</f>
        <v>0</v>
      </c>
      <c r="I1515">
        <f t="shared" si="253"/>
        <v>0</v>
      </c>
      <c r="J1515">
        <f t="shared" si="254"/>
        <v>0</v>
      </c>
      <c r="K1515">
        <f t="shared" si="255"/>
        <v>1.0467394398169905</v>
      </c>
      <c r="L1515">
        <f>-$B$5*$B$12-IF($B$3,Tabelle2[[#This Row],[Fd]]*Tabelle2[[#This Row],[vy]]/Tabelle2[[#This Row],[v]],0)</f>
        <v>-14.715</v>
      </c>
      <c r="M1515">
        <f t="shared" si="256"/>
        <v>-9.81</v>
      </c>
      <c r="N1515">
        <f t="shared" si="257"/>
        <v>-0.19620000000000001</v>
      </c>
      <c r="O1515">
        <f t="shared" si="258"/>
        <v>-4.6875945120881166</v>
      </c>
      <c r="P1515" s="1">
        <f t="shared" si="260"/>
        <v>52.336971990849527</v>
      </c>
      <c r="Q1515" s="1">
        <f t="shared" si="261"/>
        <v>-234.28162560440583</v>
      </c>
      <c r="R1515">
        <f>SQRT(Tabelle2[[#This Row],[vx]]*Tabelle2[[#This Row],[vx]]+Tabelle2[[#This Row],[vy]]*Tabelle2[[#This Row],[vy]])</f>
        <v>240.05632408460718</v>
      </c>
      <c r="S1515">
        <f t="shared" si="262"/>
        <v>1582.6700330032706</v>
      </c>
      <c r="T1515" s="1">
        <f t="shared" si="263"/>
        <v>-2597.5474054965243</v>
      </c>
    </row>
    <row r="1516" spans="6:20" x14ac:dyDescent="0.35">
      <c r="F1516" s="1">
        <f t="shared" si="259"/>
        <v>30.259999999999444</v>
      </c>
      <c r="G1516">
        <f>1/2*$B$8*$B$6*$B$7*(Tabelle2[[#This Row],[vx]]*Tabelle2[[#This Row],[vx]]+Tabelle2[[#This Row],[vy]]*Tabelle2[[#This Row],[vy]])/1000000</f>
        <v>102.10022882965258</v>
      </c>
      <c r="H1516">
        <f>IF($B$3,-Tabelle2[[#This Row],[Fd]]*Tabelle2[[#This Row],[vx]]/Tabelle2[[#This Row],[v]],0)</f>
        <v>0</v>
      </c>
      <c r="I1516">
        <f t="shared" si="253"/>
        <v>0</v>
      </c>
      <c r="J1516">
        <f t="shared" si="254"/>
        <v>0</v>
      </c>
      <c r="K1516">
        <f t="shared" si="255"/>
        <v>1.0467394398169905</v>
      </c>
      <c r="L1516">
        <f>-$B$5*$B$12-IF($B$3,Tabelle2[[#This Row],[Fd]]*Tabelle2[[#This Row],[vy]]/Tabelle2[[#This Row],[v]],0)</f>
        <v>-14.715</v>
      </c>
      <c r="M1516">
        <f t="shared" si="256"/>
        <v>-9.81</v>
      </c>
      <c r="N1516">
        <f t="shared" si="257"/>
        <v>-0.19620000000000001</v>
      </c>
      <c r="O1516">
        <f t="shared" si="258"/>
        <v>-4.6915185120881162</v>
      </c>
      <c r="P1516" s="1">
        <f t="shared" si="260"/>
        <v>52.336971990849527</v>
      </c>
      <c r="Q1516" s="1">
        <f t="shared" si="261"/>
        <v>-234.47782560440584</v>
      </c>
      <c r="R1516">
        <f>SQRT(Tabelle2[[#This Row],[vx]]*Tabelle2[[#This Row],[vx]]+Tabelle2[[#This Row],[vy]]*Tabelle2[[#This Row],[vy]])</f>
        <v>240.24780818426029</v>
      </c>
      <c r="S1516">
        <f t="shared" si="262"/>
        <v>1583.7167724430876</v>
      </c>
      <c r="T1516" s="1">
        <f t="shared" si="263"/>
        <v>-2602.2350000086126</v>
      </c>
    </row>
    <row r="1517" spans="6:20" x14ac:dyDescent="0.35">
      <c r="F1517" s="1">
        <f t="shared" si="259"/>
        <v>30.279999999999443</v>
      </c>
      <c r="G1517">
        <f>1/2*$B$8*$B$6*$B$7*(Tabelle2[[#This Row],[vx]]*Tabelle2[[#This Row],[vx]]+Tabelle2[[#This Row],[vy]]*Tabelle2[[#This Row],[vy]])/1000000</f>
        <v>102.26305352878668</v>
      </c>
      <c r="H1517">
        <f>IF($B$3,-Tabelle2[[#This Row],[Fd]]*Tabelle2[[#This Row],[vx]]/Tabelle2[[#This Row],[v]],0)</f>
        <v>0</v>
      </c>
      <c r="I1517">
        <f t="shared" si="253"/>
        <v>0</v>
      </c>
      <c r="J1517">
        <f t="shared" si="254"/>
        <v>0</v>
      </c>
      <c r="K1517">
        <f t="shared" si="255"/>
        <v>1.0467394398169905</v>
      </c>
      <c r="L1517">
        <f>-$B$5*$B$12-IF($B$3,Tabelle2[[#This Row],[Fd]]*Tabelle2[[#This Row],[vy]]/Tabelle2[[#This Row],[v]],0)</f>
        <v>-14.715</v>
      </c>
      <c r="M1517">
        <f t="shared" si="256"/>
        <v>-9.81</v>
      </c>
      <c r="N1517">
        <f t="shared" si="257"/>
        <v>-0.19620000000000001</v>
      </c>
      <c r="O1517">
        <f t="shared" si="258"/>
        <v>-4.6954425120881167</v>
      </c>
      <c r="P1517" s="1">
        <f t="shared" si="260"/>
        <v>52.336971990849527</v>
      </c>
      <c r="Q1517" s="1">
        <f t="shared" si="261"/>
        <v>-234.67402560440584</v>
      </c>
      <c r="R1517">
        <f>SQRT(Tabelle2[[#This Row],[vx]]*Tabelle2[[#This Row],[vx]]+Tabelle2[[#This Row],[vy]]*Tabelle2[[#This Row],[vy]])</f>
        <v>240.43929988782679</v>
      </c>
      <c r="S1517">
        <f t="shared" si="262"/>
        <v>1584.7635118829046</v>
      </c>
      <c r="T1517" s="1">
        <f t="shared" si="263"/>
        <v>-2606.9265185207005</v>
      </c>
    </row>
    <row r="1518" spans="6:20" x14ac:dyDescent="0.35">
      <c r="F1518" s="1">
        <f t="shared" si="259"/>
        <v>30.299999999999443</v>
      </c>
      <c r="G1518">
        <f>1/2*$B$8*$B$6*$B$7*(Tabelle2[[#This Row],[vx]]*Tabelle2[[#This Row],[vx]]+Tabelle2[[#This Row],[vy]]*Tabelle2[[#This Row],[vy]])/1000000</f>
        <v>102.42601441498212</v>
      </c>
      <c r="H1518">
        <f>IF($B$3,-Tabelle2[[#This Row],[Fd]]*Tabelle2[[#This Row],[vx]]/Tabelle2[[#This Row],[v]],0)</f>
        <v>0</v>
      </c>
      <c r="I1518">
        <f t="shared" si="253"/>
        <v>0</v>
      </c>
      <c r="J1518">
        <f t="shared" si="254"/>
        <v>0</v>
      </c>
      <c r="K1518">
        <f t="shared" si="255"/>
        <v>1.0467394398169905</v>
      </c>
      <c r="L1518">
        <f>-$B$5*$B$12-IF($B$3,Tabelle2[[#This Row],[Fd]]*Tabelle2[[#This Row],[vy]]/Tabelle2[[#This Row],[v]],0)</f>
        <v>-14.715</v>
      </c>
      <c r="M1518">
        <f t="shared" si="256"/>
        <v>-9.81</v>
      </c>
      <c r="N1518">
        <f t="shared" si="257"/>
        <v>-0.19620000000000001</v>
      </c>
      <c r="O1518">
        <f t="shared" si="258"/>
        <v>-4.6993665120881172</v>
      </c>
      <c r="P1518" s="1">
        <f t="shared" si="260"/>
        <v>52.336971990849527</v>
      </c>
      <c r="Q1518" s="1">
        <f t="shared" si="261"/>
        <v>-234.87022560440585</v>
      </c>
      <c r="R1518">
        <f>SQRT(Tabelle2[[#This Row],[vx]]*Tabelle2[[#This Row],[vx]]+Tabelle2[[#This Row],[vy]]*Tabelle2[[#This Row],[vy]])</f>
        <v>240.63079917715328</v>
      </c>
      <c r="S1518">
        <f t="shared" si="262"/>
        <v>1585.8102513227216</v>
      </c>
      <c r="T1518" s="1">
        <f t="shared" si="263"/>
        <v>-2611.6219610327885</v>
      </c>
    </row>
    <row r="1519" spans="6:20" x14ac:dyDescent="0.35">
      <c r="F1519" s="1">
        <f t="shared" si="259"/>
        <v>30.319999999999443</v>
      </c>
      <c r="G1519">
        <f>1/2*$B$8*$B$6*$B$7*(Tabelle2[[#This Row],[vx]]*Tabelle2[[#This Row],[vx]]+Tabelle2[[#This Row],[vy]]*Tabelle2[[#This Row],[vy]])/1000000</f>
        <v>102.58911148823891</v>
      </c>
      <c r="H1519">
        <f>IF($B$3,-Tabelle2[[#This Row],[Fd]]*Tabelle2[[#This Row],[vx]]/Tabelle2[[#This Row],[v]],0)</f>
        <v>0</v>
      </c>
      <c r="I1519">
        <f t="shared" si="253"/>
        <v>0</v>
      </c>
      <c r="J1519">
        <f t="shared" si="254"/>
        <v>0</v>
      </c>
      <c r="K1519">
        <f t="shared" si="255"/>
        <v>1.0467394398169905</v>
      </c>
      <c r="L1519">
        <f>-$B$5*$B$12-IF($B$3,Tabelle2[[#This Row],[Fd]]*Tabelle2[[#This Row],[vy]]/Tabelle2[[#This Row],[v]],0)</f>
        <v>-14.715</v>
      </c>
      <c r="M1519">
        <f t="shared" si="256"/>
        <v>-9.81</v>
      </c>
      <c r="N1519">
        <f t="shared" si="257"/>
        <v>-0.19620000000000001</v>
      </c>
      <c r="O1519">
        <f t="shared" si="258"/>
        <v>-4.7032905120881168</v>
      </c>
      <c r="P1519" s="1">
        <f t="shared" si="260"/>
        <v>52.336971990849527</v>
      </c>
      <c r="Q1519" s="1">
        <f t="shared" si="261"/>
        <v>-235.06642560440585</v>
      </c>
      <c r="R1519">
        <f>SQRT(Tabelle2[[#This Row],[vx]]*Tabelle2[[#This Row],[vx]]+Tabelle2[[#This Row],[vy]]*Tabelle2[[#This Row],[vy]])</f>
        <v>240.82230603414345</v>
      </c>
      <c r="S1519">
        <f t="shared" si="262"/>
        <v>1586.8569907625385</v>
      </c>
      <c r="T1519" s="1">
        <f t="shared" si="263"/>
        <v>-2616.3213275448766</v>
      </c>
    </row>
    <row r="1520" spans="6:20" x14ac:dyDescent="0.35">
      <c r="F1520" s="1">
        <f t="shared" si="259"/>
        <v>30.339999999999442</v>
      </c>
      <c r="G1520">
        <f>1/2*$B$8*$B$6*$B$7*(Tabelle2[[#This Row],[vx]]*Tabelle2[[#This Row],[vx]]+Tabelle2[[#This Row],[vy]]*Tabelle2[[#This Row],[vy]])/1000000</f>
        <v>102.75234474855705</v>
      </c>
      <c r="H1520">
        <f>IF($B$3,-Tabelle2[[#This Row],[Fd]]*Tabelle2[[#This Row],[vx]]/Tabelle2[[#This Row],[v]],0)</f>
        <v>0</v>
      </c>
      <c r="I1520">
        <f t="shared" si="253"/>
        <v>0</v>
      </c>
      <c r="J1520">
        <f t="shared" si="254"/>
        <v>0</v>
      </c>
      <c r="K1520">
        <f t="shared" si="255"/>
        <v>1.0467394398169905</v>
      </c>
      <c r="L1520">
        <f>-$B$5*$B$12-IF($B$3,Tabelle2[[#This Row],[Fd]]*Tabelle2[[#This Row],[vy]]/Tabelle2[[#This Row],[v]],0)</f>
        <v>-14.715</v>
      </c>
      <c r="M1520">
        <f t="shared" si="256"/>
        <v>-9.81</v>
      </c>
      <c r="N1520">
        <f t="shared" si="257"/>
        <v>-0.19620000000000001</v>
      </c>
      <c r="O1520">
        <f t="shared" si="258"/>
        <v>-4.7072145120881173</v>
      </c>
      <c r="P1520" s="1">
        <f t="shared" si="260"/>
        <v>52.336971990849527</v>
      </c>
      <c r="Q1520" s="1">
        <f t="shared" si="261"/>
        <v>-235.26262560440586</v>
      </c>
      <c r="R1520">
        <f>SQRT(Tabelle2[[#This Row],[vx]]*Tabelle2[[#This Row],[vx]]+Tabelle2[[#This Row],[vy]]*Tabelle2[[#This Row],[vy]])</f>
        <v>241.01382044075774</v>
      </c>
      <c r="S1520">
        <f t="shared" si="262"/>
        <v>1587.9037302023555</v>
      </c>
      <c r="T1520" s="1">
        <f t="shared" si="263"/>
        <v>-2621.0246180569648</v>
      </c>
    </row>
    <row r="1521" spans="6:20" x14ac:dyDescent="0.35">
      <c r="F1521" s="1">
        <f t="shared" si="259"/>
        <v>30.359999999999442</v>
      </c>
      <c r="G1521">
        <f>1/2*$B$8*$B$6*$B$7*(Tabelle2[[#This Row],[vx]]*Tabelle2[[#This Row],[vx]]+Tabelle2[[#This Row],[vy]]*Tabelle2[[#This Row],[vy]])/1000000</f>
        <v>102.91571419593652</v>
      </c>
      <c r="H1521">
        <f>IF($B$3,-Tabelle2[[#This Row],[Fd]]*Tabelle2[[#This Row],[vx]]/Tabelle2[[#This Row],[v]],0)</f>
        <v>0</v>
      </c>
      <c r="I1521">
        <f t="shared" si="253"/>
        <v>0</v>
      </c>
      <c r="J1521">
        <f t="shared" si="254"/>
        <v>0</v>
      </c>
      <c r="K1521">
        <f t="shared" si="255"/>
        <v>1.0467394398169905</v>
      </c>
      <c r="L1521">
        <f>-$B$5*$B$12-IF($B$3,Tabelle2[[#This Row],[Fd]]*Tabelle2[[#This Row],[vy]]/Tabelle2[[#This Row],[v]],0)</f>
        <v>-14.715</v>
      </c>
      <c r="M1521">
        <f t="shared" si="256"/>
        <v>-9.81</v>
      </c>
      <c r="N1521">
        <f t="shared" si="257"/>
        <v>-0.19620000000000001</v>
      </c>
      <c r="O1521">
        <f t="shared" si="258"/>
        <v>-4.7111385120881168</v>
      </c>
      <c r="P1521" s="1">
        <f t="shared" si="260"/>
        <v>52.336971990849527</v>
      </c>
      <c r="Q1521" s="1">
        <f t="shared" si="261"/>
        <v>-235.45882560440586</v>
      </c>
      <c r="R1521">
        <f>SQRT(Tabelle2[[#This Row],[vx]]*Tabelle2[[#This Row],[vx]]+Tabelle2[[#This Row],[vy]]*Tabelle2[[#This Row],[vy]])</f>
        <v>241.20534237901319</v>
      </c>
      <c r="S1521">
        <f t="shared" si="262"/>
        <v>1588.9504696421725</v>
      </c>
      <c r="T1521" s="1">
        <f t="shared" si="263"/>
        <v>-2625.731832569053</v>
      </c>
    </row>
    <row r="1522" spans="6:20" x14ac:dyDescent="0.35">
      <c r="F1522" s="1">
        <f t="shared" si="259"/>
        <v>30.379999999999441</v>
      </c>
      <c r="G1522">
        <f>1/2*$B$8*$B$6*$B$7*(Tabelle2[[#This Row],[vx]]*Tabelle2[[#This Row],[vx]]+Tabelle2[[#This Row],[vy]]*Tabelle2[[#This Row],[vy]])/1000000</f>
        <v>103.07921983037734</v>
      </c>
      <c r="H1522">
        <f>IF($B$3,-Tabelle2[[#This Row],[Fd]]*Tabelle2[[#This Row],[vx]]/Tabelle2[[#This Row],[v]],0)</f>
        <v>0</v>
      </c>
      <c r="I1522">
        <f t="shared" si="253"/>
        <v>0</v>
      </c>
      <c r="J1522">
        <f t="shared" si="254"/>
        <v>0</v>
      </c>
      <c r="K1522">
        <f t="shared" si="255"/>
        <v>1.0467394398169905</v>
      </c>
      <c r="L1522">
        <f>-$B$5*$B$12-IF($B$3,Tabelle2[[#This Row],[Fd]]*Tabelle2[[#This Row],[vy]]/Tabelle2[[#This Row],[v]],0)</f>
        <v>-14.715</v>
      </c>
      <c r="M1522">
        <f t="shared" si="256"/>
        <v>-9.81</v>
      </c>
      <c r="N1522">
        <f t="shared" si="257"/>
        <v>-0.19620000000000001</v>
      </c>
      <c r="O1522">
        <f t="shared" si="258"/>
        <v>-4.7150625120881173</v>
      </c>
      <c r="P1522" s="1">
        <f t="shared" si="260"/>
        <v>52.336971990849527</v>
      </c>
      <c r="Q1522" s="1">
        <f t="shared" si="261"/>
        <v>-235.65502560440586</v>
      </c>
      <c r="R1522">
        <f>SQRT(Tabelle2[[#This Row],[vx]]*Tabelle2[[#This Row],[vx]]+Tabelle2[[#This Row],[vy]]*Tabelle2[[#This Row],[vy]])</f>
        <v>241.39687183098326</v>
      </c>
      <c r="S1522">
        <f t="shared" si="262"/>
        <v>1589.9972090819895</v>
      </c>
      <c r="T1522" s="1">
        <f t="shared" si="263"/>
        <v>-2630.442971081141</v>
      </c>
    </row>
    <row r="1523" spans="6:20" x14ac:dyDescent="0.35">
      <c r="F1523" s="1">
        <f t="shared" si="259"/>
        <v>30.399999999999441</v>
      </c>
      <c r="G1523">
        <f>1/2*$B$8*$B$6*$B$7*(Tabelle2[[#This Row],[vx]]*Tabelle2[[#This Row],[vx]]+Tabelle2[[#This Row],[vy]]*Tabelle2[[#This Row],[vy]])/1000000</f>
        <v>103.24286165187951</v>
      </c>
      <c r="H1523">
        <f>IF($B$3,-Tabelle2[[#This Row],[Fd]]*Tabelle2[[#This Row],[vx]]/Tabelle2[[#This Row],[v]],0)</f>
        <v>0</v>
      </c>
      <c r="I1523">
        <f t="shared" si="253"/>
        <v>0</v>
      </c>
      <c r="J1523">
        <f t="shared" si="254"/>
        <v>0</v>
      </c>
      <c r="K1523">
        <f t="shared" si="255"/>
        <v>1.0467394398169905</v>
      </c>
      <c r="L1523">
        <f>-$B$5*$B$12-IF($B$3,Tabelle2[[#This Row],[Fd]]*Tabelle2[[#This Row],[vy]]/Tabelle2[[#This Row],[v]],0)</f>
        <v>-14.715</v>
      </c>
      <c r="M1523">
        <f t="shared" si="256"/>
        <v>-9.81</v>
      </c>
      <c r="N1523">
        <f t="shared" si="257"/>
        <v>-0.19620000000000001</v>
      </c>
      <c r="O1523">
        <f t="shared" si="258"/>
        <v>-4.7189865120881169</v>
      </c>
      <c r="P1523" s="1">
        <f t="shared" si="260"/>
        <v>52.336971990849527</v>
      </c>
      <c r="Q1523" s="1">
        <f t="shared" si="261"/>
        <v>-235.85122560440587</v>
      </c>
      <c r="R1523">
        <f>SQRT(Tabelle2[[#This Row],[vx]]*Tabelle2[[#This Row],[vx]]+Tabelle2[[#This Row],[vy]]*Tabelle2[[#This Row],[vy]])</f>
        <v>241.58840877879743</v>
      </c>
      <c r="S1523">
        <f t="shared" si="262"/>
        <v>1591.0439485218064</v>
      </c>
      <c r="T1523" s="1">
        <f t="shared" si="263"/>
        <v>-2635.158033593229</v>
      </c>
    </row>
    <row r="1524" spans="6:20" x14ac:dyDescent="0.35">
      <c r="F1524" s="1">
        <f t="shared" si="259"/>
        <v>30.41999999999944</v>
      </c>
      <c r="G1524">
        <f>1/2*$B$8*$B$6*$B$7*(Tabelle2[[#This Row],[vx]]*Tabelle2[[#This Row],[vx]]+Tabelle2[[#This Row],[vy]]*Tabelle2[[#This Row],[vy]])/1000000</f>
        <v>103.40663966044302</v>
      </c>
      <c r="H1524">
        <f>IF($B$3,-Tabelle2[[#This Row],[Fd]]*Tabelle2[[#This Row],[vx]]/Tabelle2[[#This Row],[v]],0)</f>
        <v>0</v>
      </c>
      <c r="I1524">
        <f t="shared" si="253"/>
        <v>0</v>
      </c>
      <c r="J1524">
        <f t="shared" si="254"/>
        <v>0</v>
      </c>
      <c r="K1524">
        <f t="shared" si="255"/>
        <v>1.0467394398169905</v>
      </c>
      <c r="L1524">
        <f>-$B$5*$B$12-IF($B$3,Tabelle2[[#This Row],[Fd]]*Tabelle2[[#This Row],[vy]]/Tabelle2[[#This Row],[v]],0)</f>
        <v>-14.715</v>
      </c>
      <c r="M1524">
        <f t="shared" si="256"/>
        <v>-9.81</v>
      </c>
      <c r="N1524">
        <f t="shared" si="257"/>
        <v>-0.19620000000000001</v>
      </c>
      <c r="O1524">
        <f t="shared" si="258"/>
        <v>-4.7229105120881174</v>
      </c>
      <c r="P1524" s="1">
        <f t="shared" si="260"/>
        <v>52.336971990849527</v>
      </c>
      <c r="Q1524" s="1">
        <f t="shared" si="261"/>
        <v>-236.04742560440587</v>
      </c>
      <c r="R1524">
        <f>SQRT(Tabelle2[[#This Row],[vx]]*Tabelle2[[#This Row],[vx]]+Tabelle2[[#This Row],[vy]]*Tabelle2[[#This Row],[vy]])</f>
        <v>241.77995320464123</v>
      </c>
      <c r="S1524">
        <f t="shared" si="262"/>
        <v>1592.0906879616234</v>
      </c>
      <c r="T1524" s="1">
        <f t="shared" si="263"/>
        <v>-2639.8770201053171</v>
      </c>
    </row>
    <row r="1525" spans="6:20" x14ac:dyDescent="0.35">
      <c r="F1525" s="1">
        <f t="shared" si="259"/>
        <v>30.43999999999944</v>
      </c>
      <c r="G1525">
        <f>1/2*$B$8*$B$6*$B$7*(Tabelle2[[#This Row],[vx]]*Tabelle2[[#This Row],[vx]]+Tabelle2[[#This Row],[vy]]*Tabelle2[[#This Row],[vy]])/1000000</f>
        <v>103.57055385606787</v>
      </c>
      <c r="H1525">
        <f>IF($B$3,-Tabelle2[[#This Row],[Fd]]*Tabelle2[[#This Row],[vx]]/Tabelle2[[#This Row],[v]],0)</f>
        <v>0</v>
      </c>
      <c r="I1525">
        <f t="shared" si="253"/>
        <v>0</v>
      </c>
      <c r="J1525">
        <f t="shared" si="254"/>
        <v>0</v>
      </c>
      <c r="K1525">
        <f t="shared" si="255"/>
        <v>1.0467394398169905</v>
      </c>
      <c r="L1525">
        <f>-$B$5*$B$12-IF($B$3,Tabelle2[[#This Row],[Fd]]*Tabelle2[[#This Row],[vy]]/Tabelle2[[#This Row],[v]],0)</f>
        <v>-14.715</v>
      </c>
      <c r="M1525">
        <f t="shared" si="256"/>
        <v>-9.81</v>
      </c>
      <c r="N1525">
        <f t="shared" si="257"/>
        <v>-0.19620000000000001</v>
      </c>
      <c r="O1525">
        <f t="shared" si="258"/>
        <v>-4.726834512088117</v>
      </c>
      <c r="P1525" s="1">
        <f t="shared" si="260"/>
        <v>52.336971990849527</v>
      </c>
      <c r="Q1525" s="1">
        <f t="shared" si="261"/>
        <v>-236.24362560440588</v>
      </c>
      <c r="R1525">
        <f>SQRT(Tabelle2[[#This Row],[vx]]*Tabelle2[[#This Row],[vx]]+Tabelle2[[#This Row],[vy]]*Tabelle2[[#This Row],[vy]])</f>
        <v>241.97150509075581</v>
      </c>
      <c r="S1525">
        <f t="shared" si="262"/>
        <v>1593.1374274014404</v>
      </c>
      <c r="T1525" s="1">
        <f t="shared" si="263"/>
        <v>-2644.5999306174053</v>
      </c>
    </row>
    <row r="1526" spans="6:20" x14ac:dyDescent="0.35">
      <c r="F1526" s="1">
        <f t="shared" si="259"/>
        <v>30.45999999999944</v>
      </c>
      <c r="G1526">
        <f>1/2*$B$8*$B$6*$B$7*(Tabelle2[[#This Row],[vx]]*Tabelle2[[#This Row],[vx]]+Tabelle2[[#This Row],[vy]]*Tabelle2[[#This Row],[vy]])/1000000</f>
        <v>103.73460423875407</v>
      </c>
      <c r="H1526">
        <f>IF($B$3,-Tabelle2[[#This Row],[Fd]]*Tabelle2[[#This Row],[vx]]/Tabelle2[[#This Row],[v]],0)</f>
        <v>0</v>
      </c>
      <c r="I1526">
        <f t="shared" si="253"/>
        <v>0</v>
      </c>
      <c r="J1526">
        <f t="shared" si="254"/>
        <v>0</v>
      </c>
      <c r="K1526">
        <f t="shared" si="255"/>
        <v>1.0467394398169905</v>
      </c>
      <c r="L1526">
        <f>-$B$5*$B$12-IF($B$3,Tabelle2[[#This Row],[Fd]]*Tabelle2[[#This Row],[vy]]/Tabelle2[[#This Row],[v]],0)</f>
        <v>-14.715</v>
      </c>
      <c r="M1526">
        <f t="shared" si="256"/>
        <v>-9.81</v>
      </c>
      <c r="N1526">
        <f t="shared" si="257"/>
        <v>-0.19620000000000001</v>
      </c>
      <c r="O1526">
        <f t="shared" si="258"/>
        <v>-4.7307585120881175</v>
      </c>
      <c r="P1526" s="1">
        <f t="shared" si="260"/>
        <v>52.336971990849527</v>
      </c>
      <c r="Q1526" s="1">
        <f t="shared" si="261"/>
        <v>-236.43982560440588</v>
      </c>
      <c r="R1526">
        <f>SQRT(Tabelle2[[#This Row],[vx]]*Tabelle2[[#This Row],[vx]]+Tabelle2[[#This Row],[vy]]*Tabelle2[[#This Row],[vy]])</f>
        <v>242.16306441943792</v>
      </c>
      <c r="S1526">
        <f t="shared" si="262"/>
        <v>1594.1841668412574</v>
      </c>
      <c r="T1526" s="1">
        <f t="shared" si="263"/>
        <v>-2649.3267651294937</v>
      </c>
    </row>
    <row r="1527" spans="6:20" x14ac:dyDescent="0.35">
      <c r="F1527" s="1">
        <f t="shared" si="259"/>
        <v>30.479999999999439</v>
      </c>
      <c r="G1527">
        <f>1/2*$B$8*$B$6*$B$7*(Tabelle2[[#This Row],[vx]]*Tabelle2[[#This Row],[vx]]+Tabelle2[[#This Row],[vy]]*Tabelle2[[#This Row],[vy]])/1000000</f>
        <v>103.8987908085016</v>
      </c>
      <c r="H1527">
        <f>IF($B$3,-Tabelle2[[#This Row],[Fd]]*Tabelle2[[#This Row],[vx]]/Tabelle2[[#This Row],[v]],0)</f>
        <v>0</v>
      </c>
      <c r="I1527">
        <f t="shared" si="253"/>
        <v>0</v>
      </c>
      <c r="J1527">
        <f t="shared" si="254"/>
        <v>0</v>
      </c>
      <c r="K1527">
        <f t="shared" si="255"/>
        <v>1.0467394398169905</v>
      </c>
      <c r="L1527">
        <f>-$B$5*$B$12-IF($B$3,Tabelle2[[#This Row],[Fd]]*Tabelle2[[#This Row],[vy]]/Tabelle2[[#This Row],[v]],0)</f>
        <v>-14.715</v>
      </c>
      <c r="M1527">
        <f t="shared" si="256"/>
        <v>-9.81</v>
      </c>
      <c r="N1527">
        <f t="shared" si="257"/>
        <v>-0.19620000000000001</v>
      </c>
      <c r="O1527">
        <f t="shared" si="258"/>
        <v>-4.734682512088118</v>
      </c>
      <c r="P1527" s="1">
        <f t="shared" si="260"/>
        <v>52.336971990849527</v>
      </c>
      <c r="Q1527" s="1">
        <f t="shared" si="261"/>
        <v>-236.63602560440589</v>
      </c>
      <c r="R1527">
        <f>SQRT(Tabelle2[[#This Row],[vx]]*Tabelle2[[#This Row],[vx]]+Tabelle2[[#This Row],[vy]]*Tabelle2[[#This Row],[vy]])</f>
        <v>242.35463117303951</v>
      </c>
      <c r="S1527">
        <f t="shared" si="262"/>
        <v>1595.2309062810743</v>
      </c>
      <c r="T1527" s="1">
        <f t="shared" si="263"/>
        <v>-2654.0575236415816</v>
      </c>
    </row>
    <row r="1528" spans="6:20" x14ac:dyDescent="0.35">
      <c r="F1528" s="1">
        <f t="shared" si="259"/>
        <v>30.499999999999439</v>
      </c>
      <c r="G1528">
        <f>1/2*$B$8*$B$6*$B$7*(Tabelle2[[#This Row],[vx]]*Tabelle2[[#This Row],[vx]]+Tabelle2[[#This Row],[vy]]*Tabelle2[[#This Row],[vy]])/1000000</f>
        <v>104.06311356531049</v>
      </c>
      <c r="H1528">
        <f>IF($B$3,-Tabelle2[[#This Row],[Fd]]*Tabelle2[[#This Row],[vx]]/Tabelle2[[#This Row],[v]],0)</f>
        <v>0</v>
      </c>
      <c r="I1528">
        <f t="shared" si="253"/>
        <v>0</v>
      </c>
      <c r="J1528">
        <f t="shared" si="254"/>
        <v>0</v>
      </c>
      <c r="K1528">
        <f t="shared" si="255"/>
        <v>1.0467394398169905</v>
      </c>
      <c r="L1528">
        <f>-$B$5*$B$12-IF($B$3,Tabelle2[[#This Row],[Fd]]*Tabelle2[[#This Row],[vy]]/Tabelle2[[#This Row],[v]],0)</f>
        <v>-14.715</v>
      </c>
      <c r="M1528">
        <f t="shared" si="256"/>
        <v>-9.81</v>
      </c>
      <c r="N1528">
        <f t="shared" si="257"/>
        <v>-0.19620000000000001</v>
      </c>
      <c r="O1528">
        <f t="shared" si="258"/>
        <v>-4.7386065120881176</v>
      </c>
      <c r="P1528" s="1">
        <f t="shared" si="260"/>
        <v>52.336971990849527</v>
      </c>
      <c r="Q1528" s="1">
        <f t="shared" si="261"/>
        <v>-236.83222560440589</v>
      </c>
      <c r="R1528">
        <f>SQRT(Tabelle2[[#This Row],[vx]]*Tabelle2[[#This Row],[vx]]+Tabelle2[[#This Row],[vy]]*Tabelle2[[#This Row],[vy]])</f>
        <v>242.54620533396761</v>
      </c>
      <c r="S1528">
        <f t="shared" si="262"/>
        <v>1596.2776457208913</v>
      </c>
      <c r="T1528" s="1">
        <f t="shared" si="263"/>
        <v>-2658.7922061536697</v>
      </c>
    </row>
    <row r="1529" spans="6:20" x14ac:dyDescent="0.35">
      <c r="F1529" s="1">
        <f t="shared" si="259"/>
        <v>30.519999999999438</v>
      </c>
      <c r="G1529">
        <f>1/2*$B$8*$B$6*$B$7*(Tabelle2[[#This Row],[vx]]*Tabelle2[[#This Row],[vx]]+Tabelle2[[#This Row],[vy]]*Tabelle2[[#This Row],[vy]])/1000000</f>
        <v>104.22757250918075</v>
      </c>
      <c r="H1529">
        <f>IF($B$3,-Tabelle2[[#This Row],[Fd]]*Tabelle2[[#This Row],[vx]]/Tabelle2[[#This Row],[v]],0)</f>
        <v>0</v>
      </c>
      <c r="I1529">
        <f t="shared" si="253"/>
        <v>0</v>
      </c>
      <c r="J1529">
        <f t="shared" si="254"/>
        <v>0</v>
      </c>
      <c r="K1529">
        <f t="shared" si="255"/>
        <v>1.0467394398169905</v>
      </c>
      <c r="L1529">
        <f>-$B$5*$B$12-IF($B$3,Tabelle2[[#This Row],[Fd]]*Tabelle2[[#This Row],[vy]]/Tabelle2[[#This Row],[v]],0)</f>
        <v>-14.715</v>
      </c>
      <c r="M1529">
        <f t="shared" si="256"/>
        <v>-9.81</v>
      </c>
      <c r="N1529">
        <f t="shared" si="257"/>
        <v>-0.19620000000000001</v>
      </c>
      <c r="O1529">
        <f t="shared" si="258"/>
        <v>-4.742530512088118</v>
      </c>
      <c r="P1529" s="1">
        <f t="shared" si="260"/>
        <v>52.336971990849527</v>
      </c>
      <c r="Q1529" s="1">
        <f t="shared" si="261"/>
        <v>-237.0284256044059</v>
      </c>
      <c r="R1529">
        <f>SQRT(Tabelle2[[#This Row],[vx]]*Tabelle2[[#This Row],[vx]]+Tabelle2[[#This Row],[vy]]*Tabelle2[[#This Row],[vy]])</f>
        <v>242.73778688468417</v>
      </c>
      <c r="S1529">
        <f t="shared" si="262"/>
        <v>1597.3243851607083</v>
      </c>
      <c r="T1529" s="1">
        <f t="shared" si="263"/>
        <v>-2663.5308126657578</v>
      </c>
    </row>
    <row r="1530" spans="6:20" x14ac:dyDescent="0.35">
      <c r="F1530" s="1">
        <f t="shared" si="259"/>
        <v>30.539999999999438</v>
      </c>
      <c r="G1530">
        <f>1/2*$B$8*$B$6*$B$7*(Tabelle2[[#This Row],[vx]]*Tabelle2[[#This Row],[vx]]+Tabelle2[[#This Row],[vy]]*Tabelle2[[#This Row],[vy]])/1000000</f>
        <v>104.39216764011229</v>
      </c>
      <c r="H1530">
        <f>IF($B$3,-Tabelle2[[#This Row],[Fd]]*Tabelle2[[#This Row],[vx]]/Tabelle2[[#This Row],[v]],0)</f>
        <v>0</v>
      </c>
      <c r="I1530">
        <f t="shared" si="253"/>
        <v>0</v>
      </c>
      <c r="J1530">
        <f t="shared" si="254"/>
        <v>0</v>
      </c>
      <c r="K1530">
        <f t="shared" si="255"/>
        <v>1.0467394398169905</v>
      </c>
      <c r="L1530">
        <f>-$B$5*$B$12-IF($B$3,Tabelle2[[#This Row],[Fd]]*Tabelle2[[#This Row],[vy]]/Tabelle2[[#This Row],[v]],0)</f>
        <v>-14.715</v>
      </c>
      <c r="M1530">
        <f t="shared" si="256"/>
        <v>-9.81</v>
      </c>
      <c r="N1530">
        <f t="shared" si="257"/>
        <v>-0.19620000000000001</v>
      </c>
      <c r="O1530">
        <f t="shared" si="258"/>
        <v>-4.7464545120881176</v>
      </c>
      <c r="P1530" s="1">
        <f t="shared" si="260"/>
        <v>52.336971990849527</v>
      </c>
      <c r="Q1530" s="1">
        <f t="shared" si="261"/>
        <v>-237.2246256044059</v>
      </c>
      <c r="R1530">
        <f>SQRT(Tabelle2[[#This Row],[vx]]*Tabelle2[[#This Row],[vx]]+Tabelle2[[#This Row],[vy]]*Tabelle2[[#This Row],[vy]])</f>
        <v>242.92937580770572</v>
      </c>
      <c r="S1530">
        <f t="shared" si="262"/>
        <v>1598.3711246005253</v>
      </c>
      <c r="T1530" s="1">
        <f t="shared" si="263"/>
        <v>-2668.2733431778461</v>
      </c>
    </row>
    <row r="1531" spans="6:20" x14ac:dyDescent="0.35">
      <c r="F1531" s="1">
        <f t="shared" si="259"/>
        <v>30.559999999999437</v>
      </c>
      <c r="G1531">
        <f>1/2*$B$8*$B$6*$B$7*(Tabelle2[[#This Row],[vx]]*Tabelle2[[#This Row],[vx]]+Tabelle2[[#This Row],[vy]]*Tabelle2[[#This Row],[vy]])/1000000</f>
        <v>104.55689895810521</v>
      </c>
      <c r="H1531">
        <f>IF($B$3,-Tabelle2[[#This Row],[Fd]]*Tabelle2[[#This Row],[vx]]/Tabelle2[[#This Row],[v]],0)</f>
        <v>0</v>
      </c>
      <c r="I1531">
        <f t="shared" si="253"/>
        <v>0</v>
      </c>
      <c r="J1531">
        <f t="shared" si="254"/>
        <v>0</v>
      </c>
      <c r="K1531">
        <f t="shared" si="255"/>
        <v>1.0467394398169905</v>
      </c>
      <c r="L1531">
        <f>-$B$5*$B$12-IF($B$3,Tabelle2[[#This Row],[Fd]]*Tabelle2[[#This Row],[vy]]/Tabelle2[[#This Row],[v]],0)</f>
        <v>-14.715</v>
      </c>
      <c r="M1531">
        <f t="shared" si="256"/>
        <v>-9.81</v>
      </c>
      <c r="N1531">
        <f t="shared" si="257"/>
        <v>-0.19620000000000001</v>
      </c>
      <c r="O1531">
        <f t="shared" si="258"/>
        <v>-4.7503785120881181</v>
      </c>
      <c r="P1531" s="1">
        <f t="shared" si="260"/>
        <v>52.336971990849527</v>
      </c>
      <c r="Q1531" s="1">
        <f t="shared" si="261"/>
        <v>-237.42082560440591</v>
      </c>
      <c r="R1531">
        <f>SQRT(Tabelle2[[#This Row],[vx]]*Tabelle2[[#This Row],[vx]]+Tabelle2[[#This Row],[vy]]*Tabelle2[[#This Row],[vy]])</f>
        <v>243.12097208560328</v>
      </c>
      <c r="S1531">
        <f t="shared" si="262"/>
        <v>1599.4178640403422</v>
      </c>
      <c r="T1531" s="1">
        <f t="shared" si="263"/>
        <v>-2673.019797689934</v>
      </c>
    </row>
    <row r="1532" spans="6:20" x14ac:dyDescent="0.35">
      <c r="F1532" s="1">
        <f t="shared" si="259"/>
        <v>30.579999999999437</v>
      </c>
      <c r="G1532">
        <f>1/2*$B$8*$B$6*$B$7*(Tabelle2[[#This Row],[vx]]*Tabelle2[[#This Row],[vx]]+Tabelle2[[#This Row],[vy]]*Tabelle2[[#This Row],[vy]])/1000000</f>
        <v>104.72176646315947</v>
      </c>
      <c r="H1532">
        <f>IF($B$3,-Tabelle2[[#This Row],[Fd]]*Tabelle2[[#This Row],[vx]]/Tabelle2[[#This Row],[v]],0)</f>
        <v>0</v>
      </c>
      <c r="I1532">
        <f t="shared" si="253"/>
        <v>0</v>
      </c>
      <c r="J1532">
        <f t="shared" si="254"/>
        <v>0</v>
      </c>
      <c r="K1532">
        <f t="shared" si="255"/>
        <v>1.0467394398169905</v>
      </c>
      <c r="L1532">
        <f>-$B$5*$B$12-IF($B$3,Tabelle2[[#This Row],[Fd]]*Tabelle2[[#This Row],[vy]]/Tabelle2[[#This Row],[v]],0)</f>
        <v>-14.715</v>
      </c>
      <c r="M1532">
        <f t="shared" si="256"/>
        <v>-9.81</v>
      </c>
      <c r="N1532">
        <f t="shared" si="257"/>
        <v>-0.19620000000000001</v>
      </c>
      <c r="O1532">
        <f t="shared" si="258"/>
        <v>-4.7543025120881177</v>
      </c>
      <c r="P1532" s="1">
        <f t="shared" si="260"/>
        <v>52.336971990849527</v>
      </c>
      <c r="Q1532" s="1">
        <f t="shared" si="261"/>
        <v>-237.61702560440591</v>
      </c>
      <c r="R1532">
        <f>SQRT(Tabelle2[[#This Row],[vx]]*Tabelle2[[#This Row],[vx]]+Tabelle2[[#This Row],[vy]]*Tabelle2[[#This Row],[vy]])</f>
        <v>243.31257570100206</v>
      </c>
      <c r="S1532">
        <f t="shared" si="262"/>
        <v>1600.4646034801592</v>
      </c>
      <c r="T1532" s="1">
        <f t="shared" si="263"/>
        <v>-2677.770176202022</v>
      </c>
    </row>
    <row r="1533" spans="6:20" x14ac:dyDescent="0.35">
      <c r="F1533" s="1">
        <f t="shared" si="259"/>
        <v>30.599999999999437</v>
      </c>
      <c r="G1533">
        <f>1/2*$B$8*$B$6*$B$7*(Tabelle2[[#This Row],[vx]]*Tabelle2[[#This Row],[vx]]+Tabelle2[[#This Row],[vy]]*Tabelle2[[#This Row],[vy]])/1000000</f>
        <v>104.88677015527507</v>
      </c>
      <c r="H1533">
        <f>IF($B$3,-Tabelle2[[#This Row],[Fd]]*Tabelle2[[#This Row],[vx]]/Tabelle2[[#This Row],[v]],0)</f>
        <v>0</v>
      </c>
      <c r="I1533">
        <f t="shared" si="253"/>
        <v>0</v>
      </c>
      <c r="J1533">
        <f t="shared" si="254"/>
        <v>0</v>
      </c>
      <c r="K1533">
        <f t="shared" si="255"/>
        <v>1.0467394398169905</v>
      </c>
      <c r="L1533">
        <f>-$B$5*$B$12-IF($B$3,Tabelle2[[#This Row],[Fd]]*Tabelle2[[#This Row],[vy]]/Tabelle2[[#This Row],[v]],0)</f>
        <v>-14.715</v>
      </c>
      <c r="M1533">
        <f t="shared" si="256"/>
        <v>-9.81</v>
      </c>
      <c r="N1533">
        <f t="shared" si="257"/>
        <v>-0.19620000000000001</v>
      </c>
      <c r="O1533">
        <f t="shared" si="258"/>
        <v>-4.7582265120881182</v>
      </c>
      <c r="P1533" s="1">
        <f t="shared" si="260"/>
        <v>52.336971990849527</v>
      </c>
      <c r="Q1533" s="1">
        <f t="shared" si="261"/>
        <v>-237.81322560440591</v>
      </c>
      <c r="R1533">
        <f>SQRT(Tabelle2[[#This Row],[vx]]*Tabelle2[[#This Row],[vx]]+Tabelle2[[#This Row],[vy]]*Tabelle2[[#This Row],[vy]])</f>
        <v>243.50418663658132</v>
      </c>
      <c r="S1533">
        <f t="shared" si="262"/>
        <v>1601.5113429199762</v>
      </c>
      <c r="T1533" s="1">
        <f t="shared" si="263"/>
        <v>-2682.52447871411</v>
      </c>
    </row>
    <row r="1534" spans="6:20" x14ac:dyDescent="0.35">
      <c r="F1534" s="1">
        <f t="shared" si="259"/>
        <v>30.619999999999436</v>
      </c>
      <c r="G1534">
        <f>1/2*$B$8*$B$6*$B$7*(Tabelle2[[#This Row],[vx]]*Tabelle2[[#This Row],[vx]]+Tabelle2[[#This Row],[vy]]*Tabelle2[[#This Row],[vy]])/1000000</f>
        <v>105.05191003445204</v>
      </c>
      <c r="H1534">
        <f>IF($B$3,-Tabelle2[[#This Row],[Fd]]*Tabelle2[[#This Row],[vx]]/Tabelle2[[#This Row],[v]],0)</f>
        <v>0</v>
      </c>
      <c r="I1534">
        <f t="shared" si="253"/>
        <v>0</v>
      </c>
      <c r="J1534">
        <f t="shared" si="254"/>
        <v>0</v>
      </c>
      <c r="K1534">
        <f t="shared" si="255"/>
        <v>1.0467394398169905</v>
      </c>
      <c r="L1534">
        <f>-$B$5*$B$12-IF($B$3,Tabelle2[[#This Row],[Fd]]*Tabelle2[[#This Row],[vy]]/Tabelle2[[#This Row],[v]],0)</f>
        <v>-14.715</v>
      </c>
      <c r="M1534">
        <f t="shared" si="256"/>
        <v>-9.81</v>
      </c>
      <c r="N1534">
        <f t="shared" si="257"/>
        <v>-0.19620000000000001</v>
      </c>
      <c r="O1534">
        <f t="shared" si="258"/>
        <v>-4.7621505120881187</v>
      </c>
      <c r="P1534" s="1">
        <f t="shared" si="260"/>
        <v>52.336971990849527</v>
      </c>
      <c r="Q1534" s="1">
        <f t="shared" si="261"/>
        <v>-238.00942560440592</v>
      </c>
      <c r="R1534">
        <f>SQRT(Tabelle2[[#This Row],[vx]]*Tabelle2[[#This Row],[vx]]+Tabelle2[[#This Row],[vy]]*Tabelle2[[#This Row],[vy]])</f>
        <v>243.69580487507415</v>
      </c>
      <c r="S1534">
        <f t="shared" si="262"/>
        <v>1602.5580823597932</v>
      </c>
      <c r="T1534" s="1">
        <f t="shared" si="263"/>
        <v>-2687.2827052261982</v>
      </c>
    </row>
    <row r="1535" spans="6:20" x14ac:dyDescent="0.35">
      <c r="F1535" s="1">
        <f t="shared" si="259"/>
        <v>30.639999999999436</v>
      </c>
      <c r="G1535">
        <f>1/2*$B$8*$B$6*$B$7*(Tabelle2[[#This Row],[vx]]*Tabelle2[[#This Row],[vx]]+Tabelle2[[#This Row],[vy]]*Tabelle2[[#This Row],[vy]])/1000000</f>
        <v>105.21718610069033</v>
      </c>
      <c r="H1535">
        <f>IF($B$3,-Tabelle2[[#This Row],[Fd]]*Tabelle2[[#This Row],[vx]]/Tabelle2[[#This Row],[v]],0)</f>
        <v>0</v>
      </c>
      <c r="I1535">
        <f t="shared" si="253"/>
        <v>0</v>
      </c>
      <c r="J1535">
        <f t="shared" si="254"/>
        <v>0</v>
      </c>
      <c r="K1535">
        <f t="shared" si="255"/>
        <v>1.0467394398169905</v>
      </c>
      <c r="L1535">
        <f>-$B$5*$B$12-IF($B$3,Tabelle2[[#This Row],[Fd]]*Tabelle2[[#This Row],[vy]]/Tabelle2[[#This Row],[v]],0)</f>
        <v>-14.715</v>
      </c>
      <c r="M1535">
        <f t="shared" si="256"/>
        <v>-9.81</v>
      </c>
      <c r="N1535">
        <f t="shared" si="257"/>
        <v>-0.19620000000000001</v>
      </c>
      <c r="O1535">
        <f t="shared" si="258"/>
        <v>-4.7660745120881183</v>
      </c>
      <c r="P1535" s="1">
        <f t="shared" si="260"/>
        <v>52.336971990849527</v>
      </c>
      <c r="Q1535" s="1">
        <f t="shared" si="261"/>
        <v>-238.20562560440592</v>
      </c>
      <c r="R1535">
        <f>SQRT(Tabelle2[[#This Row],[vx]]*Tabelle2[[#This Row],[vx]]+Tabelle2[[#This Row],[vy]]*Tabelle2[[#This Row],[vy]])</f>
        <v>243.88743039926715</v>
      </c>
      <c r="S1535">
        <f t="shared" si="262"/>
        <v>1603.6048217996101</v>
      </c>
      <c r="T1535" s="1">
        <f t="shared" si="263"/>
        <v>-2692.0448557382865</v>
      </c>
    </row>
    <row r="1536" spans="6:20" x14ac:dyDescent="0.35">
      <c r="F1536" s="1">
        <f t="shared" si="259"/>
        <v>30.659999999999435</v>
      </c>
      <c r="G1536">
        <f>1/2*$B$8*$B$6*$B$7*(Tabelle2[[#This Row],[vx]]*Tabelle2[[#This Row],[vx]]+Tabelle2[[#This Row],[vy]]*Tabelle2[[#This Row],[vy]])/1000000</f>
        <v>105.38259835398996</v>
      </c>
      <c r="H1536">
        <f>IF($B$3,-Tabelle2[[#This Row],[Fd]]*Tabelle2[[#This Row],[vx]]/Tabelle2[[#This Row],[v]],0)</f>
        <v>0</v>
      </c>
      <c r="I1536">
        <f t="shared" si="253"/>
        <v>0</v>
      </c>
      <c r="J1536">
        <f t="shared" si="254"/>
        <v>0</v>
      </c>
      <c r="K1536">
        <f t="shared" si="255"/>
        <v>1.0467394398169905</v>
      </c>
      <c r="L1536">
        <f>-$B$5*$B$12-IF($B$3,Tabelle2[[#This Row],[Fd]]*Tabelle2[[#This Row],[vy]]/Tabelle2[[#This Row],[v]],0)</f>
        <v>-14.715</v>
      </c>
      <c r="M1536">
        <f t="shared" si="256"/>
        <v>-9.81</v>
      </c>
      <c r="N1536">
        <f t="shared" si="257"/>
        <v>-0.19620000000000001</v>
      </c>
      <c r="O1536">
        <f t="shared" si="258"/>
        <v>-4.7699985120881188</v>
      </c>
      <c r="P1536" s="1">
        <f t="shared" si="260"/>
        <v>52.336971990849527</v>
      </c>
      <c r="Q1536" s="1">
        <f t="shared" si="261"/>
        <v>-238.40182560440593</v>
      </c>
      <c r="R1536">
        <f>SQRT(Tabelle2[[#This Row],[vx]]*Tabelle2[[#This Row],[vx]]+Tabelle2[[#This Row],[vy]]*Tabelle2[[#This Row],[vy]])</f>
        <v>244.07906319200046</v>
      </c>
      <c r="S1536">
        <f t="shared" si="262"/>
        <v>1604.6515612394271</v>
      </c>
      <c r="T1536" s="1">
        <f t="shared" si="263"/>
        <v>-2696.8109302503744</v>
      </c>
    </row>
    <row r="1537" spans="6:20" x14ac:dyDescent="0.35">
      <c r="F1537" s="1">
        <f t="shared" si="259"/>
        <v>30.679999999999435</v>
      </c>
      <c r="G1537">
        <f>1/2*$B$8*$B$6*$B$7*(Tabelle2[[#This Row],[vx]]*Tabelle2[[#This Row],[vx]]+Tabelle2[[#This Row],[vy]]*Tabelle2[[#This Row],[vy]])/1000000</f>
        <v>105.54814679435094</v>
      </c>
      <c r="H1537">
        <f>IF($B$3,-Tabelle2[[#This Row],[Fd]]*Tabelle2[[#This Row],[vx]]/Tabelle2[[#This Row],[v]],0)</f>
        <v>0</v>
      </c>
      <c r="I1537">
        <f t="shared" si="253"/>
        <v>0</v>
      </c>
      <c r="J1537">
        <f t="shared" si="254"/>
        <v>0</v>
      </c>
      <c r="K1537">
        <f t="shared" si="255"/>
        <v>1.0467394398169905</v>
      </c>
      <c r="L1537">
        <f>-$B$5*$B$12-IF($B$3,Tabelle2[[#This Row],[Fd]]*Tabelle2[[#This Row],[vy]]/Tabelle2[[#This Row],[v]],0)</f>
        <v>-14.715</v>
      </c>
      <c r="M1537">
        <f t="shared" si="256"/>
        <v>-9.81</v>
      </c>
      <c r="N1537">
        <f t="shared" si="257"/>
        <v>-0.19620000000000001</v>
      </c>
      <c r="O1537">
        <f t="shared" si="258"/>
        <v>-4.7739225120881184</v>
      </c>
      <c r="P1537" s="1">
        <f t="shared" si="260"/>
        <v>52.336971990849527</v>
      </c>
      <c r="Q1537" s="1">
        <f t="shared" si="261"/>
        <v>-238.59802560440593</v>
      </c>
      <c r="R1537">
        <f>SQRT(Tabelle2[[#This Row],[vx]]*Tabelle2[[#This Row],[vx]]+Tabelle2[[#This Row],[vy]]*Tabelle2[[#This Row],[vy]])</f>
        <v>244.27070323616732</v>
      </c>
      <c r="S1537">
        <f t="shared" si="262"/>
        <v>1605.6983006792441</v>
      </c>
      <c r="T1537" s="1">
        <f t="shared" si="263"/>
        <v>-2701.5809287624625</v>
      </c>
    </row>
    <row r="1538" spans="6:20" x14ac:dyDescent="0.35">
      <c r="F1538" s="1">
        <f t="shared" si="259"/>
        <v>30.699999999999434</v>
      </c>
      <c r="G1538">
        <f>1/2*$B$8*$B$6*$B$7*(Tabelle2[[#This Row],[vx]]*Tabelle2[[#This Row],[vx]]+Tabelle2[[#This Row],[vy]]*Tabelle2[[#This Row],[vy]])/1000000</f>
        <v>105.71383142177326</v>
      </c>
      <c r="H1538">
        <f>IF($B$3,-Tabelle2[[#This Row],[Fd]]*Tabelle2[[#This Row],[vx]]/Tabelle2[[#This Row],[v]],0)</f>
        <v>0</v>
      </c>
      <c r="I1538">
        <f t="shared" si="253"/>
        <v>0</v>
      </c>
      <c r="J1538">
        <f t="shared" si="254"/>
        <v>0</v>
      </c>
      <c r="K1538">
        <f t="shared" si="255"/>
        <v>1.0467394398169905</v>
      </c>
      <c r="L1538">
        <f>-$B$5*$B$12-IF($B$3,Tabelle2[[#This Row],[Fd]]*Tabelle2[[#This Row],[vy]]/Tabelle2[[#This Row],[v]],0)</f>
        <v>-14.715</v>
      </c>
      <c r="M1538">
        <f t="shared" si="256"/>
        <v>-9.81</v>
      </c>
      <c r="N1538">
        <f t="shared" si="257"/>
        <v>-0.19620000000000001</v>
      </c>
      <c r="O1538">
        <f t="shared" si="258"/>
        <v>-4.7778465120881188</v>
      </c>
      <c r="P1538" s="1">
        <f t="shared" si="260"/>
        <v>52.336971990849527</v>
      </c>
      <c r="Q1538" s="1">
        <f t="shared" si="261"/>
        <v>-238.79422560440594</v>
      </c>
      <c r="R1538">
        <f>SQRT(Tabelle2[[#This Row],[vx]]*Tabelle2[[#This Row],[vx]]+Tabelle2[[#This Row],[vy]]*Tabelle2[[#This Row],[vy]])</f>
        <v>244.46235051471402</v>
      </c>
      <c r="S1538">
        <f t="shared" si="262"/>
        <v>1606.7450401190611</v>
      </c>
      <c r="T1538" s="1">
        <f t="shared" si="263"/>
        <v>-2706.3548512745506</v>
      </c>
    </row>
    <row r="1539" spans="6:20" x14ac:dyDescent="0.35">
      <c r="F1539" s="1">
        <f t="shared" si="259"/>
        <v>30.719999999999434</v>
      </c>
      <c r="G1539">
        <f>1/2*$B$8*$B$6*$B$7*(Tabelle2[[#This Row],[vx]]*Tabelle2[[#This Row],[vx]]+Tabelle2[[#This Row],[vy]]*Tabelle2[[#This Row],[vy]])/1000000</f>
        <v>105.87965223625694</v>
      </c>
      <c r="H1539">
        <f>IF($B$3,-Tabelle2[[#This Row],[Fd]]*Tabelle2[[#This Row],[vx]]/Tabelle2[[#This Row],[v]],0)</f>
        <v>0</v>
      </c>
      <c r="I1539">
        <f t="shared" ref="I1539:I1581" si="264">H1539/$B$5</f>
        <v>0</v>
      </c>
      <c r="J1539">
        <f t="shared" ref="J1539:J1581" si="265">I1539*$B$13</f>
        <v>0</v>
      </c>
      <c r="K1539">
        <f t="shared" ref="K1539:K1581" si="266">$B$13*(P1539+J1539/2)</f>
        <v>1.0467394398169905</v>
      </c>
      <c r="L1539">
        <f>-$B$5*$B$12-IF($B$3,Tabelle2[[#This Row],[Fd]]*Tabelle2[[#This Row],[vy]]/Tabelle2[[#This Row],[v]],0)</f>
        <v>-14.715</v>
      </c>
      <c r="M1539">
        <f t="shared" ref="M1539:M1581" si="267">L1539/$B$5</f>
        <v>-9.81</v>
      </c>
      <c r="N1539">
        <f t="shared" ref="N1539:N1581" si="268">M1539*$B$13</f>
        <v>-0.19620000000000001</v>
      </c>
      <c r="O1539">
        <f t="shared" ref="O1539:O1581" si="269">$B$13*(Q1539+N1539/2)</f>
        <v>-4.7817705120881184</v>
      </c>
      <c r="P1539" s="1">
        <f t="shared" si="260"/>
        <v>52.336971990849527</v>
      </c>
      <c r="Q1539" s="1">
        <f t="shared" si="261"/>
        <v>-238.99042560440594</v>
      </c>
      <c r="R1539">
        <f>SQRT(Tabelle2[[#This Row],[vx]]*Tabelle2[[#This Row],[vx]]+Tabelle2[[#This Row],[vy]]*Tabelle2[[#This Row],[vy]])</f>
        <v>244.65400501063959</v>
      </c>
      <c r="S1539">
        <f t="shared" si="262"/>
        <v>1607.791779558878</v>
      </c>
      <c r="T1539" s="1">
        <f t="shared" si="263"/>
        <v>-2711.1326977866388</v>
      </c>
    </row>
    <row r="1540" spans="6:20" x14ac:dyDescent="0.35">
      <c r="F1540" s="1">
        <f t="shared" ref="F1540:F1581" si="270">F1539+$B$13</f>
        <v>30.739999999999434</v>
      </c>
      <c r="G1540">
        <f>1/2*$B$8*$B$6*$B$7*(Tabelle2[[#This Row],[vx]]*Tabelle2[[#This Row],[vx]]+Tabelle2[[#This Row],[vy]]*Tabelle2[[#This Row],[vy]])/1000000</f>
        <v>106.04560923780195</v>
      </c>
      <c r="H1540">
        <f>IF($B$3,-Tabelle2[[#This Row],[Fd]]*Tabelle2[[#This Row],[vx]]/Tabelle2[[#This Row],[v]],0)</f>
        <v>0</v>
      </c>
      <c r="I1540">
        <f t="shared" si="264"/>
        <v>0</v>
      </c>
      <c r="J1540">
        <f t="shared" si="265"/>
        <v>0</v>
      </c>
      <c r="K1540">
        <f t="shared" si="266"/>
        <v>1.0467394398169905</v>
      </c>
      <c r="L1540">
        <f>-$B$5*$B$12-IF($B$3,Tabelle2[[#This Row],[Fd]]*Tabelle2[[#This Row],[vy]]/Tabelle2[[#This Row],[v]],0)</f>
        <v>-14.715</v>
      </c>
      <c r="M1540">
        <f t="shared" si="267"/>
        <v>-9.81</v>
      </c>
      <c r="N1540">
        <f t="shared" si="268"/>
        <v>-0.19620000000000001</v>
      </c>
      <c r="O1540">
        <f t="shared" si="269"/>
        <v>-4.7856945120881189</v>
      </c>
      <c r="P1540" s="1">
        <f t="shared" ref="P1540:P1581" si="271">P1539+J1539</f>
        <v>52.336971990849527</v>
      </c>
      <c r="Q1540" s="1">
        <f t="shared" ref="Q1540:Q1581" si="272">Q1539+N1539</f>
        <v>-239.18662560440595</v>
      </c>
      <c r="R1540">
        <f>SQRT(Tabelle2[[#This Row],[vx]]*Tabelle2[[#This Row],[vx]]+Tabelle2[[#This Row],[vy]]*Tabelle2[[#This Row],[vy]])</f>
        <v>244.84566670699573</v>
      </c>
      <c r="S1540">
        <f t="shared" ref="S1540:S1581" si="273">S1539+K1539</f>
        <v>1608.838518998695</v>
      </c>
      <c r="T1540" s="1">
        <f t="shared" ref="T1540:T1581" si="274">T1539+O1539</f>
        <v>-2715.9144682987271</v>
      </c>
    </row>
    <row r="1541" spans="6:20" x14ac:dyDescent="0.35">
      <c r="F1541" s="1">
        <f t="shared" si="270"/>
        <v>30.759999999999433</v>
      </c>
      <c r="G1541">
        <f>1/2*$B$8*$B$6*$B$7*(Tabelle2[[#This Row],[vx]]*Tabelle2[[#This Row],[vx]]+Tabelle2[[#This Row],[vy]]*Tabelle2[[#This Row],[vy]])/1000000</f>
        <v>106.21170242640831</v>
      </c>
      <c r="H1541">
        <f>IF($B$3,-Tabelle2[[#This Row],[Fd]]*Tabelle2[[#This Row],[vx]]/Tabelle2[[#This Row],[v]],0)</f>
        <v>0</v>
      </c>
      <c r="I1541">
        <f t="shared" si="264"/>
        <v>0</v>
      </c>
      <c r="J1541">
        <f t="shared" si="265"/>
        <v>0</v>
      </c>
      <c r="K1541">
        <f t="shared" si="266"/>
        <v>1.0467394398169905</v>
      </c>
      <c r="L1541">
        <f>-$B$5*$B$12-IF($B$3,Tabelle2[[#This Row],[Fd]]*Tabelle2[[#This Row],[vy]]/Tabelle2[[#This Row],[v]],0)</f>
        <v>-14.715</v>
      </c>
      <c r="M1541">
        <f t="shared" si="267"/>
        <v>-9.81</v>
      </c>
      <c r="N1541">
        <f t="shared" si="268"/>
        <v>-0.19620000000000001</v>
      </c>
      <c r="O1541">
        <f t="shared" si="269"/>
        <v>-4.7896185120881185</v>
      </c>
      <c r="P1541" s="1">
        <f t="shared" si="271"/>
        <v>52.336971990849527</v>
      </c>
      <c r="Q1541" s="1">
        <f t="shared" si="272"/>
        <v>-239.38282560440595</v>
      </c>
      <c r="R1541">
        <f>SQRT(Tabelle2[[#This Row],[vx]]*Tabelle2[[#This Row],[vx]]+Tabelle2[[#This Row],[vy]]*Tabelle2[[#This Row],[vy]])</f>
        <v>245.03733558688643</v>
      </c>
      <c r="S1541">
        <f t="shared" si="273"/>
        <v>1609.885258438512</v>
      </c>
      <c r="T1541" s="1">
        <f t="shared" si="274"/>
        <v>-2720.7001628108151</v>
      </c>
    </row>
    <row r="1542" spans="6:20" x14ac:dyDescent="0.35">
      <c r="F1542" s="1">
        <f t="shared" si="270"/>
        <v>30.779999999999433</v>
      </c>
      <c r="G1542">
        <f>1/2*$B$8*$B$6*$B$7*(Tabelle2[[#This Row],[vx]]*Tabelle2[[#This Row],[vx]]+Tabelle2[[#This Row],[vy]]*Tabelle2[[#This Row],[vy]])/1000000</f>
        <v>106.37793180207601</v>
      </c>
      <c r="H1542">
        <f>IF($B$3,-Tabelle2[[#This Row],[Fd]]*Tabelle2[[#This Row],[vx]]/Tabelle2[[#This Row],[v]],0)</f>
        <v>0</v>
      </c>
      <c r="I1542">
        <f t="shared" si="264"/>
        <v>0</v>
      </c>
      <c r="J1542">
        <f t="shared" si="265"/>
        <v>0</v>
      </c>
      <c r="K1542">
        <f t="shared" si="266"/>
        <v>1.0467394398169905</v>
      </c>
      <c r="L1542">
        <f>-$B$5*$B$12-IF($B$3,Tabelle2[[#This Row],[Fd]]*Tabelle2[[#This Row],[vy]]/Tabelle2[[#This Row],[v]],0)</f>
        <v>-14.715</v>
      </c>
      <c r="M1542">
        <f t="shared" si="267"/>
        <v>-9.81</v>
      </c>
      <c r="N1542">
        <f t="shared" si="268"/>
        <v>-0.19620000000000001</v>
      </c>
      <c r="O1542">
        <f t="shared" si="269"/>
        <v>-4.793542512088119</v>
      </c>
      <c r="P1542" s="1">
        <f t="shared" si="271"/>
        <v>52.336971990849527</v>
      </c>
      <c r="Q1542" s="1">
        <f t="shared" si="272"/>
        <v>-239.57902560440596</v>
      </c>
      <c r="R1542">
        <f>SQRT(Tabelle2[[#This Row],[vx]]*Tabelle2[[#This Row],[vx]]+Tabelle2[[#This Row],[vy]]*Tabelle2[[#This Row],[vy]])</f>
        <v>245.22901163346799</v>
      </c>
      <c r="S1542">
        <f t="shared" si="273"/>
        <v>1610.931997878329</v>
      </c>
      <c r="T1542" s="1">
        <f t="shared" si="274"/>
        <v>-2725.4897813229031</v>
      </c>
    </row>
    <row r="1543" spans="6:20" x14ac:dyDescent="0.35">
      <c r="F1543" s="1">
        <f t="shared" si="270"/>
        <v>30.799999999999432</v>
      </c>
      <c r="G1543">
        <f>1/2*$B$8*$B$6*$B$7*(Tabelle2[[#This Row],[vx]]*Tabelle2[[#This Row],[vx]]+Tabelle2[[#This Row],[vy]]*Tabelle2[[#This Row],[vy]])/1000000</f>
        <v>106.54429736480506</v>
      </c>
      <c r="H1543">
        <f>IF($B$3,-Tabelle2[[#This Row],[Fd]]*Tabelle2[[#This Row],[vx]]/Tabelle2[[#This Row],[v]],0)</f>
        <v>0</v>
      </c>
      <c r="I1543">
        <f t="shared" si="264"/>
        <v>0</v>
      </c>
      <c r="J1543">
        <f t="shared" si="265"/>
        <v>0</v>
      </c>
      <c r="K1543">
        <f t="shared" si="266"/>
        <v>1.0467394398169905</v>
      </c>
      <c r="L1543">
        <f>-$B$5*$B$12-IF($B$3,Tabelle2[[#This Row],[Fd]]*Tabelle2[[#This Row],[vy]]/Tabelle2[[#This Row],[v]],0)</f>
        <v>-14.715</v>
      </c>
      <c r="M1543">
        <f t="shared" si="267"/>
        <v>-9.81</v>
      </c>
      <c r="N1543">
        <f t="shared" si="268"/>
        <v>-0.19620000000000001</v>
      </c>
      <c r="O1543">
        <f t="shared" si="269"/>
        <v>-4.7974665120881195</v>
      </c>
      <c r="P1543" s="1">
        <f t="shared" si="271"/>
        <v>52.336971990849527</v>
      </c>
      <c r="Q1543" s="1">
        <f t="shared" si="272"/>
        <v>-239.77522560440596</v>
      </c>
      <c r="R1543">
        <f>SQRT(Tabelle2[[#This Row],[vx]]*Tabelle2[[#This Row],[vx]]+Tabelle2[[#This Row],[vy]]*Tabelle2[[#This Row],[vy]])</f>
        <v>245.42069482994859</v>
      </c>
      <c r="S1543">
        <f t="shared" si="273"/>
        <v>1611.9787373181459</v>
      </c>
      <c r="T1543" s="1">
        <f t="shared" si="274"/>
        <v>-2730.2833238349913</v>
      </c>
    </row>
    <row r="1544" spans="6:20" x14ac:dyDescent="0.35">
      <c r="F1544" s="1">
        <f t="shared" si="270"/>
        <v>30.819999999999432</v>
      </c>
      <c r="G1544">
        <f>1/2*$B$8*$B$6*$B$7*(Tabelle2[[#This Row],[vx]]*Tabelle2[[#This Row],[vx]]+Tabelle2[[#This Row],[vy]]*Tabelle2[[#This Row],[vy]])/1000000</f>
        <v>106.71079911459543</v>
      </c>
      <c r="H1544">
        <f>IF($B$3,-Tabelle2[[#This Row],[Fd]]*Tabelle2[[#This Row],[vx]]/Tabelle2[[#This Row],[v]],0)</f>
        <v>0</v>
      </c>
      <c r="I1544">
        <f t="shared" si="264"/>
        <v>0</v>
      </c>
      <c r="J1544">
        <f t="shared" si="265"/>
        <v>0</v>
      </c>
      <c r="K1544">
        <f t="shared" si="266"/>
        <v>1.0467394398169905</v>
      </c>
      <c r="L1544">
        <f>-$B$5*$B$12-IF($B$3,Tabelle2[[#This Row],[Fd]]*Tabelle2[[#This Row],[vy]]/Tabelle2[[#This Row],[v]],0)</f>
        <v>-14.715</v>
      </c>
      <c r="M1544">
        <f t="shared" si="267"/>
        <v>-9.81</v>
      </c>
      <c r="N1544">
        <f t="shared" si="268"/>
        <v>-0.19620000000000001</v>
      </c>
      <c r="O1544">
        <f t="shared" si="269"/>
        <v>-4.8013905120881191</v>
      </c>
      <c r="P1544" s="1">
        <f t="shared" si="271"/>
        <v>52.336971990849527</v>
      </c>
      <c r="Q1544" s="1">
        <f t="shared" si="272"/>
        <v>-239.97142560440597</v>
      </c>
      <c r="R1544">
        <f>SQRT(Tabelle2[[#This Row],[vx]]*Tabelle2[[#This Row],[vx]]+Tabelle2[[#This Row],[vy]]*Tabelle2[[#This Row],[vy]])</f>
        <v>245.61238515958823</v>
      </c>
      <c r="S1544">
        <f t="shared" si="273"/>
        <v>1613.0254767579629</v>
      </c>
      <c r="T1544" s="1">
        <f t="shared" si="274"/>
        <v>-2735.0807903470795</v>
      </c>
    </row>
    <row r="1545" spans="6:20" x14ac:dyDescent="0.35">
      <c r="F1545" s="1">
        <f t="shared" si="270"/>
        <v>30.839999999999431</v>
      </c>
      <c r="G1545">
        <f>1/2*$B$8*$B$6*$B$7*(Tabelle2[[#This Row],[vx]]*Tabelle2[[#This Row],[vx]]+Tabelle2[[#This Row],[vy]]*Tabelle2[[#This Row],[vy]])/1000000</f>
        <v>106.87743705144719</v>
      </c>
      <c r="H1545">
        <f>IF($B$3,-Tabelle2[[#This Row],[Fd]]*Tabelle2[[#This Row],[vx]]/Tabelle2[[#This Row],[v]],0)</f>
        <v>0</v>
      </c>
      <c r="I1545">
        <f t="shared" si="264"/>
        <v>0</v>
      </c>
      <c r="J1545">
        <f t="shared" si="265"/>
        <v>0</v>
      </c>
      <c r="K1545">
        <f t="shared" si="266"/>
        <v>1.0467394398169905</v>
      </c>
      <c r="L1545">
        <f>-$B$5*$B$12-IF($B$3,Tabelle2[[#This Row],[Fd]]*Tabelle2[[#This Row],[vy]]/Tabelle2[[#This Row],[v]],0)</f>
        <v>-14.715</v>
      </c>
      <c r="M1545">
        <f t="shared" si="267"/>
        <v>-9.81</v>
      </c>
      <c r="N1545">
        <f t="shared" si="268"/>
        <v>-0.19620000000000001</v>
      </c>
      <c r="O1545">
        <f t="shared" si="269"/>
        <v>-4.8053145120881195</v>
      </c>
      <c r="P1545" s="1">
        <f t="shared" si="271"/>
        <v>52.336971990849527</v>
      </c>
      <c r="Q1545" s="1">
        <f t="shared" si="272"/>
        <v>-240.16762560440597</v>
      </c>
      <c r="R1545">
        <f>SQRT(Tabelle2[[#This Row],[vx]]*Tabelle2[[#This Row],[vx]]+Tabelle2[[#This Row],[vy]]*Tabelle2[[#This Row],[vy]])</f>
        <v>245.80408260569857</v>
      </c>
      <c r="S1545">
        <f t="shared" si="273"/>
        <v>1614.0722161977799</v>
      </c>
      <c r="T1545" s="1">
        <f t="shared" si="274"/>
        <v>-2739.8821808591674</v>
      </c>
    </row>
    <row r="1546" spans="6:20" x14ac:dyDescent="0.35">
      <c r="F1546" s="1">
        <f t="shared" si="270"/>
        <v>30.859999999999431</v>
      </c>
      <c r="G1546">
        <f>1/2*$B$8*$B$6*$B$7*(Tabelle2[[#This Row],[vx]]*Tabelle2[[#This Row],[vx]]+Tabelle2[[#This Row],[vy]]*Tabelle2[[#This Row],[vy]])/1000000</f>
        <v>107.04421117536025</v>
      </c>
      <c r="H1546">
        <f>IF($B$3,-Tabelle2[[#This Row],[Fd]]*Tabelle2[[#This Row],[vx]]/Tabelle2[[#This Row],[v]],0)</f>
        <v>0</v>
      </c>
      <c r="I1546">
        <f t="shared" si="264"/>
        <v>0</v>
      </c>
      <c r="J1546">
        <f t="shared" si="265"/>
        <v>0</v>
      </c>
      <c r="K1546">
        <f t="shared" si="266"/>
        <v>1.0467394398169905</v>
      </c>
      <c r="L1546">
        <f>-$B$5*$B$12-IF($B$3,Tabelle2[[#This Row],[Fd]]*Tabelle2[[#This Row],[vy]]/Tabelle2[[#This Row],[v]],0)</f>
        <v>-14.715</v>
      </c>
      <c r="M1546">
        <f t="shared" si="267"/>
        <v>-9.81</v>
      </c>
      <c r="N1546">
        <f t="shared" si="268"/>
        <v>-0.19620000000000001</v>
      </c>
      <c r="O1546">
        <f t="shared" si="269"/>
        <v>-4.8092385120881191</v>
      </c>
      <c r="P1546" s="1">
        <f t="shared" si="271"/>
        <v>52.336971990849527</v>
      </c>
      <c r="Q1546" s="1">
        <f t="shared" si="272"/>
        <v>-240.36382560440597</v>
      </c>
      <c r="R1546">
        <f>SQRT(Tabelle2[[#This Row],[vx]]*Tabelle2[[#This Row],[vx]]+Tabelle2[[#This Row],[vy]]*Tabelle2[[#This Row],[vy]])</f>
        <v>245.99578715164262</v>
      </c>
      <c r="S1546">
        <f t="shared" si="273"/>
        <v>1615.1189556375969</v>
      </c>
      <c r="T1546" s="1">
        <f t="shared" si="274"/>
        <v>-2744.6874953712554</v>
      </c>
    </row>
    <row r="1547" spans="6:20" x14ac:dyDescent="0.35">
      <c r="F1547" s="1">
        <f t="shared" si="270"/>
        <v>30.879999999999431</v>
      </c>
      <c r="G1547">
        <f>1/2*$B$8*$B$6*$B$7*(Tabelle2[[#This Row],[vx]]*Tabelle2[[#This Row],[vx]]+Tabelle2[[#This Row],[vy]]*Tabelle2[[#This Row],[vy]])/1000000</f>
        <v>107.21112148633466</v>
      </c>
      <c r="H1547">
        <f>IF($B$3,-Tabelle2[[#This Row],[Fd]]*Tabelle2[[#This Row],[vx]]/Tabelle2[[#This Row],[v]],0)</f>
        <v>0</v>
      </c>
      <c r="I1547">
        <f t="shared" si="264"/>
        <v>0</v>
      </c>
      <c r="J1547">
        <f t="shared" si="265"/>
        <v>0</v>
      </c>
      <c r="K1547">
        <f t="shared" si="266"/>
        <v>1.0467394398169905</v>
      </c>
      <c r="L1547">
        <f>-$B$5*$B$12-IF($B$3,Tabelle2[[#This Row],[Fd]]*Tabelle2[[#This Row],[vy]]/Tabelle2[[#This Row],[v]],0)</f>
        <v>-14.715</v>
      </c>
      <c r="M1547">
        <f t="shared" si="267"/>
        <v>-9.81</v>
      </c>
      <c r="N1547">
        <f t="shared" si="268"/>
        <v>-0.19620000000000001</v>
      </c>
      <c r="O1547">
        <f t="shared" si="269"/>
        <v>-4.8131625120881196</v>
      </c>
      <c r="P1547" s="1">
        <f t="shared" si="271"/>
        <v>52.336971990849527</v>
      </c>
      <c r="Q1547" s="1">
        <f t="shared" si="272"/>
        <v>-240.56002560440598</v>
      </c>
      <c r="R1547">
        <f>SQRT(Tabelle2[[#This Row],[vx]]*Tabelle2[[#This Row],[vx]]+Tabelle2[[#This Row],[vy]]*Tabelle2[[#This Row],[vy]])</f>
        <v>246.18749878083457</v>
      </c>
      <c r="S1547">
        <f t="shared" si="273"/>
        <v>1616.1656950774138</v>
      </c>
      <c r="T1547" s="1">
        <f t="shared" si="274"/>
        <v>-2749.4967338833435</v>
      </c>
    </row>
    <row r="1548" spans="6:20" x14ac:dyDescent="0.35">
      <c r="F1548" s="1">
        <f t="shared" si="270"/>
        <v>30.89999999999943</v>
      </c>
      <c r="G1548">
        <f>1/2*$B$8*$B$6*$B$7*(Tabelle2[[#This Row],[vx]]*Tabelle2[[#This Row],[vx]]+Tabelle2[[#This Row],[vy]]*Tabelle2[[#This Row],[vy]])/1000000</f>
        <v>107.37816798437044</v>
      </c>
      <c r="H1548">
        <f>IF($B$3,-Tabelle2[[#This Row],[Fd]]*Tabelle2[[#This Row],[vx]]/Tabelle2[[#This Row],[v]],0)</f>
        <v>0</v>
      </c>
      <c r="I1548">
        <f t="shared" si="264"/>
        <v>0</v>
      </c>
      <c r="J1548">
        <f t="shared" si="265"/>
        <v>0</v>
      </c>
      <c r="K1548">
        <f t="shared" si="266"/>
        <v>1.0467394398169905</v>
      </c>
      <c r="L1548">
        <f>-$B$5*$B$12-IF($B$3,Tabelle2[[#This Row],[Fd]]*Tabelle2[[#This Row],[vy]]/Tabelle2[[#This Row],[v]],0)</f>
        <v>-14.715</v>
      </c>
      <c r="M1548">
        <f t="shared" si="267"/>
        <v>-9.81</v>
      </c>
      <c r="N1548">
        <f t="shared" si="268"/>
        <v>-0.19620000000000001</v>
      </c>
      <c r="O1548">
        <f t="shared" si="269"/>
        <v>-4.8170865120881192</v>
      </c>
      <c r="P1548" s="1">
        <f t="shared" si="271"/>
        <v>52.336971990849527</v>
      </c>
      <c r="Q1548" s="1">
        <f t="shared" si="272"/>
        <v>-240.75622560440598</v>
      </c>
      <c r="R1548">
        <f>SQRT(Tabelle2[[#This Row],[vx]]*Tabelle2[[#This Row],[vx]]+Tabelle2[[#This Row],[vy]]*Tabelle2[[#This Row],[vy]])</f>
        <v>246.37921747673971</v>
      </c>
      <c r="S1548">
        <f t="shared" si="273"/>
        <v>1617.2124345172308</v>
      </c>
      <c r="T1548" s="1">
        <f t="shared" si="274"/>
        <v>-2754.3098963954317</v>
      </c>
    </row>
    <row r="1549" spans="6:20" x14ac:dyDescent="0.35">
      <c r="F1549" s="1">
        <f t="shared" si="270"/>
        <v>30.91999999999943</v>
      </c>
      <c r="G1549">
        <f>1/2*$B$8*$B$6*$B$7*(Tabelle2[[#This Row],[vx]]*Tabelle2[[#This Row],[vx]]+Tabelle2[[#This Row],[vy]]*Tabelle2[[#This Row],[vy]])/1000000</f>
        <v>107.54535066946755</v>
      </c>
      <c r="H1549">
        <f>IF($B$3,-Tabelle2[[#This Row],[Fd]]*Tabelle2[[#This Row],[vx]]/Tabelle2[[#This Row],[v]],0)</f>
        <v>0</v>
      </c>
      <c r="I1549">
        <f t="shared" si="264"/>
        <v>0</v>
      </c>
      <c r="J1549">
        <f t="shared" si="265"/>
        <v>0</v>
      </c>
      <c r="K1549">
        <f t="shared" si="266"/>
        <v>1.0467394398169905</v>
      </c>
      <c r="L1549">
        <f>-$B$5*$B$12-IF($B$3,Tabelle2[[#This Row],[Fd]]*Tabelle2[[#This Row],[vy]]/Tabelle2[[#This Row],[v]],0)</f>
        <v>-14.715</v>
      </c>
      <c r="M1549">
        <f t="shared" si="267"/>
        <v>-9.81</v>
      </c>
      <c r="N1549">
        <f t="shared" si="268"/>
        <v>-0.19620000000000001</v>
      </c>
      <c r="O1549">
        <f t="shared" si="269"/>
        <v>-4.8210105120881197</v>
      </c>
      <c r="P1549" s="1">
        <f t="shared" si="271"/>
        <v>52.336971990849527</v>
      </c>
      <c r="Q1549" s="1">
        <f t="shared" si="272"/>
        <v>-240.95242560440599</v>
      </c>
      <c r="R1549">
        <f>SQRT(Tabelle2[[#This Row],[vx]]*Tabelle2[[#This Row],[vx]]+Tabelle2[[#This Row],[vy]]*Tabelle2[[#This Row],[vy]])</f>
        <v>246.57094322287404</v>
      </c>
      <c r="S1549">
        <f t="shared" si="273"/>
        <v>1618.2591739570478</v>
      </c>
      <c r="T1549" s="1">
        <f t="shared" si="274"/>
        <v>-2759.12698290752</v>
      </c>
    </row>
    <row r="1550" spans="6:20" x14ac:dyDescent="0.35">
      <c r="F1550" s="1">
        <f t="shared" si="270"/>
        <v>30.939999999999429</v>
      </c>
      <c r="G1550">
        <f>1/2*$B$8*$B$6*$B$7*(Tabelle2[[#This Row],[vx]]*Tabelle2[[#This Row],[vx]]+Tabelle2[[#This Row],[vy]]*Tabelle2[[#This Row],[vy]])/1000000</f>
        <v>107.71266954162601</v>
      </c>
      <c r="H1550">
        <f>IF($B$3,-Tabelle2[[#This Row],[Fd]]*Tabelle2[[#This Row],[vx]]/Tabelle2[[#This Row],[v]],0)</f>
        <v>0</v>
      </c>
      <c r="I1550">
        <f t="shared" si="264"/>
        <v>0</v>
      </c>
      <c r="J1550">
        <f t="shared" si="265"/>
        <v>0</v>
      </c>
      <c r="K1550">
        <f t="shared" si="266"/>
        <v>1.0467394398169905</v>
      </c>
      <c r="L1550">
        <f>-$B$5*$B$12-IF($B$3,Tabelle2[[#This Row],[Fd]]*Tabelle2[[#This Row],[vy]]/Tabelle2[[#This Row],[v]],0)</f>
        <v>-14.715</v>
      </c>
      <c r="M1550">
        <f t="shared" si="267"/>
        <v>-9.81</v>
      </c>
      <c r="N1550">
        <f t="shared" si="268"/>
        <v>-0.19620000000000001</v>
      </c>
      <c r="O1550">
        <f t="shared" si="269"/>
        <v>-4.8249345120881193</v>
      </c>
      <c r="P1550" s="1">
        <f t="shared" si="271"/>
        <v>52.336971990849527</v>
      </c>
      <c r="Q1550" s="1">
        <f t="shared" si="272"/>
        <v>-241.14862560440599</v>
      </c>
      <c r="R1550">
        <f>SQRT(Tabelle2[[#This Row],[vx]]*Tabelle2[[#This Row],[vx]]+Tabelle2[[#This Row],[vy]]*Tabelle2[[#This Row],[vy]])</f>
        <v>246.76267600280426</v>
      </c>
      <c r="S1550">
        <f t="shared" si="273"/>
        <v>1619.3059133968648</v>
      </c>
      <c r="T1550" s="1">
        <f t="shared" si="274"/>
        <v>-2763.9479934196079</v>
      </c>
    </row>
    <row r="1551" spans="6:20" x14ac:dyDescent="0.35">
      <c r="F1551" s="1">
        <f t="shared" si="270"/>
        <v>30.959999999999429</v>
      </c>
      <c r="G1551">
        <f>1/2*$B$8*$B$6*$B$7*(Tabelle2[[#This Row],[vx]]*Tabelle2[[#This Row],[vx]]+Tabelle2[[#This Row],[vy]]*Tabelle2[[#This Row],[vy]])/1000000</f>
        <v>107.8801246008458</v>
      </c>
      <c r="H1551">
        <f>IF($B$3,-Tabelle2[[#This Row],[Fd]]*Tabelle2[[#This Row],[vx]]/Tabelle2[[#This Row],[v]],0)</f>
        <v>0</v>
      </c>
      <c r="I1551">
        <f t="shared" si="264"/>
        <v>0</v>
      </c>
      <c r="J1551">
        <f t="shared" si="265"/>
        <v>0</v>
      </c>
      <c r="K1551">
        <f t="shared" si="266"/>
        <v>1.0467394398169905</v>
      </c>
      <c r="L1551">
        <f>-$B$5*$B$12-IF($B$3,Tabelle2[[#This Row],[Fd]]*Tabelle2[[#This Row],[vy]]/Tabelle2[[#This Row],[v]],0)</f>
        <v>-14.715</v>
      </c>
      <c r="M1551">
        <f t="shared" si="267"/>
        <v>-9.81</v>
      </c>
      <c r="N1551">
        <f t="shared" si="268"/>
        <v>-0.19620000000000001</v>
      </c>
      <c r="O1551">
        <f t="shared" si="269"/>
        <v>-4.8288585120881198</v>
      </c>
      <c r="P1551" s="1">
        <f t="shared" si="271"/>
        <v>52.336971990849527</v>
      </c>
      <c r="Q1551" s="1">
        <f t="shared" si="272"/>
        <v>-241.344825604406</v>
      </c>
      <c r="R1551">
        <f>SQRT(Tabelle2[[#This Row],[vx]]*Tabelle2[[#This Row],[vx]]+Tabelle2[[#This Row],[vy]]*Tabelle2[[#This Row],[vy]])</f>
        <v>246.95441580014744</v>
      </c>
      <c r="S1551">
        <f t="shared" si="273"/>
        <v>1620.3526528366817</v>
      </c>
      <c r="T1551" s="1">
        <f t="shared" si="274"/>
        <v>-2768.7729279316959</v>
      </c>
    </row>
    <row r="1552" spans="6:20" x14ac:dyDescent="0.35">
      <c r="F1552" s="1">
        <f t="shared" si="270"/>
        <v>30.979999999999428</v>
      </c>
      <c r="G1552">
        <f>1/2*$B$8*$B$6*$B$7*(Tabelle2[[#This Row],[vx]]*Tabelle2[[#This Row],[vx]]+Tabelle2[[#This Row],[vy]]*Tabelle2[[#This Row],[vy]])/1000000</f>
        <v>108.04771584712694</v>
      </c>
      <c r="H1552">
        <f>IF($B$3,-Tabelle2[[#This Row],[Fd]]*Tabelle2[[#This Row],[vx]]/Tabelle2[[#This Row],[v]],0)</f>
        <v>0</v>
      </c>
      <c r="I1552">
        <f t="shared" si="264"/>
        <v>0</v>
      </c>
      <c r="J1552">
        <f t="shared" si="265"/>
        <v>0</v>
      </c>
      <c r="K1552">
        <f t="shared" si="266"/>
        <v>1.0467394398169905</v>
      </c>
      <c r="L1552">
        <f>-$B$5*$B$12-IF($B$3,Tabelle2[[#This Row],[Fd]]*Tabelle2[[#This Row],[vy]]/Tabelle2[[#This Row],[v]],0)</f>
        <v>-14.715</v>
      </c>
      <c r="M1552">
        <f t="shared" si="267"/>
        <v>-9.81</v>
      </c>
      <c r="N1552">
        <f t="shared" si="268"/>
        <v>-0.19620000000000001</v>
      </c>
      <c r="O1552">
        <f t="shared" si="269"/>
        <v>-4.8327825120881203</v>
      </c>
      <c r="P1552" s="1">
        <f t="shared" si="271"/>
        <v>52.336971990849527</v>
      </c>
      <c r="Q1552" s="1">
        <f t="shared" si="272"/>
        <v>-241.541025604406</v>
      </c>
      <c r="R1552">
        <f>SQRT(Tabelle2[[#This Row],[vx]]*Tabelle2[[#This Row],[vx]]+Tabelle2[[#This Row],[vy]]*Tabelle2[[#This Row],[vy]])</f>
        <v>247.14616259857098</v>
      </c>
      <c r="S1552">
        <f t="shared" si="273"/>
        <v>1621.3993922764987</v>
      </c>
      <c r="T1552" s="1">
        <f t="shared" si="274"/>
        <v>-2773.601786443784</v>
      </c>
    </row>
    <row r="1553" spans="6:20" x14ac:dyDescent="0.35">
      <c r="F1553" s="1">
        <f t="shared" si="270"/>
        <v>30.999999999999428</v>
      </c>
      <c r="G1553">
        <f>1/2*$B$8*$B$6*$B$7*(Tabelle2[[#This Row],[vx]]*Tabelle2[[#This Row],[vx]]+Tabelle2[[#This Row],[vy]]*Tabelle2[[#This Row],[vy]])/1000000</f>
        <v>108.21544328046942</v>
      </c>
      <c r="H1553">
        <f>IF($B$3,-Tabelle2[[#This Row],[Fd]]*Tabelle2[[#This Row],[vx]]/Tabelle2[[#This Row],[v]],0)</f>
        <v>0</v>
      </c>
      <c r="I1553">
        <f t="shared" si="264"/>
        <v>0</v>
      </c>
      <c r="J1553">
        <f t="shared" si="265"/>
        <v>0</v>
      </c>
      <c r="K1553">
        <f t="shared" si="266"/>
        <v>1.0467394398169905</v>
      </c>
      <c r="L1553">
        <f>-$B$5*$B$12-IF($B$3,Tabelle2[[#This Row],[Fd]]*Tabelle2[[#This Row],[vy]]/Tabelle2[[#This Row],[v]],0)</f>
        <v>-14.715</v>
      </c>
      <c r="M1553">
        <f t="shared" si="267"/>
        <v>-9.81</v>
      </c>
      <c r="N1553">
        <f t="shared" si="268"/>
        <v>-0.19620000000000001</v>
      </c>
      <c r="O1553">
        <f t="shared" si="269"/>
        <v>-4.8367065120881199</v>
      </c>
      <c r="P1553" s="1">
        <f t="shared" si="271"/>
        <v>52.336971990849527</v>
      </c>
      <c r="Q1553" s="1">
        <f t="shared" si="272"/>
        <v>-241.73722560440601</v>
      </c>
      <c r="R1553">
        <f>SQRT(Tabelle2[[#This Row],[vx]]*Tabelle2[[#This Row],[vx]]+Tabelle2[[#This Row],[vy]]*Tabelle2[[#This Row],[vy]])</f>
        <v>247.33791638179227</v>
      </c>
      <c r="S1553">
        <f t="shared" si="273"/>
        <v>1622.4461317163157</v>
      </c>
      <c r="T1553" s="1">
        <f t="shared" si="274"/>
        <v>-2778.4345689558722</v>
      </c>
    </row>
    <row r="1554" spans="6:20" x14ac:dyDescent="0.35">
      <c r="F1554" s="1">
        <f t="shared" si="270"/>
        <v>31.019999999999428</v>
      </c>
      <c r="G1554">
        <f>1/2*$B$8*$B$6*$B$7*(Tabelle2[[#This Row],[vx]]*Tabelle2[[#This Row],[vx]]+Tabelle2[[#This Row],[vy]]*Tabelle2[[#This Row],[vy]])/1000000</f>
        <v>108.38330690087325</v>
      </c>
      <c r="H1554">
        <f>IF($B$3,-Tabelle2[[#This Row],[Fd]]*Tabelle2[[#This Row],[vx]]/Tabelle2[[#This Row],[v]],0)</f>
        <v>0</v>
      </c>
      <c r="I1554">
        <f t="shared" si="264"/>
        <v>0</v>
      </c>
      <c r="J1554">
        <f t="shared" si="265"/>
        <v>0</v>
      </c>
      <c r="K1554">
        <f t="shared" si="266"/>
        <v>1.0467394398169905</v>
      </c>
      <c r="L1554">
        <f>-$B$5*$B$12-IF($B$3,Tabelle2[[#This Row],[Fd]]*Tabelle2[[#This Row],[vy]]/Tabelle2[[#This Row],[v]],0)</f>
        <v>-14.715</v>
      </c>
      <c r="M1554">
        <f t="shared" si="267"/>
        <v>-9.81</v>
      </c>
      <c r="N1554">
        <f t="shared" si="268"/>
        <v>-0.19620000000000001</v>
      </c>
      <c r="O1554">
        <f t="shared" si="269"/>
        <v>-4.8406305120881203</v>
      </c>
      <c r="P1554" s="1">
        <f t="shared" si="271"/>
        <v>52.336971990849527</v>
      </c>
      <c r="Q1554" s="1">
        <f t="shared" si="272"/>
        <v>-241.93342560440601</v>
      </c>
      <c r="R1554">
        <f>SQRT(Tabelle2[[#This Row],[vx]]*Tabelle2[[#This Row],[vx]]+Tabelle2[[#This Row],[vy]]*Tabelle2[[#This Row],[vy]])</f>
        <v>247.52967713357853</v>
      </c>
      <c r="S1554">
        <f t="shared" si="273"/>
        <v>1623.4928711561327</v>
      </c>
      <c r="T1554" s="1">
        <f t="shared" si="274"/>
        <v>-2783.2712754679605</v>
      </c>
    </row>
    <row r="1555" spans="6:20" x14ac:dyDescent="0.35">
      <c r="F1555" s="1">
        <f t="shared" si="270"/>
        <v>31.039999999999427</v>
      </c>
      <c r="G1555">
        <f>1/2*$B$8*$B$6*$B$7*(Tabelle2[[#This Row],[vx]]*Tabelle2[[#This Row],[vx]]+Tabelle2[[#This Row],[vy]]*Tabelle2[[#This Row],[vy]])/1000000</f>
        <v>108.55130670833843</v>
      </c>
      <c r="H1555">
        <f>IF($B$3,-Tabelle2[[#This Row],[Fd]]*Tabelle2[[#This Row],[vx]]/Tabelle2[[#This Row],[v]],0)</f>
        <v>0</v>
      </c>
      <c r="I1555">
        <f t="shared" si="264"/>
        <v>0</v>
      </c>
      <c r="J1555">
        <f t="shared" si="265"/>
        <v>0</v>
      </c>
      <c r="K1555">
        <f t="shared" si="266"/>
        <v>1.0467394398169905</v>
      </c>
      <c r="L1555">
        <f>-$B$5*$B$12-IF($B$3,Tabelle2[[#This Row],[Fd]]*Tabelle2[[#This Row],[vy]]/Tabelle2[[#This Row],[v]],0)</f>
        <v>-14.715</v>
      </c>
      <c r="M1555">
        <f t="shared" si="267"/>
        <v>-9.81</v>
      </c>
      <c r="N1555">
        <f t="shared" si="268"/>
        <v>-0.19620000000000001</v>
      </c>
      <c r="O1555">
        <f t="shared" si="269"/>
        <v>-4.8445545120881199</v>
      </c>
      <c r="P1555" s="1">
        <f t="shared" si="271"/>
        <v>52.336971990849527</v>
      </c>
      <c r="Q1555" s="1">
        <f t="shared" si="272"/>
        <v>-242.12962560440602</v>
      </c>
      <c r="R1555">
        <f>SQRT(Tabelle2[[#This Row],[vx]]*Tabelle2[[#This Row],[vx]]+Tabelle2[[#This Row],[vy]]*Tabelle2[[#This Row],[vy]])</f>
        <v>247.72144483774673</v>
      </c>
      <c r="S1555">
        <f t="shared" si="273"/>
        <v>1624.5396105959496</v>
      </c>
      <c r="T1555" s="1">
        <f t="shared" si="274"/>
        <v>-2788.1119059800485</v>
      </c>
    </row>
    <row r="1556" spans="6:20" x14ac:dyDescent="0.35">
      <c r="F1556" s="1">
        <f t="shared" si="270"/>
        <v>31.059999999999427</v>
      </c>
      <c r="G1556">
        <f>1/2*$B$8*$B$6*$B$7*(Tabelle2[[#This Row],[vx]]*Tabelle2[[#This Row],[vx]]+Tabelle2[[#This Row],[vy]]*Tabelle2[[#This Row],[vy]])/1000000</f>
        <v>108.71944270286492</v>
      </c>
      <c r="H1556">
        <f>IF($B$3,-Tabelle2[[#This Row],[Fd]]*Tabelle2[[#This Row],[vx]]/Tabelle2[[#This Row],[v]],0)</f>
        <v>0</v>
      </c>
      <c r="I1556">
        <f t="shared" si="264"/>
        <v>0</v>
      </c>
      <c r="J1556">
        <f t="shared" si="265"/>
        <v>0</v>
      </c>
      <c r="K1556">
        <f t="shared" si="266"/>
        <v>1.0467394398169905</v>
      </c>
      <c r="L1556">
        <f>-$B$5*$B$12-IF($B$3,Tabelle2[[#This Row],[Fd]]*Tabelle2[[#This Row],[vy]]/Tabelle2[[#This Row],[v]],0)</f>
        <v>-14.715</v>
      </c>
      <c r="M1556">
        <f t="shared" si="267"/>
        <v>-9.81</v>
      </c>
      <c r="N1556">
        <f t="shared" si="268"/>
        <v>-0.19620000000000001</v>
      </c>
      <c r="O1556">
        <f t="shared" si="269"/>
        <v>-4.8484785120881204</v>
      </c>
      <c r="P1556" s="1">
        <f t="shared" si="271"/>
        <v>52.336971990849527</v>
      </c>
      <c r="Q1556" s="1">
        <f t="shared" si="272"/>
        <v>-242.32582560440602</v>
      </c>
      <c r="R1556">
        <f>SQRT(Tabelle2[[#This Row],[vx]]*Tabelle2[[#This Row],[vx]]+Tabelle2[[#This Row],[vy]]*Tabelle2[[#This Row],[vy]])</f>
        <v>247.91321947816331</v>
      </c>
      <c r="S1556">
        <f t="shared" si="273"/>
        <v>1625.5863500357666</v>
      </c>
      <c r="T1556" s="1">
        <f t="shared" si="274"/>
        <v>-2792.9564604921366</v>
      </c>
    </row>
    <row r="1557" spans="6:20" x14ac:dyDescent="0.35">
      <c r="F1557" s="1">
        <f t="shared" si="270"/>
        <v>31.079999999999426</v>
      </c>
      <c r="G1557">
        <f>1/2*$B$8*$B$6*$B$7*(Tabelle2[[#This Row],[vx]]*Tabelle2[[#This Row],[vx]]+Tabelle2[[#This Row],[vy]]*Tabelle2[[#This Row],[vy]])/1000000</f>
        <v>108.88771488445279</v>
      </c>
      <c r="H1557">
        <f>IF($B$3,-Tabelle2[[#This Row],[Fd]]*Tabelle2[[#This Row],[vx]]/Tabelle2[[#This Row],[v]],0)</f>
        <v>0</v>
      </c>
      <c r="I1557">
        <f t="shared" si="264"/>
        <v>0</v>
      </c>
      <c r="J1557">
        <f t="shared" si="265"/>
        <v>0</v>
      </c>
      <c r="K1557">
        <f t="shared" si="266"/>
        <v>1.0467394398169905</v>
      </c>
      <c r="L1557">
        <f>-$B$5*$B$12-IF($B$3,Tabelle2[[#This Row],[Fd]]*Tabelle2[[#This Row],[vy]]/Tabelle2[[#This Row],[v]],0)</f>
        <v>-14.715</v>
      </c>
      <c r="M1557">
        <f t="shared" si="267"/>
        <v>-9.81</v>
      </c>
      <c r="N1557">
        <f t="shared" si="268"/>
        <v>-0.19620000000000001</v>
      </c>
      <c r="O1557">
        <f t="shared" si="269"/>
        <v>-4.85240251208812</v>
      </c>
      <c r="P1557" s="1">
        <f t="shared" si="271"/>
        <v>52.336971990849527</v>
      </c>
      <c r="Q1557" s="1">
        <f t="shared" si="272"/>
        <v>-242.52202560440602</v>
      </c>
      <c r="R1557">
        <f>SQRT(Tabelle2[[#This Row],[vx]]*Tabelle2[[#This Row],[vx]]+Tabelle2[[#This Row],[vy]]*Tabelle2[[#This Row],[vy]])</f>
        <v>248.10500103874395</v>
      </c>
      <c r="S1557">
        <f t="shared" si="273"/>
        <v>1626.6330894755836</v>
      </c>
      <c r="T1557" s="1">
        <f t="shared" si="274"/>
        <v>-2797.8049390042247</v>
      </c>
    </row>
    <row r="1558" spans="6:20" x14ac:dyDescent="0.35">
      <c r="F1558" s="1">
        <f t="shared" si="270"/>
        <v>31.099999999999426</v>
      </c>
      <c r="G1558">
        <f>1/2*$B$8*$B$6*$B$7*(Tabelle2[[#This Row],[vx]]*Tabelle2[[#This Row],[vx]]+Tabelle2[[#This Row],[vy]]*Tabelle2[[#This Row],[vy]])/1000000</f>
        <v>109.056123253102</v>
      </c>
      <c r="H1558">
        <f>IF($B$3,-Tabelle2[[#This Row],[Fd]]*Tabelle2[[#This Row],[vx]]/Tabelle2[[#This Row],[v]],0)</f>
        <v>0</v>
      </c>
      <c r="I1558">
        <f t="shared" si="264"/>
        <v>0</v>
      </c>
      <c r="J1558">
        <f t="shared" si="265"/>
        <v>0</v>
      </c>
      <c r="K1558">
        <f t="shared" si="266"/>
        <v>1.0467394398169905</v>
      </c>
      <c r="L1558">
        <f>-$B$5*$B$12-IF($B$3,Tabelle2[[#This Row],[Fd]]*Tabelle2[[#This Row],[vy]]/Tabelle2[[#This Row],[v]],0)</f>
        <v>-14.715</v>
      </c>
      <c r="M1558">
        <f t="shared" si="267"/>
        <v>-9.81</v>
      </c>
      <c r="N1558">
        <f t="shared" si="268"/>
        <v>-0.19620000000000001</v>
      </c>
      <c r="O1558">
        <f t="shared" si="269"/>
        <v>-4.8563265120881205</v>
      </c>
      <c r="P1558" s="1">
        <f t="shared" si="271"/>
        <v>52.336971990849527</v>
      </c>
      <c r="Q1558" s="1">
        <f t="shared" si="272"/>
        <v>-242.71822560440603</v>
      </c>
      <c r="R1558">
        <f>SQRT(Tabelle2[[#This Row],[vx]]*Tabelle2[[#This Row],[vx]]+Tabelle2[[#This Row],[vy]]*Tabelle2[[#This Row],[vy]])</f>
        <v>248.29678950345354</v>
      </c>
      <c r="S1558">
        <f t="shared" si="273"/>
        <v>1627.6798289154005</v>
      </c>
      <c r="T1558" s="1">
        <f t="shared" si="274"/>
        <v>-2802.657341516313</v>
      </c>
    </row>
    <row r="1559" spans="6:20" x14ac:dyDescent="0.35">
      <c r="F1559" s="1">
        <f t="shared" si="270"/>
        <v>31.119999999999425</v>
      </c>
      <c r="G1559">
        <f>1/2*$B$8*$B$6*$B$7*(Tabelle2[[#This Row],[vx]]*Tabelle2[[#This Row],[vx]]+Tabelle2[[#This Row],[vy]]*Tabelle2[[#This Row],[vy]])/1000000</f>
        <v>109.22466780881254</v>
      </c>
      <c r="H1559">
        <f>IF($B$3,-Tabelle2[[#This Row],[Fd]]*Tabelle2[[#This Row],[vx]]/Tabelle2[[#This Row],[v]],0)</f>
        <v>0</v>
      </c>
      <c r="I1559">
        <f t="shared" si="264"/>
        <v>0</v>
      </c>
      <c r="J1559">
        <f t="shared" si="265"/>
        <v>0</v>
      </c>
      <c r="K1559">
        <f t="shared" si="266"/>
        <v>1.0467394398169905</v>
      </c>
      <c r="L1559">
        <f>-$B$5*$B$12-IF($B$3,Tabelle2[[#This Row],[Fd]]*Tabelle2[[#This Row],[vy]]/Tabelle2[[#This Row],[v]],0)</f>
        <v>-14.715</v>
      </c>
      <c r="M1559">
        <f t="shared" si="267"/>
        <v>-9.81</v>
      </c>
      <c r="N1559">
        <f t="shared" si="268"/>
        <v>-0.19620000000000001</v>
      </c>
      <c r="O1559">
        <f t="shared" si="269"/>
        <v>-4.860250512088121</v>
      </c>
      <c r="P1559" s="1">
        <f t="shared" si="271"/>
        <v>52.336971990849527</v>
      </c>
      <c r="Q1559" s="1">
        <f t="shared" si="272"/>
        <v>-242.91442560440603</v>
      </c>
      <c r="R1559">
        <f>SQRT(Tabelle2[[#This Row],[vx]]*Tabelle2[[#This Row],[vx]]+Tabelle2[[#This Row],[vy]]*Tabelle2[[#This Row],[vy]])</f>
        <v>248.48858485630578</v>
      </c>
      <c r="S1559">
        <f t="shared" si="273"/>
        <v>1628.7265683552175</v>
      </c>
      <c r="T1559" s="1">
        <f t="shared" si="274"/>
        <v>-2807.5136680284013</v>
      </c>
    </row>
    <row r="1560" spans="6:20" x14ac:dyDescent="0.35">
      <c r="F1560" s="1">
        <f t="shared" si="270"/>
        <v>31.139999999999425</v>
      </c>
      <c r="G1560">
        <f>1/2*$B$8*$B$6*$B$7*(Tabelle2[[#This Row],[vx]]*Tabelle2[[#This Row],[vx]]+Tabelle2[[#This Row],[vy]]*Tabelle2[[#This Row],[vy]])/1000000</f>
        <v>109.39334855158444</v>
      </c>
      <c r="H1560">
        <f>IF($B$3,-Tabelle2[[#This Row],[Fd]]*Tabelle2[[#This Row],[vx]]/Tabelle2[[#This Row],[v]],0)</f>
        <v>0</v>
      </c>
      <c r="I1560">
        <f t="shared" si="264"/>
        <v>0</v>
      </c>
      <c r="J1560">
        <f t="shared" si="265"/>
        <v>0</v>
      </c>
      <c r="K1560">
        <f t="shared" si="266"/>
        <v>1.0467394398169905</v>
      </c>
      <c r="L1560">
        <f>-$B$5*$B$12-IF($B$3,Tabelle2[[#This Row],[Fd]]*Tabelle2[[#This Row],[vy]]/Tabelle2[[#This Row],[v]],0)</f>
        <v>-14.715</v>
      </c>
      <c r="M1560">
        <f t="shared" si="267"/>
        <v>-9.81</v>
      </c>
      <c r="N1560">
        <f t="shared" si="268"/>
        <v>-0.19620000000000001</v>
      </c>
      <c r="O1560">
        <f t="shared" si="269"/>
        <v>-4.8641745120881206</v>
      </c>
      <c r="P1560" s="1">
        <f t="shared" si="271"/>
        <v>52.336971990849527</v>
      </c>
      <c r="Q1560" s="1">
        <f t="shared" si="272"/>
        <v>-243.11062560440604</v>
      </c>
      <c r="R1560">
        <f>SQRT(Tabelle2[[#This Row],[vx]]*Tabelle2[[#This Row],[vx]]+Tabelle2[[#This Row],[vy]]*Tabelle2[[#This Row],[vy]])</f>
        <v>248.68038708136325</v>
      </c>
      <c r="S1560">
        <f t="shared" si="273"/>
        <v>1629.7733077950345</v>
      </c>
      <c r="T1560" s="1">
        <f t="shared" si="274"/>
        <v>-2812.3739185404893</v>
      </c>
    </row>
    <row r="1561" spans="6:20" x14ac:dyDescent="0.35">
      <c r="F1561" s="1">
        <f t="shared" si="270"/>
        <v>31.159999999999425</v>
      </c>
      <c r="G1561">
        <f>1/2*$B$8*$B$6*$B$7*(Tabelle2[[#This Row],[vx]]*Tabelle2[[#This Row],[vx]]+Tabelle2[[#This Row],[vy]]*Tabelle2[[#This Row],[vy]])/1000000</f>
        <v>109.56216548141768</v>
      </c>
      <c r="H1561">
        <f>IF($B$3,-Tabelle2[[#This Row],[Fd]]*Tabelle2[[#This Row],[vx]]/Tabelle2[[#This Row],[v]],0)</f>
        <v>0</v>
      </c>
      <c r="I1561">
        <f t="shared" si="264"/>
        <v>0</v>
      </c>
      <c r="J1561">
        <f t="shared" si="265"/>
        <v>0</v>
      </c>
      <c r="K1561">
        <f t="shared" si="266"/>
        <v>1.0467394398169905</v>
      </c>
      <c r="L1561">
        <f>-$B$5*$B$12-IF($B$3,Tabelle2[[#This Row],[Fd]]*Tabelle2[[#This Row],[vy]]/Tabelle2[[#This Row],[v]],0)</f>
        <v>-14.715</v>
      </c>
      <c r="M1561">
        <f t="shared" si="267"/>
        <v>-9.81</v>
      </c>
      <c r="N1561">
        <f t="shared" si="268"/>
        <v>-0.19620000000000001</v>
      </c>
      <c r="O1561">
        <f t="shared" si="269"/>
        <v>-4.8680985120881211</v>
      </c>
      <c r="P1561" s="1">
        <f t="shared" si="271"/>
        <v>52.336971990849527</v>
      </c>
      <c r="Q1561" s="1">
        <f t="shared" si="272"/>
        <v>-243.30682560440604</v>
      </c>
      <c r="R1561">
        <f>SQRT(Tabelle2[[#This Row],[vx]]*Tabelle2[[#This Row],[vx]]+Tabelle2[[#This Row],[vy]]*Tabelle2[[#This Row],[vy]])</f>
        <v>248.87219616273697</v>
      </c>
      <c r="S1561">
        <f t="shared" si="273"/>
        <v>1630.8200472348515</v>
      </c>
      <c r="T1561" s="1">
        <f t="shared" si="274"/>
        <v>-2817.2380930525774</v>
      </c>
    </row>
    <row r="1562" spans="6:20" x14ac:dyDescent="0.35">
      <c r="F1562" s="1">
        <f t="shared" si="270"/>
        <v>31.179999999999424</v>
      </c>
      <c r="G1562">
        <f>1/2*$B$8*$B$6*$B$7*(Tabelle2[[#This Row],[vx]]*Tabelle2[[#This Row],[vx]]+Tabelle2[[#This Row],[vy]]*Tabelle2[[#This Row],[vy]])/1000000</f>
        <v>109.73111859831226</v>
      </c>
      <c r="H1562">
        <f>IF($B$3,-Tabelle2[[#This Row],[Fd]]*Tabelle2[[#This Row],[vx]]/Tabelle2[[#This Row],[v]],0)</f>
        <v>0</v>
      </c>
      <c r="I1562">
        <f t="shared" si="264"/>
        <v>0</v>
      </c>
      <c r="J1562">
        <f t="shared" si="265"/>
        <v>0</v>
      </c>
      <c r="K1562">
        <f t="shared" si="266"/>
        <v>1.0467394398169905</v>
      </c>
      <c r="L1562">
        <f>-$B$5*$B$12-IF($B$3,Tabelle2[[#This Row],[Fd]]*Tabelle2[[#This Row],[vy]]/Tabelle2[[#This Row],[v]],0)</f>
        <v>-14.715</v>
      </c>
      <c r="M1562">
        <f t="shared" si="267"/>
        <v>-9.81</v>
      </c>
      <c r="N1562">
        <f t="shared" si="268"/>
        <v>-0.19620000000000001</v>
      </c>
      <c r="O1562">
        <f t="shared" si="269"/>
        <v>-4.8720225120881206</v>
      </c>
      <c r="P1562" s="1">
        <f t="shared" si="271"/>
        <v>52.336971990849527</v>
      </c>
      <c r="Q1562" s="1">
        <f t="shared" si="272"/>
        <v>-243.50302560440605</v>
      </c>
      <c r="R1562">
        <f>SQRT(Tabelle2[[#This Row],[vx]]*Tabelle2[[#This Row],[vx]]+Tabelle2[[#This Row],[vy]]*Tabelle2[[#This Row],[vy]])</f>
        <v>249.06401208458638</v>
      </c>
      <c r="S1562">
        <f t="shared" si="273"/>
        <v>1631.8667866746684</v>
      </c>
      <c r="T1562" s="1">
        <f t="shared" si="274"/>
        <v>-2822.1061915646656</v>
      </c>
    </row>
    <row r="1563" spans="6:20" x14ac:dyDescent="0.35">
      <c r="F1563" s="1">
        <f t="shared" si="270"/>
        <v>31.199999999999424</v>
      </c>
      <c r="G1563">
        <f>1/2*$B$8*$B$6*$B$7*(Tabelle2[[#This Row],[vx]]*Tabelle2[[#This Row],[vx]]+Tabelle2[[#This Row],[vy]]*Tabelle2[[#This Row],[vy]])/1000000</f>
        <v>109.90020790226819</v>
      </c>
      <c r="H1563">
        <f>IF($B$3,-Tabelle2[[#This Row],[Fd]]*Tabelle2[[#This Row],[vx]]/Tabelle2[[#This Row],[v]],0)</f>
        <v>0</v>
      </c>
      <c r="I1563">
        <f t="shared" si="264"/>
        <v>0</v>
      </c>
      <c r="J1563">
        <f t="shared" si="265"/>
        <v>0</v>
      </c>
      <c r="K1563">
        <f t="shared" si="266"/>
        <v>1.0467394398169905</v>
      </c>
      <c r="L1563">
        <f>-$B$5*$B$12-IF($B$3,Tabelle2[[#This Row],[Fd]]*Tabelle2[[#This Row],[vy]]/Tabelle2[[#This Row],[v]],0)</f>
        <v>-14.715</v>
      </c>
      <c r="M1563">
        <f t="shared" si="267"/>
        <v>-9.81</v>
      </c>
      <c r="N1563">
        <f t="shared" si="268"/>
        <v>-0.19620000000000001</v>
      </c>
      <c r="O1563">
        <f t="shared" si="269"/>
        <v>-4.8759465120881211</v>
      </c>
      <c r="P1563" s="1">
        <f t="shared" si="271"/>
        <v>52.336971990849527</v>
      </c>
      <c r="Q1563" s="1">
        <f t="shared" si="272"/>
        <v>-243.69922560440605</v>
      </c>
      <c r="R1563">
        <f>SQRT(Tabelle2[[#This Row],[vx]]*Tabelle2[[#This Row],[vx]]+Tabelle2[[#This Row],[vy]]*Tabelle2[[#This Row],[vy]])</f>
        <v>249.25583483111919</v>
      </c>
      <c r="S1563">
        <f t="shared" si="273"/>
        <v>1632.9135261144854</v>
      </c>
      <c r="T1563" s="1">
        <f t="shared" si="274"/>
        <v>-2826.9782140767538</v>
      </c>
    </row>
    <row r="1564" spans="6:20" x14ac:dyDescent="0.35">
      <c r="F1564" s="1">
        <f t="shared" si="270"/>
        <v>31.219999999999423</v>
      </c>
      <c r="G1564">
        <f>1/2*$B$8*$B$6*$B$7*(Tabelle2[[#This Row],[vx]]*Tabelle2[[#This Row],[vx]]+Tabelle2[[#This Row],[vy]]*Tabelle2[[#This Row],[vy]])/1000000</f>
        <v>110.06943339328545</v>
      </c>
      <c r="H1564">
        <f>IF($B$3,-Tabelle2[[#This Row],[Fd]]*Tabelle2[[#This Row],[vx]]/Tabelle2[[#This Row],[v]],0)</f>
        <v>0</v>
      </c>
      <c r="I1564">
        <f t="shared" si="264"/>
        <v>0</v>
      </c>
      <c r="J1564">
        <f t="shared" si="265"/>
        <v>0</v>
      </c>
      <c r="K1564">
        <f t="shared" si="266"/>
        <v>1.0467394398169905</v>
      </c>
      <c r="L1564">
        <f>-$B$5*$B$12-IF($B$3,Tabelle2[[#This Row],[Fd]]*Tabelle2[[#This Row],[vy]]/Tabelle2[[#This Row],[v]],0)</f>
        <v>-14.715</v>
      </c>
      <c r="M1564">
        <f t="shared" si="267"/>
        <v>-9.81</v>
      </c>
      <c r="N1564">
        <f t="shared" si="268"/>
        <v>-0.19620000000000001</v>
      </c>
      <c r="O1564">
        <f t="shared" si="269"/>
        <v>-4.8798705120881207</v>
      </c>
      <c r="P1564" s="1">
        <f t="shared" si="271"/>
        <v>52.336971990849527</v>
      </c>
      <c r="Q1564" s="1">
        <f t="shared" si="272"/>
        <v>-243.89542560440606</v>
      </c>
      <c r="R1564">
        <f>SQRT(Tabelle2[[#This Row],[vx]]*Tabelle2[[#This Row],[vx]]+Tabelle2[[#This Row],[vy]]*Tabelle2[[#This Row],[vy]])</f>
        <v>249.44766438659099</v>
      </c>
      <c r="S1564">
        <f t="shared" si="273"/>
        <v>1633.9602655543024</v>
      </c>
      <c r="T1564" s="1">
        <f t="shared" si="274"/>
        <v>-2831.8541605888418</v>
      </c>
    </row>
    <row r="1565" spans="6:20" x14ac:dyDescent="0.35">
      <c r="F1565" s="1">
        <f t="shared" si="270"/>
        <v>31.239999999999423</v>
      </c>
      <c r="G1565">
        <f>1/2*$B$8*$B$6*$B$7*(Tabelle2[[#This Row],[vx]]*Tabelle2[[#This Row],[vx]]+Tabelle2[[#This Row],[vy]]*Tabelle2[[#This Row],[vy]])/1000000</f>
        <v>110.23879507136408</v>
      </c>
      <c r="H1565">
        <f>IF($B$3,-Tabelle2[[#This Row],[Fd]]*Tabelle2[[#This Row],[vx]]/Tabelle2[[#This Row],[v]],0)</f>
        <v>0</v>
      </c>
      <c r="I1565">
        <f t="shared" si="264"/>
        <v>0</v>
      </c>
      <c r="J1565">
        <f t="shared" si="265"/>
        <v>0</v>
      </c>
      <c r="K1565">
        <f t="shared" si="266"/>
        <v>1.0467394398169905</v>
      </c>
      <c r="L1565">
        <f>-$B$5*$B$12-IF($B$3,Tabelle2[[#This Row],[Fd]]*Tabelle2[[#This Row],[vy]]/Tabelle2[[#This Row],[v]],0)</f>
        <v>-14.715</v>
      </c>
      <c r="M1565">
        <f t="shared" si="267"/>
        <v>-9.81</v>
      </c>
      <c r="N1565">
        <f t="shared" si="268"/>
        <v>-0.19620000000000001</v>
      </c>
      <c r="O1565">
        <f t="shared" si="269"/>
        <v>-4.8837945120881212</v>
      </c>
      <c r="P1565" s="1">
        <f t="shared" si="271"/>
        <v>52.336971990849527</v>
      </c>
      <c r="Q1565" s="1">
        <f t="shared" si="272"/>
        <v>-244.09162560440606</v>
      </c>
      <c r="R1565">
        <f>SQRT(Tabelle2[[#This Row],[vx]]*Tabelle2[[#This Row],[vx]]+Tabelle2[[#This Row],[vy]]*Tabelle2[[#This Row],[vy]])</f>
        <v>249.63950073530535</v>
      </c>
      <c r="S1565">
        <f t="shared" si="273"/>
        <v>1635.0070049941194</v>
      </c>
      <c r="T1565" s="1">
        <f t="shared" si="274"/>
        <v>-2836.7340311009298</v>
      </c>
    </row>
    <row r="1566" spans="6:20" x14ac:dyDescent="0.35">
      <c r="F1566" s="1">
        <f t="shared" si="270"/>
        <v>31.259999999999422</v>
      </c>
      <c r="G1566">
        <f>1/2*$B$8*$B$6*$B$7*(Tabelle2[[#This Row],[vx]]*Tabelle2[[#This Row],[vx]]+Tabelle2[[#This Row],[vy]]*Tabelle2[[#This Row],[vy]])/1000000</f>
        <v>110.40829293650403</v>
      </c>
      <c r="H1566">
        <f>IF($B$3,-Tabelle2[[#This Row],[Fd]]*Tabelle2[[#This Row],[vx]]/Tabelle2[[#This Row],[v]],0)</f>
        <v>0</v>
      </c>
      <c r="I1566">
        <f t="shared" si="264"/>
        <v>0</v>
      </c>
      <c r="J1566">
        <f t="shared" si="265"/>
        <v>0</v>
      </c>
      <c r="K1566">
        <f t="shared" si="266"/>
        <v>1.0467394398169905</v>
      </c>
      <c r="L1566">
        <f>-$B$5*$B$12-IF($B$3,Tabelle2[[#This Row],[Fd]]*Tabelle2[[#This Row],[vy]]/Tabelle2[[#This Row],[v]],0)</f>
        <v>-14.715</v>
      </c>
      <c r="M1566">
        <f t="shared" si="267"/>
        <v>-9.81</v>
      </c>
      <c r="N1566">
        <f t="shared" si="268"/>
        <v>-0.19620000000000001</v>
      </c>
      <c r="O1566">
        <f t="shared" si="269"/>
        <v>-4.8877185120881208</v>
      </c>
      <c r="P1566" s="1">
        <f t="shared" si="271"/>
        <v>52.336971990849527</v>
      </c>
      <c r="Q1566" s="1">
        <f t="shared" si="272"/>
        <v>-244.28782560440607</v>
      </c>
      <c r="R1566">
        <f>SQRT(Tabelle2[[#This Row],[vx]]*Tabelle2[[#This Row],[vx]]+Tabelle2[[#This Row],[vy]]*Tabelle2[[#This Row],[vy]])</f>
        <v>249.83134386161333</v>
      </c>
      <c r="S1566">
        <f t="shared" si="273"/>
        <v>1636.0537444339363</v>
      </c>
      <c r="T1566" s="1">
        <f t="shared" si="274"/>
        <v>-2841.6178256130179</v>
      </c>
    </row>
    <row r="1567" spans="6:20" x14ac:dyDescent="0.35">
      <c r="F1567" s="1">
        <f t="shared" si="270"/>
        <v>31.279999999999422</v>
      </c>
      <c r="G1567">
        <f>1/2*$B$8*$B$6*$B$7*(Tabelle2[[#This Row],[vx]]*Tabelle2[[#This Row],[vx]]+Tabelle2[[#This Row],[vy]]*Tabelle2[[#This Row],[vy]])/1000000</f>
        <v>110.57792698870533</v>
      </c>
      <c r="H1567">
        <f>IF($B$3,-Tabelle2[[#This Row],[Fd]]*Tabelle2[[#This Row],[vx]]/Tabelle2[[#This Row],[v]],0)</f>
        <v>0</v>
      </c>
      <c r="I1567">
        <f t="shared" si="264"/>
        <v>0</v>
      </c>
      <c r="J1567">
        <f t="shared" si="265"/>
        <v>0</v>
      </c>
      <c r="K1567">
        <f t="shared" si="266"/>
        <v>1.0467394398169905</v>
      </c>
      <c r="L1567">
        <f>-$B$5*$B$12-IF($B$3,Tabelle2[[#This Row],[Fd]]*Tabelle2[[#This Row],[vy]]/Tabelle2[[#This Row],[v]],0)</f>
        <v>-14.715</v>
      </c>
      <c r="M1567">
        <f t="shared" si="267"/>
        <v>-9.81</v>
      </c>
      <c r="N1567">
        <f t="shared" si="268"/>
        <v>-0.19620000000000001</v>
      </c>
      <c r="O1567">
        <f t="shared" si="269"/>
        <v>-4.8916425120881213</v>
      </c>
      <c r="P1567" s="1">
        <f t="shared" si="271"/>
        <v>52.336971990849527</v>
      </c>
      <c r="Q1567" s="1">
        <f t="shared" si="272"/>
        <v>-244.48402560440607</v>
      </c>
      <c r="R1567">
        <f>SQRT(Tabelle2[[#This Row],[vx]]*Tabelle2[[#This Row],[vx]]+Tabelle2[[#This Row],[vy]]*Tabelle2[[#This Row],[vy]])</f>
        <v>250.02319374991364</v>
      </c>
      <c r="S1567">
        <f t="shared" si="273"/>
        <v>1637.1004838737533</v>
      </c>
      <c r="T1567" s="1">
        <f t="shared" si="274"/>
        <v>-2846.5055441251061</v>
      </c>
    </row>
    <row r="1568" spans="6:20" x14ac:dyDescent="0.35">
      <c r="F1568" s="1">
        <f t="shared" si="270"/>
        <v>31.299999999999422</v>
      </c>
      <c r="G1568">
        <f>1/2*$B$8*$B$6*$B$7*(Tabelle2[[#This Row],[vx]]*Tabelle2[[#This Row],[vx]]+Tabelle2[[#This Row],[vy]]*Tabelle2[[#This Row],[vy]])/1000000</f>
        <v>110.74769722796796</v>
      </c>
      <c r="H1568">
        <f>IF($B$3,-Tabelle2[[#This Row],[Fd]]*Tabelle2[[#This Row],[vx]]/Tabelle2[[#This Row],[v]],0)</f>
        <v>0</v>
      </c>
      <c r="I1568">
        <f t="shared" si="264"/>
        <v>0</v>
      </c>
      <c r="J1568">
        <f t="shared" si="265"/>
        <v>0</v>
      </c>
      <c r="K1568">
        <f t="shared" si="266"/>
        <v>1.0467394398169905</v>
      </c>
      <c r="L1568">
        <f>-$B$5*$B$12-IF($B$3,Tabelle2[[#This Row],[Fd]]*Tabelle2[[#This Row],[vy]]/Tabelle2[[#This Row],[v]],0)</f>
        <v>-14.715</v>
      </c>
      <c r="M1568">
        <f t="shared" si="267"/>
        <v>-9.81</v>
      </c>
      <c r="N1568">
        <f t="shared" si="268"/>
        <v>-0.19620000000000001</v>
      </c>
      <c r="O1568">
        <f t="shared" si="269"/>
        <v>-4.8955665120881218</v>
      </c>
      <c r="P1568" s="1">
        <f t="shared" si="271"/>
        <v>52.336971990849527</v>
      </c>
      <c r="Q1568" s="1">
        <f t="shared" si="272"/>
        <v>-244.68022560440608</v>
      </c>
      <c r="R1568">
        <f>SQRT(Tabelle2[[#This Row],[vx]]*Tabelle2[[#This Row],[vx]]+Tabelle2[[#This Row],[vy]]*Tabelle2[[#This Row],[vy]])</f>
        <v>250.21505038465219</v>
      </c>
      <c r="S1568">
        <f t="shared" si="273"/>
        <v>1638.1472233135703</v>
      </c>
      <c r="T1568" s="1">
        <f t="shared" si="274"/>
        <v>-2851.3971866371944</v>
      </c>
    </row>
    <row r="1569" spans="6:20" x14ac:dyDescent="0.35">
      <c r="F1569" s="1">
        <f t="shared" si="270"/>
        <v>31.319999999999421</v>
      </c>
      <c r="G1569">
        <f>1/2*$B$8*$B$6*$B$7*(Tabelle2[[#This Row],[vx]]*Tabelle2[[#This Row],[vx]]+Tabelle2[[#This Row],[vy]]*Tabelle2[[#This Row],[vy]])/1000000</f>
        <v>110.91760365429195</v>
      </c>
      <c r="H1569">
        <f>IF($B$3,-Tabelle2[[#This Row],[Fd]]*Tabelle2[[#This Row],[vx]]/Tabelle2[[#This Row],[v]],0)</f>
        <v>0</v>
      </c>
      <c r="I1569">
        <f t="shared" si="264"/>
        <v>0</v>
      </c>
      <c r="J1569">
        <f t="shared" si="265"/>
        <v>0</v>
      </c>
      <c r="K1569">
        <f t="shared" si="266"/>
        <v>1.0467394398169905</v>
      </c>
      <c r="L1569">
        <f>-$B$5*$B$12-IF($B$3,Tabelle2[[#This Row],[Fd]]*Tabelle2[[#This Row],[vy]]/Tabelle2[[#This Row],[v]],0)</f>
        <v>-14.715</v>
      </c>
      <c r="M1569">
        <f t="shared" si="267"/>
        <v>-9.81</v>
      </c>
      <c r="N1569">
        <f t="shared" si="268"/>
        <v>-0.19620000000000001</v>
      </c>
      <c r="O1569">
        <f t="shared" si="269"/>
        <v>-4.8994905120881214</v>
      </c>
      <c r="P1569" s="1">
        <f t="shared" si="271"/>
        <v>52.336971990849527</v>
      </c>
      <c r="Q1569" s="1">
        <f t="shared" si="272"/>
        <v>-244.87642560440608</v>
      </c>
      <c r="R1569">
        <f>SQRT(Tabelle2[[#This Row],[vx]]*Tabelle2[[#This Row],[vx]]+Tabelle2[[#This Row],[vy]]*Tabelle2[[#This Row],[vy]])</f>
        <v>250.40691375032199</v>
      </c>
      <c r="S1569">
        <f t="shared" si="273"/>
        <v>1639.1939627533873</v>
      </c>
      <c r="T1569" s="1">
        <f t="shared" si="274"/>
        <v>-2856.2927531492824</v>
      </c>
    </row>
    <row r="1570" spans="6:20" x14ac:dyDescent="0.35">
      <c r="F1570" s="1">
        <f t="shared" si="270"/>
        <v>31.339999999999421</v>
      </c>
      <c r="G1570">
        <f>1/2*$B$8*$B$6*$B$7*(Tabelle2[[#This Row],[vx]]*Tabelle2[[#This Row],[vx]]+Tabelle2[[#This Row],[vy]]*Tabelle2[[#This Row],[vy]])/1000000</f>
        <v>111.08764626767729</v>
      </c>
      <c r="H1570">
        <f>IF($B$3,-Tabelle2[[#This Row],[Fd]]*Tabelle2[[#This Row],[vx]]/Tabelle2[[#This Row],[v]],0)</f>
        <v>0</v>
      </c>
      <c r="I1570">
        <f t="shared" si="264"/>
        <v>0</v>
      </c>
      <c r="J1570">
        <f t="shared" si="265"/>
        <v>0</v>
      </c>
      <c r="K1570">
        <f t="shared" si="266"/>
        <v>1.0467394398169905</v>
      </c>
      <c r="L1570">
        <f>-$B$5*$B$12-IF($B$3,Tabelle2[[#This Row],[Fd]]*Tabelle2[[#This Row],[vy]]/Tabelle2[[#This Row],[v]],0)</f>
        <v>-14.715</v>
      </c>
      <c r="M1570">
        <f t="shared" si="267"/>
        <v>-9.81</v>
      </c>
      <c r="N1570">
        <f t="shared" si="268"/>
        <v>-0.19620000000000001</v>
      </c>
      <c r="O1570">
        <f t="shared" si="269"/>
        <v>-4.9034145120881218</v>
      </c>
      <c r="P1570" s="1">
        <f t="shared" si="271"/>
        <v>52.336971990849527</v>
      </c>
      <c r="Q1570" s="1">
        <f t="shared" si="272"/>
        <v>-245.07262560440608</v>
      </c>
      <c r="R1570">
        <f>SQRT(Tabelle2[[#This Row],[vx]]*Tabelle2[[#This Row],[vx]]+Tabelle2[[#This Row],[vy]]*Tabelle2[[#This Row],[vy]])</f>
        <v>250.59878383146309</v>
      </c>
      <c r="S1570">
        <f t="shared" si="273"/>
        <v>1640.2407021932042</v>
      </c>
      <c r="T1570" s="1">
        <f t="shared" si="274"/>
        <v>-2861.1922436613704</v>
      </c>
    </row>
    <row r="1571" spans="6:20" x14ac:dyDescent="0.35">
      <c r="F1571" s="1">
        <f t="shared" si="270"/>
        <v>31.35999999999942</v>
      </c>
      <c r="G1571">
        <f>1/2*$B$8*$B$6*$B$7*(Tabelle2[[#This Row],[vx]]*Tabelle2[[#This Row],[vx]]+Tabelle2[[#This Row],[vy]]*Tabelle2[[#This Row],[vy]])/1000000</f>
        <v>111.25782506812396</v>
      </c>
      <c r="H1571">
        <f>IF($B$3,-Tabelle2[[#This Row],[Fd]]*Tabelle2[[#This Row],[vx]]/Tabelle2[[#This Row],[v]],0)</f>
        <v>0</v>
      </c>
      <c r="I1571">
        <f t="shared" si="264"/>
        <v>0</v>
      </c>
      <c r="J1571">
        <f t="shared" si="265"/>
        <v>0</v>
      </c>
      <c r="K1571">
        <f t="shared" si="266"/>
        <v>1.0467394398169905</v>
      </c>
      <c r="L1571">
        <f>-$B$5*$B$12-IF($B$3,Tabelle2[[#This Row],[Fd]]*Tabelle2[[#This Row],[vy]]/Tabelle2[[#This Row],[v]],0)</f>
        <v>-14.715</v>
      </c>
      <c r="M1571">
        <f t="shared" si="267"/>
        <v>-9.81</v>
      </c>
      <c r="N1571">
        <f t="shared" si="268"/>
        <v>-0.19620000000000001</v>
      </c>
      <c r="O1571">
        <f t="shared" si="269"/>
        <v>-4.9073385120881214</v>
      </c>
      <c r="P1571" s="1">
        <f t="shared" si="271"/>
        <v>52.336971990849527</v>
      </c>
      <c r="Q1571" s="1">
        <f t="shared" si="272"/>
        <v>-245.26882560440609</v>
      </c>
      <c r="R1571">
        <f>SQRT(Tabelle2[[#This Row],[vx]]*Tabelle2[[#This Row],[vx]]+Tabelle2[[#This Row],[vy]]*Tabelle2[[#This Row],[vy]])</f>
        <v>250.79066061266226</v>
      </c>
      <c r="S1571">
        <f t="shared" si="273"/>
        <v>1641.2874416330212</v>
      </c>
      <c r="T1571" s="1">
        <f t="shared" si="274"/>
        <v>-2866.0956581734586</v>
      </c>
    </row>
    <row r="1572" spans="6:20" x14ac:dyDescent="0.35">
      <c r="F1572" s="1">
        <f t="shared" si="270"/>
        <v>31.37999999999942</v>
      </c>
      <c r="G1572">
        <f>1/2*$B$8*$B$6*$B$7*(Tabelle2[[#This Row],[vx]]*Tabelle2[[#This Row],[vx]]+Tabelle2[[#This Row],[vy]]*Tabelle2[[#This Row],[vy]])/1000000</f>
        <v>111.428140055632</v>
      </c>
      <c r="H1572">
        <f>IF($B$3,-Tabelle2[[#This Row],[Fd]]*Tabelle2[[#This Row],[vx]]/Tabelle2[[#This Row],[v]],0)</f>
        <v>0</v>
      </c>
      <c r="I1572">
        <f t="shared" si="264"/>
        <v>0</v>
      </c>
      <c r="J1572">
        <f t="shared" si="265"/>
        <v>0</v>
      </c>
      <c r="K1572">
        <f t="shared" si="266"/>
        <v>1.0467394398169905</v>
      </c>
      <c r="L1572">
        <f>-$B$5*$B$12-IF($B$3,Tabelle2[[#This Row],[Fd]]*Tabelle2[[#This Row],[vy]]/Tabelle2[[#This Row],[v]],0)</f>
        <v>-14.715</v>
      </c>
      <c r="M1572">
        <f t="shared" si="267"/>
        <v>-9.81</v>
      </c>
      <c r="N1572">
        <f t="shared" si="268"/>
        <v>-0.19620000000000001</v>
      </c>
      <c r="O1572">
        <f t="shared" si="269"/>
        <v>-4.9112625120881219</v>
      </c>
      <c r="P1572" s="1">
        <f t="shared" si="271"/>
        <v>52.336971990849527</v>
      </c>
      <c r="Q1572" s="1">
        <f t="shared" si="272"/>
        <v>-245.46502560440609</v>
      </c>
      <c r="R1572">
        <f>SQRT(Tabelle2[[#This Row],[vx]]*Tabelle2[[#This Row],[vx]]+Tabelle2[[#This Row],[vy]]*Tabelle2[[#This Row],[vy]])</f>
        <v>250.98254407855282</v>
      </c>
      <c r="S1572">
        <f t="shared" si="273"/>
        <v>1642.3341810728382</v>
      </c>
      <c r="T1572" s="1">
        <f t="shared" si="274"/>
        <v>-2871.0029966855468</v>
      </c>
    </row>
    <row r="1573" spans="6:20" x14ac:dyDescent="0.35">
      <c r="F1573" s="1">
        <f t="shared" si="270"/>
        <v>31.399999999999419</v>
      </c>
      <c r="G1573">
        <f>1/2*$B$8*$B$6*$B$7*(Tabelle2[[#This Row],[vx]]*Tabelle2[[#This Row],[vx]]+Tabelle2[[#This Row],[vy]]*Tabelle2[[#This Row],[vy]])/1000000</f>
        <v>111.59859123020135</v>
      </c>
      <c r="H1573">
        <f>IF($B$3,-Tabelle2[[#This Row],[Fd]]*Tabelle2[[#This Row],[vx]]/Tabelle2[[#This Row],[v]],0)</f>
        <v>0</v>
      </c>
      <c r="I1573">
        <f t="shared" si="264"/>
        <v>0</v>
      </c>
      <c r="J1573">
        <f t="shared" si="265"/>
        <v>0</v>
      </c>
      <c r="K1573">
        <f t="shared" si="266"/>
        <v>1.0467394398169905</v>
      </c>
      <c r="L1573">
        <f>-$B$5*$B$12-IF($B$3,Tabelle2[[#This Row],[Fd]]*Tabelle2[[#This Row],[vy]]/Tabelle2[[#This Row],[v]],0)</f>
        <v>-14.715</v>
      </c>
      <c r="M1573">
        <f t="shared" si="267"/>
        <v>-9.81</v>
      </c>
      <c r="N1573">
        <f t="shared" si="268"/>
        <v>-0.19620000000000001</v>
      </c>
      <c r="O1573">
        <f t="shared" si="269"/>
        <v>-4.9151865120881215</v>
      </c>
      <c r="P1573" s="1">
        <f t="shared" si="271"/>
        <v>52.336971990849527</v>
      </c>
      <c r="Q1573" s="1">
        <f t="shared" si="272"/>
        <v>-245.6612256044061</v>
      </c>
      <c r="R1573">
        <f>SQRT(Tabelle2[[#This Row],[vx]]*Tabelle2[[#This Row],[vx]]+Tabelle2[[#This Row],[vy]]*Tabelle2[[#This Row],[vy]])</f>
        <v>251.17443421381461</v>
      </c>
      <c r="S1573">
        <f t="shared" si="273"/>
        <v>1643.3809205126552</v>
      </c>
      <c r="T1573" s="1">
        <f t="shared" si="274"/>
        <v>-2875.9142591976351</v>
      </c>
    </row>
    <row r="1574" spans="6:20" x14ac:dyDescent="0.35">
      <c r="F1574" s="1">
        <f t="shared" si="270"/>
        <v>31.419999999999419</v>
      </c>
      <c r="G1574">
        <f>1/2*$B$8*$B$6*$B$7*(Tabelle2[[#This Row],[vx]]*Tabelle2[[#This Row],[vx]]+Tabelle2[[#This Row],[vy]]*Tabelle2[[#This Row],[vy]])/1000000</f>
        <v>111.76917859183206</v>
      </c>
      <c r="H1574">
        <f>IF($B$3,-Tabelle2[[#This Row],[Fd]]*Tabelle2[[#This Row],[vx]]/Tabelle2[[#This Row],[v]],0)</f>
        <v>0</v>
      </c>
      <c r="I1574">
        <f t="shared" si="264"/>
        <v>0</v>
      </c>
      <c r="J1574">
        <f t="shared" si="265"/>
        <v>0</v>
      </c>
      <c r="K1574">
        <f t="shared" si="266"/>
        <v>1.0467394398169905</v>
      </c>
      <c r="L1574">
        <f>-$B$5*$B$12-IF($B$3,Tabelle2[[#This Row],[Fd]]*Tabelle2[[#This Row],[vy]]/Tabelle2[[#This Row],[v]],0)</f>
        <v>-14.715</v>
      </c>
      <c r="M1574">
        <f t="shared" si="267"/>
        <v>-9.81</v>
      </c>
      <c r="N1574">
        <f t="shared" si="268"/>
        <v>-0.19620000000000001</v>
      </c>
      <c r="O1574">
        <f t="shared" si="269"/>
        <v>-4.919110512088122</v>
      </c>
      <c r="P1574" s="1">
        <f t="shared" si="271"/>
        <v>52.336971990849527</v>
      </c>
      <c r="Q1574" s="1">
        <f t="shared" si="272"/>
        <v>-245.8574256044061</v>
      </c>
      <c r="R1574">
        <f>SQRT(Tabelle2[[#This Row],[vx]]*Tabelle2[[#This Row],[vx]]+Tabelle2[[#This Row],[vy]]*Tabelle2[[#This Row],[vy]])</f>
        <v>251.36633100317363</v>
      </c>
      <c r="S1574">
        <f t="shared" si="273"/>
        <v>1644.4276599524721</v>
      </c>
      <c r="T1574" s="1">
        <f t="shared" si="274"/>
        <v>-2880.8294457097231</v>
      </c>
    </row>
    <row r="1575" spans="6:20" x14ac:dyDescent="0.35">
      <c r="F1575" s="1">
        <f t="shared" si="270"/>
        <v>31.439999999999419</v>
      </c>
      <c r="G1575">
        <f>1/2*$B$8*$B$6*$B$7*(Tabelle2[[#This Row],[vx]]*Tabelle2[[#This Row],[vx]]+Tabelle2[[#This Row],[vy]]*Tabelle2[[#This Row],[vy]])/1000000</f>
        <v>111.93990214052413</v>
      </c>
      <c r="H1575">
        <f>IF($B$3,-Tabelle2[[#This Row],[Fd]]*Tabelle2[[#This Row],[vx]]/Tabelle2[[#This Row],[v]],0)</f>
        <v>0</v>
      </c>
      <c r="I1575">
        <f t="shared" si="264"/>
        <v>0</v>
      </c>
      <c r="J1575">
        <f t="shared" si="265"/>
        <v>0</v>
      </c>
      <c r="K1575">
        <f t="shared" si="266"/>
        <v>1.0467394398169905</v>
      </c>
      <c r="L1575">
        <f>-$B$5*$B$12-IF($B$3,Tabelle2[[#This Row],[Fd]]*Tabelle2[[#This Row],[vy]]/Tabelle2[[#This Row],[v]],0)</f>
        <v>-14.715</v>
      </c>
      <c r="M1575">
        <f t="shared" si="267"/>
        <v>-9.81</v>
      </c>
      <c r="N1575">
        <f t="shared" si="268"/>
        <v>-0.19620000000000001</v>
      </c>
      <c r="O1575">
        <f t="shared" si="269"/>
        <v>-4.9230345120881216</v>
      </c>
      <c r="P1575" s="1">
        <f t="shared" si="271"/>
        <v>52.336971990849527</v>
      </c>
      <c r="Q1575" s="1">
        <f t="shared" si="272"/>
        <v>-246.05362560440611</v>
      </c>
      <c r="R1575">
        <f>SQRT(Tabelle2[[#This Row],[vx]]*Tabelle2[[#This Row],[vx]]+Tabelle2[[#This Row],[vy]]*Tabelle2[[#This Row],[vy]])</f>
        <v>251.55823443140204</v>
      </c>
      <c r="S1575">
        <f t="shared" si="273"/>
        <v>1645.4743993922891</v>
      </c>
      <c r="T1575" s="1">
        <f t="shared" si="274"/>
        <v>-2885.7485562218112</v>
      </c>
    </row>
    <row r="1576" spans="6:20" x14ac:dyDescent="0.35">
      <c r="F1576" s="1">
        <f t="shared" si="270"/>
        <v>31.459999999999418</v>
      </c>
      <c r="G1576">
        <f>1/2*$B$8*$B$6*$B$7*(Tabelle2[[#This Row],[vx]]*Tabelle2[[#This Row],[vx]]+Tabelle2[[#This Row],[vy]]*Tabelle2[[#This Row],[vy]])/1000000</f>
        <v>112.11076187627751</v>
      </c>
      <c r="H1576">
        <f>IF($B$3,-Tabelle2[[#This Row],[Fd]]*Tabelle2[[#This Row],[vx]]/Tabelle2[[#This Row],[v]],0)</f>
        <v>0</v>
      </c>
      <c r="I1576">
        <f t="shared" si="264"/>
        <v>0</v>
      </c>
      <c r="J1576">
        <f t="shared" si="265"/>
        <v>0</v>
      </c>
      <c r="K1576">
        <f t="shared" si="266"/>
        <v>1.0467394398169905</v>
      </c>
      <c r="L1576">
        <f>-$B$5*$B$12-IF($B$3,Tabelle2[[#This Row],[Fd]]*Tabelle2[[#This Row],[vy]]/Tabelle2[[#This Row],[v]],0)</f>
        <v>-14.715</v>
      </c>
      <c r="M1576">
        <f t="shared" si="267"/>
        <v>-9.81</v>
      </c>
      <c r="N1576">
        <f t="shared" si="268"/>
        <v>-0.19620000000000001</v>
      </c>
      <c r="O1576">
        <f t="shared" si="269"/>
        <v>-4.9269585120881221</v>
      </c>
      <c r="P1576" s="1">
        <f t="shared" si="271"/>
        <v>52.336971990849527</v>
      </c>
      <c r="Q1576" s="1">
        <f t="shared" si="272"/>
        <v>-246.24982560440611</v>
      </c>
      <c r="R1576">
        <f>SQRT(Tabelle2[[#This Row],[vx]]*Tabelle2[[#This Row],[vx]]+Tabelle2[[#This Row],[vy]]*Tabelle2[[#This Row],[vy]])</f>
        <v>251.7501444833178</v>
      </c>
      <c r="S1576">
        <f t="shared" si="273"/>
        <v>1646.5211388321061</v>
      </c>
      <c r="T1576" s="1">
        <f t="shared" si="274"/>
        <v>-2890.6715907338994</v>
      </c>
    </row>
    <row r="1577" spans="6:20" x14ac:dyDescent="0.35">
      <c r="F1577" s="1">
        <f t="shared" si="270"/>
        <v>31.479999999999418</v>
      </c>
      <c r="G1577">
        <f>1/2*$B$8*$B$6*$B$7*(Tabelle2[[#This Row],[vx]]*Tabelle2[[#This Row],[vx]]+Tabelle2[[#This Row],[vy]]*Tabelle2[[#This Row],[vy]])/1000000</f>
        <v>112.28175779909225</v>
      </c>
      <c r="H1577">
        <f>IF($B$3,-Tabelle2[[#This Row],[Fd]]*Tabelle2[[#This Row],[vx]]/Tabelle2[[#This Row],[v]],0)</f>
        <v>0</v>
      </c>
      <c r="I1577">
        <f t="shared" si="264"/>
        <v>0</v>
      </c>
      <c r="J1577">
        <f t="shared" si="265"/>
        <v>0</v>
      </c>
      <c r="K1577">
        <f t="shared" si="266"/>
        <v>1.0467394398169905</v>
      </c>
      <c r="L1577">
        <f>-$B$5*$B$12-IF($B$3,Tabelle2[[#This Row],[Fd]]*Tabelle2[[#This Row],[vy]]/Tabelle2[[#This Row],[v]],0)</f>
        <v>-14.715</v>
      </c>
      <c r="M1577">
        <f t="shared" si="267"/>
        <v>-9.81</v>
      </c>
      <c r="N1577">
        <f t="shared" si="268"/>
        <v>-0.19620000000000001</v>
      </c>
      <c r="O1577">
        <f t="shared" si="269"/>
        <v>-4.9308825120881226</v>
      </c>
      <c r="P1577" s="1">
        <f t="shared" si="271"/>
        <v>52.336971990849527</v>
      </c>
      <c r="Q1577" s="1">
        <f t="shared" si="272"/>
        <v>-246.44602560440612</v>
      </c>
      <c r="R1577">
        <f>SQRT(Tabelle2[[#This Row],[vx]]*Tabelle2[[#This Row],[vx]]+Tabelle2[[#This Row],[vy]]*Tabelle2[[#This Row],[vy]])</f>
        <v>251.94206114378474</v>
      </c>
      <c r="S1577">
        <f t="shared" si="273"/>
        <v>1647.5678782719231</v>
      </c>
      <c r="T1577" s="1">
        <f t="shared" si="274"/>
        <v>-2895.5985492459877</v>
      </c>
    </row>
    <row r="1578" spans="6:20" x14ac:dyDescent="0.35">
      <c r="F1578" s="1">
        <f t="shared" si="270"/>
        <v>31.499999999999417</v>
      </c>
      <c r="G1578">
        <f>1/2*$B$8*$B$6*$B$7*(Tabelle2[[#This Row],[vx]]*Tabelle2[[#This Row],[vx]]+Tabelle2[[#This Row],[vy]]*Tabelle2[[#This Row],[vy]])/1000000</f>
        <v>112.45288990896833</v>
      </c>
      <c r="H1578">
        <f>IF($B$3,-Tabelle2[[#This Row],[Fd]]*Tabelle2[[#This Row],[vx]]/Tabelle2[[#This Row],[v]],0)</f>
        <v>0</v>
      </c>
      <c r="I1578">
        <f t="shared" si="264"/>
        <v>0</v>
      </c>
      <c r="J1578">
        <f t="shared" si="265"/>
        <v>0</v>
      </c>
      <c r="K1578">
        <f t="shared" si="266"/>
        <v>1.0467394398169905</v>
      </c>
      <c r="L1578">
        <f>-$B$5*$B$12-IF($B$3,Tabelle2[[#This Row],[Fd]]*Tabelle2[[#This Row],[vy]]/Tabelle2[[#This Row],[v]],0)</f>
        <v>-14.715</v>
      </c>
      <c r="M1578">
        <f t="shared" si="267"/>
        <v>-9.81</v>
      </c>
      <c r="N1578">
        <f t="shared" si="268"/>
        <v>-0.19620000000000001</v>
      </c>
      <c r="O1578">
        <f t="shared" si="269"/>
        <v>-4.9348065120881222</v>
      </c>
      <c r="P1578" s="1">
        <f t="shared" si="271"/>
        <v>52.336971990849527</v>
      </c>
      <c r="Q1578" s="1">
        <f t="shared" si="272"/>
        <v>-246.64222560440612</v>
      </c>
      <c r="R1578">
        <f>SQRT(Tabelle2[[#This Row],[vx]]*Tabelle2[[#This Row],[vx]]+Tabelle2[[#This Row],[vy]]*Tabelle2[[#This Row],[vy]])</f>
        <v>252.13398439771211</v>
      </c>
      <c r="S1578">
        <f t="shared" si="273"/>
        <v>1648.61461771174</v>
      </c>
      <c r="T1578" s="1">
        <f t="shared" si="274"/>
        <v>-2900.5294317580756</v>
      </c>
    </row>
    <row r="1579" spans="6:20" x14ac:dyDescent="0.35">
      <c r="F1579" s="1">
        <f t="shared" si="270"/>
        <v>31.519999999999417</v>
      </c>
      <c r="G1579">
        <f>1/2*$B$8*$B$6*$B$7*(Tabelle2[[#This Row],[vx]]*Tabelle2[[#This Row],[vx]]+Tabelle2[[#This Row],[vy]]*Tabelle2[[#This Row],[vy]])/1000000</f>
        <v>112.62415820590577</v>
      </c>
      <c r="H1579">
        <f>IF($B$3,-Tabelle2[[#This Row],[Fd]]*Tabelle2[[#This Row],[vx]]/Tabelle2[[#This Row],[v]],0)</f>
        <v>0</v>
      </c>
      <c r="I1579">
        <f t="shared" si="264"/>
        <v>0</v>
      </c>
      <c r="J1579">
        <f t="shared" si="265"/>
        <v>0</v>
      </c>
      <c r="K1579">
        <f t="shared" si="266"/>
        <v>1.0467394398169905</v>
      </c>
      <c r="L1579">
        <f>-$B$5*$B$12-IF($B$3,Tabelle2[[#This Row],[Fd]]*Tabelle2[[#This Row],[vy]]/Tabelle2[[#This Row],[v]],0)</f>
        <v>-14.715</v>
      </c>
      <c r="M1579">
        <f t="shared" si="267"/>
        <v>-9.81</v>
      </c>
      <c r="N1579">
        <f t="shared" si="268"/>
        <v>-0.19620000000000001</v>
      </c>
      <c r="O1579">
        <f t="shared" si="269"/>
        <v>-4.9387305120881226</v>
      </c>
      <c r="P1579" s="1">
        <f t="shared" si="271"/>
        <v>52.336971990849527</v>
      </c>
      <c r="Q1579" s="1">
        <f t="shared" si="272"/>
        <v>-246.83842560440613</v>
      </c>
      <c r="R1579">
        <f>SQRT(Tabelle2[[#This Row],[vx]]*Tabelle2[[#This Row],[vx]]+Tabelle2[[#This Row],[vy]]*Tabelle2[[#This Row],[vy]])</f>
        <v>252.32591423005468</v>
      </c>
      <c r="S1579">
        <f t="shared" si="273"/>
        <v>1649.661357151557</v>
      </c>
      <c r="T1579" s="1">
        <f t="shared" si="274"/>
        <v>-2905.4642382701636</v>
      </c>
    </row>
    <row r="1580" spans="6:20" x14ac:dyDescent="0.35">
      <c r="F1580" s="1">
        <f t="shared" si="270"/>
        <v>31.539999999999417</v>
      </c>
      <c r="G1580">
        <f>1/2*$B$8*$B$6*$B$7*(Tabelle2[[#This Row],[vx]]*Tabelle2[[#This Row],[vx]]+Tabelle2[[#This Row],[vy]]*Tabelle2[[#This Row],[vy]])/1000000</f>
        <v>112.79556268990454</v>
      </c>
      <c r="H1580">
        <f>IF($B$3,-Tabelle2[[#This Row],[Fd]]*Tabelle2[[#This Row],[vx]]/Tabelle2[[#This Row],[v]],0)</f>
        <v>0</v>
      </c>
      <c r="I1580">
        <f t="shared" si="264"/>
        <v>0</v>
      </c>
      <c r="J1580">
        <f t="shared" si="265"/>
        <v>0</v>
      </c>
      <c r="K1580">
        <f t="shared" si="266"/>
        <v>1.0467394398169905</v>
      </c>
      <c r="L1580">
        <f>-$B$5*$B$12-IF($B$3,Tabelle2[[#This Row],[Fd]]*Tabelle2[[#This Row],[vy]]/Tabelle2[[#This Row],[v]],0)</f>
        <v>-14.715</v>
      </c>
      <c r="M1580">
        <f t="shared" si="267"/>
        <v>-9.81</v>
      </c>
      <c r="N1580">
        <f t="shared" si="268"/>
        <v>-0.19620000000000001</v>
      </c>
      <c r="O1580">
        <f t="shared" si="269"/>
        <v>-4.9426545120881222</v>
      </c>
      <c r="P1580" s="1">
        <f t="shared" si="271"/>
        <v>52.336971990849527</v>
      </c>
      <c r="Q1580" s="1">
        <f t="shared" si="272"/>
        <v>-247.03462560440613</v>
      </c>
      <c r="R1580">
        <f>SQRT(Tabelle2[[#This Row],[vx]]*Tabelle2[[#This Row],[vx]]+Tabelle2[[#This Row],[vy]]*Tabelle2[[#This Row],[vy]])</f>
        <v>252.51785062581234</v>
      </c>
      <c r="S1580">
        <f t="shared" si="273"/>
        <v>1650.708096591374</v>
      </c>
      <c r="T1580" s="1">
        <f t="shared" si="274"/>
        <v>-2910.4029687822517</v>
      </c>
    </row>
    <row r="1581" spans="6:20" x14ac:dyDescent="0.35">
      <c r="F1581" s="1">
        <f t="shared" si="270"/>
        <v>31.559999999999416</v>
      </c>
      <c r="G1581">
        <f>1/2*$B$8*$B$6*$B$7*(Tabelle2[[#This Row],[vx]]*Tabelle2[[#This Row],[vx]]+Tabelle2[[#This Row],[vy]]*Tabelle2[[#This Row],[vy]])/1000000</f>
        <v>112.96710336096466</v>
      </c>
      <c r="H1581">
        <f>IF($B$3,-Tabelle2[[#This Row],[Fd]]*Tabelle2[[#This Row],[vx]]/Tabelle2[[#This Row],[v]],0)</f>
        <v>0</v>
      </c>
      <c r="I1581">
        <f t="shared" si="264"/>
        <v>0</v>
      </c>
      <c r="J1581">
        <f t="shared" si="265"/>
        <v>0</v>
      </c>
      <c r="K1581">
        <f t="shared" si="266"/>
        <v>1.0467394398169905</v>
      </c>
      <c r="L1581">
        <f>-$B$5*$B$12-IF($B$3,Tabelle2[[#This Row],[Fd]]*Tabelle2[[#This Row],[vy]]/Tabelle2[[#This Row],[v]],0)</f>
        <v>-14.715</v>
      </c>
      <c r="M1581">
        <f t="shared" si="267"/>
        <v>-9.81</v>
      </c>
      <c r="N1581">
        <f t="shared" si="268"/>
        <v>-0.19620000000000001</v>
      </c>
      <c r="O1581">
        <f t="shared" si="269"/>
        <v>-4.9465785120881227</v>
      </c>
      <c r="P1581" s="1">
        <f t="shared" si="271"/>
        <v>52.336971990849527</v>
      </c>
      <c r="Q1581" s="1">
        <f t="shared" si="272"/>
        <v>-247.23082560440614</v>
      </c>
      <c r="R1581">
        <f>SQRT(Tabelle2[[#This Row],[vx]]*Tabelle2[[#This Row],[vx]]+Tabelle2[[#This Row],[vy]]*Tabelle2[[#This Row],[vy]])</f>
        <v>252.70979357003014</v>
      </c>
      <c r="S1581">
        <f t="shared" si="273"/>
        <v>1651.754836031191</v>
      </c>
      <c r="T1581" s="1">
        <f t="shared" si="274"/>
        <v>-2915.3456232943399</v>
      </c>
    </row>
  </sheetData>
  <mergeCells count="2">
    <mergeCell ref="A16:B16"/>
    <mergeCell ref="A25:B25"/>
  </mergeCells>
  <pageMargins left="0.7" right="0.7" top="0.78740157499999996" bottom="0.78740157499999996" header="0.3" footer="0.3"/>
  <pageSetup paperSize="9" orientation="portrait" r:id="rId1"/>
  <ignoredErrors>
    <ignoredError sqref="S3 P3:Q3 F3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61F0-1425-4947-98B2-E211FA8DA0D0}">
  <sheetPr codeName="Tabelle4">
    <tabColor theme="5" tint="0.59999389629810485"/>
  </sheetPr>
  <dimension ref="A1:C25"/>
  <sheetViews>
    <sheetView zoomScale="113" zoomScaleNormal="160" workbookViewId="0">
      <selection activeCell="J32" sqref="J32"/>
    </sheetView>
  </sheetViews>
  <sheetFormatPr defaultColWidth="9.08984375" defaultRowHeight="14.5" x14ac:dyDescent="0.35"/>
  <cols>
    <col min="1" max="1" width="21.6328125" customWidth="1"/>
    <col min="2" max="2" width="9.90625" bestFit="1" customWidth="1"/>
    <col min="3" max="3" width="25.54296875" bestFit="1" customWidth="1"/>
  </cols>
  <sheetData>
    <row r="1" spans="1:3" x14ac:dyDescent="0.35">
      <c r="A1" s="2" t="s">
        <v>6</v>
      </c>
    </row>
    <row r="2" spans="1:3" x14ac:dyDescent="0.35">
      <c r="A2" s="9" t="s">
        <v>21</v>
      </c>
      <c r="B2" s="9">
        <f>Main!B8</f>
        <v>60</v>
      </c>
    </row>
    <row r="3" spans="1:3" x14ac:dyDescent="0.35">
      <c r="A3" s="9" t="s">
        <v>114</v>
      </c>
      <c r="B3" s="9">
        <f>Main!B14</f>
        <v>0.75</v>
      </c>
    </row>
    <row r="4" spans="1:3" x14ac:dyDescent="0.35">
      <c r="A4" s="9" t="s">
        <v>113</v>
      </c>
      <c r="B4" s="9">
        <f>Main!B15</f>
        <v>3850</v>
      </c>
    </row>
    <row r="5" spans="1:3" x14ac:dyDescent="0.35">
      <c r="A5" s="9" t="s">
        <v>112</v>
      </c>
      <c r="B5" s="9">
        <f>Main!B16</f>
        <v>1.225225</v>
      </c>
    </row>
    <row r="6" spans="1:3" x14ac:dyDescent="0.35">
      <c r="A6" s="9" t="s">
        <v>7</v>
      </c>
      <c r="B6" s="15">
        <f>Main!B22</f>
        <v>2</v>
      </c>
    </row>
    <row r="10" spans="1:3" x14ac:dyDescent="0.35">
      <c r="A10" s="2" t="s">
        <v>13</v>
      </c>
    </row>
    <row r="11" spans="1:3" x14ac:dyDescent="0.35">
      <c r="A11" t="s">
        <v>74</v>
      </c>
    </row>
    <row r="12" spans="1:3" x14ac:dyDescent="0.35">
      <c r="A12" s="9" t="s">
        <v>89</v>
      </c>
      <c r="B12" s="9">
        <f>Main!B66</f>
        <v>13.413716694115408</v>
      </c>
    </row>
    <row r="13" spans="1:3" x14ac:dyDescent="0.35">
      <c r="A13" s="4" t="s">
        <v>24</v>
      </c>
      <c r="B13" s="4">
        <f>Kinematics2!B26/B2</f>
        <v>0.67851561959908879</v>
      </c>
    </row>
    <row r="14" spans="1:3" x14ac:dyDescent="0.35">
      <c r="A14" s="4" t="s">
        <v>25</v>
      </c>
      <c r="B14" s="4">
        <f>B13*B6</f>
        <v>1.3570312391981776</v>
      </c>
    </row>
    <row r="15" spans="1:3" x14ac:dyDescent="0.35">
      <c r="A15" s="4" t="s">
        <v>26</v>
      </c>
      <c r="B15" s="3">
        <f>(Kinematics2!B18^2)/B6</f>
        <v>3314.7608114875343</v>
      </c>
      <c r="C15" t="s">
        <v>30</v>
      </c>
    </row>
    <row r="16" spans="1:3" x14ac:dyDescent="0.35">
      <c r="A16" s="4" t="s">
        <v>27</v>
      </c>
      <c r="B16" s="4">
        <f>B15/Kinematics2!B12</f>
        <v>337.89610718527359</v>
      </c>
      <c r="C16" t="s">
        <v>29</v>
      </c>
    </row>
    <row r="18" spans="1:3" x14ac:dyDescent="0.35">
      <c r="A18" t="s">
        <v>111</v>
      </c>
    </row>
    <row r="19" spans="1:3" x14ac:dyDescent="0.35">
      <c r="A19" s="4" t="s">
        <v>118</v>
      </c>
      <c r="B19" s="12">
        <f>(1/2)*B5*Kinematics2!B18^2*(B4/10^6)*B3</f>
        <v>11.727084066548276</v>
      </c>
      <c r="C19" t="s">
        <v>119</v>
      </c>
    </row>
    <row r="22" spans="1:3" x14ac:dyDescent="0.35">
      <c r="A22" s="4" t="s">
        <v>120</v>
      </c>
      <c r="B22" s="4">
        <f>B19*B6</f>
        <v>23.454168133096552</v>
      </c>
      <c r="C22" t="s">
        <v>122</v>
      </c>
    </row>
    <row r="23" spans="1:3" x14ac:dyDescent="0.35">
      <c r="A23" s="4" t="s">
        <v>123</v>
      </c>
      <c r="B23" s="4">
        <f>B12*B13</f>
        <v>9.1014162938343564</v>
      </c>
      <c r="C23" t="s">
        <v>121</v>
      </c>
    </row>
    <row r="24" spans="1:3" x14ac:dyDescent="0.35">
      <c r="A24" s="4" t="s">
        <v>31</v>
      </c>
      <c r="B24" s="4">
        <f>B22+B23</f>
        <v>32.555584426930906</v>
      </c>
      <c r="C24" t="s">
        <v>33</v>
      </c>
    </row>
    <row r="25" spans="1:3" x14ac:dyDescent="0.35">
      <c r="A25" s="4" t="s">
        <v>32</v>
      </c>
      <c r="B25" s="4">
        <f>B24*Kinematics2!B26</f>
        <v>1325.368352330968</v>
      </c>
      <c r="C25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03447-821E-4DCC-8077-9974D92C12A7}">
  <sheetPr codeName="Tabelle5">
    <tabColor theme="9" tint="0.59999389629810485"/>
  </sheetPr>
  <dimension ref="A1:E5"/>
  <sheetViews>
    <sheetView zoomScale="110" zoomScaleNormal="190" workbookViewId="0">
      <selection activeCell="B19" sqref="B19"/>
    </sheetView>
  </sheetViews>
  <sheetFormatPr defaultColWidth="9.08984375" defaultRowHeight="14.5" x14ac:dyDescent="0.35"/>
  <cols>
    <col min="1" max="1" width="13.453125" bestFit="1" customWidth="1"/>
    <col min="2" max="2" width="20.54296875" bestFit="1" customWidth="1"/>
    <col min="3" max="3" width="21.54296875" bestFit="1" customWidth="1"/>
    <col min="4" max="4" width="24.90625" bestFit="1" customWidth="1"/>
    <col min="5" max="5" width="20.08984375" bestFit="1" customWidth="1"/>
  </cols>
  <sheetData>
    <row r="1" spans="1:5" x14ac:dyDescent="0.35">
      <c r="A1" t="s">
        <v>51</v>
      </c>
      <c r="B1" t="s">
        <v>53</v>
      </c>
      <c r="C1" t="s">
        <v>99</v>
      </c>
      <c r="D1" t="s">
        <v>54</v>
      </c>
      <c r="E1" t="s">
        <v>55</v>
      </c>
    </row>
    <row r="2" spans="1:5" x14ac:dyDescent="0.35">
      <c r="A2" t="s">
        <v>52</v>
      </c>
      <c r="B2">
        <v>81</v>
      </c>
      <c r="C2">
        <v>210000</v>
      </c>
      <c r="D2">
        <v>7850</v>
      </c>
      <c r="E2">
        <v>235</v>
      </c>
    </row>
    <row r="3" spans="1:5" x14ac:dyDescent="0.35">
      <c r="A3" t="s">
        <v>57</v>
      </c>
      <c r="B3">
        <v>15</v>
      </c>
      <c r="C3">
        <v>228000</v>
      </c>
      <c r="D3">
        <v>1500</v>
      </c>
      <c r="E3">
        <v>600</v>
      </c>
    </row>
    <row r="4" spans="1:5" x14ac:dyDescent="0.35">
      <c r="A4" t="s">
        <v>59</v>
      </c>
      <c r="B4">
        <v>26</v>
      </c>
      <c r="C4">
        <v>68000</v>
      </c>
      <c r="D4">
        <v>2700</v>
      </c>
      <c r="E4">
        <v>170</v>
      </c>
    </row>
    <row r="5" spans="1:5" x14ac:dyDescent="0.35">
      <c r="A5" t="s">
        <v>60</v>
      </c>
      <c r="B5" t="s">
        <v>61</v>
      </c>
      <c r="C5">
        <v>9860</v>
      </c>
      <c r="D5" t="s">
        <v>61</v>
      </c>
      <c r="E5">
        <v>168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B98FD-AEBB-40A6-BF5F-3A3984BC9D2D}">
  <sheetPr codeName="Tabelle6">
    <tabColor rgb="FF00B050"/>
  </sheetPr>
  <dimension ref="A1"/>
  <sheetViews>
    <sheetView zoomScale="136" zoomScaleNormal="160" workbookViewId="0">
      <selection activeCell="B10" sqref="B10"/>
    </sheetView>
  </sheetViews>
  <sheetFormatPr defaultColWidth="9.08984375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768F8-37DA-42DA-B117-EB459BE3AA07}">
  <sheetPr codeName="Tabelle2">
    <tabColor theme="5" tint="0.59999389629810485"/>
  </sheetPr>
  <dimension ref="A1:K1581"/>
  <sheetViews>
    <sheetView zoomScale="97" zoomScaleNormal="160" workbookViewId="0">
      <selection activeCell="K37" sqref="K37"/>
    </sheetView>
  </sheetViews>
  <sheetFormatPr defaultColWidth="9.08984375" defaultRowHeight="14.5" x14ac:dyDescent="0.35"/>
  <cols>
    <col min="1" max="1" width="14.54296875" customWidth="1"/>
    <col min="2" max="2" width="8.6328125" style="1"/>
    <col min="6" max="6" width="10" bestFit="1" customWidth="1"/>
    <col min="10" max="10" width="18.90625" customWidth="1"/>
  </cols>
  <sheetData>
    <row r="1" spans="1:11" x14ac:dyDescent="0.35">
      <c r="A1" s="2" t="s">
        <v>6</v>
      </c>
      <c r="F1" s="2" t="s">
        <v>15</v>
      </c>
      <c r="J1" s="2" t="s">
        <v>16</v>
      </c>
    </row>
    <row r="2" spans="1:11" x14ac:dyDescent="0.35">
      <c r="A2" s="9" t="s">
        <v>0</v>
      </c>
      <c r="B2" s="15">
        <f>Main!B3</f>
        <v>200</v>
      </c>
      <c r="F2" s="5" t="s">
        <v>20</v>
      </c>
      <c r="G2" s="5" t="s">
        <v>18</v>
      </c>
      <c r="H2" s="5" t="s">
        <v>19</v>
      </c>
      <c r="J2" t="s">
        <v>17</v>
      </c>
      <c r="K2">
        <f>COUNTIF(H:H,"&gt;0")+1</f>
        <v>639</v>
      </c>
    </row>
    <row r="3" spans="1:11" x14ac:dyDescent="0.35">
      <c r="A3" s="8" t="s">
        <v>1</v>
      </c>
      <c r="B3" s="15">
        <f>Main!B5</f>
        <v>40</v>
      </c>
      <c r="F3">
        <v>0</v>
      </c>
      <c r="G3">
        <f t="shared" ref="G3:G66" si="0">$B$15*F3</f>
        <v>0</v>
      </c>
      <c r="H3">
        <f t="shared" ref="H3:H66" si="1">$B$13*F3-($B$8*F3^2)/2+$B$12</f>
        <v>1.7144247806269215</v>
      </c>
    </row>
    <row r="4" spans="1:11" x14ac:dyDescent="0.35">
      <c r="F4">
        <v>0.02</v>
      </c>
      <c r="G4">
        <f t="shared" si="0"/>
        <v>1.0467394398169905</v>
      </c>
      <c r="H4">
        <f t="shared" si="1"/>
        <v>2.9599182685388712</v>
      </c>
    </row>
    <row r="5" spans="1:11" x14ac:dyDescent="0.35">
      <c r="F5">
        <v>0.04</v>
      </c>
      <c r="G5">
        <f t="shared" si="0"/>
        <v>2.0934788796339809</v>
      </c>
      <c r="H5">
        <f t="shared" si="1"/>
        <v>4.2014877564508204</v>
      </c>
    </row>
    <row r="6" spans="1:11" x14ac:dyDescent="0.35">
      <c r="F6">
        <v>0.06</v>
      </c>
      <c r="G6">
        <f t="shared" si="0"/>
        <v>3.1402183194509714</v>
      </c>
      <c r="H6">
        <f t="shared" si="1"/>
        <v>5.43913324436277</v>
      </c>
    </row>
    <row r="7" spans="1:11" x14ac:dyDescent="0.35">
      <c r="A7" s="2" t="s">
        <v>9</v>
      </c>
      <c r="F7">
        <v>0.08</v>
      </c>
      <c r="G7">
        <f t="shared" si="0"/>
        <v>4.1869577592679619</v>
      </c>
      <c r="H7">
        <f t="shared" si="1"/>
        <v>6.6728547322747191</v>
      </c>
    </row>
    <row r="8" spans="1:11" x14ac:dyDescent="0.35">
      <c r="A8" s="21" t="s">
        <v>10</v>
      </c>
      <c r="B8" s="22">
        <v>9.81</v>
      </c>
      <c r="F8">
        <v>0.1</v>
      </c>
      <c r="G8">
        <f t="shared" si="0"/>
        <v>5.2336971990849532</v>
      </c>
      <c r="H8">
        <f t="shared" si="1"/>
        <v>7.9026522201866687</v>
      </c>
    </row>
    <row r="9" spans="1:11" x14ac:dyDescent="0.35">
      <c r="F9">
        <v>0.12</v>
      </c>
      <c r="G9">
        <f t="shared" si="0"/>
        <v>6.2804366389019428</v>
      </c>
      <c r="H9">
        <f t="shared" si="1"/>
        <v>9.1285257080986177</v>
      </c>
    </row>
    <row r="10" spans="1:11" x14ac:dyDescent="0.35">
      <c r="A10" s="2" t="s">
        <v>45</v>
      </c>
      <c r="F10">
        <v>0.14000000000000001</v>
      </c>
      <c r="G10">
        <f t="shared" si="0"/>
        <v>7.3271760787189342</v>
      </c>
      <c r="H10">
        <f t="shared" si="1"/>
        <v>10.350475196010567</v>
      </c>
    </row>
    <row r="11" spans="1:11" x14ac:dyDescent="0.35">
      <c r="A11" s="29" t="s">
        <v>75</v>
      </c>
      <c r="B11" s="29"/>
      <c r="F11">
        <v>0.16</v>
      </c>
      <c r="G11">
        <f t="shared" si="0"/>
        <v>8.3739155185359238</v>
      </c>
      <c r="H11">
        <f t="shared" si="1"/>
        <v>11.568500683922519</v>
      </c>
    </row>
    <row r="12" spans="1:11" x14ac:dyDescent="0.35">
      <c r="A12" s="4" t="s">
        <v>2</v>
      </c>
      <c r="B12" s="3">
        <f>Main!B19-Main!B22*SIN(RADIANS(B3))</f>
        <v>1.7144247806269215</v>
      </c>
      <c r="F12">
        <v>0.18</v>
      </c>
      <c r="G12">
        <f t="shared" si="0"/>
        <v>9.4206549583529142</v>
      </c>
      <c r="H12">
        <f t="shared" si="1"/>
        <v>12.782602171834466</v>
      </c>
    </row>
    <row r="13" spans="1:11" x14ac:dyDescent="0.35">
      <c r="A13" s="4" t="s">
        <v>3</v>
      </c>
      <c r="B13" s="3">
        <f>SQRT(2*B8*(B2-B12))</f>
        <v>62.372774395597474</v>
      </c>
      <c r="F13">
        <v>0.2</v>
      </c>
      <c r="G13">
        <f t="shared" si="0"/>
        <v>10.467394398169906</v>
      </c>
      <c r="H13">
        <f t="shared" si="1"/>
        <v>13.992779659746418</v>
      </c>
    </row>
    <row r="14" spans="1:11" x14ac:dyDescent="0.35">
      <c r="A14" s="4" t="s">
        <v>4</v>
      </c>
      <c r="B14" s="3">
        <f>B13/COS(RADIANS(B3))</f>
        <v>81.421874351890651</v>
      </c>
      <c r="F14">
        <v>0.22</v>
      </c>
      <c r="G14">
        <f t="shared" si="0"/>
        <v>11.514133837986895</v>
      </c>
      <c r="H14">
        <f t="shared" si="1"/>
        <v>15.199033147658366</v>
      </c>
    </row>
    <row r="15" spans="1:11" x14ac:dyDescent="0.35">
      <c r="A15" s="4" t="s">
        <v>5</v>
      </c>
      <c r="B15" s="3">
        <f>B14*SIN(RADIANS(B3))</f>
        <v>52.336971990849527</v>
      </c>
      <c r="F15">
        <v>0.24</v>
      </c>
      <c r="G15">
        <f t="shared" si="0"/>
        <v>12.560873277803886</v>
      </c>
      <c r="H15">
        <f t="shared" si="1"/>
        <v>16.401362635570315</v>
      </c>
    </row>
    <row r="16" spans="1:11" x14ac:dyDescent="0.35">
      <c r="A16" s="4" t="s">
        <v>14</v>
      </c>
      <c r="B16" s="3">
        <f>B13/B8</f>
        <v>6.3580809781444927</v>
      </c>
      <c r="F16">
        <v>0.26</v>
      </c>
      <c r="G16">
        <f t="shared" si="0"/>
        <v>13.607612717620878</v>
      </c>
      <c r="H16">
        <f t="shared" si="1"/>
        <v>17.599768123482264</v>
      </c>
    </row>
    <row r="17" spans="1:8" x14ac:dyDescent="0.35">
      <c r="A17" s="4" t="s">
        <v>11</v>
      </c>
      <c r="B17" s="3">
        <f>(B13+SQRT(B13^2+2*B12*B8))/B8</f>
        <v>12.743589546285502</v>
      </c>
      <c r="F17">
        <v>0.28000000000000003</v>
      </c>
      <c r="G17">
        <f t="shared" si="0"/>
        <v>14.654352157437868</v>
      </c>
      <c r="H17">
        <f t="shared" si="1"/>
        <v>18.794249611394214</v>
      </c>
    </row>
    <row r="18" spans="1:8" x14ac:dyDescent="0.35">
      <c r="A18" s="4" t="s">
        <v>12</v>
      </c>
      <c r="B18" s="3">
        <f>B15*B17</f>
        <v>666.96088914682718</v>
      </c>
      <c r="F18">
        <v>0.3</v>
      </c>
      <c r="G18">
        <f t="shared" si="0"/>
        <v>15.701091597254857</v>
      </c>
      <c r="H18">
        <f t="shared" si="1"/>
        <v>19.984807099306163</v>
      </c>
    </row>
    <row r="19" spans="1:8" x14ac:dyDescent="0.35">
      <c r="F19">
        <v>0.32</v>
      </c>
      <c r="G19">
        <f t="shared" si="0"/>
        <v>16.747831037071848</v>
      </c>
      <c r="H19">
        <f t="shared" si="1"/>
        <v>21.171440587218111</v>
      </c>
    </row>
    <row r="20" spans="1:8" x14ac:dyDescent="0.35">
      <c r="A20" s="29" t="s">
        <v>76</v>
      </c>
      <c r="B20" s="29"/>
      <c r="F20">
        <v>0.34</v>
      </c>
      <c r="G20">
        <f t="shared" si="0"/>
        <v>17.79457047688884</v>
      </c>
      <c r="H20">
        <f t="shared" si="1"/>
        <v>22.354150075130061</v>
      </c>
    </row>
    <row r="21" spans="1:8" x14ac:dyDescent="0.35">
      <c r="A21" s="6" t="s">
        <v>23</v>
      </c>
      <c r="B21" s="3">
        <f>B14/Main!B22</f>
        <v>40.710937175945325</v>
      </c>
      <c r="F21">
        <v>0.36</v>
      </c>
      <c r="G21">
        <f t="shared" si="0"/>
        <v>18.841309916705828</v>
      </c>
      <c r="H21">
        <f t="shared" si="1"/>
        <v>23.53293556304201</v>
      </c>
    </row>
    <row r="22" spans="1:8" x14ac:dyDescent="0.35">
      <c r="A22" s="4" t="s">
        <v>22</v>
      </c>
      <c r="B22" s="4">
        <f>B21/(2*PI())</f>
        <v>6.4793468894553046</v>
      </c>
      <c r="F22">
        <v>0.38</v>
      </c>
      <c r="G22">
        <f t="shared" si="0"/>
        <v>19.888049356522821</v>
      </c>
      <c r="H22">
        <f t="shared" si="1"/>
        <v>24.70779705095396</v>
      </c>
    </row>
    <row r="23" spans="1:8" x14ac:dyDescent="0.35">
      <c r="A23" s="4" t="s">
        <v>28</v>
      </c>
      <c r="B23" s="4">
        <f>30*B21/PI()</f>
        <v>388.76081336731829</v>
      </c>
      <c r="F23">
        <v>0.4</v>
      </c>
      <c r="G23">
        <f t="shared" si="0"/>
        <v>20.934788796339813</v>
      </c>
      <c r="H23">
        <f t="shared" si="1"/>
        <v>25.87873453886591</v>
      </c>
    </row>
    <row r="24" spans="1:8" x14ac:dyDescent="0.35">
      <c r="F24">
        <v>0.42</v>
      </c>
      <c r="G24">
        <f t="shared" si="0"/>
        <v>21.981528236156802</v>
      </c>
      <c r="H24">
        <f t="shared" si="1"/>
        <v>27.045748026777861</v>
      </c>
    </row>
    <row r="25" spans="1:8" x14ac:dyDescent="0.35">
      <c r="F25">
        <v>0.44</v>
      </c>
      <c r="G25">
        <f t="shared" si="0"/>
        <v>23.02826767597379</v>
      </c>
      <c r="H25">
        <f t="shared" si="1"/>
        <v>28.208837514689808</v>
      </c>
    </row>
    <row r="26" spans="1:8" x14ac:dyDescent="0.35">
      <c r="F26">
        <v>0.46</v>
      </c>
      <c r="G26">
        <f t="shared" si="0"/>
        <v>24.075007115790783</v>
      </c>
      <c r="H26">
        <f t="shared" si="1"/>
        <v>29.36800300260176</v>
      </c>
    </row>
    <row r="27" spans="1:8" x14ac:dyDescent="0.35">
      <c r="F27">
        <v>0.48</v>
      </c>
      <c r="G27">
        <f t="shared" si="0"/>
        <v>25.121746555607771</v>
      </c>
      <c r="H27">
        <f t="shared" si="1"/>
        <v>30.523244490513708</v>
      </c>
    </row>
    <row r="28" spans="1:8" x14ac:dyDescent="0.35">
      <c r="F28">
        <v>0.5</v>
      </c>
      <c r="G28">
        <f t="shared" si="0"/>
        <v>26.168485995424764</v>
      </c>
      <c r="H28">
        <f t="shared" si="1"/>
        <v>31.674561978425658</v>
      </c>
    </row>
    <row r="29" spans="1:8" x14ac:dyDescent="0.35">
      <c r="F29">
        <v>0.52</v>
      </c>
      <c r="G29">
        <f t="shared" si="0"/>
        <v>27.215225435241756</v>
      </c>
      <c r="H29">
        <f t="shared" si="1"/>
        <v>32.821955466337606</v>
      </c>
    </row>
    <row r="30" spans="1:8" x14ac:dyDescent="0.35">
      <c r="F30">
        <v>0.54</v>
      </c>
      <c r="G30">
        <f t="shared" si="0"/>
        <v>28.261964875058748</v>
      </c>
      <c r="H30">
        <f t="shared" si="1"/>
        <v>33.965424954249556</v>
      </c>
    </row>
    <row r="31" spans="1:8" x14ac:dyDescent="0.35">
      <c r="F31">
        <v>0.56000000000000005</v>
      </c>
      <c r="G31">
        <f t="shared" si="0"/>
        <v>29.308704314875737</v>
      </c>
      <c r="H31">
        <f t="shared" si="1"/>
        <v>35.104970442161509</v>
      </c>
    </row>
    <row r="32" spans="1:8" x14ac:dyDescent="0.35">
      <c r="F32">
        <v>0.57999999999999996</v>
      </c>
      <c r="G32">
        <f t="shared" si="0"/>
        <v>30.355443754692722</v>
      </c>
      <c r="H32">
        <f t="shared" si="1"/>
        <v>36.240591930073457</v>
      </c>
    </row>
    <row r="33" spans="6:8" x14ac:dyDescent="0.35">
      <c r="F33">
        <v>0.6</v>
      </c>
      <c r="G33">
        <f t="shared" si="0"/>
        <v>31.402183194509714</v>
      </c>
      <c r="H33">
        <f t="shared" si="1"/>
        <v>37.372289417985407</v>
      </c>
    </row>
    <row r="34" spans="6:8" x14ac:dyDescent="0.35">
      <c r="F34">
        <v>0.62</v>
      </c>
      <c r="G34">
        <f t="shared" si="0"/>
        <v>32.448922634326706</v>
      </c>
      <c r="H34">
        <f t="shared" si="1"/>
        <v>38.500062905897352</v>
      </c>
    </row>
    <row r="35" spans="6:8" x14ac:dyDescent="0.35">
      <c r="F35">
        <v>0.64</v>
      </c>
      <c r="G35">
        <f t="shared" si="0"/>
        <v>33.495662074143695</v>
      </c>
      <c r="H35">
        <f t="shared" si="1"/>
        <v>39.623912393809306</v>
      </c>
    </row>
    <row r="36" spans="6:8" x14ac:dyDescent="0.35">
      <c r="F36">
        <v>0.66</v>
      </c>
      <c r="G36">
        <f t="shared" si="0"/>
        <v>34.542401513960691</v>
      </c>
      <c r="H36">
        <f t="shared" si="1"/>
        <v>40.743837881721255</v>
      </c>
    </row>
    <row r="37" spans="6:8" x14ac:dyDescent="0.35">
      <c r="F37">
        <v>0.68</v>
      </c>
      <c r="G37">
        <f t="shared" si="0"/>
        <v>35.589140953777679</v>
      </c>
      <c r="H37">
        <f t="shared" si="1"/>
        <v>41.8598393696332</v>
      </c>
    </row>
    <row r="38" spans="6:8" x14ac:dyDescent="0.35">
      <c r="F38">
        <v>0.7</v>
      </c>
      <c r="G38">
        <f t="shared" si="0"/>
        <v>36.635880393594668</v>
      </c>
      <c r="H38">
        <f t="shared" si="1"/>
        <v>42.971916857545153</v>
      </c>
    </row>
    <row r="39" spans="6:8" x14ac:dyDescent="0.35">
      <c r="F39">
        <v>0.72</v>
      </c>
      <c r="G39">
        <f t="shared" si="0"/>
        <v>37.682619833411657</v>
      </c>
      <c r="H39">
        <f t="shared" si="1"/>
        <v>44.080070345457102</v>
      </c>
    </row>
    <row r="40" spans="6:8" x14ac:dyDescent="0.35">
      <c r="F40">
        <v>0.74</v>
      </c>
      <c r="G40">
        <f t="shared" si="0"/>
        <v>38.729359273228653</v>
      </c>
      <c r="H40">
        <f t="shared" si="1"/>
        <v>45.184299833369053</v>
      </c>
    </row>
    <row r="41" spans="6:8" x14ac:dyDescent="0.35">
      <c r="F41">
        <v>0.76</v>
      </c>
      <c r="G41">
        <f t="shared" si="0"/>
        <v>39.776098713045641</v>
      </c>
      <c r="H41">
        <f t="shared" si="1"/>
        <v>46.284605321280999</v>
      </c>
    </row>
    <row r="42" spans="6:8" x14ac:dyDescent="0.35">
      <c r="F42">
        <v>0.78</v>
      </c>
      <c r="G42">
        <f t="shared" si="0"/>
        <v>40.82283815286263</v>
      </c>
      <c r="H42">
        <f t="shared" si="1"/>
        <v>47.380986809192947</v>
      </c>
    </row>
    <row r="43" spans="6:8" x14ac:dyDescent="0.35">
      <c r="F43">
        <v>0.8</v>
      </c>
      <c r="G43">
        <f t="shared" si="0"/>
        <v>41.869577592679626</v>
      </c>
      <c r="H43">
        <f t="shared" si="1"/>
        <v>48.473444297104898</v>
      </c>
    </row>
    <row r="44" spans="6:8" x14ac:dyDescent="0.35">
      <c r="F44">
        <v>0.82</v>
      </c>
      <c r="G44">
        <f t="shared" si="0"/>
        <v>42.916317032496607</v>
      </c>
      <c r="H44">
        <f t="shared" si="1"/>
        <v>49.56197778501685</v>
      </c>
    </row>
    <row r="45" spans="6:8" x14ac:dyDescent="0.35">
      <c r="F45">
        <v>0.84</v>
      </c>
      <c r="G45">
        <f t="shared" si="0"/>
        <v>43.963056472313603</v>
      </c>
      <c r="H45">
        <f t="shared" si="1"/>
        <v>50.646587272928798</v>
      </c>
    </row>
    <row r="46" spans="6:8" x14ac:dyDescent="0.35">
      <c r="F46">
        <v>0.86</v>
      </c>
      <c r="G46">
        <f t="shared" si="0"/>
        <v>45.009795912130592</v>
      </c>
      <c r="H46">
        <f t="shared" si="1"/>
        <v>51.727272760840748</v>
      </c>
    </row>
    <row r="47" spans="6:8" x14ac:dyDescent="0.35">
      <c r="F47">
        <v>0.88</v>
      </c>
      <c r="G47">
        <f t="shared" si="0"/>
        <v>46.056535351947581</v>
      </c>
      <c r="H47">
        <f t="shared" si="1"/>
        <v>52.8040342487527</v>
      </c>
    </row>
    <row r="48" spans="6:8" x14ac:dyDescent="0.35">
      <c r="F48">
        <v>0.9</v>
      </c>
      <c r="G48">
        <f t="shared" si="0"/>
        <v>47.103274791764576</v>
      </c>
      <c r="H48">
        <f t="shared" si="1"/>
        <v>53.876871736664647</v>
      </c>
    </row>
    <row r="49" spans="6:8" x14ac:dyDescent="0.35">
      <c r="F49">
        <v>0.92</v>
      </c>
      <c r="G49">
        <f t="shared" si="0"/>
        <v>48.150014231581565</v>
      </c>
      <c r="H49">
        <f t="shared" si="1"/>
        <v>54.945785224576596</v>
      </c>
    </row>
    <row r="50" spans="6:8" x14ac:dyDescent="0.35">
      <c r="F50">
        <v>0.94</v>
      </c>
      <c r="G50">
        <f t="shared" si="0"/>
        <v>49.196753671398554</v>
      </c>
      <c r="H50">
        <f t="shared" si="1"/>
        <v>56.010774712488548</v>
      </c>
    </row>
    <row r="51" spans="6:8" x14ac:dyDescent="0.35">
      <c r="F51">
        <v>0.96</v>
      </c>
      <c r="G51">
        <f t="shared" si="0"/>
        <v>50.243493111215543</v>
      </c>
      <c r="H51">
        <f t="shared" si="1"/>
        <v>57.071840200400494</v>
      </c>
    </row>
    <row r="52" spans="6:8" x14ac:dyDescent="0.35">
      <c r="F52">
        <v>0.98</v>
      </c>
      <c r="G52">
        <f t="shared" si="0"/>
        <v>51.290232551032538</v>
      </c>
      <c r="H52">
        <f t="shared" si="1"/>
        <v>58.128981688312443</v>
      </c>
    </row>
    <row r="53" spans="6:8" x14ac:dyDescent="0.35">
      <c r="F53">
        <v>1</v>
      </c>
      <c r="G53">
        <f t="shared" si="0"/>
        <v>52.336971990849527</v>
      </c>
      <c r="H53">
        <f t="shared" si="1"/>
        <v>59.182199176224394</v>
      </c>
    </row>
    <row r="54" spans="6:8" x14ac:dyDescent="0.35">
      <c r="F54">
        <v>1.02</v>
      </c>
      <c r="G54">
        <f t="shared" si="0"/>
        <v>53.383711430666516</v>
      </c>
      <c r="H54">
        <f t="shared" si="1"/>
        <v>60.231492664136347</v>
      </c>
    </row>
    <row r="55" spans="6:8" x14ac:dyDescent="0.35">
      <c r="F55">
        <v>1.04</v>
      </c>
      <c r="G55">
        <f t="shared" si="0"/>
        <v>54.430450870483511</v>
      </c>
      <c r="H55">
        <f t="shared" si="1"/>
        <v>61.276862152048295</v>
      </c>
    </row>
    <row r="56" spans="6:8" x14ac:dyDescent="0.35">
      <c r="F56">
        <v>1.06</v>
      </c>
      <c r="G56">
        <f t="shared" si="0"/>
        <v>55.4771903103005</v>
      </c>
      <c r="H56">
        <f t="shared" si="1"/>
        <v>62.318307639960246</v>
      </c>
    </row>
    <row r="57" spans="6:8" x14ac:dyDescent="0.35">
      <c r="F57">
        <v>1.08</v>
      </c>
      <c r="G57">
        <f t="shared" si="0"/>
        <v>56.523929750117496</v>
      </c>
      <c r="H57">
        <f t="shared" si="1"/>
        <v>63.355829127872191</v>
      </c>
    </row>
    <row r="58" spans="6:8" x14ac:dyDescent="0.35">
      <c r="F58">
        <v>1.1000000000000001</v>
      </c>
      <c r="G58">
        <f t="shared" si="0"/>
        <v>57.570669189934485</v>
      </c>
      <c r="H58">
        <f t="shared" si="1"/>
        <v>64.389426615784146</v>
      </c>
    </row>
    <row r="59" spans="6:8" x14ac:dyDescent="0.35">
      <c r="F59">
        <v>1.1200000000000001</v>
      </c>
      <c r="G59">
        <f t="shared" si="0"/>
        <v>58.617408629751473</v>
      </c>
      <c r="H59">
        <f t="shared" si="1"/>
        <v>65.419100103696096</v>
      </c>
    </row>
    <row r="60" spans="6:8" x14ac:dyDescent="0.35">
      <c r="F60">
        <v>1.1399999999999999</v>
      </c>
      <c r="G60">
        <f t="shared" si="0"/>
        <v>59.664148069568455</v>
      </c>
      <c r="H60">
        <f t="shared" si="1"/>
        <v>66.444849591608047</v>
      </c>
    </row>
    <row r="61" spans="6:8" x14ac:dyDescent="0.35">
      <c r="F61">
        <v>1.1599999999999999</v>
      </c>
      <c r="G61">
        <f t="shared" si="0"/>
        <v>60.710887509385444</v>
      </c>
      <c r="H61">
        <f t="shared" si="1"/>
        <v>67.466675079520002</v>
      </c>
    </row>
    <row r="62" spans="6:8" x14ac:dyDescent="0.35">
      <c r="F62">
        <v>1.18</v>
      </c>
      <c r="G62">
        <f t="shared" si="0"/>
        <v>61.757626949202439</v>
      </c>
      <c r="H62">
        <f t="shared" si="1"/>
        <v>68.484576567431944</v>
      </c>
    </row>
    <row r="63" spans="6:8" x14ac:dyDescent="0.35">
      <c r="F63">
        <v>1.2</v>
      </c>
      <c r="G63">
        <f t="shared" si="0"/>
        <v>62.804366389019428</v>
      </c>
      <c r="H63">
        <f t="shared" si="1"/>
        <v>69.498554055343902</v>
      </c>
    </row>
    <row r="64" spans="6:8" x14ac:dyDescent="0.35">
      <c r="F64">
        <v>1.22</v>
      </c>
      <c r="G64">
        <f t="shared" si="0"/>
        <v>63.851105828836424</v>
      </c>
      <c r="H64">
        <f t="shared" si="1"/>
        <v>70.508607543255849</v>
      </c>
    </row>
    <row r="65" spans="6:8" x14ac:dyDescent="0.35">
      <c r="F65">
        <v>1.24</v>
      </c>
      <c r="G65">
        <f t="shared" si="0"/>
        <v>64.897845268653413</v>
      </c>
      <c r="H65">
        <f t="shared" si="1"/>
        <v>71.514737031167797</v>
      </c>
    </row>
    <row r="66" spans="6:8" x14ac:dyDescent="0.35">
      <c r="F66">
        <v>1.26</v>
      </c>
      <c r="G66">
        <f t="shared" si="0"/>
        <v>65.944584708470401</v>
      </c>
      <c r="H66">
        <f t="shared" si="1"/>
        <v>72.516942519079748</v>
      </c>
    </row>
    <row r="67" spans="6:8" x14ac:dyDescent="0.35">
      <c r="F67">
        <v>1.28</v>
      </c>
      <c r="G67">
        <f t="shared" ref="G67:G130" si="2">$B$15*F67</f>
        <v>66.99132414828739</v>
      </c>
      <c r="H67">
        <f t="shared" ref="H67:H130" si="3">$B$13*F67-($B$8*F67^2)/2+$B$12</f>
        <v>73.515224006991701</v>
      </c>
    </row>
    <row r="68" spans="6:8" x14ac:dyDescent="0.35">
      <c r="F68">
        <v>1.3</v>
      </c>
      <c r="G68">
        <f t="shared" si="2"/>
        <v>68.038063588104393</v>
      </c>
      <c r="H68">
        <f t="shared" si="3"/>
        <v>74.509581494903642</v>
      </c>
    </row>
    <row r="69" spans="6:8" x14ac:dyDescent="0.35">
      <c r="F69">
        <v>1.32</v>
      </c>
      <c r="G69">
        <f t="shared" si="2"/>
        <v>69.084803027921382</v>
      </c>
      <c r="H69">
        <f t="shared" si="3"/>
        <v>75.5000149828156</v>
      </c>
    </row>
    <row r="70" spans="6:8" x14ac:dyDescent="0.35">
      <c r="F70">
        <v>1.34</v>
      </c>
      <c r="G70">
        <f t="shared" si="2"/>
        <v>70.13154246773837</v>
      </c>
      <c r="H70">
        <f t="shared" si="3"/>
        <v>76.486524470727545</v>
      </c>
    </row>
    <row r="71" spans="6:8" x14ac:dyDescent="0.35">
      <c r="F71">
        <v>1.36</v>
      </c>
      <c r="G71">
        <f t="shared" si="2"/>
        <v>71.178281907555359</v>
      </c>
      <c r="H71">
        <f t="shared" si="3"/>
        <v>77.469109958639493</v>
      </c>
    </row>
    <row r="72" spans="6:8" x14ac:dyDescent="0.35">
      <c r="F72">
        <v>1.38</v>
      </c>
      <c r="G72">
        <f t="shared" si="2"/>
        <v>72.225021347372348</v>
      </c>
      <c r="H72">
        <f t="shared" si="3"/>
        <v>78.447771446551442</v>
      </c>
    </row>
    <row r="73" spans="6:8" x14ac:dyDescent="0.35">
      <c r="F73">
        <v>1.4</v>
      </c>
      <c r="G73">
        <f t="shared" si="2"/>
        <v>73.271760787189336</v>
      </c>
      <c r="H73">
        <f t="shared" si="3"/>
        <v>79.422508934463394</v>
      </c>
    </row>
    <row r="74" spans="6:8" x14ac:dyDescent="0.35">
      <c r="F74">
        <v>1.42</v>
      </c>
      <c r="G74">
        <f t="shared" si="2"/>
        <v>74.318500227006325</v>
      </c>
      <c r="H74">
        <f t="shared" si="3"/>
        <v>80.393322422375348</v>
      </c>
    </row>
    <row r="75" spans="6:8" x14ac:dyDescent="0.35">
      <c r="F75">
        <v>1.44</v>
      </c>
      <c r="G75">
        <f t="shared" si="2"/>
        <v>75.365239666823314</v>
      </c>
      <c r="H75">
        <f t="shared" si="3"/>
        <v>81.36021191028729</v>
      </c>
    </row>
    <row r="76" spans="6:8" x14ac:dyDescent="0.35">
      <c r="F76">
        <v>1.46</v>
      </c>
      <c r="G76">
        <f t="shared" si="2"/>
        <v>76.411979106640302</v>
      </c>
      <c r="H76">
        <f t="shared" si="3"/>
        <v>82.323177398199249</v>
      </c>
    </row>
    <row r="77" spans="6:8" x14ac:dyDescent="0.35">
      <c r="F77">
        <v>1.48</v>
      </c>
      <c r="G77">
        <f t="shared" si="2"/>
        <v>77.458718546457305</v>
      </c>
      <c r="H77">
        <f t="shared" si="3"/>
        <v>83.282218886111195</v>
      </c>
    </row>
    <row r="78" spans="6:8" x14ac:dyDescent="0.35">
      <c r="F78">
        <v>1.5</v>
      </c>
      <c r="G78">
        <f t="shared" si="2"/>
        <v>78.505457986274294</v>
      </c>
      <c r="H78">
        <f t="shared" si="3"/>
        <v>84.237336374023144</v>
      </c>
    </row>
    <row r="79" spans="6:8" x14ac:dyDescent="0.35">
      <c r="F79">
        <v>1.52</v>
      </c>
      <c r="G79">
        <f t="shared" si="2"/>
        <v>79.552197426091283</v>
      </c>
      <c r="H79">
        <f t="shared" si="3"/>
        <v>85.188529861935081</v>
      </c>
    </row>
    <row r="80" spans="6:8" x14ac:dyDescent="0.35">
      <c r="F80">
        <v>1.54</v>
      </c>
      <c r="G80">
        <f t="shared" si="2"/>
        <v>80.598936865908271</v>
      </c>
      <c r="H80">
        <f t="shared" si="3"/>
        <v>86.135799349847034</v>
      </c>
    </row>
    <row r="81" spans="6:8" x14ac:dyDescent="0.35">
      <c r="F81">
        <v>1.56</v>
      </c>
      <c r="G81">
        <f t="shared" si="2"/>
        <v>81.64567630572526</v>
      </c>
      <c r="H81">
        <f t="shared" si="3"/>
        <v>87.079144837758989</v>
      </c>
    </row>
    <row r="82" spans="6:8" x14ac:dyDescent="0.35">
      <c r="F82">
        <v>1.58</v>
      </c>
      <c r="G82">
        <f t="shared" si="2"/>
        <v>82.692415745542263</v>
      </c>
      <c r="H82">
        <f t="shared" si="3"/>
        <v>88.018566325670932</v>
      </c>
    </row>
    <row r="83" spans="6:8" x14ac:dyDescent="0.35">
      <c r="F83">
        <v>1.6</v>
      </c>
      <c r="G83">
        <f t="shared" si="2"/>
        <v>83.739155185359252</v>
      </c>
      <c r="H83">
        <f t="shared" si="3"/>
        <v>88.954063813582877</v>
      </c>
    </row>
    <row r="84" spans="6:8" x14ac:dyDescent="0.35">
      <c r="F84">
        <v>1.62</v>
      </c>
      <c r="G84">
        <f t="shared" si="2"/>
        <v>84.78589462517624</v>
      </c>
      <c r="H84">
        <f t="shared" si="3"/>
        <v>89.885637301494839</v>
      </c>
    </row>
    <row r="85" spans="6:8" x14ac:dyDescent="0.35">
      <c r="F85">
        <v>1.64</v>
      </c>
      <c r="G85">
        <f t="shared" si="2"/>
        <v>85.832634064993215</v>
      </c>
      <c r="H85">
        <f t="shared" si="3"/>
        <v>90.813286789406789</v>
      </c>
    </row>
    <row r="86" spans="6:8" x14ac:dyDescent="0.35">
      <c r="F86">
        <v>1.66</v>
      </c>
      <c r="G86">
        <f t="shared" si="2"/>
        <v>86.879373504810204</v>
      </c>
      <c r="H86">
        <f t="shared" si="3"/>
        <v>91.73701227731874</v>
      </c>
    </row>
    <row r="87" spans="6:8" x14ac:dyDescent="0.35">
      <c r="F87">
        <v>1.68</v>
      </c>
      <c r="G87">
        <f t="shared" si="2"/>
        <v>87.926112944627207</v>
      </c>
      <c r="H87">
        <f t="shared" si="3"/>
        <v>92.65681376523068</v>
      </c>
    </row>
    <row r="88" spans="6:8" x14ac:dyDescent="0.35">
      <c r="F88">
        <v>1.7</v>
      </c>
      <c r="G88">
        <f t="shared" si="2"/>
        <v>88.972852384444195</v>
      </c>
      <c r="H88">
        <f t="shared" si="3"/>
        <v>93.572691253142636</v>
      </c>
    </row>
    <row r="89" spans="6:8" x14ac:dyDescent="0.35">
      <c r="F89">
        <v>1.72</v>
      </c>
      <c r="G89">
        <f t="shared" si="2"/>
        <v>90.019591824261184</v>
      </c>
      <c r="H89">
        <f t="shared" si="3"/>
        <v>94.484644741054581</v>
      </c>
    </row>
    <row r="90" spans="6:8" x14ac:dyDescent="0.35">
      <c r="F90">
        <v>1.74</v>
      </c>
      <c r="G90">
        <f t="shared" si="2"/>
        <v>91.066331264078173</v>
      </c>
      <c r="H90">
        <f t="shared" si="3"/>
        <v>95.392674228966527</v>
      </c>
    </row>
    <row r="91" spans="6:8" x14ac:dyDescent="0.35">
      <c r="F91">
        <v>1.76</v>
      </c>
      <c r="G91">
        <f t="shared" si="2"/>
        <v>92.113070703895161</v>
      </c>
      <c r="H91">
        <f t="shared" si="3"/>
        <v>96.29677971687849</v>
      </c>
    </row>
    <row r="92" spans="6:8" x14ac:dyDescent="0.35">
      <c r="F92">
        <v>1.78</v>
      </c>
      <c r="G92">
        <f t="shared" si="2"/>
        <v>93.159810143712164</v>
      </c>
      <c r="H92">
        <f t="shared" si="3"/>
        <v>97.196961204790426</v>
      </c>
    </row>
    <row r="93" spans="6:8" x14ac:dyDescent="0.35">
      <c r="F93">
        <v>1.8</v>
      </c>
      <c r="G93">
        <f t="shared" si="2"/>
        <v>94.206549583529153</v>
      </c>
      <c r="H93">
        <f t="shared" si="3"/>
        <v>98.093218692702379</v>
      </c>
    </row>
    <row r="94" spans="6:8" x14ac:dyDescent="0.35">
      <c r="F94">
        <v>1.82</v>
      </c>
      <c r="G94">
        <f t="shared" si="2"/>
        <v>95.253289023346142</v>
      </c>
      <c r="H94">
        <f t="shared" si="3"/>
        <v>98.985552180614334</v>
      </c>
    </row>
    <row r="95" spans="6:8" x14ac:dyDescent="0.35">
      <c r="F95">
        <v>1.84</v>
      </c>
      <c r="G95">
        <f t="shared" si="2"/>
        <v>96.30002846316313</v>
      </c>
      <c r="H95">
        <f t="shared" si="3"/>
        <v>99.873961668526277</v>
      </c>
    </row>
    <row r="96" spans="6:8" x14ac:dyDescent="0.35">
      <c r="F96">
        <v>1.86</v>
      </c>
      <c r="G96">
        <f t="shared" si="2"/>
        <v>97.346767902980119</v>
      </c>
      <c r="H96">
        <f t="shared" si="3"/>
        <v>100.75844715643822</v>
      </c>
    </row>
    <row r="97" spans="6:8" x14ac:dyDescent="0.35">
      <c r="F97">
        <v>1.88</v>
      </c>
      <c r="G97">
        <f t="shared" si="2"/>
        <v>98.393507342797108</v>
      </c>
      <c r="H97">
        <f t="shared" si="3"/>
        <v>101.63900864435018</v>
      </c>
    </row>
    <row r="98" spans="6:8" x14ac:dyDescent="0.35">
      <c r="F98">
        <v>1.9</v>
      </c>
      <c r="G98">
        <f t="shared" si="2"/>
        <v>99.440246782614096</v>
      </c>
      <c r="H98">
        <f t="shared" si="3"/>
        <v>102.51564613226213</v>
      </c>
    </row>
    <row r="99" spans="6:8" x14ac:dyDescent="0.35">
      <c r="F99">
        <v>1.92</v>
      </c>
      <c r="G99">
        <f t="shared" si="2"/>
        <v>100.48698622243109</v>
      </c>
      <c r="H99">
        <f t="shared" si="3"/>
        <v>103.38835962017407</v>
      </c>
    </row>
    <row r="100" spans="6:8" x14ac:dyDescent="0.35">
      <c r="F100">
        <v>1.94</v>
      </c>
      <c r="G100">
        <f t="shared" si="2"/>
        <v>101.53372566224807</v>
      </c>
      <c r="H100">
        <f t="shared" si="3"/>
        <v>104.25714910808603</v>
      </c>
    </row>
    <row r="101" spans="6:8" x14ac:dyDescent="0.35">
      <c r="F101">
        <v>1.96</v>
      </c>
      <c r="G101">
        <f t="shared" si="2"/>
        <v>102.58046510206508</v>
      </c>
      <c r="H101">
        <f t="shared" si="3"/>
        <v>105.12201459599798</v>
      </c>
    </row>
    <row r="102" spans="6:8" x14ac:dyDescent="0.35">
      <c r="F102">
        <v>1.98</v>
      </c>
      <c r="G102">
        <f t="shared" si="2"/>
        <v>103.62720454188207</v>
      </c>
      <c r="H102">
        <f t="shared" si="3"/>
        <v>105.98295608390993</v>
      </c>
    </row>
    <row r="103" spans="6:8" x14ac:dyDescent="0.35">
      <c r="F103">
        <v>2</v>
      </c>
      <c r="G103">
        <f t="shared" si="2"/>
        <v>104.67394398169905</v>
      </c>
      <c r="H103">
        <f t="shared" si="3"/>
        <v>106.83997357182187</v>
      </c>
    </row>
    <row r="104" spans="6:8" x14ac:dyDescent="0.35">
      <c r="F104">
        <v>2.02</v>
      </c>
      <c r="G104">
        <f t="shared" si="2"/>
        <v>105.72068342151604</v>
      </c>
      <c r="H104">
        <f t="shared" si="3"/>
        <v>107.69306705973382</v>
      </c>
    </row>
    <row r="105" spans="6:8" x14ac:dyDescent="0.35">
      <c r="F105">
        <v>2.04</v>
      </c>
      <c r="G105">
        <f t="shared" si="2"/>
        <v>106.76742286133303</v>
      </c>
      <c r="H105">
        <f t="shared" si="3"/>
        <v>108.54223654764577</v>
      </c>
    </row>
    <row r="106" spans="6:8" x14ac:dyDescent="0.35">
      <c r="F106">
        <v>2.06</v>
      </c>
      <c r="G106">
        <f t="shared" si="2"/>
        <v>107.81416230115003</v>
      </c>
      <c r="H106">
        <f t="shared" si="3"/>
        <v>109.38748203555774</v>
      </c>
    </row>
    <row r="107" spans="6:8" x14ac:dyDescent="0.35">
      <c r="F107">
        <v>2.08</v>
      </c>
      <c r="G107">
        <f t="shared" si="2"/>
        <v>108.86090174096702</v>
      </c>
      <c r="H107">
        <f t="shared" si="3"/>
        <v>110.22880352346968</v>
      </c>
    </row>
    <row r="108" spans="6:8" x14ac:dyDescent="0.35">
      <c r="F108">
        <v>2.1</v>
      </c>
      <c r="G108">
        <f t="shared" si="2"/>
        <v>109.90764118078401</v>
      </c>
      <c r="H108">
        <f t="shared" si="3"/>
        <v>111.06620101138164</v>
      </c>
    </row>
    <row r="109" spans="6:8" x14ac:dyDescent="0.35">
      <c r="F109">
        <v>2.12</v>
      </c>
      <c r="G109">
        <f t="shared" si="2"/>
        <v>110.954380620601</v>
      </c>
      <c r="H109">
        <f t="shared" si="3"/>
        <v>111.89967449929357</v>
      </c>
    </row>
    <row r="110" spans="6:8" x14ac:dyDescent="0.35">
      <c r="F110">
        <v>2.14</v>
      </c>
      <c r="G110">
        <f t="shared" si="2"/>
        <v>112.00112006041799</v>
      </c>
      <c r="H110">
        <f t="shared" si="3"/>
        <v>112.72922398720553</v>
      </c>
    </row>
    <row r="111" spans="6:8" x14ac:dyDescent="0.35">
      <c r="F111">
        <v>2.16</v>
      </c>
      <c r="G111">
        <f t="shared" si="2"/>
        <v>113.04785950023499</v>
      </c>
      <c r="H111">
        <f t="shared" si="3"/>
        <v>113.55484947511746</v>
      </c>
    </row>
    <row r="112" spans="6:8" x14ac:dyDescent="0.35">
      <c r="F112">
        <v>2.1800000000000002</v>
      </c>
      <c r="G112">
        <f t="shared" si="2"/>
        <v>114.09459894005198</v>
      </c>
      <c r="H112">
        <f t="shared" si="3"/>
        <v>114.37655096302943</v>
      </c>
    </row>
    <row r="113" spans="6:8" x14ac:dyDescent="0.35">
      <c r="F113">
        <v>2.2000000000000002</v>
      </c>
      <c r="G113">
        <f t="shared" si="2"/>
        <v>115.14133837986897</v>
      </c>
      <c r="H113">
        <f t="shared" si="3"/>
        <v>115.19432845094137</v>
      </c>
    </row>
    <row r="114" spans="6:8" x14ac:dyDescent="0.35">
      <c r="F114">
        <v>2.2200000000000002</v>
      </c>
      <c r="G114">
        <f t="shared" si="2"/>
        <v>116.18807781968596</v>
      </c>
      <c r="H114">
        <f t="shared" si="3"/>
        <v>116.00818193885333</v>
      </c>
    </row>
    <row r="115" spans="6:8" x14ac:dyDescent="0.35">
      <c r="F115">
        <v>2.2400000000000002</v>
      </c>
      <c r="G115">
        <f t="shared" si="2"/>
        <v>117.23481725950295</v>
      </c>
      <c r="H115">
        <f t="shared" si="3"/>
        <v>116.81811142676527</v>
      </c>
    </row>
    <row r="116" spans="6:8" x14ac:dyDescent="0.35">
      <c r="F116">
        <v>2.2599999999999998</v>
      </c>
      <c r="G116">
        <f t="shared" si="2"/>
        <v>118.28155669931992</v>
      </c>
      <c r="H116">
        <f t="shared" si="3"/>
        <v>117.62411691467722</v>
      </c>
    </row>
    <row r="117" spans="6:8" x14ac:dyDescent="0.35">
      <c r="F117">
        <v>2.2799999999999998</v>
      </c>
      <c r="G117">
        <f t="shared" si="2"/>
        <v>119.32829613913691</v>
      </c>
      <c r="H117">
        <f t="shared" si="3"/>
        <v>118.42619840258916</v>
      </c>
    </row>
    <row r="118" spans="6:8" x14ac:dyDescent="0.35">
      <c r="F118">
        <v>2.2999999999999998</v>
      </c>
      <c r="G118">
        <f t="shared" si="2"/>
        <v>120.3750355789539</v>
      </c>
      <c r="H118">
        <f t="shared" si="3"/>
        <v>119.2243558905011</v>
      </c>
    </row>
    <row r="119" spans="6:8" x14ac:dyDescent="0.35">
      <c r="F119">
        <v>2.3199999999999998</v>
      </c>
      <c r="G119">
        <f t="shared" si="2"/>
        <v>121.42177501877089</v>
      </c>
      <c r="H119">
        <f t="shared" si="3"/>
        <v>120.01858937841307</v>
      </c>
    </row>
    <row r="120" spans="6:8" x14ac:dyDescent="0.35">
      <c r="F120">
        <v>2.34</v>
      </c>
      <c r="G120">
        <f t="shared" si="2"/>
        <v>122.46851445858789</v>
      </c>
      <c r="H120">
        <f t="shared" si="3"/>
        <v>120.80889886632501</v>
      </c>
    </row>
    <row r="121" spans="6:8" x14ac:dyDescent="0.35">
      <c r="F121">
        <v>2.36</v>
      </c>
      <c r="G121">
        <f t="shared" si="2"/>
        <v>123.51525389840488</v>
      </c>
      <c r="H121">
        <f t="shared" si="3"/>
        <v>121.59528435423697</v>
      </c>
    </row>
    <row r="122" spans="6:8" x14ac:dyDescent="0.35">
      <c r="F122">
        <v>2.38</v>
      </c>
      <c r="G122">
        <f t="shared" si="2"/>
        <v>124.56199333822187</v>
      </c>
      <c r="H122">
        <f t="shared" si="3"/>
        <v>122.3777458421489</v>
      </c>
    </row>
    <row r="123" spans="6:8" x14ac:dyDescent="0.35">
      <c r="F123">
        <v>2.4</v>
      </c>
      <c r="G123">
        <f t="shared" si="2"/>
        <v>125.60873277803886</v>
      </c>
      <c r="H123">
        <f t="shared" si="3"/>
        <v>123.15628333006086</v>
      </c>
    </row>
    <row r="124" spans="6:8" x14ac:dyDescent="0.35">
      <c r="F124">
        <v>2.42</v>
      </c>
      <c r="G124">
        <f t="shared" si="2"/>
        <v>126.65547221785584</v>
      </c>
      <c r="H124">
        <f t="shared" si="3"/>
        <v>123.93089681797281</v>
      </c>
    </row>
    <row r="125" spans="6:8" x14ac:dyDescent="0.35">
      <c r="F125">
        <v>2.44</v>
      </c>
      <c r="G125">
        <f t="shared" si="2"/>
        <v>127.70221165767285</v>
      </c>
      <c r="H125">
        <f t="shared" si="3"/>
        <v>124.70158630588476</v>
      </c>
    </row>
    <row r="126" spans="6:8" x14ac:dyDescent="0.35">
      <c r="F126">
        <v>2.46</v>
      </c>
      <c r="G126">
        <f t="shared" si="2"/>
        <v>128.74895109748982</v>
      </c>
      <c r="H126">
        <f t="shared" si="3"/>
        <v>125.4683517937967</v>
      </c>
    </row>
    <row r="127" spans="6:8" x14ac:dyDescent="0.35">
      <c r="F127">
        <v>2.48</v>
      </c>
      <c r="G127">
        <f t="shared" si="2"/>
        <v>129.79569053730683</v>
      </c>
      <c r="H127">
        <f t="shared" si="3"/>
        <v>126.23119328170867</v>
      </c>
    </row>
    <row r="128" spans="6:8" x14ac:dyDescent="0.35">
      <c r="F128">
        <v>2.5</v>
      </c>
      <c r="G128">
        <f t="shared" si="2"/>
        <v>130.84242997712383</v>
      </c>
      <c r="H128">
        <f t="shared" si="3"/>
        <v>126.99011076962063</v>
      </c>
    </row>
    <row r="129" spans="6:8" x14ac:dyDescent="0.35">
      <c r="F129">
        <v>2.52</v>
      </c>
      <c r="G129">
        <f t="shared" si="2"/>
        <v>131.8891694169408</v>
      </c>
      <c r="H129">
        <f t="shared" si="3"/>
        <v>127.74510425753256</v>
      </c>
    </row>
    <row r="130" spans="6:8" x14ac:dyDescent="0.35">
      <c r="F130">
        <v>2.54</v>
      </c>
      <c r="G130">
        <f t="shared" si="2"/>
        <v>132.93590885675781</v>
      </c>
      <c r="H130">
        <f t="shared" si="3"/>
        <v>128.49617374544451</v>
      </c>
    </row>
    <row r="131" spans="6:8" x14ac:dyDescent="0.35">
      <c r="F131">
        <v>2.56</v>
      </c>
      <c r="G131">
        <f t="shared" ref="G131:G194" si="4">$B$15*F131</f>
        <v>133.98264829657478</v>
      </c>
      <c r="H131">
        <f t="shared" ref="H131:H194" si="5">$B$13*F131-($B$8*F131^2)/2+$B$12</f>
        <v>129.24331923335646</v>
      </c>
    </row>
    <row r="132" spans="6:8" x14ac:dyDescent="0.35">
      <c r="F132">
        <v>2.58</v>
      </c>
      <c r="G132">
        <f t="shared" si="4"/>
        <v>135.02938773639178</v>
      </c>
      <c r="H132">
        <f t="shared" si="5"/>
        <v>129.98654072126843</v>
      </c>
    </row>
    <row r="133" spans="6:8" x14ac:dyDescent="0.35">
      <c r="F133">
        <v>2.6</v>
      </c>
      <c r="G133">
        <f t="shared" si="4"/>
        <v>136.07612717620879</v>
      </c>
      <c r="H133">
        <f t="shared" si="5"/>
        <v>130.72583820918035</v>
      </c>
    </row>
    <row r="134" spans="6:8" x14ac:dyDescent="0.35">
      <c r="F134">
        <v>2.62</v>
      </c>
      <c r="G134">
        <f t="shared" si="4"/>
        <v>137.12286661602576</v>
      </c>
      <c r="H134">
        <f t="shared" si="5"/>
        <v>131.46121169709232</v>
      </c>
    </row>
    <row r="135" spans="6:8" x14ac:dyDescent="0.35">
      <c r="F135">
        <v>2.64</v>
      </c>
      <c r="G135">
        <f t="shared" si="4"/>
        <v>138.16960605584276</v>
      </c>
      <c r="H135">
        <f t="shared" si="5"/>
        <v>132.19266118500425</v>
      </c>
    </row>
    <row r="136" spans="6:8" x14ac:dyDescent="0.35">
      <c r="F136">
        <v>2.66</v>
      </c>
      <c r="G136">
        <f t="shared" si="4"/>
        <v>139.21634549565974</v>
      </c>
      <c r="H136">
        <f t="shared" si="5"/>
        <v>132.9201866729162</v>
      </c>
    </row>
    <row r="137" spans="6:8" x14ac:dyDescent="0.35">
      <c r="F137">
        <v>2.68</v>
      </c>
      <c r="G137">
        <f t="shared" si="4"/>
        <v>140.26308493547674</v>
      </c>
      <c r="H137">
        <f t="shared" si="5"/>
        <v>133.64378816082814</v>
      </c>
    </row>
    <row r="138" spans="6:8" x14ac:dyDescent="0.35">
      <c r="F138">
        <v>2.7</v>
      </c>
      <c r="G138">
        <f t="shared" si="4"/>
        <v>141.30982437529374</v>
      </c>
      <c r="H138">
        <f t="shared" si="5"/>
        <v>134.36346564874012</v>
      </c>
    </row>
    <row r="139" spans="6:8" x14ac:dyDescent="0.35">
      <c r="F139">
        <v>2.72</v>
      </c>
      <c r="G139">
        <f t="shared" si="4"/>
        <v>142.35656381511072</v>
      </c>
      <c r="H139">
        <f t="shared" si="5"/>
        <v>135.07921913665206</v>
      </c>
    </row>
    <row r="140" spans="6:8" x14ac:dyDescent="0.35">
      <c r="F140">
        <v>2.74</v>
      </c>
      <c r="G140">
        <f t="shared" si="4"/>
        <v>143.40330325492772</v>
      </c>
      <c r="H140">
        <f t="shared" si="5"/>
        <v>135.79104862456401</v>
      </c>
    </row>
    <row r="141" spans="6:8" x14ac:dyDescent="0.35">
      <c r="F141">
        <v>2.76</v>
      </c>
      <c r="G141">
        <f t="shared" si="4"/>
        <v>144.4500426947447</v>
      </c>
      <c r="H141">
        <f t="shared" si="5"/>
        <v>136.49895411247596</v>
      </c>
    </row>
    <row r="142" spans="6:8" x14ac:dyDescent="0.35">
      <c r="F142">
        <v>2.78</v>
      </c>
      <c r="G142">
        <f t="shared" si="4"/>
        <v>145.49678213456167</v>
      </c>
      <c r="H142">
        <f t="shared" si="5"/>
        <v>137.20293560038789</v>
      </c>
    </row>
    <row r="143" spans="6:8" x14ac:dyDescent="0.35">
      <c r="F143">
        <v>2.8</v>
      </c>
      <c r="G143">
        <f t="shared" si="4"/>
        <v>146.54352157437867</v>
      </c>
      <c r="H143">
        <f t="shared" si="5"/>
        <v>137.90299308829987</v>
      </c>
    </row>
    <row r="144" spans="6:8" x14ac:dyDescent="0.35">
      <c r="F144">
        <v>2.82</v>
      </c>
      <c r="G144">
        <f t="shared" si="4"/>
        <v>147.59026101419565</v>
      </c>
      <c r="H144">
        <f t="shared" si="5"/>
        <v>138.5991265762118</v>
      </c>
    </row>
    <row r="145" spans="6:8" x14ac:dyDescent="0.35">
      <c r="F145">
        <v>2.84</v>
      </c>
      <c r="G145">
        <f t="shared" si="4"/>
        <v>148.63700045401265</v>
      </c>
      <c r="H145">
        <f t="shared" si="5"/>
        <v>139.29133606412375</v>
      </c>
    </row>
    <row r="146" spans="6:8" x14ac:dyDescent="0.35">
      <c r="F146">
        <v>2.86</v>
      </c>
      <c r="G146">
        <f t="shared" si="4"/>
        <v>149.68373989382965</v>
      </c>
      <c r="H146">
        <f t="shared" si="5"/>
        <v>139.9796215520357</v>
      </c>
    </row>
    <row r="147" spans="6:8" x14ac:dyDescent="0.35">
      <c r="F147">
        <v>2.88</v>
      </c>
      <c r="G147">
        <f t="shared" si="4"/>
        <v>150.73047933364663</v>
      </c>
      <c r="H147">
        <f t="shared" si="5"/>
        <v>140.66398303994765</v>
      </c>
    </row>
    <row r="148" spans="6:8" x14ac:dyDescent="0.35">
      <c r="F148">
        <v>2.9</v>
      </c>
      <c r="G148">
        <f t="shared" si="4"/>
        <v>151.77721877346363</v>
      </c>
      <c r="H148">
        <f t="shared" si="5"/>
        <v>141.3444205278596</v>
      </c>
    </row>
    <row r="149" spans="6:8" x14ac:dyDescent="0.35">
      <c r="F149">
        <v>2.92</v>
      </c>
      <c r="G149">
        <f t="shared" si="4"/>
        <v>152.8239582132806</v>
      </c>
      <c r="H149">
        <f t="shared" si="5"/>
        <v>142.02093401577156</v>
      </c>
    </row>
    <row r="150" spans="6:8" x14ac:dyDescent="0.35">
      <c r="F150">
        <v>2.94</v>
      </c>
      <c r="G150">
        <f t="shared" si="4"/>
        <v>153.87069765309761</v>
      </c>
      <c r="H150">
        <f t="shared" si="5"/>
        <v>142.69352350368348</v>
      </c>
    </row>
    <row r="151" spans="6:8" x14ac:dyDescent="0.35">
      <c r="F151">
        <v>2.96</v>
      </c>
      <c r="G151">
        <f t="shared" si="4"/>
        <v>154.91743709291461</v>
      </c>
      <c r="H151">
        <f t="shared" si="5"/>
        <v>143.36218899159545</v>
      </c>
    </row>
    <row r="152" spans="6:8" x14ac:dyDescent="0.35">
      <c r="F152">
        <v>2.98</v>
      </c>
      <c r="G152">
        <f t="shared" si="4"/>
        <v>155.96417653273159</v>
      </c>
      <c r="H152">
        <f t="shared" si="5"/>
        <v>144.02693047950737</v>
      </c>
    </row>
    <row r="153" spans="6:8" x14ac:dyDescent="0.35">
      <c r="F153">
        <v>3</v>
      </c>
      <c r="G153">
        <f t="shared" si="4"/>
        <v>157.01091597254859</v>
      </c>
      <c r="H153">
        <f t="shared" si="5"/>
        <v>144.68774796741934</v>
      </c>
    </row>
    <row r="154" spans="6:8" x14ac:dyDescent="0.35">
      <c r="F154">
        <v>3.02</v>
      </c>
      <c r="G154">
        <f t="shared" si="4"/>
        <v>158.05765541236556</v>
      </c>
      <c r="H154">
        <f t="shared" si="5"/>
        <v>145.34464145533133</v>
      </c>
    </row>
    <row r="155" spans="6:8" x14ac:dyDescent="0.35">
      <c r="F155">
        <v>3.04</v>
      </c>
      <c r="G155">
        <f t="shared" si="4"/>
        <v>159.10439485218257</v>
      </c>
      <c r="H155">
        <f t="shared" si="5"/>
        <v>145.99761094324325</v>
      </c>
    </row>
    <row r="156" spans="6:8" x14ac:dyDescent="0.35">
      <c r="F156">
        <v>3.06</v>
      </c>
      <c r="G156">
        <f t="shared" si="4"/>
        <v>160.15113429199957</v>
      </c>
      <c r="H156">
        <f t="shared" si="5"/>
        <v>146.64665643115521</v>
      </c>
    </row>
    <row r="157" spans="6:8" x14ac:dyDescent="0.35">
      <c r="F157">
        <v>3.08</v>
      </c>
      <c r="G157">
        <f t="shared" si="4"/>
        <v>161.19787373181654</v>
      </c>
      <c r="H157">
        <f t="shared" si="5"/>
        <v>147.29177791906716</v>
      </c>
    </row>
    <row r="158" spans="6:8" x14ac:dyDescent="0.35">
      <c r="F158">
        <v>3.1</v>
      </c>
      <c r="G158">
        <f t="shared" si="4"/>
        <v>162.24461317163355</v>
      </c>
      <c r="H158">
        <f t="shared" si="5"/>
        <v>147.9329754069791</v>
      </c>
    </row>
    <row r="159" spans="6:8" x14ac:dyDescent="0.35">
      <c r="F159">
        <v>3.12</v>
      </c>
      <c r="G159">
        <f t="shared" si="4"/>
        <v>163.29135261145052</v>
      </c>
      <c r="H159">
        <f t="shared" si="5"/>
        <v>148.57024889489105</v>
      </c>
    </row>
    <row r="160" spans="6:8" x14ac:dyDescent="0.35">
      <c r="F160">
        <v>3.14</v>
      </c>
      <c r="G160">
        <f t="shared" si="4"/>
        <v>164.33809205126752</v>
      </c>
      <c r="H160">
        <f t="shared" si="5"/>
        <v>149.20359838280302</v>
      </c>
    </row>
    <row r="161" spans="6:8" x14ac:dyDescent="0.35">
      <c r="F161">
        <v>3.16</v>
      </c>
      <c r="G161">
        <f t="shared" si="4"/>
        <v>165.38483149108453</v>
      </c>
      <c r="H161">
        <f t="shared" si="5"/>
        <v>149.83302387071495</v>
      </c>
    </row>
    <row r="162" spans="6:8" x14ac:dyDescent="0.35">
      <c r="F162">
        <v>3.18</v>
      </c>
      <c r="G162">
        <f t="shared" si="4"/>
        <v>166.4315709309015</v>
      </c>
      <c r="H162">
        <f t="shared" si="5"/>
        <v>150.4585253586269</v>
      </c>
    </row>
    <row r="163" spans="6:8" x14ac:dyDescent="0.35">
      <c r="F163">
        <v>3.2</v>
      </c>
      <c r="G163">
        <f t="shared" si="4"/>
        <v>167.4783103707185</v>
      </c>
      <c r="H163">
        <f t="shared" si="5"/>
        <v>151.08010284653884</v>
      </c>
    </row>
    <row r="164" spans="6:8" x14ac:dyDescent="0.35">
      <c r="F164">
        <v>3.22</v>
      </c>
      <c r="G164">
        <f t="shared" si="4"/>
        <v>168.52504981053548</v>
      </c>
      <c r="H164">
        <f t="shared" si="5"/>
        <v>151.69775633445079</v>
      </c>
    </row>
    <row r="165" spans="6:8" x14ac:dyDescent="0.35">
      <c r="F165">
        <v>3.24</v>
      </c>
      <c r="G165">
        <f t="shared" si="4"/>
        <v>169.57178925035248</v>
      </c>
      <c r="H165">
        <f t="shared" si="5"/>
        <v>152.31148582236273</v>
      </c>
    </row>
    <row r="166" spans="6:8" x14ac:dyDescent="0.35">
      <c r="F166">
        <v>3.26</v>
      </c>
      <c r="G166">
        <f t="shared" si="4"/>
        <v>170.61852869016946</v>
      </c>
      <c r="H166">
        <f t="shared" si="5"/>
        <v>152.92129131027468</v>
      </c>
    </row>
    <row r="167" spans="6:8" x14ac:dyDescent="0.35">
      <c r="F167">
        <v>3.28</v>
      </c>
      <c r="G167">
        <f t="shared" si="4"/>
        <v>171.66526812998643</v>
      </c>
      <c r="H167">
        <f t="shared" si="5"/>
        <v>153.52717279818665</v>
      </c>
    </row>
    <row r="168" spans="6:8" x14ac:dyDescent="0.35">
      <c r="F168">
        <v>3.3</v>
      </c>
      <c r="G168">
        <f t="shared" si="4"/>
        <v>172.71200756980343</v>
      </c>
      <c r="H168">
        <f t="shared" si="5"/>
        <v>154.12913028609859</v>
      </c>
    </row>
    <row r="169" spans="6:8" x14ac:dyDescent="0.35">
      <c r="F169">
        <v>3.32</v>
      </c>
      <c r="G169">
        <f t="shared" si="4"/>
        <v>173.75874700962041</v>
      </c>
      <c r="H169">
        <f t="shared" si="5"/>
        <v>154.72716377401053</v>
      </c>
    </row>
    <row r="170" spans="6:8" x14ac:dyDescent="0.35">
      <c r="F170">
        <v>3.34</v>
      </c>
      <c r="G170">
        <f t="shared" si="4"/>
        <v>174.80548644943741</v>
      </c>
      <c r="H170">
        <f t="shared" si="5"/>
        <v>155.32127326192247</v>
      </c>
    </row>
    <row r="171" spans="6:8" x14ac:dyDescent="0.35">
      <c r="F171">
        <v>3.36</v>
      </c>
      <c r="G171">
        <f t="shared" si="4"/>
        <v>175.85222588925441</v>
      </c>
      <c r="H171">
        <f t="shared" si="5"/>
        <v>155.91145874983445</v>
      </c>
    </row>
    <row r="172" spans="6:8" x14ac:dyDescent="0.35">
      <c r="F172">
        <v>3.38</v>
      </c>
      <c r="G172">
        <f t="shared" si="4"/>
        <v>176.89896532907139</v>
      </c>
      <c r="H172">
        <f t="shared" si="5"/>
        <v>156.49772023774636</v>
      </c>
    </row>
    <row r="173" spans="6:8" x14ac:dyDescent="0.35">
      <c r="F173">
        <v>3.4</v>
      </c>
      <c r="G173">
        <f t="shared" si="4"/>
        <v>177.94570476888839</v>
      </c>
      <c r="H173">
        <f t="shared" si="5"/>
        <v>157.08005772565835</v>
      </c>
    </row>
    <row r="174" spans="6:8" x14ac:dyDescent="0.35">
      <c r="F174">
        <v>3.42</v>
      </c>
      <c r="G174">
        <f t="shared" si="4"/>
        <v>178.99244420870536</v>
      </c>
      <c r="H174">
        <f t="shared" si="5"/>
        <v>157.65847121357029</v>
      </c>
    </row>
    <row r="175" spans="6:8" x14ac:dyDescent="0.35">
      <c r="F175">
        <v>3.44</v>
      </c>
      <c r="G175">
        <f t="shared" si="4"/>
        <v>180.03918364852237</v>
      </c>
      <c r="H175">
        <f t="shared" si="5"/>
        <v>158.23296070148223</v>
      </c>
    </row>
    <row r="176" spans="6:8" x14ac:dyDescent="0.35">
      <c r="F176">
        <v>3.46</v>
      </c>
      <c r="G176">
        <f t="shared" si="4"/>
        <v>181.08592308833937</v>
      </c>
      <c r="H176">
        <f t="shared" si="5"/>
        <v>158.80352618939418</v>
      </c>
    </row>
    <row r="177" spans="6:8" x14ac:dyDescent="0.35">
      <c r="F177">
        <v>3.48</v>
      </c>
      <c r="G177">
        <f t="shared" si="4"/>
        <v>182.13266252815635</v>
      </c>
      <c r="H177">
        <f t="shared" si="5"/>
        <v>159.37016767730614</v>
      </c>
    </row>
    <row r="178" spans="6:8" x14ac:dyDescent="0.35">
      <c r="F178">
        <v>3.5</v>
      </c>
      <c r="G178">
        <f t="shared" si="4"/>
        <v>183.17940196797335</v>
      </c>
      <c r="H178">
        <f t="shared" si="5"/>
        <v>159.93288516521807</v>
      </c>
    </row>
    <row r="179" spans="6:8" x14ac:dyDescent="0.35">
      <c r="F179">
        <v>3.52</v>
      </c>
      <c r="G179">
        <f t="shared" si="4"/>
        <v>184.22614140779032</v>
      </c>
      <c r="H179">
        <f t="shared" si="5"/>
        <v>160.49167865313004</v>
      </c>
    </row>
    <row r="180" spans="6:8" x14ac:dyDescent="0.35">
      <c r="F180">
        <v>3.54</v>
      </c>
      <c r="G180">
        <f t="shared" si="4"/>
        <v>185.27288084760733</v>
      </c>
      <c r="H180">
        <f t="shared" si="5"/>
        <v>161.046548141042</v>
      </c>
    </row>
    <row r="181" spans="6:8" x14ac:dyDescent="0.35">
      <c r="F181">
        <v>3.56</v>
      </c>
      <c r="G181">
        <f t="shared" si="4"/>
        <v>186.31962028742433</v>
      </c>
      <c r="H181">
        <f t="shared" si="5"/>
        <v>161.59749362895394</v>
      </c>
    </row>
    <row r="182" spans="6:8" x14ac:dyDescent="0.35">
      <c r="F182">
        <v>3.58</v>
      </c>
      <c r="G182">
        <f t="shared" si="4"/>
        <v>187.3663597272413</v>
      </c>
      <c r="H182">
        <f t="shared" si="5"/>
        <v>162.1445151168659</v>
      </c>
    </row>
    <row r="183" spans="6:8" x14ac:dyDescent="0.35">
      <c r="F183">
        <v>3.6</v>
      </c>
      <c r="G183">
        <f t="shared" si="4"/>
        <v>188.41309916705831</v>
      </c>
      <c r="H183">
        <f t="shared" si="5"/>
        <v>162.68761260477783</v>
      </c>
    </row>
    <row r="184" spans="6:8" x14ac:dyDescent="0.35">
      <c r="F184">
        <v>3.62</v>
      </c>
      <c r="G184">
        <f t="shared" si="4"/>
        <v>189.45983860687528</v>
      </c>
      <c r="H184">
        <f t="shared" si="5"/>
        <v>163.22678609268979</v>
      </c>
    </row>
    <row r="185" spans="6:8" x14ac:dyDescent="0.35">
      <c r="F185">
        <v>3.64</v>
      </c>
      <c r="G185">
        <f t="shared" si="4"/>
        <v>190.50657804669228</v>
      </c>
      <c r="H185">
        <f t="shared" si="5"/>
        <v>163.76203558060172</v>
      </c>
    </row>
    <row r="186" spans="6:8" x14ac:dyDescent="0.35">
      <c r="F186">
        <v>3.66</v>
      </c>
      <c r="G186">
        <f t="shared" si="4"/>
        <v>191.55331748650929</v>
      </c>
      <c r="H186">
        <f t="shared" si="5"/>
        <v>164.29336106851369</v>
      </c>
    </row>
    <row r="187" spans="6:8" x14ac:dyDescent="0.35">
      <c r="F187">
        <v>3.68</v>
      </c>
      <c r="G187">
        <f t="shared" si="4"/>
        <v>192.60005692632626</v>
      </c>
      <c r="H187">
        <f t="shared" si="5"/>
        <v>164.82076255642562</v>
      </c>
    </row>
    <row r="188" spans="6:8" x14ac:dyDescent="0.35">
      <c r="F188">
        <v>3.7</v>
      </c>
      <c r="G188">
        <f t="shared" si="4"/>
        <v>193.64679636614326</v>
      </c>
      <c r="H188">
        <f t="shared" si="5"/>
        <v>165.3442400443376</v>
      </c>
    </row>
    <row r="189" spans="6:8" x14ac:dyDescent="0.35">
      <c r="F189">
        <v>3.72</v>
      </c>
      <c r="G189">
        <f t="shared" si="4"/>
        <v>194.69353580596024</v>
      </c>
      <c r="H189">
        <f t="shared" si="5"/>
        <v>165.86379353224953</v>
      </c>
    </row>
    <row r="190" spans="6:8" x14ac:dyDescent="0.35">
      <c r="F190">
        <v>3.74</v>
      </c>
      <c r="G190">
        <f t="shared" si="4"/>
        <v>195.74027524577724</v>
      </c>
      <c r="H190">
        <f t="shared" si="5"/>
        <v>166.37942302016148</v>
      </c>
    </row>
    <row r="191" spans="6:8" x14ac:dyDescent="0.35">
      <c r="F191">
        <v>3.76</v>
      </c>
      <c r="G191">
        <f t="shared" si="4"/>
        <v>196.78701468559422</v>
      </c>
      <c r="H191">
        <f t="shared" si="5"/>
        <v>166.89112850807345</v>
      </c>
    </row>
    <row r="192" spans="6:8" x14ac:dyDescent="0.35">
      <c r="F192">
        <v>3.78</v>
      </c>
      <c r="G192">
        <f t="shared" si="4"/>
        <v>197.83375412541119</v>
      </c>
      <c r="H192">
        <f t="shared" si="5"/>
        <v>167.39890999598538</v>
      </c>
    </row>
    <row r="193" spans="6:8" x14ac:dyDescent="0.35">
      <c r="F193">
        <v>3.8</v>
      </c>
      <c r="G193">
        <f t="shared" si="4"/>
        <v>198.88049356522819</v>
      </c>
      <c r="H193">
        <f t="shared" si="5"/>
        <v>167.90276748389732</v>
      </c>
    </row>
    <row r="194" spans="6:8" x14ac:dyDescent="0.35">
      <c r="F194">
        <v>3.82</v>
      </c>
      <c r="G194">
        <f t="shared" si="4"/>
        <v>199.9272330050452</v>
      </c>
      <c r="H194">
        <f t="shared" si="5"/>
        <v>168.40270097180928</v>
      </c>
    </row>
    <row r="195" spans="6:8" x14ac:dyDescent="0.35">
      <c r="F195">
        <v>3.84</v>
      </c>
      <c r="G195">
        <f t="shared" ref="G195:G258" si="6">$B$15*F195</f>
        <v>200.97397244486217</v>
      </c>
      <c r="H195">
        <f t="shared" ref="H195:H258" si="7">$B$13*F195-($B$8*F195^2)/2+$B$12</f>
        <v>168.89871045972123</v>
      </c>
    </row>
    <row r="196" spans="6:8" x14ac:dyDescent="0.35">
      <c r="F196">
        <v>3.86</v>
      </c>
      <c r="G196">
        <f t="shared" si="6"/>
        <v>202.02071188467917</v>
      </c>
      <c r="H196">
        <f t="shared" si="7"/>
        <v>169.39079594763317</v>
      </c>
    </row>
    <row r="197" spans="6:8" x14ac:dyDescent="0.35">
      <c r="F197">
        <v>3.88</v>
      </c>
      <c r="G197">
        <f t="shared" si="6"/>
        <v>203.06745132449615</v>
      </c>
      <c r="H197">
        <f t="shared" si="7"/>
        <v>169.87895743554515</v>
      </c>
    </row>
    <row r="198" spans="6:8" x14ac:dyDescent="0.35">
      <c r="F198">
        <v>3.9</v>
      </c>
      <c r="G198">
        <f t="shared" si="6"/>
        <v>204.11419076431315</v>
      </c>
      <c r="H198">
        <f t="shared" si="7"/>
        <v>170.36319492345706</v>
      </c>
    </row>
    <row r="199" spans="6:8" x14ac:dyDescent="0.35">
      <c r="F199">
        <v>3.92</v>
      </c>
      <c r="G199">
        <f t="shared" si="6"/>
        <v>205.16093020413015</v>
      </c>
      <c r="H199">
        <f t="shared" si="7"/>
        <v>170.84350841136904</v>
      </c>
    </row>
    <row r="200" spans="6:8" x14ac:dyDescent="0.35">
      <c r="F200">
        <v>3.94</v>
      </c>
      <c r="G200">
        <f t="shared" si="6"/>
        <v>206.20766964394713</v>
      </c>
      <c r="H200">
        <f t="shared" si="7"/>
        <v>171.31989789928096</v>
      </c>
    </row>
    <row r="201" spans="6:8" x14ac:dyDescent="0.35">
      <c r="F201">
        <v>3.96</v>
      </c>
      <c r="G201">
        <f t="shared" si="6"/>
        <v>207.25440908376413</v>
      </c>
      <c r="H201">
        <f t="shared" si="7"/>
        <v>171.79236338719292</v>
      </c>
    </row>
    <row r="202" spans="6:8" x14ac:dyDescent="0.35">
      <c r="F202">
        <v>3.98</v>
      </c>
      <c r="G202">
        <f t="shared" si="6"/>
        <v>208.30114852358111</v>
      </c>
      <c r="H202">
        <f t="shared" si="7"/>
        <v>172.26090487510487</v>
      </c>
    </row>
    <row r="203" spans="6:8" x14ac:dyDescent="0.35">
      <c r="F203">
        <v>4</v>
      </c>
      <c r="G203">
        <f t="shared" si="6"/>
        <v>209.34788796339811</v>
      </c>
      <c r="H203">
        <f t="shared" si="7"/>
        <v>172.72552236301681</v>
      </c>
    </row>
    <row r="204" spans="6:8" x14ac:dyDescent="0.35">
      <c r="F204">
        <v>4.0199999999999996</v>
      </c>
      <c r="G204">
        <f t="shared" si="6"/>
        <v>210.39462740321508</v>
      </c>
      <c r="H204">
        <f t="shared" si="7"/>
        <v>173.18621585092876</v>
      </c>
    </row>
    <row r="205" spans="6:8" x14ac:dyDescent="0.35">
      <c r="F205">
        <v>4.04</v>
      </c>
      <c r="G205">
        <f t="shared" si="6"/>
        <v>211.44136684303209</v>
      </c>
      <c r="H205">
        <f t="shared" si="7"/>
        <v>173.64298533884073</v>
      </c>
    </row>
    <row r="206" spans="6:8" x14ac:dyDescent="0.35">
      <c r="F206">
        <v>4.0599999999999996</v>
      </c>
      <c r="G206">
        <f t="shared" si="6"/>
        <v>212.48810628284906</v>
      </c>
      <c r="H206">
        <f t="shared" si="7"/>
        <v>174.09583082675266</v>
      </c>
    </row>
    <row r="207" spans="6:8" x14ac:dyDescent="0.35">
      <c r="F207">
        <v>4.08</v>
      </c>
      <c r="G207">
        <f t="shared" si="6"/>
        <v>213.53484572266606</v>
      </c>
      <c r="H207">
        <f t="shared" si="7"/>
        <v>174.54475231466461</v>
      </c>
    </row>
    <row r="208" spans="6:8" x14ac:dyDescent="0.35">
      <c r="F208">
        <v>4.0999999999999996</v>
      </c>
      <c r="G208">
        <f t="shared" si="6"/>
        <v>214.58158516248304</v>
      </c>
      <c r="H208">
        <f t="shared" si="7"/>
        <v>174.98974980257657</v>
      </c>
    </row>
    <row r="209" spans="6:8" x14ac:dyDescent="0.35">
      <c r="F209">
        <v>4.12</v>
      </c>
      <c r="G209">
        <f t="shared" si="6"/>
        <v>215.62832460230007</v>
      </c>
      <c r="H209">
        <f t="shared" si="7"/>
        <v>175.43082329048855</v>
      </c>
    </row>
    <row r="210" spans="6:8" x14ac:dyDescent="0.35">
      <c r="F210">
        <v>4.1399999999999997</v>
      </c>
      <c r="G210">
        <f t="shared" si="6"/>
        <v>216.67506404211701</v>
      </c>
      <c r="H210">
        <f t="shared" si="7"/>
        <v>175.86797277840046</v>
      </c>
    </row>
    <row r="211" spans="6:8" x14ac:dyDescent="0.35">
      <c r="F211">
        <v>4.16</v>
      </c>
      <c r="G211">
        <f t="shared" si="6"/>
        <v>217.72180348193405</v>
      </c>
      <c r="H211">
        <f t="shared" si="7"/>
        <v>176.30119826631241</v>
      </c>
    </row>
    <row r="212" spans="6:8" x14ac:dyDescent="0.35">
      <c r="F212">
        <v>4.18</v>
      </c>
      <c r="G212">
        <f t="shared" si="6"/>
        <v>218.76854292175102</v>
      </c>
      <c r="H212">
        <f t="shared" si="7"/>
        <v>176.73049975422435</v>
      </c>
    </row>
    <row r="213" spans="6:8" x14ac:dyDescent="0.35">
      <c r="F213">
        <v>4.2</v>
      </c>
      <c r="G213">
        <f t="shared" si="6"/>
        <v>219.81528236156802</v>
      </c>
      <c r="H213">
        <f t="shared" si="7"/>
        <v>177.15587724213634</v>
      </c>
    </row>
    <row r="214" spans="6:8" x14ac:dyDescent="0.35">
      <c r="F214">
        <v>4.22</v>
      </c>
      <c r="G214">
        <f t="shared" si="6"/>
        <v>220.862021801385</v>
      </c>
      <c r="H214">
        <f t="shared" si="7"/>
        <v>177.57733073004826</v>
      </c>
    </row>
    <row r="215" spans="6:8" x14ac:dyDescent="0.35">
      <c r="F215">
        <v>4.24</v>
      </c>
      <c r="G215">
        <f t="shared" si="6"/>
        <v>221.908761241202</v>
      </c>
      <c r="H215">
        <f t="shared" si="7"/>
        <v>177.99486021796019</v>
      </c>
    </row>
    <row r="216" spans="6:8" x14ac:dyDescent="0.35">
      <c r="F216">
        <v>4.26</v>
      </c>
      <c r="G216">
        <f t="shared" si="6"/>
        <v>222.95550068101898</v>
      </c>
      <c r="H216">
        <f t="shared" si="7"/>
        <v>178.40846570587217</v>
      </c>
    </row>
    <row r="217" spans="6:8" x14ac:dyDescent="0.35">
      <c r="F217">
        <v>4.28</v>
      </c>
      <c r="G217">
        <f t="shared" si="6"/>
        <v>224.00224012083598</v>
      </c>
      <c r="H217">
        <f t="shared" si="7"/>
        <v>178.81814719378414</v>
      </c>
    </row>
    <row r="218" spans="6:8" x14ac:dyDescent="0.35">
      <c r="F218">
        <v>4.3</v>
      </c>
      <c r="G218">
        <f t="shared" si="6"/>
        <v>225.04897956065295</v>
      </c>
      <c r="H218">
        <f t="shared" si="7"/>
        <v>179.22390468169607</v>
      </c>
    </row>
    <row r="219" spans="6:8" x14ac:dyDescent="0.35">
      <c r="F219">
        <v>4.32</v>
      </c>
      <c r="G219">
        <f t="shared" si="6"/>
        <v>226.09571900046998</v>
      </c>
      <c r="H219">
        <f t="shared" si="7"/>
        <v>179.62573816960798</v>
      </c>
    </row>
    <row r="220" spans="6:8" x14ac:dyDescent="0.35">
      <c r="F220">
        <v>4.34</v>
      </c>
      <c r="G220">
        <f t="shared" si="6"/>
        <v>227.14245844028693</v>
      </c>
      <c r="H220">
        <f t="shared" si="7"/>
        <v>180.02364765751997</v>
      </c>
    </row>
    <row r="221" spans="6:8" x14ac:dyDescent="0.35">
      <c r="F221">
        <v>4.3600000000000003</v>
      </c>
      <c r="G221">
        <f t="shared" si="6"/>
        <v>228.18919788010396</v>
      </c>
      <c r="H221">
        <f t="shared" si="7"/>
        <v>180.41763314543192</v>
      </c>
    </row>
    <row r="222" spans="6:8" x14ac:dyDescent="0.35">
      <c r="F222">
        <v>4.38</v>
      </c>
      <c r="G222">
        <f t="shared" si="6"/>
        <v>229.23593731992094</v>
      </c>
      <c r="H222">
        <f t="shared" si="7"/>
        <v>180.80769463334383</v>
      </c>
    </row>
    <row r="223" spans="6:8" x14ac:dyDescent="0.35">
      <c r="F223">
        <v>4.4000000000000004</v>
      </c>
      <c r="G223">
        <f t="shared" si="6"/>
        <v>230.28267675973794</v>
      </c>
      <c r="H223">
        <f t="shared" si="7"/>
        <v>181.19383212125581</v>
      </c>
    </row>
    <row r="224" spans="6:8" x14ac:dyDescent="0.35">
      <c r="F224">
        <v>4.42</v>
      </c>
      <c r="G224">
        <f t="shared" si="6"/>
        <v>231.32941619955491</v>
      </c>
      <c r="H224">
        <f t="shared" si="7"/>
        <v>181.57604560916778</v>
      </c>
    </row>
    <row r="225" spans="6:8" x14ac:dyDescent="0.35">
      <c r="F225">
        <v>4.4400000000000004</v>
      </c>
      <c r="G225">
        <f t="shared" si="6"/>
        <v>232.37615563937192</v>
      </c>
      <c r="H225">
        <f t="shared" si="7"/>
        <v>181.95433509707971</v>
      </c>
    </row>
    <row r="226" spans="6:8" x14ac:dyDescent="0.35">
      <c r="F226">
        <v>4.46</v>
      </c>
      <c r="G226">
        <f t="shared" si="6"/>
        <v>233.42289507918889</v>
      </c>
      <c r="H226">
        <f t="shared" si="7"/>
        <v>182.32870058499162</v>
      </c>
    </row>
    <row r="227" spans="6:8" x14ac:dyDescent="0.35">
      <c r="F227">
        <v>4.4800000000000004</v>
      </c>
      <c r="G227">
        <f t="shared" si="6"/>
        <v>234.46963451900589</v>
      </c>
      <c r="H227">
        <f t="shared" si="7"/>
        <v>182.69914207290361</v>
      </c>
    </row>
    <row r="228" spans="6:8" x14ac:dyDescent="0.35">
      <c r="F228">
        <v>4.5</v>
      </c>
      <c r="G228">
        <f t="shared" si="6"/>
        <v>235.51637395882287</v>
      </c>
      <c r="H228">
        <f t="shared" si="7"/>
        <v>183.06565956081556</v>
      </c>
    </row>
    <row r="229" spans="6:8" x14ac:dyDescent="0.35">
      <c r="F229">
        <v>4.5199999999999996</v>
      </c>
      <c r="G229">
        <f t="shared" si="6"/>
        <v>236.56311339863984</v>
      </c>
      <c r="H229">
        <f t="shared" si="7"/>
        <v>183.4282530487275</v>
      </c>
    </row>
    <row r="230" spans="6:8" x14ac:dyDescent="0.35">
      <c r="F230">
        <v>4.54</v>
      </c>
      <c r="G230">
        <f t="shared" si="6"/>
        <v>237.60985283845685</v>
      </c>
      <c r="H230">
        <f t="shared" si="7"/>
        <v>183.78692253663945</v>
      </c>
    </row>
    <row r="231" spans="6:8" x14ac:dyDescent="0.35">
      <c r="F231">
        <v>4.5599999999999996</v>
      </c>
      <c r="G231">
        <f t="shared" si="6"/>
        <v>238.65659227827382</v>
      </c>
      <c r="H231">
        <f t="shared" si="7"/>
        <v>184.14166802455142</v>
      </c>
    </row>
    <row r="232" spans="6:8" x14ac:dyDescent="0.35">
      <c r="F232">
        <v>4.58</v>
      </c>
      <c r="G232">
        <f t="shared" si="6"/>
        <v>239.70333171809085</v>
      </c>
      <c r="H232">
        <f t="shared" si="7"/>
        <v>184.49248951246335</v>
      </c>
    </row>
    <row r="233" spans="6:8" x14ac:dyDescent="0.35">
      <c r="F233">
        <v>4.5999999999999996</v>
      </c>
      <c r="G233">
        <f t="shared" si="6"/>
        <v>240.7500711579078</v>
      </c>
      <c r="H233">
        <f t="shared" si="7"/>
        <v>184.8393870003753</v>
      </c>
    </row>
    <row r="234" spans="6:8" x14ac:dyDescent="0.35">
      <c r="F234">
        <v>4.62</v>
      </c>
      <c r="G234">
        <f t="shared" si="6"/>
        <v>241.79681059772483</v>
      </c>
      <c r="H234">
        <f t="shared" si="7"/>
        <v>185.18236048828726</v>
      </c>
    </row>
    <row r="235" spans="6:8" x14ac:dyDescent="0.35">
      <c r="F235">
        <v>4.6399999999999997</v>
      </c>
      <c r="G235">
        <f t="shared" si="6"/>
        <v>242.84355003754177</v>
      </c>
      <c r="H235">
        <f t="shared" si="7"/>
        <v>185.52140997619921</v>
      </c>
    </row>
    <row r="236" spans="6:8" x14ac:dyDescent="0.35">
      <c r="F236">
        <v>4.66</v>
      </c>
      <c r="G236">
        <f t="shared" si="6"/>
        <v>243.89028947735881</v>
      </c>
      <c r="H236">
        <f t="shared" si="7"/>
        <v>185.85653546411118</v>
      </c>
    </row>
    <row r="237" spans="6:8" x14ac:dyDescent="0.35">
      <c r="F237">
        <v>4.68</v>
      </c>
      <c r="G237">
        <f t="shared" si="6"/>
        <v>244.93702891717578</v>
      </c>
      <c r="H237">
        <f t="shared" si="7"/>
        <v>186.1877369520231</v>
      </c>
    </row>
    <row r="238" spans="6:8" x14ac:dyDescent="0.35">
      <c r="F238">
        <v>4.7</v>
      </c>
      <c r="G238">
        <f t="shared" si="6"/>
        <v>245.98376835699278</v>
      </c>
      <c r="H238">
        <f t="shared" si="7"/>
        <v>186.51501443993502</v>
      </c>
    </row>
    <row r="239" spans="6:8" x14ac:dyDescent="0.35">
      <c r="F239">
        <v>4.72</v>
      </c>
      <c r="G239">
        <f t="shared" si="6"/>
        <v>247.03050779680976</v>
      </c>
      <c r="H239">
        <f t="shared" si="7"/>
        <v>186.838367927847</v>
      </c>
    </row>
    <row r="240" spans="6:8" x14ac:dyDescent="0.35">
      <c r="F240">
        <v>4.74</v>
      </c>
      <c r="G240">
        <f t="shared" si="6"/>
        <v>248.07724723662676</v>
      </c>
      <c r="H240">
        <f t="shared" si="7"/>
        <v>187.15779741575898</v>
      </c>
    </row>
    <row r="241" spans="6:8" x14ac:dyDescent="0.35">
      <c r="F241">
        <v>4.76</v>
      </c>
      <c r="G241">
        <f t="shared" si="6"/>
        <v>249.12398667644374</v>
      </c>
      <c r="H241">
        <f t="shared" si="7"/>
        <v>187.47330290367088</v>
      </c>
    </row>
    <row r="242" spans="6:8" x14ac:dyDescent="0.35">
      <c r="F242">
        <v>4.78</v>
      </c>
      <c r="G242">
        <f t="shared" si="6"/>
        <v>250.17072611626074</v>
      </c>
      <c r="H242">
        <f t="shared" si="7"/>
        <v>187.78488439158286</v>
      </c>
    </row>
    <row r="243" spans="6:8" x14ac:dyDescent="0.35">
      <c r="F243">
        <v>4.8</v>
      </c>
      <c r="G243">
        <f t="shared" si="6"/>
        <v>251.21746555607771</v>
      </c>
      <c r="H243">
        <f t="shared" si="7"/>
        <v>188.0925418794948</v>
      </c>
    </row>
    <row r="244" spans="6:8" x14ac:dyDescent="0.35">
      <c r="F244">
        <v>4.82</v>
      </c>
      <c r="G244">
        <f t="shared" si="6"/>
        <v>252.26420499589474</v>
      </c>
      <c r="H244">
        <f t="shared" si="7"/>
        <v>188.39627536740676</v>
      </c>
    </row>
    <row r="245" spans="6:8" x14ac:dyDescent="0.35">
      <c r="F245">
        <v>4.84</v>
      </c>
      <c r="G245">
        <f t="shared" si="6"/>
        <v>253.31094443571169</v>
      </c>
      <c r="H245">
        <f t="shared" si="7"/>
        <v>188.69608485531867</v>
      </c>
    </row>
    <row r="246" spans="6:8" x14ac:dyDescent="0.35">
      <c r="F246">
        <v>4.8600000000000003</v>
      </c>
      <c r="G246">
        <f t="shared" si="6"/>
        <v>254.35768387552872</v>
      </c>
      <c r="H246">
        <f t="shared" si="7"/>
        <v>188.99197034323066</v>
      </c>
    </row>
    <row r="247" spans="6:8" x14ac:dyDescent="0.35">
      <c r="F247">
        <v>4.88</v>
      </c>
      <c r="G247">
        <f t="shared" si="6"/>
        <v>255.4044233153457</v>
      </c>
      <c r="H247">
        <f t="shared" si="7"/>
        <v>189.28393183114258</v>
      </c>
    </row>
    <row r="248" spans="6:8" x14ac:dyDescent="0.35">
      <c r="F248">
        <v>4.9000000000000004</v>
      </c>
      <c r="G248">
        <f t="shared" si="6"/>
        <v>256.45116275516273</v>
      </c>
      <c r="H248">
        <f t="shared" si="7"/>
        <v>189.57196931905452</v>
      </c>
    </row>
    <row r="249" spans="6:8" x14ac:dyDescent="0.35">
      <c r="F249">
        <v>4.92</v>
      </c>
      <c r="G249">
        <f t="shared" si="6"/>
        <v>257.49790219497964</v>
      </c>
      <c r="H249">
        <f t="shared" si="7"/>
        <v>189.85608280696647</v>
      </c>
    </row>
    <row r="250" spans="6:8" x14ac:dyDescent="0.35">
      <c r="F250">
        <v>4.9400000000000004</v>
      </c>
      <c r="G250">
        <f t="shared" si="6"/>
        <v>258.54464163479668</v>
      </c>
      <c r="H250">
        <f t="shared" si="7"/>
        <v>190.13627229487847</v>
      </c>
    </row>
    <row r="251" spans="6:8" x14ac:dyDescent="0.35">
      <c r="F251">
        <v>4.96</v>
      </c>
      <c r="G251">
        <f t="shared" si="6"/>
        <v>259.59138107461365</v>
      </c>
      <c r="H251">
        <f t="shared" si="7"/>
        <v>190.41253778279039</v>
      </c>
    </row>
    <row r="252" spans="6:8" x14ac:dyDescent="0.35">
      <c r="F252">
        <v>4.9800000000000004</v>
      </c>
      <c r="G252">
        <f t="shared" si="6"/>
        <v>260.63812051443068</v>
      </c>
      <c r="H252">
        <f t="shared" si="7"/>
        <v>190.68487927070234</v>
      </c>
    </row>
    <row r="253" spans="6:8" x14ac:dyDescent="0.35">
      <c r="F253">
        <v>5</v>
      </c>
      <c r="G253">
        <f t="shared" si="6"/>
        <v>261.68485995424766</v>
      </c>
      <c r="H253">
        <f t="shared" si="7"/>
        <v>190.95329675861433</v>
      </c>
    </row>
    <row r="254" spans="6:8" x14ac:dyDescent="0.35">
      <c r="F254">
        <v>5.0199999999999996</v>
      </c>
      <c r="G254">
        <f t="shared" si="6"/>
        <v>262.73159939406463</v>
      </c>
      <c r="H254">
        <f t="shared" si="7"/>
        <v>191.21779024652625</v>
      </c>
    </row>
    <row r="255" spans="6:8" x14ac:dyDescent="0.35">
      <c r="F255">
        <v>5.04</v>
      </c>
      <c r="G255">
        <f t="shared" si="6"/>
        <v>263.77833883388161</v>
      </c>
      <c r="H255">
        <f t="shared" si="7"/>
        <v>191.47835973443819</v>
      </c>
    </row>
    <row r="256" spans="6:8" x14ac:dyDescent="0.35">
      <c r="F256">
        <v>5.0599999999999996</v>
      </c>
      <c r="G256">
        <f t="shared" si="6"/>
        <v>264.82507827369858</v>
      </c>
      <c r="H256">
        <f t="shared" si="7"/>
        <v>191.73500522235011</v>
      </c>
    </row>
    <row r="257" spans="6:8" x14ac:dyDescent="0.35">
      <c r="F257">
        <v>5.08</v>
      </c>
      <c r="G257">
        <f t="shared" si="6"/>
        <v>265.87181771351561</v>
      </c>
      <c r="H257">
        <f t="shared" si="7"/>
        <v>191.98772671026211</v>
      </c>
    </row>
    <row r="258" spans="6:8" x14ac:dyDescent="0.35">
      <c r="F258">
        <v>5.0999999999999996</v>
      </c>
      <c r="G258">
        <f t="shared" si="6"/>
        <v>266.91855715333259</v>
      </c>
      <c r="H258">
        <f t="shared" si="7"/>
        <v>192.23652419817404</v>
      </c>
    </row>
    <row r="259" spans="6:8" x14ac:dyDescent="0.35">
      <c r="F259">
        <v>5.12</v>
      </c>
      <c r="G259">
        <f t="shared" ref="G259:G322" si="8">$B$15*F259</f>
        <v>267.96529659314956</v>
      </c>
      <c r="H259">
        <f t="shared" ref="H259:H322" si="9">$B$13*F259-($B$8*F259^2)/2+$B$12</f>
        <v>192.48139768608598</v>
      </c>
    </row>
    <row r="260" spans="6:8" x14ac:dyDescent="0.35">
      <c r="F260">
        <v>5.14</v>
      </c>
      <c r="G260">
        <f t="shared" si="8"/>
        <v>269.01203603296653</v>
      </c>
      <c r="H260">
        <f t="shared" si="9"/>
        <v>192.72234717399792</v>
      </c>
    </row>
    <row r="261" spans="6:8" x14ac:dyDescent="0.35">
      <c r="F261">
        <v>5.16</v>
      </c>
      <c r="G261">
        <f t="shared" si="8"/>
        <v>270.05877547278357</v>
      </c>
      <c r="H261">
        <f t="shared" si="9"/>
        <v>192.9593726619099</v>
      </c>
    </row>
    <row r="262" spans="6:8" x14ac:dyDescent="0.35">
      <c r="F262">
        <v>5.18</v>
      </c>
      <c r="G262">
        <f t="shared" si="8"/>
        <v>271.10551491260054</v>
      </c>
      <c r="H262">
        <f t="shared" si="9"/>
        <v>193.19247414982183</v>
      </c>
    </row>
    <row r="263" spans="6:8" x14ac:dyDescent="0.35">
      <c r="F263">
        <v>5.2</v>
      </c>
      <c r="G263">
        <f t="shared" si="8"/>
        <v>272.15225435241757</v>
      </c>
      <c r="H263">
        <f t="shared" si="9"/>
        <v>193.42165163773379</v>
      </c>
    </row>
    <row r="264" spans="6:8" x14ac:dyDescent="0.35">
      <c r="F264">
        <v>5.22</v>
      </c>
      <c r="G264">
        <f t="shared" si="8"/>
        <v>273.19899379223455</v>
      </c>
      <c r="H264">
        <f t="shared" si="9"/>
        <v>193.6469051256457</v>
      </c>
    </row>
    <row r="265" spans="6:8" x14ac:dyDescent="0.35">
      <c r="F265">
        <v>5.24</v>
      </c>
      <c r="G265">
        <f t="shared" si="8"/>
        <v>274.24573323205152</v>
      </c>
      <c r="H265">
        <f t="shared" si="9"/>
        <v>193.86823461355769</v>
      </c>
    </row>
    <row r="266" spans="6:8" x14ac:dyDescent="0.35">
      <c r="F266">
        <v>5.26</v>
      </c>
      <c r="G266">
        <f t="shared" si="8"/>
        <v>275.2924726718685</v>
      </c>
      <c r="H266">
        <f t="shared" si="9"/>
        <v>194.08564010146964</v>
      </c>
    </row>
    <row r="267" spans="6:8" x14ac:dyDescent="0.35">
      <c r="F267">
        <v>5.28</v>
      </c>
      <c r="G267">
        <f t="shared" si="8"/>
        <v>276.33921211168553</v>
      </c>
      <c r="H267">
        <f t="shared" si="9"/>
        <v>194.29912158938157</v>
      </c>
    </row>
    <row r="268" spans="6:8" x14ac:dyDescent="0.35">
      <c r="F268">
        <v>5.3</v>
      </c>
      <c r="G268">
        <f t="shared" si="8"/>
        <v>277.3859515515025</v>
      </c>
      <c r="H268">
        <f t="shared" si="9"/>
        <v>194.50867907729355</v>
      </c>
    </row>
    <row r="269" spans="6:8" x14ac:dyDescent="0.35">
      <c r="F269">
        <v>5.32</v>
      </c>
      <c r="G269">
        <f t="shared" si="8"/>
        <v>278.43269099131948</v>
      </c>
      <c r="H269">
        <f t="shared" si="9"/>
        <v>194.71431256520549</v>
      </c>
    </row>
    <row r="270" spans="6:8" x14ac:dyDescent="0.35">
      <c r="F270">
        <v>5.34</v>
      </c>
      <c r="G270">
        <f t="shared" si="8"/>
        <v>279.47943043113645</v>
      </c>
      <c r="H270">
        <f t="shared" si="9"/>
        <v>194.91602205311742</v>
      </c>
    </row>
    <row r="271" spans="6:8" x14ac:dyDescent="0.35">
      <c r="F271">
        <v>5.36</v>
      </c>
      <c r="G271">
        <f t="shared" si="8"/>
        <v>280.52616987095348</v>
      </c>
      <c r="H271">
        <f t="shared" si="9"/>
        <v>195.11380754102936</v>
      </c>
    </row>
    <row r="272" spans="6:8" x14ac:dyDescent="0.35">
      <c r="F272">
        <v>5.38</v>
      </c>
      <c r="G272">
        <f t="shared" si="8"/>
        <v>281.57290931077046</v>
      </c>
      <c r="H272">
        <f t="shared" si="9"/>
        <v>195.30766902894135</v>
      </c>
    </row>
    <row r="273" spans="6:8" x14ac:dyDescent="0.35">
      <c r="F273">
        <v>5.4</v>
      </c>
      <c r="G273">
        <f t="shared" si="8"/>
        <v>282.61964875058749</v>
      </c>
      <c r="H273">
        <f t="shared" si="9"/>
        <v>195.4976065168533</v>
      </c>
    </row>
    <row r="274" spans="6:8" x14ac:dyDescent="0.35">
      <c r="F274">
        <v>5.42</v>
      </c>
      <c r="G274">
        <f t="shared" si="8"/>
        <v>283.6663881904044</v>
      </c>
      <c r="H274">
        <f t="shared" si="9"/>
        <v>195.6836200047652</v>
      </c>
    </row>
    <row r="275" spans="6:8" x14ac:dyDescent="0.35">
      <c r="F275">
        <v>5.44</v>
      </c>
      <c r="G275">
        <f t="shared" si="8"/>
        <v>284.71312763022144</v>
      </c>
      <c r="H275">
        <f t="shared" si="9"/>
        <v>195.86570949267715</v>
      </c>
    </row>
    <row r="276" spans="6:8" x14ac:dyDescent="0.35">
      <c r="F276">
        <v>5.46</v>
      </c>
      <c r="G276">
        <f t="shared" si="8"/>
        <v>285.75986707003841</v>
      </c>
      <c r="H276">
        <f t="shared" si="9"/>
        <v>196.04387498058915</v>
      </c>
    </row>
    <row r="277" spans="6:8" x14ac:dyDescent="0.35">
      <c r="F277">
        <v>5.48</v>
      </c>
      <c r="G277">
        <f t="shared" si="8"/>
        <v>286.80660650985544</v>
      </c>
      <c r="H277">
        <f t="shared" si="9"/>
        <v>196.21811646850108</v>
      </c>
    </row>
    <row r="278" spans="6:8" x14ac:dyDescent="0.35">
      <c r="F278">
        <v>5.5</v>
      </c>
      <c r="G278">
        <f t="shared" si="8"/>
        <v>287.85334594967242</v>
      </c>
      <c r="H278">
        <f t="shared" si="9"/>
        <v>196.38843395641302</v>
      </c>
    </row>
    <row r="279" spans="6:8" x14ac:dyDescent="0.35">
      <c r="F279">
        <v>5.52</v>
      </c>
      <c r="G279">
        <f t="shared" si="8"/>
        <v>288.90008538948939</v>
      </c>
      <c r="H279">
        <f t="shared" si="9"/>
        <v>196.55482744432501</v>
      </c>
    </row>
    <row r="280" spans="6:8" x14ac:dyDescent="0.35">
      <c r="F280">
        <v>5.54</v>
      </c>
      <c r="G280">
        <f t="shared" si="8"/>
        <v>289.94682482930637</v>
      </c>
      <c r="H280">
        <f t="shared" si="9"/>
        <v>196.71729693223693</v>
      </c>
    </row>
    <row r="281" spans="6:8" x14ac:dyDescent="0.35">
      <c r="F281">
        <v>5.56</v>
      </c>
      <c r="G281">
        <f t="shared" si="8"/>
        <v>290.99356426912334</v>
      </c>
      <c r="H281">
        <f t="shared" si="9"/>
        <v>196.87584242014887</v>
      </c>
    </row>
    <row r="282" spans="6:8" x14ac:dyDescent="0.35">
      <c r="F282">
        <v>5.58</v>
      </c>
      <c r="G282">
        <f t="shared" si="8"/>
        <v>292.04030370894037</v>
      </c>
      <c r="H282">
        <f t="shared" si="9"/>
        <v>197.0304639080608</v>
      </c>
    </row>
    <row r="283" spans="6:8" x14ac:dyDescent="0.35">
      <c r="F283">
        <v>5.6</v>
      </c>
      <c r="G283">
        <f t="shared" si="8"/>
        <v>293.08704314875735</v>
      </c>
      <c r="H283">
        <f t="shared" si="9"/>
        <v>197.18116139597279</v>
      </c>
    </row>
    <row r="284" spans="6:8" x14ac:dyDescent="0.35">
      <c r="F284">
        <v>5.62</v>
      </c>
      <c r="G284">
        <f t="shared" si="8"/>
        <v>294.13378258857432</v>
      </c>
      <c r="H284">
        <f t="shared" si="9"/>
        <v>197.32793488388472</v>
      </c>
    </row>
    <row r="285" spans="6:8" x14ac:dyDescent="0.35">
      <c r="F285">
        <v>5.64</v>
      </c>
      <c r="G285">
        <f t="shared" si="8"/>
        <v>295.18052202839129</v>
      </c>
      <c r="H285">
        <f t="shared" si="9"/>
        <v>197.47078437179667</v>
      </c>
    </row>
    <row r="286" spans="6:8" x14ac:dyDescent="0.35">
      <c r="F286">
        <v>5.66</v>
      </c>
      <c r="G286">
        <f t="shared" si="8"/>
        <v>296.22726146820833</v>
      </c>
      <c r="H286">
        <f t="shared" si="9"/>
        <v>197.6097098597086</v>
      </c>
    </row>
    <row r="287" spans="6:8" x14ac:dyDescent="0.35">
      <c r="F287">
        <v>5.68</v>
      </c>
      <c r="G287">
        <f t="shared" si="8"/>
        <v>297.2740009080253</v>
      </c>
      <c r="H287">
        <f t="shared" si="9"/>
        <v>197.74471134762058</v>
      </c>
    </row>
    <row r="288" spans="6:8" x14ac:dyDescent="0.35">
      <c r="F288">
        <v>5.7</v>
      </c>
      <c r="G288">
        <f t="shared" si="8"/>
        <v>298.32074034784233</v>
      </c>
      <c r="H288">
        <f t="shared" si="9"/>
        <v>197.87578883553252</v>
      </c>
    </row>
    <row r="289" spans="6:8" x14ac:dyDescent="0.35">
      <c r="F289">
        <v>5.72</v>
      </c>
      <c r="G289">
        <f t="shared" si="8"/>
        <v>299.36747978765931</v>
      </c>
      <c r="H289">
        <f t="shared" si="9"/>
        <v>198.00294232344447</v>
      </c>
    </row>
    <row r="290" spans="6:8" x14ac:dyDescent="0.35">
      <c r="F290">
        <v>5.74</v>
      </c>
      <c r="G290">
        <f t="shared" si="8"/>
        <v>300.41421922747628</v>
      </c>
      <c r="H290">
        <f t="shared" si="9"/>
        <v>198.12617181135641</v>
      </c>
    </row>
    <row r="291" spans="6:8" x14ac:dyDescent="0.35">
      <c r="F291">
        <v>5.76</v>
      </c>
      <c r="G291">
        <f t="shared" si="8"/>
        <v>301.46095866729326</v>
      </c>
      <c r="H291">
        <f t="shared" si="9"/>
        <v>198.24547729926837</v>
      </c>
    </row>
    <row r="292" spans="6:8" x14ac:dyDescent="0.35">
      <c r="F292">
        <v>5.78</v>
      </c>
      <c r="G292">
        <f t="shared" si="8"/>
        <v>302.50769810711029</v>
      </c>
      <c r="H292">
        <f t="shared" si="9"/>
        <v>198.36085878718035</v>
      </c>
    </row>
    <row r="293" spans="6:8" x14ac:dyDescent="0.35">
      <c r="F293">
        <v>5.8</v>
      </c>
      <c r="G293">
        <f t="shared" si="8"/>
        <v>303.55443754692726</v>
      </c>
      <c r="H293">
        <f t="shared" si="9"/>
        <v>198.47231627509225</v>
      </c>
    </row>
    <row r="294" spans="6:8" x14ac:dyDescent="0.35">
      <c r="F294">
        <v>5.82</v>
      </c>
      <c r="G294">
        <f t="shared" si="8"/>
        <v>304.60117698674424</v>
      </c>
      <c r="H294">
        <f t="shared" si="9"/>
        <v>198.57984976300423</v>
      </c>
    </row>
    <row r="295" spans="6:8" x14ac:dyDescent="0.35">
      <c r="F295">
        <v>5.84</v>
      </c>
      <c r="G295">
        <f t="shared" si="8"/>
        <v>305.64791642656121</v>
      </c>
      <c r="H295">
        <f t="shared" si="9"/>
        <v>198.6834592509162</v>
      </c>
    </row>
    <row r="296" spans="6:8" x14ac:dyDescent="0.35">
      <c r="F296">
        <v>5.86</v>
      </c>
      <c r="G296">
        <f t="shared" si="8"/>
        <v>306.69465586637824</v>
      </c>
      <c r="H296">
        <f t="shared" si="9"/>
        <v>198.7831447388281</v>
      </c>
    </row>
    <row r="297" spans="6:8" x14ac:dyDescent="0.35">
      <c r="F297">
        <v>5.88</v>
      </c>
      <c r="G297">
        <f t="shared" si="8"/>
        <v>307.74139530619522</v>
      </c>
      <c r="H297">
        <f t="shared" si="9"/>
        <v>198.87890622674004</v>
      </c>
    </row>
    <row r="298" spans="6:8" x14ac:dyDescent="0.35">
      <c r="F298">
        <v>5.9</v>
      </c>
      <c r="G298">
        <f t="shared" si="8"/>
        <v>308.78813474601225</v>
      </c>
      <c r="H298">
        <f t="shared" si="9"/>
        <v>198.97074371465206</v>
      </c>
    </row>
    <row r="299" spans="6:8" x14ac:dyDescent="0.35">
      <c r="F299">
        <v>5.92</v>
      </c>
      <c r="G299">
        <f t="shared" si="8"/>
        <v>309.83487418582922</v>
      </c>
      <c r="H299">
        <f t="shared" si="9"/>
        <v>199.05865720256398</v>
      </c>
    </row>
    <row r="300" spans="6:8" x14ac:dyDescent="0.35">
      <c r="F300">
        <v>5.94</v>
      </c>
      <c r="G300">
        <f t="shared" si="8"/>
        <v>310.8816136256462</v>
      </c>
      <c r="H300">
        <f t="shared" si="9"/>
        <v>199.14264669047589</v>
      </c>
    </row>
    <row r="301" spans="6:8" x14ac:dyDescent="0.35">
      <c r="F301">
        <v>5.96</v>
      </c>
      <c r="G301">
        <f t="shared" si="8"/>
        <v>311.92835306546317</v>
      </c>
      <c r="H301">
        <f t="shared" si="9"/>
        <v>199.22271217838784</v>
      </c>
    </row>
    <row r="302" spans="6:8" x14ac:dyDescent="0.35">
      <c r="F302">
        <v>5.98</v>
      </c>
      <c r="G302">
        <f t="shared" si="8"/>
        <v>312.9750925052802</v>
      </c>
      <c r="H302">
        <f t="shared" si="9"/>
        <v>199.29885366629983</v>
      </c>
    </row>
    <row r="303" spans="6:8" x14ac:dyDescent="0.35">
      <c r="F303">
        <v>6</v>
      </c>
      <c r="G303">
        <f t="shared" si="8"/>
        <v>314.02183194509718</v>
      </c>
      <c r="H303">
        <f t="shared" si="9"/>
        <v>199.37107115421176</v>
      </c>
    </row>
    <row r="304" spans="6:8" x14ac:dyDescent="0.35">
      <c r="F304">
        <v>6.02</v>
      </c>
      <c r="G304">
        <f t="shared" si="8"/>
        <v>315.06857138491415</v>
      </c>
      <c r="H304">
        <f t="shared" si="9"/>
        <v>199.43936464212371</v>
      </c>
    </row>
    <row r="305" spans="6:8" x14ac:dyDescent="0.35">
      <c r="F305">
        <v>6.04</v>
      </c>
      <c r="G305">
        <f t="shared" si="8"/>
        <v>316.11531082473113</v>
      </c>
      <c r="H305">
        <f t="shared" si="9"/>
        <v>199.5037341300357</v>
      </c>
    </row>
    <row r="306" spans="6:8" x14ac:dyDescent="0.35">
      <c r="F306">
        <v>6.06</v>
      </c>
      <c r="G306">
        <f t="shared" si="8"/>
        <v>317.1620502645481</v>
      </c>
      <c r="H306">
        <f t="shared" si="9"/>
        <v>199.56417961794762</v>
      </c>
    </row>
    <row r="307" spans="6:8" x14ac:dyDescent="0.35">
      <c r="F307">
        <v>6.08</v>
      </c>
      <c r="G307">
        <f t="shared" si="8"/>
        <v>318.20878970436513</v>
      </c>
      <c r="H307">
        <f t="shared" si="9"/>
        <v>199.62070110585955</v>
      </c>
    </row>
    <row r="308" spans="6:8" x14ac:dyDescent="0.35">
      <c r="F308">
        <v>6.1</v>
      </c>
      <c r="G308">
        <f t="shared" si="8"/>
        <v>319.25552914418211</v>
      </c>
      <c r="H308">
        <f t="shared" si="9"/>
        <v>199.67329859377151</v>
      </c>
    </row>
    <row r="309" spans="6:8" x14ac:dyDescent="0.35">
      <c r="F309">
        <v>6.12</v>
      </c>
      <c r="G309">
        <f t="shared" si="8"/>
        <v>320.30226858399914</v>
      </c>
      <c r="H309">
        <f t="shared" si="9"/>
        <v>199.7219720816835</v>
      </c>
    </row>
    <row r="310" spans="6:8" x14ac:dyDescent="0.35">
      <c r="F310">
        <v>6.14</v>
      </c>
      <c r="G310">
        <f t="shared" si="8"/>
        <v>321.34900802381605</v>
      </c>
      <c r="H310">
        <f t="shared" si="9"/>
        <v>199.7667215695954</v>
      </c>
    </row>
    <row r="311" spans="6:8" x14ac:dyDescent="0.35">
      <c r="F311">
        <v>6.16</v>
      </c>
      <c r="G311">
        <f t="shared" si="8"/>
        <v>322.39574746363309</v>
      </c>
      <c r="H311">
        <f t="shared" si="9"/>
        <v>199.80754705750738</v>
      </c>
    </row>
    <row r="312" spans="6:8" x14ac:dyDescent="0.35">
      <c r="F312">
        <v>6.18</v>
      </c>
      <c r="G312">
        <f t="shared" si="8"/>
        <v>323.44248690345006</v>
      </c>
      <c r="H312">
        <f t="shared" si="9"/>
        <v>199.84444854541928</v>
      </c>
    </row>
    <row r="313" spans="6:8" x14ac:dyDescent="0.35">
      <c r="F313">
        <v>6.2</v>
      </c>
      <c r="G313">
        <f t="shared" si="8"/>
        <v>324.48922634326709</v>
      </c>
      <c r="H313">
        <f t="shared" si="9"/>
        <v>199.87742603333126</v>
      </c>
    </row>
    <row r="314" spans="6:8" x14ac:dyDescent="0.35">
      <c r="F314">
        <v>6.22</v>
      </c>
      <c r="G314">
        <f t="shared" si="8"/>
        <v>325.53596578308407</v>
      </c>
      <c r="H314">
        <f t="shared" si="9"/>
        <v>199.90647952124323</v>
      </c>
    </row>
    <row r="315" spans="6:8" x14ac:dyDescent="0.35">
      <c r="F315">
        <v>6.24</v>
      </c>
      <c r="G315">
        <f t="shared" si="8"/>
        <v>326.58270522290104</v>
      </c>
      <c r="H315">
        <f t="shared" si="9"/>
        <v>199.93160900915515</v>
      </c>
    </row>
    <row r="316" spans="6:8" x14ac:dyDescent="0.35">
      <c r="F316">
        <v>6.26</v>
      </c>
      <c r="G316">
        <f t="shared" si="8"/>
        <v>327.62944466271802</v>
      </c>
      <c r="H316">
        <f t="shared" si="9"/>
        <v>199.95281449706715</v>
      </c>
    </row>
    <row r="317" spans="6:8" x14ac:dyDescent="0.35">
      <c r="F317">
        <v>6.28</v>
      </c>
      <c r="G317">
        <f t="shared" si="8"/>
        <v>328.67618410253505</v>
      </c>
      <c r="H317">
        <f t="shared" si="9"/>
        <v>199.97009598497908</v>
      </c>
    </row>
    <row r="318" spans="6:8" x14ac:dyDescent="0.35">
      <c r="F318">
        <v>6.3</v>
      </c>
      <c r="G318">
        <f t="shared" si="8"/>
        <v>329.72292354235202</v>
      </c>
      <c r="H318">
        <f t="shared" si="9"/>
        <v>199.983453472891</v>
      </c>
    </row>
    <row r="319" spans="6:8" x14ac:dyDescent="0.35">
      <c r="F319">
        <v>6.32</v>
      </c>
      <c r="G319">
        <f t="shared" si="8"/>
        <v>330.76966298216905</v>
      </c>
      <c r="H319">
        <f t="shared" si="9"/>
        <v>199.99288696080293</v>
      </c>
    </row>
    <row r="320" spans="6:8" x14ac:dyDescent="0.35">
      <c r="F320">
        <v>6.34</v>
      </c>
      <c r="G320">
        <f t="shared" si="8"/>
        <v>331.81640242198597</v>
      </c>
      <c r="H320">
        <f t="shared" si="9"/>
        <v>199.99839644871491</v>
      </c>
    </row>
    <row r="321" spans="6:8" x14ac:dyDescent="0.35">
      <c r="F321">
        <v>6.36</v>
      </c>
      <c r="G321">
        <f t="shared" si="8"/>
        <v>332.863141861803</v>
      </c>
      <c r="H321">
        <f t="shared" si="9"/>
        <v>199.99998193662685</v>
      </c>
    </row>
    <row r="322" spans="6:8" x14ac:dyDescent="0.35">
      <c r="F322">
        <v>6.38</v>
      </c>
      <c r="G322">
        <f t="shared" si="8"/>
        <v>333.90988130161998</v>
      </c>
      <c r="H322">
        <f t="shared" si="9"/>
        <v>199.99764342453878</v>
      </c>
    </row>
    <row r="323" spans="6:8" x14ac:dyDescent="0.35">
      <c r="F323">
        <v>6.4</v>
      </c>
      <c r="G323">
        <f t="shared" ref="G323:G386" si="10">$B$15*F323</f>
        <v>334.95662074143701</v>
      </c>
      <c r="H323">
        <f t="shared" ref="H323:H386" si="11">$B$13*F323-($B$8*F323^2)/2+$B$12</f>
        <v>199.99138091245072</v>
      </c>
    </row>
    <row r="324" spans="6:8" x14ac:dyDescent="0.35">
      <c r="F324">
        <v>6.42</v>
      </c>
      <c r="G324">
        <f t="shared" si="10"/>
        <v>336.00336018125398</v>
      </c>
      <c r="H324">
        <f t="shared" si="11"/>
        <v>199.98119440036271</v>
      </c>
    </row>
    <row r="325" spans="6:8" x14ac:dyDescent="0.35">
      <c r="F325">
        <v>6.44</v>
      </c>
      <c r="G325">
        <f t="shared" si="10"/>
        <v>337.05009962107096</v>
      </c>
      <c r="H325">
        <f t="shared" si="11"/>
        <v>199.96708388827466</v>
      </c>
    </row>
    <row r="326" spans="6:8" x14ac:dyDescent="0.35">
      <c r="F326">
        <v>6.46</v>
      </c>
      <c r="G326">
        <f t="shared" si="10"/>
        <v>338.09683906088793</v>
      </c>
      <c r="H326">
        <f t="shared" si="11"/>
        <v>199.94904937618659</v>
      </c>
    </row>
    <row r="327" spans="6:8" x14ac:dyDescent="0.35">
      <c r="F327">
        <v>6.48</v>
      </c>
      <c r="G327">
        <f t="shared" si="10"/>
        <v>339.14357850070496</v>
      </c>
      <c r="H327">
        <f t="shared" si="11"/>
        <v>199.92709086409852</v>
      </c>
    </row>
    <row r="328" spans="6:8" x14ac:dyDescent="0.35">
      <c r="F328">
        <v>6.5</v>
      </c>
      <c r="G328">
        <f t="shared" si="10"/>
        <v>340.19031794052194</v>
      </c>
      <c r="H328">
        <f t="shared" si="11"/>
        <v>199.90120835201051</v>
      </c>
    </row>
    <row r="329" spans="6:8" x14ac:dyDescent="0.35">
      <c r="F329">
        <v>6.52</v>
      </c>
      <c r="G329">
        <f t="shared" si="10"/>
        <v>341.23705738033891</v>
      </c>
      <c r="H329">
        <f t="shared" si="11"/>
        <v>199.87140183992244</v>
      </c>
    </row>
    <row r="330" spans="6:8" x14ac:dyDescent="0.35">
      <c r="F330">
        <v>6.5400000000000098</v>
      </c>
      <c r="G330">
        <f t="shared" si="10"/>
        <v>342.2837968201564</v>
      </c>
      <c r="H330">
        <f t="shared" si="11"/>
        <v>199.83767132783439</v>
      </c>
    </row>
    <row r="331" spans="6:8" x14ac:dyDescent="0.35">
      <c r="F331">
        <v>6.5600000000000103</v>
      </c>
      <c r="G331">
        <f t="shared" si="10"/>
        <v>343.33053625997343</v>
      </c>
      <c r="H331">
        <f t="shared" si="11"/>
        <v>199.80001681574632</v>
      </c>
    </row>
    <row r="332" spans="6:8" x14ac:dyDescent="0.35">
      <c r="F332">
        <v>6.5800000000000098</v>
      </c>
      <c r="G332">
        <f t="shared" si="10"/>
        <v>344.3772756997904</v>
      </c>
      <c r="H332">
        <f t="shared" si="11"/>
        <v>199.75843830365832</v>
      </c>
    </row>
    <row r="333" spans="6:8" x14ac:dyDescent="0.35">
      <c r="F333">
        <v>6.6000000000000103</v>
      </c>
      <c r="G333">
        <f t="shared" si="10"/>
        <v>345.42401513960743</v>
      </c>
      <c r="H333">
        <f t="shared" si="11"/>
        <v>199.71293579157023</v>
      </c>
    </row>
    <row r="334" spans="6:8" x14ac:dyDescent="0.35">
      <c r="F334">
        <v>6.6200000000000099</v>
      </c>
      <c r="G334">
        <f t="shared" si="10"/>
        <v>346.47075457942441</v>
      </c>
      <c r="H334">
        <f t="shared" si="11"/>
        <v>199.66350927948216</v>
      </c>
    </row>
    <row r="335" spans="6:8" x14ac:dyDescent="0.35">
      <c r="F335">
        <v>6.6400000000000103</v>
      </c>
      <c r="G335">
        <f t="shared" si="10"/>
        <v>347.51749401924138</v>
      </c>
      <c r="H335">
        <f t="shared" si="11"/>
        <v>199.6101587673941</v>
      </c>
    </row>
    <row r="336" spans="6:8" x14ac:dyDescent="0.35">
      <c r="F336">
        <v>6.6600000000000099</v>
      </c>
      <c r="G336">
        <f t="shared" si="10"/>
        <v>348.56423345905836</v>
      </c>
      <c r="H336">
        <f t="shared" si="11"/>
        <v>199.55288425530608</v>
      </c>
    </row>
    <row r="337" spans="6:8" x14ac:dyDescent="0.35">
      <c r="F337">
        <v>6.6800000000000104</v>
      </c>
      <c r="G337">
        <f t="shared" si="10"/>
        <v>349.61097289887539</v>
      </c>
      <c r="H337">
        <f t="shared" si="11"/>
        <v>199.491685743218</v>
      </c>
    </row>
    <row r="338" spans="6:8" x14ac:dyDescent="0.35">
      <c r="F338">
        <v>6.7000000000000099</v>
      </c>
      <c r="G338">
        <f t="shared" si="10"/>
        <v>350.65771233869236</v>
      </c>
      <c r="H338">
        <f t="shared" si="11"/>
        <v>199.42656323112993</v>
      </c>
    </row>
    <row r="339" spans="6:8" x14ac:dyDescent="0.35">
      <c r="F339">
        <v>6.7200000000000104</v>
      </c>
      <c r="G339">
        <f t="shared" si="10"/>
        <v>351.70445177850939</v>
      </c>
      <c r="H339">
        <f t="shared" si="11"/>
        <v>199.35751671904188</v>
      </c>
    </row>
    <row r="340" spans="6:8" x14ac:dyDescent="0.35">
      <c r="F340">
        <v>6.74000000000001</v>
      </c>
      <c r="G340">
        <f t="shared" si="10"/>
        <v>352.75119121832631</v>
      </c>
      <c r="H340">
        <f t="shared" si="11"/>
        <v>199.28454620695388</v>
      </c>
    </row>
    <row r="341" spans="6:8" x14ac:dyDescent="0.35">
      <c r="F341">
        <v>6.7600000000000096</v>
      </c>
      <c r="G341">
        <f t="shared" si="10"/>
        <v>353.79793065814329</v>
      </c>
      <c r="H341">
        <f t="shared" si="11"/>
        <v>199.2076516948658</v>
      </c>
    </row>
    <row r="342" spans="6:8" x14ac:dyDescent="0.35">
      <c r="F342">
        <v>6.78000000000001</v>
      </c>
      <c r="G342">
        <f t="shared" si="10"/>
        <v>354.84467009796032</v>
      </c>
      <c r="H342">
        <f t="shared" si="11"/>
        <v>199.12683318277772</v>
      </c>
    </row>
    <row r="343" spans="6:8" x14ac:dyDescent="0.35">
      <c r="F343">
        <v>6.8000000000000096</v>
      </c>
      <c r="G343">
        <f t="shared" si="10"/>
        <v>355.89140953777729</v>
      </c>
      <c r="H343">
        <f t="shared" si="11"/>
        <v>199.04209067068973</v>
      </c>
    </row>
    <row r="344" spans="6:8" x14ac:dyDescent="0.35">
      <c r="F344">
        <v>6.8200000000000101</v>
      </c>
      <c r="G344">
        <f t="shared" si="10"/>
        <v>356.93814897759432</v>
      </c>
      <c r="H344">
        <f t="shared" si="11"/>
        <v>198.95342415860168</v>
      </c>
    </row>
    <row r="345" spans="6:8" x14ac:dyDescent="0.35">
      <c r="F345">
        <v>6.8400000000000096</v>
      </c>
      <c r="G345">
        <f t="shared" si="10"/>
        <v>357.98488841741124</v>
      </c>
      <c r="H345">
        <f t="shared" si="11"/>
        <v>198.86083364651361</v>
      </c>
    </row>
    <row r="346" spans="6:8" x14ac:dyDescent="0.35">
      <c r="F346">
        <v>6.8600000000000101</v>
      </c>
      <c r="G346">
        <f t="shared" si="10"/>
        <v>359.03162785722827</v>
      </c>
      <c r="H346">
        <f t="shared" si="11"/>
        <v>198.76431913442553</v>
      </c>
    </row>
    <row r="347" spans="6:8" x14ac:dyDescent="0.35">
      <c r="F347">
        <v>6.8800000000000097</v>
      </c>
      <c r="G347">
        <f t="shared" si="10"/>
        <v>360.07836729704525</v>
      </c>
      <c r="H347">
        <f t="shared" si="11"/>
        <v>198.66388062233753</v>
      </c>
    </row>
    <row r="348" spans="6:8" x14ac:dyDescent="0.35">
      <c r="F348">
        <v>6.9000000000000101</v>
      </c>
      <c r="G348">
        <f t="shared" si="10"/>
        <v>361.12510673686228</v>
      </c>
      <c r="H348">
        <f t="shared" si="11"/>
        <v>198.55951811024943</v>
      </c>
    </row>
    <row r="349" spans="6:8" x14ac:dyDescent="0.35">
      <c r="F349">
        <v>6.9200000000000097</v>
      </c>
      <c r="G349">
        <f t="shared" si="10"/>
        <v>362.17184617667925</v>
      </c>
      <c r="H349">
        <f t="shared" si="11"/>
        <v>198.45123159816137</v>
      </c>
    </row>
    <row r="350" spans="6:8" x14ac:dyDescent="0.35">
      <c r="F350">
        <v>6.9400000000000102</v>
      </c>
      <c r="G350">
        <f t="shared" si="10"/>
        <v>363.21858561649623</v>
      </c>
      <c r="H350">
        <f t="shared" si="11"/>
        <v>198.3390210860733</v>
      </c>
    </row>
    <row r="351" spans="6:8" x14ac:dyDescent="0.35">
      <c r="F351">
        <v>6.9600000000000204</v>
      </c>
      <c r="G351">
        <f t="shared" si="10"/>
        <v>364.26532505631377</v>
      </c>
      <c r="H351">
        <f t="shared" si="11"/>
        <v>198.22288657398519</v>
      </c>
    </row>
    <row r="352" spans="6:8" x14ac:dyDescent="0.35">
      <c r="F352">
        <v>6.98000000000002</v>
      </c>
      <c r="G352">
        <f t="shared" si="10"/>
        <v>365.31206449613074</v>
      </c>
      <c r="H352">
        <f t="shared" si="11"/>
        <v>198.10282806189716</v>
      </c>
    </row>
    <row r="353" spans="6:8" x14ac:dyDescent="0.35">
      <c r="F353">
        <v>7.0000000000000204</v>
      </c>
      <c r="G353">
        <f t="shared" si="10"/>
        <v>366.35880393594778</v>
      </c>
      <c r="H353">
        <f t="shared" si="11"/>
        <v>197.97884554980911</v>
      </c>
    </row>
    <row r="354" spans="6:8" x14ac:dyDescent="0.35">
      <c r="F354">
        <v>7.02000000000002</v>
      </c>
      <c r="G354">
        <f t="shared" si="10"/>
        <v>367.40554337576475</v>
      </c>
      <c r="H354">
        <f t="shared" si="11"/>
        <v>197.85093903772108</v>
      </c>
    </row>
    <row r="355" spans="6:8" x14ac:dyDescent="0.35">
      <c r="F355">
        <v>7.0400000000000196</v>
      </c>
      <c r="G355">
        <f t="shared" si="10"/>
        <v>368.45228281558167</v>
      </c>
      <c r="H355">
        <f t="shared" si="11"/>
        <v>197.71910852563298</v>
      </c>
    </row>
    <row r="356" spans="6:8" x14ac:dyDescent="0.35">
      <c r="F356">
        <v>7.06000000000002</v>
      </c>
      <c r="G356">
        <f t="shared" si="10"/>
        <v>369.4990222553987</v>
      </c>
      <c r="H356">
        <f t="shared" si="11"/>
        <v>197.58335401354495</v>
      </c>
    </row>
    <row r="357" spans="6:8" x14ac:dyDescent="0.35">
      <c r="F357">
        <v>7.0800000000000196</v>
      </c>
      <c r="G357">
        <f t="shared" si="10"/>
        <v>370.54576169521567</v>
      </c>
      <c r="H357">
        <f t="shared" si="11"/>
        <v>197.44367550145688</v>
      </c>
    </row>
    <row r="358" spans="6:8" x14ac:dyDescent="0.35">
      <c r="F358">
        <v>7.1000000000000201</v>
      </c>
      <c r="G358">
        <f t="shared" si="10"/>
        <v>371.59250113503271</v>
      </c>
      <c r="H358">
        <f t="shared" si="11"/>
        <v>197.3000729893688</v>
      </c>
    </row>
    <row r="359" spans="6:8" x14ac:dyDescent="0.35">
      <c r="F359">
        <v>7.1200000000000196</v>
      </c>
      <c r="G359">
        <f t="shared" si="10"/>
        <v>372.63924057484968</v>
      </c>
      <c r="H359">
        <f t="shared" si="11"/>
        <v>197.15254647728082</v>
      </c>
    </row>
    <row r="360" spans="6:8" x14ac:dyDescent="0.35">
      <c r="F360">
        <v>7.1400000000000201</v>
      </c>
      <c r="G360">
        <f t="shared" si="10"/>
        <v>373.68598001466665</v>
      </c>
      <c r="H360">
        <f t="shared" si="11"/>
        <v>197.00109596519272</v>
      </c>
    </row>
    <row r="361" spans="6:8" x14ac:dyDescent="0.35">
      <c r="F361">
        <v>7.1600000000000197</v>
      </c>
      <c r="G361">
        <f t="shared" si="10"/>
        <v>374.73271945448363</v>
      </c>
      <c r="H361">
        <f t="shared" si="11"/>
        <v>196.84572145310466</v>
      </c>
    </row>
    <row r="362" spans="6:8" x14ac:dyDescent="0.35">
      <c r="F362">
        <v>7.1800000000000201</v>
      </c>
      <c r="G362">
        <f t="shared" si="10"/>
        <v>375.77945889430066</v>
      </c>
      <c r="H362">
        <f t="shared" si="11"/>
        <v>196.68642294101659</v>
      </c>
    </row>
    <row r="363" spans="6:8" x14ac:dyDescent="0.35">
      <c r="F363">
        <v>7.2000000000000197</v>
      </c>
      <c r="G363">
        <f t="shared" si="10"/>
        <v>376.82619833411763</v>
      </c>
      <c r="H363">
        <f t="shared" si="11"/>
        <v>196.52320042892862</v>
      </c>
    </row>
    <row r="364" spans="6:8" x14ac:dyDescent="0.35">
      <c r="F364">
        <v>7.2200000000000202</v>
      </c>
      <c r="G364">
        <f t="shared" si="10"/>
        <v>377.87293777393467</v>
      </c>
      <c r="H364">
        <f t="shared" si="11"/>
        <v>196.35605391684052</v>
      </c>
    </row>
    <row r="365" spans="6:8" x14ac:dyDescent="0.35">
      <c r="F365">
        <v>7.2400000000000198</v>
      </c>
      <c r="G365">
        <f t="shared" si="10"/>
        <v>378.91967721375158</v>
      </c>
      <c r="H365">
        <f t="shared" si="11"/>
        <v>196.18498340475247</v>
      </c>
    </row>
    <row r="366" spans="6:8" x14ac:dyDescent="0.35">
      <c r="F366">
        <v>7.2600000000000202</v>
      </c>
      <c r="G366">
        <f t="shared" si="10"/>
        <v>379.96641665356861</v>
      </c>
      <c r="H366">
        <f t="shared" si="11"/>
        <v>196.00998889266441</v>
      </c>
    </row>
    <row r="367" spans="6:8" x14ac:dyDescent="0.35">
      <c r="F367">
        <v>7.2800000000000198</v>
      </c>
      <c r="G367">
        <f t="shared" si="10"/>
        <v>381.01315609338559</v>
      </c>
      <c r="H367">
        <f t="shared" si="11"/>
        <v>195.83107038057636</v>
      </c>
    </row>
    <row r="368" spans="6:8" x14ac:dyDescent="0.35">
      <c r="F368">
        <v>7.3000000000000203</v>
      </c>
      <c r="G368">
        <f t="shared" si="10"/>
        <v>382.05989553320262</v>
      </c>
      <c r="H368">
        <f t="shared" si="11"/>
        <v>195.64822786848828</v>
      </c>
    </row>
    <row r="369" spans="6:8" x14ac:dyDescent="0.35">
      <c r="F369">
        <v>7.3200000000000198</v>
      </c>
      <c r="G369">
        <f t="shared" si="10"/>
        <v>383.1066349730196</v>
      </c>
      <c r="H369">
        <f t="shared" si="11"/>
        <v>195.46146135640021</v>
      </c>
    </row>
    <row r="370" spans="6:8" x14ac:dyDescent="0.35">
      <c r="F370">
        <v>7.3400000000000203</v>
      </c>
      <c r="G370">
        <f t="shared" si="10"/>
        <v>384.15337441283657</v>
      </c>
      <c r="H370">
        <f t="shared" si="11"/>
        <v>195.27077084431221</v>
      </c>
    </row>
    <row r="371" spans="6:8" x14ac:dyDescent="0.35">
      <c r="F371">
        <v>7.3600000000000199</v>
      </c>
      <c r="G371">
        <f t="shared" si="10"/>
        <v>385.20011385265354</v>
      </c>
      <c r="H371">
        <f t="shared" si="11"/>
        <v>195.07615633222412</v>
      </c>
    </row>
    <row r="372" spans="6:8" x14ac:dyDescent="0.35">
      <c r="F372">
        <v>7.3800000000000203</v>
      </c>
      <c r="G372">
        <f t="shared" si="10"/>
        <v>386.24685329247058</v>
      </c>
      <c r="H372">
        <f t="shared" si="11"/>
        <v>194.87761782013604</v>
      </c>
    </row>
    <row r="373" spans="6:8" x14ac:dyDescent="0.35">
      <c r="F373">
        <v>7.4000000000000297</v>
      </c>
      <c r="G373">
        <f t="shared" si="10"/>
        <v>387.29359273228806</v>
      </c>
      <c r="H373">
        <f t="shared" si="11"/>
        <v>194.67515530804792</v>
      </c>
    </row>
    <row r="374" spans="6:8" x14ac:dyDescent="0.35">
      <c r="F374">
        <v>7.4200000000000301</v>
      </c>
      <c r="G374">
        <f t="shared" si="10"/>
        <v>388.34033217210509</v>
      </c>
      <c r="H374">
        <f t="shared" si="11"/>
        <v>194.46876879595987</v>
      </c>
    </row>
    <row r="375" spans="6:8" x14ac:dyDescent="0.35">
      <c r="F375">
        <v>7.4400000000000297</v>
      </c>
      <c r="G375">
        <f t="shared" si="10"/>
        <v>389.38707161192201</v>
      </c>
      <c r="H375">
        <f t="shared" si="11"/>
        <v>194.25845828387185</v>
      </c>
    </row>
    <row r="376" spans="6:8" x14ac:dyDescent="0.35">
      <c r="F376">
        <v>7.4600000000000302</v>
      </c>
      <c r="G376">
        <f t="shared" si="10"/>
        <v>390.43381105173904</v>
      </c>
      <c r="H376">
        <f t="shared" si="11"/>
        <v>194.04422377178378</v>
      </c>
    </row>
    <row r="377" spans="6:8" x14ac:dyDescent="0.35">
      <c r="F377">
        <v>7.4800000000000297</v>
      </c>
      <c r="G377">
        <f t="shared" si="10"/>
        <v>391.48055049155602</v>
      </c>
      <c r="H377">
        <f t="shared" si="11"/>
        <v>193.82606525969572</v>
      </c>
    </row>
    <row r="378" spans="6:8" x14ac:dyDescent="0.35">
      <c r="F378">
        <v>7.5000000000000302</v>
      </c>
      <c r="G378">
        <f t="shared" si="10"/>
        <v>392.52728993137305</v>
      </c>
      <c r="H378">
        <f t="shared" si="11"/>
        <v>193.60398274760763</v>
      </c>
    </row>
    <row r="379" spans="6:8" x14ac:dyDescent="0.35">
      <c r="F379">
        <v>7.5200000000000298</v>
      </c>
      <c r="G379">
        <f t="shared" si="10"/>
        <v>393.57402937119002</v>
      </c>
      <c r="H379">
        <f t="shared" si="11"/>
        <v>193.37797623551961</v>
      </c>
    </row>
    <row r="380" spans="6:8" x14ac:dyDescent="0.35">
      <c r="F380">
        <v>7.5400000000000302</v>
      </c>
      <c r="G380">
        <f t="shared" si="10"/>
        <v>394.620768811007</v>
      </c>
      <c r="H380">
        <f t="shared" si="11"/>
        <v>193.14804572343155</v>
      </c>
    </row>
    <row r="381" spans="6:8" x14ac:dyDescent="0.35">
      <c r="F381">
        <v>7.5600000000000298</v>
      </c>
      <c r="G381">
        <f t="shared" si="10"/>
        <v>395.66750825082397</v>
      </c>
      <c r="H381">
        <f t="shared" si="11"/>
        <v>192.91419121134345</v>
      </c>
    </row>
    <row r="382" spans="6:8" x14ac:dyDescent="0.35">
      <c r="F382">
        <v>7.5800000000000303</v>
      </c>
      <c r="G382">
        <f t="shared" si="10"/>
        <v>396.714247690641</v>
      </c>
      <c r="H382">
        <f t="shared" si="11"/>
        <v>192.67641269925537</v>
      </c>
    </row>
    <row r="383" spans="6:8" x14ac:dyDescent="0.35">
      <c r="F383">
        <v>7.6000000000000298</v>
      </c>
      <c r="G383">
        <f t="shared" si="10"/>
        <v>397.76098713045798</v>
      </c>
      <c r="H383">
        <f t="shared" si="11"/>
        <v>192.43471018716735</v>
      </c>
    </row>
    <row r="384" spans="6:8" x14ac:dyDescent="0.35">
      <c r="F384">
        <v>7.6200000000000303</v>
      </c>
      <c r="G384">
        <f t="shared" si="10"/>
        <v>398.80772657027501</v>
      </c>
      <c r="H384">
        <f t="shared" si="11"/>
        <v>192.1890836750793</v>
      </c>
    </row>
    <row r="385" spans="6:8" x14ac:dyDescent="0.35">
      <c r="F385">
        <v>7.6400000000000299</v>
      </c>
      <c r="G385">
        <f t="shared" si="10"/>
        <v>399.85446601009193</v>
      </c>
      <c r="H385">
        <f t="shared" si="11"/>
        <v>191.93953316299127</v>
      </c>
    </row>
    <row r="386" spans="6:8" x14ac:dyDescent="0.35">
      <c r="F386">
        <v>7.6600000000000303</v>
      </c>
      <c r="G386">
        <f t="shared" si="10"/>
        <v>400.90120544990896</v>
      </c>
      <c r="H386">
        <f t="shared" si="11"/>
        <v>191.68605865090319</v>
      </c>
    </row>
    <row r="387" spans="6:8" x14ac:dyDescent="0.35">
      <c r="F387">
        <v>7.6800000000000299</v>
      </c>
      <c r="G387">
        <f t="shared" ref="G387:G450" si="12">$B$15*F387</f>
        <v>401.94794488972593</v>
      </c>
      <c r="H387">
        <f t="shared" ref="H387:H450" si="13">$B$13*F387-($B$8*F387^2)/2+$B$12</f>
        <v>191.42866013881513</v>
      </c>
    </row>
    <row r="388" spans="6:8" x14ac:dyDescent="0.35">
      <c r="F388">
        <v>7.7000000000000304</v>
      </c>
      <c r="G388">
        <f t="shared" si="12"/>
        <v>402.99468432954296</v>
      </c>
      <c r="H388">
        <f t="shared" si="13"/>
        <v>191.16733762672703</v>
      </c>
    </row>
    <row r="389" spans="6:8" x14ac:dyDescent="0.35">
      <c r="F389">
        <v>7.7200000000000299</v>
      </c>
      <c r="G389">
        <f t="shared" si="12"/>
        <v>404.04142376935994</v>
      </c>
      <c r="H389">
        <f t="shared" si="13"/>
        <v>190.90209111463901</v>
      </c>
    </row>
    <row r="390" spans="6:8" x14ac:dyDescent="0.35">
      <c r="F390">
        <v>7.7400000000000304</v>
      </c>
      <c r="G390">
        <f t="shared" si="12"/>
        <v>405.08816320917691</v>
      </c>
      <c r="H390">
        <f t="shared" si="13"/>
        <v>190.632920602551</v>
      </c>
    </row>
    <row r="391" spans="6:8" x14ac:dyDescent="0.35">
      <c r="F391">
        <v>7.76000000000003</v>
      </c>
      <c r="G391">
        <f t="shared" si="12"/>
        <v>406.13490264899389</v>
      </c>
      <c r="H391">
        <f t="shared" si="13"/>
        <v>190.35982609046289</v>
      </c>
    </row>
    <row r="392" spans="6:8" x14ac:dyDescent="0.35">
      <c r="F392">
        <v>7.7800000000000296</v>
      </c>
      <c r="G392">
        <f t="shared" si="12"/>
        <v>407.18164208881086</v>
      </c>
      <c r="H392">
        <f t="shared" si="13"/>
        <v>190.08280757837485</v>
      </c>
    </row>
    <row r="393" spans="6:8" x14ac:dyDescent="0.35">
      <c r="F393">
        <v>7.80000000000003</v>
      </c>
      <c r="G393">
        <f t="shared" si="12"/>
        <v>408.22838152862789</v>
      </c>
      <c r="H393">
        <f t="shared" si="13"/>
        <v>189.80186506628678</v>
      </c>
    </row>
    <row r="394" spans="6:8" x14ac:dyDescent="0.35">
      <c r="F394">
        <v>7.8200000000000403</v>
      </c>
      <c r="G394">
        <f t="shared" si="12"/>
        <v>409.27512096844544</v>
      </c>
      <c r="H394">
        <f t="shared" si="13"/>
        <v>189.51699855419855</v>
      </c>
    </row>
    <row r="395" spans="6:8" x14ac:dyDescent="0.35">
      <c r="F395">
        <v>7.8400000000000398</v>
      </c>
      <c r="G395">
        <f t="shared" si="12"/>
        <v>410.32186040826235</v>
      </c>
      <c r="H395">
        <f t="shared" si="13"/>
        <v>189.22820804211051</v>
      </c>
    </row>
    <row r="396" spans="6:8" x14ac:dyDescent="0.35">
      <c r="F396">
        <v>7.8600000000000403</v>
      </c>
      <c r="G396">
        <f t="shared" si="12"/>
        <v>411.36859984807938</v>
      </c>
      <c r="H396">
        <f t="shared" si="13"/>
        <v>188.93549353002248</v>
      </c>
    </row>
    <row r="397" spans="6:8" x14ac:dyDescent="0.35">
      <c r="F397">
        <v>7.8800000000000399</v>
      </c>
      <c r="G397">
        <f t="shared" si="12"/>
        <v>412.41533928789636</v>
      </c>
      <c r="H397">
        <f t="shared" si="13"/>
        <v>188.63885501793442</v>
      </c>
    </row>
    <row r="398" spans="6:8" x14ac:dyDescent="0.35">
      <c r="F398">
        <v>7.9000000000000403</v>
      </c>
      <c r="G398">
        <f t="shared" si="12"/>
        <v>413.46207872771339</v>
      </c>
      <c r="H398">
        <f t="shared" si="13"/>
        <v>188.33829250584631</v>
      </c>
    </row>
    <row r="399" spans="6:8" x14ac:dyDescent="0.35">
      <c r="F399">
        <v>7.9200000000000399</v>
      </c>
      <c r="G399">
        <f t="shared" si="12"/>
        <v>414.50881816753036</v>
      </c>
      <c r="H399">
        <f t="shared" si="13"/>
        <v>188.03380599375834</v>
      </c>
    </row>
    <row r="400" spans="6:8" x14ac:dyDescent="0.35">
      <c r="F400">
        <v>7.9400000000000404</v>
      </c>
      <c r="G400">
        <f t="shared" si="12"/>
        <v>415.55555760734734</v>
      </c>
      <c r="H400">
        <f t="shared" si="13"/>
        <v>187.72539548167026</v>
      </c>
    </row>
    <row r="401" spans="6:8" x14ac:dyDescent="0.35">
      <c r="F401">
        <v>7.9600000000000399</v>
      </c>
      <c r="G401">
        <f t="shared" si="12"/>
        <v>416.60229704716431</v>
      </c>
      <c r="H401">
        <f t="shared" si="13"/>
        <v>187.41306096958215</v>
      </c>
    </row>
    <row r="402" spans="6:8" x14ac:dyDescent="0.35">
      <c r="F402">
        <v>7.9800000000000404</v>
      </c>
      <c r="G402">
        <f t="shared" si="12"/>
        <v>417.64903648698134</v>
      </c>
      <c r="H402">
        <f t="shared" si="13"/>
        <v>187.09680245749416</v>
      </c>
    </row>
    <row r="403" spans="6:8" x14ac:dyDescent="0.35">
      <c r="F403">
        <v>8.0000000000000409</v>
      </c>
      <c r="G403">
        <f t="shared" si="12"/>
        <v>418.69577592679838</v>
      </c>
      <c r="H403">
        <f t="shared" si="13"/>
        <v>186.77661994540608</v>
      </c>
    </row>
    <row r="404" spans="6:8" x14ac:dyDescent="0.35">
      <c r="F404">
        <v>8.0200000000000404</v>
      </c>
      <c r="G404">
        <f t="shared" si="12"/>
        <v>419.74251536661535</v>
      </c>
      <c r="H404">
        <f t="shared" si="13"/>
        <v>186.45251343331802</v>
      </c>
    </row>
    <row r="405" spans="6:8" x14ac:dyDescent="0.35">
      <c r="F405">
        <v>8.04000000000004</v>
      </c>
      <c r="G405">
        <f t="shared" si="12"/>
        <v>420.78925480643227</v>
      </c>
      <c r="H405">
        <f t="shared" si="13"/>
        <v>186.12448292122997</v>
      </c>
    </row>
    <row r="406" spans="6:8" x14ac:dyDescent="0.35">
      <c r="F406">
        <v>8.0600000000000396</v>
      </c>
      <c r="G406">
        <f t="shared" si="12"/>
        <v>421.83599424624924</v>
      </c>
      <c r="H406">
        <f t="shared" si="13"/>
        <v>185.79252840914188</v>
      </c>
    </row>
    <row r="407" spans="6:8" x14ac:dyDescent="0.35">
      <c r="F407">
        <v>8.0800000000000392</v>
      </c>
      <c r="G407">
        <f t="shared" si="12"/>
        <v>422.88273368606622</v>
      </c>
      <c r="H407">
        <f t="shared" si="13"/>
        <v>185.45664989705386</v>
      </c>
    </row>
    <row r="408" spans="6:8" x14ac:dyDescent="0.35">
      <c r="F408">
        <v>8.1000000000000405</v>
      </c>
      <c r="G408">
        <f t="shared" si="12"/>
        <v>423.92947312588331</v>
      </c>
      <c r="H408">
        <f t="shared" si="13"/>
        <v>185.11684738496575</v>
      </c>
    </row>
    <row r="409" spans="6:8" x14ac:dyDescent="0.35">
      <c r="F409">
        <v>8.1200000000000401</v>
      </c>
      <c r="G409">
        <f t="shared" si="12"/>
        <v>424.97621256570028</v>
      </c>
      <c r="H409">
        <f t="shared" si="13"/>
        <v>184.77312087287771</v>
      </c>
    </row>
    <row r="410" spans="6:8" x14ac:dyDescent="0.35">
      <c r="F410">
        <v>8.1400000000000396</v>
      </c>
      <c r="G410">
        <f t="shared" si="12"/>
        <v>426.0229520055172</v>
      </c>
      <c r="H410">
        <f t="shared" si="13"/>
        <v>184.42547036078969</v>
      </c>
    </row>
    <row r="411" spans="6:8" x14ac:dyDescent="0.35">
      <c r="F411">
        <v>8.1600000000000392</v>
      </c>
      <c r="G411">
        <f t="shared" si="12"/>
        <v>427.06969144533417</v>
      </c>
      <c r="H411">
        <f t="shared" si="13"/>
        <v>184.07389584870162</v>
      </c>
    </row>
    <row r="412" spans="6:8" x14ac:dyDescent="0.35">
      <c r="F412">
        <v>8.1800000000000406</v>
      </c>
      <c r="G412">
        <f t="shared" si="12"/>
        <v>428.11643088515126</v>
      </c>
      <c r="H412">
        <f t="shared" si="13"/>
        <v>183.71839733661352</v>
      </c>
    </row>
    <row r="413" spans="6:8" x14ac:dyDescent="0.35">
      <c r="F413">
        <v>8.2000000000000401</v>
      </c>
      <c r="G413">
        <f t="shared" si="12"/>
        <v>429.16317032496823</v>
      </c>
      <c r="H413">
        <f t="shared" si="13"/>
        <v>183.35897482452549</v>
      </c>
    </row>
    <row r="414" spans="6:8" x14ac:dyDescent="0.35">
      <c r="F414">
        <v>8.2200000000000397</v>
      </c>
      <c r="G414">
        <f t="shared" si="12"/>
        <v>430.20990976478521</v>
      </c>
      <c r="H414">
        <f t="shared" si="13"/>
        <v>182.99562831243747</v>
      </c>
    </row>
    <row r="415" spans="6:8" x14ac:dyDescent="0.35">
      <c r="F415">
        <v>8.2400000000000393</v>
      </c>
      <c r="G415">
        <f t="shared" si="12"/>
        <v>431.25664920460218</v>
      </c>
      <c r="H415">
        <f t="shared" si="13"/>
        <v>182.62835780034936</v>
      </c>
    </row>
    <row r="416" spans="6:8" x14ac:dyDescent="0.35">
      <c r="F416">
        <v>8.2600000000000495</v>
      </c>
      <c r="G416">
        <f t="shared" si="12"/>
        <v>432.30338864441967</v>
      </c>
      <c r="H416">
        <f t="shared" si="13"/>
        <v>182.2571632882611</v>
      </c>
    </row>
    <row r="417" spans="6:8" x14ac:dyDescent="0.35">
      <c r="F417">
        <v>8.2800000000000509</v>
      </c>
      <c r="G417">
        <f t="shared" si="12"/>
        <v>433.35012808423676</v>
      </c>
      <c r="H417">
        <f t="shared" si="13"/>
        <v>181.88204477617302</v>
      </c>
    </row>
    <row r="418" spans="6:8" x14ac:dyDescent="0.35">
      <c r="F418">
        <v>8.3000000000000504</v>
      </c>
      <c r="G418">
        <f t="shared" si="12"/>
        <v>434.39686752405373</v>
      </c>
      <c r="H418">
        <f t="shared" si="13"/>
        <v>181.50300226408496</v>
      </c>
    </row>
    <row r="419" spans="6:8" x14ac:dyDescent="0.35">
      <c r="F419">
        <v>8.32000000000005</v>
      </c>
      <c r="G419">
        <f t="shared" si="12"/>
        <v>435.44360696387071</v>
      </c>
      <c r="H419">
        <f t="shared" si="13"/>
        <v>181.12003575199691</v>
      </c>
    </row>
    <row r="420" spans="6:8" x14ac:dyDescent="0.35">
      <c r="F420">
        <v>8.3400000000000496</v>
      </c>
      <c r="G420">
        <f t="shared" si="12"/>
        <v>436.49034640368762</v>
      </c>
      <c r="H420">
        <f t="shared" si="13"/>
        <v>180.73314523990894</v>
      </c>
    </row>
    <row r="421" spans="6:8" x14ac:dyDescent="0.35">
      <c r="F421">
        <v>8.3600000000000492</v>
      </c>
      <c r="G421">
        <f t="shared" si="12"/>
        <v>437.5370858435046</v>
      </c>
      <c r="H421">
        <f t="shared" si="13"/>
        <v>180.34233072782087</v>
      </c>
    </row>
    <row r="422" spans="6:8" x14ac:dyDescent="0.35">
      <c r="F422">
        <v>8.3800000000000505</v>
      </c>
      <c r="G422">
        <f t="shared" si="12"/>
        <v>438.58382528332169</v>
      </c>
      <c r="H422">
        <f t="shared" si="13"/>
        <v>179.94759221573281</v>
      </c>
    </row>
    <row r="423" spans="6:8" x14ac:dyDescent="0.35">
      <c r="F423">
        <v>8.4000000000000501</v>
      </c>
      <c r="G423">
        <f t="shared" si="12"/>
        <v>439.63056472313866</v>
      </c>
      <c r="H423">
        <f t="shared" si="13"/>
        <v>179.54892970364472</v>
      </c>
    </row>
    <row r="424" spans="6:8" x14ac:dyDescent="0.35">
      <c r="F424">
        <v>8.4200000000000497</v>
      </c>
      <c r="G424">
        <f t="shared" si="12"/>
        <v>440.67730416295564</v>
      </c>
      <c r="H424">
        <f t="shared" si="13"/>
        <v>179.14634319155664</v>
      </c>
    </row>
    <row r="425" spans="6:8" x14ac:dyDescent="0.35">
      <c r="F425">
        <v>8.4400000000000492</v>
      </c>
      <c r="G425">
        <f t="shared" si="12"/>
        <v>441.72404360277261</v>
      </c>
      <c r="H425">
        <f t="shared" si="13"/>
        <v>178.73983267946852</v>
      </c>
    </row>
    <row r="426" spans="6:8" x14ac:dyDescent="0.35">
      <c r="F426">
        <v>8.4600000000000506</v>
      </c>
      <c r="G426">
        <f t="shared" si="12"/>
        <v>442.77078304258964</v>
      </c>
      <c r="H426">
        <f t="shared" si="13"/>
        <v>178.32939816738048</v>
      </c>
    </row>
    <row r="427" spans="6:8" x14ac:dyDescent="0.35">
      <c r="F427">
        <v>8.4800000000000502</v>
      </c>
      <c r="G427">
        <f t="shared" si="12"/>
        <v>443.81752248240662</v>
      </c>
      <c r="H427">
        <f t="shared" si="13"/>
        <v>177.9150396552925</v>
      </c>
    </row>
    <row r="428" spans="6:8" x14ac:dyDescent="0.35">
      <c r="F428">
        <v>8.5000000000000497</v>
      </c>
      <c r="G428">
        <f t="shared" si="12"/>
        <v>444.86426192222359</v>
      </c>
      <c r="H428">
        <f t="shared" si="13"/>
        <v>177.49675714320438</v>
      </c>
    </row>
    <row r="429" spans="6:8" x14ac:dyDescent="0.35">
      <c r="F429">
        <v>8.5200000000000493</v>
      </c>
      <c r="G429">
        <f t="shared" si="12"/>
        <v>445.91100136204057</v>
      </c>
      <c r="H429">
        <f t="shared" si="13"/>
        <v>177.07455063111638</v>
      </c>
    </row>
    <row r="430" spans="6:8" x14ac:dyDescent="0.35">
      <c r="F430">
        <v>8.5400000000000507</v>
      </c>
      <c r="G430">
        <f t="shared" si="12"/>
        <v>446.9577408018576</v>
      </c>
      <c r="H430">
        <f t="shared" si="13"/>
        <v>176.64842011902823</v>
      </c>
    </row>
    <row r="431" spans="6:8" x14ac:dyDescent="0.35">
      <c r="F431">
        <v>8.5600000000000502</v>
      </c>
      <c r="G431">
        <f t="shared" si="12"/>
        <v>448.00448024167457</v>
      </c>
      <c r="H431">
        <f t="shared" si="13"/>
        <v>176.21836560694021</v>
      </c>
    </row>
    <row r="432" spans="6:8" x14ac:dyDescent="0.35">
      <c r="F432">
        <v>8.5800000000000498</v>
      </c>
      <c r="G432">
        <f t="shared" si="12"/>
        <v>449.05121968149155</v>
      </c>
      <c r="H432">
        <f t="shared" si="13"/>
        <v>175.78438709485215</v>
      </c>
    </row>
    <row r="433" spans="6:8" x14ac:dyDescent="0.35">
      <c r="F433">
        <v>8.6000000000000494</v>
      </c>
      <c r="G433">
        <f t="shared" si="12"/>
        <v>450.09795912130852</v>
      </c>
      <c r="H433">
        <f t="shared" si="13"/>
        <v>175.34648458276411</v>
      </c>
    </row>
    <row r="434" spans="6:8" x14ac:dyDescent="0.35">
      <c r="F434">
        <v>8.6200000000000507</v>
      </c>
      <c r="G434">
        <f t="shared" si="12"/>
        <v>451.14469856112555</v>
      </c>
      <c r="H434">
        <f t="shared" si="13"/>
        <v>174.90465807067602</v>
      </c>
    </row>
    <row r="435" spans="6:8" x14ac:dyDescent="0.35">
      <c r="F435">
        <v>8.6400000000000503</v>
      </c>
      <c r="G435">
        <f t="shared" si="12"/>
        <v>452.19143800094253</v>
      </c>
      <c r="H435">
        <f t="shared" si="13"/>
        <v>174.45890755858801</v>
      </c>
    </row>
    <row r="436" spans="6:8" x14ac:dyDescent="0.35">
      <c r="F436">
        <v>8.6600000000000499</v>
      </c>
      <c r="G436">
        <f t="shared" si="12"/>
        <v>453.2381774407595</v>
      </c>
      <c r="H436">
        <f t="shared" si="13"/>
        <v>174.00923304649996</v>
      </c>
    </row>
    <row r="437" spans="6:8" x14ac:dyDescent="0.35">
      <c r="F437">
        <v>8.6800000000000495</v>
      </c>
      <c r="G437">
        <f t="shared" si="12"/>
        <v>454.28491688057647</v>
      </c>
      <c r="H437">
        <f t="shared" si="13"/>
        <v>173.55563453441187</v>
      </c>
    </row>
    <row r="438" spans="6:8" x14ac:dyDescent="0.35">
      <c r="F438">
        <v>8.7000000000000597</v>
      </c>
      <c r="G438">
        <f t="shared" si="12"/>
        <v>455.33165632039402</v>
      </c>
      <c r="H438">
        <f t="shared" si="13"/>
        <v>173.09811202232362</v>
      </c>
    </row>
    <row r="439" spans="6:8" x14ac:dyDescent="0.35">
      <c r="F439">
        <v>8.7200000000000593</v>
      </c>
      <c r="G439">
        <f t="shared" si="12"/>
        <v>456.37839576021099</v>
      </c>
      <c r="H439">
        <f t="shared" si="13"/>
        <v>172.6366655102355</v>
      </c>
    </row>
    <row r="440" spans="6:8" x14ac:dyDescent="0.35">
      <c r="F440">
        <v>8.7400000000000606</v>
      </c>
      <c r="G440">
        <f t="shared" si="12"/>
        <v>457.42513520002802</v>
      </c>
      <c r="H440">
        <f t="shared" si="13"/>
        <v>172.1712949981474</v>
      </c>
    </row>
    <row r="441" spans="6:8" x14ac:dyDescent="0.35">
      <c r="F441">
        <v>8.7600000000000602</v>
      </c>
      <c r="G441">
        <f t="shared" si="12"/>
        <v>458.471874639845</v>
      </c>
      <c r="H441">
        <f t="shared" si="13"/>
        <v>171.70200048605938</v>
      </c>
    </row>
    <row r="442" spans="6:8" x14ac:dyDescent="0.35">
      <c r="F442">
        <v>8.7800000000000598</v>
      </c>
      <c r="G442">
        <f t="shared" si="12"/>
        <v>459.51861407966197</v>
      </c>
      <c r="H442">
        <f t="shared" si="13"/>
        <v>171.22878197397131</v>
      </c>
    </row>
    <row r="443" spans="6:8" x14ac:dyDescent="0.35">
      <c r="F443">
        <v>8.8000000000000593</v>
      </c>
      <c r="G443">
        <f t="shared" si="12"/>
        <v>460.56535351947895</v>
      </c>
      <c r="H443">
        <f t="shared" si="13"/>
        <v>170.75163946188331</v>
      </c>
    </row>
    <row r="444" spans="6:8" x14ac:dyDescent="0.35">
      <c r="F444">
        <v>8.8200000000000607</v>
      </c>
      <c r="G444">
        <f t="shared" si="12"/>
        <v>461.61209295929598</v>
      </c>
      <c r="H444">
        <f t="shared" si="13"/>
        <v>170.27057294979522</v>
      </c>
    </row>
    <row r="445" spans="6:8" x14ac:dyDescent="0.35">
      <c r="F445">
        <v>8.8400000000000603</v>
      </c>
      <c r="G445">
        <f t="shared" si="12"/>
        <v>462.65883239911295</v>
      </c>
      <c r="H445">
        <f t="shared" si="13"/>
        <v>169.78558243770715</v>
      </c>
    </row>
    <row r="446" spans="6:8" x14ac:dyDescent="0.35">
      <c r="F446">
        <v>8.8600000000000598</v>
      </c>
      <c r="G446">
        <f t="shared" si="12"/>
        <v>463.70557183892993</v>
      </c>
      <c r="H446">
        <f t="shared" si="13"/>
        <v>169.29666792561903</v>
      </c>
    </row>
    <row r="447" spans="6:8" x14ac:dyDescent="0.35">
      <c r="F447">
        <v>8.8800000000000594</v>
      </c>
      <c r="G447">
        <f t="shared" si="12"/>
        <v>464.7523112787469</v>
      </c>
      <c r="H447">
        <f t="shared" si="13"/>
        <v>168.80382941353105</v>
      </c>
    </row>
    <row r="448" spans="6:8" x14ac:dyDescent="0.35">
      <c r="F448">
        <v>8.9000000000000608</v>
      </c>
      <c r="G448">
        <f t="shared" si="12"/>
        <v>465.79905071856399</v>
      </c>
      <c r="H448">
        <f t="shared" si="13"/>
        <v>168.30706690144285</v>
      </c>
    </row>
    <row r="449" spans="6:8" x14ac:dyDescent="0.35">
      <c r="F449">
        <v>8.9200000000000603</v>
      </c>
      <c r="G449">
        <f t="shared" si="12"/>
        <v>466.84579015838096</v>
      </c>
      <c r="H449">
        <f t="shared" si="13"/>
        <v>167.80638038935479</v>
      </c>
    </row>
    <row r="450" spans="6:8" x14ac:dyDescent="0.35">
      <c r="F450">
        <v>8.9400000000000599</v>
      </c>
      <c r="G450">
        <f t="shared" si="12"/>
        <v>467.89252959819788</v>
      </c>
      <c r="H450">
        <f t="shared" si="13"/>
        <v>167.30176987726674</v>
      </c>
    </row>
    <row r="451" spans="6:8" x14ac:dyDescent="0.35">
      <c r="F451">
        <v>8.9600000000000595</v>
      </c>
      <c r="G451">
        <f t="shared" ref="G451:G514" si="14">$B$15*F451</f>
        <v>468.93926903801486</v>
      </c>
      <c r="H451">
        <f t="shared" ref="H451:H514" si="15">$B$13*F451-($B$8*F451^2)/2+$B$12</f>
        <v>166.79323536517882</v>
      </c>
    </row>
    <row r="452" spans="6:8" x14ac:dyDescent="0.35">
      <c r="F452">
        <v>8.9800000000000608</v>
      </c>
      <c r="G452">
        <f t="shared" si="14"/>
        <v>469.98600847783194</v>
      </c>
      <c r="H452">
        <f t="shared" si="15"/>
        <v>166.28077685309069</v>
      </c>
    </row>
    <row r="453" spans="6:8" x14ac:dyDescent="0.35">
      <c r="F453">
        <v>9.0000000000000604</v>
      </c>
      <c r="G453">
        <f t="shared" si="14"/>
        <v>471.03274791764892</v>
      </c>
      <c r="H453">
        <f t="shared" si="15"/>
        <v>165.76439434100268</v>
      </c>
    </row>
    <row r="454" spans="6:8" x14ac:dyDescent="0.35">
      <c r="F454">
        <v>9.02000000000006</v>
      </c>
      <c r="G454">
        <f t="shared" si="14"/>
        <v>472.07948735746589</v>
      </c>
      <c r="H454">
        <f t="shared" si="15"/>
        <v>165.24408782891459</v>
      </c>
    </row>
    <row r="455" spans="6:8" x14ac:dyDescent="0.35">
      <c r="F455">
        <v>9.0400000000000595</v>
      </c>
      <c r="G455">
        <f t="shared" si="14"/>
        <v>473.12622679728287</v>
      </c>
      <c r="H455">
        <f t="shared" si="15"/>
        <v>164.71985731682651</v>
      </c>
    </row>
    <row r="456" spans="6:8" x14ac:dyDescent="0.35">
      <c r="F456">
        <v>9.0600000000000591</v>
      </c>
      <c r="G456">
        <f t="shared" si="14"/>
        <v>474.17296623709979</v>
      </c>
      <c r="H456">
        <f t="shared" si="15"/>
        <v>164.19170280473844</v>
      </c>
    </row>
    <row r="457" spans="6:8" x14ac:dyDescent="0.35">
      <c r="F457">
        <v>9.0800000000000605</v>
      </c>
      <c r="G457">
        <f t="shared" si="14"/>
        <v>475.21970567691687</v>
      </c>
      <c r="H457">
        <f t="shared" si="15"/>
        <v>163.65962429265034</v>
      </c>
    </row>
    <row r="458" spans="6:8" x14ac:dyDescent="0.35">
      <c r="F458">
        <v>9.10000000000006</v>
      </c>
      <c r="G458">
        <f t="shared" si="14"/>
        <v>476.26644511673385</v>
      </c>
      <c r="H458">
        <f t="shared" si="15"/>
        <v>163.12362178056236</v>
      </c>
    </row>
    <row r="459" spans="6:8" x14ac:dyDescent="0.35">
      <c r="F459">
        <v>9.1200000000000703</v>
      </c>
      <c r="G459">
        <f t="shared" si="14"/>
        <v>477.31318455655139</v>
      </c>
      <c r="H459">
        <f t="shared" si="15"/>
        <v>162.583695268474</v>
      </c>
    </row>
    <row r="460" spans="6:8" x14ac:dyDescent="0.35">
      <c r="F460">
        <v>9.1400000000000698</v>
      </c>
      <c r="G460">
        <f t="shared" si="14"/>
        <v>478.35992399636831</v>
      </c>
      <c r="H460">
        <f t="shared" si="15"/>
        <v>162.039844756386</v>
      </c>
    </row>
    <row r="461" spans="6:8" x14ac:dyDescent="0.35">
      <c r="F461">
        <v>9.1600000000000694</v>
      </c>
      <c r="G461">
        <f t="shared" si="14"/>
        <v>479.40666343618528</v>
      </c>
      <c r="H461">
        <f t="shared" si="15"/>
        <v>161.49207024429791</v>
      </c>
    </row>
    <row r="462" spans="6:8" x14ac:dyDescent="0.35">
      <c r="F462">
        <v>9.1800000000000708</v>
      </c>
      <c r="G462">
        <f t="shared" si="14"/>
        <v>480.45340287600237</v>
      </c>
      <c r="H462">
        <f t="shared" si="15"/>
        <v>160.94037173220977</v>
      </c>
    </row>
    <row r="463" spans="6:8" x14ac:dyDescent="0.35">
      <c r="F463">
        <v>9.2000000000000703</v>
      </c>
      <c r="G463">
        <f t="shared" si="14"/>
        <v>481.50014231581935</v>
      </c>
      <c r="H463">
        <f t="shared" si="15"/>
        <v>160.38474922012171</v>
      </c>
    </row>
    <row r="464" spans="6:8" x14ac:dyDescent="0.35">
      <c r="F464">
        <v>9.2200000000000699</v>
      </c>
      <c r="G464">
        <f t="shared" si="14"/>
        <v>482.54688175563632</v>
      </c>
      <c r="H464">
        <f t="shared" si="15"/>
        <v>159.82520270803366</v>
      </c>
    </row>
    <row r="465" spans="6:8" x14ac:dyDescent="0.35">
      <c r="F465">
        <v>9.2400000000000695</v>
      </c>
      <c r="G465">
        <f t="shared" si="14"/>
        <v>483.59362119545324</v>
      </c>
      <c r="H465">
        <f t="shared" si="15"/>
        <v>159.26173219594557</v>
      </c>
    </row>
    <row r="466" spans="6:8" x14ac:dyDescent="0.35">
      <c r="F466">
        <v>9.2600000000000708</v>
      </c>
      <c r="G466">
        <f t="shared" si="14"/>
        <v>484.64036063527033</v>
      </c>
      <c r="H466">
        <f t="shared" si="15"/>
        <v>158.69433768385744</v>
      </c>
    </row>
    <row r="467" spans="6:8" x14ac:dyDescent="0.35">
      <c r="F467">
        <v>9.2800000000000704</v>
      </c>
      <c r="G467">
        <f t="shared" si="14"/>
        <v>485.6871000750873</v>
      </c>
      <c r="H467">
        <f t="shared" si="15"/>
        <v>158.1230191717695</v>
      </c>
    </row>
    <row r="468" spans="6:8" x14ac:dyDescent="0.35">
      <c r="F468">
        <v>9.30000000000007</v>
      </c>
      <c r="G468">
        <f t="shared" si="14"/>
        <v>486.73383951490428</v>
      </c>
      <c r="H468">
        <f t="shared" si="15"/>
        <v>157.5477766596814</v>
      </c>
    </row>
    <row r="469" spans="6:8" x14ac:dyDescent="0.35">
      <c r="F469">
        <v>9.3200000000000696</v>
      </c>
      <c r="G469">
        <f t="shared" si="14"/>
        <v>487.78057895472125</v>
      </c>
      <c r="H469">
        <f t="shared" si="15"/>
        <v>156.96861014759332</v>
      </c>
    </row>
    <row r="470" spans="6:8" x14ac:dyDescent="0.35">
      <c r="F470">
        <v>9.3400000000000691</v>
      </c>
      <c r="G470">
        <f t="shared" si="14"/>
        <v>488.82731839453822</v>
      </c>
      <c r="H470">
        <f t="shared" si="15"/>
        <v>156.38551963550526</v>
      </c>
    </row>
    <row r="471" spans="6:8" x14ac:dyDescent="0.35">
      <c r="F471">
        <v>9.3600000000000705</v>
      </c>
      <c r="G471">
        <f t="shared" si="14"/>
        <v>489.87405783435526</v>
      </c>
      <c r="H471">
        <f t="shared" si="15"/>
        <v>155.79850512341716</v>
      </c>
    </row>
    <row r="472" spans="6:8" x14ac:dyDescent="0.35">
      <c r="F472">
        <v>9.3800000000000701</v>
      </c>
      <c r="G472">
        <f t="shared" si="14"/>
        <v>490.92079727417223</v>
      </c>
      <c r="H472">
        <f t="shared" si="15"/>
        <v>155.20756661132907</v>
      </c>
    </row>
    <row r="473" spans="6:8" x14ac:dyDescent="0.35">
      <c r="F473">
        <v>9.4000000000000696</v>
      </c>
      <c r="G473">
        <f t="shared" si="14"/>
        <v>491.9675367139892</v>
      </c>
      <c r="H473">
        <f t="shared" si="15"/>
        <v>154.61270409924106</v>
      </c>
    </row>
    <row r="474" spans="6:8" x14ac:dyDescent="0.35">
      <c r="F474">
        <v>9.4200000000000692</v>
      </c>
      <c r="G474">
        <f t="shared" si="14"/>
        <v>493.01427615380618</v>
      </c>
      <c r="H474">
        <f t="shared" si="15"/>
        <v>154.01391758715306</v>
      </c>
    </row>
    <row r="475" spans="6:8" x14ac:dyDescent="0.35">
      <c r="F475">
        <v>9.4400000000000706</v>
      </c>
      <c r="G475">
        <f t="shared" si="14"/>
        <v>494.06101559362321</v>
      </c>
      <c r="H475">
        <f t="shared" si="15"/>
        <v>153.41120707506497</v>
      </c>
    </row>
    <row r="476" spans="6:8" x14ac:dyDescent="0.35">
      <c r="F476">
        <v>9.4600000000000701</v>
      </c>
      <c r="G476">
        <f t="shared" si="14"/>
        <v>495.10775503344018</v>
      </c>
      <c r="H476">
        <f t="shared" si="15"/>
        <v>152.80457256297689</v>
      </c>
    </row>
    <row r="477" spans="6:8" x14ac:dyDescent="0.35">
      <c r="F477">
        <v>9.4800000000000697</v>
      </c>
      <c r="G477">
        <f t="shared" si="14"/>
        <v>496.15449447325716</v>
      </c>
      <c r="H477">
        <f t="shared" si="15"/>
        <v>152.19401405088882</v>
      </c>
    </row>
    <row r="478" spans="6:8" x14ac:dyDescent="0.35">
      <c r="F478">
        <v>9.5000000000000693</v>
      </c>
      <c r="G478">
        <f t="shared" si="14"/>
        <v>497.20123391307413</v>
      </c>
      <c r="H478">
        <f t="shared" si="15"/>
        <v>151.57953153880072</v>
      </c>
    </row>
    <row r="479" spans="6:8" x14ac:dyDescent="0.35">
      <c r="F479">
        <v>9.5200000000000706</v>
      </c>
      <c r="G479">
        <f t="shared" si="14"/>
        <v>498.24797335289117</v>
      </c>
      <c r="H479">
        <f t="shared" si="15"/>
        <v>150.96112502671264</v>
      </c>
    </row>
    <row r="480" spans="6:8" x14ac:dyDescent="0.35">
      <c r="F480">
        <v>9.5400000000000702</v>
      </c>
      <c r="G480">
        <f t="shared" si="14"/>
        <v>499.29471279270814</v>
      </c>
      <c r="H480">
        <f t="shared" si="15"/>
        <v>150.33879451462457</v>
      </c>
    </row>
    <row r="481" spans="6:8" x14ac:dyDescent="0.35">
      <c r="F481">
        <v>9.5600000000000804</v>
      </c>
      <c r="G481">
        <f t="shared" si="14"/>
        <v>500.34145223252568</v>
      </c>
      <c r="H481">
        <f t="shared" si="15"/>
        <v>149.71254000253617</v>
      </c>
    </row>
    <row r="482" spans="6:8" x14ac:dyDescent="0.35">
      <c r="F482">
        <v>9.58000000000008</v>
      </c>
      <c r="G482">
        <f t="shared" si="14"/>
        <v>501.38819167234266</v>
      </c>
      <c r="H482">
        <f t="shared" si="15"/>
        <v>149.08236149044825</v>
      </c>
    </row>
    <row r="483" spans="6:8" x14ac:dyDescent="0.35">
      <c r="F483">
        <v>9.6000000000000796</v>
      </c>
      <c r="G483">
        <f t="shared" si="14"/>
        <v>502.43493111215963</v>
      </c>
      <c r="H483">
        <f t="shared" si="15"/>
        <v>148.44825897836017</v>
      </c>
    </row>
    <row r="484" spans="6:8" x14ac:dyDescent="0.35">
      <c r="F484">
        <v>9.6200000000000792</v>
      </c>
      <c r="G484">
        <f t="shared" si="14"/>
        <v>503.48167055197661</v>
      </c>
      <c r="H484">
        <f t="shared" si="15"/>
        <v>147.81023246627211</v>
      </c>
    </row>
    <row r="485" spans="6:8" x14ac:dyDescent="0.35">
      <c r="F485">
        <v>9.6400000000000805</v>
      </c>
      <c r="G485">
        <f t="shared" si="14"/>
        <v>504.52840999179364</v>
      </c>
      <c r="H485">
        <f t="shared" si="15"/>
        <v>147.16828195418395</v>
      </c>
    </row>
    <row r="486" spans="6:8" x14ac:dyDescent="0.35">
      <c r="F486">
        <v>9.6600000000000801</v>
      </c>
      <c r="G486">
        <f t="shared" si="14"/>
        <v>505.57514943161061</v>
      </c>
      <c r="H486">
        <f t="shared" si="15"/>
        <v>146.52240744209587</v>
      </c>
    </row>
    <row r="487" spans="6:8" x14ac:dyDescent="0.35">
      <c r="F487">
        <v>9.6800000000000797</v>
      </c>
      <c r="G487">
        <f t="shared" si="14"/>
        <v>506.62188887142759</v>
      </c>
      <c r="H487">
        <f t="shared" si="15"/>
        <v>145.8726089300078</v>
      </c>
    </row>
    <row r="488" spans="6:8" x14ac:dyDescent="0.35">
      <c r="F488">
        <v>9.7000000000000792</v>
      </c>
      <c r="G488">
        <f t="shared" si="14"/>
        <v>507.66862831124456</v>
      </c>
      <c r="H488">
        <f t="shared" si="15"/>
        <v>145.21888641791975</v>
      </c>
    </row>
    <row r="489" spans="6:8" x14ac:dyDescent="0.35">
      <c r="F489">
        <v>9.7200000000000806</v>
      </c>
      <c r="G489">
        <f t="shared" si="14"/>
        <v>508.71536775106159</v>
      </c>
      <c r="H489">
        <f t="shared" si="15"/>
        <v>144.5612399058316</v>
      </c>
    </row>
    <row r="490" spans="6:8" x14ac:dyDescent="0.35">
      <c r="F490">
        <v>9.7400000000000801</v>
      </c>
      <c r="G490">
        <f t="shared" si="14"/>
        <v>509.76210719087857</v>
      </c>
      <c r="H490">
        <f t="shared" si="15"/>
        <v>143.89966939374369</v>
      </c>
    </row>
    <row r="491" spans="6:8" x14ac:dyDescent="0.35">
      <c r="F491">
        <v>9.7600000000000797</v>
      </c>
      <c r="G491">
        <f t="shared" si="14"/>
        <v>510.80884663069554</v>
      </c>
      <c r="H491">
        <f t="shared" si="15"/>
        <v>143.23417488165563</v>
      </c>
    </row>
    <row r="492" spans="6:8" x14ac:dyDescent="0.35">
      <c r="F492">
        <v>9.7800000000000793</v>
      </c>
      <c r="G492">
        <f t="shared" si="14"/>
        <v>511.85558607051252</v>
      </c>
      <c r="H492">
        <f t="shared" si="15"/>
        <v>142.56475636956759</v>
      </c>
    </row>
    <row r="493" spans="6:8" x14ac:dyDescent="0.35">
      <c r="F493">
        <v>9.8000000000000806</v>
      </c>
      <c r="G493">
        <f t="shared" si="14"/>
        <v>512.90232551032955</v>
      </c>
      <c r="H493">
        <f t="shared" si="15"/>
        <v>141.89141385747939</v>
      </c>
    </row>
    <row r="494" spans="6:8" x14ac:dyDescent="0.35">
      <c r="F494">
        <v>9.8200000000000802</v>
      </c>
      <c r="G494">
        <f t="shared" si="14"/>
        <v>513.94906495014652</v>
      </c>
      <c r="H494">
        <f t="shared" si="15"/>
        <v>141.21414734539132</v>
      </c>
    </row>
    <row r="495" spans="6:8" x14ac:dyDescent="0.35">
      <c r="F495">
        <v>9.8400000000000798</v>
      </c>
      <c r="G495">
        <f t="shared" si="14"/>
        <v>514.9958043899635</v>
      </c>
      <c r="H495">
        <f t="shared" si="15"/>
        <v>140.53295683330327</v>
      </c>
    </row>
    <row r="496" spans="6:8" x14ac:dyDescent="0.35">
      <c r="F496">
        <v>9.8600000000000794</v>
      </c>
      <c r="G496">
        <f t="shared" si="14"/>
        <v>516.04254382978047</v>
      </c>
      <c r="H496">
        <f t="shared" si="15"/>
        <v>139.84784232121524</v>
      </c>
    </row>
    <row r="497" spans="6:8" x14ac:dyDescent="0.35">
      <c r="F497">
        <v>9.8800000000000807</v>
      </c>
      <c r="G497">
        <f t="shared" si="14"/>
        <v>517.08928326959756</v>
      </c>
      <c r="H497">
        <f t="shared" si="15"/>
        <v>139.15880380912722</v>
      </c>
    </row>
    <row r="498" spans="6:8" x14ac:dyDescent="0.35">
      <c r="F498">
        <v>9.9000000000000803</v>
      </c>
      <c r="G498">
        <f t="shared" si="14"/>
        <v>518.13602270941453</v>
      </c>
      <c r="H498">
        <f t="shared" si="15"/>
        <v>138.46584129703911</v>
      </c>
    </row>
    <row r="499" spans="6:8" x14ac:dyDescent="0.35">
      <c r="F499">
        <v>9.9200000000000799</v>
      </c>
      <c r="G499">
        <f t="shared" si="14"/>
        <v>519.18276214923151</v>
      </c>
      <c r="H499">
        <f t="shared" si="15"/>
        <v>137.76895478495106</v>
      </c>
    </row>
    <row r="500" spans="6:8" x14ac:dyDescent="0.35">
      <c r="F500">
        <v>9.9400000000000794</v>
      </c>
      <c r="G500">
        <f t="shared" si="14"/>
        <v>520.22950158904848</v>
      </c>
      <c r="H500">
        <f t="shared" si="15"/>
        <v>137.06814427286298</v>
      </c>
    </row>
    <row r="501" spans="6:8" x14ac:dyDescent="0.35">
      <c r="F501">
        <v>9.9600000000000808</v>
      </c>
      <c r="G501">
        <f t="shared" si="14"/>
        <v>521.27624102886557</v>
      </c>
      <c r="H501">
        <f t="shared" si="15"/>
        <v>136.36340976077491</v>
      </c>
    </row>
    <row r="502" spans="6:8" x14ac:dyDescent="0.35">
      <c r="F502">
        <v>9.9800000000000804</v>
      </c>
      <c r="G502">
        <f t="shared" si="14"/>
        <v>522.32298046868243</v>
      </c>
      <c r="H502">
        <f t="shared" si="15"/>
        <v>135.65475124868686</v>
      </c>
    </row>
    <row r="503" spans="6:8" x14ac:dyDescent="0.35">
      <c r="F503">
        <v>10.000000000000099</v>
      </c>
      <c r="G503">
        <f t="shared" si="14"/>
        <v>523.36971990850043</v>
      </c>
      <c r="H503">
        <f t="shared" si="15"/>
        <v>134.94216873659809</v>
      </c>
    </row>
    <row r="504" spans="6:8" x14ac:dyDescent="0.35">
      <c r="F504">
        <v>10.020000000000101</v>
      </c>
      <c r="G504">
        <f t="shared" si="14"/>
        <v>524.41645934831752</v>
      </c>
      <c r="H504">
        <f t="shared" si="15"/>
        <v>134.22566222450996</v>
      </c>
    </row>
    <row r="505" spans="6:8" x14ac:dyDescent="0.35">
      <c r="F505">
        <v>10.0400000000001</v>
      </c>
      <c r="G505">
        <f t="shared" si="14"/>
        <v>525.46319878813449</v>
      </c>
      <c r="H505">
        <f t="shared" si="15"/>
        <v>133.5052317124219</v>
      </c>
    </row>
    <row r="506" spans="6:8" x14ac:dyDescent="0.35">
      <c r="F506">
        <v>10.0600000000001</v>
      </c>
      <c r="G506">
        <f t="shared" si="14"/>
        <v>526.50993822795147</v>
      </c>
      <c r="H506">
        <f t="shared" si="15"/>
        <v>132.7808772003338</v>
      </c>
    </row>
    <row r="507" spans="6:8" x14ac:dyDescent="0.35">
      <c r="F507">
        <v>10.0800000000001</v>
      </c>
      <c r="G507">
        <f t="shared" si="14"/>
        <v>527.55667766776844</v>
      </c>
      <c r="H507">
        <f t="shared" si="15"/>
        <v>132.05259868824584</v>
      </c>
    </row>
    <row r="508" spans="6:8" x14ac:dyDescent="0.35">
      <c r="F508">
        <v>10.100000000000099</v>
      </c>
      <c r="G508">
        <f t="shared" si="14"/>
        <v>528.60341710758541</v>
      </c>
      <c r="H508">
        <f t="shared" si="15"/>
        <v>131.32039617615777</v>
      </c>
    </row>
    <row r="509" spans="6:8" x14ac:dyDescent="0.35">
      <c r="F509">
        <v>10.1200000000001</v>
      </c>
      <c r="G509">
        <f t="shared" si="14"/>
        <v>529.6501565474025</v>
      </c>
      <c r="H509">
        <f t="shared" si="15"/>
        <v>130.58426966406967</v>
      </c>
    </row>
    <row r="510" spans="6:8" x14ac:dyDescent="0.35">
      <c r="F510">
        <v>10.1400000000001</v>
      </c>
      <c r="G510">
        <f t="shared" si="14"/>
        <v>530.69689598721948</v>
      </c>
      <c r="H510">
        <f t="shared" si="15"/>
        <v>129.84421915198158</v>
      </c>
    </row>
    <row r="511" spans="6:8" x14ac:dyDescent="0.35">
      <c r="F511">
        <v>10.1600000000001</v>
      </c>
      <c r="G511">
        <f t="shared" si="14"/>
        <v>531.74363542703645</v>
      </c>
      <c r="H511">
        <f t="shared" si="15"/>
        <v>129.10024463989356</v>
      </c>
    </row>
    <row r="512" spans="6:8" x14ac:dyDescent="0.35">
      <c r="F512">
        <v>10.180000000000099</v>
      </c>
      <c r="G512">
        <f t="shared" si="14"/>
        <v>532.79037486685343</v>
      </c>
      <c r="H512">
        <f t="shared" si="15"/>
        <v>128.35234612780545</v>
      </c>
    </row>
    <row r="513" spans="6:8" x14ac:dyDescent="0.35">
      <c r="F513">
        <v>10.200000000000101</v>
      </c>
      <c r="G513">
        <f t="shared" si="14"/>
        <v>533.8371143066704</v>
      </c>
      <c r="H513">
        <f t="shared" si="15"/>
        <v>127.60052361571729</v>
      </c>
    </row>
    <row r="514" spans="6:8" x14ac:dyDescent="0.35">
      <c r="F514">
        <v>10.2200000000001</v>
      </c>
      <c r="G514">
        <f t="shared" si="14"/>
        <v>534.88385374648738</v>
      </c>
      <c r="H514">
        <f t="shared" si="15"/>
        <v>126.84477710362933</v>
      </c>
    </row>
    <row r="515" spans="6:8" x14ac:dyDescent="0.35">
      <c r="F515">
        <v>10.2400000000001</v>
      </c>
      <c r="G515">
        <f t="shared" ref="G515:G578" si="16">$B$15*F515</f>
        <v>535.93059318630435</v>
      </c>
      <c r="H515">
        <f t="shared" ref="H515:H578" si="17">$B$13*F515-($B$8*F515^2)/2+$B$12</f>
        <v>126.08510659154126</v>
      </c>
    </row>
    <row r="516" spans="6:8" x14ac:dyDescent="0.35">
      <c r="F516">
        <v>10.260000000000099</v>
      </c>
      <c r="G516">
        <f t="shared" si="16"/>
        <v>536.97733262612132</v>
      </c>
      <c r="H516">
        <f t="shared" si="17"/>
        <v>125.32151207945321</v>
      </c>
    </row>
    <row r="517" spans="6:8" x14ac:dyDescent="0.35">
      <c r="F517">
        <v>10.280000000000101</v>
      </c>
      <c r="G517">
        <f t="shared" si="16"/>
        <v>538.02407206593841</v>
      </c>
      <c r="H517">
        <f t="shared" si="17"/>
        <v>124.55399356736507</v>
      </c>
    </row>
    <row r="518" spans="6:8" x14ac:dyDescent="0.35">
      <c r="F518">
        <v>10.3000000000001</v>
      </c>
      <c r="G518">
        <f t="shared" si="16"/>
        <v>539.07081150575539</v>
      </c>
      <c r="H518">
        <f t="shared" si="17"/>
        <v>123.78255105527705</v>
      </c>
    </row>
    <row r="519" spans="6:8" x14ac:dyDescent="0.35">
      <c r="F519">
        <v>10.3200000000001</v>
      </c>
      <c r="G519">
        <f t="shared" si="16"/>
        <v>540.11755094557236</v>
      </c>
      <c r="H519">
        <f t="shared" si="17"/>
        <v>123.00718454318894</v>
      </c>
    </row>
    <row r="520" spans="6:8" x14ac:dyDescent="0.35">
      <c r="F520">
        <v>10.340000000000099</v>
      </c>
      <c r="G520">
        <f t="shared" si="16"/>
        <v>541.16429038538934</v>
      </c>
      <c r="H520">
        <f t="shared" si="17"/>
        <v>122.22789403110085</v>
      </c>
    </row>
    <row r="521" spans="6:8" x14ac:dyDescent="0.35">
      <c r="F521">
        <v>10.360000000000101</v>
      </c>
      <c r="G521">
        <f t="shared" si="16"/>
        <v>542.21102982520642</v>
      </c>
      <c r="H521">
        <f t="shared" si="17"/>
        <v>121.44467951901277</v>
      </c>
    </row>
    <row r="522" spans="6:8" x14ac:dyDescent="0.35">
      <c r="F522">
        <v>10.3800000000001</v>
      </c>
      <c r="G522">
        <f t="shared" si="16"/>
        <v>543.25776926502328</v>
      </c>
      <c r="H522">
        <f t="shared" si="17"/>
        <v>120.6575410069247</v>
      </c>
    </row>
    <row r="523" spans="6:8" x14ac:dyDescent="0.35">
      <c r="F523">
        <v>10.4000000000001</v>
      </c>
      <c r="G523">
        <f t="shared" si="16"/>
        <v>544.30450870484026</v>
      </c>
      <c r="H523">
        <f t="shared" si="17"/>
        <v>119.86647849483677</v>
      </c>
    </row>
    <row r="524" spans="6:8" x14ac:dyDescent="0.35">
      <c r="F524">
        <v>10.420000000000099</v>
      </c>
      <c r="G524">
        <f t="shared" si="16"/>
        <v>545.35124814465723</v>
      </c>
      <c r="H524">
        <f t="shared" si="17"/>
        <v>119.07149198274863</v>
      </c>
    </row>
    <row r="525" spans="6:8" x14ac:dyDescent="0.35">
      <c r="F525">
        <v>10.440000000000101</v>
      </c>
      <c r="G525">
        <f t="shared" si="16"/>
        <v>546.39798758447432</v>
      </c>
      <c r="H525">
        <f t="shared" si="17"/>
        <v>118.2725814706605</v>
      </c>
    </row>
    <row r="526" spans="6:8" x14ac:dyDescent="0.35">
      <c r="F526">
        <v>10.4600000000001</v>
      </c>
      <c r="G526">
        <f t="shared" si="16"/>
        <v>547.4447270242913</v>
      </c>
      <c r="H526">
        <f t="shared" si="17"/>
        <v>117.46974695857239</v>
      </c>
    </row>
    <row r="527" spans="6:8" x14ac:dyDescent="0.35">
      <c r="F527">
        <v>10.4800000000001</v>
      </c>
      <c r="G527">
        <f t="shared" si="16"/>
        <v>548.49146646410827</v>
      </c>
      <c r="H527">
        <f t="shared" si="17"/>
        <v>116.66298844648429</v>
      </c>
    </row>
    <row r="528" spans="6:8" x14ac:dyDescent="0.35">
      <c r="F528">
        <v>10.500000000000099</v>
      </c>
      <c r="G528">
        <f t="shared" si="16"/>
        <v>549.53820590392525</v>
      </c>
      <c r="H528">
        <f t="shared" si="17"/>
        <v>115.85230593439633</v>
      </c>
    </row>
    <row r="529" spans="6:8" x14ac:dyDescent="0.35">
      <c r="F529">
        <v>10.520000000000101</v>
      </c>
      <c r="G529">
        <f t="shared" si="16"/>
        <v>550.58494534374233</v>
      </c>
      <c r="H529">
        <f t="shared" si="17"/>
        <v>115.03769942230826</v>
      </c>
    </row>
    <row r="530" spans="6:8" x14ac:dyDescent="0.35">
      <c r="F530">
        <v>10.5400000000001</v>
      </c>
      <c r="G530">
        <f t="shared" si="16"/>
        <v>551.63168478355931</v>
      </c>
      <c r="H530">
        <f t="shared" si="17"/>
        <v>114.21916891022022</v>
      </c>
    </row>
    <row r="531" spans="6:8" x14ac:dyDescent="0.35">
      <c r="F531">
        <v>10.5600000000001</v>
      </c>
      <c r="G531">
        <f t="shared" si="16"/>
        <v>552.67842422337628</v>
      </c>
      <c r="H531">
        <f t="shared" si="17"/>
        <v>113.39671439813208</v>
      </c>
    </row>
    <row r="532" spans="6:8" x14ac:dyDescent="0.35">
      <c r="F532">
        <v>10.5800000000001</v>
      </c>
      <c r="G532">
        <f t="shared" si="16"/>
        <v>553.72516366319326</v>
      </c>
      <c r="H532">
        <f t="shared" si="17"/>
        <v>112.57033588604406</v>
      </c>
    </row>
    <row r="533" spans="6:8" x14ac:dyDescent="0.35">
      <c r="F533">
        <v>10.600000000000099</v>
      </c>
      <c r="G533">
        <f t="shared" si="16"/>
        <v>554.77190310301012</v>
      </c>
      <c r="H533">
        <f t="shared" si="17"/>
        <v>111.74003337395595</v>
      </c>
    </row>
    <row r="534" spans="6:8" x14ac:dyDescent="0.35">
      <c r="F534">
        <v>10.6200000000001</v>
      </c>
      <c r="G534">
        <f t="shared" si="16"/>
        <v>555.81864254282721</v>
      </c>
      <c r="H534">
        <f t="shared" si="17"/>
        <v>110.90580686186786</v>
      </c>
    </row>
    <row r="535" spans="6:8" x14ac:dyDescent="0.35">
      <c r="F535">
        <v>10.6400000000001</v>
      </c>
      <c r="G535">
        <f t="shared" si="16"/>
        <v>556.86538198264418</v>
      </c>
      <c r="H535">
        <f t="shared" si="17"/>
        <v>110.06765634977978</v>
      </c>
    </row>
    <row r="536" spans="6:8" x14ac:dyDescent="0.35">
      <c r="F536">
        <v>10.6600000000001</v>
      </c>
      <c r="G536">
        <f t="shared" si="16"/>
        <v>557.91212142246115</v>
      </c>
      <c r="H536">
        <f t="shared" si="17"/>
        <v>109.22558183769183</v>
      </c>
    </row>
    <row r="537" spans="6:8" x14ac:dyDescent="0.35">
      <c r="F537">
        <v>10.680000000000099</v>
      </c>
      <c r="G537">
        <f t="shared" si="16"/>
        <v>558.95886086227813</v>
      </c>
      <c r="H537">
        <f t="shared" si="17"/>
        <v>108.37958332560379</v>
      </c>
    </row>
    <row r="538" spans="6:8" x14ac:dyDescent="0.35">
      <c r="F538">
        <v>10.700000000000101</v>
      </c>
      <c r="G538">
        <f t="shared" si="16"/>
        <v>560.00560030209522</v>
      </c>
      <c r="H538">
        <f t="shared" si="17"/>
        <v>107.52966081351565</v>
      </c>
    </row>
    <row r="539" spans="6:8" x14ac:dyDescent="0.35">
      <c r="F539">
        <v>10.7200000000001</v>
      </c>
      <c r="G539">
        <f t="shared" si="16"/>
        <v>561.05233974191219</v>
      </c>
      <c r="H539">
        <f t="shared" si="17"/>
        <v>106.67581430142752</v>
      </c>
    </row>
    <row r="540" spans="6:8" x14ac:dyDescent="0.35">
      <c r="F540">
        <v>10.7400000000001</v>
      </c>
      <c r="G540">
        <f t="shared" si="16"/>
        <v>562.09907918172917</v>
      </c>
      <c r="H540">
        <f t="shared" si="17"/>
        <v>105.81804378933941</v>
      </c>
    </row>
    <row r="541" spans="6:8" x14ac:dyDescent="0.35">
      <c r="F541">
        <v>10.760000000000099</v>
      </c>
      <c r="G541">
        <f t="shared" si="16"/>
        <v>563.14581862154614</v>
      </c>
      <c r="H541">
        <f t="shared" si="17"/>
        <v>104.95634927725143</v>
      </c>
    </row>
    <row r="542" spans="6:8" x14ac:dyDescent="0.35">
      <c r="F542">
        <v>10.780000000000101</v>
      </c>
      <c r="G542">
        <f t="shared" si="16"/>
        <v>564.19255806136312</v>
      </c>
      <c r="H542">
        <f t="shared" si="17"/>
        <v>104.09073076516324</v>
      </c>
    </row>
    <row r="543" spans="6:8" x14ac:dyDescent="0.35">
      <c r="F543">
        <v>10.8000000000001</v>
      </c>
      <c r="G543">
        <f t="shared" si="16"/>
        <v>565.23929750118009</v>
      </c>
      <c r="H543">
        <f t="shared" si="17"/>
        <v>103.22118825307518</v>
      </c>
    </row>
    <row r="544" spans="6:8" x14ac:dyDescent="0.35">
      <c r="F544">
        <v>10.8200000000001</v>
      </c>
      <c r="G544">
        <f t="shared" si="16"/>
        <v>566.28603694099706</v>
      </c>
      <c r="H544">
        <f t="shared" si="17"/>
        <v>102.34772174098725</v>
      </c>
    </row>
    <row r="545" spans="6:8" x14ac:dyDescent="0.35">
      <c r="F545">
        <v>10.840000000000099</v>
      </c>
      <c r="G545">
        <f t="shared" si="16"/>
        <v>567.33277638081404</v>
      </c>
      <c r="H545">
        <f t="shared" si="17"/>
        <v>101.47033122889923</v>
      </c>
    </row>
    <row r="546" spans="6:8" x14ac:dyDescent="0.35">
      <c r="F546">
        <v>10.860000000000101</v>
      </c>
      <c r="G546">
        <f t="shared" si="16"/>
        <v>568.37951582063113</v>
      </c>
      <c r="H546">
        <f t="shared" si="17"/>
        <v>100.58901671681099</v>
      </c>
    </row>
    <row r="547" spans="6:8" x14ac:dyDescent="0.35">
      <c r="F547">
        <v>10.8800000000001</v>
      </c>
      <c r="G547">
        <f t="shared" si="16"/>
        <v>569.4262552604481</v>
      </c>
      <c r="H547">
        <f t="shared" si="17"/>
        <v>99.703778204722994</v>
      </c>
    </row>
    <row r="548" spans="6:8" x14ac:dyDescent="0.35">
      <c r="F548">
        <v>10.9000000000001</v>
      </c>
      <c r="G548">
        <f t="shared" si="16"/>
        <v>570.47299470026508</v>
      </c>
      <c r="H548">
        <f t="shared" si="17"/>
        <v>98.814615692634902</v>
      </c>
    </row>
    <row r="549" spans="6:8" x14ac:dyDescent="0.35">
      <c r="F549">
        <v>10.920000000000099</v>
      </c>
      <c r="G549">
        <f t="shared" si="16"/>
        <v>571.51973414008205</v>
      </c>
      <c r="H549">
        <f t="shared" si="17"/>
        <v>97.921529180546827</v>
      </c>
    </row>
    <row r="550" spans="6:8" x14ac:dyDescent="0.35">
      <c r="F550">
        <v>10.940000000000101</v>
      </c>
      <c r="G550">
        <f t="shared" si="16"/>
        <v>572.56647357989914</v>
      </c>
      <c r="H550">
        <f t="shared" si="17"/>
        <v>97.024518668458654</v>
      </c>
    </row>
    <row r="551" spans="6:8" x14ac:dyDescent="0.35">
      <c r="F551">
        <v>10.9600000000001</v>
      </c>
      <c r="G551">
        <f t="shared" si="16"/>
        <v>573.61321301971611</v>
      </c>
      <c r="H551">
        <f t="shared" si="17"/>
        <v>96.123584156370725</v>
      </c>
    </row>
    <row r="552" spans="6:8" x14ac:dyDescent="0.35">
      <c r="F552">
        <v>10.9800000000001</v>
      </c>
      <c r="G552">
        <f t="shared" si="16"/>
        <v>574.65995245953309</v>
      </c>
      <c r="H552">
        <f t="shared" si="17"/>
        <v>95.218725644282699</v>
      </c>
    </row>
    <row r="553" spans="6:8" x14ac:dyDescent="0.35">
      <c r="F553">
        <v>11.000000000000099</v>
      </c>
      <c r="G553">
        <f t="shared" si="16"/>
        <v>575.70669189934995</v>
      </c>
      <c r="H553">
        <f t="shared" si="17"/>
        <v>94.309943132194576</v>
      </c>
    </row>
    <row r="554" spans="6:8" x14ac:dyDescent="0.35">
      <c r="F554">
        <v>11.020000000000101</v>
      </c>
      <c r="G554">
        <f t="shared" si="16"/>
        <v>576.75343133916704</v>
      </c>
      <c r="H554">
        <f t="shared" si="17"/>
        <v>93.397236620106469</v>
      </c>
    </row>
    <row r="555" spans="6:8" x14ac:dyDescent="0.35">
      <c r="F555">
        <v>11.0400000000001</v>
      </c>
      <c r="G555">
        <f t="shared" si="16"/>
        <v>577.80017077898401</v>
      </c>
      <c r="H555">
        <f t="shared" si="17"/>
        <v>92.480606108018378</v>
      </c>
    </row>
    <row r="556" spans="6:8" x14ac:dyDescent="0.35">
      <c r="F556">
        <v>11.0600000000001</v>
      </c>
      <c r="G556">
        <f t="shared" si="16"/>
        <v>578.84691021880099</v>
      </c>
      <c r="H556">
        <f t="shared" si="17"/>
        <v>91.560051595930304</v>
      </c>
    </row>
    <row r="557" spans="6:8" x14ac:dyDescent="0.35">
      <c r="F557">
        <v>11.0800000000001</v>
      </c>
      <c r="G557">
        <f t="shared" si="16"/>
        <v>579.89364965861796</v>
      </c>
      <c r="H557">
        <f t="shared" si="17"/>
        <v>90.635573083842246</v>
      </c>
    </row>
    <row r="558" spans="6:8" x14ac:dyDescent="0.35">
      <c r="F558">
        <v>11.100000000000099</v>
      </c>
      <c r="G558">
        <f t="shared" si="16"/>
        <v>580.94038909843493</v>
      </c>
      <c r="H558">
        <f t="shared" si="17"/>
        <v>89.707170571754318</v>
      </c>
    </row>
    <row r="559" spans="6:8" x14ac:dyDescent="0.35">
      <c r="F559">
        <v>11.1200000000001</v>
      </c>
      <c r="G559">
        <f t="shared" si="16"/>
        <v>581.98712853825202</v>
      </c>
      <c r="H559">
        <f t="shared" si="17"/>
        <v>88.774844059666179</v>
      </c>
    </row>
    <row r="560" spans="6:8" x14ac:dyDescent="0.35">
      <c r="F560">
        <v>11.1400000000001</v>
      </c>
      <c r="G560">
        <f t="shared" si="16"/>
        <v>583.033867978069</v>
      </c>
      <c r="H560">
        <f t="shared" si="17"/>
        <v>87.838593547578057</v>
      </c>
    </row>
    <row r="561" spans="6:8" x14ac:dyDescent="0.35">
      <c r="F561">
        <v>11.1600000000001</v>
      </c>
      <c r="G561">
        <f t="shared" si="16"/>
        <v>584.08060741788597</v>
      </c>
      <c r="H561">
        <f t="shared" si="17"/>
        <v>86.898419035490065</v>
      </c>
    </row>
    <row r="562" spans="6:8" x14ac:dyDescent="0.35">
      <c r="F562">
        <v>11.180000000000099</v>
      </c>
      <c r="G562">
        <f t="shared" si="16"/>
        <v>585.12734685770295</v>
      </c>
      <c r="H562">
        <f t="shared" si="17"/>
        <v>85.954320523401975</v>
      </c>
    </row>
    <row r="563" spans="6:8" x14ac:dyDescent="0.35">
      <c r="F563">
        <v>11.200000000000101</v>
      </c>
      <c r="G563">
        <f t="shared" si="16"/>
        <v>586.17408629751992</v>
      </c>
      <c r="H563">
        <f t="shared" si="17"/>
        <v>85.006298011313788</v>
      </c>
    </row>
    <row r="564" spans="6:8" x14ac:dyDescent="0.35">
      <c r="F564">
        <v>11.2200000000001</v>
      </c>
      <c r="G564">
        <f t="shared" si="16"/>
        <v>587.2208257373369</v>
      </c>
      <c r="H564">
        <f t="shared" si="17"/>
        <v>84.054351499225731</v>
      </c>
    </row>
    <row r="565" spans="6:8" x14ac:dyDescent="0.35">
      <c r="F565">
        <v>11.2400000000001</v>
      </c>
      <c r="G565">
        <f t="shared" si="16"/>
        <v>588.26756517715387</v>
      </c>
      <c r="H565">
        <f t="shared" si="17"/>
        <v>83.098480987137691</v>
      </c>
    </row>
    <row r="566" spans="6:8" x14ac:dyDescent="0.35">
      <c r="F566">
        <v>11.260000000000099</v>
      </c>
      <c r="G566">
        <f t="shared" si="16"/>
        <v>589.31430461697084</v>
      </c>
      <c r="H566">
        <f t="shared" si="17"/>
        <v>82.138686475049781</v>
      </c>
    </row>
    <row r="567" spans="6:8" x14ac:dyDescent="0.35">
      <c r="F567">
        <v>11.280000000000101</v>
      </c>
      <c r="G567">
        <f t="shared" si="16"/>
        <v>590.36104405678793</v>
      </c>
      <c r="H567">
        <f t="shared" si="17"/>
        <v>81.174967962961546</v>
      </c>
    </row>
    <row r="568" spans="6:8" x14ac:dyDescent="0.35">
      <c r="F568">
        <v>11.3000000000001</v>
      </c>
      <c r="G568">
        <f t="shared" si="16"/>
        <v>591.40778349660491</v>
      </c>
      <c r="H568">
        <f t="shared" si="17"/>
        <v>80.207325450873554</v>
      </c>
    </row>
    <row r="569" spans="6:8" x14ac:dyDescent="0.35">
      <c r="F569">
        <v>11.3200000000001</v>
      </c>
      <c r="G569">
        <f t="shared" si="16"/>
        <v>592.45452293642188</v>
      </c>
      <c r="H569">
        <f t="shared" si="17"/>
        <v>79.235758938785466</v>
      </c>
    </row>
    <row r="570" spans="6:8" x14ac:dyDescent="0.35">
      <c r="F570">
        <v>11.340000000000099</v>
      </c>
      <c r="G570">
        <f t="shared" si="16"/>
        <v>593.50126237623886</v>
      </c>
      <c r="H570">
        <f t="shared" si="17"/>
        <v>78.26026842669728</v>
      </c>
    </row>
    <row r="571" spans="6:8" x14ac:dyDescent="0.35">
      <c r="F571">
        <v>11.360000000000101</v>
      </c>
      <c r="G571">
        <f t="shared" si="16"/>
        <v>594.54800181605594</v>
      </c>
      <c r="H571">
        <f t="shared" si="17"/>
        <v>77.280853914609224</v>
      </c>
    </row>
    <row r="572" spans="6:8" x14ac:dyDescent="0.35">
      <c r="F572">
        <v>11.3800000000001</v>
      </c>
      <c r="G572">
        <f t="shared" si="16"/>
        <v>595.59474125587292</v>
      </c>
      <c r="H572">
        <f t="shared" si="17"/>
        <v>76.297515402521185</v>
      </c>
    </row>
    <row r="573" spans="6:8" x14ac:dyDescent="0.35">
      <c r="F573">
        <v>11.4000000000001</v>
      </c>
      <c r="G573">
        <f t="shared" si="16"/>
        <v>596.64148069568978</v>
      </c>
      <c r="H573">
        <f t="shared" si="17"/>
        <v>75.310252890433162</v>
      </c>
    </row>
    <row r="574" spans="6:8" x14ac:dyDescent="0.35">
      <c r="F574">
        <v>11.420000000000099</v>
      </c>
      <c r="G574">
        <f t="shared" si="16"/>
        <v>597.68822013550675</v>
      </c>
      <c r="H574">
        <f t="shared" si="17"/>
        <v>74.319066378345042</v>
      </c>
    </row>
    <row r="575" spans="6:8" x14ac:dyDescent="0.35">
      <c r="F575">
        <v>11.440000000000101</v>
      </c>
      <c r="G575">
        <f t="shared" si="16"/>
        <v>598.73495957532384</v>
      </c>
      <c r="H575">
        <f t="shared" si="17"/>
        <v>73.323955866256938</v>
      </c>
    </row>
    <row r="576" spans="6:8" x14ac:dyDescent="0.35">
      <c r="F576">
        <v>11.4600000000001</v>
      </c>
      <c r="G576">
        <f t="shared" si="16"/>
        <v>599.78169901514082</v>
      </c>
      <c r="H576">
        <f t="shared" si="17"/>
        <v>72.32492135416885</v>
      </c>
    </row>
    <row r="577" spans="6:8" x14ac:dyDescent="0.35">
      <c r="F577">
        <v>11.4800000000001</v>
      </c>
      <c r="G577">
        <f t="shared" si="16"/>
        <v>600.82843845495779</v>
      </c>
      <c r="H577">
        <f t="shared" si="17"/>
        <v>71.321962842080779</v>
      </c>
    </row>
    <row r="578" spans="6:8" x14ac:dyDescent="0.35">
      <c r="F578">
        <v>11.500000000000099</v>
      </c>
      <c r="G578">
        <f t="shared" si="16"/>
        <v>601.87517789477477</v>
      </c>
      <c r="H578">
        <f t="shared" si="17"/>
        <v>70.315080329992838</v>
      </c>
    </row>
    <row r="579" spans="6:8" x14ac:dyDescent="0.35">
      <c r="F579">
        <v>11.520000000000101</v>
      </c>
      <c r="G579">
        <f t="shared" ref="G579:G642" si="18">$B$15*F579</f>
        <v>602.92191733459185</v>
      </c>
      <c r="H579">
        <f t="shared" ref="H579:H642" si="19">$B$13*F579-($B$8*F579^2)/2+$B$12</f>
        <v>69.304273817904686</v>
      </c>
    </row>
    <row r="580" spans="6:8" x14ac:dyDescent="0.35">
      <c r="F580">
        <v>11.5400000000001</v>
      </c>
      <c r="G580">
        <f t="shared" si="18"/>
        <v>603.96865677440883</v>
      </c>
      <c r="H580">
        <f t="shared" si="19"/>
        <v>68.289543305816665</v>
      </c>
    </row>
    <row r="581" spans="6:8" x14ac:dyDescent="0.35">
      <c r="F581">
        <v>11.5600000000001</v>
      </c>
      <c r="G581">
        <f t="shared" si="18"/>
        <v>605.0153962142258</v>
      </c>
      <c r="H581">
        <f t="shared" si="19"/>
        <v>67.270888793728659</v>
      </c>
    </row>
    <row r="582" spans="6:8" x14ac:dyDescent="0.35">
      <c r="F582">
        <v>11.5800000000001</v>
      </c>
      <c r="G582">
        <f t="shared" si="18"/>
        <v>606.06213565404278</v>
      </c>
      <c r="H582">
        <f t="shared" si="19"/>
        <v>66.248310281640556</v>
      </c>
    </row>
    <row r="583" spans="6:8" x14ac:dyDescent="0.35">
      <c r="F583">
        <v>11.600000000000099</v>
      </c>
      <c r="G583">
        <f t="shared" si="18"/>
        <v>607.10887509385975</v>
      </c>
      <c r="H583">
        <f t="shared" si="19"/>
        <v>65.22180776955247</v>
      </c>
    </row>
    <row r="584" spans="6:8" x14ac:dyDescent="0.35">
      <c r="F584">
        <v>11.6200000000001</v>
      </c>
      <c r="G584">
        <f t="shared" si="18"/>
        <v>608.15561453367673</v>
      </c>
      <c r="H584">
        <f t="shared" si="19"/>
        <v>64.191381257464286</v>
      </c>
    </row>
    <row r="585" spans="6:8" x14ac:dyDescent="0.35">
      <c r="F585">
        <v>11.6400000000001</v>
      </c>
      <c r="G585">
        <f t="shared" si="18"/>
        <v>609.2023539734937</v>
      </c>
      <c r="H585">
        <f t="shared" si="19"/>
        <v>63.157030745376339</v>
      </c>
    </row>
    <row r="586" spans="6:8" x14ac:dyDescent="0.35">
      <c r="F586">
        <v>11.6600000000001</v>
      </c>
      <c r="G586">
        <f t="shared" si="18"/>
        <v>610.24909341331067</v>
      </c>
      <c r="H586">
        <f t="shared" si="19"/>
        <v>62.118756233288188</v>
      </c>
    </row>
    <row r="587" spans="6:8" x14ac:dyDescent="0.35">
      <c r="F587">
        <v>11.680000000000099</v>
      </c>
      <c r="G587">
        <f t="shared" si="18"/>
        <v>611.29583285312765</v>
      </c>
      <c r="H587">
        <f t="shared" si="19"/>
        <v>61.076557721200167</v>
      </c>
    </row>
    <row r="588" spans="6:8" x14ac:dyDescent="0.35">
      <c r="F588">
        <v>11.700000000000101</v>
      </c>
      <c r="G588">
        <f t="shared" si="18"/>
        <v>612.34257229294474</v>
      </c>
      <c r="H588">
        <f t="shared" si="19"/>
        <v>60.030435209112163</v>
      </c>
    </row>
    <row r="589" spans="6:8" x14ac:dyDescent="0.35">
      <c r="F589">
        <v>11.7200000000001</v>
      </c>
      <c r="G589">
        <f t="shared" si="18"/>
        <v>613.38931173276171</v>
      </c>
      <c r="H589">
        <f t="shared" si="19"/>
        <v>58.980388697024061</v>
      </c>
    </row>
    <row r="590" spans="6:8" x14ac:dyDescent="0.35">
      <c r="F590">
        <v>11.7400000000001</v>
      </c>
      <c r="G590">
        <f t="shared" si="18"/>
        <v>614.43605117257869</v>
      </c>
      <c r="H590">
        <f t="shared" si="19"/>
        <v>57.926418184935976</v>
      </c>
    </row>
    <row r="591" spans="6:8" x14ac:dyDescent="0.35">
      <c r="F591">
        <v>11.760000000000099</v>
      </c>
      <c r="G591">
        <f t="shared" si="18"/>
        <v>615.48279061239566</v>
      </c>
      <c r="H591">
        <f t="shared" si="19"/>
        <v>56.868523672847907</v>
      </c>
    </row>
    <row r="592" spans="6:8" x14ac:dyDescent="0.35">
      <c r="F592">
        <v>11.780000000000101</v>
      </c>
      <c r="G592">
        <f t="shared" si="18"/>
        <v>616.52953005221275</v>
      </c>
      <c r="H592">
        <f t="shared" si="19"/>
        <v>55.806705160759741</v>
      </c>
    </row>
    <row r="593" spans="6:8" x14ac:dyDescent="0.35">
      <c r="F593">
        <v>11.8000000000001</v>
      </c>
      <c r="G593">
        <f t="shared" si="18"/>
        <v>617.57626949202961</v>
      </c>
      <c r="H593">
        <f t="shared" si="19"/>
        <v>54.740962648671704</v>
      </c>
    </row>
    <row r="594" spans="6:8" x14ac:dyDescent="0.35">
      <c r="F594">
        <v>11.8200000000001</v>
      </c>
      <c r="G594">
        <f t="shared" si="18"/>
        <v>618.62300893184658</v>
      </c>
      <c r="H594">
        <f t="shared" si="19"/>
        <v>53.671296136583685</v>
      </c>
    </row>
    <row r="595" spans="6:8" x14ac:dyDescent="0.35">
      <c r="F595">
        <v>11.840000000000099</v>
      </c>
      <c r="G595">
        <f t="shared" si="18"/>
        <v>619.66974837166356</v>
      </c>
      <c r="H595">
        <f t="shared" si="19"/>
        <v>52.597705624495568</v>
      </c>
    </row>
    <row r="596" spans="6:8" x14ac:dyDescent="0.35">
      <c r="F596">
        <v>11.860000000000101</v>
      </c>
      <c r="G596">
        <f t="shared" si="18"/>
        <v>620.71648781148065</v>
      </c>
      <c r="H596">
        <f t="shared" si="19"/>
        <v>51.520191112407467</v>
      </c>
    </row>
    <row r="597" spans="6:8" x14ac:dyDescent="0.35">
      <c r="F597">
        <v>11.8800000000001</v>
      </c>
      <c r="G597">
        <f t="shared" si="18"/>
        <v>621.76322725129762</v>
      </c>
      <c r="H597">
        <f t="shared" si="19"/>
        <v>50.438752600319496</v>
      </c>
    </row>
    <row r="598" spans="6:8" x14ac:dyDescent="0.35">
      <c r="F598">
        <v>11.9000000000001</v>
      </c>
      <c r="G598">
        <f t="shared" si="18"/>
        <v>622.8099666911146</v>
      </c>
      <c r="H598">
        <f t="shared" si="19"/>
        <v>49.353390088231428</v>
      </c>
    </row>
    <row r="599" spans="6:8" x14ac:dyDescent="0.35">
      <c r="F599">
        <v>11.920000000000099</v>
      </c>
      <c r="G599">
        <f t="shared" si="18"/>
        <v>623.85670613093157</v>
      </c>
      <c r="H599">
        <f t="shared" si="19"/>
        <v>48.264103576143377</v>
      </c>
    </row>
    <row r="600" spans="6:8" x14ac:dyDescent="0.35">
      <c r="F600">
        <v>11.940000000000101</v>
      </c>
      <c r="G600">
        <f t="shared" si="18"/>
        <v>624.90344557074866</v>
      </c>
      <c r="H600">
        <f t="shared" si="19"/>
        <v>47.170893064055228</v>
      </c>
    </row>
    <row r="601" spans="6:8" x14ac:dyDescent="0.35">
      <c r="F601">
        <v>11.9600000000001</v>
      </c>
      <c r="G601">
        <f t="shared" si="18"/>
        <v>625.95018501056563</v>
      </c>
      <c r="H601">
        <f t="shared" si="19"/>
        <v>46.073758551967096</v>
      </c>
    </row>
    <row r="602" spans="6:8" x14ac:dyDescent="0.35">
      <c r="F602">
        <v>11.9800000000001</v>
      </c>
      <c r="G602">
        <f t="shared" si="18"/>
        <v>626.99692445038261</v>
      </c>
      <c r="H602">
        <f t="shared" si="19"/>
        <v>44.972700039879093</v>
      </c>
    </row>
    <row r="603" spans="6:8" x14ac:dyDescent="0.35">
      <c r="F603">
        <v>12.000000000000099</v>
      </c>
      <c r="G603">
        <f t="shared" si="18"/>
        <v>628.04366389019958</v>
      </c>
      <c r="H603">
        <f t="shared" si="19"/>
        <v>43.867717527791108</v>
      </c>
    </row>
    <row r="604" spans="6:8" x14ac:dyDescent="0.35">
      <c r="F604">
        <v>12.020000000000101</v>
      </c>
      <c r="G604">
        <f t="shared" si="18"/>
        <v>629.09040333001656</v>
      </c>
      <c r="H604">
        <f t="shared" si="19"/>
        <v>42.758811015703024</v>
      </c>
    </row>
    <row r="605" spans="6:8" x14ac:dyDescent="0.35">
      <c r="F605">
        <v>12.0400000000001</v>
      </c>
      <c r="G605">
        <f t="shared" si="18"/>
        <v>630.13714276983353</v>
      </c>
      <c r="H605">
        <f t="shared" si="19"/>
        <v>41.645980503614844</v>
      </c>
    </row>
    <row r="606" spans="6:8" x14ac:dyDescent="0.35">
      <c r="F606">
        <v>12.0600000000001</v>
      </c>
      <c r="G606">
        <f t="shared" si="18"/>
        <v>631.18388220965051</v>
      </c>
      <c r="H606">
        <f t="shared" si="19"/>
        <v>40.529225991526793</v>
      </c>
    </row>
    <row r="607" spans="6:8" x14ac:dyDescent="0.35">
      <c r="F607">
        <v>12.0800000000001</v>
      </c>
      <c r="G607">
        <f t="shared" si="18"/>
        <v>632.23062164946748</v>
      </c>
      <c r="H607">
        <f t="shared" si="19"/>
        <v>39.408547479438759</v>
      </c>
    </row>
    <row r="608" spans="6:8" x14ac:dyDescent="0.35">
      <c r="F608">
        <v>12.100000000000099</v>
      </c>
      <c r="G608">
        <f t="shared" si="18"/>
        <v>633.27736108928445</v>
      </c>
      <c r="H608">
        <f t="shared" si="19"/>
        <v>38.283944967350628</v>
      </c>
    </row>
    <row r="609" spans="6:8" x14ac:dyDescent="0.35">
      <c r="F609">
        <v>12.1200000000001</v>
      </c>
      <c r="G609">
        <f t="shared" si="18"/>
        <v>634.32410052910154</v>
      </c>
      <c r="H609">
        <f t="shared" si="19"/>
        <v>37.155418455262513</v>
      </c>
    </row>
    <row r="610" spans="6:8" x14ac:dyDescent="0.35">
      <c r="F610">
        <v>12.1400000000001</v>
      </c>
      <c r="G610">
        <f t="shared" si="18"/>
        <v>635.37083996891852</v>
      </c>
      <c r="H610">
        <f t="shared" si="19"/>
        <v>36.022967943174642</v>
      </c>
    </row>
    <row r="611" spans="6:8" x14ac:dyDescent="0.35">
      <c r="F611">
        <v>12.1600000000001</v>
      </c>
      <c r="G611">
        <f t="shared" si="18"/>
        <v>636.41757940873549</v>
      </c>
      <c r="H611">
        <f t="shared" si="19"/>
        <v>34.88659343108656</v>
      </c>
    </row>
    <row r="612" spans="6:8" x14ac:dyDescent="0.35">
      <c r="F612">
        <v>12.180000000000099</v>
      </c>
      <c r="G612">
        <f t="shared" si="18"/>
        <v>637.46431884855247</v>
      </c>
      <c r="H612">
        <f t="shared" si="19"/>
        <v>33.746294918998494</v>
      </c>
    </row>
    <row r="613" spans="6:8" x14ac:dyDescent="0.35">
      <c r="F613">
        <v>12.200000000000101</v>
      </c>
      <c r="G613">
        <f t="shared" si="18"/>
        <v>638.51105828836944</v>
      </c>
      <c r="H613">
        <f t="shared" si="19"/>
        <v>32.602072406910331</v>
      </c>
    </row>
    <row r="614" spans="6:8" x14ac:dyDescent="0.35">
      <c r="F614">
        <v>12.2200000000001</v>
      </c>
      <c r="G614">
        <f t="shared" si="18"/>
        <v>639.55779772818642</v>
      </c>
      <c r="H614">
        <f t="shared" si="19"/>
        <v>31.453925894822184</v>
      </c>
    </row>
    <row r="615" spans="6:8" x14ac:dyDescent="0.35">
      <c r="F615">
        <v>12.2400000000001</v>
      </c>
      <c r="G615">
        <f t="shared" si="18"/>
        <v>640.60453716800339</v>
      </c>
      <c r="H615">
        <f t="shared" si="19"/>
        <v>30.301855382734168</v>
      </c>
    </row>
    <row r="616" spans="6:8" x14ac:dyDescent="0.35">
      <c r="F616">
        <v>12.260000000000099</v>
      </c>
      <c r="G616">
        <f t="shared" si="18"/>
        <v>641.65127660782036</v>
      </c>
      <c r="H616">
        <f t="shared" si="19"/>
        <v>29.145860870646167</v>
      </c>
    </row>
    <row r="617" spans="6:8" x14ac:dyDescent="0.35">
      <c r="F617">
        <v>12.280000000000101</v>
      </c>
      <c r="G617">
        <f t="shared" si="18"/>
        <v>642.69801604763745</v>
      </c>
      <c r="H617">
        <f t="shared" si="19"/>
        <v>27.98594235855807</v>
      </c>
    </row>
    <row r="618" spans="6:8" x14ac:dyDescent="0.35">
      <c r="F618">
        <v>12.3000000000001</v>
      </c>
      <c r="G618">
        <f t="shared" si="18"/>
        <v>643.74475548745443</v>
      </c>
      <c r="H618">
        <f t="shared" si="19"/>
        <v>26.822099846469989</v>
      </c>
    </row>
    <row r="619" spans="6:8" x14ac:dyDescent="0.35">
      <c r="F619">
        <v>12.3200000000001</v>
      </c>
      <c r="G619">
        <f t="shared" si="18"/>
        <v>644.7914949272714</v>
      </c>
      <c r="H619">
        <f t="shared" si="19"/>
        <v>25.654333334381924</v>
      </c>
    </row>
    <row r="620" spans="6:8" x14ac:dyDescent="0.35">
      <c r="F620">
        <v>12.340000000000099</v>
      </c>
      <c r="G620">
        <f t="shared" si="18"/>
        <v>645.83823436708838</v>
      </c>
      <c r="H620">
        <f t="shared" si="19"/>
        <v>24.48264282229399</v>
      </c>
    </row>
    <row r="621" spans="6:8" x14ac:dyDescent="0.35">
      <c r="F621">
        <v>12.360000000000101</v>
      </c>
      <c r="G621">
        <f t="shared" si="18"/>
        <v>646.88497380690546</v>
      </c>
      <c r="H621">
        <f t="shared" si="19"/>
        <v>23.30702831020573</v>
      </c>
    </row>
    <row r="622" spans="6:8" x14ac:dyDescent="0.35">
      <c r="F622">
        <v>12.3800000000001</v>
      </c>
      <c r="G622">
        <f t="shared" si="18"/>
        <v>647.93171324672244</v>
      </c>
      <c r="H622">
        <f t="shared" si="19"/>
        <v>22.127489798117601</v>
      </c>
    </row>
    <row r="623" spans="6:8" x14ac:dyDescent="0.35">
      <c r="F623">
        <v>12.4000000000001</v>
      </c>
      <c r="G623">
        <f t="shared" si="18"/>
        <v>648.97845268653941</v>
      </c>
      <c r="H623">
        <f t="shared" si="19"/>
        <v>20.944027286029716</v>
      </c>
    </row>
    <row r="624" spans="6:8" x14ac:dyDescent="0.35">
      <c r="F624">
        <v>12.420000000000099</v>
      </c>
      <c r="G624">
        <f t="shared" si="18"/>
        <v>650.02519212635627</v>
      </c>
      <c r="H624">
        <f t="shared" si="19"/>
        <v>19.756640773941619</v>
      </c>
    </row>
    <row r="625" spans="6:8" x14ac:dyDescent="0.35">
      <c r="F625">
        <v>12.440000000000101</v>
      </c>
      <c r="G625">
        <f t="shared" si="18"/>
        <v>651.07193156617336</v>
      </c>
      <c r="H625">
        <f t="shared" si="19"/>
        <v>18.565330261853539</v>
      </c>
    </row>
    <row r="626" spans="6:8" x14ac:dyDescent="0.35">
      <c r="F626">
        <v>12.4600000000001</v>
      </c>
      <c r="G626">
        <f t="shared" si="18"/>
        <v>652.11867100599034</v>
      </c>
      <c r="H626">
        <f t="shared" si="19"/>
        <v>17.370095749765476</v>
      </c>
    </row>
    <row r="627" spans="6:8" x14ac:dyDescent="0.35">
      <c r="F627">
        <v>12.4800000000001</v>
      </c>
      <c r="G627">
        <f t="shared" si="18"/>
        <v>653.16541044580731</v>
      </c>
      <c r="H627">
        <f t="shared" si="19"/>
        <v>16.170937237677428</v>
      </c>
    </row>
    <row r="628" spans="6:8" x14ac:dyDescent="0.35">
      <c r="F628">
        <v>12.500000000000099</v>
      </c>
      <c r="G628">
        <f t="shared" si="18"/>
        <v>654.21214988562429</v>
      </c>
      <c r="H628">
        <f t="shared" si="19"/>
        <v>14.967854725589284</v>
      </c>
    </row>
    <row r="629" spans="6:8" x14ac:dyDescent="0.35">
      <c r="F629">
        <v>12.520000000000101</v>
      </c>
      <c r="G629">
        <f t="shared" si="18"/>
        <v>655.25888932544137</v>
      </c>
      <c r="H629">
        <f t="shared" si="19"/>
        <v>13.760848213501156</v>
      </c>
    </row>
    <row r="630" spans="6:8" x14ac:dyDescent="0.35">
      <c r="F630">
        <v>12.5400000000001</v>
      </c>
      <c r="G630">
        <f t="shared" si="18"/>
        <v>656.30562876525835</v>
      </c>
      <c r="H630">
        <f t="shared" si="19"/>
        <v>12.549917701413044</v>
      </c>
    </row>
    <row r="631" spans="6:8" x14ac:dyDescent="0.35">
      <c r="F631">
        <v>12.5600000000001</v>
      </c>
      <c r="G631">
        <f t="shared" si="18"/>
        <v>657.35236820507532</v>
      </c>
      <c r="H631">
        <f t="shared" si="19"/>
        <v>11.335063189325062</v>
      </c>
    </row>
    <row r="632" spans="6:8" x14ac:dyDescent="0.35">
      <c r="F632">
        <v>12.580000000000201</v>
      </c>
      <c r="G632">
        <f t="shared" si="18"/>
        <v>658.39910764489753</v>
      </c>
      <c r="H632">
        <f t="shared" si="19"/>
        <v>10.116284677230844</v>
      </c>
    </row>
    <row r="633" spans="6:8" x14ac:dyDescent="0.35">
      <c r="F633">
        <v>12.6000000000002</v>
      </c>
      <c r="G633">
        <f t="shared" si="18"/>
        <v>659.4458470847145</v>
      </c>
      <c r="H633">
        <f t="shared" si="19"/>
        <v>8.8935821651427815</v>
      </c>
    </row>
    <row r="634" spans="6:8" x14ac:dyDescent="0.35">
      <c r="F634">
        <v>12.6200000000002</v>
      </c>
      <c r="G634">
        <f t="shared" si="18"/>
        <v>660.49258652453148</v>
      </c>
      <c r="H634">
        <f t="shared" si="19"/>
        <v>7.6669556530546226</v>
      </c>
    </row>
    <row r="635" spans="6:8" x14ac:dyDescent="0.35">
      <c r="F635">
        <v>12.6400000000001</v>
      </c>
      <c r="G635">
        <f t="shared" si="18"/>
        <v>661.53932596434322</v>
      </c>
      <c r="H635">
        <f t="shared" si="19"/>
        <v>6.4364051409728456</v>
      </c>
    </row>
    <row r="636" spans="6:8" x14ac:dyDescent="0.35">
      <c r="F636">
        <v>12.6600000000001</v>
      </c>
      <c r="G636">
        <f t="shared" si="18"/>
        <v>662.58606540416019</v>
      </c>
      <c r="H636">
        <f t="shared" si="19"/>
        <v>5.2019306288847185</v>
      </c>
    </row>
    <row r="637" spans="6:8" x14ac:dyDescent="0.35">
      <c r="F637">
        <v>12.680000000000099</v>
      </c>
      <c r="G637">
        <f t="shared" si="18"/>
        <v>663.63280484397717</v>
      </c>
      <c r="H637">
        <f t="shared" si="19"/>
        <v>3.9635321167966078</v>
      </c>
    </row>
    <row r="638" spans="6:8" x14ac:dyDescent="0.35">
      <c r="F638">
        <v>12.700000000000101</v>
      </c>
      <c r="G638">
        <f t="shared" si="18"/>
        <v>664.67954428379426</v>
      </c>
      <c r="H638">
        <f t="shared" si="19"/>
        <v>2.7212096047085135</v>
      </c>
    </row>
    <row r="639" spans="6:8" x14ac:dyDescent="0.35">
      <c r="F639">
        <v>12.7200000000001</v>
      </c>
      <c r="G639">
        <f t="shared" si="18"/>
        <v>665.72628372361123</v>
      </c>
      <c r="H639">
        <f t="shared" si="19"/>
        <v>1.4749630926204356</v>
      </c>
    </row>
    <row r="640" spans="6:8" x14ac:dyDescent="0.35">
      <c r="F640">
        <v>12.7400000000001</v>
      </c>
      <c r="G640">
        <f t="shared" si="18"/>
        <v>666.77302316342821</v>
      </c>
      <c r="H640">
        <f t="shared" si="19"/>
        <v>0.22479258053248774</v>
      </c>
    </row>
    <row r="641" spans="6:8" x14ac:dyDescent="0.35">
      <c r="F641">
        <v>12.760000000000201</v>
      </c>
      <c r="G641">
        <f t="shared" si="18"/>
        <v>667.81976260325041</v>
      </c>
      <c r="H641">
        <f t="shared" si="19"/>
        <v>-1.0293019315619238</v>
      </c>
    </row>
    <row r="642" spans="6:8" x14ac:dyDescent="0.35">
      <c r="F642">
        <v>12.7800000000002</v>
      </c>
      <c r="G642">
        <f t="shared" si="18"/>
        <v>668.86650204306738</v>
      </c>
      <c r="H642">
        <f t="shared" si="19"/>
        <v>-2.2873204436499526</v>
      </c>
    </row>
    <row r="643" spans="6:8" x14ac:dyDescent="0.35">
      <c r="F643">
        <v>12.8000000000001</v>
      </c>
      <c r="G643">
        <f t="shared" ref="G643:G706" si="20">$B$15*F643</f>
        <v>669.91324148287924</v>
      </c>
      <c r="H643">
        <f t="shared" ref="H643:H706" si="21">$B$13*F643-($B$8*F643^2)/2+$B$12</f>
        <v>-3.5492629557317121</v>
      </c>
    </row>
    <row r="644" spans="6:8" x14ac:dyDescent="0.35">
      <c r="F644">
        <v>12.8200000000001</v>
      </c>
      <c r="G644">
        <f t="shared" si="20"/>
        <v>670.9599809226961</v>
      </c>
      <c r="H644">
        <f t="shared" si="21"/>
        <v>-4.8151294678198218</v>
      </c>
    </row>
    <row r="645" spans="6:8" x14ac:dyDescent="0.35">
      <c r="F645">
        <v>12.840000000000099</v>
      </c>
      <c r="G645">
        <f t="shared" si="20"/>
        <v>672.00672036251308</v>
      </c>
      <c r="H645">
        <f t="shared" si="21"/>
        <v>-6.084919979907915</v>
      </c>
    </row>
    <row r="646" spans="6:8" x14ac:dyDescent="0.35">
      <c r="F646">
        <v>12.860000000000101</v>
      </c>
      <c r="G646">
        <f t="shared" si="20"/>
        <v>673.05345980233017</v>
      </c>
      <c r="H646">
        <f t="shared" si="21"/>
        <v>-7.3586344919961055</v>
      </c>
    </row>
    <row r="647" spans="6:8" x14ac:dyDescent="0.35">
      <c r="F647">
        <v>12.8800000000001</v>
      </c>
      <c r="G647">
        <f t="shared" si="20"/>
        <v>674.10019924214714</v>
      </c>
      <c r="H647">
        <f t="shared" si="21"/>
        <v>-8.6362730040839395</v>
      </c>
    </row>
    <row r="648" spans="6:8" x14ac:dyDescent="0.35">
      <c r="F648">
        <v>12.9000000000001</v>
      </c>
      <c r="G648">
        <f t="shared" si="20"/>
        <v>675.14693868196412</v>
      </c>
      <c r="H648">
        <f t="shared" si="21"/>
        <v>-9.9178355161720972</v>
      </c>
    </row>
    <row r="649" spans="6:8" x14ac:dyDescent="0.35">
      <c r="F649">
        <v>12.920000000000201</v>
      </c>
      <c r="G649">
        <f t="shared" si="20"/>
        <v>676.19367812178643</v>
      </c>
      <c r="H649">
        <f t="shared" si="21"/>
        <v>-11.203322028266605</v>
      </c>
    </row>
    <row r="650" spans="6:8" x14ac:dyDescent="0.35">
      <c r="F650">
        <v>12.9400000000002</v>
      </c>
      <c r="G650">
        <f t="shared" si="20"/>
        <v>677.24041756160341</v>
      </c>
      <c r="H650">
        <f t="shared" si="21"/>
        <v>-12.49273254035473</v>
      </c>
    </row>
    <row r="651" spans="6:8" x14ac:dyDescent="0.35">
      <c r="F651">
        <v>12.9600000000002</v>
      </c>
      <c r="G651">
        <f t="shared" si="20"/>
        <v>678.28715700142038</v>
      </c>
      <c r="H651">
        <f t="shared" si="21"/>
        <v>-13.786067052442725</v>
      </c>
    </row>
    <row r="652" spans="6:8" x14ac:dyDescent="0.35">
      <c r="F652">
        <v>12.9800000000001</v>
      </c>
      <c r="G652">
        <f t="shared" si="20"/>
        <v>679.33389644123213</v>
      </c>
      <c r="H652">
        <f t="shared" si="21"/>
        <v>-15.083325564524337</v>
      </c>
    </row>
    <row r="653" spans="6:8" x14ac:dyDescent="0.35">
      <c r="F653">
        <v>13.000000000000099</v>
      </c>
      <c r="G653">
        <f t="shared" si="20"/>
        <v>680.3806358810491</v>
      </c>
      <c r="H653">
        <f t="shared" si="21"/>
        <v>-16.384508076612526</v>
      </c>
    </row>
    <row r="654" spans="6:8" x14ac:dyDescent="0.35">
      <c r="F654">
        <v>13.0200000000002</v>
      </c>
      <c r="G654">
        <f t="shared" si="20"/>
        <v>681.42737532087131</v>
      </c>
      <c r="H654">
        <f t="shared" si="21"/>
        <v>-17.68961458870718</v>
      </c>
    </row>
    <row r="655" spans="6:8" x14ac:dyDescent="0.35">
      <c r="F655">
        <v>13.0400000000002</v>
      </c>
      <c r="G655">
        <f t="shared" si="20"/>
        <v>682.47411476068828</v>
      </c>
      <c r="H655">
        <f t="shared" si="21"/>
        <v>-18.998645100795223</v>
      </c>
    </row>
    <row r="656" spans="6:8" x14ac:dyDescent="0.35">
      <c r="F656">
        <v>13.060000000000199</v>
      </c>
      <c r="G656">
        <f t="shared" si="20"/>
        <v>683.52085420050525</v>
      </c>
      <c r="H656">
        <f t="shared" si="21"/>
        <v>-20.311599612883249</v>
      </c>
    </row>
    <row r="657" spans="6:8" x14ac:dyDescent="0.35">
      <c r="F657">
        <v>13.080000000000201</v>
      </c>
      <c r="G657">
        <f t="shared" si="20"/>
        <v>684.56759364032234</v>
      </c>
      <c r="H657">
        <f t="shared" si="21"/>
        <v>-21.628478124971487</v>
      </c>
    </row>
    <row r="658" spans="6:8" x14ac:dyDescent="0.35">
      <c r="F658">
        <v>13.1000000000002</v>
      </c>
      <c r="G658">
        <f t="shared" si="20"/>
        <v>685.61433308013932</v>
      </c>
      <c r="H658">
        <f t="shared" si="21"/>
        <v>-22.949280637059367</v>
      </c>
    </row>
    <row r="659" spans="6:8" x14ac:dyDescent="0.35">
      <c r="F659">
        <v>13.1200000000002</v>
      </c>
      <c r="G659">
        <f t="shared" si="20"/>
        <v>686.66107251995629</v>
      </c>
      <c r="H659">
        <f t="shared" si="21"/>
        <v>-24.274007149147572</v>
      </c>
    </row>
    <row r="660" spans="6:8" x14ac:dyDescent="0.35">
      <c r="F660">
        <v>13.1400000000002</v>
      </c>
      <c r="G660">
        <f t="shared" si="20"/>
        <v>687.70781195977327</v>
      </c>
      <c r="H660">
        <f t="shared" si="21"/>
        <v>-25.602657661235533</v>
      </c>
    </row>
    <row r="661" spans="6:8" x14ac:dyDescent="0.35">
      <c r="F661">
        <v>13.160000000000201</v>
      </c>
      <c r="G661">
        <f t="shared" si="20"/>
        <v>688.75455139959024</v>
      </c>
      <c r="H661">
        <f t="shared" si="21"/>
        <v>-26.935232173323705</v>
      </c>
    </row>
    <row r="662" spans="6:8" x14ac:dyDescent="0.35">
      <c r="F662">
        <v>13.1800000000002</v>
      </c>
      <c r="G662">
        <f t="shared" si="20"/>
        <v>689.80129083940722</v>
      </c>
      <c r="H662">
        <f t="shared" si="21"/>
        <v>-28.27173068541186</v>
      </c>
    </row>
    <row r="663" spans="6:8" x14ac:dyDescent="0.35">
      <c r="F663">
        <v>13.2000000000002</v>
      </c>
      <c r="G663">
        <f t="shared" si="20"/>
        <v>690.84803027922419</v>
      </c>
      <c r="H663">
        <f t="shared" si="21"/>
        <v>-29.612153197499886</v>
      </c>
    </row>
    <row r="664" spans="6:8" x14ac:dyDescent="0.35">
      <c r="F664">
        <v>13.2200000000002</v>
      </c>
      <c r="G664">
        <f t="shared" si="20"/>
        <v>691.89476971904116</v>
      </c>
      <c r="H664">
        <f t="shared" si="21"/>
        <v>-30.956499709588009</v>
      </c>
    </row>
    <row r="665" spans="6:8" x14ac:dyDescent="0.35">
      <c r="F665">
        <v>13.240000000000199</v>
      </c>
      <c r="G665">
        <f t="shared" si="20"/>
        <v>692.94150915885814</v>
      </c>
      <c r="H665">
        <f t="shared" si="21"/>
        <v>-32.304770221676002</v>
      </c>
    </row>
    <row r="666" spans="6:8" x14ac:dyDescent="0.35">
      <c r="F666">
        <v>13.260000000000201</v>
      </c>
      <c r="G666">
        <f t="shared" si="20"/>
        <v>693.98824859867523</v>
      </c>
      <c r="H666">
        <f t="shared" si="21"/>
        <v>-33.656964733764092</v>
      </c>
    </row>
    <row r="667" spans="6:8" x14ac:dyDescent="0.35">
      <c r="F667">
        <v>13.2800000000002</v>
      </c>
      <c r="G667">
        <f t="shared" si="20"/>
        <v>695.0349880384922</v>
      </c>
      <c r="H667">
        <f t="shared" si="21"/>
        <v>-35.013083245852165</v>
      </c>
    </row>
    <row r="668" spans="6:8" x14ac:dyDescent="0.35">
      <c r="F668">
        <v>13.3000000000002</v>
      </c>
      <c r="G668">
        <f t="shared" si="20"/>
        <v>696.08172747830918</v>
      </c>
      <c r="H668">
        <f t="shared" si="21"/>
        <v>-36.373125757940223</v>
      </c>
    </row>
    <row r="669" spans="6:8" x14ac:dyDescent="0.35">
      <c r="F669">
        <v>13.320000000000199</v>
      </c>
      <c r="G669">
        <f t="shared" si="20"/>
        <v>697.12846691812615</v>
      </c>
      <c r="H669">
        <f t="shared" si="21"/>
        <v>-37.737092270028377</v>
      </c>
    </row>
    <row r="670" spans="6:8" x14ac:dyDescent="0.35">
      <c r="F670">
        <v>13.340000000000201</v>
      </c>
      <c r="G670">
        <f t="shared" si="20"/>
        <v>698.17520635794324</v>
      </c>
      <c r="H670">
        <f t="shared" si="21"/>
        <v>-39.104982782116515</v>
      </c>
    </row>
    <row r="671" spans="6:8" x14ac:dyDescent="0.35">
      <c r="F671">
        <v>13.3600000000002</v>
      </c>
      <c r="G671">
        <f t="shared" si="20"/>
        <v>699.22194579776021</v>
      </c>
      <c r="H671">
        <f t="shared" si="21"/>
        <v>-40.476797294204637</v>
      </c>
    </row>
    <row r="672" spans="6:8" x14ac:dyDescent="0.35">
      <c r="F672">
        <v>13.3800000000002</v>
      </c>
      <c r="G672">
        <f t="shared" si="20"/>
        <v>700.26868523757707</v>
      </c>
      <c r="H672">
        <f t="shared" si="21"/>
        <v>-41.852535806292742</v>
      </c>
    </row>
    <row r="673" spans="6:8" x14ac:dyDescent="0.35">
      <c r="F673">
        <v>13.400000000000199</v>
      </c>
      <c r="G673">
        <f t="shared" si="20"/>
        <v>701.31542467739405</v>
      </c>
      <c r="H673">
        <f t="shared" si="21"/>
        <v>-43.232198318380718</v>
      </c>
    </row>
    <row r="674" spans="6:8" x14ac:dyDescent="0.35">
      <c r="F674">
        <v>13.420000000000201</v>
      </c>
      <c r="G674">
        <f t="shared" si="20"/>
        <v>702.36216411721114</v>
      </c>
      <c r="H674">
        <f t="shared" si="21"/>
        <v>-44.615784830468904</v>
      </c>
    </row>
    <row r="675" spans="6:8" x14ac:dyDescent="0.35">
      <c r="F675">
        <v>13.4400000000002</v>
      </c>
      <c r="G675">
        <f t="shared" si="20"/>
        <v>703.40890355702811</v>
      </c>
      <c r="H675">
        <f t="shared" si="21"/>
        <v>-46.00329534255696</v>
      </c>
    </row>
    <row r="676" spans="6:8" x14ac:dyDescent="0.35">
      <c r="F676">
        <v>13.4600000000002</v>
      </c>
      <c r="G676">
        <f t="shared" si="20"/>
        <v>704.45564299684509</v>
      </c>
      <c r="H676">
        <f t="shared" si="21"/>
        <v>-47.394729854645114</v>
      </c>
    </row>
    <row r="677" spans="6:8" x14ac:dyDescent="0.35">
      <c r="F677">
        <v>13.480000000000199</v>
      </c>
      <c r="G677">
        <f t="shared" si="20"/>
        <v>705.50238243666206</v>
      </c>
      <c r="H677">
        <f t="shared" si="21"/>
        <v>-48.790088366733023</v>
      </c>
    </row>
    <row r="678" spans="6:8" x14ac:dyDescent="0.35">
      <c r="F678">
        <v>13.500000000000201</v>
      </c>
      <c r="G678">
        <f t="shared" si="20"/>
        <v>706.54912187647915</v>
      </c>
      <c r="H678">
        <f t="shared" si="21"/>
        <v>-50.189370878821371</v>
      </c>
    </row>
    <row r="679" spans="6:8" x14ac:dyDescent="0.35">
      <c r="F679">
        <v>13.5200000000002</v>
      </c>
      <c r="G679">
        <f t="shared" si="20"/>
        <v>707.59586131629612</v>
      </c>
      <c r="H679">
        <f t="shared" si="21"/>
        <v>-51.592577390909362</v>
      </c>
    </row>
    <row r="680" spans="6:8" x14ac:dyDescent="0.35">
      <c r="F680">
        <v>13.5400000000002</v>
      </c>
      <c r="G680">
        <f t="shared" si="20"/>
        <v>708.6426007561131</v>
      </c>
      <c r="H680">
        <f t="shared" si="21"/>
        <v>-52.999707902997336</v>
      </c>
    </row>
    <row r="681" spans="6:8" x14ac:dyDescent="0.35">
      <c r="F681">
        <v>13.560000000000199</v>
      </c>
      <c r="G681">
        <f t="shared" si="20"/>
        <v>709.68934019593007</v>
      </c>
      <c r="H681">
        <f t="shared" si="21"/>
        <v>-54.410762415085408</v>
      </c>
    </row>
    <row r="682" spans="6:8" x14ac:dyDescent="0.35">
      <c r="F682">
        <v>13.580000000000201</v>
      </c>
      <c r="G682">
        <f t="shared" si="20"/>
        <v>710.73607963574705</v>
      </c>
      <c r="H682">
        <f t="shared" si="21"/>
        <v>-55.82574092717369</v>
      </c>
    </row>
    <row r="683" spans="6:8" x14ac:dyDescent="0.35">
      <c r="F683">
        <v>13.6000000000002</v>
      </c>
      <c r="G683">
        <f t="shared" si="20"/>
        <v>711.78281907556402</v>
      </c>
      <c r="H683">
        <f t="shared" si="21"/>
        <v>-57.244643439261615</v>
      </c>
    </row>
    <row r="684" spans="6:8" x14ac:dyDescent="0.35">
      <c r="F684">
        <v>13.6200000000002</v>
      </c>
      <c r="G684">
        <f t="shared" si="20"/>
        <v>712.829558515381</v>
      </c>
      <c r="H684">
        <f t="shared" si="21"/>
        <v>-58.667469951349752</v>
      </c>
    </row>
    <row r="685" spans="6:8" x14ac:dyDescent="0.35">
      <c r="F685">
        <v>13.6400000000002</v>
      </c>
      <c r="G685">
        <f t="shared" si="20"/>
        <v>713.87629795519797</v>
      </c>
      <c r="H685">
        <f t="shared" si="21"/>
        <v>-60.094220463437871</v>
      </c>
    </row>
    <row r="686" spans="6:8" x14ac:dyDescent="0.35">
      <c r="F686">
        <v>13.660000000000201</v>
      </c>
      <c r="G686">
        <f t="shared" si="20"/>
        <v>714.92303739501506</v>
      </c>
      <c r="H686">
        <f t="shared" si="21"/>
        <v>-61.524894975525974</v>
      </c>
    </row>
    <row r="687" spans="6:8" x14ac:dyDescent="0.35">
      <c r="F687">
        <v>13.6800000000002</v>
      </c>
      <c r="G687">
        <f t="shared" si="20"/>
        <v>715.96977683483203</v>
      </c>
      <c r="H687">
        <f t="shared" si="21"/>
        <v>-62.959493487614175</v>
      </c>
    </row>
    <row r="688" spans="6:8" x14ac:dyDescent="0.35">
      <c r="F688">
        <v>13.7000000000002</v>
      </c>
      <c r="G688">
        <f t="shared" si="20"/>
        <v>717.01651627464901</v>
      </c>
      <c r="H688">
        <f t="shared" si="21"/>
        <v>-64.398015999702125</v>
      </c>
    </row>
    <row r="689" spans="6:8" x14ac:dyDescent="0.35">
      <c r="F689">
        <v>13.7200000000002</v>
      </c>
      <c r="G689">
        <f t="shared" si="20"/>
        <v>718.06325571446598</v>
      </c>
      <c r="H689">
        <f t="shared" si="21"/>
        <v>-65.840462511790065</v>
      </c>
    </row>
    <row r="690" spans="6:8" x14ac:dyDescent="0.35">
      <c r="F690">
        <v>13.740000000000199</v>
      </c>
      <c r="G690">
        <f t="shared" si="20"/>
        <v>719.10999515428296</v>
      </c>
      <c r="H690">
        <f t="shared" si="21"/>
        <v>-67.28683302387833</v>
      </c>
    </row>
    <row r="691" spans="6:8" x14ac:dyDescent="0.35">
      <c r="F691">
        <v>13.760000000000201</v>
      </c>
      <c r="G691">
        <f t="shared" si="20"/>
        <v>720.15673459409993</v>
      </c>
      <c r="H691">
        <f t="shared" si="21"/>
        <v>-68.737127535966465</v>
      </c>
    </row>
    <row r="692" spans="6:8" x14ac:dyDescent="0.35">
      <c r="F692">
        <v>13.7800000000002</v>
      </c>
      <c r="G692">
        <f t="shared" si="20"/>
        <v>721.2034740339169</v>
      </c>
      <c r="H692">
        <f t="shared" si="21"/>
        <v>-70.19134604805447</v>
      </c>
    </row>
    <row r="693" spans="6:8" x14ac:dyDescent="0.35">
      <c r="F693">
        <v>13.8000000000002</v>
      </c>
      <c r="G693">
        <f t="shared" si="20"/>
        <v>722.25021347373388</v>
      </c>
      <c r="H693">
        <f t="shared" si="21"/>
        <v>-71.649488560142572</v>
      </c>
    </row>
    <row r="694" spans="6:8" x14ac:dyDescent="0.35">
      <c r="F694">
        <v>13.820000000000199</v>
      </c>
      <c r="G694">
        <f t="shared" si="20"/>
        <v>723.29695291355085</v>
      </c>
      <c r="H694">
        <f t="shared" si="21"/>
        <v>-73.111555072230658</v>
      </c>
    </row>
    <row r="695" spans="6:8" x14ac:dyDescent="0.35">
      <c r="F695">
        <v>13.840000000000201</v>
      </c>
      <c r="G695">
        <f t="shared" si="20"/>
        <v>724.34369235336794</v>
      </c>
      <c r="H695">
        <f t="shared" si="21"/>
        <v>-74.577545584318727</v>
      </c>
    </row>
    <row r="696" spans="6:8" x14ac:dyDescent="0.35">
      <c r="F696">
        <v>13.8600000000002</v>
      </c>
      <c r="G696">
        <f t="shared" si="20"/>
        <v>725.39043179318492</v>
      </c>
      <c r="H696">
        <f t="shared" si="21"/>
        <v>-76.04746009640678</v>
      </c>
    </row>
    <row r="697" spans="6:8" x14ac:dyDescent="0.35">
      <c r="F697">
        <v>13.8800000000002</v>
      </c>
      <c r="G697">
        <f t="shared" si="20"/>
        <v>726.43717123300189</v>
      </c>
      <c r="H697">
        <f t="shared" si="21"/>
        <v>-77.521298608494931</v>
      </c>
    </row>
    <row r="698" spans="6:8" x14ac:dyDescent="0.35">
      <c r="F698">
        <v>13.900000000000199</v>
      </c>
      <c r="G698">
        <f t="shared" si="20"/>
        <v>727.48391067281887</v>
      </c>
      <c r="H698">
        <f t="shared" si="21"/>
        <v>-78.999061120583065</v>
      </c>
    </row>
    <row r="699" spans="6:8" x14ac:dyDescent="0.35">
      <c r="F699">
        <v>13.920000000000201</v>
      </c>
      <c r="G699">
        <f t="shared" si="20"/>
        <v>728.53065011263595</v>
      </c>
      <c r="H699">
        <f t="shared" si="21"/>
        <v>-80.480747632671068</v>
      </c>
    </row>
    <row r="700" spans="6:8" x14ac:dyDescent="0.35">
      <c r="F700">
        <v>13.9400000000002</v>
      </c>
      <c r="G700">
        <f t="shared" si="20"/>
        <v>729.57738955245293</v>
      </c>
      <c r="H700">
        <f t="shared" si="21"/>
        <v>-81.96635814475917</v>
      </c>
    </row>
    <row r="701" spans="6:8" x14ac:dyDescent="0.35">
      <c r="F701">
        <v>13.9600000000002</v>
      </c>
      <c r="G701">
        <f t="shared" si="20"/>
        <v>730.6241289922699</v>
      </c>
      <c r="H701">
        <f t="shared" si="21"/>
        <v>-83.455892656847368</v>
      </c>
    </row>
    <row r="702" spans="6:8" x14ac:dyDescent="0.35">
      <c r="F702">
        <v>13.980000000000199</v>
      </c>
      <c r="G702">
        <f t="shared" si="20"/>
        <v>731.67086843208688</v>
      </c>
      <c r="H702">
        <f t="shared" si="21"/>
        <v>-84.949351168935323</v>
      </c>
    </row>
    <row r="703" spans="6:8" x14ac:dyDescent="0.35">
      <c r="F703">
        <v>14.000000000000201</v>
      </c>
      <c r="G703">
        <f t="shared" si="20"/>
        <v>732.71760787190385</v>
      </c>
      <c r="H703">
        <f t="shared" si="21"/>
        <v>-86.446733681023488</v>
      </c>
    </row>
    <row r="704" spans="6:8" x14ac:dyDescent="0.35">
      <c r="F704">
        <v>14.0200000000002</v>
      </c>
      <c r="G704">
        <f t="shared" si="20"/>
        <v>733.76434731172083</v>
      </c>
      <c r="H704">
        <f t="shared" si="21"/>
        <v>-87.948040193111524</v>
      </c>
    </row>
    <row r="705" spans="6:8" x14ac:dyDescent="0.35">
      <c r="F705">
        <v>14.0400000000002</v>
      </c>
      <c r="G705">
        <f t="shared" si="20"/>
        <v>734.8110867515378</v>
      </c>
      <c r="H705">
        <f t="shared" si="21"/>
        <v>-89.453270705199543</v>
      </c>
    </row>
    <row r="706" spans="6:8" x14ac:dyDescent="0.35">
      <c r="F706">
        <v>14.060000000000199</v>
      </c>
      <c r="G706">
        <f t="shared" si="20"/>
        <v>735.85782619135477</v>
      </c>
      <c r="H706">
        <f t="shared" si="21"/>
        <v>-90.962425217287773</v>
      </c>
    </row>
    <row r="707" spans="6:8" x14ac:dyDescent="0.35">
      <c r="F707">
        <v>14.080000000000201</v>
      </c>
      <c r="G707">
        <f t="shared" ref="G707:G770" si="22">$B$15*F707</f>
        <v>736.90456563117186</v>
      </c>
      <c r="H707">
        <f t="shared" ref="H707:H770" si="23">$B$13*F707-($B$8*F707^2)/2+$B$12</f>
        <v>-92.475503729375873</v>
      </c>
    </row>
    <row r="708" spans="6:8" x14ac:dyDescent="0.35">
      <c r="F708">
        <v>14.1000000000002</v>
      </c>
      <c r="G708">
        <f t="shared" si="22"/>
        <v>737.95130507098884</v>
      </c>
      <c r="H708">
        <f t="shared" si="23"/>
        <v>-93.992506241464071</v>
      </c>
    </row>
    <row r="709" spans="6:8" x14ac:dyDescent="0.35">
      <c r="F709">
        <v>14.1200000000002</v>
      </c>
      <c r="G709">
        <f t="shared" si="22"/>
        <v>738.99804451080581</v>
      </c>
      <c r="H709">
        <f t="shared" si="23"/>
        <v>-95.513432753552024</v>
      </c>
    </row>
    <row r="710" spans="6:8" x14ac:dyDescent="0.35">
      <c r="F710">
        <v>14.1400000000002</v>
      </c>
      <c r="G710">
        <f t="shared" si="22"/>
        <v>740.04478395062279</v>
      </c>
      <c r="H710">
        <f t="shared" si="23"/>
        <v>-97.038283265639961</v>
      </c>
    </row>
    <row r="711" spans="6:8" x14ac:dyDescent="0.35">
      <c r="F711">
        <v>14.160000000000201</v>
      </c>
      <c r="G711">
        <f t="shared" si="22"/>
        <v>741.09152339043976</v>
      </c>
      <c r="H711">
        <f t="shared" si="23"/>
        <v>-98.567057777728223</v>
      </c>
    </row>
    <row r="712" spans="6:8" x14ac:dyDescent="0.35">
      <c r="F712">
        <v>14.1800000000002</v>
      </c>
      <c r="G712">
        <f t="shared" si="22"/>
        <v>742.13826283025674</v>
      </c>
      <c r="H712">
        <f t="shared" si="23"/>
        <v>-100.09975628981624</v>
      </c>
    </row>
    <row r="713" spans="6:8" x14ac:dyDescent="0.35">
      <c r="F713">
        <v>14.2000000000002</v>
      </c>
      <c r="G713">
        <f t="shared" si="22"/>
        <v>743.18500227007371</v>
      </c>
      <c r="H713">
        <f t="shared" si="23"/>
        <v>-101.63637880190436</v>
      </c>
    </row>
    <row r="714" spans="6:8" x14ac:dyDescent="0.35">
      <c r="F714">
        <v>14.2200000000002</v>
      </c>
      <c r="G714">
        <f t="shared" si="22"/>
        <v>744.23174170989068</v>
      </c>
      <c r="H714">
        <f t="shared" si="23"/>
        <v>-103.17692531399246</v>
      </c>
    </row>
    <row r="715" spans="6:8" x14ac:dyDescent="0.35">
      <c r="F715">
        <v>14.240000000000199</v>
      </c>
      <c r="G715">
        <f t="shared" si="22"/>
        <v>745.27848114970766</v>
      </c>
      <c r="H715">
        <f t="shared" si="23"/>
        <v>-104.72139582608042</v>
      </c>
    </row>
    <row r="716" spans="6:8" x14ac:dyDescent="0.35">
      <c r="F716">
        <v>14.260000000000201</v>
      </c>
      <c r="G716">
        <f t="shared" si="22"/>
        <v>746.32522058952475</v>
      </c>
      <c r="H716">
        <f t="shared" si="23"/>
        <v>-106.26979033816872</v>
      </c>
    </row>
    <row r="717" spans="6:8" x14ac:dyDescent="0.35">
      <c r="F717">
        <v>14.2800000000002</v>
      </c>
      <c r="G717">
        <f t="shared" si="22"/>
        <v>747.37196002934172</v>
      </c>
      <c r="H717">
        <f t="shared" si="23"/>
        <v>-107.82210885025665</v>
      </c>
    </row>
    <row r="718" spans="6:8" x14ac:dyDescent="0.35">
      <c r="F718">
        <v>14.3000000000002</v>
      </c>
      <c r="G718">
        <f t="shared" si="22"/>
        <v>748.4186994691587</v>
      </c>
      <c r="H718">
        <f t="shared" si="23"/>
        <v>-109.3783513623448</v>
      </c>
    </row>
    <row r="719" spans="6:8" x14ac:dyDescent="0.35">
      <c r="F719">
        <v>14.320000000000199</v>
      </c>
      <c r="G719">
        <f t="shared" si="22"/>
        <v>749.46543890897567</v>
      </c>
      <c r="H719">
        <f t="shared" si="23"/>
        <v>-110.93851787443282</v>
      </c>
    </row>
    <row r="720" spans="6:8" x14ac:dyDescent="0.35">
      <c r="F720">
        <v>14.340000000000201</v>
      </c>
      <c r="G720">
        <f t="shared" si="22"/>
        <v>750.51217834879276</v>
      </c>
      <c r="H720">
        <f t="shared" si="23"/>
        <v>-112.50260838652105</v>
      </c>
    </row>
    <row r="721" spans="6:8" x14ac:dyDescent="0.35">
      <c r="F721">
        <v>14.3600000000002</v>
      </c>
      <c r="G721">
        <f t="shared" si="22"/>
        <v>751.55891778860973</v>
      </c>
      <c r="H721">
        <f t="shared" si="23"/>
        <v>-114.07062289860903</v>
      </c>
    </row>
    <row r="722" spans="6:8" x14ac:dyDescent="0.35">
      <c r="F722">
        <v>14.3800000000002</v>
      </c>
      <c r="G722">
        <f t="shared" si="22"/>
        <v>752.60565722842671</v>
      </c>
      <c r="H722">
        <f t="shared" si="23"/>
        <v>-115.64256141069723</v>
      </c>
    </row>
    <row r="723" spans="6:8" x14ac:dyDescent="0.35">
      <c r="F723">
        <v>14.400000000000199</v>
      </c>
      <c r="G723">
        <f t="shared" si="22"/>
        <v>753.65239666824357</v>
      </c>
      <c r="H723">
        <f t="shared" si="23"/>
        <v>-117.21842392278518</v>
      </c>
    </row>
    <row r="724" spans="6:8" x14ac:dyDescent="0.35">
      <c r="F724">
        <v>14.420000000000201</v>
      </c>
      <c r="G724">
        <f t="shared" si="22"/>
        <v>754.69913610806066</v>
      </c>
      <c r="H724">
        <f t="shared" si="23"/>
        <v>-118.79821043487345</v>
      </c>
    </row>
    <row r="725" spans="6:8" x14ac:dyDescent="0.35">
      <c r="F725">
        <v>14.4400000000002</v>
      </c>
      <c r="G725">
        <f t="shared" si="22"/>
        <v>755.74587554787763</v>
      </c>
      <c r="H725">
        <f t="shared" si="23"/>
        <v>-120.38192094696149</v>
      </c>
    </row>
    <row r="726" spans="6:8" x14ac:dyDescent="0.35">
      <c r="F726">
        <v>14.4600000000002</v>
      </c>
      <c r="G726">
        <f t="shared" si="22"/>
        <v>756.79261498769461</v>
      </c>
      <c r="H726">
        <f t="shared" si="23"/>
        <v>-121.9695554590495</v>
      </c>
    </row>
    <row r="727" spans="6:8" x14ac:dyDescent="0.35">
      <c r="F727">
        <v>14.480000000000199</v>
      </c>
      <c r="G727">
        <f t="shared" si="22"/>
        <v>757.83935442751158</v>
      </c>
      <c r="H727">
        <f t="shared" si="23"/>
        <v>-123.5611139711375</v>
      </c>
    </row>
    <row r="728" spans="6:8" x14ac:dyDescent="0.35">
      <c r="F728">
        <v>14.500000000000201</v>
      </c>
      <c r="G728">
        <f t="shared" si="22"/>
        <v>758.88609386732867</v>
      </c>
      <c r="H728">
        <f t="shared" si="23"/>
        <v>-125.15659648322571</v>
      </c>
    </row>
    <row r="729" spans="6:8" x14ac:dyDescent="0.35">
      <c r="F729">
        <v>14.5200000000002</v>
      </c>
      <c r="G729">
        <f t="shared" si="22"/>
        <v>759.93283330714564</v>
      </c>
      <c r="H729">
        <f t="shared" si="23"/>
        <v>-126.75600299531391</v>
      </c>
    </row>
    <row r="730" spans="6:8" x14ac:dyDescent="0.35">
      <c r="F730">
        <v>14.5400000000002</v>
      </c>
      <c r="G730">
        <f t="shared" si="22"/>
        <v>760.97957274696262</v>
      </c>
      <c r="H730">
        <f t="shared" si="23"/>
        <v>-128.35933350740197</v>
      </c>
    </row>
    <row r="731" spans="6:8" x14ac:dyDescent="0.35">
      <c r="F731">
        <v>14.560000000000199</v>
      </c>
      <c r="G731">
        <f t="shared" si="22"/>
        <v>762.02631218677959</v>
      </c>
      <c r="H731">
        <f t="shared" si="23"/>
        <v>-129.9665880194899</v>
      </c>
    </row>
    <row r="732" spans="6:8" x14ac:dyDescent="0.35">
      <c r="F732">
        <v>14.580000000000201</v>
      </c>
      <c r="G732">
        <f t="shared" si="22"/>
        <v>763.07305162659657</v>
      </c>
      <c r="H732">
        <f t="shared" si="23"/>
        <v>-131.57776653157816</v>
      </c>
    </row>
    <row r="733" spans="6:8" x14ac:dyDescent="0.35">
      <c r="F733">
        <v>14.6000000000002</v>
      </c>
      <c r="G733">
        <f t="shared" si="22"/>
        <v>764.11979106641354</v>
      </c>
      <c r="H733">
        <f t="shared" si="23"/>
        <v>-133.19286904366606</v>
      </c>
    </row>
    <row r="734" spans="6:8" x14ac:dyDescent="0.35">
      <c r="F734">
        <v>14.6200000000002</v>
      </c>
      <c r="G734">
        <f t="shared" si="22"/>
        <v>765.16653050623052</v>
      </c>
      <c r="H734">
        <f t="shared" si="23"/>
        <v>-134.81189555575429</v>
      </c>
    </row>
    <row r="735" spans="6:8" x14ac:dyDescent="0.35">
      <c r="F735">
        <v>14.6400000000002</v>
      </c>
      <c r="G735">
        <f t="shared" si="22"/>
        <v>766.21326994604749</v>
      </c>
      <c r="H735">
        <f t="shared" si="23"/>
        <v>-136.43484606784239</v>
      </c>
    </row>
    <row r="736" spans="6:8" x14ac:dyDescent="0.35">
      <c r="F736">
        <v>14.660000000000201</v>
      </c>
      <c r="G736">
        <f t="shared" si="22"/>
        <v>767.26000938586458</v>
      </c>
      <c r="H736">
        <f t="shared" si="23"/>
        <v>-138.06172057993047</v>
      </c>
    </row>
    <row r="737" spans="6:8" x14ac:dyDescent="0.35">
      <c r="F737">
        <v>14.6800000000002</v>
      </c>
      <c r="G737">
        <f t="shared" si="22"/>
        <v>768.30674882568155</v>
      </c>
      <c r="H737">
        <f t="shared" si="23"/>
        <v>-139.69251909201853</v>
      </c>
    </row>
    <row r="738" spans="6:8" x14ac:dyDescent="0.35">
      <c r="F738">
        <v>14.7000000000002</v>
      </c>
      <c r="G738">
        <f t="shared" si="22"/>
        <v>769.35348826549853</v>
      </c>
      <c r="H738">
        <f t="shared" si="23"/>
        <v>-141.32724160410669</v>
      </c>
    </row>
    <row r="739" spans="6:8" x14ac:dyDescent="0.35">
      <c r="F739">
        <v>14.7200000000002</v>
      </c>
      <c r="G739">
        <f t="shared" si="22"/>
        <v>770.4002277053155</v>
      </c>
      <c r="H739">
        <f t="shared" si="23"/>
        <v>-142.96588811619461</v>
      </c>
    </row>
    <row r="740" spans="6:8" x14ac:dyDescent="0.35">
      <c r="F740">
        <v>14.740000000000199</v>
      </c>
      <c r="G740">
        <f t="shared" si="22"/>
        <v>771.44696714513248</v>
      </c>
      <c r="H740">
        <f t="shared" si="23"/>
        <v>-144.60845862828273</v>
      </c>
    </row>
    <row r="741" spans="6:8" x14ac:dyDescent="0.35">
      <c r="F741">
        <v>14.760000000000201</v>
      </c>
      <c r="G741">
        <f t="shared" si="22"/>
        <v>772.49370658494956</v>
      </c>
      <c r="H741">
        <f t="shared" si="23"/>
        <v>-146.25495314037107</v>
      </c>
    </row>
    <row r="742" spans="6:8" x14ac:dyDescent="0.35">
      <c r="F742">
        <v>14.7800000000002</v>
      </c>
      <c r="G742">
        <f t="shared" si="22"/>
        <v>773.54044602476642</v>
      </c>
      <c r="H742">
        <f t="shared" si="23"/>
        <v>-147.90537165245894</v>
      </c>
    </row>
    <row r="743" spans="6:8" x14ac:dyDescent="0.35">
      <c r="F743">
        <v>14.8000000000002</v>
      </c>
      <c r="G743">
        <f t="shared" si="22"/>
        <v>774.5871854645834</v>
      </c>
      <c r="H743">
        <f t="shared" si="23"/>
        <v>-149.5597141645469</v>
      </c>
    </row>
    <row r="744" spans="6:8" x14ac:dyDescent="0.35">
      <c r="F744">
        <v>14.820000000000199</v>
      </c>
      <c r="G744">
        <f t="shared" si="22"/>
        <v>775.63392490440037</v>
      </c>
      <c r="H744">
        <f t="shared" si="23"/>
        <v>-151.21798067663519</v>
      </c>
    </row>
    <row r="745" spans="6:8" x14ac:dyDescent="0.35">
      <c r="F745">
        <v>14.840000000000201</v>
      </c>
      <c r="G745">
        <f t="shared" si="22"/>
        <v>776.68066434421746</v>
      </c>
      <c r="H745">
        <f t="shared" si="23"/>
        <v>-152.88017118872324</v>
      </c>
    </row>
    <row r="746" spans="6:8" x14ac:dyDescent="0.35">
      <c r="F746">
        <v>14.8600000000002</v>
      </c>
      <c r="G746">
        <f t="shared" si="22"/>
        <v>777.72740378403444</v>
      </c>
      <c r="H746">
        <f t="shared" si="23"/>
        <v>-154.5462857008115</v>
      </c>
    </row>
    <row r="747" spans="6:8" x14ac:dyDescent="0.35">
      <c r="F747">
        <v>14.8800000000002</v>
      </c>
      <c r="G747">
        <f t="shared" si="22"/>
        <v>778.77414322385141</v>
      </c>
      <c r="H747">
        <f t="shared" si="23"/>
        <v>-156.21632421289928</v>
      </c>
    </row>
    <row r="748" spans="6:8" x14ac:dyDescent="0.35">
      <c r="F748">
        <v>14.900000000000199</v>
      </c>
      <c r="G748">
        <f t="shared" si="22"/>
        <v>779.82088266366839</v>
      </c>
      <c r="H748">
        <f t="shared" si="23"/>
        <v>-157.89028672498728</v>
      </c>
    </row>
    <row r="749" spans="6:8" x14ac:dyDescent="0.35">
      <c r="F749">
        <v>14.920000000000201</v>
      </c>
      <c r="G749">
        <f t="shared" si="22"/>
        <v>780.86762210348547</v>
      </c>
      <c r="H749">
        <f t="shared" si="23"/>
        <v>-159.56817323707548</v>
      </c>
    </row>
    <row r="750" spans="6:8" x14ac:dyDescent="0.35">
      <c r="F750">
        <v>14.9400000000002</v>
      </c>
      <c r="G750">
        <f t="shared" si="22"/>
        <v>781.91436154330245</v>
      </c>
      <c r="H750">
        <f t="shared" si="23"/>
        <v>-161.24998374916368</v>
      </c>
    </row>
    <row r="751" spans="6:8" x14ac:dyDescent="0.35">
      <c r="F751">
        <v>14.9600000000002</v>
      </c>
      <c r="G751">
        <f t="shared" si="22"/>
        <v>782.96110098311942</v>
      </c>
      <c r="H751">
        <f t="shared" si="23"/>
        <v>-162.93571826125174</v>
      </c>
    </row>
    <row r="752" spans="6:8" x14ac:dyDescent="0.35">
      <c r="F752">
        <v>14.980000000000199</v>
      </c>
      <c r="G752">
        <f t="shared" si="22"/>
        <v>784.0078404229364</v>
      </c>
      <c r="H752">
        <f t="shared" si="23"/>
        <v>-164.62537677333989</v>
      </c>
    </row>
    <row r="753" spans="6:8" x14ac:dyDescent="0.35">
      <c r="F753">
        <v>15.000000000000201</v>
      </c>
      <c r="G753">
        <f t="shared" si="22"/>
        <v>785.05457986275337</v>
      </c>
      <c r="H753">
        <f t="shared" si="23"/>
        <v>-166.31895928542804</v>
      </c>
    </row>
    <row r="754" spans="6:8" x14ac:dyDescent="0.35">
      <c r="F754">
        <v>15.0200000000002</v>
      </c>
      <c r="G754">
        <f t="shared" si="22"/>
        <v>786.10131930257035</v>
      </c>
      <c r="H754">
        <f t="shared" si="23"/>
        <v>-168.01646579751605</v>
      </c>
    </row>
    <row r="755" spans="6:8" x14ac:dyDescent="0.35">
      <c r="F755">
        <v>15.0400000000002</v>
      </c>
      <c r="G755">
        <f t="shared" si="22"/>
        <v>787.14805874238732</v>
      </c>
      <c r="H755">
        <f t="shared" si="23"/>
        <v>-169.71789630960404</v>
      </c>
    </row>
    <row r="756" spans="6:8" x14ac:dyDescent="0.35">
      <c r="F756">
        <v>15.060000000000199</v>
      </c>
      <c r="G756">
        <f t="shared" si="22"/>
        <v>788.19479818220429</v>
      </c>
      <c r="H756">
        <f t="shared" si="23"/>
        <v>-171.42325082169214</v>
      </c>
    </row>
    <row r="757" spans="6:8" x14ac:dyDescent="0.35">
      <c r="F757">
        <v>15.080000000000201</v>
      </c>
      <c r="G757">
        <f t="shared" si="22"/>
        <v>789.24153762202138</v>
      </c>
      <c r="H757">
        <f t="shared" si="23"/>
        <v>-173.13252933378044</v>
      </c>
    </row>
    <row r="758" spans="6:8" x14ac:dyDescent="0.35">
      <c r="F758">
        <v>15.1000000000002</v>
      </c>
      <c r="G758">
        <f t="shared" si="22"/>
        <v>790.28827706183836</v>
      </c>
      <c r="H758">
        <f t="shared" si="23"/>
        <v>-174.8457318458685</v>
      </c>
    </row>
    <row r="759" spans="6:8" x14ac:dyDescent="0.35">
      <c r="F759">
        <v>15.1200000000002</v>
      </c>
      <c r="G759">
        <f t="shared" si="22"/>
        <v>791.33501650165533</v>
      </c>
      <c r="H759">
        <f t="shared" si="23"/>
        <v>-176.56285835795643</v>
      </c>
    </row>
    <row r="760" spans="6:8" x14ac:dyDescent="0.35">
      <c r="F760">
        <v>15.1400000000002</v>
      </c>
      <c r="G760">
        <f t="shared" si="22"/>
        <v>792.38175594147231</v>
      </c>
      <c r="H760">
        <f t="shared" si="23"/>
        <v>-178.28390887004468</v>
      </c>
    </row>
    <row r="761" spans="6:8" x14ac:dyDescent="0.35">
      <c r="F761">
        <v>15.160000000000201</v>
      </c>
      <c r="G761">
        <f t="shared" si="22"/>
        <v>793.42849538128939</v>
      </c>
      <c r="H761">
        <f t="shared" si="23"/>
        <v>-180.00888338213292</v>
      </c>
    </row>
    <row r="762" spans="6:8" x14ac:dyDescent="0.35">
      <c r="F762">
        <v>15.1800000000002</v>
      </c>
      <c r="G762">
        <f t="shared" si="22"/>
        <v>794.47523482110626</v>
      </c>
      <c r="H762">
        <f t="shared" si="23"/>
        <v>-181.7377818942208</v>
      </c>
    </row>
    <row r="763" spans="6:8" x14ac:dyDescent="0.35">
      <c r="F763">
        <v>15.2000000000002</v>
      </c>
      <c r="G763">
        <f t="shared" si="22"/>
        <v>795.52197426092323</v>
      </c>
      <c r="H763">
        <f t="shared" si="23"/>
        <v>-183.47060440630889</v>
      </c>
    </row>
    <row r="764" spans="6:8" x14ac:dyDescent="0.35">
      <c r="F764">
        <v>15.2200000000002</v>
      </c>
      <c r="G764">
        <f t="shared" si="22"/>
        <v>796.5687137007402</v>
      </c>
      <c r="H764">
        <f t="shared" si="23"/>
        <v>-185.20735091839686</v>
      </c>
    </row>
    <row r="765" spans="6:8" x14ac:dyDescent="0.35">
      <c r="F765">
        <v>15.240000000000199</v>
      </c>
      <c r="G765">
        <f t="shared" si="22"/>
        <v>797.61545314055718</v>
      </c>
      <c r="H765">
        <f t="shared" si="23"/>
        <v>-186.94802143048491</v>
      </c>
    </row>
    <row r="766" spans="6:8" x14ac:dyDescent="0.35">
      <c r="F766">
        <v>15.260000000000201</v>
      </c>
      <c r="G766">
        <f t="shared" si="22"/>
        <v>798.66219258037427</v>
      </c>
      <c r="H766">
        <f t="shared" si="23"/>
        <v>-188.69261594257318</v>
      </c>
    </row>
    <row r="767" spans="6:8" x14ac:dyDescent="0.35">
      <c r="F767">
        <v>15.2800000000002</v>
      </c>
      <c r="G767">
        <f t="shared" si="22"/>
        <v>799.70893202019124</v>
      </c>
      <c r="H767">
        <f t="shared" si="23"/>
        <v>-190.44113445466121</v>
      </c>
    </row>
    <row r="768" spans="6:8" x14ac:dyDescent="0.35">
      <c r="F768">
        <v>15.3000000000002</v>
      </c>
      <c r="G768">
        <f t="shared" si="22"/>
        <v>800.75567146000822</v>
      </c>
      <c r="H768">
        <f t="shared" si="23"/>
        <v>-192.19357696674933</v>
      </c>
    </row>
    <row r="769" spans="6:8" x14ac:dyDescent="0.35">
      <c r="F769">
        <v>15.320000000000199</v>
      </c>
      <c r="G769">
        <f t="shared" si="22"/>
        <v>801.80241089982519</v>
      </c>
      <c r="H769">
        <f t="shared" si="23"/>
        <v>-193.94994347883721</v>
      </c>
    </row>
    <row r="770" spans="6:8" x14ac:dyDescent="0.35">
      <c r="F770">
        <v>15.340000000000201</v>
      </c>
      <c r="G770">
        <f t="shared" si="22"/>
        <v>802.84915033964228</v>
      </c>
      <c r="H770">
        <f t="shared" si="23"/>
        <v>-195.71023399092542</v>
      </c>
    </row>
    <row r="771" spans="6:8" x14ac:dyDescent="0.35">
      <c r="F771">
        <v>15.3600000000002</v>
      </c>
      <c r="G771">
        <f t="shared" ref="G771:G834" si="24">$B$15*F771</f>
        <v>803.89588977945925</v>
      </c>
      <c r="H771">
        <f t="shared" ref="H771:H834" si="25">$B$13*F771-($B$8*F771^2)/2+$B$12</f>
        <v>-197.4744485030136</v>
      </c>
    </row>
    <row r="772" spans="6:8" x14ac:dyDescent="0.35">
      <c r="F772">
        <v>15.3800000000002</v>
      </c>
      <c r="G772">
        <f t="shared" si="24"/>
        <v>804.94262921927623</v>
      </c>
      <c r="H772">
        <f t="shared" si="25"/>
        <v>-199.24258701510166</v>
      </c>
    </row>
    <row r="773" spans="6:8" x14ac:dyDescent="0.35">
      <c r="F773">
        <v>15.400000000000199</v>
      </c>
      <c r="G773">
        <f t="shared" si="24"/>
        <v>805.9893686590932</v>
      </c>
      <c r="H773">
        <f t="shared" si="25"/>
        <v>-201.01464952718959</v>
      </c>
    </row>
    <row r="774" spans="6:8" x14ac:dyDescent="0.35">
      <c r="F774">
        <v>15.420000000000201</v>
      </c>
      <c r="G774">
        <f t="shared" si="24"/>
        <v>807.03610809891018</v>
      </c>
      <c r="H774">
        <f t="shared" si="25"/>
        <v>-202.79063603927796</v>
      </c>
    </row>
    <row r="775" spans="6:8" x14ac:dyDescent="0.35">
      <c r="F775">
        <v>15.4400000000002</v>
      </c>
      <c r="G775">
        <f t="shared" si="24"/>
        <v>808.08284753872715</v>
      </c>
      <c r="H775">
        <f t="shared" si="25"/>
        <v>-204.57054655136608</v>
      </c>
    </row>
    <row r="776" spans="6:8" x14ac:dyDescent="0.35">
      <c r="F776">
        <v>15.4600000000002</v>
      </c>
      <c r="G776">
        <f t="shared" si="24"/>
        <v>809.12958697854413</v>
      </c>
      <c r="H776">
        <f t="shared" si="25"/>
        <v>-206.35438106345407</v>
      </c>
    </row>
    <row r="777" spans="6:8" x14ac:dyDescent="0.35">
      <c r="F777">
        <v>15.480000000000199</v>
      </c>
      <c r="G777">
        <f t="shared" si="24"/>
        <v>810.1763264183611</v>
      </c>
      <c r="H777">
        <f t="shared" si="25"/>
        <v>-208.14213957554205</v>
      </c>
    </row>
    <row r="778" spans="6:8" x14ac:dyDescent="0.35">
      <c r="F778">
        <v>15.500000000000201</v>
      </c>
      <c r="G778">
        <f t="shared" si="24"/>
        <v>811.22306585817819</v>
      </c>
      <c r="H778">
        <f t="shared" si="25"/>
        <v>-209.93382208763035</v>
      </c>
    </row>
    <row r="779" spans="6:8" x14ac:dyDescent="0.35">
      <c r="F779">
        <v>15.5200000000002</v>
      </c>
      <c r="G779">
        <f t="shared" si="24"/>
        <v>812.26980529799516</v>
      </c>
      <c r="H779">
        <f t="shared" si="25"/>
        <v>-211.7294285997184</v>
      </c>
    </row>
    <row r="780" spans="6:8" x14ac:dyDescent="0.35">
      <c r="F780">
        <v>15.5400000000002</v>
      </c>
      <c r="G780">
        <f t="shared" si="24"/>
        <v>813.31654473781214</v>
      </c>
      <c r="H780">
        <f t="shared" si="25"/>
        <v>-213.52895911180633</v>
      </c>
    </row>
    <row r="781" spans="6:8" x14ac:dyDescent="0.35">
      <c r="F781">
        <v>15.560000000000199</v>
      </c>
      <c r="G781">
        <f t="shared" si="24"/>
        <v>814.36328417762911</v>
      </c>
      <c r="H781">
        <f t="shared" si="25"/>
        <v>-215.33241362389458</v>
      </c>
    </row>
    <row r="782" spans="6:8" x14ac:dyDescent="0.35">
      <c r="F782">
        <v>15.580000000000201</v>
      </c>
      <c r="G782">
        <f t="shared" si="24"/>
        <v>815.41002361744609</v>
      </c>
      <c r="H782">
        <f t="shared" si="25"/>
        <v>-217.13979213598259</v>
      </c>
    </row>
    <row r="783" spans="6:8" x14ac:dyDescent="0.35">
      <c r="F783">
        <v>15.6000000000002</v>
      </c>
      <c r="G783">
        <f t="shared" si="24"/>
        <v>816.45676305726306</v>
      </c>
      <c r="H783">
        <f t="shared" si="25"/>
        <v>-218.95109464807058</v>
      </c>
    </row>
    <row r="784" spans="6:8" x14ac:dyDescent="0.35">
      <c r="F784">
        <v>15.6200000000002</v>
      </c>
      <c r="G784">
        <f t="shared" si="24"/>
        <v>817.50350249708004</v>
      </c>
      <c r="H784">
        <f t="shared" si="25"/>
        <v>-220.76632116015878</v>
      </c>
    </row>
    <row r="785" spans="6:8" x14ac:dyDescent="0.35">
      <c r="F785">
        <v>15.6400000000002</v>
      </c>
      <c r="G785">
        <f t="shared" si="24"/>
        <v>818.55024193689701</v>
      </c>
      <c r="H785">
        <f t="shared" si="25"/>
        <v>-222.58547167224674</v>
      </c>
    </row>
    <row r="786" spans="6:8" x14ac:dyDescent="0.35">
      <c r="F786">
        <v>15.660000000000201</v>
      </c>
      <c r="G786">
        <f t="shared" si="24"/>
        <v>819.5969813767141</v>
      </c>
      <c r="H786">
        <f t="shared" si="25"/>
        <v>-224.40854618433491</v>
      </c>
    </row>
    <row r="787" spans="6:8" x14ac:dyDescent="0.35">
      <c r="F787">
        <v>15.6800000000002</v>
      </c>
      <c r="G787">
        <f t="shared" si="24"/>
        <v>820.64372081653107</v>
      </c>
      <c r="H787">
        <f t="shared" si="25"/>
        <v>-226.23554469642306</v>
      </c>
    </row>
    <row r="788" spans="6:8" x14ac:dyDescent="0.35">
      <c r="F788">
        <v>15.7000000000002</v>
      </c>
      <c r="G788">
        <f t="shared" si="24"/>
        <v>821.69046025634805</v>
      </c>
      <c r="H788">
        <f t="shared" si="25"/>
        <v>-228.06646720851109</v>
      </c>
    </row>
    <row r="789" spans="6:8" x14ac:dyDescent="0.35">
      <c r="F789">
        <v>15.7200000000002</v>
      </c>
      <c r="G789">
        <f t="shared" si="24"/>
        <v>822.73719969616502</v>
      </c>
      <c r="H789">
        <f t="shared" si="25"/>
        <v>-229.90131372059921</v>
      </c>
    </row>
    <row r="790" spans="6:8" x14ac:dyDescent="0.35">
      <c r="F790">
        <v>15.740000000000199</v>
      </c>
      <c r="G790">
        <f t="shared" si="24"/>
        <v>823.783939135982</v>
      </c>
      <c r="H790">
        <f t="shared" si="25"/>
        <v>-231.7400842326872</v>
      </c>
    </row>
    <row r="791" spans="6:8" x14ac:dyDescent="0.35">
      <c r="F791">
        <v>15.760000000000201</v>
      </c>
      <c r="G791">
        <f t="shared" si="24"/>
        <v>824.83067857579908</v>
      </c>
      <c r="H791">
        <f t="shared" si="25"/>
        <v>-233.58277874477528</v>
      </c>
    </row>
    <row r="792" spans="6:8" x14ac:dyDescent="0.35">
      <c r="F792">
        <v>15.7800000000002</v>
      </c>
      <c r="G792">
        <f t="shared" si="24"/>
        <v>825.87741801561606</v>
      </c>
      <c r="H792">
        <f t="shared" si="25"/>
        <v>-235.42939725686347</v>
      </c>
    </row>
    <row r="793" spans="6:8" x14ac:dyDescent="0.35">
      <c r="F793">
        <v>15.8000000000002</v>
      </c>
      <c r="G793">
        <f t="shared" si="24"/>
        <v>826.92415745543303</v>
      </c>
      <c r="H793">
        <f t="shared" si="25"/>
        <v>-237.27993976895152</v>
      </c>
    </row>
    <row r="794" spans="6:8" x14ac:dyDescent="0.35">
      <c r="F794">
        <v>15.820000000000199</v>
      </c>
      <c r="G794">
        <f t="shared" si="24"/>
        <v>827.97089689524989</v>
      </c>
      <c r="H794">
        <f t="shared" si="25"/>
        <v>-239.13440628103967</v>
      </c>
    </row>
    <row r="795" spans="6:8" x14ac:dyDescent="0.35">
      <c r="F795">
        <v>15.840000000000201</v>
      </c>
      <c r="G795">
        <f t="shared" si="24"/>
        <v>829.01763633506698</v>
      </c>
      <c r="H795">
        <f t="shared" si="25"/>
        <v>-240.99279679312781</v>
      </c>
    </row>
    <row r="796" spans="6:8" x14ac:dyDescent="0.35">
      <c r="F796">
        <v>15.8600000000002</v>
      </c>
      <c r="G796">
        <f t="shared" si="24"/>
        <v>830.06437577488396</v>
      </c>
      <c r="H796">
        <f t="shared" si="25"/>
        <v>-242.85511130521593</v>
      </c>
    </row>
    <row r="797" spans="6:8" x14ac:dyDescent="0.35">
      <c r="F797">
        <v>15.8800000000002</v>
      </c>
      <c r="G797">
        <f t="shared" si="24"/>
        <v>831.11111521470093</v>
      </c>
      <c r="H797">
        <f t="shared" si="25"/>
        <v>-244.72134981730392</v>
      </c>
    </row>
    <row r="798" spans="6:8" x14ac:dyDescent="0.35">
      <c r="F798">
        <v>15.900000000000199</v>
      </c>
      <c r="G798">
        <f t="shared" si="24"/>
        <v>832.15785465451791</v>
      </c>
      <c r="H798">
        <f t="shared" si="25"/>
        <v>-246.591512329392</v>
      </c>
    </row>
    <row r="799" spans="6:8" x14ac:dyDescent="0.35">
      <c r="F799">
        <v>15.920000000000201</v>
      </c>
      <c r="G799">
        <f t="shared" si="24"/>
        <v>833.20459409433499</v>
      </c>
      <c r="H799">
        <f t="shared" si="25"/>
        <v>-248.46559884147996</v>
      </c>
    </row>
    <row r="800" spans="6:8" x14ac:dyDescent="0.35">
      <c r="F800">
        <v>15.9400000000002</v>
      </c>
      <c r="G800">
        <f t="shared" si="24"/>
        <v>834.25133353415197</v>
      </c>
      <c r="H800">
        <f t="shared" si="25"/>
        <v>-250.34360935356824</v>
      </c>
    </row>
    <row r="801" spans="6:8" x14ac:dyDescent="0.35">
      <c r="F801">
        <v>15.9600000000002</v>
      </c>
      <c r="G801">
        <f t="shared" si="24"/>
        <v>835.29807297396894</v>
      </c>
      <c r="H801">
        <f t="shared" si="25"/>
        <v>-252.22554386565639</v>
      </c>
    </row>
    <row r="802" spans="6:8" x14ac:dyDescent="0.35">
      <c r="F802">
        <v>15.980000000000199</v>
      </c>
      <c r="G802">
        <f t="shared" si="24"/>
        <v>836.34481241378592</v>
      </c>
      <c r="H802">
        <f t="shared" si="25"/>
        <v>-254.11140237774418</v>
      </c>
    </row>
    <row r="803" spans="6:8" x14ac:dyDescent="0.35">
      <c r="F803">
        <v>16.000000000000199</v>
      </c>
      <c r="G803">
        <f t="shared" si="24"/>
        <v>837.39155185360289</v>
      </c>
      <c r="H803">
        <f t="shared" si="25"/>
        <v>-256.0011848898323</v>
      </c>
    </row>
    <row r="804" spans="6:8" x14ac:dyDescent="0.35">
      <c r="F804">
        <v>16.020000000000199</v>
      </c>
      <c r="G804">
        <f t="shared" si="24"/>
        <v>838.43829129341987</v>
      </c>
      <c r="H804">
        <f t="shared" si="25"/>
        <v>-257.89489140192052</v>
      </c>
    </row>
    <row r="805" spans="6:8" x14ac:dyDescent="0.35">
      <c r="F805">
        <v>16.040000000000202</v>
      </c>
      <c r="G805">
        <f t="shared" si="24"/>
        <v>839.48503073323695</v>
      </c>
      <c r="H805">
        <f t="shared" si="25"/>
        <v>-259.79252191400883</v>
      </c>
    </row>
    <row r="806" spans="6:8" x14ac:dyDescent="0.35">
      <c r="F806">
        <v>16.060000000000201</v>
      </c>
      <c r="G806">
        <f t="shared" si="24"/>
        <v>840.53177017305393</v>
      </c>
      <c r="H806">
        <f t="shared" si="25"/>
        <v>-261.69407642609667</v>
      </c>
    </row>
    <row r="807" spans="6:8" x14ac:dyDescent="0.35">
      <c r="F807">
        <v>16.080000000000201</v>
      </c>
      <c r="G807">
        <f t="shared" si="24"/>
        <v>841.5785096128709</v>
      </c>
      <c r="H807">
        <f t="shared" si="25"/>
        <v>-263.59955493818495</v>
      </c>
    </row>
    <row r="808" spans="6:8" x14ac:dyDescent="0.35">
      <c r="F808">
        <v>16.1000000000002</v>
      </c>
      <c r="G808">
        <f t="shared" si="24"/>
        <v>842.62524905268788</v>
      </c>
      <c r="H808">
        <f t="shared" si="25"/>
        <v>-265.50895745027287</v>
      </c>
    </row>
    <row r="809" spans="6:8" x14ac:dyDescent="0.35">
      <c r="F809">
        <v>16.1200000000002</v>
      </c>
      <c r="G809">
        <f t="shared" si="24"/>
        <v>843.67198849250485</v>
      </c>
      <c r="H809">
        <f t="shared" si="25"/>
        <v>-267.42228396236089</v>
      </c>
    </row>
    <row r="810" spans="6:8" x14ac:dyDescent="0.35">
      <c r="F810">
        <v>16.1400000000002</v>
      </c>
      <c r="G810">
        <f t="shared" si="24"/>
        <v>844.71872793232183</v>
      </c>
      <c r="H810">
        <f t="shared" si="25"/>
        <v>-269.33953447444924</v>
      </c>
    </row>
    <row r="811" spans="6:8" x14ac:dyDescent="0.35">
      <c r="F811">
        <v>16.160000000000199</v>
      </c>
      <c r="G811">
        <f t="shared" si="24"/>
        <v>845.7654673721388</v>
      </c>
      <c r="H811">
        <f t="shared" si="25"/>
        <v>-271.260708986537</v>
      </c>
    </row>
    <row r="812" spans="6:8" x14ac:dyDescent="0.35">
      <c r="F812">
        <v>16.180000000000199</v>
      </c>
      <c r="G812">
        <f t="shared" si="24"/>
        <v>846.81220681195578</v>
      </c>
      <c r="H812">
        <f t="shared" si="25"/>
        <v>-273.18580749862508</v>
      </c>
    </row>
    <row r="813" spans="6:8" x14ac:dyDescent="0.35">
      <c r="F813">
        <v>16.200000000000198</v>
      </c>
      <c r="G813">
        <f t="shared" si="24"/>
        <v>847.85894625177275</v>
      </c>
      <c r="H813">
        <f t="shared" si="25"/>
        <v>-275.11483001071315</v>
      </c>
    </row>
    <row r="814" spans="6:8" x14ac:dyDescent="0.35">
      <c r="F814">
        <v>16.220000000000201</v>
      </c>
      <c r="G814">
        <f t="shared" si="24"/>
        <v>848.90568569158984</v>
      </c>
      <c r="H814">
        <f t="shared" si="25"/>
        <v>-277.04777652280143</v>
      </c>
    </row>
    <row r="815" spans="6:8" x14ac:dyDescent="0.35">
      <c r="F815">
        <v>16.240000000000201</v>
      </c>
      <c r="G815">
        <f t="shared" si="24"/>
        <v>849.95242513140681</v>
      </c>
      <c r="H815">
        <f t="shared" si="25"/>
        <v>-278.98464703488958</v>
      </c>
    </row>
    <row r="816" spans="6:8" x14ac:dyDescent="0.35">
      <c r="F816">
        <v>16.260000000000201</v>
      </c>
      <c r="G816">
        <f t="shared" si="24"/>
        <v>850.99916457122379</v>
      </c>
      <c r="H816">
        <f t="shared" si="25"/>
        <v>-280.92544154697759</v>
      </c>
    </row>
    <row r="817" spans="6:8" x14ac:dyDescent="0.35">
      <c r="F817">
        <v>16.2800000000002</v>
      </c>
      <c r="G817">
        <f t="shared" si="24"/>
        <v>852.04590401104076</v>
      </c>
      <c r="H817">
        <f t="shared" si="25"/>
        <v>-282.87016005906571</v>
      </c>
    </row>
    <row r="818" spans="6:8" x14ac:dyDescent="0.35">
      <c r="F818">
        <v>16.3000000000002</v>
      </c>
      <c r="G818">
        <f t="shared" si="24"/>
        <v>853.09264345085774</v>
      </c>
      <c r="H818">
        <f t="shared" si="25"/>
        <v>-284.81880257115392</v>
      </c>
    </row>
    <row r="819" spans="6:8" x14ac:dyDescent="0.35">
      <c r="F819">
        <v>16.320000000000199</v>
      </c>
      <c r="G819">
        <f t="shared" si="24"/>
        <v>854.13938289067471</v>
      </c>
      <c r="H819">
        <f t="shared" si="25"/>
        <v>-286.77136908324178</v>
      </c>
    </row>
    <row r="820" spans="6:8" x14ac:dyDescent="0.35">
      <c r="F820">
        <v>16.340000000000199</v>
      </c>
      <c r="G820">
        <f t="shared" si="24"/>
        <v>855.18612233049168</v>
      </c>
      <c r="H820">
        <f t="shared" si="25"/>
        <v>-288.72785959532996</v>
      </c>
    </row>
    <row r="821" spans="6:8" x14ac:dyDescent="0.35">
      <c r="F821">
        <v>16.360000000000198</v>
      </c>
      <c r="G821">
        <f t="shared" si="24"/>
        <v>856.23286177030866</v>
      </c>
      <c r="H821">
        <f t="shared" si="25"/>
        <v>-290.6882741074179</v>
      </c>
    </row>
    <row r="822" spans="6:8" x14ac:dyDescent="0.35">
      <c r="F822">
        <v>16.380000000000202</v>
      </c>
      <c r="G822">
        <f t="shared" si="24"/>
        <v>857.27960121012575</v>
      </c>
      <c r="H822">
        <f t="shared" si="25"/>
        <v>-292.65261261950627</v>
      </c>
    </row>
    <row r="823" spans="6:8" x14ac:dyDescent="0.35">
      <c r="F823">
        <v>16.400000000000201</v>
      </c>
      <c r="G823">
        <f t="shared" si="24"/>
        <v>858.32634064994272</v>
      </c>
      <c r="H823">
        <f t="shared" si="25"/>
        <v>-294.62087513159429</v>
      </c>
    </row>
    <row r="824" spans="6:8" x14ac:dyDescent="0.35">
      <c r="F824">
        <v>16.420000000000201</v>
      </c>
      <c r="G824">
        <f t="shared" si="24"/>
        <v>859.3730800897597</v>
      </c>
      <c r="H824">
        <f t="shared" si="25"/>
        <v>-296.59306164368252</v>
      </c>
    </row>
    <row r="825" spans="6:8" x14ac:dyDescent="0.35">
      <c r="F825">
        <v>16.4400000000002</v>
      </c>
      <c r="G825">
        <f t="shared" si="24"/>
        <v>860.41981952957667</v>
      </c>
      <c r="H825">
        <f t="shared" si="25"/>
        <v>-298.56917215577039</v>
      </c>
    </row>
    <row r="826" spans="6:8" x14ac:dyDescent="0.35">
      <c r="F826">
        <v>16.4600000000002</v>
      </c>
      <c r="G826">
        <f t="shared" si="24"/>
        <v>861.46655896939365</v>
      </c>
      <c r="H826">
        <f t="shared" si="25"/>
        <v>-300.54920666785858</v>
      </c>
    </row>
    <row r="827" spans="6:8" x14ac:dyDescent="0.35">
      <c r="F827">
        <v>16.480000000000199</v>
      </c>
      <c r="G827">
        <f t="shared" si="24"/>
        <v>862.51329840921062</v>
      </c>
      <c r="H827">
        <f t="shared" si="25"/>
        <v>-302.53316517994665</v>
      </c>
    </row>
    <row r="828" spans="6:8" x14ac:dyDescent="0.35">
      <c r="F828">
        <v>16.500000000000199</v>
      </c>
      <c r="G828">
        <f t="shared" si="24"/>
        <v>863.56003784902759</v>
      </c>
      <c r="H828">
        <f t="shared" si="25"/>
        <v>-304.52104769203459</v>
      </c>
    </row>
    <row r="829" spans="6:8" x14ac:dyDescent="0.35">
      <c r="F829">
        <v>16.520000000000199</v>
      </c>
      <c r="G829">
        <f t="shared" si="24"/>
        <v>864.60677728884457</v>
      </c>
      <c r="H829">
        <f t="shared" si="25"/>
        <v>-306.51285420412285</v>
      </c>
    </row>
    <row r="830" spans="6:8" x14ac:dyDescent="0.35">
      <c r="F830">
        <v>16.540000000000202</v>
      </c>
      <c r="G830">
        <f t="shared" si="24"/>
        <v>865.65351672866177</v>
      </c>
      <c r="H830">
        <f t="shared" si="25"/>
        <v>-308.5085847162112</v>
      </c>
    </row>
    <row r="831" spans="6:8" x14ac:dyDescent="0.35">
      <c r="F831">
        <v>16.560000000000201</v>
      </c>
      <c r="G831">
        <f t="shared" si="24"/>
        <v>866.70025616847875</v>
      </c>
      <c r="H831">
        <f t="shared" si="25"/>
        <v>-310.5082392282992</v>
      </c>
    </row>
    <row r="832" spans="6:8" x14ac:dyDescent="0.35">
      <c r="F832">
        <v>16.580000000000201</v>
      </c>
      <c r="G832">
        <f t="shared" si="24"/>
        <v>867.74699560829572</v>
      </c>
      <c r="H832">
        <f t="shared" si="25"/>
        <v>-312.5118177403873</v>
      </c>
    </row>
    <row r="833" spans="6:8" x14ac:dyDescent="0.35">
      <c r="F833">
        <v>16.6000000000002</v>
      </c>
      <c r="G833">
        <f t="shared" si="24"/>
        <v>868.79373504811258</v>
      </c>
      <c r="H833">
        <f t="shared" si="25"/>
        <v>-314.51932025247504</v>
      </c>
    </row>
    <row r="834" spans="6:8" x14ac:dyDescent="0.35">
      <c r="F834">
        <v>16.6200000000002</v>
      </c>
      <c r="G834">
        <f t="shared" si="24"/>
        <v>869.84047448792955</v>
      </c>
      <c r="H834">
        <f t="shared" si="25"/>
        <v>-316.53074676456333</v>
      </c>
    </row>
    <row r="835" spans="6:8" x14ac:dyDescent="0.35">
      <c r="F835">
        <v>16.6400000000002</v>
      </c>
      <c r="G835">
        <f t="shared" ref="G835:G898" si="26">$B$15*F835</f>
        <v>870.88721392774653</v>
      </c>
      <c r="H835">
        <f t="shared" ref="H835:H898" si="27">$B$13*F835-($B$8*F835^2)/2+$B$12</f>
        <v>-318.54609727665104</v>
      </c>
    </row>
    <row r="836" spans="6:8" x14ac:dyDescent="0.35">
      <c r="F836">
        <v>16.660000000000199</v>
      </c>
      <c r="G836">
        <f t="shared" si="26"/>
        <v>871.9339533675635</v>
      </c>
      <c r="H836">
        <f t="shared" si="27"/>
        <v>-320.5653717887393</v>
      </c>
    </row>
    <row r="837" spans="6:8" x14ac:dyDescent="0.35">
      <c r="F837">
        <v>16.680000000000199</v>
      </c>
      <c r="G837">
        <f t="shared" si="26"/>
        <v>872.98069280738048</v>
      </c>
      <c r="H837">
        <f t="shared" si="27"/>
        <v>-322.58857030082743</v>
      </c>
    </row>
    <row r="838" spans="6:8" x14ac:dyDescent="0.35">
      <c r="F838">
        <v>16.700000000000198</v>
      </c>
      <c r="G838">
        <f t="shared" si="26"/>
        <v>874.02743224719745</v>
      </c>
      <c r="H838">
        <f t="shared" si="27"/>
        <v>-324.61569281291565</v>
      </c>
    </row>
    <row r="839" spans="6:8" x14ac:dyDescent="0.35">
      <c r="F839">
        <v>16.720000000000201</v>
      </c>
      <c r="G839">
        <f t="shared" si="26"/>
        <v>875.07417168701465</v>
      </c>
      <c r="H839">
        <f t="shared" si="27"/>
        <v>-326.64673932500375</v>
      </c>
    </row>
    <row r="840" spans="6:8" x14ac:dyDescent="0.35">
      <c r="F840">
        <v>16.740000000000201</v>
      </c>
      <c r="G840">
        <f t="shared" si="26"/>
        <v>876.12091112683163</v>
      </c>
      <c r="H840">
        <f t="shared" si="27"/>
        <v>-328.68170983709172</v>
      </c>
    </row>
    <row r="841" spans="6:8" x14ac:dyDescent="0.35">
      <c r="F841">
        <v>16.760000000000201</v>
      </c>
      <c r="G841">
        <f t="shared" si="26"/>
        <v>877.1676505666486</v>
      </c>
      <c r="H841">
        <f t="shared" si="27"/>
        <v>-330.72060434918001</v>
      </c>
    </row>
    <row r="842" spans="6:8" x14ac:dyDescent="0.35">
      <c r="F842">
        <v>16.7800000000002</v>
      </c>
      <c r="G842">
        <f t="shared" si="26"/>
        <v>878.21439000646558</v>
      </c>
      <c r="H842">
        <f t="shared" si="27"/>
        <v>-332.76342286126794</v>
      </c>
    </row>
    <row r="843" spans="6:8" x14ac:dyDescent="0.35">
      <c r="F843">
        <v>16.8000000000002</v>
      </c>
      <c r="G843">
        <f t="shared" si="26"/>
        <v>879.26112944628255</v>
      </c>
      <c r="H843">
        <f t="shared" si="27"/>
        <v>-334.8101653733562</v>
      </c>
    </row>
    <row r="844" spans="6:8" x14ac:dyDescent="0.35">
      <c r="F844">
        <v>16.820000000000199</v>
      </c>
      <c r="G844">
        <f t="shared" si="26"/>
        <v>880.30786888609953</v>
      </c>
      <c r="H844">
        <f t="shared" si="27"/>
        <v>-336.8608318854441</v>
      </c>
    </row>
    <row r="845" spans="6:8" x14ac:dyDescent="0.35">
      <c r="F845">
        <v>16.840000000000199</v>
      </c>
      <c r="G845">
        <f t="shared" si="26"/>
        <v>881.35460832591639</v>
      </c>
      <c r="H845">
        <f t="shared" si="27"/>
        <v>-338.91542239753232</v>
      </c>
    </row>
    <row r="846" spans="6:8" x14ac:dyDescent="0.35">
      <c r="F846">
        <v>16.860000000000198</v>
      </c>
      <c r="G846">
        <f t="shared" si="26"/>
        <v>882.40134776573336</v>
      </c>
      <c r="H846">
        <f t="shared" si="27"/>
        <v>-340.97393690962019</v>
      </c>
    </row>
    <row r="847" spans="6:8" x14ac:dyDescent="0.35">
      <c r="F847">
        <v>16.880000000000202</v>
      </c>
      <c r="G847">
        <f t="shared" si="26"/>
        <v>883.44808720555056</v>
      </c>
      <c r="H847">
        <f t="shared" si="27"/>
        <v>-343.03637542170839</v>
      </c>
    </row>
    <row r="848" spans="6:8" x14ac:dyDescent="0.35">
      <c r="F848">
        <v>16.900000000000201</v>
      </c>
      <c r="G848">
        <f t="shared" si="26"/>
        <v>884.49482664536754</v>
      </c>
      <c r="H848">
        <f t="shared" si="27"/>
        <v>-345.10273793379645</v>
      </c>
    </row>
    <row r="849" spans="6:8" x14ac:dyDescent="0.35">
      <c r="F849">
        <v>16.920000000000201</v>
      </c>
      <c r="G849">
        <f t="shared" si="26"/>
        <v>885.54156608518451</v>
      </c>
      <c r="H849">
        <f t="shared" si="27"/>
        <v>-347.17302444588461</v>
      </c>
    </row>
    <row r="850" spans="6:8" x14ac:dyDescent="0.35">
      <c r="F850">
        <v>16.9400000000002</v>
      </c>
      <c r="G850">
        <f t="shared" si="26"/>
        <v>886.58830552500149</v>
      </c>
      <c r="H850">
        <f t="shared" si="27"/>
        <v>-349.24723495797286</v>
      </c>
    </row>
    <row r="851" spans="6:8" x14ac:dyDescent="0.35">
      <c r="F851">
        <v>16.9600000000002</v>
      </c>
      <c r="G851">
        <f t="shared" si="26"/>
        <v>887.63504496481846</v>
      </c>
      <c r="H851">
        <f t="shared" si="27"/>
        <v>-351.32536947006076</v>
      </c>
    </row>
    <row r="852" spans="6:8" x14ac:dyDescent="0.35">
      <c r="F852">
        <v>16.980000000000199</v>
      </c>
      <c r="G852">
        <f t="shared" si="26"/>
        <v>888.68178440463544</v>
      </c>
      <c r="H852">
        <f t="shared" si="27"/>
        <v>-353.40742798214899</v>
      </c>
    </row>
    <row r="853" spans="6:8" x14ac:dyDescent="0.35">
      <c r="F853">
        <v>17.000000000000199</v>
      </c>
      <c r="G853">
        <f t="shared" si="26"/>
        <v>889.72852384445241</v>
      </c>
      <c r="H853">
        <f t="shared" si="27"/>
        <v>-355.49341049423685</v>
      </c>
    </row>
    <row r="854" spans="6:8" x14ac:dyDescent="0.35">
      <c r="F854">
        <v>17.020000000000199</v>
      </c>
      <c r="G854">
        <f t="shared" si="26"/>
        <v>890.77526328426939</v>
      </c>
      <c r="H854">
        <f t="shared" si="27"/>
        <v>-357.58331700632482</v>
      </c>
    </row>
    <row r="855" spans="6:8" x14ac:dyDescent="0.35">
      <c r="F855">
        <v>17.040000000000202</v>
      </c>
      <c r="G855">
        <f t="shared" si="26"/>
        <v>891.82200272408647</v>
      </c>
      <c r="H855">
        <f t="shared" si="27"/>
        <v>-359.67714751841334</v>
      </c>
    </row>
    <row r="856" spans="6:8" x14ac:dyDescent="0.35">
      <c r="F856">
        <v>17.060000000000201</v>
      </c>
      <c r="G856">
        <f t="shared" si="26"/>
        <v>892.86874216390345</v>
      </c>
      <c r="H856">
        <f t="shared" si="27"/>
        <v>-361.77490203050127</v>
      </c>
    </row>
    <row r="857" spans="6:8" x14ac:dyDescent="0.35">
      <c r="F857">
        <v>17.080000000000201</v>
      </c>
      <c r="G857">
        <f t="shared" si="26"/>
        <v>893.91548160372042</v>
      </c>
      <c r="H857">
        <f t="shared" si="27"/>
        <v>-363.87658054258929</v>
      </c>
    </row>
    <row r="858" spans="6:8" x14ac:dyDescent="0.35">
      <c r="F858">
        <v>17.1000000000002</v>
      </c>
      <c r="G858">
        <f t="shared" si="26"/>
        <v>894.9622210435374</v>
      </c>
      <c r="H858">
        <f t="shared" si="27"/>
        <v>-365.98218305467742</v>
      </c>
    </row>
    <row r="859" spans="6:8" x14ac:dyDescent="0.35">
      <c r="F859">
        <v>17.1200000000002</v>
      </c>
      <c r="G859">
        <f t="shared" si="26"/>
        <v>896.00896048335437</v>
      </c>
      <c r="H859">
        <f t="shared" si="27"/>
        <v>-368.09170956676542</v>
      </c>
    </row>
    <row r="860" spans="6:8" x14ac:dyDescent="0.35">
      <c r="F860">
        <v>17.140000000000299</v>
      </c>
      <c r="G860">
        <f t="shared" si="26"/>
        <v>897.05569992317658</v>
      </c>
      <c r="H860">
        <f t="shared" si="27"/>
        <v>-370.2051600788642</v>
      </c>
    </row>
    <row r="861" spans="6:8" x14ac:dyDescent="0.35">
      <c r="F861">
        <v>17.160000000000299</v>
      </c>
      <c r="G861">
        <f t="shared" si="26"/>
        <v>898.10243936299355</v>
      </c>
      <c r="H861">
        <f t="shared" si="27"/>
        <v>-372.32253459095193</v>
      </c>
    </row>
    <row r="862" spans="6:8" x14ac:dyDescent="0.35">
      <c r="F862">
        <v>17.180000000000302</v>
      </c>
      <c r="G862">
        <f t="shared" si="26"/>
        <v>899.14917880281064</v>
      </c>
      <c r="H862">
        <f t="shared" si="27"/>
        <v>-374.44383310304045</v>
      </c>
    </row>
    <row r="863" spans="6:8" x14ac:dyDescent="0.35">
      <c r="F863">
        <v>17.200000000000301</v>
      </c>
      <c r="G863">
        <f t="shared" si="26"/>
        <v>900.19591824262761</v>
      </c>
      <c r="H863">
        <f t="shared" si="27"/>
        <v>-376.5690556151286</v>
      </c>
    </row>
    <row r="864" spans="6:8" x14ac:dyDescent="0.35">
      <c r="F864">
        <v>17.220000000000301</v>
      </c>
      <c r="G864">
        <f t="shared" si="26"/>
        <v>901.24265768244459</v>
      </c>
      <c r="H864">
        <f t="shared" si="27"/>
        <v>-378.69820212721686</v>
      </c>
    </row>
    <row r="865" spans="6:8" x14ac:dyDescent="0.35">
      <c r="F865">
        <v>17.2400000000003</v>
      </c>
      <c r="G865">
        <f t="shared" si="26"/>
        <v>902.28939712226156</v>
      </c>
      <c r="H865">
        <f t="shared" si="27"/>
        <v>-380.83127263930476</v>
      </c>
    </row>
    <row r="866" spans="6:8" x14ac:dyDescent="0.35">
      <c r="F866">
        <v>17.2600000000003</v>
      </c>
      <c r="G866">
        <f t="shared" si="26"/>
        <v>903.33613656207854</v>
      </c>
      <c r="H866">
        <f t="shared" si="27"/>
        <v>-382.96826715139275</v>
      </c>
    </row>
    <row r="867" spans="6:8" x14ac:dyDescent="0.35">
      <c r="F867">
        <v>17.2800000000003</v>
      </c>
      <c r="G867">
        <f t="shared" si="26"/>
        <v>904.38287600189551</v>
      </c>
      <c r="H867">
        <f t="shared" si="27"/>
        <v>-385.10918566348107</v>
      </c>
    </row>
    <row r="868" spans="6:8" x14ac:dyDescent="0.35">
      <c r="F868">
        <v>17.300000000000299</v>
      </c>
      <c r="G868">
        <f t="shared" si="26"/>
        <v>905.42961544171249</v>
      </c>
      <c r="H868">
        <f t="shared" si="27"/>
        <v>-387.25402817556903</v>
      </c>
    </row>
    <row r="869" spans="6:8" x14ac:dyDescent="0.35">
      <c r="F869">
        <v>17.320000000000299</v>
      </c>
      <c r="G869">
        <f t="shared" si="26"/>
        <v>906.47635488152946</v>
      </c>
      <c r="H869">
        <f t="shared" si="27"/>
        <v>-389.40279468765709</v>
      </c>
    </row>
    <row r="870" spans="6:8" x14ac:dyDescent="0.35">
      <c r="F870">
        <v>17.340000000000298</v>
      </c>
      <c r="G870">
        <f t="shared" si="26"/>
        <v>907.52309432134643</v>
      </c>
      <c r="H870">
        <f t="shared" si="27"/>
        <v>-391.55548519974502</v>
      </c>
    </row>
    <row r="871" spans="6:8" x14ac:dyDescent="0.35">
      <c r="F871">
        <v>17.360000000000301</v>
      </c>
      <c r="G871">
        <f t="shared" si="26"/>
        <v>908.56983376116352</v>
      </c>
      <c r="H871">
        <f t="shared" si="27"/>
        <v>-393.7120997118335</v>
      </c>
    </row>
    <row r="872" spans="6:8" x14ac:dyDescent="0.35">
      <c r="F872">
        <v>17.380000000000301</v>
      </c>
      <c r="G872">
        <f t="shared" si="26"/>
        <v>909.6165732009805</v>
      </c>
      <c r="H872">
        <f t="shared" si="27"/>
        <v>-395.8726382239214</v>
      </c>
    </row>
    <row r="873" spans="6:8" x14ac:dyDescent="0.35">
      <c r="F873">
        <v>17.400000000000301</v>
      </c>
      <c r="G873">
        <f t="shared" si="26"/>
        <v>910.66331264079747</v>
      </c>
      <c r="H873">
        <f t="shared" si="27"/>
        <v>-398.03710073600939</v>
      </c>
    </row>
    <row r="874" spans="6:8" x14ac:dyDescent="0.35">
      <c r="F874">
        <v>17.4200000000003</v>
      </c>
      <c r="G874">
        <f t="shared" si="26"/>
        <v>911.71005208061445</v>
      </c>
      <c r="H874">
        <f t="shared" si="27"/>
        <v>-400.20548724809771</v>
      </c>
    </row>
    <row r="875" spans="6:8" x14ac:dyDescent="0.35">
      <c r="F875">
        <v>17.4400000000003</v>
      </c>
      <c r="G875">
        <f t="shared" si="26"/>
        <v>912.75679152043142</v>
      </c>
      <c r="H875">
        <f t="shared" si="27"/>
        <v>-402.37779776018567</v>
      </c>
    </row>
    <row r="876" spans="6:8" x14ac:dyDescent="0.35">
      <c r="F876">
        <v>17.460000000000299</v>
      </c>
      <c r="G876">
        <f t="shared" si="26"/>
        <v>913.80353096024839</v>
      </c>
      <c r="H876">
        <f t="shared" si="27"/>
        <v>-404.55403227227396</v>
      </c>
    </row>
    <row r="877" spans="6:8" x14ac:dyDescent="0.35">
      <c r="F877">
        <v>17.480000000000299</v>
      </c>
      <c r="G877">
        <f t="shared" si="26"/>
        <v>914.85027040006537</v>
      </c>
      <c r="H877">
        <f t="shared" si="27"/>
        <v>-406.73419078436166</v>
      </c>
    </row>
    <row r="878" spans="6:8" x14ac:dyDescent="0.35">
      <c r="F878">
        <v>17.500000000000298</v>
      </c>
      <c r="G878">
        <f t="shared" si="26"/>
        <v>915.89700983988234</v>
      </c>
      <c r="H878">
        <f t="shared" si="27"/>
        <v>-408.91827329645014</v>
      </c>
    </row>
    <row r="879" spans="6:8" x14ac:dyDescent="0.35">
      <c r="F879">
        <v>17.520000000000302</v>
      </c>
      <c r="G879">
        <f t="shared" si="26"/>
        <v>916.94374927969955</v>
      </c>
      <c r="H879">
        <f t="shared" si="27"/>
        <v>-411.10627980853849</v>
      </c>
    </row>
    <row r="880" spans="6:8" x14ac:dyDescent="0.35">
      <c r="F880">
        <v>17.540000000000301</v>
      </c>
      <c r="G880">
        <f t="shared" si="26"/>
        <v>917.99048871951652</v>
      </c>
      <c r="H880">
        <f t="shared" si="27"/>
        <v>-413.29821032062625</v>
      </c>
    </row>
    <row r="881" spans="6:8" x14ac:dyDescent="0.35">
      <c r="F881">
        <v>17.560000000000301</v>
      </c>
      <c r="G881">
        <f t="shared" si="26"/>
        <v>919.03722815933338</v>
      </c>
      <c r="H881">
        <f t="shared" si="27"/>
        <v>-415.49406483271457</v>
      </c>
    </row>
    <row r="882" spans="6:8" x14ac:dyDescent="0.35">
      <c r="F882">
        <v>17.5800000000003</v>
      </c>
      <c r="G882">
        <f t="shared" si="26"/>
        <v>920.08396759915036</v>
      </c>
      <c r="H882">
        <f t="shared" si="27"/>
        <v>-417.69384334480253</v>
      </c>
    </row>
    <row r="883" spans="6:8" x14ac:dyDescent="0.35">
      <c r="F883">
        <v>17.6000000000003</v>
      </c>
      <c r="G883">
        <f t="shared" si="26"/>
        <v>921.13070703896733</v>
      </c>
      <c r="H883">
        <f t="shared" si="27"/>
        <v>-419.89754585689082</v>
      </c>
    </row>
    <row r="884" spans="6:8" x14ac:dyDescent="0.35">
      <c r="F884">
        <v>17.620000000000299</v>
      </c>
      <c r="G884">
        <f t="shared" si="26"/>
        <v>922.1774464787843</v>
      </c>
      <c r="H884">
        <f t="shared" si="27"/>
        <v>-422.10517236897851</v>
      </c>
    </row>
    <row r="885" spans="6:8" x14ac:dyDescent="0.35">
      <c r="F885">
        <v>17.640000000000299</v>
      </c>
      <c r="G885">
        <f t="shared" si="26"/>
        <v>923.22418591860128</v>
      </c>
      <c r="H885">
        <f t="shared" si="27"/>
        <v>-424.31672288106699</v>
      </c>
    </row>
    <row r="886" spans="6:8" x14ac:dyDescent="0.35">
      <c r="F886">
        <v>17.660000000000299</v>
      </c>
      <c r="G886">
        <f t="shared" si="26"/>
        <v>924.27092535841825</v>
      </c>
      <c r="H886">
        <f t="shared" si="27"/>
        <v>-426.53219739315489</v>
      </c>
    </row>
    <row r="887" spans="6:8" x14ac:dyDescent="0.35">
      <c r="F887">
        <v>17.680000000000302</v>
      </c>
      <c r="G887">
        <f t="shared" si="26"/>
        <v>925.31766479823546</v>
      </c>
      <c r="H887">
        <f t="shared" si="27"/>
        <v>-428.75159590524333</v>
      </c>
    </row>
    <row r="888" spans="6:8" x14ac:dyDescent="0.35">
      <c r="F888">
        <v>17.700000000000301</v>
      </c>
      <c r="G888">
        <f t="shared" si="26"/>
        <v>926.36440423805243</v>
      </c>
      <c r="H888">
        <f t="shared" si="27"/>
        <v>-430.97491841733142</v>
      </c>
    </row>
    <row r="889" spans="6:8" x14ac:dyDescent="0.35">
      <c r="F889">
        <v>17.720000000000301</v>
      </c>
      <c r="G889">
        <f t="shared" si="26"/>
        <v>927.4111436778694</v>
      </c>
      <c r="H889">
        <f t="shared" si="27"/>
        <v>-433.20216492941938</v>
      </c>
    </row>
    <row r="890" spans="6:8" x14ac:dyDescent="0.35">
      <c r="F890">
        <v>17.7400000000003</v>
      </c>
      <c r="G890">
        <f t="shared" si="26"/>
        <v>928.45788311768638</v>
      </c>
      <c r="H890">
        <f t="shared" si="27"/>
        <v>-435.43333544150744</v>
      </c>
    </row>
    <row r="891" spans="6:8" x14ac:dyDescent="0.35">
      <c r="F891">
        <v>17.7600000000003</v>
      </c>
      <c r="G891">
        <f t="shared" si="26"/>
        <v>929.50462255750335</v>
      </c>
      <c r="H891">
        <f t="shared" si="27"/>
        <v>-437.66842995359559</v>
      </c>
    </row>
    <row r="892" spans="6:8" x14ac:dyDescent="0.35">
      <c r="F892">
        <v>17.7800000000003</v>
      </c>
      <c r="G892">
        <f t="shared" si="26"/>
        <v>930.55136199732021</v>
      </c>
      <c r="H892">
        <f t="shared" si="27"/>
        <v>-439.90744846568361</v>
      </c>
    </row>
    <row r="893" spans="6:8" x14ac:dyDescent="0.35">
      <c r="F893">
        <v>17.800000000000299</v>
      </c>
      <c r="G893">
        <f t="shared" si="26"/>
        <v>931.59810143713719</v>
      </c>
      <c r="H893">
        <f t="shared" si="27"/>
        <v>-442.15039097777174</v>
      </c>
    </row>
    <row r="894" spans="6:8" x14ac:dyDescent="0.35">
      <c r="F894">
        <v>17.820000000000299</v>
      </c>
      <c r="G894">
        <f t="shared" si="26"/>
        <v>932.64484087695416</v>
      </c>
      <c r="H894">
        <f t="shared" si="27"/>
        <v>-444.39725748985973</v>
      </c>
    </row>
    <row r="895" spans="6:8" x14ac:dyDescent="0.35">
      <c r="F895">
        <v>17.840000000000298</v>
      </c>
      <c r="G895">
        <f t="shared" si="26"/>
        <v>933.69158031677114</v>
      </c>
      <c r="H895">
        <f t="shared" si="27"/>
        <v>-446.64804800194781</v>
      </c>
    </row>
    <row r="896" spans="6:8" x14ac:dyDescent="0.35">
      <c r="F896">
        <v>17.860000000000301</v>
      </c>
      <c r="G896">
        <f t="shared" si="26"/>
        <v>934.73831975658834</v>
      </c>
      <c r="H896">
        <f t="shared" si="27"/>
        <v>-448.902762514036</v>
      </c>
    </row>
    <row r="897" spans="6:8" x14ac:dyDescent="0.35">
      <c r="F897">
        <v>17.880000000000301</v>
      </c>
      <c r="G897">
        <f t="shared" si="26"/>
        <v>935.78505919640531</v>
      </c>
      <c r="H897">
        <f t="shared" si="27"/>
        <v>-451.16140102612451</v>
      </c>
    </row>
    <row r="898" spans="6:8" x14ac:dyDescent="0.35">
      <c r="F898">
        <v>17.900000000000301</v>
      </c>
      <c r="G898">
        <f t="shared" si="26"/>
        <v>936.83179863622229</v>
      </c>
      <c r="H898">
        <f t="shared" si="27"/>
        <v>-453.42396353821243</v>
      </c>
    </row>
    <row r="899" spans="6:8" x14ac:dyDescent="0.35">
      <c r="F899">
        <v>17.9200000000003</v>
      </c>
      <c r="G899">
        <f t="shared" ref="G899:G962" si="28">$B$15*F899</f>
        <v>937.87853807603926</v>
      </c>
      <c r="H899">
        <f t="shared" ref="H899:H962" si="29">$B$13*F899-($B$8*F899^2)/2+$B$12</f>
        <v>-455.69045005030046</v>
      </c>
    </row>
    <row r="900" spans="6:8" x14ac:dyDescent="0.35">
      <c r="F900">
        <v>17.9400000000003</v>
      </c>
      <c r="G900">
        <f t="shared" si="28"/>
        <v>938.92527751585624</v>
      </c>
      <c r="H900">
        <f t="shared" si="29"/>
        <v>-457.96086056238858</v>
      </c>
    </row>
    <row r="901" spans="6:8" x14ac:dyDescent="0.35">
      <c r="F901">
        <v>17.960000000000299</v>
      </c>
      <c r="G901">
        <f t="shared" si="28"/>
        <v>939.97201695567321</v>
      </c>
      <c r="H901">
        <f t="shared" si="29"/>
        <v>-460.23519507447656</v>
      </c>
    </row>
    <row r="902" spans="6:8" x14ac:dyDescent="0.35">
      <c r="F902">
        <v>17.980000000000299</v>
      </c>
      <c r="G902">
        <f t="shared" si="28"/>
        <v>941.01875639549019</v>
      </c>
      <c r="H902">
        <f t="shared" si="29"/>
        <v>-462.51345358656465</v>
      </c>
    </row>
    <row r="903" spans="6:8" x14ac:dyDescent="0.35">
      <c r="F903">
        <v>18.000000000000298</v>
      </c>
      <c r="G903">
        <f t="shared" si="28"/>
        <v>942.06549583530716</v>
      </c>
      <c r="H903">
        <f t="shared" si="29"/>
        <v>-464.79563609865261</v>
      </c>
    </row>
    <row r="904" spans="6:8" x14ac:dyDescent="0.35">
      <c r="F904">
        <v>18.020000000000302</v>
      </c>
      <c r="G904">
        <f t="shared" si="28"/>
        <v>943.11223527512425</v>
      </c>
      <c r="H904">
        <f t="shared" si="29"/>
        <v>-467.08174261074112</v>
      </c>
    </row>
    <row r="905" spans="6:8" x14ac:dyDescent="0.35">
      <c r="F905">
        <v>18.040000000000301</v>
      </c>
      <c r="G905">
        <f t="shared" si="28"/>
        <v>944.15897471494122</v>
      </c>
      <c r="H905">
        <f t="shared" si="29"/>
        <v>-469.37177312282904</v>
      </c>
    </row>
    <row r="906" spans="6:8" x14ac:dyDescent="0.35">
      <c r="F906">
        <v>18.060000000000301</v>
      </c>
      <c r="G906">
        <f t="shared" si="28"/>
        <v>945.2057141547582</v>
      </c>
      <c r="H906">
        <f t="shared" si="29"/>
        <v>-471.66572763491752</v>
      </c>
    </row>
    <row r="907" spans="6:8" x14ac:dyDescent="0.35">
      <c r="F907">
        <v>18.0800000000003</v>
      </c>
      <c r="G907">
        <f t="shared" si="28"/>
        <v>946.25245359457517</v>
      </c>
      <c r="H907">
        <f t="shared" si="29"/>
        <v>-473.96360614700518</v>
      </c>
    </row>
    <row r="908" spans="6:8" x14ac:dyDescent="0.35">
      <c r="F908">
        <v>18.1000000000003</v>
      </c>
      <c r="G908">
        <f t="shared" si="28"/>
        <v>947.29919303439215</v>
      </c>
      <c r="H908">
        <f t="shared" si="29"/>
        <v>-476.26540865909362</v>
      </c>
    </row>
    <row r="909" spans="6:8" x14ac:dyDescent="0.35">
      <c r="F909">
        <v>18.120000000000299</v>
      </c>
      <c r="G909">
        <f t="shared" si="28"/>
        <v>948.34593247420912</v>
      </c>
      <c r="H909">
        <f t="shared" si="29"/>
        <v>-478.57113517118148</v>
      </c>
    </row>
    <row r="910" spans="6:8" x14ac:dyDescent="0.35">
      <c r="F910">
        <v>18.140000000000299</v>
      </c>
      <c r="G910">
        <f t="shared" si="28"/>
        <v>949.3926719140261</v>
      </c>
      <c r="H910">
        <f t="shared" si="29"/>
        <v>-480.88078568326944</v>
      </c>
    </row>
    <row r="911" spans="6:8" x14ac:dyDescent="0.35">
      <c r="F911">
        <v>18.160000000000299</v>
      </c>
      <c r="G911">
        <f t="shared" si="28"/>
        <v>950.43941135384307</v>
      </c>
      <c r="H911">
        <f t="shared" si="29"/>
        <v>-483.19436019535772</v>
      </c>
    </row>
    <row r="912" spans="6:8" x14ac:dyDescent="0.35">
      <c r="F912">
        <v>18.180000000000302</v>
      </c>
      <c r="G912">
        <f t="shared" si="28"/>
        <v>951.48615079366016</v>
      </c>
      <c r="H912">
        <f t="shared" si="29"/>
        <v>-485.51185870744609</v>
      </c>
    </row>
    <row r="913" spans="6:8" x14ac:dyDescent="0.35">
      <c r="F913">
        <v>18.200000000000301</v>
      </c>
      <c r="G913">
        <f t="shared" si="28"/>
        <v>952.53289023347713</v>
      </c>
      <c r="H913">
        <f t="shared" si="29"/>
        <v>-487.83328121953434</v>
      </c>
    </row>
    <row r="914" spans="6:8" x14ac:dyDescent="0.35">
      <c r="F914">
        <v>18.220000000000301</v>
      </c>
      <c r="G914">
        <f t="shared" si="28"/>
        <v>953.57962967329411</v>
      </c>
      <c r="H914">
        <f t="shared" si="29"/>
        <v>-490.158627731622</v>
      </c>
    </row>
    <row r="915" spans="6:8" x14ac:dyDescent="0.35">
      <c r="F915">
        <v>18.2400000000003</v>
      </c>
      <c r="G915">
        <f t="shared" si="28"/>
        <v>954.62636911311108</v>
      </c>
      <c r="H915">
        <f t="shared" si="29"/>
        <v>-492.48789824371022</v>
      </c>
    </row>
    <row r="916" spans="6:8" x14ac:dyDescent="0.35">
      <c r="F916">
        <v>18.2600000000003</v>
      </c>
      <c r="G916">
        <f t="shared" si="28"/>
        <v>955.67310855292806</v>
      </c>
      <c r="H916">
        <f t="shared" si="29"/>
        <v>-494.8210927557983</v>
      </c>
    </row>
    <row r="917" spans="6:8" x14ac:dyDescent="0.35">
      <c r="F917">
        <v>18.2800000000003</v>
      </c>
      <c r="G917">
        <f t="shared" si="28"/>
        <v>956.71984799274503</v>
      </c>
      <c r="H917">
        <f t="shared" si="29"/>
        <v>-497.15821126788626</v>
      </c>
    </row>
    <row r="918" spans="6:8" x14ac:dyDescent="0.35">
      <c r="F918">
        <v>18.300000000000299</v>
      </c>
      <c r="G918">
        <f t="shared" si="28"/>
        <v>957.76658743256201</v>
      </c>
      <c r="H918">
        <f t="shared" si="29"/>
        <v>-499.49925377997454</v>
      </c>
    </row>
    <row r="919" spans="6:8" x14ac:dyDescent="0.35">
      <c r="F919">
        <v>18.320000000000299</v>
      </c>
      <c r="G919">
        <f t="shared" si="28"/>
        <v>958.81332687237898</v>
      </c>
      <c r="H919">
        <f t="shared" si="29"/>
        <v>-501.84422029206246</v>
      </c>
    </row>
    <row r="920" spans="6:8" x14ac:dyDescent="0.35">
      <c r="F920">
        <v>18.340000000000298</v>
      </c>
      <c r="G920">
        <f t="shared" si="28"/>
        <v>959.86006631219595</v>
      </c>
      <c r="H920">
        <f t="shared" si="29"/>
        <v>-504.19311080415071</v>
      </c>
    </row>
    <row r="921" spans="6:8" x14ac:dyDescent="0.35">
      <c r="F921">
        <v>18.360000000000301</v>
      </c>
      <c r="G921">
        <f t="shared" si="28"/>
        <v>960.90680575201304</v>
      </c>
      <c r="H921">
        <f t="shared" si="29"/>
        <v>-506.54592531623882</v>
      </c>
    </row>
    <row r="922" spans="6:8" x14ac:dyDescent="0.35">
      <c r="F922">
        <v>18.380000000000301</v>
      </c>
      <c r="G922">
        <f t="shared" si="28"/>
        <v>961.95354519183002</v>
      </c>
      <c r="H922">
        <f t="shared" si="29"/>
        <v>-508.90266382832704</v>
      </c>
    </row>
    <row r="923" spans="6:8" x14ac:dyDescent="0.35">
      <c r="F923">
        <v>18.400000000000301</v>
      </c>
      <c r="G923">
        <f t="shared" si="28"/>
        <v>963.00028463164699</v>
      </c>
      <c r="H923">
        <f t="shared" si="29"/>
        <v>-511.26332634041535</v>
      </c>
    </row>
    <row r="924" spans="6:8" x14ac:dyDescent="0.35">
      <c r="F924">
        <v>18.4200000000003</v>
      </c>
      <c r="G924">
        <f t="shared" si="28"/>
        <v>964.04702407146397</v>
      </c>
      <c r="H924">
        <f t="shared" si="29"/>
        <v>-513.62791285250307</v>
      </c>
    </row>
    <row r="925" spans="6:8" x14ac:dyDescent="0.35">
      <c r="F925">
        <v>18.4400000000003</v>
      </c>
      <c r="G925">
        <f t="shared" si="28"/>
        <v>965.09376351128094</v>
      </c>
      <c r="H925">
        <f t="shared" si="29"/>
        <v>-515.99642336459135</v>
      </c>
    </row>
    <row r="926" spans="6:8" x14ac:dyDescent="0.35">
      <c r="F926">
        <v>18.460000000000299</v>
      </c>
      <c r="G926">
        <f t="shared" si="28"/>
        <v>966.14050295109791</v>
      </c>
      <c r="H926">
        <f t="shared" si="29"/>
        <v>-518.36885787667927</v>
      </c>
    </row>
    <row r="927" spans="6:8" x14ac:dyDescent="0.35">
      <c r="F927">
        <v>18.480000000000299</v>
      </c>
      <c r="G927">
        <f t="shared" si="28"/>
        <v>967.18724239091489</v>
      </c>
      <c r="H927">
        <f t="shared" si="29"/>
        <v>-520.74521638876729</v>
      </c>
    </row>
    <row r="928" spans="6:8" x14ac:dyDescent="0.35">
      <c r="F928">
        <v>18.500000000000298</v>
      </c>
      <c r="G928">
        <f t="shared" si="28"/>
        <v>968.23398183073186</v>
      </c>
      <c r="H928">
        <f t="shared" si="29"/>
        <v>-523.1254989008554</v>
      </c>
    </row>
    <row r="929" spans="6:8" x14ac:dyDescent="0.35">
      <c r="F929">
        <v>18.520000000000302</v>
      </c>
      <c r="G929">
        <f t="shared" si="28"/>
        <v>969.28072127054907</v>
      </c>
      <c r="H929">
        <f t="shared" si="29"/>
        <v>-525.50970541294384</v>
      </c>
    </row>
    <row r="930" spans="6:8" x14ac:dyDescent="0.35">
      <c r="F930">
        <v>18.540000000000301</v>
      </c>
      <c r="G930">
        <f t="shared" si="28"/>
        <v>970.32746071036604</v>
      </c>
      <c r="H930">
        <f t="shared" si="29"/>
        <v>-527.89783592503193</v>
      </c>
    </row>
    <row r="931" spans="6:8" x14ac:dyDescent="0.35">
      <c r="F931">
        <v>18.560000000000301</v>
      </c>
      <c r="G931">
        <f t="shared" si="28"/>
        <v>971.37420015018301</v>
      </c>
      <c r="H931">
        <f t="shared" si="29"/>
        <v>-530.28989043712011</v>
      </c>
    </row>
    <row r="932" spans="6:8" x14ac:dyDescent="0.35">
      <c r="F932">
        <v>18.5800000000003</v>
      </c>
      <c r="G932">
        <f t="shared" si="28"/>
        <v>972.42093958999988</v>
      </c>
      <c r="H932">
        <f t="shared" si="29"/>
        <v>-532.68586894920816</v>
      </c>
    </row>
    <row r="933" spans="6:8" x14ac:dyDescent="0.35">
      <c r="F933">
        <v>18.6000000000003</v>
      </c>
      <c r="G933">
        <f t="shared" si="28"/>
        <v>973.46767902981685</v>
      </c>
      <c r="H933">
        <f t="shared" si="29"/>
        <v>-535.08577146129608</v>
      </c>
    </row>
    <row r="934" spans="6:8" x14ac:dyDescent="0.35">
      <c r="F934">
        <v>18.620000000000299</v>
      </c>
      <c r="G934">
        <f t="shared" si="28"/>
        <v>974.51441846963382</v>
      </c>
      <c r="H934">
        <f t="shared" si="29"/>
        <v>-537.48959797338432</v>
      </c>
    </row>
    <row r="935" spans="6:8" x14ac:dyDescent="0.35">
      <c r="F935">
        <v>18.640000000000299</v>
      </c>
      <c r="G935">
        <f t="shared" si="28"/>
        <v>975.5611579094508</v>
      </c>
      <c r="H935">
        <f t="shared" si="29"/>
        <v>-539.89734848547243</v>
      </c>
    </row>
    <row r="936" spans="6:8" x14ac:dyDescent="0.35">
      <c r="F936">
        <v>18.660000000000299</v>
      </c>
      <c r="G936">
        <f t="shared" si="28"/>
        <v>976.60789734926777</v>
      </c>
      <c r="H936">
        <f t="shared" si="29"/>
        <v>-542.30902299756042</v>
      </c>
    </row>
    <row r="937" spans="6:8" x14ac:dyDescent="0.35">
      <c r="F937">
        <v>18.680000000000302</v>
      </c>
      <c r="G937">
        <f t="shared" si="28"/>
        <v>977.65463678908498</v>
      </c>
      <c r="H937">
        <f t="shared" si="29"/>
        <v>-544.72462150964873</v>
      </c>
    </row>
    <row r="938" spans="6:8" x14ac:dyDescent="0.35">
      <c r="F938">
        <v>18.700000000000301</v>
      </c>
      <c r="G938">
        <f t="shared" si="28"/>
        <v>978.70137622890195</v>
      </c>
      <c r="H938">
        <f t="shared" si="29"/>
        <v>-547.14414402173691</v>
      </c>
    </row>
    <row r="939" spans="6:8" x14ac:dyDescent="0.35">
      <c r="F939">
        <v>18.720000000000301</v>
      </c>
      <c r="G939">
        <f t="shared" si="28"/>
        <v>979.74811566871892</v>
      </c>
      <c r="H939">
        <f t="shared" si="29"/>
        <v>-549.56759053382495</v>
      </c>
    </row>
    <row r="940" spans="6:8" x14ac:dyDescent="0.35">
      <c r="F940">
        <v>18.7400000000003</v>
      </c>
      <c r="G940">
        <f t="shared" si="28"/>
        <v>980.7948551085359</v>
      </c>
      <c r="H940">
        <f t="shared" si="29"/>
        <v>-551.9949610459131</v>
      </c>
    </row>
    <row r="941" spans="6:8" x14ac:dyDescent="0.35">
      <c r="F941">
        <v>18.7600000000003</v>
      </c>
      <c r="G941">
        <f t="shared" si="28"/>
        <v>981.84159454835287</v>
      </c>
      <c r="H941">
        <f t="shared" si="29"/>
        <v>-554.42625555800089</v>
      </c>
    </row>
    <row r="942" spans="6:8" x14ac:dyDescent="0.35">
      <c r="F942">
        <v>18.7800000000003</v>
      </c>
      <c r="G942">
        <f t="shared" si="28"/>
        <v>982.88833398816985</v>
      </c>
      <c r="H942">
        <f t="shared" si="29"/>
        <v>-556.861474070089</v>
      </c>
    </row>
    <row r="943" spans="6:8" x14ac:dyDescent="0.35">
      <c r="F943">
        <v>18.800000000000299</v>
      </c>
      <c r="G943">
        <f t="shared" si="28"/>
        <v>983.93507342798671</v>
      </c>
      <c r="H943">
        <f t="shared" si="29"/>
        <v>-559.30061658217721</v>
      </c>
    </row>
    <row r="944" spans="6:8" x14ac:dyDescent="0.35">
      <c r="F944">
        <v>18.820000000000299</v>
      </c>
      <c r="G944">
        <f t="shared" si="28"/>
        <v>984.98181286780368</v>
      </c>
      <c r="H944">
        <f t="shared" si="29"/>
        <v>-561.74368309426507</v>
      </c>
    </row>
    <row r="945" spans="6:8" x14ac:dyDescent="0.35">
      <c r="F945">
        <v>18.840000000000298</v>
      </c>
      <c r="G945">
        <f t="shared" si="28"/>
        <v>986.02855230762066</v>
      </c>
      <c r="H945">
        <f t="shared" si="29"/>
        <v>-564.19067360635324</v>
      </c>
    </row>
    <row r="946" spans="6:8" x14ac:dyDescent="0.35">
      <c r="F946">
        <v>18.860000000000301</v>
      </c>
      <c r="G946">
        <f t="shared" si="28"/>
        <v>987.07529174743786</v>
      </c>
      <c r="H946">
        <f t="shared" si="29"/>
        <v>-566.64158811844175</v>
      </c>
    </row>
    <row r="947" spans="6:8" x14ac:dyDescent="0.35">
      <c r="F947">
        <v>18.880000000000301</v>
      </c>
      <c r="G947">
        <f t="shared" si="28"/>
        <v>988.12203118725483</v>
      </c>
      <c r="H947">
        <f t="shared" si="29"/>
        <v>-569.09642663052989</v>
      </c>
    </row>
    <row r="948" spans="6:8" x14ac:dyDescent="0.35">
      <c r="F948">
        <v>18.900000000000301</v>
      </c>
      <c r="G948">
        <f t="shared" si="28"/>
        <v>989.16877062707181</v>
      </c>
      <c r="H948">
        <f t="shared" si="29"/>
        <v>-571.55518914261791</v>
      </c>
    </row>
    <row r="949" spans="6:8" x14ac:dyDescent="0.35">
      <c r="F949">
        <v>18.9200000000003</v>
      </c>
      <c r="G949">
        <f t="shared" si="28"/>
        <v>990.21551006688878</v>
      </c>
      <c r="H949">
        <f t="shared" si="29"/>
        <v>-574.01787565470579</v>
      </c>
    </row>
    <row r="950" spans="6:8" x14ac:dyDescent="0.35">
      <c r="F950">
        <v>18.9400000000003</v>
      </c>
      <c r="G950">
        <f t="shared" si="28"/>
        <v>991.26224950670576</v>
      </c>
      <c r="H950">
        <f t="shared" si="29"/>
        <v>-576.484486166794</v>
      </c>
    </row>
    <row r="951" spans="6:8" x14ac:dyDescent="0.35">
      <c r="F951">
        <v>18.960000000000299</v>
      </c>
      <c r="G951">
        <f t="shared" si="28"/>
        <v>992.30898894652273</v>
      </c>
      <c r="H951">
        <f t="shared" si="29"/>
        <v>-578.95502067888185</v>
      </c>
    </row>
    <row r="952" spans="6:8" x14ac:dyDescent="0.35">
      <c r="F952">
        <v>18.980000000000299</v>
      </c>
      <c r="G952">
        <f t="shared" si="28"/>
        <v>993.35572838633971</v>
      </c>
      <c r="H952">
        <f t="shared" si="29"/>
        <v>-581.42947919097026</v>
      </c>
    </row>
    <row r="953" spans="6:8" x14ac:dyDescent="0.35">
      <c r="F953">
        <v>19.000000000000298</v>
      </c>
      <c r="G953">
        <f t="shared" si="28"/>
        <v>994.40246782615668</v>
      </c>
      <c r="H953">
        <f t="shared" si="29"/>
        <v>-583.9078617030583</v>
      </c>
    </row>
    <row r="954" spans="6:8" x14ac:dyDescent="0.35">
      <c r="F954">
        <v>19.020000000000302</v>
      </c>
      <c r="G954">
        <f t="shared" si="28"/>
        <v>995.44920726597377</v>
      </c>
      <c r="H954">
        <f t="shared" si="29"/>
        <v>-586.39016821514667</v>
      </c>
    </row>
    <row r="955" spans="6:8" x14ac:dyDescent="0.35">
      <c r="F955">
        <v>19.040000000000301</v>
      </c>
      <c r="G955">
        <f t="shared" si="28"/>
        <v>996.49594670579074</v>
      </c>
      <c r="H955">
        <f t="shared" si="29"/>
        <v>-588.87639872723469</v>
      </c>
    </row>
    <row r="956" spans="6:8" x14ac:dyDescent="0.35">
      <c r="F956">
        <v>19.060000000000301</v>
      </c>
      <c r="G956">
        <f t="shared" si="28"/>
        <v>997.54268614560772</v>
      </c>
      <c r="H956">
        <f t="shared" si="29"/>
        <v>-591.3665532393228</v>
      </c>
    </row>
    <row r="957" spans="6:8" x14ac:dyDescent="0.35">
      <c r="F957">
        <v>19.0800000000003</v>
      </c>
      <c r="G957">
        <f t="shared" si="28"/>
        <v>998.58942558542469</v>
      </c>
      <c r="H957">
        <f t="shared" si="29"/>
        <v>-593.86063175141078</v>
      </c>
    </row>
    <row r="958" spans="6:8" x14ac:dyDescent="0.35">
      <c r="F958">
        <v>19.1000000000003</v>
      </c>
      <c r="G958">
        <f t="shared" si="28"/>
        <v>999.63616502524167</v>
      </c>
      <c r="H958">
        <f t="shared" si="29"/>
        <v>-596.35863426349863</v>
      </c>
    </row>
    <row r="959" spans="6:8" x14ac:dyDescent="0.35">
      <c r="F959">
        <v>19.120000000000299</v>
      </c>
      <c r="G959">
        <f t="shared" si="28"/>
        <v>1000.6829044650586</v>
      </c>
      <c r="H959">
        <f t="shared" si="29"/>
        <v>-598.86056077558703</v>
      </c>
    </row>
    <row r="960" spans="6:8" x14ac:dyDescent="0.35">
      <c r="F960">
        <v>19.140000000000299</v>
      </c>
      <c r="G960">
        <f t="shared" si="28"/>
        <v>1001.7296439048756</v>
      </c>
      <c r="H960">
        <f t="shared" si="29"/>
        <v>-601.36641128767508</v>
      </c>
    </row>
    <row r="961" spans="6:8" x14ac:dyDescent="0.35">
      <c r="F961">
        <v>19.160000000000299</v>
      </c>
      <c r="G961">
        <f t="shared" si="28"/>
        <v>1002.7763833446926</v>
      </c>
      <c r="H961">
        <f t="shared" si="29"/>
        <v>-603.87618579976299</v>
      </c>
    </row>
    <row r="962" spans="6:8" x14ac:dyDescent="0.35">
      <c r="F962">
        <v>19.180000000000302</v>
      </c>
      <c r="G962">
        <f t="shared" si="28"/>
        <v>1003.8231227845097</v>
      </c>
      <c r="H962">
        <f t="shared" si="29"/>
        <v>-606.38988431185146</v>
      </c>
    </row>
    <row r="963" spans="6:8" x14ac:dyDescent="0.35">
      <c r="F963">
        <v>19.200000000000301</v>
      </c>
      <c r="G963">
        <f t="shared" ref="G963:G1026" si="30">$B$15*F963</f>
        <v>1004.8698622243267</v>
      </c>
      <c r="H963">
        <f t="shared" ref="H963:H1026" si="31">$B$13*F963-($B$8*F963^2)/2+$B$12</f>
        <v>-608.90750682393957</v>
      </c>
    </row>
    <row r="964" spans="6:8" x14ac:dyDescent="0.35">
      <c r="F964">
        <v>19.220000000000301</v>
      </c>
      <c r="G964">
        <f t="shared" si="30"/>
        <v>1005.9166016641436</v>
      </c>
      <c r="H964">
        <f t="shared" si="31"/>
        <v>-611.42905333602778</v>
      </c>
    </row>
    <row r="965" spans="6:8" x14ac:dyDescent="0.35">
      <c r="F965">
        <v>19.2400000000003</v>
      </c>
      <c r="G965">
        <f t="shared" si="30"/>
        <v>1006.9633411039606</v>
      </c>
      <c r="H965">
        <f t="shared" si="31"/>
        <v>-613.95452384811585</v>
      </c>
    </row>
    <row r="966" spans="6:8" x14ac:dyDescent="0.35">
      <c r="F966">
        <v>19.2600000000003</v>
      </c>
      <c r="G966">
        <f t="shared" si="30"/>
        <v>1008.0100805437776</v>
      </c>
      <c r="H966">
        <f t="shared" si="31"/>
        <v>-616.4839183602038</v>
      </c>
    </row>
    <row r="967" spans="6:8" x14ac:dyDescent="0.35">
      <c r="F967">
        <v>19.2800000000003</v>
      </c>
      <c r="G967">
        <f t="shared" si="30"/>
        <v>1009.0568199835946</v>
      </c>
      <c r="H967">
        <f t="shared" si="31"/>
        <v>-619.01723687229185</v>
      </c>
    </row>
    <row r="968" spans="6:8" x14ac:dyDescent="0.35">
      <c r="F968">
        <v>19.300000000000299</v>
      </c>
      <c r="G968">
        <f t="shared" si="30"/>
        <v>1010.1035594234115</v>
      </c>
      <c r="H968">
        <f t="shared" si="31"/>
        <v>-621.55447938437999</v>
      </c>
    </row>
    <row r="969" spans="6:8" x14ac:dyDescent="0.35">
      <c r="F969">
        <v>19.320000000000299</v>
      </c>
      <c r="G969">
        <f t="shared" si="30"/>
        <v>1011.1502988632285</v>
      </c>
      <c r="H969">
        <f t="shared" si="31"/>
        <v>-624.095645896468</v>
      </c>
    </row>
    <row r="970" spans="6:8" x14ac:dyDescent="0.35">
      <c r="F970">
        <v>19.340000000000298</v>
      </c>
      <c r="G970">
        <f t="shared" si="30"/>
        <v>1012.1970383030455</v>
      </c>
      <c r="H970">
        <f t="shared" si="31"/>
        <v>-626.64073640855588</v>
      </c>
    </row>
    <row r="971" spans="6:8" x14ac:dyDescent="0.35">
      <c r="F971">
        <v>19.360000000000301</v>
      </c>
      <c r="G971">
        <f t="shared" si="30"/>
        <v>1013.2437777428626</v>
      </c>
      <c r="H971">
        <f t="shared" si="31"/>
        <v>-629.18975092064477</v>
      </c>
    </row>
    <row r="972" spans="6:8" x14ac:dyDescent="0.35">
      <c r="F972">
        <v>19.380000000000301</v>
      </c>
      <c r="G972">
        <f t="shared" si="30"/>
        <v>1014.2905171826795</v>
      </c>
      <c r="H972">
        <f t="shared" si="31"/>
        <v>-631.74268943273262</v>
      </c>
    </row>
    <row r="973" spans="6:8" x14ac:dyDescent="0.35">
      <c r="F973">
        <v>19.400000000000301</v>
      </c>
      <c r="G973">
        <f t="shared" si="30"/>
        <v>1015.3372566224965</v>
      </c>
      <c r="H973">
        <f t="shared" si="31"/>
        <v>-634.29955194482079</v>
      </c>
    </row>
    <row r="974" spans="6:8" x14ac:dyDescent="0.35">
      <c r="F974">
        <v>19.4200000000003</v>
      </c>
      <c r="G974">
        <f t="shared" si="30"/>
        <v>1016.3839960623135</v>
      </c>
      <c r="H974">
        <f t="shared" si="31"/>
        <v>-636.86033845690861</v>
      </c>
    </row>
    <row r="975" spans="6:8" x14ac:dyDescent="0.35">
      <c r="F975">
        <v>19.4400000000003</v>
      </c>
      <c r="G975">
        <f t="shared" si="30"/>
        <v>1017.4307355021305</v>
      </c>
      <c r="H975">
        <f t="shared" si="31"/>
        <v>-639.42504896899675</v>
      </c>
    </row>
    <row r="976" spans="6:8" x14ac:dyDescent="0.35">
      <c r="F976">
        <v>19.460000000000299</v>
      </c>
      <c r="G976">
        <f t="shared" si="30"/>
        <v>1018.4774749419474</v>
      </c>
      <c r="H976">
        <f t="shared" si="31"/>
        <v>-641.99368348108476</v>
      </c>
    </row>
    <row r="977" spans="6:8" x14ac:dyDescent="0.35">
      <c r="F977">
        <v>19.480000000000299</v>
      </c>
      <c r="G977">
        <f t="shared" si="30"/>
        <v>1019.5242143817644</v>
      </c>
      <c r="H977">
        <f t="shared" si="31"/>
        <v>-644.56624199317264</v>
      </c>
    </row>
    <row r="978" spans="6:8" x14ac:dyDescent="0.35">
      <c r="F978">
        <v>19.500000000000298</v>
      </c>
      <c r="G978">
        <f t="shared" si="30"/>
        <v>1020.5709538215814</v>
      </c>
      <c r="H978">
        <f t="shared" si="31"/>
        <v>-647.14272450526107</v>
      </c>
    </row>
    <row r="979" spans="6:8" x14ac:dyDescent="0.35">
      <c r="F979">
        <v>19.520000000000302</v>
      </c>
      <c r="G979">
        <f t="shared" si="30"/>
        <v>1021.6176932613986</v>
      </c>
      <c r="H979">
        <f t="shared" si="31"/>
        <v>-649.72313101734915</v>
      </c>
    </row>
    <row r="980" spans="6:8" x14ac:dyDescent="0.35">
      <c r="F980">
        <v>19.540000000000301</v>
      </c>
      <c r="G980">
        <f t="shared" si="30"/>
        <v>1022.6644327012156</v>
      </c>
      <c r="H980">
        <f t="shared" si="31"/>
        <v>-652.30746152943755</v>
      </c>
    </row>
    <row r="981" spans="6:8" x14ac:dyDescent="0.35">
      <c r="F981">
        <v>19.560000000000301</v>
      </c>
      <c r="G981">
        <f t="shared" si="30"/>
        <v>1023.7111721410325</v>
      </c>
      <c r="H981">
        <f t="shared" si="31"/>
        <v>-654.89571604152536</v>
      </c>
    </row>
    <row r="982" spans="6:8" x14ac:dyDescent="0.35">
      <c r="F982">
        <v>19.5800000000003</v>
      </c>
      <c r="G982">
        <f t="shared" si="30"/>
        <v>1024.7579115808494</v>
      </c>
      <c r="H982">
        <f t="shared" si="31"/>
        <v>-657.48789455361373</v>
      </c>
    </row>
    <row r="983" spans="6:8" x14ac:dyDescent="0.35">
      <c r="F983">
        <v>19.6000000000003</v>
      </c>
      <c r="G983">
        <f t="shared" si="30"/>
        <v>1025.8046510206664</v>
      </c>
      <c r="H983">
        <f t="shared" si="31"/>
        <v>-660.08399706570151</v>
      </c>
    </row>
    <row r="984" spans="6:8" x14ac:dyDescent="0.35">
      <c r="F984">
        <v>19.620000000000299</v>
      </c>
      <c r="G984">
        <f t="shared" si="30"/>
        <v>1026.8513904604833</v>
      </c>
      <c r="H984">
        <f t="shared" si="31"/>
        <v>-662.68402357778962</v>
      </c>
    </row>
    <row r="985" spans="6:8" x14ac:dyDescent="0.35">
      <c r="F985">
        <v>19.640000000000299</v>
      </c>
      <c r="G985">
        <f t="shared" si="30"/>
        <v>1027.8981299003003</v>
      </c>
      <c r="H985">
        <f t="shared" si="31"/>
        <v>-665.28797408987782</v>
      </c>
    </row>
    <row r="986" spans="6:8" x14ac:dyDescent="0.35">
      <c r="F986">
        <v>19.660000000000299</v>
      </c>
      <c r="G986">
        <f t="shared" si="30"/>
        <v>1028.9448693401173</v>
      </c>
      <c r="H986">
        <f t="shared" si="31"/>
        <v>-667.89584860196567</v>
      </c>
    </row>
    <row r="987" spans="6:8" x14ac:dyDescent="0.35">
      <c r="F987">
        <v>19.680000000000302</v>
      </c>
      <c r="G987">
        <f t="shared" si="30"/>
        <v>1029.9916087799345</v>
      </c>
      <c r="H987">
        <f t="shared" si="31"/>
        <v>-670.50764711405429</v>
      </c>
    </row>
    <row r="988" spans="6:8" x14ac:dyDescent="0.35">
      <c r="F988">
        <v>19.700000000000301</v>
      </c>
      <c r="G988">
        <f t="shared" si="30"/>
        <v>1031.0383482197515</v>
      </c>
      <c r="H988">
        <f t="shared" si="31"/>
        <v>-673.12336962614233</v>
      </c>
    </row>
    <row r="989" spans="6:8" x14ac:dyDescent="0.35">
      <c r="F989">
        <v>19.720000000000301</v>
      </c>
      <c r="G989">
        <f t="shared" si="30"/>
        <v>1032.0850876595684</v>
      </c>
      <c r="H989">
        <f t="shared" si="31"/>
        <v>-675.74301613823047</v>
      </c>
    </row>
    <row r="990" spans="6:8" x14ac:dyDescent="0.35">
      <c r="F990">
        <v>19.7400000000003</v>
      </c>
      <c r="G990">
        <f t="shared" si="30"/>
        <v>1033.1318270993854</v>
      </c>
      <c r="H990">
        <f t="shared" si="31"/>
        <v>-678.36658665031848</v>
      </c>
    </row>
    <row r="991" spans="6:8" x14ac:dyDescent="0.35">
      <c r="F991">
        <v>19.7600000000003</v>
      </c>
      <c r="G991">
        <f t="shared" si="30"/>
        <v>1034.1785665392024</v>
      </c>
      <c r="H991">
        <f t="shared" si="31"/>
        <v>-680.99408116240636</v>
      </c>
    </row>
    <row r="992" spans="6:8" x14ac:dyDescent="0.35">
      <c r="F992">
        <v>19.7800000000003</v>
      </c>
      <c r="G992">
        <f t="shared" si="30"/>
        <v>1035.2253059790194</v>
      </c>
      <c r="H992">
        <f t="shared" si="31"/>
        <v>-683.62549967449456</v>
      </c>
    </row>
    <row r="993" spans="6:8" x14ac:dyDescent="0.35">
      <c r="F993">
        <v>19.800000000000299</v>
      </c>
      <c r="G993">
        <f t="shared" si="30"/>
        <v>1036.2720454188363</v>
      </c>
      <c r="H993">
        <f t="shared" si="31"/>
        <v>-686.26084218658264</v>
      </c>
    </row>
    <row r="994" spans="6:8" x14ac:dyDescent="0.35">
      <c r="F994">
        <v>19.820000000000299</v>
      </c>
      <c r="G994">
        <f t="shared" si="30"/>
        <v>1037.3187848586533</v>
      </c>
      <c r="H994">
        <f t="shared" si="31"/>
        <v>-688.90010869867058</v>
      </c>
    </row>
    <row r="995" spans="6:8" x14ac:dyDescent="0.35">
      <c r="F995">
        <v>19.840000000000298</v>
      </c>
      <c r="G995">
        <f t="shared" si="30"/>
        <v>1038.3655242984703</v>
      </c>
      <c r="H995">
        <f t="shared" si="31"/>
        <v>-691.54329921075862</v>
      </c>
    </row>
    <row r="996" spans="6:8" x14ac:dyDescent="0.35">
      <c r="F996">
        <v>19.860000000000301</v>
      </c>
      <c r="G996">
        <f t="shared" si="30"/>
        <v>1039.4122637382875</v>
      </c>
      <c r="H996">
        <f t="shared" si="31"/>
        <v>-694.19041372284744</v>
      </c>
    </row>
    <row r="997" spans="6:8" x14ac:dyDescent="0.35">
      <c r="F997">
        <v>19.880000000000301</v>
      </c>
      <c r="G997">
        <f t="shared" si="30"/>
        <v>1040.4590031781042</v>
      </c>
      <c r="H997">
        <f t="shared" si="31"/>
        <v>-696.84145223493522</v>
      </c>
    </row>
    <row r="998" spans="6:8" x14ac:dyDescent="0.35">
      <c r="F998">
        <v>19.900000000000301</v>
      </c>
      <c r="G998">
        <f t="shared" si="30"/>
        <v>1041.5057426179212</v>
      </c>
      <c r="H998">
        <f t="shared" si="31"/>
        <v>-699.49641474702332</v>
      </c>
    </row>
    <row r="999" spans="6:8" x14ac:dyDescent="0.35">
      <c r="F999">
        <v>19.9200000000003</v>
      </c>
      <c r="G999">
        <f t="shared" si="30"/>
        <v>1042.5524820577382</v>
      </c>
      <c r="H999">
        <f t="shared" si="31"/>
        <v>-702.1553012591113</v>
      </c>
    </row>
    <row r="1000" spans="6:8" x14ac:dyDescent="0.35">
      <c r="F1000">
        <v>19.9400000000003</v>
      </c>
      <c r="G1000">
        <f t="shared" si="30"/>
        <v>1043.5992214975552</v>
      </c>
      <c r="H1000">
        <f t="shared" si="31"/>
        <v>-704.81811177119937</v>
      </c>
    </row>
    <row r="1001" spans="6:8" x14ac:dyDescent="0.35">
      <c r="F1001">
        <v>19.960000000000299</v>
      </c>
      <c r="G1001">
        <f t="shared" si="30"/>
        <v>1044.6459609373721</v>
      </c>
      <c r="H1001">
        <f t="shared" si="31"/>
        <v>-707.48484628328777</v>
      </c>
    </row>
    <row r="1002" spans="6:8" x14ac:dyDescent="0.35">
      <c r="F1002">
        <v>19.980000000000299</v>
      </c>
      <c r="G1002">
        <f t="shared" si="30"/>
        <v>1045.6927003771891</v>
      </c>
      <c r="H1002">
        <f t="shared" si="31"/>
        <v>-710.15550479537558</v>
      </c>
    </row>
    <row r="1003" spans="6:8" x14ac:dyDescent="0.35">
      <c r="F1003">
        <v>20.000000000000298</v>
      </c>
      <c r="G1003">
        <f t="shared" si="30"/>
        <v>1046.7394398170061</v>
      </c>
      <c r="H1003">
        <f t="shared" si="31"/>
        <v>-712.83008730746371</v>
      </c>
    </row>
    <row r="1004" spans="6:8" x14ac:dyDescent="0.35">
      <c r="F1004">
        <v>20.020000000000302</v>
      </c>
      <c r="G1004">
        <f t="shared" si="30"/>
        <v>1047.7861792568233</v>
      </c>
      <c r="H1004">
        <f t="shared" si="31"/>
        <v>-715.50859381955217</v>
      </c>
    </row>
    <row r="1005" spans="6:8" x14ac:dyDescent="0.35">
      <c r="F1005">
        <v>20.040000000000301</v>
      </c>
      <c r="G1005">
        <f t="shared" si="30"/>
        <v>1048.8329186966403</v>
      </c>
      <c r="H1005">
        <f t="shared" si="31"/>
        <v>-718.19102433164028</v>
      </c>
    </row>
    <row r="1006" spans="6:8" x14ac:dyDescent="0.35">
      <c r="F1006">
        <v>20.060000000000301</v>
      </c>
      <c r="G1006">
        <f t="shared" si="30"/>
        <v>1049.8796581364572</v>
      </c>
      <c r="H1006">
        <f t="shared" si="31"/>
        <v>-720.87737884372848</v>
      </c>
    </row>
    <row r="1007" spans="6:8" x14ac:dyDescent="0.35">
      <c r="F1007">
        <v>20.0800000000003</v>
      </c>
      <c r="G1007">
        <f t="shared" si="30"/>
        <v>1050.9263975762742</v>
      </c>
      <c r="H1007">
        <f t="shared" si="31"/>
        <v>-723.56765735581632</v>
      </c>
    </row>
    <row r="1008" spans="6:8" x14ac:dyDescent="0.35">
      <c r="F1008">
        <v>20.1000000000003</v>
      </c>
      <c r="G1008">
        <f t="shared" si="30"/>
        <v>1051.9731370160912</v>
      </c>
      <c r="H1008">
        <f t="shared" si="31"/>
        <v>-726.26185986790426</v>
      </c>
    </row>
    <row r="1009" spans="6:8" x14ac:dyDescent="0.35">
      <c r="F1009">
        <v>20.120000000000299</v>
      </c>
      <c r="G1009">
        <f t="shared" si="30"/>
        <v>1053.0198764559082</v>
      </c>
      <c r="H1009">
        <f t="shared" si="31"/>
        <v>-728.9599863799923</v>
      </c>
    </row>
    <row r="1010" spans="6:8" x14ac:dyDescent="0.35">
      <c r="F1010">
        <v>20.140000000000299</v>
      </c>
      <c r="G1010">
        <f t="shared" si="30"/>
        <v>1054.0666158957251</v>
      </c>
      <c r="H1010">
        <f t="shared" si="31"/>
        <v>-731.66203689208044</v>
      </c>
    </row>
    <row r="1011" spans="6:8" x14ac:dyDescent="0.35">
      <c r="F1011">
        <v>20.160000000000299</v>
      </c>
      <c r="G1011">
        <f t="shared" si="30"/>
        <v>1055.1133553355421</v>
      </c>
      <c r="H1011">
        <f t="shared" si="31"/>
        <v>-734.36801140416844</v>
      </c>
    </row>
    <row r="1012" spans="6:8" x14ac:dyDescent="0.35">
      <c r="F1012">
        <v>20.180000000000302</v>
      </c>
      <c r="G1012">
        <f t="shared" si="30"/>
        <v>1056.1600947753593</v>
      </c>
      <c r="H1012">
        <f t="shared" si="31"/>
        <v>-737.077909916257</v>
      </c>
    </row>
    <row r="1013" spans="6:8" x14ac:dyDescent="0.35">
      <c r="F1013">
        <v>20.200000000000301</v>
      </c>
      <c r="G1013">
        <f t="shared" si="30"/>
        <v>1057.2068342151763</v>
      </c>
      <c r="H1013">
        <f t="shared" si="31"/>
        <v>-739.7917324283452</v>
      </c>
    </row>
    <row r="1014" spans="6:8" x14ac:dyDescent="0.35">
      <c r="F1014">
        <v>20.220000000000301</v>
      </c>
      <c r="G1014">
        <f t="shared" si="30"/>
        <v>1058.2535736549933</v>
      </c>
      <c r="H1014">
        <f t="shared" si="31"/>
        <v>-742.50947894043327</v>
      </c>
    </row>
    <row r="1015" spans="6:8" x14ac:dyDescent="0.35">
      <c r="F1015">
        <v>20.2400000000003</v>
      </c>
      <c r="G1015">
        <f t="shared" si="30"/>
        <v>1059.3003130948102</v>
      </c>
      <c r="H1015">
        <f t="shared" si="31"/>
        <v>-745.23114945252121</v>
      </c>
    </row>
    <row r="1016" spans="6:8" x14ac:dyDescent="0.35">
      <c r="F1016">
        <v>20.2600000000003</v>
      </c>
      <c r="G1016">
        <f t="shared" si="30"/>
        <v>1060.3470525346272</v>
      </c>
      <c r="H1016">
        <f t="shared" si="31"/>
        <v>-747.95674396460925</v>
      </c>
    </row>
    <row r="1017" spans="6:8" x14ac:dyDescent="0.35">
      <c r="F1017">
        <v>20.2800000000003</v>
      </c>
      <c r="G1017">
        <f t="shared" si="30"/>
        <v>1061.3937919744442</v>
      </c>
      <c r="H1017">
        <f t="shared" si="31"/>
        <v>-750.68626247669738</v>
      </c>
    </row>
    <row r="1018" spans="6:8" x14ac:dyDescent="0.35">
      <c r="F1018">
        <v>20.300000000000299</v>
      </c>
      <c r="G1018">
        <f t="shared" si="30"/>
        <v>1062.4405314142612</v>
      </c>
      <c r="H1018">
        <f t="shared" si="31"/>
        <v>-753.41970498878538</v>
      </c>
    </row>
    <row r="1019" spans="6:8" x14ac:dyDescent="0.35">
      <c r="F1019">
        <v>20.320000000000299</v>
      </c>
      <c r="G1019">
        <f t="shared" si="30"/>
        <v>1063.4872708540781</v>
      </c>
      <c r="H1019">
        <f t="shared" si="31"/>
        <v>-756.15707150087371</v>
      </c>
    </row>
    <row r="1020" spans="6:8" x14ac:dyDescent="0.35">
      <c r="F1020">
        <v>20.340000000000298</v>
      </c>
      <c r="G1020">
        <f t="shared" si="30"/>
        <v>1064.5340102938949</v>
      </c>
      <c r="H1020">
        <f t="shared" si="31"/>
        <v>-758.89836201296168</v>
      </c>
    </row>
    <row r="1021" spans="6:8" x14ac:dyDescent="0.35">
      <c r="F1021">
        <v>20.360000000000301</v>
      </c>
      <c r="G1021">
        <f t="shared" si="30"/>
        <v>1065.5807497337121</v>
      </c>
      <c r="H1021">
        <f t="shared" si="31"/>
        <v>-761.64357652504998</v>
      </c>
    </row>
    <row r="1022" spans="6:8" x14ac:dyDescent="0.35">
      <c r="F1022">
        <v>20.380000000000301</v>
      </c>
      <c r="G1022">
        <f t="shared" si="30"/>
        <v>1066.6274891735291</v>
      </c>
      <c r="H1022">
        <f t="shared" si="31"/>
        <v>-764.39271503713815</v>
      </c>
    </row>
    <row r="1023" spans="6:8" x14ac:dyDescent="0.35">
      <c r="F1023">
        <v>20.400000000000301</v>
      </c>
      <c r="G1023">
        <f t="shared" si="30"/>
        <v>1067.674228613346</v>
      </c>
      <c r="H1023">
        <f t="shared" si="31"/>
        <v>-767.14577754922595</v>
      </c>
    </row>
    <row r="1024" spans="6:8" x14ac:dyDescent="0.35">
      <c r="F1024">
        <v>20.4200000000003</v>
      </c>
      <c r="G1024">
        <f t="shared" si="30"/>
        <v>1068.720968053163</v>
      </c>
      <c r="H1024">
        <f t="shared" si="31"/>
        <v>-769.90276406131409</v>
      </c>
    </row>
    <row r="1025" spans="6:8" x14ac:dyDescent="0.35">
      <c r="F1025">
        <v>20.4400000000003</v>
      </c>
      <c r="G1025">
        <f t="shared" si="30"/>
        <v>1069.76770749298</v>
      </c>
      <c r="H1025">
        <f t="shared" si="31"/>
        <v>-772.66367457340232</v>
      </c>
    </row>
    <row r="1026" spans="6:8" x14ac:dyDescent="0.35">
      <c r="F1026">
        <v>20.460000000000299</v>
      </c>
      <c r="G1026">
        <f t="shared" si="30"/>
        <v>1070.814446932797</v>
      </c>
      <c r="H1026">
        <f t="shared" si="31"/>
        <v>-775.42850908549019</v>
      </c>
    </row>
    <row r="1027" spans="6:8" x14ac:dyDescent="0.35">
      <c r="F1027">
        <v>20.480000000000299</v>
      </c>
      <c r="G1027">
        <f t="shared" ref="G1027:G1090" si="32">$B$15*F1027</f>
        <v>1071.8611863726139</v>
      </c>
      <c r="H1027">
        <f t="shared" ref="H1027:H1053" si="33">$B$13*F1027-($B$8*F1027^2)/2+$B$12</f>
        <v>-778.19726759757839</v>
      </c>
    </row>
    <row r="1028" spans="6:8" x14ac:dyDescent="0.35">
      <c r="F1028">
        <v>20.500000000000298</v>
      </c>
      <c r="G1028">
        <f t="shared" si="32"/>
        <v>1072.9079258124309</v>
      </c>
      <c r="H1028">
        <f t="shared" si="33"/>
        <v>-780.96995010966623</v>
      </c>
    </row>
    <row r="1029" spans="6:8" x14ac:dyDescent="0.35">
      <c r="F1029">
        <v>20.520000000000302</v>
      </c>
      <c r="G1029">
        <f t="shared" si="32"/>
        <v>1073.9546652522481</v>
      </c>
      <c r="H1029">
        <f t="shared" si="33"/>
        <v>-783.74655662175508</v>
      </c>
    </row>
    <row r="1030" spans="6:8" x14ac:dyDescent="0.35">
      <c r="F1030">
        <v>20.540000000000301</v>
      </c>
      <c r="G1030">
        <f t="shared" si="32"/>
        <v>1075.0014046920651</v>
      </c>
      <c r="H1030">
        <f t="shared" si="33"/>
        <v>-786.52708713384311</v>
      </c>
    </row>
    <row r="1031" spans="6:8" x14ac:dyDescent="0.35">
      <c r="F1031">
        <v>20.560000000000301</v>
      </c>
      <c r="G1031">
        <f t="shared" si="32"/>
        <v>1076.0481441318821</v>
      </c>
      <c r="H1031">
        <f t="shared" si="33"/>
        <v>-789.31154164593102</v>
      </c>
    </row>
    <row r="1032" spans="6:8" x14ac:dyDescent="0.35">
      <c r="F1032">
        <v>20.5800000000003</v>
      </c>
      <c r="G1032">
        <f t="shared" si="32"/>
        <v>1077.094883571699</v>
      </c>
      <c r="H1032">
        <f t="shared" si="33"/>
        <v>-792.09992015801879</v>
      </c>
    </row>
    <row r="1033" spans="6:8" x14ac:dyDescent="0.35">
      <c r="F1033">
        <v>20.6000000000003</v>
      </c>
      <c r="G1033">
        <f t="shared" si="32"/>
        <v>1078.141623011516</v>
      </c>
      <c r="H1033">
        <f t="shared" si="33"/>
        <v>-794.89222267010734</v>
      </c>
    </row>
    <row r="1034" spans="6:8" x14ac:dyDescent="0.35">
      <c r="F1034">
        <v>20.620000000000299</v>
      </c>
      <c r="G1034">
        <f t="shared" si="32"/>
        <v>1079.188362451333</v>
      </c>
      <c r="H1034">
        <f t="shared" si="33"/>
        <v>-797.68844918219531</v>
      </c>
    </row>
    <row r="1035" spans="6:8" x14ac:dyDescent="0.35">
      <c r="F1035">
        <v>20.640000000000299</v>
      </c>
      <c r="G1035">
        <f t="shared" si="32"/>
        <v>1080.23510189115</v>
      </c>
      <c r="H1035">
        <f t="shared" si="33"/>
        <v>-800.48859969428338</v>
      </c>
    </row>
    <row r="1036" spans="6:8" x14ac:dyDescent="0.35">
      <c r="F1036">
        <v>20.660000000000299</v>
      </c>
      <c r="G1036">
        <f t="shared" si="32"/>
        <v>1081.2818413309669</v>
      </c>
      <c r="H1036">
        <f t="shared" si="33"/>
        <v>-803.29267420637132</v>
      </c>
    </row>
    <row r="1037" spans="6:8" x14ac:dyDescent="0.35">
      <c r="F1037">
        <v>20.680000000000302</v>
      </c>
      <c r="G1037">
        <f t="shared" si="32"/>
        <v>1082.3285807707839</v>
      </c>
      <c r="H1037">
        <f t="shared" si="33"/>
        <v>-806.1006727184598</v>
      </c>
    </row>
    <row r="1038" spans="6:8" x14ac:dyDescent="0.35">
      <c r="F1038">
        <v>20.700000000000301</v>
      </c>
      <c r="G1038">
        <f t="shared" si="32"/>
        <v>1083.3753202106009</v>
      </c>
      <c r="H1038">
        <f t="shared" si="33"/>
        <v>-808.91259523054794</v>
      </c>
    </row>
    <row r="1039" spans="6:8" x14ac:dyDescent="0.35">
      <c r="F1039">
        <v>20.720000000000301</v>
      </c>
      <c r="G1039">
        <f t="shared" si="32"/>
        <v>1084.4220596504179</v>
      </c>
      <c r="H1039">
        <f t="shared" si="33"/>
        <v>-811.72844174263594</v>
      </c>
    </row>
    <row r="1040" spans="6:8" x14ac:dyDescent="0.35">
      <c r="F1040">
        <v>20.7400000000003</v>
      </c>
      <c r="G1040">
        <f t="shared" si="32"/>
        <v>1085.4687990902348</v>
      </c>
      <c r="H1040">
        <f t="shared" si="33"/>
        <v>-814.54821225472381</v>
      </c>
    </row>
    <row r="1041" spans="6:8" x14ac:dyDescent="0.35">
      <c r="F1041">
        <v>20.7600000000003</v>
      </c>
      <c r="G1041">
        <f t="shared" si="32"/>
        <v>1086.5155385300518</v>
      </c>
      <c r="H1041">
        <f t="shared" si="33"/>
        <v>-817.371906766812</v>
      </c>
    </row>
    <row r="1042" spans="6:8" x14ac:dyDescent="0.35">
      <c r="F1042">
        <v>20.7800000000003</v>
      </c>
      <c r="G1042">
        <f t="shared" si="32"/>
        <v>1087.5622779698688</v>
      </c>
      <c r="H1042">
        <f t="shared" si="33"/>
        <v>-820.19952527890007</v>
      </c>
    </row>
    <row r="1043" spans="6:8" x14ac:dyDescent="0.35">
      <c r="F1043">
        <v>20.800000000000299</v>
      </c>
      <c r="G1043">
        <f t="shared" si="32"/>
        <v>1088.6090174096857</v>
      </c>
      <c r="H1043">
        <f t="shared" si="33"/>
        <v>-823.031067790988</v>
      </c>
    </row>
    <row r="1044" spans="6:8" x14ac:dyDescent="0.35">
      <c r="F1044">
        <v>20.820000000000299</v>
      </c>
      <c r="G1044">
        <f t="shared" si="32"/>
        <v>1089.6557568495027</v>
      </c>
      <c r="H1044">
        <f t="shared" si="33"/>
        <v>-825.86653430307604</v>
      </c>
    </row>
    <row r="1045" spans="6:8" x14ac:dyDescent="0.35">
      <c r="F1045">
        <v>20.840000000000298</v>
      </c>
      <c r="G1045">
        <f t="shared" si="32"/>
        <v>1090.7024962893197</v>
      </c>
      <c r="H1045">
        <f t="shared" si="33"/>
        <v>-828.70592481516394</v>
      </c>
    </row>
    <row r="1046" spans="6:8" x14ac:dyDescent="0.35">
      <c r="F1046">
        <v>20.860000000000301</v>
      </c>
      <c r="G1046">
        <f t="shared" si="32"/>
        <v>1091.7492357291369</v>
      </c>
      <c r="H1046">
        <f t="shared" si="33"/>
        <v>-831.54923932725285</v>
      </c>
    </row>
    <row r="1047" spans="6:8" x14ac:dyDescent="0.35">
      <c r="F1047">
        <v>20.880000000000301</v>
      </c>
      <c r="G1047">
        <f t="shared" si="32"/>
        <v>1092.7959751689539</v>
      </c>
      <c r="H1047">
        <f t="shared" si="33"/>
        <v>-834.39647783934095</v>
      </c>
    </row>
    <row r="1048" spans="6:8" x14ac:dyDescent="0.35">
      <c r="F1048">
        <v>20.900000000000301</v>
      </c>
      <c r="G1048">
        <f t="shared" si="32"/>
        <v>1093.8427146087708</v>
      </c>
      <c r="H1048">
        <f t="shared" si="33"/>
        <v>-837.24764035142891</v>
      </c>
    </row>
    <row r="1049" spans="6:8" x14ac:dyDescent="0.35">
      <c r="F1049">
        <v>20.9200000000003</v>
      </c>
      <c r="G1049">
        <f t="shared" si="32"/>
        <v>1094.8894540485878</v>
      </c>
      <c r="H1049">
        <f t="shared" si="33"/>
        <v>-840.10272686351675</v>
      </c>
    </row>
    <row r="1050" spans="6:8" x14ac:dyDescent="0.35">
      <c r="F1050">
        <v>20.9400000000003</v>
      </c>
      <c r="G1050">
        <f t="shared" si="32"/>
        <v>1095.9361934884048</v>
      </c>
      <c r="H1050">
        <f t="shared" si="33"/>
        <v>-842.96173737560491</v>
      </c>
    </row>
    <row r="1051" spans="6:8" x14ac:dyDescent="0.35">
      <c r="F1051">
        <v>20.960000000000299</v>
      </c>
      <c r="G1051">
        <f t="shared" si="32"/>
        <v>1096.9829329282218</v>
      </c>
      <c r="H1051">
        <f t="shared" si="33"/>
        <v>-845.82467188769272</v>
      </c>
    </row>
    <row r="1052" spans="6:8" x14ac:dyDescent="0.35">
      <c r="F1052">
        <v>20.980000000000299</v>
      </c>
      <c r="G1052">
        <f t="shared" si="32"/>
        <v>1098.0296723680387</v>
      </c>
      <c r="H1052">
        <f t="shared" si="33"/>
        <v>-848.6915303997813</v>
      </c>
    </row>
    <row r="1053" spans="6:8" x14ac:dyDescent="0.35">
      <c r="F1053">
        <v>21.000000000000298</v>
      </c>
      <c r="G1053">
        <f t="shared" si="32"/>
        <v>1099.0764118078557</v>
      </c>
      <c r="H1053">
        <f t="shared" si="33"/>
        <v>-851.56231291186884</v>
      </c>
    </row>
    <row r="1054" spans="6:8" x14ac:dyDescent="0.35">
      <c r="F1054">
        <v>21.020000000000302</v>
      </c>
      <c r="G1054">
        <f t="shared" si="32"/>
        <v>1100.1231512476729</v>
      </c>
      <c r="H1054">
        <f t="shared" ref="H1054:H1062" si="34">$B$13*F1054-($B$8*F1054^2)/2+$B$12</f>
        <v>-854.43701942395785</v>
      </c>
    </row>
    <row r="1055" spans="6:8" x14ac:dyDescent="0.35">
      <c r="F1055">
        <v>21.040000000000301</v>
      </c>
      <c r="G1055">
        <f t="shared" si="32"/>
        <v>1101.1698906874899</v>
      </c>
      <c r="H1055">
        <f t="shared" si="34"/>
        <v>-857.31564993604559</v>
      </c>
    </row>
    <row r="1056" spans="6:8" x14ac:dyDescent="0.35">
      <c r="F1056">
        <v>21.060000000000301</v>
      </c>
      <c r="G1056">
        <f t="shared" si="32"/>
        <v>1102.2166301273069</v>
      </c>
      <c r="H1056">
        <f t="shared" si="34"/>
        <v>-860.19820444813365</v>
      </c>
    </row>
    <row r="1057" spans="6:8" x14ac:dyDescent="0.35">
      <c r="F1057">
        <v>21.0800000000003</v>
      </c>
      <c r="G1057">
        <f t="shared" si="32"/>
        <v>1103.2633695671238</v>
      </c>
      <c r="H1057">
        <f t="shared" si="34"/>
        <v>-863.08468296022204</v>
      </c>
    </row>
    <row r="1058" spans="6:8" x14ac:dyDescent="0.35">
      <c r="F1058">
        <v>21.1000000000003</v>
      </c>
      <c r="G1058">
        <f t="shared" si="32"/>
        <v>1104.3101090069408</v>
      </c>
      <c r="H1058">
        <f t="shared" si="34"/>
        <v>-865.97508547230962</v>
      </c>
    </row>
    <row r="1059" spans="6:8" x14ac:dyDescent="0.35">
      <c r="F1059">
        <v>21.120000000000299</v>
      </c>
      <c r="G1059">
        <f t="shared" si="32"/>
        <v>1105.3568484467578</v>
      </c>
      <c r="H1059">
        <f t="shared" si="34"/>
        <v>-868.86941198439797</v>
      </c>
    </row>
    <row r="1060" spans="6:8" x14ac:dyDescent="0.35">
      <c r="F1060">
        <v>21.140000000000299</v>
      </c>
      <c r="G1060">
        <f t="shared" si="32"/>
        <v>1106.4035878865745</v>
      </c>
      <c r="H1060">
        <f t="shared" si="34"/>
        <v>-871.76766249648574</v>
      </c>
    </row>
    <row r="1061" spans="6:8" x14ac:dyDescent="0.35">
      <c r="F1061">
        <v>21.160000000000299</v>
      </c>
      <c r="G1061">
        <f t="shared" si="32"/>
        <v>1107.4503273263915</v>
      </c>
      <c r="H1061">
        <f t="shared" si="34"/>
        <v>-874.66983700857429</v>
      </c>
    </row>
    <row r="1062" spans="6:8" x14ac:dyDescent="0.35">
      <c r="F1062">
        <v>21.180000000000302</v>
      </c>
      <c r="G1062">
        <f t="shared" si="32"/>
        <v>1108.4970667662087</v>
      </c>
      <c r="H1062">
        <f t="shared" si="34"/>
        <v>-877.57593552066248</v>
      </c>
    </row>
    <row r="1063" spans="6:8" x14ac:dyDescent="0.35">
      <c r="F1063">
        <v>21.200000000000301</v>
      </c>
      <c r="G1063">
        <f t="shared" si="32"/>
        <v>1109.5438062060257</v>
      </c>
      <c r="H1063">
        <f t="shared" ref="H1063:H1090" si="35">$B$13*F1063-($B$8*F1063^2)/2+$B$12</f>
        <v>-880.48595803275077</v>
      </c>
    </row>
    <row r="1064" spans="6:8" x14ac:dyDescent="0.35">
      <c r="F1064">
        <v>21.220000000000301</v>
      </c>
      <c r="G1064">
        <f t="shared" si="32"/>
        <v>1110.5905456458427</v>
      </c>
      <c r="H1064">
        <f t="shared" si="35"/>
        <v>-883.39990454483848</v>
      </c>
    </row>
    <row r="1065" spans="6:8" x14ac:dyDescent="0.35">
      <c r="F1065">
        <v>21.2400000000003</v>
      </c>
      <c r="G1065">
        <f t="shared" si="32"/>
        <v>1111.6372850856596</v>
      </c>
      <c r="H1065">
        <f t="shared" si="35"/>
        <v>-886.31777505692673</v>
      </c>
    </row>
    <row r="1066" spans="6:8" x14ac:dyDescent="0.35">
      <c r="F1066">
        <v>21.2600000000003</v>
      </c>
      <c r="G1066">
        <f t="shared" si="32"/>
        <v>1112.6840245254766</v>
      </c>
      <c r="H1066">
        <f t="shared" si="35"/>
        <v>-889.23956956901486</v>
      </c>
    </row>
    <row r="1067" spans="6:8" x14ac:dyDescent="0.35">
      <c r="F1067">
        <v>21.2800000000003</v>
      </c>
      <c r="G1067">
        <f t="shared" si="32"/>
        <v>1113.7307639652936</v>
      </c>
      <c r="H1067">
        <f t="shared" si="35"/>
        <v>-892.16528808110286</v>
      </c>
    </row>
    <row r="1068" spans="6:8" x14ac:dyDescent="0.35">
      <c r="F1068">
        <v>21.300000000000299</v>
      </c>
      <c r="G1068">
        <f t="shared" si="32"/>
        <v>1114.7775034051106</v>
      </c>
      <c r="H1068">
        <f t="shared" si="35"/>
        <v>-895.09493059319072</v>
      </c>
    </row>
    <row r="1069" spans="6:8" x14ac:dyDescent="0.35">
      <c r="F1069">
        <v>21.320000000000299</v>
      </c>
      <c r="G1069">
        <f t="shared" si="32"/>
        <v>1115.8242428449275</v>
      </c>
      <c r="H1069">
        <f t="shared" si="35"/>
        <v>-898.02849710527892</v>
      </c>
    </row>
    <row r="1070" spans="6:8" x14ac:dyDescent="0.35">
      <c r="F1070">
        <v>21.340000000000298</v>
      </c>
      <c r="G1070">
        <f t="shared" si="32"/>
        <v>1116.8709822847445</v>
      </c>
      <c r="H1070">
        <f t="shared" si="35"/>
        <v>-900.96598761736698</v>
      </c>
    </row>
    <row r="1071" spans="6:8" x14ac:dyDescent="0.35">
      <c r="F1071">
        <v>21.360000000000301</v>
      </c>
      <c r="G1071">
        <f t="shared" si="32"/>
        <v>1117.9177217245617</v>
      </c>
      <c r="H1071">
        <f t="shared" si="35"/>
        <v>-903.90740212945559</v>
      </c>
    </row>
    <row r="1072" spans="6:8" x14ac:dyDescent="0.35">
      <c r="F1072">
        <v>21.380000000000301</v>
      </c>
      <c r="G1072">
        <f t="shared" si="32"/>
        <v>1118.9644611643787</v>
      </c>
      <c r="H1072">
        <f t="shared" si="35"/>
        <v>-906.85274064154316</v>
      </c>
    </row>
    <row r="1073" spans="6:8" x14ac:dyDescent="0.35">
      <c r="F1073">
        <v>21.400000000000301</v>
      </c>
      <c r="G1073">
        <f t="shared" si="32"/>
        <v>1120.0112006041957</v>
      </c>
      <c r="H1073">
        <f t="shared" si="35"/>
        <v>-909.80200315363152</v>
      </c>
    </row>
    <row r="1074" spans="6:8" x14ac:dyDescent="0.35">
      <c r="F1074">
        <v>21.4200000000003</v>
      </c>
      <c r="G1074">
        <f t="shared" si="32"/>
        <v>1121.0579400440126</v>
      </c>
      <c r="H1074">
        <f t="shared" si="35"/>
        <v>-912.75518966571929</v>
      </c>
    </row>
    <row r="1075" spans="6:8" x14ac:dyDescent="0.35">
      <c r="F1075">
        <v>21.4400000000003</v>
      </c>
      <c r="G1075">
        <f t="shared" si="32"/>
        <v>1122.1046794838296</v>
      </c>
      <c r="H1075">
        <f t="shared" si="35"/>
        <v>-915.71230017780783</v>
      </c>
    </row>
    <row r="1076" spans="6:8" x14ac:dyDescent="0.35">
      <c r="F1076">
        <v>21.460000000000299</v>
      </c>
      <c r="G1076">
        <f t="shared" si="32"/>
        <v>1123.1514189236466</v>
      </c>
      <c r="H1076">
        <f t="shared" si="35"/>
        <v>-918.6733346898958</v>
      </c>
    </row>
    <row r="1077" spans="6:8" x14ac:dyDescent="0.35">
      <c r="F1077">
        <v>21.480000000000299</v>
      </c>
      <c r="G1077">
        <f t="shared" si="32"/>
        <v>1124.1981583634636</v>
      </c>
      <c r="H1077">
        <f t="shared" si="35"/>
        <v>-921.63829320198408</v>
      </c>
    </row>
    <row r="1078" spans="6:8" x14ac:dyDescent="0.35">
      <c r="F1078">
        <v>21.500000000000298</v>
      </c>
      <c r="G1078">
        <f t="shared" si="32"/>
        <v>1125.2448978032805</v>
      </c>
      <c r="H1078">
        <f t="shared" si="35"/>
        <v>-924.60717571407179</v>
      </c>
    </row>
    <row r="1079" spans="6:8" x14ac:dyDescent="0.35">
      <c r="F1079">
        <v>21.520000000000302</v>
      </c>
      <c r="G1079">
        <f t="shared" si="32"/>
        <v>1126.2916372430975</v>
      </c>
      <c r="H1079">
        <f t="shared" si="35"/>
        <v>-927.5799822261605</v>
      </c>
    </row>
    <row r="1080" spans="6:8" x14ac:dyDescent="0.35">
      <c r="F1080">
        <v>21.540000000000301</v>
      </c>
      <c r="G1080">
        <f t="shared" si="32"/>
        <v>1127.3383766829145</v>
      </c>
      <c r="H1080">
        <f t="shared" si="35"/>
        <v>-930.55671273824839</v>
      </c>
    </row>
    <row r="1081" spans="6:8" x14ac:dyDescent="0.35">
      <c r="F1081">
        <v>21.560000000000301</v>
      </c>
      <c r="G1081">
        <f t="shared" si="32"/>
        <v>1128.3851161227315</v>
      </c>
      <c r="H1081">
        <f t="shared" si="35"/>
        <v>-933.53736725033639</v>
      </c>
    </row>
    <row r="1082" spans="6:8" x14ac:dyDescent="0.35">
      <c r="F1082">
        <v>21.5800000000003</v>
      </c>
      <c r="G1082">
        <f t="shared" si="32"/>
        <v>1129.4318555625484</v>
      </c>
      <c r="H1082">
        <f t="shared" si="35"/>
        <v>-936.52194576242471</v>
      </c>
    </row>
    <row r="1083" spans="6:8" x14ac:dyDescent="0.35">
      <c r="F1083">
        <v>21.6000000000003</v>
      </c>
      <c r="G1083">
        <f t="shared" si="32"/>
        <v>1130.4785950023654</v>
      </c>
      <c r="H1083">
        <f t="shared" si="35"/>
        <v>-939.51044827451244</v>
      </c>
    </row>
    <row r="1084" spans="6:8" x14ac:dyDescent="0.35">
      <c r="F1084">
        <v>21.620000000000299</v>
      </c>
      <c r="G1084">
        <f t="shared" si="32"/>
        <v>1131.5253344421824</v>
      </c>
      <c r="H1084">
        <f t="shared" si="35"/>
        <v>-942.5028747866005</v>
      </c>
    </row>
    <row r="1085" spans="6:8" x14ac:dyDescent="0.35">
      <c r="F1085">
        <v>21.640000000000299</v>
      </c>
      <c r="G1085">
        <f t="shared" si="32"/>
        <v>1132.5720738819994</v>
      </c>
      <c r="H1085">
        <f t="shared" si="35"/>
        <v>-945.49922529868888</v>
      </c>
    </row>
    <row r="1086" spans="6:8" x14ac:dyDescent="0.35">
      <c r="F1086">
        <v>21.660000000000299</v>
      </c>
      <c r="G1086">
        <f t="shared" si="32"/>
        <v>1133.6188133218163</v>
      </c>
      <c r="H1086">
        <f t="shared" si="35"/>
        <v>-948.49949981077668</v>
      </c>
    </row>
    <row r="1087" spans="6:8" x14ac:dyDescent="0.35">
      <c r="F1087">
        <v>21.680000000000302</v>
      </c>
      <c r="G1087">
        <f t="shared" si="32"/>
        <v>1134.6655527616335</v>
      </c>
      <c r="H1087">
        <f t="shared" si="35"/>
        <v>-951.50369832286549</v>
      </c>
    </row>
    <row r="1088" spans="6:8" x14ac:dyDescent="0.35">
      <c r="F1088">
        <v>21.700000000000301</v>
      </c>
      <c r="G1088">
        <f t="shared" si="32"/>
        <v>1135.7122922014505</v>
      </c>
      <c r="H1088">
        <f t="shared" si="35"/>
        <v>-954.51182083495326</v>
      </c>
    </row>
    <row r="1089" spans="6:8" x14ac:dyDescent="0.35">
      <c r="F1089">
        <v>21.720000000000301</v>
      </c>
      <c r="G1089">
        <f t="shared" si="32"/>
        <v>1136.7590316412675</v>
      </c>
      <c r="H1089">
        <f t="shared" si="35"/>
        <v>-957.52386734704135</v>
      </c>
    </row>
    <row r="1090" spans="6:8" x14ac:dyDescent="0.35">
      <c r="F1090">
        <v>21.7400000000003</v>
      </c>
      <c r="G1090">
        <f t="shared" si="32"/>
        <v>1137.8057710810845</v>
      </c>
      <c r="H1090">
        <f t="shared" si="35"/>
        <v>-960.53983785912931</v>
      </c>
    </row>
    <row r="1091" spans="6:8" x14ac:dyDescent="0.35">
      <c r="F1091">
        <v>21.7600000000003</v>
      </c>
      <c r="G1091">
        <f t="shared" ref="G1091:G1154" si="36">$B$15*F1091</f>
        <v>1138.8525105209014</v>
      </c>
      <c r="H1091">
        <f t="shared" ref="H1091:H1154" si="37">$B$13*F1091-($B$8*F1091^2)/2+$B$12</f>
        <v>-963.55973237121759</v>
      </c>
    </row>
    <row r="1092" spans="6:8" x14ac:dyDescent="0.35">
      <c r="F1092">
        <v>21.7800000000003</v>
      </c>
      <c r="G1092">
        <f t="shared" si="36"/>
        <v>1139.8992499607184</v>
      </c>
      <c r="H1092">
        <f t="shared" si="37"/>
        <v>-966.58355088330529</v>
      </c>
    </row>
    <row r="1093" spans="6:8" x14ac:dyDescent="0.35">
      <c r="F1093">
        <v>21.800000000000299</v>
      </c>
      <c r="G1093">
        <f t="shared" si="36"/>
        <v>1140.9459894005354</v>
      </c>
      <c r="H1093">
        <f t="shared" si="37"/>
        <v>-969.61129339539377</v>
      </c>
    </row>
    <row r="1094" spans="6:8" x14ac:dyDescent="0.35">
      <c r="F1094">
        <v>21.820000000000299</v>
      </c>
      <c r="G1094">
        <f t="shared" si="36"/>
        <v>1141.9927288403524</v>
      </c>
      <c r="H1094">
        <f t="shared" si="37"/>
        <v>-972.64295990748167</v>
      </c>
    </row>
    <row r="1095" spans="6:8" x14ac:dyDescent="0.35">
      <c r="F1095">
        <v>21.840000000000298</v>
      </c>
      <c r="G1095">
        <f t="shared" si="36"/>
        <v>1143.0394682801693</v>
      </c>
      <c r="H1095">
        <f t="shared" si="37"/>
        <v>-975.67855041956966</v>
      </c>
    </row>
    <row r="1096" spans="6:8" x14ac:dyDescent="0.35">
      <c r="F1096">
        <v>21.860000000000301</v>
      </c>
      <c r="G1096">
        <f t="shared" si="36"/>
        <v>1144.0862077199865</v>
      </c>
      <c r="H1096">
        <f t="shared" si="37"/>
        <v>-978.7180649316582</v>
      </c>
    </row>
    <row r="1097" spans="6:8" x14ac:dyDescent="0.35">
      <c r="F1097">
        <v>21.880000000000301</v>
      </c>
      <c r="G1097">
        <f t="shared" si="36"/>
        <v>1145.1329471598035</v>
      </c>
      <c r="H1097">
        <f t="shared" si="37"/>
        <v>-981.76150344374639</v>
      </c>
    </row>
    <row r="1098" spans="6:8" x14ac:dyDescent="0.35">
      <c r="F1098">
        <v>21.900000000000301</v>
      </c>
      <c r="G1098">
        <f t="shared" si="36"/>
        <v>1146.1796865996205</v>
      </c>
      <c r="H1098">
        <f t="shared" si="37"/>
        <v>-984.80886595583445</v>
      </c>
    </row>
    <row r="1099" spans="6:8" x14ac:dyDescent="0.35">
      <c r="F1099">
        <v>21.9200000000003</v>
      </c>
      <c r="G1099">
        <f t="shared" si="36"/>
        <v>1147.2264260394372</v>
      </c>
      <c r="H1099">
        <f t="shared" si="37"/>
        <v>-987.86015246792238</v>
      </c>
    </row>
    <row r="1100" spans="6:8" x14ac:dyDescent="0.35">
      <c r="F1100">
        <v>21.9400000000003</v>
      </c>
      <c r="G1100">
        <f t="shared" si="36"/>
        <v>1148.2731654792542</v>
      </c>
      <c r="H1100">
        <f t="shared" si="37"/>
        <v>-990.91536298001063</v>
      </c>
    </row>
    <row r="1101" spans="6:8" x14ac:dyDescent="0.35">
      <c r="F1101">
        <v>21.960000000000299</v>
      </c>
      <c r="G1101">
        <f t="shared" si="36"/>
        <v>1149.3199049190712</v>
      </c>
      <c r="H1101">
        <f t="shared" si="37"/>
        <v>-993.97449749209829</v>
      </c>
    </row>
    <row r="1102" spans="6:8" x14ac:dyDescent="0.35">
      <c r="F1102">
        <v>21.980000000000299</v>
      </c>
      <c r="G1102">
        <f t="shared" si="36"/>
        <v>1150.3666443588882</v>
      </c>
      <c r="H1102">
        <f t="shared" si="37"/>
        <v>-997.03755600418651</v>
      </c>
    </row>
    <row r="1103" spans="6:8" x14ac:dyDescent="0.35">
      <c r="F1103">
        <v>22.000000000000298</v>
      </c>
      <c r="G1103">
        <f t="shared" si="36"/>
        <v>1151.4133837987051</v>
      </c>
      <c r="H1103">
        <f t="shared" si="37"/>
        <v>-1000.1045385162746</v>
      </c>
    </row>
    <row r="1104" spans="6:8" x14ac:dyDescent="0.35">
      <c r="F1104">
        <v>22.020000000000302</v>
      </c>
      <c r="G1104">
        <f t="shared" si="36"/>
        <v>1152.4601232385223</v>
      </c>
      <c r="H1104">
        <f t="shared" si="37"/>
        <v>-1003.1754450283628</v>
      </c>
    </row>
    <row r="1105" spans="6:8" x14ac:dyDescent="0.35">
      <c r="F1105">
        <v>22.040000000000301</v>
      </c>
      <c r="G1105">
        <f t="shared" si="36"/>
        <v>1153.5068626783393</v>
      </c>
      <c r="H1105">
        <f t="shared" si="37"/>
        <v>-1006.2502755404515</v>
      </c>
    </row>
    <row r="1106" spans="6:8" x14ac:dyDescent="0.35">
      <c r="F1106">
        <v>22.060000000000301</v>
      </c>
      <c r="G1106">
        <f t="shared" si="36"/>
        <v>1154.5536021181563</v>
      </c>
      <c r="H1106">
        <f t="shared" si="37"/>
        <v>-1009.3290300525392</v>
      </c>
    </row>
    <row r="1107" spans="6:8" x14ac:dyDescent="0.35">
      <c r="F1107">
        <v>22.0800000000003</v>
      </c>
      <c r="G1107">
        <f t="shared" si="36"/>
        <v>1155.6003415579733</v>
      </c>
      <c r="H1107">
        <f t="shared" si="37"/>
        <v>-1012.4117085646272</v>
      </c>
    </row>
    <row r="1108" spans="6:8" x14ac:dyDescent="0.35">
      <c r="F1108">
        <v>22.1000000000003</v>
      </c>
      <c r="G1108">
        <f t="shared" si="36"/>
        <v>1156.6470809977902</v>
      </c>
      <c r="H1108">
        <f t="shared" si="37"/>
        <v>-1015.4983110767156</v>
      </c>
    </row>
    <row r="1109" spans="6:8" x14ac:dyDescent="0.35">
      <c r="F1109">
        <v>22.120000000000299</v>
      </c>
      <c r="G1109">
        <f t="shared" si="36"/>
        <v>1157.6938204376072</v>
      </c>
      <c r="H1109">
        <f t="shared" si="37"/>
        <v>-1018.5888375888031</v>
      </c>
    </row>
    <row r="1110" spans="6:8" x14ac:dyDescent="0.35">
      <c r="F1110">
        <v>22.140000000000299</v>
      </c>
      <c r="G1110">
        <f t="shared" si="36"/>
        <v>1158.7405598774242</v>
      </c>
      <c r="H1110">
        <f t="shared" si="37"/>
        <v>-1021.6832881008914</v>
      </c>
    </row>
    <row r="1111" spans="6:8" x14ac:dyDescent="0.35">
      <c r="F1111">
        <v>22.160000000000299</v>
      </c>
      <c r="G1111">
        <f t="shared" si="36"/>
        <v>1159.7872993172411</v>
      </c>
      <c r="H1111">
        <f t="shared" si="37"/>
        <v>-1024.7816626129793</v>
      </c>
    </row>
    <row r="1112" spans="6:8" x14ac:dyDescent="0.35">
      <c r="F1112">
        <v>22.180000000000302</v>
      </c>
      <c r="G1112">
        <f t="shared" si="36"/>
        <v>1160.8340387570584</v>
      </c>
      <c r="H1112">
        <f t="shared" si="37"/>
        <v>-1027.883961125068</v>
      </c>
    </row>
    <row r="1113" spans="6:8" x14ac:dyDescent="0.35">
      <c r="F1113">
        <v>22.200000000000301</v>
      </c>
      <c r="G1113">
        <f t="shared" si="36"/>
        <v>1161.8807781968753</v>
      </c>
      <c r="H1113">
        <f t="shared" si="37"/>
        <v>-1030.9901836371564</v>
      </c>
    </row>
    <row r="1114" spans="6:8" x14ac:dyDescent="0.35">
      <c r="F1114">
        <v>22.220000000000301</v>
      </c>
      <c r="G1114">
        <f t="shared" si="36"/>
        <v>1162.9275176366923</v>
      </c>
      <c r="H1114">
        <f t="shared" si="37"/>
        <v>-1034.1003301492442</v>
      </c>
    </row>
    <row r="1115" spans="6:8" x14ac:dyDescent="0.35">
      <c r="F1115">
        <v>22.2400000000003</v>
      </c>
      <c r="G1115">
        <f t="shared" si="36"/>
        <v>1163.9742570765093</v>
      </c>
      <c r="H1115">
        <f t="shared" si="37"/>
        <v>-1037.2144006613323</v>
      </c>
    </row>
    <row r="1116" spans="6:8" x14ac:dyDescent="0.35">
      <c r="F1116">
        <v>22.2600000000003</v>
      </c>
      <c r="G1116">
        <f t="shared" si="36"/>
        <v>1165.0209965163262</v>
      </c>
      <c r="H1116">
        <f t="shared" si="37"/>
        <v>-1040.3323951734208</v>
      </c>
    </row>
    <row r="1117" spans="6:8" x14ac:dyDescent="0.35">
      <c r="F1117">
        <v>22.2800000000003</v>
      </c>
      <c r="G1117">
        <f t="shared" si="36"/>
        <v>1166.0677359561432</v>
      </c>
      <c r="H1117">
        <f t="shared" si="37"/>
        <v>-1043.4543136855082</v>
      </c>
    </row>
    <row r="1118" spans="6:8" x14ac:dyDescent="0.35">
      <c r="F1118">
        <v>22.300000000000299</v>
      </c>
      <c r="G1118">
        <f t="shared" si="36"/>
        <v>1167.1144753959602</v>
      </c>
      <c r="H1118">
        <f t="shared" si="37"/>
        <v>-1046.5801561975961</v>
      </c>
    </row>
    <row r="1119" spans="6:8" x14ac:dyDescent="0.35">
      <c r="F1119">
        <v>22.320000000000299</v>
      </c>
      <c r="G1119">
        <f t="shared" si="36"/>
        <v>1168.1612148357772</v>
      </c>
      <c r="H1119">
        <f t="shared" si="37"/>
        <v>-1049.7099227096844</v>
      </c>
    </row>
    <row r="1120" spans="6:8" x14ac:dyDescent="0.35">
      <c r="F1120">
        <v>22.340000000000298</v>
      </c>
      <c r="G1120">
        <f t="shared" si="36"/>
        <v>1169.2079542755941</v>
      </c>
      <c r="H1120">
        <f t="shared" si="37"/>
        <v>-1052.8436132217726</v>
      </c>
    </row>
    <row r="1121" spans="6:8" x14ac:dyDescent="0.35">
      <c r="F1121">
        <v>22.360000000000301</v>
      </c>
      <c r="G1121">
        <f t="shared" si="36"/>
        <v>1170.2546937154111</v>
      </c>
      <c r="H1121">
        <f t="shared" si="37"/>
        <v>-1055.9812277338613</v>
      </c>
    </row>
    <row r="1122" spans="6:8" x14ac:dyDescent="0.35">
      <c r="F1122">
        <v>22.380000000000301</v>
      </c>
      <c r="G1122">
        <f t="shared" si="36"/>
        <v>1171.3014331552281</v>
      </c>
      <c r="H1122">
        <f t="shared" si="37"/>
        <v>-1059.1227662459492</v>
      </c>
    </row>
    <row r="1123" spans="6:8" x14ac:dyDescent="0.35">
      <c r="F1123">
        <v>22.400000000000301</v>
      </c>
      <c r="G1123">
        <f t="shared" si="36"/>
        <v>1172.3481725950451</v>
      </c>
      <c r="H1123">
        <f t="shared" si="37"/>
        <v>-1062.2682287580374</v>
      </c>
    </row>
    <row r="1124" spans="6:8" x14ac:dyDescent="0.35">
      <c r="F1124">
        <v>22.4200000000003</v>
      </c>
      <c r="G1124">
        <f t="shared" si="36"/>
        <v>1173.394912034862</v>
      </c>
      <c r="H1124">
        <f t="shared" si="37"/>
        <v>-1065.417615270125</v>
      </c>
    </row>
    <row r="1125" spans="6:8" x14ac:dyDescent="0.35">
      <c r="F1125">
        <v>22.4400000000003</v>
      </c>
      <c r="G1125">
        <f t="shared" si="36"/>
        <v>1174.441651474679</v>
      </c>
      <c r="H1125">
        <f t="shared" si="37"/>
        <v>-1068.5709257822132</v>
      </c>
    </row>
    <row r="1126" spans="6:8" x14ac:dyDescent="0.35">
      <c r="F1126">
        <v>22.460000000000299</v>
      </c>
      <c r="G1126">
        <f t="shared" si="36"/>
        <v>1175.488390914496</v>
      </c>
      <c r="H1126">
        <f t="shared" si="37"/>
        <v>-1071.7281602943012</v>
      </c>
    </row>
    <row r="1127" spans="6:8" x14ac:dyDescent="0.35">
      <c r="F1127">
        <v>22.480000000000299</v>
      </c>
      <c r="G1127">
        <f t="shared" si="36"/>
        <v>1176.535130354313</v>
      </c>
      <c r="H1127">
        <f t="shared" si="37"/>
        <v>-1074.8893188063892</v>
      </c>
    </row>
    <row r="1128" spans="6:8" x14ac:dyDescent="0.35">
      <c r="F1128">
        <v>22.500000000000298</v>
      </c>
      <c r="G1128">
        <f t="shared" si="36"/>
        <v>1177.5818697941299</v>
      </c>
      <c r="H1128">
        <f t="shared" si="37"/>
        <v>-1078.0544013184774</v>
      </c>
    </row>
    <row r="1129" spans="6:8" x14ac:dyDescent="0.35">
      <c r="F1129">
        <v>22.520000000000302</v>
      </c>
      <c r="G1129">
        <f t="shared" si="36"/>
        <v>1178.6286092339471</v>
      </c>
      <c r="H1129">
        <f t="shared" si="37"/>
        <v>-1081.2234078305657</v>
      </c>
    </row>
    <row r="1130" spans="6:8" x14ac:dyDescent="0.35">
      <c r="F1130">
        <v>22.540000000000301</v>
      </c>
      <c r="G1130">
        <f t="shared" si="36"/>
        <v>1179.6753486737641</v>
      </c>
      <c r="H1130">
        <f t="shared" si="37"/>
        <v>-1084.3963383426542</v>
      </c>
    </row>
    <row r="1131" spans="6:8" x14ac:dyDescent="0.35">
      <c r="F1131">
        <v>22.560000000000301</v>
      </c>
      <c r="G1131">
        <f t="shared" si="36"/>
        <v>1180.7220881135811</v>
      </c>
      <c r="H1131">
        <f t="shared" si="37"/>
        <v>-1087.573192854742</v>
      </c>
    </row>
    <row r="1132" spans="6:8" x14ac:dyDescent="0.35">
      <c r="F1132">
        <v>22.5800000000003</v>
      </c>
      <c r="G1132">
        <f t="shared" si="36"/>
        <v>1181.7688275533981</v>
      </c>
      <c r="H1132">
        <f t="shared" si="37"/>
        <v>-1090.75397136683</v>
      </c>
    </row>
    <row r="1133" spans="6:8" x14ac:dyDescent="0.35">
      <c r="F1133">
        <v>22.6000000000003</v>
      </c>
      <c r="G1133">
        <f t="shared" si="36"/>
        <v>1182.815566993215</v>
      </c>
      <c r="H1133">
        <f t="shared" si="37"/>
        <v>-1093.9386738789183</v>
      </c>
    </row>
    <row r="1134" spans="6:8" x14ac:dyDescent="0.35">
      <c r="F1134">
        <v>22.620000000000299</v>
      </c>
      <c r="G1134">
        <f t="shared" si="36"/>
        <v>1183.862306433032</v>
      </c>
      <c r="H1134">
        <f t="shared" si="37"/>
        <v>-1097.127300391006</v>
      </c>
    </row>
    <row r="1135" spans="6:8" x14ac:dyDescent="0.35">
      <c r="F1135">
        <v>22.640000000000299</v>
      </c>
      <c r="G1135">
        <f t="shared" si="36"/>
        <v>1184.909045872849</v>
      </c>
      <c r="H1135">
        <f t="shared" si="37"/>
        <v>-1100.3198509030944</v>
      </c>
    </row>
    <row r="1136" spans="6:8" x14ac:dyDescent="0.35">
      <c r="F1136">
        <v>22.660000000000299</v>
      </c>
      <c r="G1136">
        <f t="shared" si="36"/>
        <v>1185.955785312666</v>
      </c>
      <c r="H1136">
        <f t="shared" si="37"/>
        <v>-1103.5163254151823</v>
      </c>
    </row>
    <row r="1137" spans="6:8" x14ac:dyDescent="0.35">
      <c r="F1137">
        <v>22.680000000000302</v>
      </c>
      <c r="G1137">
        <f t="shared" si="36"/>
        <v>1187.0025247524832</v>
      </c>
      <c r="H1137">
        <f t="shared" si="37"/>
        <v>-1106.7167239272712</v>
      </c>
    </row>
    <row r="1138" spans="6:8" x14ac:dyDescent="0.35">
      <c r="F1138">
        <v>22.700000000000301</v>
      </c>
      <c r="G1138">
        <f t="shared" si="36"/>
        <v>1188.0492641923001</v>
      </c>
      <c r="H1138">
        <f t="shared" si="37"/>
        <v>-1109.9210464393593</v>
      </c>
    </row>
    <row r="1139" spans="6:8" x14ac:dyDescent="0.35">
      <c r="F1139">
        <v>22.720000000000301</v>
      </c>
      <c r="G1139">
        <f t="shared" si="36"/>
        <v>1189.0960036321169</v>
      </c>
      <c r="H1139">
        <f t="shared" si="37"/>
        <v>-1113.1292929514466</v>
      </c>
    </row>
    <row r="1140" spans="6:8" x14ac:dyDescent="0.35">
      <c r="F1140">
        <v>22.7400000000003</v>
      </c>
      <c r="G1140">
        <f t="shared" si="36"/>
        <v>1190.1427430719339</v>
      </c>
      <c r="H1140">
        <f t="shared" si="37"/>
        <v>-1116.3414634635351</v>
      </c>
    </row>
    <row r="1141" spans="6:8" x14ac:dyDescent="0.35">
      <c r="F1141">
        <v>22.7600000000003</v>
      </c>
      <c r="G1141">
        <f t="shared" si="36"/>
        <v>1191.1894825117508</v>
      </c>
      <c r="H1141">
        <f t="shared" si="37"/>
        <v>-1119.557557975623</v>
      </c>
    </row>
    <row r="1142" spans="6:8" x14ac:dyDescent="0.35">
      <c r="F1142">
        <v>22.7800000000003</v>
      </c>
      <c r="G1142">
        <f t="shared" si="36"/>
        <v>1192.2362219515678</v>
      </c>
      <c r="H1142">
        <f t="shared" si="37"/>
        <v>-1122.7775764877113</v>
      </c>
    </row>
    <row r="1143" spans="6:8" x14ac:dyDescent="0.35">
      <c r="F1143">
        <v>22.800000000000299</v>
      </c>
      <c r="G1143">
        <f t="shared" si="36"/>
        <v>1193.2829613913848</v>
      </c>
      <c r="H1143">
        <f t="shared" si="37"/>
        <v>-1126.0015189997994</v>
      </c>
    </row>
    <row r="1144" spans="6:8" x14ac:dyDescent="0.35">
      <c r="F1144">
        <v>22.820000000000299</v>
      </c>
      <c r="G1144">
        <f t="shared" si="36"/>
        <v>1194.3297008312018</v>
      </c>
      <c r="H1144">
        <f t="shared" si="37"/>
        <v>-1129.2293855118874</v>
      </c>
    </row>
    <row r="1145" spans="6:8" x14ac:dyDescent="0.35">
      <c r="F1145">
        <v>22.840000000000298</v>
      </c>
      <c r="G1145">
        <f t="shared" si="36"/>
        <v>1195.3764402710187</v>
      </c>
      <c r="H1145">
        <f t="shared" si="37"/>
        <v>-1132.4611760239748</v>
      </c>
    </row>
    <row r="1146" spans="6:8" x14ac:dyDescent="0.35">
      <c r="F1146">
        <v>22.860000000000301</v>
      </c>
      <c r="G1146">
        <f t="shared" si="36"/>
        <v>1196.4231797108359</v>
      </c>
      <c r="H1146">
        <f t="shared" si="37"/>
        <v>-1135.6968905360641</v>
      </c>
    </row>
    <row r="1147" spans="6:8" x14ac:dyDescent="0.35">
      <c r="F1147">
        <v>22.880000000000301</v>
      </c>
      <c r="G1147">
        <f t="shared" si="36"/>
        <v>1197.4699191506529</v>
      </c>
      <c r="H1147">
        <f t="shared" si="37"/>
        <v>-1138.9365290481521</v>
      </c>
    </row>
    <row r="1148" spans="6:8" x14ac:dyDescent="0.35">
      <c r="F1148">
        <v>22.900000000000301</v>
      </c>
      <c r="G1148">
        <f t="shared" si="36"/>
        <v>1198.5166585904699</v>
      </c>
      <c r="H1148">
        <f t="shared" si="37"/>
        <v>-1142.1800915602398</v>
      </c>
    </row>
    <row r="1149" spans="6:8" x14ac:dyDescent="0.35">
      <c r="F1149">
        <v>22.9200000000003</v>
      </c>
      <c r="G1149">
        <f t="shared" si="36"/>
        <v>1199.5633980302869</v>
      </c>
      <c r="H1149">
        <f t="shared" si="37"/>
        <v>-1145.4275780723283</v>
      </c>
    </row>
    <row r="1150" spans="6:8" x14ac:dyDescent="0.35">
      <c r="F1150">
        <v>22.9400000000003</v>
      </c>
      <c r="G1150">
        <f t="shared" si="36"/>
        <v>1200.6101374701038</v>
      </c>
      <c r="H1150">
        <f t="shared" si="37"/>
        <v>-1148.6789885844162</v>
      </c>
    </row>
    <row r="1151" spans="6:8" x14ac:dyDescent="0.35">
      <c r="F1151">
        <v>22.960000000000299</v>
      </c>
      <c r="G1151">
        <f t="shared" si="36"/>
        <v>1201.6568769099208</v>
      </c>
      <c r="H1151">
        <f t="shared" si="37"/>
        <v>-1151.9343230965044</v>
      </c>
    </row>
    <row r="1152" spans="6:8" x14ac:dyDescent="0.35">
      <c r="F1152">
        <v>22.980000000000299</v>
      </c>
      <c r="G1152">
        <f t="shared" si="36"/>
        <v>1202.7036163497378</v>
      </c>
      <c r="H1152">
        <f t="shared" si="37"/>
        <v>-1155.193581608592</v>
      </c>
    </row>
    <row r="1153" spans="6:8" x14ac:dyDescent="0.35">
      <c r="F1153">
        <v>23.000000000000298</v>
      </c>
      <c r="G1153">
        <f t="shared" si="36"/>
        <v>1203.7503557895548</v>
      </c>
      <c r="H1153">
        <f t="shared" si="37"/>
        <v>-1158.4567641206804</v>
      </c>
    </row>
    <row r="1154" spans="6:8" x14ac:dyDescent="0.35">
      <c r="F1154">
        <v>23.020000000000302</v>
      </c>
      <c r="G1154">
        <f t="shared" si="36"/>
        <v>1204.797095229372</v>
      </c>
      <c r="H1154">
        <f t="shared" si="37"/>
        <v>-1161.7238706327685</v>
      </c>
    </row>
    <row r="1155" spans="6:8" x14ac:dyDescent="0.35">
      <c r="F1155">
        <v>23.040000000000301</v>
      </c>
      <c r="G1155">
        <f t="shared" ref="G1155:G1218" si="38">$B$15*F1155</f>
        <v>1205.8438346691889</v>
      </c>
      <c r="H1155">
        <f t="shared" ref="H1155:H1218" si="39">$B$13*F1155-($B$8*F1155^2)/2+$B$12</f>
        <v>-1164.9949011448564</v>
      </c>
    </row>
    <row r="1156" spans="6:8" x14ac:dyDescent="0.35">
      <c r="F1156">
        <v>23.060000000000301</v>
      </c>
      <c r="G1156">
        <f t="shared" si="38"/>
        <v>1206.8905741090059</v>
      </c>
      <c r="H1156">
        <f t="shared" si="39"/>
        <v>-1168.2698556569451</v>
      </c>
    </row>
    <row r="1157" spans="6:8" x14ac:dyDescent="0.35">
      <c r="F1157">
        <v>23.0800000000003</v>
      </c>
      <c r="G1157">
        <f t="shared" si="38"/>
        <v>1207.9373135488229</v>
      </c>
      <c r="H1157">
        <f t="shared" si="39"/>
        <v>-1171.5487341690327</v>
      </c>
    </row>
    <row r="1158" spans="6:8" x14ac:dyDescent="0.35">
      <c r="F1158">
        <v>23.1000000000003</v>
      </c>
      <c r="G1158">
        <f t="shared" si="38"/>
        <v>1208.9840529886399</v>
      </c>
      <c r="H1158">
        <f t="shared" si="39"/>
        <v>-1174.8315366811212</v>
      </c>
    </row>
    <row r="1159" spans="6:8" x14ac:dyDescent="0.35">
      <c r="F1159">
        <v>23.1200000000002</v>
      </c>
      <c r="G1159">
        <f t="shared" si="38"/>
        <v>1210.0307924284516</v>
      </c>
      <c r="H1159">
        <f t="shared" si="39"/>
        <v>-1178.1182631931924</v>
      </c>
    </row>
    <row r="1160" spans="6:8" x14ac:dyDescent="0.35">
      <c r="F1160">
        <v>23.1400000000002</v>
      </c>
      <c r="G1160">
        <f t="shared" si="38"/>
        <v>1211.0775318682686</v>
      </c>
      <c r="H1160">
        <f t="shared" si="39"/>
        <v>-1181.4089137052806</v>
      </c>
    </row>
    <row r="1161" spans="6:8" x14ac:dyDescent="0.35">
      <c r="F1161">
        <v>23.160000000000199</v>
      </c>
      <c r="G1161">
        <f t="shared" si="38"/>
        <v>1212.1242713080856</v>
      </c>
      <c r="H1161">
        <f t="shared" si="39"/>
        <v>-1184.7034882173687</v>
      </c>
    </row>
    <row r="1162" spans="6:8" x14ac:dyDescent="0.35">
      <c r="F1162">
        <v>23.180000000000199</v>
      </c>
      <c r="G1162">
        <f t="shared" si="38"/>
        <v>1213.1710107479025</v>
      </c>
      <c r="H1162">
        <f t="shared" si="39"/>
        <v>-1188.001986729457</v>
      </c>
    </row>
    <row r="1163" spans="6:8" x14ac:dyDescent="0.35">
      <c r="F1163">
        <v>23.200000000000198</v>
      </c>
      <c r="G1163">
        <f t="shared" si="38"/>
        <v>1214.2177501877195</v>
      </c>
      <c r="H1163">
        <f t="shared" si="39"/>
        <v>-1191.3044092415448</v>
      </c>
    </row>
    <row r="1164" spans="6:8" x14ac:dyDescent="0.35">
      <c r="F1164">
        <v>23.220000000000201</v>
      </c>
      <c r="G1164">
        <f t="shared" si="38"/>
        <v>1215.2644896275365</v>
      </c>
      <c r="H1164">
        <f t="shared" si="39"/>
        <v>-1194.6107557536332</v>
      </c>
    </row>
    <row r="1165" spans="6:8" x14ac:dyDescent="0.35">
      <c r="F1165">
        <v>23.2400000000003</v>
      </c>
      <c r="G1165">
        <f t="shared" si="38"/>
        <v>1216.3112290673587</v>
      </c>
      <c r="H1165">
        <f t="shared" si="39"/>
        <v>-1197.9210262657377</v>
      </c>
    </row>
    <row r="1166" spans="6:8" x14ac:dyDescent="0.35">
      <c r="F1166">
        <v>23.2600000000003</v>
      </c>
      <c r="G1166">
        <f t="shared" si="38"/>
        <v>1217.3579685071757</v>
      </c>
      <c r="H1166">
        <f t="shared" si="39"/>
        <v>-1201.2352207778258</v>
      </c>
    </row>
    <row r="1167" spans="6:8" x14ac:dyDescent="0.35">
      <c r="F1167">
        <v>23.2800000000002</v>
      </c>
      <c r="G1167">
        <f t="shared" si="38"/>
        <v>1218.4047079469874</v>
      </c>
      <c r="H1167">
        <f t="shared" si="39"/>
        <v>-1204.5533392898972</v>
      </c>
    </row>
    <row r="1168" spans="6:8" x14ac:dyDescent="0.35">
      <c r="F1168">
        <v>23.3000000000002</v>
      </c>
      <c r="G1168">
        <f t="shared" si="38"/>
        <v>1219.4514473868044</v>
      </c>
      <c r="H1168">
        <f t="shared" si="39"/>
        <v>-1207.8753818019854</v>
      </c>
    </row>
    <row r="1169" spans="6:8" x14ac:dyDescent="0.35">
      <c r="F1169">
        <v>23.320000000000199</v>
      </c>
      <c r="G1169">
        <f t="shared" si="38"/>
        <v>1220.4981868266213</v>
      </c>
      <c r="H1169">
        <f t="shared" si="39"/>
        <v>-1211.2013483140736</v>
      </c>
    </row>
    <row r="1170" spans="6:8" x14ac:dyDescent="0.35">
      <c r="F1170">
        <v>23.340000000000199</v>
      </c>
      <c r="G1170">
        <f t="shared" si="38"/>
        <v>1221.5449262664383</v>
      </c>
      <c r="H1170">
        <f t="shared" si="39"/>
        <v>-1214.5312388261611</v>
      </c>
    </row>
    <row r="1171" spans="6:8" x14ac:dyDescent="0.35">
      <c r="F1171">
        <v>23.360000000000198</v>
      </c>
      <c r="G1171">
        <f t="shared" si="38"/>
        <v>1222.5916657062553</v>
      </c>
      <c r="H1171">
        <f t="shared" si="39"/>
        <v>-1217.8650533382495</v>
      </c>
    </row>
    <row r="1172" spans="6:8" x14ac:dyDescent="0.35">
      <c r="F1172">
        <v>23.380000000000202</v>
      </c>
      <c r="G1172">
        <f t="shared" si="38"/>
        <v>1223.6384051460725</v>
      </c>
      <c r="H1172">
        <f t="shared" si="39"/>
        <v>-1221.2027918503384</v>
      </c>
    </row>
    <row r="1173" spans="6:8" x14ac:dyDescent="0.35">
      <c r="F1173">
        <v>23.400000000000201</v>
      </c>
      <c r="G1173">
        <f t="shared" si="38"/>
        <v>1224.6851445858895</v>
      </c>
      <c r="H1173">
        <f t="shared" si="39"/>
        <v>-1224.5444543624258</v>
      </c>
    </row>
    <row r="1174" spans="6:8" x14ac:dyDescent="0.35">
      <c r="F1174">
        <v>23.4200000000003</v>
      </c>
      <c r="G1174">
        <f t="shared" si="38"/>
        <v>1225.7318840257117</v>
      </c>
      <c r="H1174">
        <f t="shared" si="39"/>
        <v>-1227.890040874531</v>
      </c>
    </row>
    <row r="1175" spans="6:8" x14ac:dyDescent="0.35">
      <c r="F1175">
        <v>23.4400000000002</v>
      </c>
      <c r="G1175">
        <f t="shared" si="38"/>
        <v>1226.7786234655234</v>
      </c>
      <c r="H1175">
        <f t="shared" si="39"/>
        <v>-1231.239551386602</v>
      </c>
    </row>
    <row r="1176" spans="6:8" x14ac:dyDescent="0.35">
      <c r="F1176">
        <v>23.4600000000002</v>
      </c>
      <c r="G1176">
        <f t="shared" si="38"/>
        <v>1227.8253629053404</v>
      </c>
      <c r="H1176">
        <f t="shared" si="39"/>
        <v>-1234.5929858986904</v>
      </c>
    </row>
    <row r="1177" spans="6:8" x14ac:dyDescent="0.35">
      <c r="F1177">
        <v>23.480000000000199</v>
      </c>
      <c r="G1177">
        <f t="shared" si="38"/>
        <v>1228.8721023451574</v>
      </c>
      <c r="H1177">
        <f t="shared" si="39"/>
        <v>-1237.9503444107781</v>
      </c>
    </row>
    <row r="1178" spans="6:8" x14ac:dyDescent="0.35">
      <c r="F1178">
        <v>23.500000000000199</v>
      </c>
      <c r="G1178">
        <f t="shared" si="38"/>
        <v>1229.9188417849743</v>
      </c>
      <c r="H1178">
        <f t="shared" si="39"/>
        <v>-1241.3116269228663</v>
      </c>
    </row>
    <row r="1179" spans="6:8" x14ac:dyDescent="0.35">
      <c r="F1179">
        <v>23.520000000000199</v>
      </c>
      <c r="G1179">
        <f t="shared" si="38"/>
        <v>1230.9655812247913</v>
      </c>
      <c r="H1179">
        <f t="shared" si="39"/>
        <v>-1244.6768334349542</v>
      </c>
    </row>
    <row r="1180" spans="6:8" x14ac:dyDescent="0.35">
      <c r="F1180">
        <v>23.540000000000202</v>
      </c>
      <c r="G1180">
        <f t="shared" si="38"/>
        <v>1232.0123206646085</v>
      </c>
      <c r="H1180">
        <f t="shared" si="39"/>
        <v>-1248.0459639470425</v>
      </c>
    </row>
    <row r="1181" spans="6:8" x14ac:dyDescent="0.35">
      <c r="F1181">
        <v>23.560000000000201</v>
      </c>
      <c r="G1181">
        <f t="shared" si="38"/>
        <v>1233.0590601044255</v>
      </c>
      <c r="H1181">
        <f t="shared" si="39"/>
        <v>-1251.4190184591309</v>
      </c>
    </row>
    <row r="1182" spans="6:8" x14ac:dyDescent="0.35">
      <c r="F1182">
        <v>23.580000000000201</v>
      </c>
      <c r="G1182">
        <f t="shared" si="38"/>
        <v>1234.1057995442422</v>
      </c>
      <c r="H1182">
        <f t="shared" si="39"/>
        <v>-1254.7959969712192</v>
      </c>
    </row>
    <row r="1183" spans="6:8" x14ac:dyDescent="0.35">
      <c r="F1183">
        <v>23.6000000000002</v>
      </c>
      <c r="G1183">
        <f t="shared" si="38"/>
        <v>1235.1525389840592</v>
      </c>
      <c r="H1183">
        <f t="shared" si="39"/>
        <v>-1258.1768994833069</v>
      </c>
    </row>
    <row r="1184" spans="6:8" x14ac:dyDescent="0.35">
      <c r="F1184">
        <v>23.6200000000002</v>
      </c>
      <c r="G1184">
        <f t="shared" si="38"/>
        <v>1236.1992784238762</v>
      </c>
      <c r="H1184">
        <f t="shared" si="39"/>
        <v>-1261.5617259953949</v>
      </c>
    </row>
    <row r="1185" spans="6:8" x14ac:dyDescent="0.35">
      <c r="F1185">
        <v>23.6400000000002</v>
      </c>
      <c r="G1185">
        <f t="shared" si="38"/>
        <v>1237.2460178636932</v>
      </c>
      <c r="H1185">
        <f t="shared" si="39"/>
        <v>-1264.9504765074828</v>
      </c>
    </row>
    <row r="1186" spans="6:8" x14ac:dyDescent="0.35">
      <c r="F1186">
        <v>23.660000000000199</v>
      </c>
      <c r="G1186">
        <f t="shared" si="38"/>
        <v>1238.2927573035101</v>
      </c>
      <c r="H1186">
        <f t="shared" si="39"/>
        <v>-1268.343151019571</v>
      </c>
    </row>
    <row r="1187" spans="6:8" x14ac:dyDescent="0.35">
      <c r="F1187">
        <v>23.680000000000199</v>
      </c>
      <c r="G1187">
        <f t="shared" si="38"/>
        <v>1239.3394967433271</v>
      </c>
      <c r="H1187">
        <f t="shared" si="39"/>
        <v>-1271.7397495316591</v>
      </c>
    </row>
    <row r="1188" spans="6:8" x14ac:dyDescent="0.35">
      <c r="F1188">
        <v>23.700000000000198</v>
      </c>
      <c r="G1188">
        <f t="shared" si="38"/>
        <v>1240.3862361831441</v>
      </c>
      <c r="H1188">
        <f t="shared" si="39"/>
        <v>-1275.140272043747</v>
      </c>
    </row>
    <row r="1189" spans="6:8" x14ac:dyDescent="0.35">
      <c r="F1189">
        <v>23.720000000000201</v>
      </c>
      <c r="G1189">
        <f t="shared" si="38"/>
        <v>1241.4329756229613</v>
      </c>
      <c r="H1189">
        <f t="shared" si="39"/>
        <v>-1278.5447185558357</v>
      </c>
    </row>
    <row r="1190" spans="6:8" x14ac:dyDescent="0.35">
      <c r="F1190">
        <v>23.740000000000201</v>
      </c>
      <c r="G1190">
        <f t="shared" si="38"/>
        <v>1242.4797150627783</v>
      </c>
      <c r="H1190">
        <f t="shared" si="39"/>
        <v>-1281.9530890679232</v>
      </c>
    </row>
    <row r="1191" spans="6:8" x14ac:dyDescent="0.35">
      <c r="F1191">
        <v>23.760000000000201</v>
      </c>
      <c r="G1191">
        <f t="shared" si="38"/>
        <v>1243.5264545025952</v>
      </c>
      <c r="H1191">
        <f t="shared" si="39"/>
        <v>-1285.3653835800114</v>
      </c>
    </row>
    <row r="1192" spans="6:8" x14ac:dyDescent="0.35">
      <c r="F1192">
        <v>23.7800000000002</v>
      </c>
      <c r="G1192">
        <f t="shared" si="38"/>
        <v>1244.5731939424122</v>
      </c>
      <c r="H1192">
        <f t="shared" si="39"/>
        <v>-1288.7816020920995</v>
      </c>
    </row>
    <row r="1193" spans="6:8" x14ac:dyDescent="0.35">
      <c r="F1193">
        <v>23.8000000000002</v>
      </c>
      <c r="G1193">
        <f t="shared" si="38"/>
        <v>1245.6199333822292</v>
      </c>
      <c r="H1193">
        <f t="shared" si="39"/>
        <v>-1292.2017446041875</v>
      </c>
    </row>
    <row r="1194" spans="6:8" x14ac:dyDescent="0.35">
      <c r="F1194">
        <v>23.820000000000199</v>
      </c>
      <c r="G1194">
        <f t="shared" si="38"/>
        <v>1246.6666728220462</v>
      </c>
      <c r="H1194">
        <f t="shared" si="39"/>
        <v>-1295.6258111162758</v>
      </c>
    </row>
    <row r="1195" spans="6:8" x14ac:dyDescent="0.35">
      <c r="F1195">
        <v>23.840000000000199</v>
      </c>
      <c r="G1195">
        <f t="shared" si="38"/>
        <v>1247.7134122618631</v>
      </c>
      <c r="H1195">
        <f t="shared" si="39"/>
        <v>-1299.0538016283635</v>
      </c>
    </row>
    <row r="1196" spans="6:8" x14ac:dyDescent="0.35">
      <c r="F1196">
        <v>23.860000000000198</v>
      </c>
      <c r="G1196">
        <f t="shared" si="38"/>
        <v>1248.7601517016801</v>
      </c>
      <c r="H1196">
        <f t="shared" si="39"/>
        <v>-1302.4857161404518</v>
      </c>
    </row>
    <row r="1197" spans="6:8" x14ac:dyDescent="0.35">
      <c r="F1197">
        <v>23.880000000000202</v>
      </c>
      <c r="G1197">
        <f t="shared" si="38"/>
        <v>1249.8068911414973</v>
      </c>
      <c r="H1197">
        <f t="shared" si="39"/>
        <v>-1305.9215546525402</v>
      </c>
    </row>
    <row r="1198" spans="6:8" x14ac:dyDescent="0.35">
      <c r="F1198">
        <v>23.900000000000201</v>
      </c>
      <c r="G1198">
        <f t="shared" si="38"/>
        <v>1250.8536305813143</v>
      </c>
      <c r="H1198">
        <f t="shared" si="39"/>
        <v>-1309.3613171646282</v>
      </c>
    </row>
    <row r="1199" spans="6:8" x14ac:dyDescent="0.35">
      <c r="F1199">
        <v>23.920000000000201</v>
      </c>
      <c r="G1199">
        <f t="shared" si="38"/>
        <v>1251.9003700211313</v>
      </c>
      <c r="H1199">
        <f t="shared" si="39"/>
        <v>-1312.8050036767165</v>
      </c>
    </row>
    <row r="1200" spans="6:8" x14ac:dyDescent="0.35">
      <c r="F1200">
        <v>23.9400000000002</v>
      </c>
      <c r="G1200">
        <f t="shared" si="38"/>
        <v>1252.9471094609482</v>
      </c>
      <c r="H1200">
        <f t="shared" si="39"/>
        <v>-1316.2526141888043</v>
      </c>
    </row>
    <row r="1201" spans="6:8" x14ac:dyDescent="0.35">
      <c r="F1201">
        <v>23.9600000000002</v>
      </c>
      <c r="G1201">
        <f t="shared" si="38"/>
        <v>1253.9938489007652</v>
      </c>
      <c r="H1201">
        <f t="shared" si="39"/>
        <v>-1319.7041487008923</v>
      </c>
    </row>
    <row r="1202" spans="6:8" x14ac:dyDescent="0.35">
      <c r="F1202">
        <v>23.980000000000199</v>
      </c>
      <c r="G1202">
        <f t="shared" si="38"/>
        <v>1255.0405883405822</v>
      </c>
      <c r="H1202">
        <f t="shared" si="39"/>
        <v>-1323.1596072129803</v>
      </c>
    </row>
    <row r="1203" spans="6:8" x14ac:dyDescent="0.35">
      <c r="F1203">
        <v>24.000000000000199</v>
      </c>
      <c r="G1203">
        <f t="shared" si="38"/>
        <v>1256.0873277803992</v>
      </c>
      <c r="H1203">
        <f t="shared" si="39"/>
        <v>-1326.6189897250683</v>
      </c>
    </row>
    <row r="1204" spans="6:8" x14ac:dyDescent="0.35">
      <c r="F1204">
        <v>24.020000000000199</v>
      </c>
      <c r="G1204">
        <f t="shared" si="38"/>
        <v>1257.1340672202161</v>
      </c>
      <c r="H1204">
        <f t="shared" si="39"/>
        <v>-1330.0822962371562</v>
      </c>
    </row>
    <row r="1205" spans="6:8" x14ac:dyDescent="0.35">
      <c r="F1205">
        <v>24.040000000000202</v>
      </c>
      <c r="G1205">
        <f t="shared" si="38"/>
        <v>1258.1808066600331</v>
      </c>
      <c r="H1205">
        <f t="shared" si="39"/>
        <v>-1333.5495267492447</v>
      </c>
    </row>
    <row r="1206" spans="6:8" x14ac:dyDescent="0.35">
      <c r="F1206">
        <v>24.060000000000201</v>
      </c>
      <c r="G1206">
        <f t="shared" si="38"/>
        <v>1259.2275460998501</v>
      </c>
      <c r="H1206">
        <f t="shared" si="39"/>
        <v>-1337.0206812613328</v>
      </c>
    </row>
    <row r="1207" spans="6:8" x14ac:dyDescent="0.35">
      <c r="F1207">
        <v>24.080000000000201</v>
      </c>
      <c r="G1207">
        <f t="shared" si="38"/>
        <v>1260.2742855396671</v>
      </c>
      <c r="H1207">
        <f t="shared" si="39"/>
        <v>-1340.4957597734212</v>
      </c>
    </row>
    <row r="1208" spans="6:8" x14ac:dyDescent="0.35">
      <c r="F1208">
        <v>24.1000000000002</v>
      </c>
      <c r="G1208">
        <f t="shared" si="38"/>
        <v>1261.321024979484</v>
      </c>
      <c r="H1208">
        <f t="shared" si="39"/>
        <v>-1343.9747622855091</v>
      </c>
    </row>
    <row r="1209" spans="6:8" x14ac:dyDescent="0.35">
      <c r="F1209">
        <v>24.1200000000002</v>
      </c>
      <c r="G1209">
        <f t="shared" si="38"/>
        <v>1262.367764419301</v>
      </c>
      <c r="H1209">
        <f t="shared" si="39"/>
        <v>-1347.4576887975973</v>
      </c>
    </row>
    <row r="1210" spans="6:8" x14ac:dyDescent="0.35">
      <c r="F1210">
        <v>24.1400000000002</v>
      </c>
      <c r="G1210">
        <f t="shared" si="38"/>
        <v>1263.414503859118</v>
      </c>
      <c r="H1210">
        <f t="shared" si="39"/>
        <v>-1350.9445393096851</v>
      </c>
    </row>
    <row r="1211" spans="6:8" x14ac:dyDescent="0.35">
      <c r="F1211">
        <v>24.160000000000199</v>
      </c>
      <c r="G1211">
        <f t="shared" si="38"/>
        <v>1264.461243298935</v>
      </c>
      <c r="H1211">
        <f t="shared" si="39"/>
        <v>-1354.4353138217732</v>
      </c>
    </row>
    <row r="1212" spans="6:8" x14ac:dyDescent="0.35">
      <c r="F1212">
        <v>24.180000000000199</v>
      </c>
      <c r="G1212">
        <f t="shared" si="38"/>
        <v>1265.5079827387519</v>
      </c>
      <c r="H1212">
        <f t="shared" si="39"/>
        <v>-1357.9300123338608</v>
      </c>
    </row>
    <row r="1213" spans="6:8" x14ac:dyDescent="0.35">
      <c r="F1213">
        <v>24.200000000000198</v>
      </c>
      <c r="G1213">
        <f t="shared" si="38"/>
        <v>1266.5547221785689</v>
      </c>
      <c r="H1213">
        <f t="shared" si="39"/>
        <v>-1361.4286348459495</v>
      </c>
    </row>
    <row r="1214" spans="6:8" x14ac:dyDescent="0.35">
      <c r="F1214">
        <v>24.220000000000201</v>
      </c>
      <c r="G1214">
        <f t="shared" si="38"/>
        <v>1267.6014616183861</v>
      </c>
      <c r="H1214">
        <f t="shared" si="39"/>
        <v>-1364.9311813580375</v>
      </c>
    </row>
    <row r="1215" spans="6:8" x14ac:dyDescent="0.35">
      <c r="F1215">
        <v>24.240000000000201</v>
      </c>
      <c r="G1215">
        <f t="shared" si="38"/>
        <v>1268.6482010582031</v>
      </c>
      <c r="H1215">
        <f t="shared" si="39"/>
        <v>-1368.437651870126</v>
      </c>
    </row>
    <row r="1216" spans="6:8" x14ac:dyDescent="0.35">
      <c r="F1216">
        <v>24.260000000000201</v>
      </c>
      <c r="G1216">
        <f t="shared" si="38"/>
        <v>1269.6949404980201</v>
      </c>
      <c r="H1216">
        <f t="shared" si="39"/>
        <v>-1371.948046382214</v>
      </c>
    </row>
    <row r="1217" spans="6:8" x14ac:dyDescent="0.35">
      <c r="F1217">
        <v>24.2800000000002</v>
      </c>
      <c r="G1217">
        <f t="shared" si="38"/>
        <v>1270.741679937837</v>
      </c>
      <c r="H1217">
        <f t="shared" si="39"/>
        <v>-1375.4623648943016</v>
      </c>
    </row>
    <row r="1218" spans="6:8" x14ac:dyDescent="0.35">
      <c r="F1218">
        <v>24.3000000000002</v>
      </c>
      <c r="G1218">
        <f t="shared" si="38"/>
        <v>1271.788419377654</v>
      </c>
      <c r="H1218">
        <f t="shared" si="39"/>
        <v>-1378.9806074063899</v>
      </c>
    </row>
    <row r="1219" spans="6:8" x14ac:dyDescent="0.35">
      <c r="F1219">
        <v>24.320000000000199</v>
      </c>
      <c r="G1219">
        <f t="shared" ref="G1219:G1282" si="40">$B$15*F1219</f>
        <v>1272.835158817471</v>
      </c>
      <c r="H1219">
        <f t="shared" ref="H1219:H1282" si="41">$B$13*F1219-($B$8*F1219^2)/2+$B$12</f>
        <v>-1382.5027739184777</v>
      </c>
    </row>
    <row r="1220" spans="6:8" x14ac:dyDescent="0.35">
      <c r="F1220">
        <v>24.340000000000199</v>
      </c>
      <c r="G1220">
        <f t="shared" si="40"/>
        <v>1273.881898257288</v>
      </c>
      <c r="H1220">
        <f t="shared" si="41"/>
        <v>-1386.0288644305658</v>
      </c>
    </row>
    <row r="1221" spans="6:8" x14ac:dyDescent="0.35">
      <c r="F1221">
        <v>24.360000000000198</v>
      </c>
      <c r="G1221">
        <f t="shared" si="40"/>
        <v>1274.9286376971049</v>
      </c>
      <c r="H1221">
        <f t="shared" si="41"/>
        <v>-1389.5588789426538</v>
      </c>
    </row>
    <row r="1222" spans="6:8" x14ac:dyDescent="0.35">
      <c r="F1222">
        <v>24.380000000000202</v>
      </c>
      <c r="G1222">
        <f t="shared" si="40"/>
        <v>1275.9753771369219</v>
      </c>
      <c r="H1222">
        <f t="shared" si="41"/>
        <v>-1393.0928174547423</v>
      </c>
    </row>
    <row r="1223" spans="6:8" x14ac:dyDescent="0.35">
      <c r="F1223">
        <v>24.400000000000201</v>
      </c>
      <c r="G1223">
        <f t="shared" si="40"/>
        <v>1277.0221165767389</v>
      </c>
      <c r="H1223">
        <f t="shared" si="41"/>
        <v>-1396.6306799668305</v>
      </c>
    </row>
    <row r="1224" spans="6:8" x14ac:dyDescent="0.35">
      <c r="F1224">
        <v>24.420000000000201</v>
      </c>
      <c r="G1224">
        <f t="shared" si="40"/>
        <v>1278.0688560165559</v>
      </c>
      <c r="H1224">
        <f t="shared" si="41"/>
        <v>-1400.1724664789185</v>
      </c>
    </row>
    <row r="1225" spans="6:8" x14ac:dyDescent="0.35">
      <c r="F1225">
        <v>24.4400000000002</v>
      </c>
      <c r="G1225">
        <f t="shared" si="40"/>
        <v>1279.1155954563728</v>
      </c>
      <c r="H1225">
        <f t="shared" si="41"/>
        <v>-1403.7181769910069</v>
      </c>
    </row>
    <row r="1226" spans="6:8" x14ac:dyDescent="0.35">
      <c r="F1226">
        <v>24.4600000000002</v>
      </c>
      <c r="G1226">
        <f t="shared" si="40"/>
        <v>1280.1623348961898</v>
      </c>
      <c r="H1226">
        <f t="shared" si="41"/>
        <v>-1407.2678115030944</v>
      </c>
    </row>
    <row r="1227" spans="6:8" x14ac:dyDescent="0.35">
      <c r="F1227">
        <v>24.480000000000199</v>
      </c>
      <c r="G1227">
        <f t="shared" si="40"/>
        <v>1281.2090743360068</v>
      </c>
      <c r="H1227">
        <f t="shared" si="41"/>
        <v>-1410.8213700151828</v>
      </c>
    </row>
    <row r="1228" spans="6:8" x14ac:dyDescent="0.35">
      <c r="F1228">
        <v>24.500000000000199</v>
      </c>
      <c r="G1228">
        <f t="shared" si="40"/>
        <v>1282.2558137758238</v>
      </c>
      <c r="H1228">
        <f t="shared" si="41"/>
        <v>-1414.3788525272705</v>
      </c>
    </row>
    <row r="1229" spans="6:8" x14ac:dyDescent="0.35">
      <c r="F1229">
        <v>24.520000000000199</v>
      </c>
      <c r="G1229">
        <f t="shared" si="40"/>
        <v>1283.3025532156407</v>
      </c>
      <c r="H1229">
        <f t="shared" si="41"/>
        <v>-1417.9402590393586</v>
      </c>
    </row>
    <row r="1230" spans="6:8" x14ac:dyDescent="0.35">
      <c r="F1230">
        <v>24.540000000000202</v>
      </c>
      <c r="G1230">
        <f t="shared" si="40"/>
        <v>1284.3492926554579</v>
      </c>
      <c r="H1230">
        <f t="shared" si="41"/>
        <v>-1421.5055895514472</v>
      </c>
    </row>
    <row r="1231" spans="6:8" x14ac:dyDescent="0.35">
      <c r="F1231">
        <v>24.560000000000201</v>
      </c>
      <c r="G1231">
        <f t="shared" si="40"/>
        <v>1285.3960320952749</v>
      </c>
      <c r="H1231">
        <f t="shared" si="41"/>
        <v>-1425.074844063535</v>
      </c>
    </row>
    <row r="1232" spans="6:8" x14ac:dyDescent="0.35">
      <c r="F1232">
        <v>24.580000000000201</v>
      </c>
      <c r="G1232">
        <f t="shared" si="40"/>
        <v>1286.4427715350919</v>
      </c>
      <c r="H1232">
        <f t="shared" si="41"/>
        <v>-1428.6480225756231</v>
      </c>
    </row>
    <row r="1233" spans="6:8" x14ac:dyDescent="0.35">
      <c r="F1233">
        <v>24.6000000000002</v>
      </c>
      <c r="G1233">
        <f t="shared" si="40"/>
        <v>1287.4895109749089</v>
      </c>
      <c r="H1233">
        <f t="shared" si="41"/>
        <v>-1432.2251250877114</v>
      </c>
    </row>
    <row r="1234" spans="6:8" x14ac:dyDescent="0.35">
      <c r="F1234">
        <v>24.6200000000002</v>
      </c>
      <c r="G1234">
        <f t="shared" si="40"/>
        <v>1288.5362504147258</v>
      </c>
      <c r="H1234">
        <f t="shared" si="41"/>
        <v>-1435.806151599799</v>
      </c>
    </row>
    <row r="1235" spans="6:8" x14ac:dyDescent="0.35">
      <c r="F1235">
        <v>24.6400000000002</v>
      </c>
      <c r="G1235">
        <f t="shared" si="40"/>
        <v>1289.5829898545428</v>
      </c>
      <c r="H1235">
        <f t="shared" si="41"/>
        <v>-1439.3911021118874</v>
      </c>
    </row>
    <row r="1236" spans="6:8" x14ac:dyDescent="0.35">
      <c r="F1236">
        <v>24.660000000000199</v>
      </c>
      <c r="G1236">
        <f t="shared" si="40"/>
        <v>1290.6297292943598</v>
      </c>
      <c r="H1236">
        <f t="shared" si="41"/>
        <v>-1442.9799766239757</v>
      </c>
    </row>
    <row r="1237" spans="6:8" x14ac:dyDescent="0.35">
      <c r="F1237">
        <v>24.680000000000199</v>
      </c>
      <c r="G1237">
        <f t="shared" si="40"/>
        <v>1291.6764687341768</v>
      </c>
      <c r="H1237">
        <f t="shared" si="41"/>
        <v>-1446.572775136063</v>
      </c>
    </row>
    <row r="1238" spans="6:8" x14ac:dyDescent="0.35">
      <c r="F1238">
        <v>24.700000000000198</v>
      </c>
      <c r="G1238">
        <f t="shared" si="40"/>
        <v>1292.7232081739937</v>
      </c>
      <c r="H1238">
        <f t="shared" si="41"/>
        <v>-1450.1694976481515</v>
      </c>
    </row>
    <row r="1239" spans="6:8" x14ac:dyDescent="0.35">
      <c r="F1239">
        <v>24.720000000000201</v>
      </c>
      <c r="G1239">
        <f t="shared" si="40"/>
        <v>1293.7699476138109</v>
      </c>
      <c r="H1239">
        <f t="shared" si="41"/>
        <v>-1453.7701441602401</v>
      </c>
    </row>
    <row r="1240" spans="6:8" x14ac:dyDescent="0.35">
      <c r="F1240">
        <v>24.740000000000201</v>
      </c>
      <c r="G1240">
        <f t="shared" si="40"/>
        <v>1294.8166870536279</v>
      </c>
      <c r="H1240">
        <f t="shared" si="41"/>
        <v>-1457.3747146723281</v>
      </c>
    </row>
    <row r="1241" spans="6:8" x14ac:dyDescent="0.35">
      <c r="F1241">
        <v>24.760000000000201</v>
      </c>
      <c r="G1241">
        <f t="shared" si="40"/>
        <v>1295.8634264934449</v>
      </c>
      <c r="H1241">
        <f t="shared" si="41"/>
        <v>-1460.9832091844164</v>
      </c>
    </row>
    <row r="1242" spans="6:8" x14ac:dyDescent="0.35">
      <c r="F1242">
        <v>24.7800000000002</v>
      </c>
      <c r="G1242">
        <f t="shared" si="40"/>
        <v>1296.9101659332619</v>
      </c>
      <c r="H1242">
        <f t="shared" si="41"/>
        <v>-1464.5956276965042</v>
      </c>
    </row>
    <row r="1243" spans="6:8" x14ac:dyDescent="0.35">
      <c r="F1243">
        <v>24.8000000000002</v>
      </c>
      <c r="G1243">
        <f t="shared" si="40"/>
        <v>1297.9569053730788</v>
      </c>
      <c r="H1243">
        <f t="shared" si="41"/>
        <v>-1468.2119702085918</v>
      </c>
    </row>
    <row r="1244" spans="6:8" x14ac:dyDescent="0.35">
      <c r="F1244">
        <v>24.820000000000199</v>
      </c>
      <c r="G1244">
        <f t="shared" si="40"/>
        <v>1299.0036448128958</v>
      </c>
      <c r="H1244">
        <f t="shared" si="41"/>
        <v>-1471.8322367206802</v>
      </c>
    </row>
    <row r="1245" spans="6:8" x14ac:dyDescent="0.35">
      <c r="F1245">
        <v>24.840000000000199</v>
      </c>
      <c r="G1245">
        <f t="shared" si="40"/>
        <v>1300.0503842527125</v>
      </c>
      <c r="H1245">
        <f t="shared" si="41"/>
        <v>-1475.456427232768</v>
      </c>
    </row>
    <row r="1246" spans="6:8" x14ac:dyDescent="0.35">
      <c r="F1246">
        <v>24.860000000000198</v>
      </c>
      <c r="G1246">
        <f t="shared" si="40"/>
        <v>1301.0971236925295</v>
      </c>
      <c r="H1246">
        <f t="shared" si="41"/>
        <v>-1479.0845417448561</v>
      </c>
    </row>
    <row r="1247" spans="6:8" x14ac:dyDescent="0.35">
      <c r="F1247">
        <v>24.880000000000202</v>
      </c>
      <c r="G1247">
        <f t="shared" si="40"/>
        <v>1302.1438631323467</v>
      </c>
      <c r="H1247">
        <f t="shared" si="41"/>
        <v>-1482.7165802569446</v>
      </c>
    </row>
    <row r="1248" spans="6:8" x14ac:dyDescent="0.35">
      <c r="F1248">
        <v>24.900000000000201</v>
      </c>
      <c r="G1248">
        <f t="shared" si="40"/>
        <v>1303.1906025721637</v>
      </c>
      <c r="H1248">
        <f t="shared" si="41"/>
        <v>-1486.3525427690327</v>
      </c>
    </row>
    <row r="1249" spans="6:8" x14ac:dyDescent="0.35">
      <c r="F1249">
        <v>24.920000000000201</v>
      </c>
      <c r="G1249">
        <f t="shared" si="40"/>
        <v>1304.2373420119807</v>
      </c>
      <c r="H1249">
        <f t="shared" si="41"/>
        <v>-1489.9924292811206</v>
      </c>
    </row>
    <row r="1250" spans="6:8" x14ac:dyDescent="0.35">
      <c r="F1250">
        <v>24.9400000000002</v>
      </c>
      <c r="G1250">
        <f t="shared" si="40"/>
        <v>1305.2840814517976</v>
      </c>
      <c r="H1250">
        <f t="shared" si="41"/>
        <v>-1493.6362397932089</v>
      </c>
    </row>
    <row r="1251" spans="6:8" x14ac:dyDescent="0.35">
      <c r="F1251">
        <v>24.9600000000002</v>
      </c>
      <c r="G1251">
        <f t="shared" si="40"/>
        <v>1306.3308208916146</v>
      </c>
      <c r="H1251">
        <f t="shared" si="41"/>
        <v>-1497.2839743052966</v>
      </c>
    </row>
    <row r="1252" spans="6:8" x14ac:dyDescent="0.35">
      <c r="F1252">
        <v>24.980000000000199</v>
      </c>
      <c r="G1252">
        <f t="shared" si="40"/>
        <v>1307.3775603314316</v>
      </c>
      <c r="H1252">
        <f t="shared" si="41"/>
        <v>-1500.9356328173851</v>
      </c>
    </row>
    <row r="1253" spans="6:8" x14ac:dyDescent="0.35">
      <c r="F1253">
        <v>25.000000000000199</v>
      </c>
      <c r="G1253">
        <f t="shared" si="40"/>
        <v>1308.4242997712486</v>
      </c>
      <c r="H1253">
        <f t="shared" si="41"/>
        <v>-1504.591215329473</v>
      </c>
    </row>
    <row r="1254" spans="6:8" x14ac:dyDescent="0.35">
      <c r="F1254">
        <v>25.020000000000199</v>
      </c>
      <c r="G1254">
        <f t="shared" si="40"/>
        <v>1309.4710392110655</v>
      </c>
      <c r="H1254">
        <f t="shared" si="41"/>
        <v>-1508.2507218415606</v>
      </c>
    </row>
    <row r="1255" spans="6:8" x14ac:dyDescent="0.35">
      <c r="F1255">
        <v>25.040000000000202</v>
      </c>
      <c r="G1255">
        <f t="shared" si="40"/>
        <v>1310.5177786508827</v>
      </c>
      <c r="H1255">
        <f t="shared" si="41"/>
        <v>-1511.9141523536496</v>
      </c>
    </row>
    <row r="1256" spans="6:8" x14ac:dyDescent="0.35">
      <c r="F1256">
        <v>25.060000000000201</v>
      </c>
      <c r="G1256">
        <f t="shared" si="40"/>
        <v>1311.5645180906997</v>
      </c>
      <c r="H1256">
        <f t="shared" si="41"/>
        <v>-1515.5815068657378</v>
      </c>
    </row>
    <row r="1257" spans="6:8" x14ac:dyDescent="0.35">
      <c r="F1257">
        <v>25.080000000000201</v>
      </c>
      <c r="G1257">
        <f t="shared" si="40"/>
        <v>1312.6112575305167</v>
      </c>
      <c r="H1257">
        <f t="shared" si="41"/>
        <v>-1519.2527853778258</v>
      </c>
    </row>
    <row r="1258" spans="6:8" x14ac:dyDescent="0.35">
      <c r="F1258">
        <v>25.1000000000002</v>
      </c>
      <c r="G1258">
        <f t="shared" si="40"/>
        <v>1313.6579969703337</v>
      </c>
      <c r="H1258">
        <f t="shared" si="41"/>
        <v>-1522.9279878899138</v>
      </c>
    </row>
    <row r="1259" spans="6:8" x14ac:dyDescent="0.35">
      <c r="F1259">
        <v>25.1200000000002</v>
      </c>
      <c r="G1259">
        <f t="shared" si="40"/>
        <v>1314.7047364101506</v>
      </c>
      <c r="H1259">
        <f t="shared" si="41"/>
        <v>-1526.6071144020016</v>
      </c>
    </row>
    <row r="1260" spans="6:8" x14ac:dyDescent="0.35">
      <c r="F1260">
        <v>25.1400000000002</v>
      </c>
      <c r="G1260">
        <f t="shared" si="40"/>
        <v>1315.7514758499676</v>
      </c>
      <c r="H1260">
        <f t="shared" si="41"/>
        <v>-1530.2901649140897</v>
      </c>
    </row>
    <row r="1261" spans="6:8" x14ac:dyDescent="0.35">
      <c r="F1261">
        <v>25.160000000000199</v>
      </c>
      <c r="G1261">
        <f t="shared" si="40"/>
        <v>1316.7982152897846</v>
      </c>
      <c r="H1261">
        <f t="shared" si="41"/>
        <v>-1533.9771394261777</v>
      </c>
    </row>
    <row r="1262" spans="6:8" x14ac:dyDescent="0.35">
      <c r="F1262">
        <v>25.180000000000199</v>
      </c>
      <c r="G1262">
        <f t="shared" si="40"/>
        <v>1317.8449547296016</v>
      </c>
      <c r="H1262">
        <f t="shared" si="41"/>
        <v>-1537.668037938266</v>
      </c>
    </row>
    <row r="1263" spans="6:8" x14ac:dyDescent="0.35">
      <c r="F1263">
        <v>25.200000000000198</v>
      </c>
      <c r="G1263">
        <f t="shared" si="40"/>
        <v>1318.8916941694185</v>
      </c>
      <c r="H1263">
        <f t="shared" si="41"/>
        <v>-1541.3628604503535</v>
      </c>
    </row>
    <row r="1264" spans="6:8" x14ac:dyDescent="0.35">
      <c r="F1264">
        <v>25.220000000000201</v>
      </c>
      <c r="G1264">
        <f t="shared" si="40"/>
        <v>1319.9384336092355</v>
      </c>
      <c r="H1264">
        <f t="shared" si="41"/>
        <v>-1545.0616069624421</v>
      </c>
    </row>
    <row r="1265" spans="6:8" x14ac:dyDescent="0.35">
      <c r="F1265">
        <v>25.240000000000201</v>
      </c>
      <c r="G1265">
        <f t="shared" si="40"/>
        <v>1320.9851730490525</v>
      </c>
      <c r="H1265">
        <f t="shared" si="41"/>
        <v>-1548.7642774745302</v>
      </c>
    </row>
    <row r="1266" spans="6:8" x14ac:dyDescent="0.35">
      <c r="F1266">
        <v>25.260000000000201</v>
      </c>
      <c r="G1266">
        <f t="shared" si="40"/>
        <v>1322.0319124888695</v>
      </c>
      <c r="H1266">
        <f t="shared" si="41"/>
        <v>-1552.4708719866182</v>
      </c>
    </row>
    <row r="1267" spans="6:8" x14ac:dyDescent="0.35">
      <c r="F1267">
        <v>25.2800000000002</v>
      </c>
      <c r="G1267">
        <f t="shared" si="40"/>
        <v>1323.0786519286864</v>
      </c>
      <c r="H1267">
        <f t="shared" si="41"/>
        <v>-1556.1813904987062</v>
      </c>
    </row>
    <row r="1268" spans="6:8" x14ac:dyDescent="0.35">
      <c r="F1268">
        <v>25.3000000000002</v>
      </c>
      <c r="G1268">
        <f t="shared" si="40"/>
        <v>1324.1253913685034</v>
      </c>
      <c r="H1268">
        <f t="shared" si="41"/>
        <v>-1559.8958330107948</v>
      </c>
    </row>
    <row r="1269" spans="6:8" x14ac:dyDescent="0.35">
      <c r="F1269">
        <v>25.320000000000199</v>
      </c>
      <c r="G1269">
        <f t="shared" si="40"/>
        <v>1325.1721308083204</v>
      </c>
      <c r="H1269">
        <f t="shared" si="41"/>
        <v>-1563.6141995228825</v>
      </c>
    </row>
    <row r="1270" spans="6:8" x14ac:dyDescent="0.35">
      <c r="F1270">
        <v>25.340000000000199</v>
      </c>
      <c r="G1270">
        <f t="shared" si="40"/>
        <v>1326.2188702481374</v>
      </c>
      <c r="H1270">
        <f t="shared" si="41"/>
        <v>-1567.3364900349702</v>
      </c>
    </row>
    <row r="1271" spans="6:8" x14ac:dyDescent="0.35">
      <c r="F1271">
        <v>25.360000000000198</v>
      </c>
      <c r="G1271">
        <f t="shared" si="40"/>
        <v>1327.2656096879543</v>
      </c>
      <c r="H1271">
        <f t="shared" si="41"/>
        <v>-1571.0627045470587</v>
      </c>
    </row>
    <row r="1272" spans="6:8" x14ac:dyDescent="0.35">
      <c r="F1272">
        <v>25.380000000000202</v>
      </c>
      <c r="G1272">
        <f t="shared" si="40"/>
        <v>1328.3123491277715</v>
      </c>
      <c r="H1272">
        <f t="shared" si="41"/>
        <v>-1574.7928430591469</v>
      </c>
    </row>
    <row r="1273" spans="6:8" x14ac:dyDescent="0.35">
      <c r="F1273">
        <v>25.400000000000201</v>
      </c>
      <c r="G1273">
        <f t="shared" si="40"/>
        <v>1329.3590885675885</v>
      </c>
      <c r="H1273">
        <f t="shared" si="41"/>
        <v>-1578.5269055712351</v>
      </c>
    </row>
    <row r="1274" spans="6:8" x14ac:dyDescent="0.35">
      <c r="F1274">
        <v>25.420000000000201</v>
      </c>
      <c r="G1274">
        <f t="shared" si="40"/>
        <v>1330.4058280074055</v>
      </c>
      <c r="H1274">
        <f t="shared" si="41"/>
        <v>-1582.2648920833228</v>
      </c>
    </row>
    <row r="1275" spans="6:8" x14ac:dyDescent="0.35">
      <c r="F1275">
        <v>25.4400000000002</v>
      </c>
      <c r="G1275">
        <f t="shared" si="40"/>
        <v>1331.4525674472225</v>
      </c>
      <c r="H1275">
        <f t="shared" si="41"/>
        <v>-1586.0068025954113</v>
      </c>
    </row>
    <row r="1276" spans="6:8" x14ac:dyDescent="0.35">
      <c r="F1276">
        <v>25.4600000000002</v>
      </c>
      <c r="G1276">
        <f t="shared" si="40"/>
        <v>1332.4993068870394</v>
      </c>
      <c r="H1276">
        <f t="shared" si="41"/>
        <v>-1589.7526371074991</v>
      </c>
    </row>
    <row r="1277" spans="6:8" x14ac:dyDescent="0.35">
      <c r="F1277">
        <v>25.480000000000199</v>
      </c>
      <c r="G1277">
        <f t="shared" si="40"/>
        <v>1333.5460463268564</v>
      </c>
      <c r="H1277">
        <f t="shared" si="41"/>
        <v>-1593.5023956195871</v>
      </c>
    </row>
    <row r="1278" spans="6:8" x14ac:dyDescent="0.35">
      <c r="F1278">
        <v>25.500000000000199</v>
      </c>
      <c r="G1278">
        <f t="shared" si="40"/>
        <v>1334.5927857666734</v>
      </c>
      <c r="H1278">
        <f t="shared" si="41"/>
        <v>-1597.2560781316749</v>
      </c>
    </row>
    <row r="1279" spans="6:8" x14ac:dyDescent="0.35">
      <c r="F1279">
        <v>25.520000000000199</v>
      </c>
      <c r="G1279">
        <f t="shared" si="40"/>
        <v>1335.6395252064904</v>
      </c>
      <c r="H1279">
        <f t="shared" si="41"/>
        <v>-1601.0136846437631</v>
      </c>
    </row>
    <row r="1280" spans="6:8" x14ac:dyDescent="0.35">
      <c r="F1280">
        <v>25.540000000000202</v>
      </c>
      <c r="G1280">
        <f t="shared" si="40"/>
        <v>1336.6862646463076</v>
      </c>
      <c r="H1280">
        <f t="shared" si="41"/>
        <v>-1604.7752151558518</v>
      </c>
    </row>
    <row r="1281" spans="6:8" x14ac:dyDescent="0.35">
      <c r="F1281">
        <v>25.560000000000201</v>
      </c>
      <c r="G1281">
        <f t="shared" si="40"/>
        <v>1337.7330040861245</v>
      </c>
      <c r="H1281">
        <f t="shared" si="41"/>
        <v>-1608.5406696679397</v>
      </c>
    </row>
    <row r="1282" spans="6:8" x14ac:dyDescent="0.35">
      <c r="F1282">
        <v>25.580000000000201</v>
      </c>
      <c r="G1282">
        <f t="shared" si="40"/>
        <v>1338.7797435259415</v>
      </c>
      <c r="H1282">
        <f t="shared" si="41"/>
        <v>-1612.3100481800279</v>
      </c>
    </row>
    <row r="1283" spans="6:8" x14ac:dyDescent="0.35">
      <c r="F1283">
        <v>25.6000000000002</v>
      </c>
      <c r="G1283">
        <f t="shared" ref="G1283:G1346" si="42">$B$15*F1283</f>
        <v>1339.8264829657585</v>
      </c>
      <c r="H1283">
        <f t="shared" ref="H1283:H1346" si="43">$B$13*F1283-($B$8*F1283^2)/2+$B$12</f>
        <v>-1616.0833506921156</v>
      </c>
    </row>
    <row r="1284" spans="6:8" x14ac:dyDescent="0.35">
      <c r="F1284">
        <v>25.6200000000002</v>
      </c>
      <c r="G1284">
        <f t="shared" si="42"/>
        <v>1340.8732224055752</v>
      </c>
      <c r="H1284">
        <f t="shared" si="43"/>
        <v>-1619.8605772042038</v>
      </c>
    </row>
    <row r="1285" spans="6:8" x14ac:dyDescent="0.35">
      <c r="F1285">
        <v>25.6400000000002</v>
      </c>
      <c r="G1285">
        <f t="shared" si="42"/>
        <v>1341.9199618453922</v>
      </c>
      <c r="H1285">
        <f t="shared" si="43"/>
        <v>-1623.6417277162918</v>
      </c>
    </row>
    <row r="1286" spans="6:8" x14ac:dyDescent="0.35">
      <c r="F1286">
        <v>25.660000000000199</v>
      </c>
      <c r="G1286">
        <f t="shared" si="42"/>
        <v>1342.9667012852092</v>
      </c>
      <c r="H1286">
        <f t="shared" si="43"/>
        <v>-1627.4268022283798</v>
      </c>
    </row>
    <row r="1287" spans="6:8" x14ac:dyDescent="0.35">
      <c r="F1287">
        <v>25.680000000000199</v>
      </c>
      <c r="G1287">
        <f t="shared" si="42"/>
        <v>1344.0134407250262</v>
      </c>
      <c r="H1287">
        <f t="shared" si="43"/>
        <v>-1631.215800740468</v>
      </c>
    </row>
    <row r="1288" spans="6:8" x14ac:dyDescent="0.35">
      <c r="F1288">
        <v>25.700000000000198</v>
      </c>
      <c r="G1288">
        <f t="shared" si="42"/>
        <v>1345.0601801648431</v>
      </c>
      <c r="H1288">
        <f t="shared" si="43"/>
        <v>-1635.0087232525561</v>
      </c>
    </row>
    <row r="1289" spans="6:8" x14ac:dyDescent="0.35">
      <c r="F1289">
        <v>25.720000000000201</v>
      </c>
      <c r="G1289">
        <f t="shared" si="42"/>
        <v>1346.1069196046603</v>
      </c>
      <c r="H1289">
        <f t="shared" si="43"/>
        <v>-1638.8055697646448</v>
      </c>
    </row>
    <row r="1290" spans="6:8" x14ac:dyDescent="0.35">
      <c r="F1290">
        <v>25.740000000000201</v>
      </c>
      <c r="G1290">
        <f t="shared" si="42"/>
        <v>1347.1536590444773</v>
      </c>
      <c r="H1290">
        <f t="shared" si="43"/>
        <v>-1642.6063402767327</v>
      </c>
    </row>
    <row r="1291" spans="6:8" x14ac:dyDescent="0.35">
      <c r="F1291">
        <v>25.760000000000201</v>
      </c>
      <c r="G1291">
        <f t="shared" si="42"/>
        <v>1348.2003984842943</v>
      </c>
      <c r="H1291">
        <f t="shared" si="43"/>
        <v>-1646.4110347888202</v>
      </c>
    </row>
    <row r="1292" spans="6:8" x14ac:dyDescent="0.35">
      <c r="F1292">
        <v>25.7800000000002</v>
      </c>
      <c r="G1292">
        <f t="shared" si="42"/>
        <v>1349.2471379241113</v>
      </c>
      <c r="H1292">
        <f t="shared" si="43"/>
        <v>-1650.2196533009085</v>
      </c>
    </row>
    <row r="1293" spans="6:8" x14ac:dyDescent="0.35">
      <c r="F1293">
        <v>25.8000000000002</v>
      </c>
      <c r="G1293">
        <f t="shared" si="42"/>
        <v>1350.2938773639282</v>
      </c>
      <c r="H1293">
        <f t="shared" si="43"/>
        <v>-1654.0321958129966</v>
      </c>
    </row>
    <row r="1294" spans="6:8" x14ac:dyDescent="0.35">
      <c r="F1294">
        <v>25.820000000000199</v>
      </c>
      <c r="G1294">
        <f t="shared" si="42"/>
        <v>1351.3406168037452</v>
      </c>
      <c r="H1294">
        <f t="shared" si="43"/>
        <v>-1657.8486623250847</v>
      </c>
    </row>
    <row r="1295" spans="6:8" x14ac:dyDescent="0.35">
      <c r="F1295">
        <v>25.840000000000199</v>
      </c>
      <c r="G1295">
        <f t="shared" si="42"/>
        <v>1352.3873562435622</v>
      </c>
      <c r="H1295">
        <f t="shared" si="43"/>
        <v>-1661.6690528371726</v>
      </c>
    </row>
    <row r="1296" spans="6:8" x14ac:dyDescent="0.35">
      <c r="F1296">
        <v>25.860000000000198</v>
      </c>
      <c r="G1296">
        <f t="shared" si="42"/>
        <v>1353.4340956833792</v>
      </c>
      <c r="H1296">
        <f t="shared" si="43"/>
        <v>-1665.4933673492603</v>
      </c>
    </row>
    <row r="1297" spans="6:8" x14ac:dyDescent="0.35">
      <c r="F1297">
        <v>25.880000000000202</v>
      </c>
      <c r="G1297">
        <f t="shared" si="42"/>
        <v>1354.4808351231964</v>
      </c>
      <c r="H1297">
        <f t="shared" si="43"/>
        <v>-1669.3216058613496</v>
      </c>
    </row>
    <row r="1298" spans="6:8" x14ac:dyDescent="0.35">
      <c r="F1298">
        <v>25.900000000000201</v>
      </c>
      <c r="G1298">
        <f t="shared" si="42"/>
        <v>1355.5275745630133</v>
      </c>
      <c r="H1298">
        <f t="shared" si="43"/>
        <v>-1673.1537683734375</v>
      </c>
    </row>
    <row r="1299" spans="6:8" x14ac:dyDescent="0.35">
      <c r="F1299">
        <v>25.920000000000201</v>
      </c>
      <c r="G1299">
        <f t="shared" si="42"/>
        <v>1356.5743140028303</v>
      </c>
      <c r="H1299">
        <f t="shared" si="43"/>
        <v>-1676.9898548855253</v>
      </c>
    </row>
    <row r="1300" spans="6:8" x14ac:dyDescent="0.35">
      <c r="F1300">
        <v>25.9400000000002</v>
      </c>
      <c r="G1300">
        <f t="shared" si="42"/>
        <v>1357.6210534426473</v>
      </c>
      <c r="H1300">
        <f t="shared" si="43"/>
        <v>-1680.8298653976128</v>
      </c>
    </row>
    <row r="1301" spans="6:8" x14ac:dyDescent="0.35">
      <c r="F1301">
        <v>25.9600000000002</v>
      </c>
      <c r="G1301">
        <f t="shared" si="42"/>
        <v>1358.6677928824643</v>
      </c>
      <c r="H1301">
        <f t="shared" si="43"/>
        <v>-1684.6737999097011</v>
      </c>
    </row>
    <row r="1302" spans="6:8" x14ac:dyDescent="0.35">
      <c r="F1302">
        <v>25.980000000000199</v>
      </c>
      <c r="G1302">
        <f t="shared" si="42"/>
        <v>1359.7145323222812</v>
      </c>
      <c r="H1302">
        <f t="shared" si="43"/>
        <v>-1688.5216584217897</v>
      </c>
    </row>
    <row r="1303" spans="6:8" x14ac:dyDescent="0.35">
      <c r="F1303">
        <v>26.000000000000199</v>
      </c>
      <c r="G1303">
        <f t="shared" si="42"/>
        <v>1360.7612717620982</v>
      </c>
      <c r="H1303">
        <f t="shared" si="43"/>
        <v>-1692.3734409338776</v>
      </c>
    </row>
    <row r="1304" spans="6:8" x14ac:dyDescent="0.35">
      <c r="F1304">
        <v>26.020000000000199</v>
      </c>
      <c r="G1304">
        <f t="shared" si="42"/>
        <v>1361.8080112019152</v>
      </c>
      <c r="H1304">
        <f t="shared" si="43"/>
        <v>-1696.2291474459655</v>
      </c>
    </row>
    <row r="1305" spans="6:8" x14ac:dyDescent="0.35">
      <c r="F1305">
        <v>26.040000000000202</v>
      </c>
      <c r="G1305">
        <f t="shared" si="42"/>
        <v>1362.8547506417322</v>
      </c>
      <c r="H1305">
        <f t="shared" si="43"/>
        <v>-1700.0887779580544</v>
      </c>
    </row>
    <row r="1306" spans="6:8" x14ac:dyDescent="0.35">
      <c r="F1306">
        <v>26.060000000000201</v>
      </c>
      <c r="G1306">
        <f t="shared" si="42"/>
        <v>1363.9014900815491</v>
      </c>
      <c r="H1306">
        <f t="shared" si="43"/>
        <v>-1703.952332470142</v>
      </c>
    </row>
    <row r="1307" spans="6:8" x14ac:dyDescent="0.35">
      <c r="F1307">
        <v>26.080000000000201</v>
      </c>
      <c r="G1307">
        <f t="shared" si="42"/>
        <v>1364.9482295213661</v>
      </c>
      <c r="H1307">
        <f t="shared" si="43"/>
        <v>-1707.8198109822301</v>
      </c>
    </row>
    <row r="1308" spans="6:8" x14ac:dyDescent="0.35">
      <c r="F1308">
        <v>26.1000000000002</v>
      </c>
      <c r="G1308">
        <f t="shared" si="42"/>
        <v>1365.9949689611831</v>
      </c>
      <c r="H1308">
        <f t="shared" si="43"/>
        <v>-1711.6912134943182</v>
      </c>
    </row>
    <row r="1309" spans="6:8" x14ac:dyDescent="0.35">
      <c r="F1309">
        <v>26.1200000000002</v>
      </c>
      <c r="G1309">
        <f t="shared" si="42"/>
        <v>1367.0417084010001</v>
      </c>
      <c r="H1309">
        <f t="shared" si="43"/>
        <v>-1715.5665400064061</v>
      </c>
    </row>
    <row r="1310" spans="6:8" x14ac:dyDescent="0.35">
      <c r="F1310">
        <v>26.1400000000002</v>
      </c>
      <c r="G1310">
        <f t="shared" si="42"/>
        <v>1368.088447840817</v>
      </c>
      <c r="H1310">
        <f t="shared" si="43"/>
        <v>-1719.4457905184938</v>
      </c>
    </row>
    <row r="1311" spans="6:8" x14ac:dyDescent="0.35">
      <c r="F1311">
        <v>26.160000000000199</v>
      </c>
      <c r="G1311">
        <f t="shared" si="42"/>
        <v>1369.135187280634</v>
      </c>
      <c r="H1311">
        <f t="shared" si="43"/>
        <v>-1723.3289650305824</v>
      </c>
    </row>
    <row r="1312" spans="6:8" x14ac:dyDescent="0.35">
      <c r="F1312">
        <v>26.180000000000199</v>
      </c>
      <c r="G1312">
        <f t="shared" si="42"/>
        <v>1370.181926720451</v>
      </c>
      <c r="H1312">
        <f t="shared" si="43"/>
        <v>-1727.2160635426703</v>
      </c>
    </row>
    <row r="1313" spans="6:8" x14ac:dyDescent="0.35">
      <c r="F1313">
        <v>26.200000000000198</v>
      </c>
      <c r="G1313">
        <f t="shared" si="42"/>
        <v>1371.2286661602679</v>
      </c>
      <c r="H1313">
        <f t="shared" si="43"/>
        <v>-1731.1070860547582</v>
      </c>
    </row>
    <row r="1314" spans="6:8" x14ac:dyDescent="0.35">
      <c r="F1314">
        <v>26.220000000000201</v>
      </c>
      <c r="G1314">
        <f t="shared" si="42"/>
        <v>1372.2754056000852</v>
      </c>
      <c r="H1314">
        <f t="shared" si="43"/>
        <v>-1735.0020325668468</v>
      </c>
    </row>
    <row r="1315" spans="6:8" x14ac:dyDescent="0.35">
      <c r="F1315">
        <v>26.240000000000201</v>
      </c>
      <c r="G1315">
        <f t="shared" si="42"/>
        <v>1373.3221450399021</v>
      </c>
      <c r="H1315">
        <f t="shared" si="43"/>
        <v>-1738.900903078935</v>
      </c>
    </row>
    <row r="1316" spans="6:8" x14ac:dyDescent="0.35">
      <c r="F1316">
        <v>26.260000000000201</v>
      </c>
      <c r="G1316">
        <f t="shared" si="42"/>
        <v>1374.3688844797191</v>
      </c>
      <c r="H1316">
        <f t="shared" si="43"/>
        <v>-1742.8036975910227</v>
      </c>
    </row>
    <row r="1317" spans="6:8" x14ac:dyDescent="0.35">
      <c r="F1317">
        <v>26.2800000000002</v>
      </c>
      <c r="G1317">
        <f t="shared" si="42"/>
        <v>1375.4156239195361</v>
      </c>
      <c r="H1317">
        <f t="shared" si="43"/>
        <v>-1746.7104161031107</v>
      </c>
    </row>
    <row r="1318" spans="6:8" x14ac:dyDescent="0.35">
      <c r="F1318">
        <v>26.3000000000002</v>
      </c>
      <c r="G1318">
        <f t="shared" si="42"/>
        <v>1376.462363359353</v>
      </c>
      <c r="H1318">
        <f t="shared" si="43"/>
        <v>-1750.621058615199</v>
      </c>
    </row>
    <row r="1319" spans="6:8" x14ac:dyDescent="0.35">
      <c r="F1319">
        <v>26.320000000000199</v>
      </c>
      <c r="G1319">
        <f t="shared" si="42"/>
        <v>1377.50910279917</v>
      </c>
      <c r="H1319">
        <f t="shared" si="43"/>
        <v>-1754.5356251272867</v>
      </c>
    </row>
    <row r="1320" spans="6:8" x14ac:dyDescent="0.35">
      <c r="F1320">
        <v>26.340000000000199</v>
      </c>
      <c r="G1320">
        <f t="shared" si="42"/>
        <v>1378.555842238987</v>
      </c>
      <c r="H1320">
        <f t="shared" si="43"/>
        <v>-1758.4541156393748</v>
      </c>
    </row>
    <row r="1321" spans="6:8" x14ac:dyDescent="0.35">
      <c r="F1321">
        <v>26.360000000000198</v>
      </c>
      <c r="G1321">
        <f t="shared" si="42"/>
        <v>1379.602581678804</v>
      </c>
      <c r="H1321">
        <f t="shared" si="43"/>
        <v>-1762.3765301514629</v>
      </c>
    </row>
    <row r="1322" spans="6:8" x14ac:dyDescent="0.35">
      <c r="F1322">
        <v>26.380000000000202</v>
      </c>
      <c r="G1322">
        <f t="shared" si="42"/>
        <v>1380.6493211186212</v>
      </c>
      <c r="H1322">
        <f t="shared" si="43"/>
        <v>-1766.3028686635512</v>
      </c>
    </row>
    <row r="1323" spans="6:8" x14ac:dyDescent="0.35">
      <c r="F1323">
        <v>26.400000000000201</v>
      </c>
      <c r="G1323">
        <f t="shared" si="42"/>
        <v>1381.6960605584381</v>
      </c>
      <c r="H1323">
        <f t="shared" si="43"/>
        <v>-1770.2331311756395</v>
      </c>
    </row>
    <row r="1324" spans="6:8" x14ac:dyDescent="0.35">
      <c r="F1324">
        <v>26.420000000000201</v>
      </c>
      <c r="G1324">
        <f t="shared" si="42"/>
        <v>1382.7427999982549</v>
      </c>
      <c r="H1324">
        <f t="shared" si="43"/>
        <v>-1774.1673176877273</v>
      </c>
    </row>
    <row r="1325" spans="6:8" x14ac:dyDescent="0.35">
      <c r="F1325">
        <v>26.4400000000002</v>
      </c>
      <c r="G1325">
        <f t="shared" si="42"/>
        <v>1383.7895394380719</v>
      </c>
      <c r="H1325">
        <f t="shared" si="43"/>
        <v>-1778.1054281998158</v>
      </c>
    </row>
    <row r="1326" spans="6:8" x14ac:dyDescent="0.35">
      <c r="F1326">
        <v>26.4600000000002</v>
      </c>
      <c r="G1326">
        <f t="shared" si="42"/>
        <v>1384.8362788778888</v>
      </c>
      <c r="H1326">
        <f t="shared" si="43"/>
        <v>-1782.0474627119038</v>
      </c>
    </row>
    <row r="1327" spans="6:8" x14ac:dyDescent="0.35">
      <c r="F1327">
        <v>26.480000000000199</v>
      </c>
      <c r="G1327">
        <f t="shared" si="42"/>
        <v>1385.8830183177058</v>
      </c>
      <c r="H1327">
        <f t="shared" si="43"/>
        <v>-1785.9934212239916</v>
      </c>
    </row>
    <row r="1328" spans="6:8" x14ac:dyDescent="0.35">
      <c r="F1328">
        <v>26.500000000000199</v>
      </c>
      <c r="G1328">
        <f t="shared" si="42"/>
        <v>1386.9297577575228</v>
      </c>
      <c r="H1328">
        <f t="shared" si="43"/>
        <v>-1789.9433037360795</v>
      </c>
    </row>
    <row r="1329" spans="6:8" x14ac:dyDescent="0.35">
      <c r="F1329">
        <v>26.520000000000199</v>
      </c>
      <c r="G1329">
        <f t="shared" si="42"/>
        <v>1387.9764971973398</v>
      </c>
      <c r="H1329">
        <f t="shared" si="43"/>
        <v>-1793.8971102481678</v>
      </c>
    </row>
    <row r="1330" spans="6:8" x14ac:dyDescent="0.35">
      <c r="F1330">
        <v>26.540000000000202</v>
      </c>
      <c r="G1330">
        <f t="shared" si="42"/>
        <v>1389.023236637157</v>
      </c>
      <c r="H1330">
        <f t="shared" si="43"/>
        <v>-1797.8548407602566</v>
      </c>
    </row>
    <row r="1331" spans="6:8" x14ac:dyDescent="0.35">
      <c r="F1331">
        <v>26.560000000000201</v>
      </c>
      <c r="G1331">
        <f t="shared" si="42"/>
        <v>1390.0699760769739</v>
      </c>
      <c r="H1331">
        <f t="shared" si="43"/>
        <v>-1801.8164952723441</v>
      </c>
    </row>
    <row r="1332" spans="6:8" x14ac:dyDescent="0.35">
      <c r="F1332">
        <v>26.580000000000201</v>
      </c>
      <c r="G1332">
        <f t="shared" si="42"/>
        <v>1391.1167155167909</v>
      </c>
      <c r="H1332">
        <f t="shared" si="43"/>
        <v>-1805.7820737844324</v>
      </c>
    </row>
    <row r="1333" spans="6:8" x14ac:dyDescent="0.35">
      <c r="F1333">
        <v>26.6000000000002</v>
      </c>
      <c r="G1333">
        <f t="shared" si="42"/>
        <v>1392.1634549566079</v>
      </c>
      <c r="H1333">
        <f t="shared" si="43"/>
        <v>-1809.7515762965202</v>
      </c>
    </row>
    <row r="1334" spans="6:8" x14ac:dyDescent="0.35">
      <c r="F1334">
        <v>26.6200000000002</v>
      </c>
      <c r="G1334">
        <f t="shared" si="42"/>
        <v>1393.2101943964249</v>
      </c>
      <c r="H1334">
        <f t="shared" si="43"/>
        <v>-1813.7250028086082</v>
      </c>
    </row>
    <row r="1335" spans="6:8" x14ac:dyDescent="0.35">
      <c r="F1335">
        <v>26.6400000000002</v>
      </c>
      <c r="G1335">
        <f t="shared" si="42"/>
        <v>1394.2569338362418</v>
      </c>
      <c r="H1335">
        <f t="shared" si="43"/>
        <v>-1817.7023533206961</v>
      </c>
    </row>
    <row r="1336" spans="6:8" x14ac:dyDescent="0.35">
      <c r="F1336">
        <v>26.660000000000199</v>
      </c>
      <c r="G1336">
        <f t="shared" si="42"/>
        <v>1395.3036732760588</v>
      </c>
      <c r="H1336">
        <f t="shared" si="43"/>
        <v>-1821.6836278327844</v>
      </c>
    </row>
    <row r="1337" spans="6:8" x14ac:dyDescent="0.35">
      <c r="F1337">
        <v>26.680000000000199</v>
      </c>
      <c r="G1337">
        <f t="shared" si="42"/>
        <v>1396.3504127158758</v>
      </c>
      <c r="H1337">
        <f t="shared" si="43"/>
        <v>-1825.6688263448723</v>
      </c>
    </row>
    <row r="1338" spans="6:8" x14ac:dyDescent="0.35">
      <c r="F1338">
        <v>26.700000000000198</v>
      </c>
      <c r="G1338">
        <f t="shared" si="42"/>
        <v>1397.3971521556928</v>
      </c>
      <c r="H1338">
        <f t="shared" si="43"/>
        <v>-1829.65794885696</v>
      </c>
    </row>
    <row r="1339" spans="6:8" x14ac:dyDescent="0.35">
      <c r="F1339">
        <v>26.720000000000201</v>
      </c>
      <c r="G1339">
        <f t="shared" si="42"/>
        <v>1398.44389159551</v>
      </c>
      <c r="H1339">
        <f t="shared" si="43"/>
        <v>-1833.6509953690493</v>
      </c>
    </row>
    <row r="1340" spans="6:8" x14ac:dyDescent="0.35">
      <c r="F1340">
        <v>26.740000000000201</v>
      </c>
      <c r="G1340">
        <f t="shared" si="42"/>
        <v>1399.4906310353269</v>
      </c>
      <c r="H1340">
        <f t="shared" si="43"/>
        <v>-1837.6479658811368</v>
      </c>
    </row>
    <row r="1341" spans="6:8" x14ac:dyDescent="0.35">
      <c r="F1341">
        <v>26.760000000000201</v>
      </c>
      <c r="G1341">
        <f t="shared" si="42"/>
        <v>1400.5373704751439</v>
      </c>
      <c r="H1341">
        <f t="shared" si="43"/>
        <v>-1841.648860393225</v>
      </c>
    </row>
    <row r="1342" spans="6:8" x14ac:dyDescent="0.35">
      <c r="F1342">
        <v>26.7800000000002</v>
      </c>
      <c r="G1342">
        <f t="shared" si="42"/>
        <v>1401.5841099149609</v>
      </c>
      <c r="H1342">
        <f t="shared" si="43"/>
        <v>-1845.6536789053132</v>
      </c>
    </row>
    <row r="1343" spans="6:8" x14ac:dyDescent="0.35">
      <c r="F1343">
        <v>26.8000000000002</v>
      </c>
      <c r="G1343">
        <f t="shared" si="42"/>
        <v>1402.6308493547779</v>
      </c>
      <c r="H1343">
        <f t="shared" si="43"/>
        <v>-1849.6624214174012</v>
      </c>
    </row>
    <row r="1344" spans="6:8" x14ac:dyDescent="0.35">
      <c r="F1344">
        <v>26.820000000000199</v>
      </c>
      <c r="G1344">
        <f t="shared" si="42"/>
        <v>1403.6775887945948</v>
      </c>
      <c r="H1344">
        <f t="shared" si="43"/>
        <v>-1853.6750879294893</v>
      </c>
    </row>
    <row r="1345" spans="6:8" x14ac:dyDescent="0.35">
      <c r="F1345">
        <v>26.840000000000199</v>
      </c>
      <c r="G1345">
        <f t="shared" si="42"/>
        <v>1404.7243282344118</v>
      </c>
      <c r="H1345">
        <f t="shared" si="43"/>
        <v>-1857.6916784415769</v>
      </c>
    </row>
    <row r="1346" spans="6:8" x14ac:dyDescent="0.35">
      <c r="F1346">
        <v>26.860000000000198</v>
      </c>
      <c r="G1346">
        <f t="shared" si="42"/>
        <v>1405.7710676742288</v>
      </c>
      <c r="H1346">
        <f t="shared" si="43"/>
        <v>-1861.7121929536652</v>
      </c>
    </row>
    <row r="1347" spans="6:8" x14ac:dyDescent="0.35">
      <c r="F1347">
        <v>26.880000000000202</v>
      </c>
      <c r="G1347">
        <f t="shared" ref="G1347:G1410" si="44">$B$15*F1347</f>
        <v>1406.8178071140458</v>
      </c>
      <c r="H1347">
        <f t="shared" ref="H1347:H1410" si="45">$B$13*F1347-($B$8*F1347^2)/2+$B$12</f>
        <v>-1865.7366314657536</v>
      </c>
    </row>
    <row r="1348" spans="6:8" x14ac:dyDescent="0.35">
      <c r="F1348">
        <v>26.900000000000201</v>
      </c>
      <c r="G1348">
        <f t="shared" si="44"/>
        <v>1407.8645465538627</v>
      </c>
      <c r="H1348">
        <f t="shared" si="45"/>
        <v>-1869.7649939778416</v>
      </c>
    </row>
    <row r="1349" spans="6:8" x14ac:dyDescent="0.35">
      <c r="F1349">
        <v>26.920000000000201</v>
      </c>
      <c r="G1349">
        <f t="shared" si="44"/>
        <v>1408.9112859936797</v>
      </c>
      <c r="H1349">
        <f t="shared" si="45"/>
        <v>-1873.79728048993</v>
      </c>
    </row>
    <row r="1350" spans="6:8" x14ac:dyDescent="0.35">
      <c r="F1350">
        <v>26.9400000000002</v>
      </c>
      <c r="G1350">
        <f t="shared" si="44"/>
        <v>1409.9580254334967</v>
      </c>
      <c r="H1350">
        <f t="shared" si="45"/>
        <v>-1877.8334910020178</v>
      </c>
    </row>
    <row r="1351" spans="6:8" x14ac:dyDescent="0.35">
      <c r="F1351">
        <v>26.9600000000002</v>
      </c>
      <c r="G1351">
        <f t="shared" si="44"/>
        <v>1411.0047648733137</v>
      </c>
      <c r="H1351">
        <f t="shared" si="45"/>
        <v>-1881.8736255141057</v>
      </c>
    </row>
    <row r="1352" spans="6:8" x14ac:dyDescent="0.35">
      <c r="F1352">
        <v>26.980000000000199</v>
      </c>
      <c r="G1352">
        <f t="shared" si="44"/>
        <v>1412.0515043131306</v>
      </c>
      <c r="H1352">
        <f t="shared" si="45"/>
        <v>-1885.9176840261939</v>
      </c>
    </row>
    <row r="1353" spans="6:8" x14ac:dyDescent="0.35">
      <c r="F1353">
        <v>27.000000000000199</v>
      </c>
      <c r="G1353">
        <f t="shared" si="44"/>
        <v>1413.0982437529476</v>
      </c>
      <c r="H1353">
        <f t="shared" si="45"/>
        <v>-1889.9656665382815</v>
      </c>
    </row>
    <row r="1354" spans="6:8" x14ac:dyDescent="0.35">
      <c r="F1354">
        <v>27.020000000000199</v>
      </c>
      <c r="G1354">
        <f t="shared" si="44"/>
        <v>1414.1449831927646</v>
      </c>
      <c r="H1354">
        <f t="shared" si="45"/>
        <v>-1894.0175730503699</v>
      </c>
    </row>
    <row r="1355" spans="6:8" x14ac:dyDescent="0.35">
      <c r="F1355">
        <v>27.040000000000202</v>
      </c>
      <c r="G1355">
        <f t="shared" si="44"/>
        <v>1415.1917226325818</v>
      </c>
      <c r="H1355">
        <f t="shared" si="45"/>
        <v>-1898.0734035624585</v>
      </c>
    </row>
    <row r="1356" spans="6:8" x14ac:dyDescent="0.35">
      <c r="F1356">
        <v>27.060000000000201</v>
      </c>
      <c r="G1356">
        <f t="shared" si="44"/>
        <v>1416.2384620723988</v>
      </c>
      <c r="H1356">
        <f t="shared" si="45"/>
        <v>-1902.1331580745471</v>
      </c>
    </row>
    <row r="1357" spans="6:8" x14ac:dyDescent="0.35">
      <c r="F1357">
        <v>27.080000000000201</v>
      </c>
      <c r="G1357">
        <f t="shared" si="44"/>
        <v>1417.2852015122157</v>
      </c>
      <c r="H1357">
        <f t="shared" si="45"/>
        <v>-1906.1968365866342</v>
      </c>
    </row>
    <row r="1358" spans="6:8" x14ac:dyDescent="0.35">
      <c r="F1358">
        <v>27.1000000000002</v>
      </c>
      <c r="G1358">
        <f t="shared" si="44"/>
        <v>1418.3319409520327</v>
      </c>
      <c r="H1358">
        <f t="shared" si="45"/>
        <v>-1910.2644390987227</v>
      </c>
    </row>
    <row r="1359" spans="6:8" x14ac:dyDescent="0.35">
      <c r="F1359">
        <v>27.1200000000002</v>
      </c>
      <c r="G1359">
        <f t="shared" si="44"/>
        <v>1419.3786803918497</v>
      </c>
      <c r="H1359">
        <f t="shared" si="45"/>
        <v>-1914.3359656108107</v>
      </c>
    </row>
    <row r="1360" spans="6:8" x14ac:dyDescent="0.35">
      <c r="F1360">
        <v>27.1400000000002</v>
      </c>
      <c r="G1360">
        <f t="shared" si="44"/>
        <v>1420.4254198316667</v>
      </c>
      <c r="H1360">
        <f t="shared" si="45"/>
        <v>-1918.4114161228986</v>
      </c>
    </row>
    <row r="1361" spans="6:8" x14ac:dyDescent="0.35">
      <c r="F1361">
        <v>27.160000000000199</v>
      </c>
      <c r="G1361">
        <f t="shared" si="44"/>
        <v>1421.4721592714836</v>
      </c>
      <c r="H1361">
        <f t="shared" si="45"/>
        <v>-1922.4907906349868</v>
      </c>
    </row>
    <row r="1362" spans="6:8" x14ac:dyDescent="0.35">
      <c r="F1362">
        <v>27.180000000000199</v>
      </c>
      <c r="G1362">
        <f t="shared" si="44"/>
        <v>1422.5188987113006</v>
      </c>
      <c r="H1362">
        <f t="shared" si="45"/>
        <v>-1926.5740891470743</v>
      </c>
    </row>
    <row r="1363" spans="6:8" x14ac:dyDescent="0.35">
      <c r="F1363">
        <v>27.200000000000198</v>
      </c>
      <c r="G1363">
        <f t="shared" si="44"/>
        <v>1423.5656381511176</v>
      </c>
      <c r="H1363">
        <f t="shared" si="45"/>
        <v>-1930.6613116591627</v>
      </c>
    </row>
    <row r="1364" spans="6:8" x14ac:dyDescent="0.35">
      <c r="F1364">
        <v>27.220000000000201</v>
      </c>
      <c r="G1364">
        <f t="shared" si="44"/>
        <v>1424.6123775909346</v>
      </c>
      <c r="H1364">
        <f t="shared" si="45"/>
        <v>-1934.7524581712512</v>
      </c>
    </row>
    <row r="1365" spans="6:8" x14ac:dyDescent="0.35">
      <c r="F1365">
        <v>27.240000000000201</v>
      </c>
      <c r="G1365">
        <f t="shared" si="44"/>
        <v>1425.6591170307515</v>
      </c>
      <c r="H1365">
        <f t="shared" si="45"/>
        <v>-1938.8475286833393</v>
      </c>
    </row>
    <row r="1366" spans="6:8" x14ac:dyDescent="0.35">
      <c r="F1366">
        <v>27.260000000000201</v>
      </c>
      <c r="G1366">
        <f t="shared" si="44"/>
        <v>1426.7058564705685</v>
      </c>
      <c r="H1366">
        <f t="shared" si="45"/>
        <v>-1942.9465231954273</v>
      </c>
    </row>
    <row r="1367" spans="6:8" x14ac:dyDescent="0.35">
      <c r="F1367">
        <v>27.2800000000002</v>
      </c>
      <c r="G1367">
        <f t="shared" si="44"/>
        <v>1427.7525959103855</v>
      </c>
      <c r="H1367">
        <f t="shared" si="45"/>
        <v>-1947.0494417075154</v>
      </c>
    </row>
    <row r="1368" spans="6:8" x14ac:dyDescent="0.35">
      <c r="F1368">
        <v>27.3000000000002</v>
      </c>
      <c r="G1368">
        <f t="shared" si="44"/>
        <v>1428.7993353502025</v>
      </c>
      <c r="H1368">
        <f t="shared" si="45"/>
        <v>-1951.1562842196033</v>
      </c>
    </row>
    <row r="1369" spans="6:8" x14ac:dyDescent="0.35">
      <c r="F1369">
        <v>27.320000000000199</v>
      </c>
      <c r="G1369">
        <f t="shared" si="44"/>
        <v>1429.8460747900194</v>
      </c>
      <c r="H1369">
        <f t="shared" si="45"/>
        <v>-1955.2670507316911</v>
      </c>
    </row>
    <row r="1370" spans="6:8" x14ac:dyDescent="0.35">
      <c r="F1370">
        <v>27.340000000000199</v>
      </c>
      <c r="G1370">
        <f t="shared" si="44"/>
        <v>1430.8928142298364</v>
      </c>
      <c r="H1370">
        <f t="shared" si="45"/>
        <v>-1959.3817412437797</v>
      </c>
    </row>
    <row r="1371" spans="6:8" x14ac:dyDescent="0.35">
      <c r="F1371">
        <v>27.360000000000198</v>
      </c>
      <c r="G1371">
        <f t="shared" si="44"/>
        <v>1431.9395536696534</v>
      </c>
      <c r="H1371">
        <f t="shared" si="45"/>
        <v>-1963.5003557558673</v>
      </c>
    </row>
    <row r="1372" spans="6:8" x14ac:dyDescent="0.35">
      <c r="F1372">
        <v>27.380000000000202</v>
      </c>
      <c r="G1372">
        <f t="shared" si="44"/>
        <v>1432.9862931094706</v>
      </c>
      <c r="H1372">
        <f t="shared" si="45"/>
        <v>-1967.6228942679563</v>
      </c>
    </row>
    <row r="1373" spans="6:8" x14ac:dyDescent="0.35">
      <c r="F1373">
        <v>27.400000000000201</v>
      </c>
      <c r="G1373">
        <f t="shared" si="44"/>
        <v>1434.0330325492876</v>
      </c>
      <c r="H1373">
        <f t="shared" si="45"/>
        <v>-1971.7493567800441</v>
      </c>
    </row>
    <row r="1374" spans="6:8" x14ac:dyDescent="0.35">
      <c r="F1374">
        <v>27.420000000000201</v>
      </c>
      <c r="G1374">
        <f t="shared" si="44"/>
        <v>1435.0797719891045</v>
      </c>
      <c r="H1374">
        <f t="shared" si="45"/>
        <v>-1975.8797432921319</v>
      </c>
    </row>
    <row r="1375" spans="6:8" x14ac:dyDescent="0.35">
      <c r="F1375">
        <v>27.4400000000002</v>
      </c>
      <c r="G1375">
        <f t="shared" si="44"/>
        <v>1436.1265114289215</v>
      </c>
      <c r="H1375">
        <f t="shared" si="45"/>
        <v>-1980.0140538042201</v>
      </c>
    </row>
    <row r="1376" spans="6:8" x14ac:dyDescent="0.35">
      <c r="F1376">
        <v>27.4600000000002</v>
      </c>
      <c r="G1376">
        <f t="shared" si="44"/>
        <v>1437.1732508687385</v>
      </c>
      <c r="H1376">
        <f t="shared" si="45"/>
        <v>-1984.1522883163077</v>
      </c>
    </row>
    <row r="1377" spans="6:8" x14ac:dyDescent="0.35">
      <c r="F1377">
        <v>27.480000000000199</v>
      </c>
      <c r="G1377">
        <f t="shared" si="44"/>
        <v>1438.2199903085555</v>
      </c>
      <c r="H1377">
        <f t="shared" si="45"/>
        <v>-1988.2944468283961</v>
      </c>
    </row>
    <row r="1378" spans="6:8" x14ac:dyDescent="0.35">
      <c r="F1378">
        <v>27.500000000000199</v>
      </c>
      <c r="G1378">
        <f t="shared" si="44"/>
        <v>1439.2667297483724</v>
      </c>
      <c r="H1378">
        <f t="shared" si="45"/>
        <v>-1992.4405293404839</v>
      </c>
    </row>
    <row r="1379" spans="6:8" x14ac:dyDescent="0.35">
      <c r="F1379">
        <v>27.520000000000199</v>
      </c>
      <c r="G1379">
        <f t="shared" si="44"/>
        <v>1440.3134691881894</v>
      </c>
      <c r="H1379">
        <f t="shared" si="45"/>
        <v>-1996.5905358525724</v>
      </c>
    </row>
    <row r="1380" spans="6:8" x14ac:dyDescent="0.35">
      <c r="F1380">
        <v>27.540000000000202</v>
      </c>
      <c r="G1380">
        <f t="shared" si="44"/>
        <v>1441.3602086280066</v>
      </c>
      <c r="H1380">
        <f t="shared" si="45"/>
        <v>-2000.7444663646611</v>
      </c>
    </row>
    <row r="1381" spans="6:8" x14ac:dyDescent="0.35">
      <c r="F1381">
        <v>27.560000000000201</v>
      </c>
      <c r="G1381">
        <f t="shared" si="44"/>
        <v>1442.4069480678236</v>
      </c>
      <c r="H1381">
        <f t="shared" si="45"/>
        <v>-2004.9023208767487</v>
      </c>
    </row>
    <row r="1382" spans="6:8" x14ac:dyDescent="0.35">
      <c r="F1382">
        <v>27.580000000000201</v>
      </c>
      <c r="G1382">
        <f t="shared" si="44"/>
        <v>1443.4536875076406</v>
      </c>
      <c r="H1382">
        <f t="shared" si="45"/>
        <v>-2009.0640993888371</v>
      </c>
    </row>
    <row r="1383" spans="6:8" x14ac:dyDescent="0.35">
      <c r="F1383">
        <v>27.6000000000002</v>
      </c>
      <c r="G1383">
        <f t="shared" si="44"/>
        <v>1444.5004269474575</v>
      </c>
      <c r="H1383">
        <f t="shared" si="45"/>
        <v>-2013.2298019009245</v>
      </c>
    </row>
    <row r="1384" spans="6:8" x14ac:dyDescent="0.35">
      <c r="F1384">
        <v>27.6200000000002</v>
      </c>
      <c r="G1384">
        <f t="shared" si="44"/>
        <v>1445.5471663872745</v>
      </c>
      <c r="H1384">
        <f t="shared" si="45"/>
        <v>-2017.3994284130131</v>
      </c>
    </row>
    <row r="1385" spans="6:8" x14ac:dyDescent="0.35">
      <c r="F1385">
        <v>27.6400000000002</v>
      </c>
      <c r="G1385">
        <f t="shared" si="44"/>
        <v>1446.5939058270915</v>
      </c>
      <c r="H1385">
        <f t="shared" si="45"/>
        <v>-2021.5729789251006</v>
      </c>
    </row>
    <row r="1386" spans="6:8" x14ac:dyDescent="0.35">
      <c r="F1386">
        <v>27.660000000000199</v>
      </c>
      <c r="G1386">
        <f t="shared" si="44"/>
        <v>1447.6406452669085</v>
      </c>
      <c r="H1386">
        <f t="shared" si="45"/>
        <v>-2025.750453437189</v>
      </c>
    </row>
    <row r="1387" spans="6:8" x14ac:dyDescent="0.35">
      <c r="F1387">
        <v>27.680000000000199</v>
      </c>
      <c r="G1387">
        <f t="shared" si="44"/>
        <v>1448.6873847067252</v>
      </c>
      <c r="H1387">
        <f t="shared" si="45"/>
        <v>-2029.9318519492767</v>
      </c>
    </row>
    <row r="1388" spans="6:8" x14ac:dyDescent="0.35">
      <c r="F1388">
        <v>27.700000000000198</v>
      </c>
      <c r="G1388">
        <f t="shared" si="44"/>
        <v>1449.7341241465422</v>
      </c>
      <c r="H1388">
        <f t="shared" si="45"/>
        <v>-2034.1171744613646</v>
      </c>
    </row>
    <row r="1389" spans="6:8" x14ac:dyDescent="0.35">
      <c r="F1389">
        <v>27.720000000000201</v>
      </c>
      <c r="G1389">
        <f t="shared" si="44"/>
        <v>1450.7808635863594</v>
      </c>
      <c r="H1389">
        <f t="shared" si="45"/>
        <v>-2038.3064209734539</v>
      </c>
    </row>
    <row r="1390" spans="6:8" x14ac:dyDescent="0.35">
      <c r="F1390">
        <v>27.740000000000201</v>
      </c>
      <c r="G1390">
        <f t="shared" si="44"/>
        <v>1451.8276030261763</v>
      </c>
      <c r="H1390">
        <f t="shared" si="45"/>
        <v>-2042.4995914855415</v>
      </c>
    </row>
    <row r="1391" spans="6:8" x14ac:dyDescent="0.35">
      <c r="F1391">
        <v>27.760000000000201</v>
      </c>
      <c r="G1391">
        <f t="shared" si="44"/>
        <v>1452.8743424659933</v>
      </c>
      <c r="H1391">
        <f t="shared" si="45"/>
        <v>-2046.6966859976296</v>
      </c>
    </row>
    <row r="1392" spans="6:8" x14ac:dyDescent="0.35">
      <c r="F1392">
        <v>27.7800000000002</v>
      </c>
      <c r="G1392">
        <f t="shared" si="44"/>
        <v>1453.9210819058103</v>
      </c>
      <c r="H1392">
        <f t="shared" si="45"/>
        <v>-2050.8977045097176</v>
      </c>
    </row>
    <row r="1393" spans="6:8" x14ac:dyDescent="0.35">
      <c r="F1393">
        <v>27.8000000000001</v>
      </c>
      <c r="G1393">
        <f t="shared" si="44"/>
        <v>1454.967821345622</v>
      </c>
      <c r="H1393">
        <f t="shared" si="45"/>
        <v>-2055.1026470217853</v>
      </c>
    </row>
    <row r="1394" spans="6:8" x14ac:dyDescent="0.35">
      <c r="F1394">
        <v>27.8200000000001</v>
      </c>
      <c r="G1394">
        <f t="shared" si="44"/>
        <v>1456.014560785439</v>
      </c>
      <c r="H1394">
        <f t="shared" si="45"/>
        <v>-2059.3115135338726</v>
      </c>
    </row>
    <row r="1395" spans="6:8" x14ac:dyDescent="0.35">
      <c r="F1395">
        <v>27.840000000000099</v>
      </c>
      <c r="G1395">
        <f t="shared" si="44"/>
        <v>1457.061300225256</v>
      </c>
      <c r="H1395">
        <f t="shared" si="45"/>
        <v>-2063.5243040459604</v>
      </c>
    </row>
    <row r="1396" spans="6:8" x14ac:dyDescent="0.35">
      <c r="F1396">
        <v>27.860000000000099</v>
      </c>
      <c r="G1396">
        <f t="shared" si="44"/>
        <v>1458.108039665073</v>
      </c>
      <c r="H1396">
        <f t="shared" si="45"/>
        <v>-2067.7410185580488</v>
      </c>
    </row>
    <row r="1397" spans="6:8" x14ac:dyDescent="0.35">
      <c r="F1397">
        <v>27.880000000000098</v>
      </c>
      <c r="G1397">
        <f t="shared" si="44"/>
        <v>1459.1547791048899</v>
      </c>
      <c r="H1397">
        <f t="shared" si="45"/>
        <v>-2071.9616570701369</v>
      </c>
    </row>
    <row r="1398" spans="6:8" x14ac:dyDescent="0.35">
      <c r="F1398">
        <v>27.900000000000102</v>
      </c>
      <c r="G1398">
        <f t="shared" si="44"/>
        <v>1460.2015185447071</v>
      </c>
      <c r="H1398">
        <f t="shared" si="45"/>
        <v>-2076.1862195822255</v>
      </c>
    </row>
    <row r="1399" spans="6:8" x14ac:dyDescent="0.35">
      <c r="F1399">
        <v>27.920000000000201</v>
      </c>
      <c r="G1399">
        <f t="shared" si="44"/>
        <v>1461.2482579845293</v>
      </c>
      <c r="H1399">
        <f t="shared" si="45"/>
        <v>-2080.4147060943346</v>
      </c>
    </row>
    <row r="1400" spans="6:8" x14ac:dyDescent="0.35">
      <c r="F1400">
        <v>27.940000000000101</v>
      </c>
      <c r="G1400">
        <f t="shared" si="44"/>
        <v>1462.2949974243411</v>
      </c>
      <c r="H1400">
        <f t="shared" si="45"/>
        <v>-2084.6471166064016</v>
      </c>
    </row>
    <row r="1401" spans="6:8" x14ac:dyDescent="0.35">
      <c r="F1401">
        <v>27.9600000000002</v>
      </c>
      <c r="G1401">
        <f t="shared" si="44"/>
        <v>1463.3417368641633</v>
      </c>
      <c r="H1401">
        <f t="shared" si="45"/>
        <v>-2088.8834511185105</v>
      </c>
    </row>
    <row r="1402" spans="6:8" x14ac:dyDescent="0.35">
      <c r="F1402">
        <v>27.9800000000001</v>
      </c>
      <c r="G1402">
        <f t="shared" si="44"/>
        <v>1464.388476303975</v>
      </c>
      <c r="H1402">
        <f t="shared" si="45"/>
        <v>-2093.1237096305772</v>
      </c>
    </row>
    <row r="1403" spans="6:8" x14ac:dyDescent="0.35">
      <c r="F1403">
        <v>28.000000000000099</v>
      </c>
      <c r="G1403">
        <f t="shared" si="44"/>
        <v>1465.435215743792</v>
      </c>
      <c r="H1403">
        <f t="shared" si="45"/>
        <v>-2097.3678921426654</v>
      </c>
    </row>
    <row r="1404" spans="6:8" x14ac:dyDescent="0.35">
      <c r="F1404">
        <v>28.020000000000099</v>
      </c>
      <c r="G1404">
        <f t="shared" si="44"/>
        <v>1466.481955183609</v>
      </c>
      <c r="H1404">
        <f t="shared" si="45"/>
        <v>-2101.6159986547536</v>
      </c>
    </row>
    <row r="1405" spans="6:8" x14ac:dyDescent="0.35">
      <c r="F1405">
        <v>28.040000000000099</v>
      </c>
      <c r="G1405">
        <f t="shared" si="44"/>
        <v>1467.528694623426</v>
      </c>
      <c r="H1405">
        <f t="shared" si="45"/>
        <v>-2105.8680291668411</v>
      </c>
    </row>
    <row r="1406" spans="6:8" x14ac:dyDescent="0.35">
      <c r="F1406">
        <v>28.060000000000102</v>
      </c>
      <c r="G1406">
        <f t="shared" si="44"/>
        <v>1468.5754340632432</v>
      </c>
      <c r="H1406">
        <f t="shared" si="45"/>
        <v>-2110.12398367893</v>
      </c>
    </row>
    <row r="1407" spans="6:8" x14ac:dyDescent="0.35">
      <c r="F1407">
        <v>28.080000000000101</v>
      </c>
      <c r="G1407">
        <f t="shared" si="44"/>
        <v>1469.6221735030599</v>
      </c>
      <c r="H1407">
        <f t="shared" si="45"/>
        <v>-2114.3838621910177</v>
      </c>
    </row>
    <row r="1408" spans="6:8" x14ac:dyDescent="0.35">
      <c r="F1408">
        <v>28.1000000000002</v>
      </c>
      <c r="G1408">
        <f t="shared" si="44"/>
        <v>1470.6689129428821</v>
      </c>
      <c r="H1408">
        <f t="shared" si="45"/>
        <v>-2118.6476647031272</v>
      </c>
    </row>
    <row r="1409" spans="6:8" x14ac:dyDescent="0.35">
      <c r="F1409">
        <v>28.1200000000001</v>
      </c>
      <c r="G1409">
        <f t="shared" si="44"/>
        <v>1471.7156523826939</v>
      </c>
      <c r="H1409">
        <f t="shared" si="45"/>
        <v>-2122.9153912151937</v>
      </c>
    </row>
    <row r="1410" spans="6:8" x14ac:dyDescent="0.35">
      <c r="F1410">
        <v>28.1400000000001</v>
      </c>
      <c r="G1410">
        <f t="shared" si="44"/>
        <v>1472.7623918225108</v>
      </c>
      <c r="H1410">
        <f t="shared" si="45"/>
        <v>-2127.1870417272817</v>
      </c>
    </row>
    <row r="1411" spans="6:8" x14ac:dyDescent="0.35">
      <c r="F1411">
        <v>28.1600000000001</v>
      </c>
      <c r="G1411">
        <f t="shared" ref="G1411:G1474" si="46">$B$15*F1411</f>
        <v>1473.8091312623278</v>
      </c>
      <c r="H1411">
        <f t="shared" ref="H1411:H1474" si="47">$B$13*F1411-($B$8*F1411^2)/2+$B$12</f>
        <v>-2131.4626162393702</v>
      </c>
    </row>
    <row r="1412" spans="6:8" x14ac:dyDescent="0.35">
      <c r="F1412">
        <v>28.180000000000099</v>
      </c>
      <c r="G1412">
        <f t="shared" si="46"/>
        <v>1474.8558707021448</v>
      </c>
      <c r="H1412">
        <f t="shared" si="47"/>
        <v>-2135.7421147514574</v>
      </c>
    </row>
    <row r="1413" spans="6:8" x14ac:dyDescent="0.35">
      <c r="F1413">
        <v>28.200000000000099</v>
      </c>
      <c r="G1413">
        <f t="shared" si="46"/>
        <v>1475.9026101419618</v>
      </c>
      <c r="H1413">
        <f t="shared" si="47"/>
        <v>-2140.0255372635461</v>
      </c>
    </row>
    <row r="1414" spans="6:8" x14ac:dyDescent="0.35">
      <c r="F1414">
        <v>28.220000000000098</v>
      </c>
      <c r="G1414">
        <f t="shared" si="46"/>
        <v>1476.9493495817787</v>
      </c>
      <c r="H1414">
        <f t="shared" si="47"/>
        <v>-2144.3128837756335</v>
      </c>
    </row>
    <row r="1415" spans="6:8" x14ac:dyDescent="0.35">
      <c r="F1415">
        <v>28.240000000000101</v>
      </c>
      <c r="G1415">
        <f t="shared" si="46"/>
        <v>1477.9960890215959</v>
      </c>
      <c r="H1415">
        <f t="shared" si="47"/>
        <v>-2148.6041542877224</v>
      </c>
    </row>
    <row r="1416" spans="6:8" x14ac:dyDescent="0.35">
      <c r="F1416">
        <v>28.260000000000101</v>
      </c>
      <c r="G1416">
        <f t="shared" si="46"/>
        <v>1479.0428284614129</v>
      </c>
      <c r="H1416">
        <f t="shared" si="47"/>
        <v>-2152.8993487998109</v>
      </c>
    </row>
    <row r="1417" spans="6:8" x14ac:dyDescent="0.35">
      <c r="F1417">
        <v>28.280000000000101</v>
      </c>
      <c r="G1417">
        <f t="shared" si="46"/>
        <v>1480.0895679012299</v>
      </c>
      <c r="H1417">
        <f t="shared" si="47"/>
        <v>-2157.1984673118986</v>
      </c>
    </row>
    <row r="1418" spans="6:8" x14ac:dyDescent="0.35">
      <c r="F1418">
        <v>28.3000000000001</v>
      </c>
      <c r="G1418">
        <f t="shared" si="46"/>
        <v>1481.1363073410469</v>
      </c>
      <c r="H1418">
        <f t="shared" si="47"/>
        <v>-2161.5015098239865</v>
      </c>
    </row>
    <row r="1419" spans="6:8" x14ac:dyDescent="0.35">
      <c r="F1419">
        <v>28.3200000000001</v>
      </c>
      <c r="G1419">
        <f t="shared" si="46"/>
        <v>1482.1830467808638</v>
      </c>
      <c r="H1419">
        <f t="shared" si="47"/>
        <v>-2165.8084763360744</v>
      </c>
    </row>
    <row r="1420" spans="6:8" x14ac:dyDescent="0.35">
      <c r="F1420">
        <v>28.340000000000099</v>
      </c>
      <c r="G1420">
        <f t="shared" si="46"/>
        <v>1483.2297862206808</v>
      </c>
      <c r="H1420">
        <f t="shared" si="47"/>
        <v>-2170.1193668481624</v>
      </c>
    </row>
    <row r="1421" spans="6:8" x14ac:dyDescent="0.35">
      <c r="F1421">
        <v>28.360000000000099</v>
      </c>
      <c r="G1421">
        <f t="shared" si="46"/>
        <v>1484.2765256604978</v>
      </c>
      <c r="H1421">
        <f t="shared" si="47"/>
        <v>-2174.4341813602505</v>
      </c>
    </row>
    <row r="1422" spans="6:8" x14ac:dyDescent="0.35">
      <c r="F1422">
        <v>28.380000000000098</v>
      </c>
      <c r="G1422">
        <f t="shared" si="46"/>
        <v>1485.3232651003148</v>
      </c>
      <c r="H1422">
        <f t="shared" si="47"/>
        <v>-2178.7529198723382</v>
      </c>
    </row>
    <row r="1423" spans="6:8" x14ac:dyDescent="0.35">
      <c r="F1423">
        <v>28.400000000000102</v>
      </c>
      <c r="G1423">
        <f t="shared" si="46"/>
        <v>1486.370004540132</v>
      </c>
      <c r="H1423">
        <f t="shared" si="47"/>
        <v>-2183.075582384427</v>
      </c>
    </row>
    <row r="1424" spans="6:8" x14ac:dyDescent="0.35">
      <c r="F1424">
        <v>28.420000000000101</v>
      </c>
      <c r="G1424">
        <f t="shared" si="46"/>
        <v>1487.4167439799489</v>
      </c>
      <c r="H1424">
        <f t="shared" si="47"/>
        <v>-2187.4021688965145</v>
      </c>
    </row>
    <row r="1425" spans="6:8" x14ac:dyDescent="0.35">
      <c r="F1425">
        <v>28.440000000000101</v>
      </c>
      <c r="G1425">
        <f t="shared" si="46"/>
        <v>1488.4634834197659</v>
      </c>
      <c r="H1425">
        <f t="shared" si="47"/>
        <v>-2191.7326794086034</v>
      </c>
    </row>
    <row r="1426" spans="6:8" x14ac:dyDescent="0.35">
      <c r="F1426">
        <v>28.4600000000001</v>
      </c>
      <c r="G1426">
        <f t="shared" si="46"/>
        <v>1489.5102228595829</v>
      </c>
      <c r="H1426">
        <f t="shared" si="47"/>
        <v>-2196.0671139206911</v>
      </c>
    </row>
    <row r="1427" spans="6:8" x14ac:dyDescent="0.35">
      <c r="F1427">
        <v>28.4800000000001</v>
      </c>
      <c r="G1427">
        <f t="shared" si="46"/>
        <v>1490.5569622993999</v>
      </c>
      <c r="H1427">
        <f t="shared" si="47"/>
        <v>-2200.4054724327793</v>
      </c>
    </row>
    <row r="1428" spans="6:8" x14ac:dyDescent="0.35">
      <c r="F1428">
        <v>28.500000000000099</v>
      </c>
      <c r="G1428">
        <f t="shared" si="46"/>
        <v>1491.6037017392168</v>
      </c>
      <c r="H1428">
        <f t="shared" si="47"/>
        <v>-2204.7477549448672</v>
      </c>
    </row>
    <row r="1429" spans="6:8" x14ac:dyDescent="0.35">
      <c r="F1429">
        <v>28.520000000000099</v>
      </c>
      <c r="G1429">
        <f t="shared" si="46"/>
        <v>1492.6504411790338</v>
      </c>
      <c r="H1429">
        <f t="shared" si="47"/>
        <v>-2209.0939614569552</v>
      </c>
    </row>
    <row r="1430" spans="6:8" x14ac:dyDescent="0.35">
      <c r="F1430">
        <v>28.540000000000099</v>
      </c>
      <c r="G1430">
        <f t="shared" si="46"/>
        <v>1493.6971806188506</v>
      </c>
      <c r="H1430">
        <f t="shared" si="47"/>
        <v>-2213.4440919690428</v>
      </c>
    </row>
    <row r="1431" spans="6:8" x14ac:dyDescent="0.35">
      <c r="F1431">
        <v>28.560000000000102</v>
      </c>
      <c r="G1431">
        <f t="shared" si="46"/>
        <v>1494.7439200586678</v>
      </c>
      <c r="H1431">
        <f t="shared" si="47"/>
        <v>-2217.7981464811314</v>
      </c>
    </row>
    <row r="1432" spans="6:8" x14ac:dyDescent="0.35">
      <c r="F1432">
        <v>28.580000000000101</v>
      </c>
      <c r="G1432">
        <f t="shared" si="46"/>
        <v>1495.7906594984847</v>
      </c>
      <c r="H1432">
        <f t="shared" si="47"/>
        <v>-2222.1561249932201</v>
      </c>
    </row>
    <row r="1433" spans="6:8" x14ac:dyDescent="0.35">
      <c r="F1433">
        <v>28.600000000000101</v>
      </c>
      <c r="G1433">
        <f t="shared" si="46"/>
        <v>1496.8373989383017</v>
      </c>
      <c r="H1433">
        <f t="shared" si="47"/>
        <v>-2226.5180275053076</v>
      </c>
    </row>
    <row r="1434" spans="6:8" x14ac:dyDescent="0.35">
      <c r="F1434">
        <v>28.6200000000001</v>
      </c>
      <c r="G1434">
        <f t="shared" si="46"/>
        <v>1497.8841383781187</v>
      </c>
      <c r="H1434">
        <f t="shared" si="47"/>
        <v>-2230.8838540173961</v>
      </c>
    </row>
    <row r="1435" spans="6:8" x14ac:dyDescent="0.35">
      <c r="F1435">
        <v>28.6400000000001</v>
      </c>
      <c r="G1435">
        <f t="shared" si="46"/>
        <v>1498.9308778179357</v>
      </c>
      <c r="H1435">
        <f t="shared" si="47"/>
        <v>-2235.2536045294837</v>
      </c>
    </row>
    <row r="1436" spans="6:8" x14ac:dyDescent="0.35">
      <c r="F1436">
        <v>28.6600000000001</v>
      </c>
      <c r="G1436">
        <f t="shared" si="46"/>
        <v>1499.9776172577526</v>
      </c>
      <c r="H1436">
        <f t="shared" si="47"/>
        <v>-2239.6272790415719</v>
      </c>
    </row>
    <row r="1437" spans="6:8" x14ac:dyDescent="0.35">
      <c r="F1437">
        <v>28.680000000000099</v>
      </c>
      <c r="G1437">
        <f t="shared" si="46"/>
        <v>1501.0243566975696</v>
      </c>
      <c r="H1437">
        <f t="shared" si="47"/>
        <v>-2244.0048775536593</v>
      </c>
    </row>
    <row r="1438" spans="6:8" x14ac:dyDescent="0.35">
      <c r="F1438">
        <v>28.700000000000099</v>
      </c>
      <c r="G1438">
        <f t="shared" si="46"/>
        <v>1502.0710961373866</v>
      </c>
      <c r="H1438">
        <f t="shared" si="47"/>
        <v>-2248.3864000657472</v>
      </c>
    </row>
    <row r="1439" spans="6:8" x14ac:dyDescent="0.35">
      <c r="F1439">
        <v>28.720000000000098</v>
      </c>
      <c r="G1439">
        <f t="shared" si="46"/>
        <v>1503.1178355772036</v>
      </c>
      <c r="H1439">
        <f t="shared" si="47"/>
        <v>-2252.7718465778357</v>
      </c>
    </row>
    <row r="1440" spans="6:8" x14ac:dyDescent="0.35">
      <c r="F1440">
        <v>28.740000000000101</v>
      </c>
      <c r="G1440">
        <f t="shared" si="46"/>
        <v>1504.1645750170208</v>
      </c>
      <c r="H1440">
        <f t="shared" si="47"/>
        <v>-2257.1612170899243</v>
      </c>
    </row>
    <row r="1441" spans="6:8" x14ac:dyDescent="0.35">
      <c r="F1441">
        <v>28.760000000000101</v>
      </c>
      <c r="G1441">
        <f t="shared" si="46"/>
        <v>1505.2113144568377</v>
      </c>
      <c r="H1441">
        <f t="shared" si="47"/>
        <v>-2261.5545116020126</v>
      </c>
    </row>
    <row r="1442" spans="6:8" x14ac:dyDescent="0.35">
      <c r="F1442">
        <v>28.780000000000101</v>
      </c>
      <c r="G1442">
        <f t="shared" si="46"/>
        <v>1506.2580538966547</v>
      </c>
      <c r="H1442">
        <f t="shared" si="47"/>
        <v>-2265.9517301141</v>
      </c>
    </row>
    <row r="1443" spans="6:8" x14ac:dyDescent="0.35">
      <c r="F1443">
        <v>28.8000000000001</v>
      </c>
      <c r="G1443">
        <f t="shared" si="46"/>
        <v>1507.3047933364717</v>
      </c>
      <c r="H1443">
        <f t="shared" si="47"/>
        <v>-2270.3528726261879</v>
      </c>
    </row>
    <row r="1444" spans="6:8" x14ac:dyDescent="0.35">
      <c r="F1444">
        <v>28.8200000000001</v>
      </c>
      <c r="G1444">
        <f t="shared" si="46"/>
        <v>1508.3515327762886</v>
      </c>
      <c r="H1444">
        <f t="shared" si="47"/>
        <v>-2274.7579391382765</v>
      </c>
    </row>
    <row r="1445" spans="6:8" x14ac:dyDescent="0.35">
      <c r="F1445">
        <v>28.840000000000099</v>
      </c>
      <c r="G1445">
        <f t="shared" si="46"/>
        <v>1509.3982722161056</v>
      </c>
      <c r="H1445">
        <f t="shared" si="47"/>
        <v>-2279.1669296503646</v>
      </c>
    </row>
    <row r="1446" spans="6:8" x14ac:dyDescent="0.35">
      <c r="F1446">
        <v>28.860000000000099</v>
      </c>
      <c r="G1446">
        <f t="shared" si="46"/>
        <v>1510.4450116559226</v>
      </c>
      <c r="H1446">
        <f t="shared" si="47"/>
        <v>-2283.5798441624524</v>
      </c>
    </row>
    <row r="1447" spans="6:8" x14ac:dyDescent="0.35">
      <c r="F1447">
        <v>28.880000000000098</v>
      </c>
      <c r="G1447">
        <f t="shared" si="46"/>
        <v>1511.4917510957396</v>
      </c>
      <c r="H1447">
        <f t="shared" si="47"/>
        <v>-2287.9966826745399</v>
      </c>
    </row>
    <row r="1448" spans="6:8" x14ac:dyDescent="0.35">
      <c r="F1448">
        <v>28.900000000000102</v>
      </c>
      <c r="G1448">
        <f t="shared" si="46"/>
        <v>1512.5384905355565</v>
      </c>
      <c r="H1448">
        <f t="shared" si="47"/>
        <v>-2292.4174451866288</v>
      </c>
    </row>
    <row r="1449" spans="6:8" x14ac:dyDescent="0.35">
      <c r="F1449">
        <v>28.920000000000101</v>
      </c>
      <c r="G1449">
        <f t="shared" si="46"/>
        <v>1513.5852299753735</v>
      </c>
      <c r="H1449">
        <f t="shared" si="47"/>
        <v>-2296.8421316987169</v>
      </c>
    </row>
    <row r="1450" spans="6:8" x14ac:dyDescent="0.35">
      <c r="F1450">
        <v>28.940000000000101</v>
      </c>
      <c r="G1450">
        <f t="shared" si="46"/>
        <v>1514.6319694151905</v>
      </c>
      <c r="H1450">
        <f t="shared" si="47"/>
        <v>-2301.2707422108051</v>
      </c>
    </row>
    <row r="1451" spans="6:8" x14ac:dyDescent="0.35">
      <c r="F1451">
        <v>28.9600000000001</v>
      </c>
      <c r="G1451">
        <f t="shared" si="46"/>
        <v>1515.6787088550075</v>
      </c>
      <c r="H1451">
        <f t="shared" si="47"/>
        <v>-2305.7032767228925</v>
      </c>
    </row>
    <row r="1452" spans="6:8" x14ac:dyDescent="0.35">
      <c r="F1452">
        <v>28.9800000000001</v>
      </c>
      <c r="G1452">
        <f t="shared" si="46"/>
        <v>1516.7254482948244</v>
      </c>
      <c r="H1452">
        <f t="shared" si="47"/>
        <v>-2310.1397352349809</v>
      </c>
    </row>
    <row r="1453" spans="6:8" x14ac:dyDescent="0.35">
      <c r="F1453">
        <v>29.000000000000099</v>
      </c>
      <c r="G1453">
        <f t="shared" si="46"/>
        <v>1517.7721877346414</v>
      </c>
      <c r="H1453">
        <f t="shared" si="47"/>
        <v>-2314.5801177470689</v>
      </c>
    </row>
    <row r="1454" spans="6:8" x14ac:dyDescent="0.35">
      <c r="F1454">
        <v>29.020000000000099</v>
      </c>
      <c r="G1454">
        <f t="shared" si="46"/>
        <v>1518.8189271744584</v>
      </c>
      <c r="H1454">
        <f t="shared" si="47"/>
        <v>-2319.0244242591566</v>
      </c>
    </row>
    <row r="1455" spans="6:8" x14ac:dyDescent="0.35">
      <c r="F1455">
        <v>29.040000000000099</v>
      </c>
      <c r="G1455">
        <f t="shared" si="46"/>
        <v>1519.8656666142754</v>
      </c>
      <c r="H1455">
        <f t="shared" si="47"/>
        <v>-2323.4726547712448</v>
      </c>
    </row>
    <row r="1456" spans="6:8" x14ac:dyDescent="0.35">
      <c r="F1456">
        <v>29.060000000000102</v>
      </c>
      <c r="G1456">
        <f t="shared" si="46"/>
        <v>1520.9124060540926</v>
      </c>
      <c r="H1456">
        <f t="shared" si="47"/>
        <v>-2327.9248092833336</v>
      </c>
    </row>
    <row r="1457" spans="6:8" x14ac:dyDescent="0.35">
      <c r="F1457">
        <v>29.080000000000101</v>
      </c>
      <c r="G1457">
        <f t="shared" si="46"/>
        <v>1521.9591454939095</v>
      </c>
      <c r="H1457">
        <f t="shared" si="47"/>
        <v>-2332.3808877954211</v>
      </c>
    </row>
    <row r="1458" spans="6:8" x14ac:dyDescent="0.35">
      <c r="F1458">
        <v>29.100000000000101</v>
      </c>
      <c r="G1458">
        <f t="shared" si="46"/>
        <v>1523.0058849337265</v>
      </c>
      <c r="H1458">
        <f t="shared" si="47"/>
        <v>-2336.8408903075092</v>
      </c>
    </row>
    <row r="1459" spans="6:8" x14ac:dyDescent="0.35">
      <c r="F1459">
        <v>29.1200000000001</v>
      </c>
      <c r="G1459">
        <f t="shared" si="46"/>
        <v>1524.0526243735435</v>
      </c>
      <c r="H1459">
        <f t="shared" si="47"/>
        <v>-2341.3048168195978</v>
      </c>
    </row>
    <row r="1460" spans="6:8" x14ac:dyDescent="0.35">
      <c r="F1460">
        <v>29.1400000000001</v>
      </c>
      <c r="G1460">
        <f t="shared" si="46"/>
        <v>1525.0993638133605</v>
      </c>
      <c r="H1460">
        <f t="shared" si="47"/>
        <v>-2345.7726673316861</v>
      </c>
    </row>
    <row r="1461" spans="6:8" x14ac:dyDescent="0.35">
      <c r="F1461">
        <v>29.1600000000001</v>
      </c>
      <c r="G1461">
        <f t="shared" si="46"/>
        <v>1526.1461032531774</v>
      </c>
      <c r="H1461">
        <f t="shared" si="47"/>
        <v>-2350.2444418437735</v>
      </c>
    </row>
    <row r="1462" spans="6:8" x14ac:dyDescent="0.35">
      <c r="F1462">
        <v>29.180000000000099</v>
      </c>
      <c r="G1462">
        <f t="shared" si="46"/>
        <v>1527.1928426929944</v>
      </c>
      <c r="H1462">
        <f t="shared" si="47"/>
        <v>-2354.7201403558611</v>
      </c>
    </row>
    <row r="1463" spans="6:8" x14ac:dyDescent="0.35">
      <c r="F1463">
        <v>29.200000000000099</v>
      </c>
      <c r="G1463">
        <f t="shared" si="46"/>
        <v>1528.2395821328114</v>
      </c>
      <c r="H1463">
        <f t="shared" si="47"/>
        <v>-2359.1997628679487</v>
      </c>
    </row>
    <row r="1464" spans="6:8" x14ac:dyDescent="0.35">
      <c r="F1464">
        <v>29.220000000000098</v>
      </c>
      <c r="G1464">
        <f t="shared" si="46"/>
        <v>1529.2863215726284</v>
      </c>
      <c r="H1464">
        <f t="shared" si="47"/>
        <v>-2363.6833093800365</v>
      </c>
    </row>
    <row r="1465" spans="6:8" x14ac:dyDescent="0.35">
      <c r="F1465">
        <v>29.240000000000101</v>
      </c>
      <c r="G1465">
        <f t="shared" si="46"/>
        <v>1530.3330610124456</v>
      </c>
      <c r="H1465">
        <f t="shared" si="47"/>
        <v>-2368.1707798921266</v>
      </c>
    </row>
    <row r="1466" spans="6:8" x14ac:dyDescent="0.35">
      <c r="F1466">
        <v>29.260000000000101</v>
      </c>
      <c r="G1466">
        <f t="shared" si="46"/>
        <v>1531.3798004522625</v>
      </c>
      <c r="H1466">
        <f t="shared" si="47"/>
        <v>-2372.6621744042141</v>
      </c>
    </row>
    <row r="1467" spans="6:8" x14ac:dyDescent="0.35">
      <c r="F1467">
        <v>29.280000000000101</v>
      </c>
      <c r="G1467">
        <f t="shared" si="46"/>
        <v>1532.4265398920795</v>
      </c>
      <c r="H1467">
        <f t="shared" si="47"/>
        <v>-2377.1574929163016</v>
      </c>
    </row>
    <row r="1468" spans="6:8" x14ac:dyDescent="0.35">
      <c r="F1468">
        <v>29.3000000000001</v>
      </c>
      <c r="G1468">
        <f t="shared" si="46"/>
        <v>1533.4732793318965</v>
      </c>
      <c r="H1468">
        <f t="shared" si="47"/>
        <v>-2381.6567354283902</v>
      </c>
    </row>
    <row r="1469" spans="6:8" x14ac:dyDescent="0.35">
      <c r="F1469">
        <v>29.3200000000001</v>
      </c>
      <c r="G1469">
        <f t="shared" si="46"/>
        <v>1534.5200187717132</v>
      </c>
      <c r="H1469">
        <f t="shared" si="47"/>
        <v>-2386.159901940478</v>
      </c>
    </row>
    <row r="1470" spans="6:8" x14ac:dyDescent="0.35">
      <c r="F1470">
        <v>29.340000000000099</v>
      </c>
      <c r="G1470">
        <f t="shared" si="46"/>
        <v>1535.5667582115302</v>
      </c>
      <c r="H1470">
        <f t="shared" si="47"/>
        <v>-2390.6669924525654</v>
      </c>
    </row>
    <row r="1471" spans="6:8" x14ac:dyDescent="0.35">
      <c r="F1471">
        <v>29.360000000000099</v>
      </c>
      <c r="G1471">
        <f t="shared" si="46"/>
        <v>1536.6134976513472</v>
      </c>
      <c r="H1471">
        <f t="shared" si="47"/>
        <v>-2395.1780069646534</v>
      </c>
    </row>
    <row r="1472" spans="6:8" x14ac:dyDescent="0.35">
      <c r="F1472">
        <v>29.380000000000098</v>
      </c>
      <c r="G1472">
        <f t="shared" si="46"/>
        <v>1537.6602370911642</v>
      </c>
      <c r="H1472">
        <f t="shared" si="47"/>
        <v>-2399.6929454767419</v>
      </c>
    </row>
    <row r="1473" spans="6:8" x14ac:dyDescent="0.35">
      <c r="F1473">
        <v>29.400000000000102</v>
      </c>
      <c r="G1473">
        <f t="shared" si="46"/>
        <v>1538.7069765309814</v>
      </c>
      <c r="H1473">
        <f t="shared" si="47"/>
        <v>-2404.2118079888305</v>
      </c>
    </row>
    <row r="1474" spans="6:8" x14ac:dyDescent="0.35">
      <c r="F1474">
        <v>29.420000000000101</v>
      </c>
      <c r="G1474">
        <f t="shared" si="46"/>
        <v>1539.7537159707983</v>
      </c>
      <c r="H1474">
        <f t="shared" si="47"/>
        <v>-2408.7345945009188</v>
      </c>
    </row>
    <row r="1475" spans="6:8" x14ac:dyDescent="0.35">
      <c r="F1475">
        <v>29.440000000000101</v>
      </c>
      <c r="G1475">
        <f t="shared" ref="G1475:G1538" si="48">$B$15*F1475</f>
        <v>1540.8004554106153</v>
      </c>
      <c r="H1475">
        <f t="shared" ref="H1475:H1538" si="49">$B$13*F1475-($B$8*F1475^2)/2+$B$12</f>
        <v>-2413.2613050130062</v>
      </c>
    </row>
    <row r="1476" spans="6:8" x14ac:dyDescent="0.35">
      <c r="F1476">
        <v>29.4600000000001</v>
      </c>
      <c r="G1476">
        <f t="shared" si="48"/>
        <v>1541.8471948504323</v>
      </c>
      <c r="H1476">
        <f t="shared" si="49"/>
        <v>-2417.7919395250951</v>
      </c>
    </row>
    <row r="1477" spans="6:8" x14ac:dyDescent="0.35">
      <c r="F1477">
        <v>29.4800000000001</v>
      </c>
      <c r="G1477">
        <f t="shared" si="48"/>
        <v>1542.8939342902493</v>
      </c>
      <c r="H1477">
        <f t="shared" si="49"/>
        <v>-2422.3264980371828</v>
      </c>
    </row>
    <row r="1478" spans="6:8" x14ac:dyDescent="0.35">
      <c r="F1478">
        <v>29.500000000000099</v>
      </c>
      <c r="G1478">
        <f t="shared" si="48"/>
        <v>1543.9406737300662</v>
      </c>
      <c r="H1478">
        <f t="shared" si="49"/>
        <v>-2426.864980549271</v>
      </c>
    </row>
    <row r="1479" spans="6:8" x14ac:dyDescent="0.35">
      <c r="F1479">
        <v>29.520000000000099</v>
      </c>
      <c r="G1479">
        <f t="shared" si="48"/>
        <v>1544.9874131698832</v>
      </c>
      <c r="H1479">
        <f t="shared" si="49"/>
        <v>-2431.4073870613583</v>
      </c>
    </row>
    <row r="1480" spans="6:8" x14ac:dyDescent="0.35">
      <c r="F1480">
        <v>29.540000000000099</v>
      </c>
      <c r="G1480">
        <f t="shared" si="48"/>
        <v>1546.0341526097002</v>
      </c>
      <c r="H1480">
        <f t="shared" si="49"/>
        <v>-2435.9537175734467</v>
      </c>
    </row>
    <row r="1481" spans="6:8" x14ac:dyDescent="0.35">
      <c r="F1481">
        <v>29.560000000000102</v>
      </c>
      <c r="G1481">
        <f t="shared" si="48"/>
        <v>1547.0808920495174</v>
      </c>
      <c r="H1481">
        <f t="shared" si="49"/>
        <v>-2440.5039720855352</v>
      </c>
    </row>
    <row r="1482" spans="6:8" x14ac:dyDescent="0.35">
      <c r="F1482">
        <v>29.580000000000101</v>
      </c>
      <c r="G1482">
        <f t="shared" si="48"/>
        <v>1548.1276314893344</v>
      </c>
      <c r="H1482">
        <f t="shared" si="49"/>
        <v>-2445.0581505976238</v>
      </c>
    </row>
    <row r="1483" spans="6:8" x14ac:dyDescent="0.35">
      <c r="F1483">
        <v>29.600000000000101</v>
      </c>
      <c r="G1483">
        <f t="shared" si="48"/>
        <v>1549.1743709291513</v>
      </c>
      <c r="H1483">
        <f t="shared" si="49"/>
        <v>-2449.6162531097111</v>
      </c>
    </row>
    <row r="1484" spans="6:8" x14ac:dyDescent="0.35">
      <c r="F1484">
        <v>29.6200000000001</v>
      </c>
      <c r="G1484">
        <f t="shared" si="48"/>
        <v>1550.2211103689683</v>
      </c>
      <c r="H1484">
        <f t="shared" si="49"/>
        <v>-2454.1782796217994</v>
      </c>
    </row>
    <row r="1485" spans="6:8" x14ac:dyDescent="0.35">
      <c r="F1485">
        <v>29.6400000000001</v>
      </c>
      <c r="G1485">
        <f t="shared" si="48"/>
        <v>1551.2678498087853</v>
      </c>
      <c r="H1485">
        <f t="shared" si="49"/>
        <v>-2458.7442301338879</v>
      </c>
    </row>
    <row r="1486" spans="6:8" x14ac:dyDescent="0.35">
      <c r="F1486">
        <v>29.6600000000001</v>
      </c>
      <c r="G1486">
        <f t="shared" si="48"/>
        <v>1552.3145892486023</v>
      </c>
      <c r="H1486">
        <f t="shared" si="49"/>
        <v>-2463.3141046459746</v>
      </c>
    </row>
    <row r="1487" spans="6:8" x14ac:dyDescent="0.35">
      <c r="F1487">
        <v>29.680000000000099</v>
      </c>
      <c r="G1487">
        <f t="shared" si="48"/>
        <v>1553.3613286884192</v>
      </c>
      <c r="H1487">
        <f t="shared" si="49"/>
        <v>-2467.8879031580632</v>
      </c>
    </row>
    <row r="1488" spans="6:8" x14ac:dyDescent="0.35">
      <c r="F1488">
        <v>29.700000000000099</v>
      </c>
      <c r="G1488">
        <f t="shared" si="48"/>
        <v>1554.4080681282362</v>
      </c>
      <c r="H1488">
        <f t="shared" si="49"/>
        <v>-2472.4656256701505</v>
      </c>
    </row>
    <row r="1489" spans="6:8" x14ac:dyDescent="0.35">
      <c r="F1489">
        <v>29.720000000000098</v>
      </c>
      <c r="G1489">
        <f t="shared" si="48"/>
        <v>1555.4548075680532</v>
      </c>
      <c r="H1489">
        <f t="shared" si="49"/>
        <v>-2477.0472721822393</v>
      </c>
    </row>
    <row r="1490" spans="6:8" x14ac:dyDescent="0.35">
      <c r="F1490">
        <v>29.740000000000101</v>
      </c>
      <c r="G1490">
        <f t="shared" si="48"/>
        <v>1556.5015470078702</v>
      </c>
      <c r="H1490">
        <f t="shared" si="49"/>
        <v>-2481.6328426943282</v>
      </c>
    </row>
    <row r="1491" spans="6:8" x14ac:dyDescent="0.35">
      <c r="F1491">
        <v>29.760000000000101</v>
      </c>
      <c r="G1491">
        <f t="shared" si="48"/>
        <v>1557.5482864476871</v>
      </c>
      <c r="H1491">
        <f t="shared" si="49"/>
        <v>-2486.2223372064159</v>
      </c>
    </row>
    <row r="1492" spans="6:8" x14ac:dyDescent="0.35">
      <c r="F1492">
        <v>29.780000000000101</v>
      </c>
      <c r="G1492">
        <f t="shared" si="48"/>
        <v>1558.5950258875041</v>
      </c>
      <c r="H1492">
        <f t="shared" si="49"/>
        <v>-2490.8157557185036</v>
      </c>
    </row>
    <row r="1493" spans="6:8" x14ac:dyDescent="0.35">
      <c r="F1493">
        <v>29.8000000000001</v>
      </c>
      <c r="G1493">
        <f t="shared" si="48"/>
        <v>1559.6417653273211</v>
      </c>
      <c r="H1493">
        <f t="shared" si="49"/>
        <v>-2495.4130982305919</v>
      </c>
    </row>
    <row r="1494" spans="6:8" x14ac:dyDescent="0.35">
      <c r="F1494">
        <v>29.8200000000001</v>
      </c>
      <c r="G1494">
        <f t="shared" si="48"/>
        <v>1560.6885047671381</v>
      </c>
      <c r="H1494">
        <f t="shared" si="49"/>
        <v>-2500.0143647426798</v>
      </c>
    </row>
    <row r="1495" spans="6:8" x14ac:dyDescent="0.35">
      <c r="F1495">
        <v>29.840000000000099</v>
      </c>
      <c r="G1495">
        <f t="shared" si="48"/>
        <v>1561.735244206955</v>
      </c>
      <c r="H1495">
        <f t="shared" si="49"/>
        <v>-2504.6195552547683</v>
      </c>
    </row>
    <row r="1496" spans="6:8" x14ac:dyDescent="0.35">
      <c r="F1496">
        <v>29.860000000000099</v>
      </c>
      <c r="G1496">
        <f t="shared" si="48"/>
        <v>1562.781983646772</v>
      </c>
      <c r="H1496">
        <f t="shared" si="49"/>
        <v>-2509.2286697668551</v>
      </c>
    </row>
    <row r="1497" spans="6:8" x14ac:dyDescent="0.35">
      <c r="F1497">
        <v>29.880000000000098</v>
      </c>
      <c r="G1497">
        <f t="shared" si="48"/>
        <v>1563.828723086589</v>
      </c>
      <c r="H1497">
        <f t="shared" si="49"/>
        <v>-2513.8417082789438</v>
      </c>
    </row>
    <row r="1498" spans="6:8" x14ac:dyDescent="0.35">
      <c r="F1498">
        <v>29.900000000000102</v>
      </c>
      <c r="G1498">
        <f t="shared" si="48"/>
        <v>1564.8754625264062</v>
      </c>
      <c r="H1498">
        <f t="shared" si="49"/>
        <v>-2518.4586707910325</v>
      </c>
    </row>
    <row r="1499" spans="6:8" x14ac:dyDescent="0.35">
      <c r="F1499">
        <v>29.920000000000101</v>
      </c>
      <c r="G1499">
        <f t="shared" si="48"/>
        <v>1565.9222019662232</v>
      </c>
      <c r="H1499">
        <f t="shared" si="49"/>
        <v>-2523.0795573031205</v>
      </c>
    </row>
    <row r="1500" spans="6:8" x14ac:dyDescent="0.35">
      <c r="F1500">
        <v>29.940000000000101</v>
      </c>
      <c r="G1500">
        <f t="shared" si="48"/>
        <v>1566.9689414060401</v>
      </c>
      <c r="H1500">
        <f t="shared" si="49"/>
        <v>-2527.7043678152081</v>
      </c>
    </row>
    <row r="1501" spans="6:8" x14ac:dyDescent="0.35">
      <c r="F1501">
        <v>29.9600000000001</v>
      </c>
      <c r="G1501">
        <f t="shared" si="48"/>
        <v>1568.0156808458571</v>
      </c>
      <c r="H1501">
        <f t="shared" si="49"/>
        <v>-2532.3331023272963</v>
      </c>
    </row>
    <row r="1502" spans="6:8" x14ac:dyDescent="0.35">
      <c r="F1502">
        <v>29.9800000000001</v>
      </c>
      <c r="G1502">
        <f t="shared" si="48"/>
        <v>1569.0624202856741</v>
      </c>
      <c r="H1502">
        <f t="shared" si="49"/>
        <v>-2536.9657608393845</v>
      </c>
    </row>
    <row r="1503" spans="6:8" x14ac:dyDescent="0.35">
      <c r="F1503">
        <v>30.000000000000099</v>
      </c>
      <c r="G1503">
        <f t="shared" si="48"/>
        <v>1570.1091597254911</v>
      </c>
      <c r="H1503">
        <f t="shared" si="49"/>
        <v>-2541.6023433514715</v>
      </c>
    </row>
    <row r="1504" spans="6:8" x14ac:dyDescent="0.35">
      <c r="F1504">
        <v>30.020000000000099</v>
      </c>
      <c r="G1504">
        <f t="shared" si="48"/>
        <v>1571.155899165308</v>
      </c>
      <c r="H1504">
        <f t="shared" si="49"/>
        <v>-2546.2428498635604</v>
      </c>
    </row>
    <row r="1505" spans="6:8" x14ac:dyDescent="0.35">
      <c r="F1505">
        <v>30.040000000000099</v>
      </c>
      <c r="G1505">
        <f t="shared" si="48"/>
        <v>1572.202638605125</v>
      </c>
      <c r="H1505">
        <f t="shared" si="49"/>
        <v>-2550.8872803756481</v>
      </c>
    </row>
    <row r="1506" spans="6:8" x14ac:dyDescent="0.35">
      <c r="F1506">
        <v>30.060000000000102</v>
      </c>
      <c r="G1506">
        <f t="shared" si="48"/>
        <v>1573.2493780449422</v>
      </c>
      <c r="H1506">
        <f t="shared" si="49"/>
        <v>-2555.5356348877372</v>
      </c>
    </row>
    <row r="1507" spans="6:8" x14ac:dyDescent="0.35">
      <c r="F1507">
        <v>30.080000000000101</v>
      </c>
      <c r="G1507">
        <f t="shared" si="48"/>
        <v>1574.2961174847592</v>
      </c>
      <c r="H1507">
        <f t="shared" si="49"/>
        <v>-2560.1879133998245</v>
      </c>
    </row>
    <row r="1508" spans="6:8" x14ac:dyDescent="0.35">
      <c r="F1508">
        <v>30.100000000000101</v>
      </c>
      <c r="G1508">
        <f t="shared" si="48"/>
        <v>1575.3428569245762</v>
      </c>
      <c r="H1508">
        <f t="shared" si="49"/>
        <v>-2564.8441159119129</v>
      </c>
    </row>
    <row r="1509" spans="6:8" x14ac:dyDescent="0.35">
      <c r="F1509">
        <v>30.1200000000001</v>
      </c>
      <c r="G1509">
        <f t="shared" si="48"/>
        <v>1576.3895963643929</v>
      </c>
      <c r="H1509">
        <f t="shared" si="49"/>
        <v>-2569.5042424240005</v>
      </c>
    </row>
    <row r="1510" spans="6:8" x14ac:dyDescent="0.35">
      <c r="F1510">
        <v>30.1400000000001</v>
      </c>
      <c r="G1510">
        <f t="shared" si="48"/>
        <v>1577.4363358042099</v>
      </c>
      <c r="H1510">
        <f t="shared" si="49"/>
        <v>-2574.1682929360891</v>
      </c>
    </row>
    <row r="1511" spans="6:8" x14ac:dyDescent="0.35">
      <c r="F1511">
        <v>30.1600000000001</v>
      </c>
      <c r="G1511">
        <f t="shared" si="48"/>
        <v>1578.4830752440268</v>
      </c>
      <c r="H1511">
        <f t="shared" si="49"/>
        <v>-2578.8362674481764</v>
      </c>
    </row>
    <row r="1512" spans="6:8" x14ac:dyDescent="0.35">
      <c r="F1512">
        <v>30.180000000000099</v>
      </c>
      <c r="G1512">
        <f t="shared" si="48"/>
        <v>1579.5298146838438</v>
      </c>
      <c r="H1512">
        <f t="shared" si="49"/>
        <v>-2583.5081659602652</v>
      </c>
    </row>
    <row r="1513" spans="6:8" x14ac:dyDescent="0.35">
      <c r="F1513">
        <v>30.200000000000099</v>
      </c>
      <c r="G1513">
        <f t="shared" si="48"/>
        <v>1580.5765541236608</v>
      </c>
      <c r="H1513">
        <f t="shared" si="49"/>
        <v>-2588.1839884723536</v>
      </c>
    </row>
    <row r="1514" spans="6:8" x14ac:dyDescent="0.35">
      <c r="F1514">
        <v>30.220000000000098</v>
      </c>
      <c r="G1514">
        <f t="shared" si="48"/>
        <v>1581.6232935634778</v>
      </c>
      <c r="H1514">
        <f t="shared" si="49"/>
        <v>-2592.8637349844412</v>
      </c>
    </row>
    <row r="1515" spans="6:8" x14ac:dyDescent="0.35">
      <c r="F1515">
        <v>30.240000000000101</v>
      </c>
      <c r="G1515">
        <f t="shared" si="48"/>
        <v>1582.670033003295</v>
      </c>
      <c r="H1515">
        <f t="shared" si="49"/>
        <v>-2597.5474054965293</v>
      </c>
    </row>
    <row r="1516" spans="6:8" x14ac:dyDescent="0.35">
      <c r="F1516">
        <v>30.260000000000101</v>
      </c>
      <c r="G1516">
        <f t="shared" si="48"/>
        <v>1583.7167724431119</v>
      </c>
      <c r="H1516">
        <f t="shared" si="49"/>
        <v>-2602.2350000086176</v>
      </c>
    </row>
    <row r="1517" spans="6:8" x14ac:dyDescent="0.35">
      <c r="F1517">
        <v>30.280000000000101</v>
      </c>
      <c r="G1517">
        <f t="shared" si="48"/>
        <v>1584.7635118829289</v>
      </c>
      <c r="H1517">
        <f t="shared" si="49"/>
        <v>-2606.9265185207055</v>
      </c>
    </row>
    <row r="1518" spans="6:8" x14ac:dyDescent="0.35">
      <c r="F1518">
        <v>30.3000000000001</v>
      </c>
      <c r="G1518">
        <f t="shared" si="48"/>
        <v>1585.8102513227459</v>
      </c>
      <c r="H1518">
        <f t="shared" si="49"/>
        <v>-2611.6219610327939</v>
      </c>
    </row>
    <row r="1519" spans="6:8" x14ac:dyDescent="0.35">
      <c r="F1519">
        <v>30.3200000000001</v>
      </c>
      <c r="G1519">
        <f t="shared" si="48"/>
        <v>1586.8569907625629</v>
      </c>
      <c r="H1519">
        <f t="shared" si="49"/>
        <v>-2616.3213275448816</v>
      </c>
    </row>
    <row r="1520" spans="6:8" x14ac:dyDescent="0.35">
      <c r="F1520">
        <v>30.340000000000099</v>
      </c>
      <c r="G1520">
        <f t="shared" si="48"/>
        <v>1587.9037302023798</v>
      </c>
      <c r="H1520">
        <f t="shared" si="49"/>
        <v>-2621.0246180569693</v>
      </c>
    </row>
    <row r="1521" spans="6:8" x14ac:dyDescent="0.35">
      <c r="F1521">
        <v>30.360000000000099</v>
      </c>
      <c r="G1521">
        <f t="shared" si="48"/>
        <v>1588.9504696421968</v>
      </c>
      <c r="H1521">
        <f t="shared" si="49"/>
        <v>-2625.7318325690571</v>
      </c>
    </row>
    <row r="1522" spans="6:8" x14ac:dyDescent="0.35">
      <c r="F1522">
        <v>30.380000000000098</v>
      </c>
      <c r="G1522">
        <f t="shared" si="48"/>
        <v>1589.9972090820138</v>
      </c>
      <c r="H1522">
        <f t="shared" si="49"/>
        <v>-2630.4429710811451</v>
      </c>
    </row>
    <row r="1523" spans="6:8" x14ac:dyDescent="0.35">
      <c r="F1523">
        <v>30.400000000000102</v>
      </c>
      <c r="G1523">
        <f t="shared" si="48"/>
        <v>1591.043948521831</v>
      </c>
      <c r="H1523">
        <f t="shared" si="49"/>
        <v>-2635.1580335932344</v>
      </c>
    </row>
    <row r="1524" spans="6:8" x14ac:dyDescent="0.35">
      <c r="F1524">
        <v>30.420000000000101</v>
      </c>
      <c r="G1524">
        <f t="shared" si="48"/>
        <v>1592.090687961648</v>
      </c>
      <c r="H1524">
        <f t="shared" si="49"/>
        <v>-2639.8770201053226</v>
      </c>
    </row>
    <row r="1525" spans="6:8" x14ac:dyDescent="0.35">
      <c r="F1525">
        <v>30.440000000000101</v>
      </c>
      <c r="G1525">
        <f t="shared" si="48"/>
        <v>1593.1374274014649</v>
      </c>
      <c r="H1525">
        <f t="shared" si="49"/>
        <v>-2644.5999306174099</v>
      </c>
    </row>
    <row r="1526" spans="6:8" x14ac:dyDescent="0.35">
      <c r="F1526">
        <v>30.4600000000001</v>
      </c>
      <c r="G1526">
        <f t="shared" si="48"/>
        <v>1594.1841668412819</v>
      </c>
      <c r="H1526">
        <f t="shared" si="49"/>
        <v>-2649.3267651294977</v>
      </c>
    </row>
    <row r="1527" spans="6:8" x14ac:dyDescent="0.35">
      <c r="F1527">
        <v>30.4800000000001</v>
      </c>
      <c r="G1527">
        <f t="shared" si="48"/>
        <v>1595.2309062810989</v>
      </c>
      <c r="H1527">
        <f t="shared" si="49"/>
        <v>-2654.0575236415857</v>
      </c>
    </row>
    <row r="1528" spans="6:8" x14ac:dyDescent="0.35">
      <c r="F1528">
        <v>30.500000000000099</v>
      </c>
      <c r="G1528">
        <f t="shared" si="48"/>
        <v>1596.2776457209159</v>
      </c>
      <c r="H1528">
        <f t="shared" si="49"/>
        <v>-2658.7922061536733</v>
      </c>
    </row>
    <row r="1529" spans="6:8" x14ac:dyDescent="0.35">
      <c r="F1529">
        <v>30.520000000000099</v>
      </c>
      <c r="G1529">
        <f t="shared" si="48"/>
        <v>1597.3243851607328</v>
      </c>
      <c r="H1529">
        <f t="shared" si="49"/>
        <v>-2663.5308126657624</v>
      </c>
    </row>
    <row r="1530" spans="6:8" x14ac:dyDescent="0.35">
      <c r="F1530">
        <v>30.540000000000099</v>
      </c>
      <c r="G1530">
        <f t="shared" si="48"/>
        <v>1598.3711246005498</v>
      </c>
      <c r="H1530">
        <f t="shared" si="49"/>
        <v>-2668.2733431778502</v>
      </c>
    </row>
    <row r="1531" spans="6:8" x14ac:dyDescent="0.35">
      <c r="F1531">
        <v>30.560000000000102</v>
      </c>
      <c r="G1531">
        <f t="shared" si="48"/>
        <v>1599.4178640403668</v>
      </c>
      <c r="H1531">
        <f t="shared" si="49"/>
        <v>-2673.019797689939</v>
      </c>
    </row>
    <row r="1532" spans="6:8" x14ac:dyDescent="0.35">
      <c r="F1532">
        <v>30.580000000000101</v>
      </c>
      <c r="G1532">
        <f t="shared" si="48"/>
        <v>1600.4646034801838</v>
      </c>
      <c r="H1532">
        <f t="shared" si="49"/>
        <v>-2677.7701762020265</v>
      </c>
    </row>
    <row r="1533" spans="6:8" x14ac:dyDescent="0.35">
      <c r="F1533">
        <v>30.600000000000101</v>
      </c>
      <c r="G1533">
        <f t="shared" si="48"/>
        <v>1601.5113429200007</v>
      </c>
      <c r="H1533">
        <f t="shared" si="49"/>
        <v>-2682.5244787141141</v>
      </c>
    </row>
    <row r="1534" spans="6:8" x14ac:dyDescent="0.35">
      <c r="F1534">
        <v>30.6200000000001</v>
      </c>
      <c r="G1534">
        <f t="shared" si="48"/>
        <v>1602.5580823598177</v>
      </c>
      <c r="H1534">
        <f t="shared" si="49"/>
        <v>-2687.2827052262023</v>
      </c>
    </row>
    <row r="1535" spans="6:8" x14ac:dyDescent="0.35">
      <c r="F1535">
        <v>30.6400000000001</v>
      </c>
      <c r="G1535">
        <f t="shared" si="48"/>
        <v>1603.6048217996347</v>
      </c>
      <c r="H1535">
        <f t="shared" si="49"/>
        <v>-2692.0448557382911</v>
      </c>
    </row>
    <row r="1536" spans="6:8" x14ac:dyDescent="0.35">
      <c r="F1536">
        <v>30.6600000000001</v>
      </c>
      <c r="G1536">
        <f t="shared" si="48"/>
        <v>1604.6515612394517</v>
      </c>
      <c r="H1536">
        <f t="shared" si="49"/>
        <v>-2696.8109302503785</v>
      </c>
    </row>
    <row r="1537" spans="6:8" x14ac:dyDescent="0.35">
      <c r="F1537">
        <v>30.680000000000099</v>
      </c>
      <c r="G1537">
        <f t="shared" si="48"/>
        <v>1605.6983006792686</v>
      </c>
      <c r="H1537">
        <f t="shared" si="49"/>
        <v>-2701.580928762467</v>
      </c>
    </row>
    <row r="1538" spans="6:8" x14ac:dyDescent="0.35">
      <c r="F1538">
        <v>30.700000000000099</v>
      </c>
      <c r="G1538">
        <f t="shared" si="48"/>
        <v>1606.7450401190856</v>
      </c>
      <c r="H1538">
        <f t="shared" si="49"/>
        <v>-2706.3548512745547</v>
      </c>
    </row>
    <row r="1539" spans="6:8" x14ac:dyDescent="0.35">
      <c r="F1539">
        <v>30.720000000000098</v>
      </c>
      <c r="G1539">
        <f t="shared" ref="G1539:G1581" si="50">$B$15*F1539</f>
        <v>1607.7917795589026</v>
      </c>
      <c r="H1539">
        <f t="shared" ref="H1539:H1581" si="51">$B$13*F1539-($B$8*F1539^2)/2+$B$12</f>
        <v>-2711.1326977866424</v>
      </c>
    </row>
    <row r="1540" spans="6:8" x14ac:dyDescent="0.35">
      <c r="F1540">
        <v>30.740000000000101</v>
      </c>
      <c r="G1540">
        <f t="shared" si="50"/>
        <v>1608.8385189987198</v>
      </c>
      <c r="H1540">
        <f t="shared" si="51"/>
        <v>-2715.9144682987312</v>
      </c>
    </row>
    <row r="1541" spans="6:8" x14ac:dyDescent="0.35">
      <c r="F1541">
        <v>30.760000000000101</v>
      </c>
      <c r="G1541">
        <f t="shared" si="50"/>
        <v>1609.8852584385368</v>
      </c>
      <c r="H1541">
        <f t="shared" si="51"/>
        <v>-2720.7001628108196</v>
      </c>
    </row>
    <row r="1542" spans="6:8" x14ac:dyDescent="0.35">
      <c r="F1542">
        <v>30.780000000000101</v>
      </c>
      <c r="G1542">
        <f t="shared" si="50"/>
        <v>1610.9319978783537</v>
      </c>
      <c r="H1542">
        <f t="shared" si="51"/>
        <v>-2725.4897813229072</v>
      </c>
    </row>
    <row r="1543" spans="6:8" x14ac:dyDescent="0.35">
      <c r="F1543">
        <v>30.8000000000001</v>
      </c>
      <c r="G1543">
        <f t="shared" si="50"/>
        <v>1611.9787373181707</v>
      </c>
      <c r="H1543">
        <f t="shared" si="51"/>
        <v>-2730.2833238349949</v>
      </c>
    </row>
    <row r="1544" spans="6:8" x14ac:dyDescent="0.35">
      <c r="F1544">
        <v>30.8200000000001</v>
      </c>
      <c r="G1544">
        <f t="shared" si="50"/>
        <v>1613.0254767579877</v>
      </c>
      <c r="H1544">
        <f t="shared" si="51"/>
        <v>-2735.0807903470827</v>
      </c>
    </row>
    <row r="1545" spans="6:8" x14ac:dyDescent="0.35">
      <c r="F1545">
        <v>30.840000000000099</v>
      </c>
      <c r="G1545">
        <f t="shared" si="50"/>
        <v>1614.0722161978047</v>
      </c>
      <c r="H1545">
        <f t="shared" si="51"/>
        <v>-2739.8821808591706</v>
      </c>
    </row>
    <row r="1546" spans="6:8" x14ac:dyDescent="0.35">
      <c r="F1546">
        <v>30.860000000000099</v>
      </c>
      <c r="G1546">
        <f t="shared" si="50"/>
        <v>1615.1189556376216</v>
      </c>
      <c r="H1546">
        <f t="shared" si="51"/>
        <v>-2744.687495371259</v>
      </c>
    </row>
    <row r="1547" spans="6:8" x14ac:dyDescent="0.35">
      <c r="F1547">
        <v>30.880000000000098</v>
      </c>
      <c r="G1547">
        <f t="shared" si="50"/>
        <v>1616.1656950774386</v>
      </c>
      <c r="H1547">
        <f t="shared" si="51"/>
        <v>-2749.4967338833471</v>
      </c>
    </row>
    <row r="1548" spans="6:8" x14ac:dyDescent="0.35">
      <c r="F1548">
        <v>30.900000000000102</v>
      </c>
      <c r="G1548">
        <f t="shared" si="50"/>
        <v>1617.2124345172558</v>
      </c>
      <c r="H1548">
        <f t="shared" si="51"/>
        <v>-2754.3098963954362</v>
      </c>
    </row>
    <row r="1549" spans="6:8" x14ac:dyDescent="0.35">
      <c r="F1549">
        <v>30.920000000000101</v>
      </c>
      <c r="G1549">
        <f t="shared" si="50"/>
        <v>1618.2591739570726</v>
      </c>
      <c r="H1549">
        <f t="shared" si="51"/>
        <v>-2759.1269829075231</v>
      </c>
    </row>
    <row r="1550" spans="6:8" x14ac:dyDescent="0.35">
      <c r="F1550">
        <v>30.940000000000101</v>
      </c>
      <c r="G1550">
        <f t="shared" si="50"/>
        <v>1619.3059133968895</v>
      </c>
      <c r="H1550">
        <f t="shared" si="51"/>
        <v>-2763.947993419612</v>
      </c>
    </row>
    <row r="1551" spans="6:8" x14ac:dyDescent="0.35">
      <c r="F1551">
        <v>30.9600000000001</v>
      </c>
      <c r="G1551">
        <f t="shared" si="50"/>
        <v>1620.3526528367065</v>
      </c>
      <c r="H1551">
        <f t="shared" si="51"/>
        <v>-2768.7729279316995</v>
      </c>
    </row>
    <row r="1552" spans="6:8" x14ac:dyDescent="0.35">
      <c r="F1552">
        <v>30.9800000000001</v>
      </c>
      <c r="G1552">
        <f t="shared" si="50"/>
        <v>1621.3993922765235</v>
      </c>
      <c r="H1552">
        <f t="shared" si="51"/>
        <v>-2773.6017864437877</v>
      </c>
    </row>
    <row r="1553" spans="6:8" x14ac:dyDescent="0.35">
      <c r="F1553">
        <v>31.000000000000099</v>
      </c>
      <c r="G1553">
        <f t="shared" si="50"/>
        <v>1622.4461317163405</v>
      </c>
      <c r="H1553">
        <f t="shared" si="51"/>
        <v>-2778.4345689558754</v>
      </c>
    </row>
    <row r="1554" spans="6:8" x14ac:dyDescent="0.35">
      <c r="F1554">
        <v>31.020000000000099</v>
      </c>
      <c r="G1554">
        <f t="shared" si="50"/>
        <v>1623.4928711561574</v>
      </c>
      <c r="H1554">
        <f t="shared" si="51"/>
        <v>-2783.2712754679637</v>
      </c>
    </row>
    <row r="1555" spans="6:8" x14ac:dyDescent="0.35">
      <c r="F1555">
        <v>31.040000000000099</v>
      </c>
      <c r="G1555">
        <f t="shared" si="50"/>
        <v>1624.5396105959744</v>
      </c>
      <c r="H1555">
        <f t="shared" si="51"/>
        <v>-2788.1119059800512</v>
      </c>
    </row>
    <row r="1556" spans="6:8" x14ac:dyDescent="0.35">
      <c r="F1556">
        <v>31.060000000000102</v>
      </c>
      <c r="G1556">
        <f t="shared" si="50"/>
        <v>1625.5863500357916</v>
      </c>
      <c r="H1556">
        <f t="shared" si="51"/>
        <v>-2792.9564604921402</v>
      </c>
    </row>
    <row r="1557" spans="6:8" x14ac:dyDescent="0.35">
      <c r="F1557">
        <v>31.080000000000101</v>
      </c>
      <c r="G1557">
        <f t="shared" si="50"/>
        <v>1626.6330894756086</v>
      </c>
      <c r="H1557">
        <f t="shared" si="51"/>
        <v>-2797.8049390042283</v>
      </c>
    </row>
    <row r="1558" spans="6:8" x14ac:dyDescent="0.35">
      <c r="F1558">
        <v>31.100000000000101</v>
      </c>
      <c r="G1558">
        <f t="shared" si="50"/>
        <v>1627.6798289154256</v>
      </c>
      <c r="H1558">
        <f t="shared" si="51"/>
        <v>-2802.657341516317</v>
      </c>
    </row>
    <row r="1559" spans="6:8" x14ac:dyDescent="0.35">
      <c r="F1559">
        <v>31.1200000000001</v>
      </c>
      <c r="G1559">
        <f t="shared" si="50"/>
        <v>1628.7265683552425</v>
      </c>
      <c r="H1559">
        <f t="shared" si="51"/>
        <v>-2807.5136680284045</v>
      </c>
    </row>
    <row r="1560" spans="6:8" x14ac:dyDescent="0.35">
      <c r="F1560">
        <v>31.1400000000001</v>
      </c>
      <c r="G1560">
        <f t="shared" si="50"/>
        <v>1629.7733077950595</v>
      </c>
      <c r="H1560">
        <f t="shared" si="51"/>
        <v>-2812.3739185404929</v>
      </c>
    </row>
    <row r="1561" spans="6:8" x14ac:dyDescent="0.35">
      <c r="F1561">
        <v>31.1600000000001</v>
      </c>
      <c r="G1561">
        <f t="shared" si="50"/>
        <v>1630.8200472348765</v>
      </c>
      <c r="H1561">
        <f t="shared" si="51"/>
        <v>-2817.2380930525806</v>
      </c>
    </row>
    <row r="1562" spans="6:8" x14ac:dyDescent="0.35">
      <c r="F1562">
        <v>31.180000000000099</v>
      </c>
      <c r="G1562">
        <f t="shared" si="50"/>
        <v>1631.8667866746935</v>
      </c>
      <c r="H1562">
        <f t="shared" si="51"/>
        <v>-2822.1061915646683</v>
      </c>
    </row>
    <row r="1563" spans="6:8" x14ac:dyDescent="0.35">
      <c r="F1563">
        <v>31.200000000000099</v>
      </c>
      <c r="G1563">
        <f t="shared" si="50"/>
        <v>1632.9135261145104</v>
      </c>
      <c r="H1563">
        <f t="shared" si="51"/>
        <v>-2826.9782140767561</v>
      </c>
    </row>
    <row r="1564" spans="6:8" x14ac:dyDescent="0.35">
      <c r="F1564">
        <v>31.220000000000098</v>
      </c>
      <c r="G1564">
        <f t="shared" si="50"/>
        <v>1633.9602655543274</v>
      </c>
      <c r="H1564">
        <f t="shared" si="51"/>
        <v>-2831.8541605888445</v>
      </c>
    </row>
    <row r="1565" spans="6:8" x14ac:dyDescent="0.35">
      <c r="F1565">
        <v>31.240000000000101</v>
      </c>
      <c r="G1565">
        <f t="shared" si="50"/>
        <v>1635.0070049941446</v>
      </c>
      <c r="H1565">
        <f t="shared" si="51"/>
        <v>-2836.734031100933</v>
      </c>
    </row>
    <row r="1566" spans="6:8" x14ac:dyDescent="0.35">
      <c r="F1566">
        <v>31.260000000000101</v>
      </c>
      <c r="G1566">
        <f t="shared" si="50"/>
        <v>1636.0537444339616</v>
      </c>
      <c r="H1566">
        <f t="shared" si="51"/>
        <v>-2841.6178256130215</v>
      </c>
    </row>
    <row r="1567" spans="6:8" x14ac:dyDescent="0.35">
      <c r="F1567">
        <v>31.280000000000101</v>
      </c>
      <c r="G1567">
        <f t="shared" si="50"/>
        <v>1637.1004838737786</v>
      </c>
      <c r="H1567">
        <f t="shared" si="51"/>
        <v>-2846.5055441251084</v>
      </c>
    </row>
    <row r="1568" spans="6:8" x14ac:dyDescent="0.35">
      <c r="F1568">
        <v>31.3000000000001</v>
      </c>
      <c r="G1568">
        <f t="shared" si="50"/>
        <v>1638.1472233135955</v>
      </c>
      <c r="H1568">
        <f t="shared" si="51"/>
        <v>-2851.3971866371971</v>
      </c>
    </row>
    <row r="1569" spans="6:8" x14ac:dyDescent="0.35">
      <c r="F1569">
        <v>31.3200000000001</v>
      </c>
      <c r="G1569">
        <f t="shared" si="50"/>
        <v>1639.1939627534125</v>
      </c>
      <c r="H1569">
        <f t="shared" si="51"/>
        <v>-2856.2927531492846</v>
      </c>
    </row>
    <row r="1570" spans="6:8" x14ac:dyDescent="0.35">
      <c r="F1570">
        <v>31.340000000000099</v>
      </c>
      <c r="G1570">
        <f t="shared" si="50"/>
        <v>1640.2407021932295</v>
      </c>
      <c r="H1570">
        <f t="shared" si="51"/>
        <v>-2861.1922436613736</v>
      </c>
    </row>
    <row r="1571" spans="6:8" x14ac:dyDescent="0.35">
      <c r="F1571">
        <v>31.360000000000099</v>
      </c>
      <c r="G1571">
        <f t="shared" si="50"/>
        <v>1641.2874416330465</v>
      </c>
      <c r="H1571">
        <f t="shared" si="51"/>
        <v>-2866.0956581734613</v>
      </c>
    </row>
    <row r="1572" spans="6:8" x14ac:dyDescent="0.35">
      <c r="F1572">
        <v>31.380000000000098</v>
      </c>
      <c r="G1572">
        <f t="shared" si="50"/>
        <v>1642.3341810728632</v>
      </c>
      <c r="H1572">
        <f t="shared" si="51"/>
        <v>-2871.0029966855491</v>
      </c>
    </row>
    <row r="1573" spans="6:8" x14ac:dyDescent="0.35">
      <c r="F1573">
        <v>31.400000000000102</v>
      </c>
      <c r="G1573">
        <f t="shared" si="50"/>
        <v>1643.3809205126804</v>
      </c>
      <c r="H1573">
        <f t="shared" si="51"/>
        <v>-2875.9142591976374</v>
      </c>
    </row>
    <row r="1574" spans="6:8" x14ac:dyDescent="0.35">
      <c r="F1574">
        <v>31.420000000000101</v>
      </c>
      <c r="G1574">
        <f t="shared" si="50"/>
        <v>1644.4276599524974</v>
      </c>
      <c r="H1574">
        <f t="shared" si="51"/>
        <v>-2880.8294457097259</v>
      </c>
    </row>
    <row r="1575" spans="6:8" x14ac:dyDescent="0.35">
      <c r="F1575">
        <v>31.440000000000101</v>
      </c>
      <c r="G1575">
        <f t="shared" si="50"/>
        <v>1645.4743993923144</v>
      </c>
      <c r="H1575">
        <f t="shared" si="51"/>
        <v>-2885.748556221813</v>
      </c>
    </row>
    <row r="1576" spans="6:8" x14ac:dyDescent="0.35">
      <c r="F1576">
        <v>31.4600000000001</v>
      </c>
      <c r="G1576">
        <f t="shared" si="50"/>
        <v>1646.5211388321313</v>
      </c>
      <c r="H1576">
        <f t="shared" si="51"/>
        <v>-2890.6715907339017</v>
      </c>
    </row>
    <row r="1577" spans="6:8" x14ac:dyDescent="0.35">
      <c r="F1577">
        <v>31.4800000000001</v>
      </c>
      <c r="G1577">
        <f t="shared" si="50"/>
        <v>1647.5678782719483</v>
      </c>
      <c r="H1577">
        <f t="shared" si="51"/>
        <v>-2895.5985492459895</v>
      </c>
    </row>
    <row r="1578" spans="6:8" x14ac:dyDescent="0.35">
      <c r="F1578">
        <v>31.500000000000099</v>
      </c>
      <c r="G1578">
        <f t="shared" si="50"/>
        <v>1648.6146177117653</v>
      </c>
      <c r="H1578">
        <f t="shared" si="51"/>
        <v>-2900.5294317580774</v>
      </c>
    </row>
    <row r="1579" spans="6:8" x14ac:dyDescent="0.35">
      <c r="F1579">
        <v>31.520000000000099</v>
      </c>
      <c r="G1579">
        <f t="shared" si="50"/>
        <v>1649.6613571515823</v>
      </c>
      <c r="H1579">
        <f t="shared" si="51"/>
        <v>-2905.4642382701654</v>
      </c>
    </row>
    <row r="1580" spans="6:8" x14ac:dyDescent="0.35">
      <c r="F1580">
        <v>31.540000000000099</v>
      </c>
      <c r="G1580">
        <f t="shared" si="50"/>
        <v>1650.7080965913992</v>
      </c>
      <c r="H1580">
        <f t="shared" si="51"/>
        <v>-2910.4029687822526</v>
      </c>
    </row>
    <row r="1581" spans="6:8" x14ac:dyDescent="0.35">
      <c r="F1581">
        <v>31.560000000000102</v>
      </c>
      <c r="G1581">
        <f t="shared" si="50"/>
        <v>1651.7548360312164</v>
      </c>
      <c r="H1581">
        <f t="shared" si="51"/>
        <v>-2915.3456232943422</v>
      </c>
    </row>
  </sheetData>
  <mergeCells count="2">
    <mergeCell ref="A11:B11"/>
    <mergeCell ref="A20:B20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E0135A-1AAE-4AA4-A7A7-4A8F34BE0B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Main</vt:lpstr>
      <vt:lpstr>Kinematics2</vt:lpstr>
      <vt:lpstr>Kinetics</vt:lpstr>
      <vt:lpstr>Materials</vt:lpstr>
      <vt:lpstr>Cost Estimation</vt:lpstr>
      <vt:lpstr>Kinematics_deprecated</vt:lpstr>
      <vt:lpstr>Material</vt:lpstr>
      <vt:lpstr>Material_Density</vt:lpstr>
      <vt:lpstr>Shear_Modulus_Gpa</vt:lpstr>
      <vt:lpstr>Yield_Strenght__Mpa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Moser</dc:creator>
  <cp:lastModifiedBy>Johannes Moser</cp:lastModifiedBy>
  <dcterms:created xsi:type="dcterms:W3CDTF">2025-02-26T08:42:42Z</dcterms:created>
  <dcterms:modified xsi:type="dcterms:W3CDTF">2025-05-19T17:31:27Z</dcterms:modified>
</cp:coreProperties>
</file>